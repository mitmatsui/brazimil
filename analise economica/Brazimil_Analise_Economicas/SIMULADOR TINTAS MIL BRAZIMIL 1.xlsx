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f734909cfc0c3db7/Área de Trabalho/Documentos/CONSULTORIAS/BRAZIMIL/SIMULADOR BRAZIMIL/"/>
    </mc:Choice>
  </mc:AlternateContent>
  <xr:revisionPtr revIDLastSave="230" documentId="8_{40073915-8C44-4A98-B4E7-C7348F6C4FE9}" xr6:coauthVersionLast="47" xr6:coauthVersionMax="47" xr10:uidLastSave="{91525530-CC2A-4BF6-91C0-70D8F478A13A}"/>
  <bookViews>
    <workbookView xWindow="-120" yWindow="-120" windowWidth="20730" windowHeight="11040" tabRatio="875" activeTab="1" xr2:uid="{00000000-000D-0000-FFFF-FFFF00000000}"/>
  </bookViews>
  <sheets>
    <sheet name="Frete_Regiao-Impostos" sheetId="5174" r:id="rId1"/>
    <sheet name="Sim_Preço" sheetId="3" r:id="rId2"/>
    <sheet name="Custo" sheetId="188" state="hidden" r:id="rId3"/>
    <sheet name="Peso" sheetId="111" state="hidden" r:id="rId4"/>
    <sheet name="MVA-grupos" sheetId="5186" state="hidden" r:id="rId5"/>
    <sheet name="MVA-IPI" sheetId="5182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'Frete_Regiao-Impostos'!$A$1:$I$54</definedName>
    <definedName name="_xlnm._FilterDatabase" localSheetId="1" hidden="1">Sim_Preço!$A$9:$AX$112</definedName>
    <definedName name="_xlnm.Print_Area" localSheetId="1">Sim_Preço!$X$5:$AC$125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2" i="188" l="1"/>
  <c r="B62" i="188" l="1"/>
  <c r="B66" i="188"/>
  <c r="B33" i="188" l="1"/>
  <c r="B38" i="188"/>
  <c r="B32" i="188"/>
  <c r="B31" i="188"/>
  <c r="B20" i="188"/>
  <c r="B15" i="188"/>
  <c r="B13" i="188"/>
  <c r="B29" i="188"/>
  <c r="B28" i="188"/>
  <c r="B35" i="188"/>
  <c r="B53" i="188" l="1"/>
  <c r="B58" i="188"/>
  <c r="B26" i="188"/>
  <c r="B23" i="188"/>
  <c r="B44" i="188" l="1"/>
  <c r="B45" i="188"/>
  <c r="B42" i="188"/>
  <c r="B41" i="188"/>
  <c r="B12" i="188" l="1"/>
  <c r="B19" i="188" l="1"/>
  <c r="B14" i="188"/>
  <c r="B89" i="188" l="1"/>
  <c r="B83" i="188"/>
  <c r="B22" i="188"/>
  <c r="B25" i="188"/>
  <c r="B81" i="188" l="1"/>
  <c r="B87" i="188"/>
  <c r="B82" i="188"/>
  <c r="B88" i="188"/>
  <c r="B131" i="188" l="1"/>
  <c r="B117" i="111" l="1"/>
  <c r="B18" i="111"/>
  <c r="B137" i="188" l="1"/>
  <c r="B136" i="188"/>
  <c r="B135" i="188"/>
  <c r="B134" i="188"/>
  <c r="B129" i="188"/>
  <c r="B128" i="188"/>
  <c r="B127" i="188"/>
  <c r="B126" i="188"/>
  <c r="B123" i="188"/>
  <c r="B122" i="188"/>
  <c r="B121" i="188"/>
  <c r="B120" i="188"/>
  <c r="B118" i="188"/>
  <c r="B117" i="188"/>
  <c r="B116" i="188"/>
  <c r="B114" i="188"/>
  <c r="B113" i="188"/>
  <c r="B112" i="188"/>
  <c r="B109" i="188"/>
  <c r="B108" i="188"/>
  <c r="B106" i="188"/>
  <c r="B104" i="188"/>
  <c r="B103" i="188"/>
  <c r="B102" i="188"/>
  <c r="B100" i="188"/>
  <c r="B99" i="188"/>
  <c r="B98" i="188"/>
  <c r="B96" i="188"/>
  <c r="B95" i="188"/>
  <c r="B93" i="188"/>
  <c r="B92" i="188"/>
  <c r="B90" i="188"/>
  <c r="B86" i="188"/>
  <c r="B80" i="188"/>
  <c r="B77" i="188"/>
  <c r="B76" i="188"/>
  <c r="B75" i="188"/>
  <c r="B74" i="188"/>
  <c r="B72" i="188"/>
  <c r="B70" i="188"/>
  <c r="B67" i="188"/>
  <c r="B63" i="188"/>
  <c r="B61" i="188"/>
  <c r="B59" i="188"/>
  <c r="B54" i="188"/>
  <c r="B52" i="188"/>
  <c r="B49" i="188"/>
  <c r="B47" i="188"/>
  <c r="B18" i="188"/>
  <c r="B17" i="188"/>
  <c r="B64" i="188"/>
  <c r="B65" i="188"/>
  <c r="B69" i="188"/>
  <c r="B71" i="188"/>
  <c r="C7" i="3" l="1"/>
  <c r="B3" i="5182"/>
  <c r="I124" i="3" l="1"/>
  <c r="J124" i="3" s="1"/>
  <c r="K124" i="3"/>
  <c r="L124" i="3" s="1"/>
  <c r="Q124" i="3"/>
  <c r="X124" i="3"/>
  <c r="Y124" i="3"/>
  <c r="AP124" i="3"/>
  <c r="I125" i="3"/>
  <c r="J125" i="3" s="1"/>
  <c r="K125" i="3"/>
  <c r="L125" i="3" s="1"/>
  <c r="Q125" i="3"/>
  <c r="X125" i="3"/>
  <c r="Y125" i="3"/>
  <c r="AP125" i="3"/>
  <c r="G28" i="5174" l="1"/>
  <c r="AP120" i="3"/>
  <c r="Y120" i="3"/>
  <c r="X120" i="3"/>
  <c r="Q120" i="3"/>
  <c r="K120" i="3"/>
  <c r="L120" i="3" s="1"/>
  <c r="I120" i="3"/>
  <c r="J120" i="3" s="1"/>
  <c r="H123" i="5186"/>
  <c r="F123" i="5186"/>
  <c r="D123" i="5186"/>
  <c r="B123" i="5186"/>
  <c r="G120" i="3" l="1"/>
  <c r="AP119" i="3" l="1"/>
  <c r="Y119" i="3"/>
  <c r="X119" i="3"/>
  <c r="Q119" i="3"/>
  <c r="K119" i="3"/>
  <c r="L119" i="3" s="1"/>
  <c r="I119" i="3"/>
  <c r="J119" i="3" s="1"/>
  <c r="G119" i="3"/>
  <c r="H122" i="5186"/>
  <c r="F122" i="5186"/>
  <c r="D122" i="5186"/>
  <c r="B122" i="5186"/>
  <c r="D92" i="188" l="1"/>
  <c r="Y107" i="3" l="1"/>
  <c r="X107" i="3"/>
  <c r="I107" i="3"/>
  <c r="J107" i="3" s="1"/>
  <c r="K107" i="3"/>
  <c r="L107" i="3" s="1"/>
  <c r="Q107" i="3"/>
  <c r="B109" i="5186"/>
  <c r="D109" i="5186"/>
  <c r="F109" i="5186"/>
  <c r="H109" i="5186"/>
  <c r="I134" i="3"/>
  <c r="J134" i="3"/>
  <c r="AP133" i="3"/>
  <c r="Y133" i="3"/>
  <c r="X133" i="3"/>
  <c r="Q133" i="3"/>
  <c r="K133" i="3"/>
  <c r="L133" i="3" s="1"/>
  <c r="I133" i="3"/>
  <c r="J133" i="3" s="1"/>
  <c r="F133" i="3"/>
  <c r="AP132" i="3"/>
  <c r="Y132" i="3"/>
  <c r="X132" i="3"/>
  <c r="Q132" i="3"/>
  <c r="K132" i="3"/>
  <c r="L132" i="3" s="1"/>
  <c r="I132" i="3"/>
  <c r="J132" i="3" s="1"/>
  <c r="F132" i="3"/>
  <c r="AP131" i="3"/>
  <c r="Y131" i="3"/>
  <c r="X131" i="3"/>
  <c r="Q131" i="3"/>
  <c r="K131" i="3"/>
  <c r="L131" i="3" s="1"/>
  <c r="I131" i="3"/>
  <c r="J131" i="3" s="1"/>
  <c r="F131" i="3"/>
  <c r="AP130" i="3"/>
  <c r="Y130" i="3"/>
  <c r="X130" i="3"/>
  <c r="Q130" i="3"/>
  <c r="K130" i="3"/>
  <c r="L130" i="3" s="1"/>
  <c r="I130" i="3"/>
  <c r="J130" i="3" s="1"/>
  <c r="F130" i="3"/>
  <c r="AP128" i="3"/>
  <c r="Y128" i="3"/>
  <c r="X128" i="3"/>
  <c r="Q128" i="3"/>
  <c r="K128" i="3"/>
  <c r="L128" i="3" s="1"/>
  <c r="I128" i="3"/>
  <c r="J128" i="3" s="1"/>
  <c r="AP127" i="3"/>
  <c r="Y127" i="3"/>
  <c r="X127" i="3"/>
  <c r="Q127" i="3"/>
  <c r="K127" i="3"/>
  <c r="L127" i="3" s="1"/>
  <c r="I127" i="3"/>
  <c r="J127" i="3" s="1"/>
  <c r="H136" i="5186"/>
  <c r="F136" i="5186"/>
  <c r="D136" i="5186"/>
  <c r="B136" i="5186"/>
  <c r="H135" i="5186"/>
  <c r="F135" i="5186"/>
  <c r="D135" i="5186"/>
  <c r="B135" i="5186"/>
  <c r="H134" i="5186"/>
  <c r="F134" i="5186"/>
  <c r="D134" i="5186"/>
  <c r="B134" i="5186"/>
  <c r="H133" i="5186"/>
  <c r="F133" i="5186"/>
  <c r="D133" i="5186"/>
  <c r="B133" i="5186"/>
  <c r="H131" i="5186"/>
  <c r="F131" i="5186"/>
  <c r="D131" i="5186"/>
  <c r="B131" i="5186"/>
  <c r="H130" i="5186"/>
  <c r="F130" i="5186"/>
  <c r="D130" i="5186"/>
  <c r="B130" i="5186"/>
  <c r="AP16" i="3"/>
  <c r="AP17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5" i="3"/>
  <c r="AP56" i="3"/>
  <c r="AP57" i="3"/>
  <c r="AP53" i="3"/>
  <c r="AP54" i="3"/>
  <c r="AP58" i="3"/>
  <c r="AP59" i="3"/>
  <c r="AP60" i="3"/>
  <c r="AP61" i="3"/>
  <c r="AP63" i="3"/>
  <c r="AP64" i="3"/>
  <c r="AP62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8" i="3"/>
  <c r="AP109" i="3"/>
  <c r="AP110" i="3"/>
  <c r="AP111" i="3"/>
  <c r="AP112" i="3"/>
  <c r="AP113" i="3"/>
  <c r="AP114" i="3"/>
  <c r="AP115" i="3"/>
  <c r="AP116" i="3"/>
  <c r="AP117" i="3"/>
  <c r="AP118" i="3"/>
  <c r="AP122" i="3"/>
  <c r="AP123" i="3"/>
  <c r="AP13" i="3"/>
  <c r="AP14" i="3"/>
  <c r="AP15" i="3"/>
  <c r="AP12" i="3"/>
  <c r="K53" i="3"/>
  <c r="K28" i="3"/>
  <c r="K20" i="3"/>
  <c r="K19" i="3"/>
  <c r="I46" i="3" l="1"/>
  <c r="I19" i="3"/>
  <c r="I20" i="3"/>
  <c r="K80" i="3" l="1"/>
  <c r="L80" i="3" s="1"/>
  <c r="I44" i="3" l="1"/>
  <c r="I42" i="3"/>
  <c r="H117" i="5186"/>
  <c r="F117" i="5186"/>
  <c r="D117" i="5186"/>
  <c r="B117" i="5186"/>
  <c r="K70" i="3"/>
  <c r="L70" i="3" s="1"/>
  <c r="K69" i="3"/>
  <c r="L69" i="3"/>
  <c r="K68" i="3"/>
  <c r="L68" i="3"/>
  <c r="K67" i="3"/>
  <c r="L67" i="3" s="1"/>
  <c r="K123" i="3"/>
  <c r="L123" i="3"/>
  <c r="K122" i="3"/>
  <c r="L122" i="3" s="1"/>
  <c r="K118" i="3"/>
  <c r="L118" i="3"/>
  <c r="K117" i="3"/>
  <c r="L117" i="3" s="1"/>
  <c r="K115" i="3"/>
  <c r="L115" i="3"/>
  <c r="K114" i="3"/>
  <c r="L114" i="3" s="1"/>
  <c r="K112" i="3"/>
  <c r="L112" i="3"/>
  <c r="K111" i="3"/>
  <c r="L111" i="3" s="1"/>
  <c r="K110" i="3"/>
  <c r="L110" i="3" s="1"/>
  <c r="K106" i="3"/>
  <c r="L106" i="3"/>
  <c r="K104" i="3"/>
  <c r="L104" i="3" s="1"/>
  <c r="K102" i="3"/>
  <c r="L102" i="3" s="1"/>
  <c r="K101" i="3"/>
  <c r="L101" i="3"/>
  <c r="K100" i="3"/>
  <c r="L100" i="3"/>
  <c r="K98" i="3"/>
  <c r="L98" i="3" s="1"/>
  <c r="K97" i="3"/>
  <c r="L97" i="3" s="1"/>
  <c r="K96" i="3"/>
  <c r="L96" i="3"/>
  <c r="K94" i="3"/>
  <c r="L94" i="3" s="1"/>
  <c r="K93" i="3"/>
  <c r="L93" i="3"/>
  <c r="K91" i="3"/>
  <c r="L91" i="3" s="1"/>
  <c r="K90" i="3"/>
  <c r="L90" i="3"/>
  <c r="K85" i="3"/>
  <c r="L85" i="3"/>
  <c r="K79" i="3"/>
  <c r="L79" i="3"/>
  <c r="K65" i="3"/>
  <c r="L65" i="3" s="1"/>
  <c r="K62" i="3"/>
  <c r="L62" i="3" s="1"/>
  <c r="K61" i="3"/>
  <c r="L61" i="3" s="1"/>
  <c r="K60" i="3"/>
  <c r="L60" i="3"/>
  <c r="K59" i="3"/>
  <c r="L59" i="3" s="1"/>
  <c r="K54" i="3"/>
  <c r="L54" i="3"/>
  <c r="L53" i="3"/>
  <c r="K52" i="3"/>
  <c r="L52" i="3" s="1"/>
  <c r="K51" i="3"/>
  <c r="L51" i="3" s="1"/>
  <c r="K50" i="3"/>
  <c r="L50" i="3" s="1"/>
  <c r="K47" i="3"/>
  <c r="L47" i="3" s="1"/>
  <c r="K45" i="3"/>
  <c r="L45" i="3" s="1"/>
  <c r="K43" i="3"/>
  <c r="L43" i="3" s="1"/>
  <c r="K41" i="3"/>
  <c r="L41" i="3" s="1"/>
  <c r="K40" i="3"/>
  <c r="L40" i="3" s="1"/>
  <c r="K38" i="3"/>
  <c r="L38" i="3" s="1"/>
  <c r="K37" i="3"/>
  <c r="L37" i="3" s="1"/>
  <c r="K35" i="3"/>
  <c r="L35" i="3" s="1"/>
  <c r="K34" i="3"/>
  <c r="L34" i="3" s="1"/>
  <c r="K32" i="3"/>
  <c r="L32" i="3" s="1"/>
  <c r="L31" i="3"/>
  <c r="K29" i="3"/>
  <c r="L29" i="3" s="1"/>
  <c r="L28" i="3"/>
  <c r="K26" i="3"/>
  <c r="L26" i="3" s="1"/>
  <c r="K25" i="3"/>
  <c r="L25" i="3" s="1"/>
  <c r="K23" i="3"/>
  <c r="L23" i="3"/>
  <c r="K22" i="3"/>
  <c r="L22" i="3" s="1"/>
  <c r="L20" i="3"/>
  <c r="L19" i="3"/>
  <c r="L18" i="3"/>
  <c r="K13" i="3"/>
  <c r="L13" i="3"/>
  <c r="K14" i="3"/>
  <c r="L14" i="3" s="1"/>
  <c r="K15" i="3"/>
  <c r="L15" i="3" s="1"/>
  <c r="K12" i="3"/>
  <c r="L12" i="3" s="1"/>
  <c r="Y115" i="3"/>
  <c r="X115" i="3"/>
  <c r="Q115" i="3"/>
  <c r="I115" i="3"/>
  <c r="J115" i="3" s="1"/>
  <c r="Y114" i="3"/>
  <c r="X114" i="3"/>
  <c r="Q114" i="3"/>
  <c r="I114" i="3"/>
  <c r="J114" i="3"/>
  <c r="H31" i="5186"/>
  <c r="F31" i="5186"/>
  <c r="D31" i="5186"/>
  <c r="B31" i="5186"/>
  <c r="B28" i="5186"/>
  <c r="AP18" i="3"/>
  <c r="C6" i="3" s="1"/>
  <c r="AI18" i="3"/>
  <c r="AG18" i="3"/>
  <c r="AF18" i="3"/>
  <c r="Y18" i="3"/>
  <c r="X18" i="3"/>
  <c r="Q18" i="3"/>
  <c r="I18" i="3"/>
  <c r="J18" i="3"/>
  <c r="Y122" i="3"/>
  <c r="X122" i="3"/>
  <c r="Q122" i="3"/>
  <c r="I122" i="3"/>
  <c r="J122" i="3" s="1"/>
  <c r="H125" i="5186"/>
  <c r="F125" i="5186"/>
  <c r="D125" i="5186"/>
  <c r="B125" i="5186"/>
  <c r="H121" i="5186"/>
  <c r="F121" i="5186"/>
  <c r="D121" i="5186"/>
  <c r="B121" i="5186"/>
  <c r="H120" i="5186"/>
  <c r="F120" i="5186"/>
  <c r="D120" i="5186"/>
  <c r="B120" i="5186"/>
  <c r="Y118" i="3"/>
  <c r="X118" i="3"/>
  <c r="Q118" i="3"/>
  <c r="I118" i="3"/>
  <c r="J118" i="3" s="1"/>
  <c r="Y117" i="3"/>
  <c r="X117" i="3"/>
  <c r="Q117" i="3"/>
  <c r="I117" i="3"/>
  <c r="J117" i="3" s="1"/>
  <c r="H118" i="5186"/>
  <c r="F118" i="5186"/>
  <c r="D118" i="5186"/>
  <c r="B118" i="5186"/>
  <c r="H116" i="5186"/>
  <c r="F116" i="5186"/>
  <c r="D116" i="5186"/>
  <c r="B116" i="5186"/>
  <c r="I71" i="3"/>
  <c r="X77" i="3"/>
  <c r="X36" i="3"/>
  <c r="Q14" i="3"/>
  <c r="I14" i="3"/>
  <c r="J14" i="3" s="1"/>
  <c r="F128" i="5186"/>
  <c r="F127" i="5186"/>
  <c r="F126" i="5186"/>
  <c r="F114" i="5186"/>
  <c r="F113" i="5186"/>
  <c r="F112" i="5186"/>
  <c r="F108" i="5186"/>
  <c r="F106" i="5186"/>
  <c r="F104" i="5186"/>
  <c r="F103" i="5186"/>
  <c r="F102" i="5186"/>
  <c r="F100" i="5186"/>
  <c r="F99" i="5186"/>
  <c r="F98" i="5186"/>
  <c r="F96" i="5186"/>
  <c r="F95" i="5186"/>
  <c r="F93" i="5186"/>
  <c r="F92" i="5186"/>
  <c r="F90" i="5186"/>
  <c r="F89" i="5186"/>
  <c r="F88" i="5186"/>
  <c r="F87" i="5186"/>
  <c r="F86" i="5186"/>
  <c r="F84" i="5186"/>
  <c r="F83" i="5186"/>
  <c r="F82" i="5186"/>
  <c r="F81" i="5186"/>
  <c r="F80" i="5186"/>
  <c r="F77" i="5186"/>
  <c r="F76" i="5186"/>
  <c r="F75" i="5186"/>
  <c r="F74" i="5186"/>
  <c r="F72" i="5186"/>
  <c r="F71" i="5186"/>
  <c r="F70" i="5186"/>
  <c r="F69" i="5186"/>
  <c r="F67" i="5186"/>
  <c r="F66" i="5186"/>
  <c r="F65" i="5186"/>
  <c r="F64" i="5186"/>
  <c r="F63" i="5186"/>
  <c r="F62" i="5186"/>
  <c r="F61" i="5186"/>
  <c r="F59" i="5186"/>
  <c r="F58" i="5186"/>
  <c r="F57" i="5186"/>
  <c r="F56" i="5186"/>
  <c r="F55" i="5186"/>
  <c r="F54" i="5186"/>
  <c r="F53" i="5186"/>
  <c r="F52" i="5186"/>
  <c r="F49" i="5186"/>
  <c r="F47" i="5186"/>
  <c r="F45" i="5186"/>
  <c r="F44" i="5186"/>
  <c r="F42" i="5186"/>
  <c r="F41" i="5186"/>
  <c r="F39" i="5186"/>
  <c r="F38" i="5186"/>
  <c r="F36" i="5186"/>
  <c r="F35" i="5186"/>
  <c r="F33" i="5186"/>
  <c r="F32" i="5186"/>
  <c r="F29" i="5186"/>
  <c r="F28" i="5186"/>
  <c r="F26" i="5186"/>
  <c r="F25" i="5186"/>
  <c r="F23" i="5186"/>
  <c r="F22" i="5186"/>
  <c r="F20" i="5186"/>
  <c r="F19" i="5186"/>
  <c r="F18" i="5186"/>
  <c r="F17" i="5186"/>
  <c r="F15" i="5186"/>
  <c r="F14" i="5186"/>
  <c r="F13" i="5186"/>
  <c r="F12" i="5186"/>
  <c r="D128" i="5186"/>
  <c r="D127" i="5186"/>
  <c r="D126" i="5186"/>
  <c r="D114" i="5186"/>
  <c r="D113" i="5186"/>
  <c r="D112" i="5186"/>
  <c r="D108" i="5186"/>
  <c r="D106" i="5186"/>
  <c r="D104" i="5186"/>
  <c r="D103" i="5186"/>
  <c r="D102" i="5186"/>
  <c r="D100" i="5186"/>
  <c r="D99" i="5186"/>
  <c r="D98" i="5186"/>
  <c r="D96" i="5186"/>
  <c r="D95" i="5186"/>
  <c r="D93" i="5186"/>
  <c r="D92" i="5186"/>
  <c r="D90" i="5186"/>
  <c r="D89" i="5186"/>
  <c r="D88" i="5186"/>
  <c r="D87" i="5186"/>
  <c r="D86" i="5186"/>
  <c r="D84" i="5186"/>
  <c r="D83" i="5186"/>
  <c r="D82" i="5186"/>
  <c r="D81" i="5186"/>
  <c r="D80" i="5186"/>
  <c r="D77" i="5186"/>
  <c r="D76" i="5186"/>
  <c r="D75" i="5186"/>
  <c r="D74" i="5186"/>
  <c r="D72" i="5186"/>
  <c r="D71" i="5186"/>
  <c r="D70" i="5186"/>
  <c r="D69" i="5186"/>
  <c r="D67" i="5186"/>
  <c r="D66" i="5186"/>
  <c r="D65" i="5186"/>
  <c r="D64" i="5186"/>
  <c r="D63" i="5186"/>
  <c r="D62" i="5186"/>
  <c r="D61" i="5186"/>
  <c r="D59" i="5186"/>
  <c r="D58" i="5186"/>
  <c r="D57" i="5186"/>
  <c r="D56" i="5186"/>
  <c r="D55" i="5186"/>
  <c r="D54" i="5186"/>
  <c r="D53" i="5186"/>
  <c r="D52" i="5186"/>
  <c r="D49" i="5186"/>
  <c r="D47" i="5186"/>
  <c r="D45" i="5186"/>
  <c r="D44" i="5186"/>
  <c r="D42" i="5186"/>
  <c r="D41" i="5186"/>
  <c r="D39" i="5186"/>
  <c r="D38" i="5186"/>
  <c r="D36" i="5186"/>
  <c r="D35" i="5186"/>
  <c r="D33" i="5186"/>
  <c r="D32" i="5186"/>
  <c r="D29" i="5186"/>
  <c r="D28" i="5186"/>
  <c r="D26" i="5186"/>
  <c r="D25" i="5186"/>
  <c r="D23" i="5186"/>
  <c r="D22" i="5186"/>
  <c r="D20" i="5186"/>
  <c r="D19" i="5186"/>
  <c r="D18" i="5186"/>
  <c r="D17" i="5186"/>
  <c r="D15" i="5186"/>
  <c r="D14" i="5186"/>
  <c r="D13" i="5186"/>
  <c r="D12" i="5186"/>
  <c r="AB3" i="5182"/>
  <c r="AA3" i="5182"/>
  <c r="Z3" i="5182"/>
  <c r="Y3" i="5182"/>
  <c r="X3" i="5182"/>
  <c r="W3" i="5182"/>
  <c r="V3" i="5182"/>
  <c r="U3" i="5182"/>
  <c r="T3" i="5182"/>
  <c r="S3" i="5182"/>
  <c r="R3" i="5182"/>
  <c r="Q3" i="5182"/>
  <c r="P3" i="5182"/>
  <c r="O3" i="5182"/>
  <c r="N3" i="5182"/>
  <c r="M3" i="5182"/>
  <c r="L3" i="5182"/>
  <c r="K3" i="5182"/>
  <c r="J3" i="5182"/>
  <c r="I3" i="5182"/>
  <c r="H3" i="5182"/>
  <c r="G3" i="5182"/>
  <c r="F3" i="5182"/>
  <c r="E3" i="5182"/>
  <c r="D3" i="5182"/>
  <c r="C3" i="5182"/>
  <c r="AB2" i="5182"/>
  <c r="AA2" i="5182"/>
  <c r="Z2" i="5182"/>
  <c r="Y2" i="5182"/>
  <c r="X2" i="5182"/>
  <c r="W2" i="5182"/>
  <c r="V2" i="5182"/>
  <c r="U2" i="5182"/>
  <c r="T2" i="5182"/>
  <c r="S2" i="5182"/>
  <c r="R2" i="5182"/>
  <c r="Q2" i="5182"/>
  <c r="P2" i="5182"/>
  <c r="O2" i="5182"/>
  <c r="N2" i="5182"/>
  <c r="M2" i="5182"/>
  <c r="L2" i="5182"/>
  <c r="K2" i="5182"/>
  <c r="J2" i="5182"/>
  <c r="I2" i="5182"/>
  <c r="H2" i="5182"/>
  <c r="G2" i="5182"/>
  <c r="F2" i="5182"/>
  <c r="E2" i="5182"/>
  <c r="D2" i="5182"/>
  <c r="C2" i="5182"/>
  <c r="B2" i="5182"/>
  <c r="H128" i="5186"/>
  <c r="B128" i="5186"/>
  <c r="H127" i="5186"/>
  <c r="B127" i="5186"/>
  <c r="H126" i="5186"/>
  <c r="B126" i="5186"/>
  <c r="H114" i="5186"/>
  <c r="B114" i="5186"/>
  <c r="H113" i="5186"/>
  <c r="B113" i="5186"/>
  <c r="H112" i="5186"/>
  <c r="B112" i="5186"/>
  <c r="H108" i="5186"/>
  <c r="B108" i="5186"/>
  <c r="H106" i="5186"/>
  <c r="B106" i="5186"/>
  <c r="H104" i="5186"/>
  <c r="B104" i="5186"/>
  <c r="H103" i="5186"/>
  <c r="B103" i="5186"/>
  <c r="H102" i="5186"/>
  <c r="B102" i="5186"/>
  <c r="H100" i="5186"/>
  <c r="B100" i="5186"/>
  <c r="H99" i="5186"/>
  <c r="B99" i="5186"/>
  <c r="H98" i="5186"/>
  <c r="B98" i="5186"/>
  <c r="H96" i="5186"/>
  <c r="B96" i="5186"/>
  <c r="H95" i="5186"/>
  <c r="B95" i="5186"/>
  <c r="H93" i="5186"/>
  <c r="B93" i="5186"/>
  <c r="H92" i="5186"/>
  <c r="B92" i="5186"/>
  <c r="H90" i="5186"/>
  <c r="B90" i="5186"/>
  <c r="H89" i="5186"/>
  <c r="B89" i="5186"/>
  <c r="H88" i="5186"/>
  <c r="B88" i="5186"/>
  <c r="H87" i="5186"/>
  <c r="B87" i="5186"/>
  <c r="H86" i="5186"/>
  <c r="B86" i="5186"/>
  <c r="H84" i="5186"/>
  <c r="B84" i="5186"/>
  <c r="H83" i="5186"/>
  <c r="B83" i="5186"/>
  <c r="H82" i="5186"/>
  <c r="B82" i="5186"/>
  <c r="H81" i="5186"/>
  <c r="B81" i="5186"/>
  <c r="H80" i="5186"/>
  <c r="B80" i="5186"/>
  <c r="H77" i="5186"/>
  <c r="B77" i="5186"/>
  <c r="H76" i="5186"/>
  <c r="B76" i="5186"/>
  <c r="H75" i="5186"/>
  <c r="B75" i="5186"/>
  <c r="H74" i="5186"/>
  <c r="B74" i="5186"/>
  <c r="H72" i="5186"/>
  <c r="B72" i="5186"/>
  <c r="H71" i="5186"/>
  <c r="B71" i="5186"/>
  <c r="H70" i="5186"/>
  <c r="B70" i="5186"/>
  <c r="H69" i="5186"/>
  <c r="B69" i="5186"/>
  <c r="H67" i="5186"/>
  <c r="B67" i="5186"/>
  <c r="H66" i="5186"/>
  <c r="B66" i="5186"/>
  <c r="H65" i="5186"/>
  <c r="B65" i="5186"/>
  <c r="H64" i="5186"/>
  <c r="B64" i="5186"/>
  <c r="H63" i="5186"/>
  <c r="B63" i="5186"/>
  <c r="H62" i="5186"/>
  <c r="B62" i="5186"/>
  <c r="H61" i="5186"/>
  <c r="B61" i="5186"/>
  <c r="H59" i="5186"/>
  <c r="B59" i="5186"/>
  <c r="H58" i="5186"/>
  <c r="B58" i="5186"/>
  <c r="H57" i="5186"/>
  <c r="B57" i="5186"/>
  <c r="H56" i="5186"/>
  <c r="B56" i="5186"/>
  <c r="H55" i="5186"/>
  <c r="B55" i="5186"/>
  <c r="H54" i="5186"/>
  <c r="B54" i="5186"/>
  <c r="H53" i="5186"/>
  <c r="B53" i="5186"/>
  <c r="H52" i="5186"/>
  <c r="B52" i="5186"/>
  <c r="H49" i="5186"/>
  <c r="B49" i="5186"/>
  <c r="H47" i="5186"/>
  <c r="B47" i="5186"/>
  <c r="H45" i="5186"/>
  <c r="B45" i="5186"/>
  <c r="H44" i="5186"/>
  <c r="B44" i="5186"/>
  <c r="H42" i="5186"/>
  <c r="B42" i="5186"/>
  <c r="H41" i="5186"/>
  <c r="B41" i="5186"/>
  <c r="H39" i="5186"/>
  <c r="B39" i="5186"/>
  <c r="H38" i="5186"/>
  <c r="B38" i="5186"/>
  <c r="H36" i="5186"/>
  <c r="B36" i="5186"/>
  <c r="H35" i="5186"/>
  <c r="B35" i="5186"/>
  <c r="H33" i="5186"/>
  <c r="B33" i="5186"/>
  <c r="H32" i="5186"/>
  <c r="B32" i="5186"/>
  <c r="H29" i="5186"/>
  <c r="B29" i="5186"/>
  <c r="H28" i="5186"/>
  <c r="H26" i="5186"/>
  <c r="B26" i="5186"/>
  <c r="H25" i="5186"/>
  <c r="B25" i="5186"/>
  <c r="H23" i="5186"/>
  <c r="B23" i="5186"/>
  <c r="H22" i="5186"/>
  <c r="B22" i="5186"/>
  <c r="H20" i="5186"/>
  <c r="B20" i="5186"/>
  <c r="H19" i="5186"/>
  <c r="B19" i="5186"/>
  <c r="H18" i="5186"/>
  <c r="B18" i="5186"/>
  <c r="H17" i="5186"/>
  <c r="B17" i="5186"/>
  <c r="H15" i="5186"/>
  <c r="B15" i="5186"/>
  <c r="H14" i="5186"/>
  <c r="B14" i="5186"/>
  <c r="H13" i="5186"/>
  <c r="B13" i="5186"/>
  <c r="H12" i="5186"/>
  <c r="B12" i="5186"/>
  <c r="AI60" i="3"/>
  <c r="AG60" i="3"/>
  <c r="AF60" i="3"/>
  <c r="Q112" i="3"/>
  <c r="I112" i="3"/>
  <c r="J112" i="3" s="1"/>
  <c r="Q111" i="3"/>
  <c r="I111" i="3"/>
  <c r="J111" i="3" s="1"/>
  <c r="Q110" i="3"/>
  <c r="I110" i="3"/>
  <c r="J110" i="3" s="1"/>
  <c r="Q104" i="3"/>
  <c r="I104" i="3"/>
  <c r="J104" i="3" s="1"/>
  <c r="Q102" i="3"/>
  <c r="I102" i="3"/>
  <c r="J102" i="3" s="1"/>
  <c r="Q101" i="3"/>
  <c r="I101" i="3"/>
  <c r="J101" i="3"/>
  <c r="Q100" i="3"/>
  <c r="I100" i="3"/>
  <c r="J100" i="3" s="1"/>
  <c r="Q75" i="3"/>
  <c r="I75" i="3"/>
  <c r="J75" i="3" s="1"/>
  <c r="Q74" i="3"/>
  <c r="I74" i="3"/>
  <c r="J74" i="3" s="1"/>
  <c r="Q73" i="3"/>
  <c r="I73" i="3"/>
  <c r="J73" i="3" s="1"/>
  <c r="Q72" i="3"/>
  <c r="I72" i="3"/>
  <c r="J72" i="3" s="1"/>
  <c r="Q70" i="3"/>
  <c r="I70" i="3"/>
  <c r="J70" i="3" s="1"/>
  <c r="Q69" i="3"/>
  <c r="I69" i="3"/>
  <c r="J69" i="3" s="1"/>
  <c r="Q68" i="3"/>
  <c r="I68" i="3"/>
  <c r="J68" i="3"/>
  <c r="Q67" i="3"/>
  <c r="I67" i="3"/>
  <c r="J67" i="3" s="1"/>
  <c r="Q47" i="3"/>
  <c r="I47" i="3"/>
  <c r="J47" i="3" s="1"/>
  <c r="Q45" i="3"/>
  <c r="I45" i="3"/>
  <c r="J45" i="3" s="1"/>
  <c r="Q43" i="3"/>
  <c r="I43" i="3"/>
  <c r="J43" i="3" s="1"/>
  <c r="Q41" i="3"/>
  <c r="I41" i="3"/>
  <c r="J41" i="3"/>
  <c r="Q40" i="3"/>
  <c r="I40" i="3"/>
  <c r="J40" i="3"/>
  <c r="Q38" i="3"/>
  <c r="I38" i="3"/>
  <c r="J38" i="3"/>
  <c r="Q37" i="3"/>
  <c r="I37" i="3"/>
  <c r="J37" i="3" s="1"/>
  <c r="Q35" i="3"/>
  <c r="I35" i="3"/>
  <c r="J35" i="3" s="1"/>
  <c r="Q34" i="3"/>
  <c r="I34" i="3"/>
  <c r="J34" i="3" s="1"/>
  <c r="Q32" i="3"/>
  <c r="I32" i="3"/>
  <c r="J32" i="3" s="1"/>
  <c r="Q29" i="3"/>
  <c r="I29" i="3"/>
  <c r="J29" i="3" s="1"/>
  <c r="Q28" i="3"/>
  <c r="I28" i="3"/>
  <c r="J28" i="3"/>
  <c r="Q26" i="3"/>
  <c r="I26" i="3"/>
  <c r="J26" i="3"/>
  <c r="Q25" i="3"/>
  <c r="I25" i="3"/>
  <c r="J25" i="3"/>
  <c r="Q23" i="3"/>
  <c r="I23" i="3"/>
  <c r="J23" i="3" s="1"/>
  <c r="Q22" i="3"/>
  <c r="I22" i="3"/>
  <c r="J22" i="3" s="1"/>
  <c r="Q20" i="3"/>
  <c r="J20" i="3"/>
  <c r="Q19" i="3"/>
  <c r="J19" i="3"/>
  <c r="Q17" i="3"/>
  <c r="I17" i="3"/>
  <c r="J17" i="3" s="1"/>
  <c r="Q15" i="3"/>
  <c r="I15" i="3"/>
  <c r="J15" i="3"/>
  <c r="Y123" i="3"/>
  <c r="X123" i="3"/>
  <c r="X121" i="3"/>
  <c r="Y112" i="3"/>
  <c r="X112" i="3"/>
  <c r="Y111" i="3"/>
  <c r="X111" i="3"/>
  <c r="Y110" i="3"/>
  <c r="X110" i="3"/>
  <c r="X109" i="3"/>
  <c r="Y106" i="3"/>
  <c r="X106" i="3"/>
  <c r="X105" i="3"/>
  <c r="Y104" i="3"/>
  <c r="X104" i="3"/>
  <c r="X103" i="3"/>
  <c r="Y102" i="3"/>
  <c r="X102" i="3"/>
  <c r="Y101" i="3"/>
  <c r="X101" i="3"/>
  <c r="Y100" i="3"/>
  <c r="X100" i="3"/>
  <c r="X99" i="3"/>
  <c r="Y98" i="3"/>
  <c r="X98" i="3"/>
  <c r="Y97" i="3"/>
  <c r="X97" i="3"/>
  <c r="Y96" i="3"/>
  <c r="X96" i="3"/>
  <c r="X95" i="3"/>
  <c r="Y94" i="3"/>
  <c r="X94" i="3"/>
  <c r="Y93" i="3"/>
  <c r="X93" i="3"/>
  <c r="X92" i="3"/>
  <c r="Y91" i="3"/>
  <c r="X91" i="3"/>
  <c r="Y90" i="3"/>
  <c r="X90" i="3"/>
  <c r="X89" i="3"/>
  <c r="Y88" i="3"/>
  <c r="X88" i="3"/>
  <c r="Y87" i="3"/>
  <c r="X87" i="3"/>
  <c r="Y86" i="3"/>
  <c r="X86" i="3"/>
  <c r="Y85" i="3"/>
  <c r="X85" i="3"/>
  <c r="Y84" i="3"/>
  <c r="X84" i="3"/>
  <c r="X83" i="3"/>
  <c r="Y82" i="3"/>
  <c r="X82" i="3"/>
  <c r="Y81" i="3"/>
  <c r="X81" i="3"/>
  <c r="Y80" i="3"/>
  <c r="X80" i="3"/>
  <c r="Y79" i="3"/>
  <c r="X79" i="3"/>
  <c r="Y78" i="3"/>
  <c r="X78" i="3"/>
  <c r="Y75" i="3"/>
  <c r="X75" i="3"/>
  <c r="Y74" i="3"/>
  <c r="X74" i="3"/>
  <c r="Y73" i="3"/>
  <c r="X73" i="3"/>
  <c r="Y72" i="3"/>
  <c r="X72" i="3"/>
  <c r="X71" i="3"/>
  <c r="Y70" i="3"/>
  <c r="X70" i="3"/>
  <c r="Y69" i="3"/>
  <c r="X69" i="3"/>
  <c r="Y68" i="3"/>
  <c r="X68" i="3"/>
  <c r="Y67" i="3"/>
  <c r="X67" i="3"/>
  <c r="X66" i="3"/>
  <c r="Y65" i="3"/>
  <c r="X65" i="3"/>
  <c r="Y62" i="3"/>
  <c r="X62" i="3"/>
  <c r="Y64" i="3"/>
  <c r="X64" i="3"/>
  <c r="Y63" i="3"/>
  <c r="X63" i="3"/>
  <c r="Y61" i="3"/>
  <c r="X61" i="3"/>
  <c r="Y60" i="3"/>
  <c r="X60" i="3"/>
  <c r="Y59" i="3"/>
  <c r="X59" i="3"/>
  <c r="X58" i="3"/>
  <c r="Y54" i="3"/>
  <c r="X54" i="3"/>
  <c r="Y53" i="3"/>
  <c r="X53" i="3"/>
  <c r="Y57" i="3"/>
  <c r="X57" i="3"/>
  <c r="Y56" i="3"/>
  <c r="X56" i="3"/>
  <c r="Y55" i="3"/>
  <c r="X55" i="3"/>
  <c r="Y52" i="3"/>
  <c r="X52" i="3"/>
  <c r="Y51" i="3"/>
  <c r="X51" i="3"/>
  <c r="Y50" i="3"/>
  <c r="X50" i="3"/>
  <c r="X49" i="3"/>
  <c r="Y47" i="3"/>
  <c r="X47" i="3"/>
  <c r="X46" i="3"/>
  <c r="Y45" i="3"/>
  <c r="X45" i="3"/>
  <c r="X44" i="3"/>
  <c r="Y43" i="3"/>
  <c r="X43" i="3"/>
  <c r="X42" i="3"/>
  <c r="Y41" i="3"/>
  <c r="X41" i="3"/>
  <c r="Y40" i="3"/>
  <c r="X40" i="3"/>
  <c r="X39" i="3"/>
  <c r="Y38" i="3"/>
  <c r="X38" i="3"/>
  <c r="Y37" i="3"/>
  <c r="X37" i="3"/>
  <c r="Y35" i="3"/>
  <c r="X35" i="3"/>
  <c r="Y34" i="3"/>
  <c r="X34" i="3"/>
  <c r="X33" i="3"/>
  <c r="Y32" i="3"/>
  <c r="X32" i="3"/>
  <c r="Y31" i="3"/>
  <c r="X31" i="3"/>
  <c r="X30" i="3"/>
  <c r="Y29" i="3"/>
  <c r="X29" i="3"/>
  <c r="Y28" i="3"/>
  <c r="X28" i="3"/>
  <c r="X27" i="3"/>
  <c r="Y26" i="3"/>
  <c r="X26" i="3"/>
  <c r="Y25" i="3"/>
  <c r="X25" i="3"/>
  <c r="X24" i="3"/>
  <c r="Y23" i="3"/>
  <c r="X23" i="3"/>
  <c r="Y22" i="3"/>
  <c r="X22" i="3"/>
  <c r="X21" i="3"/>
  <c r="Y20" i="3"/>
  <c r="X20" i="3"/>
  <c r="Y19" i="3"/>
  <c r="X19" i="3"/>
  <c r="Y17" i="3"/>
  <c r="X17" i="3"/>
  <c r="X16" i="3"/>
  <c r="Y15" i="3"/>
  <c r="X15" i="3"/>
  <c r="Y14" i="3"/>
  <c r="X14" i="3"/>
  <c r="Y13" i="3"/>
  <c r="X13" i="3"/>
  <c r="X12" i="3"/>
  <c r="X11" i="3"/>
  <c r="Y12" i="3"/>
  <c r="AF10" i="3"/>
  <c r="AF11" i="3"/>
  <c r="AF12" i="3"/>
  <c r="AF13" i="3"/>
  <c r="AF14" i="3"/>
  <c r="AF15" i="3"/>
  <c r="AF16" i="3"/>
  <c r="AF17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5" i="3"/>
  <c r="AG55" i="3"/>
  <c r="C4" i="3"/>
  <c r="T67" i="3" s="1"/>
  <c r="U67" i="3" s="1"/>
  <c r="B4" i="3"/>
  <c r="R29" i="3" s="1"/>
  <c r="Q65" i="3"/>
  <c r="I65" i="3"/>
  <c r="J65" i="3" s="1"/>
  <c r="Q62" i="3"/>
  <c r="I62" i="3"/>
  <c r="J62" i="3" s="1"/>
  <c r="Q64" i="3"/>
  <c r="I64" i="3"/>
  <c r="J64" i="3"/>
  <c r="H9" i="5174"/>
  <c r="AG11" i="3"/>
  <c r="H3" i="5174"/>
  <c r="Q123" i="3"/>
  <c r="Q106" i="3"/>
  <c r="Q98" i="3"/>
  <c r="Q97" i="3"/>
  <c r="Q96" i="3"/>
  <c r="Q94" i="3"/>
  <c r="Q93" i="3"/>
  <c r="Q91" i="3"/>
  <c r="Q90" i="3"/>
  <c r="Q88" i="3"/>
  <c r="Q87" i="3"/>
  <c r="Q86" i="3"/>
  <c r="Q85" i="3"/>
  <c r="Q84" i="3"/>
  <c r="Q82" i="3"/>
  <c r="Q81" i="3"/>
  <c r="Q80" i="3"/>
  <c r="Q79" i="3"/>
  <c r="Q78" i="3"/>
  <c r="Q63" i="3"/>
  <c r="Q61" i="3"/>
  <c r="Q60" i="3"/>
  <c r="Q59" i="3"/>
  <c r="Q54" i="3"/>
  <c r="Q53" i="3"/>
  <c r="Q57" i="3"/>
  <c r="Q56" i="3"/>
  <c r="Q55" i="3"/>
  <c r="Q52" i="3"/>
  <c r="Q51" i="3"/>
  <c r="Q50" i="3"/>
  <c r="Q31" i="3"/>
  <c r="Q13" i="3"/>
  <c r="Q12" i="3"/>
  <c r="H15" i="5174"/>
  <c r="AG10" i="3"/>
  <c r="AG16" i="3"/>
  <c r="AG12" i="3"/>
  <c r="I12" i="3"/>
  <c r="J12" i="3" s="1"/>
  <c r="I13" i="3"/>
  <c r="J13" i="3" s="1"/>
  <c r="I31" i="3"/>
  <c r="J31" i="3"/>
  <c r="I50" i="3"/>
  <c r="J50" i="3" s="1"/>
  <c r="I51" i="3"/>
  <c r="J51" i="3" s="1"/>
  <c r="I52" i="3"/>
  <c r="J52" i="3" s="1"/>
  <c r="I55" i="3"/>
  <c r="J55" i="3" s="1"/>
  <c r="I56" i="3"/>
  <c r="J56" i="3" s="1"/>
  <c r="I57" i="3"/>
  <c r="J57" i="3" s="1"/>
  <c r="I53" i="3"/>
  <c r="J53" i="3" s="1"/>
  <c r="I54" i="3"/>
  <c r="J54" i="3" s="1"/>
  <c r="I59" i="3"/>
  <c r="J59" i="3" s="1"/>
  <c r="I60" i="3"/>
  <c r="J60" i="3" s="1"/>
  <c r="I61" i="3"/>
  <c r="J61" i="3" s="1"/>
  <c r="I63" i="3"/>
  <c r="J63" i="3" s="1"/>
  <c r="I78" i="3"/>
  <c r="J78" i="3" s="1"/>
  <c r="I79" i="3"/>
  <c r="J79" i="3" s="1"/>
  <c r="I80" i="3"/>
  <c r="J80" i="3"/>
  <c r="I81" i="3"/>
  <c r="J81" i="3" s="1"/>
  <c r="I82" i="3"/>
  <c r="J82" i="3" s="1"/>
  <c r="I84" i="3"/>
  <c r="J84" i="3" s="1"/>
  <c r="I85" i="3"/>
  <c r="J85" i="3" s="1"/>
  <c r="I86" i="3"/>
  <c r="J86" i="3" s="1"/>
  <c r="I87" i="3"/>
  <c r="J87" i="3" s="1"/>
  <c r="I88" i="3"/>
  <c r="J88" i="3" s="1"/>
  <c r="I90" i="3"/>
  <c r="J90" i="3" s="1"/>
  <c r="I91" i="3"/>
  <c r="J91" i="3" s="1"/>
  <c r="I93" i="3"/>
  <c r="J93" i="3" s="1"/>
  <c r="I94" i="3"/>
  <c r="J94" i="3" s="1"/>
  <c r="I96" i="3"/>
  <c r="J96" i="3"/>
  <c r="I97" i="3"/>
  <c r="J97" i="3"/>
  <c r="I98" i="3"/>
  <c r="J98" i="3" s="1"/>
  <c r="I106" i="3"/>
  <c r="J106" i="3" s="1"/>
  <c r="I123" i="3"/>
  <c r="J123" i="3"/>
  <c r="G135" i="3"/>
  <c r="J135" i="3"/>
  <c r="G136" i="3"/>
  <c r="J136" i="3"/>
  <c r="G137" i="3"/>
  <c r="J137" i="3"/>
  <c r="G138" i="3"/>
  <c r="J138" i="3"/>
  <c r="G139" i="3"/>
  <c r="J139" i="3"/>
  <c r="AW88" i="3"/>
  <c r="AW89" i="3"/>
  <c r="AW90" i="3"/>
  <c r="AW91" i="3"/>
  <c r="AW92" i="3"/>
  <c r="AW93" i="3"/>
  <c r="AW94" i="3"/>
  <c r="AW95" i="3"/>
  <c r="AW96" i="3"/>
  <c r="AW97" i="3"/>
  <c r="AW98" i="3"/>
  <c r="AW106" i="3"/>
  <c r="O134" i="3"/>
  <c r="F135" i="3"/>
  <c r="AI10" i="3"/>
  <c r="F136" i="3"/>
  <c r="AI11" i="3"/>
  <c r="F137" i="3"/>
  <c r="AI12" i="3"/>
  <c r="F138" i="3"/>
  <c r="AG13" i="3"/>
  <c r="AI13" i="3"/>
  <c r="F139" i="3"/>
  <c r="AG14" i="3"/>
  <c r="AI14" i="3"/>
  <c r="AG15" i="3"/>
  <c r="AI15" i="3"/>
  <c r="AI16" i="3"/>
  <c r="AG17" i="3"/>
  <c r="AI17" i="3"/>
  <c r="AG19" i="3"/>
  <c r="AI19" i="3"/>
  <c r="AG20" i="3"/>
  <c r="AI20" i="3"/>
  <c r="AG21" i="3"/>
  <c r="AI21" i="3"/>
  <c r="AG22" i="3"/>
  <c r="AI22" i="3"/>
  <c r="AG23" i="3"/>
  <c r="AI23" i="3"/>
  <c r="AG24" i="3"/>
  <c r="AI24" i="3"/>
  <c r="AG25" i="3"/>
  <c r="AI25" i="3"/>
  <c r="AG26" i="3"/>
  <c r="AI26" i="3"/>
  <c r="AG27" i="3"/>
  <c r="AI27" i="3"/>
  <c r="AG28" i="3"/>
  <c r="AI28" i="3"/>
  <c r="AG29" i="3"/>
  <c r="AI29" i="3"/>
  <c r="AG30" i="3"/>
  <c r="AI30" i="3"/>
  <c r="AG31" i="3"/>
  <c r="AI31" i="3"/>
  <c r="AG32" i="3"/>
  <c r="AI32" i="3"/>
  <c r="AG33" i="3"/>
  <c r="AI33" i="3"/>
  <c r="AG34" i="3"/>
  <c r="AI34" i="3"/>
  <c r="AG35" i="3"/>
  <c r="AI35" i="3"/>
  <c r="AG36" i="3"/>
  <c r="AI36" i="3"/>
  <c r="AG37" i="3"/>
  <c r="AI37" i="3"/>
  <c r="AG38" i="3"/>
  <c r="AI38" i="3"/>
  <c r="AG39" i="3"/>
  <c r="AI39" i="3"/>
  <c r="AG40" i="3"/>
  <c r="AI40" i="3"/>
  <c r="AG41" i="3"/>
  <c r="AI41" i="3"/>
  <c r="AG42" i="3"/>
  <c r="AI42" i="3"/>
  <c r="AG43" i="3"/>
  <c r="AI43" i="3"/>
  <c r="AG44" i="3"/>
  <c r="AI44" i="3"/>
  <c r="AG45" i="3"/>
  <c r="AI45" i="3"/>
  <c r="AG46" i="3"/>
  <c r="AI46" i="3"/>
  <c r="AG47" i="3"/>
  <c r="AI47" i="3"/>
  <c r="AG48" i="3"/>
  <c r="AI48" i="3"/>
  <c r="AG49" i="3"/>
  <c r="AI49" i="3"/>
  <c r="AG50" i="3"/>
  <c r="AI50" i="3"/>
  <c r="AG51" i="3"/>
  <c r="AI51" i="3"/>
  <c r="AG52" i="3"/>
  <c r="AI52" i="3"/>
  <c r="AI55" i="3"/>
  <c r="AF56" i="3"/>
  <c r="AG56" i="3"/>
  <c r="AI56" i="3"/>
  <c r="AF57" i="3"/>
  <c r="AG57" i="3"/>
  <c r="AI57" i="3"/>
  <c r="AF53" i="3"/>
  <c r="AG53" i="3"/>
  <c r="AI53" i="3"/>
  <c r="AF54" i="3"/>
  <c r="AG54" i="3"/>
  <c r="AI54" i="3"/>
  <c r="AF58" i="3"/>
  <c r="AG58" i="3"/>
  <c r="AH58" i="3"/>
  <c r="AI58" i="3"/>
  <c r="AF59" i="3"/>
  <c r="AG59" i="3"/>
  <c r="AH59" i="3"/>
  <c r="AI59" i="3"/>
  <c r="H21" i="5174"/>
  <c r="AH57" i="3"/>
  <c r="AH52" i="3"/>
  <c r="AH32" i="3"/>
  <c r="AH15" i="3"/>
  <c r="AH31" i="3"/>
  <c r="AH56" i="3"/>
  <c r="AH18" i="3"/>
  <c r="AH16" i="3"/>
  <c r="AH22" i="3"/>
  <c r="AH21" i="3"/>
  <c r="AH29" i="3"/>
  <c r="AH20" i="3"/>
  <c r="AH19" i="3"/>
  <c r="AH50" i="3"/>
  <c r="AH27" i="3"/>
  <c r="AH55" i="3"/>
  <c r="AH33" i="3"/>
  <c r="AH51" i="3"/>
  <c r="AH53" i="3"/>
  <c r="AH23" i="3"/>
  <c r="AH54" i="3"/>
  <c r="AH13" i="3"/>
  <c r="G55" i="3"/>
  <c r="G67" i="3"/>
  <c r="G72" i="3"/>
  <c r="G56" i="3"/>
  <c r="G17" i="3"/>
  <c r="AH34" i="3"/>
  <c r="F17" i="3"/>
  <c r="AH35" i="3"/>
  <c r="AH60" i="3"/>
  <c r="AH36" i="3"/>
  <c r="AH42" i="3"/>
  <c r="AH37" i="3"/>
  <c r="AH40" i="3"/>
  <c r="AH39" i="3"/>
  <c r="AH41" i="3"/>
  <c r="AH38" i="3"/>
  <c r="G63" i="3"/>
  <c r="G57" i="3"/>
  <c r="G69" i="3"/>
  <c r="G64" i="3"/>
  <c r="G74" i="3"/>
  <c r="G73" i="3"/>
  <c r="G75" i="3"/>
  <c r="R31" i="3" l="1"/>
  <c r="R34" i="3"/>
  <c r="T34" i="3"/>
  <c r="S34" i="3" s="1"/>
  <c r="R17" i="3"/>
  <c r="R97" i="3"/>
  <c r="R104" i="3"/>
  <c r="R73" i="3"/>
  <c r="R118" i="3"/>
  <c r="T26" i="3"/>
  <c r="U26" i="3" s="1"/>
  <c r="T13" i="3"/>
  <c r="U13" i="3" s="1"/>
  <c r="R90" i="3"/>
  <c r="T102" i="3"/>
  <c r="U102" i="3" s="1"/>
  <c r="T70" i="3"/>
  <c r="U70" i="3" s="1"/>
  <c r="T117" i="3"/>
  <c r="U117" i="3" s="1"/>
  <c r="R102" i="3"/>
  <c r="T28" i="3"/>
  <c r="U28" i="3" s="1"/>
  <c r="R41" i="3"/>
  <c r="R70" i="3"/>
  <c r="T111" i="3"/>
  <c r="U111" i="3" s="1"/>
  <c r="T74" i="3"/>
  <c r="U74" i="3" s="1"/>
  <c r="R86" i="3"/>
  <c r="T50" i="3"/>
  <c r="U50" i="3" s="1"/>
  <c r="V8" i="3"/>
  <c r="T64" i="3"/>
  <c r="U64" i="3" s="1"/>
  <c r="T115" i="3"/>
  <c r="U115" i="3" s="1"/>
  <c r="T23" i="3"/>
  <c r="S23" i="3" s="1"/>
  <c r="R72" i="3"/>
  <c r="R81" i="3"/>
  <c r="R15" i="3"/>
  <c r="T91" i="3"/>
  <c r="U91" i="3" s="1"/>
  <c r="T93" i="3"/>
  <c r="U93" i="3" s="1"/>
  <c r="T82" i="3"/>
  <c r="U82" i="3" s="1"/>
  <c r="T104" i="3"/>
  <c r="U104" i="3" s="1"/>
  <c r="R37" i="3"/>
  <c r="R20" i="3"/>
  <c r="R28" i="3"/>
  <c r="T114" i="3"/>
  <c r="U114" i="3" s="1"/>
  <c r="S8" i="3"/>
  <c r="R40" i="3"/>
  <c r="R114" i="3"/>
  <c r="T15" i="3"/>
  <c r="U15" i="3" s="1"/>
  <c r="R65" i="3"/>
  <c r="T38" i="3"/>
  <c r="S38" i="3" s="1"/>
  <c r="R19" i="3"/>
  <c r="R80" i="3"/>
  <c r="R82" i="3"/>
  <c r="R22" i="3"/>
  <c r="T51" i="3"/>
  <c r="U51" i="3" s="1"/>
  <c r="T56" i="3"/>
  <c r="U56" i="3" s="1"/>
  <c r="T45" i="3"/>
  <c r="U45" i="3" s="1"/>
  <c r="R35" i="3"/>
  <c r="T86" i="3"/>
  <c r="S86" i="3" s="1"/>
  <c r="T90" i="3"/>
  <c r="U90" i="3" s="1"/>
  <c r="T110" i="3"/>
  <c r="U110" i="3" s="1"/>
  <c r="R115" i="3"/>
  <c r="T22" i="3"/>
  <c r="U22" i="3" s="1"/>
  <c r="R79" i="3"/>
  <c r="T97" i="3"/>
  <c r="R53" i="3"/>
  <c r="R94" i="3"/>
  <c r="R14" i="3"/>
  <c r="T69" i="3"/>
  <c r="U69" i="3" s="1"/>
  <c r="T37" i="3"/>
  <c r="U37" i="3" s="1"/>
  <c r="R59" i="3"/>
  <c r="T53" i="3"/>
  <c r="U53" i="3" s="1"/>
  <c r="R110" i="3"/>
  <c r="S67" i="3"/>
  <c r="T72" i="3"/>
  <c r="U72" i="3" s="1"/>
  <c r="R18" i="3"/>
  <c r="S102" i="3"/>
  <c r="T85" i="3"/>
  <c r="U85" i="3" s="1"/>
  <c r="S51" i="3"/>
  <c r="T43" i="3"/>
  <c r="U43" i="3" s="1"/>
  <c r="R12" i="3"/>
  <c r="R51" i="3"/>
  <c r="R112" i="3"/>
  <c r="R38" i="3"/>
  <c r="T80" i="3"/>
  <c r="U80" i="3" s="1"/>
  <c r="T73" i="3"/>
  <c r="U73" i="3" s="1"/>
  <c r="S74" i="3"/>
  <c r="S37" i="3"/>
  <c r="S115" i="3"/>
  <c r="S43" i="3"/>
  <c r="S117" i="3"/>
  <c r="S15" i="3"/>
  <c r="T29" i="3"/>
  <c r="T47" i="3"/>
  <c r="T122" i="3"/>
  <c r="T123" i="3"/>
  <c r="U123" i="3" s="1"/>
  <c r="T60" i="3"/>
  <c r="U60" i="3" s="1"/>
  <c r="T25" i="3"/>
  <c r="R13" i="3"/>
  <c r="R78" i="3"/>
  <c r="R68" i="3"/>
  <c r="T35" i="3"/>
  <c r="R43" i="3"/>
  <c r="R55" i="3"/>
  <c r="R67" i="3"/>
  <c r="R61" i="3"/>
  <c r="R93" i="3"/>
  <c r="R62" i="3"/>
  <c r="R87" i="3"/>
  <c r="R23" i="3"/>
  <c r="R75" i="3"/>
  <c r="T61" i="3"/>
  <c r="U61" i="3" s="1"/>
  <c r="T32" i="3"/>
  <c r="U32" i="3" s="1"/>
  <c r="T78" i="3"/>
  <c r="U78" i="3" s="1"/>
  <c r="T88" i="3"/>
  <c r="T52" i="3"/>
  <c r="U52" i="3" s="1"/>
  <c r="S111" i="3"/>
  <c r="T118" i="3"/>
  <c r="T62" i="3"/>
  <c r="U62" i="3" s="1"/>
  <c r="T112" i="3"/>
  <c r="R100" i="3"/>
  <c r="R85" i="3"/>
  <c r="T65" i="3"/>
  <c r="T106" i="3"/>
  <c r="U106" i="3" s="1"/>
  <c r="S72" i="3"/>
  <c r="R32" i="3"/>
  <c r="R26" i="3"/>
  <c r="R96" i="3"/>
  <c r="R69" i="3"/>
  <c r="R101" i="3"/>
  <c r="R91" i="3"/>
  <c r="T20" i="3"/>
  <c r="U20" i="3" s="1"/>
  <c r="T55" i="3"/>
  <c r="T94" i="3"/>
  <c r="U94" i="3" s="1"/>
  <c r="T14" i="3"/>
  <c r="T19" i="3"/>
  <c r="U19" i="3" s="1"/>
  <c r="T18" i="3"/>
  <c r="T98" i="3"/>
  <c r="U98" i="3" s="1"/>
  <c r="T68" i="3"/>
  <c r="T12" i="3"/>
  <c r="R50" i="3"/>
  <c r="R45" i="3"/>
  <c r="R74" i="3"/>
  <c r="R56" i="3"/>
  <c r="T41" i="3"/>
  <c r="R47" i="3"/>
  <c r="R111" i="3"/>
  <c r="R57" i="3"/>
  <c r="R63" i="3"/>
  <c r="R64" i="3"/>
  <c r="R106" i="3"/>
  <c r="T59" i="3"/>
  <c r="T81" i="3"/>
  <c r="U81" i="3" s="1"/>
  <c r="T96" i="3"/>
  <c r="T63" i="3"/>
  <c r="U63" i="3" s="1"/>
  <c r="T40" i="3"/>
  <c r="U40" i="3" s="1"/>
  <c r="S110" i="3"/>
  <c r="R117" i="3"/>
  <c r="R122" i="3"/>
  <c r="S60" i="3"/>
  <c r="S26" i="3"/>
  <c r="T17" i="3"/>
  <c r="T101" i="3"/>
  <c r="R60" i="3"/>
  <c r="R123" i="3"/>
  <c r="T100" i="3"/>
  <c r="R84" i="3"/>
  <c r="R52" i="3"/>
  <c r="R54" i="3"/>
  <c r="R98" i="3"/>
  <c r="T79" i="3"/>
  <c r="U79" i="3" s="1"/>
  <c r="R25" i="3"/>
  <c r="R88" i="3"/>
  <c r="T75" i="3"/>
  <c r="T87" i="3"/>
  <c r="T54" i="3"/>
  <c r="T57" i="3"/>
  <c r="T84" i="3"/>
  <c r="U84" i="3" s="1"/>
  <c r="T31" i="3"/>
  <c r="U31" i="3" s="1"/>
  <c r="B6" i="3"/>
  <c r="AH24" i="3"/>
  <c r="AH28" i="3"/>
  <c r="R124" i="3"/>
  <c r="R125" i="3"/>
  <c r="T120" i="3"/>
  <c r="S120" i="3" s="1"/>
  <c r="T124" i="3"/>
  <c r="T125" i="3"/>
  <c r="R120" i="3"/>
  <c r="R107" i="3"/>
  <c r="R119" i="3"/>
  <c r="T107" i="3"/>
  <c r="U107" i="3" s="1"/>
  <c r="T119" i="3"/>
  <c r="R133" i="3"/>
  <c r="R132" i="3"/>
  <c r="R131" i="3"/>
  <c r="R130" i="3"/>
  <c r="R128" i="3"/>
  <c r="R127" i="3"/>
  <c r="T133" i="3"/>
  <c r="T132" i="3"/>
  <c r="T131" i="3"/>
  <c r="T130" i="3"/>
  <c r="T128" i="3"/>
  <c r="S128" i="3" s="1"/>
  <c r="T127" i="3"/>
  <c r="S127" i="3" s="1"/>
  <c r="S64" i="3" l="1"/>
  <c r="S50" i="3"/>
  <c r="S13" i="3"/>
  <c r="S85" i="3"/>
  <c r="V85" i="3" s="1"/>
  <c r="S69" i="3"/>
  <c r="V69" i="3" s="1"/>
  <c r="S19" i="3"/>
  <c r="V19" i="3" s="1"/>
  <c r="S73" i="3"/>
  <c r="S52" i="3"/>
  <c r="V52" i="3" s="1"/>
  <c r="S82" i="3"/>
  <c r="V82" i="3" s="1"/>
  <c r="S93" i="3"/>
  <c r="V93" i="3" s="1"/>
  <c r="S90" i="3"/>
  <c r="V90" i="3" s="1"/>
  <c r="S53" i="3"/>
  <c r="V53" i="3" s="1"/>
  <c r="S104" i="3"/>
  <c r="S80" i="3"/>
  <c r="S28" i="3"/>
  <c r="S56" i="3"/>
  <c r="V56" i="3" s="1"/>
  <c r="S91" i="3"/>
  <c r="V91" i="3" s="1"/>
  <c r="S70" i="3"/>
  <c r="V70" i="3" s="1"/>
  <c r="S45" i="3"/>
  <c r="V45" i="3" s="1"/>
  <c r="S114" i="3"/>
  <c r="V114" i="3" s="1"/>
  <c r="S22" i="3"/>
  <c r="U34" i="3"/>
  <c r="V34" i="3" s="1"/>
  <c r="V28" i="3"/>
  <c r="U23" i="3"/>
  <c r="V23" i="3" s="1"/>
  <c r="V37" i="3"/>
  <c r="U38" i="3"/>
  <c r="V38" i="3" s="1"/>
  <c r="V22" i="3"/>
  <c r="V67" i="3"/>
  <c r="V110" i="3"/>
  <c r="V15" i="3"/>
  <c r="V117" i="3"/>
  <c r="V72" i="3"/>
  <c r="V13" i="3"/>
  <c r="V43" i="3"/>
  <c r="V51" i="3"/>
  <c r="V102" i="3"/>
  <c r="V73" i="3"/>
  <c r="S97" i="3"/>
  <c r="U97" i="3"/>
  <c r="V111" i="3"/>
  <c r="V50" i="3"/>
  <c r="V74" i="3"/>
  <c r="U86" i="3"/>
  <c r="V86" i="3" s="1"/>
  <c r="V26" i="3"/>
  <c r="V80" i="3"/>
  <c r="V104" i="3"/>
  <c r="V115" i="3"/>
  <c r="V64" i="3"/>
  <c r="S123" i="3"/>
  <c r="V123" i="3" s="1"/>
  <c r="S106" i="3"/>
  <c r="V106" i="3" s="1"/>
  <c r="S63" i="3"/>
  <c r="V63" i="3" s="1"/>
  <c r="S32" i="3"/>
  <c r="V32" i="3" s="1"/>
  <c r="U101" i="3"/>
  <c r="S101" i="3"/>
  <c r="U41" i="3"/>
  <c r="S41" i="3"/>
  <c r="S79" i="3"/>
  <c r="V79" i="3" s="1"/>
  <c r="U120" i="3"/>
  <c r="V120" i="3" s="1"/>
  <c r="U54" i="3"/>
  <c r="S54" i="3"/>
  <c r="S78" i="3"/>
  <c r="V78" i="3" s="1"/>
  <c r="S40" i="3"/>
  <c r="V40" i="3" s="1"/>
  <c r="S25" i="3"/>
  <c r="U25" i="3"/>
  <c r="U47" i="3"/>
  <c r="S47" i="3"/>
  <c r="U65" i="3"/>
  <c r="S65" i="3"/>
  <c r="S98" i="3"/>
  <c r="V98" i="3" s="1"/>
  <c r="U75" i="3"/>
  <c r="S75" i="3"/>
  <c r="U18" i="3"/>
  <c r="S18" i="3"/>
  <c r="S62" i="3"/>
  <c r="V62" i="3" s="1"/>
  <c r="S94" i="3"/>
  <c r="V94" i="3" s="1"/>
  <c r="V60" i="3"/>
  <c r="S107" i="3"/>
  <c r="V107" i="3" s="1"/>
  <c r="U100" i="3"/>
  <c r="S100" i="3"/>
  <c r="U12" i="3"/>
  <c r="S12" i="3"/>
  <c r="U118" i="3"/>
  <c r="S118" i="3"/>
  <c r="U35" i="3"/>
  <c r="S35" i="3"/>
  <c r="S20" i="3"/>
  <c r="V20" i="3" s="1"/>
  <c r="U87" i="3"/>
  <c r="S87" i="3"/>
  <c r="U29" i="3"/>
  <c r="S29" i="3"/>
  <c r="U96" i="3"/>
  <c r="S96" i="3"/>
  <c r="S68" i="3"/>
  <c r="U68" i="3"/>
  <c r="U14" i="3"/>
  <c r="S14" i="3"/>
  <c r="U112" i="3"/>
  <c r="S112" i="3"/>
  <c r="S84" i="3"/>
  <c r="V84" i="3" s="1"/>
  <c r="U88" i="3"/>
  <c r="S88" i="3"/>
  <c r="S81" i="3"/>
  <c r="V81" i="3" s="1"/>
  <c r="U59" i="3"/>
  <c r="S59" i="3"/>
  <c r="U55" i="3"/>
  <c r="S55" i="3"/>
  <c r="U57" i="3"/>
  <c r="S57" i="3"/>
  <c r="U17" i="3"/>
  <c r="S17" i="3"/>
  <c r="S31" i="3"/>
  <c r="V31" i="3" s="1"/>
  <c r="S61" i="3"/>
  <c r="V61" i="3" s="1"/>
  <c r="U122" i="3"/>
  <c r="S122" i="3"/>
  <c r="AH10" i="3"/>
  <c r="AH11" i="3"/>
  <c r="AH12" i="3"/>
  <c r="AH14" i="3"/>
  <c r="AH30" i="3"/>
  <c r="AH44" i="3"/>
  <c r="AH45" i="3"/>
  <c r="B5" i="3" s="1"/>
  <c r="E61" i="3" s="1"/>
  <c r="AH17" i="3"/>
  <c r="AH46" i="3"/>
  <c r="AH47" i="3"/>
  <c r="AH48" i="3"/>
  <c r="AH49" i="3"/>
  <c r="AH26" i="3"/>
  <c r="AH43" i="3"/>
  <c r="AH25" i="3"/>
  <c r="H120" i="3"/>
  <c r="M120" i="3" s="1"/>
  <c r="H124" i="3"/>
  <c r="H125" i="3"/>
  <c r="U125" i="3"/>
  <c r="S125" i="3"/>
  <c r="U124" i="3"/>
  <c r="S124" i="3"/>
  <c r="U119" i="3"/>
  <c r="S119" i="3"/>
  <c r="H107" i="3"/>
  <c r="H119" i="3"/>
  <c r="M119" i="3" s="1"/>
  <c r="U127" i="3"/>
  <c r="U128" i="3"/>
  <c r="U130" i="3"/>
  <c r="S130" i="3"/>
  <c r="U131" i="3"/>
  <c r="S131" i="3"/>
  <c r="U132" i="3"/>
  <c r="S132" i="3"/>
  <c r="U133" i="3"/>
  <c r="S133" i="3"/>
  <c r="H133" i="3"/>
  <c r="H132" i="3"/>
  <c r="H131" i="3"/>
  <c r="H130" i="3"/>
  <c r="H128" i="3"/>
  <c r="H127" i="3"/>
  <c r="H18" i="3"/>
  <c r="H122" i="3"/>
  <c r="H110" i="3"/>
  <c r="H60" i="3"/>
  <c r="H55" i="3"/>
  <c r="H29" i="3"/>
  <c r="H56" i="3"/>
  <c r="H79" i="3"/>
  <c r="H74" i="3"/>
  <c r="H57" i="3"/>
  <c r="H37" i="3"/>
  <c r="H102" i="3"/>
  <c r="H106" i="3"/>
  <c r="H111" i="3"/>
  <c r="H67" i="3"/>
  <c r="H85" i="3"/>
  <c r="H13" i="3"/>
  <c r="H80" i="3"/>
  <c r="H78" i="3"/>
  <c r="H20" i="3"/>
  <c r="H138" i="3"/>
  <c r="M138" i="3" s="1"/>
  <c r="H112" i="3"/>
  <c r="H45" i="3"/>
  <c r="H137" i="3"/>
  <c r="M137" i="3" s="1"/>
  <c r="H123" i="3"/>
  <c r="H52" i="3"/>
  <c r="H34" i="3"/>
  <c r="H54" i="3"/>
  <c r="H70" i="3"/>
  <c r="H91" i="3"/>
  <c r="H25" i="3"/>
  <c r="H94" i="3"/>
  <c r="H35" i="3"/>
  <c r="H97" i="3"/>
  <c r="H43" i="3"/>
  <c r="H88" i="3"/>
  <c r="H51" i="3"/>
  <c r="H12" i="3"/>
  <c r="H50" i="3"/>
  <c r="H62" i="3"/>
  <c r="H81" i="3"/>
  <c r="H15" i="3"/>
  <c r="H100" i="3"/>
  <c r="H22" i="3"/>
  <c r="H47" i="3"/>
  <c r="H69" i="3"/>
  <c r="H19" i="3"/>
  <c r="H53" i="3"/>
  <c r="H32" i="3"/>
  <c r="H93" i="3"/>
  <c r="H17" i="3"/>
  <c r="M17" i="3" s="1"/>
  <c r="H96" i="3"/>
  <c r="H75" i="3"/>
  <c r="H61" i="3"/>
  <c r="H82" i="3"/>
  <c r="H73" i="3"/>
  <c r="H90" i="3"/>
  <c r="H135" i="3"/>
  <c r="M135" i="3" s="1"/>
  <c r="H64" i="3"/>
  <c r="E7" i="3"/>
  <c r="H28" i="3"/>
  <c r="H23" i="3"/>
  <c r="H84" i="3"/>
  <c r="H68" i="3"/>
  <c r="H136" i="3"/>
  <c r="M136" i="3" s="1"/>
  <c r="H38" i="3"/>
  <c r="H31" i="3"/>
  <c r="H63" i="3"/>
  <c r="H72" i="3"/>
  <c r="H14" i="3"/>
  <c r="H41" i="3"/>
  <c r="H86" i="3"/>
  <c r="H98" i="3"/>
  <c r="H87" i="3"/>
  <c r="H139" i="3"/>
  <c r="M139" i="3" s="1"/>
  <c r="H26" i="3"/>
  <c r="H65" i="3"/>
  <c r="H104" i="3"/>
  <c r="H101" i="3"/>
  <c r="H59" i="3"/>
  <c r="H40" i="3"/>
  <c r="F7" i="3"/>
  <c r="H118" i="3"/>
  <c r="H117" i="3"/>
  <c r="H115" i="3"/>
  <c r="H114" i="3"/>
  <c r="V97" i="3" l="1"/>
  <c r="E80" i="3"/>
  <c r="F80" i="3" s="1"/>
  <c r="E88" i="3"/>
  <c r="F88" i="3" s="1"/>
  <c r="E38" i="3"/>
  <c r="E18" i="3"/>
  <c r="E122" i="3"/>
  <c r="F122" i="3" s="1"/>
  <c r="E62" i="3"/>
  <c r="F62" i="3" s="1"/>
  <c r="E74" i="3"/>
  <c r="F74" i="3" s="1"/>
  <c r="E91" i="3"/>
  <c r="F91" i="3" s="1"/>
  <c r="E59" i="3"/>
  <c r="F59" i="3" s="1"/>
  <c r="E53" i="3"/>
  <c r="F53" i="3" s="1"/>
  <c r="E94" i="3"/>
  <c r="F94" i="3" s="1"/>
  <c r="E19" i="3"/>
  <c r="F19" i="3" s="1"/>
  <c r="E112" i="3"/>
  <c r="F112" i="3" s="1"/>
  <c r="E118" i="3"/>
  <c r="F118" i="3" s="1"/>
  <c r="E139" i="3"/>
  <c r="N139" i="3" s="1"/>
  <c r="O139" i="3" s="1"/>
  <c r="E73" i="3"/>
  <c r="F73" i="3" s="1"/>
  <c r="E93" i="3"/>
  <c r="F93" i="3" s="1"/>
  <c r="E101" i="3"/>
  <c r="F101" i="3" s="1"/>
  <c r="E20" i="3"/>
  <c r="F20" i="3" s="1"/>
  <c r="E67" i="3"/>
  <c r="E55" i="3"/>
  <c r="F55" i="3" s="1"/>
  <c r="E136" i="3"/>
  <c r="N136" i="3" s="1"/>
  <c r="O136" i="3" s="1"/>
  <c r="E104" i="3"/>
  <c r="F104" i="3" s="1"/>
  <c r="E79" i="3"/>
  <c r="F79" i="3" s="1"/>
  <c r="E84" i="3"/>
  <c r="F84" i="3" s="1"/>
  <c r="E85" i="3"/>
  <c r="F85" i="3" s="1"/>
  <c r="E14" i="3"/>
  <c r="F14" i="3" s="1"/>
  <c r="E31" i="3"/>
  <c r="F31" i="3" s="1"/>
  <c r="E138" i="3"/>
  <c r="N138" i="3" s="1"/>
  <c r="O138" i="3" s="1"/>
  <c r="E50" i="3"/>
  <c r="F50" i="3" s="1"/>
  <c r="E115" i="3"/>
  <c r="F115" i="3" s="1"/>
  <c r="E40" i="3"/>
  <c r="AA40" i="3" s="1"/>
  <c r="E69" i="3"/>
  <c r="E51" i="3"/>
  <c r="F51" i="3" s="1"/>
  <c r="E52" i="3"/>
  <c r="E41" i="3"/>
  <c r="F41" i="3" s="1"/>
  <c r="E47" i="3"/>
  <c r="F47" i="3" s="1"/>
  <c r="E75" i="3"/>
  <c r="F75" i="3" s="1"/>
  <c r="E63" i="3"/>
  <c r="F63" i="3" s="1"/>
  <c r="E111" i="3"/>
  <c r="F111" i="3" s="1"/>
  <c r="E45" i="3"/>
  <c r="F45" i="3" s="1"/>
  <c r="E72" i="3"/>
  <c r="F72" i="3" s="1"/>
  <c r="E96" i="3"/>
  <c r="E90" i="3"/>
  <c r="F90" i="3" s="1"/>
  <c r="E26" i="3"/>
  <c r="F26" i="3" s="1"/>
  <c r="E43" i="3"/>
  <c r="F43" i="3" s="1"/>
  <c r="E23" i="3"/>
  <c r="F23" i="3" s="1"/>
  <c r="E64" i="3"/>
  <c r="F64" i="3" s="1"/>
  <c r="E68" i="3"/>
  <c r="E12" i="3"/>
  <c r="F12" i="3" s="1"/>
  <c r="E98" i="3"/>
  <c r="F98" i="3" s="1"/>
  <c r="E70" i="3"/>
  <c r="E17" i="3"/>
  <c r="N17" i="3" s="1"/>
  <c r="E25" i="3"/>
  <c r="F25" i="3" s="1"/>
  <c r="E81" i="3"/>
  <c r="F81" i="3" s="1"/>
  <c r="E35" i="3"/>
  <c r="F35" i="3" s="1"/>
  <c r="E57" i="3"/>
  <c r="F57" i="3" s="1"/>
  <c r="E28" i="3"/>
  <c r="F28" i="3" s="1"/>
  <c r="E65" i="3"/>
  <c r="E114" i="3"/>
  <c r="F114" i="3" s="1"/>
  <c r="E37" i="3"/>
  <c r="F37" i="3" s="1"/>
  <c r="E22" i="3"/>
  <c r="F22" i="3" s="1"/>
  <c r="E87" i="3"/>
  <c r="F87" i="3" s="1"/>
  <c r="E86" i="3"/>
  <c r="F86" i="3" s="1"/>
  <c r="E97" i="3"/>
  <c r="F97" i="3" s="1"/>
  <c r="E137" i="3"/>
  <c r="N137" i="3" s="1"/>
  <c r="O137" i="3" s="1"/>
  <c r="E56" i="3"/>
  <c r="E106" i="3"/>
  <c r="F106" i="3" s="1"/>
  <c r="V118" i="3"/>
  <c r="V112" i="3"/>
  <c r="V29" i="3"/>
  <c r="V122" i="3"/>
  <c r="V65" i="3"/>
  <c r="V101" i="3"/>
  <c r="V57" i="3"/>
  <c r="V59" i="3"/>
  <c r="E78" i="3"/>
  <c r="F78" i="3" s="1"/>
  <c r="E100" i="3"/>
  <c r="F100" i="3" s="1"/>
  <c r="E34" i="3"/>
  <c r="F34" i="3" s="1"/>
  <c r="E60" i="3"/>
  <c r="F60" i="3" s="1"/>
  <c r="E135" i="3"/>
  <c r="N135" i="3" s="1"/>
  <c r="O135" i="3" s="1"/>
  <c r="E110" i="3"/>
  <c r="F110" i="3" s="1"/>
  <c r="E32" i="3"/>
  <c r="E123" i="3"/>
  <c r="F123" i="3" s="1"/>
  <c r="E117" i="3"/>
  <c r="F117" i="3" s="1"/>
  <c r="V88" i="3"/>
  <c r="V25" i="3"/>
  <c r="V75" i="3"/>
  <c r="V55" i="3"/>
  <c r="V14" i="3"/>
  <c r="V41" i="3"/>
  <c r="E29" i="3"/>
  <c r="F29" i="3" s="1"/>
  <c r="E82" i="3"/>
  <c r="F82" i="3" s="1"/>
  <c r="E102" i="3"/>
  <c r="F102" i="3" s="1"/>
  <c r="E13" i="3"/>
  <c r="F13" i="3" s="1"/>
  <c r="E15" i="3"/>
  <c r="F15" i="3" s="1"/>
  <c r="E54" i="3"/>
  <c r="V68" i="3"/>
  <c r="V87" i="3"/>
  <c r="V12" i="3"/>
  <c r="V17" i="3"/>
  <c r="V96" i="3"/>
  <c r="V35" i="3"/>
  <c r="V100" i="3"/>
  <c r="V18" i="3"/>
  <c r="V47" i="3"/>
  <c r="V54" i="3"/>
  <c r="E120" i="3"/>
  <c r="AA120" i="3" s="1"/>
  <c r="E124" i="3"/>
  <c r="F124" i="3" s="1"/>
  <c r="E125" i="3"/>
  <c r="F125" i="3" s="1"/>
  <c r="E107" i="3"/>
  <c r="F107" i="3" s="1"/>
  <c r="E119" i="3"/>
  <c r="AA119" i="3" s="1"/>
  <c r="E133" i="3"/>
  <c r="AA133" i="3" s="1"/>
  <c r="E132" i="3"/>
  <c r="AA132" i="3" s="1"/>
  <c r="E131" i="3"/>
  <c r="AA131" i="3" s="1"/>
  <c r="E130" i="3"/>
  <c r="AA130" i="3" s="1"/>
  <c r="E128" i="3"/>
  <c r="F128" i="3" s="1"/>
  <c r="E127" i="3"/>
  <c r="AA127" i="3" s="1"/>
  <c r="V124" i="3"/>
  <c r="V125" i="3"/>
  <c r="V119" i="3"/>
  <c r="V133" i="3"/>
  <c r="V132" i="3"/>
  <c r="V131" i="3"/>
  <c r="V130" i="3"/>
  <c r="V128" i="3"/>
  <c r="V127" i="3"/>
  <c r="D133" i="3"/>
  <c r="D132" i="3"/>
  <c r="D131" i="3"/>
  <c r="D130" i="3"/>
  <c r="D135" i="3"/>
  <c r="D17" i="3"/>
  <c r="D138" i="3"/>
  <c r="D139" i="3"/>
  <c r="D136" i="3"/>
  <c r="D137" i="3"/>
  <c r="F40" i="3"/>
  <c r="F65" i="3"/>
  <c r="M72" i="3"/>
  <c r="M63" i="3"/>
  <c r="F38" i="3"/>
  <c r="F68" i="3"/>
  <c r="AA59" i="3"/>
  <c r="AA84" i="3"/>
  <c r="AA68" i="3"/>
  <c r="AA88" i="3"/>
  <c r="AA38" i="3"/>
  <c r="AA72" i="3"/>
  <c r="AA101" i="3"/>
  <c r="AA98" i="3"/>
  <c r="AA65" i="3"/>
  <c r="M64" i="3"/>
  <c r="M73" i="3"/>
  <c r="F61" i="3"/>
  <c r="M75" i="3"/>
  <c r="F96" i="3"/>
  <c r="F32" i="3"/>
  <c r="M69" i="3"/>
  <c r="F69" i="3"/>
  <c r="F70" i="3"/>
  <c r="F54" i="3"/>
  <c r="F52" i="3"/>
  <c r="F67" i="3"/>
  <c r="M67" i="3"/>
  <c r="M57" i="3"/>
  <c r="M74" i="3"/>
  <c r="M56" i="3"/>
  <c r="N56" i="3" s="1"/>
  <c r="F56" i="3"/>
  <c r="M55" i="3"/>
  <c r="F18" i="3"/>
  <c r="AA114" i="3" l="1"/>
  <c r="AA31" i="3"/>
  <c r="AA28" i="3"/>
  <c r="AA41" i="3"/>
  <c r="AA39" i="3" s="1"/>
  <c r="AA17" i="3"/>
  <c r="AA115" i="3"/>
  <c r="AA26" i="3"/>
  <c r="AA23" i="3"/>
  <c r="AA107" i="3"/>
  <c r="AA63" i="3"/>
  <c r="AA104" i="3"/>
  <c r="AA103" i="3" s="1"/>
  <c r="AA86" i="3"/>
  <c r="AA118" i="3"/>
  <c r="AA14" i="3"/>
  <c r="AA87" i="3"/>
  <c r="AA117" i="3"/>
  <c r="N55" i="3"/>
  <c r="D55" i="3" s="1"/>
  <c r="N64" i="3"/>
  <c r="Z64" i="3" s="1"/>
  <c r="N57" i="3"/>
  <c r="Z57" i="3" s="1"/>
  <c r="N67" i="3"/>
  <c r="O67" i="3" s="1"/>
  <c r="N74" i="3"/>
  <c r="Z74" i="3" s="1"/>
  <c r="N69" i="3"/>
  <c r="Z69" i="3" s="1"/>
  <c r="N72" i="3"/>
  <c r="Z72" i="3" s="1"/>
  <c r="N73" i="3"/>
  <c r="Z73" i="3" s="1"/>
  <c r="Z17" i="3"/>
  <c r="O17" i="3"/>
  <c r="F127" i="3"/>
  <c r="N63" i="3"/>
  <c r="O63" i="3" s="1"/>
  <c r="N75" i="3"/>
  <c r="O75" i="3" s="1"/>
  <c r="AA125" i="3"/>
  <c r="AA124" i="3"/>
  <c r="AA128" i="3"/>
  <c r="AA126" i="3" s="1"/>
  <c r="AA129" i="3"/>
  <c r="N119" i="3"/>
  <c r="F119" i="3"/>
  <c r="N120" i="3"/>
  <c r="F120" i="3"/>
  <c r="AA18" i="3"/>
  <c r="AA122" i="3"/>
  <c r="AA110" i="3"/>
  <c r="AA60" i="3"/>
  <c r="AA55" i="3"/>
  <c r="AA29" i="3"/>
  <c r="D56" i="3"/>
  <c r="AA56" i="3"/>
  <c r="O56" i="3"/>
  <c r="Z56" i="3"/>
  <c r="AA79" i="3"/>
  <c r="AA74" i="3"/>
  <c r="AA57" i="3"/>
  <c r="AA37" i="3"/>
  <c r="AA36" i="3" s="1"/>
  <c r="AA102" i="3"/>
  <c r="AA106" i="3"/>
  <c r="AA105" i="3" s="1"/>
  <c r="AA111" i="3"/>
  <c r="D67" i="3"/>
  <c r="AA67" i="3"/>
  <c r="AA85" i="3"/>
  <c r="AA13" i="3"/>
  <c r="AA80" i="3"/>
  <c r="AA78" i="3"/>
  <c r="AA20" i="3"/>
  <c r="AA112" i="3"/>
  <c r="AA45" i="3"/>
  <c r="AA44" i="3" s="1"/>
  <c r="AA123" i="3"/>
  <c r="AA52" i="3"/>
  <c r="AA34" i="3"/>
  <c r="AA54" i="3"/>
  <c r="AA70" i="3"/>
  <c r="AA91" i="3"/>
  <c r="AA25" i="3"/>
  <c r="AA94" i="3"/>
  <c r="AA35" i="3"/>
  <c r="AA97" i="3"/>
  <c r="AA43" i="3"/>
  <c r="AA42" i="3" s="1"/>
  <c r="AA51" i="3"/>
  <c r="AA12" i="3"/>
  <c r="AA50" i="3"/>
  <c r="AA62" i="3"/>
  <c r="AA81" i="3"/>
  <c r="AA15" i="3"/>
  <c r="AA100" i="3"/>
  <c r="AA22" i="3"/>
  <c r="AA47" i="3"/>
  <c r="AA46" i="3" s="1"/>
  <c r="D69" i="3"/>
  <c r="AA69" i="3"/>
  <c r="AA19" i="3"/>
  <c r="AA53" i="3"/>
  <c r="AA32" i="3"/>
  <c r="AA30" i="3" s="1"/>
  <c r="AA93" i="3"/>
  <c r="AA96" i="3"/>
  <c r="AA75" i="3"/>
  <c r="AA61" i="3"/>
  <c r="AA82" i="3"/>
  <c r="AA73" i="3"/>
  <c r="AA90" i="3"/>
  <c r="AA64" i="3"/>
  <c r="AA24" i="3" l="1"/>
  <c r="D73" i="3"/>
  <c r="AA113" i="3"/>
  <c r="AB17" i="3"/>
  <c r="AA27" i="3"/>
  <c r="AA21" i="3"/>
  <c r="AA116" i="3"/>
  <c r="AA83" i="3"/>
  <c r="D74" i="3"/>
  <c r="Z67" i="3"/>
  <c r="AB67" i="3" s="1"/>
  <c r="D120" i="3"/>
  <c r="D75" i="3"/>
  <c r="D72" i="3"/>
  <c r="Z55" i="3"/>
  <c r="AB55" i="3" s="1"/>
  <c r="D57" i="3"/>
  <c r="O55" i="3"/>
  <c r="D63" i="3"/>
  <c r="D64" i="3"/>
  <c r="O57" i="3"/>
  <c r="O73" i="3"/>
  <c r="O69" i="3"/>
  <c r="O74" i="3"/>
  <c r="O72" i="3"/>
  <c r="O64" i="3"/>
  <c r="Z63" i="3"/>
  <c r="AB63" i="3" s="1"/>
  <c r="Z75" i="3"/>
  <c r="AB75" i="3" s="1"/>
  <c r="AA92" i="3"/>
  <c r="AA71" i="3"/>
  <c r="AA95" i="3"/>
  <c r="AA58" i="3"/>
  <c r="AA16" i="3"/>
  <c r="AB64" i="3"/>
  <c r="AB74" i="3"/>
  <c r="D119" i="3"/>
  <c r="AA99" i="3"/>
  <c r="AA89" i="3"/>
  <c r="AB73" i="3"/>
  <c r="AB69" i="3"/>
  <c r="AB57" i="3"/>
  <c r="AB56" i="3"/>
  <c r="O120" i="3"/>
  <c r="Z120" i="3"/>
  <c r="AB120" i="3" s="1"/>
  <c r="O119" i="3"/>
  <c r="Z119" i="3"/>
  <c r="AB119" i="3" s="1"/>
  <c r="AA121" i="3"/>
  <c r="AB72" i="3"/>
  <c r="AA49" i="3"/>
  <c r="AA11" i="3"/>
  <c r="AA33" i="3"/>
  <c r="AA77" i="3"/>
  <c r="AA66" i="3"/>
  <c r="AA109" i="3"/>
  <c r="Z71" i="3" l="1"/>
  <c r="AB71" i="3" s="1"/>
  <c r="D71" i="3" s="1"/>
  <c r="AA76" i="3"/>
  <c r="AA108" i="3"/>
  <c r="AA10" i="3"/>
  <c r="AA48" i="3"/>
  <c r="AA9" i="3" l="1"/>
  <c r="D70" i="3" l="1"/>
  <c r="D68" i="3"/>
  <c r="G118" i="3" l="1"/>
  <c r="M118" i="3" s="1"/>
  <c r="N118" i="3" s="1"/>
  <c r="G117" i="3"/>
  <c r="M117" i="3" s="1"/>
  <c r="N117" i="3" s="1"/>
  <c r="D117" i="3" l="1"/>
  <c r="O117" i="3"/>
  <c r="Z117" i="3"/>
  <c r="D118" i="3"/>
  <c r="O118" i="3"/>
  <c r="Z118" i="3"/>
  <c r="AB118" i="3" s="1"/>
  <c r="Z116" i="3" l="1"/>
  <c r="AB117" i="3"/>
  <c r="D65" i="3" l="1"/>
  <c r="D54" i="3" l="1"/>
  <c r="D40" i="3" l="1"/>
  <c r="D18" i="3" l="1"/>
  <c r="G68" i="3" l="1"/>
  <c r="M68" i="3" s="1"/>
  <c r="N68" i="3" s="1"/>
  <c r="G70" i="3"/>
  <c r="M70" i="3" s="1"/>
  <c r="N70" i="3" s="1"/>
  <c r="O70" i="3" l="1"/>
  <c r="Z70" i="3"/>
  <c r="AB70" i="3" s="1"/>
  <c r="O68" i="3"/>
  <c r="Z68" i="3"/>
  <c r="AB68" i="3" l="1"/>
  <c r="Z66" i="3"/>
  <c r="AB66" i="3" s="1"/>
  <c r="D66" i="3" s="1"/>
  <c r="G111" i="3" l="1"/>
  <c r="M111" i="3" s="1"/>
  <c r="N111" i="3" s="1"/>
  <c r="G110" i="3"/>
  <c r="M110" i="3" s="1"/>
  <c r="N110" i="3" s="1"/>
  <c r="O110" i="3" l="1"/>
  <c r="Z110" i="3"/>
  <c r="D110" i="3"/>
  <c r="O111" i="3"/>
  <c r="Z111" i="3"/>
  <c r="AB111" i="3" s="1"/>
  <c r="D111" i="3"/>
  <c r="AB110" i="3" l="1"/>
  <c r="G62" i="3" l="1"/>
  <c r="M62" i="3" s="1"/>
  <c r="N62" i="3" s="1"/>
  <c r="G60" i="3"/>
  <c r="M60" i="3" s="1"/>
  <c r="N60" i="3" s="1"/>
  <c r="G61" i="3"/>
  <c r="M61" i="3" s="1"/>
  <c r="N61" i="3" s="1"/>
  <c r="G59" i="3"/>
  <c r="M59" i="3" s="1"/>
  <c r="N59" i="3" s="1"/>
  <c r="G65" i="3"/>
  <c r="M65" i="3" s="1"/>
  <c r="N65" i="3" s="1"/>
  <c r="O65" i="3" l="1"/>
  <c r="Z65" i="3"/>
  <c r="AB65" i="3" s="1"/>
  <c r="Z59" i="3"/>
  <c r="O59" i="3"/>
  <c r="D59" i="3"/>
  <c r="Z61" i="3"/>
  <c r="AB61" i="3" s="1"/>
  <c r="O61" i="3"/>
  <c r="D61" i="3"/>
  <c r="O60" i="3"/>
  <c r="Z60" i="3"/>
  <c r="AB60" i="3" s="1"/>
  <c r="D60" i="3"/>
  <c r="O62" i="3"/>
  <c r="Z62" i="3"/>
  <c r="AB62" i="3" s="1"/>
  <c r="D62" i="3"/>
  <c r="G122" i="3"/>
  <c r="M122" i="3" s="1"/>
  <c r="N122" i="3" s="1"/>
  <c r="G123" i="3" l="1"/>
  <c r="M123" i="3" s="1"/>
  <c r="N123" i="3" s="1"/>
  <c r="G124" i="3"/>
  <c r="M124" i="3" s="1"/>
  <c r="N124" i="3" s="1"/>
  <c r="G125" i="3"/>
  <c r="M125" i="3" s="1"/>
  <c r="N125" i="3" s="1"/>
  <c r="G34" i="3"/>
  <c r="M34" i="3" s="1"/>
  <c r="N34" i="3" s="1"/>
  <c r="G37" i="3"/>
  <c r="M37" i="3" s="1"/>
  <c r="N37" i="3" s="1"/>
  <c r="G28" i="3"/>
  <c r="M28" i="3" s="1"/>
  <c r="N28" i="3" s="1"/>
  <c r="G31" i="3"/>
  <c r="M31" i="3" s="1"/>
  <c r="N31" i="3" s="1"/>
  <c r="G29" i="3"/>
  <c r="M29" i="3" s="1"/>
  <c r="N29" i="3" s="1"/>
  <c r="G32" i="3"/>
  <c r="M32" i="3" s="1"/>
  <c r="N32" i="3" s="1"/>
  <c r="G20" i="3"/>
  <c r="M20" i="3" s="1"/>
  <c r="N20" i="3" s="1"/>
  <c r="G15" i="3"/>
  <c r="M15" i="3" s="1"/>
  <c r="N15" i="3" s="1"/>
  <c r="G13" i="3"/>
  <c r="M13" i="3" s="1"/>
  <c r="N13" i="3" s="1"/>
  <c r="O122" i="3"/>
  <c r="Z122" i="3"/>
  <c r="D122" i="3"/>
  <c r="AB59" i="3"/>
  <c r="Z58" i="3"/>
  <c r="AB58" i="3" s="1"/>
  <c r="D58" i="3" s="1"/>
  <c r="AB122" i="3" l="1"/>
  <c r="O13" i="3"/>
  <c r="Z13" i="3"/>
  <c r="AB13" i="3" s="1"/>
  <c r="D13" i="3"/>
  <c r="O5" i="3"/>
  <c r="Z15" i="3"/>
  <c r="AB15" i="3" s="1"/>
  <c r="O15" i="3"/>
  <c r="D15" i="3"/>
  <c r="O20" i="3"/>
  <c r="Z20" i="3"/>
  <c r="AB20" i="3" s="1"/>
  <c r="D20" i="3"/>
  <c r="Z32" i="3"/>
  <c r="AB32" i="3" s="1"/>
  <c r="O32" i="3"/>
  <c r="D32" i="3"/>
  <c r="Z29" i="3"/>
  <c r="AB29" i="3" s="1"/>
  <c r="O29" i="3"/>
  <c r="D29" i="3"/>
  <c r="O31" i="3"/>
  <c r="Z31" i="3"/>
  <c r="D31" i="3"/>
  <c r="Z28" i="3"/>
  <c r="O28" i="3"/>
  <c r="D28" i="3"/>
  <c r="Z37" i="3"/>
  <c r="O37" i="3"/>
  <c r="D37" i="3"/>
  <c r="Z34" i="3"/>
  <c r="O34" i="3"/>
  <c r="D34" i="3"/>
  <c r="D125" i="3"/>
  <c r="O125" i="3"/>
  <c r="Z125" i="3"/>
  <c r="AB125" i="3" s="1"/>
  <c r="D124" i="3"/>
  <c r="O124" i="3"/>
  <c r="Z124" i="3"/>
  <c r="AB124" i="3" s="1"/>
  <c r="O123" i="3"/>
  <c r="Z123" i="3"/>
  <c r="D123" i="3"/>
  <c r="G23" i="3" l="1"/>
  <c r="M23" i="3" s="1"/>
  <c r="N23" i="3" s="1"/>
  <c r="G26" i="3"/>
  <c r="M26" i="3" s="1"/>
  <c r="N26" i="3" s="1"/>
  <c r="G54" i="3"/>
  <c r="M54" i="3" s="1"/>
  <c r="N54" i="3" s="1"/>
  <c r="G53" i="3"/>
  <c r="M53" i="3" s="1"/>
  <c r="N53" i="3" s="1"/>
  <c r="G51" i="3"/>
  <c r="M51" i="3" s="1"/>
  <c r="N51" i="3" s="1"/>
  <c r="G52" i="3"/>
  <c r="M52" i="3" s="1"/>
  <c r="N52" i="3" s="1"/>
  <c r="G50" i="3"/>
  <c r="M50" i="3" s="1"/>
  <c r="N50" i="3" s="1"/>
  <c r="AB123" i="3"/>
  <c r="AB34" i="3"/>
  <c r="AB37" i="3"/>
  <c r="Z27" i="3"/>
  <c r="AB27" i="3" s="1"/>
  <c r="D27" i="3" s="1"/>
  <c r="AB28" i="3"/>
  <c r="AB31" i="3"/>
  <c r="Z30" i="3"/>
  <c r="AB30" i="3" s="1"/>
  <c r="D30" i="3" s="1"/>
  <c r="Z50" i="3" l="1"/>
  <c r="O50" i="3"/>
  <c r="D50" i="3"/>
  <c r="Z52" i="3"/>
  <c r="AB52" i="3" s="1"/>
  <c r="O52" i="3"/>
  <c r="D52" i="3"/>
  <c r="Z51" i="3"/>
  <c r="AB51" i="3" s="1"/>
  <c r="O51" i="3"/>
  <c r="D51" i="3"/>
  <c r="Z53" i="3"/>
  <c r="AB53" i="3" s="1"/>
  <c r="O53" i="3"/>
  <c r="D53" i="3"/>
  <c r="Z54" i="3"/>
  <c r="AB54" i="3" s="1"/>
  <c r="O54" i="3"/>
  <c r="Z26" i="3"/>
  <c r="AB26" i="3" s="1"/>
  <c r="O26" i="3"/>
  <c r="D26" i="3"/>
  <c r="O23" i="3"/>
  <c r="Z23" i="3"/>
  <c r="AB23" i="3" s="1"/>
  <c r="D23" i="3"/>
  <c r="AB50" i="3" l="1"/>
  <c r="Z49" i="3"/>
  <c r="G43" i="3" l="1"/>
  <c r="M43" i="3" s="1"/>
  <c r="N43" i="3" s="1"/>
  <c r="G41" i="3"/>
  <c r="M41" i="3" s="1"/>
  <c r="N41" i="3" s="1"/>
  <c r="G40" i="3"/>
  <c r="M40" i="3" s="1"/>
  <c r="N40" i="3" s="1"/>
  <c r="AB49" i="3"/>
  <c r="D49" i="3" s="1"/>
  <c r="Z48" i="3"/>
  <c r="AB48" i="3" s="1"/>
  <c r="D48" i="3" s="1"/>
  <c r="O40" i="3" l="1"/>
  <c r="Z40" i="3"/>
  <c r="O41" i="3"/>
  <c r="Z41" i="3"/>
  <c r="AB41" i="3" s="1"/>
  <c r="D41" i="3"/>
  <c r="O43" i="3"/>
  <c r="Z43" i="3"/>
  <c r="D43" i="3"/>
  <c r="G112" i="3" l="1"/>
  <c r="M112" i="3" s="1"/>
  <c r="N112" i="3" s="1"/>
  <c r="AB43" i="3"/>
  <c r="Z42" i="3"/>
  <c r="AB42" i="3" s="1"/>
  <c r="D42" i="3" s="1"/>
  <c r="AB40" i="3"/>
  <c r="Z39" i="3"/>
  <c r="AB39" i="3" s="1"/>
  <c r="D39" i="3" s="1"/>
  <c r="O112" i="3" l="1"/>
  <c r="Z112" i="3"/>
  <c r="D112" i="3"/>
  <c r="AB112" i="3" l="1"/>
  <c r="Z109" i="3"/>
  <c r="G114" i="3" l="1"/>
  <c r="M114" i="3" s="1"/>
  <c r="N114" i="3" s="1"/>
  <c r="G115" i="3"/>
  <c r="M115" i="3" s="1"/>
  <c r="N115" i="3" s="1"/>
  <c r="AB109" i="3"/>
  <c r="D109" i="3" s="1"/>
  <c r="D115" i="3" l="1"/>
  <c r="O115" i="3"/>
  <c r="Z115" i="3"/>
  <c r="AB115" i="3" s="1"/>
  <c r="D114" i="3"/>
  <c r="O114" i="3"/>
  <c r="Z114" i="3"/>
  <c r="AB114" i="3" l="1"/>
  <c r="Z113" i="3"/>
  <c r="G18" i="3" l="1"/>
  <c r="M18" i="3" s="1"/>
  <c r="N18" i="3" s="1"/>
  <c r="G12" i="3" l="1"/>
  <c r="M12" i="3" s="1"/>
  <c r="N12" i="3" s="1"/>
  <c r="G14" i="3"/>
  <c r="M14" i="3" s="1"/>
  <c r="N14" i="3" s="1"/>
  <c r="G19" i="3"/>
  <c r="M19" i="3" s="1"/>
  <c r="N19" i="3" s="1"/>
  <c r="O18" i="3"/>
  <c r="Z18" i="3"/>
  <c r="G107" i="3"/>
  <c r="M107" i="3" s="1"/>
  <c r="N107" i="3" s="1"/>
  <c r="G102" i="3"/>
  <c r="M102" i="3" s="1"/>
  <c r="N102" i="3" s="1"/>
  <c r="G98" i="3" l="1"/>
  <c r="M98" i="3" s="1"/>
  <c r="N98" i="3" s="1"/>
  <c r="G82" i="3"/>
  <c r="M82" i="3" s="1"/>
  <c r="N82" i="3" s="1"/>
  <c r="G81" i="3"/>
  <c r="M81" i="3" s="1"/>
  <c r="N81" i="3" s="1"/>
  <c r="G101" i="3"/>
  <c r="M101" i="3" s="1"/>
  <c r="N101" i="3" s="1"/>
  <c r="O102" i="3"/>
  <c r="Z102" i="3"/>
  <c r="AB102" i="3" s="1"/>
  <c r="D102" i="3"/>
  <c r="D107" i="3"/>
  <c r="Z107" i="3"/>
  <c r="O107" i="3"/>
  <c r="AB18" i="3"/>
  <c r="O19" i="3"/>
  <c r="Z19" i="3"/>
  <c r="D19" i="3"/>
  <c r="O14" i="3"/>
  <c r="Z14" i="3"/>
  <c r="AB14" i="3" s="1"/>
  <c r="D14" i="3"/>
  <c r="O12" i="3"/>
  <c r="Z12" i="3"/>
  <c r="D12" i="3"/>
  <c r="G96" i="3"/>
  <c r="M96" i="3" s="1"/>
  <c r="N96" i="3" s="1"/>
  <c r="G104" i="3" l="1"/>
  <c r="M104" i="3" s="1"/>
  <c r="N104" i="3" s="1"/>
  <c r="G106" i="3"/>
  <c r="M106" i="3" s="1"/>
  <c r="N106" i="3" s="1"/>
  <c r="O96" i="3"/>
  <c r="Z96" i="3"/>
  <c r="D96" i="3"/>
  <c r="G97" i="3"/>
  <c r="M97" i="3" s="1"/>
  <c r="N97" i="3" s="1"/>
  <c r="G100" i="3"/>
  <c r="M100" i="3" s="1"/>
  <c r="N100" i="3" s="1"/>
  <c r="G25" i="3"/>
  <c r="M25" i="3" s="1"/>
  <c r="N25" i="3" s="1"/>
  <c r="G22" i="3"/>
  <c r="M22" i="3" s="1"/>
  <c r="N22" i="3" s="1"/>
  <c r="AB12" i="3"/>
  <c r="Z11" i="3"/>
  <c r="AB19" i="3"/>
  <c r="Z16" i="3"/>
  <c r="AB16" i="3" s="1"/>
  <c r="D16" i="3" s="1"/>
  <c r="O101" i="3"/>
  <c r="Z101" i="3"/>
  <c r="AB101" i="3" s="1"/>
  <c r="D101" i="3"/>
  <c r="O81" i="3"/>
  <c r="Z81" i="3"/>
  <c r="AB81" i="3" s="1"/>
  <c r="D81" i="3"/>
  <c r="D82" i="3"/>
  <c r="Z82" i="3"/>
  <c r="AB82" i="3" s="1"/>
  <c r="O82" i="3"/>
  <c r="Z98" i="3"/>
  <c r="AB98" i="3" s="1"/>
  <c r="O98" i="3"/>
  <c r="D98" i="3"/>
  <c r="G91" i="3" l="1"/>
  <c r="M91" i="3" s="1"/>
  <c r="N91" i="3" s="1"/>
  <c r="G94" i="3"/>
  <c r="M94" i="3" s="1"/>
  <c r="N94" i="3" s="1"/>
  <c r="G93" i="3"/>
  <c r="M93" i="3" s="1"/>
  <c r="N93" i="3" s="1"/>
  <c r="G90" i="3"/>
  <c r="M90" i="3" s="1"/>
  <c r="N90" i="3" s="1"/>
  <c r="AB11" i="3"/>
  <c r="D11" i="3" s="1"/>
  <c r="O22" i="3"/>
  <c r="Z22" i="3"/>
  <c r="D22" i="3"/>
  <c r="O25" i="3"/>
  <c r="Z25" i="3"/>
  <c r="D25" i="3"/>
  <c r="Z100" i="3"/>
  <c r="O100" i="3"/>
  <c r="D100" i="3"/>
  <c r="Z97" i="3"/>
  <c r="AB97" i="3" s="1"/>
  <c r="O97" i="3"/>
  <c r="D97" i="3"/>
  <c r="AB96" i="3"/>
  <c r="O106" i="3"/>
  <c r="Z106" i="3"/>
  <c r="D106" i="3"/>
  <c r="Z104" i="3"/>
  <c r="O104" i="3"/>
  <c r="D104" i="3"/>
  <c r="Z95" i="3" l="1"/>
  <c r="AB95" i="3" s="1"/>
  <c r="D95" i="3" s="1"/>
  <c r="Z103" i="3"/>
  <c r="AB103" i="3" s="1"/>
  <c r="D103" i="3" s="1"/>
  <c r="AB104" i="3"/>
  <c r="Z105" i="3"/>
  <c r="AB105" i="3" s="1"/>
  <c r="D105" i="3" s="1"/>
  <c r="AB106" i="3"/>
  <c r="AB100" i="3"/>
  <c r="Z99" i="3"/>
  <c r="AB99" i="3" s="1"/>
  <c r="D99" i="3" s="1"/>
  <c r="AB25" i="3"/>
  <c r="Z24" i="3"/>
  <c r="AB24" i="3" s="1"/>
  <c r="D24" i="3" s="1"/>
  <c r="Z21" i="3"/>
  <c r="AB22" i="3"/>
  <c r="Z90" i="3"/>
  <c r="O90" i="3"/>
  <c r="D90" i="3"/>
  <c r="Z93" i="3"/>
  <c r="O93" i="3"/>
  <c r="D93" i="3"/>
  <c r="Z94" i="3"/>
  <c r="AB94" i="3" s="1"/>
  <c r="O94" i="3"/>
  <c r="D94" i="3"/>
  <c r="O91" i="3"/>
  <c r="Z91" i="3"/>
  <c r="AB91" i="3" s="1"/>
  <c r="D91" i="3"/>
  <c r="G45" i="3" l="1"/>
  <c r="M45" i="3" s="1"/>
  <c r="N45" i="3" s="1"/>
  <c r="G47" i="3"/>
  <c r="M47" i="3" s="1"/>
  <c r="N47" i="3" s="1"/>
  <c r="AB93" i="3"/>
  <c r="Z92" i="3"/>
  <c r="AB92" i="3" s="1"/>
  <c r="D92" i="3" s="1"/>
  <c r="AB90" i="3"/>
  <c r="Z89" i="3"/>
  <c r="AB89" i="3" s="1"/>
  <c r="D89" i="3" s="1"/>
  <c r="AB21" i="3"/>
  <c r="D21" i="3" s="1"/>
  <c r="O47" i="3" l="1"/>
  <c r="Z47" i="3"/>
  <c r="D47" i="3"/>
  <c r="Z45" i="3"/>
  <c r="O45" i="3"/>
  <c r="D45" i="3"/>
  <c r="AB45" i="3" l="1"/>
  <c r="Z44" i="3"/>
  <c r="Z46" i="3"/>
  <c r="AB46" i="3" s="1"/>
  <c r="D46" i="3" s="1"/>
  <c r="AB47" i="3"/>
  <c r="AB44" i="3" l="1"/>
  <c r="D44" i="3" s="1"/>
  <c r="G86" i="3" l="1"/>
  <c r="M86" i="3" s="1"/>
  <c r="N86" i="3" s="1"/>
  <c r="G80" i="3"/>
  <c r="M80" i="3" s="1"/>
  <c r="N80" i="3" s="1"/>
  <c r="G79" i="3"/>
  <c r="M79" i="3" s="1"/>
  <c r="N79" i="3" s="1"/>
  <c r="G85" i="3"/>
  <c r="M85" i="3" s="1"/>
  <c r="N85" i="3" s="1"/>
  <c r="G87" i="3"/>
  <c r="M87" i="3" s="1"/>
  <c r="N87" i="3" s="1"/>
  <c r="G128" i="3"/>
  <c r="M128" i="3" s="1"/>
  <c r="N128" i="3" s="1"/>
  <c r="G127" i="3" l="1"/>
  <c r="M127" i="3" s="1"/>
  <c r="N127" i="3" s="1"/>
  <c r="D128" i="3"/>
  <c r="O128" i="3"/>
  <c r="Z128" i="3"/>
  <c r="AB128" i="3" s="1"/>
  <c r="G131" i="3"/>
  <c r="M131" i="3" s="1"/>
  <c r="N131" i="3" s="1"/>
  <c r="G133" i="3"/>
  <c r="M133" i="3" s="1"/>
  <c r="N133" i="3" s="1"/>
  <c r="O87" i="3"/>
  <c r="Z87" i="3"/>
  <c r="AB87" i="3" s="1"/>
  <c r="D87" i="3"/>
  <c r="O85" i="3"/>
  <c r="Z85" i="3"/>
  <c r="AB85" i="3" s="1"/>
  <c r="D85" i="3"/>
  <c r="Z79" i="3"/>
  <c r="AB79" i="3" s="1"/>
  <c r="O79" i="3"/>
  <c r="D79" i="3"/>
  <c r="O80" i="3"/>
  <c r="Z80" i="3"/>
  <c r="AB80" i="3" s="1"/>
  <c r="D80" i="3"/>
  <c r="O86" i="3"/>
  <c r="Z86" i="3"/>
  <c r="AB86" i="3" s="1"/>
  <c r="D86" i="3"/>
  <c r="G130" i="3" l="1"/>
  <c r="M130" i="3" s="1"/>
  <c r="N130" i="3" s="1"/>
  <c r="G132" i="3"/>
  <c r="M132" i="3" s="1"/>
  <c r="N132" i="3" s="1"/>
  <c r="O133" i="3"/>
  <c r="Z133" i="3"/>
  <c r="AB133" i="3" s="1"/>
  <c r="O131" i="3"/>
  <c r="Z131" i="3"/>
  <c r="AB131" i="3" s="1"/>
  <c r="D127" i="3"/>
  <c r="O127" i="3"/>
  <c r="Z127" i="3"/>
  <c r="Z126" i="3" l="1"/>
  <c r="AB127" i="3"/>
  <c r="O132" i="3"/>
  <c r="Z132" i="3"/>
  <c r="AB132" i="3" s="1"/>
  <c r="O130" i="3"/>
  <c r="Z130" i="3"/>
  <c r="G88" i="3" l="1"/>
  <c r="M88" i="3" s="1"/>
  <c r="N88" i="3" s="1"/>
  <c r="AB130" i="3"/>
  <c r="Z129" i="3"/>
  <c r="AB129" i="3" s="1"/>
  <c r="AB126" i="3"/>
  <c r="G84" i="3"/>
  <c r="M84" i="3" s="1"/>
  <c r="N84" i="3" s="1"/>
  <c r="G78" i="3"/>
  <c r="M78" i="3" s="1"/>
  <c r="N78" i="3" s="1"/>
  <c r="Z121" i="3" l="1"/>
  <c r="Z108" i="3" s="1"/>
  <c r="D78" i="3"/>
  <c r="O78" i="3"/>
  <c r="Z78" i="3"/>
  <c r="D84" i="3"/>
  <c r="Z84" i="3"/>
  <c r="O84" i="3"/>
  <c r="D88" i="3"/>
  <c r="O88" i="3"/>
  <c r="Z88" i="3"/>
  <c r="AB88" i="3" s="1"/>
  <c r="AB121" i="3" l="1"/>
  <c r="D121" i="3" s="1"/>
  <c r="AB108" i="3"/>
  <c r="D108" i="3" s="1"/>
  <c r="AB84" i="3"/>
  <c r="Z83" i="3"/>
  <c r="AB83" i="3" s="1"/>
  <c r="D83" i="3" s="1"/>
  <c r="AB78" i="3"/>
  <c r="Z77" i="3"/>
  <c r="AB77" i="3" l="1"/>
  <c r="D77" i="3" s="1"/>
  <c r="Z76" i="3"/>
  <c r="AB76" i="3" l="1"/>
  <c r="D76" i="3" s="1"/>
  <c r="B36" i="188" l="1"/>
  <c r="G35" i="3" s="1"/>
  <c r="M35" i="3" s="1"/>
  <c r="N35" i="3" s="1"/>
  <c r="B39" i="188"/>
  <c r="G38" i="3" s="1"/>
  <c r="M38" i="3" s="1"/>
  <c r="N38" i="3" s="1"/>
  <c r="O38" i="3" l="1"/>
  <c r="Z38" i="3"/>
  <c r="D38" i="3"/>
  <c r="O35" i="3"/>
  <c r="D35" i="3"/>
  <c r="Z35" i="3"/>
  <c r="N7" i="3"/>
  <c r="AB35" i="3" l="1"/>
  <c r="Z33" i="3"/>
  <c r="AB38" i="3"/>
  <c r="Z36" i="3"/>
  <c r="AB36" i="3" s="1"/>
  <c r="D36" i="3" s="1"/>
  <c r="AB33" i="3" l="1"/>
  <c r="D33" i="3" s="1"/>
  <c r="Z10" i="3"/>
  <c r="AB10" i="3" l="1"/>
  <c r="D10" i="3" s="1"/>
  <c r="Z9" i="3"/>
  <c r="AB9" i="3" s="1"/>
  <c r="D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tc={F5AEA674-8FE6-4047-BC5D-3B390A5789DC}</author>
    <author>tc={F11FA2E0-6191-48AD-8CA6-B8DC21865157}</author>
    <author>tc={2234F13B-C8D4-4EB3-BA40-E8164F82DD7C}</author>
    <author>tc={28001CDF-E476-4E71-B5AC-B258B0FD6888}</author>
    <author>tc={0166A1FC-FD2F-4735-BD93-1BEB4C66642A}</author>
    <author>tc={CED2270F-1FA6-44C9-8987-0AAD2FB53DD3}</author>
    <author>tc={C4118779-0AE5-4520-9759-E8E309917D77}</author>
    <author>tc={E822D00D-1B0F-4BF5-AA3C-861ABA195663}</author>
  </authors>
  <commentList>
    <comment ref="C2" authorId="0" shapeId="0" xr:uid="{F5AEA674-8FE6-4047-BC5D-3B390A5789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IMPOSTO DA FOME 1,5%</t>
      </text>
    </comment>
    <comment ref="C3" authorId="1" shapeId="0" xr:uid="{F11FA2E0-6191-48AD-8CA6-B8DC218651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1,5% DO IMPOSTO DA FOME</t>
      </text>
    </comment>
    <comment ref="C4" authorId="2" shapeId="0" xr:uid="{2234F13B-C8D4-4EB3-BA40-E8164F82DD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ACRECIDO DO IMPOSTO DA FOME</t>
      </text>
    </comment>
    <comment ref="C6" authorId="3" shapeId="0" xr:uid="{28001CDF-E476-4E71-B5AC-B258B0FD68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DO IMPOSTO DA FOME</t>
      </text>
    </comment>
    <comment ref="C21" authorId="4" shapeId="0" xr:uid="{0166A1FC-FD2F-4735-BD93-1BEB4C6664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DO IMPOSTO DA FOME</t>
      </text>
    </comment>
    <comment ref="C36" authorId="5" shapeId="0" xr:uid="{CED2270F-1FA6-44C9-8987-0AAD2FB53D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DO IMPOSTO DA FOME</t>
      </text>
    </comment>
    <comment ref="C37" authorId="6" shapeId="0" xr:uid="{C4118779-0AE5-4520-9759-E8E309917D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1,5% DO IMPOSTO DA FOME</t>
      </text>
    </comment>
    <comment ref="C41" authorId="7" shapeId="0" xr:uid="{E822D00D-1B0F-4BF5-AA3C-861ABA1956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ACRESCIDO DE 1,5% DO IMPOSTO DA FOME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7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Digite X para incluir os %s de comissão.</t>
        </r>
      </text>
    </comment>
  </commentList>
</comments>
</file>

<file path=xl/sharedStrings.xml><?xml version="1.0" encoding="utf-8"?>
<sst xmlns="http://schemas.openxmlformats.org/spreadsheetml/2006/main" count="820" uniqueCount="246">
  <si>
    <t>Custo</t>
  </si>
  <si>
    <t>CUSTO</t>
  </si>
  <si>
    <t>%</t>
  </si>
  <si>
    <t>C</t>
  </si>
  <si>
    <t>Icms</t>
  </si>
  <si>
    <t>Pis</t>
  </si>
  <si>
    <t>Cofins</t>
  </si>
  <si>
    <t>I</t>
  </si>
  <si>
    <t>INTERESTADUAL</t>
  </si>
  <si>
    <t>Produto</t>
  </si>
  <si>
    <t>Preço</t>
  </si>
  <si>
    <t>Comissão</t>
  </si>
  <si>
    <t>Margem</t>
  </si>
  <si>
    <t>Líquido</t>
  </si>
  <si>
    <t>MP/ME</t>
  </si>
  <si>
    <t>Frete</t>
  </si>
  <si>
    <t>R$</t>
  </si>
  <si>
    <t>Variável</t>
  </si>
  <si>
    <t>Impostos</t>
  </si>
  <si>
    <t>Liq-Frete</t>
  </si>
  <si>
    <t>Exportação</t>
  </si>
  <si>
    <t>E</t>
  </si>
  <si>
    <t>REPRESENTANTE</t>
  </si>
  <si>
    <t>IMPOSTOS</t>
  </si>
  <si>
    <t>MANUAS</t>
  </si>
  <si>
    <t>I (AM)</t>
  </si>
  <si>
    <t>Digite o nome do produto</t>
  </si>
  <si>
    <t>Digite o custo</t>
  </si>
  <si>
    <t>Digite o peso</t>
  </si>
  <si>
    <t>R$/HL</t>
  </si>
  <si>
    <t>R$/TON</t>
  </si>
  <si>
    <t>Conversão</t>
  </si>
  <si>
    <t>QTDE</t>
  </si>
  <si>
    <t>MARGEM</t>
  </si>
  <si>
    <t>RLV</t>
  </si>
  <si>
    <t>X</t>
  </si>
  <si>
    <t>AC</t>
  </si>
  <si>
    <t>AL</t>
  </si>
  <si>
    <t>AP</t>
  </si>
  <si>
    <t>BA</t>
  </si>
  <si>
    <t>DF</t>
  </si>
  <si>
    <t>ES</t>
  </si>
  <si>
    <t>GO</t>
  </si>
  <si>
    <t>MA</t>
  </si>
  <si>
    <t>MT</t>
  </si>
  <si>
    <t>MS</t>
  </si>
  <si>
    <t>PA</t>
  </si>
  <si>
    <t>PB</t>
  </si>
  <si>
    <t>PE</t>
  </si>
  <si>
    <t>PI</t>
  </si>
  <si>
    <t>RN</t>
  </si>
  <si>
    <t>RS</t>
  </si>
  <si>
    <t>RR</t>
  </si>
  <si>
    <t>SC</t>
  </si>
  <si>
    <t>TO</t>
  </si>
  <si>
    <t>MG</t>
  </si>
  <si>
    <t>PR</t>
  </si>
  <si>
    <t>SP</t>
  </si>
  <si>
    <t>RJ</t>
  </si>
  <si>
    <t>SE</t>
  </si>
  <si>
    <t>CE</t>
  </si>
  <si>
    <t>CALCULO DO PREÇO FINAL PARA O CLIENTE</t>
  </si>
  <si>
    <t>Alíquota</t>
  </si>
  <si>
    <t>Valor</t>
  </si>
  <si>
    <t>MVA</t>
  </si>
  <si>
    <t>Base</t>
  </si>
  <si>
    <t>IPI</t>
  </si>
  <si>
    <t>ICMS Normal</t>
  </si>
  <si>
    <t>ST</t>
  </si>
  <si>
    <t>ICMS ST</t>
  </si>
  <si>
    <t>AM</t>
  </si>
  <si>
    <t>ICMS</t>
  </si>
  <si>
    <t xml:space="preserve"> RJ</t>
  </si>
  <si>
    <t>GRUPO 1</t>
  </si>
  <si>
    <t>GRUPO 2</t>
  </si>
  <si>
    <t>Alíquota IPI</t>
  </si>
  <si>
    <t>Despesas</t>
  </si>
  <si>
    <t>MVA - MARGEM DE VALOR AGREGADO - %</t>
  </si>
  <si>
    <t>RO</t>
  </si>
  <si>
    <t>FRETE TON</t>
  </si>
  <si>
    <t>ESTADO</t>
  </si>
  <si>
    <t>PARAIBA</t>
  </si>
  <si>
    <t>TINTAS BASE ÁGUA</t>
  </si>
  <si>
    <t>TINTAS BASE SOLVENTE</t>
  </si>
  <si>
    <t>LIQUIBRILHO 15L</t>
  </si>
  <si>
    <t>PRODUTO</t>
  </si>
  <si>
    <t>Se "X"</t>
  </si>
  <si>
    <t>Considera</t>
  </si>
  <si>
    <t>Fórmula</t>
  </si>
  <si>
    <t>TOTAL</t>
  </si>
  <si>
    <t>MC Guia</t>
  </si>
  <si>
    <t>COMPLEMENTOS</t>
  </si>
  <si>
    <t>MASSAS / TEXTURAS</t>
  </si>
  <si>
    <t>% Comissão</t>
  </si>
  <si>
    <t>ICMS+PIS+COFINS</t>
  </si>
  <si>
    <t>Estado</t>
  </si>
  <si>
    <t>Grupo</t>
  </si>
  <si>
    <t>Representante</t>
  </si>
  <si>
    <t>MC Geral</t>
  </si>
  <si>
    <t>Vínculo planilha Frete_Regiao =&gt; Base p/ o Filtro "Representante-A4"</t>
  </si>
  <si>
    <t>Digitado</t>
  </si>
  <si>
    <t>PESO BRUTO</t>
  </si>
  <si>
    <t>Produto / Grupo ST</t>
  </si>
  <si>
    <t>GRUPO 3</t>
  </si>
  <si>
    <t>GRUPO ST</t>
  </si>
  <si>
    <t>ICMS ST - ALIQ. INTERNA DE CADA ESTADO</t>
  </si>
  <si>
    <t>ICMS - ALIQUOTA PB</t>
  </si>
  <si>
    <t>Produto / Estados Destino</t>
  </si>
  <si>
    <t>G1</t>
  </si>
  <si>
    <t>G2</t>
  </si>
  <si>
    <t>GRUPO 4</t>
  </si>
  <si>
    <t>G3</t>
  </si>
  <si>
    <t>RESUMO DA VENDA</t>
  </si>
  <si>
    <t>Frete acima não é base p/ cálculo da MC =&gt;</t>
  </si>
  <si>
    <t>LIQUIBRILHO 15L BALDE INCOLOR</t>
  </si>
  <si>
    <t>TRIBUTAÇÃO P/ LUCRO PRESUMIDO!</t>
  </si>
  <si>
    <t>ATENÇÃO: DESONERAÇÃO</t>
  </si>
  <si>
    <t>Desconto</t>
  </si>
  <si>
    <t>CIMENTO QUEIMADO GALÃO</t>
  </si>
  <si>
    <t>VEDAMIL / MANTA LÍQUIDA BALDE 12KG</t>
  </si>
  <si>
    <t>VEDAMIL / MANTA LÍQUIDA BALDE 15KG</t>
  </si>
  <si>
    <t>VEDAMIL / MANTA LÍQUIDA BALDE 18KG</t>
  </si>
  <si>
    <t>LIQUIBRILHO 3,0L</t>
  </si>
  <si>
    <t>LIQUIBRILHO 3,0L BALDE INCOLOR</t>
  </si>
  <si>
    <t>ESMALTE BASE ÁGUA 0,75L</t>
  </si>
  <si>
    <t>ESMALTE BASE ÁGUA 3,0L</t>
  </si>
  <si>
    <t>PRODUTOS PREMIUM</t>
  </si>
  <si>
    <t>VEDAMIL</t>
  </si>
  <si>
    <t>Desc. duplicata</t>
  </si>
  <si>
    <t>Juros desconto duplicata</t>
  </si>
  <si>
    <t>PESO</t>
  </si>
  <si>
    <t>PESO (Kg)</t>
  </si>
  <si>
    <t>AGUARRAS 0,900</t>
  </si>
  <si>
    <t>AGUARRAS 0,450</t>
  </si>
  <si>
    <t>VEDAMIL / MANTA LÍQUIDA BALDE 3,6KG</t>
  </si>
  <si>
    <t>RESULTADO EM R$</t>
  </si>
  <si>
    <t>VALOR PEDIDO</t>
  </si>
  <si>
    <t>BRAZIMIL ECONOMICA 3,0L</t>
  </si>
  <si>
    <t>BRAZIMIL ECONÔMICA 3,0L REFIL BRANCO NEVE</t>
  </si>
  <si>
    <t>BRAZIMIL ECONÔMICA 3,0L REFIL COR</t>
  </si>
  <si>
    <t>BRAZIMIL ECONÔMICA 3,0L GALÃO BRANCO NEVE</t>
  </si>
  <si>
    <t>BRAZIMIL ECONÔMICA 3,0L GALÃO COR</t>
  </si>
  <si>
    <t>BRAZIMIL ECONÔMICA 15L</t>
  </si>
  <si>
    <t>BRAZIMIL ECONÔMICA 15L PPQ BRANCO NEVE</t>
  </si>
  <si>
    <t>BRAZIMIL ECONÔMICA 12L BALDE BRANCO NEVE</t>
  </si>
  <si>
    <t>BRAZIMIL ECONÔMICA 15L BALDE BRANCO NEVE</t>
  </si>
  <si>
    <t>BRAZIMIL ECONÔMICA 15L BALDE COR</t>
  </si>
  <si>
    <t>BRAZIMIL EXTERNA 3,0L</t>
  </si>
  <si>
    <t>BRAZIMIL EXTERNA 3,0L BALDE BRANCO NEVE</t>
  </si>
  <si>
    <t>BRAZIMIL EXTERNA 3,0L BALDE COR</t>
  </si>
  <si>
    <t>BRAZIMIL EXTERNA 15L</t>
  </si>
  <si>
    <t>BRAZIMIL EXTERNA 15L BALDE BRANCO NEVE</t>
  </si>
  <si>
    <t>BRAZIMIL EXTERNA 15L BALDE COR</t>
  </si>
  <si>
    <t>BRAZIMIL SEMI BRILHO 3,0L</t>
  </si>
  <si>
    <t>BRAZIMIL SEMI BRILHO 3,0L BALDE BRANCO NEVE</t>
  </si>
  <si>
    <t>BRAZIMIL SEMI BRILHO 3,0L BALDE COR</t>
  </si>
  <si>
    <t>BRAZIMIL SEMI BRILHO 15L</t>
  </si>
  <si>
    <t>BRAZIMIL SEMI BRILHO 12L BALDE BRANCO NEVE</t>
  </si>
  <si>
    <t>BRAZIMIL SEMI BRILHO 15L BALDE BRANCO NEVE</t>
  </si>
  <si>
    <t>BRAZIMIL SEMI BRILHO 15L BALDE COR</t>
  </si>
  <si>
    <t>BRAZIMIL TINTA PISO 3,0L</t>
  </si>
  <si>
    <t>BRAZIMIL TINTA PISO 3,0L BALDE BRANCO NEVE</t>
  </si>
  <si>
    <t>BRAZIMIL TINTA PISO 3,0L BALDE COR</t>
  </si>
  <si>
    <t>BRAZIMIL TINTA PISO 15L</t>
  </si>
  <si>
    <t>BRAZIMIL TINTA PISO 15L BALDE BRANCO NEVE</t>
  </si>
  <si>
    <t>BRAZIMIL TINTA PISO 15L BALDE COR</t>
  </si>
  <si>
    <t>BRAZIMIL SELADOR ACRIL 3,0L</t>
  </si>
  <si>
    <t>BRAZIMIL SELADOR ACRIL 3,0L REFIL PIGMENTADO</t>
  </si>
  <si>
    <t>BRAZIMIL SELADOR ACRIL 3,0L BALDE PIGMENTADO</t>
  </si>
  <si>
    <t>BRAZIMIL SELADOR ACRIL 15L</t>
  </si>
  <si>
    <t>BRAZIMIL SELADOR ACRIL 12L PIGMENTADO</t>
  </si>
  <si>
    <t>BRAZIMIL SELADOR ACRIL 15L BALDE PIGMENTADO</t>
  </si>
  <si>
    <t>BRAZIMIL CORRIDA</t>
  </si>
  <si>
    <t>BRAZIMIL CORRIDA POTE 1KG</t>
  </si>
  <si>
    <t>BRAZIMIL CORRIDA GALÃO 5KG</t>
  </si>
  <si>
    <t>BRAZIMIL CORRIDA SACO VALV 10 KG</t>
  </si>
  <si>
    <t>BRAZIMIL CORRIDA SACO VALV 25KG</t>
  </si>
  <si>
    <t>BRAZIMIL CORRIDA PPQ 20KG</t>
  </si>
  <si>
    <t>BRAZIMIL CORRIDA PPQ 25KG</t>
  </si>
  <si>
    <t>BRAZIMIL CORRIDA BALDE 20KG</t>
  </si>
  <si>
    <t>BRAZIMIL CORRIDA BALDE 25KG</t>
  </si>
  <si>
    <t>BRAZIMIL ACRILICA</t>
  </si>
  <si>
    <t>BRAZIMIL ACRILICA POTE 1KG</t>
  </si>
  <si>
    <t>BRAZIMIL ACRILICA GALÃO 5KG</t>
  </si>
  <si>
    <t>BRAZIMIL ACRILICA SACO VALV 10,0KG</t>
  </si>
  <si>
    <t>BRAZIMIL ACRILICA PPQ 20KG</t>
  </si>
  <si>
    <t>BRAZIMIL ACRILICA PPQ 25KG</t>
  </si>
  <si>
    <t>BRAZIMIL ACRILICA BALDE 20KG</t>
  </si>
  <si>
    <t>BRAZIMIL ACRILICA BALDE 25KG</t>
  </si>
  <si>
    <t>BRAZIMIL TEXT. LISA</t>
  </si>
  <si>
    <t>BRAZIMIL TEXT. LISA GALÃO 5KG</t>
  </si>
  <si>
    <t>BRAZIMIL TEXT. LISA SACO VALV 12,5KG</t>
  </si>
  <si>
    <t>BRAZIMIL TEXT. LISA PPQ 25KG</t>
  </si>
  <si>
    <t>BRAZIMIL TEXT. LISA BALDE 25KG</t>
  </si>
  <si>
    <t>BRAZIMIL TEXT. RÚSTICA</t>
  </si>
  <si>
    <t>BRAZIMIL TEXT. RÚSTICA GALÃO 5KG</t>
  </si>
  <si>
    <t>BRAZIMIL TEXT. RÚSTICA SACO VALV 12,5KG</t>
  </si>
  <si>
    <t>BRAZIMIL TEXT. RÚSTICA PPQ 25KG</t>
  </si>
  <si>
    <t>BRAZIMIL TEXT. RÚSTICA BALDE 25KG</t>
  </si>
  <si>
    <t>BRAZIMIL ESMALTE SINTÉTICO 0,75L</t>
  </si>
  <si>
    <t>BRAZIMIL ESMALTE SINTÉTICO 0,75L LATA ALUMÍNIO</t>
  </si>
  <si>
    <t>BRAZIMIL ESMALTE SINTÉTICO 0,75L LATA BRANCO</t>
  </si>
  <si>
    <t>BRAZIMIL ESMALTE SINTÉTICO 0,75L LATA COR</t>
  </si>
  <si>
    <t>BRAZIMIL ESMALTE SINTÉTICO 0,75L LATA FOSCO</t>
  </si>
  <si>
    <t>BRAZIMIL ESMALTE SINTÉTICO 3,0L</t>
  </si>
  <si>
    <t>BRAZIMIL ESMALTE SINTÉTICO 3,0L LATA ALUMÍNIO</t>
  </si>
  <si>
    <t>BRAZIMIL ESMALTE SINTÉTICO 3,0L LATA BRANCO</t>
  </si>
  <si>
    <t>BRAZIMIL ESMALTE SINTÉTICO 3,0L LATA PRETO</t>
  </si>
  <si>
    <t>BRAZIMIL ESMALTE SINTÉTICO 3,0L LATA COR</t>
  </si>
  <si>
    <t>BRAZIMIL ESMALTE SINTÉTICO 3,0L LATA FOSCO</t>
  </si>
  <si>
    <t>BRAZIMIL VERNIZ 0,75L</t>
  </si>
  <si>
    <t>BRAZIMIL VERNIZ 0,75L LATA INCOLOR</t>
  </si>
  <si>
    <t>BRAZIMIL VERNIZ 0,75L LATA PIGMENTADO</t>
  </si>
  <si>
    <t>BRAZIMIL VERNIZ 3,0L</t>
  </si>
  <si>
    <t>BRAZIMIL VERNIZ 3,0L LATA INCOLOR</t>
  </si>
  <si>
    <t>BRAZIMIL VERNIZ 3,0L LATA PIGMENTADO</t>
  </si>
  <si>
    <t>BRAZIMIL ZARCÃO 0,75L</t>
  </si>
  <si>
    <t>BRAZIMIL ZARCÃO 0,75L LATA BRANCO</t>
  </si>
  <si>
    <t>BRAZIMIL ZARCÃO 0,75L LATA CINZA</t>
  </si>
  <si>
    <t>BRAZIMIL ZARCÃO 0,75L LATA COR</t>
  </si>
  <si>
    <t>BRAZIMIL ZARCÃO 3,0L</t>
  </si>
  <si>
    <t>BRAZIMIL ZARCÃO 3,0L LATA BRANCO</t>
  </si>
  <si>
    <t>BRAZIMIL ZARCÃO 3,0L LATA CINZA</t>
  </si>
  <si>
    <t>BRAZIMIL ZARCÃO  18L LATA COR</t>
  </si>
  <si>
    <t>BRAZIMIL SELADOR P/ MAD. 0,75L</t>
  </si>
  <si>
    <t>BRAZIMIL SELADOR P/ MAD. 0,75L LATA INCOLOR</t>
  </si>
  <si>
    <t>BRAZIMIL SELADOR P/ MAD. 3,0L</t>
  </si>
  <si>
    <t>BRAZIMIL SELADOR P/ MAD. 3,0L LATA INCOLOR</t>
  </si>
  <si>
    <t>BRAZIMIL SELADOR P/ MAD. 180 LITROS TB</t>
  </si>
  <si>
    <t>BRAZIMIL TINTA P GESSO 3,0L</t>
  </si>
  <si>
    <t>BRAZIMIL TINTA P GESSO 3,6L REFIL</t>
  </si>
  <si>
    <t>BRAZIMIL TINTA P GESSO 15L</t>
  </si>
  <si>
    <t>BRAZIMIL COLA BRANCA 0,5KG</t>
  </si>
  <si>
    <t>BRAZIMIL COLA BRANCA 1,0KG</t>
  </si>
  <si>
    <t>BRAZIMIL TINTA PARA TELHA 3,0L INCOLOR</t>
  </si>
  <si>
    <t>BRAZIMIL TINTA PARA TELHA 3,0L COLORIDA</t>
  </si>
  <si>
    <t>BRAZIMIL TINTA PARA TELHA 15,0L INCOLOR</t>
  </si>
  <si>
    <t>BRAZIMIL TINTA PARA TELHA 15,0L COLORIDA</t>
  </si>
  <si>
    <t>BRAZIMIL ESMALTE SINTÉTICO 0,75L LATA PRETO</t>
  </si>
  <si>
    <t>BRAZIMIL BORRACHA LIQUIDA 14,0 KG</t>
  </si>
  <si>
    <t>Manaus CIF</t>
  </si>
  <si>
    <t>Manaus - FOB</t>
  </si>
  <si>
    <t>Manaus - INTERIOR PIS COFINS</t>
  </si>
  <si>
    <t>Manaus - INTERIOR S/ PIS COFINS</t>
  </si>
  <si>
    <t>BRAZIMIL BORRACHA LIQUIDA 3,6 KG</t>
  </si>
  <si>
    <t>BRAZIMIL BORRACHA LIQUIDA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</si>
</sst>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* #,##0.0000_);_(* \(#,##0.0000\);_(* &quot;-&quot;??_);_(@_)"/>
    <numFmt numFmtId="167" formatCode="_(* #,##0.000_);_(* \(#,##0.000\);_(* &quot;-&quot;??_);_(@_)"/>
    <numFmt numFmtId="168" formatCode="0.0%"/>
    <numFmt numFmtId="170" formatCode="0.000"/>
    <numFmt numFmtId="172" formatCode="_(* #,##0.000_);_(* \(#,##0.000\);_(* &quot;-&quot;???_);_(@_)"/>
    <numFmt numFmtId="173" formatCode="_(* #,##0.00_);_(* \(#,##0.00\);_(* &quot;-&quot;???_);_(@_)"/>
    <numFmt numFmtId="174" formatCode="_-* #,##0.000_-;\-* #,##0.000_-;_-* &quot;-&quot;??_-;_-@_-"/>
  </numFmts>
  <fonts count="28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10"/>
      <color indexed="22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2"/>
      <color theme="0"/>
      <name val="Arial"/>
      <family val="2"/>
    </font>
    <font>
      <b/>
      <sz val="9"/>
      <color rgb="FF00B050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52B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22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3">
    <xf numFmtId="0" fontId="0" fillId="0" borderId="0" xfId="0"/>
    <xf numFmtId="2" fontId="7" fillId="2" borderId="2" xfId="0" applyNumberFormat="1" applyFont="1" applyFill="1" applyBorder="1" applyAlignment="1" applyProtection="1">
      <alignment horizontal="center"/>
      <protection hidden="1"/>
    </xf>
    <xf numFmtId="2" fontId="7" fillId="2" borderId="3" xfId="3" applyNumberFormat="1" applyFont="1" applyFill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2" fontId="2" fillId="0" borderId="4" xfId="0" applyNumberFormat="1" applyFont="1" applyBorder="1" applyAlignment="1" applyProtection="1">
      <alignment horizontal="center"/>
      <protection hidden="1"/>
    </xf>
    <xf numFmtId="2" fontId="3" fillId="2" borderId="6" xfId="0" applyNumberFormat="1" applyFont="1" applyFill="1" applyBorder="1" applyProtection="1">
      <protection hidden="1"/>
    </xf>
    <xf numFmtId="9" fontId="2" fillId="2" borderId="7" xfId="2" applyFont="1" applyFill="1" applyBorder="1" applyAlignment="1" applyProtection="1">
      <alignment horizontal="center"/>
      <protection hidden="1"/>
    </xf>
    <xf numFmtId="2" fontId="2" fillId="2" borderId="8" xfId="0" applyNumberFormat="1" applyFont="1" applyFill="1" applyBorder="1" applyProtection="1">
      <protection hidden="1"/>
    </xf>
    <xf numFmtId="10" fontId="2" fillId="2" borderId="9" xfId="2" applyNumberFormat="1" applyFont="1" applyFill="1" applyBorder="1" applyProtection="1">
      <protection hidden="1"/>
    </xf>
    <xf numFmtId="2" fontId="3" fillId="0" borderId="8" xfId="0" applyNumberFormat="1" applyFont="1" applyBorder="1" applyProtection="1">
      <protection hidden="1"/>
    </xf>
    <xf numFmtId="10" fontId="2" fillId="0" borderId="9" xfId="2" applyNumberFormat="1" applyFont="1" applyFill="1" applyBorder="1" applyProtection="1">
      <protection hidden="1"/>
    </xf>
    <xf numFmtId="2" fontId="3" fillId="0" borderId="10" xfId="0" applyNumberFormat="1" applyFont="1" applyBorder="1" applyProtection="1">
      <protection hidden="1"/>
    </xf>
    <xf numFmtId="10" fontId="2" fillId="0" borderId="11" xfId="2" applyNumberFormat="1" applyFont="1" applyFill="1" applyBorder="1" applyProtection="1">
      <protection hidden="1"/>
    </xf>
    <xf numFmtId="2" fontId="3" fillId="0" borderId="12" xfId="0" applyNumberFormat="1" applyFont="1" applyBorder="1" applyProtection="1">
      <protection hidden="1"/>
    </xf>
    <xf numFmtId="10" fontId="2" fillId="0" borderId="12" xfId="2" applyNumberFormat="1" applyFont="1" applyFill="1" applyBorder="1" applyProtection="1">
      <protection hidden="1"/>
    </xf>
    <xf numFmtId="10" fontId="2" fillId="2" borderId="7" xfId="2" applyNumberFormat="1" applyFont="1" applyFill="1" applyBorder="1" applyAlignment="1" applyProtection="1">
      <alignment horizontal="center"/>
      <protection hidden="1"/>
    </xf>
    <xf numFmtId="2" fontId="3" fillId="0" borderId="13" xfId="0" applyNumberFormat="1" applyFont="1" applyBorder="1" applyProtection="1">
      <protection hidden="1"/>
    </xf>
    <xf numFmtId="10" fontId="2" fillId="0" borderId="13" xfId="2" applyNumberFormat="1" applyFont="1" applyFill="1" applyBorder="1" applyProtection="1">
      <protection hidden="1"/>
    </xf>
    <xf numFmtId="10" fontId="4" fillId="0" borderId="0" xfId="2" applyNumberFormat="1" applyFont="1" applyFill="1" applyBorder="1" applyProtection="1">
      <protection hidden="1"/>
    </xf>
    <xf numFmtId="2" fontId="4" fillId="0" borderId="0" xfId="0" applyNumberFormat="1" applyFont="1" applyProtection="1">
      <protection hidden="1"/>
    </xf>
    <xf numFmtId="164" fontId="4" fillId="0" borderId="0" xfId="3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2" fontId="2" fillId="0" borderId="1" xfId="0" applyNumberFormat="1" applyFont="1" applyBorder="1" applyProtection="1">
      <protection hidden="1"/>
    </xf>
    <xf numFmtId="167" fontId="2" fillId="0" borderId="1" xfId="3" applyNumberFormat="1" applyFont="1" applyFill="1" applyBorder="1" applyProtection="1">
      <protection hidden="1"/>
    </xf>
    <xf numFmtId="2" fontId="2" fillId="0" borderId="0" xfId="0" applyNumberFormat="1" applyFont="1" applyProtection="1">
      <protection hidden="1"/>
    </xf>
    <xf numFmtId="0" fontId="6" fillId="0" borderId="0" xfId="0" applyFont="1" applyProtection="1">
      <protection hidden="1"/>
    </xf>
    <xf numFmtId="9" fontId="4" fillId="0" borderId="0" xfId="2" applyFont="1" applyFill="1" applyBorder="1" applyProtection="1">
      <protection hidden="1"/>
    </xf>
    <xf numFmtId="10" fontId="2" fillId="0" borderId="0" xfId="2" applyNumberFormat="1" applyFont="1" applyProtection="1">
      <protection hidden="1"/>
    </xf>
    <xf numFmtId="4" fontId="2" fillId="0" borderId="0" xfId="0" applyNumberFormat="1" applyFont="1" applyProtection="1">
      <protection hidden="1"/>
    </xf>
    <xf numFmtId="164" fontId="2" fillId="0" borderId="0" xfId="0" applyNumberFormat="1" applyFont="1" applyProtection="1">
      <protection hidden="1"/>
    </xf>
    <xf numFmtId="0" fontId="2" fillId="0" borderId="1" xfId="0" applyFont="1" applyBorder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hidden="1"/>
    </xf>
    <xf numFmtId="167" fontId="2" fillId="0" borderId="1" xfId="0" applyNumberFormat="1" applyFont="1" applyBorder="1" applyProtection="1">
      <protection hidden="1"/>
    </xf>
    <xf numFmtId="168" fontId="2" fillId="0" borderId="1" xfId="2" applyNumberFormat="1" applyFont="1" applyBorder="1" applyProtection="1">
      <protection hidden="1"/>
    </xf>
    <xf numFmtId="9" fontId="2" fillId="0" borderId="0" xfId="2" applyFont="1" applyProtection="1">
      <protection hidden="1"/>
    </xf>
    <xf numFmtId="9" fontId="2" fillId="0" borderId="0" xfId="2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2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168" fontId="2" fillId="0" borderId="0" xfId="2" applyNumberFormat="1" applyFont="1" applyProtection="1">
      <protection hidden="1"/>
    </xf>
    <xf numFmtId="9" fontId="2" fillId="0" borderId="0" xfId="2" applyFont="1" applyFill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2" fontId="2" fillId="3" borderId="1" xfId="0" applyNumberFormat="1" applyFont="1" applyFill="1" applyBorder="1" applyProtection="1">
      <protection locked="0" hidden="1"/>
    </xf>
    <xf numFmtId="0" fontId="2" fillId="2" borderId="0" xfId="0" applyFont="1" applyFill="1" applyAlignment="1" applyProtection="1">
      <alignment horizontal="center"/>
      <protection hidden="1"/>
    </xf>
    <xf numFmtId="170" fontId="2" fillId="0" borderId="0" xfId="0" applyNumberFormat="1" applyFont="1" applyProtection="1">
      <protection hidden="1"/>
    </xf>
    <xf numFmtId="10" fontId="2" fillId="0" borderId="0" xfId="0" applyNumberFormat="1" applyFont="1" applyAlignment="1" applyProtection="1">
      <alignment horizontal="center"/>
      <protection hidden="1"/>
    </xf>
    <xf numFmtId="10" fontId="2" fillId="0" borderId="0" xfId="2" applyNumberFormat="1" applyFont="1" applyAlignment="1" applyProtection="1">
      <alignment horizontal="center"/>
      <protection hidden="1"/>
    </xf>
    <xf numFmtId="10" fontId="2" fillId="0" borderId="1" xfId="2" applyNumberFormat="1" applyFont="1" applyFill="1" applyBorder="1" applyAlignment="1" applyProtection="1">
      <alignment horizontal="center"/>
      <protection hidden="1"/>
    </xf>
    <xf numFmtId="3" fontId="2" fillId="0" borderId="0" xfId="0" applyNumberFormat="1" applyFont="1" applyAlignment="1" applyProtection="1">
      <alignment horizontal="center"/>
      <protection hidden="1"/>
    </xf>
    <xf numFmtId="10" fontId="5" fillId="0" borderId="1" xfId="2" applyNumberFormat="1" applyFont="1" applyFill="1" applyBorder="1" applyAlignment="1" applyProtection="1">
      <alignment horizontal="center"/>
      <protection hidden="1"/>
    </xf>
    <xf numFmtId="172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173" fontId="0" fillId="0" borderId="0" xfId="0" applyNumberFormat="1" applyProtection="1">
      <protection hidden="1"/>
    </xf>
    <xf numFmtId="164" fontId="12" fillId="0" borderId="0" xfId="3" applyFont="1" applyFill="1" applyBorder="1" applyProtection="1">
      <protection hidden="1"/>
    </xf>
    <xf numFmtId="0" fontId="12" fillId="0" borderId="0" xfId="0" applyFont="1" applyProtection="1">
      <protection hidden="1"/>
    </xf>
    <xf numFmtId="164" fontId="2" fillId="0" borderId="0" xfId="3" applyFont="1" applyAlignment="1" applyProtection="1">
      <alignment horizontal="center"/>
      <protection hidden="1"/>
    </xf>
    <xf numFmtId="164" fontId="2" fillId="0" borderId="0" xfId="3" applyFont="1" applyFill="1" applyAlignment="1" applyProtection="1">
      <alignment horizontal="center"/>
      <protection hidden="1"/>
    </xf>
    <xf numFmtId="164" fontId="0" fillId="0" borderId="0" xfId="3" applyFont="1"/>
    <xf numFmtId="164" fontId="2" fillId="0" borderId="0" xfId="3" applyFont="1" applyFill="1" applyAlignment="1" applyProtection="1">
      <alignment horizontal="right"/>
      <protection hidden="1"/>
    </xf>
    <xf numFmtId="9" fontId="2" fillId="0" borderId="0" xfId="2" applyFont="1" applyFill="1" applyAlignment="1" applyProtection="1">
      <alignment horizontal="right"/>
      <protection hidden="1"/>
    </xf>
    <xf numFmtId="168" fontId="2" fillId="0" borderId="0" xfId="2" applyNumberFormat="1" applyFont="1" applyFill="1" applyBorder="1" applyAlignment="1" applyProtection="1">
      <alignment horizontal="center"/>
      <protection hidden="1"/>
    </xf>
    <xf numFmtId="9" fontId="2" fillId="0" borderId="1" xfId="2" applyFont="1" applyFill="1" applyBorder="1" applyProtection="1">
      <protection hidden="1"/>
    </xf>
    <xf numFmtId="49" fontId="2" fillId="0" borderId="1" xfId="2" applyNumberFormat="1" applyFont="1" applyFill="1" applyBorder="1" applyAlignment="1" applyProtection="1">
      <alignment horizontal="center"/>
      <protection hidden="1"/>
    </xf>
    <xf numFmtId="10" fontId="2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10" fontId="2" fillId="0" borderId="0" xfId="2" applyNumberFormat="1" applyFont="1" applyFill="1" applyBorder="1" applyAlignment="1" applyProtection="1">
      <alignment horizontal="center"/>
      <protection hidden="1"/>
    </xf>
    <xf numFmtId="10" fontId="2" fillId="3" borderId="1" xfId="3" applyNumberFormat="1" applyFont="1" applyFill="1" applyBorder="1" applyAlignment="1" applyProtection="1">
      <alignment horizontal="center"/>
      <protection locked="0"/>
    </xf>
    <xf numFmtId="10" fontId="2" fillId="3" borderId="1" xfId="2" applyNumberFormat="1" applyFont="1" applyFill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1" fontId="13" fillId="0" borderId="1" xfId="0" applyNumberFormat="1" applyFont="1" applyBorder="1" applyAlignment="1" applyProtection="1">
      <alignment horizontal="center"/>
      <protection hidden="1"/>
    </xf>
    <xf numFmtId="49" fontId="2" fillId="6" borderId="1" xfId="2" applyNumberFormat="1" applyFont="1" applyFill="1" applyBorder="1" applyAlignment="1" applyProtection="1">
      <alignment horizontal="center"/>
      <protection hidden="1"/>
    </xf>
    <xf numFmtId="164" fontId="4" fillId="0" borderId="0" xfId="3" applyFont="1" applyFill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49" fontId="5" fillId="7" borderId="1" xfId="2" applyNumberFormat="1" applyFont="1" applyFill="1" applyBorder="1" applyAlignment="1" applyProtection="1">
      <alignment horizontal="center"/>
      <protection hidden="1"/>
    </xf>
    <xf numFmtId="10" fontId="2" fillId="7" borderId="1" xfId="2" applyNumberFormat="1" applyFont="1" applyFill="1" applyBorder="1" applyAlignment="1" applyProtection="1">
      <alignment horizontal="center"/>
      <protection hidden="1"/>
    </xf>
    <xf numFmtId="0" fontId="2" fillId="8" borderId="0" xfId="0" applyFont="1" applyFill="1" applyProtection="1">
      <protection hidden="1"/>
    </xf>
    <xf numFmtId="2" fontId="5" fillId="0" borderId="1" xfId="0" applyNumberFormat="1" applyFont="1" applyBorder="1" applyProtection="1">
      <protection hidden="1"/>
    </xf>
    <xf numFmtId="164" fontId="5" fillId="0" borderId="1" xfId="0" applyNumberFormat="1" applyFont="1" applyBorder="1" applyProtection="1">
      <protection hidden="1"/>
    </xf>
    <xf numFmtId="167" fontId="5" fillId="0" borderId="1" xfId="0" applyNumberFormat="1" applyFont="1" applyBorder="1" applyProtection="1">
      <protection hidden="1"/>
    </xf>
    <xf numFmtId="168" fontId="5" fillId="0" borderId="1" xfId="2" applyNumberFormat="1" applyFont="1" applyBorder="1" applyProtection="1">
      <protection hidden="1"/>
    </xf>
    <xf numFmtId="168" fontId="5" fillId="0" borderId="0" xfId="2" applyNumberFormat="1" applyFont="1" applyFill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10" fontId="5" fillId="0" borderId="1" xfId="2" applyNumberFormat="1" applyFont="1" applyBorder="1" applyProtection="1">
      <protection hidden="1"/>
    </xf>
    <xf numFmtId="10" fontId="2" fillId="0" borderId="1" xfId="2" applyNumberFormat="1" applyFont="1" applyBorder="1" applyProtection="1">
      <protection hidden="1"/>
    </xf>
    <xf numFmtId="4" fontId="5" fillId="0" borderId="1" xfId="2" applyNumberFormat="1" applyFont="1" applyFill="1" applyBorder="1" applyProtection="1">
      <protection hidden="1"/>
    </xf>
    <xf numFmtId="4" fontId="2" fillId="0" borderId="1" xfId="2" applyNumberFormat="1" applyFont="1" applyFill="1" applyBorder="1" applyProtection="1">
      <protection hidden="1"/>
    </xf>
    <xf numFmtId="14" fontId="2" fillId="0" borderId="20" xfId="0" applyNumberFormat="1" applyFont="1" applyBorder="1" applyAlignment="1" applyProtection="1">
      <alignment horizontal="center" wrapText="1"/>
      <protection hidden="1"/>
    </xf>
    <xf numFmtId="2" fontId="2" fillId="9" borderId="1" xfId="0" applyNumberFormat="1" applyFont="1" applyFill="1" applyBorder="1" applyProtection="1">
      <protection locked="0" hidden="1"/>
    </xf>
    <xf numFmtId="164" fontId="2" fillId="9" borderId="1" xfId="3" applyFont="1" applyFill="1" applyBorder="1" applyProtection="1">
      <protection locked="0"/>
    </xf>
    <xf numFmtId="167" fontId="2" fillId="9" borderId="1" xfId="3" applyNumberFormat="1" applyFont="1" applyFill="1" applyBorder="1" applyProtection="1">
      <protection locked="0"/>
    </xf>
    <xf numFmtId="0" fontId="2" fillId="4" borderId="21" xfId="0" applyFont="1" applyFill="1" applyBorder="1" applyProtection="1">
      <protection locked="0" hidden="1"/>
    </xf>
    <xf numFmtId="4" fontId="2" fillId="4" borderId="22" xfId="3" applyNumberFormat="1" applyFont="1" applyFill="1" applyBorder="1" applyProtection="1">
      <protection locked="0"/>
    </xf>
    <xf numFmtId="10" fontId="5" fillId="0" borderId="22" xfId="2" applyNumberFormat="1" applyFont="1" applyFill="1" applyBorder="1" applyAlignment="1" applyProtection="1">
      <alignment horizontal="center"/>
      <protection hidden="1"/>
    </xf>
    <xf numFmtId="164" fontId="2" fillId="0" borderId="22" xfId="0" applyNumberFormat="1" applyFont="1" applyBorder="1" applyProtection="1">
      <protection hidden="1"/>
    </xf>
    <xf numFmtId="167" fontId="2" fillId="0" borderId="22" xfId="0" applyNumberFormat="1" applyFont="1" applyBorder="1" applyProtection="1">
      <protection hidden="1"/>
    </xf>
    <xf numFmtId="168" fontId="2" fillId="4" borderId="22" xfId="2" applyNumberFormat="1" applyFont="1" applyFill="1" applyBorder="1" applyProtection="1">
      <protection locked="0" hidden="1"/>
    </xf>
    <xf numFmtId="2" fontId="2" fillId="0" borderId="22" xfId="0" applyNumberFormat="1" applyFont="1" applyBorder="1" applyProtection="1">
      <protection hidden="1"/>
    </xf>
    <xf numFmtId="2" fontId="2" fillId="4" borderId="23" xfId="0" applyNumberFormat="1" applyFont="1" applyFill="1" applyBorder="1" applyProtection="1">
      <protection hidden="1"/>
    </xf>
    <xf numFmtId="0" fontId="2" fillId="8" borderId="14" xfId="0" applyFont="1" applyFill="1" applyBorder="1" applyProtection="1">
      <protection hidden="1"/>
    </xf>
    <xf numFmtId="2" fontId="2" fillId="8" borderId="1" xfId="0" applyNumberFormat="1" applyFont="1" applyFill="1" applyBorder="1" applyAlignment="1" applyProtection="1">
      <alignment horizontal="center"/>
      <protection hidden="1"/>
    </xf>
    <xf numFmtId="166" fontId="2" fillId="7" borderId="1" xfId="3" applyNumberFormat="1" applyFont="1" applyFill="1" applyBorder="1" applyProtection="1">
      <protection hidden="1"/>
    </xf>
    <xf numFmtId="0" fontId="5" fillId="7" borderId="1" xfId="0" applyFont="1" applyFill="1" applyBorder="1" applyProtection="1">
      <protection hidden="1"/>
    </xf>
    <xf numFmtId="167" fontId="2" fillId="7" borderId="1" xfId="3" applyNumberFormat="1" applyFont="1" applyFill="1" applyBorder="1" applyProtection="1">
      <protection hidden="1"/>
    </xf>
    <xf numFmtId="4" fontId="5" fillId="0" borderId="1" xfId="0" applyNumberFormat="1" applyFont="1" applyBorder="1" applyProtection="1">
      <protection hidden="1"/>
    </xf>
    <xf numFmtId="4" fontId="2" fillId="0" borderId="1" xfId="0" applyNumberFormat="1" applyFont="1" applyBorder="1" applyProtection="1">
      <protection hidden="1"/>
    </xf>
    <xf numFmtId="3" fontId="2" fillId="0" borderId="0" xfId="0" applyNumberFormat="1" applyFont="1" applyAlignment="1" applyProtection="1">
      <alignment horizontal="right"/>
      <protection hidden="1"/>
    </xf>
    <xf numFmtId="3" fontId="2" fillId="0" borderId="1" xfId="0" applyNumberFormat="1" applyFont="1" applyBorder="1" applyAlignment="1" applyProtection="1">
      <alignment horizontal="right"/>
      <protection hidden="1"/>
    </xf>
    <xf numFmtId="2" fontId="2" fillId="10" borderId="1" xfId="0" applyNumberFormat="1" applyFont="1" applyFill="1" applyBorder="1" applyAlignment="1" applyProtection="1">
      <alignment horizontal="center"/>
      <protection hidden="1"/>
    </xf>
    <xf numFmtId="49" fontId="2" fillId="10" borderId="1" xfId="2" applyNumberFormat="1" applyFont="1" applyFill="1" applyBorder="1" applyAlignment="1" applyProtection="1">
      <alignment horizontal="center"/>
      <protection hidden="1"/>
    </xf>
    <xf numFmtId="49" fontId="2" fillId="11" borderId="1" xfId="2" applyNumberFormat="1" applyFont="1" applyFill="1" applyBorder="1" applyAlignment="1" applyProtection="1">
      <alignment horizontal="center"/>
      <protection hidden="1"/>
    </xf>
    <xf numFmtId="49" fontId="2" fillId="12" borderId="1" xfId="2" applyNumberFormat="1" applyFont="1" applyFill="1" applyBorder="1" applyAlignment="1" applyProtection="1">
      <alignment horizontal="center"/>
      <protection hidden="1"/>
    </xf>
    <xf numFmtId="4" fontId="4" fillId="13" borderId="1" xfId="2" applyNumberFormat="1" applyFont="1" applyFill="1" applyBorder="1" applyProtection="1">
      <protection hidden="1"/>
    </xf>
    <xf numFmtId="10" fontId="5" fillId="13" borderId="1" xfId="2" applyNumberFormat="1" applyFont="1" applyFill="1" applyBorder="1" applyAlignment="1" applyProtection="1">
      <alignment horizontal="center"/>
      <protection hidden="1"/>
    </xf>
    <xf numFmtId="2" fontId="2" fillId="0" borderId="4" xfId="0" applyNumberFormat="1" applyFont="1" applyBorder="1" applyAlignment="1" applyProtection="1">
      <alignment horizontal="left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10" fontId="5" fillId="14" borderId="1" xfId="2" applyNumberFormat="1" applyFont="1" applyFill="1" applyBorder="1" applyAlignment="1" applyProtection="1">
      <alignment horizontal="center"/>
      <protection hidden="1"/>
    </xf>
    <xf numFmtId="2" fontId="5" fillId="15" borderId="1" xfId="0" applyNumberFormat="1" applyFont="1" applyFill="1" applyBorder="1" applyProtection="1">
      <protection hidden="1"/>
    </xf>
    <xf numFmtId="3" fontId="5" fillId="15" borderId="1" xfId="0" applyNumberFormat="1" applyFont="1" applyFill="1" applyBorder="1" applyAlignment="1" applyProtection="1">
      <alignment horizontal="right"/>
      <protection hidden="1"/>
    </xf>
    <xf numFmtId="4" fontId="5" fillId="15" borderId="1" xfId="0" applyNumberFormat="1" applyFont="1" applyFill="1" applyBorder="1" applyProtection="1">
      <protection hidden="1"/>
    </xf>
    <xf numFmtId="4" fontId="5" fillId="14" borderId="1" xfId="3" applyNumberFormat="1" applyFont="1" applyFill="1" applyBorder="1" applyProtection="1">
      <protection locked="0"/>
    </xf>
    <xf numFmtId="10" fontId="17" fillId="16" borderId="1" xfId="2" applyNumberFormat="1" applyFont="1" applyFill="1" applyBorder="1" applyAlignment="1" applyProtection="1">
      <alignment horizontal="center"/>
      <protection hidden="1"/>
    </xf>
    <xf numFmtId="0" fontId="17" fillId="16" borderId="1" xfId="0" applyFont="1" applyFill="1" applyBorder="1" applyProtection="1">
      <protection hidden="1"/>
    </xf>
    <xf numFmtId="3" fontId="17" fillId="16" borderId="1" xfId="0" applyNumberFormat="1" applyFont="1" applyFill="1" applyBorder="1" applyAlignment="1" applyProtection="1">
      <alignment horizontal="right"/>
      <protection hidden="1"/>
    </xf>
    <xf numFmtId="4" fontId="17" fillId="16" borderId="1" xfId="0" applyNumberFormat="1" applyFont="1" applyFill="1" applyBorder="1" applyProtection="1">
      <protection hidden="1"/>
    </xf>
    <xf numFmtId="2" fontId="17" fillId="17" borderId="1" xfId="0" applyNumberFormat="1" applyFont="1" applyFill="1" applyBorder="1" applyAlignment="1" applyProtection="1">
      <alignment horizontal="center"/>
      <protection hidden="1"/>
    </xf>
    <xf numFmtId="3" fontId="17" fillId="17" borderId="1" xfId="0" applyNumberFormat="1" applyFont="1" applyFill="1" applyBorder="1" applyAlignment="1" applyProtection="1">
      <alignment horizontal="right"/>
      <protection hidden="1"/>
    </xf>
    <xf numFmtId="4" fontId="17" fillId="17" borderId="1" xfId="0" applyNumberFormat="1" applyFont="1" applyFill="1" applyBorder="1" applyProtection="1">
      <protection hidden="1"/>
    </xf>
    <xf numFmtId="0" fontId="17" fillId="17" borderId="1" xfId="0" applyFont="1" applyFill="1" applyBorder="1" applyAlignment="1" applyProtection="1">
      <alignment horizontal="center"/>
      <protection hidden="1"/>
    </xf>
    <xf numFmtId="0" fontId="17" fillId="17" borderId="14" xfId="0" applyFont="1" applyFill="1" applyBorder="1" applyProtection="1">
      <protection hidden="1"/>
    </xf>
    <xf numFmtId="0" fontId="18" fillId="17" borderId="14" xfId="0" applyFont="1" applyFill="1" applyBorder="1" applyAlignment="1" applyProtection="1">
      <alignment horizontal="left"/>
      <protection hidden="1"/>
    </xf>
    <xf numFmtId="10" fontId="19" fillId="10" borderId="1" xfId="2" applyNumberFormat="1" applyFont="1" applyFill="1" applyBorder="1" applyAlignment="1" applyProtection="1">
      <alignment horizontal="center"/>
      <protection hidden="1"/>
    </xf>
    <xf numFmtId="0" fontId="17" fillId="17" borderId="0" xfId="0" applyFont="1" applyFill="1" applyAlignment="1" applyProtection="1">
      <alignment horizontal="center"/>
      <protection hidden="1"/>
    </xf>
    <xf numFmtId="9" fontId="19" fillId="10" borderId="1" xfId="2" applyFont="1" applyFill="1" applyBorder="1" applyAlignment="1" applyProtection="1">
      <alignment horizontal="center"/>
      <protection hidden="1"/>
    </xf>
    <xf numFmtId="168" fontId="19" fillId="10" borderId="1" xfId="2" applyNumberFormat="1" applyFont="1" applyFill="1" applyBorder="1" applyAlignment="1" applyProtection="1">
      <alignment horizontal="center"/>
      <protection hidden="1"/>
    </xf>
    <xf numFmtId="0" fontId="19" fillId="10" borderId="0" xfId="0" applyFont="1" applyFill="1" applyAlignment="1" applyProtection="1">
      <alignment horizontal="center"/>
      <protection locked="0" hidden="1"/>
    </xf>
    <xf numFmtId="0" fontId="4" fillId="18" borderId="0" xfId="0" applyFont="1" applyFill="1" applyProtection="1">
      <protection hidden="1"/>
    </xf>
    <xf numFmtId="0" fontId="16" fillId="18" borderId="0" xfId="0" applyFont="1" applyFill="1" applyProtection="1">
      <protection hidden="1"/>
    </xf>
    <xf numFmtId="2" fontId="3" fillId="13" borderId="8" xfId="0" applyNumberFormat="1" applyFont="1" applyFill="1" applyBorder="1" applyProtection="1">
      <protection hidden="1"/>
    </xf>
    <xf numFmtId="10" fontId="2" fillId="13" borderId="9" xfId="2" applyNumberFormat="1" applyFont="1" applyFill="1" applyBorder="1" applyProtection="1">
      <protection hidden="1"/>
    </xf>
    <xf numFmtId="10" fontId="17" fillId="17" borderId="1" xfId="2" applyNumberFormat="1" applyFont="1" applyFill="1" applyBorder="1" applyAlignment="1" applyProtection="1">
      <alignment horizontal="center"/>
      <protection hidden="1"/>
    </xf>
    <xf numFmtId="10" fontId="17" fillId="19" borderId="1" xfId="2" applyNumberFormat="1" applyFont="1" applyFill="1" applyBorder="1" applyAlignment="1" applyProtection="1">
      <alignment horizontal="center"/>
      <protection hidden="1"/>
    </xf>
    <xf numFmtId="10" fontId="2" fillId="13" borderId="11" xfId="2" applyNumberFormat="1" applyFont="1" applyFill="1" applyBorder="1" applyProtection="1">
      <protection hidden="1"/>
    </xf>
    <xf numFmtId="0" fontId="16" fillId="13" borderId="0" xfId="0" applyFont="1" applyFill="1" applyProtection="1">
      <protection hidden="1"/>
    </xf>
    <xf numFmtId="10" fontId="20" fillId="18" borderId="9" xfId="2" applyNumberFormat="1" applyFont="1" applyFill="1" applyBorder="1" applyProtection="1">
      <protection hidden="1"/>
    </xf>
    <xf numFmtId="10" fontId="5" fillId="19" borderId="1" xfId="2" applyNumberFormat="1" applyFont="1" applyFill="1" applyBorder="1" applyAlignment="1" applyProtection="1">
      <alignment horizontal="center"/>
      <protection hidden="1"/>
    </xf>
    <xf numFmtId="164" fontId="2" fillId="19" borderId="1" xfId="0" applyNumberFormat="1" applyFont="1" applyFill="1" applyBorder="1" applyProtection="1">
      <protection hidden="1"/>
    </xf>
    <xf numFmtId="167" fontId="2" fillId="19" borderId="1" xfId="0" applyNumberFormat="1" applyFont="1" applyFill="1" applyBorder="1" applyProtection="1">
      <protection hidden="1"/>
    </xf>
    <xf numFmtId="168" fontId="2" fillId="19" borderId="1" xfId="2" applyNumberFormat="1" applyFont="1" applyFill="1" applyBorder="1" applyProtection="1">
      <protection hidden="1"/>
    </xf>
    <xf numFmtId="2" fontId="2" fillId="19" borderId="1" xfId="0" applyNumberFormat="1" applyFont="1" applyFill="1" applyBorder="1" applyProtection="1">
      <protection hidden="1"/>
    </xf>
    <xf numFmtId="4" fontId="2" fillId="19" borderId="1" xfId="0" applyNumberFormat="1" applyFont="1" applyFill="1" applyBorder="1" applyProtection="1">
      <protection hidden="1"/>
    </xf>
    <xf numFmtId="10" fontId="2" fillId="19" borderId="1" xfId="2" applyNumberFormat="1" applyFont="1" applyFill="1" applyBorder="1" applyProtection="1">
      <protection hidden="1"/>
    </xf>
    <xf numFmtId="4" fontId="4" fillId="19" borderId="1" xfId="2" applyNumberFormat="1" applyFont="1" applyFill="1" applyBorder="1" applyProtection="1">
      <protection hidden="1"/>
    </xf>
    <xf numFmtId="4" fontId="2" fillId="19" borderId="1" xfId="2" applyNumberFormat="1" applyFont="1" applyFill="1" applyBorder="1" applyProtection="1">
      <protection hidden="1"/>
    </xf>
    <xf numFmtId="4" fontId="7" fillId="19" borderId="1" xfId="2" applyNumberFormat="1" applyFont="1" applyFill="1" applyBorder="1" applyProtection="1">
      <protection hidden="1"/>
    </xf>
    <xf numFmtId="168" fontId="2" fillId="19" borderId="0" xfId="2" applyNumberFormat="1" applyFont="1" applyFill="1" applyBorder="1" applyAlignment="1" applyProtection="1">
      <alignment horizontal="center"/>
      <protection hidden="1"/>
    </xf>
    <xf numFmtId="3" fontId="2" fillId="19" borderId="1" xfId="0" applyNumberFormat="1" applyFont="1" applyFill="1" applyBorder="1" applyAlignment="1" applyProtection="1">
      <alignment horizontal="right"/>
      <protection hidden="1"/>
    </xf>
    <xf numFmtId="10" fontId="2" fillId="19" borderId="1" xfId="2" applyNumberFormat="1" applyFont="1" applyFill="1" applyBorder="1" applyAlignment="1" applyProtection="1">
      <alignment horizontal="center"/>
      <protection hidden="1"/>
    </xf>
    <xf numFmtId="14" fontId="2" fillId="19" borderId="20" xfId="0" applyNumberFormat="1" applyFont="1" applyFill="1" applyBorder="1" applyAlignment="1" applyProtection="1">
      <alignment horizontal="center" wrapText="1"/>
      <protection hidden="1"/>
    </xf>
    <xf numFmtId="168" fontId="19" fillId="19" borderId="1" xfId="2" applyNumberFormat="1" applyFont="1" applyFill="1" applyBorder="1" applyAlignment="1" applyProtection="1">
      <alignment horizontal="center"/>
      <protection hidden="1"/>
    </xf>
    <xf numFmtId="0" fontId="2" fillId="19" borderId="0" xfId="0" applyFont="1" applyFill="1" applyAlignment="1" applyProtection="1">
      <alignment horizontal="left"/>
      <protection hidden="1"/>
    </xf>
    <xf numFmtId="0" fontId="2" fillId="19" borderId="0" xfId="0" applyFont="1" applyFill="1" applyAlignment="1" applyProtection="1">
      <alignment horizontal="center"/>
      <protection hidden="1"/>
    </xf>
    <xf numFmtId="9" fontId="2" fillId="19" borderId="0" xfId="2" applyFont="1" applyFill="1" applyAlignment="1" applyProtection="1">
      <alignment horizontal="center"/>
      <protection hidden="1"/>
    </xf>
    <xf numFmtId="0" fontId="2" fillId="19" borderId="0" xfId="0" applyFont="1" applyFill="1" applyProtection="1">
      <protection hidden="1"/>
    </xf>
    <xf numFmtId="0" fontId="0" fillId="19" borderId="0" xfId="0" applyFill="1" applyProtection="1">
      <protection hidden="1"/>
    </xf>
    <xf numFmtId="4" fontId="2" fillId="19" borderId="0" xfId="0" applyNumberFormat="1" applyFont="1" applyFill="1" applyProtection="1">
      <protection hidden="1"/>
    </xf>
    <xf numFmtId="2" fontId="2" fillId="19" borderId="0" xfId="0" applyNumberFormat="1" applyFont="1" applyFill="1" applyProtection="1">
      <protection hidden="1"/>
    </xf>
    <xf numFmtId="2" fontId="2" fillId="13" borderId="1" xfId="0" applyNumberFormat="1" applyFont="1" applyFill="1" applyBorder="1" applyProtection="1">
      <protection hidden="1"/>
    </xf>
    <xf numFmtId="0" fontId="14" fillId="0" borderId="1" xfId="0" applyFont="1" applyBorder="1" applyProtection="1">
      <protection hidden="1"/>
    </xf>
    <xf numFmtId="0" fontId="15" fillId="0" borderId="1" xfId="0" applyFont="1" applyBorder="1" applyProtection="1">
      <protection hidden="1"/>
    </xf>
    <xf numFmtId="0" fontId="15" fillId="2" borderId="1" xfId="0" applyFont="1" applyFill="1" applyBorder="1" applyProtection="1">
      <protection hidden="1"/>
    </xf>
    <xf numFmtId="2" fontId="15" fillId="0" borderId="0" xfId="0" applyNumberFormat="1" applyFont="1" applyProtection="1">
      <protection hidden="1"/>
    </xf>
    <xf numFmtId="2" fontId="15" fillId="9" borderId="1" xfId="0" applyNumberFormat="1" applyFont="1" applyFill="1" applyBorder="1" applyProtection="1">
      <protection locked="0" hidden="1"/>
    </xf>
    <xf numFmtId="0" fontId="15" fillId="19" borderId="1" xfId="0" applyFont="1" applyFill="1" applyBorder="1" applyProtection="1">
      <protection hidden="1"/>
    </xf>
    <xf numFmtId="0" fontId="15" fillId="13" borderId="1" xfId="0" applyFont="1" applyFill="1" applyBorder="1" applyProtection="1">
      <protection hidden="1"/>
    </xf>
    <xf numFmtId="164" fontId="2" fillId="13" borderId="1" xfId="0" applyNumberFormat="1" applyFont="1" applyFill="1" applyBorder="1" applyProtection="1">
      <protection hidden="1"/>
    </xf>
    <xf numFmtId="167" fontId="2" fillId="13" borderId="1" xfId="0" applyNumberFormat="1" applyFont="1" applyFill="1" applyBorder="1" applyProtection="1">
      <protection hidden="1"/>
    </xf>
    <xf numFmtId="168" fontId="2" fillId="13" borderId="1" xfId="2" applyNumberFormat="1" applyFont="1" applyFill="1" applyBorder="1" applyProtection="1">
      <protection hidden="1"/>
    </xf>
    <xf numFmtId="4" fontId="2" fillId="13" borderId="1" xfId="0" applyNumberFormat="1" applyFont="1" applyFill="1" applyBorder="1" applyProtection="1">
      <protection hidden="1"/>
    </xf>
    <xf numFmtId="10" fontId="2" fillId="13" borderId="1" xfId="2" applyNumberFormat="1" applyFont="1" applyFill="1" applyBorder="1" applyProtection="1">
      <protection hidden="1"/>
    </xf>
    <xf numFmtId="4" fontId="2" fillId="13" borderId="1" xfId="2" applyNumberFormat="1" applyFont="1" applyFill="1" applyBorder="1" applyProtection="1">
      <protection hidden="1"/>
    </xf>
    <xf numFmtId="168" fontId="2" fillId="13" borderId="0" xfId="2" applyNumberFormat="1" applyFont="1" applyFill="1" applyBorder="1" applyAlignment="1" applyProtection="1">
      <alignment horizontal="center"/>
      <protection hidden="1"/>
    </xf>
    <xf numFmtId="3" fontId="2" fillId="13" borderId="1" xfId="0" applyNumberFormat="1" applyFont="1" applyFill="1" applyBorder="1" applyAlignment="1" applyProtection="1">
      <alignment horizontal="right"/>
      <protection hidden="1"/>
    </xf>
    <xf numFmtId="10" fontId="2" fillId="13" borderId="1" xfId="2" applyNumberFormat="1" applyFont="1" applyFill="1" applyBorder="1" applyAlignment="1" applyProtection="1">
      <alignment horizontal="center"/>
      <protection hidden="1"/>
    </xf>
    <xf numFmtId="14" fontId="2" fillId="13" borderId="20" xfId="0" applyNumberFormat="1" applyFont="1" applyFill="1" applyBorder="1" applyAlignment="1" applyProtection="1">
      <alignment horizontal="center" wrapText="1"/>
      <protection hidden="1"/>
    </xf>
    <xf numFmtId="168" fontId="19" fillId="13" borderId="1" xfId="2" applyNumberFormat="1" applyFont="1" applyFill="1" applyBorder="1" applyAlignment="1" applyProtection="1">
      <alignment horizontal="center"/>
      <protection hidden="1"/>
    </xf>
    <xf numFmtId="0" fontId="2" fillId="13" borderId="0" xfId="0" applyFont="1" applyFill="1" applyProtection="1">
      <protection hidden="1"/>
    </xf>
    <xf numFmtId="0" fontId="0" fillId="13" borderId="0" xfId="0" applyFill="1" applyProtection="1">
      <protection hidden="1"/>
    </xf>
    <xf numFmtId="4" fontId="2" fillId="13" borderId="0" xfId="0" applyNumberFormat="1" applyFont="1" applyFill="1" applyProtection="1">
      <protection hidden="1"/>
    </xf>
    <xf numFmtId="2" fontId="2" fillId="13" borderId="0" xfId="0" applyNumberFormat="1" applyFont="1" applyFill="1" applyProtection="1">
      <protection hidden="1"/>
    </xf>
    <xf numFmtId="9" fontId="2" fillId="19" borderId="0" xfId="2" applyFont="1" applyFill="1" applyProtection="1">
      <protection hidden="1"/>
    </xf>
    <xf numFmtId="164" fontId="5" fillId="19" borderId="1" xfId="0" applyNumberFormat="1" applyFont="1" applyFill="1" applyBorder="1" applyProtection="1">
      <protection hidden="1"/>
    </xf>
    <xf numFmtId="167" fontId="5" fillId="19" borderId="1" xfId="0" applyNumberFormat="1" applyFont="1" applyFill="1" applyBorder="1" applyProtection="1">
      <protection hidden="1"/>
    </xf>
    <xf numFmtId="168" fontId="5" fillId="19" borderId="1" xfId="2" applyNumberFormat="1" applyFont="1" applyFill="1" applyBorder="1" applyProtection="1">
      <protection hidden="1"/>
    </xf>
    <xf numFmtId="2" fontId="5" fillId="19" borderId="1" xfId="0" applyNumberFormat="1" applyFont="1" applyFill="1" applyBorder="1" applyProtection="1">
      <protection hidden="1"/>
    </xf>
    <xf numFmtId="10" fontId="5" fillId="19" borderId="1" xfId="2" applyNumberFormat="1" applyFont="1" applyFill="1" applyBorder="1" applyProtection="1">
      <protection hidden="1"/>
    </xf>
    <xf numFmtId="3" fontId="5" fillId="19" borderId="1" xfId="0" applyNumberFormat="1" applyFont="1" applyFill="1" applyBorder="1" applyAlignment="1" applyProtection="1">
      <alignment horizontal="right"/>
      <protection hidden="1"/>
    </xf>
    <xf numFmtId="4" fontId="5" fillId="19" borderId="1" xfId="0" applyNumberFormat="1" applyFont="1" applyFill="1" applyBorder="1" applyProtection="1">
      <protection hidden="1"/>
    </xf>
    <xf numFmtId="0" fontId="5" fillId="19" borderId="0" xfId="0" applyFont="1" applyFill="1" applyProtection="1">
      <protection hidden="1"/>
    </xf>
    <xf numFmtId="9" fontId="5" fillId="19" borderId="0" xfId="2" applyFont="1" applyFill="1" applyProtection="1">
      <protection hidden="1"/>
    </xf>
    <xf numFmtId="0" fontId="7" fillId="19" borderId="0" xfId="0" applyFont="1" applyFill="1" applyProtection="1">
      <protection hidden="1"/>
    </xf>
    <xf numFmtId="4" fontId="5" fillId="19" borderId="0" xfId="0" applyNumberFormat="1" applyFont="1" applyFill="1" applyProtection="1">
      <protection hidden="1"/>
    </xf>
    <xf numFmtId="2" fontId="5" fillId="19" borderId="0" xfId="0" applyNumberFormat="1" applyFont="1" applyFill="1" applyProtection="1">
      <protection hidden="1"/>
    </xf>
    <xf numFmtId="0" fontId="14" fillId="14" borderId="1" xfId="0" applyFont="1" applyFill="1" applyBorder="1" applyProtection="1">
      <protection hidden="1"/>
    </xf>
    <xf numFmtId="0" fontId="15" fillId="20" borderId="1" xfId="0" applyFont="1" applyFill="1" applyBorder="1" applyProtection="1">
      <protection hidden="1"/>
    </xf>
    <xf numFmtId="0" fontId="21" fillId="0" borderId="0" xfId="0" applyFont="1"/>
    <xf numFmtId="0" fontId="22" fillId="0" borderId="0" xfId="0" applyFont="1" applyAlignment="1" applyProtection="1">
      <alignment horizontal="center"/>
      <protection hidden="1"/>
    </xf>
    <xf numFmtId="0" fontId="24" fillId="17" borderId="1" xfId="0" applyFont="1" applyFill="1" applyBorder="1" applyAlignment="1" applyProtection="1">
      <alignment horizontal="center"/>
      <protection hidden="1"/>
    </xf>
    <xf numFmtId="3" fontId="24" fillId="14" borderId="1" xfId="3" applyNumberFormat="1" applyFont="1" applyFill="1" applyBorder="1" applyAlignment="1" applyProtection="1">
      <alignment horizontal="center"/>
      <protection locked="0"/>
    </xf>
    <xf numFmtId="3" fontId="24" fillId="10" borderId="1" xfId="3" applyNumberFormat="1" applyFont="1" applyFill="1" applyBorder="1" applyAlignment="1" applyProtection="1">
      <alignment horizontal="center"/>
      <protection locked="0"/>
    </xf>
    <xf numFmtId="3" fontId="24" fillId="19" borderId="1" xfId="3" applyNumberFormat="1" applyFont="1" applyFill="1" applyBorder="1" applyAlignment="1" applyProtection="1">
      <alignment horizontal="center"/>
      <protection locked="0"/>
    </xf>
    <xf numFmtId="3" fontId="24" fillId="13" borderId="1" xfId="3" applyNumberFormat="1" applyFont="1" applyFill="1" applyBorder="1" applyAlignment="1" applyProtection="1">
      <alignment horizontal="center"/>
      <protection locked="0"/>
    </xf>
    <xf numFmtId="3" fontId="24" fillId="16" borderId="1" xfId="3" applyNumberFormat="1" applyFont="1" applyFill="1" applyBorder="1" applyAlignment="1" applyProtection="1">
      <alignment horizontal="center"/>
      <protection locked="0"/>
    </xf>
    <xf numFmtId="3" fontId="22" fillId="0" borderId="0" xfId="0" applyNumberFormat="1" applyFont="1" applyAlignment="1" applyProtection="1">
      <alignment horizontal="center"/>
      <protection hidden="1"/>
    </xf>
    <xf numFmtId="3" fontId="22" fillId="4" borderId="22" xfId="3" applyNumberFormat="1" applyFont="1" applyFill="1" applyBorder="1" applyAlignment="1" applyProtection="1">
      <alignment horizontal="center"/>
      <protection locked="0"/>
    </xf>
    <xf numFmtId="165" fontId="21" fillId="0" borderId="0" xfId="1" applyFont="1"/>
    <xf numFmtId="9" fontId="21" fillId="0" borderId="0" xfId="2" applyFont="1" applyAlignment="1">
      <alignment horizontal="center"/>
    </xf>
    <xf numFmtId="0" fontId="2" fillId="13" borderId="1" xfId="0" applyFont="1" applyFill="1" applyBorder="1" applyAlignment="1" applyProtection="1">
      <alignment horizontal="center"/>
      <protection hidden="1"/>
    </xf>
    <xf numFmtId="9" fontId="2" fillId="13" borderId="0" xfId="2" applyFont="1" applyFill="1" applyProtection="1">
      <protection hidden="1"/>
    </xf>
    <xf numFmtId="167" fontId="2" fillId="13" borderId="1" xfId="3" applyNumberFormat="1" applyFont="1" applyFill="1" applyBorder="1" applyProtection="1">
      <protection hidden="1"/>
    </xf>
    <xf numFmtId="3" fontId="24" fillId="20" borderId="1" xfId="3" applyNumberFormat="1" applyFont="1" applyFill="1" applyBorder="1" applyAlignment="1" applyProtection="1">
      <alignment horizontal="center"/>
      <protection locked="0"/>
    </xf>
    <xf numFmtId="10" fontId="5" fillId="20" borderId="1" xfId="2" applyNumberFormat="1" applyFont="1" applyFill="1" applyBorder="1" applyAlignment="1" applyProtection="1">
      <alignment horizontal="center"/>
      <protection hidden="1"/>
    </xf>
    <xf numFmtId="164" fontId="2" fillId="20" borderId="1" xfId="0" applyNumberFormat="1" applyFont="1" applyFill="1" applyBorder="1" applyProtection="1">
      <protection hidden="1"/>
    </xf>
    <xf numFmtId="167" fontId="2" fillId="20" borderId="1" xfId="0" applyNumberFormat="1" applyFont="1" applyFill="1" applyBorder="1" applyProtection="1">
      <protection hidden="1"/>
    </xf>
    <xf numFmtId="168" fontId="2" fillId="20" borderId="1" xfId="2" applyNumberFormat="1" applyFont="1" applyFill="1" applyBorder="1" applyProtection="1">
      <protection hidden="1"/>
    </xf>
    <xf numFmtId="2" fontId="2" fillId="20" borderId="1" xfId="0" applyNumberFormat="1" applyFont="1" applyFill="1" applyBorder="1" applyProtection="1">
      <protection hidden="1"/>
    </xf>
    <xf numFmtId="4" fontId="2" fillId="20" borderId="1" xfId="0" applyNumberFormat="1" applyFont="1" applyFill="1" applyBorder="1" applyProtection="1">
      <protection hidden="1"/>
    </xf>
    <xf numFmtId="10" fontId="2" fillId="20" borderId="1" xfId="2" applyNumberFormat="1" applyFont="1" applyFill="1" applyBorder="1" applyProtection="1">
      <protection hidden="1"/>
    </xf>
    <xf numFmtId="4" fontId="4" fillId="20" borderId="1" xfId="2" applyNumberFormat="1" applyFont="1" applyFill="1" applyBorder="1" applyProtection="1">
      <protection hidden="1"/>
    </xf>
    <xf numFmtId="4" fontId="2" fillId="20" borderId="1" xfId="2" applyNumberFormat="1" applyFont="1" applyFill="1" applyBorder="1" applyProtection="1">
      <protection hidden="1"/>
    </xf>
    <xf numFmtId="168" fontId="2" fillId="20" borderId="0" xfId="2" applyNumberFormat="1" applyFont="1" applyFill="1" applyBorder="1" applyAlignment="1" applyProtection="1">
      <alignment horizontal="center"/>
      <protection hidden="1"/>
    </xf>
    <xf numFmtId="3" fontId="2" fillId="20" borderId="1" xfId="0" applyNumberFormat="1" applyFont="1" applyFill="1" applyBorder="1" applyAlignment="1" applyProtection="1">
      <alignment horizontal="right"/>
      <protection hidden="1"/>
    </xf>
    <xf numFmtId="10" fontId="2" fillId="20" borderId="1" xfId="2" applyNumberFormat="1" applyFont="1" applyFill="1" applyBorder="1" applyAlignment="1" applyProtection="1">
      <alignment horizontal="center"/>
      <protection hidden="1"/>
    </xf>
    <xf numFmtId="14" fontId="2" fillId="20" borderId="20" xfId="0" applyNumberFormat="1" applyFont="1" applyFill="1" applyBorder="1" applyAlignment="1" applyProtection="1">
      <alignment horizontal="center" wrapText="1"/>
      <protection hidden="1"/>
    </xf>
    <xf numFmtId="168" fontId="19" fillId="20" borderId="1" xfId="2" applyNumberFormat="1" applyFont="1" applyFill="1" applyBorder="1" applyAlignment="1" applyProtection="1">
      <alignment horizontal="center"/>
      <protection hidden="1"/>
    </xf>
    <xf numFmtId="0" fontId="2" fillId="20" borderId="0" xfId="0" applyFont="1" applyFill="1" applyProtection="1">
      <protection hidden="1"/>
    </xf>
    <xf numFmtId="10" fontId="17" fillId="20" borderId="1" xfId="2" applyNumberFormat="1" applyFont="1" applyFill="1" applyBorder="1" applyAlignment="1" applyProtection="1">
      <alignment horizontal="center"/>
      <protection hidden="1"/>
    </xf>
    <xf numFmtId="3" fontId="17" fillId="20" borderId="1" xfId="0" applyNumberFormat="1" applyFont="1" applyFill="1" applyBorder="1" applyAlignment="1" applyProtection="1">
      <alignment horizontal="right"/>
      <protection hidden="1"/>
    </xf>
    <xf numFmtId="4" fontId="17" fillId="20" borderId="1" xfId="0" applyNumberFormat="1" applyFont="1" applyFill="1" applyBorder="1" applyProtection="1">
      <protection hidden="1"/>
    </xf>
    <xf numFmtId="0" fontId="14" fillId="20" borderId="1" xfId="0" applyFont="1" applyFill="1" applyBorder="1" applyProtection="1">
      <protection hidden="1"/>
    </xf>
    <xf numFmtId="4" fontId="5" fillId="20" borderId="1" xfId="3" applyNumberFormat="1" applyFont="1" applyFill="1" applyBorder="1" applyProtection="1">
      <protection locked="0"/>
    </xf>
    <xf numFmtId="164" fontId="5" fillId="20" borderId="1" xfId="0" applyNumberFormat="1" applyFont="1" applyFill="1" applyBorder="1" applyProtection="1">
      <protection hidden="1"/>
    </xf>
    <xf numFmtId="167" fontId="5" fillId="20" borderId="1" xfId="0" applyNumberFormat="1" applyFont="1" applyFill="1" applyBorder="1" applyProtection="1">
      <protection hidden="1"/>
    </xf>
    <xf numFmtId="168" fontId="5" fillId="20" borderId="1" xfId="2" applyNumberFormat="1" applyFont="1" applyFill="1" applyBorder="1" applyProtection="1">
      <protection hidden="1"/>
    </xf>
    <xf numFmtId="2" fontId="5" fillId="20" borderId="1" xfId="0" applyNumberFormat="1" applyFont="1" applyFill="1" applyBorder="1" applyProtection="1">
      <protection hidden="1"/>
    </xf>
    <xf numFmtId="4" fontId="5" fillId="20" borderId="1" xfId="0" applyNumberFormat="1" applyFont="1" applyFill="1" applyBorder="1" applyProtection="1">
      <protection hidden="1"/>
    </xf>
    <xf numFmtId="10" fontId="5" fillId="20" borderId="1" xfId="2" applyNumberFormat="1" applyFont="1" applyFill="1" applyBorder="1" applyProtection="1">
      <protection hidden="1"/>
    </xf>
    <xf numFmtId="4" fontId="5" fillId="20" borderId="1" xfId="2" applyNumberFormat="1" applyFont="1" applyFill="1" applyBorder="1" applyProtection="1">
      <protection hidden="1"/>
    </xf>
    <xf numFmtId="168" fontId="5" fillId="20" borderId="0" xfId="2" applyNumberFormat="1" applyFont="1" applyFill="1" applyBorder="1" applyAlignment="1" applyProtection="1">
      <alignment horizontal="center"/>
      <protection hidden="1"/>
    </xf>
    <xf numFmtId="3" fontId="5" fillId="20" borderId="1" xfId="0" applyNumberFormat="1" applyFont="1" applyFill="1" applyBorder="1" applyAlignment="1" applyProtection="1">
      <alignment horizontal="right"/>
      <protection hidden="1"/>
    </xf>
    <xf numFmtId="10" fontId="19" fillId="20" borderId="1" xfId="2" applyNumberFormat="1" applyFont="1" applyFill="1" applyBorder="1" applyAlignment="1" applyProtection="1">
      <alignment horizontal="center"/>
      <protection hidden="1"/>
    </xf>
    <xf numFmtId="0" fontId="5" fillId="20" borderId="0" xfId="0" applyFont="1" applyFill="1" applyProtection="1">
      <protection hidden="1"/>
    </xf>
    <xf numFmtId="9" fontId="19" fillId="20" borderId="1" xfId="2" applyFont="1" applyFill="1" applyBorder="1" applyAlignment="1" applyProtection="1">
      <alignment horizontal="center"/>
      <protection hidden="1"/>
    </xf>
    <xf numFmtId="0" fontId="2" fillId="20" borderId="0" xfId="0" applyFont="1" applyFill="1" applyAlignment="1" applyProtection="1">
      <alignment horizontal="left"/>
      <protection hidden="1"/>
    </xf>
    <xf numFmtId="0" fontId="2" fillId="20" borderId="0" xfId="0" applyFont="1" applyFill="1" applyAlignment="1" applyProtection="1">
      <alignment horizontal="center"/>
      <protection hidden="1"/>
    </xf>
    <xf numFmtId="9" fontId="2" fillId="20" borderId="0" xfId="2" applyFont="1" applyFill="1" applyAlignment="1" applyProtection="1">
      <alignment horizontal="center"/>
      <protection hidden="1"/>
    </xf>
    <xf numFmtId="0" fontId="5" fillId="20" borderId="1" xfId="0" applyFont="1" applyFill="1" applyBorder="1" applyProtection="1">
      <protection hidden="1"/>
    </xf>
    <xf numFmtId="0" fontId="24" fillId="20" borderId="1" xfId="0" applyFont="1" applyFill="1" applyBorder="1" applyAlignment="1" applyProtection="1">
      <alignment horizontal="center"/>
      <protection hidden="1"/>
    </xf>
    <xf numFmtId="0" fontId="5" fillId="20" borderId="1" xfId="0" applyFont="1" applyFill="1" applyBorder="1" applyAlignment="1" applyProtection="1">
      <alignment horizontal="center"/>
      <protection hidden="1"/>
    </xf>
    <xf numFmtId="0" fontId="5" fillId="20" borderId="0" xfId="0" applyFont="1" applyFill="1" applyAlignment="1" applyProtection="1">
      <alignment horizontal="center"/>
      <protection hidden="1"/>
    </xf>
    <xf numFmtId="0" fontId="17" fillId="20" borderId="14" xfId="0" applyFont="1" applyFill="1" applyBorder="1" applyProtection="1">
      <protection hidden="1"/>
    </xf>
    <xf numFmtId="0" fontId="19" fillId="20" borderId="1" xfId="0" applyFont="1" applyFill="1" applyBorder="1" applyAlignment="1" applyProtection="1">
      <alignment horizontal="center"/>
      <protection hidden="1"/>
    </xf>
    <xf numFmtId="2" fontId="2" fillId="20" borderId="0" xfId="0" applyNumberFormat="1" applyFont="1" applyFill="1" applyAlignment="1" applyProtection="1">
      <alignment horizontal="left"/>
      <protection hidden="1"/>
    </xf>
    <xf numFmtId="164" fontId="5" fillId="20" borderId="1" xfId="3" applyFont="1" applyFill="1" applyBorder="1" applyProtection="1">
      <protection hidden="1"/>
    </xf>
    <xf numFmtId="167" fontId="2" fillId="19" borderId="1" xfId="3" applyNumberFormat="1" applyFont="1" applyFill="1" applyBorder="1" applyProtection="1">
      <protection hidden="1"/>
    </xf>
    <xf numFmtId="166" fontId="2" fillId="19" borderId="1" xfId="3" applyNumberFormat="1" applyFont="1" applyFill="1" applyBorder="1" applyProtection="1">
      <protection hidden="1"/>
    </xf>
    <xf numFmtId="0" fontId="25" fillId="14" borderId="1" xfId="0" applyFont="1" applyFill="1" applyBorder="1" applyProtection="1">
      <protection hidden="1"/>
    </xf>
    <xf numFmtId="10" fontId="24" fillId="14" borderId="1" xfId="2" applyNumberFormat="1" applyFont="1" applyFill="1" applyBorder="1" applyAlignment="1" applyProtection="1">
      <alignment horizontal="center"/>
      <protection hidden="1"/>
    </xf>
    <xf numFmtId="164" fontId="22" fillId="14" borderId="1" xfId="0" applyNumberFormat="1" applyFont="1" applyFill="1" applyBorder="1" applyProtection="1">
      <protection hidden="1"/>
    </xf>
    <xf numFmtId="167" fontId="22" fillId="14" borderId="1" xfId="0" applyNumberFormat="1" applyFont="1" applyFill="1" applyBorder="1" applyProtection="1">
      <protection hidden="1"/>
    </xf>
    <xf numFmtId="168" fontId="22" fillId="14" borderId="1" xfId="2" applyNumberFormat="1" applyFont="1" applyFill="1" applyBorder="1" applyProtection="1">
      <protection hidden="1"/>
    </xf>
    <xf numFmtId="2" fontId="22" fillId="14" borderId="1" xfId="0" applyNumberFormat="1" applyFont="1" applyFill="1" applyBorder="1" applyProtection="1">
      <protection hidden="1"/>
    </xf>
    <xf numFmtId="4" fontId="22" fillId="14" borderId="1" xfId="0" applyNumberFormat="1" applyFont="1" applyFill="1" applyBorder="1" applyProtection="1">
      <protection hidden="1"/>
    </xf>
    <xf numFmtId="10" fontId="22" fillId="14" borderId="1" xfId="2" applyNumberFormat="1" applyFont="1" applyFill="1" applyBorder="1" applyProtection="1">
      <protection hidden="1"/>
    </xf>
    <xf numFmtId="4" fontId="21" fillId="14" borderId="1" xfId="2" applyNumberFormat="1" applyFont="1" applyFill="1" applyBorder="1" applyProtection="1">
      <protection hidden="1"/>
    </xf>
    <xf numFmtId="4" fontId="22" fillId="14" borderId="1" xfId="2" applyNumberFormat="1" applyFont="1" applyFill="1" applyBorder="1" applyProtection="1">
      <protection hidden="1"/>
    </xf>
    <xf numFmtId="168" fontId="22" fillId="14" borderId="0" xfId="2" applyNumberFormat="1" applyFont="1" applyFill="1" applyBorder="1" applyAlignment="1" applyProtection="1">
      <alignment horizontal="center"/>
      <protection hidden="1"/>
    </xf>
    <xf numFmtId="0" fontId="24" fillId="14" borderId="1" xfId="0" applyFont="1" applyFill="1" applyBorder="1" applyProtection="1">
      <protection hidden="1"/>
    </xf>
    <xf numFmtId="3" fontId="24" fillId="14" borderId="1" xfId="0" applyNumberFormat="1" applyFont="1" applyFill="1" applyBorder="1" applyAlignment="1" applyProtection="1">
      <alignment horizontal="right"/>
      <protection hidden="1"/>
    </xf>
    <xf numFmtId="4" fontId="24" fillId="14" borderId="1" xfId="0" applyNumberFormat="1" applyFont="1" applyFill="1" applyBorder="1" applyProtection="1">
      <protection hidden="1"/>
    </xf>
    <xf numFmtId="14" fontId="22" fillId="14" borderId="20" xfId="0" applyNumberFormat="1" applyFont="1" applyFill="1" applyBorder="1" applyAlignment="1" applyProtection="1">
      <alignment horizontal="center" wrapText="1"/>
      <protection hidden="1"/>
    </xf>
    <xf numFmtId="168" fontId="24" fillId="14" borderId="1" xfId="2" applyNumberFormat="1" applyFont="1" applyFill="1" applyBorder="1" applyAlignment="1" applyProtection="1">
      <alignment horizontal="center"/>
      <protection hidden="1"/>
    </xf>
    <xf numFmtId="0" fontId="22" fillId="14" borderId="0" xfId="0" applyFont="1" applyFill="1" applyProtection="1">
      <protection hidden="1"/>
    </xf>
    <xf numFmtId="0" fontId="22" fillId="14" borderId="0" xfId="0" applyFont="1" applyFill="1" applyAlignment="1" applyProtection="1">
      <alignment horizontal="center"/>
      <protection hidden="1"/>
    </xf>
    <xf numFmtId="4" fontId="2" fillId="13" borderId="0" xfId="0" applyNumberFormat="1" applyFont="1" applyFill="1" applyAlignment="1" applyProtection="1">
      <alignment horizontal="center"/>
      <protection hidden="1"/>
    </xf>
    <xf numFmtId="0" fontId="2" fillId="13" borderId="0" xfId="0" applyFont="1" applyFill="1" applyAlignment="1" applyProtection="1">
      <alignment horizontal="center"/>
      <protection hidden="1"/>
    </xf>
    <xf numFmtId="0" fontId="5" fillId="13" borderId="0" xfId="0" applyFont="1" applyFill="1" applyProtection="1">
      <protection hidden="1"/>
    </xf>
    <xf numFmtId="0" fontId="7" fillId="13" borderId="0" xfId="0" applyFont="1" applyFill="1" applyProtection="1">
      <protection hidden="1"/>
    </xf>
    <xf numFmtId="4" fontId="5" fillId="13" borderId="0" xfId="0" applyNumberFormat="1" applyFont="1" applyFill="1" applyAlignment="1" applyProtection="1">
      <alignment horizontal="center"/>
      <protection hidden="1"/>
    </xf>
    <xf numFmtId="0" fontId="5" fillId="13" borderId="0" xfId="0" applyFont="1" applyFill="1" applyAlignment="1" applyProtection="1">
      <alignment horizontal="center"/>
      <protection hidden="1"/>
    </xf>
    <xf numFmtId="4" fontId="5" fillId="13" borderId="0" xfId="0" applyNumberFormat="1" applyFont="1" applyFill="1" applyProtection="1">
      <protection hidden="1"/>
    </xf>
    <xf numFmtId="2" fontId="5" fillId="13" borderId="0" xfId="0" applyNumberFormat="1" applyFont="1" applyFill="1" applyProtection="1">
      <protection hidden="1"/>
    </xf>
    <xf numFmtId="0" fontId="22" fillId="13" borderId="0" xfId="0" applyFont="1" applyFill="1" applyProtection="1">
      <protection hidden="1"/>
    </xf>
    <xf numFmtId="0" fontId="21" fillId="13" borderId="0" xfId="0" applyFont="1" applyFill="1" applyProtection="1">
      <protection hidden="1"/>
    </xf>
    <xf numFmtId="4" fontId="22" fillId="13" borderId="0" xfId="0" applyNumberFormat="1" applyFont="1" applyFill="1" applyProtection="1">
      <protection hidden="1"/>
    </xf>
    <xf numFmtId="2" fontId="22" fillId="13" borderId="0" xfId="0" applyNumberFormat="1" applyFont="1" applyFill="1" applyProtection="1">
      <protection hidden="1"/>
    </xf>
    <xf numFmtId="0" fontId="5" fillId="17" borderId="1" xfId="0" applyFont="1" applyFill="1" applyBorder="1" applyAlignment="1" applyProtection="1">
      <alignment horizontal="center"/>
      <protection hidden="1"/>
    </xf>
    <xf numFmtId="4" fontId="5" fillId="10" borderId="1" xfId="3" applyNumberFormat="1" applyFont="1" applyFill="1" applyBorder="1" applyProtection="1">
      <protection locked="0"/>
    </xf>
    <xf numFmtId="4" fontId="5" fillId="19" borderId="1" xfId="3" applyNumberFormat="1" applyFont="1" applyFill="1" applyBorder="1" applyProtection="1">
      <protection locked="0"/>
    </xf>
    <xf numFmtId="4" fontId="5" fillId="16" borderId="1" xfId="3" applyNumberFormat="1" applyFont="1" applyFill="1" applyBorder="1" applyProtection="1">
      <protection locked="0"/>
    </xf>
    <xf numFmtId="0" fontId="17" fillId="17" borderId="1" xfId="0" applyFont="1" applyFill="1" applyBorder="1" applyAlignment="1" applyProtection="1">
      <alignment horizontal="center" vertical="center"/>
      <protection hidden="1"/>
    </xf>
    <xf numFmtId="0" fontId="2" fillId="8" borderId="1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9" fontId="2" fillId="5" borderId="0" xfId="0" applyNumberFormat="1" applyFont="1" applyFill="1" applyAlignment="1" applyProtection="1">
      <alignment horizontal="center" vertical="center"/>
      <protection hidden="1"/>
    </xf>
    <xf numFmtId="9" fontId="13" fillId="21" borderId="0" xfId="0" applyNumberFormat="1" applyFont="1" applyFill="1" applyAlignment="1" applyProtection="1">
      <alignment horizontal="center" vertical="center"/>
      <protection hidden="1"/>
    </xf>
    <xf numFmtId="14" fontId="17" fillId="17" borderId="1" xfId="0" applyNumberFormat="1" applyFont="1" applyFill="1" applyBorder="1" applyAlignment="1" applyProtection="1">
      <alignment horizontal="center" vertical="center" wrapText="1"/>
      <protection hidden="1"/>
    </xf>
    <xf numFmtId="4" fontId="17" fillId="17" borderId="1" xfId="0" applyNumberFormat="1" applyFont="1" applyFill="1" applyBorder="1" applyAlignment="1" applyProtection="1">
      <alignment horizontal="center" vertical="center" wrapText="1"/>
      <protection hidden="1"/>
    </xf>
    <xf numFmtId="4" fontId="17" fillId="17" borderId="1" xfId="0" applyNumberFormat="1" applyFont="1" applyFill="1" applyBorder="1" applyAlignment="1" applyProtection="1">
      <alignment horizontal="center" vertical="center"/>
      <protection hidden="1"/>
    </xf>
    <xf numFmtId="0" fontId="2" fillId="10" borderId="1" xfId="0" applyFont="1" applyFill="1" applyBorder="1" applyAlignment="1" applyProtection="1">
      <alignment horizontal="center" vertical="center"/>
      <protection hidden="1"/>
    </xf>
    <xf numFmtId="0" fontId="17" fillId="17" borderId="0" xfId="0" applyFont="1" applyFill="1" applyAlignment="1" applyProtection="1">
      <alignment horizontal="center" vertical="center"/>
      <protection hidden="1"/>
    </xf>
    <xf numFmtId="0" fontId="26" fillId="17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3" fontId="17" fillId="17" borderId="1" xfId="0" applyNumberFormat="1" applyFont="1" applyFill="1" applyBorder="1" applyAlignment="1" applyProtection="1">
      <alignment horizontal="center" vertical="center"/>
      <protection hidden="1"/>
    </xf>
    <xf numFmtId="0" fontId="2" fillId="13" borderId="0" xfId="0" applyFont="1" applyFill="1" applyAlignment="1" applyProtection="1">
      <alignment horizontal="center" vertical="center"/>
      <protection hidden="1"/>
    </xf>
    <xf numFmtId="0" fontId="0" fillId="13" borderId="0" xfId="0" applyFill="1" applyAlignment="1" applyProtection="1">
      <alignment horizontal="center" vertical="center"/>
      <protection hidden="1"/>
    </xf>
    <xf numFmtId="4" fontId="2" fillId="13" borderId="0" xfId="0" applyNumberFormat="1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9" fontId="2" fillId="0" borderId="1" xfId="2" applyFont="1" applyBorder="1" applyProtection="1">
      <protection hidden="1"/>
    </xf>
    <xf numFmtId="4" fontId="5" fillId="13" borderId="1" xfId="3" applyNumberFormat="1" applyFont="1" applyFill="1" applyBorder="1" applyProtection="1">
      <protection locked="0"/>
    </xf>
    <xf numFmtId="10" fontId="22" fillId="13" borderId="1" xfId="2" applyNumberFormat="1" applyFont="1" applyFill="1" applyBorder="1" applyAlignment="1" applyProtection="1">
      <alignment horizontal="center"/>
      <protection hidden="1"/>
    </xf>
    <xf numFmtId="164" fontId="22" fillId="13" borderId="1" xfId="0" applyNumberFormat="1" applyFont="1" applyFill="1" applyBorder="1" applyProtection="1">
      <protection hidden="1"/>
    </xf>
    <xf numFmtId="167" fontId="22" fillId="13" borderId="1" xfId="0" applyNumberFormat="1" applyFont="1" applyFill="1" applyBorder="1" applyProtection="1">
      <protection hidden="1"/>
    </xf>
    <xf numFmtId="168" fontId="22" fillId="13" borderId="1" xfId="2" applyNumberFormat="1" applyFont="1" applyFill="1" applyBorder="1" applyProtection="1">
      <protection hidden="1"/>
    </xf>
    <xf numFmtId="2" fontId="22" fillId="13" borderId="1" xfId="0" applyNumberFormat="1" applyFont="1" applyFill="1" applyBorder="1" applyProtection="1">
      <protection hidden="1"/>
    </xf>
    <xf numFmtId="4" fontId="22" fillId="13" borderId="1" xfId="0" applyNumberFormat="1" applyFont="1" applyFill="1" applyBorder="1" applyProtection="1">
      <protection hidden="1"/>
    </xf>
    <xf numFmtId="10" fontId="22" fillId="13" borderId="1" xfId="2" applyNumberFormat="1" applyFont="1" applyFill="1" applyBorder="1" applyProtection="1">
      <protection hidden="1"/>
    </xf>
    <xf numFmtId="4" fontId="21" fillId="13" borderId="1" xfId="2" applyNumberFormat="1" applyFont="1" applyFill="1" applyBorder="1" applyProtection="1">
      <protection hidden="1"/>
    </xf>
    <xf numFmtId="4" fontId="22" fillId="13" borderId="1" xfId="2" applyNumberFormat="1" applyFont="1" applyFill="1" applyBorder="1" applyProtection="1">
      <protection hidden="1"/>
    </xf>
    <xf numFmtId="168" fontId="22" fillId="13" borderId="0" xfId="2" applyNumberFormat="1" applyFont="1" applyFill="1" applyBorder="1" applyAlignment="1" applyProtection="1">
      <alignment horizontal="center"/>
      <protection hidden="1"/>
    </xf>
    <xf numFmtId="3" fontId="22" fillId="13" borderId="1" xfId="0" applyNumberFormat="1" applyFont="1" applyFill="1" applyBorder="1" applyAlignment="1" applyProtection="1">
      <alignment horizontal="right"/>
      <protection hidden="1"/>
    </xf>
    <xf numFmtId="14" fontId="22" fillId="13" borderId="20" xfId="0" applyNumberFormat="1" applyFont="1" applyFill="1" applyBorder="1" applyAlignment="1" applyProtection="1">
      <alignment horizontal="center" wrapText="1"/>
      <protection hidden="1"/>
    </xf>
    <xf numFmtId="9" fontId="2" fillId="13" borderId="1" xfId="2" applyFont="1" applyFill="1" applyBorder="1" applyProtection="1">
      <protection hidden="1"/>
    </xf>
    <xf numFmtId="10" fontId="4" fillId="0" borderId="27" xfId="2" applyNumberFormat="1" applyFont="1" applyBorder="1" applyAlignment="1" applyProtection="1">
      <alignment horizontal="center"/>
      <protection hidden="1"/>
    </xf>
    <xf numFmtId="0" fontId="7" fillId="0" borderId="28" xfId="0" applyFont="1" applyBorder="1" applyAlignment="1" applyProtection="1">
      <alignment horizontal="center"/>
      <protection hidden="1"/>
    </xf>
    <xf numFmtId="1" fontId="23" fillId="0" borderId="19" xfId="0" applyNumberFormat="1" applyFont="1" applyBorder="1" applyAlignment="1" applyProtection="1">
      <alignment horizontal="center"/>
      <protection hidden="1"/>
    </xf>
    <xf numFmtId="0" fontId="26" fillId="22" borderId="29" xfId="0" applyFont="1" applyFill="1" applyBorder="1" applyAlignment="1">
      <alignment horizontal="center"/>
    </xf>
    <xf numFmtId="0" fontId="15" fillId="0" borderId="0" xfId="0" applyFont="1" applyProtection="1">
      <protection hidden="1"/>
    </xf>
    <xf numFmtId="10" fontId="2" fillId="7" borderId="0" xfId="2" applyNumberFormat="1" applyFont="1" applyFill="1" applyBorder="1" applyAlignment="1" applyProtection="1">
      <alignment horizontal="center"/>
      <protection hidden="1"/>
    </xf>
    <xf numFmtId="4" fontId="5" fillId="10" borderId="0" xfId="3" applyNumberFormat="1" applyFont="1" applyFill="1" applyBorder="1" applyProtection="1">
      <protection locked="0"/>
    </xf>
    <xf numFmtId="3" fontId="24" fillId="10" borderId="0" xfId="3" applyNumberFormat="1" applyFont="1" applyFill="1" applyBorder="1" applyAlignment="1" applyProtection="1">
      <alignment horizontal="center"/>
      <protection locked="0"/>
    </xf>
    <xf numFmtId="9" fontId="2" fillId="19" borderId="1" xfId="2" applyFont="1" applyFill="1" applyBorder="1" applyProtection="1">
      <protection hidden="1"/>
    </xf>
    <xf numFmtId="0" fontId="14" fillId="19" borderId="1" xfId="0" applyFont="1" applyFill="1" applyBorder="1" applyProtection="1">
      <protection hidden="1"/>
    </xf>
    <xf numFmtId="4" fontId="5" fillId="19" borderId="1" xfId="2" applyNumberFormat="1" applyFont="1" applyFill="1" applyBorder="1" applyProtection="1">
      <protection hidden="1"/>
    </xf>
    <xf numFmtId="168" fontId="5" fillId="19" borderId="0" xfId="2" applyNumberFormat="1" applyFont="1" applyFill="1" applyBorder="1" applyAlignment="1" applyProtection="1">
      <alignment horizontal="center"/>
      <protection hidden="1"/>
    </xf>
    <xf numFmtId="10" fontId="19" fillId="19" borderId="1" xfId="2" applyNumberFormat="1" applyFont="1" applyFill="1" applyBorder="1" applyAlignment="1" applyProtection="1">
      <alignment horizontal="center"/>
      <protection hidden="1"/>
    </xf>
    <xf numFmtId="4" fontId="5" fillId="20" borderId="0" xfId="3" applyNumberFormat="1" applyFont="1" applyFill="1" applyBorder="1" applyProtection="1">
      <protection locked="0"/>
    </xf>
    <xf numFmtId="3" fontId="24" fillId="20" borderId="0" xfId="3" applyNumberFormat="1" applyFont="1" applyFill="1" applyBorder="1" applyAlignment="1" applyProtection="1">
      <alignment horizontal="center"/>
      <protection locked="0"/>
    </xf>
    <xf numFmtId="9" fontId="2" fillId="20" borderId="1" xfId="2" applyFont="1" applyFill="1" applyBorder="1" applyProtection="1">
      <protection hidden="1"/>
    </xf>
    <xf numFmtId="172" fontId="2" fillId="13" borderId="0" xfId="0" applyNumberFormat="1" applyFont="1" applyFill="1" applyProtection="1">
      <protection hidden="1"/>
    </xf>
    <xf numFmtId="0" fontId="5" fillId="13" borderId="1" xfId="0" applyFont="1" applyFill="1" applyBorder="1" applyAlignment="1" applyProtection="1">
      <alignment horizontal="center"/>
      <protection hidden="1"/>
    </xf>
    <xf numFmtId="2" fontId="5" fillId="13" borderId="1" xfId="0" applyNumberFormat="1" applyFont="1" applyFill="1" applyBorder="1" applyProtection="1">
      <protection hidden="1"/>
    </xf>
    <xf numFmtId="165" fontId="2" fillId="13" borderId="1" xfId="1" applyFont="1" applyFill="1" applyBorder="1" applyProtection="1">
      <protection hidden="1"/>
    </xf>
    <xf numFmtId="2" fontId="2" fillId="13" borderId="22" xfId="0" applyNumberFormat="1" applyFont="1" applyFill="1" applyBorder="1" applyProtection="1">
      <protection hidden="1"/>
    </xf>
    <xf numFmtId="0" fontId="2" fillId="13" borderId="32" xfId="0" applyFont="1" applyFill="1" applyBorder="1" applyAlignment="1" applyProtection="1">
      <alignment horizontal="center" vertical="center"/>
      <protection hidden="1"/>
    </xf>
    <xf numFmtId="165" fontId="2" fillId="13" borderId="31" xfId="1" applyFont="1" applyFill="1" applyBorder="1" applyProtection="1">
      <protection hidden="1"/>
    </xf>
    <xf numFmtId="10" fontId="7" fillId="13" borderId="15" xfId="2" applyNumberFormat="1" applyFont="1" applyFill="1" applyBorder="1" applyAlignment="1" applyProtection="1">
      <alignment horizontal="center"/>
      <protection hidden="1"/>
    </xf>
    <xf numFmtId="4" fontId="2" fillId="0" borderId="34" xfId="0" applyNumberFormat="1" applyFont="1" applyBorder="1" applyAlignment="1" applyProtection="1">
      <alignment horizontal="center"/>
      <protection hidden="1"/>
    </xf>
    <xf numFmtId="0" fontId="27" fillId="22" borderId="33" xfId="0" applyFont="1" applyFill="1" applyBorder="1" applyAlignment="1">
      <alignment horizontal="center"/>
    </xf>
    <xf numFmtId="0" fontId="5" fillId="17" borderId="32" xfId="0" applyFont="1" applyFill="1" applyBorder="1" applyAlignment="1" applyProtection="1">
      <alignment horizontal="center" vertical="center"/>
      <protection hidden="1"/>
    </xf>
    <xf numFmtId="4" fontId="5" fillId="14" borderId="35" xfId="0" applyNumberFormat="1" applyFont="1" applyFill="1" applyBorder="1" applyAlignment="1" applyProtection="1">
      <alignment horizontal="center" vertical="center" wrapText="1"/>
      <protection hidden="1"/>
    </xf>
    <xf numFmtId="165" fontId="26" fillId="0" borderId="36" xfId="1" applyFont="1" applyBorder="1" applyAlignment="1">
      <alignment vertical="center"/>
    </xf>
    <xf numFmtId="2" fontId="8" fillId="13" borderId="16" xfId="0" applyNumberFormat="1" applyFont="1" applyFill="1" applyBorder="1" applyProtection="1">
      <protection hidden="1"/>
    </xf>
    <xf numFmtId="4" fontId="4" fillId="13" borderId="17" xfId="0" applyNumberFormat="1" applyFont="1" applyFill="1" applyBorder="1" applyProtection="1">
      <protection hidden="1"/>
    </xf>
    <xf numFmtId="10" fontId="10" fillId="13" borderId="5" xfId="3" applyNumberFormat="1" applyFont="1" applyFill="1" applyBorder="1" applyProtection="1">
      <protection hidden="1"/>
    </xf>
    <xf numFmtId="164" fontId="4" fillId="13" borderId="5" xfId="3" applyFont="1" applyFill="1" applyBorder="1" applyAlignment="1" applyProtection="1">
      <alignment horizontal="center"/>
      <protection hidden="1"/>
    </xf>
    <xf numFmtId="2" fontId="9" fillId="13" borderId="16" xfId="0" applyNumberFormat="1" applyFont="1" applyFill="1" applyBorder="1" applyProtection="1">
      <protection hidden="1"/>
    </xf>
    <xf numFmtId="4" fontId="8" fillId="13" borderId="17" xfId="0" applyNumberFormat="1" applyFont="1" applyFill="1" applyBorder="1" applyProtection="1">
      <protection hidden="1"/>
    </xf>
    <xf numFmtId="164" fontId="1" fillId="13" borderId="5" xfId="3" applyFont="1" applyFill="1" applyBorder="1" applyAlignment="1" applyProtection="1">
      <alignment horizontal="center"/>
      <protection hidden="1"/>
    </xf>
    <xf numFmtId="0" fontId="7" fillId="5" borderId="25" xfId="0" applyFont="1" applyFill="1" applyBorder="1" applyAlignment="1" applyProtection="1">
      <alignment horizontal="center" wrapText="1"/>
      <protection hidden="1"/>
    </xf>
    <xf numFmtId="0" fontId="7" fillId="5" borderId="26" xfId="0" applyFont="1" applyFill="1" applyBorder="1" applyAlignment="1" applyProtection="1">
      <alignment horizontal="center" wrapText="1"/>
      <protection hidden="1"/>
    </xf>
    <xf numFmtId="167" fontId="5" fillId="13" borderId="29" xfId="3" applyNumberFormat="1" applyFont="1" applyFill="1" applyBorder="1" applyAlignment="1" applyProtection="1">
      <alignment horizontal="center" wrapText="1"/>
      <protection hidden="1"/>
    </xf>
    <xf numFmtId="167" fontId="5" fillId="13" borderId="33" xfId="3" applyNumberFormat="1" applyFont="1" applyFill="1" applyBorder="1" applyAlignment="1" applyProtection="1">
      <alignment horizontal="center" wrapText="1"/>
      <protection hidden="1"/>
    </xf>
    <xf numFmtId="167" fontId="5" fillId="13" borderId="30" xfId="3" applyNumberFormat="1" applyFont="1" applyFill="1" applyBorder="1" applyAlignment="1" applyProtection="1">
      <alignment horizontal="center" wrapText="1"/>
      <protection hidden="1"/>
    </xf>
    <xf numFmtId="0" fontId="1" fillId="0" borderId="0" xfId="0" applyFont="1" applyProtection="1">
      <protection hidden="1"/>
    </xf>
    <xf numFmtId="0" fontId="15" fillId="19" borderId="0" xfId="0" applyFont="1" applyFill="1" applyProtection="1">
      <protection hidden="1"/>
    </xf>
    <xf numFmtId="0" fontId="2" fillId="19" borderId="1" xfId="0" applyFont="1" applyFill="1" applyBorder="1" applyProtection="1">
      <protection hidden="1"/>
    </xf>
    <xf numFmtId="174" fontId="0" fillId="13" borderId="0" xfId="3" applyNumberFormat="1" applyFont="1" applyFill="1" applyAlignment="1" applyProtection="1">
      <alignment horizontal="center"/>
      <protection hidden="1"/>
    </xf>
    <xf numFmtId="2" fontId="2" fillId="13" borderId="1" xfId="0" applyNumberFormat="1" applyFont="1" applyFill="1" applyBorder="1" applyAlignment="1" applyProtection="1">
      <alignment horizontal="center"/>
      <protection hidden="1"/>
    </xf>
    <xf numFmtId="166" fontId="2" fillId="13" borderId="1" xfId="3" applyNumberFormat="1" applyFont="1" applyFill="1" applyBorder="1" applyProtection="1">
      <protection hidden="1"/>
    </xf>
    <xf numFmtId="0" fontId="14" fillId="13" borderId="1" xfId="0" applyFont="1" applyFill="1" applyBorder="1" applyProtection="1">
      <protection hidden="1"/>
    </xf>
    <xf numFmtId="166" fontId="2" fillId="13" borderId="0" xfId="3" applyNumberFormat="1" applyFont="1" applyFill="1" applyBorder="1" applyProtection="1">
      <protection hidden="1"/>
    </xf>
    <xf numFmtId="2" fontId="15" fillId="13" borderId="1" xfId="0" applyNumberFormat="1" applyFont="1" applyFill="1" applyBorder="1" applyProtection="1">
      <protection locked="0" hidden="1"/>
    </xf>
    <xf numFmtId="164" fontId="2" fillId="13" borderId="1" xfId="3" applyFont="1" applyFill="1" applyBorder="1" applyProtection="1">
      <protection locked="0"/>
    </xf>
    <xf numFmtId="2" fontId="2" fillId="13" borderId="1" xfId="0" applyNumberFormat="1" applyFont="1" applyFill="1" applyBorder="1" applyProtection="1">
      <protection locked="0" hidden="1"/>
    </xf>
    <xf numFmtId="166" fontId="2" fillId="13" borderId="1" xfId="3" applyNumberFormat="1" applyFont="1" applyFill="1" applyBorder="1" applyProtection="1">
      <protection locked="0"/>
    </xf>
    <xf numFmtId="2" fontId="15" fillId="19" borderId="0" xfId="0" applyNumberFormat="1" applyFont="1" applyFill="1" applyProtection="1">
      <protection hidden="1"/>
    </xf>
    <xf numFmtId="4" fontId="8" fillId="13" borderId="24" xfId="0" applyNumberFormat="1" applyFont="1" applyFill="1" applyBorder="1" applyProtection="1">
      <protection hidden="1"/>
    </xf>
    <xf numFmtId="10" fontId="4" fillId="13" borderId="5" xfId="3" applyNumberFormat="1" applyFont="1" applyFill="1" applyBorder="1" applyProtection="1">
      <protection hidden="1"/>
    </xf>
    <xf numFmtId="2" fontId="8" fillId="13" borderId="16" xfId="0" applyNumberFormat="1" applyFont="1" applyFill="1" applyBorder="1" applyAlignment="1" applyProtection="1">
      <alignment vertical="center"/>
      <protection hidden="1"/>
    </xf>
    <xf numFmtId="2" fontId="4" fillId="13" borderId="16" xfId="0" applyNumberFormat="1" applyFont="1" applyFill="1" applyBorder="1" applyProtection="1">
      <protection hidden="1"/>
    </xf>
    <xf numFmtId="2" fontId="1" fillId="13" borderId="16" xfId="0" applyNumberFormat="1" applyFont="1" applyFill="1" applyBorder="1" applyProtection="1">
      <protection hidden="1"/>
    </xf>
    <xf numFmtId="2" fontId="1" fillId="13" borderId="17" xfId="0" applyNumberFormat="1" applyFont="1" applyFill="1" applyBorder="1" applyProtection="1">
      <protection hidden="1"/>
    </xf>
    <xf numFmtId="2" fontId="4" fillId="13" borderId="17" xfId="0" applyNumberFormat="1" applyFont="1" applyFill="1" applyBorder="1" applyProtection="1">
      <protection hidden="1"/>
    </xf>
    <xf numFmtId="4" fontId="4" fillId="13" borderId="17" xfId="3" applyNumberFormat="1" applyFont="1" applyFill="1" applyBorder="1" applyProtection="1">
      <protection hidden="1"/>
    </xf>
    <xf numFmtId="10" fontId="7" fillId="13" borderId="5" xfId="3" applyNumberFormat="1" applyFont="1" applyFill="1" applyBorder="1" applyProtection="1">
      <protection locked="0"/>
    </xf>
    <xf numFmtId="14" fontId="5" fillId="19" borderId="20" xfId="0" applyNumberFormat="1" applyFont="1" applyFill="1" applyBorder="1" applyAlignment="1" applyProtection="1">
      <alignment horizontal="center" wrapText="1"/>
      <protection hidden="1"/>
    </xf>
    <xf numFmtId="0" fontId="17" fillId="19" borderId="1" xfId="0" applyFont="1" applyFill="1" applyBorder="1" applyProtection="1">
      <protection hidden="1"/>
    </xf>
    <xf numFmtId="3" fontId="17" fillId="19" borderId="1" xfId="0" applyNumberFormat="1" applyFont="1" applyFill="1" applyBorder="1" applyAlignment="1" applyProtection="1">
      <alignment horizontal="right"/>
      <protection hidden="1"/>
    </xf>
    <xf numFmtId="4" fontId="17" fillId="19" borderId="1" xfId="0" applyNumberFormat="1" applyFont="1" applyFill="1" applyBorder="1" applyProtection="1">
      <protection hidden="1"/>
    </xf>
    <xf numFmtId="0" fontId="5" fillId="14" borderId="0" xfId="0" applyFont="1" applyFill="1" applyProtection="1">
      <protection hidden="1"/>
    </xf>
    <xf numFmtId="3" fontId="22" fillId="10" borderId="1" xfId="3" applyNumberFormat="1" applyFont="1" applyFill="1" applyBorder="1" applyAlignment="1" applyProtection="1">
      <alignment horizontal="center"/>
      <protection locked="0"/>
    </xf>
    <xf numFmtId="4" fontId="24" fillId="10" borderId="1" xfId="3" applyNumberFormat="1" applyFont="1" applyFill="1" applyBorder="1" applyProtection="1">
      <protection locked="0"/>
    </xf>
    <xf numFmtId="164" fontId="5" fillId="14" borderId="1" xfId="0" applyNumberFormat="1" applyFont="1" applyFill="1" applyBorder="1" applyProtection="1">
      <protection hidden="1"/>
    </xf>
    <xf numFmtId="167" fontId="5" fillId="14" borderId="1" xfId="0" applyNumberFormat="1" applyFont="1" applyFill="1" applyBorder="1" applyProtection="1">
      <protection hidden="1"/>
    </xf>
    <xf numFmtId="168" fontId="5" fillId="14" borderId="1" xfId="2" applyNumberFormat="1" applyFont="1" applyFill="1" applyBorder="1" applyProtection="1">
      <protection hidden="1"/>
    </xf>
    <xf numFmtId="2" fontId="5" fillId="14" borderId="1" xfId="0" applyNumberFormat="1" applyFont="1" applyFill="1" applyBorder="1" applyProtection="1">
      <protection hidden="1"/>
    </xf>
    <xf numFmtId="4" fontId="5" fillId="14" borderId="1" xfId="0" applyNumberFormat="1" applyFont="1" applyFill="1" applyBorder="1" applyProtection="1">
      <protection hidden="1"/>
    </xf>
    <xf numFmtId="10" fontId="5" fillId="14" borderId="1" xfId="2" applyNumberFormat="1" applyFont="1" applyFill="1" applyBorder="1" applyProtection="1">
      <protection hidden="1"/>
    </xf>
    <xf numFmtId="4" fontId="7" fillId="14" borderId="1" xfId="2" applyNumberFormat="1" applyFont="1" applyFill="1" applyBorder="1" applyProtection="1">
      <protection hidden="1"/>
    </xf>
    <xf numFmtId="4" fontId="5" fillId="14" borderId="1" xfId="2" applyNumberFormat="1" applyFont="1" applyFill="1" applyBorder="1" applyProtection="1">
      <protection hidden="1"/>
    </xf>
    <xf numFmtId="168" fontId="5" fillId="14" borderId="0" xfId="2" applyNumberFormat="1" applyFont="1" applyFill="1" applyBorder="1" applyAlignment="1" applyProtection="1">
      <alignment horizontal="center"/>
      <protection hidden="1"/>
    </xf>
    <xf numFmtId="3" fontId="5" fillId="14" borderId="1" xfId="0" applyNumberFormat="1" applyFont="1" applyFill="1" applyBorder="1" applyAlignment="1" applyProtection="1">
      <alignment horizontal="right"/>
      <protection hidden="1"/>
    </xf>
    <xf numFmtId="10" fontId="19" fillId="14" borderId="1" xfId="2" applyNumberFormat="1" applyFont="1" applyFill="1" applyBorder="1" applyAlignment="1" applyProtection="1">
      <alignment horizontal="center"/>
      <protection hidden="1"/>
    </xf>
    <xf numFmtId="14" fontId="5" fillId="14" borderId="20" xfId="0" applyNumberFormat="1" applyFont="1" applyFill="1" applyBorder="1" applyAlignment="1" applyProtection="1">
      <alignment horizontal="center" wrapText="1"/>
      <protection hidden="1"/>
    </xf>
    <xf numFmtId="168" fontId="19" fillId="14" borderId="1" xfId="2" applyNumberFormat="1" applyFont="1" applyFill="1" applyBorder="1" applyAlignment="1" applyProtection="1">
      <alignment horizontal="center"/>
      <protection hidden="1"/>
    </xf>
    <xf numFmtId="9" fontId="5" fillId="14" borderId="0" xfId="2" applyFont="1" applyFill="1" applyProtection="1">
      <protection hidden="1"/>
    </xf>
    <xf numFmtId="2" fontId="5" fillId="14" borderId="0" xfId="0" applyNumberFormat="1" applyFont="1" applyFill="1" applyProtection="1">
      <protection hidden="1"/>
    </xf>
    <xf numFmtId="167" fontId="2" fillId="14" borderId="1" xfId="3" applyNumberFormat="1" applyFont="1" applyFill="1" applyBorder="1" applyProtection="1">
      <protection hidden="1"/>
    </xf>
    <xf numFmtId="0" fontId="7" fillId="14" borderId="0" xfId="0" applyFont="1" applyFill="1" applyProtection="1">
      <protection hidden="1"/>
    </xf>
    <xf numFmtId="4" fontId="5" fillId="14" borderId="0" xfId="0" applyNumberFormat="1" applyFont="1" applyFill="1" applyProtection="1"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4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</font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indexed="10"/>
      </font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133350</xdr:colOff>
      <xdr:row>0</xdr:row>
      <xdr:rowOff>9525</xdr:rowOff>
    </xdr:from>
    <xdr:to>
      <xdr:col>35</xdr:col>
      <xdr:colOff>514350</xdr:colOff>
      <xdr:row>1</xdr:row>
      <xdr:rowOff>9525</xdr:rowOff>
    </xdr:to>
    <xdr:sp macro="" textlink="">
      <xdr:nvSpPr>
        <xdr:cNvPr id="1635" name="Seta para cima 1">
          <a:extLst>
            <a:ext uri="{FF2B5EF4-FFF2-40B4-BE49-F238E27FC236}">
              <a16:creationId xmlns:a16="http://schemas.microsoft.com/office/drawing/2014/main" id="{2AC32EC0-1B08-B6CA-6604-0EE702F0D9FE}"/>
            </a:ext>
          </a:extLst>
        </xdr:cNvPr>
        <xdr:cNvSpPr>
          <a:spLocks noChangeArrowheads="1"/>
        </xdr:cNvSpPr>
      </xdr:nvSpPr>
      <xdr:spPr bwMode="auto">
        <a:xfrm>
          <a:off x="29575125" y="9525"/>
          <a:ext cx="381000" cy="180975"/>
        </a:xfrm>
        <a:prstGeom prst="upArrow">
          <a:avLst>
            <a:gd name="adj1" fmla="val 50000"/>
            <a:gd name="adj2" fmla="val 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ASE%20DO%20SIMULADOR%20TINTAS%20MIL%20N&#186;%208.xlsx" TargetMode="External"/><Relationship Id="rId2" Type="http://schemas.openxmlformats.org/officeDocument/2006/relationships/externalLinkPath" Target="https://d.docs.live.net/F734909CFC0C3DB7/&#193;rea%20de%20Trabalho/Documentos/BASE%20DO%20SIMULADOR%20TINTAS%20MIL%20N&#186;%208.xlsx" TargetMode="External"/><Relationship Id="rId1" Type="http://schemas.openxmlformats.org/officeDocument/2006/relationships/externalLinkPath" Target="/F734909CFC0C3DB7/&#193;rea%20de%20Trabalho/Documentos/BASE%20DO%20SIMULADOR%20TINTAS%20MIL%20N&#186;%208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INTAS%20MIL/SIMULADOR%20DE%20PRE&#199;OS/BASE%20DO%20SIMULADOR/BASE%20DO%20SIMULADOR%20TINTAS%20MIL%20N&#186;4.xlsx" TargetMode="External"/><Relationship Id="rId2" Type="http://schemas.openxmlformats.org/officeDocument/2006/relationships/externalLinkPath" Target="https://d.docs.live.net/f734909cfc0c3db7/Documentos/CONSULTORIAS/TINTAS%20MIL/SIMULADOR/BASE%20DO%20SIMULADOR/BASE%20DO%20SIMULADOR%20TINTAS%20MIL%20N&#186;4.xlsx" TargetMode="External"/><Relationship Id="rId1" Type="http://schemas.openxmlformats.org/officeDocument/2006/relationships/externalLinkPath" Target="/f734909cfc0c3db7/&#193;rea%20de%20Trabalho/Documentos/CONSULTORIAS/TINTAS%20MIL/SIMULADOR%20DE%20PRE&#199;OS/BASE%20DO%20SIMULADOR/BASE%20DO%20SIMULADOR%20TINTAS%20MIL%20N&#186;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INTAS%20MIL/SIMULADOR/BASE%20DO%20SIMULADOR%20TINTAS%20MIL%20N&#186;1.xlsx" TargetMode="External"/><Relationship Id="rId1" Type="http://schemas.openxmlformats.org/officeDocument/2006/relationships/externalLinkPath" Target="/f734909cfc0c3db7/&#193;rea%20de%20Trabalho/Documentos/CONSULTORIAS/TINTAS%20MIL/SIMULADOR/BASE%20DO%20SIMULADOR%20TINTAS%20MIL%20N&#186;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INTAS%20MIL/SIMULADOR%20DE%20PRE&#199;OS/BASE%20DO%20SIMULADOR/BASE%20DO%20SIMULADOR%20TINTAS%20MIL%20N&#186;%208.xlsx" TargetMode="External"/><Relationship Id="rId2" Type="http://schemas.openxmlformats.org/officeDocument/2006/relationships/externalLinkPath" Target="https://d.docs.live.net/f734909cfc0c3db7/&#193;rea%20de%20Trabalho/Documentos/CONSULTORIAS/TINTAS%20MIL/SIMULADOR/BASE%20DO%20SIMULADOR/BASE%20DO%20SIMULADOR%20TINTAS%20MIL%20N&#186;%208.xlsx" TargetMode="External"/><Relationship Id="rId1" Type="http://schemas.openxmlformats.org/officeDocument/2006/relationships/externalLinkPath" Target="/f734909cfc0c3db7/&#193;rea%20de%20Trabalho/Documentos/CONSULTORIAS/TINTAS%20MIL/SIMULADOR%20DE%20PRE&#199;OS/BASE%20DO%20SIMULADOR/BASE%20DO%20SIMULADOR%20TINTAS%20MIL%20N&#186;%20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734909cfc0c3db7/&#193;rea%20de%20Trabalho/Documentos/CONSULTORIAS/BRAZIMIL/SIMULADOR%20BRAZIMIL/BASE%20DO%20SIMULADOR%20BRAZIMIL%20CALCULO%201.xlsx" TargetMode="External"/><Relationship Id="rId1" Type="http://schemas.openxmlformats.org/officeDocument/2006/relationships/externalLinkPath" Target="BASE%20DO%20SIMULADOR%20BRAZIMIL%20CALCUL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A"/>
      <sheetName val="CUSTO ESPELHO"/>
      <sheetName val="QUADRO GERAL DE CUSTOS"/>
      <sheetName val="CUSTO MP"/>
      <sheetName val="ESMALTE FOSCO"/>
      <sheetName val="ESMALTE ALUMINIO"/>
      <sheetName val="CUSTO FIXO"/>
      <sheetName val="VERNIZES"/>
      <sheetName val="CONCENTRADOS ESM"/>
      <sheetName val="LIQUIDO PARA BRILHO"/>
      <sheetName val="CONCENTRADO SEMI BRILHO "/>
      <sheetName val="ESMALTE BASE ÁGUA"/>
      <sheetName val="concentrado bco semi brilho"/>
      <sheetName val="cimento queimado"/>
      <sheetName val="PASTA ESMALTE"/>
      <sheetName val="PASTA ESM PRETO"/>
      <sheetName val="ESMALTE FENOLADA"/>
      <sheetName val="SELADORA"/>
      <sheetName val="ZARCÃO"/>
      <sheetName val="TINTA EMBORRACHADA"/>
      <sheetName val="TINTA PARA TELHA"/>
      <sheetName val="BRANCO NEVE INT FORM 052024"/>
      <sheetName val="BASE INTERNA CLARA FORM 052024"/>
      <sheetName val="BASE INT VERMELH 01 2022"/>
      <sheetName val="BASE INTERNA ESCURA FORM 052024"/>
      <sheetName val="SELADOR 01 2022"/>
      <sheetName val="TODAS AS FORMULAS INT"/>
      <sheetName val="MASSAS TODAS"/>
      <sheetName val="MASSA CORRIDA"/>
      <sheetName val="MASSA ACRILICA"/>
      <sheetName val="MASSA ACRILICA MAIS RESINA"/>
      <sheetName val="BRANCO NEVE EXT form 052024"/>
      <sheetName val="BASE EXTERNA CLARA FORM 052024"/>
      <sheetName val="BASE EXTERNA ESCURA FORM 052024"/>
      <sheetName val="PISO BRANCO"/>
      <sheetName val="BASE TINTA PISO"/>
      <sheetName val="TINTA PISO TODAS"/>
      <sheetName val="VEDAMIL BRANCO"/>
      <sheetName val="VEDAMIL AZUL"/>
      <sheetName val="SEMI BRILHO BRANCO NEVE"/>
      <sheetName val="BASE SEMI BRILHO CORES ESCURA"/>
      <sheetName val="BASE SEMI BRILHO CORES CLARA"/>
      <sheetName val="SEMI BRIHO TODOS"/>
      <sheetName val="TODAS FORMULAS EXTERNAS"/>
      <sheetName val="textura externa"/>
      <sheetName val="TINTA PARA GESSO"/>
    </sheetNames>
    <sheetDataSet>
      <sheetData sheetId="0"/>
      <sheetData sheetId="1">
        <row r="12">
          <cell r="B12">
            <v>4.0138080780632412</v>
          </cell>
        </row>
        <row r="18">
          <cell r="B18">
            <v>25.763717159090909</v>
          </cell>
        </row>
        <row r="47">
          <cell r="B47">
            <v>14.149586000000003</v>
          </cell>
        </row>
        <row r="49">
          <cell r="B49">
            <v>65.630430000000018</v>
          </cell>
        </row>
        <row r="52">
          <cell r="B52">
            <v>1.1491964582580412</v>
          </cell>
        </row>
        <row r="54">
          <cell r="B54">
            <v>5.8212322912902064</v>
          </cell>
        </row>
        <row r="59">
          <cell r="B59">
            <v>22.679955728225515</v>
          </cell>
        </row>
        <row r="61">
          <cell r="B61">
            <v>2.5615107519325369</v>
          </cell>
        </row>
        <row r="63">
          <cell r="B63">
            <v>12.882803759662684</v>
          </cell>
        </row>
        <row r="67">
          <cell r="B67">
            <v>40.333884399156709</v>
          </cell>
        </row>
        <row r="70">
          <cell r="B70">
            <v>15.460622371400842</v>
          </cell>
        </row>
        <row r="72">
          <cell r="B72">
            <v>46.778430928502104</v>
          </cell>
        </row>
        <row r="80">
          <cell r="B80">
            <v>16.026590025436043</v>
          </cell>
        </row>
        <row r="86">
          <cell r="B86">
            <v>58.304760101744172</v>
          </cell>
        </row>
        <row r="90">
          <cell r="B90">
            <v>31.616833467585408</v>
          </cell>
        </row>
        <row r="92">
          <cell r="B92">
            <v>11.348816947022431</v>
          </cell>
        </row>
        <row r="93">
          <cell r="B93">
            <v>9.7586750870034802</v>
          </cell>
        </row>
        <row r="95">
          <cell r="B95">
            <v>39.593667788089725</v>
          </cell>
        </row>
        <row r="96">
          <cell r="B96">
            <v>35.488024395785004</v>
          </cell>
        </row>
        <row r="98">
          <cell r="B98">
            <v>6.5946532376834988</v>
          </cell>
        </row>
        <row r="99">
          <cell r="B99">
            <v>6.5946532376834988</v>
          </cell>
        </row>
        <row r="100">
          <cell r="B100">
            <v>6.5946532376834988</v>
          </cell>
        </row>
        <row r="102">
          <cell r="B102">
            <v>89.537207590931473</v>
          </cell>
        </row>
        <row r="103">
          <cell r="B103">
            <v>20.577012950733995</v>
          </cell>
        </row>
        <row r="104">
          <cell r="B104">
            <v>89.537207590931473</v>
          </cell>
        </row>
        <row r="106">
          <cell r="B106">
            <v>11.117212883601985</v>
          </cell>
        </row>
        <row r="108">
          <cell r="B108">
            <v>38.667251534407939</v>
          </cell>
        </row>
        <row r="109">
          <cell r="B109">
            <v>1890.8030920644762</v>
          </cell>
        </row>
        <row r="112">
          <cell r="B112">
            <v>11.001612014249998</v>
          </cell>
        </row>
        <row r="113">
          <cell r="B113">
            <v>38.204848056999992</v>
          </cell>
        </row>
        <row r="114">
          <cell r="B114">
            <v>10.086327938749999</v>
          </cell>
        </row>
        <row r="116">
          <cell r="B116">
            <v>7.4306158949243093</v>
          </cell>
        </row>
        <row r="117">
          <cell r="B117">
            <v>5.0299908949243095</v>
          </cell>
        </row>
        <row r="118">
          <cell r="B118">
            <v>31.95269764581478</v>
          </cell>
        </row>
        <row r="120">
          <cell r="B120">
            <v>3.3739999999999997</v>
          </cell>
        </row>
        <row r="121">
          <cell r="B121">
            <v>5.9479999999999995</v>
          </cell>
        </row>
        <row r="122">
          <cell r="B122">
            <v>8.7000000000000011</v>
          </cell>
        </row>
        <row r="123">
          <cell r="B123">
            <v>4.7700000000000005</v>
          </cell>
        </row>
        <row r="126">
          <cell r="B126">
            <v>16.864310463776899</v>
          </cell>
        </row>
        <row r="127">
          <cell r="B127">
            <v>56.557701545923003</v>
          </cell>
        </row>
        <row r="128">
          <cell r="B128">
            <v>68.302376932403746</v>
          </cell>
        </row>
        <row r="129">
          <cell r="B129">
            <v>79.738052318884513</v>
          </cell>
        </row>
        <row r="134">
          <cell r="B134">
            <v>20.463889919354841</v>
          </cell>
        </row>
        <row r="135">
          <cell r="B135">
            <v>22.854967805299538</v>
          </cell>
        </row>
        <row r="136">
          <cell r="B136">
            <v>97.87264034274196</v>
          </cell>
        </row>
        <row r="137">
          <cell r="B137">
            <v>109.94758366676268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 ESPELHO"/>
      <sheetName val="QUADRO GERAL DE CUSTOS"/>
      <sheetName val="CUSTO FIXO"/>
      <sheetName val="VERNIZES"/>
      <sheetName val="CUSTO MP"/>
      <sheetName val="CONCENTRADOS ESM"/>
      <sheetName val="LIQUIDO PARA BRILHO"/>
      <sheetName val="CONCENTRADO SEMI BRILHO "/>
      <sheetName val="ESMALTE BASE ÁGUA"/>
      <sheetName val="concentrado bco semi brilho"/>
      <sheetName val="cimento queimado"/>
      <sheetName val="PASTA ESMALTE"/>
      <sheetName val="PASTA ESM PRETO"/>
      <sheetName val="ESMALTE FENOLADA"/>
      <sheetName val="SELADORA"/>
      <sheetName val="ZARCÃO"/>
      <sheetName val="BASE INTERNA CLARA"/>
      <sheetName val="BASE INT VERMELH 01 2022"/>
      <sheetName val="BASE INTERNA ESCURA 01 2022"/>
      <sheetName val="SELADOR 01 2022"/>
      <sheetName val="BRANCO NEVE + BCO  (3)"/>
      <sheetName val="TODAS AS FORMULAS INT"/>
      <sheetName val="MASSAS TODAS"/>
      <sheetName val="MASSA CORRIDA"/>
      <sheetName val="MASSA ACRILICA"/>
      <sheetName val="MASSA ACRILICA MAIS RESINA"/>
      <sheetName val="base externa clara"/>
      <sheetName val="base externa ESCURA"/>
      <sheetName val="BRANCO NEVE EXT"/>
      <sheetName val="PISO BRANCO"/>
      <sheetName val="BASE TINTA PISO"/>
      <sheetName val="TINTA PISO TODAS"/>
      <sheetName val="VEDAMIL BRANCO"/>
      <sheetName val="VEDAMIL AZUL"/>
      <sheetName val="SEMI BRILHO BRANCO NEVE"/>
      <sheetName val="BASE SEMI BRILHO CORES ESCURA"/>
      <sheetName val="BASE SEMI BRILHO CORES CLARA"/>
      <sheetName val="SEMI BRIHO TODOS"/>
      <sheetName val="TODAS FORMULAS EXTERNAS"/>
      <sheetName val="textura externa"/>
      <sheetName val="TINTA PARA GESSO"/>
    </sheetNames>
    <sheetDataSet>
      <sheetData sheetId="0">
        <row r="17">
          <cell r="B1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STO ESPELHO"/>
      <sheetName val="QUADRO GERAL DE CUSTOS"/>
      <sheetName val="CUSTO FIXO"/>
      <sheetName val="VERNIZES"/>
      <sheetName val="CUSTO MP"/>
      <sheetName val="CONCENTRADOS ESM"/>
      <sheetName val="LIQUIDO PARA BRILHO"/>
      <sheetName val="CONCENTRADO SEMI BRILHO "/>
      <sheetName val="ESMALTE BASE ÁGUA"/>
      <sheetName val="concentrado bco semi brilho"/>
      <sheetName val="cimento queimado"/>
      <sheetName val="PASTA ESMALTE"/>
      <sheetName val="PASTA ESM PRETO"/>
      <sheetName val="ESMALTE FENOLADA"/>
      <sheetName val="SELADORA"/>
      <sheetName val="ZARCÃO"/>
      <sheetName val="BASE INTERNA CLARA"/>
      <sheetName val="BASE INT VERMELH 01 2022"/>
      <sheetName val="BASE INTERNA ESCURA 01 2022"/>
      <sheetName val="SELADOR 01 2022"/>
      <sheetName val="BRANCO NEVE + BCO  (3)"/>
      <sheetName val="TODAS AS FORMULAS INT"/>
      <sheetName val="MASSAS TODAS"/>
      <sheetName val="MASSA CORRIDA"/>
      <sheetName val="MASSA ACRILICA"/>
      <sheetName val="MASSA ACRILICA MAIS RESINA"/>
      <sheetName val="base externa clara"/>
      <sheetName val="base externa ESCURA"/>
      <sheetName val="BRANCO NEVE EXT"/>
      <sheetName val="PISO BRANCO"/>
      <sheetName val="BASE TINTA PISO"/>
      <sheetName val="TINTA PISO TODAS"/>
      <sheetName val="VEDAMIL BRANCO"/>
      <sheetName val="VEDAMIL AZUL"/>
      <sheetName val="SEMI BRILHO BRANCO NEVE"/>
      <sheetName val="BASE SEMI BRILHO CORES ESCURA"/>
      <sheetName val="BASE SEMI BRILHO CORES CLARA"/>
      <sheetName val="SEMI BRIHO TODOS"/>
      <sheetName val="TODAS FORMULAS EXTERNAS"/>
      <sheetName val="TINTA PARA GESSO"/>
    </sheetNames>
    <sheetDataSet>
      <sheetData sheetId="0">
        <row r="55">
          <cell r="B55"/>
        </row>
        <row r="64">
          <cell r="B64"/>
        </row>
        <row r="65">
          <cell r="B65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A"/>
      <sheetName val="CUSTO ESPELHO"/>
      <sheetName val="QUADRO GERAL DE CUSTOS"/>
      <sheetName val="CUSTO MP"/>
      <sheetName val="ESMALTE FOSCO"/>
      <sheetName val="ESMALTE ALUMINIO"/>
      <sheetName val="CUSTO FIXO"/>
      <sheetName val="VERNIZES"/>
      <sheetName val="CONCENTRADOS ESM"/>
      <sheetName val="LIQUIDO PARA BRILHO"/>
      <sheetName val="CONCENTRADO SEMI BRILHO "/>
      <sheetName val="ESMALTE BASE ÁGUA"/>
      <sheetName val="concentrado bco semi brilho"/>
      <sheetName val="cimento queimado"/>
      <sheetName val="PASTA ESMALTE"/>
      <sheetName val="PASTA ESM PRETO"/>
      <sheetName val="ESMALTE FENOLADA"/>
      <sheetName val="SELADORA"/>
      <sheetName val="ZARCÃO"/>
      <sheetName val="TINTA EMBORRACHADA"/>
      <sheetName val="TINTA PARA TELHA"/>
      <sheetName val="BRANCO NEVE INT FORM 052024"/>
      <sheetName val="BASE INTERNA CLARA FORM 052024"/>
      <sheetName val="BASE INT VERMELH 01 2022"/>
      <sheetName val="BASE INTERNA ESCURA FORM 052024"/>
      <sheetName val="SELADOR 01 2022"/>
      <sheetName val="TODAS AS FORMULAS INT"/>
      <sheetName val="MASSAS TODAS"/>
      <sheetName val="MASSA CORRIDA"/>
      <sheetName val="MASSA ACRILICA"/>
      <sheetName val="MASSA ACRILICA MAIS RESINA"/>
      <sheetName val="BRANCO NEVE EXT form 052024"/>
      <sheetName val="BASE EXTERNA CLARA FORM 052024"/>
      <sheetName val="BASE EXTERNA ESCURA FORM 052024"/>
      <sheetName val="PISO BRANCO"/>
      <sheetName val="BASE TINTA PISO"/>
      <sheetName val="TINTA PISO TODAS"/>
      <sheetName val="VEDAMIL BRANCO"/>
      <sheetName val="VEDAMIL AZUL"/>
      <sheetName val="SEMI BRILHO BRANCO NEVE"/>
      <sheetName val="BASE SEMI BRILHO CORES ESCURA"/>
      <sheetName val="BASE SEMI BRILHO CORES CLARA"/>
      <sheetName val="SEMI BRIHO TODOS"/>
      <sheetName val="TODAS FORMULAS EXTERNAS"/>
      <sheetName val="textura externa"/>
      <sheetName val="TINTA PARA GESSO"/>
    </sheetNames>
    <sheetDataSet>
      <sheetData sheetId="0"/>
      <sheetData sheetId="1">
        <row r="12">
          <cell r="B12">
            <v>4.0138080780632412</v>
          </cell>
        </row>
        <row r="69">
          <cell r="B69"/>
        </row>
        <row r="71">
          <cell r="B7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USTO ESPELHO"/>
      <sheetName val="QUADRO GERAL DE CUSTOS"/>
      <sheetName val="CUSTO MP"/>
      <sheetName val="ESMALTES BRAZIMIL"/>
      <sheetName val="BASE INTER CLARA ECO BRAZIMIL "/>
      <sheetName val="BASE INTER ESCURA BRAZIMIL"/>
      <sheetName val="BASE INT VERMELHO "/>
      <sheetName val="BCO NEVE INT BRAZIMIL "/>
      <sheetName val="SELADOR BRAZIMIL"/>
      <sheetName val="BCO NEVE EXT BRAZIMIL"/>
      <sheetName val="BASE EXT CLARA BRAZIMIL"/>
      <sheetName val="BASE EXT ESCU BRAZIMIL"/>
      <sheetName val="TINTA EMBORRACHADA BRAZIMIL"/>
      <sheetName val="PISO BRANCO BRAZIMIL"/>
      <sheetName val="BASE TINTA PISO BRAZIMIL"/>
      <sheetName val="S B BRANCO NEVE BRAZIMIL"/>
      <sheetName val="CONCENTRADO SEMI BRILHO "/>
      <sheetName val="BASE SB CORES CLARA BRAZIMIL"/>
      <sheetName val="BASE S B CORES ESCURA BRAZIMIL"/>
      <sheetName val="MASSA CORRIDA"/>
      <sheetName val="MASSA ACRILICA"/>
      <sheetName val="ESMALTE FENOLADA"/>
      <sheetName val="cimento queimado"/>
      <sheetName val="CONCENTRADOS ESM"/>
      <sheetName val="ESMALTE ALUMINIO"/>
      <sheetName val="CUSTO FIXO"/>
      <sheetName val="VERNIZES"/>
      <sheetName val="LIQUIDO PARA BRILHO"/>
      <sheetName val="ESMALTE BASE ÁGUA"/>
      <sheetName val="concentrado bco semi brilho"/>
      <sheetName val="PASTA ESMALTE"/>
      <sheetName val="PASTA ESM PRETO"/>
      <sheetName val="SELADORA"/>
      <sheetName val="ZARCÃO"/>
      <sheetName val="TINTA PARA TELHA"/>
      <sheetName val="TODAS AS FORMULAS INT"/>
      <sheetName val="MASSAS TODAS"/>
      <sheetName val="MASSA ACRILICA MAIS RESINA"/>
      <sheetName val="TINTA PISO TODAS"/>
      <sheetName val="VEDAMIL BRANCO"/>
      <sheetName val="VEDAMIL AZUL"/>
      <sheetName val="SEMI BRIHO TODOS"/>
      <sheetName val="TODAS FORMULAS EXTERNAS"/>
      <sheetName val="textura externa"/>
      <sheetName val="TINTA PARA GESSO"/>
    </sheetNames>
    <sheetDataSet>
      <sheetData sheetId="0"/>
      <sheetData sheetId="1">
        <row r="4">
          <cell r="B4">
            <v>4.4992833199647473</v>
          </cell>
        </row>
        <row r="5">
          <cell r="B5">
            <v>3.9825213283557046</v>
          </cell>
        </row>
        <row r="6">
          <cell r="B6">
            <v>7.9702833199647483</v>
          </cell>
        </row>
        <row r="7">
          <cell r="B7">
            <v>7.4535213283557056</v>
          </cell>
        </row>
        <row r="11">
          <cell r="B11">
            <v>32.778841579770855</v>
          </cell>
        </row>
        <row r="12">
          <cell r="B12">
            <v>29.41988863431208</v>
          </cell>
        </row>
        <row r="14">
          <cell r="B14">
            <v>11.252875884744185</v>
          </cell>
        </row>
        <row r="15">
          <cell r="B15">
            <v>9.393148496580757</v>
          </cell>
        </row>
        <row r="17">
          <cell r="B17">
            <v>53.753881868125568</v>
          </cell>
        </row>
        <row r="18">
          <cell r="B18">
            <v>41.944612953287802</v>
          </cell>
        </row>
        <row r="20">
          <cell r="B20">
            <v>11.612402676696025</v>
          </cell>
        </row>
        <row r="21">
          <cell r="B21">
            <v>15.13493001516067</v>
          </cell>
        </row>
        <row r="23">
          <cell r="B23">
            <v>35.219452312801714</v>
          </cell>
        </row>
        <row r="24">
          <cell r="B24">
            <v>54.06431539100214</v>
          </cell>
        </row>
        <row r="25">
          <cell r="B25">
            <v>74.318847587173849</v>
          </cell>
        </row>
        <row r="27">
          <cell r="B27">
            <v>18.727406251742245</v>
          </cell>
        </row>
        <row r="28">
          <cell r="B28">
            <v>17.480571954350925</v>
          </cell>
        </row>
        <row r="30">
          <cell r="B30">
            <v>102.70014063632459</v>
          </cell>
        </row>
        <row r="31">
          <cell r="B31">
            <v>96.686860691868731</v>
          </cell>
        </row>
        <row r="33">
          <cell r="B33">
            <v>3.2667289092119738</v>
          </cell>
        </row>
        <row r="34">
          <cell r="B34">
            <v>6.7377289092119739</v>
          </cell>
        </row>
        <row r="36">
          <cell r="B36">
            <v>11.781790327902261</v>
          </cell>
        </row>
        <row r="37">
          <cell r="B37">
            <v>24.767237909877824</v>
          </cell>
        </row>
        <row r="45">
          <cell r="B45">
            <v>6.5147596933328238</v>
          </cell>
        </row>
        <row r="50">
          <cell r="B50">
            <v>21.427998864195644</v>
          </cell>
        </row>
        <row r="54">
          <cell r="B54">
            <v>10.453610974794225</v>
          </cell>
        </row>
        <row r="58">
          <cell r="B58">
            <v>36.016336943682312</v>
          </cell>
        </row>
        <row r="73">
          <cell r="B73">
            <v>10.062562314475</v>
          </cell>
        </row>
        <row r="74">
          <cell r="B74">
            <v>8.2124526824838711</v>
          </cell>
        </row>
        <row r="75">
          <cell r="B75">
            <v>8.6808651658963321</v>
          </cell>
        </row>
        <row r="79">
          <cell r="B79">
            <v>34.910249257900006</v>
          </cell>
        </row>
        <row r="80">
          <cell r="B80">
            <v>27.509810729935488</v>
          </cell>
        </row>
        <row r="81">
          <cell r="B81">
            <v>29.383460663585328</v>
          </cell>
        </row>
        <row r="123">
          <cell r="B123">
            <v>37.696438188038577</v>
          </cell>
        </row>
        <row r="124">
          <cell r="B124">
            <v>134.14392628681668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BATISTA DE OLIVEIRA" id="{3AD95FE2-7A5F-4AF1-880B-C35F2B005C8F}" userId="f734909cfc0c3db7" providerId="Windows Live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8-04T14:30:17.80" personId="{3AD95FE2-7A5F-4AF1-880B-C35F2B005C8F}" id="{F5AEA674-8FE6-4047-BC5D-3B390A5789DC}">
    <text>ACRESCIDO IMPOSTO DA FOME 1,5%</text>
  </threadedComment>
  <threadedComment ref="C3" dT="2025-08-04T14:30:36.50" personId="{3AD95FE2-7A5F-4AF1-880B-C35F2B005C8F}" id="{F11FA2E0-6191-48AD-8CA6-B8DC21865157}">
    <text>ACRESCIDO 1,5% DO IMPOSTO DA FOME</text>
  </threadedComment>
  <threadedComment ref="C4" dT="2025-08-04T14:30:52.39" personId="{3AD95FE2-7A5F-4AF1-880B-C35F2B005C8F}" id="{2234F13B-C8D4-4EB3-BA40-E8164F82DD7C}">
    <text>ACRECIDO DO IMPOSTO DA FOME</text>
  </threadedComment>
  <threadedComment ref="C6" dT="2025-08-04T14:31:07.47" personId="{3AD95FE2-7A5F-4AF1-880B-C35F2B005C8F}" id="{28001CDF-E476-4E71-B5AC-B258B0FD6888}">
    <text>ACRESCIDO DO IMPOSTO DA FOME</text>
  </threadedComment>
  <threadedComment ref="C21" dT="2025-08-04T14:31:26.16" personId="{3AD95FE2-7A5F-4AF1-880B-C35F2B005C8F}" id="{0166A1FC-FD2F-4735-BD93-1BEB4C66642A}">
    <text>ACRESCIDO DO IMPOSTO DA FOME</text>
  </threadedComment>
  <threadedComment ref="C36" dT="2025-08-04T14:31:43.95" personId="{3AD95FE2-7A5F-4AF1-880B-C35F2B005C8F}" id="{CED2270F-1FA6-44C9-8987-0AAD2FB53DD3}">
    <text>ACRESCIDO DO IMPOSTO DA FOME</text>
  </threadedComment>
  <threadedComment ref="C37" dT="2025-08-04T14:32:04.59" personId="{3AD95FE2-7A5F-4AF1-880B-C35F2B005C8F}" id="{C4118779-0AE5-4520-9759-E8E309917D77}">
    <text>ACRESCIDO 1,5% DO IMPOSTO DA FOME</text>
  </threadedComment>
  <threadedComment ref="C41" dT="2025-08-04T14:32:21.84" personId="{3AD95FE2-7A5F-4AF1-880B-C35F2B005C8F}" id="{E822D00D-1B0F-4BF5-AA3C-861ABA195663}">
    <text>ACRESCIDO DE 1,5% DO IMPOSTO DA FOME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showGridLines="0" zoomScaleNormal="100" workbookViewId="0">
      <pane ySplit="1" topLeftCell="A10" activePane="bottomLeft" state="frozen"/>
      <selection pane="bottomLeft" activeCell="A2" sqref="A2:E13"/>
    </sheetView>
  </sheetViews>
  <sheetFormatPr defaultColWidth="9.140625" defaultRowHeight="12.75" x14ac:dyDescent="0.2"/>
  <cols>
    <col min="1" max="1" width="52.5703125" style="3" bestFit="1" customWidth="1"/>
    <col min="2" max="2" width="14.42578125" style="3" bestFit="1" customWidth="1"/>
    <col min="3" max="3" width="11.42578125" style="3" bestFit="1" customWidth="1"/>
    <col min="4" max="4" width="10.140625" style="21" bestFit="1" customWidth="1"/>
    <col min="5" max="5" width="10.5703125" style="21" bestFit="1" customWidth="1"/>
    <col min="6" max="6" width="10.140625" style="21" customWidth="1"/>
    <col min="7" max="7" width="15.42578125" style="3" bestFit="1" customWidth="1"/>
    <col min="8" max="8" width="8.42578125" style="3" customWidth="1"/>
    <col min="9" max="13" width="9.140625" style="3"/>
    <col min="14" max="14" width="14.42578125" style="63" bestFit="1" customWidth="1"/>
    <col min="15" max="16384" width="9.140625" style="3"/>
  </cols>
  <sheetData>
    <row r="1" spans="1:14" ht="14.25" thickTop="1" thickBot="1" x14ac:dyDescent="0.25">
      <c r="A1" s="1" t="s">
        <v>22</v>
      </c>
      <c r="B1" s="2" t="s">
        <v>79</v>
      </c>
      <c r="C1" s="2" t="s">
        <v>23</v>
      </c>
      <c r="D1" s="2" t="s">
        <v>80</v>
      </c>
      <c r="E1" s="2" t="s">
        <v>104</v>
      </c>
      <c r="F1" s="81"/>
      <c r="G1" s="123" t="s">
        <v>115</v>
      </c>
      <c r="H1" s="4"/>
      <c r="N1" s="3"/>
    </row>
    <row r="2" spans="1:14" ht="13.5" thickTop="1" x14ac:dyDescent="0.2">
      <c r="A2" s="374"/>
      <c r="B2" s="399"/>
      <c r="C2" s="400"/>
      <c r="D2" s="377"/>
      <c r="E2" s="377"/>
      <c r="F2" s="81"/>
      <c r="G2" s="5"/>
      <c r="H2" s="6" t="s">
        <v>3</v>
      </c>
      <c r="N2" s="3"/>
    </row>
    <row r="3" spans="1:14" x14ac:dyDescent="0.2">
      <c r="A3" s="374"/>
      <c r="B3" s="379"/>
      <c r="C3" s="400"/>
      <c r="D3" s="380"/>
      <c r="E3" s="377"/>
      <c r="F3" s="81"/>
      <c r="G3" s="7" t="s">
        <v>81</v>
      </c>
      <c r="H3" s="8">
        <f>SUM(H4:H6)</f>
        <v>0.23650000000000002</v>
      </c>
      <c r="N3" s="3"/>
    </row>
    <row r="4" spans="1:14" x14ac:dyDescent="0.2">
      <c r="A4" s="374"/>
      <c r="B4" s="379"/>
      <c r="C4" s="400"/>
      <c r="D4" s="380"/>
      <c r="E4" s="380"/>
      <c r="F4" s="81"/>
      <c r="G4" s="9" t="s">
        <v>4</v>
      </c>
      <c r="H4" s="10">
        <v>0.2</v>
      </c>
      <c r="N4" s="3"/>
    </row>
    <row r="5" spans="1:14" x14ac:dyDescent="0.2">
      <c r="A5" s="374"/>
      <c r="B5" s="379"/>
      <c r="C5" s="400"/>
      <c r="D5" s="377"/>
      <c r="E5" s="377"/>
      <c r="F5" s="81"/>
      <c r="G5" s="9" t="s">
        <v>5</v>
      </c>
      <c r="H5" s="10">
        <v>6.4999999999999997E-3</v>
      </c>
      <c r="N5" s="3"/>
    </row>
    <row r="6" spans="1:14" ht="13.5" thickBot="1" x14ac:dyDescent="0.25">
      <c r="A6" s="374"/>
      <c r="B6" s="379"/>
      <c r="C6" s="400"/>
      <c r="D6" s="377"/>
      <c r="E6" s="377"/>
      <c r="F6" s="81"/>
      <c r="G6" s="11" t="s">
        <v>6</v>
      </c>
      <c r="H6" s="12">
        <v>0.03</v>
      </c>
      <c r="N6" s="3"/>
    </row>
    <row r="7" spans="1:14" ht="13.5" thickBot="1" x14ac:dyDescent="0.25">
      <c r="A7" s="374"/>
      <c r="B7" s="379"/>
      <c r="C7" s="400"/>
      <c r="D7" s="377"/>
      <c r="E7" s="377"/>
      <c r="F7" s="81"/>
      <c r="G7" s="13"/>
      <c r="H7" s="14"/>
      <c r="N7" s="3"/>
    </row>
    <row r="8" spans="1:14" x14ac:dyDescent="0.2">
      <c r="A8" s="374"/>
      <c r="B8" s="379"/>
      <c r="C8" s="400"/>
      <c r="D8" s="377"/>
      <c r="E8" s="377"/>
      <c r="F8" s="81"/>
      <c r="G8" s="5"/>
      <c r="H8" s="15" t="s">
        <v>7</v>
      </c>
      <c r="N8" s="3"/>
    </row>
    <row r="9" spans="1:14" x14ac:dyDescent="0.2">
      <c r="A9" s="401"/>
      <c r="B9" s="379"/>
      <c r="C9" s="400"/>
      <c r="D9" s="377"/>
      <c r="E9" s="377"/>
      <c r="F9" s="81"/>
      <c r="G9" s="7" t="s">
        <v>8</v>
      </c>
      <c r="H9" s="8">
        <f>SUM(H10:H12)</f>
        <v>0.1565</v>
      </c>
      <c r="N9" s="3"/>
    </row>
    <row r="10" spans="1:14" x14ac:dyDescent="0.2">
      <c r="A10" s="374"/>
      <c r="B10" s="379"/>
      <c r="C10" s="400"/>
      <c r="D10" s="377"/>
      <c r="E10" s="377"/>
      <c r="F10" s="81"/>
      <c r="G10" s="9" t="s">
        <v>4</v>
      </c>
      <c r="H10" s="10">
        <v>0.12</v>
      </c>
      <c r="N10" s="3"/>
    </row>
    <row r="11" spans="1:14" x14ac:dyDescent="0.2">
      <c r="A11" s="402"/>
      <c r="B11" s="375"/>
      <c r="C11" s="400"/>
      <c r="D11" s="377"/>
      <c r="E11" s="377"/>
      <c r="F11" s="81"/>
      <c r="G11" s="9" t="s">
        <v>5</v>
      </c>
      <c r="H11" s="10">
        <v>6.4999999999999997E-3</v>
      </c>
      <c r="N11" s="3"/>
    </row>
    <row r="12" spans="1:14" ht="13.5" thickBot="1" x14ac:dyDescent="0.25">
      <c r="A12" s="374"/>
      <c r="B12" s="379"/>
      <c r="C12" s="400"/>
      <c r="D12" s="377"/>
      <c r="E12" s="377"/>
      <c r="F12" s="81"/>
      <c r="G12" s="11" t="s">
        <v>6</v>
      </c>
      <c r="H12" s="151">
        <v>0.03</v>
      </c>
      <c r="I12" s="152"/>
      <c r="J12" s="152"/>
      <c r="K12" s="152"/>
      <c r="N12" s="3"/>
    </row>
    <row r="13" spans="1:14" ht="13.5" thickBot="1" x14ac:dyDescent="0.25">
      <c r="A13" s="374"/>
      <c r="B13" s="379"/>
      <c r="C13" s="400"/>
      <c r="D13" s="377"/>
      <c r="E13" s="377"/>
      <c r="F13" s="81"/>
      <c r="G13" s="13"/>
      <c r="H13" s="14"/>
      <c r="N13" s="3"/>
    </row>
    <row r="14" spans="1:14" x14ac:dyDescent="0.2">
      <c r="A14" s="374"/>
      <c r="B14" s="379"/>
      <c r="C14" s="400"/>
      <c r="D14" s="377"/>
      <c r="E14" s="377"/>
      <c r="F14" s="81"/>
      <c r="G14" s="5" t="s">
        <v>24</v>
      </c>
      <c r="H14" s="15" t="s">
        <v>25</v>
      </c>
      <c r="N14" s="3"/>
    </row>
    <row r="15" spans="1:14" x14ac:dyDescent="0.2">
      <c r="A15" s="374"/>
      <c r="B15" s="379"/>
      <c r="C15" s="400"/>
      <c r="D15" s="377"/>
      <c r="E15" s="377"/>
      <c r="F15" s="81"/>
      <c r="G15" s="7" t="s">
        <v>8</v>
      </c>
      <c r="H15" s="8">
        <f>SUM(H16:H18)</f>
        <v>0.12</v>
      </c>
      <c r="N15" s="3"/>
    </row>
    <row r="16" spans="1:14" x14ac:dyDescent="0.2">
      <c r="A16" s="374"/>
      <c r="B16" s="379"/>
      <c r="C16" s="400"/>
      <c r="D16" s="380"/>
      <c r="E16" s="377"/>
      <c r="F16" s="81"/>
      <c r="G16" s="9" t="s">
        <v>4</v>
      </c>
      <c r="H16" s="153">
        <v>0.12</v>
      </c>
      <c r="I16" s="146" t="s">
        <v>116</v>
      </c>
      <c r="J16" s="146"/>
      <c r="K16" s="145"/>
      <c r="N16" s="3"/>
    </row>
    <row r="17" spans="1:20" x14ac:dyDescent="0.2">
      <c r="A17" s="374"/>
      <c r="B17" s="379"/>
      <c r="C17" s="400"/>
      <c r="D17" s="380"/>
      <c r="E17" s="377"/>
      <c r="F17" s="81"/>
      <c r="G17" s="147"/>
      <c r="H17" s="148"/>
      <c r="N17" s="3"/>
    </row>
    <row r="18" spans="1:20" ht="13.5" thickBot="1" x14ac:dyDescent="0.25">
      <c r="A18" s="374"/>
      <c r="B18" s="379"/>
      <c r="C18" s="400"/>
      <c r="D18" s="377"/>
      <c r="E18" s="377"/>
      <c r="F18" s="81"/>
      <c r="G18" s="11" t="s">
        <v>117</v>
      </c>
      <c r="H18" s="151"/>
      <c r="I18" s="152"/>
      <c r="J18" s="152"/>
      <c r="K18" s="152"/>
      <c r="N18" s="3"/>
    </row>
    <row r="19" spans="1:20" ht="13.5" thickBot="1" x14ac:dyDescent="0.25">
      <c r="A19" s="374"/>
      <c r="B19" s="379"/>
      <c r="C19" s="400"/>
      <c r="D19" s="380"/>
      <c r="E19" s="377"/>
      <c r="F19" s="81"/>
      <c r="G19" s="13"/>
      <c r="H19" s="14"/>
      <c r="N19" s="3"/>
    </row>
    <row r="20" spans="1:20" x14ac:dyDescent="0.2">
      <c r="A20" s="374"/>
      <c r="B20" s="379"/>
      <c r="C20" s="400"/>
      <c r="D20" s="380"/>
      <c r="E20" s="377"/>
      <c r="F20" s="81"/>
      <c r="G20" s="5" t="s">
        <v>20</v>
      </c>
      <c r="H20" s="15" t="s">
        <v>21</v>
      </c>
      <c r="N20" s="3"/>
    </row>
    <row r="21" spans="1:20" x14ac:dyDescent="0.2">
      <c r="A21" s="403"/>
      <c r="B21" s="379"/>
      <c r="C21" s="400"/>
      <c r="D21" s="377"/>
      <c r="E21" s="377"/>
      <c r="F21" s="81"/>
      <c r="G21" s="7"/>
      <c r="H21" s="8">
        <f>SUM(H22:H24)</f>
        <v>0</v>
      </c>
      <c r="N21" s="3"/>
    </row>
    <row r="22" spans="1:20" x14ac:dyDescent="0.2">
      <c r="A22" s="374"/>
      <c r="B22" s="379"/>
      <c r="C22" s="400"/>
      <c r="D22" s="377"/>
      <c r="E22" s="377"/>
      <c r="F22" s="81"/>
      <c r="G22" s="9" t="s">
        <v>4</v>
      </c>
      <c r="H22" s="10">
        <v>0</v>
      </c>
      <c r="N22" s="3"/>
    </row>
    <row r="23" spans="1:20" x14ac:dyDescent="0.2">
      <c r="A23" s="404"/>
      <c r="B23" s="379"/>
      <c r="C23" s="400"/>
      <c r="D23" s="380"/>
      <c r="E23" s="377"/>
      <c r="F23" s="81"/>
      <c r="G23" s="9" t="s">
        <v>5</v>
      </c>
      <c r="H23" s="10">
        <v>0</v>
      </c>
      <c r="N23" s="3"/>
    </row>
    <row r="24" spans="1:20" ht="13.5" thickBot="1" x14ac:dyDescent="0.25">
      <c r="A24" s="374"/>
      <c r="B24" s="379"/>
      <c r="C24" s="400"/>
      <c r="D24" s="380"/>
      <c r="E24" s="377"/>
      <c r="F24" s="81"/>
      <c r="G24" s="11" t="s">
        <v>6</v>
      </c>
      <c r="H24" s="12">
        <v>0</v>
      </c>
      <c r="N24" s="3"/>
    </row>
    <row r="25" spans="1:20" x14ac:dyDescent="0.2">
      <c r="A25" s="403" t="s">
        <v>240</v>
      </c>
      <c r="B25" s="375">
        <v>100</v>
      </c>
      <c r="C25" s="376">
        <v>7.0000000000000007E-2</v>
      </c>
      <c r="D25" s="377" t="s">
        <v>70</v>
      </c>
      <c r="E25" s="377" t="s">
        <v>110</v>
      </c>
      <c r="F25" s="81"/>
      <c r="G25" s="16"/>
      <c r="H25" s="17"/>
      <c r="I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x14ac:dyDescent="0.2">
      <c r="A26" s="374"/>
      <c r="B26" s="375"/>
      <c r="C26" s="376"/>
      <c r="D26" s="380"/>
      <c r="E26" s="377"/>
      <c r="F26" s="8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 x14ac:dyDescent="0.2">
      <c r="A27" s="374" t="s">
        <v>241</v>
      </c>
      <c r="B27" s="375">
        <v>0</v>
      </c>
      <c r="C27" s="376">
        <v>7.0000000000000007E-2</v>
      </c>
      <c r="D27" s="377" t="s">
        <v>70</v>
      </c>
      <c r="E27" s="377" t="s">
        <v>110</v>
      </c>
      <c r="F27" s="81"/>
      <c r="N27" s="3"/>
    </row>
    <row r="28" spans="1:20" x14ac:dyDescent="0.2">
      <c r="A28" s="378" t="s">
        <v>242</v>
      </c>
      <c r="B28" s="375">
        <v>0</v>
      </c>
      <c r="C28" s="376">
        <v>0.1065</v>
      </c>
      <c r="D28" s="377" t="s">
        <v>70</v>
      </c>
      <c r="E28" s="377" t="s">
        <v>110</v>
      </c>
      <c r="F28" s="81"/>
      <c r="G28" s="3">
        <f>2000/14</f>
        <v>142.85714285714286</v>
      </c>
      <c r="N28" s="3"/>
    </row>
    <row r="29" spans="1:20" x14ac:dyDescent="0.2">
      <c r="A29" s="378" t="s">
        <v>243</v>
      </c>
      <c r="B29" s="379">
        <v>0</v>
      </c>
      <c r="C29" s="376">
        <v>7.0000000000000007E-2</v>
      </c>
      <c r="D29" s="380" t="s">
        <v>70</v>
      </c>
      <c r="E29" s="380" t="s">
        <v>110</v>
      </c>
      <c r="F29" s="81"/>
      <c r="N29" s="3"/>
    </row>
    <row r="30" spans="1:20" x14ac:dyDescent="0.2">
      <c r="A30" s="374"/>
      <c r="B30" s="379"/>
      <c r="C30" s="376"/>
      <c r="D30" s="377"/>
      <c r="E30" s="377"/>
      <c r="F30" s="81"/>
      <c r="N30" s="3"/>
    </row>
    <row r="31" spans="1:20" x14ac:dyDescent="0.2">
      <c r="A31" s="374"/>
      <c r="B31" s="379"/>
      <c r="C31" s="376"/>
      <c r="D31" s="377"/>
      <c r="E31" s="377"/>
      <c r="F31" s="81"/>
      <c r="N31" s="3"/>
    </row>
    <row r="32" spans="1:20" x14ac:dyDescent="0.2">
      <c r="A32" s="378"/>
      <c r="B32" s="379"/>
      <c r="C32" s="376"/>
      <c r="D32" s="377"/>
      <c r="E32" s="377"/>
      <c r="F32" s="81"/>
      <c r="N32" s="3"/>
    </row>
    <row r="33" spans="1:14" x14ac:dyDescent="0.2">
      <c r="A33" s="378"/>
      <c r="B33" s="379"/>
      <c r="C33" s="376"/>
      <c r="D33" s="377"/>
      <c r="E33" s="377"/>
      <c r="F33" s="81"/>
      <c r="N33" s="3"/>
    </row>
    <row r="34" spans="1:14" x14ac:dyDescent="0.2">
      <c r="A34" s="378"/>
      <c r="B34" s="379"/>
      <c r="C34" s="376"/>
      <c r="D34" s="377"/>
      <c r="E34" s="377"/>
      <c r="F34" s="81"/>
      <c r="N34" s="3"/>
    </row>
    <row r="35" spans="1:14" x14ac:dyDescent="0.2">
      <c r="A35" s="374"/>
      <c r="B35" s="379"/>
      <c r="C35" s="400"/>
      <c r="D35" s="377"/>
      <c r="E35" s="377"/>
      <c r="F35" s="81"/>
      <c r="N35" s="3"/>
    </row>
    <row r="36" spans="1:14" x14ac:dyDescent="0.2">
      <c r="A36" s="374"/>
      <c r="B36" s="375"/>
      <c r="C36" s="400"/>
      <c r="D36" s="377"/>
      <c r="E36" s="377"/>
      <c r="F36" s="81"/>
      <c r="N36" s="3"/>
    </row>
    <row r="37" spans="1:14" x14ac:dyDescent="0.2">
      <c r="A37" s="374"/>
      <c r="B37" s="375"/>
      <c r="C37" s="400"/>
      <c r="D37" s="377"/>
      <c r="E37" s="377"/>
      <c r="F37" s="81"/>
      <c r="N37" s="3"/>
    </row>
    <row r="38" spans="1:14" x14ac:dyDescent="0.2">
      <c r="A38" s="374"/>
      <c r="B38" s="375"/>
      <c r="C38" s="400"/>
      <c r="D38" s="377"/>
      <c r="E38" s="377"/>
      <c r="F38" s="81"/>
      <c r="N38" s="3"/>
    </row>
    <row r="39" spans="1:14" x14ac:dyDescent="0.2">
      <c r="A39" s="374"/>
      <c r="B39" s="375"/>
      <c r="C39" s="376"/>
      <c r="D39" s="380"/>
      <c r="E39" s="377"/>
      <c r="F39" s="81"/>
      <c r="N39" s="3"/>
    </row>
    <row r="40" spans="1:14" x14ac:dyDescent="0.2">
      <c r="A40" s="374"/>
      <c r="B40" s="375"/>
      <c r="C40" s="400"/>
      <c r="D40" s="377"/>
      <c r="E40" s="377"/>
      <c r="F40" s="81"/>
      <c r="N40" s="3"/>
    </row>
    <row r="41" spans="1:14" x14ac:dyDescent="0.2">
      <c r="A41" s="374"/>
      <c r="B41" s="375"/>
      <c r="C41" s="400"/>
      <c r="D41" s="377"/>
      <c r="E41" s="377"/>
      <c r="F41" s="81"/>
      <c r="N41" s="3"/>
    </row>
    <row r="42" spans="1:14" x14ac:dyDescent="0.2">
      <c r="A42" s="374"/>
      <c r="B42" s="375"/>
      <c r="C42" s="400"/>
      <c r="D42" s="380"/>
      <c r="E42" s="377"/>
      <c r="F42" s="81"/>
      <c r="N42" s="3"/>
    </row>
    <row r="43" spans="1:14" x14ac:dyDescent="0.2">
      <c r="A43" s="374"/>
      <c r="B43" s="375"/>
      <c r="C43" s="400"/>
      <c r="D43" s="380"/>
      <c r="E43" s="377"/>
      <c r="F43" s="81"/>
      <c r="N43" s="3"/>
    </row>
    <row r="44" spans="1:14" x14ac:dyDescent="0.2">
      <c r="A44" s="405"/>
      <c r="B44" s="406"/>
      <c r="C44" s="400"/>
      <c r="D44" s="377"/>
      <c r="E44" s="377"/>
      <c r="N44" s="3"/>
    </row>
    <row r="45" spans="1:14" x14ac:dyDescent="0.2">
      <c r="A45" s="405"/>
      <c r="B45" s="406"/>
      <c r="C45" s="400"/>
      <c r="D45" s="377"/>
      <c r="E45" s="377"/>
      <c r="N45" s="3"/>
    </row>
    <row r="46" spans="1:14" x14ac:dyDescent="0.2">
      <c r="A46" s="405"/>
      <c r="B46" s="406"/>
      <c r="C46" s="400"/>
      <c r="D46" s="377"/>
      <c r="E46" s="377"/>
      <c r="N46" s="3"/>
    </row>
    <row r="47" spans="1:14" x14ac:dyDescent="0.2">
      <c r="A47" s="405"/>
      <c r="B47" s="406"/>
      <c r="C47" s="400"/>
      <c r="D47" s="377"/>
      <c r="E47" s="377"/>
      <c r="N47" s="3"/>
    </row>
    <row r="48" spans="1:14" x14ac:dyDescent="0.2">
      <c r="A48" s="405"/>
      <c r="B48" s="406"/>
      <c r="C48" s="400"/>
      <c r="D48" s="377"/>
      <c r="E48" s="377"/>
      <c r="N48" s="3"/>
    </row>
    <row r="49" spans="1:14" x14ac:dyDescent="0.2">
      <c r="A49" s="405"/>
      <c r="B49" s="406"/>
      <c r="C49" s="400"/>
      <c r="D49" s="377"/>
      <c r="E49" s="377"/>
      <c r="N49" s="3"/>
    </row>
    <row r="50" spans="1:14" x14ac:dyDescent="0.2">
      <c r="A50" s="405"/>
      <c r="B50" s="406"/>
      <c r="C50" s="400"/>
      <c r="D50" s="377"/>
      <c r="E50" s="377"/>
      <c r="N50" s="3"/>
    </row>
    <row r="51" spans="1:14" x14ac:dyDescent="0.2">
      <c r="A51" s="405"/>
      <c r="B51" s="406"/>
      <c r="C51" s="400"/>
      <c r="D51" s="377"/>
      <c r="E51" s="377"/>
      <c r="N51" s="3"/>
    </row>
    <row r="52" spans="1:14" x14ac:dyDescent="0.2">
      <c r="A52" s="405"/>
      <c r="B52" s="406"/>
      <c r="C52" s="407"/>
      <c r="D52" s="377"/>
      <c r="E52" s="377"/>
      <c r="N52" s="3"/>
    </row>
    <row r="53" spans="1:14" x14ac:dyDescent="0.2">
      <c r="A53" s="405"/>
      <c r="B53" s="406"/>
      <c r="C53" s="407"/>
      <c r="D53" s="377"/>
      <c r="E53" s="377"/>
      <c r="N53" s="3"/>
    </row>
    <row r="54" spans="1:14" x14ac:dyDescent="0.2">
      <c r="A54" s="405"/>
      <c r="B54" s="406"/>
      <c r="C54" s="407"/>
      <c r="D54" s="377"/>
      <c r="E54" s="377"/>
      <c r="N54" s="3"/>
    </row>
    <row r="55" spans="1:14" x14ac:dyDescent="0.2">
      <c r="D55" s="3"/>
      <c r="E55" s="3"/>
      <c r="N55" s="3"/>
    </row>
    <row r="56" spans="1:14" x14ac:dyDescent="0.2">
      <c r="D56" s="3"/>
      <c r="E56" s="3"/>
      <c r="N56" s="3"/>
    </row>
    <row r="57" spans="1:14" x14ac:dyDescent="0.2">
      <c r="A57" s="19"/>
      <c r="B57" s="20"/>
      <c r="C57" s="20"/>
      <c r="N57" s="3"/>
    </row>
    <row r="58" spans="1:14" x14ac:dyDescent="0.2">
      <c r="A58" s="19"/>
      <c r="B58" s="20"/>
      <c r="C58" s="20"/>
      <c r="N58" s="3"/>
    </row>
    <row r="59" spans="1:14" x14ac:dyDescent="0.2">
      <c r="A59" s="19"/>
      <c r="B59" s="20"/>
      <c r="C59" s="20"/>
      <c r="N59" s="3"/>
    </row>
    <row r="60" spans="1:14" x14ac:dyDescent="0.2">
      <c r="A60" s="19"/>
      <c r="B60" s="20"/>
      <c r="C60" s="20"/>
      <c r="N60" s="3"/>
    </row>
    <row r="61" spans="1:14" x14ac:dyDescent="0.2">
      <c r="A61" s="22"/>
      <c r="B61" s="20"/>
      <c r="C61" s="20"/>
      <c r="N61" s="3"/>
    </row>
    <row r="62" spans="1:14" x14ac:dyDescent="0.2">
      <c r="A62" s="19"/>
      <c r="B62" s="20"/>
      <c r="C62" s="20"/>
      <c r="N62" s="62"/>
    </row>
    <row r="63" spans="1:14" x14ac:dyDescent="0.2">
      <c r="A63" s="19"/>
      <c r="B63" s="20"/>
      <c r="C63" s="20"/>
      <c r="N63" s="62"/>
    </row>
    <row r="64" spans="1:14" x14ac:dyDescent="0.2">
      <c r="A64" s="22"/>
      <c r="B64" s="20"/>
      <c r="C64" s="20"/>
      <c r="N64" s="62"/>
    </row>
    <row r="65" spans="1:14" x14ac:dyDescent="0.2">
      <c r="A65" s="19"/>
      <c r="B65" s="20"/>
      <c r="C65" s="20"/>
      <c r="N65" s="62"/>
    </row>
    <row r="66" spans="1:14" x14ac:dyDescent="0.2">
      <c r="A66" s="19"/>
      <c r="B66" s="20"/>
      <c r="C66" s="20"/>
      <c r="N66" s="62"/>
    </row>
    <row r="67" spans="1:14" x14ac:dyDescent="0.2">
      <c r="A67" s="19"/>
      <c r="B67" s="20"/>
      <c r="C67" s="20"/>
      <c r="N67" s="62"/>
    </row>
    <row r="68" spans="1:14" x14ac:dyDescent="0.2">
      <c r="A68" s="19"/>
      <c r="B68" s="20"/>
      <c r="C68" s="20"/>
      <c r="N68" s="62"/>
    </row>
    <row r="69" spans="1:14" x14ac:dyDescent="0.2">
      <c r="A69" s="19"/>
      <c r="B69" s="20"/>
      <c r="C69" s="20"/>
      <c r="N69" s="62"/>
    </row>
    <row r="70" spans="1:14" x14ac:dyDescent="0.2">
      <c r="A70" s="19"/>
      <c r="B70" s="20"/>
      <c r="C70" s="20"/>
      <c r="N70" s="62"/>
    </row>
    <row r="71" spans="1:14" x14ac:dyDescent="0.2">
      <c r="A71" s="19"/>
      <c r="B71" s="20"/>
      <c r="C71" s="20"/>
      <c r="N71" s="62"/>
    </row>
    <row r="72" spans="1:14" x14ac:dyDescent="0.2">
      <c r="A72" s="19"/>
      <c r="B72" s="20"/>
      <c r="C72" s="20"/>
      <c r="N72" s="62"/>
    </row>
    <row r="73" spans="1:14" x14ac:dyDescent="0.2">
      <c r="A73" s="19"/>
      <c r="B73" s="20"/>
      <c r="C73" s="20"/>
      <c r="N73" s="62"/>
    </row>
    <row r="74" spans="1:14" x14ac:dyDescent="0.2">
      <c r="A74" s="19"/>
      <c r="B74" s="20"/>
      <c r="C74" s="20"/>
      <c r="N74" s="62"/>
    </row>
    <row r="75" spans="1:14" x14ac:dyDescent="0.2">
      <c r="A75" s="22"/>
      <c r="B75" s="20"/>
      <c r="C75" s="20"/>
      <c r="N75" s="62"/>
    </row>
    <row r="76" spans="1:14" x14ac:dyDescent="0.2">
      <c r="A76" s="19"/>
      <c r="B76" s="20"/>
      <c r="C76" s="20"/>
      <c r="N76" s="62"/>
    </row>
    <row r="77" spans="1:14" x14ac:dyDescent="0.2">
      <c r="A77" s="19"/>
      <c r="B77" s="20"/>
      <c r="C77" s="20"/>
      <c r="N77" s="62"/>
    </row>
    <row r="78" spans="1:14" x14ac:dyDescent="0.2">
      <c r="A78" s="23"/>
      <c r="B78" s="20"/>
      <c r="C78" s="20"/>
      <c r="N78" s="62"/>
    </row>
    <row r="79" spans="1:14" x14ac:dyDescent="0.2">
      <c r="A79" s="23"/>
      <c r="B79" s="20"/>
      <c r="C79" s="20"/>
      <c r="N79" s="62"/>
    </row>
    <row r="80" spans="1:14" x14ac:dyDescent="0.2">
      <c r="A80" s="23"/>
      <c r="B80" s="20"/>
      <c r="C80" s="20"/>
      <c r="N80" s="62"/>
    </row>
    <row r="81" spans="1:14" x14ac:dyDescent="0.2">
      <c r="A81" s="23"/>
      <c r="B81" s="20"/>
      <c r="C81" s="20"/>
      <c r="N81" s="62"/>
    </row>
    <row r="82" spans="1:14" x14ac:dyDescent="0.2">
      <c r="A82" s="22"/>
      <c r="B82" s="20"/>
      <c r="C82" s="20"/>
      <c r="N82" s="62"/>
    </row>
    <row r="83" spans="1:14" x14ac:dyDescent="0.2">
      <c r="A83" s="19"/>
      <c r="B83" s="20"/>
      <c r="C83" s="20"/>
      <c r="N83" s="62"/>
    </row>
    <row r="84" spans="1:14" x14ac:dyDescent="0.2">
      <c r="A84" s="19"/>
      <c r="B84" s="20"/>
      <c r="C84" s="20"/>
      <c r="N84" s="62"/>
    </row>
    <row r="85" spans="1:14" x14ac:dyDescent="0.2">
      <c r="A85" s="19"/>
      <c r="B85" s="20"/>
      <c r="C85" s="20"/>
      <c r="N85" s="62"/>
    </row>
    <row r="86" spans="1:14" x14ac:dyDescent="0.2">
      <c r="A86" s="19"/>
      <c r="B86" s="20"/>
      <c r="C86" s="20"/>
      <c r="N86" s="62"/>
    </row>
    <row r="87" spans="1:14" x14ac:dyDescent="0.2">
      <c r="A87" s="19"/>
      <c r="B87" s="20"/>
      <c r="C87" s="20"/>
      <c r="N87" s="62"/>
    </row>
    <row r="88" spans="1:14" x14ac:dyDescent="0.2">
      <c r="A88" s="19"/>
      <c r="B88" s="20"/>
      <c r="C88" s="20"/>
      <c r="N88" s="62"/>
    </row>
    <row r="89" spans="1:14" x14ac:dyDescent="0.2">
      <c r="A89" s="19"/>
      <c r="B89" s="20"/>
      <c r="C89" s="20"/>
      <c r="N89" s="62"/>
    </row>
    <row r="90" spans="1:14" x14ac:dyDescent="0.2">
      <c r="A90" s="19"/>
      <c r="B90" s="20"/>
      <c r="C90" s="20"/>
      <c r="N90" s="62"/>
    </row>
    <row r="91" spans="1:14" x14ac:dyDescent="0.2">
      <c r="A91" s="19"/>
      <c r="B91" s="20"/>
      <c r="C91" s="20"/>
      <c r="N91" s="62"/>
    </row>
    <row r="92" spans="1:14" x14ac:dyDescent="0.2">
      <c r="A92" s="19"/>
      <c r="B92" s="20"/>
      <c r="C92" s="20"/>
      <c r="N92" s="62"/>
    </row>
    <row r="93" spans="1:14" x14ac:dyDescent="0.2">
      <c r="A93" s="19"/>
      <c r="B93" s="20"/>
      <c r="C93" s="20"/>
      <c r="N93" s="62"/>
    </row>
    <row r="94" spans="1:14" x14ac:dyDescent="0.2">
      <c r="A94" s="19"/>
      <c r="B94" s="20"/>
      <c r="C94" s="20"/>
      <c r="N94" s="62"/>
    </row>
    <row r="95" spans="1:14" x14ac:dyDescent="0.2">
      <c r="A95" s="22"/>
      <c r="B95" s="20"/>
      <c r="C95" s="20"/>
      <c r="N95" s="62"/>
    </row>
    <row r="96" spans="1:14" x14ac:dyDescent="0.2">
      <c r="A96" s="19"/>
      <c r="B96" s="20"/>
      <c r="C96" s="20"/>
      <c r="N96" s="62"/>
    </row>
    <row r="97" spans="1:14" x14ac:dyDescent="0.2">
      <c r="A97" s="19"/>
      <c r="B97" s="20"/>
      <c r="C97" s="20"/>
      <c r="N97" s="62"/>
    </row>
    <row r="98" spans="1:14" x14ac:dyDescent="0.2">
      <c r="A98" s="22"/>
      <c r="B98" s="20"/>
      <c r="C98" s="20"/>
      <c r="N98" s="62"/>
    </row>
    <row r="99" spans="1:14" x14ac:dyDescent="0.2">
      <c r="A99" s="19"/>
      <c r="B99" s="20"/>
      <c r="C99" s="20"/>
      <c r="N99" s="62"/>
    </row>
    <row r="100" spans="1:14" x14ac:dyDescent="0.2">
      <c r="A100" s="19"/>
      <c r="B100" s="20"/>
      <c r="C100" s="20"/>
      <c r="N100" s="62"/>
    </row>
    <row r="101" spans="1:14" x14ac:dyDescent="0.2">
      <c r="A101" s="19"/>
      <c r="B101" s="20"/>
      <c r="C101" s="20"/>
      <c r="N101" s="62"/>
    </row>
    <row r="102" spans="1:14" x14ac:dyDescent="0.2">
      <c r="A102" s="19"/>
      <c r="B102" s="20"/>
      <c r="C102" s="20"/>
      <c r="N102" s="62"/>
    </row>
    <row r="103" spans="1:14" x14ac:dyDescent="0.2">
      <c r="A103" s="19"/>
      <c r="B103" s="20"/>
      <c r="C103" s="20"/>
      <c r="N103" s="62"/>
    </row>
    <row r="104" spans="1:14" x14ac:dyDescent="0.2">
      <c r="A104" s="23"/>
      <c r="B104" s="20"/>
      <c r="C104" s="20"/>
      <c r="N104" s="62"/>
    </row>
    <row r="105" spans="1:14" x14ac:dyDescent="0.2">
      <c r="A105" s="23"/>
      <c r="B105" s="20"/>
      <c r="C105" s="20"/>
      <c r="N105" s="62"/>
    </row>
    <row r="106" spans="1:14" x14ac:dyDescent="0.2">
      <c r="A106" s="23"/>
      <c r="B106" s="20"/>
      <c r="C106" s="20"/>
      <c r="N106" s="62"/>
    </row>
    <row r="107" spans="1:14" x14ac:dyDescent="0.2">
      <c r="A107" s="23"/>
      <c r="B107" s="20"/>
      <c r="C107" s="20"/>
      <c r="N107" s="62"/>
    </row>
    <row r="108" spans="1:14" x14ac:dyDescent="0.2">
      <c r="A108" s="22"/>
      <c r="B108" s="20"/>
      <c r="C108" s="20"/>
      <c r="N108" s="62"/>
    </row>
    <row r="109" spans="1:14" x14ac:dyDescent="0.2">
      <c r="A109" s="23"/>
      <c r="B109" s="20"/>
      <c r="C109" s="20"/>
      <c r="N109" s="62"/>
    </row>
    <row r="110" spans="1:14" x14ac:dyDescent="0.2">
      <c r="A110" s="23"/>
      <c r="B110" s="20"/>
      <c r="C110" s="20"/>
      <c r="N110" s="62"/>
    </row>
  </sheetData>
  <autoFilter ref="A1:I54" xr:uid="{00000000-0001-0000-0000-000000000000}"/>
  <sortState xmlns:xlrd2="http://schemas.microsoft.com/office/spreadsheetml/2017/richdata2" ref="A2:E26">
    <sortCondition ref="D2:D26"/>
  </sortState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outlinePr summaryBelow="0"/>
  </sheetPr>
  <dimension ref="A1:AW191"/>
  <sheetViews>
    <sheetView showGridLines="0" tabSelected="1" zoomScaleNormal="100" workbookViewId="0">
      <pane xSplit="4" ySplit="9" topLeftCell="G10" activePane="bottomRight" state="frozen"/>
      <selection activeCell="A32" sqref="A32"/>
      <selection pane="topRight" activeCell="A32" sqref="A32"/>
      <selection pane="bottomLeft" activeCell="A32" sqref="A32"/>
      <selection pane="bottomRight" activeCell="A83" sqref="A83:XFD83"/>
    </sheetView>
  </sheetViews>
  <sheetFormatPr defaultColWidth="9.140625" defaultRowHeight="12.75" outlineLevelRow="2" outlineLevelCol="2" x14ac:dyDescent="0.2"/>
  <cols>
    <col min="1" max="1" width="44.85546875" style="24" bestFit="1" customWidth="1"/>
    <col min="2" max="2" width="11" style="24" bestFit="1" customWidth="1"/>
    <col min="3" max="3" width="14.5703125" style="214" bestFit="1" customWidth="1"/>
    <col min="4" max="4" width="14" style="39" customWidth="1"/>
    <col min="5" max="6" width="9.140625" style="24" customWidth="1" outlineLevel="2"/>
    <col min="7" max="7" width="11.42578125" style="24" customWidth="1" outlineLevel="2"/>
    <col min="8" max="8" width="9.42578125" style="24" customWidth="1" outlineLevel="2"/>
    <col min="9" max="13" width="9.140625" style="24" customWidth="1" outlineLevel="2"/>
    <col min="14" max="14" width="13.28515625" style="195" customWidth="1" outlineLevel="1"/>
    <col min="15" max="15" width="8.42578125" style="24" customWidth="1" outlineLevel="1"/>
    <col min="16" max="18" width="9.5703125" style="24" customWidth="1" outlineLevel="1"/>
    <col min="19" max="19" width="12.85546875" style="24" customWidth="1" outlineLevel="1"/>
    <col min="20" max="20" width="7" style="24" customWidth="1" outlineLevel="1"/>
    <col min="21" max="21" width="8.5703125" style="24" customWidth="1" outlineLevel="1"/>
    <col min="22" max="22" width="9" style="24" customWidth="1" outlineLevel="1"/>
    <col min="23" max="23" width="7" style="24" customWidth="1" outlineLevel="1"/>
    <col min="24" max="24" width="44.85546875" style="24" customWidth="1" outlineLevel="1"/>
    <col min="25" max="25" width="8" style="115" customWidth="1" outlineLevel="1"/>
    <col min="26" max="26" width="9.85546875" style="33" customWidth="1" outlineLevel="1"/>
    <col min="27" max="27" width="12.42578125" style="33" customWidth="1" outlineLevel="1"/>
    <col min="28" max="28" width="9.5703125" style="24" customWidth="1" outlineLevel="1"/>
    <col min="29" max="30" width="9.85546875" style="24" customWidth="1" outlineLevel="1"/>
    <col min="31" max="31" width="9.140625" style="24" customWidth="1" outlineLevel="1"/>
    <col min="32" max="32" width="42.140625" style="24" customWidth="1" outlineLevel="1"/>
    <col min="33" max="33" width="10.5703125" style="24" customWidth="1" outlineLevel="1"/>
    <col min="34" max="34" width="9.5703125" style="24" customWidth="1" outlineLevel="1"/>
    <col min="35" max="41" width="9.140625" style="24" customWidth="1" outlineLevel="1"/>
    <col min="42" max="42" width="9.140625" style="195" customWidth="1" outlineLevel="1"/>
    <col min="43" max="44" width="9.140625" style="195" customWidth="1"/>
    <col min="45" max="45" width="9.140625" style="195"/>
    <col min="46" max="46" width="9" style="196" customWidth="1"/>
    <col min="47" max="47" width="9.140625" style="197"/>
    <col min="48" max="16384" width="9.140625" style="195"/>
  </cols>
  <sheetData>
    <row r="1" spans="1:48" x14ac:dyDescent="0.2">
      <c r="D1" s="46"/>
      <c r="E1" s="30"/>
      <c r="G1" s="47"/>
      <c r="J1" s="29"/>
      <c r="K1" s="29"/>
      <c r="L1" s="29"/>
    </row>
    <row r="2" spans="1:48" x14ac:dyDescent="0.2">
      <c r="A2" s="24" t="s">
        <v>129</v>
      </c>
      <c r="B2" s="39" t="s">
        <v>35</v>
      </c>
      <c r="C2" s="329">
        <v>0</v>
      </c>
      <c r="D2" s="66"/>
      <c r="E2" s="48"/>
      <c r="G2" s="47"/>
      <c r="AJ2" s="24" t="s">
        <v>93</v>
      </c>
    </row>
    <row r="3" spans="1:48" ht="13.5" thickBot="1" x14ac:dyDescent="0.25">
      <c r="A3" s="91" t="s">
        <v>97</v>
      </c>
      <c r="B3" s="39" t="s">
        <v>95</v>
      </c>
      <c r="C3" s="215" t="s">
        <v>96</v>
      </c>
      <c r="D3" s="66"/>
      <c r="N3" s="361"/>
      <c r="AJ3" s="24" t="s">
        <v>99</v>
      </c>
    </row>
    <row r="4" spans="1:48" ht="16.5" thickBot="1" x14ac:dyDescent="0.3">
      <c r="A4" s="139" t="s">
        <v>240</v>
      </c>
      <c r="B4" s="79" t="str">
        <f>VLOOKUP(A4,'Frete_Regiao-Impostos'!A1:D62,4,FALSE)</f>
        <v>AM</v>
      </c>
      <c r="C4" s="347" t="str">
        <f>VLOOKUP(A4,'Frete_Regiao-Impostos'!A1:E62,5,FALSE)</f>
        <v>GRUPO 4</v>
      </c>
      <c r="D4" s="66"/>
      <c r="E4" s="39" t="s">
        <v>88</v>
      </c>
      <c r="F4" s="39" t="s">
        <v>88</v>
      </c>
      <c r="G4" s="34"/>
      <c r="I4" s="39" t="s">
        <v>100</v>
      </c>
      <c r="J4" s="34"/>
      <c r="K4" s="34"/>
      <c r="L4" s="34"/>
      <c r="M4" s="34"/>
      <c r="N4" s="383" t="s">
        <v>135</v>
      </c>
      <c r="O4" s="53"/>
    </row>
    <row r="5" spans="1:48" x14ac:dyDescent="0.2">
      <c r="A5" s="35" t="s">
        <v>18</v>
      </c>
      <c r="B5" s="345">
        <f>VLOOKUP(A4,AF10:$AH$187,3,0)</f>
        <v>7.0000000000000007E-2</v>
      </c>
      <c r="C5" s="348" t="s">
        <v>131</v>
      </c>
      <c r="E5" s="44" t="s">
        <v>86</v>
      </c>
      <c r="F5" s="44" t="s">
        <v>86</v>
      </c>
      <c r="G5" s="34"/>
      <c r="I5" s="44" t="s">
        <v>86</v>
      </c>
      <c r="N5" s="384"/>
      <c r="O5" s="43">
        <f>N15/E15</f>
        <v>0.47981726237660677</v>
      </c>
      <c r="X5" s="31" t="s">
        <v>112</v>
      </c>
    </row>
    <row r="6" spans="1:48" ht="16.5" thickBot="1" x14ac:dyDescent="0.3">
      <c r="A6" s="35" t="s">
        <v>15</v>
      </c>
      <c r="B6" s="369">
        <f>VLOOKUP(A4,$AF$10:$AG$187,2,0)</f>
        <v>100</v>
      </c>
      <c r="C6" s="370">
        <f>SUMPRODUCT(C12:C125,AP12:AP125)</f>
        <v>0</v>
      </c>
      <c r="D6" s="346" t="s">
        <v>98</v>
      </c>
      <c r="E6" s="39" t="s">
        <v>87</v>
      </c>
      <c r="F6" s="39" t="s">
        <v>87</v>
      </c>
      <c r="I6" s="39" t="s">
        <v>87</v>
      </c>
      <c r="N6" s="385"/>
    </row>
    <row r="7" spans="1:48" ht="24.75" thickBot="1" x14ac:dyDescent="0.25">
      <c r="A7" s="24" t="s">
        <v>113</v>
      </c>
      <c r="B7" s="372" t="s">
        <v>136</v>
      </c>
      <c r="C7" s="373">
        <f>SUMPRODUCT(B12:B133,C12:C133)</f>
        <v>0</v>
      </c>
      <c r="D7" s="368" t="str">
        <f>+AB9</f>
        <v/>
      </c>
      <c r="E7" s="141" t="str">
        <f>IF($B$6&lt;=$B$7,"X","")</f>
        <v>X</v>
      </c>
      <c r="F7" s="141" t="str">
        <f>IF($B$6&gt;$B$7,"X","")</f>
        <v/>
      </c>
      <c r="I7" s="144" t="s">
        <v>35</v>
      </c>
      <c r="M7" s="85" t="s">
        <v>76</v>
      </c>
      <c r="N7" s="367">
        <f>SUMPRODUCT(C12:C133,N12:N133)</f>
        <v>0</v>
      </c>
      <c r="O7" s="85" t="s">
        <v>12</v>
      </c>
      <c r="Q7" s="381" t="s">
        <v>61</v>
      </c>
      <c r="R7" s="382"/>
      <c r="S7" s="382"/>
      <c r="T7" s="382"/>
      <c r="U7" s="382"/>
      <c r="V7" s="382"/>
    </row>
    <row r="8" spans="1:48" s="325" customFormat="1" ht="24" x14ac:dyDescent="0.2">
      <c r="A8" s="321"/>
      <c r="B8" s="371" t="s">
        <v>10</v>
      </c>
      <c r="C8" s="322"/>
      <c r="D8" s="309">
        <v>9</v>
      </c>
      <c r="E8" s="310" t="s">
        <v>10</v>
      </c>
      <c r="F8" s="311" t="s">
        <v>10</v>
      </c>
      <c r="G8" s="311" t="s">
        <v>0</v>
      </c>
      <c r="H8" s="312"/>
      <c r="I8" s="310" t="s">
        <v>11</v>
      </c>
      <c r="J8" s="310" t="s">
        <v>11</v>
      </c>
      <c r="K8" s="328" t="s">
        <v>128</v>
      </c>
      <c r="L8" s="328" t="s">
        <v>128</v>
      </c>
      <c r="M8" s="310" t="s">
        <v>0</v>
      </c>
      <c r="N8" s="366" t="s">
        <v>12</v>
      </c>
      <c r="O8" s="313" t="s">
        <v>30</v>
      </c>
      <c r="P8" s="313"/>
      <c r="Q8" s="314" t="s">
        <v>62</v>
      </c>
      <c r="R8" s="315" t="s">
        <v>63</v>
      </c>
      <c r="S8" s="316">
        <f>HLOOKUP(B4,'MVA-IPI'!B137:AB142,2,FALSE)</f>
        <v>0.12</v>
      </c>
      <c r="T8" s="315" t="s">
        <v>64</v>
      </c>
      <c r="U8" s="314" t="s">
        <v>65</v>
      </c>
      <c r="V8" s="316">
        <f>HLOOKUP( B4,'MVA-IPI'!B137:AB142,3,FALSE)</f>
        <v>0.2</v>
      </c>
      <c r="W8" s="323"/>
      <c r="X8" s="317" t="s">
        <v>85</v>
      </c>
      <c r="Y8" s="324" t="s">
        <v>32</v>
      </c>
      <c r="Z8" s="318" t="s">
        <v>33</v>
      </c>
      <c r="AA8" s="319" t="s">
        <v>34</v>
      </c>
      <c r="AB8" s="317" t="s">
        <v>33</v>
      </c>
      <c r="AC8" s="317" t="s">
        <v>90</v>
      </c>
      <c r="AD8" s="320" t="s">
        <v>11</v>
      </c>
      <c r="AE8" s="320" t="s">
        <v>11</v>
      </c>
      <c r="AF8" s="310" t="s">
        <v>22</v>
      </c>
      <c r="AG8" s="310" t="s">
        <v>79</v>
      </c>
      <c r="AH8" s="310" t="s">
        <v>23</v>
      </c>
      <c r="AI8" s="310" t="s">
        <v>80</v>
      </c>
      <c r="AJ8" s="323"/>
      <c r="AK8" s="323"/>
      <c r="AL8" s="323"/>
      <c r="AM8" s="323"/>
      <c r="AN8" s="323"/>
      <c r="AO8" s="323"/>
      <c r="AT8" s="326"/>
      <c r="AU8" s="327"/>
    </row>
    <row r="9" spans="1:48" x14ac:dyDescent="0.2">
      <c r="A9" s="138" t="s">
        <v>9</v>
      </c>
      <c r="B9" s="305" t="s">
        <v>9</v>
      </c>
      <c r="C9" s="216" t="s">
        <v>32</v>
      </c>
      <c r="D9" s="137" t="s">
        <v>2</v>
      </c>
      <c r="E9" s="36" t="s">
        <v>13</v>
      </c>
      <c r="F9" s="36" t="s">
        <v>19</v>
      </c>
      <c r="G9" s="36" t="s">
        <v>14</v>
      </c>
      <c r="H9" s="36" t="s">
        <v>15</v>
      </c>
      <c r="I9" s="36" t="s">
        <v>2</v>
      </c>
      <c r="J9" s="36" t="s">
        <v>16</v>
      </c>
      <c r="K9" s="36" t="s">
        <v>2</v>
      </c>
      <c r="L9" s="36" t="s">
        <v>16</v>
      </c>
      <c r="M9" s="36" t="s">
        <v>17</v>
      </c>
      <c r="N9" s="226" t="s">
        <v>16</v>
      </c>
      <c r="O9" s="52" t="s">
        <v>29</v>
      </c>
      <c r="P9" s="52" t="s">
        <v>31</v>
      </c>
      <c r="Q9" s="77" t="s">
        <v>66</v>
      </c>
      <c r="R9" s="77" t="s">
        <v>66</v>
      </c>
      <c r="S9" s="78" t="s">
        <v>67</v>
      </c>
      <c r="T9" s="77" t="s">
        <v>68</v>
      </c>
      <c r="U9" s="77" t="s">
        <v>69</v>
      </c>
      <c r="V9" s="78" t="s">
        <v>69</v>
      </c>
      <c r="X9" s="134" t="s">
        <v>89</v>
      </c>
      <c r="Y9" s="135"/>
      <c r="Z9" s="136">
        <f>Z10+Z48+Z76+Z108</f>
        <v>0</v>
      </c>
      <c r="AA9" s="136">
        <f>AA10+AA48+AA76+AA108</f>
        <v>0</v>
      </c>
      <c r="AB9" s="122" t="str">
        <f t="shared" ref="AB9:AB40" si="0">IF(ISERROR(Z9/AA9),"",Z9/AA9)</f>
        <v/>
      </c>
      <c r="AC9" s="149">
        <v>0.18</v>
      </c>
      <c r="AD9" s="96"/>
      <c r="AE9" s="124" t="s">
        <v>2</v>
      </c>
      <c r="AF9" s="36"/>
      <c r="AG9" s="36"/>
      <c r="AH9" s="36" t="s">
        <v>94</v>
      </c>
      <c r="AI9" s="36"/>
      <c r="AU9" s="293"/>
      <c r="AV9" s="294"/>
    </row>
    <row r="10" spans="1:48" s="295" customFormat="1" x14ac:dyDescent="0.2">
      <c r="A10" s="265" t="s">
        <v>82</v>
      </c>
      <c r="B10" s="267"/>
      <c r="C10" s="266"/>
      <c r="D10" s="245" t="str">
        <f>AB10</f>
        <v/>
      </c>
      <c r="E10" s="267"/>
      <c r="F10" s="267"/>
      <c r="G10" s="267"/>
      <c r="H10" s="267"/>
      <c r="I10" s="267"/>
      <c r="J10" s="267"/>
      <c r="K10" s="267"/>
      <c r="L10" s="267"/>
      <c r="M10" s="267"/>
      <c r="N10" s="362"/>
      <c r="O10" s="268"/>
      <c r="P10" s="268"/>
      <c r="Q10" s="230"/>
      <c r="R10" s="230"/>
      <c r="S10" s="230"/>
      <c r="T10" s="230"/>
      <c r="U10" s="230"/>
      <c r="V10" s="230"/>
      <c r="W10" s="260"/>
      <c r="X10" s="269" t="s">
        <v>82</v>
      </c>
      <c r="Y10" s="246"/>
      <c r="Z10" s="247">
        <f>Z11+Z16+Z21+Z24+Z27+Z30+Z33+Z36+Z39+Z42+Z44+Z46</f>
        <v>0</v>
      </c>
      <c r="AA10" s="247">
        <f>AA11+AA16+AA21+AA24+AA27+AA30+AA33+AA36+AA39+AA42+AA44+AA46</f>
        <v>0</v>
      </c>
      <c r="AB10" s="230" t="str">
        <f t="shared" si="0"/>
        <v/>
      </c>
      <c r="AC10" s="245">
        <v>0.25</v>
      </c>
      <c r="AD10" s="242"/>
      <c r="AE10" s="270"/>
      <c r="AF10" s="271">
        <f>+'Frete_Regiao-Impostos'!A2</f>
        <v>0</v>
      </c>
      <c r="AG10" s="263">
        <f>+'Frete_Regiao-Impostos'!B2</f>
        <v>0</v>
      </c>
      <c r="AH10" s="264">
        <f>+'Frete_Regiao-Impostos'!C2</f>
        <v>0</v>
      </c>
      <c r="AI10" s="263">
        <f>+'Frete_Regiao-Impostos'!D2</f>
        <v>0</v>
      </c>
      <c r="AJ10" s="260"/>
      <c r="AK10" s="260"/>
      <c r="AL10" s="260"/>
      <c r="AM10" s="260"/>
      <c r="AN10" s="260"/>
      <c r="AO10" s="260"/>
      <c r="AT10" s="296"/>
      <c r="AU10" s="297"/>
      <c r="AV10" s="298"/>
    </row>
    <row r="11" spans="1:48" s="295" customFormat="1" outlineLevel="1" x14ac:dyDescent="0.2">
      <c r="A11" s="248" t="s">
        <v>137</v>
      </c>
      <c r="B11" s="249"/>
      <c r="C11" s="229"/>
      <c r="D11" s="230" t="str">
        <f>AB11</f>
        <v/>
      </c>
      <c r="E11" s="250"/>
      <c r="F11" s="250"/>
      <c r="G11" s="251"/>
      <c r="H11" s="272"/>
      <c r="I11" s="252"/>
      <c r="J11" s="253"/>
      <c r="K11" s="253"/>
      <c r="L11" s="253"/>
      <c r="M11" s="253"/>
      <c r="N11" s="363"/>
      <c r="O11" s="253"/>
      <c r="P11" s="253"/>
      <c r="Q11" s="255"/>
      <c r="R11" s="256"/>
      <c r="S11" s="256"/>
      <c r="T11" s="255"/>
      <c r="U11" s="256"/>
      <c r="V11" s="256"/>
      <c r="W11" s="257"/>
      <c r="X11" s="253" t="str">
        <f t="shared" ref="X11:X47" si="1">A11</f>
        <v>BRAZIMIL ECONOMICA 3,0L</v>
      </c>
      <c r="Y11" s="258"/>
      <c r="Z11" s="254">
        <f>SUM(Z12:Z15)</f>
        <v>0</v>
      </c>
      <c r="AA11" s="254">
        <f>SUM(AA12:AA15)</f>
        <v>0</v>
      </c>
      <c r="AB11" s="230" t="str">
        <f t="shared" si="0"/>
        <v/>
      </c>
      <c r="AC11" s="259">
        <v>0.25</v>
      </c>
      <c r="AD11" s="242"/>
      <c r="AE11" s="261"/>
      <c r="AF11" s="262">
        <f>+'Frete_Regiao-Impostos'!A3</f>
        <v>0</v>
      </c>
      <c r="AG11" s="263">
        <f>+'Frete_Regiao-Impostos'!B3</f>
        <v>0</v>
      </c>
      <c r="AH11" s="264">
        <f>+'Frete_Regiao-Impostos'!C3</f>
        <v>0</v>
      </c>
      <c r="AI11" s="263">
        <f>+'Frete_Regiao-Impostos'!D3</f>
        <v>0</v>
      </c>
      <c r="AJ11" s="260"/>
      <c r="AK11" s="260"/>
      <c r="AL11" s="260"/>
      <c r="AM11" s="260"/>
      <c r="AN11" s="260"/>
      <c r="AO11" s="260"/>
      <c r="AP11" s="112" t="s">
        <v>130</v>
      </c>
      <c r="AT11" s="296"/>
      <c r="AU11" s="299"/>
      <c r="AV11" s="300"/>
    </row>
    <row r="12" spans="1:48" s="172" customFormat="1" hidden="1" outlineLevel="2" x14ac:dyDescent="0.2">
      <c r="A12" s="182" t="s">
        <v>138</v>
      </c>
      <c r="B12" s="307">
        <v>9.5</v>
      </c>
      <c r="C12" s="219"/>
      <c r="D12" s="154">
        <f>IF($F$7="x",IF(F12=0,0,N12/F12),IF($E$7="x",IF(F12=0,0,N12/E12),""))</f>
        <v>0.39340313299776486</v>
      </c>
      <c r="E12" s="155">
        <f>+B12*(-B$5+100%)</f>
        <v>8.8349999999999991</v>
      </c>
      <c r="F12" s="155">
        <f>IF(B12=0,0,E12-H12)</f>
        <v>8.4499999999999993</v>
      </c>
      <c r="G12" s="156">
        <f>VLOOKUP(A12,Custo!A:B,2,0)</f>
        <v>4.4992833199647473</v>
      </c>
      <c r="H12" s="155">
        <f>(VLOOKUP(A12,Peso!$A$10:$B$148,2,0))*($B$6/1000)</f>
        <v>0.38500000000000001</v>
      </c>
      <c r="I12" s="157">
        <f>IF($I$7="X",AE12,0%)</f>
        <v>0.05</v>
      </c>
      <c r="J12" s="158">
        <f>+B12*I12</f>
        <v>0.47500000000000003</v>
      </c>
      <c r="K12" s="353">
        <f>IF($B$2="X",$C$2,0)</f>
        <v>0</v>
      </c>
      <c r="L12" s="158">
        <f>+B12*K12</f>
        <v>0</v>
      </c>
      <c r="M12" s="158">
        <f>+G12+H12+J12+L12</f>
        <v>5.3592833199647467</v>
      </c>
      <c r="N12" s="158">
        <f>+E12-M12</f>
        <v>3.4757166800352524</v>
      </c>
      <c r="O12" s="159" t="str">
        <f>IF(ISERROR((N12/P12)*1000),"",(N12/P12)*1000)</f>
        <v/>
      </c>
      <c r="P12" s="158"/>
      <c r="Q12" s="160">
        <f>VLOOKUP(A12,'MVA-IPI'!A:AD,30,FALSE)</f>
        <v>0</v>
      </c>
      <c r="R12" s="161">
        <f>IF($B$4="AM",0,IF($B$4="AP",0,IF($B$4="RR",0,(B12*Q12))))</f>
        <v>0</v>
      </c>
      <c r="S12" s="161">
        <f>IF($B$4="AP",(B12/0.88*$S$8),IF(T12=0%,0,IF($B$4="AM",(B12/0.88*$S$8),IF(T12=0%,0,IF($B$4="RR",(B12/0.88*$S$8),IF(T12=0%,0,B12*$S$8))))))</f>
        <v>0</v>
      </c>
      <c r="T12" s="160">
        <f>IF($C$4="GRUPO 1",VLOOKUP(A12,'MVA-grupos'!$A$9:$B$128,2,FALSE),IF($C$4="GRUPO 2",VLOOKUP(A12,'MVA-grupos'!$A$9:$D$128,4,FALSE),IF($C$4="GRUPO 3",VLOOKUP(A12,'MVA-grupos'!$A$10:$F$128,6,FALSE),IF($C$4="Grupo 4",VLOOKUP(A12,'MVA-grupos'!$A$9:$H$128,8,FALSE)))))</f>
        <v>0</v>
      </c>
      <c r="U12" s="162">
        <f>IF(T12=0%,0,(B12+R12)*T12+(B12+R12))</f>
        <v>0</v>
      </c>
      <c r="V12" s="162">
        <f>(U12*$V$8)-S12</f>
        <v>0</v>
      </c>
      <c r="W12" s="164"/>
      <c r="X12" s="158" t="str">
        <f t="shared" si="1"/>
        <v>BRAZIMIL ECONÔMICA 3,0L REFIL BRANCO NEVE</v>
      </c>
      <c r="Y12" s="165">
        <f>+C12</f>
        <v>0</v>
      </c>
      <c r="Z12" s="159">
        <f>IF(ISERROR(Y12*N12),"",Y12*N12)</f>
        <v>0</v>
      </c>
      <c r="AA12" s="159">
        <f>IF(ISERROR(IF(E$7="X",Y12*E12,Y12*F12)),"",IF(E$7="X",Y12*E12,Y12*F12))</f>
        <v>0</v>
      </c>
      <c r="AB12" s="154" t="str">
        <f t="shared" si="0"/>
        <v/>
      </c>
      <c r="AC12" s="166"/>
      <c r="AD12" s="167"/>
      <c r="AE12" s="168">
        <v>0.05</v>
      </c>
      <c r="AF12" s="169">
        <f>+'Frete_Regiao-Impostos'!A4</f>
        <v>0</v>
      </c>
      <c r="AG12" s="170">
        <f>+'Frete_Regiao-Impostos'!B4</f>
        <v>0</v>
      </c>
      <c r="AH12" s="171">
        <f>+'Frete_Regiao-Impostos'!C4</f>
        <v>0</v>
      </c>
      <c r="AI12" s="170">
        <f>+'Frete_Regiao-Impostos'!D4</f>
        <v>0</v>
      </c>
      <c r="AP12" s="273">
        <f>Peso!B12</f>
        <v>3.85</v>
      </c>
      <c r="AT12" s="173"/>
      <c r="AU12" s="174"/>
      <c r="AV12" s="175"/>
    </row>
    <row r="13" spans="1:48" s="172" customFormat="1" hidden="1" outlineLevel="2" x14ac:dyDescent="0.2">
      <c r="A13" s="182" t="s">
        <v>139</v>
      </c>
      <c r="B13" s="307">
        <v>9.5</v>
      </c>
      <c r="C13" s="219"/>
      <c r="D13" s="154">
        <f>IF($F$7="x",IF(F13=0,0,N13/F13),IF($E$7="x",IF(F13=0,0,N13/E13),""))</f>
        <v>0.45755276419290269</v>
      </c>
      <c r="E13" s="155">
        <f>+B13*(-B$5+100%)</f>
        <v>8.8349999999999991</v>
      </c>
      <c r="F13" s="155">
        <f>IF(B13=0,0,E13-H13)</f>
        <v>8.4999999999999982</v>
      </c>
      <c r="G13" s="156">
        <f>VLOOKUP(A13,Custo!A:B,2,0)</f>
        <v>3.9825213283557046</v>
      </c>
      <c r="H13" s="155">
        <f>(VLOOKUP(A13,Peso!$A$10:$B$148,2,0))*($B$6/1000)</f>
        <v>0.33500000000000002</v>
      </c>
      <c r="I13" s="157">
        <f>IF($I$7="X",AE13,0%)</f>
        <v>0.05</v>
      </c>
      <c r="J13" s="158">
        <f>+B13*I13</f>
        <v>0.47500000000000003</v>
      </c>
      <c r="K13" s="353">
        <f>IF($B$2="X",$C$2,0)</f>
        <v>0</v>
      </c>
      <c r="L13" s="158">
        <f>+B13*K13</f>
        <v>0</v>
      </c>
      <c r="M13" s="158">
        <f>+G13+H13+J13+L13</f>
        <v>4.7925213283557042</v>
      </c>
      <c r="N13" s="158">
        <f>+E13-M13</f>
        <v>4.0424786716442949</v>
      </c>
      <c r="O13" s="159" t="str">
        <f>IF(ISERROR((N13/P13)*1000),"",(N13/P13)*1000)</f>
        <v/>
      </c>
      <c r="P13" s="158"/>
      <c r="Q13" s="160">
        <f>VLOOKUP(A13,'MVA-IPI'!A:AD,30,FALSE)</f>
        <v>0</v>
      </c>
      <c r="R13" s="161">
        <f>IF($B$4="AM",0,IF($B$4="AP",0,IF($B$4="RR",0,(B13*Q13))))</f>
        <v>0</v>
      </c>
      <c r="S13" s="161">
        <f>IF($B$4="AP",(B13/0.88*$S$8),IF(T13=0%,0,IF($B$4="AM",(B13/0.88*$S$8),IF(T13=0%,0,IF($B$4="RR",(B13/0.88*$S$8),IF(T13=0%,0,B13*$S$8))))))</f>
        <v>0</v>
      </c>
      <c r="T13" s="160">
        <f>IF($C$4="GRUPO 1",VLOOKUP(A13,'MVA-grupos'!$A$9:$B$128,2,FALSE),IF($C$4="GRUPO 2",VLOOKUP(A13,'MVA-grupos'!$A$9:$D$128,4,FALSE),IF($C$4="GRUPO 3",VLOOKUP(A13,'MVA-grupos'!$A$10:$F$128,6,FALSE),IF($C$4="Grupo 4",VLOOKUP(A13,'MVA-grupos'!$A$9:$H$128,8,FALSE)))))</f>
        <v>0</v>
      </c>
      <c r="U13" s="162">
        <f>IF(T13=0%,0,(B13+R13)*T13+(B13+R13))</f>
        <v>0</v>
      </c>
      <c r="V13" s="162">
        <f>(U13*$V$8)-S13</f>
        <v>0</v>
      </c>
      <c r="W13" s="164"/>
      <c r="X13" s="158" t="str">
        <f t="shared" si="1"/>
        <v>BRAZIMIL ECONÔMICA 3,0L REFIL COR</v>
      </c>
      <c r="Y13" s="165">
        <f>+C13</f>
        <v>0</v>
      </c>
      <c r="Z13" s="159">
        <f>IF(ISERROR(Y13*N13),"",Y13*N13)</f>
        <v>0</v>
      </c>
      <c r="AA13" s="159">
        <f>IF(ISERROR(IF(E$7="X",Y13*E13,Y13*F13)),"",IF(E$7="X",Y13*E13,Y13*F13))</f>
        <v>0</v>
      </c>
      <c r="AB13" s="154" t="str">
        <f t="shared" si="0"/>
        <v/>
      </c>
      <c r="AC13" s="166"/>
      <c r="AD13" s="167"/>
      <c r="AE13" s="168">
        <v>0.05</v>
      </c>
      <c r="AF13" s="169">
        <f>+'Frete_Regiao-Impostos'!A5</f>
        <v>0</v>
      </c>
      <c r="AG13" s="170">
        <f>+'Frete_Regiao-Impostos'!B5</f>
        <v>0</v>
      </c>
      <c r="AH13" s="171">
        <f>+'Frete_Regiao-Impostos'!C5</f>
        <v>0</v>
      </c>
      <c r="AI13" s="170">
        <f>+'Frete_Regiao-Impostos'!D5</f>
        <v>0</v>
      </c>
      <c r="AP13" s="273">
        <f>Peso!B13</f>
        <v>3.35</v>
      </c>
      <c r="AT13" s="173"/>
      <c r="AU13" s="174"/>
      <c r="AV13" s="175"/>
    </row>
    <row r="14" spans="1:48" outlineLevel="2" x14ac:dyDescent="0.2">
      <c r="A14" s="178" t="s">
        <v>140</v>
      </c>
      <c r="B14" s="306">
        <v>17.989999999999998</v>
      </c>
      <c r="C14" s="218"/>
      <c r="D14" s="58">
        <f>IF($F$7="x",IF(F14=0,0,N14/F14),IF($E$7="x",IF(F14=0,0,N14/E14),""))</f>
        <v>0.44594169281830714</v>
      </c>
      <c r="E14" s="40">
        <f>+B14*(-B$5+100%)</f>
        <v>16.730699999999999</v>
      </c>
      <c r="F14" s="40">
        <f>IF(B14=0,0,E14-H14)</f>
        <v>16.3307</v>
      </c>
      <c r="G14" s="41">
        <f>VLOOKUP(A14,Custo!A:B,2,0)</f>
        <v>7.9702833199647483</v>
      </c>
      <c r="H14" s="40">
        <f>(VLOOKUP(A14,Peso!$A$10:$B$148,2,0))*($B$6/1000)</f>
        <v>0.4</v>
      </c>
      <c r="I14" s="42">
        <f>IF($I$7="X",AE14,0%)</f>
        <v>0.05</v>
      </c>
      <c r="J14" s="27">
        <f>+B14*I14</f>
        <v>0.89949999999999997</v>
      </c>
      <c r="K14" s="330">
        <f>IF($B$2="X",$C$2,0)</f>
        <v>0</v>
      </c>
      <c r="L14" s="27">
        <f>+B14*K14</f>
        <v>0</v>
      </c>
      <c r="M14" s="27">
        <f>+G14+H14+J14+L14</f>
        <v>9.2697833199647484</v>
      </c>
      <c r="N14" s="176">
        <f>+E14-M14</f>
        <v>7.4609166800352504</v>
      </c>
      <c r="O14" s="114" t="str">
        <f>IF(ISERROR((N14/P14)*1000),"",(N14/P14)*1000)</f>
        <v/>
      </c>
      <c r="P14" s="27"/>
      <c r="Q14" s="93">
        <f>VLOOKUP(A14,'MVA-IPI'!A:AD,30,FALSE)</f>
        <v>0</v>
      </c>
      <c r="R14" s="121">
        <f>IF($B$4="AM",0,IF($B$4="AP",0,IF($B$4="RR",0,(B14*Q14))))</f>
        <v>0</v>
      </c>
      <c r="S14" s="121">
        <f>IF($B$4="AP",(B14/0.88*$S$8),IF(T14=0%,0,IF($B$4="AM",(B14/0.88*$S$8),IF(T14=0%,0,IF($B$4="RR",(B14/0.88*$S$8),IF(T14=0%,0,B14*$S$8))))))</f>
        <v>0</v>
      </c>
      <c r="T14" s="93">
        <f>IF($C$4="GRUPO 1",VLOOKUP(A14,'MVA-grupos'!$A$9:$B$128,2,FALSE),IF($C$4="GRUPO 2",VLOOKUP(A14,'MVA-grupos'!$A$9:$D$128,4,FALSE),IF($C$4="GRUPO 3",VLOOKUP(A14,'MVA-grupos'!$A$10:$F$128,6,FALSE),IF($C$4="Grupo 4",VLOOKUP(A14,'MVA-grupos'!$A$9:$H$128,8,FALSE)))))</f>
        <v>0</v>
      </c>
      <c r="U14" s="95">
        <f>IF(T14=0%,0,(B14+R14)*T14+(B14+R14))</f>
        <v>0</v>
      </c>
      <c r="V14" s="95">
        <f>(U14*$V$8)-S14</f>
        <v>0</v>
      </c>
      <c r="W14" s="69"/>
      <c r="X14" s="27" t="str">
        <f t="shared" si="1"/>
        <v>BRAZIMIL ECONÔMICA 3,0L GALÃO BRANCO NEVE</v>
      </c>
      <c r="Y14" s="116">
        <f>+C14</f>
        <v>0</v>
      </c>
      <c r="Z14" s="114">
        <f>IF(ISERROR(Y14*N14),"",Y14*N14)</f>
        <v>0</v>
      </c>
      <c r="AA14" s="114">
        <f>IF(ISERROR(IF(E$7="X",Y14*E14,Y14*F14)),"",IF(E$7="X",Y14*E14,Y14*F14))</f>
        <v>0</v>
      </c>
      <c r="AB14" s="122" t="str">
        <f t="shared" si="0"/>
        <v/>
      </c>
      <c r="AC14" s="56"/>
      <c r="AD14" s="96"/>
      <c r="AE14" s="143">
        <v>0.05</v>
      </c>
      <c r="AF14" s="45">
        <f>+'Frete_Regiao-Impostos'!A6</f>
        <v>0</v>
      </c>
      <c r="AG14" s="39">
        <f>+'Frete_Regiao-Impostos'!B6</f>
        <v>0</v>
      </c>
      <c r="AH14" s="44">
        <f>+'Frete_Regiao-Impostos'!C6</f>
        <v>0</v>
      </c>
      <c r="AI14" s="39">
        <f>+'Frete_Regiao-Impostos'!D6</f>
        <v>0</v>
      </c>
      <c r="AP14" s="28">
        <f>Peso!B14</f>
        <v>4</v>
      </c>
      <c r="AV14" s="198"/>
    </row>
    <row r="15" spans="1:48" outlineLevel="2" x14ac:dyDescent="0.2">
      <c r="A15" s="178" t="s">
        <v>141</v>
      </c>
      <c r="B15" s="306">
        <v>17.989999999999998</v>
      </c>
      <c r="C15" s="218"/>
      <c r="D15" s="58">
        <f>IF($F$7="x",IF(F15=0,0,N15/F15),IF($E$7="x",IF(F15=0,0,N15/E15),""))</f>
        <v>0.47981726237660677</v>
      </c>
      <c r="E15" s="40">
        <f>+B15*(-B$5+100%)</f>
        <v>16.730699999999999</v>
      </c>
      <c r="F15" s="40">
        <f>IF(B15=0,0,E15-H15)</f>
        <v>16.380699999999997</v>
      </c>
      <c r="G15" s="41">
        <f>VLOOKUP(A15,Custo!A:B,2,0)</f>
        <v>7.4535213283557056</v>
      </c>
      <c r="H15" s="40">
        <f>(VLOOKUP(A15,Peso!$A$10:$B$148,2,0))*($B$6/1000)</f>
        <v>0.35000000000000003</v>
      </c>
      <c r="I15" s="42">
        <f>IF($I$7="X",AE15,0%)</f>
        <v>0.05</v>
      </c>
      <c r="J15" s="27">
        <f>+B15*I15</f>
        <v>0.89949999999999997</v>
      </c>
      <c r="K15" s="330">
        <f>IF($B$2="X",$C$2,0)</f>
        <v>0</v>
      </c>
      <c r="L15" s="27">
        <f>+B15*K15</f>
        <v>0</v>
      </c>
      <c r="M15" s="27">
        <f>+G15+H15+J15+L15</f>
        <v>8.703021328355705</v>
      </c>
      <c r="N15" s="176">
        <f>+E15-M15</f>
        <v>8.0276786716442938</v>
      </c>
      <c r="O15" s="114" t="str">
        <f>IF(ISERROR((N15/P15)*1000),"",(N15/P15)*1000)</f>
        <v/>
      </c>
      <c r="P15" s="27"/>
      <c r="Q15" s="93">
        <f>VLOOKUP(A15,'MVA-IPI'!A:AD,30,FALSE)</f>
        <v>0</v>
      </c>
      <c r="R15" s="121">
        <f>IF($B$4="AM",0,IF($B$4="AP",0,IF($B$4="RR",0,(B15*Q15))))</f>
        <v>0</v>
      </c>
      <c r="S15" s="121">
        <f>IF($B$4="AP",(B15/0.88*$S$8),IF(T15=0%,0,IF($B$4="AM",(B15/0.88*$S$8),IF(T15=0%,0,IF($B$4="RR",(B15/0.88*$S$8),IF(T15=0%,0,B15*$S$8))))))</f>
        <v>0</v>
      </c>
      <c r="T15" s="93">
        <f>IF($C$4="GRUPO 1",VLOOKUP(A15,'MVA-grupos'!$A$9:$B$128,2,FALSE),IF($C$4="GRUPO 2",VLOOKUP(A15,'MVA-grupos'!$A$9:$D$128,4,FALSE),IF($C$4="GRUPO 3",VLOOKUP(A15,'MVA-grupos'!$A$10:$F$128,6,FALSE),IF($C$4="Grupo 4",VLOOKUP(A15,'MVA-grupos'!$A$9:$H$128,8,FALSE)))))</f>
        <v>0</v>
      </c>
      <c r="U15" s="95">
        <f>IF(T15=0%,0,(B15+R15)*T15+(B15+R15))</f>
        <v>0</v>
      </c>
      <c r="V15" s="95">
        <f>(U15*$V$8)-S15</f>
        <v>0</v>
      </c>
      <c r="W15" s="69"/>
      <c r="X15" s="27" t="str">
        <f t="shared" si="1"/>
        <v>BRAZIMIL ECONÔMICA 3,0L GALÃO COR</v>
      </c>
      <c r="Y15" s="116">
        <f>+C15</f>
        <v>0</v>
      </c>
      <c r="Z15" s="114">
        <f>IF(ISERROR(Y15*N15),"",Y15*N15)</f>
        <v>0</v>
      </c>
      <c r="AA15" s="114">
        <f>IF(ISERROR(IF(E$7="X",Y15*E15,Y15*F15)),"",IF(E$7="X",Y15*E15,Y15*F15))</f>
        <v>0</v>
      </c>
      <c r="AB15" s="122" t="str">
        <f t="shared" si="0"/>
        <v/>
      </c>
      <c r="AC15" s="56"/>
      <c r="AD15" s="96"/>
      <c r="AE15" s="143">
        <v>0.05</v>
      </c>
      <c r="AF15" s="45">
        <f>+'Frete_Regiao-Impostos'!A7</f>
        <v>0</v>
      </c>
      <c r="AG15" s="39">
        <f>+'Frete_Regiao-Impostos'!B7</f>
        <v>0</v>
      </c>
      <c r="AH15" s="44">
        <f>+'Frete_Regiao-Impostos'!C7</f>
        <v>0</v>
      </c>
      <c r="AI15" s="39">
        <f>+'Frete_Regiao-Impostos'!D7</f>
        <v>0</v>
      </c>
      <c r="AP15" s="28">
        <f>Peso!B15</f>
        <v>3.5</v>
      </c>
      <c r="AV15" s="198"/>
    </row>
    <row r="16" spans="1:48" s="295" customFormat="1" outlineLevel="1" x14ac:dyDescent="0.2">
      <c r="A16" s="248" t="s">
        <v>142</v>
      </c>
      <c r="B16" s="249"/>
      <c r="C16" s="229"/>
      <c r="D16" s="230" t="str">
        <f>AB16</f>
        <v/>
      </c>
      <c r="E16" s="250"/>
      <c r="F16" s="250"/>
      <c r="G16" s="251"/>
      <c r="H16" s="250"/>
      <c r="I16" s="252"/>
      <c r="J16" s="253"/>
      <c r="K16" s="253"/>
      <c r="L16" s="253"/>
      <c r="M16" s="253"/>
      <c r="N16" s="363"/>
      <c r="O16" s="254"/>
      <c r="P16" s="253"/>
      <c r="Q16" s="255"/>
      <c r="R16" s="237"/>
      <c r="S16" s="237"/>
      <c r="T16" s="236"/>
      <c r="U16" s="256"/>
      <c r="V16" s="256"/>
      <c r="W16" s="257"/>
      <c r="X16" s="253" t="str">
        <f t="shared" si="1"/>
        <v>BRAZIMIL ECONÔMICA 15L</v>
      </c>
      <c r="Y16" s="258"/>
      <c r="Z16" s="254">
        <f>SUM(Z17:Z20)</f>
        <v>0</v>
      </c>
      <c r="AA16" s="254">
        <f>SUM(AA17:AA20)</f>
        <v>0</v>
      </c>
      <c r="AB16" s="230" t="str">
        <f t="shared" si="0"/>
        <v/>
      </c>
      <c r="AC16" s="259">
        <v>0.25</v>
      </c>
      <c r="AD16" s="242"/>
      <c r="AE16" s="261"/>
      <c r="AF16" s="262">
        <f>+'Frete_Regiao-Impostos'!A8</f>
        <v>0</v>
      </c>
      <c r="AG16" s="263">
        <f>+'Frete_Regiao-Impostos'!B8</f>
        <v>0</v>
      </c>
      <c r="AH16" s="264">
        <f>+'Frete_Regiao-Impostos'!C8</f>
        <v>0</v>
      </c>
      <c r="AI16" s="263">
        <f>+'Frete_Regiao-Impostos'!D8</f>
        <v>0</v>
      </c>
      <c r="AJ16" s="260"/>
      <c r="AK16" s="260"/>
      <c r="AL16" s="260"/>
      <c r="AM16" s="260"/>
      <c r="AN16" s="260"/>
      <c r="AO16" s="260"/>
      <c r="AP16" s="28">
        <f>Peso!B16</f>
        <v>0</v>
      </c>
      <c r="AT16" s="296"/>
      <c r="AU16" s="299"/>
      <c r="AV16" s="300"/>
    </row>
    <row r="17" spans="1:48" s="172" customFormat="1" hidden="1" outlineLevel="2" x14ac:dyDescent="0.2">
      <c r="A17" s="182" t="s">
        <v>143</v>
      </c>
      <c r="B17" s="307"/>
      <c r="C17" s="219"/>
      <c r="D17" s="154">
        <f>IF($F$7="x",IF(F17=0,0,N17/F17),IF($E$7="x",IF(F17=0,0,N17/E17),""))</f>
        <v>0</v>
      </c>
      <c r="E17" s="155">
        <f>+B17*(-B$5+100%)</f>
        <v>0</v>
      </c>
      <c r="F17" s="155">
        <f>IF(B17=0,0,E17-H17)</f>
        <v>0</v>
      </c>
      <c r="G17" s="156">
        <f>VLOOKUP(A17,Custo!A:B,2,0)</f>
        <v>0</v>
      </c>
      <c r="H17" s="155">
        <f>(VLOOKUP(A17,Peso!$A$10:$B$148,2,0))*($B$6/1000)</f>
        <v>1.87</v>
      </c>
      <c r="I17" s="157">
        <f>IF($I$7="X",AE17,0%)</f>
        <v>0.06</v>
      </c>
      <c r="J17" s="158">
        <f>+B17*I17</f>
        <v>0</v>
      </c>
      <c r="K17" s="158"/>
      <c r="L17" s="158"/>
      <c r="M17" s="158">
        <f>+G17+H17+J17</f>
        <v>1.87</v>
      </c>
      <c r="N17" s="158">
        <f>+E17-M17</f>
        <v>-1.87</v>
      </c>
      <c r="O17" s="159" t="str">
        <f>IF(ISERROR((N17/P17)*1000),"",(N17/P17)*1000)</f>
        <v/>
      </c>
      <c r="P17" s="158"/>
      <c r="Q17" s="160">
        <f>VLOOKUP(A17,'MVA-IPI'!A:AD,30,FALSE)</f>
        <v>0</v>
      </c>
      <c r="R17" s="161">
        <f>IF($B$4="AM",0,IF($B$4="AP",0,IF($B$4="RR",0,(B17*Q17))))</f>
        <v>0</v>
      </c>
      <c r="S17" s="161">
        <f>IF($B$4="AP",(B17/0.88*$S$8),IF(T17=0%,0,IF($B$4="AM",(B17/0.88*$S$8),IF(T17=0%,0,IF($B$4="RR",(B17/0.88*$S$8),IF(T17=0%,0,B17*$S$8))))))</f>
        <v>0</v>
      </c>
      <c r="T17" s="160">
        <f>IF($C$4="GRUPO 1",VLOOKUP(A17,'MVA-grupos'!$A$9:$B$128,2,FALSE),IF($C$4="GRUPO 2",VLOOKUP(A17,'MVA-grupos'!$A$9:$D$128,4,FALSE),IF($C$4="GRUPO 3",VLOOKUP(A17,'MVA-grupos'!$A$10:$F$128,6,FALSE),IF($C$4="Grupo 4",VLOOKUP(A17,'MVA-grupos'!$A$9:$H$128,8,FALSE)))))</f>
        <v>0</v>
      </c>
      <c r="U17" s="162">
        <f>IF(T17=0%,0,(B17+R17)*T17+(B17+R17))</f>
        <v>0</v>
      </c>
      <c r="V17" s="162">
        <f>(U17*$V$8)-S17</f>
        <v>0</v>
      </c>
      <c r="W17" s="164"/>
      <c r="X17" s="158" t="str">
        <f t="shared" si="1"/>
        <v>BRAZIMIL ECONÔMICA 15L PPQ BRANCO NEVE</v>
      </c>
      <c r="Y17" s="165">
        <f>+C17</f>
        <v>0</v>
      </c>
      <c r="Z17" s="159">
        <f>IF(ISERROR(Y17*N17),"",Y17*N17)</f>
        <v>0</v>
      </c>
      <c r="AA17" s="159">
        <f>IF(ISERROR(IF(E$7="X",Y17*E17,Y17*F17)),"",IF(E$7="X",Y17*E17,Y17*F17))</f>
        <v>0</v>
      </c>
      <c r="AB17" s="154" t="str">
        <f t="shared" si="0"/>
        <v/>
      </c>
      <c r="AC17" s="166"/>
      <c r="AD17" s="167"/>
      <c r="AE17" s="168">
        <v>0.06</v>
      </c>
      <c r="AF17" s="169">
        <f>+'Frete_Regiao-Impostos'!A38</f>
        <v>0</v>
      </c>
      <c r="AG17" s="170">
        <f>+'Frete_Regiao-Impostos'!B38</f>
        <v>0</v>
      </c>
      <c r="AH17" s="171">
        <f>+'Frete_Regiao-Impostos'!C38</f>
        <v>0</v>
      </c>
      <c r="AI17" s="170">
        <f>+'Frete_Regiao-Impostos'!D38</f>
        <v>0</v>
      </c>
      <c r="AP17" s="273">
        <f>Peso!B17</f>
        <v>18.7</v>
      </c>
      <c r="AT17" s="173"/>
      <c r="AU17" s="174"/>
      <c r="AV17" s="175"/>
    </row>
    <row r="18" spans="1:48" s="172" customFormat="1" hidden="1" outlineLevel="2" x14ac:dyDescent="0.2">
      <c r="A18" s="182" t="s">
        <v>144</v>
      </c>
      <c r="B18" s="307">
        <v>0</v>
      </c>
      <c r="C18" s="219"/>
      <c r="D18" s="154">
        <f>IF($F$7="x",IF(F18=0,0,N18/F18),IF($E$7="x",IF(F18=0,0,N18/E18),""))</f>
        <v>0</v>
      </c>
      <c r="E18" s="155">
        <f>+B18*(-B$5+100%)</f>
        <v>0</v>
      </c>
      <c r="F18" s="155">
        <f>IF(B18=0,0,E18-H18)</f>
        <v>0</v>
      </c>
      <c r="G18" s="156">
        <f>VLOOKUP(A18,Custo!A:B,2,0)</f>
        <v>25.763717159090909</v>
      </c>
      <c r="H18" s="155">
        <f>(VLOOKUP(A18,Peso!$A$10:$B$148,2,0))*($B$6/1000)</f>
        <v>1.44</v>
      </c>
      <c r="I18" s="157">
        <f>IF($I$7="X",AE18,0%)</f>
        <v>0.05</v>
      </c>
      <c r="J18" s="158">
        <f>+B18*I18</f>
        <v>0</v>
      </c>
      <c r="K18" s="353"/>
      <c r="L18" s="158">
        <f>+B18*K18</f>
        <v>0</v>
      </c>
      <c r="M18" s="158">
        <f>+G18+H18+J18+L18</f>
        <v>27.20371715909091</v>
      </c>
      <c r="N18" s="158">
        <f>+E18-M18</f>
        <v>-27.20371715909091</v>
      </c>
      <c r="O18" s="159" t="str">
        <f>IF(ISERROR((N18/P18)*1000),"",(N18/P18)*1000)</f>
        <v/>
      </c>
      <c r="P18" s="158"/>
      <c r="Q18" s="160">
        <f>VLOOKUP(A18,'MVA-IPI'!A:AD,30,FALSE)</f>
        <v>0</v>
      </c>
      <c r="R18" s="161">
        <f>IF($B$4="AM",0,IF($B$4="AP",0,IF($B$4="RR",0,(B18*Q18))))</f>
        <v>0</v>
      </c>
      <c r="S18" s="161">
        <f>IF($B$4="AP",(B18/0.88*$S$8),IF(T18=0%,0,IF($B$4="AM",(B18/0.88*$S$8),IF(T18=0%,0,IF($B$4="RR",(B18/0.88*$S$8),IF(T18=0%,0,B18*$S$8))))))</f>
        <v>0</v>
      </c>
      <c r="T18" s="160">
        <f>IF($C$4="GRUPO 1",VLOOKUP(A18,'MVA-grupos'!$A$9:$B$128,2,FALSE),IF($C$4="GRUPO 2",VLOOKUP(A18,'MVA-grupos'!$A$9:$D$128,4,FALSE),IF($C$4="GRUPO 3",VLOOKUP(A18,'MVA-grupos'!$A$10:$F$128,6,FALSE),IF($C$4="Grupo 4",VLOOKUP(A18,'MVA-grupos'!$A$9:$H$128,8,FALSE)))))</f>
        <v>0</v>
      </c>
      <c r="U18" s="162">
        <f>IF(T18=0%,0,(B18+R18)*T18+(B18+R18))</f>
        <v>0</v>
      </c>
      <c r="V18" s="162">
        <f>(U18*$V$8)-S18</f>
        <v>0</v>
      </c>
      <c r="W18" s="164"/>
      <c r="X18" s="158" t="str">
        <f t="shared" si="1"/>
        <v>BRAZIMIL ECONÔMICA 12L BALDE BRANCO NEVE</v>
      </c>
      <c r="Y18" s="165">
        <f>+C18</f>
        <v>0</v>
      </c>
      <c r="Z18" s="159">
        <f>IF(ISERROR(Y18*N18),"",Y18*N18)</f>
        <v>0</v>
      </c>
      <c r="AA18" s="159">
        <f>IF(ISERROR(IF(E$7="X",Y18*E18,Y18*F18)),"",IF(E$7="X",Y18*E18,Y18*F18))</f>
        <v>0</v>
      </c>
      <c r="AB18" s="154" t="str">
        <f>IF(ISERROR(Z18/AA18),"",Z18/AA18)</f>
        <v/>
      </c>
      <c r="AC18" s="166"/>
      <c r="AD18" s="167"/>
      <c r="AE18" s="168">
        <v>0.05</v>
      </c>
      <c r="AF18" s="169">
        <f>+'Frete_Regiao-Impostos'!A39</f>
        <v>0</v>
      </c>
      <c r="AG18" s="170">
        <f>+'Frete_Regiao-Impostos'!B39</f>
        <v>0</v>
      </c>
      <c r="AH18" s="171">
        <f>+'Frete_Regiao-Impostos'!C39</f>
        <v>0</v>
      </c>
      <c r="AI18" s="170">
        <f>+'Frete_Regiao-Impostos'!D39</f>
        <v>0</v>
      </c>
      <c r="AP18" s="273">
        <f>Peso!B18</f>
        <v>14.399999999999999</v>
      </c>
      <c r="AT18" s="173"/>
      <c r="AU18" s="174"/>
      <c r="AV18" s="175"/>
    </row>
    <row r="19" spans="1:48" outlineLevel="2" x14ac:dyDescent="0.2">
      <c r="A19" s="183" t="s">
        <v>145</v>
      </c>
      <c r="B19" s="306">
        <v>58</v>
      </c>
      <c r="C19" s="218"/>
      <c r="D19" s="58">
        <f>IF($F$7="x",IF(F19=0,0,N19/F19),IF($E$7="x",IF(F19=0,0,N19/E19),""))</f>
        <v>0.30387761253669165</v>
      </c>
      <c r="E19" s="40">
        <f>+B19*(-B$5+100%)</f>
        <v>53.94</v>
      </c>
      <c r="F19" s="40">
        <f>IF(B19=0,0,E19-H19)</f>
        <v>52.07</v>
      </c>
      <c r="G19" s="41">
        <f>VLOOKUP(A19,Custo!A:B,2,0)</f>
        <v>32.778841579770855</v>
      </c>
      <c r="H19" s="40">
        <f>(VLOOKUP(A19,Peso!$A$10:$B$148,2,0))*($B$6/1000)</f>
        <v>1.87</v>
      </c>
      <c r="I19" s="42">
        <f t="shared" ref="I19:I20" si="2">IF($I$7="X",AE19,0%)</f>
        <v>0.05</v>
      </c>
      <c r="J19" s="27">
        <f>+B19*I19</f>
        <v>2.9000000000000004</v>
      </c>
      <c r="K19" s="330">
        <f t="shared" ref="K19:K20" si="3">IF($B$2="X",$C$2,0)</f>
        <v>0</v>
      </c>
      <c r="L19" s="27">
        <f>+B19*K19</f>
        <v>0</v>
      </c>
      <c r="M19" s="27">
        <f>+G19+H19+J19+L19</f>
        <v>37.548841579770851</v>
      </c>
      <c r="N19" s="176">
        <f>+E19-M19</f>
        <v>16.391158420229146</v>
      </c>
      <c r="O19" s="114" t="str">
        <f>IF(ISERROR((N19/P19)*1000),"",(N19/P19)*1000)</f>
        <v/>
      </c>
      <c r="P19" s="27"/>
      <c r="Q19" s="93">
        <f>VLOOKUP(A19,'MVA-IPI'!A:AD,30,FALSE)</f>
        <v>0</v>
      </c>
      <c r="R19" s="121">
        <f>IF($B$4="AM",0,IF($B$4="AP",0,IF($B$4="RR",0,(B19*Q19))))</f>
        <v>0</v>
      </c>
      <c r="S19" s="121">
        <f>IF($B$4="AP",(B19/0.88*$S$8),IF(T19=0%,0,IF($B$4="AM",(B19/0.88*$S$8),IF(T19=0%,0,IF($B$4="RR",(B19/0.88*$S$8),IF(T19=0%,0,B19*$S$8))))))</f>
        <v>0</v>
      </c>
      <c r="T19" s="93">
        <f>IF($C$4="GRUPO 1",VLOOKUP(A19,'MVA-grupos'!$A$9:$B$128,2,FALSE),IF($C$4="GRUPO 2",VLOOKUP(A19,'MVA-grupos'!$A$9:$D$128,4,FALSE),IF($C$4="GRUPO 3",VLOOKUP(A19,'MVA-grupos'!$A$10:$F$128,6,FALSE),IF($C$4="Grupo 4",VLOOKUP(A19,'MVA-grupos'!$A$9:$H$128,8,FALSE)))))</f>
        <v>0</v>
      </c>
      <c r="U19" s="95">
        <f>IF(T19=0%,0,(B19+R19)*T19+(B19+R19))</f>
        <v>0</v>
      </c>
      <c r="V19" s="95">
        <f>(U19*$V$8)-S19</f>
        <v>0</v>
      </c>
      <c r="W19" s="69"/>
      <c r="X19" s="27" t="str">
        <f t="shared" si="1"/>
        <v>BRAZIMIL ECONÔMICA 15L BALDE BRANCO NEVE</v>
      </c>
      <c r="Y19" s="116">
        <f>+C19</f>
        <v>0</v>
      </c>
      <c r="Z19" s="114">
        <f>IF(ISERROR(Y19*N19),"",Y19*N19)</f>
        <v>0</v>
      </c>
      <c r="AA19" s="114">
        <f>IF(ISERROR(IF(E$7="X",Y19*E19,Y19*F19)),"",IF(E$7="X",Y19*E19,Y19*F19))</f>
        <v>0</v>
      </c>
      <c r="AB19" s="122" t="str">
        <f t="shared" si="0"/>
        <v/>
      </c>
      <c r="AC19" s="56"/>
      <c r="AD19" s="96"/>
      <c r="AE19" s="143">
        <v>0.05</v>
      </c>
      <c r="AF19" s="45">
        <f>+'Frete_Regiao-Impostos'!A10</f>
        <v>0</v>
      </c>
      <c r="AG19" s="39">
        <f>+'Frete_Regiao-Impostos'!B10</f>
        <v>0</v>
      </c>
      <c r="AH19" s="44">
        <f>+'Frete_Regiao-Impostos'!C10</f>
        <v>0</v>
      </c>
      <c r="AI19" s="39">
        <f>+'Frete_Regiao-Impostos'!D10</f>
        <v>0</v>
      </c>
      <c r="AP19" s="28">
        <f>Peso!B19</f>
        <v>18.7</v>
      </c>
      <c r="AV19" s="198"/>
    </row>
    <row r="20" spans="1:48" outlineLevel="2" x14ac:dyDescent="0.2">
      <c r="A20" s="183" t="s">
        <v>146</v>
      </c>
      <c r="B20" s="306">
        <v>69.900000000000006</v>
      </c>
      <c r="C20" s="218"/>
      <c r="D20" s="58">
        <f>IF($F$7="x",IF(F20=0,0,N20/F20),IF($E$7="x",IF(F20=0,0,N20/E20),""))</f>
        <v>0.46752059571566018</v>
      </c>
      <c r="E20" s="40">
        <f>+B20*(-B$5+100%)</f>
        <v>65.007000000000005</v>
      </c>
      <c r="F20" s="40">
        <f>IF(B20=0,0,E20-H20)</f>
        <v>63.307000000000002</v>
      </c>
      <c r="G20" s="41">
        <f>VLOOKUP(A20,Custo!A:B,2,0)</f>
        <v>29.41988863431208</v>
      </c>
      <c r="H20" s="40">
        <f>(VLOOKUP(A20,Peso!$A$10:$B$148,2,0))*($B$6/1000)</f>
        <v>1.7000000000000002</v>
      </c>
      <c r="I20" s="42">
        <f t="shared" si="2"/>
        <v>0.05</v>
      </c>
      <c r="J20" s="27">
        <f>+B20*I20</f>
        <v>3.4950000000000006</v>
      </c>
      <c r="K20" s="330">
        <f t="shared" si="3"/>
        <v>0</v>
      </c>
      <c r="L20" s="27">
        <f>+B20*K20</f>
        <v>0</v>
      </c>
      <c r="M20" s="27">
        <f>+G20+H20+J20+L20</f>
        <v>34.614888634312081</v>
      </c>
      <c r="N20" s="176">
        <f>+E20-M20</f>
        <v>30.392111365687924</v>
      </c>
      <c r="O20" s="114" t="str">
        <f>IF(ISERROR((N20/P20)*1000),"",(N20/P20)*1000)</f>
        <v/>
      </c>
      <c r="P20" s="27"/>
      <c r="Q20" s="93">
        <f>VLOOKUP(A20,'MVA-IPI'!A:AD,30,FALSE)</f>
        <v>0</v>
      </c>
      <c r="R20" s="121">
        <f>IF($B$4="AM",0,IF($B$4="AP",0,IF($B$4="RR",0,(B20*Q20))))</f>
        <v>0</v>
      </c>
      <c r="S20" s="121">
        <f>IF($B$4="AP",(B20/0.88*$S$8),IF(T20=0%,0,IF($B$4="AM",(B20/0.88*$S$8),IF(T20=0%,0,IF($B$4="RR",(B20/0.88*$S$8),IF(T20=0%,0,B20*$S$8))))))</f>
        <v>0</v>
      </c>
      <c r="T20" s="93">
        <f>IF($C$4="GRUPO 1",VLOOKUP(A20,'MVA-grupos'!$A$9:$B$128,2,FALSE),IF($C$4="GRUPO 2",VLOOKUP(A20,'MVA-grupos'!$A$9:$D$128,4,FALSE),IF($C$4="GRUPO 3",VLOOKUP(A20,'MVA-grupos'!$A$10:$F$128,6,FALSE),IF($C$4="Grupo 4",VLOOKUP(A20,'MVA-grupos'!$A$9:$H$128,8,FALSE)))))</f>
        <v>0</v>
      </c>
      <c r="U20" s="95">
        <f>IF(T20=0%,0,(B20+R20)*T20+(B20+R20))</f>
        <v>0</v>
      </c>
      <c r="V20" s="95">
        <f>(U20*$V$8)-S20</f>
        <v>0</v>
      </c>
      <c r="W20" s="69"/>
      <c r="X20" s="27" t="str">
        <f t="shared" si="1"/>
        <v>BRAZIMIL ECONÔMICA 15L BALDE COR</v>
      </c>
      <c r="Y20" s="116">
        <f>+C20</f>
        <v>0</v>
      </c>
      <c r="Z20" s="114">
        <f>IF(ISERROR(Y20*N20),"",Y20*N20)</f>
        <v>0</v>
      </c>
      <c r="AA20" s="114">
        <f>IF(ISERROR(IF(E$7="X",Y20*E20,Y20*F20)),"",IF(E$7="X",Y20*E20,Y20*F20))</f>
        <v>0</v>
      </c>
      <c r="AB20" s="122" t="str">
        <f t="shared" si="0"/>
        <v/>
      </c>
      <c r="AC20" s="56"/>
      <c r="AD20" s="96"/>
      <c r="AE20" s="143">
        <v>0.05</v>
      </c>
      <c r="AF20" s="45">
        <f>+'Frete_Regiao-Impostos'!A11</f>
        <v>0</v>
      </c>
      <c r="AG20" s="39">
        <f>+'Frete_Regiao-Impostos'!B11</f>
        <v>0</v>
      </c>
      <c r="AH20" s="44">
        <f>+'Frete_Regiao-Impostos'!C11</f>
        <v>0</v>
      </c>
      <c r="AI20" s="39">
        <f>+'Frete_Regiao-Impostos'!D11</f>
        <v>0</v>
      </c>
      <c r="AP20" s="28">
        <f>Peso!B20</f>
        <v>17</v>
      </c>
      <c r="AV20" s="198"/>
    </row>
    <row r="21" spans="1:48" s="295" customFormat="1" outlineLevel="1" x14ac:dyDescent="0.2">
      <c r="A21" s="248" t="s">
        <v>147</v>
      </c>
      <c r="B21" s="249"/>
      <c r="C21" s="229"/>
      <c r="D21" s="230" t="str">
        <f>AB21</f>
        <v/>
      </c>
      <c r="E21" s="250"/>
      <c r="F21" s="250"/>
      <c r="G21" s="251"/>
      <c r="H21" s="250"/>
      <c r="I21" s="252"/>
      <c r="J21" s="253"/>
      <c r="K21" s="253"/>
      <c r="L21" s="253"/>
      <c r="M21" s="253"/>
      <c r="N21" s="363"/>
      <c r="O21" s="254"/>
      <c r="P21" s="253"/>
      <c r="Q21" s="255"/>
      <c r="R21" s="237"/>
      <c r="S21" s="237"/>
      <c r="T21" s="236"/>
      <c r="U21" s="256"/>
      <c r="V21" s="256"/>
      <c r="W21" s="257"/>
      <c r="X21" s="253" t="str">
        <f t="shared" si="1"/>
        <v>BRAZIMIL EXTERNA 3,0L</v>
      </c>
      <c r="Y21" s="258"/>
      <c r="Z21" s="254">
        <f>SUM(Z22:Z23)</f>
        <v>0</v>
      </c>
      <c r="AA21" s="254">
        <f>SUM(AA22:AA23)</f>
        <v>0</v>
      </c>
      <c r="AB21" s="230" t="str">
        <f t="shared" si="0"/>
        <v/>
      </c>
      <c r="AC21" s="259">
        <v>0.25</v>
      </c>
      <c r="AD21" s="242"/>
      <c r="AE21" s="261"/>
      <c r="AF21" s="262">
        <f>+'Frete_Regiao-Impostos'!A12</f>
        <v>0</v>
      </c>
      <c r="AG21" s="263">
        <f>+'Frete_Regiao-Impostos'!B12</f>
        <v>0</v>
      </c>
      <c r="AH21" s="264">
        <f>+'Frete_Regiao-Impostos'!C12</f>
        <v>0</v>
      </c>
      <c r="AI21" s="263">
        <f>+'Frete_Regiao-Impostos'!D12</f>
        <v>0</v>
      </c>
      <c r="AJ21" s="260"/>
      <c r="AK21" s="260"/>
      <c r="AL21" s="260"/>
      <c r="AM21" s="260"/>
      <c r="AN21" s="260"/>
      <c r="AO21" s="260"/>
      <c r="AP21" s="28">
        <f>Peso!B21</f>
        <v>0</v>
      </c>
      <c r="AT21" s="296"/>
      <c r="AU21" s="299"/>
      <c r="AV21" s="300"/>
    </row>
    <row r="22" spans="1:48" outlineLevel="2" x14ac:dyDescent="0.2">
      <c r="A22" s="178" t="s">
        <v>148</v>
      </c>
      <c r="B22" s="306">
        <v>26</v>
      </c>
      <c r="C22" s="218"/>
      <c r="D22" s="58">
        <f>IF($F$7="x",IF(F22=0,0,N22/F22),IF($E$7="x",IF(F22=0,0,N22/E22),""))</f>
        <v>0.46348734967972766</v>
      </c>
      <c r="E22" s="40">
        <f>+B22*(-B$5+100%)</f>
        <v>24.18</v>
      </c>
      <c r="F22" s="40">
        <f>IF(B22=0,0,E22-H22)</f>
        <v>23.759999999999998</v>
      </c>
      <c r="G22" s="41">
        <f>VLOOKUP(A22,Custo!A:B,2,0)</f>
        <v>11.252875884744185</v>
      </c>
      <c r="H22" s="40">
        <f>(VLOOKUP(A22,Peso!$A$10:$B$148,2,0))*($B$6/1000)</f>
        <v>0.42000000000000004</v>
      </c>
      <c r="I22" s="42">
        <f>IF($I$7="X",AE22,0%)</f>
        <v>0.05</v>
      </c>
      <c r="J22" s="27">
        <f>+B22*I22</f>
        <v>1.3</v>
      </c>
      <c r="K22" s="330">
        <f>IF($B$2="X",$C$2,0)</f>
        <v>0</v>
      </c>
      <c r="L22" s="27">
        <f>+B22*K22</f>
        <v>0</v>
      </c>
      <c r="M22" s="27">
        <f>+G22+H22+J22+L22</f>
        <v>12.972875884744186</v>
      </c>
      <c r="N22" s="176">
        <f>+E22-M22</f>
        <v>11.207124115255814</v>
      </c>
      <c r="O22" s="114" t="str">
        <f>IF(ISERROR((N22/P22)*1000),"",(N22/P22)*1000)</f>
        <v/>
      </c>
      <c r="P22" s="27"/>
      <c r="Q22" s="93">
        <f>VLOOKUP(A22,'MVA-IPI'!A:AD,30,FALSE)</f>
        <v>0</v>
      </c>
      <c r="R22" s="121">
        <f>IF($B$4="AM",0,IF($B$4="AP",0,IF($B$4="RR",0,(B22*Q22))))</f>
        <v>0</v>
      </c>
      <c r="S22" s="121">
        <f>IF($B$4="AP",(B22/0.88*$S$8),IF(T22=0%,0,IF($B$4="AM",(B22/0.88*$S$8),IF(T22=0%,0,IF($B$4="RR",(B22/0.88*$S$8),IF(T22=0%,0,B22*$S$8))))))</f>
        <v>0</v>
      </c>
      <c r="T22" s="93">
        <f>IF($C$4="GRUPO 1",VLOOKUP(A22,'MVA-grupos'!$A$9:$B$128,2,FALSE),IF($C$4="GRUPO 2",VLOOKUP(A22,'MVA-grupos'!$A$9:$D$128,4,FALSE),IF($C$4="GRUPO 3",VLOOKUP(A22,'MVA-grupos'!$A$10:$F$128,6,FALSE),IF($C$4="Grupo 4",VLOOKUP(A22,'MVA-grupos'!$A$9:$H$128,8,FALSE)))))</f>
        <v>0</v>
      </c>
      <c r="U22" s="95">
        <f>IF(T22=0%,0,(B22+R22)*T22+(B22+R22))</f>
        <v>0</v>
      </c>
      <c r="V22" s="95">
        <f>(U22*$V$8)-S22</f>
        <v>0</v>
      </c>
      <c r="W22" s="69"/>
      <c r="X22" s="27" t="str">
        <f t="shared" si="1"/>
        <v>BRAZIMIL EXTERNA 3,0L BALDE BRANCO NEVE</v>
      </c>
      <c r="Y22" s="116">
        <f>+C22</f>
        <v>0</v>
      </c>
      <c r="Z22" s="114">
        <f>IF(ISERROR(Y22*N22),"",Y22*N22)</f>
        <v>0</v>
      </c>
      <c r="AA22" s="114">
        <f>IF(ISERROR(IF(E$7="X",Y22*E22,Y22*F22)),"",IF(E$7="X",Y22*E22,Y22*F22))</f>
        <v>0</v>
      </c>
      <c r="AB22" s="122" t="str">
        <f t="shared" si="0"/>
        <v/>
      </c>
      <c r="AC22" s="56"/>
      <c r="AD22" s="96"/>
      <c r="AE22" s="143">
        <v>0.05</v>
      </c>
      <c r="AF22" s="45">
        <f>+'Frete_Regiao-Impostos'!A13</f>
        <v>0</v>
      </c>
      <c r="AG22" s="39">
        <f>+'Frete_Regiao-Impostos'!B13</f>
        <v>0</v>
      </c>
      <c r="AH22" s="44">
        <f>+'Frete_Regiao-Impostos'!C13</f>
        <v>0</v>
      </c>
      <c r="AI22" s="39">
        <f>+'Frete_Regiao-Impostos'!D13</f>
        <v>0</v>
      </c>
      <c r="AP22" s="28">
        <f>Peso!B22</f>
        <v>4.2</v>
      </c>
      <c r="AV22" s="198"/>
    </row>
    <row r="23" spans="1:48" outlineLevel="2" x14ac:dyDescent="0.2">
      <c r="A23" s="178" t="s">
        <v>149</v>
      </c>
      <c r="B23" s="306">
        <v>24.2</v>
      </c>
      <c r="C23" s="218"/>
      <c r="D23" s="58">
        <f>IF($F$7="x",IF(F23=0,0,N23/F23),IF($E$7="x",IF(F23=0,0,N23/E23),""))</f>
        <v>0.51154587680703989</v>
      </c>
      <c r="E23" s="40">
        <f>+B23*(-B$5+100%)</f>
        <v>22.505999999999997</v>
      </c>
      <c r="F23" s="40">
        <f>IF(B23=0,0,E23-H23)</f>
        <v>22.115999999999996</v>
      </c>
      <c r="G23" s="41">
        <f>VLOOKUP(A23,Custo!A:B,2,0)</f>
        <v>9.393148496580757</v>
      </c>
      <c r="H23" s="40">
        <f>(VLOOKUP(A23,Peso!$A$10:$B$148,2,0))*($B$6/1000)</f>
        <v>0.39</v>
      </c>
      <c r="I23" s="42">
        <f>IF($I$7="X",AE23,0%)</f>
        <v>0.05</v>
      </c>
      <c r="J23" s="27">
        <f>+B23*I23</f>
        <v>1.21</v>
      </c>
      <c r="K23" s="330">
        <f>IF($B$2="X",$C$2,0)</f>
        <v>0</v>
      </c>
      <c r="L23" s="27">
        <f>+B23*K23</f>
        <v>0</v>
      </c>
      <c r="M23" s="27">
        <f>+G23+H23+J23+L23</f>
        <v>10.993148496580758</v>
      </c>
      <c r="N23" s="176">
        <f>+E23-M23</f>
        <v>11.512851503419238</v>
      </c>
      <c r="O23" s="114" t="str">
        <f>IF(ISERROR((N23/P23)*1000),"",(N23/P23)*1000)</f>
        <v/>
      </c>
      <c r="P23" s="27"/>
      <c r="Q23" s="93">
        <f>VLOOKUP(A23,'MVA-IPI'!A:AD,30,FALSE)</f>
        <v>0</v>
      </c>
      <c r="R23" s="121">
        <f>IF($B$4="AM",0,IF($B$4="AP",0,IF($B$4="RR",0,(B23*Q23))))</f>
        <v>0</v>
      </c>
      <c r="S23" s="121">
        <f>IF($B$4="AP",(B23/0.88*$S$8),IF(T23=0%,0,IF($B$4="AM",(B23/0.88*$S$8),IF(T23=0%,0,IF($B$4="RR",(B23/0.88*$S$8),IF(T23=0%,0,B23*$S$8))))))</f>
        <v>0</v>
      </c>
      <c r="T23" s="93">
        <f>IF($C$4="GRUPO 1",VLOOKUP(A23,'MVA-grupos'!$A$9:$B$128,2,FALSE),IF($C$4="GRUPO 2",VLOOKUP(A23,'MVA-grupos'!$A$9:$D$128,4,FALSE),IF($C$4="GRUPO 3",VLOOKUP(A23,'MVA-grupos'!$A$10:$F$128,6,FALSE),IF($C$4="Grupo 4",VLOOKUP(A23,'MVA-grupos'!$A$9:$H$128,8,FALSE)))))</f>
        <v>0</v>
      </c>
      <c r="U23" s="95">
        <f>IF(T23=0%,0,(B23+R23)*T23+(B23+R23))</f>
        <v>0</v>
      </c>
      <c r="V23" s="95">
        <f>(U23*$V$8)-S23</f>
        <v>0</v>
      </c>
      <c r="W23" s="69"/>
      <c r="X23" s="27" t="str">
        <f t="shared" si="1"/>
        <v>BRAZIMIL EXTERNA 3,0L BALDE COR</v>
      </c>
      <c r="Y23" s="116">
        <f>+C23</f>
        <v>0</v>
      </c>
      <c r="Z23" s="114">
        <f>IF(ISERROR(Y23*N23),"",Y23*N23)</f>
        <v>0</v>
      </c>
      <c r="AA23" s="114">
        <f>IF(ISERROR(IF(E$7="X",Y23*E23,Y23*F23)),"",IF(E$7="X",Y23*E23,Y23*F23))</f>
        <v>0</v>
      </c>
      <c r="AB23" s="122" t="str">
        <f t="shared" si="0"/>
        <v/>
      </c>
      <c r="AC23" s="56"/>
      <c r="AD23" s="96"/>
      <c r="AE23" s="143">
        <v>0.05</v>
      </c>
      <c r="AF23" s="45">
        <f>+'Frete_Regiao-Impostos'!A14</f>
        <v>0</v>
      </c>
      <c r="AG23" s="39">
        <f>+'Frete_Regiao-Impostos'!B14</f>
        <v>0</v>
      </c>
      <c r="AH23" s="44">
        <f>+'Frete_Regiao-Impostos'!C14</f>
        <v>0</v>
      </c>
      <c r="AI23" s="39">
        <f>+'Frete_Regiao-Impostos'!D14</f>
        <v>0</v>
      </c>
      <c r="AP23" s="28">
        <f>Peso!B23</f>
        <v>3.9</v>
      </c>
      <c r="AV23" s="198"/>
    </row>
    <row r="24" spans="1:48" s="295" customFormat="1" outlineLevel="1" x14ac:dyDescent="0.2">
      <c r="A24" s="248" t="s">
        <v>150</v>
      </c>
      <c r="B24" s="249"/>
      <c r="C24" s="229"/>
      <c r="D24" s="230" t="str">
        <f>AB24</f>
        <v/>
      </c>
      <c r="E24" s="250"/>
      <c r="F24" s="250"/>
      <c r="G24" s="251"/>
      <c r="H24" s="250"/>
      <c r="I24" s="252"/>
      <c r="J24" s="253"/>
      <c r="K24" s="253"/>
      <c r="L24" s="253"/>
      <c r="M24" s="253"/>
      <c r="N24" s="363"/>
      <c r="O24" s="254"/>
      <c r="P24" s="253"/>
      <c r="Q24" s="255"/>
      <c r="R24" s="237"/>
      <c r="S24" s="237"/>
      <c r="T24" s="236"/>
      <c r="U24" s="256"/>
      <c r="V24" s="256"/>
      <c r="W24" s="257"/>
      <c r="X24" s="253" t="str">
        <f t="shared" si="1"/>
        <v>BRAZIMIL EXTERNA 15L</v>
      </c>
      <c r="Y24" s="258"/>
      <c r="Z24" s="254">
        <f>SUM(Z25:Z26)</f>
        <v>0</v>
      </c>
      <c r="AA24" s="254">
        <f>SUM(AA25:AA26)</f>
        <v>0</v>
      </c>
      <c r="AB24" s="230" t="str">
        <f t="shared" si="0"/>
        <v/>
      </c>
      <c r="AC24" s="259">
        <v>0.25</v>
      </c>
      <c r="AD24" s="242"/>
      <c r="AE24" s="261"/>
      <c r="AF24" s="262">
        <f>+'Frete_Regiao-Impostos'!A15</f>
        <v>0</v>
      </c>
      <c r="AG24" s="263">
        <f>+'Frete_Regiao-Impostos'!B15</f>
        <v>0</v>
      </c>
      <c r="AH24" s="264">
        <f>+'Frete_Regiao-Impostos'!C15</f>
        <v>0</v>
      </c>
      <c r="AI24" s="263">
        <f>+'Frete_Regiao-Impostos'!D15</f>
        <v>0</v>
      </c>
      <c r="AJ24" s="260"/>
      <c r="AK24" s="260"/>
      <c r="AL24" s="260"/>
      <c r="AM24" s="260"/>
      <c r="AN24" s="260"/>
      <c r="AO24" s="260"/>
      <c r="AP24" s="28">
        <f>Peso!B24</f>
        <v>0</v>
      </c>
      <c r="AT24" s="296"/>
      <c r="AU24" s="299"/>
      <c r="AV24" s="300"/>
    </row>
    <row r="25" spans="1:48" outlineLevel="2" x14ac:dyDescent="0.2">
      <c r="A25" s="178" t="s">
        <v>151</v>
      </c>
      <c r="B25" s="306">
        <v>94</v>
      </c>
      <c r="C25" s="218"/>
      <c r="D25" s="58">
        <f>IF($F$7="x",IF(F25=0,0,N25/F25),IF($E$7="x",IF(F25=0,0,N25/E25),""))</f>
        <v>0.3096101364890691</v>
      </c>
      <c r="E25" s="40">
        <f>+B25*(-B$5+100%)</f>
        <v>87.419999999999987</v>
      </c>
      <c r="F25" s="40">
        <f>IF(B25=0,0,E25-H25)</f>
        <v>85.519999999999982</v>
      </c>
      <c r="G25" s="41">
        <f>VLOOKUP(A25,Custo!A:B,2,0)</f>
        <v>53.753881868125568</v>
      </c>
      <c r="H25" s="40">
        <f>(VLOOKUP(A25,Peso!$A$10:$B$148,2,0))*($B$6/1000)</f>
        <v>1.9000000000000001</v>
      </c>
      <c r="I25" s="42">
        <f>IF($I$7="X",AE25,0%)</f>
        <v>0.05</v>
      </c>
      <c r="J25" s="27">
        <f>+B25*I25</f>
        <v>4.7</v>
      </c>
      <c r="K25" s="330">
        <f>IF($B$2="X",$C$2,0)</f>
        <v>0</v>
      </c>
      <c r="L25" s="27">
        <f>+B25*K25</f>
        <v>0</v>
      </c>
      <c r="M25" s="27">
        <f>+G25+H25+J25+L25</f>
        <v>60.353881868125569</v>
      </c>
      <c r="N25" s="176">
        <f>+E25-M25</f>
        <v>27.066118131874418</v>
      </c>
      <c r="O25" s="114" t="str">
        <f>IF(ISERROR((N25/P25)*1000),"",(N25/P25)*1000)</f>
        <v/>
      </c>
      <c r="P25" s="27"/>
      <c r="Q25" s="93">
        <f>VLOOKUP(A25,'MVA-IPI'!A:AD,30,FALSE)</f>
        <v>0</v>
      </c>
      <c r="R25" s="121">
        <f>IF($B$4="AM",0,IF($B$4="AP",0,IF($B$4="RR",0,(B25*Q25))))</f>
        <v>0</v>
      </c>
      <c r="S25" s="121">
        <f>IF($B$4="AP",(B25/0.88*$S$8),IF(T25=0%,0,IF($B$4="AM",(B25/0.88*$S$8),IF(T25=0%,0,IF($B$4="RR",(B25/0.88*$S$8),IF(T25=0%,0,B25*$S$8))))))</f>
        <v>0</v>
      </c>
      <c r="T25" s="93">
        <f>IF($C$4="GRUPO 1",VLOOKUP(A25,'MVA-grupos'!$A$9:$B$128,2,FALSE),IF($C$4="GRUPO 2",VLOOKUP(A25,'MVA-grupos'!$A$9:$D$128,4,FALSE),IF($C$4="GRUPO 3",VLOOKUP(A25,'MVA-grupos'!$A$10:$F$128,6,FALSE),IF($C$4="Grupo 4",VLOOKUP(A25,'MVA-grupos'!$A$9:$H$128,8,FALSE)))))</f>
        <v>0</v>
      </c>
      <c r="U25" s="95">
        <f>IF(T25=0%,0,(B25+R25)*T25+(B25+R25))</f>
        <v>0</v>
      </c>
      <c r="V25" s="95">
        <f>(U25*$V$8)-S25</f>
        <v>0</v>
      </c>
      <c r="W25" s="69"/>
      <c r="X25" s="27" t="str">
        <f t="shared" si="1"/>
        <v>BRAZIMIL EXTERNA 15L BALDE BRANCO NEVE</v>
      </c>
      <c r="Y25" s="116">
        <f>+C25</f>
        <v>0</v>
      </c>
      <c r="Z25" s="114">
        <f>IF(ISERROR(Y25*N25),"",Y25*N25)</f>
        <v>0</v>
      </c>
      <c r="AA25" s="114">
        <f>IF(ISERROR(IF(E$7="X",Y25*E25,Y25*F25)),"",IF(E$7="X",Y25*E25,Y25*F25))</f>
        <v>0</v>
      </c>
      <c r="AB25" s="122" t="str">
        <f t="shared" si="0"/>
        <v/>
      </c>
      <c r="AC25" s="56"/>
      <c r="AD25" s="96"/>
      <c r="AE25" s="143">
        <v>0.05</v>
      </c>
      <c r="AF25" s="45">
        <f>+'Frete_Regiao-Impostos'!A16</f>
        <v>0</v>
      </c>
      <c r="AG25" s="39">
        <f>+'Frete_Regiao-Impostos'!B16</f>
        <v>0</v>
      </c>
      <c r="AH25" s="44">
        <f>+'Frete_Regiao-Impostos'!C16</f>
        <v>0</v>
      </c>
      <c r="AI25" s="39">
        <f>+'Frete_Regiao-Impostos'!D16</f>
        <v>0</v>
      </c>
      <c r="AP25" s="28">
        <f>Peso!B25</f>
        <v>19</v>
      </c>
      <c r="AV25" s="198"/>
    </row>
    <row r="26" spans="1:48" outlineLevel="2" x14ac:dyDescent="0.2">
      <c r="A26" s="178" t="s">
        <v>152</v>
      </c>
      <c r="B26" s="306">
        <v>90.11</v>
      </c>
      <c r="C26" s="218"/>
      <c r="D26" s="58">
        <f>IF($F$7="x",IF(F26=0,0,N26/F26),IF($E$7="x",IF(F26=0,0,N26/E26),""))</f>
        <v>0.42543208297042195</v>
      </c>
      <c r="E26" s="40">
        <f>+B26*(-B$5+100%)</f>
        <v>83.802299999999988</v>
      </c>
      <c r="F26" s="40">
        <f>IF(B26=0,0,E26-H26)</f>
        <v>82.102299999999985</v>
      </c>
      <c r="G26" s="41">
        <f>VLOOKUP(A26,Custo!A:B,2,0)</f>
        <v>41.944612953287802</v>
      </c>
      <c r="H26" s="40">
        <f>(VLOOKUP(A26,Peso!$A$10:$B$148,2,0))*($B$6/1000)</f>
        <v>1.7000000000000002</v>
      </c>
      <c r="I26" s="42">
        <f>IF($I$7="X",AE26,0%)</f>
        <v>0.05</v>
      </c>
      <c r="J26" s="27">
        <f>+B26*I26</f>
        <v>4.5055000000000005</v>
      </c>
      <c r="K26" s="330">
        <f>IF($B$2="X",$C$2,0)</f>
        <v>0</v>
      </c>
      <c r="L26" s="27">
        <f>+B26*K26</f>
        <v>0</v>
      </c>
      <c r="M26" s="27">
        <f>+G26+H26+J26+L26</f>
        <v>48.150112953287802</v>
      </c>
      <c r="N26" s="176">
        <f>+E26-M26</f>
        <v>35.652187046712186</v>
      </c>
      <c r="O26" s="114" t="str">
        <f>IF(ISERROR((N26/P26)*1000),"",(N26/P26)*1000)</f>
        <v/>
      </c>
      <c r="P26" s="27"/>
      <c r="Q26" s="93">
        <f>VLOOKUP(A26,'MVA-IPI'!A:AD,30,FALSE)</f>
        <v>0</v>
      </c>
      <c r="R26" s="121">
        <f>IF($B$4="AM",0,IF($B$4="AP",0,IF($B$4="RR",0,(B26*Q26))))</f>
        <v>0</v>
      </c>
      <c r="S26" s="121">
        <f>IF($B$4="AP",(B26/0.88*$S$8),IF(T26=0%,0,IF($B$4="AM",(B26/0.88*$S$8),IF(T26=0%,0,IF($B$4="RR",(B26/0.88*$S$8),IF(T26=0%,0,B26*$S$8))))))</f>
        <v>0</v>
      </c>
      <c r="T26" s="93">
        <f>IF($C$4="GRUPO 1",VLOOKUP(A26,'MVA-grupos'!$A$9:$B$128,2,FALSE),IF($C$4="GRUPO 2",VLOOKUP(A26,'MVA-grupos'!$A$9:$D$128,4,FALSE),IF($C$4="GRUPO 3",VLOOKUP(A26,'MVA-grupos'!$A$10:$F$128,6,FALSE),IF($C$4="Grupo 4",VLOOKUP(A26,'MVA-grupos'!$A$9:$H$128,8,FALSE)))))</f>
        <v>0</v>
      </c>
      <c r="U26" s="95">
        <f>IF(T26=0%,0,(B26+R26)*T26+(B26+R26))</f>
        <v>0</v>
      </c>
      <c r="V26" s="95">
        <f>(U26*$V$8)-S26</f>
        <v>0</v>
      </c>
      <c r="W26" s="69"/>
      <c r="X26" s="27" t="str">
        <f t="shared" si="1"/>
        <v>BRAZIMIL EXTERNA 15L BALDE COR</v>
      </c>
      <c r="Y26" s="116">
        <f>+C26</f>
        <v>0</v>
      </c>
      <c r="Z26" s="114">
        <f>IF(ISERROR(Y26*N26),"",Y26*N26)</f>
        <v>0</v>
      </c>
      <c r="AA26" s="114">
        <f>IF(ISERROR(IF(E$7="X",Y26*E26,Y26*F26)),"",IF(E$7="X",Y26*E26,Y26*F26))</f>
        <v>0</v>
      </c>
      <c r="AB26" s="122" t="str">
        <f t="shared" si="0"/>
        <v/>
      </c>
      <c r="AC26" s="56"/>
      <c r="AD26" s="96"/>
      <c r="AE26" s="143">
        <v>0.05</v>
      </c>
      <c r="AF26" s="45">
        <f>+'Frete_Regiao-Impostos'!A17</f>
        <v>0</v>
      </c>
      <c r="AG26" s="39">
        <f>+'Frete_Regiao-Impostos'!B17</f>
        <v>0</v>
      </c>
      <c r="AH26" s="44">
        <f>+'Frete_Regiao-Impostos'!C17</f>
        <v>0</v>
      </c>
      <c r="AI26" s="39">
        <f>+'Frete_Regiao-Impostos'!D17</f>
        <v>0</v>
      </c>
      <c r="AP26" s="28">
        <f>Peso!B26</f>
        <v>17</v>
      </c>
      <c r="AV26" s="198"/>
    </row>
    <row r="27" spans="1:48" s="295" customFormat="1" outlineLevel="1" x14ac:dyDescent="0.2">
      <c r="A27" s="248" t="s">
        <v>153</v>
      </c>
      <c r="B27" s="249"/>
      <c r="C27" s="229"/>
      <c r="D27" s="230" t="str">
        <f>AB27</f>
        <v/>
      </c>
      <c r="E27" s="250"/>
      <c r="F27" s="250"/>
      <c r="G27" s="251"/>
      <c r="H27" s="250"/>
      <c r="I27" s="252"/>
      <c r="J27" s="253"/>
      <c r="K27" s="253"/>
      <c r="L27" s="253"/>
      <c r="M27" s="253"/>
      <c r="N27" s="363"/>
      <c r="O27" s="254"/>
      <c r="P27" s="253"/>
      <c r="Q27" s="255"/>
      <c r="R27" s="237"/>
      <c r="S27" s="237"/>
      <c r="T27" s="236"/>
      <c r="U27" s="256"/>
      <c r="V27" s="256"/>
      <c r="W27" s="257"/>
      <c r="X27" s="253" t="str">
        <f t="shared" si="1"/>
        <v>BRAZIMIL SEMI BRILHO 3,0L</v>
      </c>
      <c r="Y27" s="258"/>
      <c r="Z27" s="254">
        <f>SUM(Z28:Z29)</f>
        <v>0</v>
      </c>
      <c r="AA27" s="254">
        <f>SUM(AA28:AA29)</f>
        <v>0</v>
      </c>
      <c r="AB27" s="230" t="str">
        <f t="shared" si="0"/>
        <v/>
      </c>
      <c r="AC27" s="259">
        <v>0.25</v>
      </c>
      <c r="AD27" s="242"/>
      <c r="AE27" s="261"/>
      <c r="AF27" s="262">
        <f>+'Frete_Regiao-Impostos'!A18</f>
        <v>0</v>
      </c>
      <c r="AG27" s="263">
        <f>+'Frete_Regiao-Impostos'!B18</f>
        <v>0</v>
      </c>
      <c r="AH27" s="264">
        <f>+'Frete_Regiao-Impostos'!C18</f>
        <v>0</v>
      </c>
      <c r="AI27" s="263">
        <f>+'Frete_Regiao-Impostos'!D18</f>
        <v>0</v>
      </c>
      <c r="AJ27" s="260"/>
      <c r="AK27" s="260"/>
      <c r="AL27" s="260"/>
      <c r="AM27" s="260"/>
      <c r="AN27" s="260"/>
      <c r="AO27" s="260"/>
      <c r="AP27" s="28">
        <f>Peso!B27</f>
        <v>0</v>
      </c>
      <c r="AT27" s="296"/>
      <c r="AU27" s="299"/>
      <c r="AV27" s="300"/>
    </row>
    <row r="28" spans="1:48" outlineLevel="2" x14ac:dyDescent="0.2">
      <c r="A28" s="178" t="s">
        <v>154</v>
      </c>
      <c r="B28" s="306">
        <v>43</v>
      </c>
      <c r="C28" s="218"/>
      <c r="D28" s="58">
        <f>IF($F$7="x",IF(F28=0,0,N28/F28),IF($E$7="x",IF(F28=0,0,N28/E28),""))</f>
        <v>0.64685164599409783</v>
      </c>
      <c r="E28" s="40">
        <f>+B28*(-B$5+100%)</f>
        <v>39.989999999999995</v>
      </c>
      <c r="F28" s="40">
        <f>IF(B28=0,0,E28-H28)</f>
        <v>39.629999999999995</v>
      </c>
      <c r="G28" s="41">
        <f>VLOOKUP(A28,Custo!A:B,2,0)</f>
        <v>11.612402676696025</v>
      </c>
      <c r="H28" s="40">
        <f>(VLOOKUP(A28,Peso!$A$10:$B$148,2,0))*($B$6/1000)</f>
        <v>0.36000000000000004</v>
      </c>
      <c r="I28" s="42">
        <f>IF($I$7="X",AE28,0%)</f>
        <v>0.05</v>
      </c>
      <c r="J28" s="27">
        <f>+B28*I28</f>
        <v>2.15</v>
      </c>
      <c r="K28" s="330">
        <f>IF($B$2="X",$C$2,0)</f>
        <v>0</v>
      </c>
      <c r="L28" s="27">
        <f>+B28*K28</f>
        <v>0</v>
      </c>
      <c r="M28" s="27">
        <f>+G28+H28+J28+L28</f>
        <v>14.122402676696025</v>
      </c>
      <c r="N28" s="176">
        <f>+E28-M28</f>
        <v>25.867597323303968</v>
      </c>
      <c r="O28" s="114" t="str">
        <f>IF(ISERROR((N28/P28)*1000),"",(N28/P28)*1000)</f>
        <v/>
      </c>
      <c r="P28" s="27"/>
      <c r="Q28" s="93">
        <f>VLOOKUP(A28,'MVA-IPI'!A:AD,30,FALSE)</f>
        <v>0</v>
      </c>
      <c r="R28" s="121">
        <f>IF($B$4="AM",0,IF($B$4="AP",0,IF($B$4="RR",0,(B28*Q28))))</f>
        <v>0</v>
      </c>
      <c r="S28" s="121">
        <f>IF($B$4="AP",(B28/0.88*$S$8),IF(T28=0%,0,IF($B$4="AM",(B28/0.88*$S$8),IF(T28=0%,0,IF($B$4="RR",(B28/0.88*$S$8),IF(T28=0%,0,B28*$S$8))))))</f>
        <v>0</v>
      </c>
      <c r="T28" s="93">
        <f>IF($C$4="GRUPO 1",VLOOKUP(A28,'MVA-grupos'!$A$9:$B$128,2,FALSE),IF($C$4="GRUPO 2",VLOOKUP(A28,'MVA-grupos'!$A$9:$D$128,4,FALSE),IF($C$4="GRUPO 3",VLOOKUP(A28,'MVA-grupos'!$A$10:$F$128,6,FALSE),IF($C$4="Grupo 4",VLOOKUP(A28,'MVA-grupos'!$A$9:$H$128,8,FALSE)))))</f>
        <v>0</v>
      </c>
      <c r="U28" s="95">
        <f>IF(T28=0%,0,(B28+R28)*T28+(B28+R28))</f>
        <v>0</v>
      </c>
      <c r="V28" s="95">
        <f>(U28*$V$8)-S28</f>
        <v>0</v>
      </c>
      <c r="W28" s="69"/>
      <c r="X28" s="27" t="str">
        <f t="shared" si="1"/>
        <v>BRAZIMIL SEMI BRILHO 3,0L BALDE BRANCO NEVE</v>
      </c>
      <c r="Y28" s="116">
        <f>+C28</f>
        <v>0</v>
      </c>
      <c r="Z28" s="114">
        <f>IF(ISERROR(Y28*N28),"",Y28*N28)</f>
        <v>0</v>
      </c>
      <c r="AA28" s="114">
        <f>IF(ISERROR(IF(E$7="X",Y28*E28,Y28*F28)),"",IF(E$7="X",Y28*E28,Y28*F28))</f>
        <v>0</v>
      </c>
      <c r="AB28" s="122" t="str">
        <f t="shared" si="0"/>
        <v/>
      </c>
      <c r="AC28" s="56"/>
      <c r="AD28" s="96"/>
      <c r="AE28" s="143">
        <v>0.05</v>
      </c>
      <c r="AF28" s="45">
        <f>+'Frete_Regiao-Impostos'!A19</f>
        <v>0</v>
      </c>
      <c r="AG28" s="39">
        <f>+'Frete_Regiao-Impostos'!B19</f>
        <v>0</v>
      </c>
      <c r="AH28" s="44">
        <f>+'Frete_Regiao-Impostos'!C19</f>
        <v>0</v>
      </c>
      <c r="AI28" s="39">
        <f>+'Frete_Regiao-Impostos'!D19</f>
        <v>0</v>
      </c>
      <c r="AP28" s="28">
        <f>Peso!B28</f>
        <v>3.6</v>
      </c>
      <c r="AV28" s="198"/>
    </row>
    <row r="29" spans="1:48" outlineLevel="2" x14ac:dyDescent="0.2">
      <c r="A29" s="178" t="s">
        <v>155</v>
      </c>
      <c r="B29" s="306">
        <v>35</v>
      </c>
      <c r="C29" s="218"/>
      <c r="D29" s="58">
        <f>IF($F$7="x",IF(F29=0,0,N29/F29),IF($E$7="x",IF(F29=0,0,N29/E29),""))</f>
        <v>0.47050906251426505</v>
      </c>
      <c r="E29" s="40">
        <f>+B29*(-B$5+100%)</f>
        <v>32.549999999999997</v>
      </c>
      <c r="F29" s="40">
        <f>IF(B29=0,0,E29-H29)</f>
        <v>32.199999999999996</v>
      </c>
      <c r="G29" s="41">
        <f>VLOOKUP(A29,Custo!A:B,2,0)</f>
        <v>15.13493001516067</v>
      </c>
      <c r="H29" s="40">
        <f>(VLOOKUP(A29,Peso!$A$10:$B$148,2,0))*($B$6/1000)</f>
        <v>0.35000000000000003</v>
      </c>
      <c r="I29" s="42">
        <f>IF($I$7="X",AE29,0%)</f>
        <v>0.05</v>
      </c>
      <c r="J29" s="27">
        <f>+B29*I29</f>
        <v>1.75</v>
      </c>
      <c r="K29" s="330">
        <f>IF($B$2="X",$C$2,0)</f>
        <v>0</v>
      </c>
      <c r="L29" s="27">
        <f>+B29*K29</f>
        <v>0</v>
      </c>
      <c r="M29" s="27">
        <f>+G29+H29+J29+L29</f>
        <v>17.234930015160671</v>
      </c>
      <c r="N29" s="176">
        <f>+E29-M29</f>
        <v>15.315069984839326</v>
      </c>
      <c r="O29" s="114" t="str">
        <f>IF(ISERROR((N29/P29)*1000),"",(N29/P29)*1000)</f>
        <v/>
      </c>
      <c r="P29" s="27"/>
      <c r="Q29" s="93">
        <f>VLOOKUP(A29,'MVA-IPI'!A:AD,30,FALSE)</f>
        <v>0</v>
      </c>
      <c r="R29" s="121">
        <f>IF($B$4="AM",0,IF($B$4="AP",0,IF($B$4="RR",0,(B29*Q29))))</f>
        <v>0</v>
      </c>
      <c r="S29" s="121">
        <f>IF($B$4="AP",(B29/0.88*$S$8),IF(T29=0%,0,IF($B$4="AM",(B29/0.88*$S$8),IF(T29=0%,0,IF($B$4="RR",(B29/0.88*$S$8),IF(T29=0%,0,B29*$S$8))))))</f>
        <v>0</v>
      </c>
      <c r="T29" s="93">
        <f>IF($C$4="GRUPO 1",VLOOKUP(A29,'MVA-grupos'!$A$9:$B$128,2,FALSE),IF($C$4="GRUPO 2",VLOOKUP(A29,'MVA-grupos'!$A$9:$D$128,4,FALSE),IF($C$4="GRUPO 3",VLOOKUP(A29,'MVA-grupos'!$A$10:$F$128,6,FALSE),IF($C$4="Grupo 4",VLOOKUP(A29,'MVA-grupos'!$A$9:$H$128,8,FALSE)))))</f>
        <v>0</v>
      </c>
      <c r="U29" s="95">
        <f>IF(T29=0%,0,(B29+R29)*T29+(B29+R29))</f>
        <v>0</v>
      </c>
      <c r="V29" s="95">
        <f>(U29*$V$8)-S29</f>
        <v>0</v>
      </c>
      <c r="W29" s="69"/>
      <c r="X29" s="27" t="str">
        <f t="shared" si="1"/>
        <v>BRAZIMIL SEMI BRILHO 3,0L BALDE COR</v>
      </c>
      <c r="Y29" s="116">
        <f>+C29</f>
        <v>0</v>
      </c>
      <c r="Z29" s="114">
        <f>IF(ISERROR(Y29*N29),"",Y29*N29)</f>
        <v>0</v>
      </c>
      <c r="AA29" s="114">
        <f>IF(ISERROR(IF(E$7="X",Y29*E29,Y29*F29)),"",IF(E$7="X",Y29*E29,Y29*F29))</f>
        <v>0</v>
      </c>
      <c r="AB29" s="122" t="str">
        <f t="shared" si="0"/>
        <v/>
      </c>
      <c r="AC29" s="56"/>
      <c r="AD29" s="96"/>
      <c r="AE29" s="143">
        <v>0.05</v>
      </c>
      <c r="AF29" s="45">
        <f>+'Frete_Regiao-Impostos'!A20</f>
        <v>0</v>
      </c>
      <c r="AG29" s="39">
        <f>+'Frete_Regiao-Impostos'!B20</f>
        <v>0</v>
      </c>
      <c r="AH29" s="44">
        <f>+'Frete_Regiao-Impostos'!C20</f>
        <v>0</v>
      </c>
      <c r="AI29" s="39">
        <f>+'Frete_Regiao-Impostos'!D20</f>
        <v>0</v>
      </c>
      <c r="AP29" s="28">
        <f>Peso!B29</f>
        <v>3.5</v>
      </c>
      <c r="AV29" s="198"/>
    </row>
    <row r="30" spans="1:48" s="295" customFormat="1" outlineLevel="1" x14ac:dyDescent="0.2">
      <c r="A30" s="248" t="s">
        <v>156</v>
      </c>
      <c r="B30" s="249"/>
      <c r="C30" s="229"/>
      <c r="D30" s="230" t="str">
        <f>AB30</f>
        <v/>
      </c>
      <c r="E30" s="250"/>
      <c r="F30" s="250"/>
      <c r="G30" s="251"/>
      <c r="H30" s="250"/>
      <c r="I30" s="252"/>
      <c r="J30" s="253"/>
      <c r="K30" s="253"/>
      <c r="L30" s="253"/>
      <c r="M30" s="253"/>
      <c r="N30" s="363"/>
      <c r="O30" s="254"/>
      <c r="P30" s="253"/>
      <c r="Q30" s="255"/>
      <c r="R30" s="237"/>
      <c r="S30" s="237"/>
      <c r="T30" s="236"/>
      <c r="U30" s="256"/>
      <c r="V30" s="256"/>
      <c r="W30" s="257"/>
      <c r="X30" s="253" t="str">
        <f t="shared" si="1"/>
        <v>BRAZIMIL SEMI BRILHO 15L</v>
      </c>
      <c r="Y30" s="258"/>
      <c r="Z30" s="254">
        <f>SUM(Z31:Z32)</f>
        <v>0</v>
      </c>
      <c r="AA30" s="254">
        <f>SUM(AA31:AA32)</f>
        <v>0</v>
      </c>
      <c r="AB30" s="230" t="str">
        <f t="shared" si="0"/>
        <v/>
      </c>
      <c r="AC30" s="259">
        <v>0.25</v>
      </c>
      <c r="AD30" s="242"/>
      <c r="AE30" s="261"/>
      <c r="AF30" s="262">
        <f>+'Frete_Regiao-Impostos'!A21</f>
        <v>0</v>
      </c>
      <c r="AG30" s="263">
        <f>+'Frete_Regiao-Impostos'!B21</f>
        <v>0</v>
      </c>
      <c r="AH30" s="264">
        <f>+'Frete_Regiao-Impostos'!C21</f>
        <v>0</v>
      </c>
      <c r="AI30" s="263">
        <f>+'Frete_Regiao-Impostos'!D21</f>
        <v>0</v>
      </c>
      <c r="AJ30" s="260"/>
      <c r="AK30" s="260"/>
      <c r="AL30" s="260"/>
      <c r="AM30" s="260"/>
      <c r="AN30" s="260"/>
      <c r="AO30" s="260"/>
      <c r="AP30" s="28">
        <f>Peso!B30</f>
        <v>0</v>
      </c>
      <c r="AT30" s="296"/>
      <c r="AU30" s="299"/>
      <c r="AV30" s="300"/>
    </row>
    <row r="31" spans="1:48" outlineLevel="2" x14ac:dyDescent="0.2">
      <c r="A31" s="183" t="s">
        <v>158</v>
      </c>
      <c r="B31" s="306">
        <v>170</v>
      </c>
      <c r="C31" s="218"/>
      <c r="D31" s="58">
        <f>IF($F$7="x",IF(F31=0,0,N31/F31),IF($E$7="x",IF(F31=0,0,N31/E31),""))</f>
        <v>0.54095942194179547</v>
      </c>
      <c r="E31" s="40">
        <f>+B31*(-B$5+100%)</f>
        <v>158.1</v>
      </c>
      <c r="F31" s="40">
        <f>IF(B31=0,0,E31-H31)</f>
        <v>156.59</v>
      </c>
      <c r="G31" s="41">
        <f>VLOOKUP(A31,Custo!A:B,2,0)</f>
        <v>54.06431539100214</v>
      </c>
      <c r="H31" s="40">
        <f>(VLOOKUP(A31,Peso!$A$10:$B$148,2,0))*($B$6/1000)</f>
        <v>1.51</v>
      </c>
      <c r="I31" s="42">
        <f>IF($I$7="X",AE31,0%)</f>
        <v>0.05</v>
      </c>
      <c r="J31" s="27">
        <f>+B31*I31</f>
        <v>8.5</v>
      </c>
      <c r="K31" s="330">
        <v>0.05</v>
      </c>
      <c r="L31" s="27">
        <f>+B31*K31</f>
        <v>8.5</v>
      </c>
      <c r="M31" s="27">
        <f>+G31+H31+J31+L31</f>
        <v>72.574315391002131</v>
      </c>
      <c r="N31" s="176">
        <f>+E31-M31</f>
        <v>85.525684608997864</v>
      </c>
      <c r="O31" s="114" t="str">
        <f>IF(ISERROR((N31/P31)*1000),"",(N31/P31)*1000)</f>
        <v/>
      </c>
      <c r="P31" s="27"/>
      <c r="Q31" s="93">
        <f>VLOOKUP(A31,'MVA-IPI'!A:AD,30,FALSE)</f>
        <v>0</v>
      </c>
      <c r="R31" s="121">
        <f>IF($B$4="AM",0,IF($B$4="AP",0,IF($B$4="RR",0,(B31*Q31))))</f>
        <v>0</v>
      </c>
      <c r="S31" s="121">
        <f>IF($B$4="AP",(B31/0.88*$S$8),IF(T31=0%,0,IF($B$4="AM",(B31/0.88*$S$8),IF(T31=0%,0,IF($B$4="RR",(B31/0.88*$S$8),IF(T31=0%,0,B31*$S$8))))))</f>
        <v>0</v>
      </c>
      <c r="T31" s="93">
        <f>IF($C$4="GRUPO 1",VLOOKUP(A31,'MVA-grupos'!$A$9:$B$128,2,FALSE),IF($C$4="GRUPO 2",VLOOKUP(A31,'MVA-grupos'!$A$9:$D$128,4,FALSE),IF($C$4="GRUPO 3",VLOOKUP(A31,'MVA-grupos'!$A$10:$F$128,6,FALSE),IF($C$4="Grupo 4",VLOOKUP(A31,'MVA-grupos'!$A$9:$H$128,8,FALSE)))))</f>
        <v>0</v>
      </c>
      <c r="U31" s="95">
        <f>IF(T31=0%,0,(B31+R31)*T31+(B31+R31))</f>
        <v>0</v>
      </c>
      <c r="V31" s="95">
        <f>(U31*$V$8)-S31</f>
        <v>0</v>
      </c>
      <c r="W31" s="69"/>
      <c r="X31" s="27" t="str">
        <f t="shared" si="1"/>
        <v>BRAZIMIL SEMI BRILHO 15L BALDE BRANCO NEVE</v>
      </c>
      <c r="Y31" s="116">
        <f>+C31</f>
        <v>0</v>
      </c>
      <c r="Z31" s="114">
        <f>IF(ISERROR(Y31*N31),"",Y31*N31)</f>
        <v>0</v>
      </c>
      <c r="AA31" s="114">
        <f>IF(ISERROR(IF(E$7="X",Y31*E31,Y31*F31)),"",IF(E$7="X",Y31*E31,Y31*F31))</f>
        <v>0</v>
      </c>
      <c r="AB31" s="122" t="str">
        <f t="shared" si="0"/>
        <v/>
      </c>
      <c r="AC31" s="56"/>
      <c r="AD31" s="96"/>
      <c r="AE31" s="143">
        <v>0.05</v>
      </c>
      <c r="AF31" s="45">
        <f>+'Frete_Regiao-Impostos'!A22</f>
        <v>0</v>
      </c>
      <c r="AG31" s="39">
        <f>+'Frete_Regiao-Impostos'!B22</f>
        <v>0</v>
      </c>
      <c r="AH31" s="44">
        <f>+'Frete_Regiao-Impostos'!C22</f>
        <v>0</v>
      </c>
      <c r="AI31" s="39">
        <f>+'Frete_Regiao-Impostos'!D22</f>
        <v>0</v>
      </c>
      <c r="AP31" s="28">
        <f>Peso!B32</f>
        <v>15.1</v>
      </c>
      <c r="AV31" s="198"/>
    </row>
    <row r="32" spans="1:48" outlineLevel="2" x14ac:dyDescent="0.2">
      <c r="A32" s="183" t="s">
        <v>159</v>
      </c>
      <c r="B32" s="306">
        <v>170</v>
      </c>
      <c r="C32" s="218"/>
      <c r="D32" s="58">
        <f>IF($F$7="x",IF(F32=0,0,N32/F32),IF($E$7="x",IF(F32=0,0,N32/E32),""))</f>
        <v>0.46661070469845756</v>
      </c>
      <c r="E32" s="40">
        <f>+B32*(-B$5+100%)</f>
        <v>158.1</v>
      </c>
      <c r="F32" s="40">
        <f>IF(B32=0,0,E32-H32)</f>
        <v>156.59</v>
      </c>
      <c r="G32" s="41">
        <f>VLOOKUP(A32,Custo!A:B,2,0)</f>
        <v>74.318847587173849</v>
      </c>
      <c r="H32" s="40">
        <f>(VLOOKUP(A32,Peso!$A$10:$B$148,2,0))*($B$6/1000)</f>
        <v>1.51</v>
      </c>
      <c r="I32" s="42">
        <f>IF($I$7="X",AE32,0%)</f>
        <v>0.05</v>
      </c>
      <c r="J32" s="27">
        <f>+B32*I32</f>
        <v>8.5</v>
      </c>
      <c r="K32" s="330">
        <f>IF($B$2="X",$C$2,0)</f>
        <v>0</v>
      </c>
      <c r="L32" s="27">
        <f>+B32*K32</f>
        <v>0</v>
      </c>
      <c r="M32" s="27">
        <f>+G32+H32+J32+L32</f>
        <v>84.328847587173854</v>
      </c>
      <c r="N32" s="176">
        <f>+E32-M32</f>
        <v>73.77115241282614</v>
      </c>
      <c r="O32" s="114" t="str">
        <f>IF(ISERROR((N32/P32)*1000),"",(N32/P32)*1000)</f>
        <v/>
      </c>
      <c r="P32" s="27"/>
      <c r="Q32" s="93">
        <f>VLOOKUP(A32,'MVA-IPI'!A:AD,30,FALSE)</f>
        <v>0</v>
      </c>
      <c r="R32" s="121">
        <f>IF($B$4="AM",0,IF($B$4="AP",0,IF($B$4="RR",0,(B32*Q32))))</f>
        <v>0</v>
      </c>
      <c r="S32" s="121">
        <f>IF($B$4="AP",(B32/0.88*$S$8),IF(T32=0%,0,IF($B$4="AM",(B32/0.88*$S$8),IF(T32=0%,0,IF($B$4="RR",(B32/0.88*$S$8),IF(T32=0%,0,B32*$S$8))))))</f>
        <v>0</v>
      </c>
      <c r="T32" s="93">
        <f>IF($C$4="GRUPO 1",VLOOKUP(A32,'MVA-grupos'!$A$9:$B$128,2,FALSE),IF($C$4="GRUPO 2",VLOOKUP(A32,'MVA-grupos'!$A$9:$D$128,4,FALSE),IF($C$4="GRUPO 3",VLOOKUP(A32,'MVA-grupos'!$A$10:$F$128,6,FALSE),IF($C$4="Grupo 4",VLOOKUP(A32,'MVA-grupos'!$A$9:$H$128,8,FALSE)))))</f>
        <v>0</v>
      </c>
      <c r="U32" s="95">
        <f>IF(T32=0%,0,(B32+R32)*T32+(B32+R32))</f>
        <v>0</v>
      </c>
      <c r="V32" s="95">
        <f>(U32*$V$8)-S32</f>
        <v>0</v>
      </c>
      <c r="W32" s="69"/>
      <c r="X32" s="27" t="str">
        <f t="shared" si="1"/>
        <v>BRAZIMIL SEMI BRILHO 15L BALDE COR</v>
      </c>
      <c r="Y32" s="116">
        <f>+C32</f>
        <v>0</v>
      </c>
      <c r="Z32" s="114">
        <f>IF(ISERROR(Y32*N32),"",Y32*N32)</f>
        <v>0</v>
      </c>
      <c r="AA32" s="114">
        <f>IF(ISERROR(IF(E$7="X",Y32*E32,Y32*F32)),"",IF(E$7="X",Y32*E32,Y32*F32))</f>
        <v>0</v>
      </c>
      <c r="AB32" s="122" t="str">
        <f t="shared" si="0"/>
        <v/>
      </c>
      <c r="AC32" s="56"/>
      <c r="AD32" s="96"/>
      <c r="AE32" s="143">
        <v>0.05</v>
      </c>
      <c r="AF32" s="45">
        <f>+'Frete_Regiao-Impostos'!A23</f>
        <v>0</v>
      </c>
      <c r="AG32" s="39">
        <f>+'Frete_Regiao-Impostos'!B23</f>
        <v>0</v>
      </c>
      <c r="AH32" s="44">
        <f>+'Frete_Regiao-Impostos'!C23</f>
        <v>0</v>
      </c>
      <c r="AI32" s="39">
        <f>+'Frete_Regiao-Impostos'!D23</f>
        <v>0</v>
      </c>
      <c r="AP32" s="28">
        <f>Peso!B33</f>
        <v>15.1</v>
      </c>
      <c r="AV32" s="198"/>
    </row>
    <row r="33" spans="1:48" s="295" customFormat="1" outlineLevel="1" x14ac:dyDescent="0.2">
      <c r="A33" s="248" t="s">
        <v>160</v>
      </c>
      <c r="B33" s="249"/>
      <c r="C33" s="229"/>
      <c r="D33" s="230" t="str">
        <f>AB33</f>
        <v/>
      </c>
      <c r="E33" s="250"/>
      <c r="F33" s="250"/>
      <c r="G33" s="251"/>
      <c r="H33" s="250"/>
      <c r="I33" s="252"/>
      <c r="J33" s="253"/>
      <c r="K33" s="253"/>
      <c r="L33" s="253"/>
      <c r="M33" s="253"/>
      <c r="N33" s="363"/>
      <c r="O33" s="254"/>
      <c r="P33" s="253"/>
      <c r="Q33" s="255"/>
      <c r="R33" s="237"/>
      <c r="S33" s="237"/>
      <c r="T33" s="236"/>
      <c r="U33" s="256"/>
      <c r="V33" s="256"/>
      <c r="W33" s="257"/>
      <c r="X33" s="253" t="str">
        <f t="shared" si="1"/>
        <v>BRAZIMIL TINTA PISO 3,0L</v>
      </c>
      <c r="Y33" s="258"/>
      <c r="Z33" s="254">
        <f>SUM(Z34:Z35)</f>
        <v>0</v>
      </c>
      <c r="AA33" s="254">
        <f>SUM(AA34:AA35)</f>
        <v>0</v>
      </c>
      <c r="AB33" s="230" t="str">
        <f t="shared" si="0"/>
        <v/>
      </c>
      <c r="AC33" s="259">
        <v>0.25</v>
      </c>
      <c r="AD33" s="242"/>
      <c r="AE33" s="261"/>
      <c r="AF33" s="262">
        <f>+'Frete_Regiao-Impostos'!A24</f>
        <v>0</v>
      </c>
      <c r="AG33" s="263">
        <f>+'Frete_Regiao-Impostos'!B24</f>
        <v>0</v>
      </c>
      <c r="AH33" s="264">
        <f>+'Frete_Regiao-Impostos'!C24</f>
        <v>0</v>
      </c>
      <c r="AI33" s="263">
        <f>+'Frete_Regiao-Impostos'!D24</f>
        <v>0</v>
      </c>
      <c r="AJ33" s="260"/>
      <c r="AK33" s="260"/>
      <c r="AL33" s="260"/>
      <c r="AM33" s="260"/>
      <c r="AN33" s="260"/>
      <c r="AO33" s="260"/>
      <c r="AP33" s="28">
        <f>Peso!B34</f>
        <v>0</v>
      </c>
      <c r="AT33" s="296"/>
      <c r="AU33" s="299"/>
      <c r="AV33" s="300"/>
    </row>
    <row r="34" spans="1:48" outlineLevel="2" x14ac:dyDescent="0.2">
      <c r="A34" s="178" t="s">
        <v>161</v>
      </c>
      <c r="B34" s="306">
        <v>30</v>
      </c>
      <c r="C34" s="218"/>
      <c r="D34" s="58">
        <f>IF($F$7="x",IF(F34=0,0,N34/F34),IF($E$7="x",IF(F34=0,0,N34/E34),""))</f>
        <v>0.26174171140708791</v>
      </c>
      <c r="E34" s="40">
        <f>+B34*(-B$5+100%)</f>
        <v>27.9</v>
      </c>
      <c r="F34" s="40">
        <f>IF(B34=0,0,E34-H34)</f>
        <v>27.529999999999998</v>
      </c>
      <c r="G34" s="41">
        <f>VLOOKUP(A34,Custo!A:B,2,0)</f>
        <v>18.727406251742245</v>
      </c>
      <c r="H34" s="40">
        <f>(VLOOKUP(A34,Peso!$A$10:$B$148,2,0))*($B$6/1000)</f>
        <v>0.37000000000000005</v>
      </c>
      <c r="I34" s="42">
        <f>IF($I$7="X",AE34,0%)</f>
        <v>0.05</v>
      </c>
      <c r="J34" s="27">
        <f>+B34*I34</f>
        <v>1.5</v>
      </c>
      <c r="K34" s="330">
        <f>IF($B$2="X",$C$2,0)</f>
        <v>0</v>
      </c>
      <c r="L34" s="27">
        <f>+B34*K34</f>
        <v>0</v>
      </c>
      <c r="M34" s="27">
        <f>+G34+H34+J34+L34</f>
        <v>20.597406251742246</v>
      </c>
      <c r="N34" s="176">
        <f>+E34-M34</f>
        <v>7.3025937482577525</v>
      </c>
      <c r="O34" s="114" t="str">
        <f>IF(ISERROR((N34/P34)*1000),"",(N34/P34)*1000)</f>
        <v/>
      </c>
      <c r="P34" s="27"/>
      <c r="Q34" s="93">
        <f>VLOOKUP(A34,'MVA-IPI'!A:AD,30,FALSE)</f>
        <v>0</v>
      </c>
      <c r="R34" s="121">
        <f>IF($B$4="AM",0,IF($B$4="AP",0,IF($B$4="RR",0,(B34*Q34))))</f>
        <v>0</v>
      </c>
      <c r="S34" s="121">
        <f>IF($B$4="AP",(B34/0.88*$S$8),IF(T34=0%,0,IF($B$4="AM",(B34/0.88*$S$8),IF(T34=0%,0,IF($B$4="RR",(B34/0.88*$S$8),IF(T34=0%,0,B34*$S$8))))))</f>
        <v>0</v>
      </c>
      <c r="T34" s="93">
        <f>IF($C$4="GRUPO 1",VLOOKUP(A34,'MVA-grupos'!$A$9:$B$128,2,FALSE),IF($C$4="GRUPO 2",VLOOKUP(A34,'MVA-grupos'!$A$9:$D$128,4,FALSE),IF($C$4="GRUPO 3",VLOOKUP(A34,'MVA-grupos'!$A$10:$F$128,6,FALSE),IF($C$4="Grupo 4",VLOOKUP(A34,'MVA-grupos'!$A$9:$H$128,8,FALSE)))))</f>
        <v>0</v>
      </c>
      <c r="U34" s="95">
        <f>IF(T34=0%,0,(B34+R34)*T34+(B34+R34))</f>
        <v>0</v>
      </c>
      <c r="V34" s="95">
        <f>(U34*$V$8)-S34</f>
        <v>0</v>
      </c>
      <c r="W34" s="69"/>
      <c r="X34" s="27" t="str">
        <f t="shared" si="1"/>
        <v>BRAZIMIL TINTA PISO 3,0L BALDE BRANCO NEVE</v>
      </c>
      <c r="Y34" s="116">
        <f>+C34</f>
        <v>0</v>
      </c>
      <c r="Z34" s="114">
        <f>IF(ISERROR(Y34*N34),"",Y34*N34)</f>
        <v>0</v>
      </c>
      <c r="AA34" s="114">
        <f>IF(ISERROR(IF(E$7="X",Y34*E34,Y34*F34)),"",IF(E$7="X",Y34*E34,Y34*F34))</f>
        <v>0</v>
      </c>
      <c r="AB34" s="122" t="str">
        <f t="shared" si="0"/>
        <v/>
      </c>
      <c r="AC34" s="56"/>
      <c r="AD34" s="96"/>
      <c r="AE34" s="143">
        <v>0.05</v>
      </c>
      <c r="AF34" s="45" t="str">
        <f>+'Frete_Regiao-Impostos'!A25</f>
        <v>Manaus CIF</v>
      </c>
      <c r="AG34" s="39">
        <f>+'Frete_Regiao-Impostos'!B25</f>
        <v>100</v>
      </c>
      <c r="AH34" s="44">
        <f>+'Frete_Regiao-Impostos'!C25</f>
        <v>7.0000000000000007E-2</v>
      </c>
      <c r="AI34" s="39" t="str">
        <f>+'Frete_Regiao-Impostos'!D25</f>
        <v>AM</v>
      </c>
      <c r="AP34" s="28">
        <f>Peso!B35</f>
        <v>3.7</v>
      </c>
      <c r="AV34" s="198"/>
    </row>
    <row r="35" spans="1:48" outlineLevel="2" x14ac:dyDescent="0.2">
      <c r="A35" s="178" t="s">
        <v>162</v>
      </c>
      <c r="B35" s="306">
        <v>28.5</v>
      </c>
      <c r="C35" s="218"/>
      <c r="D35" s="58">
        <f>IF($F$7="x",IF(F35=0,0,N35/F35),IF($E$7="x",IF(F35=0,0,N35/E35),""))</f>
        <v>0.27313442918879738</v>
      </c>
      <c r="E35" s="40">
        <f>+B35*(-B$5+100%)</f>
        <v>26.504999999999999</v>
      </c>
      <c r="F35" s="40">
        <f>IF(B35=0,0,E35-H35)</f>
        <v>26.145</v>
      </c>
      <c r="G35" s="41">
        <f>VLOOKUP(A35,Custo!A:B,2,0)</f>
        <v>17.480571954350925</v>
      </c>
      <c r="H35" s="40">
        <f>(VLOOKUP(A35,Peso!$A$10:$B$148,2,0))*($B$6/1000)</f>
        <v>0.36000000000000004</v>
      </c>
      <c r="I35" s="42">
        <f>IF($I$7="X",AE35,0%)</f>
        <v>0.05</v>
      </c>
      <c r="J35" s="27">
        <f>+B35*I35</f>
        <v>1.425</v>
      </c>
      <c r="K35" s="330">
        <f>IF($B$2="X",$C$2,0)</f>
        <v>0</v>
      </c>
      <c r="L35" s="27">
        <f>+B35*K35</f>
        <v>0</v>
      </c>
      <c r="M35" s="27">
        <f>+G35+H35+J35+L35</f>
        <v>19.265571954350925</v>
      </c>
      <c r="N35" s="176">
        <f>+E35-M35</f>
        <v>7.2394280456490741</v>
      </c>
      <c r="O35" s="114" t="str">
        <f>IF(ISERROR((N35/P35)*1000),"",(N35/P35)*1000)</f>
        <v/>
      </c>
      <c r="P35" s="27"/>
      <c r="Q35" s="93">
        <f>VLOOKUP(A35,'MVA-IPI'!A:AD,30,FALSE)</f>
        <v>0</v>
      </c>
      <c r="R35" s="121">
        <f>IF($B$4="AM",0,IF($B$4="AP",0,IF($B$4="RR",0,(B35*Q35))))</f>
        <v>0</v>
      </c>
      <c r="S35" s="121">
        <f>IF($B$4="AP",(B35/0.88*$S$8),IF(T35=0%,0,IF($B$4="AM",(B35/0.88*$S$8),IF(T35=0%,0,IF($B$4="RR",(B35/0.88*$S$8),IF(T35=0%,0,B35*$S$8))))))</f>
        <v>0</v>
      </c>
      <c r="T35" s="93">
        <f>IF($C$4="GRUPO 1",VLOOKUP(A35,'MVA-grupos'!$A$9:$B$128,2,FALSE),IF($C$4="GRUPO 2",VLOOKUP(A35,'MVA-grupos'!$A$9:$D$128,4,FALSE),IF($C$4="GRUPO 3",VLOOKUP(A35,'MVA-grupos'!$A$10:$F$128,6,FALSE),IF($C$4="Grupo 4",VLOOKUP(A35,'MVA-grupos'!$A$9:$H$128,8,FALSE)))))</f>
        <v>0</v>
      </c>
      <c r="U35" s="95">
        <f>IF(T35=0%,0,(B35+R35)*T35+(B35+R35))</f>
        <v>0</v>
      </c>
      <c r="V35" s="95">
        <f>(U35*$V$8)-S35</f>
        <v>0</v>
      </c>
      <c r="W35" s="69"/>
      <c r="X35" s="27" t="str">
        <f t="shared" si="1"/>
        <v>BRAZIMIL TINTA PISO 3,0L BALDE COR</v>
      </c>
      <c r="Y35" s="116">
        <f>+C35</f>
        <v>0</v>
      </c>
      <c r="Z35" s="114">
        <f>IF(ISERROR(Y35*N35),"",Y35*N35)</f>
        <v>0</v>
      </c>
      <c r="AA35" s="114">
        <f>IF(ISERROR(IF(E$7="X",Y35*E35,Y35*F35)),"",IF(E$7="X",Y35*E35,Y35*F35))</f>
        <v>0</v>
      </c>
      <c r="AB35" s="122" t="str">
        <f t="shared" si="0"/>
        <v/>
      </c>
      <c r="AC35" s="56"/>
      <c r="AD35" s="96"/>
      <c r="AE35" s="143">
        <v>0.05</v>
      </c>
      <c r="AF35" s="45">
        <f>+'Frete_Regiao-Impostos'!A26</f>
        <v>0</v>
      </c>
      <c r="AG35" s="39">
        <f>+'Frete_Regiao-Impostos'!B26</f>
        <v>0</v>
      </c>
      <c r="AH35" s="44">
        <f>+'Frete_Regiao-Impostos'!C26</f>
        <v>0</v>
      </c>
      <c r="AI35" s="39">
        <f>+'Frete_Regiao-Impostos'!D26</f>
        <v>0</v>
      </c>
      <c r="AP35" s="28">
        <f>Peso!B36</f>
        <v>3.6</v>
      </c>
      <c r="AV35" s="198"/>
    </row>
    <row r="36" spans="1:48" s="295" customFormat="1" outlineLevel="1" x14ac:dyDescent="0.2">
      <c r="A36" s="248" t="s">
        <v>163</v>
      </c>
      <c r="B36" s="249"/>
      <c r="C36" s="229"/>
      <c r="D36" s="230" t="str">
        <f>AB36</f>
        <v/>
      </c>
      <c r="E36" s="250"/>
      <c r="F36" s="250"/>
      <c r="G36" s="251"/>
      <c r="H36" s="250"/>
      <c r="I36" s="252"/>
      <c r="J36" s="253"/>
      <c r="K36" s="253"/>
      <c r="L36" s="253"/>
      <c r="M36" s="253"/>
      <c r="N36" s="363"/>
      <c r="O36" s="254"/>
      <c r="P36" s="253"/>
      <c r="Q36" s="255"/>
      <c r="R36" s="237"/>
      <c r="S36" s="237"/>
      <c r="T36" s="236"/>
      <c r="U36" s="256"/>
      <c r="V36" s="256"/>
      <c r="W36" s="257"/>
      <c r="X36" s="253" t="str">
        <f t="shared" si="1"/>
        <v>BRAZIMIL TINTA PISO 15L</v>
      </c>
      <c r="Y36" s="258"/>
      <c r="Z36" s="254">
        <f>SUM(Z37:Z38)</f>
        <v>0</v>
      </c>
      <c r="AA36" s="254">
        <f>SUM(AA37:AA38)</f>
        <v>0</v>
      </c>
      <c r="AB36" s="230" t="str">
        <f t="shared" si="0"/>
        <v/>
      </c>
      <c r="AC36" s="259">
        <v>0.25</v>
      </c>
      <c r="AD36" s="242"/>
      <c r="AE36" s="243"/>
      <c r="AF36" s="262" t="str">
        <f>+'Frete_Regiao-Impostos'!A27</f>
        <v>Manaus - FOB</v>
      </c>
      <c r="AG36" s="263">
        <f>+'Frete_Regiao-Impostos'!B27</f>
        <v>0</v>
      </c>
      <c r="AH36" s="264">
        <f>+'Frete_Regiao-Impostos'!C27</f>
        <v>7.0000000000000007E-2</v>
      </c>
      <c r="AI36" s="263" t="str">
        <f>+'Frete_Regiao-Impostos'!D27</f>
        <v>AM</v>
      </c>
      <c r="AJ36" s="260"/>
      <c r="AK36" s="260"/>
      <c r="AL36" s="260"/>
      <c r="AM36" s="260"/>
      <c r="AN36" s="260"/>
      <c r="AO36" s="260"/>
      <c r="AP36" s="28">
        <f>Peso!B37</f>
        <v>0</v>
      </c>
      <c r="AT36" s="296"/>
      <c r="AU36" s="299"/>
      <c r="AV36" s="300"/>
    </row>
    <row r="37" spans="1:48" outlineLevel="2" x14ac:dyDescent="0.2">
      <c r="A37" s="178" t="s">
        <v>164</v>
      </c>
      <c r="B37" s="306">
        <v>130</v>
      </c>
      <c r="C37" s="218"/>
      <c r="D37" s="58">
        <f>IF($F$7="x",IF(F37=0,0,N37/F37),IF($E$7="x",IF(F37=0,0,N37/E37),""))</f>
        <v>8.3538952553146459E-2</v>
      </c>
      <c r="E37" s="40">
        <f>+B37*(-B$5+100%)</f>
        <v>120.89999999999999</v>
      </c>
      <c r="F37" s="40">
        <f>IF(B37=0,0,E37-H37)</f>
        <v>119.3</v>
      </c>
      <c r="G37" s="41">
        <f>VLOOKUP(A37,Custo!A:B,2,0)</f>
        <v>102.70014063632459</v>
      </c>
      <c r="H37" s="40">
        <f>(VLOOKUP(A37,Peso!$A$10:$B$148,2,0))*($B$6/1000)</f>
        <v>1.6</v>
      </c>
      <c r="I37" s="42">
        <f>IF($I$7="X",AE37,0%)</f>
        <v>0.05</v>
      </c>
      <c r="J37" s="27">
        <f>+B37*I37</f>
        <v>6.5</v>
      </c>
      <c r="K37" s="330">
        <f>IF($B$2="X",$C$2,0)</f>
        <v>0</v>
      </c>
      <c r="L37" s="27">
        <f>+B37*K37</f>
        <v>0</v>
      </c>
      <c r="M37" s="27">
        <f>+G37+H37+J37+L37</f>
        <v>110.80014063632458</v>
      </c>
      <c r="N37" s="176">
        <f>+E37-M37</f>
        <v>10.099859363675407</v>
      </c>
      <c r="O37" s="114" t="str">
        <f>IF(ISERROR((N37/P37)*1000),"",(N37/P37)*1000)</f>
        <v/>
      </c>
      <c r="P37" s="27"/>
      <c r="Q37" s="93">
        <f>VLOOKUP(A37,'MVA-IPI'!A:AD,30,FALSE)</f>
        <v>0</v>
      </c>
      <c r="R37" s="121">
        <f>IF($B$4="AM",0,IF($B$4="AP",0,IF($B$4="RR",0,(B37*Q37))))</f>
        <v>0</v>
      </c>
      <c r="S37" s="121">
        <f>IF($B$4="AP",(B37/0.88*$S$8),IF(T37=0%,0,IF($B$4="AM",(B37/0.88*$S$8),IF(T37=0%,0,IF($B$4="RR",(B37/0.88*$S$8),IF(T37=0%,0,B37*$S$8))))))</f>
        <v>0</v>
      </c>
      <c r="T37" s="93">
        <f>IF($C$4="GRUPO 1",VLOOKUP(A37,'MVA-grupos'!$A$9:$B$128,2,FALSE),IF($C$4="GRUPO 2",VLOOKUP(A37,'MVA-grupos'!$A$9:$D$128,4,FALSE),IF($C$4="GRUPO 3",VLOOKUP(A37,'MVA-grupos'!$A$10:$F$128,6,FALSE),IF($C$4="Grupo 4",VLOOKUP(A37,'MVA-grupos'!$A$9:$H$128,8,FALSE)))))</f>
        <v>0</v>
      </c>
      <c r="U37" s="95">
        <f>IF(T37=0%,0,(B37+R37)*T37+(B37+R37))</f>
        <v>0</v>
      </c>
      <c r="V37" s="95">
        <f>(U37*$V$8)-S37</f>
        <v>0</v>
      </c>
      <c r="W37" s="69"/>
      <c r="X37" s="27" t="str">
        <f t="shared" si="1"/>
        <v>BRAZIMIL TINTA PISO 15L BALDE BRANCO NEVE</v>
      </c>
      <c r="Y37" s="116">
        <f>+C37</f>
        <v>0</v>
      </c>
      <c r="Z37" s="114">
        <f>IF(ISERROR(Y37*N37),"",Y37*N37)</f>
        <v>0</v>
      </c>
      <c r="AA37" s="114">
        <f>IF(ISERROR(IF(E$7="X",Y37*E37,Y37*F37)),"",IF(E$7="X",Y37*E37,Y37*F37))</f>
        <v>0</v>
      </c>
      <c r="AB37" s="122" t="str">
        <f t="shared" si="0"/>
        <v/>
      </c>
      <c r="AC37" s="56"/>
      <c r="AD37" s="96"/>
      <c r="AE37" s="143">
        <v>0.05</v>
      </c>
      <c r="AF37" s="45" t="str">
        <f>+'Frete_Regiao-Impostos'!A28</f>
        <v>Manaus - INTERIOR PIS COFINS</v>
      </c>
      <c r="AG37" s="39">
        <f>+'Frete_Regiao-Impostos'!B28</f>
        <v>0</v>
      </c>
      <c r="AH37" s="44">
        <f>+'Frete_Regiao-Impostos'!C28</f>
        <v>0.1065</v>
      </c>
      <c r="AI37" s="39" t="str">
        <f>+'Frete_Regiao-Impostos'!D28</f>
        <v>AM</v>
      </c>
      <c r="AP37" s="28">
        <f>Peso!B38</f>
        <v>16</v>
      </c>
      <c r="AV37" s="198"/>
    </row>
    <row r="38" spans="1:48" outlineLevel="2" x14ac:dyDescent="0.2">
      <c r="A38" s="178" t="s">
        <v>165</v>
      </c>
      <c r="B38" s="306">
        <v>108</v>
      </c>
      <c r="C38" s="218"/>
      <c r="D38" s="58">
        <f>IF($F$7="x",IF(F38=0,0,N38/F38),IF($E$7="x",IF(F38=0,0,N38/E38),""))</f>
        <v>-3.2127247031747679E-2</v>
      </c>
      <c r="E38" s="40">
        <f>+B38*(-B$5+100%)</f>
        <v>100.44</v>
      </c>
      <c r="F38" s="40">
        <f>IF(B38=0,0,E38-H38)</f>
        <v>98.86</v>
      </c>
      <c r="G38" s="41">
        <f>VLOOKUP(A38,Custo!A:B,2,0)</f>
        <v>96.686860691868731</v>
      </c>
      <c r="H38" s="40">
        <f>(VLOOKUP(A38,Peso!$A$10:$B$148,2,0))*($B$6/1000)</f>
        <v>1.58</v>
      </c>
      <c r="I38" s="42">
        <f>IF($I$7="X",AE38,0%)</f>
        <v>0.05</v>
      </c>
      <c r="J38" s="27">
        <f>+B38*I38</f>
        <v>5.4</v>
      </c>
      <c r="K38" s="330">
        <f>IF($B$2="X",$C$2,0)</f>
        <v>0</v>
      </c>
      <c r="L38" s="27">
        <f>+B38*K38</f>
        <v>0</v>
      </c>
      <c r="M38" s="27">
        <f>+G38+H38+J38+L38</f>
        <v>103.66686069186873</v>
      </c>
      <c r="N38" s="176">
        <f>+E38-M38</f>
        <v>-3.2268606918687368</v>
      </c>
      <c r="O38" s="114" t="str">
        <f>IF(ISERROR((N38/P38)*1000),"",(N38/P38)*1000)</f>
        <v/>
      </c>
      <c r="P38" s="27"/>
      <c r="Q38" s="93">
        <f>VLOOKUP(A38,'MVA-IPI'!A:AD,30,FALSE)</f>
        <v>0</v>
      </c>
      <c r="R38" s="121">
        <f>IF($B$4="AM",0,IF($B$4="AP",0,IF($B$4="RR",0,(B38*Q38))))</f>
        <v>0</v>
      </c>
      <c r="S38" s="121">
        <f>IF($B$4="AP",(B38/0.88*$S$8),IF(T38=0%,0,IF($B$4="AM",(B38/0.88*$S$8),IF(T38=0%,0,IF($B$4="RR",(B38/0.88*$S$8),IF(T38=0%,0,B38*$S$8))))))</f>
        <v>0</v>
      </c>
      <c r="T38" s="93">
        <f>IF($C$4="GRUPO 1",VLOOKUP(A38,'MVA-grupos'!$A$9:$B$128,2,FALSE),IF($C$4="GRUPO 2",VLOOKUP(A38,'MVA-grupos'!$A$9:$D$128,4,FALSE),IF($C$4="GRUPO 3",VLOOKUP(A38,'MVA-grupos'!$A$10:$F$128,6,FALSE),IF($C$4="Grupo 4",VLOOKUP(A38,'MVA-grupos'!$A$9:$H$128,8,FALSE)))))</f>
        <v>0</v>
      </c>
      <c r="U38" s="95">
        <f>IF(T38=0%,0,(B38+R38)*T38+(B38+R38))</f>
        <v>0</v>
      </c>
      <c r="V38" s="95">
        <f>(U38*$V$8)-S38</f>
        <v>0</v>
      </c>
      <c r="W38" s="69"/>
      <c r="X38" s="27" t="str">
        <f t="shared" si="1"/>
        <v>BRAZIMIL TINTA PISO 15L BALDE COR</v>
      </c>
      <c r="Y38" s="116">
        <f>+C38</f>
        <v>0</v>
      </c>
      <c r="Z38" s="114">
        <f>IF(ISERROR(Y38*N38),"",Y38*N38)</f>
        <v>0</v>
      </c>
      <c r="AA38" s="114">
        <f>IF(ISERROR(IF(E$7="X",Y38*E38,Y38*F38)),"",IF(E$7="X",Y38*E38,Y38*F38))</f>
        <v>0</v>
      </c>
      <c r="AB38" s="122" t="str">
        <f t="shared" si="0"/>
        <v/>
      </c>
      <c r="AC38" s="56"/>
      <c r="AD38" s="96"/>
      <c r="AE38" s="143">
        <v>0.05</v>
      </c>
      <c r="AF38" s="45" t="str">
        <f>+'Frete_Regiao-Impostos'!A29</f>
        <v>Manaus - INTERIOR S/ PIS COFINS</v>
      </c>
      <c r="AG38" s="39">
        <f>+'Frete_Regiao-Impostos'!B29</f>
        <v>0</v>
      </c>
      <c r="AH38" s="44">
        <f>+'Frete_Regiao-Impostos'!C29</f>
        <v>7.0000000000000007E-2</v>
      </c>
      <c r="AI38" s="39" t="str">
        <f>+'Frete_Regiao-Impostos'!D29</f>
        <v>AM</v>
      </c>
      <c r="AP38" s="28">
        <f>Peso!B39</f>
        <v>15.8</v>
      </c>
      <c r="AV38" s="198"/>
    </row>
    <row r="39" spans="1:48" s="295" customFormat="1" outlineLevel="1" x14ac:dyDescent="0.2">
      <c r="A39" s="248" t="s">
        <v>166</v>
      </c>
      <c r="B39" s="249"/>
      <c r="C39" s="229"/>
      <c r="D39" s="230" t="str">
        <f>AB39</f>
        <v/>
      </c>
      <c r="E39" s="250"/>
      <c r="F39" s="250"/>
      <c r="G39" s="251"/>
      <c r="H39" s="250"/>
      <c r="I39" s="252"/>
      <c r="J39" s="253"/>
      <c r="K39" s="253"/>
      <c r="L39" s="253"/>
      <c r="M39" s="253"/>
      <c r="N39" s="363"/>
      <c r="O39" s="254"/>
      <c r="P39" s="253"/>
      <c r="Q39" s="255"/>
      <c r="R39" s="237"/>
      <c r="S39" s="237"/>
      <c r="T39" s="236"/>
      <c r="U39" s="256"/>
      <c r="V39" s="256"/>
      <c r="W39" s="257"/>
      <c r="X39" s="253" t="str">
        <f t="shared" si="1"/>
        <v>BRAZIMIL SELADOR ACRIL 3,0L</v>
      </c>
      <c r="Y39" s="258"/>
      <c r="Z39" s="254">
        <f>SUM(Z40:Z41)</f>
        <v>0</v>
      </c>
      <c r="AA39" s="254">
        <f>SUM(AA40:AA41)</f>
        <v>0</v>
      </c>
      <c r="AB39" s="230" t="str">
        <f t="shared" si="0"/>
        <v/>
      </c>
      <c r="AC39" s="259">
        <v>0.25</v>
      </c>
      <c r="AD39" s="242"/>
      <c r="AE39" s="261"/>
      <c r="AF39" s="262">
        <f>+'Frete_Regiao-Impostos'!A30</f>
        <v>0</v>
      </c>
      <c r="AG39" s="263">
        <f>+'Frete_Regiao-Impostos'!B30</f>
        <v>0</v>
      </c>
      <c r="AH39" s="264">
        <f>+'Frete_Regiao-Impostos'!C30</f>
        <v>0</v>
      </c>
      <c r="AI39" s="263">
        <f>+'Frete_Regiao-Impostos'!D30</f>
        <v>0</v>
      </c>
      <c r="AJ39" s="260"/>
      <c r="AK39" s="260"/>
      <c r="AL39" s="260"/>
      <c r="AM39" s="260"/>
      <c r="AN39" s="260"/>
      <c r="AO39" s="260"/>
      <c r="AP39" s="28">
        <f>Peso!B40</f>
        <v>0</v>
      </c>
      <c r="AT39" s="296"/>
      <c r="AU39" s="299"/>
      <c r="AV39" s="300"/>
    </row>
    <row r="40" spans="1:48" s="172" customFormat="1" hidden="1" outlineLevel="2" x14ac:dyDescent="0.2">
      <c r="A40" s="182" t="s">
        <v>167</v>
      </c>
      <c r="B40" s="307">
        <v>0</v>
      </c>
      <c r="C40" s="219"/>
      <c r="D40" s="154">
        <f>IF($F$7="x",IF(F40=0,0,N40/F40),IF($E$7="x",IF(F40=0,0,N40/E40),""))</f>
        <v>0</v>
      </c>
      <c r="E40" s="155">
        <f>+B40*(-B$5+100%)</f>
        <v>0</v>
      </c>
      <c r="F40" s="155">
        <f>IF(B40=0,0,E40-H40)</f>
        <v>0</v>
      </c>
      <c r="G40" s="156">
        <f>VLOOKUP(A40,Custo!A:B,2,0)</f>
        <v>3.2667289092119738</v>
      </c>
      <c r="H40" s="155">
        <f>(VLOOKUP(A40,Peso!$A$10:$B$148,2,0))*($B$6/1000)</f>
        <v>0.38500000000000001</v>
      </c>
      <c r="I40" s="157">
        <f t="shared" ref="I40:I46" si="4">IF($I$7="X",AE40,0%)</f>
        <v>0.05</v>
      </c>
      <c r="J40" s="158">
        <f>+B40*I40</f>
        <v>0</v>
      </c>
      <c r="K40" s="353">
        <f>IF($B$2="X",$C$2,0)</f>
        <v>0</v>
      </c>
      <c r="L40" s="158">
        <f>+B40*K40</f>
        <v>0</v>
      </c>
      <c r="M40" s="158">
        <f>+G40+H40+J40+L40</f>
        <v>3.6517289092119736</v>
      </c>
      <c r="N40" s="158">
        <f>+E40-M40</f>
        <v>-3.6517289092119736</v>
      </c>
      <c r="O40" s="159" t="str">
        <f>IF(ISERROR((N40/P40)*1000),"",(N40/P40)*1000)</f>
        <v/>
      </c>
      <c r="P40" s="158"/>
      <c r="Q40" s="160">
        <f>VLOOKUP(A40,'MVA-IPI'!A:AD,30,FALSE)</f>
        <v>0</v>
      </c>
      <c r="R40" s="161">
        <f>IF($B$4="AM",0,IF($B$4="AP",0,IF($B$4="RR",0,(B40*Q40))))</f>
        <v>0</v>
      </c>
      <c r="S40" s="161">
        <f>IF($B$4="AP",(B40/0.88*$S$8),IF(T40=0%,0,IF($B$4="AM",(B40/0.88*$S$8),IF(T40=0%,0,IF($B$4="RR",(B40/0.88*$S$8),IF(T40=0%,0,B40*$S$8))))))</f>
        <v>0</v>
      </c>
      <c r="T40" s="160">
        <f>IF($C$4="GRUPO 1",VLOOKUP(A40,'MVA-grupos'!$A$9:$B$128,2,FALSE),IF($C$4="GRUPO 2",VLOOKUP(A40,'MVA-grupos'!$A$9:$D$128,4,FALSE),IF($C$4="GRUPO 3",VLOOKUP(A40,'MVA-grupos'!$A$10:$F$128,6,FALSE),IF($C$4="Grupo 4",VLOOKUP(A40,'MVA-grupos'!$A$9:$H$128,8,FALSE)))))</f>
        <v>0</v>
      </c>
      <c r="U40" s="162">
        <f>IF(T40=0%,0,(B40+R40)*T40+(B40+R40))</f>
        <v>0</v>
      </c>
      <c r="V40" s="162">
        <f>(U40*$V$8)-S40</f>
        <v>0</v>
      </c>
      <c r="W40" s="164"/>
      <c r="X40" s="158" t="str">
        <f t="shared" si="1"/>
        <v>BRAZIMIL SELADOR ACRIL 3,0L REFIL PIGMENTADO</v>
      </c>
      <c r="Y40" s="165">
        <f>+C40</f>
        <v>0</v>
      </c>
      <c r="Z40" s="159">
        <f>IF(ISERROR(Y40*N40),"",Y40*N40)</f>
        <v>0</v>
      </c>
      <c r="AA40" s="159">
        <f>IF(ISERROR(IF(E$7="X",Y40*E40,Y40*F40)),"",IF(E$7="X",Y40*E40,Y40*F40))</f>
        <v>0</v>
      </c>
      <c r="AB40" s="154" t="str">
        <f t="shared" si="0"/>
        <v/>
      </c>
      <c r="AC40" s="166"/>
      <c r="AD40" s="167"/>
      <c r="AE40" s="168">
        <v>0.05</v>
      </c>
      <c r="AF40" s="169">
        <f>+'Frete_Regiao-Impostos'!A31</f>
        <v>0</v>
      </c>
      <c r="AG40" s="170">
        <f>+'Frete_Regiao-Impostos'!B31</f>
        <v>0</v>
      </c>
      <c r="AH40" s="171">
        <f>+'Frete_Regiao-Impostos'!C31</f>
        <v>0</v>
      </c>
      <c r="AI40" s="170">
        <f>+'Frete_Regiao-Impostos'!D31</f>
        <v>0</v>
      </c>
      <c r="AP40" s="273">
        <f>Peso!B41</f>
        <v>3.85</v>
      </c>
      <c r="AT40" s="173"/>
      <c r="AU40" s="174"/>
      <c r="AV40" s="175"/>
    </row>
    <row r="41" spans="1:48" outlineLevel="2" x14ac:dyDescent="0.2">
      <c r="A41" s="183" t="s">
        <v>168</v>
      </c>
      <c r="B41" s="306">
        <v>17.989999999999998</v>
      </c>
      <c r="C41" s="218"/>
      <c r="D41" s="58">
        <f>IF($F$7="x",IF(F41=0,0,N41/F41),IF($E$7="x",IF(F41=0,0,N41/E41),""))</f>
        <v>0.51931306465288507</v>
      </c>
      <c r="E41" s="40">
        <f>+B41*(-B$5+100%)</f>
        <v>16.730699999999999</v>
      </c>
      <c r="F41" s="40">
        <f>IF(B41=0,0,E41-H41)</f>
        <v>16.325699999999998</v>
      </c>
      <c r="G41" s="41">
        <f>VLOOKUP(A41,Custo!A:B,2,0)</f>
        <v>6.7377289092119739</v>
      </c>
      <c r="H41" s="40">
        <f>(VLOOKUP(A41,Peso!$A$10:$B$148,2,0))*($B$6/1000)</f>
        <v>0.40500000000000003</v>
      </c>
      <c r="I41" s="42">
        <f t="shared" si="4"/>
        <v>0.05</v>
      </c>
      <c r="J41" s="27">
        <f>+B41*I41</f>
        <v>0.89949999999999997</v>
      </c>
      <c r="K41" s="330">
        <f>IF($B$2="X",$C$2,0)</f>
        <v>0</v>
      </c>
      <c r="L41" s="27">
        <f>+B41*K41</f>
        <v>0</v>
      </c>
      <c r="M41" s="27">
        <f>+G41+H41+J41+L41</f>
        <v>8.0422289092119748</v>
      </c>
      <c r="N41" s="176">
        <f>+E41-M41</f>
        <v>8.688471090788024</v>
      </c>
      <c r="O41" s="114" t="str">
        <f>IF(ISERROR((N41/P41)*1000),"",(N41/P41)*1000)</f>
        <v/>
      </c>
      <c r="P41" s="27"/>
      <c r="Q41" s="93">
        <f>VLOOKUP(A41,'MVA-IPI'!A:AD,30,FALSE)</f>
        <v>0</v>
      </c>
      <c r="R41" s="121">
        <f>IF($B$4="AM",0,IF($B$4="AP",0,IF($B$4="RR",0,(B41*Q41))))</f>
        <v>0</v>
      </c>
      <c r="S41" s="121">
        <f>IF($B$4="AP",(B41/0.88*$S$8),IF(T41=0%,0,IF($B$4="AM",(B41/0.88*$S$8),IF(T41=0%,0,IF($B$4="RR",(B41/0.88*$S$8),IF(T41=0%,0,B41*$S$8))))))</f>
        <v>0</v>
      </c>
      <c r="T41" s="93">
        <f>IF($C$4="GRUPO 1",VLOOKUP(A41,'MVA-grupos'!$A$9:$B$128,2,FALSE),IF($C$4="GRUPO 2",VLOOKUP(A41,'MVA-grupos'!$A$9:$D$128,4,FALSE),IF($C$4="GRUPO 3",VLOOKUP(A41,'MVA-grupos'!$A$10:$F$128,6,FALSE),IF($C$4="Grupo 4",VLOOKUP(A41,'MVA-grupos'!$A$9:$H$128,8,FALSE)))))</f>
        <v>0</v>
      </c>
      <c r="U41" s="95">
        <f>IF(T41=0%,0,(B41+R41)*T41+(B41+R41))</f>
        <v>0</v>
      </c>
      <c r="V41" s="95">
        <f>(U41*$V$8)-S41</f>
        <v>0</v>
      </c>
      <c r="W41" s="69"/>
      <c r="X41" s="27" t="str">
        <f t="shared" si="1"/>
        <v>BRAZIMIL SELADOR ACRIL 3,0L BALDE PIGMENTADO</v>
      </c>
      <c r="Y41" s="116">
        <f>+C41</f>
        <v>0</v>
      </c>
      <c r="Z41" s="114">
        <f>IF(ISERROR(Y41*N41),"",Y41*N41)</f>
        <v>0</v>
      </c>
      <c r="AA41" s="114">
        <f>IF(ISERROR(IF(E$7="X",Y41*E41,Y41*F41)),"",IF(E$7="X",Y41*E41,Y41*F41))</f>
        <v>0</v>
      </c>
      <c r="AB41" s="122" t="str">
        <f t="shared" ref="AB41:AB71" si="5">IF(ISERROR(Z41/AA41),"",Z41/AA41)</f>
        <v/>
      </c>
      <c r="AC41" s="56"/>
      <c r="AD41" s="96"/>
      <c r="AE41" s="143">
        <v>0.05</v>
      </c>
      <c r="AF41" s="45">
        <f>+'Frete_Regiao-Impostos'!A32</f>
        <v>0</v>
      </c>
      <c r="AG41" s="39">
        <f>+'Frete_Regiao-Impostos'!B32</f>
        <v>0</v>
      </c>
      <c r="AH41" s="44">
        <f>+'Frete_Regiao-Impostos'!C32</f>
        <v>0</v>
      </c>
      <c r="AI41" s="39">
        <f>+'Frete_Regiao-Impostos'!D32</f>
        <v>0</v>
      </c>
      <c r="AP41" s="28">
        <f>Peso!B42</f>
        <v>4.05</v>
      </c>
      <c r="AV41" s="198"/>
    </row>
    <row r="42" spans="1:48" s="295" customFormat="1" outlineLevel="1" x14ac:dyDescent="0.2">
      <c r="A42" s="248" t="s">
        <v>169</v>
      </c>
      <c r="B42" s="249"/>
      <c r="C42" s="229"/>
      <c r="D42" s="230" t="str">
        <f>AB42</f>
        <v/>
      </c>
      <c r="E42" s="250"/>
      <c r="F42" s="250"/>
      <c r="G42" s="251"/>
      <c r="H42" s="250"/>
      <c r="I42" s="252">
        <f t="shared" si="4"/>
        <v>0.04</v>
      </c>
      <c r="J42" s="253"/>
      <c r="K42" s="253"/>
      <c r="L42" s="253"/>
      <c r="M42" s="253"/>
      <c r="N42" s="363"/>
      <c r="O42" s="254"/>
      <c r="P42" s="253"/>
      <c r="Q42" s="255"/>
      <c r="R42" s="237"/>
      <c r="S42" s="237"/>
      <c r="T42" s="236"/>
      <c r="U42" s="256"/>
      <c r="V42" s="256"/>
      <c r="W42" s="257"/>
      <c r="X42" s="253" t="str">
        <f t="shared" si="1"/>
        <v>BRAZIMIL SELADOR ACRIL 15L</v>
      </c>
      <c r="Y42" s="258"/>
      <c r="Z42" s="254">
        <f>SUM(Z43:Z43)</f>
        <v>0</v>
      </c>
      <c r="AA42" s="254">
        <f>SUM(AA43:AA43)</f>
        <v>0</v>
      </c>
      <c r="AB42" s="230" t="str">
        <f t="shared" si="5"/>
        <v/>
      </c>
      <c r="AC42" s="259">
        <v>0.25</v>
      </c>
      <c r="AD42" s="242"/>
      <c r="AE42" s="261">
        <v>0.04</v>
      </c>
      <c r="AF42" s="262">
        <f>+'Frete_Regiao-Impostos'!A33</f>
        <v>0</v>
      </c>
      <c r="AG42" s="263">
        <f>+'Frete_Regiao-Impostos'!B33</f>
        <v>0</v>
      </c>
      <c r="AH42" s="264">
        <f>+'Frete_Regiao-Impostos'!C33</f>
        <v>0</v>
      </c>
      <c r="AI42" s="263">
        <f>+'Frete_Regiao-Impostos'!D33</f>
        <v>0</v>
      </c>
      <c r="AJ42" s="260"/>
      <c r="AK42" s="260"/>
      <c r="AL42" s="260"/>
      <c r="AM42" s="260"/>
      <c r="AN42" s="260"/>
      <c r="AO42" s="260"/>
      <c r="AP42" s="28">
        <f>Peso!B43</f>
        <v>0</v>
      </c>
      <c r="AT42" s="296"/>
      <c r="AU42" s="299"/>
      <c r="AV42" s="300"/>
    </row>
    <row r="43" spans="1:48" outlineLevel="2" x14ac:dyDescent="0.2">
      <c r="A43" s="178" t="s">
        <v>171</v>
      </c>
      <c r="B43" s="306">
        <v>51</v>
      </c>
      <c r="C43" s="218"/>
      <c r="D43" s="58">
        <f>IF($F$7="x",IF(F43=0,0,N43/F43),IF($E$7="x",IF(F43=0,0,N43/E43),""))</f>
        <v>0.3861008241644987</v>
      </c>
      <c r="E43" s="40">
        <f>+B43*(-B$5+100%)</f>
        <v>47.43</v>
      </c>
      <c r="F43" s="40">
        <f>IF(B43=0,0,E43-H43)</f>
        <v>45.63</v>
      </c>
      <c r="G43" s="41">
        <f>VLOOKUP(A43,Custo!A:B,2,0)</f>
        <v>24.767237909877824</v>
      </c>
      <c r="H43" s="40">
        <f>(VLOOKUP(A43,Peso!$A$10:$B$148,2,0))*($B$6/1000)</f>
        <v>1.8</v>
      </c>
      <c r="I43" s="42">
        <f t="shared" si="4"/>
        <v>0.05</v>
      </c>
      <c r="J43" s="27">
        <f>+B43*I43</f>
        <v>2.5500000000000003</v>
      </c>
      <c r="K43" s="330">
        <f>IF($B$2="X",$C$2,0)</f>
        <v>0</v>
      </c>
      <c r="L43" s="27">
        <f>+B43*K43</f>
        <v>0</v>
      </c>
      <c r="M43" s="27">
        <f>+G43+H43+J43+L43</f>
        <v>29.117237909877826</v>
      </c>
      <c r="N43" s="176">
        <f>+E43-M43</f>
        <v>18.312762090122174</v>
      </c>
      <c r="O43" s="114" t="str">
        <f>IF(ISERROR((N43/P43)*1000),"",(N43/P43)*1000)</f>
        <v/>
      </c>
      <c r="P43" s="27"/>
      <c r="Q43" s="93">
        <f>VLOOKUP(A43,'MVA-IPI'!A:AD,30,FALSE)</f>
        <v>0</v>
      </c>
      <c r="R43" s="121">
        <f>IF($B$4="AM",0,IF($B$4="AP",0,IF($B$4="RR",0,(B43*Q43))))</f>
        <v>0</v>
      </c>
      <c r="S43" s="121">
        <f>IF($B$4="AP",(B43/0.88*$S$8),IF(T43=0%,0,IF($B$4="AM",(B43/0.88*$S$8),IF(T43=0%,0,IF($B$4="RR",(B43/0.88*$S$8),IF(T43=0%,0,B43*$S$8))))))</f>
        <v>0</v>
      </c>
      <c r="T43" s="93">
        <f>IF($C$4="GRUPO 1",VLOOKUP(A43,'MVA-grupos'!$A$9:$B$128,2,FALSE),IF($C$4="GRUPO 2",VLOOKUP(A43,'MVA-grupos'!$A$9:$D$128,4,FALSE),IF($C$4="GRUPO 3",VLOOKUP(A43,'MVA-grupos'!$A$10:$F$128,6,FALSE),IF($C$4="Grupo 4",VLOOKUP(A43,'MVA-grupos'!$A$9:$H$128,8,FALSE)))))</f>
        <v>0</v>
      </c>
      <c r="U43" s="95">
        <f>IF(T43=0%,0,(B43+R43)*T43+(B43+R43))</f>
        <v>0</v>
      </c>
      <c r="V43" s="95">
        <f>(U43*$V$8)-S43</f>
        <v>0</v>
      </c>
      <c r="W43" s="69"/>
      <c r="X43" s="27" t="str">
        <f t="shared" si="1"/>
        <v>BRAZIMIL SELADOR ACRIL 15L BALDE PIGMENTADO</v>
      </c>
      <c r="Y43" s="116">
        <f>+C43</f>
        <v>0</v>
      </c>
      <c r="Z43" s="114">
        <f>IF(ISERROR(Y43*N43),"",Y43*N43)</f>
        <v>0</v>
      </c>
      <c r="AA43" s="114">
        <f>IF(ISERROR(IF(E$7="X",Y43*E43,Y43*F43)),"",IF(E$7="X",Y43*E43,Y43*F43))</f>
        <v>0</v>
      </c>
      <c r="AB43" s="122" t="str">
        <f t="shared" si="5"/>
        <v/>
      </c>
      <c r="AC43" s="56"/>
      <c r="AD43" s="96"/>
      <c r="AE43" s="143">
        <v>0.05</v>
      </c>
      <c r="AF43" s="45">
        <f>+'Frete_Regiao-Impostos'!A35</f>
        <v>0</v>
      </c>
      <c r="AG43" s="39">
        <f>+'Frete_Regiao-Impostos'!B35</f>
        <v>0</v>
      </c>
      <c r="AH43" s="44">
        <f>+'Frete_Regiao-Impostos'!C35</f>
        <v>0</v>
      </c>
      <c r="AI43" s="39">
        <f>+'Frete_Regiao-Impostos'!D35</f>
        <v>0</v>
      </c>
      <c r="AP43" s="28">
        <f>Peso!B45</f>
        <v>18</v>
      </c>
      <c r="AV43" s="198"/>
    </row>
    <row r="44" spans="1:48" s="207" customFormat="1" hidden="1" outlineLevel="1" collapsed="1" x14ac:dyDescent="0.2">
      <c r="A44" s="354" t="s">
        <v>122</v>
      </c>
      <c r="B44" s="307"/>
      <c r="C44" s="219"/>
      <c r="D44" s="154" t="str">
        <f>AB44</f>
        <v/>
      </c>
      <c r="E44" s="155"/>
      <c r="F44" s="155"/>
      <c r="G44" s="156"/>
      <c r="H44" s="155"/>
      <c r="I44" s="157">
        <f t="shared" si="4"/>
        <v>0.02</v>
      </c>
      <c r="J44" s="158"/>
      <c r="K44" s="158"/>
      <c r="L44" s="158"/>
      <c r="M44" s="158"/>
      <c r="N44" s="158"/>
      <c r="O44" s="159"/>
      <c r="P44" s="158"/>
      <c r="Q44" s="160"/>
      <c r="R44" s="161"/>
      <c r="S44" s="161"/>
      <c r="T44" s="160"/>
      <c r="U44" s="162"/>
      <c r="V44" s="162"/>
      <c r="W44" s="356"/>
      <c r="X44" s="203" t="str">
        <f t="shared" si="1"/>
        <v>LIQUIBRILHO 3,0L</v>
      </c>
      <c r="Y44" s="205"/>
      <c r="Z44" s="206">
        <f>SUM(Z45)</f>
        <v>0</v>
      </c>
      <c r="AA44" s="206">
        <f>SUM(AA45)</f>
        <v>0</v>
      </c>
      <c r="AB44" s="154" t="str">
        <f t="shared" si="5"/>
        <v/>
      </c>
      <c r="AC44" s="357">
        <v>0.25</v>
      </c>
      <c r="AD44" s="167"/>
      <c r="AE44" s="168">
        <v>0.02</v>
      </c>
      <c r="AF44" s="169">
        <f>+'Frete_Regiao-Impostos'!A36</f>
        <v>0</v>
      </c>
      <c r="AG44" s="170">
        <f>+'Frete_Regiao-Impostos'!B36</f>
        <v>0</v>
      </c>
      <c r="AH44" s="171">
        <f>+'Frete_Regiao-Impostos'!C36</f>
        <v>0</v>
      </c>
      <c r="AI44" s="170">
        <f>+'Frete_Regiao-Impostos'!D36</f>
        <v>0</v>
      </c>
      <c r="AP44" s="273">
        <f>Peso!B46</f>
        <v>0</v>
      </c>
      <c r="AT44" s="209"/>
      <c r="AU44" s="210"/>
      <c r="AV44" s="211"/>
    </row>
    <row r="45" spans="1:48" s="172" customFormat="1" hidden="1" outlineLevel="2" x14ac:dyDescent="0.2">
      <c r="A45" s="182" t="s">
        <v>123</v>
      </c>
      <c r="B45" s="307">
        <v>32</v>
      </c>
      <c r="C45" s="219"/>
      <c r="D45" s="154">
        <f>IF($F$7="x",IF(F45=0,0,N45/F45),IF($E$7="x",IF(F45=0,0,N45/E45),""))</f>
        <v>0.46007775537634388</v>
      </c>
      <c r="E45" s="155">
        <f>+B45*(-B$5+100%)</f>
        <v>29.759999999999998</v>
      </c>
      <c r="F45" s="155">
        <f>IF(B45=0,0,E45-H45)</f>
        <v>29.441499999999998</v>
      </c>
      <c r="G45" s="156">
        <f>VLOOKUP(A45,Custo!A:B,2,0)</f>
        <v>14.149586000000003</v>
      </c>
      <c r="H45" s="155">
        <f>(VLOOKUP(A45,Peso!$A$10:$B$148,2,0))*($B$6/1000)</f>
        <v>0.31850000000000001</v>
      </c>
      <c r="I45" s="157">
        <f t="shared" si="4"/>
        <v>0.05</v>
      </c>
      <c r="J45" s="158">
        <f>+B45*I45</f>
        <v>1.6</v>
      </c>
      <c r="K45" s="353">
        <f>IF($B$2="X",$C$2,0)</f>
        <v>0</v>
      </c>
      <c r="L45" s="158">
        <f>+B45*K45</f>
        <v>0</v>
      </c>
      <c r="M45" s="158">
        <f>+G45+H45+J45+L45</f>
        <v>16.068086000000005</v>
      </c>
      <c r="N45" s="158">
        <f>+E45-M45</f>
        <v>13.691913999999993</v>
      </c>
      <c r="O45" s="159" t="str">
        <f>IF(ISERROR((N45/P45)*1000),"",(N45/P45)*1000)</f>
        <v/>
      </c>
      <c r="P45" s="158"/>
      <c r="Q45" s="160">
        <f>VLOOKUP(A45,'MVA-IPI'!A:AD,30,FALSE)</f>
        <v>0</v>
      </c>
      <c r="R45" s="161">
        <f>IF($B$4="AM",0,IF($B$4="AP",0,IF($B$4="RR",0,(B45*Q45))))</f>
        <v>0</v>
      </c>
      <c r="S45" s="161">
        <f>IF($B$4="AP",(B45/0.88*$S$8),IF(T45=0%,0,IF($B$4="AM",(B45/0.88*$S$8),IF(T45=0%,0,IF($B$4="RR",(B45/0.88*$S$8),IF(T45=0%,0,B45*$S$8))))))</f>
        <v>0</v>
      </c>
      <c r="T45" s="160">
        <f>IF($C$4="GRUPO 1",VLOOKUP(A45,'MVA-grupos'!$A$9:$B$128,2,FALSE),IF($C$4="GRUPO 2",VLOOKUP(A45,'MVA-grupos'!$A$9:$D$128,4,FALSE),IF($C$4="GRUPO 3",VLOOKUP(A45,'MVA-grupos'!$A$10:$F$128,6,FALSE),IF($C$4="Grupo 4",VLOOKUP(A45,'MVA-grupos'!$A$9:$H$128,8,FALSE)))))</f>
        <v>0</v>
      </c>
      <c r="U45" s="162">
        <f>IF(T45=0%,0,(B45+R45)*T45+(B45+R45))</f>
        <v>0</v>
      </c>
      <c r="V45" s="162">
        <f>(U45*$V$8)-S45</f>
        <v>0</v>
      </c>
      <c r="W45" s="164"/>
      <c r="X45" s="158" t="str">
        <f t="shared" si="1"/>
        <v>LIQUIBRILHO 3,0L BALDE INCOLOR</v>
      </c>
      <c r="Y45" s="165">
        <f>+C45</f>
        <v>0</v>
      </c>
      <c r="Z45" s="159">
        <f>IF(ISERROR(Y45*N45),"",Y45*N45)</f>
        <v>0</v>
      </c>
      <c r="AA45" s="159">
        <f>IF(ISERROR(IF(E$7="X",Y45*E45,Y45*F45)),"",IF(E$7="X",Y45*E45,Y45*F45))</f>
        <v>0</v>
      </c>
      <c r="AB45" s="154" t="str">
        <f t="shared" si="5"/>
        <v/>
      </c>
      <c r="AC45" s="166"/>
      <c r="AD45" s="167"/>
      <c r="AE45" s="168">
        <v>0.05</v>
      </c>
      <c r="AF45" s="169">
        <f>+'Frete_Regiao-Impostos'!A37</f>
        <v>0</v>
      </c>
      <c r="AG45" s="170">
        <f>+'Frete_Regiao-Impostos'!B37</f>
        <v>0</v>
      </c>
      <c r="AH45" s="171">
        <f>+'Frete_Regiao-Impostos'!C37</f>
        <v>0</v>
      </c>
      <c r="AI45" s="170">
        <f>+'Frete_Regiao-Impostos'!D37</f>
        <v>0</v>
      </c>
      <c r="AP45" s="273">
        <f>Peso!B47</f>
        <v>3.1850000000000001</v>
      </c>
      <c r="AT45" s="173"/>
      <c r="AU45" s="174"/>
      <c r="AV45" s="175"/>
    </row>
    <row r="46" spans="1:48" s="207" customFormat="1" hidden="1" outlineLevel="1" collapsed="1" x14ac:dyDescent="0.2">
      <c r="A46" s="354" t="s">
        <v>84</v>
      </c>
      <c r="B46" s="307"/>
      <c r="C46" s="219"/>
      <c r="D46" s="154" t="str">
        <f>AB46</f>
        <v/>
      </c>
      <c r="E46" s="155"/>
      <c r="F46" s="155"/>
      <c r="G46" s="156"/>
      <c r="H46" s="155"/>
      <c r="I46" s="157">
        <f t="shared" si="4"/>
        <v>0.02</v>
      </c>
      <c r="J46" s="158"/>
      <c r="K46" s="158"/>
      <c r="L46" s="158"/>
      <c r="M46" s="158"/>
      <c r="N46" s="158"/>
      <c r="O46" s="159"/>
      <c r="P46" s="158"/>
      <c r="Q46" s="160"/>
      <c r="R46" s="161"/>
      <c r="S46" s="161"/>
      <c r="T46" s="160"/>
      <c r="U46" s="162"/>
      <c r="V46" s="162"/>
      <c r="W46" s="356"/>
      <c r="X46" s="203" t="str">
        <f t="shared" si="1"/>
        <v>LIQUIBRILHO 15L</v>
      </c>
      <c r="Y46" s="205"/>
      <c r="Z46" s="206">
        <f>SUM(Z47)</f>
        <v>0</v>
      </c>
      <c r="AA46" s="206">
        <f>SUM(AA47)</f>
        <v>0</v>
      </c>
      <c r="AB46" s="154" t="str">
        <f t="shared" si="5"/>
        <v/>
      </c>
      <c r="AC46" s="357">
        <v>0.25</v>
      </c>
      <c r="AD46" s="167"/>
      <c r="AE46" s="168">
        <v>0.02</v>
      </c>
      <c r="AF46" s="169">
        <f>+'Frete_Regiao-Impostos'!A40</f>
        <v>0</v>
      </c>
      <c r="AG46" s="170">
        <f>+'Frete_Regiao-Impostos'!B40</f>
        <v>0</v>
      </c>
      <c r="AH46" s="171">
        <f>+'Frete_Regiao-Impostos'!C40</f>
        <v>0</v>
      </c>
      <c r="AI46" s="170">
        <f>+'Frete_Regiao-Impostos'!D40</f>
        <v>0</v>
      </c>
      <c r="AP46" s="273">
        <f>Peso!B48</f>
        <v>0</v>
      </c>
      <c r="AT46" s="209"/>
      <c r="AU46" s="210"/>
      <c r="AV46" s="211"/>
    </row>
    <row r="47" spans="1:48" s="172" customFormat="1" hidden="1" outlineLevel="2" x14ac:dyDescent="0.2">
      <c r="A47" s="182" t="s">
        <v>114</v>
      </c>
      <c r="B47" s="307">
        <v>135</v>
      </c>
      <c r="C47" s="219"/>
      <c r="D47" s="154">
        <f>IF($F$7="x",IF(F47=0,0,N47/F47),IF($E$7="x",IF(F47=0,0,N47/E47),""))</f>
        <v>0.41274050179211458</v>
      </c>
      <c r="E47" s="155">
        <f>+B47*(-B$5+100%)</f>
        <v>125.55</v>
      </c>
      <c r="F47" s="155">
        <f>IF(B47=0,0,E47-H47)</f>
        <v>124.2</v>
      </c>
      <c r="G47" s="156">
        <f>VLOOKUP(A47,Custo!A:B,2,0)</f>
        <v>65.630430000000018</v>
      </c>
      <c r="H47" s="155">
        <f>(VLOOKUP(A47,Peso!$A$10:$B$148,2,0))*($B$6/1000)</f>
        <v>1.35</v>
      </c>
      <c r="I47" s="157">
        <f>IF($I$7="X",AE47,0%)</f>
        <v>0.05</v>
      </c>
      <c r="J47" s="158">
        <f>+B47*I47</f>
        <v>6.75</v>
      </c>
      <c r="K47" s="353">
        <f>IF($B$2="X",$C$2,0)</f>
        <v>0</v>
      </c>
      <c r="L47" s="158">
        <f>+B47*K47</f>
        <v>0</v>
      </c>
      <c r="M47" s="158">
        <f>+G47+H47+J47+L47</f>
        <v>73.730430000000013</v>
      </c>
      <c r="N47" s="158">
        <f>+E47-M47</f>
        <v>51.819569999999985</v>
      </c>
      <c r="O47" s="159" t="str">
        <f>IF(ISERROR((N47/P47)*1000),"",(N47/P47)*1000)</f>
        <v/>
      </c>
      <c r="P47" s="158"/>
      <c r="Q47" s="160">
        <f>VLOOKUP(A47,'MVA-IPI'!A:AD,30,FALSE)</f>
        <v>0</v>
      </c>
      <c r="R47" s="161">
        <f>IF($B$4="AM",0,IF($B$4="AP",0,IF($B$4="RR",0,(B47*Q47))))</f>
        <v>0</v>
      </c>
      <c r="S47" s="161">
        <f>IF($B$4="AP",(B47/0.88*$S$8),IF(T47=0%,0,IF($B$4="AM",(B47/0.88*$S$8),IF(T47=0%,0,IF($B$4="RR",(B47/0.88*$S$8),IF(T47=0%,0,B47*$S$8))))))</f>
        <v>0</v>
      </c>
      <c r="T47" s="160">
        <f>IF($C$4="GRUPO 1",VLOOKUP(A47,'MVA-grupos'!$A$9:$B$128,2,FALSE),IF($C$4="GRUPO 2",VLOOKUP(A47,'MVA-grupos'!$A$9:$D$128,4,FALSE),IF($C$4="GRUPO 3",VLOOKUP(A47,'MVA-grupos'!$A$10:$F$128,6,FALSE),IF($C$4="Grupo 4",VLOOKUP(A47,'MVA-grupos'!$A$9:$H$128,8,FALSE)))))</f>
        <v>0</v>
      </c>
      <c r="U47" s="162">
        <f>IF(T47=0%,0,(B47+R47)*T47+(B47+R47))</f>
        <v>0</v>
      </c>
      <c r="V47" s="162">
        <f>(U47*$V$8)-S47</f>
        <v>0</v>
      </c>
      <c r="W47" s="164"/>
      <c r="X47" s="158" t="str">
        <f t="shared" si="1"/>
        <v>LIQUIBRILHO 15L BALDE INCOLOR</v>
      </c>
      <c r="Y47" s="165">
        <f>+C47</f>
        <v>0</v>
      </c>
      <c r="Z47" s="159">
        <f>IF(ISERROR(Y47*N47),"",Y47*N47)</f>
        <v>0</v>
      </c>
      <c r="AA47" s="159">
        <f>IF(ISERROR(IF(E$7="X",Y47*E47,Y47*F47)),"",IF(E$7="X",Y47*E47,Y47*F47))</f>
        <v>0</v>
      </c>
      <c r="AB47" s="154" t="str">
        <f t="shared" si="5"/>
        <v/>
      </c>
      <c r="AC47" s="166"/>
      <c r="AD47" s="167"/>
      <c r="AE47" s="168">
        <v>0.05</v>
      </c>
      <c r="AF47" s="169">
        <f>+'Frete_Regiao-Impostos'!A41</f>
        <v>0</v>
      </c>
      <c r="AG47" s="170">
        <f>+'Frete_Regiao-Impostos'!B41</f>
        <v>0</v>
      </c>
      <c r="AH47" s="171">
        <f>+'Frete_Regiao-Impostos'!C41</f>
        <v>0</v>
      </c>
      <c r="AI47" s="170">
        <f>+'Frete_Regiao-Impostos'!D41</f>
        <v>0</v>
      </c>
      <c r="AP47" s="273">
        <f>Peso!B49</f>
        <v>13.5</v>
      </c>
      <c r="AT47" s="173"/>
      <c r="AU47" s="174"/>
      <c r="AV47" s="175"/>
    </row>
    <row r="48" spans="1:48" s="295" customFormat="1" hidden="1" x14ac:dyDescent="0.2">
      <c r="A48" s="178" t="s">
        <v>92</v>
      </c>
      <c r="B48" s="308"/>
      <c r="C48" s="221"/>
      <c r="D48" s="130" t="str">
        <f>AB48</f>
        <v/>
      </c>
      <c r="E48" s="87"/>
      <c r="F48" s="87"/>
      <c r="G48" s="88"/>
      <c r="H48" s="87"/>
      <c r="I48" s="89"/>
      <c r="J48" s="86"/>
      <c r="K48" s="86"/>
      <c r="L48" s="86"/>
      <c r="M48" s="86"/>
      <c r="N48" s="363"/>
      <c r="O48" s="113"/>
      <c r="P48" s="86"/>
      <c r="Q48" s="92"/>
      <c r="R48" s="121"/>
      <c r="S48" s="121"/>
      <c r="T48" s="93"/>
      <c r="U48" s="94"/>
      <c r="V48" s="94"/>
      <c r="W48" s="90"/>
      <c r="X48" s="131" t="s">
        <v>92</v>
      </c>
      <c r="Y48" s="132"/>
      <c r="Z48" s="133">
        <f>Z49+Z58+Z66+Z71</f>
        <v>0</v>
      </c>
      <c r="AA48" s="133">
        <f>AA49+AA58+AA66+AA71</f>
        <v>0</v>
      </c>
      <c r="AB48" s="122" t="str">
        <f t="shared" si="5"/>
        <v/>
      </c>
      <c r="AC48" s="130">
        <v>0.25</v>
      </c>
      <c r="AD48" s="96"/>
      <c r="AE48" s="142"/>
      <c r="AF48" s="45">
        <f>+'Frete_Regiao-Impostos'!A42</f>
        <v>0</v>
      </c>
      <c r="AG48" s="39">
        <f>+'Frete_Regiao-Impostos'!B42</f>
        <v>0</v>
      </c>
      <c r="AH48" s="44">
        <f>+'Frete_Regiao-Impostos'!C42</f>
        <v>0</v>
      </c>
      <c r="AI48" s="39">
        <f>+'Frete_Regiao-Impostos'!D42</f>
        <v>0</v>
      </c>
      <c r="AJ48" s="50"/>
      <c r="AK48" s="50"/>
      <c r="AL48" s="50"/>
      <c r="AM48" s="50"/>
      <c r="AN48" s="50"/>
      <c r="AO48" s="50"/>
      <c r="AP48" s="28">
        <f>Peso!B50</f>
        <v>0</v>
      </c>
      <c r="AT48" s="296"/>
      <c r="AU48" s="299"/>
      <c r="AV48" s="300"/>
    </row>
    <row r="49" spans="1:48" s="295" customFormat="1" outlineLevel="1" x14ac:dyDescent="0.2">
      <c r="A49" s="248" t="s">
        <v>172</v>
      </c>
      <c r="B49" s="249"/>
      <c r="C49" s="229"/>
      <c r="D49" s="230" t="str">
        <f>AB49</f>
        <v/>
      </c>
      <c r="E49" s="250"/>
      <c r="F49" s="250"/>
      <c r="G49" s="251"/>
      <c r="H49" s="250"/>
      <c r="I49" s="252"/>
      <c r="J49" s="253"/>
      <c r="K49" s="253"/>
      <c r="L49" s="253"/>
      <c r="M49" s="253"/>
      <c r="N49" s="363"/>
      <c r="O49" s="254"/>
      <c r="P49" s="253"/>
      <c r="Q49" s="255"/>
      <c r="R49" s="237"/>
      <c r="S49" s="237"/>
      <c r="T49" s="236"/>
      <c r="U49" s="256"/>
      <c r="V49" s="256"/>
      <c r="W49" s="257"/>
      <c r="X49" s="253" t="str">
        <f t="shared" ref="X49:X75" si="6">A49</f>
        <v>BRAZIMIL CORRIDA</v>
      </c>
      <c r="Y49" s="258"/>
      <c r="Z49" s="254">
        <f>SUM(Z50:Z57)</f>
        <v>0</v>
      </c>
      <c r="AA49" s="254">
        <f>SUM(AA50:AA57)</f>
        <v>0</v>
      </c>
      <c r="AB49" s="230" t="str">
        <f t="shared" si="5"/>
        <v/>
      </c>
      <c r="AC49" s="259">
        <v>0.25</v>
      </c>
      <c r="AD49" s="242"/>
      <c r="AE49" s="243"/>
      <c r="AF49" s="262">
        <f>+'Frete_Regiao-Impostos'!A43</f>
        <v>0</v>
      </c>
      <c r="AG49" s="263">
        <f>+'Frete_Regiao-Impostos'!B43</f>
        <v>0</v>
      </c>
      <c r="AH49" s="264">
        <f>+'Frete_Regiao-Impostos'!C43</f>
        <v>0</v>
      </c>
      <c r="AI49" s="263">
        <f>+'Frete_Regiao-Impostos'!D43</f>
        <v>0</v>
      </c>
      <c r="AJ49" s="260"/>
      <c r="AK49" s="260"/>
      <c r="AL49" s="260"/>
      <c r="AM49" s="260"/>
      <c r="AN49" s="260"/>
      <c r="AO49" s="260"/>
      <c r="AP49" s="28">
        <f>Peso!B51</f>
        <v>0</v>
      </c>
      <c r="AT49" s="296"/>
      <c r="AU49" s="299"/>
      <c r="AV49" s="300"/>
    </row>
    <row r="50" spans="1:48" s="172" customFormat="1" hidden="1" outlineLevel="2" x14ac:dyDescent="0.2">
      <c r="A50" s="182" t="s">
        <v>173</v>
      </c>
      <c r="B50" s="307">
        <v>5.5</v>
      </c>
      <c r="C50" s="219"/>
      <c r="D50" s="154">
        <f t="shared" ref="D50:D57" si="7">IF($F$7="x",IF(F50=0,0,N50/F50),IF($E$7="x",IF(F50=0,0,N50/E50),""))</f>
        <v>0.70123236397692246</v>
      </c>
      <c r="E50" s="155">
        <f t="shared" ref="E50:E57" si="8">+B50*(-B$5+100%)</f>
        <v>5.1149999999999993</v>
      </c>
      <c r="F50" s="155">
        <f t="shared" ref="F50:F57" si="9">IF(B50=0,0,E50-H50)</f>
        <v>5.0109999999999992</v>
      </c>
      <c r="G50" s="156">
        <f>VLOOKUP(A50,Custo!A:B,2,0)</f>
        <v>1.1491964582580412</v>
      </c>
      <c r="H50" s="155">
        <f>(VLOOKUP(A50,Peso!$A$10:$B$148,2,0))*($B$6/1000)</f>
        <v>0.10400000000000001</v>
      </c>
      <c r="I50" s="157">
        <f t="shared" ref="I50:I57" si="10">IF($I$7="X",AE50,0%)</f>
        <v>0.05</v>
      </c>
      <c r="J50" s="158">
        <f t="shared" ref="J50:J57" si="11">+B50*I50</f>
        <v>0.27500000000000002</v>
      </c>
      <c r="K50" s="353">
        <f>IF($B$2="X",$C$2,0)</f>
        <v>0</v>
      </c>
      <c r="L50" s="158">
        <f>+B50*K50</f>
        <v>0</v>
      </c>
      <c r="M50" s="158">
        <f>+G50+H50+J50+L50</f>
        <v>1.5281964582580412</v>
      </c>
      <c r="N50" s="158">
        <f t="shared" ref="N50:N57" si="12">+E50-M50</f>
        <v>3.5868035417419581</v>
      </c>
      <c r="O50" s="159" t="str">
        <f t="shared" ref="O50:O63" si="13">IF(ISERROR((N50/P50)*100),"",(N50/P50)*100)</f>
        <v/>
      </c>
      <c r="P50" s="158"/>
      <c r="Q50" s="160">
        <f>VLOOKUP(A50,'MVA-IPI'!A:AD,30,FALSE)</f>
        <v>0.02</v>
      </c>
      <c r="R50" s="161">
        <f t="shared" ref="R50:R57" si="14">IF($B$4="AM",0,IF($B$4="AP",0,IF($B$4="RR",0,(B50*Q50))))</f>
        <v>0</v>
      </c>
      <c r="S50" s="161">
        <f t="shared" ref="S50:S57" si="15">IF($B$4="AP",(B50/0.88*$S$8),IF(T50=0%,0,IF($B$4="AM",(B50/0.88*$S$8),IF(T50=0%,0,IF($B$4="RR",(B50/0.88*$S$8),IF(T50=0%,0,B50*$S$8))))))</f>
        <v>0</v>
      </c>
      <c r="T50" s="160">
        <f>IF($C$4="GRUPO 1",VLOOKUP(A50,'MVA-grupos'!$A$9:$B$128,2,FALSE),IF($C$4="GRUPO 2",VLOOKUP(A50,'MVA-grupos'!$A$9:$D$128,4,FALSE),IF($C$4="GRUPO 3",VLOOKUP(A50,'MVA-grupos'!$A$10:$F$128,6,FALSE),IF($C$4="Grupo 4",VLOOKUP(A50,'MVA-grupos'!$A$9:$H$128,8,FALSE)))))</f>
        <v>0</v>
      </c>
      <c r="U50" s="162">
        <f t="shared" ref="U50:U57" si="16">IF(T50=0%,0,(B50+R50)*T50+(B50+R50))</f>
        <v>0</v>
      </c>
      <c r="V50" s="162">
        <f t="shared" ref="V50:V57" si="17">(U50*$V$8)-S50</f>
        <v>0</v>
      </c>
      <c r="W50" s="164"/>
      <c r="X50" s="158" t="str">
        <f t="shared" si="6"/>
        <v>BRAZIMIL CORRIDA POTE 1KG</v>
      </c>
      <c r="Y50" s="165">
        <f t="shared" ref="Y50:Y57" si="18">+C50</f>
        <v>0</v>
      </c>
      <c r="Z50" s="159">
        <f t="shared" ref="Z50:Z57" si="19">IF(ISERROR(Y50*N50),"",Y50*N50)</f>
        <v>0</v>
      </c>
      <c r="AA50" s="159">
        <f t="shared" ref="AA50:AA57" si="20">IF(ISERROR(IF(E$7="X",Y50*E50,Y50*F50)),"",IF(E$7="X",Y50*E50,Y50*F50))</f>
        <v>0</v>
      </c>
      <c r="AB50" s="154" t="str">
        <f t="shared" si="5"/>
        <v/>
      </c>
      <c r="AC50" s="166"/>
      <c r="AD50" s="167"/>
      <c r="AE50" s="168">
        <v>0.05</v>
      </c>
      <c r="AF50" s="169">
        <f>+'Frete_Regiao-Impostos'!A44</f>
        <v>0</v>
      </c>
      <c r="AG50" s="170">
        <f>+'Frete_Regiao-Impostos'!B44</f>
        <v>0</v>
      </c>
      <c r="AH50" s="171">
        <f>+'Frete_Regiao-Impostos'!C44</f>
        <v>0</v>
      </c>
      <c r="AI50" s="170">
        <f>+'Frete_Regiao-Impostos'!D44</f>
        <v>0</v>
      </c>
      <c r="AP50" s="273">
        <f>Peso!B52</f>
        <v>1.04</v>
      </c>
      <c r="AT50" s="173"/>
      <c r="AU50" s="174"/>
      <c r="AV50" s="175"/>
    </row>
    <row r="51" spans="1:48" outlineLevel="2" x14ac:dyDescent="0.2">
      <c r="A51" s="178" t="s">
        <v>174</v>
      </c>
      <c r="B51" s="306">
        <v>14.9</v>
      </c>
      <c r="C51" s="218"/>
      <c r="D51" s="58">
        <f t="shared" si="7"/>
        <v>0.43867650333168623</v>
      </c>
      <c r="E51" s="40">
        <f t="shared" si="8"/>
        <v>13.856999999999999</v>
      </c>
      <c r="F51" s="40">
        <f t="shared" si="9"/>
        <v>13.3385</v>
      </c>
      <c r="G51" s="41">
        <f>VLOOKUP(A51,Custo!A:B,2,0)</f>
        <v>6.5147596933328238</v>
      </c>
      <c r="H51" s="40">
        <f>(VLOOKUP(A51,Peso!$A$10:$B$148,2,0))*($B$6/1000)</f>
        <v>0.51849999999999996</v>
      </c>
      <c r="I51" s="42">
        <f t="shared" si="10"/>
        <v>0.05</v>
      </c>
      <c r="J51" s="27">
        <f t="shared" si="11"/>
        <v>0.74500000000000011</v>
      </c>
      <c r="K51" s="330">
        <f>IF($B$2="X",$C$2,0)</f>
        <v>0</v>
      </c>
      <c r="L51" s="27">
        <f>+B51*K51</f>
        <v>0</v>
      </c>
      <c r="M51" s="27">
        <f>+G51+H51+J51+L51</f>
        <v>7.7782596933328234</v>
      </c>
      <c r="N51" s="176">
        <f t="shared" si="12"/>
        <v>6.0787403066671759</v>
      </c>
      <c r="O51" s="114" t="str">
        <f t="shared" si="13"/>
        <v/>
      </c>
      <c r="P51" s="27"/>
      <c r="Q51" s="93">
        <f>VLOOKUP(A51,'MVA-IPI'!A:AD,30,FALSE)</f>
        <v>0.02</v>
      </c>
      <c r="R51" s="121">
        <f t="shared" si="14"/>
        <v>0</v>
      </c>
      <c r="S51" s="121">
        <f t="shared" si="15"/>
        <v>0</v>
      </c>
      <c r="T51" s="93">
        <f>IF($C$4="GRUPO 1",VLOOKUP(A51,'MVA-grupos'!$A$9:$B$128,2,FALSE),IF($C$4="GRUPO 2",VLOOKUP(A51,'MVA-grupos'!$A$9:$D$128,4,FALSE),IF($C$4="GRUPO 3",VLOOKUP(A51,'MVA-grupos'!$A$10:$F$128,6,FALSE),IF($C$4="Grupo 4",VLOOKUP(A51,'MVA-grupos'!$A$9:$H$128,8,FALSE)))))</f>
        <v>0</v>
      </c>
      <c r="U51" s="95">
        <f t="shared" si="16"/>
        <v>0</v>
      </c>
      <c r="V51" s="95">
        <f t="shared" si="17"/>
        <v>0</v>
      </c>
      <c r="W51" s="69"/>
      <c r="X51" s="27" t="str">
        <f t="shared" si="6"/>
        <v>BRAZIMIL CORRIDA GALÃO 5KG</v>
      </c>
      <c r="Y51" s="116">
        <f t="shared" si="18"/>
        <v>0</v>
      </c>
      <c r="Z51" s="114">
        <f t="shared" si="19"/>
        <v>0</v>
      </c>
      <c r="AA51" s="114">
        <f t="shared" si="20"/>
        <v>0</v>
      </c>
      <c r="AB51" s="122" t="str">
        <f t="shared" si="5"/>
        <v/>
      </c>
      <c r="AC51" s="56"/>
      <c r="AD51" s="96"/>
      <c r="AE51" s="143">
        <v>0.05</v>
      </c>
      <c r="AF51" s="45">
        <f>+'Frete_Regiao-Impostos'!A45</f>
        <v>0</v>
      </c>
      <c r="AG51" s="39">
        <f>+'Frete_Regiao-Impostos'!B45</f>
        <v>0</v>
      </c>
      <c r="AH51" s="44">
        <f>+'Frete_Regiao-Impostos'!C45</f>
        <v>0</v>
      </c>
      <c r="AI51" s="39">
        <f>+'Frete_Regiao-Impostos'!D45</f>
        <v>0</v>
      </c>
      <c r="AP51" s="28">
        <f>Peso!B53</f>
        <v>5.1849999999999996</v>
      </c>
      <c r="AV51" s="198"/>
    </row>
    <row r="52" spans="1:48" s="172" customFormat="1" hidden="1" outlineLevel="2" x14ac:dyDescent="0.2">
      <c r="A52" s="182" t="s">
        <v>175</v>
      </c>
      <c r="B52" s="307">
        <v>11</v>
      </c>
      <c r="C52" s="219"/>
      <c r="D52" s="154">
        <f t="shared" si="7"/>
        <v>0.27896067533820068</v>
      </c>
      <c r="E52" s="155">
        <f t="shared" si="8"/>
        <v>10.229999999999999</v>
      </c>
      <c r="F52" s="155">
        <f t="shared" si="9"/>
        <v>9.2249999999999979</v>
      </c>
      <c r="G52" s="156">
        <f>VLOOKUP(A52,Custo!A:B,2,0)</f>
        <v>5.8212322912902064</v>
      </c>
      <c r="H52" s="155">
        <f>(VLOOKUP(A52,Peso!$A$10:$B$148,2,0))*($B$6/1000)</f>
        <v>1.0050000000000001</v>
      </c>
      <c r="I52" s="157">
        <f t="shared" si="10"/>
        <v>0.05</v>
      </c>
      <c r="J52" s="158">
        <f t="shared" si="11"/>
        <v>0.55000000000000004</v>
      </c>
      <c r="K52" s="353">
        <f>IF($B$2="X",$C$2,0)</f>
        <v>0</v>
      </c>
      <c r="L52" s="158">
        <f>+B52*K52</f>
        <v>0</v>
      </c>
      <c r="M52" s="158">
        <f>+G52+H52+J52+L52</f>
        <v>7.3762322912902061</v>
      </c>
      <c r="N52" s="158">
        <f t="shared" si="12"/>
        <v>2.8537677087097926</v>
      </c>
      <c r="O52" s="159" t="str">
        <f t="shared" si="13"/>
        <v/>
      </c>
      <c r="P52" s="158"/>
      <c r="Q52" s="160">
        <f>VLOOKUP(A52,'MVA-IPI'!A:AD,30,FALSE)</f>
        <v>0.02</v>
      </c>
      <c r="R52" s="161">
        <f t="shared" si="14"/>
        <v>0</v>
      </c>
      <c r="S52" s="161">
        <f t="shared" si="15"/>
        <v>0</v>
      </c>
      <c r="T52" s="160">
        <f>IF($C$4="GRUPO 1",VLOOKUP(A52,'MVA-grupos'!$A$9:$B$128,2,FALSE),IF($C$4="GRUPO 2",VLOOKUP(A52,'MVA-grupos'!$A$9:$D$128,4,FALSE),IF($C$4="GRUPO 3",VLOOKUP(A52,'MVA-grupos'!$A$10:$F$128,6,FALSE),IF($C$4="Grupo 4",VLOOKUP(A52,'MVA-grupos'!$A$9:$H$128,8,FALSE)))))</f>
        <v>0</v>
      </c>
      <c r="U52" s="162">
        <f t="shared" si="16"/>
        <v>0</v>
      </c>
      <c r="V52" s="162">
        <f t="shared" si="17"/>
        <v>0</v>
      </c>
      <c r="W52" s="164"/>
      <c r="X52" s="158" t="str">
        <f t="shared" si="6"/>
        <v>BRAZIMIL CORRIDA SACO VALV 10 KG</v>
      </c>
      <c r="Y52" s="165">
        <f t="shared" si="18"/>
        <v>0</v>
      </c>
      <c r="Z52" s="159">
        <f t="shared" si="19"/>
        <v>0</v>
      </c>
      <c r="AA52" s="159">
        <f t="shared" si="20"/>
        <v>0</v>
      </c>
      <c r="AB52" s="154" t="str">
        <f t="shared" si="5"/>
        <v/>
      </c>
      <c r="AC52" s="166"/>
      <c r="AD52" s="167"/>
      <c r="AE52" s="168">
        <v>0.05</v>
      </c>
      <c r="AF52" s="169">
        <f>+'Frete_Regiao-Impostos'!A46</f>
        <v>0</v>
      </c>
      <c r="AG52" s="170">
        <f>+'Frete_Regiao-Impostos'!B46</f>
        <v>0</v>
      </c>
      <c r="AH52" s="171">
        <f>+'Frete_Regiao-Impostos'!C46</f>
        <v>0</v>
      </c>
      <c r="AI52" s="170">
        <f>+'Frete_Regiao-Impostos'!D46</f>
        <v>0</v>
      </c>
      <c r="AP52" s="273">
        <f>Peso!B54</f>
        <v>10.050000000000001</v>
      </c>
      <c r="AT52" s="173"/>
      <c r="AU52" s="174"/>
      <c r="AV52" s="175"/>
    </row>
    <row r="53" spans="1:48" outlineLevel="2" x14ac:dyDescent="0.2">
      <c r="A53" s="178" t="s">
        <v>179</v>
      </c>
      <c r="B53" s="306">
        <v>36.5</v>
      </c>
      <c r="C53" s="218"/>
      <c r="D53" s="58">
        <f>IF($F$7="x",IF(F53=0,0,N53/F53),IF($E$7="x",IF(F53=0,0,N53/E53),""))</f>
        <v>0.25417590619544433</v>
      </c>
      <c r="E53" s="40">
        <f>+B53*(-B$5+100%)</f>
        <v>33.945</v>
      </c>
      <c r="F53" s="40">
        <f>IF(B53=0,0,E53-H53)</f>
        <v>31.881</v>
      </c>
      <c r="G53" s="41">
        <f>VLOOKUP(A53,Custo!A:B,2,0)</f>
        <v>21.427998864195644</v>
      </c>
      <c r="H53" s="40">
        <f>(VLOOKUP(A53,Peso!$A$10:$B$148,2,0))*($B$6/1000)</f>
        <v>2.0640000000000001</v>
      </c>
      <c r="I53" s="42">
        <f>IF($I$7="X",AE53,0%)</f>
        <v>0.05</v>
      </c>
      <c r="J53" s="27">
        <f>+B53*I53</f>
        <v>1.8250000000000002</v>
      </c>
      <c r="K53" s="330">
        <f>IF($B$2="X",$C$2,0)</f>
        <v>0</v>
      </c>
      <c r="L53" s="27">
        <f>+B53*K53</f>
        <v>0</v>
      </c>
      <c r="M53" s="27">
        <f>+G53+H53+J53+L53</f>
        <v>25.316998864195643</v>
      </c>
      <c r="N53" s="176">
        <f>+E53-M53</f>
        <v>8.6280011358043573</v>
      </c>
      <c r="O53" s="114" t="str">
        <f>IF(ISERROR((N53/P53)*100),"",(N53/P53)*100)</f>
        <v/>
      </c>
      <c r="P53" s="27"/>
      <c r="Q53" s="93">
        <f>VLOOKUP(A53,'MVA-IPI'!A:AD,30,FALSE)</f>
        <v>0.02</v>
      </c>
      <c r="R53" s="121">
        <f>IF($B$4="AM",0,IF($B$4="AP",0,IF($B$4="RR",0,(B53*Q53))))</f>
        <v>0</v>
      </c>
      <c r="S53" s="121">
        <f>IF($B$4="AP",(B53/0.88*$S$8),IF(T53=0%,0,IF($B$4="AM",(B53/0.88*$S$8),IF(T53=0%,0,IF($B$4="RR",(B53/0.88*$S$8),IF(T53=0%,0,B53*$S$8))))))</f>
        <v>0</v>
      </c>
      <c r="T53" s="93">
        <f>IF($C$4="GRUPO 1",VLOOKUP(A53,'MVA-grupos'!$A$9:$B$128,2,FALSE),IF($C$4="GRUPO 2",VLOOKUP(A53,'MVA-grupos'!$A$9:$D$128,4,FALSE),IF($C$4="GRUPO 3",VLOOKUP(A53,'MVA-grupos'!$A$10:$F$128,6,FALSE),IF($C$4="Grupo 4",VLOOKUP(A53,'MVA-grupos'!$A$9:$H$128,8,FALSE)))))</f>
        <v>0</v>
      </c>
      <c r="U53" s="95">
        <f>IF(T53=0%,0,(B53+R53)*T53+(B53+R53))</f>
        <v>0</v>
      </c>
      <c r="V53" s="95">
        <f>(U53*$V$8)-S53</f>
        <v>0</v>
      </c>
      <c r="W53" s="69"/>
      <c r="X53" s="27" t="str">
        <f>A53</f>
        <v>BRAZIMIL CORRIDA BALDE 20KG</v>
      </c>
      <c r="Y53" s="116">
        <f>+C53</f>
        <v>0</v>
      </c>
      <c r="Z53" s="114">
        <f>IF(ISERROR(Y53*N53),"",Y53*N53)</f>
        <v>0</v>
      </c>
      <c r="AA53" s="114">
        <f>IF(ISERROR(IF(E$7="X",Y53*E53,Y53*F53)),"",IF(E$7="X",Y53*E53,Y53*F53))</f>
        <v>0</v>
      </c>
      <c r="AB53" s="122" t="str">
        <f>IF(ISERROR(Z53/AA53),"",Z53/AA53)</f>
        <v/>
      </c>
      <c r="AC53" s="56"/>
      <c r="AD53" s="96"/>
      <c r="AE53" s="143">
        <v>0.05</v>
      </c>
      <c r="AF53" s="45">
        <f>+'Frete_Regiao-Impostos'!A50</f>
        <v>0</v>
      </c>
      <c r="AG53" s="39">
        <f>+'Frete_Regiao-Impostos'!B50</f>
        <v>0</v>
      </c>
      <c r="AH53" s="44">
        <f>+'Frete_Regiao-Impostos'!C50</f>
        <v>0</v>
      </c>
      <c r="AI53" s="39">
        <f>+'Frete_Regiao-Impostos'!D50</f>
        <v>0</v>
      </c>
      <c r="AP53" s="28">
        <f>Peso!B58</f>
        <v>20.64</v>
      </c>
      <c r="AV53" s="198"/>
    </row>
    <row r="54" spans="1:48" hidden="1" outlineLevel="2" x14ac:dyDescent="0.2">
      <c r="A54" s="182" t="s">
        <v>180</v>
      </c>
      <c r="B54" s="307">
        <v>0</v>
      </c>
      <c r="C54" s="219"/>
      <c r="D54" s="154">
        <f>IF($F$7="x",IF(F54=0,0,N54/F54),IF($E$7="x",IF(F54=0,0,N54/E54),""))</f>
        <v>0</v>
      </c>
      <c r="E54" s="155">
        <f>+B54*(-B$5+100%)</f>
        <v>0</v>
      </c>
      <c r="F54" s="155">
        <f>IF(B54=0,0,E54-H54)</f>
        <v>0</v>
      </c>
      <c r="G54" s="156">
        <f>VLOOKUP(A54,Custo!A:B,2,0)</f>
        <v>22.679955728225515</v>
      </c>
      <c r="H54" s="155">
        <f>(VLOOKUP(A54,Peso!$A$10:$B$148,2,0))*($B$6/1000)</f>
        <v>2.5640000000000001</v>
      </c>
      <c r="I54" s="157">
        <f>IF($I$7="X",AE54,0%)</f>
        <v>0.05</v>
      </c>
      <c r="J54" s="158">
        <f>+B54*I54</f>
        <v>0</v>
      </c>
      <c r="K54" s="353">
        <f>IF($B$2="X",$C$2,0)</f>
        <v>0</v>
      </c>
      <c r="L54" s="158">
        <f>+B54*K54</f>
        <v>0</v>
      </c>
      <c r="M54" s="158">
        <f>+G54+H54+J54+L54</f>
        <v>25.243955728225515</v>
      </c>
      <c r="N54" s="176">
        <f>+E54-M54</f>
        <v>-25.243955728225515</v>
      </c>
      <c r="O54" s="159" t="str">
        <f>IF(ISERROR((N54/P54)*100),"",(N54/P54)*100)</f>
        <v/>
      </c>
      <c r="P54" s="158"/>
      <c r="Q54" s="160">
        <f>VLOOKUP(A54,'MVA-IPI'!A:AD,30,FALSE)</f>
        <v>0.02</v>
      </c>
      <c r="R54" s="161">
        <f>IF($B$4="AM",0,IF($B$4="AP",0,IF($B$4="RR",0,(B54*Q54))))</f>
        <v>0</v>
      </c>
      <c r="S54" s="161">
        <f>IF($B$4="AP",(B54/0.88*$S$8),IF(T54=0%,0,IF($B$4="AM",(B54/0.88*$S$8),IF(T54=0%,0,IF($B$4="RR",(B54/0.88*$S$8),IF(T54=0%,0,B54*$S$8))))))</f>
        <v>0</v>
      </c>
      <c r="T54" s="160">
        <f>IF($C$4="GRUPO 1",VLOOKUP(A54,'MVA-grupos'!$A$9:$B$128,2,FALSE),IF($C$4="GRUPO 2",VLOOKUP(A54,'MVA-grupos'!$A$9:$D$128,4,FALSE),IF($C$4="GRUPO 3",VLOOKUP(A54,'MVA-grupos'!$A$10:$F$128,6,FALSE),IF($C$4="Grupo 4",VLOOKUP(A54,'MVA-grupos'!$A$9:$H$128,8,FALSE)))))</f>
        <v>0</v>
      </c>
      <c r="U54" s="162">
        <f>IF(T54=0%,0,(B54+R54)*T54+(B54+R54))</f>
        <v>0</v>
      </c>
      <c r="V54" s="162">
        <f>(U54*$V$8)-S54</f>
        <v>0</v>
      </c>
      <c r="W54" s="164"/>
      <c r="X54" s="158" t="str">
        <f>A54</f>
        <v>BRAZIMIL CORRIDA BALDE 25KG</v>
      </c>
      <c r="Y54" s="165">
        <f>+C54</f>
        <v>0</v>
      </c>
      <c r="Z54" s="159">
        <f>IF(ISERROR(Y54*N54),"",Y54*N54)</f>
        <v>0</v>
      </c>
      <c r="AA54" s="159">
        <f>IF(ISERROR(IF(E$7="X",Y54*E54,Y54*F54)),"",IF(E$7="X",Y54*E54,Y54*F54))</f>
        <v>0</v>
      </c>
      <c r="AB54" s="154" t="str">
        <f>IF(ISERROR(Z54/AA54),"",Z54/AA54)</f>
        <v/>
      </c>
      <c r="AC54" s="166"/>
      <c r="AD54" s="167"/>
      <c r="AE54" s="143">
        <v>0.05</v>
      </c>
      <c r="AF54" s="169">
        <f>+'Frete_Regiao-Impostos'!A51</f>
        <v>0</v>
      </c>
      <c r="AG54" s="170">
        <f>+'Frete_Regiao-Impostos'!B51</f>
        <v>0</v>
      </c>
      <c r="AH54" s="171">
        <f>+'Frete_Regiao-Impostos'!C51</f>
        <v>0</v>
      </c>
      <c r="AI54" s="170">
        <f>+'Frete_Regiao-Impostos'!D51</f>
        <v>0</v>
      </c>
      <c r="AJ54" s="172"/>
      <c r="AK54" s="172"/>
      <c r="AL54" s="172"/>
      <c r="AM54" s="172"/>
      <c r="AN54" s="172"/>
      <c r="AO54" s="172"/>
      <c r="AP54" s="28">
        <f>Peso!B59</f>
        <v>25.64</v>
      </c>
      <c r="AV54" s="198"/>
    </row>
    <row r="55" spans="1:48" hidden="1" outlineLevel="2" x14ac:dyDescent="0.2">
      <c r="A55" s="182" t="s">
        <v>176</v>
      </c>
      <c r="B55" s="307">
        <v>22.04</v>
      </c>
      <c r="C55" s="219"/>
      <c r="D55" s="154">
        <f t="shared" si="7"/>
        <v>0.82412231914602962</v>
      </c>
      <c r="E55" s="155">
        <f t="shared" si="8"/>
        <v>20.497199999999999</v>
      </c>
      <c r="F55" s="155">
        <f t="shared" si="9"/>
        <v>17.994199999999999</v>
      </c>
      <c r="G55" s="156">
        <f>VLOOKUP(A55,Custo!A:B,2,0)</f>
        <v>0</v>
      </c>
      <c r="H55" s="155">
        <f>(VLOOKUP(A55,Peso!$A$10:$B$148,2,0))*($B$6/1000)</f>
        <v>2.5030000000000001</v>
      </c>
      <c r="I55" s="157">
        <f t="shared" si="10"/>
        <v>0.05</v>
      </c>
      <c r="J55" s="158">
        <f t="shared" si="11"/>
        <v>1.1020000000000001</v>
      </c>
      <c r="K55" s="158"/>
      <c r="L55" s="158"/>
      <c r="M55" s="158">
        <f>+G55+H55+J55</f>
        <v>3.6050000000000004</v>
      </c>
      <c r="N55" s="176">
        <f t="shared" si="12"/>
        <v>16.892199999999999</v>
      </c>
      <c r="O55" s="159" t="str">
        <f t="shared" si="13"/>
        <v/>
      </c>
      <c r="P55" s="158"/>
      <c r="Q55" s="160">
        <f>VLOOKUP(A55,'MVA-IPI'!A:AD,30,FALSE)</f>
        <v>0.02</v>
      </c>
      <c r="R55" s="161">
        <f t="shared" si="14"/>
        <v>0</v>
      </c>
      <c r="S55" s="161">
        <f t="shared" si="15"/>
        <v>0</v>
      </c>
      <c r="T55" s="160">
        <f>IF($C$4="GRUPO 1",VLOOKUP(A55,'MVA-grupos'!$A$9:$B$128,2,FALSE),IF($C$4="GRUPO 2",VLOOKUP(A55,'MVA-grupos'!$A$9:$D$128,4,FALSE),IF($C$4="GRUPO 3",VLOOKUP(A55,'MVA-grupos'!$A$10:$F$128,6,FALSE),IF($C$4="Grupo 4",VLOOKUP(A55,'MVA-grupos'!$A$9:$H$128,8,FALSE)))))</f>
        <v>0</v>
      </c>
      <c r="U55" s="162">
        <f t="shared" si="16"/>
        <v>0</v>
      </c>
      <c r="V55" s="162">
        <f t="shared" si="17"/>
        <v>0</v>
      </c>
      <c r="W55" s="164"/>
      <c r="X55" s="158" t="str">
        <f t="shared" si="6"/>
        <v>BRAZIMIL CORRIDA SACO VALV 25KG</v>
      </c>
      <c r="Y55" s="165">
        <f t="shared" si="18"/>
        <v>0</v>
      </c>
      <c r="Z55" s="159">
        <f t="shared" si="19"/>
        <v>0</v>
      </c>
      <c r="AA55" s="159">
        <f t="shared" si="20"/>
        <v>0</v>
      </c>
      <c r="AB55" s="154" t="str">
        <f t="shared" si="5"/>
        <v/>
      </c>
      <c r="AC55" s="166"/>
      <c r="AD55" s="167"/>
      <c r="AE55" s="143">
        <v>0.05</v>
      </c>
      <c r="AF55" s="169">
        <f>+'Frete_Regiao-Impostos'!A47</f>
        <v>0</v>
      </c>
      <c r="AG55" s="170">
        <f>+'Frete_Regiao-Impostos'!B47</f>
        <v>0</v>
      </c>
      <c r="AH55" s="171">
        <f>+'Frete_Regiao-Impostos'!C47</f>
        <v>0</v>
      </c>
      <c r="AI55" s="170">
        <f>+'Frete_Regiao-Impostos'!D47</f>
        <v>0</v>
      </c>
      <c r="AJ55" s="172"/>
      <c r="AK55" s="172"/>
      <c r="AL55" s="172"/>
      <c r="AM55" s="172"/>
      <c r="AN55" s="172"/>
      <c r="AO55" s="172"/>
      <c r="AP55" s="28">
        <f>Peso!B55</f>
        <v>25.03</v>
      </c>
      <c r="AV55" s="198"/>
    </row>
    <row r="56" spans="1:48" hidden="1" outlineLevel="2" x14ac:dyDescent="0.2">
      <c r="A56" s="182" t="s">
        <v>177</v>
      </c>
      <c r="B56" s="307">
        <v>20.98</v>
      </c>
      <c r="C56" s="219"/>
      <c r="D56" s="154">
        <f t="shared" si="7"/>
        <v>0.83978597127832955</v>
      </c>
      <c r="E56" s="155">
        <f t="shared" si="8"/>
        <v>19.511399999999998</v>
      </c>
      <c r="F56" s="155">
        <f t="shared" si="9"/>
        <v>17.434399999999997</v>
      </c>
      <c r="G56" s="156">
        <f>VLOOKUP(A56,Custo!A:B,2,0)</f>
        <v>0</v>
      </c>
      <c r="H56" s="155">
        <f>(VLOOKUP(A56,Peso!$A$10:$B$148,2,0))*($B$6/1000)</f>
        <v>2.077</v>
      </c>
      <c r="I56" s="157">
        <f t="shared" si="10"/>
        <v>0.05</v>
      </c>
      <c r="J56" s="158">
        <f t="shared" si="11"/>
        <v>1.0490000000000002</v>
      </c>
      <c r="K56" s="158"/>
      <c r="L56" s="158"/>
      <c r="M56" s="158">
        <f>+G56+H56+J56</f>
        <v>3.1260000000000003</v>
      </c>
      <c r="N56" s="176">
        <f t="shared" si="12"/>
        <v>16.385399999999997</v>
      </c>
      <c r="O56" s="159" t="str">
        <f t="shared" si="13"/>
        <v/>
      </c>
      <c r="P56" s="158"/>
      <c r="Q56" s="160">
        <f>VLOOKUP(A56,'MVA-IPI'!A:AD,30,FALSE)</f>
        <v>0.02</v>
      </c>
      <c r="R56" s="161">
        <f t="shared" si="14"/>
        <v>0</v>
      </c>
      <c r="S56" s="161">
        <f t="shared" si="15"/>
        <v>0</v>
      </c>
      <c r="T56" s="160">
        <f>IF($C$4="GRUPO 1",VLOOKUP(A56,'MVA-grupos'!$A$9:$B$128,2,FALSE),IF($C$4="GRUPO 2",VLOOKUP(A56,'MVA-grupos'!$A$9:$D$128,4,FALSE),IF($C$4="GRUPO 3",VLOOKUP(A56,'MVA-grupos'!$A$10:$F$128,6,FALSE),IF($C$4="Grupo 4",VLOOKUP(A56,'MVA-grupos'!$A$9:$H$128,8,FALSE)))))</f>
        <v>0</v>
      </c>
      <c r="U56" s="162">
        <f t="shared" si="16"/>
        <v>0</v>
      </c>
      <c r="V56" s="162">
        <f t="shared" si="17"/>
        <v>0</v>
      </c>
      <c r="W56" s="164"/>
      <c r="X56" s="158" t="str">
        <f t="shared" si="6"/>
        <v>BRAZIMIL CORRIDA PPQ 20KG</v>
      </c>
      <c r="Y56" s="165">
        <f t="shared" si="18"/>
        <v>0</v>
      </c>
      <c r="Z56" s="159">
        <f t="shared" si="19"/>
        <v>0</v>
      </c>
      <c r="AA56" s="159">
        <f t="shared" si="20"/>
        <v>0</v>
      </c>
      <c r="AB56" s="154" t="str">
        <f t="shared" si="5"/>
        <v/>
      </c>
      <c r="AC56" s="166"/>
      <c r="AD56" s="167"/>
      <c r="AE56" s="143">
        <v>0.05</v>
      </c>
      <c r="AF56" s="169">
        <f>+'Frete_Regiao-Impostos'!A48</f>
        <v>0</v>
      </c>
      <c r="AG56" s="170">
        <f>+'Frete_Regiao-Impostos'!B48</f>
        <v>0</v>
      </c>
      <c r="AH56" s="171">
        <f>+'Frete_Regiao-Impostos'!C48</f>
        <v>0</v>
      </c>
      <c r="AI56" s="170">
        <f>+'Frete_Regiao-Impostos'!D48</f>
        <v>0</v>
      </c>
      <c r="AJ56" s="172"/>
      <c r="AK56" s="172"/>
      <c r="AL56" s="172"/>
      <c r="AM56" s="172"/>
      <c r="AN56" s="172"/>
      <c r="AO56" s="172"/>
      <c r="AP56" s="28">
        <f>Peso!B56</f>
        <v>20.77</v>
      </c>
      <c r="AV56" s="198"/>
    </row>
    <row r="57" spans="1:48" hidden="1" outlineLevel="2" x14ac:dyDescent="0.2">
      <c r="A57" s="182" t="s">
        <v>178</v>
      </c>
      <c r="B57" s="307">
        <v>20</v>
      </c>
      <c r="C57" s="219"/>
      <c r="D57" s="154">
        <f t="shared" si="7"/>
        <v>0.80768817204301069</v>
      </c>
      <c r="E57" s="155">
        <f t="shared" si="8"/>
        <v>18.599999999999998</v>
      </c>
      <c r="F57" s="155">
        <f t="shared" si="9"/>
        <v>16.022999999999996</v>
      </c>
      <c r="G57" s="156">
        <f>VLOOKUP(A57,Custo!A:B,2,0)</f>
        <v>0</v>
      </c>
      <c r="H57" s="155">
        <f>(VLOOKUP(A57,Peso!$A$10:$B$148,2,0))*($B$6/1000)</f>
        <v>2.577</v>
      </c>
      <c r="I57" s="157">
        <f t="shared" si="10"/>
        <v>0.05</v>
      </c>
      <c r="J57" s="158">
        <f t="shared" si="11"/>
        <v>1</v>
      </c>
      <c r="K57" s="158"/>
      <c r="L57" s="158"/>
      <c r="M57" s="158">
        <f>+G57+H57+J57</f>
        <v>3.577</v>
      </c>
      <c r="N57" s="176">
        <f t="shared" si="12"/>
        <v>15.022999999999998</v>
      </c>
      <c r="O57" s="159" t="str">
        <f t="shared" si="13"/>
        <v/>
      </c>
      <c r="P57" s="158"/>
      <c r="Q57" s="160">
        <f>VLOOKUP(A57,'MVA-IPI'!A:AD,30,FALSE)</f>
        <v>0.02</v>
      </c>
      <c r="R57" s="161">
        <f t="shared" si="14"/>
        <v>0</v>
      </c>
      <c r="S57" s="161">
        <f t="shared" si="15"/>
        <v>0</v>
      </c>
      <c r="T57" s="160">
        <f>IF($C$4="GRUPO 1",VLOOKUP(A57,'MVA-grupos'!$A$9:$B$128,2,FALSE),IF($C$4="GRUPO 2",VLOOKUP(A57,'MVA-grupos'!$A$9:$D$128,4,FALSE),IF($C$4="GRUPO 3",VLOOKUP(A57,'MVA-grupos'!$A$10:$F$128,6,FALSE),IF($C$4="Grupo 4",VLOOKUP(A57,'MVA-grupos'!$A$9:$H$128,8,FALSE)))))</f>
        <v>0</v>
      </c>
      <c r="U57" s="162">
        <f t="shared" si="16"/>
        <v>0</v>
      </c>
      <c r="V57" s="162">
        <f t="shared" si="17"/>
        <v>0</v>
      </c>
      <c r="W57" s="164"/>
      <c r="X57" s="158" t="str">
        <f t="shared" si="6"/>
        <v>BRAZIMIL CORRIDA PPQ 25KG</v>
      </c>
      <c r="Y57" s="165">
        <f t="shared" si="18"/>
        <v>0</v>
      </c>
      <c r="Z57" s="159">
        <f t="shared" si="19"/>
        <v>0</v>
      </c>
      <c r="AA57" s="159">
        <f t="shared" si="20"/>
        <v>0</v>
      </c>
      <c r="AB57" s="154" t="str">
        <f t="shared" si="5"/>
        <v/>
      </c>
      <c r="AC57" s="166"/>
      <c r="AD57" s="167"/>
      <c r="AE57" s="143">
        <v>0.05</v>
      </c>
      <c r="AF57" s="169">
        <f>+'Frete_Regiao-Impostos'!A49</f>
        <v>0</v>
      </c>
      <c r="AG57" s="170">
        <f>+'Frete_Regiao-Impostos'!B49</f>
        <v>0</v>
      </c>
      <c r="AH57" s="171">
        <f>+'Frete_Regiao-Impostos'!C49</f>
        <v>0</v>
      </c>
      <c r="AI57" s="170">
        <f>+'Frete_Regiao-Impostos'!D49</f>
        <v>0</v>
      </c>
      <c r="AJ57" s="172"/>
      <c r="AK57" s="172"/>
      <c r="AL57" s="172"/>
      <c r="AM57" s="172"/>
      <c r="AN57" s="172"/>
      <c r="AO57" s="172"/>
      <c r="AP57" s="28">
        <f>Peso!B57</f>
        <v>25.77</v>
      </c>
      <c r="AV57" s="198"/>
    </row>
    <row r="58" spans="1:48" s="295" customFormat="1" outlineLevel="1" x14ac:dyDescent="0.2">
      <c r="A58" s="248" t="s">
        <v>181</v>
      </c>
      <c r="B58" s="249"/>
      <c r="C58" s="229"/>
      <c r="D58" s="230" t="str">
        <f>AB58</f>
        <v/>
      </c>
      <c r="E58" s="250"/>
      <c r="F58" s="250"/>
      <c r="G58" s="251"/>
      <c r="H58" s="250"/>
      <c r="I58" s="252"/>
      <c r="J58" s="253"/>
      <c r="K58" s="253"/>
      <c r="L58" s="253"/>
      <c r="M58" s="253"/>
      <c r="N58" s="363"/>
      <c r="O58" s="254"/>
      <c r="P58" s="253"/>
      <c r="Q58" s="255"/>
      <c r="R58" s="237"/>
      <c r="S58" s="237"/>
      <c r="T58" s="236"/>
      <c r="U58" s="256"/>
      <c r="V58" s="256"/>
      <c r="W58" s="257"/>
      <c r="X58" s="253" t="str">
        <f t="shared" si="6"/>
        <v>BRAZIMIL ACRILICA</v>
      </c>
      <c r="Y58" s="258"/>
      <c r="Z58" s="254">
        <f>SUM(Z59:Z65)</f>
        <v>0</v>
      </c>
      <c r="AA58" s="254">
        <f>SUM(AA59:AA65)</f>
        <v>0</v>
      </c>
      <c r="AB58" s="230" t="str">
        <f t="shared" si="5"/>
        <v/>
      </c>
      <c r="AC58" s="259">
        <v>0.25</v>
      </c>
      <c r="AD58" s="242"/>
      <c r="AE58" s="261"/>
      <c r="AF58" s="262">
        <f>+'Frete_Regiao-Impostos'!A52</f>
        <v>0</v>
      </c>
      <c r="AG58" s="263">
        <f>+'Frete_Regiao-Impostos'!B52</f>
        <v>0</v>
      </c>
      <c r="AH58" s="264">
        <f>+'Frete_Regiao-Impostos'!C52</f>
        <v>0</v>
      </c>
      <c r="AI58" s="263">
        <f>+'Frete_Regiao-Impostos'!D52</f>
        <v>0</v>
      </c>
      <c r="AJ58" s="260"/>
      <c r="AK58" s="260"/>
      <c r="AL58" s="260"/>
      <c r="AM58" s="260"/>
      <c r="AN58" s="260"/>
      <c r="AO58" s="260"/>
      <c r="AP58" s="28">
        <f>Peso!B60</f>
        <v>0</v>
      </c>
      <c r="AT58" s="296"/>
      <c r="AU58" s="299"/>
      <c r="AV58" s="300"/>
    </row>
    <row r="59" spans="1:48" s="172" customFormat="1" hidden="1" outlineLevel="2" x14ac:dyDescent="0.2">
      <c r="A59" s="182" t="s">
        <v>182</v>
      </c>
      <c r="B59" s="307">
        <v>6</v>
      </c>
      <c r="C59" s="219"/>
      <c r="D59" s="154">
        <f t="shared" ref="D59:D65" si="21">IF($F$7="x",IF(F59=0,0,N59/F59),IF($E$7="x",IF(F59=0,0,N59/E59),""))</f>
        <v>0.46854646022714397</v>
      </c>
      <c r="E59" s="155">
        <f t="shared" ref="E59:E65" si="22">+B59*(-B$5+100%)</f>
        <v>5.58</v>
      </c>
      <c r="F59" s="155">
        <f t="shared" ref="F59:F65" si="23">IF(B59=0,0,E59-H59)</f>
        <v>5.476</v>
      </c>
      <c r="G59" s="156">
        <f>VLOOKUP(A59,Custo!A:B,2,0)</f>
        <v>2.5615107519325369</v>
      </c>
      <c r="H59" s="155">
        <f>(VLOOKUP(A59,Peso!$A$10:$B$148,2,0))*($B$6/1000)</f>
        <v>0.10400000000000001</v>
      </c>
      <c r="I59" s="157">
        <f t="shared" ref="I59:I65" si="24">IF($I$7="X",AE59,0%)</f>
        <v>0.05</v>
      </c>
      <c r="J59" s="158">
        <f t="shared" ref="J59:J65" si="25">+B59*I59</f>
        <v>0.30000000000000004</v>
      </c>
      <c r="K59" s="353">
        <f>IF($B$2="X",$C$2,0)</f>
        <v>0</v>
      </c>
      <c r="L59" s="158">
        <f>+B59*K59</f>
        <v>0</v>
      </c>
      <c r="M59" s="158">
        <f>+G59+H59+J59+L59</f>
        <v>2.9655107519325368</v>
      </c>
      <c r="N59" s="158">
        <f t="shared" ref="N59:N65" si="26">+E59-M59</f>
        <v>2.6144892480674633</v>
      </c>
      <c r="O59" s="159" t="str">
        <f t="shared" si="13"/>
        <v/>
      </c>
      <c r="P59" s="158"/>
      <c r="Q59" s="160">
        <f>VLOOKUP(A59,'MVA-IPI'!A:AD,30,FALSE)</f>
        <v>0.02</v>
      </c>
      <c r="R59" s="161">
        <f t="shared" ref="R59:R65" si="27">IF($B$4="AM",0,IF($B$4="AP",0,IF($B$4="RR",0,(B59*Q59))))</f>
        <v>0</v>
      </c>
      <c r="S59" s="161">
        <f t="shared" ref="S59:S65" si="28">IF($B$4="AP",(B59/0.88*$S$8),IF(T59=0%,0,IF($B$4="AM",(B59/0.88*$S$8),IF(T59=0%,0,IF($B$4="RR",(B59/0.88*$S$8),IF(T59=0%,0,B59*$S$8))))))</f>
        <v>0</v>
      </c>
      <c r="T59" s="160">
        <f>IF($C$4="GRUPO 1",VLOOKUP(A59,'MVA-grupos'!$A$9:$B$128,2,FALSE),IF($C$4="GRUPO 2",VLOOKUP(A59,'MVA-grupos'!$A$9:$D$128,4,FALSE),IF($C$4="GRUPO 3",VLOOKUP(A59,'MVA-grupos'!$A$10:$F$128,6,FALSE),IF($C$4="Grupo 4",VLOOKUP(A59,'MVA-grupos'!$A$9:$H$128,8,FALSE)))))</f>
        <v>0</v>
      </c>
      <c r="U59" s="162">
        <f t="shared" ref="U59:U65" si="29">IF(T59=0%,0,(B59+R59)*T59+(B59+R59))</f>
        <v>0</v>
      </c>
      <c r="V59" s="162">
        <f t="shared" ref="V59:V65" si="30">(U59*$V$8)-S59</f>
        <v>0</v>
      </c>
      <c r="W59" s="164"/>
      <c r="X59" s="158" t="str">
        <f t="shared" si="6"/>
        <v>BRAZIMIL ACRILICA POTE 1KG</v>
      </c>
      <c r="Y59" s="165">
        <f t="shared" ref="Y59:Y65" si="31">+C59</f>
        <v>0</v>
      </c>
      <c r="Z59" s="159">
        <f t="shared" ref="Z59:Z65" si="32">IF(ISERROR(Y59*N59),"",Y59*N59)</f>
        <v>0</v>
      </c>
      <c r="AA59" s="159">
        <f t="shared" ref="AA59:AA65" si="33">IF(ISERROR(IF(E$7="X",Y59*E59,Y59*F59)),"",IF(E$7="X",Y59*E59,Y59*F59))</f>
        <v>0</v>
      </c>
      <c r="AB59" s="154" t="str">
        <f t="shared" si="5"/>
        <v/>
      </c>
      <c r="AC59" s="166"/>
      <c r="AD59" s="167"/>
      <c r="AE59" s="168">
        <v>0.05</v>
      </c>
      <c r="AF59" s="169">
        <f>+'Frete_Regiao-Impostos'!A53</f>
        <v>0</v>
      </c>
      <c r="AG59" s="170">
        <f>+'Frete_Regiao-Impostos'!B53</f>
        <v>0</v>
      </c>
      <c r="AH59" s="171">
        <f>+'Frete_Regiao-Impostos'!C53</f>
        <v>0</v>
      </c>
      <c r="AI59" s="170">
        <f>+'Frete_Regiao-Impostos'!D53</f>
        <v>0</v>
      </c>
      <c r="AP59" s="273">
        <f>Peso!B61</f>
        <v>1.04</v>
      </c>
      <c r="AT59" s="173"/>
      <c r="AU59" s="174"/>
      <c r="AV59" s="175"/>
    </row>
    <row r="60" spans="1:48" outlineLevel="2" x14ac:dyDescent="0.2">
      <c r="A60" s="178" t="s">
        <v>183</v>
      </c>
      <c r="B60" s="306">
        <v>19.16</v>
      </c>
      <c r="C60" s="218"/>
      <c r="D60" s="58">
        <f t="shared" si="21"/>
        <v>0.33047618387353667</v>
      </c>
      <c r="E60" s="40">
        <f t="shared" si="22"/>
        <v>17.8188</v>
      </c>
      <c r="F60" s="40">
        <f t="shared" si="23"/>
        <v>17.3003</v>
      </c>
      <c r="G60" s="41">
        <f>VLOOKUP(A60,Custo!A:B,2,0)</f>
        <v>10.453610974794225</v>
      </c>
      <c r="H60" s="40">
        <f>(VLOOKUP(A60,Peso!$A$10:$B$148,2,0))*($B$6/1000)</f>
        <v>0.51849999999999996</v>
      </c>
      <c r="I60" s="42">
        <f t="shared" si="24"/>
        <v>0.05</v>
      </c>
      <c r="J60" s="27">
        <f t="shared" si="25"/>
        <v>0.95800000000000007</v>
      </c>
      <c r="K60" s="330">
        <f>IF($B$2="X",$C$2,0)</f>
        <v>0</v>
      </c>
      <c r="L60" s="27">
        <f>+B60*K60</f>
        <v>0</v>
      </c>
      <c r="M60" s="27">
        <f>+G60+H60+J60+L60</f>
        <v>11.930110974794225</v>
      </c>
      <c r="N60" s="176">
        <f t="shared" si="26"/>
        <v>5.8886890252057746</v>
      </c>
      <c r="O60" s="114" t="str">
        <f>IF(ISERROR((N60/P60)*100),"",(N60/P60)*100)</f>
        <v/>
      </c>
      <c r="P60" s="27"/>
      <c r="Q60" s="93">
        <f>VLOOKUP(A60,'MVA-IPI'!A:AD,30,FALSE)</f>
        <v>0.02</v>
      </c>
      <c r="R60" s="121">
        <f t="shared" si="27"/>
        <v>0</v>
      </c>
      <c r="S60" s="121">
        <f t="shared" si="28"/>
        <v>0</v>
      </c>
      <c r="T60" s="93">
        <f>IF($C$4="GRUPO 1",VLOOKUP(A60,'MVA-grupos'!$A$9:$B$128,2,FALSE),IF($C$4="GRUPO 2",VLOOKUP(A60,'MVA-grupos'!$A$9:$D$128,4,FALSE),IF($C$4="GRUPO 3",VLOOKUP(A60,'MVA-grupos'!$A$10:$F$128,6,FALSE),IF($C$4="Grupo 4",VLOOKUP(A60,'MVA-grupos'!$A$9:$H$128,8,FALSE)))))</f>
        <v>0</v>
      </c>
      <c r="U60" s="95">
        <f t="shared" si="29"/>
        <v>0</v>
      </c>
      <c r="V60" s="95">
        <f t="shared" si="30"/>
        <v>0</v>
      </c>
      <c r="W60" s="69"/>
      <c r="X60" s="27" t="str">
        <f t="shared" si="6"/>
        <v>BRAZIMIL ACRILICA GALÃO 5KG</v>
      </c>
      <c r="Y60" s="116">
        <f t="shared" si="31"/>
        <v>0</v>
      </c>
      <c r="Z60" s="114">
        <f t="shared" si="32"/>
        <v>0</v>
      </c>
      <c r="AA60" s="114">
        <f t="shared" si="33"/>
        <v>0</v>
      </c>
      <c r="AB60" s="122" t="str">
        <f t="shared" si="5"/>
        <v/>
      </c>
      <c r="AC60" s="56"/>
      <c r="AD60" s="96"/>
      <c r="AE60" s="143">
        <v>0.05</v>
      </c>
      <c r="AF60" s="45">
        <f>+'Frete_Regiao-Impostos'!A54</f>
        <v>0</v>
      </c>
      <c r="AG60" s="39">
        <f>+'Frete_Regiao-Impostos'!B54</f>
        <v>0</v>
      </c>
      <c r="AH60" s="44">
        <f>+'Frete_Regiao-Impostos'!C54</f>
        <v>0</v>
      </c>
      <c r="AI60" s="39">
        <f>+'Frete_Regiao-Impostos'!D54</f>
        <v>0</v>
      </c>
      <c r="AP60" s="28">
        <f>Peso!B62</f>
        <v>5.1849999999999996</v>
      </c>
      <c r="AV60" s="198"/>
    </row>
    <row r="61" spans="1:48" s="172" customFormat="1" hidden="1" outlineLevel="2" x14ac:dyDescent="0.2">
      <c r="A61" s="182" t="s">
        <v>184</v>
      </c>
      <c r="B61" s="307">
        <v>27</v>
      </c>
      <c r="C61" s="219"/>
      <c r="D61" s="154">
        <f t="shared" si="21"/>
        <v>0.39315795461319458</v>
      </c>
      <c r="E61" s="155">
        <f t="shared" si="22"/>
        <v>25.11</v>
      </c>
      <c r="F61" s="155">
        <f t="shared" si="23"/>
        <v>24.105</v>
      </c>
      <c r="G61" s="156">
        <f>VLOOKUP(A61,Custo!A:B,2,0)</f>
        <v>12.882803759662684</v>
      </c>
      <c r="H61" s="155">
        <f>(VLOOKUP(A61,Peso!$A$10:$B$148,2,0))*($B$6/1000)</f>
        <v>1.0050000000000001</v>
      </c>
      <c r="I61" s="157">
        <f t="shared" si="24"/>
        <v>0.05</v>
      </c>
      <c r="J61" s="158">
        <f t="shared" si="25"/>
        <v>1.35</v>
      </c>
      <c r="K61" s="353">
        <f>IF($B$2="X",$C$2,0)</f>
        <v>0</v>
      </c>
      <c r="L61" s="158">
        <f>+B61*K61</f>
        <v>0</v>
      </c>
      <c r="M61" s="158">
        <f>+G61+H61+J61+L61</f>
        <v>15.237803759662684</v>
      </c>
      <c r="N61" s="158">
        <f t="shared" si="26"/>
        <v>9.8721962403373151</v>
      </c>
      <c r="O61" s="159" t="str">
        <f t="shared" si="13"/>
        <v/>
      </c>
      <c r="P61" s="158"/>
      <c r="Q61" s="160">
        <f>VLOOKUP(A61,'MVA-IPI'!A:AD,30,FALSE)</f>
        <v>0.02</v>
      </c>
      <c r="R61" s="161">
        <f t="shared" si="27"/>
        <v>0</v>
      </c>
      <c r="S61" s="161">
        <f t="shared" si="28"/>
        <v>0</v>
      </c>
      <c r="T61" s="160">
        <f>IF($C$4="GRUPO 1",VLOOKUP(A61,'MVA-grupos'!$A$9:$B$128,2,FALSE),IF($C$4="GRUPO 2",VLOOKUP(A61,'MVA-grupos'!$A$9:$D$128,4,FALSE),IF($C$4="GRUPO 3",VLOOKUP(A61,'MVA-grupos'!$A$10:$F$128,6,FALSE),IF($C$4="Grupo 4",VLOOKUP(A61,'MVA-grupos'!$A$9:$H$128,8,FALSE)))))</f>
        <v>0</v>
      </c>
      <c r="U61" s="162">
        <f t="shared" si="29"/>
        <v>0</v>
      </c>
      <c r="V61" s="162">
        <f t="shared" si="30"/>
        <v>0</v>
      </c>
      <c r="W61" s="164"/>
      <c r="X61" s="158" t="str">
        <f t="shared" si="6"/>
        <v>BRAZIMIL ACRILICA SACO VALV 10,0KG</v>
      </c>
      <c r="Y61" s="165">
        <f t="shared" si="31"/>
        <v>0</v>
      </c>
      <c r="Z61" s="159">
        <f t="shared" si="32"/>
        <v>0</v>
      </c>
      <c r="AA61" s="159">
        <f t="shared" si="33"/>
        <v>0</v>
      </c>
      <c r="AB61" s="154" t="str">
        <f t="shared" si="5"/>
        <v/>
      </c>
      <c r="AC61" s="166"/>
      <c r="AD61" s="167"/>
      <c r="AE61" s="168">
        <v>0.05</v>
      </c>
      <c r="AP61" s="273">
        <f>Peso!B63</f>
        <v>10.050000000000001</v>
      </c>
      <c r="AT61" s="173"/>
      <c r="AU61" s="174"/>
      <c r="AV61" s="175"/>
    </row>
    <row r="62" spans="1:48" outlineLevel="2" x14ac:dyDescent="0.2">
      <c r="A62" s="178" t="s">
        <v>187</v>
      </c>
      <c r="B62" s="306">
        <v>62.26</v>
      </c>
      <c r="C62" s="218"/>
      <c r="D62" s="58">
        <f>IF($F$7="x",IF(F62=0,0,N62/F62),IF($E$7="x",IF(F62=0,0,N62/E62),""))</f>
        <v>0.28846189680316819</v>
      </c>
      <c r="E62" s="40">
        <f>+B62*(-B$5+100%)</f>
        <v>57.901799999999994</v>
      </c>
      <c r="F62" s="40">
        <f>IF(B62=0,0,E62-H62)</f>
        <v>55.831799999999994</v>
      </c>
      <c r="G62" s="41">
        <f>VLOOKUP(A62,Custo!A:B,2,0)</f>
        <v>36.016336943682312</v>
      </c>
      <c r="H62" s="40">
        <f>(VLOOKUP(A62,Peso!$A$10:$B$148,2,0))*($B$6/1000)</f>
        <v>2.0699999999999998</v>
      </c>
      <c r="I62" s="42">
        <f>IF($I$7="X",AE62,0%)</f>
        <v>0.05</v>
      </c>
      <c r="J62" s="27">
        <f>+B62*I62</f>
        <v>3.113</v>
      </c>
      <c r="K62" s="330">
        <f>IF($B$2="X",$C$2,0)</f>
        <v>0</v>
      </c>
      <c r="L62" s="27">
        <f>+B62*K62</f>
        <v>0</v>
      </c>
      <c r="M62" s="27">
        <f>+G62+H62+J62+L62</f>
        <v>41.199336943682312</v>
      </c>
      <c r="N62" s="176">
        <f>+E62-M62</f>
        <v>16.702463056317683</v>
      </c>
      <c r="O62" s="114" t="str">
        <f>IF(ISERROR((N62/P62)*100),"",(N62/P62)*100)</f>
        <v/>
      </c>
      <c r="P62" s="27"/>
      <c r="Q62" s="93">
        <f>VLOOKUP(A62,'MVA-IPI'!A:AD,30,FALSE)</f>
        <v>0.02</v>
      </c>
      <c r="R62" s="121">
        <f>IF($B$4="AM",0,IF($B$4="AP",0,IF($B$4="RR",0,(B62*Q62))))</f>
        <v>0</v>
      </c>
      <c r="S62" s="121">
        <f>IF($B$4="AP",(B62/0.88*$S$8),IF(T62=0%,0,IF($B$4="AM",(B62/0.88*$S$8),IF(T62=0%,0,IF($B$4="RR",(B62/0.88*$S$8),IF(T62=0%,0,B62*$S$8))))))</f>
        <v>0</v>
      </c>
      <c r="T62" s="93">
        <f>IF($C$4="GRUPO 1",VLOOKUP(A62,'MVA-grupos'!$A$9:$B$128,2,FALSE),IF($C$4="GRUPO 2",VLOOKUP(A62,'MVA-grupos'!$A$9:$D$128,4,FALSE),IF($C$4="GRUPO 3",VLOOKUP(A62,'MVA-grupos'!$A$10:$F$128,6,FALSE),IF($C$4="Grupo 4",VLOOKUP(A62,'MVA-grupos'!$A$9:$H$128,8,FALSE)))))</f>
        <v>0</v>
      </c>
      <c r="U62" s="95">
        <f>IF(T62=0%,0,(B62+R62)*T62+(B62+R62))</f>
        <v>0</v>
      </c>
      <c r="V62" s="95">
        <f>(U62*$V$8)-S62</f>
        <v>0</v>
      </c>
      <c r="W62" s="69"/>
      <c r="X62" s="27" t="str">
        <f>A62</f>
        <v>BRAZIMIL ACRILICA BALDE 20KG</v>
      </c>
      <c r="Y62" s="116">
        <f>+C62</f>
        <v>0</v>
      </c>
      <c r="Z62" s="114">
        <f>IF(ISERROR(Y62*N62),"",Y62*N62)</f>
        <v>0</v>
      </c>
      <c r="AA62" s="114">
        <f>IF(ISERROR(IF(E$7="X",Y62*E62,Y62*F62)),"",IF(E$7="X",Y62*E62,Y62*F62))</f>
        <v>0</v>
      </c>
      <c r="AB62" s="122" t="str">
        <f>IF(ISERROR(Z62/AA62),"",Z62/AA62)</f>
        <v/>
      </c>
      <c r="AC62" s="56"/>
      <c r="AD62" s="96"/>
      <c r="AE62" s="143">
        <v>0.05</v>
      </c>
      <c r="AP62" s="28">
        <f>Peso!B66</f>
        <v>20.7</v>
      </c>
      <c r="AV62" s="198"/>
    </row>
    <row r="63" spans="1:48" hidden="1" outlineLevel="2" x14ac:dyDescent="0.2">
      <c r="A63" s="182" t="s">
        <v>185</v>
      </c>
      <c r="B63" s="307">
        <v>42.09</v>
      </c>
      <c r="C63" s="219"/>
      <c r="D63" s="154">
        <f t="shared" si="21"/>
        <v>0.89317565789641762</v>
      </c>
      <c r="E63" s="155">
        <f t="shared" si="22"/>
        <v>39.143700000000003</v>
      </c>
      <c r="F63" s="155">
        <f t="shared" si="23"/>
        <v>37.066700000000004</v>
      </c>
      <c r="G63" s="156">
        <f>VLOOKUP(A63,Custo!A:B,2,0)</f>
        <v>0</v>
      </c>
      <c r="H63" s="155">
        <f>(VLOOKUP(A63,Peso!$A$10:$B$148,2,0))*($B$6/1000)</f>
        <v>2.077</v>
      </c>
      <c r="I63" s="157">
        <f t="shared" si="24"/>
        <v>0.05</v>
      </c>
      <c r="J63" s="158">
        <f t="shared" si="25"/>
        <v>2.1045000000000003</v>
      </c>
      <c r="K63" s="158"/>
      <c r="L63" s="158"/>
      <c r="M63" s="158">
        <f>+G63+H63+J63</f>
        <v>4.1814999999999998</v>
      </c>
      <c r="N63" s="176">
        <f t="shared" si="26"/>
        <v>34.962200000000003</v>
      </c>
      <c r="O63" s="159" t="str">
        <f t="shared" si="13"/>
        <v/>
      </c>
      <c r="P63" s="158"/>
      <c r="Q63" s="160">
        <f>VLOOKUP(A63,'MVA-IPI'!A:AD,30,FALSE)</f>
        <v>0.02</v>
      </c>
      <c r="R63" s="161">
        <f t="shared" si="27"/>
        <v>0</v>
      </c>
      <c r="S63" s="161">
        <f t="shared" si="28"/>
        <v>0</v>
      </c>
      <c r="T63" s="160">
        <f>IF($C$4="GRUPO 1",VLOOKUP(A63,'MVA-grupos'!$A$9:$B$128,2,FALSE),IF($C$4="GRUPO 2",VLOOKUP(A63,'MVA-grupos'!$A$9:$D$128,4,FALSE),IF($C$4="GRUPO 3",VLOOKUP(A63,'MVA-grupos'!$A$10:$F$128,6,FALSE),IF($C$4="Grupo 4",VLOOKUP(A63,'MVA-grupos'!$A$9:$H$128,8,FALSE)))))</f>
        <v>0</v>
      </c>
      <c r="U63" s="162">
        <f t="shared" si="29"/>
        <v>0</v>
      </c>
      <c r="V63" s="162">
        <f t="shared" si="30"/>
        <v>0</v>
      </c>
      <c r="W63" s="164"/>
      <c r="X63" s="158" t="str">
        <f t="shared" si="6"/>
        <v>BRAZIMIL ACRILICA PPQ 20KG</v>
      </c>
      <c r="Y63" s="165">
        <f t="shared" si="31"/>
        <v>0</v>
      </c>
      <c r="Z63" s="159">
        <f t="shared" si="32"/>
        <v>0</v>
      </c>
      <c r="AA63" s="159">
        <f t="shared" si="33"/>
        <v>0</v>
      </c>
      <c r="AB63" s="154" t="str">
        <f t="shared" si="5"/>
        <v/>
      </c>
      <c r="AC63" s="166"/>
      <c r="AD63" s="167"/>
      <c r="AE63" s="143">
        <v>0.05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228">
        <f>Peso!B64</f>
        <v>20.77</v>
      </c>
      <c r="AV63" s="198"/>
    </row>
    <row r="64" spans="1:48" hidden="1" outlineLevel="2" x14ac:dyDescent="0.2">
      <c r="A64" s="182" t="s">
        <v>186</v>
      </c>
      <c r="B64" s="307">
        <v>53.11</v>
      </c>
      <c r="C64" s="219"/>
      <c r="D64" s="154">
        <f t="shared" si="21"/>
        <v>0.89406243483295977</v>
      </c>
      <c r="E64" s="155">
        <f t="shared" si="22"/>
        <v>49.392299999999999</v>
      </c>
      <c r="F64" s="155">
        <f t="shared" si="23"/>
        <v>46.815300000000001</v>
      </c>
      <c r="G64" s="156">
        <f>VLOOKUP(A64,Custo!A:B,2,0)</f>
        <v>0</v>
      </c>
      <c r="H64" s="155">
        <f>(VLOOKUP(A64,Peso!$A$10:$B$148,2,0))*($B$6/1000)</f>
        <v>2.577</v>
      </c>
      <c r="I64" s="157">
        <f t="shared" si="24"/>
        <v>0.05</v>
      </c>
      <c r="J64" s="158">
        <f t="shared" si="25"/>
        <v>2.6555</v>
      </c>
      <c r="K64" s="158"/>
      <c r="L64" s="158"/>
      <c r="M64" s="158">
        <f>+G64+H64+J64</f>
        <v>5.2324999999999999</v>
      </c>
      <c r="N64" s="176">
        <f t="shared" si="26"/>
        <v>44.159799999999997</v>
      </c>
      <c r="O64" s="159" t="str">
        <f>IF(ISERROR((N64/P64)*100),"",(N64/P64)*100)</f>
        <v/>
      </c>
      <c r="P64" s="158"/>
      <c r="Q64" s="160">
        <f>VLOOKUP(A64,'MVA-IPI'!A:AD,30,FALSE)</f>
        <v>0.02</v>
      </c>
      <c r="R64" s="161">
        <f t="shared" si="27"/>
        <v>0</v>
      </c>
      <c r="S64" s="161">
        <f t="shared" si="28"/>
        <v>0</v>
      </c>
      <c r="T64" s="160">
        <f>IF($C$4="GRUPO 1",VLOOKUP(A64,'MVA-grupos'!$A$9:$B$128,2,FALSE),IF($C$4="GRUPO 2",VLOOKUP(A64,'MVA-grupos'!$A$9:$D$128,4,FALSE),IF($C$4="GRUPO 3",VLOOKUP(A64,'MVA-grupos'!$A$10:$F$128,6,FALSE),IF($C$4="Grupo 4",VLOOKUP(A64,'MVA-grupos'!$A$9:$H$128,8,FALSE)))))</f>
        <v>0</v>
      </c>
      <c r="U64" s="162">
        <f t="shared" si="29"/>
        <v>0</v>
      </c>
      <c r="V64" s="162">
        <f t="shared" si="30"/>
        <v>0</v>
      </c>
      <c r="W64" s="164"/>
      <c r="X64" s="158" t="str">
        <f t="shared" si="6"/>
        <v>BRAZIMIL ACRILICA PPQ 25KG</v>
      </c>
      <c r="Y64" s="165">
        <f t="shared" si="31"/>
        <v>0</v>
      </c>
      <c r="Z64" s="159">
        <f t="shared" si="32"/>
        <v>0</v>
      </c>
      <c r="AA64" s="159">
        <f t="shared" si="33"/>
        <v>0</v>
      </c>
      <c r="AB64" s="154" t="str">
        <f t="shared" si="5"/>
        <v/>
      </c>
      <c r="AC64" s="166"/>
      <c r="AD64" s="167"/>
      <c r="AE64" s="143">
        <v>0.05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228">
        <f>Peso!B65</f>
        <v>25.77</v>
      </c>
      <c r="AV64" s="198"/>
    </row>
    <row r="65" spans="1:48" hidden="1" outlineLevel="2" x14ac:dyDescent="0.2">
      <c r="A65" s="182" t="s">
        <v>188</v>
      </c>
      <c r="B65" s="307">
        <v>0</v>
      </c>
      <c r="C65" s="219"/>
      <c r="D65" s="154">
        <f t="shared" si="21"/>
        <v>0</v>
      </c>
      <c r="E65" s="155">
        <f t="shared" si="22"/>
        <v>0</v>
      </c>
      <c r="F65" s="155">
        <f t="shared" si="23"/>
        <v>0</v>
      </c>
      <c r="G65" s="156">
        <f>VLOOKUP(A65,Custo!A:B,2,0)</f>
        <v>40.333884399156709</v>
      </c>
      <c r="H65" s="155">
        <f>(VLOOKUP(A65,Peso!$A$10:$B$148,2,0))*($B$6/1000)</f>
        <v>2.5640000000000001</v>
      </c>
      <c r="I65" s="157">
        <f t="shared" si="24"/>
        <v>0.05</v>
      </c>
      <c r="J65" s="158">
        <f t="shared" si="25"/>
        <v>0</v>
      </c>
      <c r="K65" s="353">
        <f>IF($B$2="X",$C$2,0)</f>
        <v>0</v>
      </c>
      <c r="L65" s="158">
        <f>+B65*K65</f>
        <v>0</v>
      </c>
      <c r="M65" s="158">
        <f>+G65+H65+J65+L65</f>
        <v>42.897884399156709</v>
      </c>
      <c r="N65" s="176">
        <f t="shared" si="26"/>
        <v>-42.897884399156709</v>
      </c>
      <c r="O65" s="159" t="str">
        <f>IF(ISERROR((N65/P65)*100),"",(N65/P65)*100)</f>
        <v/>
      </c>
      <c r="P65" s="158"/>
      <c r="Q65" s="160">
        <f>VLOOKUP(A65,'MVA-IPI'!A:AD,30,FALSE)</f>
        <v>0.02</v>
      </c>
      <c r="R65" s="161">
        <f t="shared" si="27"/>
        <v>0</v>
      </c>
      <c r="S65" s="161">
        <f t="shared" si="28"/>
        <v>0</v>
      </c>
      <c r="T65" s="160">
        <f>IF($C$4="GRUPO 1",VLOOKUP(A65,'MVA-grupos'!$A$9:$B$128,2,FALSE),IF($C$4="GRUPO 2",VLOOKUP(A65,'MVA-grupos'!$A$9:$D$128,4,FALSE),IF($C$4="GRUPO 3",VLOOKUP(A65,'MVA-grupos'!$A$10:$F$128,6,FALSE),IF($C$4="Grupo 4",VLOOKUP(A65,'MVA-grupos'!$A$9:$H$128,8,FALSE)))))</f>
        <v>0</v>
      </c>
      <c r="U65" s="162">
        <f t="shared" si="29"/>
        <v>0</v>
      </c>
      <c r="V65" s="162">
        <f t="shared" si="30"/>
        <v>0</v>
      </c>
      <c r="W65" s="164"/>
      <c r="X65" s="158" t="str">
        <f t="shared" si="6"/>
        <v>BRAZIMIL ACRILICA BALDE 25KG</v>
      </c>
      <c r="Y65" s="165">
        <f t="shared" si="31"/>
        <v>0</v>
      </c>
      <c r="Z65" s="159">
        <f t="shared" si="32"/>
        <v>0</v>
      </c>
      <c r="AA65" s="159">
        <f t="shared" si="33"/>
        <v>0</v>
      </c>
      <c r="AB65" s="154" t="str">
        <f t="shared" si="5"/>
        <v/>
      </c>
      <c r="AC65" s="166"/>
      <c r="AD65" s="167"/>
      <c r="AE65" s="143">
        <v>0.05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28">
        <f>Peso!B67</f>
        <v>25.64</v>
      </c>
      <c r="AV65" s="198"/>
    </row>
    <row r="66" spans="1:48" s="295" customFormat="1" hidden="1" outlineLevel="1" collapsed="1" x14ac:dyDescent="0.2">
      <c r="A66" s="354" t="s">
        <v>189</v>
      </c>
      <c r="B66" s="307"/>
      <c r="C66" s="219"/>
      <c r="D66" s="154" t="str">
        <f>AB66</f>
        <v/>
      </c>
      <c r="E66" s="200"/>
      <c r="F66" s="200"/>
      <c r="G66" s="201"/>
      <c r="H66" s="200"/>
      <c r="I66" s="202"/>
      <c r="J66" s="203"/>
      <c r="K66" s="203"/>
      <c r="L66" s="203"/>
      <c r="M66" s="203"/>
      <c r="N66" s="363"/>
      <c r="O66" s="206"/>
      <c r="P66" s="203"/>
      <c r="Q66" s="204"/>
      <c r="R66" s="161"/>
      <c r="S66" s="161"/>
      <c r="T66" s="160"/>
      <c r="U66" s="355"/>
      <c r="V66" s="355"/>
      <c r="W66" s="356"/>
      <c r="X66" s="203" t="str">
        <f t="shared" si="6"/>
        <v>BRAZIMIL TEXT. LISA</v>
      </c>
      <c r="Y66" s="205"/>
      <c r="Z66" s="206">
        <f>SUM(Z67:Z70)</f>
        <v>0</v>
      </c>
      <c r="AA66" s="206">
        <f>SUM(AA67:AA70)</f>
        <v>0</v>
      </c>
      <c r="AB66" s="154" t="str">
        <f t="shared" si="5"/>
        <v/>
      </c>
      <c r="AC66" s="357">
        <v>0.25</v>
      </c>
      <c r="AD66" s="167"/>
      <c r="AE66" s="143">
        <v>0.05</v>
      </c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8">
        <f>Peso!B68</f>
        <v>0</v>
      </c>
      <c r="AT66" s="296"/>
      <c r="AU66" s="299"/>
      <c r="AV66" s="300"/>
    </row>
    <row r="67" spans="1:48" hidden="1" outlineLevel="2" x14ac:dyDescent="0.2">
      <c r="A67" s="182" t="s">
        <v>190</v>
      </c>
      <c r="B67" s="307">
        <v>0</v>
      </c>
      <c r="C67" s="219"/>
      <c r="D67" s="154">
        <f>IF($F$7="x",IF(F67=0,0,N67/F67),IF($E$7="x",IF(F67=0,0,N67/E67),""))</f>
        <v>0</v>
      </c>
      <c r="E67" s="155">
        <f>+B67*(-B$5+100%)</f>
        <v>0</v>
      </c>
      <c r="F67" s="155">
        <f>IF(B67=0,0,E67-H67)</f>
        <v>0</v>
      </c>
      <c r="G67" s="156">
        <f>VLOOKUP(A67,Custo!A:B,2,0)</f>
        <v>0</v>
      </c>
      <c r="H67" s="155">
        <f>(VLOOKUP(A67,Peso!$A$10:$B$148,2,0))*($B$6/1000)</f>
        <v>0.51600000000000001</v>
      </c>
      <c r="I67" s="157">
        <f t="shared" ref="I67:I75" si="34">IF($I$7="X",AE67,0%)</f>
        <v>0.05</v>
      </c>
      <c r="J67" s="158">
        <f>+B67*I67</f>
        <v>0</v>
      </c>
      <c r="K67" s="353">
        <f>IF($B$2="X",$C$2,0)</f>
        <v>0</v>
      </c>
      <c r="L67" s="158">
        <f>+B67*K67</f>
        <v>0</v>
      </c>
      <c r="M67" s="158">
        <f>+G67+H67+J67+L67</f>
        <v>0.51600000000000001</v>
      </c>
      <c r="N67" s="176">
        <f>+E67-M67</f>
        <v>-0.51600000000000001</v>
      </c>
      <c r="O67" s="159" t="str">
        <f>IF(ISERROR((N67/P67)*1000),"",(N67/P67)*1000)</f>
        <v/>
      </c>
      <c r="P67" s="158"/>
      <c r="Q67" s="160">
        <f>VLOOKUP(A67,'MVA-IPI'!A:AD,30,FALSE)</f>
        <v>0</v>
      </c>
      <c r="R67" s="161">
        <f>IF($B$4="AM",0,IF($B$4="AP",0,IF($B$4="RR",0,(B67*Q67))))</f>
        <v>0</v>
      </c>
      <c r="S67" s="161">
        <f>IF($B$4="AP",(B67/0.88*$S$8),IF(T67=0%,0,IF($B$4="AM",(B67/0.88*$S$8),IF(T67=0%,0,IF($B$4="RR",(B67/0.88*$S$8),IF(T67=0%,0,B67*$S$8))))))</f>
        <v>0</v>
      </c>
      <c r="T67" s="160">
        <f>IF($C$4="GRUPO 1",VLOOKUP(A67,'MVA-grupos'!$A$9:$B$128,2,FALSE),IF($C$4="GRUPO 2",VLOOKUP(A67,'MVA-grupos'!$A$9:$D$128,4,FALSE),IF($C$4="GRUPO 3",VLOOKUP(A67,'MVA-grupos'!$A$10:$F$128,6,FALSE),IF($C$4="Grupo 4",VLOOKUP(A67,'MVA-grupos'!$A$9:$H$128,8,FALSE)))))</f>
        <v>0</v>
      </c>
      <c r="U67" s="162">
        <f>IF(T67=0%,0,(B67+R67)*T67+(B67+R67))</f>
        <v>0</v>
      </c>
      <c r="V67" s="162">
        <f>(U67*$V$8)-S67</f>
        <v>0</v>
      </c>
      <c r="W67" s="164"/>
      <c r="X67" s="158" t="str">
        <f t="shared" si="6"/>
        <v>BRAZIMIL TEXT. LISA GALÃO 5KG</v>
      </c>
      <c r="Y67" s="165">
        <f>+C67</f>
        <v>0</v>
      </c>
      <c r="Z67" s="159">
        <f>IF(ISERROR(Y67*N67),"",Y67*N67)</f>
        <v>0</v>
      </c>
      <c r="AA67" s="159">
        <f>IF(ISERROR(IF(E$7="X",Y67*E67,Y67*F67)),"",IF(E$7="X",Y67*E67,Y67*F67))</f>
        <v>0</v>
      </c>
      <c r="AB67" s="154" t="str">
        <f t="shared" si="5"/>
        <v/>
      </c>
      <c r="AC67" s="166"/>
      <c r="AD67" s="167"/>
      <c r="AE67" s="143">
        <v>0.05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28">
        <f>Peso!B69</f>
        <v>5.16</v>
      </c>
      <c r="AV67" s="198"/>
    </row>
    <row r="68" spans="1:48" hidden="1" outlineLevel="2" x14ac:dyDescent="0.2">
      <c r="A68" s="182" t="s">
        <v>191</v>
      </c>
      <c r="B68" s="307">
        <v>0</v>
      </c>
      <c r="C68" s="219"/>
      <c r="D68" s="154">
        <f>IF($F$7="x",IF(F68=0,0,N68/F68),IF($E$7="x",IF(F68=0,0,N68/E68),""))</f>
        <v>0</v>
      </c>
      <c r="E68" s="155">
        <f>+B68*(-B$5+100%)</f>
        <v>0</v>
      </c>
      <c r="F68" s="155">
        <f>IF(B68=0,0,E68-H68)</f>
        <v>0</v>
      </c>
      <c r="G68" s="156">
        <f>VLOOKUP(A68,Custo!A:B,2,0)</f>
        <v>15.460622371400842</v>
      </c>
      <c r="H68" s="155">
        <f>(VLOOKUP(A68,Peso!$A$10:$B$148,2,0))*($B$6/1000)</f>
        <v>1.254</v>
      </c>
      <c r="I68" s="157">
        <f t="shared" si="34"/>
        <v>0.05</v>
      </c>
      <c r="J68" s="158">
        <f>+B68*I68</f>
        <v>0</v>
      </c>
      <c r="K68" s="353">
        <f>IF($B$2="X",$C$2,0)</f>
        <v>0</v>
      </c>
      <c r="L68" s="158">
        <f>+B68*K68</f>
        <v>0</v>
      </c>
      <c r="M68" s="158">
        <f>+G68+H68+J68+L68</f>
        <v>16.714622371400843</v>
      </c>
      <c r="N68" s="176">
        <f>+E68-M68</f>
        <v>-16.714622371400843</v>
      </c>
      <c r="O68" s="159" t="str">
        <f>IF(ISERROR((N68/P68)*1000),"",(N68/P68)*1000)</f>
        <v/>
      </c>
      <c r="P68" s="158"/>
      <c r="Q68" s="160">
        <f>VLOOKUP(A68,'MVA-IPI'!A:AD,30,FALSE)</f>
        <v>0</v>
      </c>
      <c r="R68" s="161">
        <f>IF($B$4="AM",0,IF($B$4="AP",0,IF($B$4="RR",0,(B68*Q68))))</f>
        <v>0</v>
      </c>
      <c r="S68" s="161">
        <f>IF($B$4="AP",(B68/0.88*$S$8),IF(T68=0%,0,IF($B$4="AM",(B68/0.88*$S$8),IF(T68=0%,0,IF($B$4="RR",(B68/0.88*$S$8),IF(T68=0%,0,B68*$S$8))))))</f>
        <v>0</v>
      </c>
      <c r="T68" s="160">
        <f>IF($C$4="GRUPO 1",VLOOKUP(A68,'MVA-grupos'!$A$9:$B$128,2,FALSE),IF($C$4="GRUPO 2",VLOOKUP(A68,'MVA-grupos'!$A$9:$D$128,4,FALSE),IF($C$4="GRUPO 3",VLOOKUP(A68,'MVA-grupos'!$A$10:$F$128,6,FALSE),IF($C$4="Grupo 4",VLOOKUP(A68,'MVA-grupos'!$A$9:$H$128,8,FALSE)))))</f>
        <v>0</v>
      </c>
      <c r="U68" s="162">
        <f>IF(T68=0%,0,(B68+R68)*T68+(B68+R68))</f>
        <v>0</v>
      </c>
      <c r="V68" s="162">
        <f>(U68*$V$8)-S68</f>
        <v>0</v>
      </c>
      <c r="W68" s="164"/>
      <c r="X68" s="158" t="str">
        <f t="shared" si="6"/>
        <v>BRAZIMIL TEXT. LISA SACO VALV 12,5KG</v>
      </c>
      <c r="Y68" s="165">
        <f>+C68</f>
        <v>0</v>
      </c>
      <c r="Z68" s="159">
        <f>IF(ISERROR(Y68*N68),"",Y68*N68)</f>
        <v>0</v>
      </c>
      <c r="AA68" s="159">
        <f>IF(ISERROR(IF(E$7="X",Y68*E68,Y68*F68)),"",IF(E$7="X",Y68*E68,Y68*F68))</f>
        <v>0</v>
      </c>
      <c r="AB68" s="154" t="str">
        <f t="shared" si="5"/>
        <v/>
      </c>
      <c r="AC68" s="166"/>
      <c r="AD68" s="167"/>
      <c r="AE68" s="143">
        <v>0.05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28">
        <f>Peso!B70</f>
        <v>12.54</v>
      </c>
      <c r="AV68" s="198"/>
    </row>
    <row r="69" spans="1:48" hidden="1" outlineLevel="2" x14ac:dyDescent="0.2">
      <c r="A69" s="182" t="s">
        <v>192</v>
      </c>
      <c r="B69" s="307">
        <v>0</v>
      </c>
      <c r="C69" s="219"/>
      <c r="D69" s="154">
        <f>IF($F$7="x",IF(F69=0,0,N69/F69),IF($E$7="x",IF(F69=0,0,N69/E69),""))</f>
        <v>0</v>
      </c>
      <c r="E69" s="155">
        <f>+B69*(-B$5+100%)</f>
        <v>0</v>
      </c>
      <c r="F69" s="155">
        <f>IF(B69=0,0,E69-H69)</f>
        <v>0</v>
      </c>
      <c r="G69" s="156">
        <f>VLOOKUP(A69,Custo!A:B,2,0)</f>
        <v>0</v>
      </c>
      <c r="H69" s="155">
        <f>(VLOOKUP(A69,Peso!$A$10:$B$148,2,0))*($B$6/1000)</f>
        <v>2.577</v>
      </c>
      <c r="I69" s="157">
        <f t="shared" si="34"/>
        <v>0.05</v>
      </c>
      <c r="J69" s="158">
        <f>+B69*I69</f>
        <v>0</v>
      </c>
      <c r="K69" s="353">
        <f>IF($B$2="X",$C$2,0)</f>
        <v>0</v>
      </c>
      <c r="L69" s="158">
        <f>+B69*K69</f>
        <v>0</v>
      </c>
      <c r="M69" s="158">
        <f>+G69+H69+J69+L69</f>
        <v>2.577</v>
      </c>
      <c r="N69" s="176">
        <f>+E69-M69</f>
        <v>-2.577</v>
      </c>
      <c r="O69" s="159" t="str">
        <f>IF(ISERROR((N69/P69)*1000),"",(N69/P69)*1000)</f>
        <v/>
      </c>
      <c r="P69" s="158"/>
      <c r="Q69" s="160">
        <f>VLOOKUP(A69,'MVA-IPI'!A:AD,30,FALSE)</f>
        <v>0</v>
      </c>
      <c r="R69" s="161">
        <f>IF($B$4="AM",0,IF($B$4="AP",0,IF($B$4="RR",0,(B69*Q69))))</f>
        <v>0</v>
      </c>
      <c r="S69" s="161">
        <f>IF($B$4="AP",(B69/0.88*$S$8),IF(T69=0%,0,IF($B$4="AM",(B69/0.88*$S$8),IF(T69=0%,0,IF($B$4="RR",(B69/0.88*$S$8),IF(T69=0%,0,B69*$S$8))))))</f>
        <v>0</v>
      </c>
      <c r="T69" s="160">
        <f>IF($C$4="GRUPO 1",VLOOKUP(A69,'MVA-grupos'!$A$9:$B$128,2,FALSE),IF($C$4="GRUPO 2",VLOOKUP(A69,'MVA-grupos'!$A$9:$D$128,4,FALSE),IF($C$4="GRUPO 3",VLOOKUP(A69,'MVA-grupos'!$A$10:$F$128,6,FALSE),IF($C$4="Grupo 4",VLOOKUP(A69,'MVA-grupos'!$A$9:$H$128,8,FALSE)))))</f>
        <v>0</v>
      </c>
      <c r="U69" s="162">
        <f>IF(T69=0%,0,(B69+R69)*T69+(B69+R69))</f>
        <v>0</v>
      </c>
      <c r="V69" s="162">
        <f>(U69*$V$8)-S69</f>
        <v>0</v>
      </c>
      <c r="W69" s="164"/>
      <c r="X69" s="158" t="str">
        <f t="shared" si="6"/>
        <v>BRAZIMIL TEXT. LISA PPQ 25KG</v>
      </c>
      <c r="Y69" s="165">
        <f>+C69</f>
        <v>0</v>
      </c>
      <c r="Z69" s="159">
        <f>IF(ISERROR(Y69*N69),"",Y69*N69)</f>
        <v>0</v>
      </c>
      <c r="AA69" s="159">
        <f>IF(ISERROR(IF(E$7="X",Y69*E69,Y69*F69)),"",IF(E$7="X",Y69*E69,Y69*F69))</f>
        <v>0</v>
      </c>
      <c r="AB69" s="154" t="str">
        <f t="shared" si="5"/>
        <v/>
      </c>
      <c r="AC69" s="166"/>
      <c r="AD69" s="167"/>
      <c r="AE69" s="143">
        <v>0.05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28">
        <f>Peso!B71</f>
        <v>25.77</v>
      </c>
      <c r="AV69" s="198"/>
    </row>
    <row r="70" spans="1:48" hidden="1" outlineLevel="2" x14ac:dyDescent="0.2">
      <c r="A70" s="182" t="s">
        <v>193</v>
      </c>
      <c r="B70" s="307">
        <v>0</v>
      </c>
      <c r="C70" s="219"/>
      <c r="D70" s="154">
        <f>IF($F$7="x",IF(F70=0,0,N70/F70),IF($E$7="x",IF(F70=0,0,N70/E70),""))</f>
        <v>0</v>
      </c>
      <c r="E70" s="155">
        <f>+B70*(-B$5+100%)</f>
        <v>0</v>
      </c>
      <c r="F70" s="155">
        <f>IF(B70=0,0,E70-H70)</f>
        <v>0</v>
      </c>
      <c r="G70" s="156">
        <f>VLOOKUP(A70,Custo!A:B,2,0)</f>
        <v>46.778430928502104</v>
      </c>
      <c r="H70" s="155">
        <f>(VLOOKUP(A70,Peso!$A$10:$B$148,2,0))*($B$6/1000)</f>
        <v>2.5640000000000001</v>
      </c>
      <c r="I70" s="157">
        <f t="shared" si="34"/>
        <v>0.05</v>
      </c>
      <c r="J70" s="158">
        <f>+B70*I70</f>
        <v>0</v>
      </c>
      <c r="K70" s="353">
        <f>IF($B$2="X",$C$2,0)</f>
        <v>0</v>
      </c>
      <c r="L70" s="158">
        <f>+B70*K70</f>
        <v>0</v>
      </c>
      <c r="M70" s="158">
        <f>+G70+H70+J70+L70</f>
        <v>49.342430928502104</v>
      </c>
      <c r="N70" s="176">
        <f>+E70-M70</f>
        <v>-49.342430928502104</v>
      </c>
      <c r="O70" s="159" t="str">
        <f>IF(ISERROR((N70/P70)*1000),"",(N70/P70)*1000)</f>
        <v/>
      </c>
      <c r="P70" s="158"/>
      <c r="Q70" s="160">
        <f>VLOOKUP(A70,'MVA-IPI'!A:AD,30,FALSE)</f>
        <v>0</v>
      </c>
      <c r="R70" s="161">
        <f>IF($B$4="AM",0,IF($B$4="AP",0,IF($B$4="RR",0,(B70*Q70))))</f>
        <v>0</v>
      </c>
      <c r="S70" s="161">
        <f>IF($B$4="AP",(B70/0.88*$S$8),IF(T70=0%,0,IF($B$4="AM",(B70/0.88*$S$8),IF(T70=0%,0,IF($B$4="RR",(B70/0.88*$S$8),IF(T70=0%,0,B70*$S$8))))))</f>
        <v>0</v>
      </c>
      <c r="T70" s="160">
        <f>IF($C$4="GRUPO 1",VLOOKUP(A70,'MVA-grupos'!$A$9:$B$128,2,FALSE),IF($C$4="GRUPO 2",VLOOKUP(A70,'MVA-grupos'!$A$9:$D$128,4,FALSE),IF($C$4="GRUPO 3",VLOOKUP(A70,'MVA-grupos'!$A$10:$F$128,6,FALSE),IF($C$4="Grupo 4",VLOOKUP(A70,'MVA-grupos'!$A$9:$H$128,8,FALSE)))))</f>
        <v>0</v>
      </c>
      <c r="U70" s="162">
        <f>IF(T70=0%,0,(B70+R70)*T70+(B70+R70))</f>
        <v>0</v>
      </c>
      <c r="V70" s="162">
        <f>(U70*$V$8)-S70</f>
        <v>0</v>
      </c>
      <c r="W70" s="164"/>
      <c r="X70" s="158" t="str">
        <f t="shared" si="6"/>
        <v>BRAZIMIL TEXT. LISA BALDE 25KG</v>
      </c>
      <c r="Y70" s="165">
        <f>+C70</f>
        <v>0</v>
      </c>
      <c r="Z70" s="159">
        <f>IF(ISERROR(Y70*N70),"",Y70*N70)</f>
        <v>0</v>
      </c>
      <c r="AA70" s="159">
        <f>IF(ISERROR(IF(E$7="X",Y70*E70,Y70*F70)),"",IF(E$7="X",Y70*E70,Y70*F70))</f>
        <v>0</v>
      </c>
      <c r="AB70" s="154" t="str">
        <f t="shared" si="5"/>
        <v/>
      </c>
      <c r="AC70" s="166"/>
      <c r="AD70" s="167"/>
      <c r="AE70" s="143">
        <v>0.05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28">
        <f>Peso!B72</f>
        <v>25.64</v>
      </c>
      <c r="AV70" s="198"/>
    </row>
    <row r="71" spans="1:48" s="295" customFormat="1" hidden="1" outlineLevel="1" collapsed="1" x14ac:dyDescent="0.2">
      <c r="A71" s="248" t="s">
        <v>194</v>
      </c>
      <c r="B71" s="249"/>
      <c r="C71" s="229"/>
      <c r="D71" s="230" t="str">
        <f>AB71</f>
        <v/>
      </c>
      <c r="E71" s="250"/>
      <c r="F71" s="250"/>
      <c r="G71" s="251"/>
      <c r="H71" s="250"/>
      <c r="I71" s="252">
        <f t="shared" si="34"/>
        <v>0</v>
      </c>
      <c r="J71" s="253"/>
      <c r="K71" s="253"/>
      <c r="L71" s="253"/>
      <c r="M71" s="253"/>
      <c r="N71" s="363"/>
      <c r="O71" s="254"/>
      <c r="P71" s="253"/>
      <c r="Q71" s="255"/>
      <c r="R71" s="237"/>
      <c r="S71" s="237"/>
      <c r="T71" s="236"/>
      <c r="U71" s="256"/>
      <c r="V71" s="256"/>
      <c r="W71" s="257"/>
      <c r="X71" s="253" t="str">
        <f t="shared" si="6"/>
        <v>BRAZIMIL TEXT. RÚSTICA</v>
      </c>
      <c r="Y71" s="258"/>
      <c r="Z71" s="254">
        <f>SUM(Z72:Z75)</f>
        <v>0</v>
      </c>
      <c r="AA71" s="254">
        <f>SUM(AA72:AA75)</f>
        <v>0</v>
      </c>
      <c r="AB71" s="230" t="str">
        <f t="shared" si="5"/>
        <v/>
      </c>
      <c r="AC71" s="259">
        <v>0.25</v>
      </c>
      <c r="AD71" s="242"/>
      <c r="AE71" s="261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8">
        <f>Peso!B73</f>
        <v>0</v>
      </c>
      <c r="AT71" s="296"/>
      <c r="AU71" s="299"/>
      <c r="AV71" s="300"/>
    </row>
    <row r="72" spans="1:48" hidden="1" outlineLevel="2" x14ac:dyDescent="0.2">
      <c r="A72" s="182" t="s">
        <v>195</v>
      </c>
      <c r="B72" s="307">
        <v>14.44</v>
      </c>
      <c r="C72" s="219"/>
      <c r="D72" s="154">
        <f>IF($F$7="x",IF(F72=0,0,N72/F72),IF($E$7="x",IF(F72=0,0,N72/E72),""))</f>
        <v>0.90781282578262301</v>
      </c>
      <c r="E72" s="155">
        <f>+B72*(-B$5+100%)</f>
        <v>13.429199999999998</v>
      </c>
      <c r="F72" s="155">
        <f>IF(B72=0,0,E72-H72)</f>
        <v>12.913199999999998</v>
      </c>
      <c r="G72" s="156">
        <f>VLOOKUP(A72,Custo!A:B,2,0)</f>
        <v>0</v>
      </c>
      <c r="H72" s="155">
        <f>(VLOOKUP(A72,Peso!$A$10:$B$148,2,0))*($B$6/1000)</f>
        <v>0.51600000000000001</v>
      </c>
      <c r="I72" s="157">
        <f t="shared" si="34"/>
        <v>0.05</v>
      </c>
      <c r="J72" s="158">
        <f>+B72*I72</f>
        <v>0.72199999999999998</v>
      </c>
      <c r="K72" s="158"/>
      <c r="L72" s="158"/>
      <c r="M72" s="158">
        <f>+G72+H72+J72</f>
        <v>1.238</v>
      </c>
      <c r="N72" s="176">
        <f>+E72-M72</f>
        <v>12.191199999999998</v>
      </c>
      <c r="O72" s="159" t="str">
        <f>IF(ISERROR((N72/P72)*1000),"",(N72/P72)*1000)</f>
        <v/>
      </c>
      <c r="P72" s="158"/>
      <c r="Q72" s="160">
        <f>VLOOKUP(A72,'MVA-IPI'!A:AD,30,FALSE)</f>
        <v>0</v>
      </c>
      <c r="R72" s="161">
        <f>IF($B$4="AM",0,IF($B$4="AP",0,IF($B$4="RR",0,(B72*Q72))))</f>
        <v>0</v>
      </c>
      <c r="S72" s="161">
        <f>IF($B$4="AP",(B72/0.88*$S$8),IF(T72=0%,0,IF($B$4="AM",(B72/0.88*$S$8),IF(T72=0%,0,IF($B$4="RR",(B72/0.88*$S$8),IF(T72=0%,0,B72*$S$8))))))</f>
        <v>0</v>
      </c>
      <c r="T72" s="160">
        <f>IF($C$4="GRUPO 1",VLOOKUP(A72,'MVA-grupos'!$A$9:$B$128,2,FALSE),IF($C$4="GRUPO 2",VLOOKUP(A72,'MVA-grupos'!$A$9:$D$128,4,FALSE),IF($C$4="GRUPO 3",VLOOKUP(A72,'MVA-grupos'!$A$10:$F$128,6,FALSE),IF($C$4="Grupo 4",VLOOKUP(A72,'MVA-grupos'!$A$9:$H$128,8,FALSE)))))</f>
        <v>0</v>
      </c>
      <c r="U72" s="162">
        <f>IF(T72=0%,0,(B72+R72)*T72+(B72+R72))</f>
        <v>0</v>
      </c>
      <c r="V72" s="162">
        <f>(U72*$V$8)-S72</f>
        <v>0</v>
      </c>
      <c r="W72" s="164"/>
      <c r="X72" s="158" t="str">
        <f t="shared" si="6"/>
        <v>BRAZIMIL TEXT. RÚSTICA GALÃO 5KG</v>
      </c>
      <c r="Y72" s="165">
        <f>+C72</f>
        <v>0</v>
      </c>
      <c r="Z72" s="159">
        <f>IF(ISERROR(Y72*N72),"",Y72*N72)</f>
        <v>0</v>
      </c>
      <c r="AA72" s="159">
        <f>IF(ISERROR(IF(E$7="X",Y72*E72,Y72*F72)),"",IF(E$7="X",Y72*E72,Y72*F72))</f>
        <v>0</v>
      </c>
      <c r="AB72" s="154" t="str">
        <f t="shared" ref="AB72:AB103" si="35">IF(ISERROR(Z72/AA72),"",Z72/AA72)</f>
        <v/>
      </c>
      <c r="AC72" s="166"/>
      <c r="AD72" s="167"/>
      <c r="AE72" s="143">
        <v>0.05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28">
        <f>Peso!B74</f>
        <v>5.16</v>
      </c>
      <c r="AV72" s="198"/>
    </row>
    <row r="73" spans="1:48" hidden="1" outlineLevel="2" x14ac:dyDescent="0.2">
      <c r="A73" s="182" t="s">
        <v>196</v>
      </c>
      <c r="B73" s="307">
        <v>14.44</v>
      </c>
      <c r="C73" s="219"/>
      <c r="D73" s="154">
        <f>IF($F$7="x",IF(F73=0,0,N73/F73),IF($E$7="x",IF(F73=0,0,N73/E73),""))</f>
        <v>0.8528579513299378</v>
      </c>
      <c r="E73" s="155">
        <f>+B73*(-B$5+100%)</f>
        <v>13.429199999999998</v>
      </c>
      <c r="F73" s="155">
        <f>IF(B73=0,0,E73-H73)</f>
        <v>12.175199999999998</v>
      </c>
      <c r="G73" s="156">
        <f>VLOOKUP(A73,Custo!A:B,2,0)</f>
        <v>0</v>
      </c>
      <c r="H73" s="155">
        <f>(VLOOKUP(A73,Peso!$A$10:$B$148,2,0))*($B$6/1000)</f>
        <v>1.254</v>
      </c>
      <c r="I73" s="157">
        <f t="shared" si="34"/>
        <v>0.05</v>
      </c>
      <c r="J73" s="158">
        <f>+B73*I73</f>
        <v>0.72199999999999998</v>
      </c>
      <c r="K73" s="158"/>
      <c r="L73" s="158"/>
      <c r="M73" s="158">
        <f>+G73+H73+J73</f>
        <v>1.976</v>
      </c>
      <c r="N73" s="176">
        <f>+E73-M73</f>
        <v>11.453199999999999</v>
      </c>
      <c r="O73" s="159" t="str">
        <f>IF(ISERROR((N73/P73)*1000),"",(N73/P73)*1000)</f>
        <v/>
      </c>
      <c r="P73" s="158"/>
      <c r="Q73" s="160">
        <f>VLOOKUP(A73,'MVA-IPI'!A:AD,30,FALSE)</f>
        <v>0</v>
      </c>
      <c r="R73" s="161">
        <f>IF($B$4="AM",0,IF($B$4="AP",0,IF($B$4="RR",0,(B73*Q73))))</f>
        <v>0</v>
      </c>
      <c r="S73" s="161">
        <f>IF($B$4="AP",(B73/0.88*$S$8),IF(T73=0%,0,IF($B$4="AM",(B73/0.88*$S$8),IF(T73=0%,0,IF($B$4="RR",(B73/0.88*$S$8),IF(T73=0%,0,B73*$S$8))))))</f>
        <v>0</v>
      </c>
      <c r="T73" s="160">
        <f>IF($C$4="GRUPO 1",VLOOKUP(A73,'MVA-grupos'!$A$9:$B$128,2,FALSE),IF($C$4="GRUPO 2",VLOOKUP(A73,'MVA-grupos'!$A$9:$D$128,4,FALSE),IF($C$4="GRUPO 3",VLOOKUP(A73,'MVA-grupos'!$A$10:$F$128,6,FALSE),IF($C$4="Grupo 4",VLOOKUP(A73,'MVA-grupos'!$A$9:$H$128,8,FALSE)))))</f>
        <v>0</v>
      </c>
      <c r="U73" s="162">
        <f>IF(T73=0%,0,(B73+R73)*T73+(B73+R73))</f>
        <v>0</v>
      </c>
      <c r="V73" s="162">
        <f>(U73*$V$8)-S73</f>
        <v>0</v>
      </c>
      <c r="W73" s="164"/>
      <c r="X73" s="158" t="str">
        <f t="shared" si="6"/>
        <v>BRAZIMIL TEXT. RÚSTICA SACO VALV 12,5KG</v>
      </c>
      <c r="Y73" s="165">
        <f>+C73</f>
        <v>0</v>
      </c>
      <c r="Z73" s="159">
        <f>IF(ISERROR(Y73*N73),"",Y73*N73)</f>
        <v>0</v>
      </c>
      <c r="AA73" s="159">
        <f>IF(ISERROR(IF(E$7="X",Y73*E73,Y73*F73)),"",IF(E$7="X",Y73*E73,Y73*F73))</f>
        <v>0</v>
      </c>
      <c r="AB73" s="154" t="str">
        <f t="shared" si="35"/>
        <v/>
      </c>
      <c r="AC73" s="166"/>
      <c r="AD73" s="167"/>
      <c r="AE73" s="143">
        <v>0.05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28">
        <f>Peso!B75</f>
        <v>12.54</v>
      </c>
      <c r="AV73" s="198"/>
    </row>
    <row r="74" spans="1:48" hidden="1" outlineLevel="2" x14ac:dyDescent="0.2">
      <c r="A74" s="182" t="s">
        <v>197</v>
      </c>
      <c r="B74" s="307">
        <v>14.44</v>
      </c>
      <c r="C74" s="219"/>
      <c r="D74" s="154">
        <f>IF($F$7="x",IF(F74=0,0,N74/F74),IF($E$7="x",IF(F74=0,0,N74/E74),""))</f>
        <v>0.75434128615256313</v>
      </c>
      <c r="E74" s="155">
        <f>+B74*(-B$5+100%)</f>
        <v>13.429199999999998</v>
      </c>
      <c r="F74" s="155">
        <f>IF(B74=0,0,E74-H74)</f>
        <v>10.852199999999998</v>
      </c>
      <c r="G74" s="156">
        <f>VLOOKUP(A74,Custo!A:B,2,0)</f>
        <v>0</v>
      </c>
      <c r="H74" s="155">
        <f>(VLOOKUP(A74,Peso!$A$10:$B$148,2,0))*($B$6/1000)</f>
        <v>2.577</v>
      </c>
      <c r="I74" s="157">
        <f t="shared" si="34"/>
        <v>0.05</v>
      </c>
      <c r="J74" s="158">
        <f>+B74*I74</f>
        <v>0.72199999999999998</v>
      </c>
      <c r="K74" s="158"/>
      <c r="L74" s="158"/>
      <c r="M74" s="158">
        <f>+G74+H74+J74</f>
        <v>3.2989999999999999</v>
      </c>
      <c r="N74" s="176">
        <f>+E74-M74</f>
        <v>10.130199999999999</v>
      </c>
      <c r="O74" s="159" t="str">
        <f>IF(ISERROR((N74/P74)*1000),"",(N74/P74)*1000)</f>
        <v/>
      </c>
      <c r="P74" s="158"/>
      <c r="Q74" s="160">
        <f>VLOOKUP(A74,'MVA-IPI'!A:AD,30,FALSE)</f>
        <v>0</v>
      </c>
      <c r="R74" s="161">
        <f>IF($B$4="AM",0,IF($B$4="AP",0,IF($B$4="RR",0,(B74*Q74))))</f>
        <v>0</v>
      </c>
      <c r="S74" s="161">
        <f>IF($B$4="AP",(B74/0.88*$S$8),IF(T74=0%,0,IF($B$4="AM",(B74/0.88*$S$8),IF(T74=0%,0,IF($B$4="RR",(B74/0.88*$S$8),IF(T74=0%,0,B74*$S$8))))))</f>
        <v>0</v>
      </c>
      <c r="T74" s="160">
        <f>IF($C$4="GRUPO 1",VLOOKUP(A74,'MVA-grupos'!$A$9:$B$128,2,FALSE),IF($C$4="GRUPO 2",VLOOKUP(A74,'MVA-grupos'!$A$9:$D$128,4,FALSE),IF($C$4="GRUPO 3",VLOOKUP(A74,'MVA-grupos'!$A$10:$F$128,6,FALSE),IF($C$4="Grupo 4",VLOOKUP(A74,'MVA-grupos'!$A$9:$H$128,8,FALSE)))))</f>
        <v>0</v>
      </c>
      <c r="U74" s="162">
        <f>IF(T74=0%,0,(B74+R74)*T74+(B74+R74))</f>
        <v>0</v>
      </c>
      <c r="V74" s="162">
        <f>(U74*$V$8)-S74</f>
        <v>0</v>
      </c>
      <c r="W74" s="164"/>
      <c r="X74" s="158" t="str">
        <f t="shared" si="6"/>
        <v>BRAZIMIL TEXT. RÚSTICA PPQ 25KG</v>
      </c>
      <c r="Y74" s="165">
        <f>+C74</f>
        <v>0</v>
      </c>
      <c r="Z74" s="159">
        <f>IF(ISERROR(Y74*N74),"",Y74*N74)</f>
        <v>0</v>
      </c>
      <c r="AA74" s="159">
        <f>IF(ISERROR(IF(E$7="X",Y74*E74,Y74*F74)),"",IF(E$7="X",Y74*E74,Y74*F74))</f>
        <v>0</v>
      </c>
      <c r="AB74" s="154" t="str">
        <f t="shared" si="35"/>
        <v/>
      </c>
      <c r="AC74" s="166"/>
      <c r="AD74" s="167"/>
      <c r="AE74" s="143">
        <v>0.05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28">
        <f>Peso!B76</f>
        <v>25.77</v>
      </c>
      <c r="AV74" s="198"/>
    </row>
    <row r="75" spans="1:48" hidden="1" outlineLevel="2" x14ac:dyDescent="0.2">
      <c r="A75" s="182" t="s">
        <v>198</v>
      </c>
      <c r="B75" s="307">
        <v>72.459999999999994</v>
      </c>
      <c r="C75" s="219"/>
      <c r="D75" s="154">
        <f>IF($F$7="x",IF(F75=0,0,N75/F75),IF($E$7="x",IF(F75=0,0,N75/E75),""))</f>
        <v>0.90818812900851487</v>
      </c>
      <c r="E75" s="155">
        <f>+B75*(-B$5+100%)</f>
        <v>67.387799999999984</v>
      </c>
      <c r="F75" s="155">
        <f>IF(B75=0,0,E75-H75)</f>
        <v>64.823799999999977</v>
      </c>
      <c r="G75" s="156">
        <f>VLOOKUP(A75,Custo!A:B,2,0)</f>
        <v>0</v>
      </c>
      <c r="H75" s="155">
        <f>(VLOOKUP(A75,Peso!$A$10:$B$148,2,0))*($B$6/1000)</f>
        <v>2.5640000000000001</v>
      </c>
      <c r="I75" s="157">
        <f t="shared" si="34"/>
        <v>0.05</v>
      </c>
      <c r="J75" s="158">
        <f>+B75*I75</f>
        <v>3.6229999999999998</v>
      </c>
      <c r="K75" s="158"/>
      <c r="L75" s="158"/>
      <c r="M75" s="158">
        <f>+G75+H75+J75</f>
        <v>6.1869999999999994</v>
      </c>
      <c r="N75" s="176">
        <f>+E75-M75</f>
        <v>61.200799999999987</v>
      </c>
      <c r="O75" s="159" t="str">
        <f>IF(ISERROR((N75/P75)*1000),"",(N75/P75)*1000)</f>
        <v/>
      </c>
      <c r="P75" s="158"/>
      <c r="Q75" s="160">
        <f>VLOOKUP(A75,'MVA-IPI'!A:AD,30,FALSE)</f>
        <v>0</v>
      </c>
      <c r="R75" s="161">
        <f>IF($B$4="AM",0,IF($B$4="AP",0,IF($B$4="RR",0,(B75*Q75))))</f>
        <v>0</v>
      </c>
      <c r="S75" s="161">
        <f>IF($B$4="AP",(B75/0.88*$S$8),IF(T75=0%,0,IF($B$4="AM",(B75/0.88*$S$8),IF(T75=0%,0,IF($B$4="RR",(B75/0.88*$S$8),IF(T75=0%,0,B75*$S$8))))))</f>
        <v>0</v>
      </c>
      <c r="T75" s="160">
        <f>IF($C$4="GRUPO 1",VLOOKUP(A75,'MVA-grupos'!$A$9:$B$128,2,FALSE),IF($C$4="GRUPO 2",VLOOKUP(A75,'MVA-grupos'!$A$9:$D$128,4,FALSE),IF($C$4="GRUPO 3",VLOOKUP(A75,'MVA-grupos'!$A$10:$F$128,6,FALSE),IF($C$4="Grupo 4",VLOOKUP(A75,'MVA-grupos'!$A$9:$H$128,8,FALSE)))))</f>
        <v>0</v>
      </c>
      <c r="U75" s="162">
        <f>IF(T75=0%,0,(B75+R75)*T75+(B75+R75))</f>
        <v>0</v>
      </c>
      <c r="V75" s="162">
        <f>(U75*$V$8)-S75</f>
        <v>0</v>
      </c>
      <c r="W75" s="164"/>
      <c r="X75" s="158" t="str">
        <f t="shared" si="6"/>
        <v>BRAZIMIL TEXT. RÚSTICA BALDE 25KG</v>
      </c>
      <c r="Y75" s="165">
        <f>+C75</f>
        <v>0</v>
      </c>
      <c r="Z75" s="159">
        <f>IF(ISERROR(Y75*N75),"",Y75*N75)</f>
        <v>0</v>
      </c>
      <c r="AA75" s="159">
        <f>IF(ISERROR(IF(E$7="X",Y75*E75,Y75*F75)),"",IF(E$7="X",Y75*E75,Y75*F75))</f>
        <v>0</v>
      </c>
      <c r="AB75" s="154" t="str">
        <f t="shared" si="35"/>
        <v/>
      </c>
      <c r="AC75" s="166"/>
      <c r="AD75" s="167"/>
      <c r="AE75" s="143">
        <v>0.05</v>
      </c>
      <c r="AF75" s="172"/>
      <c r="AG75" s="172"/>
      <c r="AH75" s="172"/>
      <c r="AI75" s="170"/>
      <c r="AJ75" s="172"/>
      <c r="AK75" s="172"/>
      <c r="AL75" s="172"/>
      <c r="AM75" s="172"/>
      <c r="AN75" s="172"/>
      <c r="AO75" s="172"/>
      <c r="AP75" s="28">
        <f>Peso!B77</f>
        <v>25.64</v>
      </c>
      <c r="AV75" s="198"/>
    </row>
    <row r="76" spans="1:48" s="301" customFormat="1" x14ac:dyDescent="0.2">
      <c r="A76" s="275" t="s">
        <v>83</v>
      </c>
      <c r="B76" s="129"/>
      <c r="C76" s="217"/>
      <c r="D76" s="276" t="str">
        <f>AB76</f>
        <v/>
      </c>
      <c r="E76" s="277"/>
      <c r="F76" s="277"/>
      <c r="G76" s="278"/>
      <c r="H76" s="277"/>
      <c r="I76" s="279"/>
      <c r="J76" s="280"/>
      <c r="K76" s="280"/>
      <c r="L76" s="280"/>
      <c r="M76" s="280"/>
      <c r="N76" s="336"/>
      <c r="O76" s="281"/>
      <c r="P76" s="280"/>
      <c r="Q76" s="282"/>
      <c r="R76" s="283"/>
      <c r="S76" s="283"/>
      <c r="T76" s="282"/>
      <c r="U76" s="284"/>
      <c r="V76" s="284"/>
      <c r="W76" s="285"/>
      <c r="X76" s="286" t="s">
        <v>83</v>
      </c>
      <c r="Y76" s="287"/>
      <c r="Z76" s="288">
        <f>Z77+Z83+Z89+Z92+Z95+Z99+Z103+Z105</f>
        <v>0</v>
      </c>
      <c r="AA76" s="288">
        <f>AA77+AA83+AA89+AA92+AA95+AA99+AA103+AA105</f>
        <v>0</v>
      </c>
      <c r="AB76" s="276" t="str">
        <f t="shared" si="35"/>
        <v/>
      </c>
      <c r="AC76" s="276">
        <v>0.25</v>
      </c>
      <c r="AD76" s="289"/>
      <c r="AE76" s="290"/>
      <c r="AF76" s="291"/>
      <c r="AG76" s="291"/>
      <c r="AH76" s="291"/>
      <c r="AI76" s="292"/>
      <c r="AJ76" s="291"/>
      <c r="AK76" s="291"/>
      <c r="AL76" s="291"/>
      <c r="AM76" s="291"/>
      <c r="AN76" s="291"/>
      <c r="AO76" s="291"/>
      <c r="AP76" s="28">
        <f>Peso!B78</f>
        <v>0</v>
      </c>
      <c r="AT76" s="302"/>
      <c r="AU76" s="303"/>
      <c r="AV76" s="304"/>
    </row>
    <row r="77" spans="1:48" s="295" customFormat="1" outlineLevel="1" x14ac:dyDescent="0.2">
      <c r="A77" s="212" t="s">
        <v>199</v>
      </c>
      <c r="B77" s="129"/>
      <c r="C77" s="217"/>
      <c r="D77" s="125" t="str">
        <f>AB77</f>
        <v/>
      </c>
      <c r="E77" s="87"/>
      <c r="F77" s="87"/>
      <c r="G77" s="88"/>
      <c r="H77" s="87"/>
      <c r="I77" s="89"/>
      <c r="J77" s="86"/>
      <c r="K77" s="86"/>
      <c r="L77" s="86"/>
      <c r="M77" s="86"/>
      <c r="N77" s="363"/>
      <c r="O77" s="113"/>
      <c r="P77" s="86"/>
      <c r="Q77" s="92"/>
      <c r="R77" s="121"/>
      <c r="S77" s="121"/>
      <c r="T77" s="93"/>
      <c r="U77" s="94"/>
      <c r="V77" s="94"/>
      <c r="W77" s="90"/>
      <c r="X77" s="126" t="str">
        <f t="shared" ref="X77:X107" si="36">A77</f>
        <v>BRAZIMIL ESMALTE SINTÉTICO 0,75L</v>
      </c>
      <c r="Y77" s="127"/>
      <c r="Z77" s="128">
        <f>SUM(Z78:Z82)</f>
        <v>0</v>
      </c>
      <c r="AA77" s="128">
        <f>SUM(AA78:AA82)</f>
        <v>0</v>
      </c>
      <c r="AB77" s="122" t="str">
        <f t="shared" si="35"/>
        <v/>
      </c>
      <c r="AC77" s="140">
        <v>0.25</v>
      </c>
      <c r="AD77" s="96"/>
      <c r="AE77" s="143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28">
        <f>Peso!B79</f>
        <v>0</v>
      </c>
      <c r="AT77" s="296"/>
      <c r="AU77" s="299"/>
      <c r="AV77" s="300"/>
    </row>
    <row r="78" spans="1:48" s="172" customFormat="1" hidden="1" outlineLevel="2" x14ac:dyDescent="0.2">
      <c r="A78" s="388" t="s">
        <v>200</v>
      </c>
      <c r="B78" s="307">
        <v>27.2</v>
      </c>
      <c r="C78" s="219"/>
      <c r="D78" s="154">
        <f t="shared" ref="D78:D90" si="37">IF($F$7="x",IF(F78=0,0,N78/F78),IF($E$7="x",IF(F78=0,0,N78/E78),""))</f>
        <v>0.30931411980407797</v>
      </c>
      <c r="E78" s="155">
        <f>+B78*(-B$5+100%)</f>
        <v>25.295999999999999</v>
      </c>
      <c r="F78" s="155">
        <f>IF(B78=0,0,E78-H78)</f>
        <v>25.210999999999999</v>
      </c>
      <c r="G78" s="156">
        <f>VLOOKUP(A78,Custo!A:B,2,0)</f>
        <v>16.026590025436043</v>
      </c>
      <c r="H78" s="155">
        <f>(VLOOKUP(A78,Peso!$A$10:$B$148,2,0))*($B$6/1000)</f>
        <v>8.5000000000000006E-2</v>
      </c>
      <c r="I78" s="157">
        <f>IF($I$7="X",AE78,0%)</f>
        <v>0.05</v>
      </c>
      <c r="J78" s="158">
        <f>+B78*I78</f>
        <v>1.36</v>
      </c>
      <c r="K78" s="158"/>
      <c r="L78" s="158"/>
      <c r="M78" s="158">
        <f t="shared" ref="M78:M88" si="38">+G78+H78+J78</f>
        <v>17.471590025436043</v>
      </c>
      <c r="N78" s="158">
        <f t="shared" ref="N78:N90" si="39">+E78-M78</f>
        <v>7.8244099745639559</v>
      </c>
      <c r="O78" s="159" t="str">
        <f>IF(ISERROR((N78/P78)*100),"",(N78/P78)*100)</f>
        <v/>
      </c>
      <c r="P78" s="158"/>
      <c r="Q78" s="160">
        <f>VLOOKUP(A78,'MVA-IPI'!A:AD,30,FALSE)</f>
        <v>0</v>
      </c>
      <c r="R78" s="161">
        <f>IF($B$4="AM",0,IF($B$4="AP",0,IF($B$4="RR",0,(B78*Q78))))</f>
        <v>0</v>
      </c>
      <c r="S78" s="161">
        <f>IF($B$4="AP",(B78/0.88*$S$8),IF(T78=0%,0,IF($B$4="AM",(B78/0.88*$S$8),IF(T78=0%,0,IF($B$4="RR",(B78/0.88*$S$8),IF(T78=0%,0,B78*$S$8))))))</f>
        <v>0</v>
      </c>
      <c r="T78" s="160">
        <f>IF($C$4="GRUPO 1",VLOOKUP(A78,'MVA-grupos'!$A$9:$B$128,2,FALSE),IF($C$4="GRUPO 2",VLOOKUP(A78,'MVA-grupos'!$A$9:$D$128,4,FALSE),IF($C$4="GRUPO 3",VLOOKUP(A78,'MVA-grupos'!$A$10:$F$128,6,FALSE),IF($C$4="Grupo 4",VLOOKUP(A78,'MVA-grupos'!$A$9:$H$128,8,FALSE)))))</f>
        <v>0</v>
      </c>
      <c r="U78" s="162">
        <f>IF(T78=0%,0,(B78+R78)*T78+(B78+R78))</f>
        <v>0</v>
      </c>
      <c r="V78" s="162">
        <f>(U78*$V$8)-S78</f>
        <v>0</v>
      </c>
      <c r="W78" s="164"/>
      <c r="X78" s="158" t="str">
        <f t="shared" si="36"/>
        <v>BRAZIMIL ESMALTE SINTÉTICO 0,75L LATA ALUMÍNIO</v>
      </c>
      <c r="Y78" s="165">
        <f>+C78</f>
        <v>0</v>
      </c>
      <c r="Z78" s="159">
        <f>IF(ISERROR(Y78*N78),"",Y78*N78)</f>
        <v>0</v>
      </c>
      <c r="AA78" s="159">
        <f>IF(ISERROR(IF(E$7="X",Y78*E78,Y78*F78)),"",IF(E$7="X",Y78*E78,Y78*F78))</f>
        <v>0</v>
      </c>
      <c r="AB78" s="154" t="str">
        <f t="shared" si="35"/>
        <v/>
      </c>
      <c r="AC78" s="166"/>
      <c r="AD78" s="167"/>
      <c r="AE78" s="168">
        <v>0.05</v>
      </c>
      <c r="AP78" s="273">
        <f>Peso!B80</f>
        <v>0.85</v>
      </c>
      <c r="AT78" s="173"/>
      <c r="AU78" s="174"/>
      <c r="AV78" s="175"/>
    </row>
    <row r="79" spans="1:48" s="172" customFormat="1" hidden="1" outlineLevel="2" x14ac:dyDescent="0.2">
      <c r="A79" s="182" t="s">
        <v>200</v>
      </c>
      <c r="B79" s="307">
        <v>16.11</v>
      </c>
      <c r="C79" s="219"/>
      <c r="D79" s="154">
        <f t="shared" si="37"/>
        <v>-0.1291383849900245</v>
      </c>
      <c r="E79" s="155">
        <f>+B79*(-B$5+100%)</f>
        <v>14.982299999999999</v>
      </c>
      <c r="F79" s="155">
        <f>IF(B79=0,0,E79-H79)</f>
        <v>14.897299999999998</v>
      </c>
      <c r="G79" s="156">
        <f>VLOOKUP(A79,Custo!A:B,2,0)</f>
        <v>16.026590025436043</v>
      </c>
      <c r="H79" s="155">
        <f>(VLOOKUP(A79,Peso!$A$10:$B$148,2,0))*($B$6/1000)</f>
        <v>8.5000000000000006E-2</v>
      </c>
      <c r="I79" s="157">
        <f>IF($I$7="X",AE79,0%)</f>
        <v>0.05</v>
      </c>
      <c r="J79" s="158">
        <f>+B79*I79</f>
        <v>0.80549999999999999</v>
      </c>
      <c r="K79" s="353">
        <f>IF($B$2="X",$C$2,0)</f>
        <v>0</v>
      </c>
      <c r="L79" s="158">
        <f>+B79*K79</f>
        <v>0</v>
      </c>
      <c r="M79" s="158">
        <f>+G79+H79+J79+L79</f>
        <v>16.917090025436043</v>
      </c>
      <c r="N79" s="158">
        <f t="shared" si="39"/>
        <v>-1.9347900254360439</v>
      </c>
      <c r="O79" s="159" t="str">
        <f>IF(ISERROR((N79/P79)*100),"",(N79/P79)*100)</f>
        <v/>
      </c>
      <c r="P79" s="158"/>
      <c r="Q79" s="160">
        <f>VLOOKUP(A79,'MVA-IPI'!A:AD,30,FALSE)</f>
        <v>0</v>
      </c>
      <c r="R79" s="161">
        <f>IF($B$4="AM",0,IF($B$4="AP",0,IF($B$4="RR",0,(B79*Q79))))</f>
        <v>0</v>
      </c>
      <c r="S79" s="161">
        <f>IF($B$4="AP",(B79/0.88*$S$8),IF(T79=0%,0,IF($B$4="AM",(B79/0.88*$S$8),IF(T79=0%,0,IF($B$4="RR",(B79/0.88*$S$8),IF(T79=0%,0,B79*$S$8))))))</f>
        <v>0</v>
      </c>
      <c r="T79" s="160">
        <f>IF($C$4="GRUPO 1",VLOOKUP(A79,'MVA-grupos'!$A$9:$B$128,2,FALSE),IF($C$4="GRUPO 2",VLOOKUP(A79,'MVA-grupos'!$A$9:$D$128,4,FALSE),IF($C$4="GRUPO 3",VLOOKUP(A79,'MVA-grupos'!$A$10:$F$128,6,FALSE),IF($C$4="Grupo 4",VLOOKUP(A79,'MVA-grupos'!$A$9:$H$128,8,FALSE)))))</f>
        <v>0</v>
      </c>
      <c r="U79" s="162">
        <f>IF(T79=0%,0,(B79+R79)*T79+(B79+R79))</f>
        <v>0</v>
      </c>
      <c r="V79" s="162">
        <f>(U79*$V$8)-S79</f>
        <v>0</v>
      </c>
      <c r="W79" s="164"/>
      <c r="X79" s="158" t="str">
        <f t="shared" si="36"/>
        <v>BRAZIMIL ESMALTE SINTÉTICO 0,75L LATA ALUMÍNIO</v>
      </c>
      <c r="Y79" s="165">
        <f>+C79</f>
        <v>0</v>
      </c>
      <c r="Z79" s="159">
        <f>IF(ISERROR(Y79*N79),"",Y79*N79)</f>
        <v>0</v>
      </c>
      <c r="AA79" s="159">
        <f>IF(ISERROR(IF(E$7="X",Y79*E79,Y79*F79)),"",IF(E$7="X",Y79*E79,Y79*F79))</f>
        <v>0</v>
      </c>
      <c r="AB79" s="154" t="str">
        <f t="shared" si="35"/>
        <v/>
      </c>
      <c r="AC79" s="166"/>
      <c r="AD79" s="167"/>
      <c r="AE79" s="168">
        <v>0.05</v>
      </c>
      <c r="AF79" s="199"/>
      <c r="AG79" s="175"/>
      <c r="AH79" s="199"/>
      <c r="AP79" s="273">
        <f>Peso!B81</f>
        <v>1.05</v>
      </c>
      <c r="AT79" s="173"/>
      <c r="AU79" s="174"/>
      <c r="AV79" s="175"/>
    </row>
    <row r="80" spans="1:48" outlineLevel="2" x14ac:dyDescent="0.2">
      <c r="A80" s="178" t="s">
        <v>201</v>
      </c>
      <c r="B80" s="306">
        <v>200</v>
      </c>
      <c r="C80" s="413"/>
      <c r="D80" s="332">
        <f t="shared" si="37"/>
        <v>0.89157224562110216</v>
      </c>
      <c r="E80" s="333">
        <f>+B80*(-B$5+100%)</f>
        <v>186</v>
      </c>
      <c r="F80" s="333">
        <f>IF(B80=0,0,E80-H80)</f>
        <v>185.89500000000001</v>
      </c>
      <c r="G80" s="334">
        <f>VLOOKUP(A80,Custo!A:B,2,0)</f>
        <v>10.062562314475</v>
      </c>
      <c r="H80" s="333">
        <f>(VLOOKUP(A80,Peso!$A$10:$B$148,2,0))*($B$6/1000)</f>
        <v>0.10500000000000001</v>
      </c>
      <c r="I80" s="335">
        <f>IF($I$7="X",AE80,0%)</f>
        <v>0.05</v>
      </c>
      <c r="J80" s="336">
        <f>+B80*I80</f>
        <v>10</v>
      </c>
      <c r="K80" s="344">
        <f>IF($B$2="X",$C$2,0)</f>
        <v>0</v>
      </c>
      <c r="L80" s="176">
        <f>+B80*K80</f>
        <v>0</v>
      </c>
      <c r="M80" s="176">
        <f>+G80+H80+J80+L80</f>
        <v>20.167562314474999</v>
      </c>
      <c r="N80" s="176">
        <f t="shared" si="39"/>
        <v>165.83243768552501</v>
      </c>
      <c r="O80" s="337" t="str">
        <f>IF(ISERROR((N80/P80)*100),"",(N80/P80)*100)</f>
        <v/>
      </c>
      <c r="P80" s="336"/>
      <c r="Q80" s="338">
        <f>VLOOKUP(A80,'MVA-IPI'!A:AD,30,FALSE)</f>
        <v>0</v>
      </c>
      <c r="R80" s="339">
        <f>IF($B$4="AM",0,IF($B$4="AP",0,IF($B$4="RR",0,(B80*Q80))))</f>
        <v>0</v>
      </c>
      <c r="S80" s="339">
        <f>IF($B$4="AP",(B80/0.88*$S$8),IF(T80=0%,0,IF($B$4="AM",(B80/0.88*$S$8),IF(T80=0%,0,IF($B$4="RR",(B80/0.88*$S$8),IF(T80=0%,0,B80*$S$8))))))</f>
        <v>0</v>
      </c>
      <c r="T80" s="338">
        <f>IF($C$4="GRUPO 1",VLOOKUP(A80,'MVA-grupos'!$A$9:$B$128,2,FALSE),IF($C$4="GRUPO 2",VLOOKUP(A80,'MVA-grupos'!$A$9:$D$128,4,FALSE),IF($C$4="GRUPO 3",VLOOKUP(A80,'MVA-grupos'!$A$10:$F$128,6,FALSE),IF($C$4="Grupo 4",VLOOKUP(A80,'MVA-grupos'!$A$9:$H$128,8,FALSE)))))</f>
        <v>0</v>
      </c>
      <c r="U80" s="340">
        <f>IF(T80=0%,0,(B80+R80)*T80+(B80+R80))</f>
        <v>0</v>
      </c>
      <c r="V80" s="340">
        <f>(U80*$V$8)-S80</f>
        <v>0</v>
      </c>
      <c r="W80" s="341"/>
      <c r="X80" s="336" t="str">
        <f t="shared" si="36"/>
        <v>BRAZIMIL ESMALTE SINTÉTICO 0,75L LATA BRANCO</v>
      </c>
      <c r="Y80" s="342">
        <f>+C80</f>
        <v>0</v>
      </c>
      <c r="Z80" s="337">
        <f>IF(ISERROR(Y80*N80),"",Y80*N80)</f>
        <v>0</v>
      </c>
      <c r="AA80" s="337">
        <f>IF(ISERROR(IF(E$7="X",Y80*E80,Y80*F80)),"",IF(E$7="X",Y80*E80,Y80*F80))</f>
        <v>0</v>
      </c>
      <c r="AB80" s="332" t="str">
        <f t="shared" si="35"/>
        <v/>
      </c>
      <c r="AC80" s="332"/>
      <c r="AD80" s="343"/>
      <c r="AE80" s="194">
        <v>0.05</v>
      </c>
      <c r="AF80" s="301"/>
      <c r="AG80" s="301"/>
      <c r="AH80" s="301"/>
      <c r="AI80" s="301"/>
      <c r="AJ80" s="301"/>
      <c r="AK80" s="301"/>
      <c r="AL80" s="301"/>
      <c r="AM80" s="301"/>
      <c r="AN80" s="301"/>
      <c r="AO80" s="301"/>
      <c r="AP80" s="228">
        <f>Peso!B82</f>
        <v>19</v>
      </c>
      <c r="AV80" s="198"/>
    </row>
    <row r="81" spans="1:49" s="301" customFormat="1" outlineLevel="2" x14ac:dyDescent="0.2">
      <c r="A81" s="178" t="s">
        <v>238</v>
      </c>
      <c r="B81" s="414">
        <v>16.866</v>
      </c>
      <c r="C81" s="413"/>
      <c r="D81" s="332">
        <f>IF($F$7="x",IF(F81=0,0,N81/F81),IF($E$7="x",IF(F81=0,0,N81/E81),""))</f>
        <v>0.3015309362932953</v>
      </c>
      <c r="E81" s="333">
        <f>+B81*(-B$5+100%)</f>
        <v>15.685379999999999</v>
      </c>
      <c r="F81" s="333">
        <f>IF(B81=0,0,E81-H81)</f>
        <v>13.785379999999998</v>
      </c>
      <c r="G81" s="334">
        <f>VLOOKUP(A81,Custo!A:B,2,0)</f>
        <v>8.2124526824838711</v>
      </c>
      <c r="H81" s="333">
        <f>(VLOOKUP(A81,Peso!$A$10:$B$148,2,0))*($B$6/1000)</f>
        <v>1.9000000000000001</v>
      </c>
      <c r="I81" s="335">
        <f>IF($I$7="X",AE81,0%)</f>
        <v>0.05</v>
      </c>
      <c r="J81" s="336">
        <f>+B81*I81</f>
        <v>0.84330000000000005</v>
      </c>
      <c r="K81" s="336"/>
      <c r="L81" s="336"/>
      <c r="M81" s="336">
        <f t="shared" si="38"/>
        <v>10.955752682483871</v>
      </c>
      <c r="N81" s="176">
        <f t="shared" si="39"/>
        <v>4.7296273175161279</v>
      </c>
      <c r="O81" s="337" t="str">
        <f>IF(ISERROR((N81/P81)*100),"",(N81/P81)*100)</f>
        <v/>
      </c>
      <c r="P81" s="336"/>
      <c r="Q81" s="338">
        <f>VLOOKUP(A81,'MVA-IPI'!A:AD,30,FALSE)</f>
        <v>0</v>
      </c>
      <c r="R81" s="339">
        <f>IF($B$4="AM",0,IF($B$4="AP",0,IF($B$4="RR",0,(B81*Q81))))</f>
        <v>0</v>
      </c>
      <c r="S81" s="339">
        <f>IF($B$4="AP",(B81/0.88*$S$8),IF(T81=0%,0,IF($B$4="AM",(B81/0.88*$S$8),IF(T81=0%,0,IF($B$4="RR",(B81/0.88*$S$8),IF(T81=0%,0,B81*$S$8))))))</f>
        <v>0</v>
      </c>
      <c r="T81" s="338">
        <f>IF($C$4="GRUPO 1",VLOOKUP(A81,'MVA-grupos'!$A$9:$B$128,2,FALSE),IF($C$4="GRUPO 2",VLOOKUP(A81,'MVA-grupos'!$A$9:$D$128,4,FALSE),IF($C$4="GRUPO 3",VLOOKUP(A81,'MVA-grupos'!$A$10:$F$128,6,FALSE),IF($C$4="Grupo 4",VLOOKUP(A81,'MVA-grupos'!$A$9:$H$128,8,FALSE)))))</f>
        <v>0</v>
      </c>
      <c r="U81" s="340">
        <f>IF(T81=0%,0,(B81+R81)*T81+(B81+R81))</f>
        <v>0</v>
      </c>
      <c r="V81" s="340">
        <f>(U81*$V$8)-S81</f>
        <v>0</v>
      </c>
      <c r="W81" s="341"/>
      <c r="X81" s="336" t="str">
        <f t="shared" si="36"/>
        <v>BRAZIMIL ESMALTE SINTÉTICO 0,75L LATA PRETO</v>
      </c>
      <c r="Y81" s="342">
        <f>+C81</f>
        <v>0</v>
      </c>
      <c r="Z81" s="337">
        <f>IF(ISERROR(Y81*N81),"",Y81*N81)</f>
        <v>0</v>
      </c>
      <c r="AA81" s="337">
        <f>IF(ISERROR(IF(E$7="X",Y81*E81,Y81*F81)),"",IF(E$7="X",Y81*E81,Y81*F81))</f>
        <v>0</v>
      </c>
      <c r="AB81" s="332" t="str">
        <f t="shared" si="35"/>
        <v/>
      </c>
      <c r="AC81" s="332"/>
      <c r="AD81" s="343"/>
      <c r="AE81" s="143">
        <v>0.05</v>
      </c>
      <c r="AP81" s="228">
        <f>Peso!B83</f>
        <v>0.85</v>
      </c>
      <c r="AT81" s="302"/>
      <c r="AU81" s="303"/>
      <c r="AV81" s="304"/>
    </row>
    <row r="82" spans="1:49" s="301" customFormat="1" outlineLevel="2" x14ac:dyDescent="0.2">
      <c r="A82" s="178" t="s">
        <v>202</v>
      </c>
      <c r="B82" s="414">
        <v>16.866</v>
      </c>
      <c r="C82" s="413"/>
      <c r="D82" s="332">
        <f>IF($F$7="x",IF(F82=0,0,N82/F82),IF($E$7="x",IF(F82=0,0,N82/E82),""))</f>
        <v>0.38738078606343401</v>
      </c>
      <c r="E82" s="333">
        <f>+B82*(-B$5+100%)</f>
        <v>15.685379999999999</v>
      </c>
      <c r="F82" s="333">
        <f>IF(B82=0,0,E82-H82)</f>
        <v>15.600379999999998</v>
      </c>
      <c r="G82" s="334">
        <f>VLOOKUP(A82,Custo!A:B,2,0)</f>
        <v>8.6808651658963321</v>
      </c>
      <c r="H82" s="333">
        <f>(VLOOKUP(A82,Peso!$A$10:$B$148,2,0))*($B$6/1000)</f>
        <v>8.5000000000000006E-2</v>
      </c>
      <c r="I82" s="335">
        <f>IF($I$7="X",AE82,0%)</f>
        <v>0.05</v>
      </c>
      <c r="J82" s="336">
        <f>+B82*I82</f>
        <v>0.84330000000000005</v>
      </c>
      <c r="K82" s="336"/>
      <c r="L82" s="336"/>
      <c r="M82" s="336">
        <f t="shared" si="38"/>
        <v>9.6091651658963322</v>
      </c>
      <c r="N82" s="336">
        <f t="shared" si="39"/>
        <v>6.0762148341036664</v>
      </c>
      <c r="O82" s="337" t="str">
        <f>IF(ISERROR((N82/P82)*100),"",(N82/P82)*100)</f>
        <v/>
      </c>
      <c r="P82" s="336"/>
      <c r="Q82" s="338">
        <f>VLOOKUP(A82,'MVA-IPI'!A:AD,30,FALSE)</f>
        <v>0</v>
      </c>
      <c r="R82" s="339">
        <f>IF($B$4="AM",0,IF($B$4="AP",0,IF($B$4="RR",0,(B82*Q82))))</f>
        <v>0</v>
      </c>
      <c r="S82" s="339">
        <f>IF($B$4="AP",(B82/0.88*$S$8),IF(T82=0%,0,IF($B$4="AM",(B82/0.88*$S$8),IF(T82=0%,0,IF($B$4="RR",(B82/0.88*$S$8),IF(T82=0%,0,B82*$S$8))))))</f>
        <v>0</v>
      </c>
      <c r="T82" s="338">
        <f>IF($C$4="GRUPO 1",VLOOKUP(A82,'MVA-grupos'!$A$9:$B$128,2,FALSE),IF($C$4="GRUPO 2",VLOOKUP(A82,'MVA-grupos'!$A$9:$D$128,4,FALSE),IF($C$4="GRUPO 3",VLOOKUP(A82,'MVA-grupos'!$A$10:$F$128,6,FALSE),IF($C$4="Grupo 4",VLOOKUP(A82,'MVA-grupos'!$A$9:$H$128,8,FALSE)))))</f>
        <v>0</v>
      </c>
      <c r="U82" s="340">
        <f>IF(T82=0%,0,(B82+R82)*T82+(B82+R82))</f>
        <v>0</v>
      </c>
      <c r="V82" s="340">
        <f>(U82*$V$8)-S82</f>
        <v>0</v>
      </c>
      <c r="W82" s="341"/>
      <c r="X82" s="336" t="str">
        <f t="shared" si="36"/>
        <v>BRAZIMIL ESMALTE SINTÉTICO 0,75L LATA COR</v>
      </c>
      <c r="Y82" s="342">
        <f>+C82</f>
        <v>0</v>
      </c>
      <c r="Z82" s="337">
        <f>IF(ISERROR(Y82*N82),"",Y82*N82)</f>
        <v>0</v>
      </c>
      <c r="AA82" s="337">
        <f>IF(ISERROR(IF(E$7="X",Y82*E82,Y82*F82)),"",IF(E$7="X",Y82*E82,Y82*F82))</f>
        <v>0</v>
      </c>
      <c r="AB82" s="332" t="str">
        <f t="shared" si="35"/>
        <v/>
      </c>
      <c r="AC82" s="332"/>
      <c r="AD82" s="343"/>
      <c r="AE82" s="143">
        <v>0.05</v>
      </c>
      <c r="AP82" s="228">
        <f>Peso!B84</f>
        <v>1.05</v>
      </c>
      <c r="AT82" s="302"/>
      <c r="AU82" s="303"/>
      <c r="AV82" s="304"/>
    </row>
    <row r="83" spans="1:49" s="412" customFormat="1" outlineLevel="1" x14ac:dyDescent="0.2">
      <c r="A83" s="212" t="s">
        <v>204</v>
      </c>
      <c r="B83" s="129"/>
      <c r="C83" s="217"/>
      <c r="D83" s="125" t="str">
        <f>AB83</f>
        <v/>
      </c>
      <c r="E83" s="415"/>
      <c r="F83" s="415"/>
      <c r="G83" s="416"/>
      <c r="H83" s="415"/>
      <c r="I83" s="417"/>
      <c r="J83" s="418"/>
      <c r="K83" s="418"/>
      <c r="L83" s="418"/>
      <c r="M83" s="418"/>
      <c r="N83" s="418"/>
      <c r="O83" s="419"/>
      <c r="P83" s="418"/>
      <c r="Q83" s="420"/>
      <c r="R83" s="421"/>
      <c r="S83" s="421"/>
      <c r="T83" s="420"/>
      <c r="U83" s="422"/>
      <c r="V83" s="422"/>
      <c r="W83" s="423"/>
      <c r="X83" s="418" t="str">
        <f t="shared" si="36"/>
        <v>BRAZIMIL ESMALTE SINTÉTICO 3,0L</v>
      </c>
      <c r="Y83" s="424"/>
      <c r="Z83" s="419">
        <f>SUM(Z84:Z88)</f>
        <v>0</v>
      </c>
      <c r="AA83" s="419">
        <f>SUM(AA84:AA88)</f>
        <v>0</v>
      </c>
      <c r="AB83" s="125" t="str">
        <f t="shared" si="35"/>
        <v/>
      </c>
      <c r="AC83" s="425">
        <v>0.25</v>
      </c>
      <c r="AD83" s="426"/>
      <c r="AE83" s="427"/>
      <c r="AF83" s="428"/>
      <c r="AG83" s="429"/>
      <c r="AH83" s="428"/>
      <c r="AP83" s="430">
        <f>Peso!B85</f>
        <v>0</v>
      </c>
      <c r="AT83" s="431"/>
      <c r="AU83" s="432"/>
      <c r="AV83" s="429"/>
    </row>
    <row r="84" spans="1:49" s="172" customFormat="1" hidden="1" outlineLevel="2" x14ac:dyDescent="0.2">
      <c r="A84" s="182" t="s">
        <v>205</v>
      </c>
      <c r="B84" s="307">
        <v>99</v>
      </c>
      <c r="C84" s="219"/>
      <c r="D84" s="154">
        <f t="shared" si="37"/>
        <v>0.30960399585376147</v>
      </c>
      <c r="E84" s="155">
        <f>+B84*(-B$5+100%)</f>
        <v>92.07</v>
      </c>
      <c r="F84" s="155">
        <f>IF(B84=0,0,E84-H84)</f>
        <v>91.759999999999991</v>
      </c>
      <c r="G84" s="156">
        <f>VLOOKUP(A84,Custo!A:B,2,0)</f>
        <v>58.304760101744172</v>
      </c>
      <c r="H84" s="155">
        <f>(VLOOKUP(A84,Peso!$A$10:$B$148,2,0))*($B$6/1000)</f>
        <v>0.31000000000000005</v>
      </c>
      <c r="I84" s="157">
        <f>IF($I$7="X",AE84,0%)</f>
        <v>0.05</v>
      </c>
      <c r="J84" s="158">
        <f>+B84*I84</f>
        <v>4.95</v>
      </c>
      <c r="K84" s="158"/>
      <c r="L84" s="158"/>
      <c r="M84" s="158">
        <f t="shared" si="38"/>
        <v>63.564760101744177</v>
      </c>
      <c r="N84" s="158">
        <f t="shared" si="39"/>
        <v>28.505239898255816</v>
      </c>
      <c r="O84" s="159" t="str">
        <f>IF(ISERROR((N84/P84)*100),"",(N84/P84)*100)</f>
        <v/>
      </c>
      <c r="P84" s="158"/>
      <c r="Q84" s="160">
        <f>VLOOKUP(A84,'MVA-IPI'!A:AD,30,FALSE)</f>
        <v>0</v>
      </c>
      <c r="R84" s="161">
        <f>IF($B$4="AM",0,IF($B$4="AP",0,IF($B$4="RR",0,(B84*Q84))))</f>
        <v>0</v>
      </c>
      <c r="S84" s="161">
        <f>IF($B$4="AP",(B84/0.88*$S$8),IF(T84=0%,0,IF($B$4="AM",(B84/0.88*$S$8),IF(T84=0%,0,IF($B$4="RR",(B84/0.88*$S$8),IF(T84=0%,0,B84*$S$8))))))</f>
        <v>0</v>
      </c>
      <c r="T84" s="160">
        <f>IF($C$4="GRUPO 1",VLOOKUP(A84,'MVA-grupos'!$A$9:$B$128,2,FALSE),IF($C$4="GRUPO 2",VLOOKUP(A84,'MVA-grupos'!$A$9:$D$128,4,FALSE),IF($C$4="GRUPO 3",VLOOKUP(A84,'MVA-grupos'!$A$10:$F$128,6,FALSE),IF($C$4="Grupo 4",VLOOKUP(A84,'MVA-grupos'!$A$9:$H$128,8,FALSE)))))</f>
        <v>0</v>
      </c>
      <c r="U84" s="162">
        <f>IF(T84=0%,0,(B84+R84)*T84+(B84+R84))</f>
        <v>0</v>
      </c>
      <c r="V84" s="162">
        <f>(U84*$V$8)-S84</f>
        <v>0</v>
      </c>
      <c r="W84" s="164"/>
      <c r="X84" s="158" t="str">
        <f t="shared" si="36"/>
        <v>BRAZIMIL ESMALTE SINTÉTICO 3,0L LATA ALUMÍNIO</v>
      </c>
      <c r="Y84" s="165">
        <f>+C84</f>
        <v>0</v>
      </c>
      <c r="Z84" s="159">
        <f>IF(ISERROR(Y84*N84),"",Y84*N84)</f>
        <v>0</v>
      </c>
      <c r="AA84" s="159">
        <f>IF(ISERROR(IF(E$7="X",Y84*E84,Y84*F84)),"",IF(E$7="X",Y84*E84,Y84*F84))</f>
        <v>0</v>
      </c>
      <c r="AB84" s="154" t="str">
        <f t="shared" si="35"/>
        <v/>
      </c>
      <c r="AC84" s="166"/>
      <c r="AD84" s="167"/>
      <c r="AE84" s="168">
        <v>0.05</v>
      </c>
      <c r="AP84" s="273">
        <f>Peso!B86</f>
        <v>3.1</v>
      </c>
      <c r="AT84" s="173"/>
      <c r="AU84" s="174"/>
      <c r="AV84" s="175"/>
    </row>
    <row r="85" spans="1:49" outlineLevel="2" x14ac:dyDescent="0.2">
      <c r="A85" s="183" t="s">
        <v>206</v>
      </c>
      <c r="B85" s="331">
        <v>52.26</v>
      </c>
      <c r="C85" s="220"/>
      <c r="D85" s="58">
        <f t="shared" si="37"/>
        <v>0.22105252772736794</v>
      </c>
      <c r="E85" s="40">
        <f>+B85*(-B$5+100%)</f>
        <v>48.601799999999997</v>
      </c>
      <c r="F85" s="40">
        <f>IF(B85=0,0,E85-H85)</f>
        <v>48.266799999999996</v>
      </c>
      <c r="G85" s="41">
        <f>VLOOKUP(A85,Custo!A:B,2,0)</f>
        <v>34.910249257900006</v>
      </c>
      <c r="H85" s="40">
        <f>(VLOOKUP(A85,Peso!$A$10:$B$148,2,0))*($B$6/1000)</f>
        <v>0.33500000000000002</v>
      </c>
      <c r="I85" s="42">
        <f>IF($I$7="X",AE85,0%)</f>
        <v>0.05</v>
      </c>
      <c r="J85" s="27">
        <f>+B85*I85</f>
        <v>2.613</v>
      </c>
      <c r="K85" s="330">
        <f>IF($B$2="X",$C$2,0)</f>
        <v>0</v>
      </c>
      <c r="L85" s="27">
        <f>+B85*K85</f>
        <v>0</v>
      </c>
      <c r="M85" s="27">
        <f>+G85+H85+J85+L85</f>
        <v>37.858249257900006</v>
      </c>
      <c r="N85" s="176">
        <f t="shared" si="39"/>
        <v>10.743550742099991</v>
      </c>
      <c r="O85" s="114" t="str">
        <f>IF(ISERROR((N85/P85)*100),"",(N85/P85)*100)</f>
        <v/>
      </c>
      <c r="P85" s="27"/>
      <c r="Q85" s="93">
        <f>VLOOKUP(A85,'MVA-IPI'!A:AD,30,FALSE)</f>
        <v>0</v>
      </c>
      <c r="R85" s="121">
        <f>IF($B$4="AM",0,IF($B$4="AP",0,IF($B$4="RR",0,(B85*Q85))))</f>
        <v>0</v>
      </c>
      <c r="S85" s="121">
        <f>IF($B$4="AP",(B85/0.88*$S$8),IF(T85=0%,0,IF($B$4="AM",(B85/0.88*$S$8),IF(T85=0%,0,IF($B$4="RR",(B85/0.88*$S$8),IF(T85=0%,0,B85*$S$8))))))</f>
        <v>0</v>
      </c>
      <c r="T85" s="93">
        <f>IF($C$4="GRUPO 1",VLOOKUP(A85,'MVA-grupos'!$A$9:$B$128,2,FALSE),IF($C$4="GRUPO 2",VLOOKUP(A85,'MVA-grupos'!$A$9:$D$128,4,FALSE),IF($C$4="GRUPO 3",VLOOKUP(A85,'MVA-grupos'!$A$10:$F$128,6,FALSE),IF($C$4="Grupo 4",VLOOKUP(A85,'MVA-grupos'!$A$9:$H$128,8,FALSE)))))</f>
        <v>0</v>
      </c>
      <c r="U85" s="95">
        <f>IF(T85=0%,0,(B85+R85)*T85+(B85+R85))</f>
        <v>0</v>
      </c>
      <c r="V85" s="95">
        <f>(U85*$V$8)-S85</f>
        <v>0</v>
      </c>
      <c r="W85" s="69"/>
      <c r="X85" s="27" t="str">
        <f t="shared" si="36"/>
        <v>BRAZIMIL ESMALTE SINTÉTICO 3,0L LATA BRANCO</v>
      </c>
      <c r="Y85" s="116">
        <f>+C85</f>
        <v>0</v>
      </c>
      <c r="Z85" s="114">
        <f>IF(ISERROR(Y85*N85),"",Y85*N85)</f>
        <v>0</v>
      </c>
      <c r="AA85" s="114">
        <f>IF(ISERROR(IF(E$7="X",Y85*E85,Y85*F85)),"",IF(E$7="X",Y85*E85,Y85*F85))</f>
        <v>0</v>
      </c>
      <c r="AB85" s="122" t="str">
        <f t="shared" si="35"/>
        <v/>
      </c>
      <c r="AC85" s="56"/>
      <c r="AD85" s="96"/>
      <c r="AE85" s="143">
        <v>0.05</v>
      </c>
      <c r="AP85" s="28">
        <f>Peso!B87</f>
        <v>3.35</v>
      </c>
      <c r="AV85" s="198"/>
    </row>
    <row r="86" spans="1:49" outlineLevel="2" x14ac:dyDescent="0.2">
      <c r="A86" s="183" t="s">
        <v>207</v>
      </c>
      <c r="B86" s="331">
        <v>39.9</v>
      </c>
      <c r="C86" s="220"/>
      <c r="D86" s="122">
        <f t="shared" si="37"/>
        <v>0.19584416067223193</v>
      </c>
      <c r="E86" s="184">
        <f>+B86*(-B$5+100%)</f>
        <v>37.106999999999999</v>
      </c>
      <c r="F86" s="184">
        <f>IF(B86=0,0,E86-H86)</f>
        <v>36.771999999999998</v>
      </c>
      <c r="G86" s="185">
        <f>VLOOKUP(A86,Custo!A:B,2,0)</f>
        <v>27.509810729935488</v>
      </c>
      <c r="H86" s="184">
        <f>(VLOOKUP(A86,Peso!$A$10:$B$148,2,0))*($B$6/1000)</f>
        <v>0.33500000000000002</v>
      </c>
      <c r="I86" s="186">
        <f>IF($I$7="X",AE86,0%)</f>
        <v>0.05</v>
      </c>
      <c r="J86" s="176">
        <f>+B86*I86</f>
        <v>1.9950000000000001</v>
      </c>
      <c r="K86" s="176"/>
      <c r="L86" s="176"/>
      <c r="M86" s="176">
        <f t="shared" si="38"/>
        <v>29.83981072993549</v>
      </c>
      <c r="N86" s="176">
        <f t="shared" si="39"/>
        <v>7.2671892700645095</v>
      </c>
      <c r="O86" s="187" t="str">
        <f>IF(ISERROR((N86/P86)*100),"",(N86/P86)*100)</f>
        <v/>
      </c>
      <c r="P86" s="176"/>
      <c r="Q86" s="188">
        <f>VLOOKUP(A86,'MVA-IPI'!A:AD,30,FALSE)</f>
        <v>0</v>
      </c>
      <c r="R86" s="121">
        <f>IF($B$4="AM",0,IF($B$4="AP",0,IF($B$4="RR",0,(B86*Q86))))</f>
        <v>0</v>
      </c>
      <c r="S86" s="121">
        <f>IF($B$4="AP",(B86/0.88*$S$8),IF(T86=0%,0,IF($B$4="AM",(B86/0.88*$S$8),IF(T86=0%,0,IF($B$4="RR",(B86/0.88*$S$8),IF(T86=0%,0,B86*$S$8))))))</f>
        <v>0</v>
      </c>
      <c r="T86" s="188">
        <f>IF($C$4="GRUPO 1",VLOOKUP(A86,'MVA-grupos'!$A$9:$B$128,2,FALSE),IF($C$4="GRUPO 2",VLOOKUP(A86,'MVA-grupos'!$A$9:$D$128,4,FALSE),IF($C$4="GRUPO 3",VLOOKUP(A86,'MVA-grupos'!$A$10:$F$128,6,FALSE),IF($C$4="Grupo 4",VLOOKUP(A86,'MVA-grupos'!$A$9:$H$128,8,FALSE)))))</f>
        <v>0</v>
      </c>
      <c r="U86" s="189">
        <f>IF(T86=0%,0,(B86+R86)*T86+(B86+R86))</f>
        <v>0</v>
      </c>
      <c r="V86" s="189">
        <f>(U86*$V$8)-S86</f>
        <v>0</v>
      </c>
      <c r="W86" s="190"/>
      <c r="X86" s="176" t="str">
        <f t="shared" si="36"/>
        <v>BRAZIMIL ESMALTE SINTÉTICO 3,0L LATA PRETO</v>
      </c>
      <c r="Y86" s="191">
        <f>+C86</f>
        <v>0</v>
      </c>
      <c r="Z86" s="187">
        <f>IF(ISERROR(Y86*N86),"",Y86*N86)</f>
        <v>0</v>
      </c>
      <c r="AA86" s="187">
        <f>IF(ISERROR(IF(E$7="X",Y86*E86,Y86*F86)),"",IF(E$7="X",Y86*E86,Y86*F86))</f>
        <v>0</v>
      </c>
      <c r="AB86" s="122" t="str">
        <f t="shared" si="35"/>
        <v/>
      </c>
      <c r="AC86" s="192"/>
      <c r="AD86" s="193"/>
      <c r="AE86" s="143">
        <v>0.05</v>
      </c>
      <c r="AF86" s="227"/>
      <c r="AG86" s="198"/>
      <c r="AH86" s="227"/>
      <c r="AI86" s="195"/>
      <c r="AJ86" s="195"/>
      <c r="AK86" s="195"/>
      <c r="AL86" s="195"/>
      <c r="AM86" s="195"/>
      <c r="AN86" s="195"/>
      <c r="AO86" s="195"/>
      <c r="AP86" s="228">
        <f>Peso!B88</f>
        <v>3.35</v>
      </c>
      <c r="AV86" s="198"/>
    </row>
    <row r="87" spans="1:49" outlineLevel="2" x14ac:dyDescent="0.2">
      <c r="A87" s="183" t="s">
        <v>208</v>
      </c>
      <c r="B87" s="331">
        <v>46.9</v>
      </c>
      <c r="C87" s="220"/>
      <c r="D87" s="122">
        <f t="shared" si="37"/>
        <v>0.26488615302324015</v>
      </c>
      <c r="E87" s="184">
        <f>+B87*(-B$5+100%)</f>
        <v>43.616999999999997</v>
      </c>
      <c r="F87" s="184">
        <f>IF(B87=0,0,E87-H87)</f>
        <v>43.281999999999996</v>
      </c>
      <c r="G87" s="185">
        <f>VLOOKUP(A87,Custo!A:B,2,0)</f>
        <v>29.383460663585328</v>
      </c>
      <c r="H87" s="184">
        <f>(VLOOKUP(A87,Peso!$A$10:$B$148,2,0))*($B$6/1000)</f>
        <v>0.33500000000000002</v>
      </c>
      <c r="I87" s="186">
        <f>IF($I$7="X",AE87,0%)</f>
        <v>0.05</v>
      </c>
      <c r="J87" s="176">
        <f>+B87*I87</f>
        <v>2.3450000000000002</v>
      </c>
      <c r="K87" s="176"/>
      <c r="L87" s="176"/>
      <c r="M87" s="176">
        <f t="shared" si="38"/>
        <v>32.063460663585332</v>
      </c>
      <c r="N87" s="176">
        <f t="shared" si="39"/>
        <v>11.553539336414666</v>
      </c>
      <c r="O87" s="187" t="str">
        <f>IF(ISERROR((N87/P87)*100),"",(N87/P87)*100)</f>
        <v/>
      </c>
      <c r="P87" s="176"/>
      <c r="Q87" s="188">
        <f>VLOOKUP(A87,'MVA-IPI'!A:AD,30,FALSE)</f>
        <v>0</v>
      </c>
      <c r="R87" s="121">
        <f>IF($B$4="AM",0,IF($B$4="AP",0,IF($B$4="RR",0,(B87*Q87))))</f>
        <v>0</v>
      </c>
      <c r="S87" s="121">
        <f>IF($B$4="AP",(B87/0.88*$S$8),IF(T87=0%,0,IF($B$4="AM",(B87/0.88*$S$8),IF(T87=0%,0,IF($B$4="RR",(B87/0.88*$S$8),IF(T87=0%,0,B87*$S$8))))))</f>
        <v>0</v>
      </c>
      <c r="T87" s="188">
        <f>IF($C$4="GRUPO 1",VLOOKUP(A87,'MVA-grupos'!$A$9:$B$128,2,FALSE),IF($C$4="GRUPO 2",VLOOKUP(A87,'MVA-grupos'!$A$9:$D$128,4,FALSE),IF($C$4="GRUPO 3",VLOOKUP(A87,'MVA-grupos'!$A$10:$F$128,6,FALSE),IF($C$4="Grupo 4",VLOOKUP(A87,'MVA-grupos'!$A$9:$H$128,8,FALSE)))))</f>
        <v>0</v>
      </c>
      <c r="U87" s="189">
        <f>IF(T87=0%,0,(B87+R87)*T87+(B87+R87))</f>
        <v>0</v>
      </c>
      <c r="V87" s="189">
        <f>(U87*$V$8)-S87</f>
        <v>0</v>
      </c>
      <c r="W87" s="190"/>
      <c r="X87" s="176" t="str">
        <f t="shared" si="36"/>
        <v>BRAZIMIL ESMALTE SINTÉTICO 3,0L LATA COR</v>
      </c>
      <c r="Y87" s="191">
        <f>+C87</f>
        <v>0</v>
      </c>
      <c r="Z87" s="187">
        <f>IF(ISERROR(Y87*N87),"",Y87*N87)</f>
        <v>0</v>
      </c>
      <c r="AA87" s="187">
        <f>IF(ISERROR(IF(E$7="X",Y87*E87,Y87*F87)),"",IF(E$7="X",Y87*E87,Y87*F87))</f>
        <v>0</v>
      </c>
      <c r="AB87" s="122" t="str">
        <f t="shared" si="35"/>
        <v/>
      </c>
      <c r="AC87" s="192"/>
      <c r="AD87" s="193"/>
      <c r="AE87" s="143">
        <v>0.05</v>
      </c>
      <c r="AF87" s="227"/>
      <c r="AG87" s="198"/>
      <c r="AH87" s="227"/>
      <c r="AI87" s="195"/>
      <c r="AJ87" s="195"/>
      <c r="AK87" s="195"/>
      <c r="AL87" s="195"/>
      <c r="AM87" s="195"/>
      <c r="AN87" s="195"/>
      <c r="AO87" s="195"/>
      <c r="AP87" s="228">
        <f>Peso!B89</f>
        <v>3.35</v>
      </c>
      <c r="AV87" s="198"/>
    </row>
    <row r="88" spans="1:49" s="172" customFormat="1" hidden="1" outlineLevel="2" x14ac:dyDescent="0.2">
      <c r="A88" s="182" t="s">
        <v>209</v>
      </c>
      <c r="B88" s="307">
        <v>54.5</v>
      </c>
      <c r="C88" s="219"/>
      <c r="D88" s="154">
        <f t="shared" si="37"/>
        <v>0.31534312977043677</v>
      </c>
      <c r="E88" s="155">
        <f>+B88*(-B$5+100%)</f>
        <v>50.684999999999995</v>
      </c>
      <c r="F88" s="155">
        <f>IF(B88=0,0,E88-H88)</f>
        <v>50.324999999999996</v>
      </c>
      <c r="G88" s="156">
        <f>VLOOKUP(A88,Custo!A:B,2,0)</f>
        <v>31.616833467585408</v>
      </c>
      <c r="H88" s="155">
        <f>(VLOOKUP(A88,Peso!$A$10:$B$148,2,0))*($B$6/1000)</f>
        <v>0.36000000000000004</v>
      </c>
      <c r="I88" s="157">
        <f>IF($I$7="X",AE88,0%)</f>
        <v>0.05</v>
      </c>
      <c r="J88" s="158">
        <f>+B88*I88</f>
        <v>2.7250000000000001</v>
      </c>
      <c r="K88" s="158"/>
      <c r="L88" s="158"/>
      <c r="M88" s="158">
        <f t="shared" si="38"/>
        <v>34.701833467585409</v>
      </c>
      <c r="N88" s="158">
        <f t="shared" si="39"/>
        <v>15.983166532414586</v>
      </c>
      <c r="O88" s="159" t="str">
        <f>IF(ISERROR((N88/P88)*100),"",(N88/P88)*100)</f>
        <v/>
      </c>
      <c r="P88" s="158"/>
      <c r="Q88" s="160">
        <f>VLOOKUP(A88,'MVA-IPI'!A:AD,30,FALSE)</f>
        <v>0</v>
      </c>
      <c r="R88" s="161">
        <f>IF($B$4="AM",0,IF($B$4="AP",0,IF($B$4="RR",0,(B88*Q88))))</f>
        <v>0</v>
      </c>
      <c r="S88" s="161">
        <f>IF($B$4="AP",(B88/0.88*$S$8),IF(T88=0%,0,IF($B$4="AM",(B88/0.88*$S$8),IF(T88=0%,0,IF($B$4="RR",(B88/0.88*$S$8),IF(T88=0%,0,B88*$S$8))))))</f>
        <v>0</v>
      </c>
      <c r="T88" s="160">
        <f>IF($C$4="GRUPO 1",VLOOKUP(A88,'MVA-grupos'!$A$9:$B$128,2,FALSE),IF($C$4="GRUPO 2",VLOOKUP(A88,'MVA-grupos'!$A$9:$D$128,4,FALSE),IF($C$4="GRUPO 3",VLOOKUP(A88,'MVA-grupos'!$A$10:$F$128,6,FALSE),IF($C$4="Grupo 4",VLOOKUP(A88,'MVA-grupos'!$A$9:$H$128,8,FALSE)))))</f>
        <v>0</v>
      </c>
      <c r="U88" s="162">
        <f>IF(T88=0%,0,(B88+R88)*T88+(B88+R88))</f>
        <v>0</v>
      </c>
      <c r="V88" s="162">
        <f>(U88*$V$8)-S88</f>
        <v>0</v>
      </c>
      <c r="W88" s="164"/>
      <c r="X88" s="158" t="str">
        <f t="shared" si="36"/>
        <v>BRAZIMIL ESMALTE SINTÉTICO 3,0L LATA FOSCO</v>
      </c>
      <c r="Y88" s="165">
        <f>+C88</f>
        <v>0</v>
      </c>
      <c r="Z88" s="159">
        <f>IF(ISERROR(Y88*N88),"",Y88*N88)</f>
        <v>0</v>
      </c>
      <c r="AA88" s="159">
        <f>IF(ISERROR(IF(E$7="X",Y88*E88,Y88*F88)),"",IF(E$7="X",Y88*E88,Y88*F88))</f>
        <v>0</v>
      </c>
      <c r="AB88" s="154" t="str">
        <f t="shared" si="35"/>
        <v/>
      </c>
      <c r="AC88" s="166"/>
      <c r="AD88" s="167"/>
      <c r="AE88" s="168">
        <v>0.05</v>
      </c>
      <c r="AP88" s="273">
        <f>Peso!B90</f>
        <v>3.6</v>
      </c>
      <c r="AT88" s="173"/>
      <c r="AU88" s="174"/>
      <c r="AV88" s="175"/>
      <c r="AW88" s="172" t="e">
        <f>+AV88/$AU$6</f>
        <v>#DIV/0!</v>
      </c>
    </row>
    <row r="89" spans="1:49" s="207" customFormat="1" hidden="1" outlineLevel="1" collapsed="1" x14ac:dyDescent="0.2">
      <c r="A89" s="354" t="s">
        <v>210</v>
      </c>
      <c r="B89" s="307"/>
      <c r="C89" s="219"/>
      <c r="D89" s="154" t="str">
        <f>AB89</f>
        <v/>
      </c>
      <c r="E89" s="200"/>
      <c r="F89" s="200"/>
      <c r="G89" s="201"/>
      <c r="H89" s="200"/>
      <c r="I89" s="202"/>
      <c r="J89" s="203"/>
      <c r="K89" s="203"/>
      <c r="L89" s="203"/>
      <c r="M89" s="203"/>
      <c r="N89" s="203"/>
      <c r="O89" s="206"/>
      <c r="P89" s="203"/>
      <c r="Q89" s="204"/>
      <c r="R89" s="161"/>
      <c r="S89" s="161"/>
      <c r="T89" s="160"/>
      <c r="U89" s="355"/>
      <c r="V89" s="355"/>
      <c r="W89" s="356"/>
      <c r="X89" s="203" t="str">
        <f t="shared" si="36"/>
        <v>BRAZIMIL VERNIZ 0,75L</v>
      </c>
      <c r="Y89" s="205"/>
      <c r="Z89" s="206">
        <f>SUM(Z90:Z91)</f>
        <v>0</v>
      </c>
      <c r="AA89" s="206">
        <f>SUM(AA90:AA91)</f>
        <v>0</v>
      </c>
      <c r="AB89" s="154" t="str">
        <f t="shared" si="35"/>
        <v/>
      </c>
      <c r="AC89" s="357">
        <v>0.25</v>
      </c>
      <c r="AD89" s="167"/>
      <c r="AE89" s="168"/>
      <c r="AF89" s="208"/>
      <c r="AG89" s="211"/>
      <c r="AH89" s="208"/>
      <c r="AP89" s="273">
        <f>Peso!B91</f>
        <v>0</v>
      </c>
      <c r="AT89" s="209"/>
      <c r="AU89" s="210"/>
      <c r="AV89" s="211"/>
      <c r="AW89" s="207" t="e">
        <f>+AV89/$AU$6</f>
        <v>#DIV/0!</v>
      </c>
    </row>
    <row r="90" spans="1:49" s="172" customFormat="1" hidden="1" outlineLevel="2" x14ac:dyDescent="0.2">
      <c r="A90" s="182" t="s">
        <v>211</v>
      </c>
      <c r="B90" s="307">
        <v>20.5</v>
      </c>
      <c r="C90" s="219"/>
      <c r="D90" s="154">
        <f t="shared" si="37"/>
        <v>0.34650842134684323</v>
      </c>
      <c r="E90" s="155">
        <f>+B90*(-B$5+100%)</f>
        <v>19.064999999999998</v>
      </c>
      <c r="F90" s="155">
        <f>IF(B90=0,0,E90-H90)</f>
        <v>18.979999999999997</v>
      </c>
      <c r="G90" s="156">
        <f>VLOOKUP(A90,Custo!A:B,2,0)</f>
        <v>11.348816947022431</v>
      </c>
      <c r="H90" s="155">
        <f>(VLOOKUP(A90,Peso!$A$10:$B$148,2,0))*($B$6/1000)</f>
        <v>8.5000000000000006E-2</v>
      </c>
      <c r="I90" s="157">
        <f>IF($I$7="X",AE90,0%)</f>
        <v>0.05</v>
      </c>
      <c r="J90" s="158">
        <f>+B90*I90</f>
        <v>1.0250000000000001</v>
      </c>
      <c r="K90" s="353">
        <f>IF($B$2="X",$C$2,0)</f>
        <v>0</v>
      </c>
      <c r="L90" s="158">
        <f>+B90*K90</f>
        <v>0</v>
      </c>
      <c r="M90" s="158">
        <f>+G90+H90+J90+L90</f>
        <v>12.458816947022433</v>
      </c>
      <c r="N90" s="158">
        <f t="shared" si="39"/>
        <v>6.6061830529775651</v>
      </c>
      <c r="O90" s="159" t="str">
        <f>IF(ISERROR((N90/P90)*100),"",(N90/P90)*100)</f>
        <v/>
      </c>
      <c r="P90" s="158"/>
      <c r="Q90" s="160">
        <f>VLOOKUP(A90,'MVA-IPI'!A:AD,30,FALSE)</f>
        <v>0</v>
      </c>
      <c r="R90" s="161">
        <f>IF($B$4="AM",0,IF($B$4="AP",0,IF($B$4="RR",0,(B90*Q90))))</f>
        <v>0</v>
      </c>
      <c r="S90" s="161">
        <f>IF($B$4="AP",(B90/0.88*$S$8),IF(T90=0%,0,IF($B$4="AM",(B90/0.88*$S$8),IF(T90=0%,0,IF($B$4="RR",(B90/0.88*$S$8),IF(T90=0%,0,B90*$S$8))))))</f>
        <v>0</v>
      </c>
      <c r="T90" s="160">
        <f>IF($C$4="GRUPO 1",VLOOKUP(A90,'MVA-grupos'!$A$9:$B$128,2,FALSE),IF($C$4="GRUPO 2",VLOOKUP(A90,'MVA-grupos'!$A$9:$D$128,4,FALSE),IF($C$4="GRUPO 3",VLOOKUP(A90,'MVA-grupos'!$A$10:$F$128,6,FALSE),IF($C$4="Grupo 4",VLOOKUP(A90,'MVA-grupos'!$A$9:$H$128,8,FALSE)))))</f>
        <v>0</v>
      </c>
      <c r="U90" s="162">
        <f>IF(T90=0%,0,(B90+R90)*T90+(B90+R90))</f>
        <v>0</v>
      </c>
      <c r="V90" s="162">
        <f>(U90*$V$8)-S90</f>
        <v>0</v>
      </c>
      <c r="W90" s="164"/>
      <c r="X90" s="158" t="str">
        <f t="shared" si="36"/>
        <v>BRAZIMIL VERNIZ 0,75L LATA INCOLOR</v>
      </c>
      <c r="Y90" s="165">
        <f>+C90</f>
        <v>0</v>
      </c>
      <c r="Z90" s="159">
        <f>IF(ISERROR(Y90*N90),"",Y90*N90)</f>
        <v>0</v>
      </c>
      <c r="AA90" s="159">
        <f>IF(ISERROR(IF(E$7="X",Y90*E90,Y90*F90)),"",IF(E$7="X",Y90*E90,Y90*F90))</f>
        <v>0</v>
      </c>
      <c r="AB90" s="154" t="str">
        <f t="shared" si="35"/>
        <v/>
      </c>
      <c r="AC90" s="166"/>
      <c r="AD90" s="167"/>
      <c r="AE90" s="168">
        <v>0.05</v>
      </c>
      <c r="AF90" s="199"/>
      <c r="AG90" s="175"/>
      <c r="AH90" s="199"/>
      <c r="AP90" s="273">
        <f>Peso!B92</f>
        <v>0.85</v>
      </c>
      <c r="AT90" s="173"/>
      <c r="AU90" s="174"/>
      <c r="AV90" s="175"/>
      <c r="AW90" s="172" t="e">
        <f>+AV90/$AU$6</f>
        <v>#DIV/0!</v>
      </c>
    </row>
    <row r="91" spans="1:49" s="172" customFormat="1" hidden="1" outlineLevel="2" x14ac:dyDescent="0.2">
      <c r="A91" s="182" t="s">
        <v>212</v>
      </c>
      <c r="B91" s="307">
        <v>20.5</v>
      </c>
      <c r="C91" s="219"/>
      <c r="D91" s="154">
        <f t="shared" ref="D91:D96" si="40">IF($F$7="x",IF(F91=0,0,N91/F91),IF($E$7="x",IF(F91=0,0,N91/E91),""))</f>
        <v>0.42991476071316642</v>
      </c>
      <c r="E91" s="155">
        <f>+B91*(-B$5+100%)</f>
        <v>19.064999999999998</v>
      </c>
      <c r="F91" s="155">
        <f>IF(B91=0,0,E91-H91)</f>
        <v>18.979999999999997</v>
      </c>
      <c r="G91" s="156">
        <f>VLOOKUP(A91,Custo!A:B,2,0)</f>
        <v>9.7586750870034802</v>
      </c>
      <c r="H91" s="155">
        <f>(VLOOKUP(A91,Peso!$A$10:$B$148,2,0))*($B$6/1000)</f>
        <v>8.5000000000000006E-2</v>
      </c>
      <c r="I91" s="157">
        <f>IF($I$7="X",AE91,0%)</f>
        <v>0.05</v>
      </c>
      <c r="J91" s="158">
        <f>+B91*I91</f>
        <v>1.0250000000000001</v>
      </c>
      <c r="K91" s="353">
        <f>IF($B$2="X",$C$2,0)</f>
        <v>0</v>
      </c>
      <c r="L91" s="158">
        <f>+B91*K91</f>
        <v>0</v>
      </c>
      <c r="M91" s="158">
        <f>+G91+H91+J91+L91</f>
        <v>10.868675087003481</v>
      </c>
      <c r="N91" s="158">
        <f t="shared" ref="N91:N96" si="41">+E91-M91</f>
        <v>8.1963249129965163</v>
      </c>
      <c r="O91" s="159" t="str">
        <f t="shared" ref="O91:O96" si="42">IF(ISERROR((N91/P91)*100),"",(N91/P91)*100)</f>
        <v/>
      </c>
      <c r="P91" s="158"/>
      <c r="Q91" s="160">
        <f>VLOOKUP(A91,'MVA-IPI'!A:AD,30,FALSE)</f>
        <v>0</v>
      </c>
      <c r="R91" s="161">
        <f>IF($B$4="AM",0,IF($B$4="AP",0,IF($B$4="RR",0,(B91*Q91))))</f>
        <v>0</v>
      </c>
      <c r="S91" s="161">
        <f>IF($B$4="AP",(B91/0.88*$S$8),IF(T91=0%,0,IF($B$4="AM",(B91/0.88*$S$8),IF(T91=0%,0,IF($B$4="RR",(B91/0.88*$S$8),IF(T91=0%,0,B91*$S$8))))))</f>
        <v>0</v>
      </c>
      <c r="T91" s="160">
        <f>IF($C$4="GRUPO 1",VLOOKUP(A91,'MVA-grupos'!$A$9:$B$128,2,FALSE),IF($C$4="GRUPO 2",VLOOKUP(A91,'MVA-grupos'!$A$9:$D$128,4,FALSE),IF($C$4="GRUPO 3",VLOOKUP(A91,'MVA-grupos'!$A$10:$F$128,6,FALSE),IF($C$4="Grupo 4",VLOOKUP(A91,'MVA-grupos'!$A$9:$H$128,8,FALSE)))))</f>
        <v>0</v>
      </c>
      <c r="U91" s="162">
        <f>IF(T91=0%,0,(B91+R91)*T91+(B91+R91))</f>
        <v>0</v>
      </c>
      <c r="V91" s="162">
        <f>(U91*$V$8)-S91</f>
        <v>0</v>
      </c>
      <c r="W91" s="164"/>
      <c r="X91" s="158" t="str">
        <f t="shared" si="36"/>
        <v>BRAZIMIL VERNIZ 0,75L LATA PIGMENTADO</v>
      </c>
      <c r="Y91" s="165">
        <f>+C91</f>
        <v>0</v>
      </c>
      <c r="Z91" s="159">
        <f>IF(ISERROR(Y91*N91),"",Y91*N91)</f>
        <v>0</v>
      </c>
      <c r="AA91" s="159">
        <f>IF(ISERROR(IF(E$7="X",Y91*E91,Y91*F91)),"",IF(E$7="X",Y91*E91,Y91*F91))</f>
        <v>0</v>
      </c>
      <c r="AB91" s="154" t="str">
        <f t="shared" si="35"/>
        <v/>
      </c>
      <c r="AC91" s="166"/>
      <c r="AD91" s="167"/>
      <c r="AE91" s="168">
        <v>0.05</v>
      </c>
      <c r="AF91" s="199"/>
      <c r="AG91" s="175"/>
      <c r="AH91" s="199"/>
      <c r="AP91" s="273">
        <f>Peso!B93</f>
        <v>0.85</v>
      </c>
      <c r="AT91" s="173"/>
      <c r="AU91" s="174"/>
      <c r="AV91" s="175"/>
      <c r="AW91" s="172" t="e">
        <f t="shared" ref="AW91:AW106" si="43">+AV91/$AU$6</f>
        <v>#DIV/0!</v>
      </c>
    </row>
    <row r="92" spans="1:49" s="207" customFormat="1" hidden="1" outlineLevel="1" collapsed="1" x14ac:dyDescent="0.2">
      <c r="A92" s="354" t="s">
        <v>213</v>
      </c>
      <c r="B92" s="307"/>
      <c r="C92" s="219"/>
      <c r="D92" s="154" t="str">
        <f>AB92</f>
        <v/>
      </c>
      <c r="E92" s="200"/>
      <c r="F92" s="200"/>
      <c r="G92" s="201"/>
      <c r="H92" s="200"/>
      <c r="I92" s="202"/>
      <c r="J92" s="203"/>
      <c r="K92" s="203"/>
      <c r="L92" s="203"/>
      <c r="M92" s="203"/>
      <c r="N92" s="203"/>
      <c r="O92" s="206"/>
      <c r="P92" s="203"/>
      <c r="Q92" s="204"/>
      <c r="R92" s="163"/>
      <c r="S92" s="163"/>
      <c r="T92" s="204"/>
      <c r="U92" s="355"/>
      <c r="V92" s="355"/>
      <c r="W92" s="356"/>
      <c r="X92" s="203" t="str">
        <f t="shared" si="36"/>
        <v>BRAZIMIL VERNIZ 3,0L</v>
      </c>
      <c r="Y92" s="205"/>
      <c r="Z92" s="206">
        <f>SUM(Z93:Z94)</f>
        <v>0</v>
      </c>
      <c r="AA92" s="206">
        <f>SUM(AA93:AA94)</f>
        <v>0</v>
      </c>
      <c r="AB92" s="154" t="str">
        <f t="shared" si="35"/>
        <v/>
      </c>
      <c r="AC92" s="357">
        <v>0.25</v>
      </c>
      <c r="AD92" s="408"/>
      <c r="AE92" s="168"/>
      <c r="AF92" s="208"/>
      <c r="AG92" s="211"/>
      <c r="AH92" s="208"/>
      <c r="AP92" s="273">
        <f>Peso!B94</f>
        <v>0</v>
      </c>
      <c r="AT92" s="209"/>
      <c r="AU92" s="210"/>
      <c r="AV92" s="211"/>
      <c r="AW92" s="207" t="e">
        <f t="shared" si="43"/>
        <v>#DIV/0!</v>
      </c>
    </row>
    <row r="93" spans="1:49" s="172" customFormat="1" hidden="1" outlineLevel="2" x14ac:dyDescent="0.2">
      <c r="A93" s="182" t="s">
        <v>214</v>
      </c>
      <c r="B93" s="307">
        <v>63</v>
      </c>
      <c r="C93" s="219"/>
      <c r="D93" s="154">
        <f t="shared" si="40"/>
        <v>0.26517037398720383</v>
      </c>
      <c r="E93" s="155">
        <f>+B93*(-B$5+100%)</f>
        <v>58.589999999999996</v>
      </c>
      <c r="F93" s="155">
        <f>IF(B93=0,0,E93-H93)</f>
        <v>58.279999999999994</v>
      </c>
      <c r="G93" s="156">
        <f>VLOOKUP(A93,Custo!A:B,2,0)</f>
        <v>39.593667788089725</v>
      </c>
      <c r="H93" s="155">
        <f>(VLOOKUP(A93,Peso!$A$10:$B$148,2,0))*($B$6/1000)</f>
        <v>0.31000000000000005</v>
      </c>
      <c r="I93" s="157">
        <f>IF($I$7="X",AE93,0%)</f>
        <v>0.05</v>
      </c>
      <c r="J93" s="158">
        <f>+B93*I93</f>
        <v>3.1500000000000004</v>
      </c>
      <c r="K93" s="353">
        <f>IF($B$2="X",$C$2,0)</f>
        <v>0</v>
      </c>
      <c r="L93" s="158">
        <f>+B93*K93</f>
        <v>0</v>
      </c>
      <c r="M93" s="158">
        <f>+G93+H93+J93+L93</f>
        <v>43.053667788089726</v>
      </c>
      <c r="N93" s="158">
        <f t="shared" si="41"/>
        <v>15.53633221191027</v>
      </c>
      <c r="O93" s="159" t="str">
        <f t="shared" si="42"/>
        <v/>
      </c>
      <c r="P93" s="158"/>
      <c r="Q93" s="160">
        <f>VLOOKUP(A93,'MVA-IPI'!A:AD,30,FALSE)</f>
        <v>0</v>
      </c>
      <c r="R93" s="161">
        <f>IF($B$4="AM",0,IF($B$4="AP",0,IF($B$4="RR",0,(B93*Q93))))</f>
        <v>0</v>
      </c>
      <c r="S93" s="161">
        <f>IF($B$4="AP",(B93/0.88*$S$8),IF(T93=0%,0,IF($B$4="AM",(B93/0.88*$S$8),IF(T93=0%,0,IF($B$4="RR",(B93/0.88*$S$8),IF(T93=0%,0,B93*$S$8))))))</f>
        <v>0</v>
      </c>
      <c r="T93" s="160">
        <f>IF($C$4="GRUPO 1",VLOOKUP(A93,'MVA-grupos'!$A$9:$B$128,2,FALSE),IF($C$4="GRUPO 2",VLOOKUP(A93,'MVA-grupos'!$A$9:$D$128,4,FALSE),IF($C$4="GRUPO 3",VLOOKUP(A93,'MVA-grupos'!$A$10:$F$128,6,FALSE),IF($C$4="Grupo 4",VLOOKUP(A93,'MVA-grupos'!$A$9:$H$128,8,FALSE)))))</f>
        <v>0</v>
      </c>
      <c r="U93" s="162">
        <f>IF(T93=0%,0,(B93+R93)*T93+(B93+R93))</f>
        <v>0</v>
      </c>
      <c r="V93" s="162">
        <f>(U93*$V$8)-S93</f>
        <v>0</v>
      </c>
      <c r="W93" s="164"/>
      <c r="X93" s="158" t="str">
        <f t="shared" si="36"/>
        <v>BRAZIMIL VERNIZ 3,0L LATA INCOLOR</v>
      </c>
      <c r="Y93" s="165">
        <f>+C93</f>
        <v>0</v>
      </c>
      <c r="Z93" s="159">
        <f>IF(ISERROR(Y93*N93),"",Y93*N93)</f>
        <v>0</v>
      </c>
      <c r="AA93" s="159">
        <f>IF(ISERROR(IF(E$7="X",Y93*E93,Y93*F93)),"",IF(E$7="X",Y93*E93,Y93*F93))</f>
        <v>0</v>
      </c>
      <c r="AB93" s="154" t="str">
        <f t="shared" si="35"/>
        <v/>
      </c>
      <c r="AC93" s="166"/>
      <c r="AD93" s="167"/>
      <c r="AE93" s="168">
        <v>0.05</v>
      </c>
      <c r="AF93" s="199"/>
      <c r="AG93" s="175"/>
      <c r="AH93" s="199"/>
      <c r="AP93" s="273">
        <f>Peso!B95</f>
        <v>3.1</v>
      </c>
      <c r="AT93" s="173"/>
      <c r="AU93" s="174"/>
      <c r="AV93" s="175"/>
      <c r="AW93" s="172" t="e">
        <f t="shared" si="43"/>
        <v>#DIV/0!</v>
      </c>
    </row>
    <row r="94" spans="1:49" s="172" customFormat="1" hidden="1" outlineLevel="2" x14ac:dyDescent="0.2">
      <c r="A94" s="182" t="s">
        <v>215</v>
      </c>
      <c r="B94" s="307">
        <v>63</v>
      </c>
      <c r="C94" s="219"/>
      <c r="D94" s="154">
        <f t="shared" si="40"/>
        <v>0.33524450596031735</v>
      </c>
      <c r="E94" s="155">
        <f>+B94*(-B$5+100%)</f>
        <v>58.589999999999996</v>
      </c>
      <c r="F94" s="155">
        <f>IF(B94=0,0,E94-H94)</f>
        <v>58.279999999999994</v>
      </c>
      <c r="G94" s="156">
        <f>VLOOKUP(A94,Custo!A:B,2,0)</f>
        <v>35.488024395785004</v>
      </c>
      <c r="H94" s="155">
        <f>(VLOOKUP(A94,Peso!$A$10:$B$148,2,0))*($B$6/1000)</f>
        <v>0.31000000000000005</v>
      </c>
      <c r="I94" s="157">
        <f>IF($I$7="X",AE94,0%)</f>
        <v>0.05</v>
      </c>
      <c r="J94" s="158">
        <f>+B94*I94</f>
        <v>3.1500000000000004</v>
      </c>
      <c r="K94" s="353">
        <f>IF($B$2="X",$C$2,0)</f>
        <v>0</v>
      </c>
      <c r="L94" s="158">
        <f>+B94*K94</f>
        <v>0</v>
      </c>
      <c r="M94" s="158">
        <f>+G94+H94+J94+L94</f>
        <v>38.948024395785005</v>
      </c>
      <c r="N94" s="158">
        <f t="shared" si="41"/>
        <v>19.641975604214991</v>
      </c>
      <c r="O94" s="159" t="str">
        <f t="shared" si="42"/>
        <v/>
      </c>
      <c r="P94" s="158"/>
      <c r="Q94" s="160">
        <f>VLOOKUP(A94,'MVA-IPI'!A:AD,30,FALSE)</f>
        <v>0</v>
      </c>
      <c r="R94" s="161">
        <f>IF($B$4="AM",0,IF($B$4="AP",0,IF($B$4="RR",0,(B94*Q94))))</f>
        <v>0</v>
      </c>
      <c r="S94" s="161">
        <f>IF($B$4="AP",(B94/0.88*$S$8),IF(T94=0%,0,IF($B$4="AM",(B94/0.88*$S$8),IF(T94=0%,0,IF($B$4="RR",(B94/0.88*$S$8),IF(T94=0%,0,B94*$S$8))))))</f>
        <v>0</v>
      </c>
      <c r="T94" s="160">
        <f>IF($C$4="GRUPO 1",VLOOKUP(A94,'MVA-grupos'!$A$9:$B$128,2,FALSE),IF($C$4="GRUPO 2",VLOOKUP(A94,'MVA-grupos'!$A$9:$D$128,4,FALSE),IF($C$4="GRUPO 3",VLOOKUP(A94,'MVA-grupos'!$A$10:$F$128,6,FALSE),IF($C$4="Grupo 4",VLOOKUP(A94,'MVA-grupos'!$A$9:$H$128,8,FALSE)))))</f>
        <v>0</v>
      </c>
      <c r="U94" s="162">
        <f>IF(T94=0%,0,(B94+R94)*T94+(B94+R94))</f>
        <v>0</v>
      </c>
      <c r="V94" s="162">
        <f>(U94*$V$8)-S94</f>
        <v>0</v>
      </c>
      <c r="W94" s="164"/>
      <c r="X94" s="158" t="str">
        <f t="shared" si="36"/>
        <v>BRAZIMIL VERNIZ 3,0L LATA PIGMENTADO</v>
      </c>
      <c r="Y94" s="165">
        <f>+C94</f>
        <v>0</v>
      </c>
      <c r="Z94" s="159">
        <f>IF(ISERROR(Y94*N94),"",Y94*N94)</f>
        <v>0</v>
      </c>
      <c r="AA94" s="159">
        <f>IF(ISERROR(IF(E$7="X",Y94*E94,Y94*F94)),"",IF(E$7="X",Y94*E94,Y94*F94))</f>
        <v>0</v>
      </c>
      <c r="AB94" s="154" t="str">
        <f t="shared" si="35"/>
        <v/>
      </c>
      <c r="AC94" s="166"/>
      <c r="AD94" s="167"/>
      <c r="AE94" s="168">
        <v>0.05</v>
      </c>
      <c r="AF94" s="199"/>
      <c r="AG94" s="175"/>
      <c r="AH94" s="199"/>
      <c r="AP94" s="273">
        <f>Peso!B96</f>
        <v>3.1</v>
      </c>
      <c r="AT94" s="173"/>
      <c r="AU94" s="174"/>
      <c r="AV94" s="175"/>
      <c r="AW94" s="172" t="e">
        <f t="shared" si="43"/>
        <v>#DIV/0!</v>
      </c>
    </row>
    <row r="95" spans="1:49" s="207" customFormat="1" hidden="1" outlineLevel="1" collapsed="1" x14ac:dyDescent="0.2">
      <c r="A95" s="354" t="s">
        <v>216</v>
      </c>
      <c r="B95" s="307"/>
      <c r="C95" s="219"/>
      <c r="D95" s="154" t="str">
        <f>AB95</f>
        <v/>
      </c>
      <c r="E95" s="200"/>
      <c r="F95" s="200"/>
      <c r="G95" s="201"/>
      <c r="H95" s="200"/>
      <c r="I95" s="202"/>
      <c r="J95" s="203"/>
      <c r="K95" s="203"/>
      <c r="L95" s="203"/>
      <c r="M95" s="203"/>
      <c r="N95" s="203"/>
      <c r="O95" s="206"/>
      <c r="P95" s="203"/>
      <c r="Q95" s="204"/>
      <c r="R95" s="161"/>
      <c r="S95" s="161"/>
      <c r="T95" s="160"/>
      <c r="U95" s="355"/>
      <c r="V95" s="355"/>
      <c r="W95" s="356"/>
      <c r="X95" s="203" t="str">
        <f t="shared" si="36"/>
        <v>BRAZIMIL ZARCÃO 0,75L</v>
      </c>
      <c r="Y95" s="205"/>
      <c r="Z95" s="206">
        <f>SUM(Z96:Z98)</f>
        <v>0</v>
      </c>
      <c r="AA95" s="206">
        <f>SUM(AA96:AA98)</f>
        <v>0</v>
      </c>
      <c r="AB95" s="154" t="str">
        <f t="shared" si="35"/>
        <v/>
      </c>
      <c r="AC95" s="357">
        <v>0.25</v>
      </c>
      <c r="AD95" s="167"/>
      <c r="AE95" s="168"/>
      <c r="AF95" s="208"/>
      <c r="AG95" s="211"/>
      <c r="AH95" s="208"/>
      <c r="AP95" s="273">
        <f>Peso!B97</f>
        <v>0</v>
      </c>
      <c r="AT95" s="209"/>
      <c r="AU95" s="210"/>
      <c r="AV95" s="211"/>
      <c r="AW95" s="207" t="e">
        <f t="shared" si="43"/>
        <v>#DIV/0!</v>
      </c>
    </row>
    <row r="96" spans="1:49" s="172" customFormat="1" hidden="1" outlineLevel="2" x14ac:dyDescent="0.2">
      <c r="A96" s="182" t="s">
        <v>217</v>
      </c>
      <c r="B96" s="307">
        <v>15.9</v>
      </c>
      <c r="C96" s="219"/>
      <c r="D96" s="154">
        <f t="shared" si="40"/>
        <v>0.49336219397555287</v>
      </c>
      <c r="E96" s="155">
        <f>+B96*(-B$5+100%)</f>
        <v>14.786999999999999</v>
      </c>
      <c r="F96" s="155">
        <f>IF(B96=0,0,E96-H96)</f>
        <v>14.684999999999999</v>
      </c>
      <c r="G96" s="156">
        <f>VLOOKUP(A96,Custo!A:B,2,0)</f>
        <v>6.5946532376834988</v>
      </c>
      <c r="H96" s="155">
        <f>(VLOOKUP(A96,Peso!$A$10:$B$148,2,0))*($B$6/1000)</f>
        <v>0.10200000000000001</v>
      </c>
      <c r="I96" s="157">
        <f>IF($I$7="X",AE96,0%)</f>
        <v>0.05</v>
      </c>
      <c r="J96" s="158">
        <f>+B96*I96</f>
        <v>0.79500000000000004</v>
      </c>
      <c r="K96" s="353">
        <f>IF($B$2="X",$C$2,0)</f>
        <v>0</v>
      </c>
      <c r="L96" s="158">
        <f>+B96*K96</f>
        <v>0</v>
      </c>
      <c r="M96" s="158">
        <f>+G96+H96+J96+L96</f>
        <v>7.491653237683499</v>
      </c>
      <c r="N96" s="158">
        <f t="shared" si="41"/>
        <v>7.2953467623165</v>
      </c>
      <c r="O96" s="159" t="str">
        <f t="shared" si="42"/>
        <v/>
      </c>
      <c r="P96" s="158"/>
      <c r="Q96" s="160">
        <f>VLOOKUP(A96,'MVA-IPI'!A:AD,30,FALSE)</f>
        <v>0</v>
      </c>
      <c r="R96" s="161">
        <f>IF($B$4="AM",0,IF($B$4="AP",0,IF($B$4="RR",0,(B96*Q96))))</f>
        <v>0</v>
      </c>
      <c r="S96" s="161">
        <f>IF($B$4="AP",(B96/0.88*$S$8),IF(T96=0%,0,IF($B$4="AM",(B96/0.88*$S$8),IF(T96=0%,0,IF($B$4="RR",(B96/0.88*$S$8),IF(T96=0%,0,B96*$S$8))))))</f>
        <v>0</v>
      </c>
      <c r="T96" s="160">
        <f>IF($C$4="GRUPO 1",VLOOKUP(A96,'MVA-grupos'!$A$9:$B$128,2,FALSE),IF($C$4="GRUPO 2",VLOOKUP(A96,'MVA-grupos'!$A$9:$D$128,4,FALSE),IF($C$4="GRUPO 3",VLOOKUP(A96,'MVA-grupos'!$A$10:$F$128,6,FALSE),IF($C$4="Grupo 4",VLOOKUP(A96,'MVA-grupos'!$A$9:$H$128,8,FALSE)))))</f>
        <v>0</v>
      </c>
      <c r="U96" s="162">
        <f>IF(T96=0%,0,(B96+R96)*T96+(B96+R96))</f>
        <v>0</v>
      </c>
      <c r="V96" s="162">
        <f>(U96*$V$8)-S96</f>
        <v>0</v>
      </c>
      <c r="W96" s="164"/>
      <c r="X96" s="158" t="str">
        <f t="shared" si="36"/>
        <v>BRAZIMIL ZARCÃO 0,75L LATA BRANCO</v>
      </c>
      <c r="Y96" s="165">
        <f>+C96</f>
        <v>0</v>
      </c>
      <c r="Z96" s="159">
        <f>IF(ISERROR(Y96*N96),"",Y96*N96)</f>
        <v>0</v>
      </c>
      <c r="AA96" s="159">
        <f>IF(ISERROR(IF(E$7="X",Y96*E96,Y96*F96)),"",IF(E$7="X",Y96*E96,Y96*F96))</f>
        <v>0</v>
      </c>
      <c r="AB96" s="154" t="str">
        <f t="shared" si="35"/>
        <v/>
      </c>
      <c r="AC96" s="166"/>
      <c r="AD96" s="167"/>
      <c r="AE96" s="168">
        <v>0.05</v>
      </c>
      <c r="AF96" s="199"/>
      <c r="AG96" s="175"/>
      <c r="AH96" s="199"/>
      <c r="AP96" s="273">
        <f>Peso!B98</f>
        <v>1.02</v>
      </c>
      <c r="AT96" s="173"/>
      <c r="AU96" s="174"/>
      <c r="AV96" s="175"/>
      <c r="AW96" s="172" t="e">
        <f t="shared" si="43"/>
        <v>#DIV/0!</v>
      </c>
    </row>
    <row r="97" spans="1:49" s="172" customFormat="1" hidden="1" outlineLevel="2" x14ac:dyDescent="0.2">
      <c r="A97" s="182" t="s">
        <v>218</v>
      </c>
      <c r="B97" s="307">
        <v>14.9</v>
      </c>
      <c r="C97" s="219"/>
      <c r="D97" s="154">
        <f>IF($F$7="x",IF(F97=0,0,N97/F97),IF($E$7="x",IF(F97=0,0,N97/E97),""))</f>
        <v>0.46296794127996682</v>
      </c>
      <c r="E97" s="155">
        <f>+B97*(-B$5+100%)</f>
        <v>13.856999999999999</v>
      </c>
      <c r="F97" s="155">
        <f>IF(B97=0,0,E97-H97)</f>
        <v>13.754999999999999</v>
      </c>
      <c r="G97" s="156">
        <f>VLOOKUP(A97,Custo!A:B,2,0)</f>
        <v>6.5946532376834988</v>
      </c>
      <c r="H97" s="155">
        <f>(VLOOKUP(A97,Peso!$A$10:$B$148,2,0))*($B$6/1000)</f>
        <v>0.10200000000000001</v>
      </c>
      <c r="I97" s="157">
        <f>IF($I$7="X",AE97,0%)</f>
        <v>0.05</v>
      </c>
      <c r="J97" s="158">
        <f>+B97*I97</f>
        <v>0.74500000000000011</v>
      </c>
      <c r="K97" s="353">
        <f>IF($B$2="X",$C$2,0)</f>
        <v>0</v>
      </c>
      <c r="L97" s="158">
        <f>+B97*K97</f>
        <v>0</v>
      </c>
      <c r="M97" s="158">
        <f>+G97+H97+J97+L97</f>
        <v>7.4416532376834992</v>
      </c>
      <c r="N97" s="158">
        <f>+E97-M97</f>
        <v>6.4153467623165001</v>
      </c>
      <c r="O97" s="159" t="str">
        <f>IF(ISERROR((N97/P97)*100),"",(N97/P97)*100)</f>
        <v/>
      </c>
      <c r="P97" s="158"/>
      <c r="Q97" s="160">
        <f>VLOOKUP(A97,'MVA-IPI'!A:AD,30,FALSE)</f>
        <v>0</v>
      </c>
      <c r="R97" s="161">
        <f>IF($B$4="AM",0,IF($B$4="AP",0,IF($B$4="RR",0,(B97*Q97))))</f>
        <v>0</v>
      </c>
      <c r="S97" s="161">
        <f>IF($B$4="AP",(B97/0.88*$S$8),IF(T97=0%,0,IF($B$4="AM",(B97/0.88*$S$8),IF(T97=0%,0,IF($B$4="RR",(B97/0.88*$S$8),IF(T97=0%,0,B97*$S$8))))))</f>
        <v>0</v>
      </c>
      <c r="T97" s="160">
        <f>IF($C$4="GRUPO 1",VLOOKUP(A97,'MVA-grupos'!$A$9:$B$128,2,FALSE),IF($C$4="GRUPO 2",VLOOKUP(A97,'MVA-grupos'!$A$9:$D$128,4,FALSE),IF($C$4="GRUPO 3",VLOOKUP(A97,'MVA-grupos'!$A$10:$F$128,6,FALSE),IF($C$4="Grupo 4",VLOOKUP(A97,'MVA-grupos'!$A$9:$H$128,8,FALSE)))))</f>
        <v>0</v>
      </c>
      <c r="U97" s="162">
        <f>IF(T97=0%,0,(B97+R97)*T97+(B97+R97))</f>
        <v>0</v>
      </c>
      <c r="V97" s="162">
        <f>(U97*$V$8)-S97</f>
        <v>0</v>
      </c>
      <c r="W97" s="164"/>
      <c r="X97" s="158" t="str">
        <f t="shared" si="36"/>
        <v>BRAZIMIL ZARCÃO 0,75L LATA CINZA</v>
      </c>
      <c r="Y97" s="165">
        <f>+C97</f>
        <v>0</v>
      </c>
      <c r="Z97" s="159">
        <f>IF(ISERROR(Y97*N97),"",Y97*N97)</f>
        <v>0</v>
      </c>
      <c r="AA97" s="159">
        <f>IF(ISERROR(IF(E$7="X",Y97*E97,Y97*F97)),"",IF(E$7="X",Y97*E97,Y97*F97))</f>
        <v>0</v>
      </c>
      <c r="AB97" s="154" t="str">
        <f t="shared" si="35"/>
        <v/>
      </c>
      <c r="AC97" s="166"/>
      <c r="AD97" s="167"/>
      <c r="AE97" s="168">
        <v>0.05</v>
      </c>
      <c r="AF97" s="199"/>
      <c r="AG97" s="175"/>
      <c r="AH97" s="199"/>
      <c r="AP97" s="273">
        <f>Peso!B99</f>
        <v>1.02</v>
      </c>
      <c r="AT97" s="173"/>
      <c r="AU97" s="174"/>
      <c r="AV97" s="175"/>
      <c r="AW97" s="172" t="e">
        <f t="shared" si="43"/>
        <v>#DIV/0!</v>
      </c>
    </row>
    <row r="98" spans="1:49" s="172" customFormat="1" hidden="1" outlineLevel="2" x14ac:dyDescent="0.2">
      <c r="A98" s="182" t="s">
        <v>219</v>
      </c>
      <c r="B98" s="307">
        <v>14</v>
      </c>
      <c r="C98" s="219"/>
      <c r="D98" s="154">
        <f>IF($F$7="x",IF(F98=0,0,N98/F98),IF($E$7="x",IF(F98=0,0,N98/E98),""))</f>
        <v>0.43190067298897855</v>
      </c>
      <c r="E98" s="155">
        <f>+B98*(-B$5+100%)</f>
        <v>13.02</v>
      </c>
      <c r="F98" s="155">
        <f>IF(B98=0,0,E98-H98)</f>
        <v>12.917999999999999</v>
      </c>
      <c r="G98" s="156">
        <f>VLOOKUP(A98,Custo!A:B,2,0)</f>
        <v>6.5946532376834988</v>
      </c>
      <c r="H98" s="155">
        <f>(VLOOKUP(A98,Peso!$A$10:$B$148,2,0))*($B$6/1000)</f>
        <v>0.10200000000000001</v>
      </c>
      <c r="I98" s="157">
        <f>IF($I$7="X",AE98,0%)</f>
        <v>0.05</v>
      </c>
      <c r="J98" s="158">
        <f>+B98*I98</f>
        <v>0.70000000000000007</v>
      </c>
      <c r="K98" s="353">
        <f>IF($B$2="X",$C$2,0)</f>
        <v>0</v>
      </c>
      <c r="L98" s="158">
        <f>+B98*K98</f>
        <v>0</v>
      </c>
      <c r="M98" s="158">
        <f>+G98+H98+J98+L98</f>
        <v>7.3966532376834992</v>
      </c>
      <c r="N98" s="158">
        <f>+E98-M98</f>
        <v>5.6233467623165003</v>
      </c>
      <c r="O98" s="159" t="str">
        <f>IF(ISERROR((N98/P98)*100),"",(N98/P98)*100)</f>
        <v/>
      </c>
      <c r="P98" s="158"/>
      <c r="Q98" s="160">
        <f>VLOOKUP(A98,'MVA-IPI'!A:AD,30,FALSE)</f>
        <v>0</v>
      </c>
      <c r="R98" s="161">
        <f>IF($B$4="AM",0,IF($B$4="AP",0,IF($B$4="RR",0,(B98*Q98))))</f>
        <v>0</v>
      </c>
      <c r="S98" s="161">
        <f>IF($B$4="AP",(B98/0.88*$S$8),IF(T98=0%,0,IF($B$4="AM",(B98/0.88*$S$8),IF(T98=0%,0,IF($B$4="RR",(B98/0.88*$S$8),IF(T98=0%,0,B98*$S$8))))))</f>
        <v>0</v>
      </c>
      <c r="T98" s="160">
        <f>IF($C$4="GRUPO 1",VLOOKUP(A98,'MVA-grupos'!$A$9:$B$128,2,FALSE),IF($C$4="GRUPO 2",VLOOKUP(A98,'MVA-grupos'!$A$9:$D$128,4,FALSE),IF($C$4="GRUPO 3",VLOOKUP(A98,'MVA-grupos'!$A$10:$F$128,6,FALSE),IF($C$4="Grupo 4",VLOOKUP(A98,'MVA-grupos'!$A$9:$H$128,8,FALSE)))))</f>
        <v>0</v>
      </c>
      <c r="U98" s="162">
        <f>IF(T98=0%,0,(B98+R98)*T98+(B98+R98))</f>
        <v>0</v>
      </c>
      <c r="V98" s="162">
        <f>(U98*$V$8)-S98</f>
        <v>0</v>
      </c>
      <c r="W98" s="164"/>
      <c r="X98" s="158" t="str">
        <f t="shared" si="36"/>
        <v>BRAZIMIL ZARCÃO 0,75L LATA COR</v>
      </c>
      <c r="Y98" s="165">
        <f>+C98</f>
        <v>0</v>
      </c>
      <c r="Z98" s="159">
        <f>IF(ISERROR(Y98*N98),"",Y98*N98)</f>
        <v>0</v>
      </c>
      <c r="AA98" s="159">
        <f>IF(ISERROR(IF(E$7="X",Y98*E98,Y98*F98)),"",IF(E$7="X",Y98*E98,Y98*F98))</f>
        <v>0</v>
      </c>
      <c r="AB98" s="154" t="str">
        <f t="shared" si="35"/>
        <v/>
      </c>
      <c r="AC98" s="166"/>
      <c r="AD98" s="167"/>
      <c r="AE98" s="168">
        <v>0.05</v>
      </c>
      <c r="AF98" s="199"/>
      <c r="AG98" s="175"/>
      <c r="AH98" s="199"/>
      <c r="AP98" s="273">
        <f>Peso!B100</f>
        <v>1.02</v>
      </c>
      <c r="AT98" s="173"/>
      <c r="AU98" s="174"/>
      <c r="AV98" s="175"/>
      <c r="AW98" s="172" t="e">
        <f t="shared" si="43"/>
        <v>#DIV/0!</v>
      </c>
    </row>
    <row r="99" spans="1:49" s="207" customFormat="1" hidden="1" outlineLevel="1" collapsed="1" x14ac:dyDescent="0.2">
      <c r="A99" s="354" t="s">
        <v>220</v>
      </c>
      <c r="B99" s="307"/>
      <c r="C99" s="219"/>
      <c r="D99" s="154" t="str">
        <f>AB99</f>
        <v/>
      </c>
      <c r="E99" s="200"/>
      <c r="F99" s="200"/>
      <c r="G99" s="201"/>
      <c r="H99" s="200"/>
      <c r="I99" s="202"/>
      <c r="J99" s="203"/>
      <c r="K99" s="203"/>
      <c r="L99" s="203"/>
      <c r="M99" s="203"/>
      <c r="N99" s="203"/>
      <c r="O99" s="206"/>
      <c r="P99" s="203"/>
      <c r="Q99" s="204"/>
      <c r="R99" s="163"/>
      <c r="S99" s="163"/>
      <c r="T99" s="204"/>
      <c r="U99" s="355"/>
      <c r="V99" s="355"/>
      <c r="W99" s="356"/>
      <c r="X99" s="203" t="str">
        <f t="shared" si="36"/>
        <v>BRAZIMIL ZARCÃO 3,0L</v>
      </c>
      <c r="Y99" s="205"/>
      <c r="Z99" s="206">
        <f>SUM(Z100:Z102)</f>
        <v>0</v>
      </c>
      <c r="AA99" s="206">
        <f>SUM(AA100:AA102)</f>
        <v>0</v>
      </c>
      <c r="AB99" s="154" t="str">
        <f t="shared" si="35"/>
        <v/>
      </c>
      <c r="AC99" s="357">
        <v>0.25</v>
      </c>
      <c r="AD99" s="408"/>
      <c r="AE99" s="168"/>
      <c r="AF99" s="208"/>
      <c r="AG99" s="211"/>
      <c r="AH99" s="208"/>
      <c r="AP99" s="273">
        <f>Peso!B101</f>
        <v>0</v>
      </c>
      <c r="AT99" s="209"/>
      <c r="AU99" s="210"/>
      <c r="AV99" s="211"/>
    </row>
    <row r="100" spans="1:49" s="172" customFormat="1" hidden="1" outlineLevel="2" x14ac:dyDescent="0.2">
      <c r="A100" s="182" t="s">
        <v>221</v>
      </c>
      <c r="B100" s="307">
        <v>46.9</v>
      </c>
      <c r="C100" s="219"/>
      <c r="D100" s="154">
        <f>IF($F$7="x",IF(F100=0,0,N100/F100),IF($E$7="x",IF(F100=0,0,N100/E100),""))</f>
        <v>-1.1145931079838474</v>
      </c>
      <c r="E100" s="155">
        <f>+B100*(-B$5+100%)</f>
        <v>43.616999999999997</v>
      </c>
      <c r="F100" s="155">
        <f>IF(B100=0,0,E100-H100)</f>
        <v>43.266999999999996</v>
      </c>
      <c r="G100" s="156">
        <f>VLOOKUP(A100,Custo!A:B,2,0)</f>
        <v>89.537207590931473</v>
      </c>
      <c r="H100" s="155">
        <f>(VLOOKUP(A100,Peso!$A$10:$B$148,2,0))*($B$6/1000)</f>
        <v>0.35000000000000003</v>
      </c>
      <c r="I100" s="157">
        <f>IF($I$7="X",AE100,0%)</f>
        <v>0.05</v>
      </c>
      <c r="J100" s="158">
        <f>+B100*I100</f>
        <v>2.3450000000000002</v>
      </c>
      <c r="K100" s="353">
        <f>IF($B$2="X",$C$2,0)</f>
        <v>0</v>
      </c>
      <c r="L100" s="158">
        <f>+B100*K100</f>
        <v>0</v>
      </c>
      <c r="M100" s="158">
        <f>+G100+H100+J100+L100</f>
        <v>92.232207590931466</v>
      </c>
      <c r="N100" s="158">
        <f>+E100-M100</f>
        <v>-48.615207590931469</v>
      </c>
      <c r="O100" s="159" t="str">
        <f>IF(ISERROR((N100/P100)*1000),"",(N100/P100)*1000)</f>
        <v/>
      </c>
      <c r="P100" s="158"/>
      <c r="Q100" s="160">
        <f>VLOOKUP(A100,'MVA-IPI'!A:AD,30,FALSE)</f>
        <v>0</v>
      </c>
      <c r="R100" s="161">
        <f>IF($B$4="AM",0,IF($B$4="AP",0,IF($B$4="RR",0,(B100*Q100))))</f>
        <v>0</v>
      </c>
      <c r="S100" s="161">
        <f>IF($B$4="AP",(B100/0.88*$S$8),IF(T100=0%,0,IF($B$4="AM",(B100/0.88*$S$8),IF(T100=0%,0,IF($B$4="RR",(B100/0.88*$S$8),IF(T100=0%,0,B100*$S$8))))))</f>
        <v>0</v>
      </c>
      <c r="T100" s="160">
        <f>IF($C$4="GRUPO 1",VLOOKUP(A100,'MVA-grupos'!$A$9:$B$128,2,FALSE),IF($C$4="GRUPO 2",VLOOKUP(A100,'MVA-grupos'!$A$9:$D$128,4,FALSE),IF($C$4="GRUPO 3",VLOOKUP(A100,'MVA-grupos'!$A$10:$F$128,6,FALSE),IF($C$4="Grupo 4",VLOOKUP(A100,'MVA-grupos'!$A$9:$H$128,8,FALSE)))))</f>
        <v>0</v>
      </c>
      <c r="U100" s="162">
        <f>IF(T100=0%,0,(B100+R100)*T100+(B100+R100))</f>
        <v>0</v>
      </c>
      <c r="V100" s="162">
        <f>(U100*$V$8)-S100</f>
        <v>0</v>
      </c>
      <c r="W100" s="164"/>
      <c r="X100" s="158" t="str">
        <f t="shared" si="36"/>
        <v>BRAZIMIL ZARCÃO 3,0L LATA BRANCO</v>
      </c>
      <c r="Y100" s="165">
        <f>+C100</f>
        <v>0</v>
      </c>
      <c r="Z100" s="159">
        <f>IF(ISERROR(Y100*N100),"",Y100*N100)</f>
        <v>0</v>
      </c>
      <c r="AA100" s="159">
        <f>IF(ISERROR(IF(E$7="X",Y100*E100,Y100*F100)),"",IF(E$7="X",Y100*E100,Y100*F100))</f>
        <v>0</v>
      </c>
      <c r="AB100" s="154" t="str">
        <f t="shared" si="35"/>
        <v/>
      </c>
      <c r="AC100" s="166"/>
      <c r="AD100" s="167"/>
      <c r="AE100" s="168">
        <v>0.05</v>
      </c>
      <c r="AF100" s="199"/>
      <c r="AG100" s="175"/>
      <c r="AH100" s="199"/>
      <c r="AP100" s="273">
        <f>Peso!B102</f>
        <v>3.5</v>
      </c>
      <c r="AT100" s="173"/>
      <c r="AU100" s="174"/>
      <c r="AV100" s="175"/>
    </row>
    <row r="101" spans="1:49" s="172" customFormat="1" hidden="1" outlineLevel="2" x14ac:dyDescent="0.2">
      <c r="A101" s="182" t="s">
        <v>222</v>
      </c>
      <c r="B101" s="307">
        <v>45.55</v>
      </c>
      <c r="C101" s="219"/>
      <c r="D101" s="154">
        <f>IF($F$7="x",IF(F101=0,0,N101/F101),IF($E$7="x",IF(F101=0,0,N101/E101),""))</f>
        <v>0.45222636236360847</v>
      </c>
      <c r="E101" s="155">
        <f>+B101*(-B$5+100%)</f>
        <v>42.361499999999992</v>
      </c>
      <c r="F101" s="155">
        <f>IF(B101=0,0,E101-H101)</f>
        <v>42.011499999999991</v>
      </c>
      <c r="G101" s="156">
        <f>VLOOKUP(A101,Custo!A:B,2,0)</f>
        <v>20.577012950733995</v>
      </c>
      <c r="H101" s="155">
        <f>(VLOOKUP(A101,Peso!$A$10:$B$148,2,0))*($B$6/1000)</f>
        <v>0.35000000000000003</v>
      </c>
      <c r="I101" s="157">
        <f>IF($I$7="X",AE101,0%)</f>
        <v>0.05</v>
      </c>
      <c r="J101" s="158">
        <f>+B101*I101</f>
        <v>2.2774999999999999</v>
      </c>
      <c r="K101" s="353">
        <f>IF($B$2="X",$C$2,0)</f>
        <v>0</v>
      </c>
      <c r="L101" s="158">
        <f>+B101*K101</f>
        <v>0</v>
      </c>
      <c r="M101" s="158">
        <f>+G101+H101+J101+L101</f>
        <v>23.204512950733996</v>
      </c>
      <c r="N101" s="158">
        <f>+E101-M101</f>
        <v>19.156987049265997</v>
      </c>
      <c r="O101" s="159" t="str">
        <f>IF(ISERROR((N101/P101)*1000),"",(N101/P101)*1000)</f>
        <v/>
      </c>
      <c r="P101" s="158"/>
      <c r="Q101" s="160">
        <f>VLOOKUP(A101,'MVA-IPI'!A:AD,30,FALSE)</f>
        <v>0</v>
      </c>
      <c r="R101" s="161">
        <f>IF($B$4="AM",0,IF($B$4="AP",0,IF($B$4="RR",0,(B101*Q101))))</f>
        <v>0</v>
      </c>
      <c r="S101" s="161">
        <f>IF($B$4="AP",(B101/0.88*$S$8),IF(T101=0%,0,IF($B$4="AM",(B101/0.88*$S$8),IF(T101=0%,0,IF($B$4="RR",(B101/0.88*$S$8),IF(T101=0%,0,B101*$S$8))))))</f>
        <v>0</v>
      </c>
      <c r="T101" s="160">
        <f>IF($C$4="GRUPO 1",VLOOKUP(A101,'MVA-grupos'!$A$9:$B$128,2,FALSE),IF($C$4="GRUPO 2",VLOOKUP(A101,'MVA-grupos'!$A$9:$D$128,4,FALSE),IF($C$4="GRUPO 3",VLOOKUP(A101,'MVA-grupos'!$A$10:$F$128,6,FALSE),IF($C$4="Grupo 4",VLOOKUP(A101,'MVA-grupos'!$A$9:$H$128,8,FALSE)))))</f>
        <v>0</v>
      </c>
      <c r="U101" s="162">
        <f>IF(T101=0%,0,(B101+R101)*T101+(B101+R101))</f>
        <v>0</v>
      </c>
      <c r="V101" s="162">
        <f>(U101*$V$8)-S101</f>
        <v>0</v>
      </c>
      <c r="W101" s="164"/>
      <c r="X101" s="158" t="str">
        <f t="shared" si="36"/>
        <v>BRAZIMIL ZARCÃO 3,0L LATA CINZA</v>
      </c>
      <c r="Y101" s="165">
        <f>+C101</f>
        <v>0</v>
      </c>
      <c r="Z101" s="159">
        <f>IF(ISERROR(Y101*N101),"",Y101*N101)</f>
        <v>0</v>
      </c>
      <c r="AA101" s="159">
        <f>IF(ISERROR(IF(E$7="X",Y101*E101,Y101*F101)),"",IF(E$7="X",Y101*E101,Y101*F101))</f>
        <v>0</v>
      </c>
      <c r="AB101" s="154" t="str">
        <f t="shared" si="35"/>
        <v/>
      </c>
      <c r="AC101" s="166"/>
      <c r="AD101" s="167"/>
      <c r="AE101" s="168">
        <v>0.05</v>
      </c>
      <c r="AF101" s="199"/>
      <c r="AG101" s="175"/>
      <c r="AH101" s="199"/>
      <c r="AP101" s="273">
        <f>Peso!B103</f>
        <v>3.5</v>
      </c>
      <c r="AT101" s="173"/>
      <c r="AU101" s="174"/>
      <c r="AV101" s="175"/>
    </row>
    <row r="102" spans="1:49" s="172" customFormat="1" hidden="1" outlineLevel="2" x14ac:dyDescent="0.2">
      <c r="A102" s="182" t="s">
        <v>223</v>
      </c>
      <c r="B102" s="307">
        <v>200</v>
      </c>
      <c r="C102" s="219"/>
      <c r="D102" s="154">
        <f>IF($F$7="x",IF(F102=0,0,N102/F102),IF($E$7="x",IF(F102=0,0,N102/E102),""))</f>
        <v>0.45383221725305661</v>
      </c>
      <c r="E102" s="155">
        <f>+B102*(-B$5+100%)</f>
        <v>186</v>
      </c>
      <c r="F102" s="155">
        <f>IF(B102=0,0,E102-H102)</f>
        <v>183.95</v>
      </c>
      <c r="G102" s="156">
        <f>VLOOKUP(A102,Custo!A:B,2,0)</f>
        <v>89.537207590931473</v>
      </c>
      <c r="H102" s="155">
        <f>(VLOOKUP(A102,Peso!$A$10:$B$148,2,0))*($B$6/1000)</f>
        <v>2.0500000000000003</v>
      </c>
      <c r="I102" s="157">
        <f>IF($I$7="X",AE102,0%)</f>
        <v>0.05</v>
      </c>
      <c r="J102" s="158">
        <f>+B102*I102</f>
        <v>10</v>
      </c>
      <c r="K102" s="353">
        <f>IF($B$2="X",$C$2,0)</f>
        <v>0</v>
      </c>
      <c r="L102" s="158">
        <f>+B102*K102</f>
        <v>0</v>
      </c>
      <c r="M102" s="158">
        <f>+G102+H102+J102+L102</f>
        <v>101.58720759093147</v>
      </c>
      <c r="N102" s="158">
        <f>+E102-M102</f>
        <v>84.41279240906853</v>
      </c>
      <c r="O102" s="159" t="str">
        <f>IF(ISERROR((N102/P102)*1000),"",(N102/P102)*1000)</f>
        <v/>
      </c>
      <c r="P102" s="158"/>
      <c r="Q102" s="160">
        <f>VLOOKUP(A102,'MVA-IPI'!A:AD,30,FALSE)</f>
        <v>0</v>
      </c>
      <c r="R102" s="161">
        <f>IF($B$4="AM",0,IF($B$4="AP",0,IF($B$4="RR",0,(B102*Q102))))</f>
        <v>0</v>
      </c>
      <c r="S102" s="161">
        <f>IF($B$4="AP",(B102/0.88*$S$8),IF(T102=0%,0,IF($B$4="AM",(B102/0.88*$S$8),IF(T102=0%,0,IF($B$4="RR",(B102/0.88*$S$8),IF(T102=0%,0,B102*$S$8))))))</f>
        <v>0</v>
      </c>
      <c r="T102" s="160">
        <f>IF($C$4="GRUPO 1",VLOOKUP(A102,'MVA-grupos'!$A$9:$B$128,2,FALSE),IF($C$4="GRUPO 2",VLOOKUP(A102,'MVA-grupos'!$A$9:$D$128,4,FALSE),IF($C$4="GRUPO 3",VLOOKUP(A102,'MVA-grupos'!$A$10:$F$128,6,FALSE),IF($C$4="Grupo 4",VLOOKUP(A102,'MVA-grupos'!$A$9:$H$128,8,FALSE)))))</f>
        <v>0</v>
      </c>
      <c r="U102" s="162">
        <f>IF(T102=0%,0,(B102+R102)*T102+(B102+R102))</f>
        <v>0</v>
      </c>
      <c r="V102" s="162">
        <f>(U102*$V$8)-S102</f>
        <v>0</v>
      </c>
      <c r="W102" s="164"/>
      <c r="X102" s="158" t="str">
        <f t="shared" si="36"/>
        <v>BRAZIMIL ZARCÃO  18L LATA COR</v>
      </c>
      <c r="Y102" s="165">
        <f>+C102</f>
        <v>0</v>
      </c>
      <c r="Z102" s="159">
        <f>IF(ISERROR(Y102*N102),"",Y102*N102)</f>
        <v>0</v>
      </c>
      <c r="AA102" s="159">
        <f>IF(ISERROR(IF(E$7="X",Y102*E102,Y102*F102)),"",IF(E$7="X",Y102*E102,Y102*F102))</f>
        <v>0</v>
      </c>
      <c r="AB102" s="154" t="str">
        <f t="shared" si="35"/>
        <v/>
      </c>
      <c r="AC102" s="166"/>
      <c r="AD102" s="167"/>
      <c r="AE102" s="168">
        <v>0.05</v>
      </c>
      <c r="AF102" s="199"/>
      <c r="AG102" s="175"/>
      <c r="AH102" s="199"/>
      <c r="AP102" s="273">
        <f>Peso!B104</f>
        <v>20.5</v>
      </c>
      <c r="AT102" s="173"/>
      <c r="AU102" s="174"/>
      <c r="AV102" s="175"/>
    </row>
    <row r="103" spans="1:49" s="207" customFormat="1" hidden="1" outlineLevel="1" collapsed="1" x14ac:dyDescent="0.2">
      <c r="A103" s="354" t="s">
        <v>224</v>
      </c>
      <c r="B103" s="307"/>
      <c r="C103" s="219"/>
      <c r="D103" s="154" t="str">
        <f>AB103</f>
        <v/>
      </c>
      <c r="E103" s="200"/>
      <c r="F103" s="200"/>
      <c r="G103" s="201"/>
      <c r="H103" s="200"/>
      <c r="I103" s="202"/>
      <c r="J103" s="203"/>
      <c r="K103" s="203"/>
      <c r="L103" s="203"/>
      <c r="M103" s="203"/>
      <c r="N103" s="203"/>
      <c r="O103" s="206"/>
      <c r="P103" s="203"/>
      <c r="Q103" s="204"/>
      <c r="R103" s="161"/>
      <c r="S103" s="161"/>
      <c r="T103" s="160"/>
      <c r="U103" s="355"/>
      <c r="V103" s="355"/>
      <c r="W103" s="164"/>
      <c r="X103" s="203" t="str">
        <f t="shared" si="36"/>
        <v>BRAZIMIL SELADOR P/ MAD. 0,75L</v>
      </c>
      <c r="Y103" s="205"/>
      <c r="Z103" s="206">
        <f>SUM(Z104)</f>
        <v>0</v>
      </c>
      <c r="AA103" s="206">
        <f>SUM(AA104)</f>
        <v>0</v>
      </c>
      <c r="AB103" s="154" t="str">
        <f t="shared" si="35"/>
        <v/>
      </c>
      <c r="AC103" s="357">
        <v>0.25</v>
      </c>
      <c r="AD103" s="167"/>
      <c r="AE103" s="168"/>
      <c r="AF103" s="208"/>
      <c r="AG103" s="211"/>
      <c r="AH103" s="208"/>
      <c r="AP103" s="273">
        <f>Peso!B105</f>
        <v>0</v>
      </c>
      <c r="AT103" s="209"/>
      <c r="AU103" s="210"/>
      <c r="AV103" s="211"/>
    </row>
    <row r="104" spans="1:49" s="172" customFormat="1" hidden="1" outlineLevel="2" x14ac:dyDescent="0.2">
      <c r="A104" s="182" t="s">
        <v>225</v>
      </c>
      <c r="B104" s="307">
        <v>19</v>
      </c>
      <c r="C104" s="219"/>
      <c r="D104" s="154">
        <f>IF($F$7="x",IF(F104=0,0,N104/F104),IF($E$7="x",IF(F104=0,0,N104/E104),""))</f>
        <v>0.31226865401233805</v>
      </c>
      <c r="E104" s="155">
        <f>+B104*(-B$5+100%)</f>
        <v>17.669999999999998</v>
      </c>
      <c r="F104" s="155">
        <f>IF(B104=0,0,E104-H104)</f>
        <v>17.584999999999997</v>
      </c>
      <c r="G104" s="156">
        <f>VLOOKUP(A104,Custo!A:B,2,0)</f>
        <v>11.117212883601985</v>
      </c>
      <c r="H104" s="155">
        <f>(VLOOKUP(A104,Peso!$A$10:$B$148,2,0))*($B$6/1000)</f>
        <v>8.5000000000000006E-2</v>
      </c>
      <c r="I104" s="157">
        <f>IF($I$7="X",AE104,0%)</f>
        <v>0.05</v>
      </c>
      <c r="J104" s="158">
        <f>+B104*I104</f>
        <v>0.95000000000000007</v>
      </c>
      <c r="K104" s="353">
        <f>IF($B$2="X",$C$2,0)</f>
        <v>0</v>
      </c>
      <c r="L104" s="158">
        <f>+B104*K104</f>
        <v>0</v>
      </c>
      <c r="M104" s="158">
        <f>+G104+H104+J104+L104</f>
        <v>12.152212883601985</v>
      </c>
      <c r="N104" s="158">
        <f>+E104-M104</f>
        <v>5.5177871163980132</v>
      </c>
      <c r="O104" s="159" t="str">
        <f>IF(ISERROR((N104/P104)*1000),"",(N104/P104)*1000)</f>
        <v/>
      </c>
      <c r="P104" s="158"/>
      <c r="Q104" s="160">
        <f>VLOOKUP(A104,'MVA-IPI'!A:AD,30,FALSE)</f>
        <v>0</v>
      </c>
      <c r="R104" s="161">
        <f>IF($B$4="AM",0,IF($B$4="AP",0,IF($B$4="RR",0,(B104*Q104))))</f>
        <v>0</v>
      </c>
      <c r="S104" s="161">
        <f>IF($B$4="AP",(B104/0.88*$S$8),IF(T104=0%,0,IF($B$4="AM",(B104/0.88*$S$8),IF(T104=0%,0,IF($B$4="RR",(B104/0.88*$S$8),IF(T104=0%,0,B104*$S$8))))))</f>
        <v>0</v>
      </c>
      <c r="T104" s="160">
        <f>IF($C$4="GRUPO 1",VLOOKUP(A104,'MVA-grupos'!$A$9:$B$128,2,FALSE),IF($C$4="GRUPO 2",VLOOKUP(A104,'MVA-grupos'!$A$9:$D$128,4,FALSE),IF($C$4="GRUPO 3",VLOOKUP(A104,'MVA-grupos'!$A$10:$F$128,6,FALSE),IF($C$4="Grupo 4",VLOOKUP(A104,'MVA-grupos'!$A$9:$H$128,8,FALSE)))))</f>
        <v>0</v>
      </c>
      <c r="U104" s="162">
        <f>IF(T104=0%,0,(B104+R104)*T104+(B104+R104))</f>
        <v>0</v>
      </c>
      <c r="V104" s="162">
        <f>(U104*$V$8)-S104</f>
        <v>0</v>
      </c>
      <c r="W104" s="164"/>
      <c r="X104" s="158" t="str">
        <f t="shared" si="36"/>
        <v>BRAZIMIL SELADOR P/ MAD. 0,75L LATA INCOLOR</v>
      </c>
      <c r="Y104" s="165">
        <f>+C104</f>
        <v>0</v>
      </c>
      <c r="Z104" s="159">
        <f>IF(ISERROR(Y104*N104),"",Y104*N104)</f>
        <v>0</v>
      </c>
      <c r="AA104" s="159">
        <f>IF(ISERROR(IF(E$7="X",Y104*E104,Y104*F104)),"",IF(E$7="X",Y104*E104,Y104*F104))</f>
        <v>0</v>
      </c>
      <c r="AB104" s="154" t="str">
        <f t="shared" ref="AB104:AB126" si="44">IF(ISERROR(Z104/AA104),"",Z104/AA104)</f>
        <v/>
      </c>
      <c r="AC104" s="166"/>
      <c r="AD104" s="167"/>
      <c r="AE104" s="168">
        <v>0.05</v>
      </c>
      <c r="AF104" s="199"/>
      <c r="AG104" s="175"/>
      <c r="AH104" s="199"/>
      <c r="AP104" s="273">
        <f>Peso!B106</f>
        <v>0.85</v>
      </c>
      <c r="AT104" s="173"/>
      <c r="AU104" s="174"/>
      <c r="AV104" s="175"/>
    </row>
    <row r="105" spans="1:49" s="207" customFormat="1" hidden="1" outlineLevel="1" collapsed="1" x14ac:dyDescent="0.2">
      <c r="A105" s="354" t="s">
        <v>226</v>
      </c>
      <c r="B105" s="307"/>
      <c r="C105" s="219"/>
      <c r="D105" s="154" t="str">
        <f>AB105</f>
        <v/>
      </c>
      <c r="E105" s="200"/>
      <c r="F105" s="200"/>
      <c r="G105" s="201"/>
      <c r="H105" s="200"/>
      <c r="I105" s="202"/>
      <c r="J105" s="203"/>
      <c r="K105" s="203"/>
      <c r="L105" s="203"/>
      <c r="M105" s="203"/>
      <c r="N105" s="203"/>
      <c r="O105" s="206"/>
      <c r="P105" s="203"/>
      <c r="Q105" s="204"/>
      <c r="R105" s="163"/>
      <c r="S105" s="163"/>
      <c r="T105" s="204"/>
      <c r="U105" s="355"/>
      <c r="V105" s="355"/>
      <c r="W105" s="356"/>
      <c r="X105" s="203" t="str">
        <f t="shared" si="36"/>
        <v>BRAZIMIL SELADOR P/ MAD. 3,0L</v>
      </c>
      <c r="Y105" s="205"/>
      <c r="Z105" s="206">
        <f>SUM(Z106)</f>
        <v>0</v>
      </c>
      <c r="AA105" s="206">
        <f>SUM(AA106)</f>
        <v>0</v>
      </c>
      <c r="AB105" s="154" t="str">
        <f t="shared" si="44"/>
        <v/>
      </c>
      <c r="AC105" s="357">
        <v>0.25</v>
      </c>
      <c r="AD105" s="408"/>
      <c r="AE105" s="168"/>
      <c r="AF105" s="208"/>
      <c r="AG105" s="211"/>
      <c r="AH105" s="208"/>
      <c r="AP105" s="273">
        <f>Peso!B107</f>
        <v>0</v>
      </c>
      <c r="AT105" s="209"/>
      <c r="AU105" s="210"/>
      <c r="AV105" s="211"/>
    </row>
    <row r="106" spans="1:49" s="172" customFormat="1" hidden="1" outlineLevel="2" x14ac:dyDescent="0.2">
      <c r="A106" s="182" t="s">
        <v>227</v>
      </c>
      <c r="B106" s="307">
        <v>68</v>
      </c>
      <c r="C106" s="219"/>
      <c r="D106" s="154">
        <f>IF($F$7="x",IF(F106=0,0,N106/F106),IF($E$7="x",IF(F106=0,0,N106/E106),""))</f>
        <v>0.32989798332688264</v>
      </c>
      <c r="E106" s="155">
        <f>+B106*(-B$5+100%)</f>
        <v>63.239999999999995</v>
      </c>
      <c r="F106" s="155">
        <f>IF(B106=0,0,E106-H106)</f>
        <v>62.929999999999993</v>
      </c>
      <c r="G106" s="156">
        <f>VLOOKUP(A106,Custo!A:B,2,0)</f>
        <v>38.667251534407939</v>
      </c>
      <c r="H106" s="155">
        <f>(VLOOKUP(A106,Peso!$A$10:$B$148,2,0))*($B$6/1000)</f>
        <v>0.31000000000000005</v>
      </c>
      <c r="I106" s="157">
        <f>IF($I$7="X",AE106,0%)</f>
        <v>0.05</v>
      </c>
      <c r="J106" s="158">
        <f>+B106*I106</f>
        <v>3.4000000000000004</v>
      </c>
      <c r="K106" s="353">
        <f>IF($B$2="X",$C$2,0)</f>
        <v>0</v>
      </c>
      <c r="L106" s="158">
        <f>+B106*K106</f>
        <v>0</v>
      </c>
      <c r="M106" s="158">
        <f>+G106+H106+J106+L106</f>
        <v>42.377251534407939</v>
      </c>
      <c r="N106" s="158">
        <f>+E106-M106</f>
        <v>20.862748465592055</v>
      </c>
      <c r="O106" s="159" t="str">
        <f>IF(ISERROR((N106/P106)*100),"",(N106/P106)*100)</f>
        <v/>
      </c>
      <c r="P106" s="158"/>
      <c r="Q106" s="160">
        <f>VLOOKUP(A106,'MVA-IPI'!A:AD,30,FALSE)</f>
        <v>0</v>
      </c>
      <c r="R106" s="161">
        <f>IF($B$4="AM",0,IF($B$4="AP",0,IF($B$4="RR",0,(B106*Q106))))</f>
        <v>0</v>
      </c>
      <c r="S106" s="161">
        <f>IF($B$4="AP",(B106/0.88*$S$8),IF(T106=0%,0,IF($B$4="AM",(B106/0.88*$S$8),IF(T106=0%,0,IF($B$4="RR",(B106/0.88*$S$8),IF(T106=0%,0,B106*$S$8))))))</f>
        <v>0</v>
      </c>
      <c r="T106" s="160">
        <f>IF($C$4="GRUPO 1",VLOOKUP(A106,'MVA-grupos'!$A$9:$B$128,2,FALSE),IF($C$4="GRUPO 2",VLOOKUP(A106,'MVA-grupos'!$A$9:$D$128,4,FALSE),IF($C$4="GRUPO 3",VLOOKUP(A106,'MVA-grupos'!$A$10:$F$128,6,FALSE),IF($C$4="Grupo 4",VLOOKUP(A106,'MVA-grupos'!$A$9:$H$128,8,FALSE)))))</f>
        <v>0</v>
      </c>
      <c r="U106" s="162">
        <f>IF(T106=0%,0,(B106+R106)*T106+(B106+R106))</f>
        <v>0</v>
      </c>
      <c r="V106" s="162">
        <f>(U106*$V$8)-S106</f>
        <v>0</v>
      </c>
      <c r="W106" s="164"/>
      <c r="X106" s="158" t="str">
        <f t="shared" si="36"/>
        <v>BRAZIMIL SELADOR P/ MAD. 3,0L LATA INCOLOR</v>
      </c>
      <c r="Y106" s="165">
        <f>+C106</f>
        <v>0</v>
      </c>
      <c r="Z106" s="159">
        <f>IF(ISERROR(Y106*N106),"",Y106*N106)</f>
        <v>0</v>
      </c>
      <c r="AA106" s="159">
        <f>IF(ISERROR(IF(E$7="X",Y106*E106,Y106*F106)),"",IF(E$7="X",Y106*E106,Y106*F106))</f>
        <v>0</v>
      </c>
      <c r="AB106" s="154" t="str">
        <f t="shared" si="44"/>
        <v/>
      </c>
      <c r="AC106" s="166"/>
      <c r="AD106" s="167"/>
      <c r="AE106" s="168">
        <v>0.05</v>
      </c>
      <c r="AF106" s="199"/>
      <c r="AG106" s="175"/>
      <c r="AH106" s="199"/>
      <c r="AP106" s="273">
        <f>Peso!B108</f>
        <v>3.1</v>
      </c>
      <c r="AT106" s="173"/>
      <c r="AU106" s="174"/>
      <c r="AV106" s="175"/>
      <c r="AW106" s="172" t="e">
        <f t="shared" si="43"/>
        <v>#DIV/0!</v>
      </c>
    </row>
    <row r="107" spans="1:49" s="172" customFormat="1" hidden="1" outlineLevel="2" x14ac:dyDescent="0.2">
      <c r="A107" s="182" t="s">
        <v>228</v>
      </c>
      <c r="B107" s="307">
        <v>3800</v>
      </c>
      <c r="C107" s="219"/>
      <c r="D107" s="154">
        <f>IF($F$7="x",IF(F107=0,0,N107/F107),IF($E$7="x",IF(F107=0,0,N107/E107),""))</f>
        <v>0.40560184152108758</v>
      </c>
      <c r="E107" s="155">
        <f>+B107*(-B$5+100%)</f>
        <v>3533.9999999999995</v>
      </c>
      <c r="F107" s="155">
        <f>IF(B107=0,0,E107-H107)</f>
        <v>3514.1999999999994</v>
      </c>
      <c r="G107" s="156">
        <f>VLOOKUP(A107,Custo!A:B,2,0)</f>
        <v>1890.8030920644762</v>
      </c>
      <c r="H107" s="155">
        <f>(VLOOKUP(A107,Peso!$A$10:$B$148,2,0))*($B$6/1000)</f>
        <v>19.8</v>
      </c>
      <c r="I107" s="157">
        <f>IF($I$7="X",AE107,0%)</f>
        <v>0.05</v>
      </c>
      <c r="J107" s="158">
        <f>+B107*I107</f>
        <v>190</v>
      </c>
      <c r="K107" s="353">
        <f>IF($B$2="X",$C$2,0)</f>
        <v>0</v>
      </c>
      <c r="L107" s="158">
        <f>+B107*K107</f>
        <v>0</v>
      </c>
      <c r="M107" s="158">
        <f>+G107+H107+J107+L107</f>
        <v>2100.6030920644762</v>
      </c>
      <c r="N107" s="158">
        <f>+E107-M107</f>
        <v>1433.3969079355234</v>
      </c>
      <c r="O107" s="159" t="str">
        <f>IF(ISERROR((N107/P107)*100),"",(N107/P107)*100)</f>
        <v/>
      </c>
      <c r="P107" s="158"/>
      <c r="Q107" s="160">
        <f>VLOOKUP(A107,'MVA-IPI'!A:AD,30,FALSE)</f>
        <v>0</v>
      </c>
      <c r="R107" s="161">
        <f>IF($B$4="AM",0,IF($B$4="AP",0,IF($B$4="RR",0,(B107*Q107))))</f>
        <v>0</v>
      </c>
      <c r="S107" s="161">
        <f>IF($B$4="AP",(B107/0.88*$S$8),IF(T107=0%,0,IF($B$4="AM",(B107/0.88*$S$8),IF(T107=0%,0,IF($B$4="RR",(B107/0.88*$S$8),IF(T107=0%,0,B107*$S$8))))))</f>
        <v>0</v>
      </c>
      <c r="T107" s="160">
        <f>IF($C$4="GRUPO 1",VLOOKUP(A107,'MVA-grupos'!$A$9:$B$128,2,FALSE),IF($C$4="GRUPO 2",VLOOKUP(A107,'MVA-grupos'!$A$9:$D$128,4,FALSE),IF($C$4="GRUPO 3",VLOOKUP(A107,'MVA-grupos'!$A$10:$F$128,6,FALSE),IF($C$4="Grupo 4",VLOOKUP(A107,'MVA-grupos'!$A$9:$H$128,8,FALSE)))))</f>
        <v>0</v>
      </c>
      <c r="U107" s="162">
        <f>IF(T107=0%,0,(B107+R107)*T107+(B107+R107))</f>
        <v>0</v>
      </c>
      <c r="V107" s="162">
        <f>(U107*$V$8)-S107</f>
        <v>0</v>
      </c>
      <c r="W107" s="164"/>
      <c r="X107" s="158" t="str">
        <f t="shared" si="36"/>
        <v>BRAZIMIL SELADOR P/ MAD. 180 LITROS TB</v>
      </c>
      <c r="Y107" s="165">
        <f>+C107</f>
        <v>0</v>
      </c>
      <c r="Z107" s="159">
        <f>IF(ISERROR(Y107*N107),"",Y107*N107)</f>
        <v>0</v>
      </c>
      <c r="AA107" s="159">
        <f>IF(ISERROR(IF(E$7="X",Y107*E107,Y107*F107)),"",IF(E$7="X",Y107*E107,Y107*F107))</f>
        <v>0</v>
      </c>
      <c r="AB107" s="154"/>
      <c r="AC107" s="166"/>
      <c r="AD107" s="167"/>
      <c r="AE107" s="168">
        <v>0.05</v>
      </c>
      <c r="AF107" s="199"/>
      <c r="AG107" s="175"/>
      <c r="AH107" s="199"/>
      <c r="AP107" s="273"/>
      <c r="AT107" s="173"/>
      <c r="AU107" s="174"/>
      <c r="AV107" s="175"/>
    </row>
    <row r="108" spans="1:49" s="172" customFormat="1" hidden="1" x14ac:dyDescent="0.2">
      <c r="A108" s="182" t="s">
        <v>126</v>
      </c>
      <c r="B108" s="307"/>
      <c r="C108" s="219"/>
      <c r="D108" s="150" t="str">
        <f>AB108</f>
        <v/>
      </c>
      <c r="E108" s="155"/>
      <c r="F108" s="155"/>
      <c r="G108" s="156"/>
      <c r="H108" s="155"/>
      <c r="I108" s="157"/>
      <c r="J108" s="158"/>
      <c r="K108" s="158"/>
      <c r="L108" s="158"/>
      <c r="M108" s="158"/>
      <c r="N108" s="158"/>
      <c r="O108" s="159"/>
      <c r="P108" s="158"/>
      <c r="Q108" s="160"/>
      <c r="R108" s="161"/>
      <c r="S108" s="161"/>
      <c r="T108" s="160"/>
      <c r="U108" s="162"/>
      <c r="V108" s="162"/>
      <c r="W108" s="164"/>
      <c r="X108" s="409" t="s">
        <v>91</v>
      </c>
      <c r="Y108" s="410"/>
      <c r="Z108" s="411">
        <f>Z109+Z113+Z116+Z121+Z126+Z129</f>
        <v>0</v>
      </c>
      <c r="AA108" s="411">
        <f>AA109+AA113+AA116+AA121+AA126+AA129</f>
        <v>0</v>
      </c>
      <c r="AB108" s="154" t="str">
        <f t="shared" si="44"/>
        <v/>
      </c>
      <c r="AC108" s="150">
        <v>0.25</v>
      </c>
      <c r="AD108" s="167"/>
      <c r="AE108" s="168"/>
      <c r="AP108" s="273">
        <f>Peso!B110</f>
        <v>0</v>
      </c>
      <c r="AT108" s="173"/>
      <c r="AU108" s="174"/>
      <c r="AV108" s="175"/>
    </row>
    <row r="109" spans="1:49" s="207" customFormat="1" hidden="1" outlineLevel="1" collapsed="1" x14ac:dyDescent="0.2">
      <c r="A109" s="354"/>
      <c r="B109" s="307"/>
      <c r="C109" s="219"/>
      <c r="D109" s="154" t="str">
        <f>AB109</f>
        <v/>
      </c>
      <c r="E109" s="200"/>
      <c r="F109" s="200"/>
      <c r="G109" s="201"/>
      <c r="H109" s="200"/>
      <c r="I109" s="202"/>
      <c r="J109" s="203"/>
      <c r="K109" s="203"/>
      <c r="L109" s="203"/>
      <c r="M109" s="203"/>
      <c r="N109" s="203"/>
      <c r="O109" s="206"/>
      <c r="P109" s="203"/>
      <c r="Q109" s="204"/>
      <c r="R109" s="161"/>
      <c r="S109" s="161"/>
      <c r="T109" s="160"/>
      <c r="U109" s="355"/>
      <c r="V109" s="355"/>
      <c r="W109" s="164"/>
      <c r="X109" s="203">
        <f>A109</f>
        <v>0</v>
      </c>
      <c r="Y109" s="205"/>
      <c r="Z109" s="206">
        <f>SUM(Z110:Z112)</f>
        <v>0</v>
      </c>
      <c r="AA109" s="206">
        <f>SUM(AA110:AA112)</f>
        <v>0</v>
      </c>
      <c r="AB109" s="154" t="str">
        <f t="shared" si="44"/>
        <v/>
      </c>
      <c r="AC109" s="357">
        <v>0.25</v>
      </c>
      <c r="AD109" s="167"/>
      <c r="AE109" s="168"/>
      <c r="AP109" s="273">
        <f>Peso!B111</f>
        <v>0</v>
      </c>
      <c r="AT109" s="209"/>
      <c r="AU109" s="210"/>
      <c r="AV109" s="211"/>
    </row>
    <row r="110" spans="1:49" s="172" customFormat="1" hidden="1" outlineLevel="2" x14ac:dyDescent="0.2">
      <c r="A110" s="182" t="s">
        <v>124</v>
      </c>
      <c r="B110" s="307">
        <v>20</v>
      </c>
      <c r="C110" s="219"/>
      <c r="D110" s="154">
        <f>IF($F$7="x",IF(F110=0,0,N110/F110),IF($E$7="x",IF(F110=0,0,N110/E110),""))</f>
        <v>0.35018214977150536</v>
      </c>
      <c r="E110" s="155">
        <f>+B110*(-B$5+100%)</f>
        <v>18.599999999999998</v>
      </c>
      <c r="F110" s="155">
        <f>IF(B110=0,0,E110-H110)</f>
        <v>18.514999999999997</v>
      </c>
      <c r="G110" s="156">
        <f>VLOOKUP(A110,Custo!A:B,2,0)</f>
        <v>11.001612014249998</v>
      </c>
      <c r="H110" s="155">
        <f>(VLOOKUP(A110,Peso!$A$10:$B$148,2,0))*($B$6/1000)</f>
        <v>8.5000000000000006E-2</v>
      </c>
      <c r="I110" s="157">
        <f>IF($I$7="X",AE110,0%)</f>
        <v>0.05</v>
      </c>
      <c r="J110" s="158">
        <f>+B110*I110</f>
        <v>1</v>
      </c>
      <c r="K110" s="353">
        <f>IF($B$2="X",$C$2,0)</f>
        <v>0</v>
      </c>
      <c r="L110" s="158">
        <f>+B110*K110</f>
        <v>0</v>
      </c>
      <c r="M110" s="158">
        <f>+G110+H110+J110+L110</f>
        <v>12.086612014249999</v>
      </c>
      <c r="N110" s="158">
        <f>+E110-M110</f>
        <v>6.5133879857499988</v>
      </c>
      <c r="O110" s="159" t="str">
        <f>IF(ISERROR((N110/P110)*1000),"",(N110/P110)*1000)</f>
        <v/>
      </c>
      <c r="P110" s="158"/>
      <c r="Q110" s="160">
        <f>VLOOKUP(A110,'MVA-IPI'!A:AD,30,FALSE)</f>
        <v>0</v>
      </c>
      <c r="R110" s="161">
        <f>IF($B$4="AM",0,IF($B$4="AP",0,IF($B$4="RR",0,(B110*Q110))))</f>
        <v>0</v>
      </c>
      <c r="S110" s="161">
        <f>IF($B$4="AP",(B110/0.88*$S$8),IF(T110=0%,0,IF($B$4="AM",(B110/0.88*$S$8),IF(T110=0%,0,IF($B$4="RR",(B110/0.88*$S$8),IF(T110=0%,0,B110*$S$8))))))</f>
        <v>0</v>
      </c>
      <c r="T110" s="160">
        <f>IF($C$4="GRUPO 1",VLOOKUP(A110,'MVA-grupos'!$A$9:$B$128,2,FALSE),IF($C$4="GRUPO 2",VLOOKUP(A110,'MVA-grupos'!$A$9:$D$128,4,FALSE),IF($C$4="GRUPO 3",VLOOKUP(A110,'MVA-grupos'!$A$10:$F$128,6,FALSE),IF($C$4="Grupo 4",VLOOKUP(A110,'MVA-grupos'!$A$9:$H$128,8,FALSE)))))</f>
        <v>0</v>
      </c>
      <c r="U110" s="162">
        <f>IF(T110=0%,0,(B110+R110)*T110+(B110+R110))</f>
        <v>0</v>
      </c>
      <c r="V110" s="162">
        <f>(U110*$V$8)-S110</f>
        <v>0</v>
      </c>
      <c r="W110" s="164"/>
      <c r="X110" s="158" t="str">
        <f>A110</f>
        <v>ESMALTE BASE ÁGUA 0,75L</v>
      </c>
      <c r="Y110" s="165">
        <f>+C110</f>
        <v>0</v>
      </c>
      <c r="Z110" s="159">
        <f>IF(ISERROR(Y110*N110),"",Y110*N110)</f>
        <v>0</v>
      </c>
      <c r="AA110" s="159">
        <f>IF(ISERROR(IF(E$7="X",Y110*E110,Y110*F110)),"",IF(E$7="X",Y110*E110,Y110*F110))</f>
        <v>0</v>
      </c>
      <c r="AB110" s="154" t="str">
        <f t="shared" si="44"/>
        <v/>
      </c>
      <c r="AC110" s="166"/>
      <c r="AD110" s="167"/>
      <c r="AE110" s="168">
        <v>0.05</v>
      </c>
      <c r="AP110" s="273">
        <f>Peso!B112</f>
        <v>0.85</v>
      </c>
      <c r="AT110" s="173"/>
      <c r="AU110" s="174"/>
      <c r="AV110" s="175"/>
    </row>
    <row r="111" spans="1:49" s="172" customFormat="1" hidden="1" outlineLevel="2" x14ac:dyDescent="0.2">
      <c r="A111" s="182" t="s">
        <v>125</v>
      </c>
      <c r="B111" s="307">
        <v>80</v>
      </c>
      <c r="C111" s="219"/>
      <c r="D111" s="154">
        <f>IF($F$7="x",IF(F111=0,0,N111/F111),IF($E$7="x",IF(F111=0,0,N111/E111),""))</f>
        <v>0.42802623579301075</v>
      </c>
      <c r="E111" s="155">
        <f>+B111*(-B$5+100%)</f>
        <v>74.399999999999991</v>
      </c>
      <c r="F111" s="155">
        <f>IF(B111=0,0,E111-H111)</f>
        <v>74.05</v>
      </c>
      <c r="G111" s="156">
        <f>VLOOKUP(A111,Custo!A:B,2,0)</f>
        <v>38.204848056999992</v>
      </c>
      <c r="H111" s="155">
        <f>(VLOOKUP(A111,Peso!$A$10:$B$148,2,0))*($B$6/1000)</f>
        <v>0.35000000000000003</v>
      </c>
      <c r="I111" s="157">
        <f>IF($I$7="X",AE111,0%)</f>
        <v>0.05</v>
      </c>
      <c r="J111" s="158">
        <f>+B111*I111</f>
        <v>4</v>
      </c>
      <c r="K111" s="353">
        <f>IF($B$2="X",$C$2,0)</f>
        <v>0</v>
      </c>
      <c r="L111" s="158">
        <f>+B111*K111</f>
        <v>0</v>
      </c>
      <c r="M111" s="158">
        <f>+G111+H111+J111+L111</f>
        <v>42.554848056999994</v>
      </c>
      <c r="N111" s="158">
        <f>+E111-M111</f>
        <v>31.845151942999998</v>
      </c>
      <c r="O111" s="159" t="str">
        <f>IF(ISERROR((N111/P111)*1000),"",(N111/P111)*1000)</f>
        <v/>
      </c>
      <c r="P111" s="158"/>
      <c r="Q111" s="160">
        <f>VLOOKUP(A111,'MVA-IPI'!A:AD,30,FALSE)</f>
        <v>0</v>
      </c>
      <c r="R111" s="161">
        <f>IF($B$4="AM",0,IF($B$4="AP",0,IF($B$4="RR",0,(B111*Q111))))</f>
        <v>0</v>
      </c>
      <c r="S111" s="161">
        <f>IF($B$4="AP",(B111/0.88*$S$8),IF(T111=0%,0,IF($B$4="AM",(B111/0.88*$S$8),IF(T111=0%,0,IF($B$4="RR",(B111/0.88*$S$8),IF(T111=0%,0,B111*$S$8))))))</f>
        <v>0</v>
      </c>
      <c r="T111" s="160">
        <f>IF($C$4="GRUPO 1",VLOOKUP(A111,'MVA-grupos'!$A$9:$B$128,2,FALSE),IF($C$4="GRUPO 2",VLOOKUP(A111,'MVA-grupos'!$A$9:$D$128,4,FALSE),IF($C$4="GRUPO 3",VLOOKUP(A111,'MVA-grupos'!$A$10:$F$128,6,FALSE),IF($C$4="Grupo 4",VLOOKUP(A111,'MVA-grupos'!$A$9:$H$128,8,FALSE)))))</f>
        <v>0</v>
      </c>
      <c r="U111" s="162">
        <f>IF(T111=0%,0,(B111+R111)*T111+(B111+R111))</f>
        <v>0</v>
      </c>
      <c r="V111" s="162">
        <f>(U111*$V$8)-S111</f>
        <v>0</v>
      </c>
      <c r="W111" s="164"/>
      <c r="X111" s="158" t="str">
        <f>A111</f>
        <v>ESMALTE BASE ÁGUA 3,0L</v>
      </c>
      <c r="Y111" s="165">
        <f>+C111</f>
        <v>0</v>
      </c>
      <c r="Z111" s="159">
        <f>IF(ISERROR(Y111*N111),"",Y111*N111)</f>
        <v>0</v>
      </c>
      <c r="AA111" s="159">
        <f>IF(ISERROR(IF(E$7="X",Y111*E111,Y111*F111)),"",IF(E$7="X",Y111*E111,Y111*F111))</f>
        <v>0</v>
      </c>
      <c r="AB111" s="154" t="str">
        <f t="shared" si="44"/>
        <v/>
      </c>
      <c r="AC111" s="166"/>
      <c r="AD111" s="167"/>
      <c r="AE111" s="168">
        <v>0.05</v>
      </c>
      <c r="AP111" s="273">
        <f>Peso!B113</f>
        <v>3.5</v>
      </c>
      <c r="AT111" s="173"/>
      <c r="AU111" s="174"/>
      <c r="AV111" s="175"/>
    </row>
    <row r="112" spans="1:49" s="172" customFormat="1" hidden="1" outlineLevel="2" x14ac:dyDescent="0.2">
      <c r="A112" s="182" t="s">
        <v>118</v>
      </c>
      <c r="B112" s="307">
        <v>40</v>
      </c>
      <c r="C112" s="219"/>
      <c r="D112" s="154">
        <f>IF($F$7="x",IF(F112=0,0,N112/F112),IF($E$7="x",IF(F112=0,0,N112/E112),""))</f>
        <v>0.66653688336693551</v>
      </c>
      <c r="E112" s="155">
        <f>+B112*(-B$5+100%)</f>
        <v>37.199999999999996</v>
      </c>
      <c r="F112" s="155">
        <f>IF(B112=0,0,E112-H112)</f>
        <v>36.881499999999996</v>
      </c>
      <c r="G112" s="156">
        <f>VLOOKUP(A112,Custo!A:B,2,0)</f>
        <v>10.086327938749999</v>
      </c>
      <c r="H112" s="155">
        <f>(VLOOKUP(A112,Peso!$A$10:$B$148,2,0))*($B$6/1000)</f>
        <v>0.31850000000000001</v>
      </c>
      <c r="I112" s="157">
        <f>IF($I$7="X",AE112,0%)</f>
        <v>0.05</v>
      </c>
      <c r="J112" s="158">
        <f>+B112*I112</f>
        <v>2</v>
      </c>
      <c r="K112" s="353">
        <f>IF($B$2="X",$C$2,0)</f>
        <v>0</v>
      </c>
      <c r="L112" s="158">
        <f>+B112*K112</f>
        <v>0</v>
      </c>
      <c r="M112" s="158">
        <f>+G112+H112+J112+L112</f>
        <v>12.40482793875</v>
      </c>
      <c r="N112" s="158">
        <f>+E112-M112</f>
        <v>24.795172061249996</v>
      </c>
      <c r="O112" s="159" t="str">
        <f>IF(ISERROR((N112/P112)*1000),"",(N112/P112)*1000)</f>
        <v/>
      </c>
      <c r="P112" s="158"/>
      <c r="Q112" s="160">
        <f>VLOOKUP(A112,'MVA-IPI'!A:AD,30,FALSE)</f>
        <v>0</v>
      </c>
      <c r="R112" s="161">
        <f>IF($B$4="AM",0,IF($B$4="AP",0,IF($B$4="RR",0,(B112*Q112))))</f>
        <v>0</v>
      </c>
      <c r="S112" s="161">
        <f>IF($B$4="AP",(B112/0.88*$S$8),IF(T112=0%,0,IF($B$4="AM",(B112/0.88*$S$8),IF(T112=0%,0,IF($B$4="RR",(B112/0.88*$S$8),IF(T112=0%,0,B112*$S$8))))))</f>
        <v>0</v>
      </c>
      <c r="T112" s="160">
        <f>IF($C$4="GRUPO 1",VLOOKUP(A112,'MVA-grupos'!$A$9:$B$128,2,FALSE),IF($C$4="GRUPO 2",VLOOKUP(A112,'MVA-grupos'!$A$9:$D$128,4,FALSE),IF($C$4="GRUPO 3",VLOOKUP(A112,'MVA-grupos'!$A$10:$F$128,6,FALSE),IF($C$4="Grupo 4",VLOOKUP(A112,'MVA-grupos'!$A$9:$H$128,8,FALSE)))))</f>
        <v>0</v>
      </c>
      <c r="U112" s="162">
        <f>IF(T112=0%,0,(B112+R112)*T112+(B112+R112))</f>
        <v>0</v>
      </c>
      <c r="V112" s="162">
        <f>(U112*$V$8)-S112</f>
        <v>0</v>
      </c>
      <c r="W112" s="164"/>
      <c r="X112" s="158" t="str">
        <f>A112</f>
        <v>CIMENTO QUEIMADO GALÃO</v>
      </c>
      <c r="Y112" s="165">
        <f>+C112</f>
        <v>0</v>
      </c>
      <c r="Z112" s="159">
        <f>IF(ISERROR(Y112*N112),"",Y112*N112)</f>
        <v>0</v>
      </c>
      <c r="AA112" s="159">
        <f>IF(ISERROR(IF(E$7="X",Y112*E112,Y112*F112)),"",IF(E$7="X",Y112*E112,Y112*F112))</f>
        <v>0</v>
      </c>
      <c r="AB112" s="154" t="str">
        <f t="shared" si="44"/>
        <v/>
      </c>
      <c r="AC112" s="166"/>
      <c r="AD112" s="167"/>
      <c r="AE112" s="168">
        <v>0.05</v>
      </c>
      <c r="AP112" s="273">
        <f>Peso!B114</f>
        <v>3.1850000000000001</v>
      </c>
      <c r="AT112" s="173"/>
      <c r="AU112" s="174"/>
      <c r="AV112" s="175"/>
    </row>
    <row r="113" spans="1:48" s="172" customFormat="1" hidden="1" outlineLevel="2" x14ac:dyDescent="0.2">
      <c r="A113" s="182"/>
      <c r="B113" s="307"/>
      <c r="C113" s="219"/>
      <c r="D113" s="154"/>
      <c r="E113" s="155"/>
      <c r="F113" s="155"/>
      <c r="G113" s="156"/>
      <c r="H113" s="155"/>
      <c r="I113" s="157"/>
      <c r="J113" s="158"/>
      <c r="K113" s="158"/>
      <c r="L113" s="158"/>
      <c r="M113" s="158"/>
      <c r="N113" s="158"/>
      <c r="O113" s="159"/>
      <c r="P113" s="158"/>
      <c r="Q113" s="160"/>
      <c r="R113" s="161"/>
      <c r="S113" s="161"/>
      <c r="T113" s="160"/>
      <c r="U113" s="162"/>
      <c r="V113" s="162"/>
      <c r="W113" s="164"/>
      <c r="X113" s="158"/>
      <c r="Y113" s="165"/>
      <c r="Z113" s="159">
        <f>Z114+Z115</f>
        <v>0</v>
      </c>
      <c r="AA113" s="159">
        <f>AA114+AA115</f>
        <v>0</v>
      </c>
      <c r="AB113" s="154"/>
      <c r="AC113" s="166"/>
      <c r="AD113" s="167"/>
      <c r="AE113" s="168"/>
      <c r="AP113" s="273">
        <f>Peso!B115</f>
        <v>0</v>
      </c>
      <c r="AT113" s="173"/>
      <c r="AU113" s="174"/>
      <c r="AV113" s="175"/>
    </row>
    <row r="114" spans="1:48" s="172" customFormat="1" hidden="1" outlineLevel="2" x14ac:dyDescent="0.2">
      <c r="A114" s="182" t="s">
        <v>229</v>
      </c>
      <c r="B114" s="307">
        <v>20</v>
      </c>
      <c r="C114" s="219"/>
      <c r="D114" s="154">
        <f>IF($F$7="x",IF(F114=0,0,N114/F114),IF($E$7="x",IF(F114=0,0,N114/E114),""))</f>
        <v>0.52469807016535974</v>
      </c>
      <c r="E114" s="155">
        <f>+B114*(-B$5+100%)</f>
        <v>18.599999999999998</v>
      </c>
      <c r="F114" s="155">
        <f>IF(B114=0,0,E114-H114)</f>
        <v>18.189999999999998</v>
      </c>
      <c r="G114" s="156">
        <f>VLOOKUP(A114,Custo!A:B,2,0)</f>
        <v>7.4306158949243093</v>
      </c>
      <c r="H114" s="155">
        <f>(VLOOKUP(A114,Peso!$A$10:$B$148,2,0))*($B$6/1000)</f>
        <v>0.41</v>
      </c>
      <c r="I114" s="157">
        <f>IF($I$7="X",AE114,0%)</f>
        <v>0.05</v>
      </c>
      <c r="J114" s="158">
        <f>+B114*I114</f>
        <v>1</v>
      </c>
      <c r="K114" s="353">
        <f>IF($B$2="X",$C$2,0)</f>
        <v>0</v>
      </c>
      <c r="L114" s="158">
        <f>+B114*K114</f>
        <v>0</v>
      </c>
      <c r="M114" s="158">
        <f>+G114+H114+J114+L114</f>
        <v>8.8406158949243085</v>
      </c>
      <c r="N114" s="158">
        <f>+E114-M114</f>
        <v>9.7593841050756893</v>
      </c>
      <c r="O114" s="159" t="str">
        <f>IF(ISERROR((N114/P114)*1000),"",(N114/P114)*1000)</f>
        <v/>
      </c>
      <c r="P114" s="158"/>
      <c r="Q114" s="160">
        <f>VLOOKUP(A114,'MVA-IPI'!A:AD,30,FALSE)</f>
        <v>0</v>
      </c>
      <c r="R114" s="161">
        <f>IF($B$4="AM",0,IF($B$4="AP",0,IF($B$4="RR",0,(B114*Q114))))</f>
        <v>0</v>
      </c>
      <c r="S114" s="161">
        <f>IF($B$4="AP",(B114/0.88*$S$8),IF(T114=0%,0,IF($B$4="AM",(B114/0.88*$S$8),IF(T114=0%,0,IF($B$4="RR",(B114/0.88*$S$8),IF(T114=0%,0,B114*$S$8))))))</f>
        <v>0</v>
      </c>
      <c r="T114" s="160">
        <f>IF($C$4="GRUPO 1",VLOOKUP(A114,'MVA-grupos'!$A$9:$B$128,2,FALSE),IF($C$4="GRUPO 2",VLOOKUP(A114,'MVA-grupos'!$A$9:$D$128,4,FALSE),IF($C$4="GRUPO 3",VLOOKUP(A114,'MVA-grupos'!$A$10:$F$128,6,FALSE),IF($C$4="Grupo 4",VLOOKUP(A114,'MVA-grupos'!$A$9:$H$128,8,FALSE)))))</f>
        <v>0</v>
      </c>
      <c r="U114" s="162">
        <f>IF(T114=0%,0,(B114+R114)*T114+(B114+R114))</f>
        <v>0</v>
      </c>
      <c r="V114" s="162">
        <f>(U114*$V$8)-S114</f>
        <v>0</v>
      </c>
      <c r="W114" s="164"/>
      <c r="X114" s="158" t="str">
        <f>A114</f>
        <v>BRAZIMIL TINTA P GESSO 3,0L</v>
      </c>
      <c r="Y114" s="165">
        <f>+C114</f>
        <v>0</v>
      </c>
      <c r="Z114" s="159">
        <f>IF(ISERROR(Y114*N114),"",Y114*N114)</f>
        <v>0</v>
      </c>
      <c r="AA114" s="159">
        <f>IF(ISERROR(IF(E$7="X",Y114*E114,Y114*F114)),"",IF(E$7="X",Y114*E114,Y114*F114))</f>
        <v>0</v>
      </c>
      <c r="AB114" s="154" t="str">
        <f>IF(ISERROR(Z114/AA114),"",Z114/AA114)</f>
        <v/>
      </c>
      <c r="AC114" s="166"/>
      <c r="AD114" s="167"/>
      <c r="AE114" s="168">
        <v>0.05</v>
      </c>
      <c r="AP114" s="273">
        <f>Peso!B116</f>
        <v>4.0999999999999996</v>
      </c>
      <c r="AT114" s="173"/>
      <c r="AU114" s="174"/>
      <c r="AV114" s="175"/>
    </row>
    <row r="115" spans="1:48" s="172" customFormat="1" hidden="1" outlineLevel="2" x14ac:dyDescent="0.2">
      <c r="A115" s="182" t="s">
        <v>231</v>
      </c>
      <c r="B115" s="307">
        <v>73</v>
      </c>
      <c r="C115" s="219"/>
      <c r="D115" s="154">
        <f>IF($F$7="x",IF(F115=0,0,N115/F115),IF($E$7="x",IF(F115=0,0,N115/E115),""))</f>
        <v>0.44607898592112566</v>
      </c>
      <c r="E115" s="155">
        <f>+B115*(-B$5+100%)</f>
        <v>67.89</v>
      </c>
      <c r="F115" s="155">
        <f>IF(B115=0,0,E115-H115)</f>
        <v>65.887</v>
      </c>
      <c r="G115" s="156">
        <f>VLOOKUP(A115,Custo!A:B,2,0)</f>
        <v>31.95269764581478</v>
      </c>
      <c r="H115" s="155">
        <f>(VLOOKUP(A115,Peso!$A$10:$B$148,2,0))*($B$6/1000)</f>
        <v>2.0030000000000001</v>
      </c>
      <c r="I115" s="157">
        <f>IF($I$7="X",AE115,0%)</f>
        <v>0.05</v>
      </c>
      <c r="J115" s="158">
        <f>+B115*I115</f>
        <v>3.6500000000000004</v>
      </c>
      <c r="K115" s="353">
        <f>IF($B$2="X",$C$2,0)</f>
        <v>0</v>
      </c>
      <c r="L115" s="158">
        <f>+B115*K115</f>
        <v>0</v>
      </c>
      <c r="M115" s="158">
        <f>+G115+H115+J115+L115</f>
        <v>37.605697645814779</v>
      </c>
      <c r="N115" s="158">
        <f>+E115-M115</f>
        <v>30.284302354185222</v>
      </c>
      <c r="O115" s="159" t="str">
        <f>IF(ISERROR((N115/P115)*1000),"",(N115/P115)*1000)</f>
        <v/>
      </c>
      <c r="P115" s="158"/>
      <c r="Q115" s="160">
        <f>VLOOKUP(A115,'MVA-IPI'!A:AD,30,FALSE)</f>
        <v>0</v>
      </c>
      <c r="R115" s="161">
        <f>IF($B$4="AM",0,IF($B$4="AP",0,IF($B$4="RR",0,(B115*Q115))))</f>
        <v>0</v>
      </c>
      <c r="S115" s="161">
        <f>IF($B$4="AP",(B115/0.88*$S$8),IF(T115=0%,0,IF($B$4="AM",(B115/0.88*$S$8),IF(T115=0%,0,IF($B$4="RR",(B115/0.88*$S$8),IF(T115=0%,0,B115*$S$8))))))</f>
        <v>0</v>
      </c>
      <c r="T115" s="160">
        <f>IF($C$4="GRUPO 1",VLOOKUP(A115,'MVA-grupos'!$A$9:$B$128,2,FALSE),IF($C$4="GRUPO 2",VLOOKUP(A115,'MVA-grupos'!$A$9:$D$128,4,FALSE),IF($C$4="GRUPO 3",VLOOKUP(A115,'MVA-grupos'!$A$10:$F$128,6,FALSE),IF($C$4="Grupo 4",VLOOKUP(A115,'MVA-grupos'!$A$9:$H$128,8,FALSE)))))</f>
        <v>0</v>
      </c>
      <c r="U115" s="162">
        <f>IF(T115=0%,0,(B115+R115)*T115+(B115+R115))</f>
        <v>0</v>
      </c>
      <c r="V115" s="162">
        <f>(U115*$V$8)-S115</f>
        <v>0</v>
      </c>
      <c r="W115" s="164"/>
      <c r="X115" s="158" t="str">
        <f>A115</f>
        <v>BRAZIMIL TINTA P GESSO 15L</v>
      </c>
      <c r="Y115" s="165">
        <f>+C115</f>
        <v>0</v>
      </c>
      <c r="Z115" s="159">
        <f>IF(ISERROR(Y115*N115),"",Y115*N115)</f>
        <v>0</v>
      </c>
      <c r="AA115" s="159">
        <f>IF(ISERROR(IF(E$7="X",Y115*E115,Y115*F115)),"",IF(E$7="X",Y115*E115,Y115*F115))</f>
        <v>0</v>
      </c>
      <c r="AB115" s="154" t="str">
        <f>IF(ISERROR(Z115/AA115),"",Z115/AA115)</f>
        <v/>
      </c>
      <c r="AC115" s="166"/>
      <c r="AD115" s="167"/>
      <c r="AE115" s="168">
        <v>0.05</v>
      </c>
      <c r="AP115" s="273">
        <f>Peso!B118</f>
        <v>20.03</v>
      </c>
      <c r="AT115" s="173"/>
      <c r="AU115" s="174"/>
      <c r="AV115" s="175"/>
    </row>
    <row r="116" spans="1:48" s="172" customFormat="1" hidden="1" outlineLevel="2" x14ac:dyDescent="0.2">
      <c r="A116" s="182"/>
      <c r="B116" s="307"/>
      <c r="C116" s="219"/>
      <c r="D116" s="154"/>
      <c r="E116" s="155"/>
      <c r="F116" s="155"/>
      <c r="G116" s="156"/>
      <c r="H116" s="155"/>
      <c r="I116" s="157"/>
      <c r="J116" s="158"/>
      <c r="K116" s="158"/>
      <c r="L116" s="158"/>
      <c r="M116" s="158"/>
      <c r="N116" s="158"/>
      <c r="O116" s="159"/>
      <c r="P116" s="158"/>
      <c r="Q116" s="160"/>
      <c r="R116" s="161"/>
      <c r="S116" s="161"/>
      <c r="T116" s="160"/>
      <c r="U116" s="162"/>
      <c r="V116" s="162"/>
      <c r="W116" s="164"/>
      <c r="X116" s="158"/>
      <c r="Y116" s="165"/>
      <c r="Z116" s="159">
        <f>SUM(Z117:Z120)</f>
        <v>0</v>
      </c>
      <c r="AA116" s="159">
        <f>SUM(AA117:AA120)</f>
        <v>0</v>
      </c>
      <c r="AB116" s="154"/>
      <c r="AC116" s="166"/>
      <c r="AD116" s="167"/>
      <c r="AE116" s="168"/>
      <c r="AP116" s="273">
        <f>Peso!B119</f>
        <v>0</v>
      </c>
      <c r="AT116" s="173"/>
      <c r="AU116" s="174"/>
      <c r="AV116" s="175"/>
    </row>
    <row r="117" spans="1:48" s="172" customFormat="1" hidden="1" outlineLevel="2" x14ac:dyDescent="0.2">
      <c r="A117" s="182" t="s">
        <v>232</v>
      </c>
      <c r="B117" s="307">
        <v>7</v>
      </c>
      <c r="C117" s="219"/>
      <c r="D117" s="154">
        <f>IF($F$7="x",IF(F117=0,0,N117/F117),IF($E$7="x",IF(F117=0,0,N117/E117),""))</f>
        <v>0.42012288786482332</v>
      </c>
      <c r="E117" s="155">
        <f>+B117*(-B$5+100%)</f>
        <v>6.51</v>
      </c>
      <c r="F117" s="155">
        <f>IF(B117=0,0,E117-H117)</f>
        <v>6.4589999999999996</v>
      </c>
      <c r="G117" s="156">
        <f>VLOOKUP(A117,Custo!A:B,2,0)</f>
        <v>3.3739999999999997</v>
      </c>
      <c r="H117" s="155">
        <f>(VLOOKUP(A117,Peso!$A$10:$B$148,2,0))*($B$6/1000)</f>
        <v>5.1000000000000004E-2</v>
      </c>
      <c r="I117" s="157">
        <f>IF($I$7="X",AE117,0%)</f>
        <v>0.05</v>
      </c>
      <c r="J117" s="158">
        <f>+B117*I117</f>
        <v>0.35000000000000003</v>
      </c>
      <c r="K117" s="353">
        <f>IF($B$2="X",$C$2,0)</f>
        <v>0</v>
      </c>
      <c r="L117" s="158">
        <f>+B117*K117</f>
        <v>0</v>
      </c>
      <c r="M117" s="158">
        <f>+G117+H117+J117+L117</f>
        <v>3.7749999999999999</v>
      </c>
      <c r="N117" s="158">
        <f>+E117-M117</f>
        <v>2.7349999999999999</v>
      </c>
      <c r="O117" s="159" t="str">
        <f>IF(ISERROR((N117/P117)*1000),"",(N117/P117)*1000)</f>
        <v/>
      </c>
      <c r="P117" s="158"/>
      <c r="Q117" s="160">
        <f>VLOOKUP(A117,'MVA-IPI'!A:AD,30,FALSE)</f>
        <v>0</v>
      </c>
      <c r="R117" s="161">
        <f>IF($B$4="AM",0,IF($B$4="AP",0,IF($B$4="RR",0,(B117*Q117))))</f>
        <v>0</v>
      </c>
      <c r="S117" s="161">
        <f>IF($B$4="AP",(B117/0.88*$S$8),IF(T117=0%,0,IF($B$4="AM",(B117/0.88*$S$8),IF(T117=0%,0,IF($B$4="RR",(B117/0.88*$S$8),IF(T117=0%,0,B117*$S$8))))))</f>
        <v>0</v>
      </c>
      <c r="T117" s="160">
        <f>IF($C$4="GRUPO 1",VLOOKUP(A117,'MVA-grupos'!$A$9:$B$128,2,FALSE),IF($C$4="GRUPO 2",VLOOKUP(A117,'MVA-grupos'!$A$9:$D$128,4,FALSE),IF($C$4="GRUPO 3",VLOOKUP(A117,'MVA-grupos'!$A$10:$F$128,6,FALSE),IF($C$4="Grupo 4",VLOOKUP(A117,'MVA-grupos'!$A$9:$H$128,8,FALSE)))))</f>
        <v>0</v>
      </c>
      <c r="U117" s="162">
        <f>IF(T117=0%,0,(B117+R117)*T117+(B117+R117))</f>
        <v>0</v>
      </c>
      <c r="V117" s="162">
        <f>(U117*$V$8)-S117</f>
        <v>0</v>
      </c>
      <c r="W117" s="164"/>
      <c r="X117" s="158" t="str">
        <f t="shared" ref="X117:X125" si="45">A117</f>
        <v>BRAZIMIL COLA BRANCA 0,5KG</v>
      </c>
      <c r="Y117" s="165">
        <f>+C117</f>
        <v>0</v>
      </c>
      <c r="Z117" s="159">
        <f>IF(ISERROR(Y117*N117),"",Y117*N117)</f>
        <v>0</v>
      </c>
      <c r="AA117" s="159">
        <f>IF(ISERROR(IF(E$7="X",Y117*E117,Y117*F117)),"",IF(E$7="X",Y117*E117,Y117*F117))</f>
        <v>0</v>
      </c>
      <c r="AB117" s="154" t="str">
        <f>IF(ISERROR(Z117/AA117),"",Z117/AA117)</f>
        <v/>
      </c>
      <c r="AC117" s="166"/>
      <c r="AD117" s="167"/>
      <c r="AE117" s="168">
        <v>0.05</v>
      </c>
      <c r="AP117" s="273">
        <f>Peso!B120</f>
        <v>0.51</v>
      </c>
      <c r="AT117" s="173"/>
      <c r="AU117" s="174"/>
      <c r="AV117" s="175"/>
    </row>
    <row r="118" spans="1:48" s="172" customFormat="1" hidden="1" outlineLevel="2" x14ac:dyDescent="0.2">
      <c r="A118" s="182" t="s">
        <v>233</v>
      </c>
      <c r="B118" s="307">
        <v>11.5</v>
      </c>
      <c r="C118" s="219"/>
      <c r="D118" s="154">
        <f>IF($F$7="x",IF(F118=0,0,N118/F118),IF($E$7="x",IF(F118=0,0,N118/E118),""))</f>
        <v>0.3806451612903225</v>
      </c>
      <c r="E118" s="155">
        <f>+B118*(-B$5+100%)</f>
        <v>10.694999999999999</v>
      </c>
      <c r="F118" s="155">
        <f>IF(B118=0,0,E118-H118)</f>
        <v>10.593999999999998</v>
      </c>
      <c r="G118" s="156">
        <f>VLOOKUP(A118,Custo!A:B,2,0)</f>
        <v>5.9479999999999995</v>
      </c>
      <c r="H118" s="155">
        <f>(VLOOKUP(A118,Peso!$A$10:$B$148,2,0))*($B$6/1000)</f>
        <v>0.10100000000000001</v>
      </c>
      <c r="I118" s="157">
        <f>IF($I$7="X",AE118,0%)</f>
        <v>0.05</v>
      </c>
      <c r="J118" s="158">
        <f>+B118*I118</f>
        <v>0.57500000000000007</v>
      </c>
      <c r="K118" s="353">
        <f>IF($B$2="X",$C$2,0)</f>
        <v>0</v>
      </c>
      <c r="L118" s="158">
        <f>+B118*K118</f>
        <v>0</v>
      </c>
      <c r="M118" s="158">
        <f>+G118+H118+J118+L118</f>
        <v>6.6239999999999997</v>
      </c>
      <c r="N118" s="158">
        <f>+E118-M118</f>
        <v>4.0709999999999988</v>
      </c>
      <c r="O118" s="159" t="str">
        <f>IF(ISERROR((N118/P118)*1000),"",(N118/P118)*1000)</f>
        <v/>
      </c>
      <c r="P118" s="158"/>
      <c r="Q118" s="160">
        <f>VLOOKUP(A118,'MVA-IPI'!A:AD,30,FALSE)</f>
        <v>0</v>
      </c>
      <c r="R118" s="161">
        <f>IF($B$4="AM",0,IF($B$4="AP",0,IF($B$4="RR",0,(B118*Q118))))</f>
        <v>0</v>
      </c>
      <c r="S118" s="161">
        <f>IF($B$4="AP",(B118/0.88*$S$8),IF(T118=0%,0,IF($B$4="AM",(B118/0.88*$S$8),IF(T118=0%,0,IF($B$4="RR",(B118/0.88*$S$8),IF(T118=0%,0,B118*$S$8))))))</f>
        <v>0</v>
      </c>
      <c r="T118" s="160">
        <f>IF($C$4="GRUPO 1",VLOOKUP(A118,'MVA-grupos'!$A$9:$B$128,2,FALSE),IF($C$4="GRUPO 2",VLOOKUP(A118,'MVA-grupos'!$A$9:$D$128,4,FALSE),IF($C$4="GRUPO 3",VLOOKUP(A118,'MVA-grupos'!$A$10:$F$128,6,FALSE),IF($C$4="Grupo 4",VLOOKUP(A118,'MVA-grupos'!$A$9:$H$128,8,FALSE)))))</f>
        <v>0</v>
      </c>
      <c r="U118" s="162">
        <f>IF(T118=0%,0,(B118+R118)*T118+(B118+R118))</f>
        <v>0</v>
      </c>
      <c r="V118" s="162">
        <f>(U118*$V$8)-S118</f>
        <v>0</v>
      </c>
      <c r="W118" s="164"/>
      <c r="X118" s="158" t="str">
        <f t="shared" si="45"/>
        <v>BRAZIMIL COLA BRANCA 1,0KG</v>
      </c>
      <c r="Y118" s="165">
        <f>+C118</f>
        <v>0</v>
      </c>
      <c r="Z118" s="159">
        <f>IF(ISERROR(Y118*N118),"",Y118*N118)</f>
        <v>0</v>
      </c>
      <c r="AA118" s="159">
        <f>IF(ISERROR(IF(E$7="X",Y118*E118,Y118*F118)),"",IF(E$7="X",Y118*E118,Y118*F118))</f>
        <v>0</v>
      </c>
      <c r="AB118" s="154" t="str">
        <f>IF(ISERROR(Z118/AA118),"",Z118/AA118)</f>
        <v/>
      </c>
      <c r="AC118" s="166"/>
      <c r="AD118" s="167"/>
      <c r="AE118" s="168">
        <v>0.05</v>
      </c>
      <c r="AP118" s="273">
        <f>Peso!B121</f>
        <v>1.01</v>
      </c>
      <c r="AT118" s="173"/>
      <c r="AU118" s="174"/>
      <c r="AV118" s="175"/>
    </row>
    <row r="119" spans="1:48" s="172" customFormat="1" hidden="1" outlineLevel="2" x14ac:dyDescent="0.2">
      <c r="A119" s="182" t="s">
        <v>132</v>
      </c>
      <c r="B119" s="307">
        <v>15</v>
      </c>
      <c r="C119" s="219"/>
      <c r="D119" s="154">
        <f>IF($F$7="x",IF(F119=0,0,N119/F119),IF($E$7="x",IF(F119=0,0,N119/E119),""))</f>
        <v>0.31677419354838704</v>
      </c>
      <c r="E119" s="155">
        <f>+B119*(-B$5+100%)</f>
        <v>13.95</v>
      </c>
      <c r="F119" s="155">
        <f>IF(B119=0,0,E119-H119)</f>
        <v>13.869</v>
      </c>
      <c r="G119" s="156">
        <f>VLOOKUP(A119,Custo!A:B,2,0)</f>
        <v>8.7000000000000011</v>
      </c>
      <c r="H119" s="155">
        <f>(VLOOKUP(A119,Peso!$A$10:$B$148,2,0))*($B$6/1000)</f>
        <v>8.1000000000000016E-2</v>
      </c>
      <c r="I119" s="157">
        <f>IF($I$7="X",AE119,0%)</f>
        <v>0.05</v>
      </c>
      <c r="J119" s="158">
        <f>+B119*I119</f>
        <v>0.75</v>
      </c>
      <c r="K119" s="353">
        <f>IF($B$2="X",$C$2,0)</f>
        <v>0</v>
      </c>
      <c r="L119" s="158">
        <f>+B119*K119</f>
        <v>0</v>
      </c>
      <c r="M119" s="158">
        <f>+G119+H119+J119+L119</f>
        <v>9.5310000000000006</v>
      </c>
      <c r="N119" s="158">
        <f>+E119-M119</f>
        <v>4.4189999999999987</v>
      </c>
      <c r="O119" s="159" t="str">
        <f>IF(ISERROR((N119/P119)*1000),"",(N119/P119)*1000)</f>
        <v/>
      </c>
      <c r="P119" s="158"/>
      <c r="Q119" s="160">
        <f>VLOOKUP(A119,'MVA-IPI'!A:AD,30,FALSE)</f>
        <v>0</v>
      </c>
      <c r="R119" s="161">
        <f>IF($B$4="AM",0,IF($B$4="AP",0,IF($B$4="RR",0,(B119*Q119))))</f>
        <v>0</v>
      </c>
      <c r="S119" s="161">
        <f>IF($B$4="AP",(B119/0.88*$S$8),IF(T119=0%,0,IF($B$4="AM",(B119/0.88*$S$8),IF(T119=0%,0,IF($B$4="RR",(B119/0.88*$S$8),IF(T119=0%,0,B119*$S$8))))))</f>
        <v>0</v>
      </c>
      <c r="T119" s="160">
        <f>IF($C$4="GRUPO 1",VLOOKUP(A119,'MVA-grupos'!$A$9:$B$128,2,FALSE),IF($C$4="GRUPO 2",VLOOKUP(A119,'MVA-grupos'!$A$9:$D$128,4,FALSE),IF($C$4="GRUPO 3",VLOOKUP(A119,'MVA-grupos'!$A$10:$F$128,6,FALSE),IF($C$4="Grupo 4",VLOOKUP(A119,'MVA-grupos'!$A$9:$H$128,8,FALSE)))))</f>
        <v>0</v>
      </c>
      <c r="U119" s="162">
        <f>IF(T119=0%,0,(B119+R119)*T119+(B119+R119))</f>
        <v>0</v>
      </c>
      <c r="V119" s="162">
        <f>(U119*$V$8)-S119</f>
        <v>0</v>
      </c>
      <c r="W119" s="164"/>
      <c r="X119" s="158" t="str">
        <f t="shared" si="45"/>
        <v>AGUARRAS 0,900</v>
      </c>
      <c r="Y119" s="165">
        <f>+C119</f>
        <v>0</v>
      </c>
      <c r="Z119" s="159">
        <f>IF(ISERROR(Y119*N119),"",Y119*N119)</f>
        <v>0</v>
      </c>
      <c r="AA119" s="159">
        <f>IF(ISERROR(IF(E$7="X",Y119*E119,Y119*F119)),"",IF(E$7="X",Y119*E119,Y119*F119))</f>
        <v>0</v>
      </c>
      <c r="AB119" s="154" t="str">
        <f>IF(ISERROR(Z119/AA119),"",Z119/AA119)</f>
        <v/>
      </c>
      <c r="AC119" s="166"/>
      <c r="AD119" s="167"/>
      <c r="AE119" s="168">
        <v>0.05</v>
      </c>
      <c r="AP119" s="273">
        <f>Peso!B122</f>
        <v>0.81</v>
      </c>
      <c r="AT119" s="173"/>
      <c r="AU119" s="174"/>
      <c r="AV119" s="175"/>
    </row>
    <row r="120" spans="1:48" s="172" customFormat="1" hidden="1" outlineLevel="2" x14ac:dyDescent="0.2">
      <c r="A120" s="182" t="s">
        <v>133</v>
      </c>
      <c r="B120" s="307">
        <v>7.8</v>
      </c>
      <c r="C120" s="219"/>
      <c r="D120" s="154">
        <f>IF($F$7="x",IF(F120=0,0,N120/F120),IF($E$7="x",IF(F120=0,0,N120/E120),""))</f>
        <v>0.28232699200441125</v>
      </c>
      <c r="E120" s="155">
        <f>+B120*(-B$5+100%)</f>
        <v>7.2539999999999996</v>
      </c>
      <c r="F120" s="155">
        <f>IF(B120=0,0,E120-H120)</f>
        <v>7.2079999999999993</v>
      </c>
      <c r="G120" s="156">
        <f>VLOOKUP(A120,Custo!A:B,2,0)</f>
        <v>4.7700000000000005</v>
      </c>
      <c r="H120" s="155">
        <f>(VLOOKUP(A120,Peso!$A$10:$B$148,2,0))*($B$6/1000)</f>
        <v>4.6000000000000006E-2</v>
      </c>
      <c r="I120" s="157">
        <f>IF($I$7="X",AE120,0%)</f>
        <v>0.05</v>
      </c>
      <c r="J120" s="158">
        <f>+B120*I120</f>
        <v>0.39</v>
      </c>
      <c r="K120" s="353">
        <f>IF($B$2="X",$C$2,0)</f>
        <v>0</v>
      </c>
      <c r="L120" s="158">
        <f>+B120*K120</f>
        <v>0</v>
      </c>
      <c r="M120" s="158">
        <f>+G120+H120+J120+L120</f>
        <v>5.2060000000000004</v>
      </c>
      <c r="N120" s="158">
        <f>+E120-M120</f>
        <v>2.0479999999999992</v>
      </c>
      <c r="O120" s="159" t="str">
        <f>IF(ISERROR((N120/P120)*1000),"",(N120/P120)*1000)</f>
        <v/>
      </c>
      <c r="P120" s="158"/>
      <c r="Q120" s="160">
        <f>VLOOKUP(A120,'MVA-IPI'!A:AD,30,FALSE)</f>
        <v>0</v>
      </c>
      <c r="R120" s="161">
        <f>IF($B$4="AM",0,IF($B$4="AP",0,IF($B$4="RR",0,(B120*Q120))))</f>
        <v>0</v>
      </c>
      <c r="S120" s="161">
        <f>IF($B$4="AP",(B120/0.88*$S$8),IF(T120=0%,0,IF($B$4="AM",(B120/0.88*$S$8),IF(T120=0%,0,IF($B$4="RR",(B120/0.88*$S$8),IF(T120=0%,0,B120*$S$8))))))</f>
        <v>0</v>
      </c>
      <c r="T120" s="160">
        <f>IF($C$4="GRUPO 1",VLOOKUP(A120,'MVA-grupos'!$A$9:$B$128,2,FALSE),IF($C$4="GRUPO 2",VLOOKUP(A120,'MVA-grupos'!$A$9:$D$128,4,FALSE),IF($C$4="GRUPO 3",VLOOKUP(A120,'MVA-grupos'!$A$10:$F$128,6,FALSE),IF($C$4="Grupo 4",VLOOKUP(A120,'MVA-grupos'!$A$9:$H$128,8,FALSE)))))</f>
        <v>0</v>
      </c>
      <c r="U120" s="162">
        <f>IF(T120=0%,0,(B120+R120)*T120+(B120+R120))</f>
        <v>0</v>
      </c>
      <c r="V120" s="162">
        <f>(U120*$V$8)-S120</f>
        <v>0</v>
      </c>
      <c r="W120" s="164"/>
      <c r="X120" s="158" t="str">
        <f t="shared" si="45"/>
        <v>AGUARRAS 0,450</v>
      </c>
      <c r="Y120" s="165">
        <f>+C120</f>
        <v>0</v>
      </c>
      <c r="Z120" s="159">
        <f>IF(ISERROR(Y120*N120),"",Y120*N120)</f>
        <v>0</v>
      </c>
      <c r="AA120" s="159">
        <f>IF(ISERROR(IF(E$7="X",Y120*E120,Y120*F120)),"",IF(E$7="X",Y120*E120,Y120*F120))</f>
        <v>0</v>
      </c>
      <c r="AB120" s="154" t="str">
        <f>IF(ISERROR(Z120/AA120),"",Z120/AA120)</f>
        <v/>
      </c>
      <c r="AC120" s="166"/>
      <c r="AD120" s="167"/>
      <c r="AE120" s="168">
        <v>0.05</v>
      </c>
      <c r="AP120" s="273">
        <f>Peso!B123</f>
        <v>0.46</v>
      </c>
      <c r="AT120" s="173"/>
      <c r="AU120" s="174"/>
      <c r="AV120" s="175"/>
    </row>
    <row r="121" spans="1:48" s="207" customFormat="1" hidden="1" outlineLevel="1" x14ac:dyDescent="0.2">
      <c r="A121" s="354" t="s">
        <v>127</v>
      </c>
      <c r="B121" s="307"/>
      <c r="C121" s="219"/>
      <c r="D121" s="154" t="str">
        <f>AB121</f>
        <v/>
      </c>
      <c r="E121" s="200"/>
      <c r="F121" s="200"/>
      <c r="G121" s="201"/>
      <c r="H121" s="200"/>
      <c r="I121" s="202"/>
      <c r="J121" s="203"/>
      <c r="K121" s="203"/>
      <c r="L121" s="203"/>
      <c r="M121" s="203"/>
      <c r="N121" s="203"/>
      <c r="O121" s="206"/>
      <c r="P121" s="203"/>
      <c r="Q121" s="204"/>
      <c r="R121" s="161"/>
      <c r="S121" s="161"/>
      <c r="T121" s="160"/>
      <c r="U121" s="355"/>
      <c r="V121" s="355"/>
      <c r="W121" s="164"/>
      <c r="X121" s="203" t="str">
        <f t="shared" si="45"/>
        <v>VEDAMIL</v>
      </c>
      <c r="Y121" s="205"/>
      <c r="Z121" s="206">
        <f>SUM(Z122:Z133)</f>
        <v>0</v>
      </c>
      <c r="AA121" s="206">
        <f>SUM(AA122:AA133)</f>
        <v>0</v>
      </c>
      <c r="AB121" s="154" t="str">
        <f t="shared" si="44"/>
        <v/>
      </c>
      <c r="AC121" s="357">
        <v>0.25</v>
      </c>
      <c r="AD121" s="167"/>
      <c r="AE121" s="168"/>
      <c r="AT121" s="209"/>
      <c r="AU121" s="210"/>
      <c r="AV121" s="211"/>
    </row>
    <row r="122" spans="1:48" s="207" customFormat="1" hidden="1" outlineLevel="1" x14ac:dyDescent="0.2">
      <c r="A122" s="182" t="s">
        <v>134</v>
      </c>
      <c r="B122" s="307">
        <v>32.5</v>
      </c>
      <c r="C122" s="219"/>
      <c r="D122" s="154">
        <f>IF($F$7="x",IF(F122=0,0,N122/F122),IF($E$7="x",IF(F122=0,0,N122/E122),""))</f>
        <v>0.37636689946147561</v>
      </c>
      <c r="E122" s="155">
        <f>+B122*(-B$5+100%)</f>
        <v>30.224999999999998</v>
      </c>
      <c r="F122" s="155">
        <f>IF(B122=0,0,E122-H122)</f>
        <v>29.864999999999998</v>
      </c>
      <c r="G122" s="156">
        <f>VLOOKUP(A122,Custo!A:B,2,0)</f>
        <v>16.864310463776899</v>
      </c>
      <c r="H122" s="155">
        <f>(VLOOKUP(A122,Peso!$A$10:$B$148,2,0))*($B$6/1000)</f>
        <v>0.36000000000000004</v>
      </c>
      <c r="I122" s="157">
        <f>IF($I$7="X",AE122,0%)</f>
        <v>0.05</v>
      </c>
      <c r="J122" s="158">
        <f>+B122*I122</f>
        <v>1.625</v>
      </c>
      <c r="K122" s="353">
        <f>IF($B$2="X",$C$2,0)</f>
        <v>0</v>
      </c>
      <c r="L122" s="158">
        <f>+B122*K122</f>
        <v>0</v>
      </c>
      <c r="M122" s="158">
        <f>+G122+H122+J122+L122</f>
        <v>18.849310463776899</v>
      </c>
      <c r="N122" s="158">
        <f>+E122-M122</f>
        <v>11.375689536223099</v>
      </c>
      <c r="O122" s="159" t="str">
        <f>IF(ISERROR((N122/P122)*1000),"",(N122/P122)*1000)</f>
        <v/>
      </c>
      <c r="P122" s="158"/>
      <c r="Q122" s="160">
        <f>VLOOKUP(A122,'MVA-IPI'!A:AD,30,FALSE)</f>
        <v>0</v>
      </c>
      <c r="R122" s="161">
        <f>IF($B$4="AM",0,IF($B$4="AP",0,IF($B$4="RR",0,(B122*Q122))))</f>
        <v>0</v>
      </c>
      <c r="S122" s="161">
        <f>IF($B$4="AP",(B122/0.88*$S$8),IF(T122=0%,0,IF($B$4="AM",(B122/0.88*$S$8),IF(T122=0%,0,IF($B$4="RR",(B122/0.88*$S$8),IF(T122=0%,0,B122*$S$8))))))</f>
        <v>0</v>
      </c>
      <c r="T122" s="160">
        <f>IF($C$4="GRUPO 1",VLOOKUP(A122,'MVA-grupos'!$A$9:$B$128,2,FALSE),IF($C$4="GRUPO 2",VLOOKUP(A122,'MVA-grupos'!$A$9:$D$128,4,FALSE),IF($C$4="GRUPO 3",VLOOKUP(A122,'MVA-grupos'!$A$10:$F$128,6,FALSE),IF($C$4="Grupo 4",VLOOKUP(A122,'MVA-grupos'!$A$9:$H$128,8,FALSE)))))</f>
        <v>0</v>
      </c>
      <c r="U122" s="162">
        <f>IF(T122=0%,0,(B122+R122)*T122+(B122+R122))</f>
        <v>0</v>
      </c>
      <c r="V122" s="162">
        <f>(U122*$V$8)-S122</f>
        <v>0</v>
      </c>
      <c r="W122" s="164"/>
      <c r="X122" s="158" t="str">
        <f t="shared" si="45"/>
        <v>VEDAMIL / MANTA LÍQUIDA BALDE 3,6KG</v>
      </c>
      <c r="Y122" s="165">
        <f>+C122</f>
        <v>0</v>
      </c>
      <c r="Z122" s="159">
        <f>IF(ISERROR(Y122*N122),"",Y122*N122)</f>
        <v>0</v>
      </c>
      <c r="AA122" s="159">
        <f>IF(ISERROR(IF(E$7="X",Y122*E122,Y122*F122)),"",IF(E$7="X",Y122*E122,Y122*F122))</f>
        <v>0</v>
      </c>
      <c r="AB122" s="154" t="str">
        <f t="shared" si="44"/>
        <v/>
      </c>
      <c r="AC122" s="166"/>
      <c r="AD122" s="167"/>
      <c r="AE122" s="168">
        <v>0.05</v>
      </c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273">
        <f>Peso!B125</f>
        <v>3.6</v>
      </c>
      <c r="AQ122" s="172"/>
      <c r="AR122" s="172"/>
      <c r="AS122" s="172"/>
      <c r="AT122" s="173"/>
      <c r="AU122" s="174"/>
      <c r="AV122" s="175"/>
    </row>
    <row r="123" spans="1:48" s="172" customFormat="1" hidden="1" outlineLevel="2" x14ac:dyDescent="0.2">
      <c r="A123" s="182" t="s">
        <v>119</v>
      </c>
      <c r="B123" s="307">
        <v>133</v>
      </c>
      <c r="C123" s="219"/>
      <c r="D123" s="154">
        <f>IF($F$7="x",IF(F123=0,0,N123/F123),IF($E$7="x",IF(F123=0,0,N123/E123),""))</f>
        <v>0.47859405331131849</v>
      </c>
      <c r="E123" s="155">
        <f>+B123*(-B$5+100%)</f>
        <v>123.69</v>
      </c>
      <c r="F123" s="155">
        <f>IF(B123=0,0,E123-H123)</f>
        <v>122.405</v>
      </c>
      <c r="G123" s="156">
        <f>VLOOKUP(A123,Custo!A:B,2,0)</f>
        <v>56.557701545923003</v>
      </c>
      <c r="H123" s="155">
        <f>(VLOOKUP(A123,Peso!$A$10:$B$148,2,0))*($B$6/1000)</f>
        <v>1.2850000000000001</v>
      </c>
      <c r="I123" s="157">
        <f>IF($I$7="X",AE123,0%)</f>
        <v>0.05</v>
      </c>
      <c r="J123" s="158">
        <f>+B123*I123</f>
        <v>6.65</v>
      </c>
      <c r="K123" s="353">
        <f>IF($B$2="X",$C$2,0)</f>
        <v>0</v>
      </c>
      <c r="L123" s="158">
        <f>+B123*K123</f>
        <v>0</v>
      </c>
      <c r="M123" s="158">
        <f>+G123+H123+J123+L123</f>
        <v>64.492701545923012</v>
      </c>
      <c r="N123" s="158">
        <f>+E123-M123</f>
        <v>59.197298454076986</v>
      </c>
      <c r="O123" s="159" t="str">
        <f>IF(ISERROR((N123/P123)*100),"",(N123/P123)*100)</f>
        <v/>
      </c>
      <c r="P123" s="158"/>
      <c r="Q123" s="160">
        <f>VLOOKUP(A123,'MVA-IPI'!A:AD,30,FALSE)</f>
        <v>0</v>
      </c>
      <c r="R123" s="161">
        <f>IF($B$4="AM",0,IF($B$4="AP",0,IF($B$4="RR",0,(B123*Q123))))</f>
        <v>0</v>
      </c>
      <c r="S123" s="161">
        <f>IF($B$4="AP",(B123/0.88*$S$8),IF(T123=0%,0,IF($B$4="AM",(B123/0.88*$S$8),IF(T123=0%,0,IF($B$4="RR",(B123/0.88*$S$8),IF(T123=0%,0,B123*$S$8))))))</f>
        <v>0</v>
      </c>
      <c r="T123" s="160">
        <f>IF($C$4="GRUPO 1",VLOOKUP(A123,'MVA-grupos'!$A$9:$B$128,2,FALSE),IF($C$4="GRUPO 2",VLOOKUP(A123,'MVA-grupos'!$A$9:$D$128,4,FALSE),IF($C$4="GRUPO 3",VLOOKUP(A123,'MVA-grupos'!$A$10:$F$128,6,FALSE),IF($C$4="Grupo 4",VLOOKUP(A123,'MVA-grupos'!$A$9:$H$128,8,FALSE)))))</f>
        <v>0</v>
      </c>
      <c r="U123" s="162">
        <f>IF(T123=0%,0,(B123+R123)*T123+(B123+R123))</f>
        <v>0</v>
      </c>
      <c r="V123" s="162">
        <f>(U123*$V$8)-S123</f>
        <v>0</v>
      </c>
      <c r="W123" s="164"/>
      <c r="X123" s="158" t="str">
        <f t="shared" si="45"/>
        <v>VEDAMIL / MANTA LÍQUIDA BALDE 12KG</v>
      </c>
      <c r="Y123" s="165">
        <f>+C123</f>
        <v>0</v>
      </c>
      <c r="Z123" s="159">
        <f>IF(ISERROR(Y123*N123),"",Y123*N123)</f>
        <v>0</v>
      </c>
      <c r="AA123" s="159">
        <f>IF(ISERROR(IF(E$7="X",Y123*E123,Y123*F123)),"",IF(E$7="X",Y123*E123,Y123*F123))</f>
        <v>0</v>
      </c>
      <c r="AB123" s="154" t="str">
        <f t="shared" si="44"/>
        <v/>
      </c>
      <c r="AC123" s="166"/>
      <c r="AD123" s="167"/>
      <c r="AE123" s="168">
        <v>0.05</v>
      </c>
      <c r="AP123" s="273">
        <f>Peso!B126</f>
        <v>12.85</v>
      </c>
      <c r="AT123" s="173"/>
      <c r="AU123" s="174"/>
      <c r="AV123" s="175"/>
    </row>
    <row r="124" spans="1:48" s="172" customFormat="1" hidden="1" outlineLevel="2" x14ac:dyDescent="0.2">
      <c r="A124" s="182" t="s">
        <v>120</v>
      </c>
      <c r="B124" s="307">
        <v>100</v>
      </c>
      <c r="C124" s="219"/>
      <c r="D124" s="154">
        <f>IF($F$7="x",IF(F124=0,0,N124/F124),IF($E$7="x",IF(F124=0,0,N124/E124),""))</f>
        <v>0.19475938782361571</v>
      </c>
      <c r="E124" s="155">
        <f>+B124*(-B$5+100%)</f>
        <v>93</v>
      </c>
      <c r="F124" s="155">
        <f>IF(B124=0,0,E124-H124)</f>
        <v>91.415000000000006</v>
      </c>
      <c r="G124" s="156">
        <f>VLOOKUP(A124,Custo!A:B,2,0)</f>
        <v>68.302376932403746</v>
      </c>
      <c r="H124" s="155">
        <f>(VLOOKUP(A124,Peso!$A$10:$B$148,2,0))*($B$6/1000)</f>
        <v>1.585</v>
      </c>
      <c r="I124" s="157">
        <f>IF($I$7="X",AE124,0%)</f>
        <v>0.05</v>
      </c>
      <c r="J124" s="158">
        <f>+B124*I124</f>
        <v>5</v>
      </c>
      <c r="K124" s="353">
        <f>IF($B$2="X",$C$2,0)</f>
        <v>0</v>
      </c>
      <c r="L124" s="158">
        <f>+B124*K124</f>
        <v>0</v>
      </c>
      <c r="M124" s="158">
        <f>+G124+H124+J124+L124</f>
        <v>74.88737693240374</v>
      </c>
      <c r="N124" s="158">
        <f>+E124-M124</f>
        <v>18.11262306759626</v>
      </c>
      <c r="O124" s="159" t="str">
        <f>IF(ISERROR((N124/P124)*100),"",(N124/P124)*100)</f>
        <v/>
      </c>
      <c r="P124" s="158"/>
      <c r="Q124" s="160">
        <f>VLOOKUP(A124,'MVA-IPI'!A:AD,30,FALSE)</f>
        <v>0</v>
      </c>
      <c r="R124" s="161">
        <f>IF($B$4="AM",0,IF($B$4="AP",0,IF($B$4="RR",0,(B124*Q124))))</f>
        <v>0</v>
      </c>
      <c r="S124" s="161">
        <f>IF($B$4="AP",(B124/0.88*$S$8),IF(T124=0%,0,IF($B$4="AM",(B124/0.88*$S$8),IF(T124=0%,0,IF($B$4="RR",(B124/0.88*$S$8),IF(T124=0%,0,B124*$S$8))))))</f>
        <v>0</v>
      </c>
      <c r="T124" s="160">
        <f>IF($C$4="GRUPO 1",VLOOKUP(A124,'MVA-grupos'!$A$9:$B$128,2,FALSE),IF($C$4="GRUPO 2",VLOOKUP(A124,'MVA-grupos'!$A$9:$D$128,4,FALSE),IF($C$4="GRUPO 3",VLOOKUP(A124,'MVA-grupos'!$A$10:$F$128,6,FALSE),IF($C$4="Grupo 4",VLOOKUP(A124,'MVA-grupos'!$A$9:$H$128,8,FALSE)))))</f>
        <v>0</v>
      </c>
      <c r="U124" s="162">
        <f>IF(T124=0%,0,(B124+R124)*T124+(B124+R124))</f>
        <v>0</v>
      </c>
      <c r="V124" s="162">
        <f>(U124*$V$8)-S124</f>
        <v>0</v>
      </c>
      <c r="W124" s="164"/>
      <c r="X124" s="158" t="str">
        <f t="shared" si="45"/>
        <v>VEDAMIL / MANTA LÍQUIDA BALDE 15KG</v>
      </c>
      <c r="Y124" s="165">
        <f>+C124</f>
        <v>0</v>
      </c>
      <c r="Z124" s="159">
        <f>IF(ISERROR(Y124*N124),"",Y124*N124)</f>
        <v>0</v>
      </c>
      <c r="AA124" s="159">
        <f>IF(ISERROR(IF(E$7="X",Y124*E124,Y124*F124)),"",IF(E$7="X",Y124*E124,Y124*F124))</f>
        <v>0</v>
      </c>
      <c r="AB124" s="154" t="str">
        <f t="shared" si="44"/>
        <v/>
      </c>
      <c r="AC124" s="166"/>
      <c r="AD124" s="167"/>
      <c r="AE124" s="168">
        <v>0.05</v>
      </c>
      <c r="AP124" s="273">
        <f>Peso!B127</f>
        <v>15.85</v>
      </c>
      <c r="AT124" s="173"/>
      <c r="AU124" s="174"/>
      <c r="AV124" s="175"/>
    </row>
    <row r="125" spans="1:48" s="172" customFormat="1" hidden="1" outlineLevel="2" x14ac:dyDescent="0.2">
      <c r="A125" s="182" t="s">
        <v>121</v>
      </c>
      <c r="B125" s="307">
        <v>150</v>
      </c>
      <c r="C125" s="219"/>
      <c r="D125" s="154">
        <f>IF($F$7="x",IF(F125=0,0,N125/F125),IF($E$7="x",IF(F125=0,0,N125/E125),""))</f>
        <v>0.36112507298290669</v>
      </c>
      <c r="E125" s="155">
        <f>+B125*(-B$5+100%)</f>
        <v>139.5</v>
      </c>
      <c r="F125" s="155">
        <f>IF(B125=0,0,E125-H125)</f>
        <v>137.61500000000001</v>
      </c>
      <c r="G125" s="156">
        <f>VLOOKUP(A125,Custo!A:B,2,0)</f>
        <v>79.738052318884513</v>
      </c>
      <c r="H125" s="155">
        <f>(VLOOKUP(A125,Peso!$A$10:$B$148,2,0))*($B$6/1000)</f>
        <v>1.8850000000000002</v>
      </c>
      <c r="I125" s="157">
        <f>IF($I$7="X",AE125,0%)</f>
        <v>0.05</v>
      </c>
      <c r="J125" s="158">
        <f>+B125*I125</f>
        <v>7.5</v>
      </c>
      <c r="K125" s="353">
        <f>IF($B$2="X",$C$2,0)</f>
        <v>0</v>
      </c>
      <c r="L125" s="158">
        <f>+B125*K125</f>
        <v>0</v>
      </c>
      <c r="M125" s="158">
        <f>+G125+H125+J125+L125</f>
        <v>89.123052318884518</v>
      </c>
      <c r="N125" s="158">
        <f>+E125-M125</f>
        <v>50.376947681115482</v>
      </c>
      <c r="O125" s="159" t="str">
        <f>IF(ISERROR((N125/P125)*100),"",(N125/P125)*100)</f>
        <v/>
      </c>
      <c r="P125" s="158"/>
      <c r="Q125" s="160">
        <f>VLOOKUP(A125,'MVA-IPI'!A:AD,30,FALSE)</f>
        <v>0</v>
      </c>
      <c r="R125" s="161">
        <f>IF($B$4="AM",0,IF($B$4="AP",0,IF($B$4="RR",0,(B125*Q125))))</f>
        <v>0</v>
      </c>
      <c r="S125" s="161">
        <f>IF($B$4="AP",(B125/0.88*$S$8),IF(T125=0%,0,IF($B$4="AM",(B125/0.88*$S$8),IF(T125=0%,0,IF($B$4="RR",(B125/0.88*$S$8),IF(T125=0%,0,B125*$S$8))))))</f>
        <v>0</v>
      </c>
      <c r="T125" s="160">
        <f>IF($C$4="GRUPO 1",VLOOKUP(A125,'MVA-grupos'!$A$9:$B$128,2,FALSE),IF($C$4="GRUPO 2",VLOOKUP(A125,'MVA-grupos'!$A$9:$D$128,4,FALSE),IF($C$4="GRUPO 3",VLOOKUP(A125,'MVA-grupos'!$A$10:$F$128,6,FALSE),IF($C$4="Grupo 4",VLOOKUP(A125,'MVA-grupos'!$A$9:$H$128,8,FALSE)))))</f>
        <v>0</v>
      </c>
      <c r="U125" s="162">
        <f>IF(T125=0%,0,(B125+R125)*T125+(B125+R125))</f>
        <v>0</v>
      </c>
      <c r="V125" s="162">
        <f>(U125*$V$8)-S125</f>
        <v>0</v>
      </c>
      <c r="W125" s="164"/>
      <c r="X125" s="158" t="str">
        <f t="shared" si="45"/>
        <v>VEDAMIL / MANTA LÍQUIDA BALDE 18KG</v>
      </c>
      <c r="Y125" s="165">
        <f>+C125</f>
        <v>0</v>
      </c>
      <c r="Z125" s="159">
        <f>IF(ISERROR(Y125*N125),"",Y125*N125)</f>
        <v>0</v>
      </c>
      <c r="AA125" s="159">
        <f>IF(ISERROR(IF(E$7="X",Y125*E125,Y125*F125)),"",IF(E$7="X",Y125*E125,Y125*F125))</f>
        <v>0</v>
      </c>
      <c r="AB125" s="154" t="str">
        <f t="shared" si="44"/>
        <v/>
      </c>
      <c r="AC125" s="166"/>
      <c r="AD125" s="167"/>
      <c r="AE125" s="168">
        <v>0.05</v>
      </c>
      <c r="AP125" s="273">
        <f>Peso!B128</f>
        <v>18.850000000000001</v>
      </c>
      <c r="AT125" s="173"/>
      <c r="AU125" s="174"/>
      <c r="AV125" s="175"/>
    </row>
    <row r="126" spans="1:48" outlineLevel="2" x14ac:dyDescent="0.2">
      <c r="A126" s="412" t="s">
        <v>245</v>
      </c>
      <c r="B126" s="358"/>
      <c r="C126" s="359"/>
      <c r="D126" s="230"/>
      <c r="E126" s="231"/>
      <c r="F126" s="231"/>
      <c r="G126" s="232"/>
      <c r="H126" s="231"/>
      <c r="I126" s="233"/>
      <c r="J126" s="234"/>
      <c r="K126" s="360"/>
      <c r="L126" s="234"/>
      <c r="M126" s="234"/>
      <c r="N126" s="176"/>
      <c r="O126" s="235"/>
      <c r="P126" s="234"/>
      <c r="Q126" s="236"/>
      <c r="R126" s="237"/>
      <c r="S126" s="237"/>
      <c r="T126" s="236"/>
      <c r="U126" s="238"/>
      <c r="V126" s="238"/>
      <c r="W126" s="239"/>
      <c r="X126" s="234"/>
      <c r="Y126" s="240"/>
      <c r="Z126" s="235">
        <f>SUM(Z127:Z128)</f>
        <v>0</v>
      </c>
      <c r="AA126" s="235">
        <f>SUM(AA127:AA128)</f>
        <v>0</v>
      </c>
      <c r="AB126" s="230" t="str">
        <f t="shared" si="44"/>
        <v/>
      </c>
      <c r="AC126" s="241"/>
      <c r="AD126" s="242"/>
      <c r="AE126" s="243"/>
      <c r="AF126" s="244"/>
      <c r="AG126" s="244"/>
      <c r="AH126" s="244"/>
      <c r="AI126" s="244"/>
      <c r="AJ126" s="244"/>
      <c r="AK126" s="244"/>
      <c r="AL126" s="244"/>
      <c r="AM126" s="244"/>
      <c r="AN126" s="244"/>
      <c r="AO126" s="244"/>
      <c r="AP126" s="28"/>
      <c r="AV126" s="198"/>
    </row>
    <row r="127" spans="1:48" outlineLevel="2" x14ac:dyDescent="0.2">
      <c r="A127" s="24" t="s">
        <v>244</v>
      </c>
      <c r="B127" s="351">
        <v>86.67</v>
      </c>
      <c r="C127" s="352"/>
      <c r="D127" s="58">
        <f t="shared" ref="D127:D133" si="46">IF($F$7="x",IF(F127=0,0,N127/F127),IF($E$7="x",IF(F127=0,0,N127/E127),""))</f>
        <v>0.47359421426671461</v>
      </c>
      <c r="E127" s="40">
        <f t="shared" ref="E127:E133" si="47">+B127*(-B$5+100%)</f>
        <v>80.603099999999998</v>
      </c>
      <c r="F127" s="40">
        <f t="shared" ref="F127:F133" si="48">IF(B127=0,0,E127-H127)</f>
        <v>80.203099999999992</v>
      </c>
      <c r="G127" s="41">
        <f>(VLOOKUP(A127,Custo!A:B,2,0))</f>
        <v>37.696438188038577</v>
      </c>
      <c r="H127" s="40">
        <f>(VLOOKUP(A127,Peso!$A$10:$B$148,2,0))*($B$6/1000)</f>
        <v>0.4</v>
      </c>
      <c r="I127" s="42">
        <f t="shared" ref="I127:I134" si="49">IF($I$7="X",AE127,0%)</f>
        <v>0.05</v>
      </c>
      <c r="J127" s="27">
        <f t="shared" ref="J127:J134" si="50">+B127*I127</f>
        <v>4.3334999999999999</v>
      </c>
      <c r="K127" s="330">
        <f t="shared" ref="K127:K133" si="51">IF($B$2="X",$C$2,0)</f>
        <v>0</v>
      </c>
      <c r="L127" s="27">
        <f t="shared" ref="L127:L133" si="52">+B127*K127</f>
        <v>0</v>
      </c>
      <c r="M127" s="27">
        <f t="shared" ref="M127:M133" si="53">+G127+H127+J127+L127</f>
        <v>42.429938188038577</v>
      </c>
      <c r="N127" s="364">
        <f t="shared" ref="N127:N133" si="54">+E127-M127</f>
        <v>38.173161811961421</v>
      </c>
      <c r="O127" s="114" t="str">
        <f t="shared" ref="O127:O133" si="55">IF(ISERROR((N127/P127)*100),"",(N127/P127)*100)</f>
        <v/>
      </c>
      <c r="P127" s="27"/>
      <c r="Q127" s="93">
        <f>VLOOKUP(A127,'MVA-IPI'!A:AD,30,FALSE)</f>
        <v>0</v>
      </c>
      <c r="R127" s="121">
        <f t="shared" ref="R127:R133" si="56">IF($B$4="AM",0,IF($B$4="AP",0,IF($B$4="RR",0,(B127*Q127))))</f>
        <v>0</v>
      </c>
      <c r="S127" s="121" t="e">
        <f t="shared" ref="S127" si="57">IF($B$4="AP",(B127/0.88*$S$8),IF(T127=0%,0,IF($B$4="AM",(B127/0.88*$S$8),IF(T127=0%,0,IF($B$4="RR",(B127/0.88*$S$8),IF(T127=0%,0,B127*$S$8))))))</f>
        <v>#N/A</v>
      </c>
      <c r="T127" s="93" t="e">
        <f>IF($C$4="GRUPO 1",VLOOKUP(A127,'MVA-grupos'!$A$9:$B$128,2,FALSE),IF($C$4="GRUPO 2",VLOOKUP(A127,'MVA-grupos'!$A$9:$D$128,4,FALSE),IF($C$4="GRUPO 3",VLOOKUP(A127,'MVA-grupos'!$A$10:$F$128,6,FALSE),IF($C$4="Grupo 4",VLOOKUP(A127,'MVA-grupos'!$A$9:$H$128,8,FALSE)))))</f>
        <v>#N/A</v>
      </c>
      <c r="U127" s="95" t="e">
        <f t="shared" ref="U127:U133" si="58">IF(T127=0%,0,(B127+R127)*T127+(B127+R127))</f>
        <v>#N/A</v>
      </c>
      <c r="V127" s="95" t="e">
        <f>(U127*$V$8)-S127</f>
        <v>#N/A</v>
      </c>
      <c r="W127" s="69"/>
      <c r="X127" s="27" t="str">
        <f t="shared" ref="X127:X133" si="59">A127</f>
        <v>BRAZIMIL BORRACHA LIQUIDA 3,6 KG</v>
      </c>
      <c r="Y127" s="116">
        <f t="shared" ref="Y127:Y133" si="60">+C127</f>
        <v>0</v>
      </c>
      <c r="Z127" s="114">
        <f t="shared" ref="Z127:Z133" si="61">IF(ISERROR(Y127*N127),"",Y127*N127)</f>
        <v>0</v>
      </c>
      <c r="AA127" s="114">
        <f t="shared" ref="AA127:AA133" si="62">IF(ISERROR(IF(E$7="X",Y127*E127,Y127*F127)),"",IF(E$7="X",Y127*E127,Y127*F127))</f>
        <v>0</v>
      </c>
      <c r="AB127" s="122" t="str">
        <f t="shared" ref="AB127:AB133" si="63">IF(ISERROR(Z127/AA127),"",Z127/AA127)</f>
        <v/>
      </c>
      <c r="AC127" s="56"/>
      <c r="AD127" s="96"/>
      <c r="AE127" s="143">
        <v>0.05</v>
      </c>
      <c r="AP127" s="28">
        <f>Peso!B130</f>
        <v>4</v>
      </c>
      <c r="AV127" s="198"/>
    </row>
    <row r="128" spans="1:48" outlineLevel="2" x14ac:dyDescent="0.2">
      <c r="A128" s="24" t="s">
        <v>239</v>
      </c>
      <c r="B128" s="351">
        <v>285</v>
      </c>
      <c r="C128" s="352"/>
      <c r="D128" s="58">
        <f t="shared" si="46"/>
        <v>0.43371467162114058</v>
      </c>
      <c r="E128" s="40">
        <f t="shared" si="47"/>
        <v>265.04999999999995</v>
      </c>
      <c r="F128" s="40">
        <f t="shared" si="48"/>
        <v>263.34999999999997</v>
      </c>
      <c r="G128" s="41">
        <f>(VLOOKUP(A128,Custo!A:B,2,0))</f>
        <v>134.14392628681668</v>
      </c>
      <c r="H128" s="40">
        <f>(VLOOKUP(A128,Peso!$A$10:$B$148,2,0))*($B$6/1000)</f>
        <v>1.7000000000000002</v>
      </c>
      <c r="I128" s="42">
        <f t="shared" si="49"/>
        <v>0.05</v>
      </c>
      <c r="J128" s="27">
        <f t="shared" si="50"/>
        <v>14.25</v>
      </c>
      <c r="K128" s="330">
        <f t="shared" si="51"/>
        <v>0</v>
      </c>
      <c r="L128" s="27">
        <f t="shared" si="52"/>
        <v>0</v>
      </c>
      <c r="M128" s="27">
        <f t="shared" si="53"/>
        <v>150.09392628681667</v>
      </c>
      <c r="N128" s="364">
        <f t="shared" si="54"/>
        <v>114.95607371318329</v>
      </c>
      <c r="O128" s="114" t="str">
        <f t="shared" si="55"/>
        <v/>
      </c>
      <c r="P128" s="27"/>
      <c r="Q128" s="93">
        <f>VLOOKUP(A128,'MVA-IPI'!A:AD,30,FALSE)</f>
        <v>0</v>
      </c>
      <c r="R128" s="121">
        <f t="shared" si="56"/>
        <v>0</v>
      </c>
      <c r="S128" s="121" t="e">
        <f>IF($B$4="AP",(B128/0.88*$S$8),IF(T128=0%,0,IF($B$4="AM",(B128/0.88*$S$8),IF(T128=0%,0,IF($B$4="RR",(B128/0.88*$S$8),IF(T128=0%,0,B128*$S$8))))))</f>
        <v>#N/A</v>
      </c>
      <c r="T128" s="93" t="e">
        <f>IF($C$4="GRUPO 1",VLOOKUP(A128,'MVA-grupos'!$A$9:$B$128,2,FALSE),IF($C$4="GRUPO 2",VLOOKUP(A128,'MVA-grupos'!$A$9:$D$128,4,FALSE),IF($C$4="GRUPO 3",VLOOKUP(A128,'MVA-grupos'!$A$10:$F$128,6,FALSE),IF($C$4="Grupo 4",VLOOKUP(A128,'MVA-grupos'!$A$9:$H$128,8,FALSE)))))</f>
        <v>#N/A</v>
      </c>
      <c r="U128" s="95" t="e">
        <f t="shared" si="58"/>
        <v>#N/A</v>
      </c>
      <c r="V128" s="95" t="e">
        <f t="shared" ref="V128:V133" si="64">(U128*$V$8)-S128</f>
        <v>#N/A</v>
      </c>
      <c r="W128" s="69"/>
      <c r="X128" s="27" t="str">
        <f t="shared" si="59"/>
        <v>BRAZIMIL BORRACHA LIQUIDA 14,0 KG</v>
      </c>
      <c r="Y128" s="116">
        <f t="shared" si="60"/>
        <v>0</v>
      </c>
      <c r="Z128" s="114">
        <f t="shared" si="61"/>
        <v>0</v>
      </c>
      <c r="AA128" s="114">
        <f t="shared" si="62"/>
        <v>0</v>
      </c>
      <c r="AB128" s="122" t="str">
        <f t="shared" si="63"/>
        <v/>
      </c>
      <c r="AC128" s="56"/>
      <c r="AD128" s="96"/>
      <c r="AE128" s="143">
        <v>0.05</v>
      </c>
      <c r="AP128" s="28">
        <f>Peso!B131</f>
        <v>17</v>
      </c>
      <c r="AV128" s="198"/>
    </row>
    <row r="129" spans="1:48" hidden="1" outlineLevel="2" x14ac:dyDescent="0.2">
      <c r="A129" s="213"/>
      <c r="B129" s="358"/>
      <c r="C129" s="359"/>
      <c r="D129" s="230"/>
      <c r="E129" s="231"/>
      <c r="F129" s="231"/>
      <c r="G129" s="232"/>
      <c r="H129" s="231"/>
      <c r="I129" s="233"/>
      <c r="J129" s="234"/>
      <c r="K129" s="360"/>
      <c r="L129" s="234"/>
      <c r="M129" s="234"/>
      <c r="N129" s="176"/>
      <c r="O129" s="235"/>
      <c r="P129" s="234"/>
      <c r="Q129" s="236"/>
      <c r="R129" s="237"/>
      <c r="S129" s="237"/>
      <c r="T129" s="236"/>
      <c r="U129" s="238"/>
      <c r="V129" s="238"/>
      <c r="W129" s="239"/>
      <c r="X129" s="234"/>
      <c r="Y129" s="240"/>
      <c r="Z129" s="235">
        <f>SUM(Z130:Z133)</f>
        <v>0</v>
      </c>
      <c r="AA129" s="235">
        <f>SUM(AA131:AA133)</f>
        <v>0</v>
      </c>
      <c r="AB129" s="230" t="str">
        <f t="shared" si="63"/>
        <v/>
      </c>
      <c r="AC129" s="241"/>
      <c r="AD129" s="242"/>
      <c r="AE129" s="243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8"/>
      <c r="AV129" s="198"/>
    </row>
    <row r="130" spans="1:48" hidden="1" outlineLevel="2" x14ac:dyDescent="0.2">
      <c r="A130" s="349" t="s">
        <v>234</v>
      </c>
      <c r="B130" s="351"/>
      <c r="C130" s="352"/>
      <c r="D130" s="58">
        <f t="shared" si="46"/>
        <v>0</v>
      </c>
      <c r="E130" s="40">
        <f t="shared" si="47"/>
        <v>0</v>
      </c>
      <c r="F130" s="40">
        <f t="shared" si="48"/>
        <v>0</v>
      </c>
      <c r="G130" s="41">
        <f>VLOOKUP(A130,Custo!A:B,2,0)</f>
        <v>20.463889919354841</v>
      </c>
      <c r="H130" s="40">
        <f>(VLOOKUP(A130,Peso!$A$10:$B$148,2,0))*($B$6/1000)</f>
        <v>0.35000000000000003</v>
      </c>
      <c r="I130" s="42">
        <f t="shared" si="49"/>
        <v>0.05</v>
      </c>
      <c r="J130" s="27">
        <f t="shared" si="50"/>
        <v>0</v>
      </c>
      <c r="K130" s="330">
        <f t="shared" si="51"/>
        <v>0</v>
      </c>
      <c r="L130" s="27">
        <f t="shared" si="52"/>
        <v>0</v>
      </c>
      <c r="M130" s="27">
        <f t="shared" si="53"/>
        <v>20.813889919354843</v>
      </c>
      <c r="N130" s="176">
        <f t="shared" si="54"/>
        <v>-20.813889919354843</v>
      </c>
      <c r="O130" s="114" t="str">
        <f t="shared" si="55"/>
        <v/>
      </c>
      <c r="P130" s="27"/>
      <c r="Q130" s="93">
        <f>VLOOKUP(A130,'MVA-IPI'!A:AD,30,FALSE)</f>
        <v>0</v>
      </c>
      <c r="R130" s="121">
        <f t="shared" si="56"/>
        <v>0</v>
      </c>
      <c r="S130" s="121" t="e">
        <f t="shared" ref="S130:S133" si="65">IF($B$4="AP",(B130/0.88*$S$8),IF(T130=0%,0,IF($B$4="AM",(B130/0.88*$S$8),IF(T130=0%,0,IF($B$4="RR",(B130/0.88*$S$8),IF(T130=0%,0,B130*$S$8))))))</f>
        <v>#N/A</v>
      </c>
      <c r="T130" s="93" t="e">
        <f>IF($C$4="GRUPO 1",VLOOKUP(A130,'MVA-grupos'!$A$9:$B$128,2,FALSE),IF($C$4="GRUPO 2",VLOOKUP(A130,'MVA-grupos'!$A$9:$D$128,4,FALSE),IF($C$4="GRUPO 3",VLOOKUP(A130,'MVA-grupos'!$A$10:$F$128,6,FALSE),IF($C$4="Grupo 4",VLOOKUP(A130,'MVA-grupos'!$A$9:$H$128,8,FALSE)))))</f>
        <v>#N/A</v>
      </c>
      <c r="U130" s="95" t="e">
        <f t="shared" si="58"/>
        <v>#N/A</v>
      </c>
      <c r="V130" s="95" t="e">
        <f t="shared" si="64"/>
        <v>#N/A</v>
      </c>
      <c r="W130" s="69"/>
      <c r="X130" s="27" t="str">
        <f t="shared" si="59"/>
        <v>BRAZIMIL TINTA PARA TELHA 3,0L INCOLOR</v>
      </c>
      <c r="Y130" s="116">
        <f t="shared" si="60"/>
        <v>0</v>
      </c>
      <c r="Z130" s="114">
        <f t="shared" si="61"/>
        <v>0</v>
      </c>
      <c r="AA130" s="114">
        <f t="shared" si="62"/>
        <v>0</v>
      </c>
      <c r="AB130" s="122" t="str">
        <f t="shared" si="63"/>
        <v/>
      </c>
      <c r="AC130" s="56"/>
      <c r="AD130" s="96"/>
      <c r="AE130" s="143">
        <v>0.05</v>
      </c>
      <c r="AP130" s="28">
        <f>Peso!B133</f>
        <v>3.5</v>
      </c>
      <c r="AV130" s="198"/>
    </row>
    <row r="131" spans="1:48" hidden="1" outlineLevel="2" x14ac:dyDescent="0.2">
      <c r="A131" s="349" t="s">
        <v>235</v>
      </c>
      <c r="B131" s="351"/>
      <c r="C131" s="352"/>
      <c r="D131" s="58">
        <f t="shared" si="46"/>
        <v>0</v>
      </c>
      <c r="E131" s="40">
        <f t="shared" si="47"/>
        <v>0</v>
      </c>
      <c r="F131" s="40">
        <f t="shared" si="48"/>
        <v>0</v>
      </c>
      <c r="G131" s="41">
        <f>VLOOKUP(A131,Custo!A:B,2,0)</f>
        <v>22.854967805299538</v>
      </c>
      <c r="H131" s="40">
        <f>(VLOOKUP(A131,Peso!$A$10:$B$148,2,0))*($B$6/1000)</f>
        <v>0.34</v>
      </c>
      <c r="I131" s="42">
        <f t="shared" si="49"/>
        <v>0.05</v>
      </c>
      <c r="J131" s="27">
        <f t="shared" si="50"/>
        <v>0</v>
      </c>
      <c r="K131" s="330">
        <f t="shared" si="51"/>
        <v>0</v>
      </c>
      <c r="L131" s="27">
        <f t="shared" si="52"/>
        <v>0</v>
      </c>
      <c r="M131" s="27">
        <f t="shared" si="53"/>
        <v>23.194967805299537</v>
      </c>
      <c r="N131" s="176">
        <f t="shared" si="54"/>
        <v>-23.194967805299537</v>
      </c>
      <c r="O131" s="114" t="str">
        <f t="shared" si="55"/>
        <v/>
      </c>
      <c r="P131" s="27"/>
      <c r="Q131" s="93">
        <f>VLOOKUP(A131,'MVA-IPI'!A:AD,30,FALSE)</f>
        <v>0</v>
      </c>
      <c r="R131" s="121">
        <f t="shared" si="56"/>
        <v>0</v>
      </c>
      <c r="S131" s="121" t="e">
        <f t="shared" si="65"/>
        <v>#N/A</v>
      </c>
      <c r="T131" s="93" t="e">
        <f>IF($C$4="GRUPO 1",VLOOKUP(A131,'MVA-grupos'!$A$9:$B$128,2,FALSE),IF($C$4="GRUPO 2",VLOOKUP(A131,'MVA-grupos'!$A$9:$D$128,4,FALSE),IF($C$4="GRUPO 3",VLOOKUP(A131,'MVA-grupos'!$A$10:$F$128,6,FALSE),IF($C$4="Grupo 4",VLOOKUP(A131,'MVA-grupos'!$A$9:$H$128,8,FALSE)))))</f>
        <v>#N/A</v>
      </c>
      <c r="U131" s="95" t="e">
        <f t="shared" si="58"/>
        <v>#N/A</v>
      </c>
      <c r="V131" s="95" t="e">
        <f t="shared" si="64"/>
        <v>#N/A</v>
      </c>
      <c r="W131" s="69"/>
      <c r="X131" s="27" t="str">
        <f t="shared" si="59"/>
        <v>BRAZIMIL TINTA PARA TELHA 3,0L COLORIDA</v>
      </c>
      <c r="Y131" s="116">
        <f t="shared" si="60"/>
        <v>0</v>
      </c>
      <c r="Z131" s="114">
        <f t="shared" si="61"/>
        <v>0</v>
      </c>
      <c r="AA131" s="114">
        <f t="shared" si="62"/>
        <v>0</v>
      </c>
      <c r="AB131" s="122" t="str">
        <f t="shared" si="63"/>
        <v/>
      </c>
      <c r="AC131" s="56"/>
      <c r="AD131" s="96"/>
      <c r="AE131" s="143">
        <v>0.05</v>
      </c>
      <c r="AP131" s="28">
        <f>Peso!B134</f>
        <v>3.4</v>
      </c>
      <c r="AV131" s="198"/>
    </row>
    <row r="132" spans="1:48" hidden="1" outlineLevel="2" x14ac:dyDescent="0.2">
      <c r="A132" s="349" t="s">
        <v>236</v>
      </c>
      <c r="B132" s="351"/>
      <c r="C132" s="352"/>
      <c r="D132" s="58">
        <f t="shared" si="46"/>
        <v>0</v>
      </c>
      <c r="E132" s="40">
        <f t="shared" si="47"/>
        <v>0</v>
      </c>
      <c r="F132" s="40">
        <f t="shared" si="48"/>
        <v>0</v>
      </c>
      <c r="G132" s="41">
        <f>VLOOKUP(A132,Custo!A:B,2,0)</f>
        <v>97.87264034274196</v>
      </c>
      <c r="H132" s="40">
        <f>(VLOOKUP(A132,Peso!$A$10:$B$148,2,0))*($B$6/1000)</f>
        <v>1.55</v>
      </c>
      <c r="I132" s="42">
        <f t="shared" si="49"/>
        <v>0.05</v>
      </c>
      <c r="J132" s="27">
        <f t="shared" si="50"/>
        <v>0</v>
      </c>
      <c r="K132" s="330">
        <f t="shared" si="51"/>
        <v>0</v>
      </c>
      <c r="L132" s="27">
        <f t="shared" si="52"/>
        <v>0</v>
      </c>
      <c r="M132" s="27">
        <f t="shared" si="53"/>
        <v>99.422640342741957</v>
      </c>
      <c r="N132" s="176">
        <f t="shared" si="54"/>
        <v>-99.422640342741957</v>
      </c>
      <c r="O132" s="114" t="str">
        <f t="shared" si="55"/>
        <v/>
      </c>
      <c r="P132" s="27"/>
      <c r="Q132" s="93">
        <f>VLOOKUP(A132,'MVA-IPI'!A:AD,30,FALSE)</f>
        <v>0</v>
      </c>
      <c r="R132" s="121">
        <f t="shared" si="56"/>
        <v>0</v>
      </c>
      <c r="S132" s="121" t="e">
        <f t="shared" si="65"/>
        <v>#N/A</v>
      </c>
      <c r="T132" s="93" t="e">
        <f>IF($C$4="GRUPO 1",VLOOKUP(A132,'MVA-grupos'!$A$9:$B$128,2,FALSE),IF($C$4="GRUPO 2",VLOOKUP(A132,'MVA-grupos'!$A$9:$D$128,4,FALSE),IF($C$4="GRUPO 3",VLOOKUP(A132,'MVA-grupos'!$A$10:$F$128,6,FALSE),IF($C$4="Grupo 4",VLOOKUP(A132,'MVA-grupos'!$A$9:$H$128,8,FALSE)))))</f>
        <v>#N/A</v>
      </c>
      <c r="U132" s="95" t="e">
        <f t="shared" si="58"/>
        <v>#N/A</v>
      </c>
      <c r="V132" s="95" t="e">
        <f t="shared" si="64"/>
        <v>#N/A</v>
      </c>
      <c r="W132" s="69"/>
      <c r="X132" s="27" t="str">
        <f t="shared" si="59"/>
        <v>BRAZIMIL TINTA PARA TELHA 15,0L INCOLOR</v>
      </c>
      <c r="Y132" s="116">
        <f t="shared" si="60"/>
        <v>0</v>
      </c>
      <c r="Z132" s="114">
        <f t="shared" si="61"/>
        <v>0</v>
      </c>
      <c r="AA132" s="114">
        <f t="shared" si="62"/>
        <v>0</v>
      </c>
      <c r="AB132" s="122" t="str">
        <f t="shared" si="63"/>
        <v/>
      </c>
      <c r="AC132" s="56"/>
      <c r="AD132" s="96"/>
      <c r="AE132" s="143">
        <v>0.05</v>
      </c>
      <c r="AP132" s="28">
        <f>Peso!B135</f>
        <v>15.5</v>
      </c>
      <c r="AV132" s="198"/>
    </row>
    <row r="133" spans="1:48" hidden="1" x14ac:dyDescent="0.2">
      <c r="A133" s="349" t="s">
        <v>237</v>
      </c>
      <c r="B133" s="57"/>
      <c r="C133" s="222"/>
      <c r="D133" s="58">
        <f t="shared" si="46"/>
        <v>0</v>
      </c>
      <c r="E133" s="40">
        <f t="shared" si="47"/>
        <v>0</v>
      </c>
      <c r="F133" s="40">
        <f t="shared" si="48"/>
        <v>0</v>
      </c>
      <c r="G133" s="41">
        <f>VLOOKUP(A133,Custo!A:B,2,0)</f>
        <v>109.94758366676268</v>
      </c>
      <c r="H133" s="40">
        <f>(VLOOKUP(A133,Peso!$A$10:$B$148,2,0))*($B$6/1000)</f>
        <v>1.58</v>
      </c>
      <c r="I133" s="42">
        <f t="shared" si="49"/>
        <v>0.05</v>
      </c>
      <c r="J133" s="27">
        <f t="shared" si="50"/>
        <v>0</v>
      </c>
      <c r="K133" s="330">
        <f t="shared" si="51"/>
        <v>0</v>
      </c>
      <c r="L133" s="27">
        <f t="shared" si="52"/>
        <v>0</v>
      </c>
      <c r="M133" s="27">
        <f t="shared" si="53"/>
        <v>111.52758366676268</v>
      </c>
      <c r="N133" s="176">
        <f t="shared" si="54"/>
        <v>-111.52758366676268</v>
      </c>
      <c r="O133" s="114" t="str">
        <f t="shared" si="55"/>
        <v/>
      </c>
      <c r="P133" s="27"/>
      <c r="Q133" s="93">
        <f>VLOOKUP(A133,'MVA-IPI'!A:AD,30,FALSE)</f>
        <v>0</v>
      </c>
      <c r="R133" s="121">
        <f t="shared" si="56"/>
        <v>0</v>
      </c>
      <c r="S133" s="121" t="e">
        <f t="shared" si="65"/>
        <v>#N/A</v>
      </c>
      <c r="T133" s="93" t="e">
        <f>IF($C$4="GRUPO 1",VLOOKUP(A133,'MVA-grupos'!$A$9:$B$128,2,FALSE),IF($C$4="GRUPO 2",VLOOKUP(A133,'MVA-grupos'!$A$9:$D$128,4,FALSE),IF($C$4="GRUPO 3",VLOOKUP(A133,'MVA-grupos'!$A$10:$F$128,6,FALSE),IF($C$4="Grupo 4",VLOOKUP(A133,'MVA-grupos'!$A$9:$H$128,8,FALSE)))))</f>
        <v>#N/A</v>
      </c>
      <c r="U133" s="95" t="e">
        <f t="shared" si="58"/>
        <v>#N/A</v>
      </c>
      <c r="V133" s="95" t="e">
        <f t="shared" si="64"/>
        <v>#N/A</v>
      </c>
      <c r="W133" s="69"/>
      <c r="X133" s="27" t="str">
        <f t="shared" si="59"/>
        <v>BRAZIMIL TINTA PARA TELHA 15,0L COLORIDA</v>
      </c>
      <c r="Y133" s="116">
        <f t="shared" si="60"/>
        <v>0</v>
      </c>
      <c r="Z133" s="114">
        <f t="shared" si="61"/>
        <v>0</v>
      </c>
      <c r="AA133" s="114">
        <f t="shared" si="62"/>
        <v>0</v>
      </c>
      <c r="AB133" s="122" t="str">
        <f t="shared" si="63"/>
        <v/>
      </c>
      <c r="AC133" s="56"/>
      <c r="AD133" s="96"/>
      <c r="AE133" s="143">
        <v>0.05</v>
      </c>
      <c r="AP133" s="28">
        <f>Peso!B136</f>
        <v>15.8</v>
      </c>
      <c r="AV133" s="198"/>
    </row>
    <row r="134" spans="1:48" collapsed="1" x14ac:dyDescent="0.2">
      <c r="A134" s="180"/>
      <c r="C134" s="222"/>
      <c r="D134" s="57"/>
      <c r="E134" s="57"/>
      <c r="G134" s="43"/>
      <c r="I134" s="24">
        <f t="shared" si="49"/>
        <v>0</v>
      </c>
      <c r="J134" s="24">
        <f t="shared" si="50"/>
        <v>0</v>
      </c>
      <c r="O134" s="29" t="str">
        <f t="shared" ref="O134:O139" si="66">IF(ISERROR((N134/P134)*100),"",(N134/P134)*100)</f>
        <v/>
      </c>
      <c r="P134" s="29"/>
      <c r="W134" s="69"/>
      <c r="AD134" s="96"/>
    </row>
    <row r="135" spans="1:48" hidden="1" outlineLevel="1" x14ac:dyDescent="0.2">
      <c r="A135" s="181"/>
      <c r="B135" s="101"/>
      <c r="C135" s="223"/>
      <c r="D135" s="102">
        <f>IF($F$7="x",IF(F135=0,0,N135/F135),IF($E$7="x",IF(F135=0,0,N135/E135),""))</f>
        <v>0</v>
      </c>
      <c r="E135" s="103">
        <f>+B135*(-B$5+100%)</f>
        <v>0</v>
      </c>
      <c r="F135" s="103">
        <f>IF(B135=0,0,E135-H135)</f>
        <v>0</v>
      </c>
      <c r="G135" s="104" t="e">
        <f>VLOOKUP(A135,Custo!A:B,2,0)</f>
        <v>#N/A</v>
      </c>
      <c r="H135" s="103" t="e">
        <f>(VLOOKUP(A135,Peso!$A$10:$B$148,2,0))*($B$6/1000)</f>
        <v>#N/A</v>
      </c>
      <c r="I135" s="105"/>
      <c r="J135" s="106">
        <f>+B135*I135</f>
        <v>0</v>
      </c>
      <c r="K135" s="106"/>
      <c r="L135" s="106"/>
      <c r="M135" s="106" t="e">
        <f>+G135+H135+J135</f>
        <v>#N/A</v>
      </c>
      <c r="N135" s="365" t="e">
        <f>+E135-M135</f>
        <v>#N/A</v>
      </c>
      <c r="O135" s="106" t="str">
        <f t="shared" si="66"/>
        <v/>
      </c>
      <c r="P135" s="107"/>
      <c r="W135" s="69"/>
      <c r="AD135" s="96"/>
    </row>
    <row r="136" spans="1:48" hidden="1" outlineLevel="1" x14ac:dyDescent="0.2">
      <c r="A136" s="181"/>
      <c r="B136" s="101"/>
      <c r="C136" s="223"/>
      <c r="D136" s="102">
        <f>IF($F$7="x",IF(F136=0,0,N136/F136),IF($E$7="x",IF(F136=0,0,N136/E136),""))</f>
        <v>0</v>
      </c>
      <c r="E136" s="103">
        <f>+B136*(-B$5+100%)</f>
        <v>0</v>
      </c>
      <c r="F136" s="103">
        <f>IF(B136=0,0,E136-H136)</f>
        <v>0</v>
      </c>
      <c r="G136" s="104" t="e">
        <f>VLOOKUP(A136,Custo!A:B,2,0)</f>
        <v>#N/A</v>
      </c>
      <c r="H136" s="103" t="e">
        <f>(VLOOKUP(A136,Peso!$A$10:$B$148,2,0))*($B$6/1000)</f>
        <v>#N/A</v>
      </c>
      <c r="I136" s="105"/>
      <c r="J136" s="106">
        <f>+B136*I136</f>
        <v>0</v>
      </c>
      <c r="K136" s="106"/>
      <c r="L136" s="106"/>
      <c r="M136" s="106" t="e">
        <f>+G136+H136+J136</f>
        <v>#N/A</v>
      </c>
      <c r="N136" s="365" t="e">
        <f>+E136-M136</f>
        <v>#N/A</v>
      </c>
      <c r="O136" s="106" t="str">
        <f t="shared" si="66"/>
        <v/>
      </c>
      <c r="P136" s="107"/>
      <c r="W136" s="69"/>
      <c r="AD136" s="96"/>
    </row>
    <row r="137" spans="1:48" hidden="1" outlineLevel="1" x14ac:dyDescent="0.2">
      <c r="A137" s="100"/>
      <c r="B137" s="101"/>
      <c r="C137" s="223"/>
      <c r="D137" s="102">
        <f>IF($F$7="x",IF(F137=0,0,N137/F137),IF($E$7="x",IF(F137=0,0,N137/E137),""))</f>
        <v>0</v>
      </c>
      <c r="E137" s="103">
        <f>+B137*(-B$5+100%)</f>
        <v>0</v>
      </c>
      <c r="F137" s="103">
        <f>IF(B137=0,0,E137-H137)</f>
        <v>0</v>
      </c>
      <c r="G137" s="104" t="e">
        <f>VLOOKUP(A137,Custo!A:B,2,0)</f>
        <v>#N/A</v>
      </c>
      <c r="H137" s="103" t="e">
        <f>(VLOOKUP(A137,Peso!$A$10:$B$148,2,0))*($B$6/1000)</f>
        <v>#N/A</v>
      </c>
      <c r="I137" s="105"/>
      <c r="J137" s="106">
        <f>+B137*I137</f>
        <v>0</v>
      </c>
      <c r="K137" s="106"/>
      <c r="L137" s="106"/>
      <c r="M137" s="106" t="e">
        <f>+G137+H137+J137</f>
        <v>#N/A</v>
      </c>
      <c r="N137" s="365" t="e">
        <f>+E137-M137</f>
        <v>#N/A</v>
      </c>
      <c r="O137" s="106" t="str">
        <f t="shared" si="66"/>
        <v/>
      </c>
      <c r="P137" s="107"/>
      <c r="W137" s="69"/>
      <c r="AD137" s="96"/>
    </row>
    <row r="138" spans="1:48" hidden="1" outlineLevel="1" x14ac:dyDescent="0.2">
      <c r="A138" s="100"/>
      <c r="B138" s="101"/>
      <c r="C138" s="223"/>
      <c r="D138" s="102">
        <f>IF($F$7="x",IF(F138=0,0,N138/F138),IF($E$7="x",IF(F138=0,0,N138/E138),""))</f>
        <v>0</v>
      </c>
      <c r="E138" s="103">
        <f>+B138*(-B$5+100%)</f>
        <v>0</v>
      </c>
      <c r="F138" s="103">
        <f>IF(B138=0,0,E138-H138)</f>
        <v>0</v>
      </c>
      <c r="G138" s="104" t="e">
        <f>VLOOKUP(A138,Custo!A:B,2,0)</f>
        <v>#N/A</v>
      </c>
      <c r="H138" s="103" t="e">
        <f>(VLOOKUP(A138,Peso!$A$10:$B$148,2,0))*($B$6/1000)</f>
        <v>#N/A</v>
      </c>
      <c r="I138" s="105"/>
      <c r="J138" s="106">
        <f>+B138*I138</f>
        <v>0</v>
      </c>
      <c r="K138" s="106"/>
      <c r="L138" s="106"/>
      <c r="M138" s="106" t="e">
        <f>+G138+H138+J138</f>
        <v>#N/A</v>
      </c>
      <c r="N138" s="365" t="e">
        <f>+E138-M138</f>
        <v>#N/A</v>
      </c>
      <c r="O138" s="106" t="str">
        <f t="shared" si="66"/>
        <v/>
      </c>
      <c r="P138" s="107"/>
      <c r="W138" s="69"/>
      <c r="AD138" s="96"/>
    </row>
    <row r="139" spans="1:48" hidden="1" outlineLevel="1" x14ac:dyDescent="0.2">
      <c r="A139" s="100"/>
      <c r="B139" s="101"/>
      <c r="C139" s="223"/>
      <c r="D139" s="102">
        <f>IF($F$7="x",IF(F139=0,0,N139/F139),IF($E$7="x",IF(F139=0,0,N139/E139),""))</f>
        <v>0</v>
      </c>
      <c r="E139" s="103">
        <f>+B139*(-B$5+100%)</f>
        <v>0</v>
      </c>
      <c r="F139" s="103">
        <f>IF(B139=0,0,E139-H139)</f>
        <v>0</v>
      </c>
      <c r="G139" s="104" t="e">
        <f>VLOOKUP(A139,Custo!A:B,2,0)</f>
        <v>#N/A</v>
      </c>
      <c r="H139" s="103" t="e">
        <f>(VLOOKUP(A139,Peso!$A$10:$B$148,2,0))*($B$6/1000)</f>
        <v>#N/A</v>
      </c>
      <c r="I139" s="105"/>
      <c r="J139" s="106">
        <f>+B139*I139</f>
        <v>0</v>
      </c>
      <c r="K139" s="106"/>
      <c r="L139" s="106"/>
      <c r="M139" s="106" t="e">
        <f>+G139+H139+J139</f>
        <v>#N/A</v>
      </c>
      <c r="N139" s="365" t="e">
        <f>+E139-M139</f>
        <v>#N/A</v>
      </c>
      <c r="O139" s="106" t="str">
        <f t="shared" si="66"/>
        <v/>
      </c>
      <c r="P139" s="107"/>
      <c r="W139" s="69"/>
      <c r="AD139" s="96"/>
    </row>
    <row r="140" spans="1:48" hidden="1" x14ac:dyDescent="0.2">
      <c r="C140" s="224"/>
      <c r="G140" s="29"/>
      <c r="W140" s="69"/>
      <c r="AD140" s="96"/>
    </row>
    <row r="141" spans="1:48" hidden="1" x14ac:dyDescent="0.2">
      <c r="A141" s="39"/>
      <c r="B141" s="49"/>
      <c r="C141" s="225"/>
      <c r="E141" s="44"/>
      <c r="G141" s="64"/>
      <c r="W141" s="69"/>
      <c r="AD141" s="96"/>
    </row>
    <row r="142" spans="1:48" hidden="1" x14ac:dyDescent="0.2">
      <c r="A142" s="39"/>
      <c r="B142" s="67"/>
      <c r="C142" s="225"/>
      <c r="E142" s="44"/>
      <c r="G142" s="64"/>
      <c r="M142" s="32"/>
      <c r="W142" s="69"/>
      <c r="AD142" s="96"/>
    </row>
    <row r="143" spans="1:48" hidden="1" x14ac:dyDescent="0.2">
      <c r="A143" s="39"/>
      <c r="B143" s="67"/>
      <c r="C143" s="225"/>
      <c r="D143" s="55"/>
      <c r="E143" s="44"/>
      <c r="G143" s="64"/>
      <c r="W143" s="69"/>
      <c r="AD143" s="96"/>
    </row>
    <row r="144" spans="1:48" hidden="1" x14ac:dyDescent="0.2">
      <c r="A144" s="39"/>
      <c r="B144" s="68"/>
      <c r="C144" s="225"/>
      <c r="D144" s="55"/>
      <c r="E144" s="44"/>
      <c r="G144" s="64"/>
      <c r="W144" s="69"/>
      <c r="AD144" s="96"/>
    </row>
    <row r="145" spans="1:30" hidden="1" x14ac:dyDescent="0.2">
      <c r="B145" s="43"/>
      <c r="E145" s="44"/>
      <c r="G145" s="44"/>
      <c r="W145" s="69"/>
      <c r="AD145" s="96"/>
    </row>
    <row r="146" spans="1:30" hidden="1" x14ac:dyDescent="0.2">
      <c r="A146" s="39"/>
      <c r="B146" s="65"/>
      <c r="C146" s="225"/>
      <c r="D146" s="55"/>
      <c r="E146" s="44"/>
      <c r="G146" s="44"/>
      <c r="W146" s="69"/>
      <c r="AD146" s="96"/>
    </row>
    <row r="147" spans="1:30" hidden="1" x14ac:dyDescent="0.2">
      <c r="A147" s="39"/>
      <c r="B147" s="65"/>
      <c r="C147" s="225"/>
      <c r="D147" s="55"/>
      <c r="E147" s="44"/>
      <c r="G147" s="44"/>
      <c r="W147" s="69"/>
      <c r="AD147" s="96"/>
    </row>
    <row r="148" spans="1:30" hidden="1" x14ac:dyDescent="0.2">
      <c r="A148" s="39"/>
      <c r="B148" s="65"/>
      <c r="C148" s="225"/>
      <c r="D148" s="55"/>
      <c r="E148" s="44"/>
      <c r="G148" s="44"/>
      <c r="W148" s="69"/>
      <c r="AD148" s="96"/>
    </row>
    <row r="149" spans="1:30" hidden="1" x14ac:dyDescent="0.2">
      <c r="B149" s="43"/>
      <c r="E149" s="44"/>
      <c r="G149" s="44"/>
      <c r="W149" s="69"/>
      <c r="AD149" s="96"/>
    </row>
    <row r="150" spans="1:30" x14ac:dyDescent="0.2">
      <c r="A150" s="39"/>
      <c r="B150" s="65"/>
      <c r="C150" s="225"/>
      <c r="D150" s="55"/>
      <c r="E150" s="44"/>
      <c r="G150" s="44"/>
      <c r="W150" s="69"/>
      <c r="AD150" s="96"/>
    </row>
    <row r="151" spans="1:30" x14ac:dyDescent="0.2">
      <c r="A151" s="39"/>
      <c r="B151" s="65"/>
      <c r="C151" s="225"/>
      <c r="D151" s="55"/>
      <c r="E151" s="44"/>
      <c r="G151" s="44"/>
      <c r="W151" s="69"/>
      <c r="AD151" s="96"/>
    </row>
    <row r="152" spans="1:30" x14ac:dyDescent="0.2">
      <c r="A152" s="39"/>
      <c r="B152" s="65"/>
      <c r="C152" s="225"/>
      <c r="D152" s="55"/>
      <c r="E152" s="44"/>
      <c r="G152" s="44"/>
      <c r="W152" s="69"/>
      <c r="AD152" s="96"/>
    </row>
    <row r="153" spans="1:30" x14ac:dyDescent="0.2">
      <c r="B153" s="43"/>
      <c r="E153" s="44"/>
      <c r="G153" s="44"/>
      <c r="W153" s="69"/>
      <c r="AD153" s="96"/>
    </row>
    <row r="154" spans="1:30" x14ac:dyDescent="0.2">
      <c r="A154" s="39"/>
      <c r="B154" s="65"/>
      <c r="C154" s="225"/>
      <c r="D154" s="55"/>
      <c r="E154" s="44"/>
      <c r="G154" s="44"/>
      <c r="W154" s="69"/>
    </row>
    <row r="155" spans="1:30" x14ac:dyDescent="0.2">
      <c r="A155" s="39"/>
      <c r="B155" s="65"/>
      <c r="C155" s="225"/>
      <c r="D155" s="55"/>
      <c r="E155" s="44"/>
      <c r="G155" s="44"/>
      <c r="W155" s="69"/>
    </row>
    <row r="156" spans="1:30" x14ac:dyDescent="0.2">
      <c r="A156" s="39"/>
      <c r="B156" s="65"/>
      <c r="C156" s="225"/>
      <c r="D156" s="55"/>
      <c r="E156" s="44"/>
      <c r="G156" s="44"/>
      <c r="W156" s="69"/>
    </row>
    <row r="157" spans="1:30" x14ac:dyDescent="0.2">
      <c r="A157" s="39"/>
      <c r="B157" s="43"/>
      <c r="C157" s="225"/>
      <c r="E157" s="44"/>
      <c r="G157" s="44"/>
    </row>
    <row r="158" spans="1:30" x14ac:dyDescent="0.2">
      <c r="A158" s="39"/>
      <c r="B158" s="49"/>
      <c r="C158" s="225"/>
      <c r="E158" s="44"/>
      <c r="G158" s="44"/>
    </row>
    <row r="159" spans="1:30" x14ac:dyDescent="0.2">
      <c r="A159" s="39"/>
      <c r="B159" s="49"/>
      <c r="C159" s="225"/>
      <c r="E159" s="44"/>
      <c r="G159" s="44"/>
    </row>
    <row r="160" spans="1:30" x14ac:dyDescent="0.2">
      <c r="A160" s="39"/>
      <c r="B160" s="49"/>
      <c r="C160" s="225"/>
      <c r="E160" s="44"/>
      <c r="G160" s="44"/>
    </row>
    <row r="161" spans="1:7" x14ac:dyDescent="0.2">
      <c r="A161" s="39"/>
      <c r="B161" s="49"/>
      <c r="C161" s="225"/>
      <c r="E161" s="44"/>
      <c r="G161" s="44"/>
    </row>
    <row r="162" spans="1:7" x14ac:dyDescent="0.2">
      <c r="A162" s="39"/>
      <c r="B162" s="49"/>
      <c r="C162" s="225"/>
      <c r="E162" s="44"/>
      <c r="G162" s="44"/>
    </row>
    <row r="163" spans="1:7" x14ac:dyDescent="0.2">
      <c r="A163" s="39"/>
      <c r="B163" s="49"/>
      <c r="C163" s="225"/>
      <c r="E163" s="44"/>
      <c r="G163" s="44"/>
    </row>
    <row r="164" spans="1:7" x14ac:dyDescent="0.2">
      <c r="A164" s="39"/>
      <c r="B164" s="49"/>
      <c r="C164" s="225"/>
      <c r="E164" s="44"/>
      <c r="G164" s="44"/>
    </row>
    <row r="186" spans="32:34" x14ac:dyDescent="0.2">
      <c r="AF186" s="45"/>
      <c r="AG186" s="39"/>
      <c r="AH186" s="39"/>
    </row>
    <row r="187" spans="32:34" x14ac:dyDescent="0.2">
      <c r="AF187" s="45"/>
      <c r="AG187" s="39"/>
      <c r="AH187" s="39"/>
    </row>
    <row r="188" spans="32:34" x14ac:dyDescent="0.2">
      <c r="AF188" s="45"/>
      <c r="AG188" s="39"/>
      <c r="AH188" s="39"/>
    </row>
    <row r="189" spans="32:34" x14ac:dyDescent="0.2">
      <c r="AF189" s="45"/>
      <c r="AG189" s="39"/>
      <c r="AH189" s="39"/>
    </row>
    <row r="190" spans="32:34" x14ac:dyDescent="0.2">
      <c r="AF190" s="45"/>
      <c r="AG190" s="39"/>
      <c r="AH190" s="39"/>
    </row>
    <row r="191" spans="32:34" x14ac:dyDescent="0.2">
      <c r="AF191" s="45"/>
      <c r="AG191" s="39"/>
      <c r="AH191" s="39"/>
    </row>
  </sheetData>
  <sheetProtection selectLockedCells="1"/>
  <autoFilter ref="A9:AX112" xr:uid="{00000000-0009-0000-0000-000001000000}"/>
  <mergeCells count="2">
    <mergeCell ref="Q7:V7"/>
    <mergeCell ref="N4:N6"/>
  </mergeCells>
  <phoneticPr fontId="0" type="noConversion"/>
  <conditionalFormatting sqref="D7">
    <cfRule type="cellIs" dxfId="45" priority="248" stopIfTrue="1" operator="lessThan">
      <formula>$AC$9</formula>
    </cfRule>
    <cfRule type="cellIs" dxfId="44" priority="250" stopIfTrue="1" operator="greaterThanOrEqual">
      <formula>$AC$9</formula>
    </cfRule>
  </conditionalFormatting>
  <conditionalFormatting sqref="Y9:AA10 AA113 X11:X47">
    <cfRule type="expression" dxfId="43" priority="313" stopIfTrue="1">
      <formula>Y9="x"</formula>
    </cfRule>
  </conditionalFormatting>
  <conditionalFormatting sqref="Z9:Z133 AA108 AA113 Z116:AA116 AA121">
    <cfRule type="cellIs" dxfId="42" priority="240" stopIfTrue="1" operator="lessThan">
      <formula>0</formula>
    </cfRule>
    <cfRule type="cellIs" dxfId="41" priority="241" stopIfTrue="1" operator="lessThan">
      <formula>0</formula>
    </cfRule>
  </conditionalFormatting>
  <conditionalFormatting sqref="Z11:Z133 Z116:AA116 AA121 X9 X49:X75 X77:X107 X109:X133">
    <cfRule type="expression" dxfId="40" priority="309" stopIfTrue="1">
      <formula>Y9="x"</formula>
    </cfRule>
  </conditionalFormatting>
  <conditionalFormatting sqref="AA11">
    <cfRule type="expression" dxfId="39" priority="253" stopIfTrue="1">
      <formula>AB11="x"</formula>
    </cfRule>
  </conditionalFormatting>
  <conditionalFormatting sqref="AA16">
    <cfRule type="expression" dxfId="38" priority="307" stopIfTrue="1">
      <formula>AB16="x"</formula>
    </cfRule>
  </conditionalFormatting>
  <conditionalFormatting sqref="AA21">
    <cfRule type="expression" dxfId="37" priority="254" stopIfTrue="1">
      <formula>AB21="x"</formula>
    </cfRule>
  </conditionalFormatting>
  <conditionalFormatting sqref="AA24">
    <cfRule type="expression" dxfId="36" priority="256" stopIfTrue="1">
      <formula>AB24="x"</formula>
    </cfRule>
  </conditionalFormatting>
  <conditionalFormatting sqref="AA27">
    <cfRule type="expression" dxfId="35" priority="258" stopIfTrue="1">
      <formula>AB27="x"</formula>
    </cfRule>
  </conditionalFormatting>
  <conditionalFormatting sqref="AA30">
    <cfRule type="expression" dxfId="34" priority="260" stopIfTrue="1">
      <formula>AB30="x"</formula>
    </cfRule>
  </conditionalFormatting>
  <conditionalFormatting sqref="AA33">
    <cfRule type="expression" dxfId="33" priority="262" stopIfTrue="1">
      <formula>AB33="x"</formula>
    </cfRule>
  </conditionalFormatting>
  <conditionalFormatting sqref="AA36">
    <cfRule type="expression" dxfId="32" priority="263" stopIfTrue="1">
      <formula>AB36="x"</formula>
    </cfRule>
  </conditionalFormatting>
  <conditionalFormatting sqref="AA39">
    <cfRule type="expression" dxfId="31" priority="265" stopIfTrue="1">
      <formula>AB39="x"</formula>
    </cfRule>
  </conditionalFormatting>
  <conditionalFormatting sqref="AA42">
    <cfRule type="expression" dxfId="30" priority="267" stopIfTrue="1">
      <formula>AB42="x"</formula>
    </cfRule>
  </conditionalFormatting>
  <conditionalFormatting sqref="AA44">
    <cfRule type="expression" dxfId="29" priority="268" stopIfTrue="1">
      <formula>AB44="x"</formula>
    </cfRule>
  </conditionalFormatting>
  <conditionalFormatting sqref="AA46">
    <cfRule type="expression" dxfId="28" priority="270" stopIfTrue="1">
      <formula>AB46="x"</formula>
    </cfRule>
  </conditionalFormatting>
  <conditionalFormatting sqref="AA48:AA49">
    <cfRule type="expression" dxfId="27" priority="252" stopIfTrue="1">
      <formula>AB48="x"</formula>
    </cfRule>
  </conditionalFormatting>
  <conditionalFormatting sqref="AA58">
    <cfRule type="expression" dxfId="26" priority="295" stopIfTrue="1">
      <formula>AB58="x"</formula>
    </cfRule>
  </conditionalFormatting>
  <conditionalFormatting sqref="AA66">
    <cfRule type="expression" dxfId="25" priority="294" stopIfTrue="1">
      <formula>AB66="x"</formula>
    </cfRule>
  </conditionalFormatting>
  <conditionalFormatting sqref="AA71">
    <cfRule type="expression" dxfId="24" priority="293" stopIfTrue="1">
      <formula>AB71="x"</formula>
    </cfRule>
  </conditionalFormatting>
  <conditionalFormatting sqref="AA76:AA77">
    <cfRule type="expression" dxfId="23" priority="251" stopIfTrue="1">
      <formula>AB76="x"</formula>
    </cfRule>
  </conditionalFormatting>
  <conditionalFormatting sqref="AA83">
    <cfRule type="expression" dxfId="22" priority="273" stopIfTrue="1">
      <formula>AB83="x"</formula>
    </cfRule>
  </conditionalFormatting>
  <conditionalFormatting sqref="AA89">
    <cfRule type="expression" dxfId="21" priority="274" stopIfTrue="1">
      <formula>AB89="x"</formula>
    </cfRule>
  </conditionalFormatting>
  <conditionalFormatting sqref="AA92">
    <cfRule type="expression" dxfId="20" priority="275" stopIfTrue="1">
      <formula>AB92="x"</formula>
    </cfRule>
  </conditionalFormatting>
  <conditionalFormatting sqref="AA95">
    <cfRule type="expression" dxfId="19" priority="276" stopIfTrue="1">
      <formula>AB95="x"</formula>
    </cfRule>
  </conditionalFormatting>
  <conditionalFormatting sqref="AA99">
    <cfRule type="expression" dxfId="18" priority="277" stopIfTrue="1">
      <formula>AB99="x"</formula>
    </cfRule>
  </conditionalFormatting>
  <conditionalFormatting sqref="AA103">
    <cfRule type="expression" dxfId="17" priority="278" stopIfTrue="1">
      <formula>AB103="x"</formula>
    </cfRule>
  </conditionalFormatting>
  <conditionalFormatting sqref="AA105">
    <cfRule type="expression" dxfId="16" priority="279" stopIfTrue="1">
      <formula>AB105="x"</formula>
    </cfRule>
  </conditionalFormatting>
  <conditionalFormatting sqref="AA108 Z9:Z133 AA113 Z116:AA116 AA121">
    <cfRule type="cellIs" dxfId="15" priority="239" stopIfTrue="1" operator="lessThan">
      <formula>0</formula>
    </cfRule>
  </conditionalFormatting>
  <conditionalFormatting sqref="AA108">
    <cfRule type="expression" dxfId="14" priority="1" stopIfTrue="1">
      <formula>AB108="x"</formula>
    </cfRule>
  </conditionalFormatting>
  <conditionalFormatting sqref="AA108:AA109">
    <cfRule type="expression" dxfId="13" priority="281" stopIfTrue="1">
      <formula>AB108="x"</formula>
    </cfRule>
  </conditionalFormatting>
  <conditionalFormatting sqref="AB9:AB133">
    <cfRule type="cellIs" dxfId="12" priority="183" stopIfTrue="1" operator="greaterThanOrEqual">
      <formula>AC9</formula>
    </cfRule>
    <cfRule type="cellIs" dxfId="11" priority="184" stopIfTrue="1" operator="lessThan">
      <formula>AC9</formula>
    </cfRule>
  </conditionalFormatting>
  <conditionalFormatting sqref="AC9:AD42 AC65:AD120">
    <cfRule type="expression" dxfId="10" priority="244" stopIfTrue="1">
      <formula>Y6="x"</formula>
    </cfRule>
  </conditionalFormatting>
  <conditionalFormatting sqref="AC43:AD54 AC58:AD64">
    <cfRule type="expression" dxfId="9" priority="488" stopIfTrue="1">
      <formula>Y41="x"</formula>
    </cfRule>
  </conditionalFormatting>
  <conditionalFormatting sqref="AC53:AD54">
    <cfRule type="expression" dxfId="8" priority="467" stopIfTrue="1">
      <formula>#REF!="x"</formula>
    </cfRule>
  </conditionalFormatting>
  <conditionalFormatting sqref="AC54:AD54">
    <cfRule type="expression" dxfId="7" priority="487" stopIfTrue="1">
      <formula>Y55="x"</formula>
    </cfRule>
  </conditionalFormatting>
  <conditionalFormatting sqref="AC55:AD57">
    <cfRule type="expression" dxfId="6" priority="7" stopIfTrue="1">
      <formula>Y50="x"</formula>
    </cfRule>
  </conditionalFormatting>
  <conditionalFormatting sqref="AC62:AD62">
    <cfRule type="expression" dxfId="5" priority="451" stopIfTrue="1">
      <formula>Y61="x"</formula>
    </cfRule>
  </conditionalFormatting>
  <conditionalFormatting sqref="AC121:AD121">
    <cfRule type="expression" dxfId="4" priority="400" stopIfTrue="1">
      <formula>Y110="x"</formula>
    </cfRule>
  </conditionalFormatting>
  <conditionalFormatting sqref="AC122:AD122">
    <cfRule type="expression" dxfId="3" priority="503" stopIfTrue="1">
      <formula>Y118="x"</formula>
    </cfRule>
  </conditionalFormatting>
  <conditionalFormatting sqref="AC123:AD133">
    <cfRule type="expression" dxfId="2" priority="435" stopIfTrue="1">
      <formula>Y111="x"</formula>
    </cfRule>
  </conditionalFormatting>
  <dataValidations count="2">
    <dataValidation type="list" allowBlank="1" showInputMessage="1" showErrorMessage="1" sqref="A135:A139" xr:uid="{00000000-0002-0000-0100-000001000000}">
      <formula1>#REF!</formula1>
    </dataValidation>
    <dataValidation type="list" allowBlank="1" showInputMessage="1" showErrorMessage="1" sqref="A4" xr:uid="{00000000-0002-0000-0100-000000000000}">
      <formula1>$AF$10:$AF$194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D145"/>
  <sheetViews>
    <sheetView showGridLines="0" topLeftCell="A117" zoomScaleNormal="100" workbookViewId="0">
      <selection activeCell="A131" sqref="A131"/>
    </sheetView>
  </sheetViews>
  <sheetFormatPr defaultColWidth="9.140625" defaultRowHeight="12" x14ac:dyDescent="0.2"/>
  <cols>
    <col min="1" max="1" width="44.85546875" style="24" bestFit="1" customWidth="1"/>
    <col min="2" max="2" width="11.85546875" style="195" bestFit="1" customWidth="1"/>
    <col min="3" max="9" width="11.5703125" style="24" bestFit="1" customWidth="1"/>
    <col min="10" max="16384" width="9.140625" style="24"/>
  </cols>
  <sheetData>
    <row r="1" spans="1:2" ht="12.75" x14ac:dyDescent="0.2">
      <c r="A1" s="3"/>
    </row>
    <row r="2" spans="1:2" ht="12.75" x14ac:dyDescent="0.2">
      <c r="A2" s="3"/>
    </row>
    <row r="3" spans="1:2" ht="12.75" x14ac:dyDescent="0.2">
      <c r="A3" s="3"/>
    </row>
    <row r="5" spans="1:2" ht="12.75" x14ac:dyDescent="0.2">
      <c r="A5" s="3"/>
    </row>
    <row r="6" spans="1:2" ht="12.75" x14ac:dyDescent="0.2">
      <c r="A6" s="3"/>
    </row>
    <row r="9" spans="1:2" x14ac:dyDescent="0.2">
      <c r="A9" s="37" t="s">
        <v>9</v>
      </c>
      <c r="B9" s="390" t="s">
        <v>1</v>
      </c>
    </row>
    <row r="10" spans="1:2" x14ac:dyDescent="0.2">
      <c r="A10" s="108" t="s">
        <v>82</v>
      </c>
      <c r="B10" s="391"/>
    </row>
    <row r="11" spans="1:2" x14ac:dyDescent="0.2">
      <c r="A11" s="177" t="s">
        <v>137</v>
      </c>
      <c r="B11" s="391"/>
    </row>
    <row r="12" spans="1:2" x14ac:dyDescent="0.2">
      <c r="A12" s="182" t="s">
        <v>138</v>
      </c>
      <c r="B12" s="391">
        <f>'[5]CUSTO ESPELHO'!$B4</f>
        <v>4.4992833199647473</v>
      </c>
    </row>
    <row r="13" spans="1:2" x14ac:dyDescent="0.2">
      <c r="A13" s="182" t="s">
        <v>139</v>
      </c>
      <c r="B13" s="391">
        <f>'[5]CUSTO ESPELHO'!$B5</f>
        <v>3.9825213283557046</v>
      </c>
    </row>
    <row r="14" spans="1:2" x14ac:dyDescent="0.2">
      <c r="A14" s="178" t="s">
        <v>140</v>
      </c>
      <c r="B14" s="391">
        <f>'[5]CUSTO ESPELHO'!$B6</f>
        <v>7.9702833199647483</v>
      </c>
    </row>
    <row r="15" spans="1:2" x14ac:dyDescent="0.2">
      <c r="A15" s="178" t="s">
        <v>141</v>
      </c>
      <c r="B15" s="391">
        <f>'[5]CUSTO ESPELHO'!$B7</f>
        <v>7.4535213283557056</v>
      </c>
    </row>
    <row r="16" spans="1:2" x14ac:dyDescent="0.2">
      <c r="A16" s="177" t="s">
        <v>142</v>
      </c>
      <c r="B16" s="391"/>
    </row>
    <row r="17" spans="1:2" x14ac:dyDescent="0.2">
      <c r="A17" s="182" t="s">
        <v>143</v>
      </c>
      <c r="B17" s="391">
        <f>'[2]CUSTO ESPELHO'!B17</f>
        <v>0</v>
      </c>
    </row>
    <row r="18" spans="1:2" x14ac:dyDescent="0.2">
      <c r="A18" s="182" t="s">
        <v>144</v>
      </c>
      <c r="B18" s="391">
        <f>'[1]CUSTO ESPELHO'!$B18</f>
        <v>25.763717159090909</v>
      </c>
    </row>
    <row r="19" spans="1:2" x14ac:dyDescent="0.2">
      <c r="A19" s="178" t="s">
        <v>145</v>
      </c>
      <c r="B19" s="391">
        <f>'[5]CUSTO ESPELHO'!$B11</f>
        <v>32.778841579770855</v>
      </c>
    </row>
    <row r="20" spans="1:2" x14ac:dyDescent="0.2">
      <c r="A20" s="178" t="s">
        <v>146</v>
      </c>
      <c r="B20" s="391">
        <f>'[5]CUSTO ESPELHO'!$B12</f>
        <v>29.41988863431208</v>
      </c>
    </row>
    <row r="21" spans="1:2" x14ac:dyDescent="0.2">
      <c r="A21" s="177" t="s">
        <v>147</v>
      </c>
      <c r="B21" s="391"/>
    </row>
    <row r="22" spans="1:2" x14ac:dyDescent="0.2">
      <c r="A22" s="178" t="s">
        <v>148</v>
      </c>
      <c r="B22" s="391">
        <f>'[5]CUSTO ESPELHO'!$B14</f>
        <v>11.252875884744185</v>
      </c>
    </row>
    <row r="23" spans="1:2" x14ac:dyDescent="0.2">
      <c r="A23" s="178" t="s">
        <v>149</v>
      </c>
      <c r="B23" s="391">
        <f>'[5]CUSTO ESPELHO'!$B15</f>
        <v>9.393148496580757</v>
      </c>
    </row>
    <row r="24" spans="1:2" x14ac:dyDescent="0.2">
      <c r="A24" s="177" t="s">
        <v>150</v>
      </c>
      <c r="B24" s="391"/>
    </row>
    <row r="25" spans="1:2" x14ac:dyDescent="0.2">
      <c r="A25" s="178" t="s">
        <v>151</v>
      </c>
      <c r="B25" s="391">
        <f>'[5]CUSTO ESPELHO'!$B17</f>
        <v>53.753881868125568</v>
      </c>
    </row>
    <row r="26" spans="1:2" x14ac:dyDescent="0.2">
      <c r="A26" s="178" t="s">
        <v>152</v>
      </c>
      <c r="B26" s="391">
        <f>'[5]CUSTO ESPELHO'!$B18</f>
        <v>41.944612953287802</v>
      </c>
    </row>
    <row r="27" spans="1:2" x14ac:dyDescent="0.2">
      <c r="A27" s="177" t="s">
        <v>153</v>
      </c>
      <c r="B27" s="391"/>
    </row>
    <row r="28" spans="1:2" x14ac:dyDescent="0.2">
      <c r="A28" s="178" t="s">
        <v>154</v>
      </c>
      <c r="B28" s="391">
        <f>'[5]CUSTO ESPELHO'!$B20</f>
        <v>11.612402676696025</v>
      </c>
    </row>
    <row r="29" spans="1:2" x14ac:dyDescent="0.2">
      <c r="A29" s="178" t="s">
        <v>155</v>
      </c>
      <c r="B29" s="391">
        <f>'[5]CUSTO ESPELHO'!$B21</f>
        <v>15.13493001516067</v>
      </c>
    </row>
    <row r="30" spans="1:2" x14ac:dyDescent="0.2">
      <c r="A30" s="177" t="s">
        <v>156</v>
      </c>
      <c r="B30" s="391"/>
    </row>
    <row r="31" spans="1:2" x14ac:dyDescent="0.2">
      <c r="A31" s="182" t="s">
        <v>157</v>
      </c>
      <c r="B31" s="391">
        <f>'[5]CUSTO ESPELHO'!$B23</f>
        <v>35.219452312801714</v>
      </c>
    </row>
    <row r="32" spans="1:2" x14ac:dyDescent="0.2">
      <c r="A32" s="178" t="s">
        <v>158</v>
      </c>
      <c r="B32" s="391">
        <f>'[5]CUSTO ESPELHO'!$B24</f>
        <v>54.06431539100214</v>
      </c>
    </row>
    <row r="33" spans="1:2" x14ac:dyDescent="0.2">
      <c r="A33" s="178" t="s">
        <v>159</v>
      </c>
      <c r="B33" s="391">
        <f>'[5]CUSTO ESPELHO'!$B25</f>
        <v>74.318847587173849</v>
      </c>
    </row>
    <row r="34" spans="1:2" x14ac:dyDescent="0.2">
      <c r="A34" s="177" t="s">
        <v>160</v>
      </c>
      <c r="B34" s="391"/>
    </row>
    <row r="35" spans="1:2" x14ac:dyDescent="0.2">
      <c r="A35" s="178" t="s">
        <v>161</v>
      </c>
      <c r="B35" s="391">
        <f>'[5]CUSTO ESPELHO'!$B27</f>
        <v>18.727406251742245</v>
      </c>
    </row>
    <row r="36" spans="1:2" x14ac:dyDescent="0.2">
      <c r="A36" s="178" t="s">
        <v>162</v>
      </c>
      <c r="B36" s="391">
        <f>'[5]CUSTO ESPELHO'!$B28</f>
        <v>17.480571954350925</v>
      </c>
    </row>
    <row r="37" spans="1:2" x14ac:dyDescent="0.2">
      <c r="A37" s="177" t="s">
        <v>163</v>
      </c>
      <c r="B37" s="391"/>
    </row>
    <row r="38" spans="1:2" x14ac:dyDescent="0.2">
      <c r="A38" s="178" t="s">
        <v>164</v>
      </c>
      <c r="B38" s="391">
        <f>'[5]CUSTO ESPELHO'!$B30</f>
        <v>102.70014063632459</v>
      </c>
    </row>
    <row r="39" spans="1:2" x14ac:dyDescent="0.2">
      <c r="A39" s="178" t="s">
        <v>165</v>
      </c>
      <c r="B39" s="391">
        <f>'[5]CUSTO ESPELHO'!$B31</f>
        <v>96.686860691868731</v>
      </c>
    </row>
    <row r="40" spans="1:2" x14ac:dyDescent="0.2">
      <c r="A40" s="177" t="s">
        <v>166</v>
      </c>
      <c r="B40" s="391"/>
    </row>
    <row r="41" spans="1:2" x14ac:dyDescent="0.2">
      <c r="A41" s="182" t="s">
        <v>167</v>
      </c>
      <c r="B41" s="391">
        <f>'[5]CUSTO ESPELHO'!$B33</f>
        <v>3.2667289092119738</v>
      </c>
    </row>
    <row r="42" spans="1:2" x14ac:dyDescent="0.2">
      <c r="A42" s="178" t="s">
        <v>168</v>
      </c>
      <c r="B42" s="391">
        <f>'[5]CUSTO ESPELHO'!$B34</f>
        <v>6.7377289092119739</v>
      </c>
    </row>
    <row r="43" spans="1:2" x14ac:dyDescent="0.2">
      <c r="A43" s="177" t="s">
        <v>169</v>
      </c>
      <c r="B43" s="391"/>
    </row>
    <row r="44" spans="1:2" x14ac:dyDescent="0.2">
      <c r="A44" s="182" t="s">
        <v>170</v>
      </c>
      <c r="B44" s="391">
        <f>'[5]CUSTO ESPELHO'!$B36</f>
        <v>11.781790327902261</v>
      </c>
    </row>
    <row r="45" spans="1:2" x14ac:dyDescent="0.2">
      <c r="A45" s="178" t="s">
        <v>171</v>
      </c>
      <c r="B45" s="391">
        <f>'[5]CUSTO ESPELHO'!$B37</f>
        <v>24.767237909877824</v>
      </c>
    </row>
    <row r="46" spans="1:2" x14ac:dyDescent="0.2">
      <c r="A46" s="354" t="s">
        <v>122</v>
      </c>
      <c r="B46" s="391"/>
    </row>
    <row r="47" spans="1:2" x14ac:dyDescent="0.2">
      <c r="A47" s="182" t="s">
        <v>123</v>
      </c>
      <c r="B47" s="391">
        <f>'[1]CUSTO ESPELHO'!$B47</f>
        <v>14.149586000000003</v>
      </c>
    </row>
    <row r="48" spans="1:2" x14ac:dyDescent="0.2">
      <c r="A48" s="354" t="s">
        <v>84</v>
      </c>
      <c r="B48" s="391"/>
    </row>
    <row r="49" spans="1:2" x14ac:dyDescent="0.2">
      <c r="A49" s="182" t="s">
        <v>114</v>
      </c>
      <c r="B49" s="391">
        <f>'[1]CUSTO ESPELHO'!$B49</f>
        <v>65.630430000000018</v>
      </c>
    </row>
    <row r="50" spans="1:2" x14ac:dyDescent="0.2">
      <c r="A50" s="182" t="s">
        <v>92</v>
      </c>
      <c r="B50" s="391"/>
    </row>
    <row r="51" spans="1:2" x14ac:dyDescent="0.2">
      <c r="A51" s="177" t="s">
        <v>172</v>
      </c>
      <c r="B51" s="391"/>
    </row>
    <row r="52" spans="1:2" x14ac:dyDescent="0.2">
      <c r="A52" s="182" t="s">
        <v>173</v>
      </c>
      <c r="B52" s="391">
        <f>'[1]CUSTO ESPELHO'!$B52</f>
        <v>1.1491964582580412</v>
      </c>
    </row>
    <row r="53" spans="1:2" x14ac:dyDescent="0.2">
      <c r="A53" s="178" t="s">
        <v>174</v>
      </c>
      <c r="B53" s="391">
        <f>'[5]CUSTO ESPELHO'!$B45</f>
        <v>6.5147596933328238</v>
      </c>
    </row>
    <row r="54" spans="1:2" x14ac:dyDescent="0.2">
      <c r="A54" s="182" t="s">
        <v>175</v>
      </c>
      <c r="B54" s="391">
        <f>'[1]CUSTO ESPELHO'!$B54</f>
        <v>5.8212322912902064</v>
      </c>
    </row>
    <row r="55" spans="1:2" s="195" customFormat="1" x14ac:dyDescent="0.2">
      <c r="A55" s="182" t="s">
        <v>176</v>
      </c>
      <c r="B55" s="391"/>
    </row>
    <row r="56" spans="1:2" s="195" customFormat="1" x14ac:dyDescent="0.2">
      <c r="A56" s="182" t="s">
        <v>177</v>
      </c>
      <c r="B56" s="391"/>
    </row>
    <row r="57" spans="1:2" s="195" customFormat="1" x14ac:dyDescent="0.2">
      <c r="A57" s="182" t="s">
        <v>178</v>
      </c>
      <c r="B57" s="391"/>
    </row>
    <row r="58" spans="1:2" s="195" customFormat="1" x14ac:dyDescent="0.2">
      <c r="A58" s="183" t="s">
        <v>179</v>
      </c>
      <c r="B58" s="391">
        <f>'[5]CUSTO ESPELHO'!$B50</f>
        <v>21.427998864195644</v>
      </c>
    </row>
    <row r="59" spans="1:2" s="195" customFormat="1" x14ac:dyDescent="0.2">
      <c r="A59" s="182" t="s">
        <v>180</v>
      </c>
      <c r="B59" s="391">
        <f>'[1]CUSTO ESPELHO'!$B59</f>
        <v>22.679955728225515</v>
      </c>
    </row>
    <row r="60" spans="1:2" s="195" customFormat="1" x14ac:dyDescent="0.2">
      <c r="A60" s="392" t="s">
        <v>181</v>
      </c>
      <c r="B60" s="391"/>
    </row>
    <row r="61" spans="1:2" s="195" customFormat="1" x14ac:dyDescent="0.2">
      <c r="A61" s="182" t="s">
        <v>182</v>
      </c>
      <c r="B61" s="391">
        <f>'[1]CUSTO ESPELHO'!$B61</f>
        <v>2.5615107519325369</v>
      </c>
    </row>
    <row r="62" spans="1:2" s="195" customFormat="1" x14ac:dyDescent="0.2">
      <c r="A62" s="183" t="s">
        <v>183</v>
      </c>
      <c r="B62" s="391">
        <f>'[5]CUSTO ESPELHO'!$B54</f>
        <v>10.453610974794225</v>
      </c>
    </row>
    <row r="63" spans="1:2" s="195" customFormat="1" x14ac:dyDescent="0.2">
      <c r="A63" s="182" t="s">
        <v>184</v>
      </c>
      <c r="B63" s="391">
        <f>'[1]CUSTO ESPELHO'!$B63</f>
        <v>12.882803759662684</v>
      </c>
    </row>
    <row r="64" spans="1:2" s="195" customFormat="1" x14ac:dyDescent="0.2">
      <c r="A64" s="182" t="s">
        <v>185</v>
      </c>
      <c r="B64" s="391">
        <f>'[3]CUSTO ESPELHO'!$B64</f>
        <v>0</v>
      </c>
    </row>
    <row r="65" spans="1:2" s="195" customFormat="1" x14ac:dyDescent="0.2">
      <c r="A65" s="182" t="s">
        <v>186</v>
      </c>
      <c r="B65" s="391">
        <f>'[3]CUSTO ESPELHO'!$B65</f>
        <v>0</v>
      </c>
    </row>
    <row r="66" spans="1:2" s="195" customFormat="1" x14ac:dyDescent="0.2">
      <c r="A66" s="183" t="s">
        <v>187</v>
      </c>
      <c r="B66" s="391">
        <f>'[5]CUSTO ESPELHO'!$B58</f>
        <v>36.016336943682312</v>
      </c>
    </row>
    <row r="67" spans="1:2" s="195" customFormat="1" x14ac:dyDescent="0.2">
      <c r="A67" s="182" t="s">
        <v>188</v>
      </c>
      <c r="B67" s="391">
        <f>'[1]CUSTO ESPELHO'!$B67</f>
        <v>40.333884399156709</v>
      </c>
    </row>
    <row r="68" spans="1:2" s="195" customFormat="1" x14ac:dyDescent="0.2">
      <c r="A68" s="354" t="s">
        <v>189</v>
      </c>
      <c r="B68" s="391"/>
    </row>
    <row r="69" spans="1:2" s="195" customFormat="1" x14ac:dyDescent="0.2">
      <c r="A69" s="182" t="s">
        <v>190</v>
      </c>
      <c r="B69" s="391">
        <f>'[4]CUSTO ESPELHO'!$B69</f>
        <v>0</v>
      </c>
    </row>
    <row r="70" spans="1:2" s="195" customFormat="1" x14ac:dyDescent="0.2">
      <c r="A70" s="182" t="s">
        <v>191</v>
      </c>
      <c r="B70" s="391">
        <f>'[1]CUSTO ESPELHO'!$B70</f>
        <v>15.460622371400842</v>
      </c>
    </row>
    <row r="71" spans="1:2" s="195" customFormat="1" x14ac:dyDescent="0.2">
      <c r="A71" s="182" t="s">
        <v>192</v>
      </c>
      <c r="B71" s="391">
        <f>'[4]CUSTO ESPELHO'!$B71</f>
        <v>0</v>
      </c>
    </row>
    <row r="72" spans="1:2" s="195" customFormat="1" x14ac:dyDescent="0.2">
      <c r="A72" s="182" t="s">
        <v>193</v>
      </c>
      <c r="B72" s="391">
        <f>'[1]CUSTO ESPELHO'!$B72</f>
        <v>46.778430928502104</v>
      </c>
    </row>
    <row r="73" spans="1:2" s="195" customFormat="1" x14ac:dyDescent="0.2">
      <c r="A73" s="354" t="s">
        <v>194</v>
      </c>
      <c r="B73" s="391"/>
    </row>
    <row r="74" spans="1:2" s="195" customFormat="1" x14ac:dyDescent="0.2">
      <c r="A74" s="182" t="s">
        <v>195</v>
      </c>
      <c r="B74" s="391">
        <f>'[1]CUSTO ESPELHO'!$B74</f>
        <v>0</v>
      </c>
    </row>
    <row r="75" spans="1:2" s="195" customFormat="1" x14ac:dyDescent="0.2">
      <c r="A75" s="182" t="s">
        <v>196</v>
      </c>
      <c r="B75" s="391">
        <f>'[1]CUSTO ESPELHO'!$B75</f>
        <v>0</v>
      </c>
    </row>
    <row r="76" spans="1:2" s="195" customFormat="1" x14ac:dyDescent="0.2">
      <c r="A76" s="182" t="s">
        <v>197</v>
      </c>
      <c r="B76" s="391">
        <f>'[1]CUSTO ESPELHO'!$B76</f>
        <v>0</v>
      </c>
    </row>
    <row r="77" spans="1:2" s="195" customFormat="1" x14ac:dyDescent="0.2">
      <c r="A77" s="182" t="s">
        <v>198</v>
      </c>
      <c r="B77" s="391">
        <f>'[1]CUSTO ESPELHO'!$B77</f>
        <v>0</v>
      </c>
    </row>
    <row r="78" spans="1:2" s="195" customFormat="1" x14ac:dyDescent="0.2">
      <c r="A78" s="392" t="s">
        <v>83</v>
      </c>
      <c r="B78" s="391"/>
    </row>
    <row r="79" spans="1:2" s="195" customFormat="1" x14ac:dyDescent="0.2">
      <c r="A79" s="392" t="s">
        <v>199</v>
      </c>
      <c r="B79" s="391"/>
    </row>
    <row r="80" spans="1:2" s="195" customFormat="1" x14ac:dyDescent="0.2">
      <c r="A80" s="178" t="s">
        <v>200</v>
      </c>
      <c r="B80" s="391">
        <f>'[1]CUSTO ESPELHO'!$B80</f>
        <v>16.026590025436043</v>
      </c>
    </row>
    <row r="81" spans="1:4" s="195" customFormat="1" x14ac:dyDescent="0.2">
      <c r="A81" s="178" t="s">
        <v>201</v>
      </c>
      <c r="B81" s="391">
        <f>'[5]CUSTO ESPELHO'!$B73</f>
        <v>10.062562314475</v>
      </c>
    </row>
    <row r="82" spans="1:4" s="195" customFormat="1" x14ac:dyDescent="0.2">
      <c r="A82" s="178" t="s">
        <v>238</v>
      </c>
      <c r="B82" s="391">
        <f>'[5]CUSTO ESPELHO'!$B74</f>
        <v>8.2124526824838711</v>
      </c>
    </row>
    <row r="83" spans="1:4" s="195" customFormat="1" x14ac:dyDescent="0.2">
      <c r="A83" s="178" t="s">
        <v>202</v>
      </c>
      <c r="B83" s="391">
        <f>'[5]CUSTO ESPELHO'!$B75</f>
        <v>8.6808651658963321</v>
      </c>
    </row>
    <row r="84" spans="1:4" s="195" customFormat="1" x14ac:dyDescent="0.2">
      <c r="A84" s="178" t="s">
        <v>203</v>
      </c>
      <c r="B84" s="391"/>
    </row>
    <row r="85" spans="1:4" s="195" customFormat="1" x14ac:dyDescent="0.2">
      <c r="A85" s="392" t="s">
        <v>204</v>
      </c>
      <c r="B85" s="391"/>
    </row>
    <row r="86" spans="1:4" s="195" customFormat="1" x14ac:dyDescent="0.2">
      <c r="A86" s="183" t="s">
        <v>205</v>
      </c>
      <c r="B86" s="391">
        <f>'[1]CUSTO ESPELHO'!$B86</f>
        <v>58.304760101744172</v>
      </c>
    </row>
    <row r="87" spans="1:4" s="195" customFormat="1" x14ac:dyDescent="0.2">
      <c r="A87" s="183" t="s">
        <v>206</v>
      </c>
      <c r="B87" s="391">
        <f>'[5]CUSTO ESPELHO'!$B79</f>
        <v>34.910249257900006</v>
      </c>
    </row>
    <row r="88" spans="1:4" s="195" customFormat="1" x14ac:dyDescent="0.2">
      <c r="A88" s="183" t="s">
        <v>207</v>
      </c>
      <c r="B88" s="391">
        <f>'[5]CUSTO ESPELHO'!$B80</f>
        <v>27.509810729935488</v>
      </c>
    </row>
    <row r="89" spans="1:4" s="195" customFormat="1" x14ac:dyDescent="0.2">
      <c r="A89" s="183" t="s">
        <v>208</v>
      </c>
      <c r="B89" s="391">
        <f>'[5]CUSTO ESPELHO'!$B81</f>
        <v>29.383460663585328</v>
      </c>
    </row>
    <row r="90" spans="1:4" s="195" customFormat="1" x14ac:dyDescent="0.2">
      <c r="A90" s="182" t="s">
        <v>209</v>
      </c>
      <c r="B90" s="391">
        <f>'[1]CUSTO ESPELHO'!$B90</f>
        <v>31.616833467585408</v>
      </c>
    </row>
    <row r="91" spans="1:4" s="195" customFormat="1" x14ac:dyDescent="0.2">
      <c r="A91" s="354" t="s">
        <v>210</v>
      </c>
      <c r="B91" s="391"/>
      <c r="D91" s="195">
        <v>2370</v>
      </c>
    </row>
    <row r="92" spans="1:4" s="195" customFormat="1" x14ac:dyDescent="0.2">
      <c r="A92" s="182" t="s">
        <v>211</v>
      </c>
      <c r="B92" s="391">
        <f>'[1]CUSTO ESPELHO'!$B92</f>
        <v>11.348816947022431</v>
      </c>
      <c r="D92" s="195">
        <f>D91*0.95</f>
        <v>2251.5</v>
      </c>
    </row>
    <row r="93" spans="1:4" s="195" customFormat="1" x14ac:dyDescent="0.2">
      <c r="A93" s="182" t="s">
        <v>212</v>
      </c>
      <c r="B93" s="391">
        <f>'[1]CUSTO ESPELHO'!$B93</f>
        <v>9.7586750870034802</v>
      </c>
    </row>
    <row r="94" spans="1:4" s="195" customFormat="1" x14ac:dyDescent="0.2">
      <c r="A94" s="182" t="s">
        <v>213</v>
      </c>
      <c r="B94" s="391"/>
    </row>
    <row r="95" spans="1:4" s="195" customFormat="1" x14ac:dyDescent="0.2">
      <c r="A95" s="182" t="s">
        <v>214</v>
      </c>
      <c r="B95" s="391">
        <f>'[1]CUSTO ESPELHO'!$B95</f>
        <v>39.593667788089725</v>
      </c>
    </row>
    <row r="96" spans="1:4" s="195" customFormat="1" x14ac:dyDescent="0.2">
      <c r="A96" s="182" t="s">
        <v>215</v>
      </c>
      <c r="B96" s="391">
        <f>'[1]CUSTO ESPELHO'!$B96</f>
        <v>35.488024395785004</v>
      </c>
    </row>
    <row r="97" spans="1:2" s="195" customFormat="1" x14ac:dyDescent="0.2">
      <c r="A97" s="354" t="s">
        <v>216</v>
      </c>
      <c r="B97" s="391"/>
    </row>
    <row r="98" spans="1:2" s="195" customFormat="1" x14ac:dyDescent="0.2">
      <c r="A98" s="354" t="s">
        <v>217</v>
      </c>
      <c r="B98" s="391">
        <f>'[1]CUSTO ESPELHO'!$B98</f>
        <v>6.5946532376834988</v>
      </c>
    </row>
    <row r="99" spans="1:2" s="195" customFormat="1" x14ac:dyDescent="0.2">
      <c r="A99" s="354" t="s">
        <v>218</v>
      </c>
      <c r="B99" s="391">
        <f>'[1]CUSTO ESPELHO'!$B99</f>
        <v>6.5946532376834988</v>
      </c>
    </row>
    <row r="100" spans="1:2" s="195" customFormat="1" x14ac:dyDescent="0.2">
      <c r="A100" s="354" t="s">
        <v>219</v>
      </c>
      <c r="B100" s="391">
        <f>'[1]CUSTO ESPELHO'!$B100</f>
        <v>6.5946532376834988</v>
      </c>
    </row>
    <row r="101" spans="1:2" s="195" customFormat="1" x14ac:dyDescent="0.2">
      <c r="A101" s="182" t="s">
        <v>220</v>
      </c>
      <c r="B101" s="391"/>
    </row>
    <row r="102" spans="1:2" s="195" customFormat="1" x14ac:dyDescent="0.2">
      <c r="A102" s="182" t="s">
        <v>221</v>
      </c>
      <c r="B102" s="391">
        <f>'[1]CUSTO ESPELHO'!$B102</f>
        <v>89.537207590931473</v>
      </c>
    </row>
    <row r="103" spans="1:2" s="195" customFormat="1" x14ac:dyDescent="0.2">
      <c r="A103" s="182" t="s">
        <v>222</v>
      </c>
      <c r="B103" s="391">
        <f>'[1]CUSTO ESPELHO'!$B103</f>
        <v>20.577012950733995</v>
      </c>
    </row>
    <row r="104" spans="1:2" s="195" customFormat="1" x14ac:dyDescent="0.2">
      <c r="A104" s="182" t="s">
        <v>223</v>
      </c>
      <c r="B104" s="391">
        <f>'[1]CUSTO ESPELHO'!$B104</f>
        <v>89.537207590931473</v>
      </c>
    </row>
    <row r="105" spans="1:2" s="195" customFormat="1" x14ac:dyDescent="0.2">
      <c r="A105" s="354" t="s">
        <v>224</v>
      </c>
      <c r="B105" s="391"/>
    </row>
    <row r="106" spans="1:2" s="195" customFormat="1" x14ac:dyDescent="0.2">
      <c r="A106" s="354" t="s">
        <v>225</v>
      </c>
      <c r="B106" s="391">
        <f>'[1]CUSTO ESPELHO'!$B106</f>
        <v>11.117212883601985</v>
      </c>
    </row>
    <row r="107" spans="1:2" s="195" customFormat="1" x14ac:dyDescent="0.2">
      <c r="A107" s="182" t="s">
        <v>226</v>
      </c>
      <c r="B107" s="391"/>
    </row>
    <row r="108" spans="1:2" s="195" customFormat="1" x14ac:dyDescent="0.2">
      <c r="A108" s="182" t="s">
        <v>227</v>
      </c>
      <c r="B108" s="391">
        <f>'[1]CUSTO ESPELHO'!$B108</f>
        <v>38.667251534407939</v>
      </c>
    </row>
    <row r="109" spans="1:2" s="195" customFormat="1" x14ac:dyDescent="0.2">
      <c r="A109" s="182" t="s">
        <v>228</v>
      </c>
      <c r="B109" s="391">
        <f>'[1]CUSTO ESPELHO'!$B109</f>
        <v>1890.8030920644762</v>
      </c>
    </row>
    <row r="110" spans="1:2" s="195" customFormat="1" x14ac:dyDescent="0.2">
      <c r="A110" s="182"/>
      <c r="B110" s="391"/>
    </row>
    <row r="111" spans="1:2" s="195" customFormat="1" x14ac:dyDescent="0.2">
      <c r="A111" s="354"/>
      <c r="B111" s="391"/>
    </row>
    <row r="112" spans="1:2" s="195" customFormat="1" x14ac:dyDescent="0.2">
      <c r="A112" s="182" t="s">
        <v>124</v>
      </c>
      <c r="B112" s="391">
        <f>'[1]CUSTO ESPELHO'!$B112</f>
        <v>11.001612014249998</v>
      </c>
    </row>
    <row r="113" spans="1:2" s="195" customFormat="1" x14ac:dyDescent="0.2">
      <c r="A113" s="182" t="s">
        <v>125</v>
      </c>
      <c r="B113" s="391">
        <f>'[1]CUSTO ESPELHO'!$B113</f>
        <v>38.204848056999992</v>
      </c>
    </row>
    <row r="114" spans="1:2" s="195" customFormat="1" x14ac:dyDescent="0.2">
      <c r="A114" s="182" t="s">
        <v>118</v>
      </c>
      <c r="B114" s="391">
        <f>'[1]CUSTO ESPELHO'!$B114</f>
        <v>10.086327938749999</v>
      </c>
    </row>
    <row r="115" spans="1:2" s="195" customFormat="1" x14ac:dyDescent="0.2">
      <c r="A115" s="182"/>
      <c r="B115" s="391"/>
    </row>
    <row r="116" spans="1:2" s="195" customFormat="1" x14ac:dyDescent="0.2">
      <c r="A116" s="182" t="s">
        <v>229</v>
      </c>
      <c r="B116" s="391">
        <f>'[1]CUSTO ESPELHO'!$B116</f>
        <v>7.4306158949243093</v>
      </c>
    </row>
    <row r="117" spans="1:2" s="195" customFormat="1" x14ac:dyDescent="0.2">
      <c r="A117" s="182" t="s">
        <v>230</v>
      </c>
      <c r="B117" s="391">
        <f>'[1]CUSTO ESPELHO'!$B117</f>
        <v>5.0299908949243095</v>
      </c>
    </row>
    <row r="118" spans="1:2" s="195" customFormat="1" x14ac:dyDescent="0.2">
      <c r="A118" s="182" t="s">
        <v>231</v>
      </c>
      <c r="B118" s="391">
        <f>'[1]CUSTO ESPELHO'!$B118</f>
        <v>31.95269764581478</v>
      </c>
    </row>
    <row r="119" spans="1:2" s="195" customFormat="1" x14ac:dyDescent="0.2">
      <c r="A119" s="182"/>
      <c r="B119" s="391"/>
    </row>
    <row r="120" spans="1:2" s="195" customFormat="1" x14ac:dyDescent="0.2">
      <c r="A120" s="182" t="s">
        <v>232</v>
      </c>
      <c r="B120" s="391">
        <f>'[1]CUSTO ESPELHO'!$B120</f>
        <v>3.3739999999999997</v>
      </c>
    </row>
    <row r="121" spans="1:2" s="195" customFormat="1" x14ac:dyDescent="0.2">
      <c r="A121" s="182" t="s">
        <v>233</v>
      </c>
      <c r="B121" s="391">
        <f>'[1]CUSTO ESPELHO'!$B121</f>
        <v>5.9479999999999995</v>
      </c>
    </row>
    <row r="122" spans="1:2" s="195" customFormat="1" x14ac:dyDescent="0.2">
      <c r="A122" s="182" t="s">
        <v>132</v>
      </c>
      <c r="B122" s="391">
        <f>'[1]CUSTO ESPELHO'!$B122</f>
        <v>8.7000000000000011</v>
      </c>
    </row>
    <row r="123" spans="1:2" s="195" customFormat="1" x14ac:dyDescent="0.2">
      <c r="A123" s="182" t="s">
        <v>133</v>
      </c>
      <c r="B123" s="391">
        <f>'[1]CUSTO ESPELHO'!$B123</f>
        <v>4.7700000000000005</v>
      </c>
    </row>
    <row r="124" spans="1:2" s="195" customFormat="1" x14ac:dyDescent="0.2">
      <c r="A124" s="354"/>
      <c r="B124" s="391"/>
    </row>
    <row r="125" spans="1:2" s="195" customFormat="1" x14ac:dyDescent="0.2">
      <c r="A125" s="354"/>
      <c r="B125" s="391"/>
    </row>
    <row r="126" spans="1:2" s="195" customFormat="1" x14ac:dyDescent="0.2">
      <c r="A126" s="182" t="s">
        <v>134</v>
      </c>
      <c r="B126" s="391">
        <f>'[1]CUSTO ESPELHO'!$B126</f>
        <v>16.864310463776899</v>
      </c>
    </row>
    <row r="127" spans="1:2" s="195" customFormat="1" x14ac:dyDescent="0.2">
      <c r="A127" s="182" t="s">
        <v>119</v>
      </c>
      <c r="B127" s="391">
        <f>'[1]CUSTO ESPELHO'!$B127</f>
        <v>56.557701545923003</v>
      </c>
    </row>
    <row r="128" spans="1:2" s="195" customFormat="1" x14ac:dyDescent="0.2">
      <c r="A128" s="182" t="s">
        <v>120</v>
      </c>
      <c r="B128" s="391">
        <f>'[1]CUSTO ESPELHO'!$B128</f>
        <v>68.302376932403746</v>
      </c>
    </row>
    <row r="129" spans="1:2" s="195" customFormat="1" x14ac:dyDescent="0.2">
      <c r="A129" s="182" t="s">
        <v>121</v>
      </c>
      <c r="B129" s="391">
        <f>'[1]CUSTO ESPELHO'!$B129</f>
        <v>79.738052318884513</v>
      </c>
    </row>
    <row r="130" spans="1:2" s="195" customFormat="1" x14ac:dyDescent="0.2">
      <c r="A130" s="183"/>
      <c r="B130" s="393"/>
    </row>
    <row r="131" spans="1:2" s="195" customFormat="1" x14ac:dyDescent="0.2">
      <c r="A131" s="24" t="s">
        <v>244</v>
      </c>
      <c r="B131" s="391">
        <f>'[5]CUSTO ESPELHO'!$B123</f>
        <v>37.696438188038577</v>
      </c>
    </row>
    <row r="132" spans="1:2" s="195" customFormat="1" x14ac:dyDescent="0.2">
      <c r="A132" s="24" t="s">
        <v>239</v>
      </c>
      <c r="B132" s="391">
        <f>'[5]CUSTO ESPELHO'!$B124</f>
        <v>134.14392628681668</v>
      </c>
    </row>
    <row r="133" spans="1:2" s="195" customFormat="1" x14ac:dyDescent="0.2">
      <c r="A133" s="183"/>
      <c r="B133" s="393"/>
    </row>
    <row r="134" spans="1:2" s="195" customFormat="1" x14ac:dyDescent="0.2">
      <c r="A134" s="387" t="s">
        <v>234</v>
      </c>
      <c r="B134" s="391">
        <f>'[1]CUSTO ESPELHO'!$B134</f>
        <v>20.463889919354841</v>
      </c>
    </row>
    <row r="135" spans="1:2" s="195" customFormat="1" x14ac:dyDescent="0.2">
      <c r="A135" s="387" t="s">
        <v>235</v>
      </c>
      <c r="B135" s="391">
        <f>'[1]CUSTO ESPELHO'!$B135</f>
        <v>22.854967805299538</v>
      </c>
    </row>
    <row r="136" spans="1:2" s="195" customFormat="1" x14ac:dyDescent="0.2">
      <c r="A136" s="387" t="s">
        <v>236</v>
      </c>
      <c r="B136" s="391">
        <f>'[1]CUSTO ESPELHO'!$B136</f>
        <v>97.87264034274196</v>
      </c>
    </row>
    <row r="137" spans="1:2" s="195" customFormat="1" x14ac:dyDescent="0.2">
      <c r="A137" s="387" t="s">
        <v>237</v>
      </c>
      <c r="B137" s="391">
        <f>'[1]CUSTO ESPELHO'!$B137</f>
        <v>109.94758366676268</v>
      </c>
    </row>
    <row r="138" spans="1:2" s="195" customFormat="1" x14ac:dyDescent="0.2">
      <c r="A138" s="398"/>
      <c r="B138" s="198" t="s">
        <v>27</v>
      </c>
    </row>
    <row r="139" spans="1:2" s="195" customFormat="1" x14ac:dyDescent="0.2">
      <c r="A139" s="394"/>
      <c r="B139" s="395"/>
    </row>
    <row r="140" spans="1:2" s="195" customFormat="1" x14ac:dyDescent="0.2">
      <c r="A140" s="394"/>
      <c r="B140" s="395"/>
    </row>
    <row r="141" spans="1:2" s="195" customFormat="1" x14ac:dyDescent="0.2">
      <c r="A141" s="396"/>
      <c r="B141" s="395"/>
    </row>
    <row r="142" spans="1:2" s="195" customFormat="1" x14ac:dyDescent="0.2">
      <c r="A142" s="396"/>
      <c r="B142" s="397"/>
    </row>
    <row r="143" spans="1:2" s="195" customFormat="1" x14ac:dyDescent="0.2">
      <c r="A143" s="396"/>
      <c r="B143" s="397"/>
    </row>
    <row r="144" spans="1:2" x14ac:dyDescent="0.2">
      <c r="B144" s="198"/>
    </row>
    <row r="145" spans="2:2" x14ac:dyDescent="0.2">
      <c r="B145" s="198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I143"/>
  <sheetViews>
    <sheetView showGridLines="0" topLeftCell="A116" zoomScaleNormal="100" workbookViewId="0">
      <selection activeCell="A130" sqref="A130"/>
    </sheetView>
  </sheetViews>
  <sheetFormatPr defaultColWidth="9.140625" defaultRowHeight="12.75" x14ac:dyDescent="0.2"/>
  <cols>
    <col min="1" max="1" width="44.85546875" style="24" bestFit="1" customWidth="1"/>
    <col min="2" max="2" width="11.42578125" style="24" bestFit="1" customWidth="1"/>
    <col min="3" max="3" width="13.28515625" style="389" bestFit="1" customWidth="1"/>
    <col min="4" max="16384" width="9.140625" style="25"/>
  </cols>
  <sheetData>
    <row r="1" spans="1:3" x14ac:dyDescent="0.2">
      <c r="A1" s="386"/>
    </row>
    <row r="2" spans="1:3" x14ac:dyDescent="0.2">
      <c r="A2" s="386"/>
    </row>
    <row r="3" spans="1:3" x14ac:dyDescent="0.2">
      <c r="A3" s="386"/>
    </row>
    <row r="5" spans="1:3" x14ac:dyDescent="0.2">
      <c r="A5" s="386"/>
    </row>
    <row r="6" spans="1:3" x14ac:dyDescent="0.2">
      <c r="A6" s="386"/>
    </row>
    <row r="9" spans="1:3" x14ac:dyDescent="0.2">
      <c r="A9" s="37" t="s">
        <v>9</v>
      </c>
      <c r="B9" s="109" t="s">
        <v>101</v>
      </c>
      <c r="C9" s="390"/>
    </row>
    <row r="10" spans="1:3" x14ac:dyDescent="0.2">
      <c r="A10" s="108" t="s">
        <v>82</v>
      </c>
      <c r="B10" s="110"/>
    </row>
    <row r="11" spans="1:3" x14ac:dyDescent="0.2">
      <c r="A11" s="177" t="s">
        <v>137</v>
      </c>
      <c r="B11" s="112"/>
    </row>
    <row r="12" spans="1:3" x14ac:dyDescent="0.2">
      <c r="A12" s="182" t="s">
        <v>138</v>
      </c>
      <c r="B12" s="273">
        <v>3.85</v>
      </c>
    </row>
    <row r="13" spans="1:3" x14ac:dyDescent="0.2">
      <c r="A13" s="182" t="s">
        <v>139</v>
      </c>
      <c r="B13" s="273">
        <v>3.35</v>
      </c>
    </row>
    <row r="14" spans="1:3" x14ac:dyDescent="0.2">
      <c r="A14" s="178" t="s">
        <v>140</v>
      </c>
      <c r="B14" s="28">
        <v>4</v>
      </c>
    </row>
    <row r="15" spans="1:3" x14ac:dyDescent="0.2">
      <c r="A15" s="178" t="s">
        <v>141</v>
      </c>
      <c r="B15" s="28">
        <v>3.5</v>
      </c>
    </row>
    <row r="16" spans="1:3" x14ac:dyDescent="0.2">
      <c r="A16" s="177" t="s">
        <v>142</v>
      </c>
      <c r="B16" s="112"/>
    </row>
    <row r="17" spans="1:2" x14ac:dyDescent="0.2">
      <c r="A17" s="182" t="s">
        <v>143</v>
      </c>
      <c r="B17" s="273">
        <v>18.7</v>
      </c>
    </row>
    <row r="18" spans="1:2" x14ac:dyDescent="0.2">
      <c r="A18" s="182" t="s">
        <v>144</v>
      </c>
      <c r="B18" s="273">
        <f>12*1.2</f>
        <v>14.399999999999999</v>
      </c>
    </row>
    <row r="19" spans="1:2" x14ac:dyDescent="0.2">
      <c r="A19" s="178" t="s">
        <v>145</v>
      </c>
      <c r="B19" s="28">
        <v>18.7</v>
      </c>
    </row>
    <row r="20" spans="1:2" x14ac:dyDescent="0.2">
      <c r="A20" s="178" t="s">
        <v>146</v>
      </c>
      <c r="B20" s="28">
        <v>17</v>
      </c>
    </row>
    <row r="21" spans="1:2" x14ac:dyDescent="0.2">
      <c r="A21" s="177" t="s">
        <v>147</v>
      </c>
      <c r="B21" s="112"/>
    </row>
    <row r="22" spans="1:2" x14ac:dyDescent="0.2">
      <c r="A22" s="178" t="s">
        <v>148</v>
      </c>
      <c r="B22" s="28">
        <v>4.2</v>
      </c>
    </row>
    <row r="23" spans="1:2" x14ac:dyDescent="0.2">
      <c r="A23" s="178" t="s">
        <v>149</v>
      </c>
      <c r="B23" s="28">
        <v>3.9</v>
      </c>
    </row>
    <row r="24" spans="1:2" x14ac:dyDescent="0.2">
      <c r="A24" s="177" t="s">
        <v>150</v>
      </c>
      <c r="B24" s="112"/>
    </row>
    <row r="25" spans="1:2" x14ac:dyDescent="0.2">
      <c r="A25" s="178" t="s">
        <v>151</v>
      </c>
      <c r="B25" s="28">
        <v>19</v>
      </c>
    </row>
    <row r="26" spans="1:2" x14ac:dyDescent="0.2">
      <c r="A26" s="178" t="s">
        <v>152</v>
      </c>
      <c r="B26" s="28">
        <v>17</v>
      </c>
    </row>
    <row r="27" spans="1:2" x14ac:dyDescent="0.2">
      <c r="A27" s="177" t="s">
        <v>153</v>
      </c>
      <c r="B27" s="112"/>
    </row>
    <row r="28" spans="1:2" x14ac:dyDescent="0.2">
      <c r="A28" s="178" t="s">
        <v>154</v>
      </c>
      <c r="B28" s="28">
        <v>3.6</v>
      </c>
    </row>
    <row r="29" spans="1:2" x14ac:dyDescent="0.2">
      <c r="A29" s="178" t="s">
        <v>155</v>
      </c>
      <c r="B29" s="28">
        <v>3.5</v>
      </c>
    </row>
    <row r="30" spans="1:2" x14ac:dyDescent="0.2">
      <c r="A30" s="177" t="s">
        <v>156</v>
      </c>
      <c r="B30" s="112"/>
    </row>
    <row r="31" spans="1:2" x14ac:dyDescent="0.2">
      <c r="A31" s="178" t="s">
        <v>157</v>
      </c>
      <c r="B31" s="228">
        <v>12.5</v>
      </c>
    </row>
    <row r="32" spans="1:2" x14ac:dyDescent="0.2">
      <c r="A32" s="178" t="s">
        <v>158</v>
      </c>
      <c r="B32" s="28">
        <v>15.1</v>
      </c>
    </row>
    <row r="33" spans="1:2" x14ac:dyDescent="0.2">
      <c r="A33" s="178" t="s">
        <v>159</v>
      </c>
      <c r="B33" s="28">
        <v>15.1</v>
      </c>
    </row>
    <row r="34" spans="1:2" x14ac:dyDescent="0.2">
      <c r="A34" s="177" t="s">
        <v>160</v>
      </c>
      <c r="B34" s="112"/>
    </row>
    <row r="35" spans="1:2" x14ac:dyDescent="0.2">
      <c r="A35" s="178" t="s">
        <v>161</v>
      </c>
      <c r="B35" s="28">
        <v>3.7</v>
      </c>
    </row>
    <row r="36" spans="1:2" x14ac:dyDescent="0.2">
      <c r="A36" s="178" t="s">
        <v>162</v>
      </c>
      <c r="B36" s="28">
        <v>3.6</v>
      </c>
    </row>
    <row r="37" spans="1:2" x14ac:dyDescent="0.2">
      <c r="A37" s="177" t="s">
        <v>163</v>
      </c>
      <c r="B37" s="112"/>
    </row>
    <row r="38" spans="1:2" x14ac:dyDescent="0.2">
      <c r="A38" s="178" t="s">
        <v>164</v>
      </c>
      <c r="B38" s="28">
        <v>16</v>
      </c>
    </row>
    <row r="39" spans="1:2" x14ac:dyDescent="0.2">
      <c r="A39" s="178" t="s">
        <v>165</v>
      </c>
      <c r="B39" s="28">
        <v>15.8</v>
      </c>
    </row>
    <row r="40" spans="1:2" x14ac:dyDescent="0.2">
      <c r="A40" s="177" t="s">
        <v>166</v>
      </c>
      <c r="B40" s="112"/>
    </row>
    <row r="41" spans="1:2" x14ac:dyDescent="0.2">
      <c r="A41" s="178" t="s">
        <v>167</v>
      </c>
      <c r="B41" s="28">
        <v>3.85</v>
      </c>
    </row>
    <row r="42" spans="1:2" x14ac:dyDescent="0.2">
      <c r="A42" s="178" t="s">
        <v>168</v>
      </c>
      <c r="B42" s="28">
        <v>4.05</v>
      </c>
    </row>
    <row r="43" spans="1:2" x14ac:dyDescent="0.2">
      <c r="A43" s="177" t="s">
        <v>169</v>
      </c>
      <c r="B43" s="112"/>
    </row>
    <row r="44" spans="1:2" x14ac:dyDescent="0.2">
      <c r="A44" s="178" t="s">
        <v>170</v>
      </c>
      <c r="B44" s="28">
        <v>13</v>
      </c>
    </row>
    <row r="45" spans="1:2" x14ac:dyDescent="0.2">
      <c r="A45" s="178" t="s">
        <v>171</v>
      </c>
      <c r="B45" s="28">
        <v>18</v>
      </c>
    </row>
    <row r="46" spans="1:2" x14ac:dyDescent="0.2">
      <c r="A46" s="354" t="s">
        <v>122</v>
      </c>
      <c r="B46" s="273"/>
    </row>
    <row r="47" spans="1:2" x14ac:dyDescent="0.2">
      <c r="A47" s="182" t="s">
        <v>123</v>
      </c>
      <c r="B47" s="273">
        <v>3.1850000000000001</v>
      </c>
    </row>
    <row r="48" spans="1:2" x14ac:dyDescent="0.2">
      <c r="A48" s="354" t="s">
        <v>84</v>
      </c>
      <c r="B48" s="273"/>
    </row>
    <row r="49" spans="1:2" x14ac:dyDescent="0.2">
      <c r="A49" s="182" t="s">
        <v>114</v>
      </c>
      <c r="B49" s="273">
        <v>13.5</v>
      </c>
    </row>
    <row r="50" spans="1:2" x14ac:dyDescent="0.2">
      <c r="A50" s="178" t="s">
        <v>92</v>
      </c>
      <c r="B50" s="110"/>
    </row>
    <row r="51" spans="1:2" x14ac:dyDescent="0.2">
      <c r="A51" s="177" t="s">
        <v>172</v>
      </c>
      <c r="B51" s="112"/>
    </row>
    <row r="52" spans="1:2" x14ac:dyDescent="0.2">
      <c r="A52" s="182" t="s">
        <v>173</v>
      </c>
      <c r="B52" s="273">
        <v>1.04</v>
      </c>
    </row>
    <row r="53" spans="1:2" x14ac:dyDescent="0.2">
      <c r="A53" s="178" t="s">
        <v>174</v>
      </c>
      <c r="B53" s="28">
        <v>5.1849999999999996</v>
      </c>
    </row>
    <row r="54" spans="1:2" x14ac:dyDescent="0.2">
      <c r="A54" s="182" t="s">
        <v>175</v>
      </c>
      <c r="B54" s="273">
        <v>10.050000000000001</v>
      </c>
    </row>
    <row r="55" spans="1:2" x14ac:dyDescent="0.2">
      <c r="A55" s="182" t="s">
        <v>176</v>
      </c>
      <c r="B55" s="273">
        <v>25.03</v>
      </c>
    </row>
    <row r="56" spans="1:2" x14ac:dyDescent="0.2">
      <c r="A56" s="182" t="s">
        <v>177</v>
      </c>
      <c r="B56" s="273">
        <v>20.77</v>
      </c>
    </row>
    <row r="57" spans="1:2" x14ac:dyDescent="0.2">
      <c r="A57" s="182" t="s">
        <v>178</v>
      </c>
      <c r="B57" s="273">
        <v>25.77</v>
      </c>
    </row>
    <row r="58" spans="1:2" x14ac:dyDescent="0.2">
      <c r="A58" s="178" t="s">
        <v>179</v>
      </c>
      <c r="B58" s="28">
        <v>20.64</v>
      </c>
    </row>
    <row r="59" spans="1:2" x14ac:dyDescent="0.2">
      <c r="A59" s="182" t="s">
        <v>180</v>
      </c>
      <c r="B59" s="273">
        <v>25.64</v>
      </c>
    </row>
    <row r="60" spans="1:2" x14ac:dyDescent="0.2">
      <c r="A60" s="177" t="s">
        <v>181</v>
      </c>
      <c r="B60" s="112"/>
    </row>
    <row r="61" spans="1:2" x14ac:dyDescent="0.2">
      <c r="A61" s="182" t="s">
        <v>182</v>
      </c>
      <c r="B61" s="273">
        <v>1.04</v>
      </c>
    </row>
    <row r="62" spans="1:2" x14ac:dyDescent="0.2">
      <c r="A62" s="178" t="s">
        <v>183</v>
      </c>
      <c r="B62" s="28">
        <v>5.1849999999999996</v>
      </c>
    </row>
    <row r="63" spans="1:2" x14ac:dyDescent="0.2">
      <c r="A63" s="182" t="s">
        <v>184</v>
      </c>
      <c r="B63" s="273">
        <v>10.050000000000001</v>
      </c>
    </row>
    <row r="64" spans="1:2" x14ac:dyDescent="0.2">
      <c r="A64" s="182" t="s">
        <v>185</v>
      </c>
      <c r="B64" s="273">
        <v>20.77</v>
      </c>
    </row>
    <row r="65" spans="1:3" x14ac:dyDescent="0.2">
      <c r="A65" s="182" t="s">
        <v>186</v>
      </c>
      <c r="B65" s="273">
        <v>25.77</v>
      </c>
    </row>
    <row r="66" spans="1:3" x14ac:dyDescent="0.2">
      <c r="A66" s="178" t="s">
        <v>187</v>
      </c>
      <c r="B66" s="28">
        <v>20.7</v>
      </c>
    </row>
    <row r="67" spans="1:3" x14ac:dyDescent="0.2">
      <c r="A67" s="182" t="s">
        <v>188</v>
      </c>
      <c r="B67" s="273">
        <v>25.64</v>
      </c>
    </row>
    <row r="68" spans="1:3" x14ac:dyDescent="0.2">
      <c r="A68" s="354" t="s">
        <v>189</v>
      </c>
      <c r="B68" s="273"/>
    </row>
    <row r="69" spans="1:3" x14ac:dyDescent="0.2">
      <c r="A69" s="182" t="s">
        <v>190</v>
      </c>
      <c r="B69" s="273">
        <v>5.16</v>
      </c>
    </row>
    <row r="70" spans="1:3" x14ac:dyDescent="0.2">
      <c r="A70" s="182" t="s">
        <v>191</v>
      </c>
      <c r="B70" s="273">
        <v>12.54</v>
      </c>
    </row>
    <row r="71" spans="1:3" x14ac:dyDescent="0.2">
      <c r="A71" s="182" t="s">
        <v>192</v>
      </c>
      <c r="B71" s="273">
        <v>25.77</v>
      </c>
    </row>
    <row r="72" spans="1:3" x14ac:dyDescent="0.2">
      <c r="A72" s="182" t="s">
        <v>193</v>
      </c>
      <c r="B72" s="273">
        <v>25.64</v>
      </c>
    </row>
    <row r="73" spans="1:3" x14ac:dyDescent="0.2">
      <c r="A73" s="354" t="s">
        <v>194</v>
      </c>
      <c r="B73" s="273"/>
    </row>
    <row r="74" spans="1:3" x14ac:dyDescent="0.2">
      <c r="A74" s="182" t="s">
        <v>195</v>
      </c>
      <c r="B74" s="273">
        <v>5.16</v>
      </c>
    </row>
    <row r="75" spans="1:3" x14ac:dyDescent="0.2">
      <c r="A75" s="182" t="s">
        <v>196</v>
      </c>
      <c r="B75" s="273">
        <v>12.54</v>
      </c>
    </row>
    <row r="76" spans="1:3" x14ac:dyDescent="0.2">
      <c r="A76" s="182" t="s">
        <v>197</v>
      </c>
      <c r="B76" s="273">
        <v>25.77</v>
      </c>
    </row>
    <row r="77" spans="1:3" x14ac:dyDescent="0.2">
      <c r="A77" s="182" t="s">
        <v>198</v>
      </c>
      <c r="B77" s="273">
        <v>25.64</v>
      </c>
    </row>
    <row r="78" spans="1:3" x14ac:dyDescent="0.2">
      <c r="A78" s="354" t="s">
        <v>83</v>
      </c>
      <c r="B78" s="274"/>
    </row>
    <row r="79" spans="1:3" x14ac:dyDescent="0.2">
      <c r="A79" s="392" t="s">
        <v>199</v>
      </c>
      <c r="B79" s="228"/>
    </row>
    <row r="80" spans="1:3" x14ac:dyDescent="0.2">
      <c r="A80" s="178" t="s">
        <v>200</v>
      </c>
      <c r="B80" s="228">
        <v>0.85</v>
      </c>
      <c r="C80" s="178" t="s">
        <v>200</v>
      </c>
    </row>
    <row r="81" spans="1:3" x14ac:dyDescent="0.2">
      <c r="A81" s="178" t="s">
        <v>201</v>
      </c>
      <c r="B81" s="228">
        <v>1.05</v>
      </c>
      <c r="C81" s="178" t="s">
        <v>201</v>
      </c>
    </row>
    <row r="82" spans="1:3" x14ac:dyDescent="0.2">
      <c r="A82" s="178" t="s">
        <v>238</v>
      </c>
      <c r="B82" s="228">
        <v>19</v>
      </c>
      <c r="C82" s="178" t="s">
        <v>238</v>
      </c>
    </row>
    <row r="83" spans="1:3" x14ac:dyDescent="0.2">
      <c r="A83" s="178" t="s">
        <v>202</v>
      </c>
      <c r="B83" s="228">
        <v>0.85</v>
      </c>
      <c r="C83" s="178" t="s">
        <v>202</v>
      </c>
    </row>
    <row r="84" spans="1:3" x14ac:dyDescent="0.2">
      <c r="A84" s="178" t="s">
        <v>203</v>
      </c>
      <c r="B84" s="228">
        <v>1.05</v>
      </c>
      <c r="C84" s="178" t="s">
        <v>203</v>
      </c>
    </row>
    <row r="85" spans="1:3" x14ac:dyDescent="0.2">
      <c r="A85" s="392" t="s">
        <v>204</v>
      </c>
      <c r="B85" s="228"/>
    </row>
    <row r="86" spans="1:3" x14ac:dyDescent="0.2">
      <c r="A86" s="183" t="s">
        <v>205</v>
      </c>
      <c r="B86" s="228">
        <v>3.1</v>
      </c>
    </row>
    <row r="87" spans="1:3" x14ac:dyDescent="0.2">
      <c r="A87" s="183" t="s">
        <v>206</v>
      </c>
      <c r="B87" s="228">
        <v>3.35</v>
      </c>
    </row>
    <row r="88" spans="1:3" x14ac:dyDescent="0.2">
      <c r="A88" s="183" t="s">
        <v>207</v>
      </c>
      <c r="B88" s="228">
        <v>3.35</v>
      </c>
    </row>
    <row r="89" spans="1:3" x14ac:dyDescent="0.2">
      <c r="A89" s="183" t="s">
        <v>208</v>
      </c>
      <c r="B89" s="228">
        <v>3.35</v>
      </c>
    </row>
    <row r="90" spans="1:3" x14ac:dyDescent="0.2">
      <c r="A90" s="182" t="s">
        <v>209</v>
      </c>
      <c r="B90" s="273">
        <v>3.6</v>
      </c>
    </row>
    <row r="91" spans="1:3" x14ac:dyDescent="0.2">
      <c r="A91" s="354" t="s">
        <v>210</v>
      </c>
      <c r="B91" s="273"/>
    </row>
    <row r="92" spans="1:3" x14ac:dyDescent="0.2">
      <c r="A92" s="354" t="s">
        <v>211</v>
      </c>
      <c r="B92" s="273">
        <v>0.85</v>
      </c>
    </row>
    <row r="93" spans="1:3" x14ac:dyDescent="0.2">
      <c r="A93" s="354" t="s">
        <v>212</v>
      </c>
      <c r="B93" s="273">
        <v>0.85</v>
      </c>
    </row>
    <row r="94" spans="1:3" x14ac:dyDescent="0.2">
      <c r="A94" s="182" t="s">
        <v>213</v>
      </c>
      <c r="B94" s="273"/>
    </row>
    <row r="95" spans="1:3" x14ac:dyDescent="0.2">
      <c r="A95" s="182" t="s">
        <v>214</v>
      </c>
      <c r="B95" s="273">
        <v>3.1</v>
      </c>
    </row>
    <row r="96" spans="1:3" x14ac:dyDescent="0.2">
      <c r="A96" s="182" t="s">
        <v>215</v>
      </c>
      <c r="B96" s="273">
        <v>3.1</v>
      </c>
    </row>
    <row r="97" spans="1:2" x14ac:dyDescent="0.2">
      <c r="A97" s="354" t="s">
        <v>216</v>
      </c>
      <c r="B97" s="273"/>
    </row>
    <row r="98" spans="1:2" x14ac:dyDescent="0.2">
      <c r="A98" s="354" t="s">
        <v>217</v>
      </c>
      <c r="B98" s="273">
        <v>1.02</v>
      </c>
    </row>
    <row r="99" spans="1:2" x14ac:dyDescent="0.2">
      <c r="A99" s="354" t="s">
        <v>218</v>
      </c>
      <c r="B99" s="273">
        <v>1.02</v>
      </c>
    </row>
    <row r="100" spans="1:2" x14ac:dyDescent="0.2">
      <c r="A100" s="354" t="s">
        <v>219</v>
      </c>
      <c r="B100" s="273">
        <v>1.02</v>
      </c>
    </row>
    <row r="101" spans="1:2" x14ac:dyDescent="0.2">
      <c r="A101" s="182" t="s">
        <v>220</v>
      </c>
      <c r="B101" s="273"/>
    </row>
    <row r="102" spans="1:2" x14ac:dyDescent="0.2">
      <c r="A102" s="182" t="s">
        <v>221</v>
      </c>
      <c r="B102" s="273">
        <v>3.5</v>
      </c>
    </row>
    <row r="103" spans="1:2" x14ac:dyDescent="0.2">
      <c r="A103" s="182" t="s">
        <v>222</v>
      </c>
      <c r="B103" s="273">
        <v>3.5</v>
      </c>
    </row>
    <row r="104" spans="1:2" x14ac:dyDescent="0.2">
      <c r="A104" s="182" t="s">
        <v>223</v>
      </c>
      <c r="B104" s="273">
        <v>20.5</v>
      </c>
    </row>
    <row r="105" spans="1:2" x14ac:dyDescent="0.2">
      <c r="A105" s="354" t="s">
        <v>224</v>
      </c>
      <c r="B105" s="273"/>
    </row>
    <row r="106" spans="1:2" x14ac:dyDescent="0.2">
      <c r="A106" s="354" t="s">
        <v>225</v>
      </c>
      <c r="B106" s="273">
        <v>0.85</v>
      </c>
    </row>
    <row r="107" spans="1:2" x14ac:dyDescent="0.2">
      <c r="A107" s="182" t="s">
        <v>226</v>
      </c>
      <c r="B107" s="273"/>
    </row>
    <row r="108" spans="1:2" x14ac:dyDescent="0.2">
      <c r="A108" s="182" t="s">
        <v>227</v>
      </c>
      <c r="B108" s="273">
        <v>3.1</v>
      </c>
    </row>
    <row r="109" spans="1:2" x14ac:dyDescent="0.2">
      <c r="A109" s="182" t="s">
        <v>228</v>
      </c>
      <c r="B109" s="273">
        <v>198</v>
      </c>
    </row>
    <row r="110" spans="1:2" x14ac:dyDescent="0.2">
      <c r="A110" s="182"/>
      <c r="B110" s="274"/>
    </row>
    <row r="111" spans="1:2" x14ac:dyDescent="0.2">
      <c r="A111" s="354"/>
      <c r="B111" s="273"/>
    </row>
    <row r="112" spans="1:2" x14ac:dyDescent="0.2">
      <c r="A112" s="182" t="s">
        <v>124</v>
      </c>
      <c r="B112" s="273">
        <v>0.85</v>
      </c>
    </row>
    <row r="113" spans="1:2" x14ac:dyDescent="0.2">
      <c r="A113" s="182" t="s">
        <v>125</v>
      </c>
      <c r="B113" s="273">
        <v>3.5</v>
      </c>
    </row>
    <row r="114" spans="1:2" x14ac:dyDescent="0.2">
      <c r="A114" s="182" t="s">
        <v>118</v>
      </c>
      <c r="B114" s="273">
        <v>3.1850000000000001</v>
      </c>
    </row>
    <row r="115" spans="1:2" x14ac:dyDescent="0.2">
      <c r="A115" s="182"/>
      <c r="B115" s="273"/>
    </row>
    <row r="116" spans="1:2" x14ac:dyDescent="0.2">
      <c r="A116" s="182" t="s">
        <v>229</v>
      </c>
      <c r="B116" s="273">
        <v>4.0999999999999996</v>
      </c>
    </row>
    <row r="117" spans="1:2" x14ac:dyDescent="0.2">
      <c r="A117" s="182" t="s">
        <v>230</v>
      </c>
      <c r="B117" s="273">
        <f>(3.6*1.25)+0.05</f>
        <v>4.55</v>
      </c>
    </row>
    <row r="118" spans="1:2" x14ac:dyDescent="0.2">
      <c r="A118" s="182" t="s">
        <v>231</v>
      </c>
      <c r="B118" s="273">
        <v>20.03</v>
      </c>
    </row>
    <row r="119" spans="1:2" x14ac:dyDescent="0.2">
      <c r="A119" s="182"/>
      <c r="B119" s="273"/>
    </row>
    <row r="120" spans="1:2" x14ac:dyDescent="0.2">
      <c r="A120" s="182" t="s">
        <v>232</v>
      </c>
      <c r="B120" s="273">
        <v>0.51</v>
      </c>
    </row>
    <row r="121" spans="1:2" x14ac:dyDescent="0.2">
      <c r="A121" s="182" t="s">
        <v>233</v>
      </c>
      <c r="B121" s="273">
        <v>1.01</v>
      </c>
    </row>
    <row r="122" spans="1:2" x14ac:dyDescent="0.2">
      <c r="A122" s="182" t="s">
        <v>132</v>
      </c>
      <c r="B122" s="273">
        <v>0.81</v>
      </c>
    </row>
    <row r="123" spans="1:2" x14ac:dyDescent="0.2">
      <c r="A123" s="182" t="s">
        <v>133</v>
      </c>
      <c r="B123" s="273">
        <v>0.46</v>
      </c>
    </row>
    <row r="124" spans="1:2" x14ac:dyDescent="0.2">
      <c r="A124" s="354"/>
      <c r="B124" s="273"/>
    </row>
    <row r="125" spans="1:2" x14ac:dyDescent="0.2">
      <c r="A125" s="182" t="s">
        <v>134</v>
      </c>
      <c r="B125" s="273">
        <v>3.6</v>
      </c>
    </row>
    <row r="126" spans="1:2" x14ac:dyDescent="0.2">
      <c r="A126" s="182" t="s">
        <v>119</v>
      </c>
      <c r="B126" s="273">
        <v>12.85</v>
      </c>
    </row>
    <row r="127" spans="1:2" x14ac:dyDescent="0.2">
      <c r="A127" s="182" t="s">
        <v>120</v>
      </c>
      <c r="B127" s="273">
        <v>15.85</v>
      </c>
    </row>
    <row r="128" spans="1:2" x14ac:dyDescent="0.2">
      <c r="A128" s="182" t="s">
        <v>121</v>
      </c>
      <c r="B128" s="273">
        <v>18.850000000000001</v>
      </c>
    </row>
    <row r="129" spans="1:9" x14ac:dyDescent="0.2">
      <c r="A129" s="182"/>
      <c r="B129" s="273"/>
    </row>
    <row r="130" spans="1:9" x14ac:dyDescent="0.2">
      <c r="A130" s="24" t="s">
        <v>244</v>
      </c>
      <c r="B130" s="28">
        <v>4</v>
      </c>
    </row>
    <row r="131" spans="1:9" x14ac:dyDescent="0.2">
      <c r="A131" s="24" t="s">
        <v>239</v>
      </c>
      <c r="B131" s="28">
        <v>17</v>
      </c>
    </row>
    <row r="132" spans="1:9" x14ac:dyDescent="0.2">
      <c r="A132" s="213"/>
      <c r="B132" s="28"/>
    </row>
    <row r="133" spans="1:9" x14ac:dyDescent="0.2">
      <c r="A133" s="387" t="s">
        <v>234</v>
      </c>
      <c r="B133" s="273">
        <v>3.5</v>
      </c>
    </row>
    <row r="134" spans="1:9" x14ac:dyDescent="0.2">
      <c r="A134" s="387" t="s">
        <v>235</v>
      </c>
      <c r="B134" s="273">
        <v>3.4</v>
      </c>
    </row>
    <row r="135" spans="1:9" x14ac:dyDescent="0.2">
      <c r="A135" s="387" t="s">
        <v>236</v>
      </c>
      <c r="B135" s="273">
        <v>15.5</v>
      </c>
    </row>
    <row r="136" spans="1:9" x14ac:dyDescent="0.2">
      <c r="A136" s="387" t="s">
        <v>237</v>
      </c>
      <c r="B136" s="273">
        <v>15.8</v>
      </c>
    </row>
    <row r="137" spans="1:9" x14ac:dyDescent="0.2">
      <c r="A137" s="180"/>
      <c r="B137" s="28"/>
    </row>
    <row r="138" spans="1:9" x14ac:dyDescent="0.2">
      <c r="A138" s="180"/>
      <c r="B138" s="29" t="s">
        <v>28</v>
      </c>
    </row>
    <row r="139" spans="1:9" x14ac:dyDescent="0.2">
      <c r="A139" s="181"/>
      <c r="B139" s="98"/>
      <c r="D139" s="59"/>
      <c r="H139" s="60"/>
      <c r="I139" s="59"/>
    </row>
    <row r="140" spans="1:9" x14ac:dyDescent="0.2">
      <c r="A140" s="181"/>
      <c r="B140" s="99"/>
      <c r="H140" s="61"/>
    </row>
    <row r="141" spans="1:9" x14ac:dyDescent="0.2">
      <c r="A141" s="97"/>
      <c r="B141" s="99"/>
    </row>
    <row r="142" spans="1:9" x14ac:dyDescent="0.2">
      <c r="A142" s="97"/>
      <c r="B142" s="99"/>
    </row>
    <row r="143" spans="1:9" x14ac:dyDescent="0.2">
      <c r="A143" s="97"/>
      <c r="B143" s="99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3"/>
  <dimension ref="A1:GZ179"/>
  <sheetViews>
    <sheetView showGridLines="0" topLeftCell="A111" zoomScaleNormal="100" workbookViewId="0">
      <selection activeCell="A130" sqref="A130"/>
    </sheetView>
  </sheetViews>
  <sheetFormatPr defaultColWidth="9.140625" defaultRowHeight="12" x14ac:dyDescent="0.2"/>
  <cols>
    <col min="1" max="1" width="44.85546875" style="24" bestFit="1" customWidth="1"/>
    <col min="2" max="2" width="8.5703125" style="39" bestFit="1" customWidth="1"/>
    <col min="3" max="3" width="21.42578125" style="24" bestFit="1" customWidth="1"/>
    <col min="4" max="4" width="8.5703125" style="39" bestFit="1" customWidth="1"/>
    <col min="5" max="5" width="21.42578125" style="24" bestFit="1" customWidth="1"/>
    <col min="6" max="6" width="8.5703125" style="39" bestFit="1" customWidth="1"/>
    <col min="7" max="7" width="21.42578125" style="24" customWidth="1"/>
    <col min="8" max="16384" width="9.140625" style="24"/>
  </cols>
  <sheetData>
    <row r="1" spans="1:8" ht="12.75" x14ac:dyDescent="0.2">
      <c r="A1" s="3"/>
      <c r="C1" s="3"/>
      <c r="E1" s="3"/>
    </row>
    <row r="2" spans="1:8" ht="12.75" x14ac:dyDescent="0.2">
      <c r="A2" s="3"/>
      <c r="C2" s="3"/>
      <c r="E2" s="3"/>
    </row>
    <row r="3" spans="1:8" ht="12.75" x14ac:dyDescent="0.2">
      <c r="A3" s="3"/>
      <c r="C3" s="3"/>
      <c r="E3" s="3"/>
    </row>
    <row r="5" spans="1:8" ht="12.75" x14ac:dyDescent="0.2">
      <c r="A5" s="3"/>
      <c r="C5" s="3"/>
      <c r="E5" s="3"/>
    </row>
    <row r="6" spans="1:8" ht="12.75" x14ac:dyDescent="0.2">
      <c r="A6" s="3"/>
      <c r="C6" s="3"/>
      <c r="E6" s="3"/>
    </row>
    <row r="8" spans="1:8" x14ac:dyDescent="0.2">
      <c r="B8" s="46"/>
    </row>
    <row r="9" spans="1:8" x14ac:dyDescent="0.2">
      <c r="A9" s="37" t="s">
        <v>102</v>
      </c>
      <c r="B9" s="80" t="s">
        <v>73</v>
      </c>
      <c r="C9" s="37"/>
      <c r="D9" s="80" t="s">
        <v>74</v>
      </c>
      <c r="E9" s="37"/>
      <c r="F9" s="80" t="s">
        <v>103</v>
      </c>
      <c r="G9" s="37"/>
      <c r="H9" s="80" t="s">
        <v>110</v>
      </c>
    </row>
    <row r="10" spans="1:8" x14ac:dyDescent="0.2">
      <c r="A10" s="38" t="s">
        <v>82</v>
      </c>
    </row>
    <row r="11" spans="1:8" x14ac:dyDescent="0.2">
      <c r="A11" s="177" t="s">
        <v>137</v>
      </c>
      <c r="B11" s="111"/>
      <c r="C11" s="111"/>
      <c r="D11" s="111"/>
      <c r="E11" s="111"/>
      <c r="F11" s="111"/>
      <c r="G11" s="111"/>
      <c r="H11" s="111"/>
    </row>
    <row r="12" spans="1:8" x14ac:dyDescent="0.2">
      <c r="A12" s="178" t="s">
        <v>138</v>
      </c>
      <c r="B12" s="56">
        <f>'MVA-IPI'!O12</f>
        <v>0.48499999999999999</v>
      </c>
      <c r="C12" s="35"/>
      <c r="D12" s="56">
        <f>'MVA-IPI'!B12</f>
        <v>0.48499999999999999</v>
      </c>
      <c r="E12" s="35"/>
      <c r="F12" s="56">
        <f>'MVA-IPI'!N12</f>
        <v>0.4667</v>
      </c>
      <c r="G12" s="35"/>
      <c r="H12" s="56">
        <f>'MVA-IPI'!AB12</f>
        <v>0</v>
      </c>
    </row>
    <row r="13" spans="1:8" x14ac:dyDescent="0.2">
      <c r="A13" s="178" t="s">
        <v>139</v>
      </c>
      <c r="B13" s="56">
        <f>'MVA-IPI'!O13</f>
        <v>0.48499999999999999</v>
      </c>
      <c r="C13" s="35"/>
      <c r="D13" s="56">
        <f>'MVA-IPI'!B13</f>
        <v>0.48499999999999999</v>
      </c>
      <c r="E13" s="35"/>
      <c r="F13" s="56">
        <f>'MVA-IPI'!N13</f>
        <v>0.4667</v>
      </c>
      <c r="G13" s="35"/>
      <c r="H13" s="56">
        <f>'MVA-IPI'!AB13</f>
        <v>0</v>
      </c>
    </row>
    <row r="14" spans="1:8" x14ac:dyDescent="0.2">
      <c r="A14" s="178" t="s">
        <v>140</v>
      </c>
      <c r="B14" s="56">
        <f>'MVA-IPI'!O14</f>
        <v>0.48499999999999999</v>
      </c>
      <c r="C14" s="35"/>
      <c r="D14" s="56">
        <f>'MVA-IPI'!B14</f>
        <v>0.48499999999999999</v>
      </c>
      <c r="E14" s="35"/>
      <c r="F14" s="56">
        <f>'MVA-IPI'!N14</f>
        <v>0.4667</v>
      </c>
      <c r="G14" s="35"/>
      <c r="H14" s="56">
        <f>'MVA-IPI'!AB14</f>
        <v>0</v>
      </c>
    </row>
    <row r="15" spans="1:8" x14ac:dyDescent="0.2">
      <c r="A15" s="178" t="s">
        <v>141</v>
      </c>
      <c r="B15" s="56">
        <f>'MVA-IPI'!O15</f>
        <v>0.48499999999999999</v>
      </c>
      <c r="C15" s="35"/>
      <c r="D15" s="56">
        <f>'MVA-IPI'!B15</f>
        <v>0.48499999999999999</v>
      </c>
      <c r="E15" s="35"/>
      <c r="F15" s="56">
        <f>'MVA-IPI'!N15</f>
        <v>0.4667</v>
      </c>
      <c r="G15" s="35"/>
      <c r="H15" s="56">
        <f>'MVA-IPI'!AB15</f>
        <v>0</v>
      </c>
    </row>
    <row r="16" spans="1:8" x14ac:dyDescent="0.2">
      <c r="A16" s="177" t="s">
        <v>142</v>
      </c>
      <c r="B16" s="111"/>
      <c r="C16" s="111"/>
      <c r="D16" s="111"/>
      <c r="E16" s="111"/>
      <c r="F16" s="111"/>
      <c r="G16" s="111"/>
      <c r="H16" s="111"/>
    </row>
    <row r="17" spans="1:8" x14ac:dyDescent="0.2">
      <c r="A17" s="178" t="s">
        <v>143</v>
      </c>
      <c r="B17" s="56">
        <f>'MVA-IPI'!O17</f>
        <v>0.48499999999999999</v>
      </c>
      <c r="C17" s="35"/>
      <c r="D17" s="56">
        <f>'MVA-IPI'!B17</f>
        <v>0.48499999999999999</v>
      </c>
      <c r="E17" s="35"/>
      <c r="F17" s="56">
        <f>'MVA-IPI'!N17</f>
        <v>0.4667</v>
      </c>
      <c r="G17" s="35"/>
      <c r="H17" s="56">
        <f>'MVA-IPI'!AB17</f>
        <v>0</v>
      </c>
    </row>
    <row r="18" spans="1:8" x14ac:dyDescent="0.2">
      <c r="A18" s="178" t="s">
        <v>144</v>
      </c>
      <c r="B18" s="56">
        <f>'MVA-IPI'!O18</f>
        <v>0.48499999999999999</v>
      </c>
      <c r="C18" s="35"/>
      <c r="D18" s="56">
        <f>'MVA-IPI'!B18</f>
        <v>0.48499999999999999</v>
      </c>
      <c r="E18" s="35"/>
      <c r="F18" s="56">
        <f>'MVA-IPI'!N18</f>
        <v>0.4667</v>
      </c>
      <c r="G18" s="35"/>
      <c r="H18" s="56">
        <f>'MVA-IPI'!AB18</f>
        <v>0</v>
      </c>
    </row>
    <row r="19" spans="1:8" x14ac:dyDescent="0.2">
      <c r="A19" s="178" t="s">
        <v>145</v>
      </c>
      <c r="B19" s="56">
        <f>'MVA-IPI'!O19</f>
        <v>0.48499999999999999</v>
      </c>
      <c r="C19" s="35"/>
      <c r="D19" s="56">
        <f>'MVA-IPI'!B19</f>
        <v>0.48499999999999999</v>
      </c>
      <c r="E19" s="35"/>
      <c r="F19" s="56">
        <f>'MVA-IPI'!N19</f>
        <v>0.4667</v>
      </c>
      <c r="G19" s="35"/>
      <c r="H19" s="56">
        <f>'MVA-IPI'!AB19</f>
        <v>0</v>
      </c>
    </row>
    <row r="20" spans="1:8" x14ac:dyDescent="0.2">
      <c r="A20" s="178" t="s">
        <v>146</v>
      </c>
      <c r="B20" s="56">
        <f>'MVA-IPI'!O20</f>
        <v>0.48499999999999999</v>
      </c>
      <c r="C20" s="35"/>
      <c r="D20" s="56">
        <f>'MVA-IPI'!B20</f>
        <v>0.48499999999999999</v>
      </c>
      <c r="E20" s="35"/>
      <c r="F20" s="56">
        <f>'MVA-IPI'!N20</f>
        <v>0.4667</v>
      </c>
      <c r="G20" s="35"/>
      <c r="H20" s="56">
        <f>'MVA-IPI'!AB20</f>
        <v>0</v>
      </c>
    </row>
    <row r="21" spans="1:8" x14ac:dyDescent="0.2">
      <c r="A21" s="177" t="s">
        <v>147</v>
      </c>
      <c r="B21" s="111"/>
      <c r="C21" s="111"/>
      <c r="D21" s="111"/>
      <c r="E21" s="111"/>
      <c r="F21" s="111"/>
      <c r="G21" s="111"/>
      <c r="H21" s="111"/>
    </row>
    <row r="22" spans="1:8" x14ac:dyDescent="0.2">
      <c r="A22" s="178" t="s">
        <v>148</v>
      </c>
      <c r="B22" s="56">
        <f>'MVA-IPI'!O22</f>
        <v>0.48499999999999999</v>
      </c>
      <c r="C22" s="35"/>
      <c r="D22" s="56">
        <f>'MVA-IPI'!B22</f>
        <v>0.48499999999999999</v>
      </c>
      <c r="E22" s="35"/>
      <c r="F22" s="56">
        <f>'MVA-IPI'!N22</f>
        <v>0.4667</v>
      </c>
      <c r="G22" s="35"/>
      <c r="H22" s="56">
        <f>'MVA-IPI'!AB22</f>
        <v>0</v>
      </c>
    </row>
    <row r="23" spans="1:8" x14ac:dyDescent="0.2">
      <c r="A23" s="178" t="s">
        <v>149</v>
      </c>
      <c r="B23" s="56">
        <f>'MVA-IPI'!O23</f>
        <v>0.48499999999999999</v>
      </c>
      <c r="C23" s="35"/>
      <c r="D23" s="56">
        <f>'MVA-IPI'!B23</f>
        <v>0.48499999999999999</v>
      </c>
      <c r="E23" s="35"/>
      <c r="F23" s="56">
        <f>'MVA-IPI'!N23</f>
        <v>0.4667</v>
      </c>
      <c r="G23" s="35"/>
      <c r="H23" s="56">
        <f>'MVA-IPI'!AB23</f>
        <v>0</v>
      </c>
    </row>
    <row r="24" spans="1:8" x14ac:dyDescent="0.2">
      <c r="A24" s="177" t="s">
        <v>150</v>
      </c>
      <c r="B24" s="111"/>
      <c r="C24" s="111"/>
      <c r="D24" s="111"/>
      <c r="E24" s="111"/>
      <c r="F24" s="111"/>
      <c r="G24" s="111"/>
      <c r="H24" s="111"/>
    </row>
    <row r="25" spans="1:8" x14ac:dyDescent="0.2">
      <c r="A25" s="178" t="s">
        <v>151</v>
      </c>
      <c r="B25" s="56">
        <f>'MVA-IPI'!O25</f>
        <v>0.48499999999999999</v>
      </c>
      <c r="C25" s="35"/>
      <c r="D25" s="56">
        <f>'MVA-IPI'!B25</f>
        <v>0.48499999999999999</v>
      </c>
      <c r="E25" s="35"/>
      <c r="F25" s="56">
        <f>'MVA-IPI'!N25</f>
        <v>0.4667</v>
      </c>
      <c r="G25" s="35"/>
      <c r="H25" s="56">
        <f>'MVA-IPI'!AB25</f>
        <v>0</v>
      </c>
    </row>
    <row r="26" spans="1:8" x14ac:dyDescent="0.2">
      <c r="A26" s="178" t="s">
        <v>152</v>
      </c>
      <c r="B26" s="56">
        <f>'MVA-IPI'!O26</f>
        <v>0.48499999999999999</v>
      </c>
      <c r="C26" s="35"/>
      <c r="D26" s="56">
        <f>'MVA-IPI'!B26</f>
        <v>0.48499999999999999</v>
      </c>
      <c r="E26" s="35"/>
      <c r="F26" s="56">
        <f>'MVA-IPI'!N26</f>
        <v>0.4667</v>
      </c>
      <c r="G26" s="35"/>
      <c r="H26" s="56">
        <f>'MVA-IPI'!AB26</f>
        <v>0</v>
      </c>
    </row>
    <row r="27" spans="1:8" x14ac:dyDescent="0.2">
      <c r="A27" s="177" t="s">
        <v>153</v>
      </c>
      <c r="B27" s="111"/>
      <c r="C27" s="111"/>
      <c r="D27" s="111"/>
      <c r="E27" s="111"/>
      <c r="F27" s="111"/>
      <c r="G27" s="111"/>
      <c r="H27" s="111"/>
    </row>
    <row r="28" spans="1:8" x14ac:dyDescent="0.2">
      <c r="A28" s="178" t="s">
        <v>154</v>
      </c>
      <c r="B28" s="56">
        <f>'MVA-IPI'!O28</f>
        <v>0.48499999999999999</v>
      </c>
      <c r="C28" s="35"/>
      <c r="D28" s="56">
        <f>'MVA-IPI'!B28</f>
        <v>0.48499999999999999</v>
      </c>
      <c r="E28" s="35"/>
      <c r="F28" s="56">
        <f>'MVA-IPI'!N28</f>
        <v>0.4667</v>
      </c>
      <c r="G28" s="35"/>
      <c r="H28" s="56">
        <f>'MVA-IPI'!AB28</f>
        <v>0</v>
      </c>
    </row>
    <row r="29" spans="1:8" x14ac:dyDescent="0.2">
      <c r="A29" s="178" t="s">
        <v>155</v>
      </c>
      <c r="B29" s="56">
        <f>'MVA-IPI'!O29</f>
        <v>0.48499999999999999</v>
      </c>
      <c r="C29" s="35"/>
      <c r="D29" s="56">
        <f>'MVA-IPI'!B29</f>
        <v>0.48499999999999999</v>
      </c>
      <c r="E29" s="35"/>
      <c r="F29" s="56">
        <f>'MVA-IPI'!N29</f>
        <v>0.4667</v>
      </c>
      <c r="G29" s="35"/>
      <c r="H29" s="56">
        <f>'MVA-IPI'!AB29</f>
        <v>0</v>
      </c>
    </row>
    <row r="30" spans="1:8" x14ac:dyDescent="0.2">
      <c r="A30" s="177" t="s">
        <v>156</v>
      </c>
      <c r="B30" s="111"/>
      <c r="C30" s="111"/>
      <c r="D30" s="111"/>
      <c r="E30" s="111"/>
      <c r="F30" s="111"/>
      <c r="G30" s="111"/>
      <c r="H30" s="111"/>
    </row>
    <row r="31" spans="1:8" x14ac:dyDescent="0.2">
      <c r="A31" s="178" t="s">
        <v>157</v>
      </c>
      <c r="B31" s="56">
        <f>'MVA-IPI'!O31</f>
        <v>0.48499999999999999</v>
      </c>
      <c r="C31" s="35"/>
      <c r="D31" s="56">
        <f>'MVA-IPI'!B31</f>
        <v>0.48499999999999999</v>
      </c>
      <c r="E31" s="35"/>
      <c r="F31" s="56">
        <f>'MVA-IPI'!N31</f>
        <v>0.4667</v>
      </c>
      <c r="G31" s="35"/>
      <c r="H31" s="56">
        <f>'MVA-IPI'!AB31</f>
        <v>0</v>
      </c>
    </row>
    <row r="32" spans="1:8" x14ac:dyDescent="0.2">
      <c r="A32" s="178" t="s">
        <v>158</v>
      </c>
      <c r="B32" s="56">
        <f>'MVA-IPI'!O32</f>
        <v>0.48499999999999999</v>
      </c>
      <c r="C32" s="35"/>
      <c r="D32" s="56">
        <f>'MVA-IPI'!B32</f>
        <v>0.48499999999999999</v>
      </c>
      <c r="E32" s="35"/>
      <c r="F32" s="56">
        <f>'MVA-IPI'!N32</f>
        <v>0.4667</v>
      </c>
      <c r="G32" s="35"/>
      <c r="H32" s="56">
        <f>'MVA-IPI'!AB32</f>
        <v>0</v>
      </c>
    </row>
    <row r="33" spans="1:8" x14ac:dyDescent="0.2">
      <c r="A33" s="178" t="s">
        <v>159</v>
      </c>
      <c r="B33" s="56">
        <f>'MVA-IPI'!O33</f>
        <v>0.48499999999999999</v>
      </c>
      <c r="C33" s="35"/>
      <c r="D33" s="56">
        <f>'MVA-IPI'!B33</f>
        <v>0.48499999999999999</v>
      </c>
      <c r="E33" s="35"/>
      <c r="F33" s="56">
        <f>'MVA-IPI'!N33</f>
        <v>0.4667</v>
      </c>
      <c r="G33" s="35"/>
      <c r="H33" s="56">
        <f>'MVA-IPI'!AB33</f>
        <v>0</v>
      </c>
    </row>
    <row r="34" spans="1:8" x14ac:dyDescent="0.2">
      <c r="A34" s="177" t="s">
        <v>160</v>
      </c>
      <c r="B34" s="111"/>
      <c r="C34" s="111"/>
      <c r="D34" s="111"/>
      <c r="E34" s="111"/>
      <c r="F34" s="111"/>
      <c r="G34" s="111"/>
      <c r="H34" s="111"/>
    </row>
    <row r="35" spans="1:8" x14ac:dyDescent="0.2">
      <c r="A35" s="178" t="s">
        <v>161</v>
      </c>
      <c r="B35" s="56">
        <f>'MVA-IPI'!O35</f>
        <v>0.48499999999999999</v>
      </c>
      <c r="C35" s="35"/>
      <c r="D35" s="56">
        <f>'MVA-IPI'!B35</f>
        <v>0.48499999999999999</v>
      </c>
      <c r="E35" s="35"/>
      <c r="F35" s="56">
        <f>'MVA-IPI'!N35</f>
        <v>0.4667</v>
      </c>
      <c r="G35" s="35"/>
      <c r="H35" s="56">
        <f>'MVA-IPI'!AB35</f>
        <v>0</v>
      </c>
    </row>
    <row r="36" spans="1:8" x14ac:dyDescent="0.2">
      <c r="A36" s="178" t="s">
        <v>162</v>
      </c>
      <c r="B36" s="56">
        <f>'MVA-IPI'!O36</f>
        <v>0.48499999999999999</v>
      </c>
      <c r="C36" s="35"/>
      <c r="D36" s="56">
        <f>'MVA-IPI'!B36</f>
        <v>0.48499999999999999</v>
      </c>
      <c r="E36" s="35"/>
      <c r="F36" s="56">
        <f>'MVA-IPI'!N36</f>
        <v>0.4667</v>
      </c>
      <c r="G36" s="35"/>
      <c r="H36" s="56">
        <f>'MVA-IPI'!AB36</f>
        <v>0</v>
      </c>
    </row>
    <row r="37" spans="1:8" x14ac:dyDescent="0.2">
      <c r="A37" s="177" t="s">
        <v>163</v>
      </c>
      <c r="B37" s="111"/>
      <c r="C37" s="111"/>
      <c r="D37" s="111"/>
      <c r="E37" s="111"/>
      <c r="F37" s="111"/>
      <c r="G37" s="111"/>
      <c r="H37" s="111"/>
    </row>
    <row r="38" spans="1:8" x14ac:dyDescent="0.2">
      <c r="A38" s="178" t="s">
        <v>164</v>
      </c>
      <c r="B38" s="56">
        <f>'MVA-IPI'!O38</f>
        <v>0.48499999999999999</v>
      </c>
      <c r="C38" s="35"/>
      <c r="D38" s="56">
        <f>'MVA-IPI'!B38</f>
        <v>0.48499999999999999</v>
      </c>
      <c r="E38" s="35"/>
      <c r="F38" s="56">
        <f>'MVA-IPI'!N38</f>
        <v>0.4667</v>
      </c>
      <c r="G38" s="35"/>
      <c r="H38" s="56">
        <f>'MVA-IPI'!AB38</f>
        <v>0</v>
      </c>
    </row>
    <row r="39" spans="1:8" x14ac:dyDescent="0.2">
      <c r="A39" s="178" t="s">
        <v>165</v>
      </c>
      <c r="B39" s="56">
        <f>'MVA-IPI'!O39</f>
        <v>0.48499999999999999</v>
      </c>
      <c r="C39" s="35"/>
      <c r="D39" s="56">
        <f>'MVA-IPI'!B39</f>
        <v>0.48499999999999999</v>
      </c>
      <c r="E39" s="35"/>
      <c r="F39" s="56">
        <f>'MVA-IPI'!N39</f>
        <v>0.4667</v>
      </c>
      <c r="G39" s="35"/>
      <c r="H39" s="56">
        <f>'MVA-IPI'!AB39</f>
        <v>0</v>
      </c>
    </row>
    <row r="40" spans="1:8" x14ac:dyDescent="0.2">
      <c r="A40" s="177" t="s">
        <v>166</v>
      </c>
      <c r="B40" s="111"/>
      <c r="C40" s="111"/>
      <c r="D40" s="111"/>
      <c r="E40" s="111"/>
      <c r="F40" s="111"/>
      <c r="G40" s="111"/>
      <c r="H40" s="111"/>
    </row>
    <row r="41" spans="1:8" x14ac:dyDescent="0.2">
      <c r="A41" s="178" t="s">
        <v>167</v>
      </c>
      <c r="B41" s="56">
        <f>'MVA-IPI'!O41</f>
        <v>0.48499999999999999</v>
      </c>
      <c r="C41" s="35"/>
      <c r="D41" s="56">
        <f>'MVA-IPI'!B41</f>
        <v>0.48499999999999999</v>
      </c>
      <c r="E41" s="35"/>
      <c r="F41" s="56">
        <f>'MVA-IPI'!N41</f>
        <v>0.4667</v>
      </c>
      <c r="G41" s="35"/>
      <c r="H41" s="56">
        <f>'MVA-IPI'!AB41</f>
        <v>0</v>
      </c>
    </row>
    <row r="42" spans="1:8" x14ac:dyDescent="0.2">
      <c r="A42" s="178" t="s">
        <v>168</v>
      </c>
      <c r="B42" s="56">
        <f>'MVA-IPI'!O42</f>
        <v>0.48499999999999999</v>
      </c>
      <c r="C42" s="35"/>
      <c r="D42" s="56">
        <f>'MVA-IPI'!B42</f>
        <v>0.48499999999999999</v>
      </c>
      <c r="E42" s="35"/>
      <c r="F42" s="56">
        <f>'MVA-IPI'!N42</f>
        <v>0.4667</v>
      </c>
      <c r="G42" s="35"/>
      <c r="H42" s="56">
        <f>'MVA-IPI'!AB42</f>
        <v>0</v>
      </c>
    </row>
    <row r="43" spans="1:8" x14ac:dyDescent="0.2">
      <c r="A43" s="177" t="s">
        <v>169</v>
      </c>
      <c r="B43" s="111"/>
      <c r="C43" s="111"/>
      <c r="D43" s="111"/>
      <c r="E43" s="111"/>
      <c r="F43" s="111"/>
      <c r="G43" s="111"/>
      <c r="H43" s="111"/>
    </row>
    <row r="44" spans="1:8" x14ac:dyDescent="0.2">
      <c r="A44" s="178" t="s">
        <v>170</v>
      </c>
      <c r="B44" s="56">
        <f>'MVA-IPI'!O44</f>
        <v>0.48499999999999999</v>
      </c>
      <c r="C44" s="35"/>
      <c r="D44" s="56">
        <f>'MVA-IPI'!B44</f>
        <v>0.48499999999999999</v>
      </c>
      <c r="E44" s="35"/>
      <c r="F44" s="56">
        <f>'MVA-IPI'!N44</f>
        <v>0.4667</v>
      </c>
      <c r="G44" s="35"/>
      <c r="H44" s="56">
        <f>'MVA-IPI'!AB44</f>
        <v>0</v>
      </c>
    </row>
    <row r="45" spans="1:8" x14ac:dyDescent="0.2">
      <c r="A45" s="178" t="s">
        <v>171</v>
      </c>
      <c r="B45" s="56">
        <f>'MVA-IPI'!O45</f>
        <v>0.48499999999999999</v>
      </c>
      <c r="C45" s="35"/>
      <c r="D45" s="56">
        <f>'MVA-IPI'!B45</f>
        <v>0.48499999999999999</v>
      </c>
      <c r="E45" s="35"/>
      <c r="F45" s="56">
        <f>'MVA-IPI'!N45</f>
        <v>0.4667</v>
      </c>
      <c r="G45" s="35"/>
      <c r="H45" s="56">
        <f>'MVA-IPI'!AB45</f>
        <v>0</v>
      </c>
    </row>
    <row r="46" spans="1:8" x14ac:dyDescent="0.2">
      <c r="A46" s="177" t="s">
        <v>122</v>
      </c>
      <c r="B46" s="111"/>
      <c r="C46" s="111"/>
      <c r="D46" s="111"/>
      <c r="E46" s="111"/>
      <c r="F46" s="111"/>
      <c r="G46" s="111"/>
      <c r="H46" s="111"/>
    </row>
    <row r="47" spans="1:8" x14ac:dyDescent="0.2">
      <c r="A47" s="178" t="s">
        <v>123</v>
      </c>
      <c r="B47" s="56">
        <f>'MVA-IPI'!O47</f>
        <v>0.48499999999999999</v>
      </c>
      <c r="C47" s="35"/>
      <c r="D47" s="56">
        <f>'MVA-IPI'!B47</f>
        <v>0.48499999999999999</v>
      </c>
      <c r="E47" s="35"/>
      <c r="F47" s="56">
        <f>'MVA-IPI'!N47</f>
        <v>0.4667</v>
      </c>
      <c r="G47" s="35"/>
      <c r="H47" s="56">
        <f>'MVA-IPI'!AB47</f>
        <v>0</v>
      </c>
    </row>
    <row r="48" spans="1:8" x14ac:dyDescent="0.2">
      <c r="A48" s="177" t="s">
        <v>84</v>
      </c>
      <c r="B48" s="111"/>
      <c r="C48" s="111"/>
      <c r="D48" s="111"/>
      <c r="E48" s="111"/>
      <c r="F48" s="111"/>
      <c r="G48" s="111"/>
      <c r="H48" s="111"/>
    </row>
    <row r="49" spans="1:8" x14ac:dyDescent="0.2">
      <c r="A49" s="178" t="s">
        <v>114</v>
      </c>
      <c r="B49" s="56">
        <f>'MVA-IPI'!O49</f>
        <v>0.48499999999999999</v>
      </c>
      <c r="C49" s="35"/>
      <c r="D49" s="56">
        <f>'MVA-IPI'!B49</f>
        <v>0.48499999999999999</v>
      </c>
      <c r="E49" s="35"/>
      <c r="F49" s="56">
        <f>'MVA-IPI'!N49</f>
        <v>0.4667</v>
      </c>
      <c r="G49" s="35"/>
      <c r="H49" s="56">
        <f>'MVA-IPI'!AB49</f>
        <v>0</v>
      </c>
    </row>
    <row r="50" spans="1:8" x14ac:dyDescent="0.2">
      <c r="A50" s="178" t="s">
        <v>92</v>
      </c>
      <c r="B50" s="56"/>
      <c r="C50" s="35"/>
      <c r="D50" s="56"/>
      <c r="E50" s="35"/>
      <c r="F50" s="56"/>
      <c r="G50" s="35"/>
      <c r="H50" s="56"/>
    </row>
    <row r="51" spans="1:8" x14ac:dyDescent="0.2">
      <c r="A51" s="177" t="s">
        <v>172</v>
      </c>
      <c r="B51" s="111"/>
      <c r="C51" s="111"/>
      <c r="D51" s="111"/>
      <c r="E51" s="111"/>
      <c r="F51" s="111"/>
      <c r="G51" s="111"/>
      <c r="H51" s="111"/>
    </row>
    <row r="52" spans="1:8" x14ac:dyDescent="0.2">
      <c r="A52" s="178" t="s">
        <v>173</v>
      </c>
      <c r="B52" s="56">
        <f>'MVA-IPI'!O52</f>
        <v>0</v>
      </c>
      <c r="C52" s="35"/>
      <c r="D52" s="56">
        <f>'MVA-IPI'!B52</f>
        <v>0</v>
      </c>
      <c r="E52" s="35"/>
      <c r="F52" s="56">
        <f>'MVA-IPI'!N52</f>
        <v>0</v>
      </c>
      <c r="G52" s="35"/>
      <c r="H52" s="56">
        <f>'MVA-IPI'!AB52</f>
        <v>0</v>
      </c>
    </row>
    <row r="53" spans="1:8" x14ac:dyDescent="0.2">
      <c r="A53" s="178" t="s">
        <v>174</v>
      </c>
      <c r="B53" s="56">
        <f>'MVA-IPI'!O53</f>
        <v>0</v>
      </c>
      <c r="C53" s="35"/>
      <c r="D53" s="56">
        <f>'MVA-IPI'!B53</f>
        <v>0</v>
      </c>
      <c r="E53" s="35"/>
      <c r="F53" s="56">
        <f>'MVA-IPI'!N53</f>
        <v>0</v>
      </c>
      <c r="G53" s="35"/>
      <c r="H53" s="56">
        <f>'MVA-IPI'!AB53</f>
        <v>0</v>
      </c>
    </row>
    <row r="54" spans="1:8" x14ac:dyDescent="0.2">
      <c r="A54" s="183" t="s">
        <v>175</v>
      </c>
      <c r="B54" s="56">
        <f>'MVA-IPI'!O54</f>
        <v>0</v>
      </c>
      <c r="C54" s="35"/>
      <c r="D54" s="56">
        <f>'MVA-IPI'!B54</f>
        <v>0</v>
      </c>
      <c r="E54" s="35"/>
      <c r="F54" s="56">
        <f>'MVA-IPI'!N54</f>
        <v>0</v>
      </c>
      <c r="G54" s="35"/>
      <c r="H54" s="56">
        <f>'MVA-IPI'!AB54</f>
        <v>0</v>
      </c>
    </row>
    <row r="55" spans="1:8" x14ac:dyDescent="0.2">
      <c r="A55" s="178" t="s">
        <v>176</v>
      </c>
      <c r="B55" s="56">
        <f>'MVA-IPI'!O55</f>
        <v>0</v>
      </c>
      <c r="C55" s="35"/>
      <c r="D55" s="56">
        <f>'MVA-IPI'!B55</f>
        <v>0</v>
      </c>
      <c r="E55" s="35"/>
      <c r="F55" s="56">
        <f>'MVA-IPI'!N55</f>
        <v>0</v>
      </c>
      <c r="G55" s="35"/>
      <c r="H55" s="56">
        <f>'MVA-IPI'!AB55</f>
        <v>0</v>
      </c>
    </row>
    <row r="56" spans="1:8" x14ac:dyDescent="0.2">
      <c r="A56" s="178" t="s">
        <v>177</v>
      </c>
      <c r="B56" s="56">
        <f>'MVA-IPI'!O56</f>
        <v>0</v>
      </c>
      <c r="C56" s="35"/>
      <c r="D56" s="56">
        <f>'MVA-IPI'!B56</f>
        <v>0</v>
      </c>
      <c r="E56" s="35"/>
      <c r="F56" s="56">
        <f>'MVA-IPI'!N56</f>
        <v>0</v>
      </c>
      <c r="G56" s="35"/>
      <c r="H56" s="56">
        <f>'MVA-IPI'!AB56</f>
        <v>0</v>
      </c>
    </row>
    <row r="57" spans="1:8" x14ac:dyDescent="0.2">
      <c r="A57" s="178" t="s">
        <v>178</v>
      </c>
      <c r="B57" s="56">
        <f>'MVA-IPI'!O57</f>
        <v>0</v>
      </c>
      <c r="C57" s="35"/>
      <c r="D57" s="56">
        <f>'MVA-IPI'!B57</f>
        <v>0</v>
      </c>
      <c r="E57" s="35"/>
      <c r="F57" s="56">
        <f>'MVA-IPI'!N57</f>
        <v>0</v>
      </c>
      <c r="G57" s="35"/>
      <c r="H57" s="56">
        <f>'MVA-IPI'!AB57</f>
        <v>0</v>
      </c>
    </row>
    <row r="58" spans="1:8" x14ac:dyDescent="0.2">
      <c r="A58" s="178" t="s">
        <v>179</v>
      </c>
      <c r="B58" s="56">
        <f>'MVA-IPI'!O58</f>
        <v>0</v>
      </c>
      <c r="C58" s="35"/>
      <c r="D58" s="56">
        <f>'MVA-IPI'!B58</f>
        <v>0</v>
      </c>
      <c r="E58" s="35"/>
      <c r="F58" s="56">
        <f>'MVA-IPI'!N58</f>
        <v>0</v>
      </c>
      <c r="G58" s="35"/>
      <c r="H58" s="56">
        <f>'MVA-IPI'!AB58</f>
        <v>0</v>
      </c>
    </row>
    <row r="59" spans="1:8" x14ac:dyDescent="0.2">
      <c r="A59" s="178" t="s">
        <v>180</v>
      </c>
      <c r="B59" s="56">
        <f>'MVA-IPI'!O59</f>
        <v>0</v>
      </c>
      <c r="C59" s="35"/>
      <c r="D59" s="56">
        <f>'MVA-IPI'!B59</f>
        <v>0</v>
      </c>
      <c r="E59" s="35"/>
      <c r="F59" s="56">
        <f>'MVA-IPI'!N59</f>
        <v>0</v>
      </c>
      <c r="G59" s="35"/>
      <c r="H59" s="56">
        <f>'MVA-IPI'!AB59</f>
        <v>0</v>
      </c>
    </row>
    <row r="60" spans="1:8" x14ac:dyDescent="0.2">
      <c r="A60" s="177" t="s">
        <v>181</v>
      </c>
      <c r="B60" s="111"/>
      <c r="C60" s="111"/>
      <c r="D60" s="111"/>
      <c r="E60" s="111"/>
      <c r="F60" s="111"/>
      <c r="G60" s="111"/>
      <c r="H60" s="111"/>
    </row>
    <row r="61" spans="1:8" x14ac:dyDescent="0.2">
      <c r="A61" s="178" t="s">
        <v>182</v>
      </c>
      <c r="B61" s="56">
        <f>'MVA-IPI'!O61</f>
        <v>0</v>
      </c>
      <c r="C61" s="35"/>
      <c r="D61" s="56">
        <f>'MVA-IPI'!B61</f>
        <v>0</v>
      </c>
      <c r="E61" s="35"/>
      <c r="F61" s="56">
        <f>'MVA-IPI'!N61</f>
        <v>0</v>
      </c>
      <c r="G61" s="35"/>
      <c r="H61" s="56">
        <f>'MVA-IPI'!AB61</f>
        <v>0</v>
      </c>
    </row>
    <row r="62" spans="1:8" x14ac:dyDescent="0.2">
      <c r="A62" s="178" t="s">
        <v>183</v>
      </c>
      <c r="B62" s="56">
        <f>'MVA-IPI'!O62</f>
        <v>0</v>
      </c>
      <c r="C62" s="35"/>
      <c r="D62" s="56">
        <f>'MVA-IPI'!B62</f>
        <v>0</v>
      </c>
      <c r="E62" s="35"/>
      <c r="F62" s="56">
        <f>'MVA-IPI'!N62</f>
        <v>0</v>
      </c>
      <c r="G62" s="35"/>
      <c r="H62" s="56">
        <f>'MVA-IPI'!AB62</f>
        <v>0</v>
      </c>
    </row>
    <row r="63" spans="1:8" x14ac:dyDescent="0.2">
      <c r="A63" s="178" t="s">
        <v>184</v>
      </c>
      <c r="B63" s="56">
        <f>'MVA-IPI'!O63</f>
        <v>0</v>
      </c>
      <c r="C63" s="35"/>
      <c r="D63" s="56">
        <f>'MVA-IPI'!B63</f>
        <v>0</v>
      </c>
      <c r="E63" s="35"/>
      <c r="F63" s="56">
        <f>'MVA-IPI'!N63</f>
        <v>0</v>
      </c>
      <c r="G63" s="35"/>
      <c r="H63" s="56">
        <f>'MVA-IPI'!AB63</f>
        <v>0</v>
      </c>
    </row>
    <row r="64" spans="1:8" x14ac:dyDescent="0.2">
      <c r="A64" s="178" t="s">
        <v>185</v>
      </c>
      <c r="B64" s="56">
        <f>'MVA-IPI'!O64</f>
        <v>0</v>
      </c>
      <c r="C64" s="35"/>
      <c r="D64" s="56">
        <f>'MVA-IPI'!B64</f>
        <v>0</v>
      </c>
      <c r="E64" s="35"/>
      <c r="F64" s="56">
        <f>'MVA-IPI'!N64</f>
        <v>0</v>
      </c>
      <c r="G64" s="35"/>
      <c r="H64" s="56">
        <f>'MVA-IPI'!AB64</f>
        <v>0</v>
      </c>
    </row>
    <row r="65" spans="1:208" x14ac:dyDescent="0.2">
      <c r="A65" s="178" t="s">
        <v>186</v>
      </c>
      <c r="B65" s="56">
        <f>'MVA-IPI'!O65</f>
        <v>0</v>
      </c>
      <c r="C65" s="35"/>
      <c r="D65" s="56">
        <f>'MVA-IPI'!B65</f>
        <v>0</v>
      </c>
      <c r="E65" s="35"/>
      <c r="F65" s="56">
        <f>'MVA-IPI'!N65</f>
        <v>0</v>
      </c>
      <c r="G65" s="35"/>
      <c r="H65" s="56">
        <f>'MVA-IPI'!AB65</f>
        <v>0</v>
      </c>
    </row>
    <row r="66" spans="1:208" x14ac:dyDescent="0.2">
      <c r="A66" s="178" t="s">
        <v>187</v>
      </c>
      <c r="B66" s="56">
        <f>'MVA-IPI'!O66</f>
        <v>0</v>
      </c>
      <c r="C66" s="35"/>
      <c r="D66" s="56">
        <f>'MVA-IPI'!B66</f>
        <v>0</v>
      </c>
      <c r="E66" s="35"/>
      <c r="F66" s="56">
        <f>'MVA-IPI'!N66</f>
        <v>0</v>
      </c>
      <c r="G66" s="35"/>
      <c r="H66" s="56">
        <f>'MVA-IPI'!AB66</f>
        <v>0</v>
      </c>
    </row>
    <row r="67" spans="1:208" x14ac:dyDescent="0.2">
      <c r="A67" s="178" t="s">
        <v>188</v>
      </c>
      <c r="B67" s="56">
        <f>'MVA-IPI'!O67</f>
        <v>0</v>
      </c>
      <c r="C67" s="35"/>
      <c r="D67" s="56">
        <f>'MVA-IPI'!B67</f>
        <v>0</v>
      </c>
      <c r="E67" s="35"/>
      <c r="F67" s="56">
        <f>'MVA-IPI'!N67</f>
        <v>0</v>
      </c>
      <c r="G67" s="35"/>
      <c r="H67" s="56">
        <f>'MVA-IPI'!AB67</f>
        <v>0</v>
      </c>
    </row>
    <row r="68" spans="1:208" x14ac:dyDescent="0.2">
      <c r="A68" s="177" t="s">
        <v>189</v>
      </c>
      <c r="B68" s="111"/>
      <c r="C68" s="111"/>
      <c r="D68" s="111"/>
      <c r="E68" s="111"/>
      <c r="F68" s="111"/>
      <c r="G68" s="111"/>
      <c r="H68" s="111"/>
    </row>
    <row r="69" spans="1:208" x14ac:dyDescent="0.2">
      <c r="A69" s="178" t="s">
        <v>190</v>
      </c>
      <c r="B69" s="56">
        <f>'MVA-IPI'!O69</f>
        <v>0</v>
      </c>
      <c r="C69" s="35"/>
      <c r="D69" s="56">
        <f>'MVA-IPI'!B69</f>
        <v>0</v>
      </c>
      <c r="E69" s="35"/>
      <c r="F69" s="56">
        <f>'MVA-IPI'!N69</f>
        <v>0</v>
      </c>
      <c r="G69" s="35"/>
      <c r="H69" s="56">
        <f>'MVA-IPI'!AB69</f>
        <v>0</v>
      </c>
    </row>
    <row r="70" spans="1:208" x14ac:dyDescent="0.2">
      <c r="A70" s="178" t="s">
        <v>191</v>
      </c>
      <c r="B70" s="56">
        <f>'MVA-IPI'!O70</f>
        <v>0</v>
      </c>
      <c r="C70" s="35"/>
      <c r="D70" s="56">
        <f>'MVA-IPI'!B70</f>
        <v>0</v>
      </c>
      <c r="E70" s="35"/>
      <c r="F70" s="56">
        <f>'MVA-IPI'!N70</f>
        <v>0</v>
      </c>
      <c r="G70" s="35"/>
      <c r="H70" s="56">
        <f>'MVA-IPI'!AB70</f>
        <v>0</v>
      </c>
      <c r="GZ70" s="70"/>
    </row>
    <row r="71" spans="1:208" x14ac:dyDescent="0.2">
      <c r="A71" s="178" t="s">
        <v>192</v>
      </c>
      <c r="B71" s="56">
        <f>'MVA-IPI'!O71</f>
        <v>0</v>
      </c>
      <c r="C71" s="35"/>
      <c r="D71" s="56">
        <f>'MVA-IPI'!B71</f>
        <v>0</v>
      </c>
      <c r="E71" s="35"/>
      <c r="F71" s="56">
        <f>'MVA-IPI'!N71</f>
        <v>0</v>
      </c>
      <c r="G71" s="35"/>
      <c r="H71" s="56">
        <f>'MVA-IPI'!AB71</f>
        <v>0</v>
      </c>
    </row>
    <row r="72" spans="1:208" x14ac:dyDescent="0.2">
      <c r="A72" s="178" t="s">
        <v>193</v>
      </c>
      <c r="B72" s="56">
        <f>'MVA-IPI'!O72</f>
        <v>0</v>
      </c>
      <c r="C72" s="35"/>
      <c r="D72" s="56">
        <f>'MVA-IPI'!B72</f>
        <v>0</v>
      </c>
      <c r="E72" s="35"/>
      <c r="F72" s="56">
        <f>'MVA-IPI'!N72</f>
        <v>0</v>
      </c>
      <c r="G72" s="35"/>
      <c r="H72" s="56">
        <f>'MVA-IPI'!AB72</f>
        <v>0</v>
      </c>
    </row>
    <row r="73" spans="1:208" x14ac:dyDescent="0.2">
      <c r="A73" s="177" t="s">
        <v>194</v>
      </c>
      <c r="B73" s="111"/>
      <c r="C73" s="111"/>
      <c r="D73" s="111"/>
      <c r="E73" s="111"/>
      <c r="F73" s="111"/>
      <c r="G73" s="111"/>
      <c r="H73" s="111"/>
    </row>
    <row r="74" spans="1:208" x14ac:dyDescent="0.2">
      <c r="A74" s="178" t="s">
        <v>195</v>
      </c>
      <c r="B74" s="56">
        <f>'MVA-IPI'!O74</f>
        <v>0</v>
      </c>
      <c r="C74" s="35"/>
      <c r="D74" s="56">
        <f>'MVA-IPI'!B74</f>
        <v>0</v>
      </c>
      <c r="E74" s="35"/>
      <c r="F74" s="56">
        <f>'MVA-IPI'!N74</f>
        <v>0</v>
      </c>
      <c r="G74" s="35"/>
      <c r="H74" s="56">
        <f>'MVA-IPI'!AB74</f>
        <v>0</v>
      </c>
    </row>
    <row r="75" spans="1:208" x14ac:dyDescent="0.2">
      <c r="A75" s="178" t="s">
        <v>196</v>
      </c>
      <c r="B75" s="56">
        <f>'MVA-IPI'!O75</f>
        <v>0</v>
      </c>
      <c r="C75" s="35"/>
      <c r="D75" s="56">
        <f>'MVA-IPI'!B75</f>
        <v>0</v>
      </c>
      <c r="E75" s="35"/>
      <c r="F75" s="56">
        <f>'MVA-IPI'!N75</f>
        <v>0</v>
      </c>
      <c r="G75" s="35"/>
      <c r="H75" s="56">
        <f>'MVA-IPI'!AB75</f>
        <v>0</v>
      </c>
    </row>
    <row r="76" spans="1:208" x14ac:dyDescent="0.2">
      <c r="A76" s="178" t="s">
        <v>197</v>
      </c>
      <c r="B76" s="56">
        <f>'MVA-IPI'!O76</f>
        <v>0</v>
      </c>
      <c r="C76" s="35"/>
      <c r="D76" s="56">
        <f>'MVA-IPI'!B76</f>
        <v>0</v>
      </c>
      <c r="E76" s="35"/>
      <c r="F76" s="56">
        <f>'MVA-IPI'!N76</f>
        <v>0</v>
      </c>
      <c r="G76" s="35"/>
      <c r="H76" s="56">
        <f>'MVA-IPI'!AB76</f>
        <v>0</v>
      </c>
    </row>
    <row r="77" spans="1:208" x14ac:dyDescent="0.2">
      <c r="A77" s="178" t="s">
        <v>198</v>
      </c>
      <c r="B77" s="56">
        <f>'MVA-IPI'!O77</f>
        <v>0</v>
      </c>
      <c r="C77" s="35"/>
      <c r="D77" s="56">
        <f>'MVA-IPI'!B77</f>
        <v>0</v>
      </c>
      <c r="E77" s="35"/>
      <c r="F77" s="56">
        <f>'MVA-IPI'!N77</f>
        <v>0</v>
      </c>
      <c r="G77" s="35"/>
      <c r="H77" s="56">
        <f>'MVA-IPI'!AB77</f>
        <v>0</v>
      </c>
    </row>
    <row r="78" spans="1:208" x14ac:dyDescent="0.2">
      <c r="A78" s="177" t="s">
        <v>83</v>
      </c>
      <c r="B78" s="56"/>
      <c r="C78" s="35"/>
      <c r="D78" s="56"/>
      <c r="E78" s="35"/>
      <c r="F78" s="56"/>
      <c r="G78" s="35"/>
      <c r="H78" s="56"/>
    </row>
    <row r="79" spans="1:208" x14ac:dyDescent="0.2">
      <c r="A79" s="177" t="s">
        <v>199</v>
      </c>
      <c r="B79" s="111"/>
      <c r="C79" s="111"/>
      <c r="D79" s="111"/>
      <c r="E79" s="111"/>
      <c r="F79" s="111"/>
      <c r="G79" s="111"/>
      <c r="H79" s="111"/>
    </row>
    <row r="80" spans="1:208" x14ac:dyDescent="0.2">
      <c r="A80" s="178" t="s">
        <v>200</v>
      </c>
      <c r="B80" s="56">
        <f>'MVA-IPI'!O80</f>
        <v>0.48499999999999999</v>
      </c>
      <c r="C80" s="35"/>
      <c r="D80" s="56">
        <f>'MVA-IPI'!B80</f>
        <v>0.48499999999999999</v>
      </c>
      <c r="E80" s="35"/>
      <c r="F80" s="56">
        <f>'MVA-IPI'!N80</f>
        <v>0.4667</v>
      </c>
      <c r="G80" s="35"/>
      <c r="H80" s="56">
        <f>'MVA-IPI'!AB80</f>
        <v>0</v>
      </c>
    </row>
    <row r="81" spans="1:8" x14ac:dyDescent="0.2">
      <c r="A81" s="178" t="s">
        <v>201</v>
      </c>
      <c r="B81" s="56">
        <f>'MVA-IPI'!O81</f>
        <v>0.48499999999999999</v>
      </c>
      <c r="C81" s="35"/>
      <c r="D81" s="56">
        <f>'MVA-IPI'!B81</f>
        <v>0.48499999999999999</v>
      </c>
      <c r="E81" s="35"/>
      <c r="F81" s="56">
        <f>'MVA-IPI'!N81</f>
        <v>0.4667</v>
      </c>
      <c r="G81" s="35"/>
      <c r="H81" s="56">
        <f>'MVA-IPI'!AB81</f>
        <v>0</v>
      </c>
    </row>
    <row r="82" spans="1:8" x14ac:dyDescent="0.2">
      <c r="A82" s="178" t="s">
        <v>238</v>
      </c>
      <c r="B82" s="56">
        <f>'MVA-IPI'!O82</f>
        <v>0.48499999999999999</v>
      </c>
      <c r="C82" s="35"/>
      <c r="D82" s="56">
        <f>'MVA-IPI'!B82</f>
        <v>0.48499999999999999</v>
      </c>
      <c r="E82" s="35"/>
      <c r="F82" s="56">
        <f>'MVA-IPI'!N82</f>
        <v>0.4667</v>
      </c>
      <c r="G82" s="35"/>
      <c r="H82" s="56">
        <f>'MVA-IPI'!AB82</f>
        <v>0</v>
      </c>
    </row>
    <row r="83" spans="1:8" x14ac:dyDescent="0.2">
      <c r="A83" s="178" t="s">
        <v>202</v>
      </c>
      <c r="B83" s="56">
        <f>'MVA-IPI'!O83</f>
        <v>0.48499999999999999</v>
      </c>
      <c r="C83" s="35"/>
      <c r="D83" s="56">
        <f>'MVA-IPI'!B83</f>
        <v>0.48499999999999999</v>
      </c>
      <c r="E83" s="35"/>
      <c r="F83" s="56">
        <f>'MVA-IPI'!N83</f>
        <v>0.4667</v>
      </c>
      <c r="G83" s="35"/>
      <c r="H83" s="56">
        <f>'MVA-IPI'!AB83</f>
        <v>0</v>
      </c>
    </row>
    <row r="84" spans="1:8" x14ac:dyDescent="0.2">
      <c r="A84" s="178" t="s">
        <v>203</v>
      </c>
      <c r="B84" s="56">
        <f>'MVA-IPI'!O84</f>
        <v>0.48499999999999999</v>
      </c>
      <c r="C84" s="35"/>
      <c r="D84" s="56">
        <f>'MVA-IPI'!B84</f>
        <v>0.48499999999999999</v>
      </c>
      <c r="E84" s="35"/>
      <c r="F84" s="56">
        <f>'MVA-IPI'!N84</f>
        <v>0.4667</v>
      </c>
      <c r="G84" s="35"/>
      <c r="H84" s="56">
        <f>'MVA-IPI'!AB84</f>
        <v>0</v>
      </c>
    </row>
    <row r="85" spans="1:8" x14ac:dyDescent="0.2">
      <c r="A85" s="177" t="s">
        <v>204</v>
      </c>
      <c r="B85" s="111"/>
      <c r="C85" s="111"/>
      <c r="D85" s="111"/>
      <c r="E85" s="111"/>
      <c r="F85" s="111"/>
      <c r="G85" s="111"/>
      <c r="H85" s="111"/>
    </row>
    <row r="86" spans="1:8" x14ac:dyDescent="0.2">
      <c r="A86" s="178" t="s">
        <v>205</v>
      </c>
      <c r="B86" s="56">
        <f>'MVA-IPI'!O86</f>
        <v>0.48499999999999999</v>
      </c>
      <c r="C86" s="35"/>
      <c r="D86" s="56">
        <f>'MVA-IPI'!B86</f>
        <v>0.48499999999999999</v>
      </c>
      <c r="E86" s="35"/>
      <c r="F86" s="56">
        <f>'MVA-IPI'!N86</f>
        <v>0.4667</v>
      </c>
      <c r="G86" s="35"/>
      <c r="H86" s="56">
        <f>'MVA-IPI'!AB86</f>
        <v>0</v>
      </c>
    </row>
    <row r="87" spans="1:8" x14ac:dyDescent="0.2">
      <c r="A87" s="178" t="s">
        <v>206</v>
      </c>
      <c r="B87" s="56">
        <f>'MVA-IPI'!O87</f>
        <v>0.48499999999999999</v>
      </c>
      <c r="C87" s="35"/>
      <c r="D87" s="56">
        <f>'MVA-IPI'!B87</f>
        <v>0.48499999999999999</v>
      </c>
      <c r="E87" s="35"/>
      <c r="F87" s="56">
        <f>'MVA-IPI'!N87</f>
        <v>0.4667</v>
      </c>
      <c r="G87" s="35"/>
      <c r="H87" s="56">
        <f>'MVA-IPI'!AB87</f>
        <v>0</v>
      </c>
    </row>
    <row r="88" spans="1:8" x14ac:dyDescent="0.2">
      <c r="A88" s="178" t="s">
        <v>207</v>
      </c>
      <c r="B88" s="56">
        <f>'MVA-IPI'!O88</f>
        <v>0.48499999999999999</v>
      </c>
      <c r="C88" s="35"/>
      <c r="D88" s="56">
        <f>'MVA-IPI'!B88</f>
        <v>0.48499999999999999</v>
      </c>
      <c r="E88" s="35"/>
      <c r="F88" s="56">
        <f>'MVA-IPI'!N88</f>
        <v>0.4667</v>
      </c>
      <c r="G88" s="35"/>
      <c r="H88" s="56">
        <f>'MVA-IPI'!AB88</f>
        <v>0</v>
      </c>
    </row>
    <row r="89" spans="1:8" x14ac:dyDescent="0.2">
      <c r="A89" s="178" t="s">
        <v>208</v>
      </c>
      <c r="B89" s="56">
        <f>'MVA-IPI'!O89</f>
        <v>0.48499999999999999</v>
      </c>
      <c r="C89" s="35"/>
      <c r="D89" s="56">
        <f>'MVA-IPI'!B89</f>
        <v>0.48499999999999999</v>
      </c>
      <c r="E89" s="35"/>
      <c r="F89" s="56">
        <f>'MVA-IPI'!N89</f>
        <v>0.4667</v>
      </c>
      <c r="G89" s="35"/>
      <c r="H89" s="56">
        <f>'MVA-IPI'!AB89</f>
        <v>0</v>
      </c>
    </row>
    <row r="90" spans="1:8" x14ac:dyDescent="0.2">
      <c r="A90" s="178" t="s">
        <v>209</v>
      </c>
      <c r="B90" s="56">
        <f>'MVA-IPI'!O90</f>
        <v>0.48499999999999999</v>
      </c>
      <c r="C90" s="35"/>
      <c r="D90" s="56">
        <f>'MVA-IPI'!B90</f>
        <v>0.48499999999999999</v>
      </c>
      <c r="E90" s="35"/>
      <c r="F90" s="56">
        <f>'MVA-IPI'!N90</f>
        <v>0.4667</v>
      </c>
      <c r="G90" s="35"/>
      <c r="H90" s="56">
        <f>'MVA-IPI'!AB90</f>
        <v>0</v>
      </c>
    </row>
    <row r="91" spans="1:8" x14ac:dyDescent="0.2">
      <c r="A91" s="177" t="s">
        <v>210</v>
      </c>
      <c r="B91" s="111"/>
      <c r="C91" s="111"/>
      <c r="D91" s="111"/>
      <c r="E91" s="111"/>
      <c r="F91" s="111"/>
      <c r="G91" s="111"/>
      <c r="H91" s="111"/>
    </row>
    <row r="92" spans="1:8" x14ac:dyDescent="0.2">
      <c r="A92" s="177" t="s">
        <v>211</v>
      </c>
      <c r="B92" s="56">
        <f>'MVA-IPI'!O92</f>
        <v>0.48499999999999999</v>
      </c>
      <c r="C92" s="35"/>
      <c r="D92" s="56">
        <f>'MVA-IPI'!B92</f>
        <v>0.48499999999999999</v>
      </c>
      <c r="E92" s="35"/>
      <c r="F92" s="56">
        <f>'MVA-IPI'!N92</f>
        <v>0.4667</v>
      </c>
      <c r="G92" s="35"/>
      <c r="H92" s="56">
        <f>'MVA-IPI'!AB92</f>
        <v>0</v>
      </c>
    </row>
    <row r="93" spans="1:8" x14ac:dyDescent="0.2">
      <c r="A93" s="177" t="s">
        <v>212</v>
      </c>
      <c r="B93" s="56">
        <f>'MVA-IPI'!O93</f>
        <v>0.48499999999999999</v>
      </c>
      <c r="C93" s="35"/>
      <c r="D93" s="56">
        <f>'MVA-IPI'!B93</f>
        <v>0.48499999999999999</v>
      </c>
      <c r="E93" s="35"/>
      <c r="F93" s="56">
        <f>'MVA-IPI'!N93</f>
        <v>0.4667</v>
      </c>
      <c r="G93" s="35"/>
      <c r="H93" s="56">
        <f>'MVA-IPI'!AB93</f>
        <v>0</v>
      </c>
    </row>
    <row r="94" spans="1:8" x14ac:dyDescent="0.2">
      <c r="A94" s="178" t="s">
        <v>213</v>
      </c>
      <c r="B94" s="111"/>
      <c r="C94" s="111"/>
      <c r="D94" s="111"/>
      <c r="E94" s="111"/>
      <c r="F94" s="111"/>
      <c r="G94" s="111"/>
      <c r="H94" s="111"/>
    </row>
    <row r="95" spans="1:8" x14ac:dyDescent="0.2">
      <c r="A95" s="178" t="s">
        <v>214</v>
      </c>
      <c r="B95" s="56">
        <f>'MVA-IPI'!O95</f>
        <v>0.48499999999999999</v>
      </c>
      <c r="C95" s="35"/>
      <c r="D95" s="56">
        <f>'MVA-IPI'!B95</f>
        <v>0.48499999999999999</v>
      </c>
      <c r="E95" s="35"/>
      <c r="F95" s="56">
        <f>'MVA-IPI'!N95</f>
        <v>0.4667</v>
      </c>
      <c r="G95" s="35"/>
      <c r="H95" s="56">
        <f>'MVA-IPI'!AB95</f>
        <v>0</v>
      </c>
    </row>
    <row r="96" spans="1:8" x14ac:dyDescent="0.2">
      <c r="A96" s="178" t="s">
        <v>215</v>
      </c>
      <c r="B96" s="56">
        <f>'MVA-IPI'!O96</f>
        <v>0.48499999999999999</v>
      </c>
      <c r="C96" s="35"/>
      <c r="D96" s="56">
        <f>'MVA-IPI'!B96</f>
        <v>0.48499999999999999</v>
      </c>
      <c r="E96" s="35"/>
      <c r="F96" s="56">
        <f>'MVA-IPI'!N96</f>
        <v>0.4667</v>
      </c>
      <c r="G96" s="35"/>
      <c r="H96" s="56">
        <f>'MVA-IPI'!AB96</f>
        <v>0</v>
      </c>
    </row>
    <row r="97" spans="1:8" x14ac:dyDescent="0.2">
      <c r="A97" s="177" t="s">
        <v>216</v>
      </c>
      <c r="B97" s="111"/>
      <c r="C97" s="111"/>
      <c r="D97" s="111"/>
      <c r="E97" s="111"/>
      <c r="F97" s="111"/>
      <c r="G97" s="111"/>
      <c r="H97" s="111"/>
    </row>
    <row r="98" spans="1:8" x14ac:dyDescent="0.2">
      <c r="A98" s="177" t="s">
        <v>217</v>
      </c>
      <c r="B98" s="56">
        <f>'MVA-IPI'!O98</f>
        <v>0.48499999999999999</v>
      </c>
      <c r="C98" s="35"/>
      <c r="D98" s="56">
        <f>'MVA-IPI'!B98</f>
        <v>0.48499999999999999</v>
      </c>
      <c r="E98" s="35"/>
      <c r="F98" s="56">
        <f>'MVA-IPI'!N98</f>
        <v>0.4667</v>
      </c>
      <c r="G98" s="35"/>
      <c r="H98" s="56">
        <f>'MVA-IPI'!AB98</f>
        <v>0</v>
      </c>
    </row>
    <row r="99" spans="1:8" x14ac:dyDescent="0.2">
      <c r="A99" s="177" t="s">
        <v>218</v>
      </c>
      <c r="B99" s="56">
        <f>'MVA-IPI'!O99</f>
        <v>0.48499999999999999</v>
      </c>
      <c r="C99" s="35"/>
      <c r="D99" s="56">
        <f>'MVA-IPI'!B99</f>
        <v>0.48499999999999999</v>
      </c>
      <c r="E99" s="35"/>
      <c r="F99" s="56">
        <f>'MVA-IPI'!N99</f>
        <v>0.4667</v>
      </c>
      <c r="G99" s="35"/>
      <c r="H99" s="56">
        <f>'MVA-IPI'!AB99</f>
        <v>0</v>
      </c>
    </row>
    <row r="100" spans="1:8" x14ac:dyDescent="0.2">
      <c r="A100" s="177" t="s">
        <v>219</v>
      </c>
      <c r="B100" s="56">
        <f>'MVA-IPI'!O100</f>
        <v>0.48499999999999999</v>
      </c>
      <c r="C100" s="35"/>
      <c r="D100" s="56">
        <f>'MVA-IPI'!B100</f>
        <v>0.48499999999999999</v>
      </c>
      <c r="E100" s="35"/>
      <c r="F100" s="56">
        <f>'MVA-IPI'!N100</f>
        <v>0.4667</v>
      </c>
      <c r="G100" s="35"/>
      <c r="H100" s="56">
        <f>'MVA-IPI'!AB100</f>
        <v>0</v>
      </c>
    </row>
    <row r="101" spans="1:8" x14ac:dyDescent="0.2">
      <c r="A101" s="178" t="s">
        <v>220</v>
      </c>
      <c r="B101" s="111"/>
      <c r="C101" s="111"/>
      <c r="D101" s="111"/>
      <c r="E101" s="111"/>
      <c r="F101" s="111"/>
      <c r="G101" s="111"/>
      <c r="H101" s="111"/>
    </row>
    <row r="102" spans="1:8" x14ac:dyDescent="0.2">
      <c r="A102" s="178" t="s">
        <v>221</v>
      </c>
      <c r="B102" s="56">
        <f>'MVA-IPI'!O102</f>
        <v>0.48499999999999999</v>
      </c>
      <c r="C102" s="35"/>
      <c r="D102" s="56">
        <f>'MVA-IPI'!B102</f>
        <v>0.48499999999999999</v>
      </c>
      <c r="E102" s="35"/>
      <c r="F102" s="56">
        <f>'MVA-IPI'!N102</f>
        <v>0.4667</v>
      </c>
      <c r="G102" s="35"/>
      <c r="H102" s="56">
        <f>'MVA-IPI'!AB102</f>
        <v>0</v>
      </c>
    </row>
    <row r="103" spans="1:8" x14ac:dyDescent="0.2">
      <c r="A103" s="178" t="s">
        <v>222</v>
      </c>
      <c r="B103" s="56">
        <f>'MVA-IPI'!O103</f>
        <v>0.48499999999999999</v>
      </c>
      <c r="C103" s="35"/>
      <c r="D103" s="56">
        <f>'MVA-IPI'!B103</f>
        <v>0.48499999999999999</v>
      </c>
      <c r="E103" s="35"/>
      <c r="F103" s="56">
        <f>'MVA-IPI'!N103</f>
        <v>0.4667</v>
      </c>
      <c r="G103" s="35"/>
      <c r="H103" s="56">
        <f>'MVA-IPI'!AB103</f>
        <v>0</v>
      </c>
    </row>
    <row r="104" spans="1:8" x14ac:dyDescent="0.2">
      <c r="A104" s="183" t="s">
        <v>223</v>
      </c>
      <c r="B104" s="56">
        <f>'MVA-IPI'!O104</f>
        <v>0.48499999999999999</v>
      </c>
      <c r="C104" s="35"/>
      <c r="D104" s="56">
        <f>'MVA-IPI'!B104</f>
        <v>0.48499999999999999</v>
      </c>
      <c r="E104" s="35"/>
      <c r="F104" s="56">
        <f>'MVA-IPI'!N104</f>
        <v>0.4667</v>
      </c>
      <c r="G104" s="35"/>
      <c r="H104" s="56">
        <f>'MVA-IPI'!AB104</f>
        <v>0</v>
      </c>
    </row>
    <row r="105" spans="1:8" x14ac:dyDescent="0.2">
      <c r="A105" s="177" t="s">
        <v>224</v>
      </c>
      <c r="B105" s="111"/>
      <c r="C105" s="111"/>
      <c r="D105" s="111"/>
      <c r="E105" s="111"/>
      <c r="F105" s="111"/>
      <c r="G105" s="111"/>
      <c r="H105" s="111"/>
    </row>
    <row r="106" spans="1:8" x14ac:dyDescent="0.2">
      <c r="A106" s="177" t="s">
        <v>225</v>
      </c>
      <c r="B106" s="56">
        <f>'MVA-IPI'!O106</f>
        <v>0.48499999999999999</v>
      </c>
      <c r="C106" s="35"/>
      <c r="D106" s="56">
        <f>'MVA-IPI'!B106</f>
        <v>0.48499999999999999</v>
      </c>
      <c r="E106" s="35"/>
      <c r="F106" s="56">
        <f>'MVA-IPI'!N106</f>
        <v>0.4667</v>
      </c>
      <c r="G106" s="35"/>
      <c r="H106" s="56">
        <f>'MVA-IPI'!AB106</f>
        <v>0</v>
      </c>
    </row>
    <row r="107" spans="1:8" x14ac:dyDescent="0.2">
      <c r="A107" s="178" t="s">
        <v>226</v>
      </c>
      <c r="B107" s="111"/>
      <c r="C107" s="111"/>
      <c r="D107" s="111"/>
      <c r="E107" s="111"/>
      <c r="F107" s="111"/>
      <c r="G107" s="111"/>
      <c r="H107" s="111"/>
    </row>
    <row r="108" spans="1:8" x14ac:dyDescent="0.2">
      <c r="A108" s="178" t="s">
        <v>227</v>
      </c>
      <c r="B108" s="56">
        <f>'MVA-IPI'!O108</f>
        <v>0.48499999999999999</v>
      </c>
      <c r="C108" s="35"/>
      <c r="D108" s="56">
        <f>'MVA-IPI'!B108</f>
        <v>0.48499999999999999</v>
      </c>
      <c r="E108" s="35"/>
      <c r="F108" s="56">
        <f>'MVA-IPI'!N108</f>
        <v>0.4667</v>
      </c>
      <c r="G108" s="35"/>
      <c r="H108" s="56">
        <f>'MVA-IPI'!AB108</f>
        <v>0</v>
      </c>
    </row>
    <row r="109" spans="1:8" x14ac:dyDescent="0.2">
      <c r="A109" s="178" t="s">
        <v>228</v>
      </c>
      <c r="B109" s="56">
        <f>'MVA-IPI'!O109</f>
        <v>0.48499999999999999</v>
      </c>
      <c r="C109" s="35"/>
      <c r="D109" s="56">
        <f>'MVA-IPI'!B109</f>
        <v>0.48499999999999999</v>
      </c>
      <c r="E109" s="35"/>
      <c r="F109" s="56">
        <f>'MVA-IPI'!N109</f>
        <v>0.4667</v>
      </c>
      <c r="G109" s="35"/>
      <c r="H109" s="56">
        <f>'MVA-IPI'!AB109</f>
        <v>0</v>
      </c>
    </row>
    <row r="110" spans="1:8" x14ac:dyDescent="0.2">
      <c r="A110" s="179"/>
      <c r="B110" s="56"/>
      <c r="C110" s="35"/>
      <c r="D110" s="56"/>
      <c r="E110" s="35"/>
      <c r="F110" s="56"/>
      <c r="G110" s="35"/>
      <c r="H110" s="56"/>
    </row>
    <row r="111" spans="1:8" x14ac:dyDescent="0.2">
      <c r="A111" s="177"/>
      <c r="B111" s="111"/>
      <c r="C111" s="111"/>
      <c r="D111" s="111"/>
      <c r="E111" s="111"/>
      <c r="F111" s="111"/>
      <c r="G111" s="111"/>
      <c r="H111" s="111"/>
    </row>
    <row r="112" spans="1:8" x14ac:dyDescent="0.2">
      <c r="A112" s="177" t="s">
        <v>124</v>
      </c>
      <c r="B112" s="56">
        <f>'MVA-IPI'!O112</f>
        <v>0.48499999999999999</v>
      </c>
      <c r="C112" s="35"/>
      <c r="D112" s="56">
        <f>'MVA-IPI'!B112</f>
        <v>0.48499999999999999</v>
      </c>
      <c r="E112" s="35"/>
      <c r="F112" s="56">
        <f>'MVA-IPI'!N112</f>
        <v>0.4667</v>
      </c>
      <c r="G112" s="35"/>
      <c r="H112" s="56">
        <f>'MVA-IPI'!AB112</f>
        <v>0</v>
      </c>
    </row>
    <row r="113" spans="1:8" x14ac:dyDescent="0.2">
      <c r="A113" s="178" t="s">
        <v>125</v>
      </c>
      <c r="B113" s="56">
        <f>'MVA-IPI'!O113</f>
        <v>0.48499999999999999</v>
      </c>
      <c r="C113" s="35"/>
      <c r="D113" s="56">
        <f>'MVA-IPI'!B113</f>
        <v>0.48499999999999999</v>
      </c>
      <c r="E113" s="35"/>
      <c r="F113" s="56">
        <f>'MVA-IPI'!N113</f>
        <v>0.4667</v>
      </c>
      <c r="G113" s="35"/>
      <c r="H113" s="56">
        <f>'MVA-IPI'!AB113</f>
        <v>0</v>
      </c>
    </row>
    <row r="114" spans="1:8" x14ac:dyDescent="0.2">
      <c r="A114" s="178" t="s">
        <v>118</v>
      </c>
      <c r="B114" s="56">
        <f>'MVA-IPI'!O114</f>
        <v>0.48499999999999999</v>
      </c>
      <c r="C114" s="35"/>
      <c r="D114" s="56">
        <f>'MVA-IPI'!B114</f>
        <v>0.48499999999999999</v>
      </c>
      <c r="E114" s="35"/>
      <c r="F114" s="56">
        <f>'MVA-IPI'!N114</f>
        <v>0.4667</v>
      </c>
      <c r="G114" s="35"/>
      <c r="H114" s="56">
        <f>'MVA-IPI'!AB114</f>
        <v>0</v>
      </c>
    </row>
    <row r="115" spans="1:8" x14ac:dyDescent="0.2">
      <c r="A115" s="213"/>
      <c r="B115" s="56"/>
      <c r="C115" s="35"/>
      <c r="D115" s="56"/>
      <c r="E115" s="35"/>
      <c r="F115" s="56"/>
      <c r="G115" s="35"/>
      <c r="H115" s="56"/>
    </row>
    <row r="116" spans="1:8" x14ac:dyDescent="0.2">
      <c r="A116" s="178" t="s">
        <v>229</v>
      </c>
      <c r="B116" s="56">
        <f>'MVA-IPI'!O116</f>
        <v>0.48499999999999999</v>
      </c>
      <c r="C116" s="35"/>
      <c r="D116" s="56">
        <f>'MVA-IPI'!B116</f>
        <v>0.48499999999999999</v>
      </c>
      <c r="E116" s="35"/>
      <c r="F116" s="56">
        <f>'MVA-IPI'!N116</f>
        <v>0.4667</v>
      </c>
      <c r="G116" s="35"/>
      <c r="H116" s="56">
        <f>'MVA-IPI'!AB116</f>
        <v>0</v>
      </c>
    </row>
    <row r="117" spans="1:8" x14ac:dyDescent="0.2">
      <c r="A117" s="178" t="s">
        <v>230</v>
      </c>
      <c r="B117" s="56">
        <f>'MVA-IPI'!O117</f>
        <v>0.48499999999999999</v>
      </c>
      <c r="C117" s="35"/>
      <c r="D117" s="56">
        <f>'MVA-IPI'!B117</f>
        <v>0.48499999999999999</v>
      </c>
      <c r="E117" s="35"/>
      <c r="F117" s="56">
        <f>'MVA-IPI'!N117</f>
        <v>0.4667</v>
      </c>
      <c r="G117" s="35"/>
      <c r="H117" s="56">
        <f>'MVA-IPI'!AB117</f>
        <v>0</v>
      </c>
    </row>
    <row r="118" spans="1:8" x14ac:dyDescent="0.2">
      <c r="A118" s="178" t="s">
        <v>231</v>
      </c>
      <c r="B118" s="56">
        <f>'MVA-IPI'!O118</f>
        <v>0.48499999999999999</v>
      </c>
      <c r="C118" s="35"/>
      <c r="D118" s="56">
        <f>'MVA-IPI'!B118</f>
        <v>0.48499999999999999</v>
      </c>
      <c r="E118" s="35"/>
      <c r="F118" s="56">
        <f>'MVA-IPI'!N118</f>
        <v>0.4667</v>
      </c>
      <c r="G118" s="35"/>
      <c r="H118" s="56">
        <f>'MVA-IPI'!AB118</f>
        <v>0</v>
      </c>
    </row>
    <row r="119" spans="1:8" x14ac:dyDescent="0.2">
      <c r="A119" s="213"/>
      <c r="B119" s="56"/>
      <c r="C119" s="35"/>
      <c r="D119" s="56"/>
      <c r="E119" s="35"/>
      <c r="F119" s="56"/>
      <c r="G119" s="35"/>
      <c r="H119" s="56"/>
    </row>
    <row r="120" spans="1:8" x14ac:dyDescent="0.2">
      <c r="A120" s="178" t="s">
        <v>232</v>
      </c>
      <c r="B120" s="56">
        <f>'MVA-IPI'!O120</f>
        <v>0.48499999999999999</v>
      </c>
      <c r="C120" s="35"/>
      <c r="D120" s="56">
        <f>'MVA-IPI'!B120</f>
        <v>0.48499999999999999</v>
      </c>
      <c r="E120" s="35"/>
      <c r="F120" s="56">
        <f>'MVA-IPI'!N120</f>
        <v>0.4667</v>
      </c>
      <c r="G120" s="35"/>
      <c r="H120" s="56">
        <f>'MVA-IPI'!AB120</f>
        <v>0</v>
      </c>
    </row>
    <row r="121" spans="1:8" x14ac:dyDescent="0.2">
      <c r="A121" s="178" t="s">
        <v>233</v>
      </c>
      <c r="B121" s="56">
        <f>'MVA-IPI'!O121</f>
        <v>0.48499999999999999</v>
      </c>
      <c r="C121" s="35"/>
      <c r="D121" s="56">
        <f>'MVA-IPI'!B121</f>
        <v>0.48499999999999999</v>
      </c>
      <c r="E121" s="35"/>
      <c r="F121" s="56">
        <f>'MVA-IPI'!N121</f>
        <v>0.4667</v>
      </c>
      <c r="G121" s="35"/>
      <c r="H121" s="56">
        <f>'MVA-IPI'!AB121</f>
        <v>0</v>
      </c>
    </row>
    <row r="122" spans="1:8" x14ac:dyDescent="0.2">
      <c r="A122" s="178" t="s">
        <v>132</v>
      </c>
      <c r="B122" s="56">
        <f>'MVA-IPI'!O122</f>
        <v>0.48499999999999999</v>
      </c>
      <c r="C122" s="35"/>
      <c r="D122" s="56">
        <f>'MVA-IPI'!B122</f>
        <v>0.48499999999999999</v>
      </c>
      <c r="E122" s="35"/>
      <c r="F122" s="56">
        <f>'MVA-IPI'!N122</f>
        <v>0.4667</v>
      </c>
      <c r="G122" s="35"/>
      <c r="H122" s="56">
        <f>'MVA-IPI'!AB122</f>
        <v>0</v>
      </c>
    </row>
    <row r="123" spans="1:8" x14ac:dyDescent="0.2">
      <c r="A123" s="178" t="s">
        <v>133</v>
      </c>
      <c r="B123" s="56">
        <f>'MVA-IPI'!O123</f>
        <v>0.48499999999999999</v>
      </c>
      <c r="C123" s="35"/>
      <c r="D123" s="56">
        <f>'MVA-IPI'!B123</f>
        <v>0.48499999999999999</v>
      </c>
      <c r="E123" s="35"/>
      <c r="F123" s="56">
        <f>'MVA-IPI'!N123</f>
        <v>0.4667</v>
      </c>
      <c r="G123" s="35"/>
      <c r="H123" s="56">
        <f>'MVA-IPI'!AB123</f>
        <v>0</v>
      </c>
    </row>
    <row r="124" spans="1:8" x14ac:dyDescent="0.2">
      <c r="A124" s="177"/>
      <c r="B124" s="111"/>
      <c r="C124" s="111"/>
      <c r="D124" s="111"/>
      <c r="E124" s="111"/>
      <c r="F124" s="111"/>
      <c r="G124" s="111"/>
      <c r="H124" s="111"/>
    </row>
    <row r="125" spans="1:8" x14ac:dyDescent="0.2">
      <c r="A125" s="178" t="s">
        <v>134</v>
      </c>
      <c r="B125" s="56">
        <f>'MVA-IPI'!O125</f>
        <v>0.48499999999999999</v>
      </c>
      <c r="C125" s="35"/>
      <c r="D125" s="56">
        <f>'MVA-IPI'!B125</f>
        <v>0.48499999999999999</v>
      </c>
      <c r="E125" s="35"/>
      <c r="F125" s="56">
        <f>'MVA-IPI'!N125</f>
        <v>0.4667</v>
      </c>
      <c r="G125" s="35"/>
      <c r="H125" s="56">
        <f>'MVA-IPI'!AB125</f>
        <v>0</v>
      </c>
    </row>
    <row r="126" spans="1:8" x14ac:dyDescent="0.2">
      <c r="A126" s="178" t="s">
        <v>119</v>
      </c>
      <c r="B126" s="56">
        <f>'MVA-IPI'!O126</f>
        <v>0.48499999999999999</v>
      </c>
      <c r="C126" s="35"/>
      <c r="D126" s="56">
        <f>'MVA-IPI'!B126</f>
        <v>0.48499999999999999</v>
      </c>
      <c r="E126" s="35"/>
      <c r="F126" s="56">
        <f>'MVA-IPI'!N126</f>
        <v>0.4667</v>
      </c>
      <c r="G126" s="35"/>
      <c r="H126" s="56">
        <f>'MVA-IPI'!AB126</f>
        <v>0</v>
      </c>
    </row>
    <row r="127" spans="1:8" x14ac:dyDescent="0.2">
      <c r="A127" s="178" t="s">
        <v>120</v>
      </c>
      <c r="B127" s="56">
        <f>'MVA-IPI'!O127</f>
        <v>0.48499999999999999</v>
      </c>
      <c r="C127" s="35"/>
      <c r="D127" s="56">
        <f>'MVA-IPI'!B127</f>
        <v>0.48499999999999999</v>
      </c>
      <c r="E127" s="35"/>
      <c r="F127" s="56">
        <f>'MVA-IPI'!N127</f>
        <v>0.4667</v>
      </c>
      <c r="G127" s="35"/>
      <c r="H127" s="56">
        <f>'MVA-IPI'!AB127</f>
        <v>0</v>
      </c>
    </row>
    <row r="128" spans="1:8" x14ac:dyDescent="0.2">
      <c r="A128" s="178" t="s">
        <v>121</v>
      </c>
      <c r="B128" s="56">
        <f>'MVA-IPI'!O128</f>
        <v>0.48499999999999999</v>
      </c>
      <c r="C128" s="35"/>
      <c r="D128" s="56">
        <f>'MVA-IPI'!B128</f>
        <v>0.48499999999999999</v>
      </c>
      <c r="E128" s="35"/>
      <c r="F128" s="56">
        <f>'MVA-IPI'!N128</f>
        <v>0.4667</v>
      </c>
      <c r="G128" s="35"/>
      <c r="H128" s="56">
        <f>'MVA-IPI'!AB128</f>
        <v>0</v>
      </c>
    </row>
    <row r="129" spans="1:208" x14ac:dyDescent="0.2">
      <c r="A129" s="213"/>
      <c r="B129" s="56"/>
      <c r="C129" s="35"/>
      <c r="D129" s="56"/>
      <c r="E129" s="35"/>
      <c r="F129" s="56"/>
      <c r="G129" s="35"/>
      <c r="H129" s="56"/>
    </row>
    <row r="130" spans="1:208" x14ac:dyDescent="0.2">
      <c r="A130" s="24" t="s">
        <v>244</v>
      </c>
      <c r="B130" s="56">
        <f>'MVA-IPI'!O130</f>
        <v>0.48499999999999999</v>
      </c>
      <c r="C130" s="35"/>
      <c r="D130" s="56">
        <f>'MVA-IPI'!B130</f>
        <v>0.48499999999999999</v>
      </c>
      <c r="E130" s="35"/>
      <c r="F130" s="56">
        <f>'MVA-IPI'!N130</f>
        <v>0.4667</v>
      </c>
      <c r="G130" s="35"/>
      <c r="H130" s="56">
        <f>'MVA-IPI'!AB130</f>
        <v>0</v>
      </c>
    </row>
    <row r="131" spans="1:208" x14ac:dyDescent="0.2">
      <c r="A131" s="24" t="s">
        <v>239</v>
      </c>
      <c r="B131" s="56">
        <f>'MVA-IPI'!O131</f>
        <v>0.48499999999999999</v>
      </c>
      <c r="C131" s="35"/>
      <c r="D131" s="56">
        <f>'MVA-IPI'!B131</f>
        <v>0.48499999999999999</v>
      </c>
      <c r="E131" s="35"/>
      <c r="F131" s="56">
        <f>'MVA-IPI'!N131</f>
        <v>0.4667</v>
      </c>
      <c r="G131" s="35"/>
      <c r="H131" s="56">
        <f>'MVA-IPI'!AB131</f>
        <v>0</v>
      </c>
    </row>
    <row r="132" spans="1:208" x14ac:dyDescent="0.2">
      <c r="A132" s="213"/>
      <c r="B132" s="56"/>
      <c r="C132" s="35"/>
      <c r="D132" s="56"/>
      <c r="E132" s="35"/>
      <c r="F132" s="56"/>
      <c r="G132" s="35"/>
      <c r="H132" s="56"/>
    </row>
    <row r="133" spans="1:208" x14ac:dyDescent="0.2">
      <c r="A133" s="349" t="s">
        <v>234</v>
      </c>
      <c r="B133" s="56">
        <f>'MVA-IPI'!O133</f>
        <v>0.48499999999999999</v>
      </c>
      <c r="C133" s="35"/>
      <c r="D133" s="56">
        <f>'MVA-IPI'!B133</f>
        <v>0.48499999999999999</v>
      </c>
      <c r="E133" s="35"/>
      <c r="F133" s="56">
        <f>'MVA-IPI'!N133</f>
        <v>0.4667</v>
      </c>
      <c r="G133" s="35"/>
      <c r="H133" s="56">
        <f>'MVA-IPI'!AB133</f>
        <v>0</v>
      </c>
    </row>
    <row r="134" spans="1:208" x14ac:dyDescent="0.2">
      <c r="A134" s="349" t="s">
        <v>235</v>
      </c>
      <c r="B134" s="56">
        <f>'MVA-IPI'!O134</f>
        <v>0.48499999999999999</v>
      </c>
      <c r="C134" s="35"/>
      <c r="D134" s="56">
        <f>'MVA-IPI'!B134</f>
        <v>0.48499999999999999</v>
      </c>
      <c r="E134" s="35"/>
      <c r="F134" s="56">
        <f>'MVA-IPI'!N134</f>
        <v>0.4667</v>
      </c>
      <c r="G134" s="35"/>
      <c r="H134" s="56">
        <f>'MVA-IPI'!AB134</f>
        <v>0</v>
      </c>
    </row>
    <row r="135" spans="1:208" x14ac:dyDescent="0.2">
      <c r="A135" s="349" t="s">
        <v>236</v>
      </c>
      <c r="B135" s="56">
        <f>'MVA-IPI'!O135</f>
        <v>0.48499999999999999</v>
      </c>
      <c r="C135" s="35"/>
      <c r="D135" s="56">
        <f>'MVA-IPI'!B135</f>
        <v>0.48499999999999999</v>
      </c>
      <c r="E135" s="35"/>
      <c r="F135" s="56">
        <f>'MVA-IPI'!N135</f>
        <v>0.4667</v>
      </c>
      <c r="G135" s="35"/>
      <c r="H135" s="56">
        <f>'MVA-IPI'!AB135</f>
        <v>0</v>
      </c>
    </row>
    <row r="136" spans="1:208" x14ac:dyDescent="0.2">
      <c r="A136" s="349" t="s">
        <v>237</v>
      </c>
      <c r="B136" s="56">
        <f>'MVA-IPI'!O136</f>
        <v>0.48499999999999999</v>
      </c>
      <c r="C136" s="35"/>
      <c r="D136" s="56">
        <f>'MVA-IPI'!B136</f>
        <v>0.48499999999999999</v>
      </c>
      <c r="E136" s="35"/>
      <c r="F136" s="56">
        <f>'MVA-IPI'!N136</f>
        <v>0.4667</v>
      </c>
      <c r="G136" s="35"/>
      <c r="H136" s="56">
        <f>'MVA-IPI'!AB136</f>
        <v>0</v>
      </c>
    </row>
    <row r="137" spans="1:208" x14ac:dyDescent="0.2">
      <c r="A137" s="180"/>
      <c r="B137" s="26" t="s">
        <v>47</v>
      </c>
      <c r="C137" s="29" t="s">
        <v>26</v>
      </c>
      <c r="D137" s="71"/>
      <c r="E137" s="29" t="s">
        <v>26</v>
      </c>
      <c r="F137" s="71"/>
    </row>
    <row r="138" spans="1:208" x14ac:dyDescent="0.2">
      <c r="A138" s="181"/>
      <c r="B138" s="75">
        <v>0.18</v>
      </c>
      <c r="C138" s="51" t="s">
        <v>71</v>
      </c>
      <c r="D138" s="76"/>
      <c r="E138" s="51" t="s">
        <v>71</v>
      </c>
      <c r="F138" s="76"/>
      <c r="GZ138" s="76">
        <v>0.17</v>
      </c>
    </row>
    <row r="139" spans="1:208" x14ac:dyDescent="0.2">
      <c r="A139" s="181"/>
      <c r="B139" s="75">
        <v>0.18</v>
      </c>
      <c r="C139" s="51" t="s">
        <v>69</v>
      </c>
      <c r="D139" s="76"/>
      <c r="E139" s="51" t="s">
        <v>69</v>
      </c>
      <c r="F139" s="76"/>
    </row>
    <row r="140" spans="1:208" x14ac:dyDescent="0.2">
      <c r="A140" s="51"/>
      <c r="B140" s="75"/>
      <c r="C140" s="51"/>
      <c r="D140" s="76"/>
      <c r="E140" s="51"/>
      <c r="F140" s="76"/>
    </row>
    <row r="141" spans="1:208" x14ac:dyDescent="0.2">
      <c r="A141" s="51"/>
      <c r="B141" s="75"/>
      <c r="C141" s="51"/>
      <c r="D141" s="76"/>
      <c r="E141" s="51"/>
      <c r="F141" s="76"/>
    </row>
    <row r="142" spans="1:208" x14ac:dyDescent="0.2">
      <c r="A142" s="51"/>
      <c r="B142" s="75"/>
      <c r="C142" s="51"/>
      <c r="D142" s="76"/>
      <c r="E142" s="51"/>
      <c r="F142" s="76"/>
    </row>
    <row r="143" spans="1:208" x14ac:dyDescent="0.2">
      <c r="B143" s="54"/>
      <c r="D143" s="54"/>
      <c r="F143" s="54"/>
    </row>
    <row r="144" spans="1:208" x14ac:dyDescent="0.2">
      <c r="B144" s="54"/>
      <c r="D144" s="54"/>
      <c r="F144" s="54"/>
    </row>
    <row r="145" spans="2:6" x14ac:dyDescent="0.2">
      <c r="B145" s="54"/>
      <c r="D145" s="54"/>
      <c r="F145" s="54"/>
    </row>
    <row r="146" spans="2:6" x14ac:dyDescent="0.2">
      <c r="B146" s="54"/>
      <c r="D146" s="54"/>
      <c r="F146" s="54"/>
    </row>
    <row r="147" spans="2:6" x14ac:dyDescent="0.2">
      <c r="B147" s="54"/>
      <c r="D147" s="54"/>
      <c r="F147" s="54"/>
    </row>
    <row r="148" spans="2:6" x14ac:dyDescent="0.2">
      <c r="B148" s="54"/>
      <c r="D148" s="54"/>
      <c r="F148" s="54"/>
    </row>
    <row r="149" spans="2:6" x14ac:dyDescent="0.2">
      <c r="B149" s="54"/>
      <c r="D149" s="54"/>
      <c r="F149" s="54"/>
    </row>
    <row r="150" spans="2:6" x14ac:dyDescent="0.2">
      <c r="B150" s="54"/>
      <c r="D150" s="54"/>
      <c r="F150" s="54"/>
    </row>
    <row r="151" spans="2:6" x14ac:dyDescent="0.2">
      <c r="B151" s="54"/>
      <c r="D151" s="54"/>
      <c r="F151" s="54"/>
    </row>
    <row r="152" spans="2:6" x14ac:dyDescent="0.2">
      <c r="B152" s="54"/>
      <c r="D152" s="54"/>
      <c r="F152" s="54"/>
    </row>
    <row r="153" spans="2:6" x14ac:dyDescent="0.2">
      <c r="B153" s="54"/>
      <c r="D153" s="54"/>
      <c r="F153" s="54"/>
    </row>
    <row r="154" spans="2:6" x14ac:dyDescent="0.2">
      <c r="B154" s="54"/>
      <c r="D154" s="54"/>
      <c r="F154" s="54"/>
    </row>
    <row r="155" spans="2:6" x14ac:dyDescent="0.2">
      <c r="B155" s="54"/>
      <c r="D155" s="54"/>
      <c r="F155" s="54"/>
    </row>
    <row r="156" spans="2:6" x14ac:dyDescent="0.2">
      <c r="B156" s="54"/>
      <c r="D156" s="54"/>
      <c r="F156" s="54"/>
    </row>
    <row r="157" spans="2:6" x14ac:dyDescent="0.2">
      <c r="B157" s="54"/>
      <c r="D157" s="54"/>
      <c r="F157" s="54"/>
    </row>
    <row r="158" spans="2:6" x14ac:dyDescent="0.2">
      <c r="B158" s="54"/>
      <c r="D158" s="54"/>
      <c r="F158" s="54"/>
    </row>
    <row r="159" spans="2:6" x14ac:dyDescent="0.2">
      <c r="B159" s="54"/>
      <c r="D159" s="54"/>
      <c r="F159" s="54"/>
    </row>
    <row r="160" spans="2:6" x14ac:dyDescent="0.2">
      <c r="B160" s="54"/>
      <c r="D160" s="54"/>
      <c r="F160" s="54"/>
    </row>
    <row r="161" spans="2:6" x14ac:dyDescent="0.2">
      <c r="B161" s="54"/>
      <c r="D161" s="54"/>
      <c r="F161" s="54"/>
    </row>
    <row r="162" spans="2:6" x14ac:dyDescent="0.2">
      <c r="B162" s="54"/>
      <c r="D162" s="54"/>
      <c r="F162" s="54"/>
    </row>
    <row r="163" spans="2:6" x14ac:dyDescent="0.2">
      <c r="B163" s="54"/>
      <c r="D163" s="54"/>
      <c r="F163" s="54"/>
    </row>
    <row r="164" spans="2:6" x14ac:dyDescent="0.2">
      <c r="B164" s="54"/>
      <c r="D164" s="54"/>
      <c r="F164" s="54"/>
    </row>
    <row r="165" spans="2:6" x14ac:dyDescent="0.2">
      <c r="B165" s="54"/>
      <c r="D165" s="54"/>
      <c r="F165" s="54"/>
    </row>
    <row r="166" spans="2:6" x14ac:dyDescent="0.2">
      <c r="B166" s="54"/>
      <c r="D166" s="54"/>
      <c r="F166" s="54"/>
    </row>
    <row r="167" spans="2:6" x14ac:dyDescent="0.2">
      <c r="B167" s="54"/>
      <c r="D167" s="54"/>
      <c r="F167" s="54"/>
    </row>
    <row r="168" spans="2:6" x14ac:dyDescent="0.2">
      <c r="B168" s="54"/>
      <c r="D168" s="54"/>
      <c r="F168" s="54"/>
    </row>
    <row r="169" spans="2:6" x14ac:dyDescent="0.2">
      <c r="B169" s="54"/>
      <c r="D169" s="54"/>
      <c r="F169" s="54"/>
    </row>
    <row r="170" spans="2:6" x14ac:dyDescent="0.2">
      <c r="B170" s="54"/>
      <c r="D170" s="54"/>
      <c r="F170" s="54"/>
    </row>
    <row r="171" spans="2:6" x14ac:dyDescent="0.2">
      <c r="B171" s="54"/>
      <c r="D171" s="54"/>
      <c r="F171" s="54"/>
    </row>
    <row r="172" spans="2:6" x14ac:dyDescent="0.2">
      <c r="B172" s="54"/>
      <c r="D172" s="54"/>
      <c r="F172" s="54"/>
    </row>
    <row r="173" spans="2:6" x14ac:dyDescent="0.2">
      <c r="B173" s="54"/>
      <c r="D173" s="54"/>
      <c r="F173" s="54"/>
    </row>
    <row r="174" spans="2:6" x14ac:dyDescent="0.2">
      <c r="B174" s="54"/>
      <c r="D174" s="54"/>
      <c r="F174" s="54"/>
    </row>
    <row r="175" spans="2:6" x14ac:dyDescent="0.2">
      <c r="B175" s="54"/>
      <c r="D175" s="54"/>
      <c r="F175" s="54"/>
    </row>
    <row r="176" spans="2:6" x14ac:dyDescent="0.2">
      <c r="B176" s="54"/>
      <c r="D176" s="54"/>
      <c r="F176" s="54"/>
    </row>
    <row r="177" spans="2:6" x14ac:dyDescent="0.2">
      <c r="B177" s="54"/>
      <c r="D177" s="54"/>
      <c r="F177" s="54"/>
    </row>
    <row r="178" spans="2:6" x14ac:dyDescent="0.2">
      <c r="B178" s="54"/>
      <c r="D178" s="54"/>
      <c r="F178" s="54"/>
    </row>
    <row r="179" spans="2:6" x14ac:dyDescent="0.2">
      <c r="B179" s="54"/>
      <c r="D179" s="54"/>
      <c r="F179" s="54"/>
    </row>
  </sheetData>
  <phoneticPr fontId="0" type="noConversion"/>
  <conditionalFormatting sqref="D1:D8 F1:F8 D143:D65546 F143:F65546">
    <cfRule type="cellIs" dxfId="1" priority="1" stopIfTrue="1" operator="equal">
      <formula>0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10"/>
  <dimension ref="A1:IV179"/>
  <sheetViews>
    <sheetView showGridLines="0" zoomScaleNormal="100" workbookViewId="0">
      <pane xSplit="1" ySplit="10" topLeftCell="B107" activePane="bottomRight" state="frozen"/>
      <selection activeCell="A32" sqref="A32"/>
      <selection pane="topRight" activeCell="A32" sqref="A32"/>
      <selection pane="bottomLeft" activeCell="A32" sqref="A32"/>
      <selection pane="bottomRight" activeCell="A130" sqref="A130"/>
    </sheetView>
  </sheetViews>
  <sheetFormatPr defaultColWidth="9.140625" defaultRowHeight="12" x14ac:dyDescent="0.2"/>
  <cols>
    <col min="1" max="1" width="44.85546875" style="24" bestFit="1" customWidth="1"/>
    <col min="2" max="28" width="7" style="39" bestFit="1" customWidth="1"/>
    <col min="29" max="29" width="8.5703125" style="24" customWidth="1"/>
    <col min="30" max="30" width="12.140625" style="24" bestFit="1" customWidth="1"/>
    <col min="31" max="16384" width="9.140625" style="24"/>
  </cols>
  <sheetData>
    <row r="1" spans="1:37" ht="12.75" x14ac:dyDescent="0.2">
      <c r="A1" s="3"/>
    </row>
    <row r="2" spans="1:37" x14ac:dyDescent="0.2">
      <c r="A2" s="24" t="s">
        <v>106</v>
      </c>
      <c r="B2" s="54">
        <f>B138</f>
        <v>0.12</v>
      </c>
      <c r="C2" s="54">
        <f t="shared" ref="C2:AB2" si="0">C138</f>
        <v>0.12</v>
      </c>
      <c r="D2" s="54">
        <f t="shared" si="0"/>
        <v>0.12</v>
      </c>
      <c r="E2" s="54">
        <f t="shared" si="0"/>
        <v>0.12</v>
      </c>
      <c r="F2" s="54">
        <f t="shared" si="0"/>
        <v>0.12</v>
      </c>
      <c r="G2" s="54">
        <f t="shared" si="0"/>
        <v>0.12</v>
      </c>
      <c r="H2" s="54">
        <f t="shared" si="0"/>
        <v>0.12</v>
      </c>
      <c r="I2" s="54">
        <f t="shared" si="0"/>
        <v>0.12</v>
      </c>
      <c r="J2" s="54">
        <f t="shared" si="0"/>
        <v>0.12</v>
      </c>
      <c r="K2" s="54">
        <f t="shared" si="0"/>
        <v>0.12</v>
      </c>
      <c r="L2" s="54">
        <f t="shared" si="0"/>
        <v>0.12</v>
      </c>
      <c r="M2" s="54">
        <f t="shared" si="0"/>
        <v>0.12</v>
      </c>
      <c r="N2" s="54">
        <f t="shared" si="0"/>
        <v>0.12</v>
      </c>
      <c r="O2" s="54">
        <f t="shared" si="0"/>
        <v>0.18</v>
      </c>
      <c r="P2" s="54">
        <f t="shared" si="0"/>
        <v>0.12</v>
      </c>
      <c r="Q2" s="54">
        <f t="shared" si="0"/>
        <v>0.12</v>
      </c>
      <c r="R2" s="54">
        <f t="shared" si="0"/>
        <v>0.12</v>
      </c>
      <c r="S2" s="54">
        <f t="shared" si="0"/>
        <v>0.12</v>
      </c>
      <c r="T2" s="54">
        <f t="shared" si="0"/>
        <v>0.12</v>
      </c>
      <c r="U2" s="54">
        <f t="shared" si="0"/>
        <v>0.12</v>
      </c>
      <c r="V2" s="54">
        <f t="shared" si="0"/>
        <v>0.12</v>
      </c>
      <c r="W2" s="54">
        <f t="shared" si="0"/>
        <v>0.12</v>
      </c>
      <c r="X2" s="54">
        <f t="shared" si="0"/>
        <v>0.12</v>
      </c>
      <c r="Y2" s="54">
        <f t="shared" si="0"/>
        <v>0.12</v>
      </c>
      <c r="Z2" s="54">
        <f t="shared" si="0"/>
        <v>0.12</v>
      </c>
      <c r="AA2" s="54">
        <f t="shared" si="0"/>
        <v>0.12</v>
      </c>
      <c r="AB2" s="54">
        <f t="shared" si="0"/>
        <v>0.12</v>
      </c>
    </row>
    <row r="3" spans="1:37" x14ac:dyDescent="0.2">
      <c r="A3" s="24" t="s">
        <v>105</v>
      </c>
      <c r="B3" s="54">
        <f t="shared" ref="B3:AB3" si="1">B139</f>
        <v>0.2</v>
      </c>
      <c r="C3" s="54">
        <f t="shared" si="1"/>
        <v>0.19</v>
      </c>
      <c r="D3" s="54">
        <f t="shared" si="1"/>
        <v>0.19</v>
      </c>
      <c r="E3" s="54">
        <f t="shared" si="1"/>
        <v>0.2</v>
      </c>
      <c r="F3" s="54">
        <f t="shared" si="1"/>
        <v>0.20499999999999999</v>
      </c>
      <c r="G3" s="54">
        <f t="shared" si="1"/>
        <v>0.20499999999999999</v>
      </c>
      <c r="H3" s="54">
        <f t="shared" si="1"/>
        <v>0.18</v>
      </c>
      <c r="I3" s="54">
        <f t="shared" si="1"/>
        <v>0.17</v>
      </c>
      <c r="J3" s="54">
        <f t="shared" si="1"/>
        <v>0.17</v>
      </c>
      <c r="K3" s="54">
        <f t="shared" si="1"/>
        <v>0.22</v>
      </c>
      <c r="L3" s="54">
        <f t="shared" si="1"/>
        <v>0.17</v>
      </c>
      <c r="M3" s="54">
        <f t="shared" si="1"/>
        <v>0.17</v>
      </c>
      <c r="N3" s="54">
        <f t="shared" si="1"/>
        <v>0.19</v>
      </c>
      <c r="O3" s="54">
        <f t="shared" si="1"/>
        <v>0.2</v>
      </c>
      <c r="P3" s="54">
        <f t="shared" si="1"/>
        <v>0.20499999999999999</v>
      </c>
      <c r="Q3" s="54">
        <f t="shared" si="1"/>
        <v>0.21</v>
      </c>
      <c r="R3" s="54">
        <f t="shared" si="1"/>
        <v>0.18</v>
      </c>
      <c r="S3" s="54">
        <f t="shared" si="1"/>
        <v>0.18</v>
      </c>
      <c r="T3" s="54">
        <f t="shared" si="1"/>
        <v>0.17</v>
      </c>
      <c r="U3" s="54">
        <f t="shared" si="1"/>
        <v>0.17499999999999999</v>
      </c>
      <c r="V3" s="54">
        <f t="shared" si="1"/>
        <v>0.17</v>
      </c>
      <c r="W3" s="54">
        <f t="shared" si="1"/>
        <v>0.18</v>
      </c>
      <c r="X3" s="54">
        <f t="shared" si="1"/>
        <v>0.18</v>
      </c>
      <c r="Y3" s="54">
        <f t="shared" si="1"/>
        <v>0.18</v>
      </c>
      <c r="Z3" s="54">
        <f t="shared" si="1"/>
        <v>0.18</v>
      </c>
      <c r="AA3" s="54">
        <f t="shared" si="1"/>
        <v>0.18</v>
      </c>
      <c r="AB3" s="54">
        <f t="shared" si="1"/>
        <v>0.2</v>
      </c>
    </row>
    <row r="5" spans="1:37" ht="12.75" x14ac:dyDescent="0.2">
      <c r="A5" s="3"/>
    </row>
    <row r="6" spans="1:37" ht="12.75" x14ac:dyDescent="0.2">
      <c r="A6" s="3"/>
    </row>
    <row r="7" spans="1:37" x14ac:dyDescent="0.2">
      <c r="B7" s="82" t="s">
        <v>77</v>
      </c>
    </row>
    <row r="8" spans="1:37" x14ac:dyDescent="0.2">
      <c r="B8" s="82"/>
      <c r="F8" s="73"/>
      <c r="J8" s="73"/>
    </row>
    <row r="9" spans="1:37" x14ac:dyDescent="0.2">
      <c r="A9" s="37" t="s">
        <v>107</v>
      </c>
      <c r="B9" s="117" t="s">
        <v>60</v>
      </c>
      <c r="C9" s="71" t="s">
        <v>36</v>
      </c>
      <c r="D9" s="118" t="s">
        <v>37</v>
      </c>
      <c r="E9" s="120" t="s">
        <v>70</v>
      </c>
      <c r="F9" s="120" t="s">
        <v>38</v>
      </c>
      <c r="G9" s="118" t="s">
        <v>39</v>
      </c>
      <c r="H9" s="71" t="s">
        <v>40</v>
      </c>
      <c r="I9" s="71" t="s">
        <v>41</v>
      </c>
      <c r="J9" s="71" t="s">
        <v>42</v>
      </c>
      <c r="K9" s="118" t="s">
        <v>43</v>
      </c>
      <c r="L9" s="71" t="s">
        <v>44</v>
      </c>
      <c r="M9" s="71" t="s">
        <v>45</v>
      </c>
      <c r="N9" s="119" t="s">
        <v>46</v>
      </c>
      <c r="O9" s="118" t="s">
        <v>47</v>
      </c>
      <c r="P9" s="118" t="s">
        <v>48</v>
      </c>
      <c r="Q9" s="118" t="s">
        <v>49</v>
      </c>
      <c r="R9" s="118" t="s">
        <v>50</v>
      </c>
      <c r="S9" s="71" t="s">
        <v>51</v>
      </c>
      <c r="T9" s="120" t="s">
        <v>52</v>
      </c>
      <c r="U9" s="71" t="s">
        <v>78</v>
      </c>
      <c r="V9" s="71" t="s">
        <v>53</v>
      </c>
      <c r="W9" s="71" t="s">
        <v>59</v>
      </c>
      <c r="X9" s="118" t="s">
        <v>54</v>
      </c>
      <c r="Y9" s="71" t="s">
        <v>55</v>
      </c>
      <c r="Z9" s="71" t="s">
        <v>56</v>
      </c>
      <c r="AA9" s="71" t="s">
        <v>57</v>
      </c>
      <c r="AB9" s="71" t="s">
        <v>72</v>
      </c>
    </row>
    <row r="10" spans="1:37" x14ac:dyDescent="0.2">
      <c r="A10" s="38" t="s">
        <v>82</v>
      </c>
      <c r="B10" s="39" t="s">
        <v>108</v>
      </c>
      <c r="D10" s="39" t="s">
        <v>109</v>
      </c>
      <c r="E10" s="39" t="s">
        <v>109</v>
      </c>
      <c r="F10" s="39" t="s">
        <v>109</v>
      </c>
      <c r="G10" s="39" t="s">
        <v>109</v>
      </c>
      <c r="K10" s="39" t="s">
        <v>109</v>
      </c>
      <c r="N10" s="39" t="s">
        <v>111</v>
      </c>
      <c r="O10" s="39" t="s">
        <v>109</v>
      </c>
      <c r="P10" s="39" t="s">
        <v>109</v>
      </c>
      <c r="Q10" s="39" t="s">
        <v>109</v>
      </c>
      <c r="R10" s="39" t="s">
        <v>109</v>
      </c>
      <c r="T10" s="39" t="s">
        <v>111</v>
      </c>
      <c r="X10" s="39" t="s">
        <v>109</v>
      </c>
      <c r="AC10" s="29"/>
      <c r="AD10" s="83" t="s">
        <v>75</v>
      </c>
      <c r="AE10" s="29"/>
      <c r="AF10" s="29"/>
      <c r="AG10" s="29"/>
      <c r="AH10" s="29"/>
      <c r="AI10" s="29"/>
      <c r="AJ10" s="29"/>
      <c r="AK10" s="29"/>
    </row>
    <row r="11" spans="1:37" x14ac:dyDescent="0.2">
      <c r="A11" s="177" t="s">
        <v>137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29"/>
      <c r="AD11" s="84"/>
      <c r="AE11" s="29"/>
      <c r="AF11" s="29"/>
      <c r="AG11" s="29"/>
      <c r="AH11" s="29"/>
      <c r="AI11" s="29"/>
      <c r="AJ11" s="29"/>
      <c r="AK11" s="29"/>
    </row>
    <row r="12" spans="1:37" x14ac:dyDescent="0.2">
      <c r="A12" s="178" t="s">
        <v>138</v>
      </c>
      <c r="B12" s="56">
        <v>0.48499999999999999</v>
      </c>
      <c r="C12" s="56"/>
      <c r="D12" s="56">
        <v>0.4667</v>
      </c>
      <c r="E12" s="56">
        <v>0.48499999999999999</v>
      </c>
      <c r="F12" s="56">
        <v>0.49430000000000002</v>
      </c>
      <c r="G12" s="56">
        <v>0.49430000000000002</v>
      </c>
      <c r="H12" s="56"/>
      <c r="I12" s="56"/>
      <c r="J12" s="56"/>
      <c r="K12" s="56">
        <v>0.52310000000000001</v>
      </c>
      <c r="L12" s="56"/>
      <c r="M12" s="56"/>
      <c r="N12" s="56">
        <v>0.4667</v>
      </c>
      <c r="O12" s="56">
        <v>0.48499999999999999</v>
      </c>
      <c r="P12" s="56">
        <v>0.49430000000000002</v>
      </c>
      <c r="Q12" s="56">
        <v>0.50380000000000003</v>
      </c>
      <c r="R12" s="56">
        <v>0.44879999999999998</v>
      </c>
      <c r="S12" s="56"/>
      <c r="T12" s="56">
        <v>0.43140000000000001</v>
      </c>
      <c r="U12" s="56"/>
      <c r="V12" s="56"/>
      <c r="W12" s="56"/>
      <c r="X12" s="56">
        <v>0.44879999999999998</v>
      </c>
      <c r="Y12" s="56"/>
      <c r="Z12" s="56"/>
      <c r="AA12" s="56"/>
      <c r="AB12" s="56"/>
      <c r="AC12" s="29"/>
      <c r="AD12" s="84">
        <v>0</v>
      </c>
      <c r="AE12" s="29"/>
      <c r="AF12" s="29"/>
      <c r="AG12" s="29"/>
      <c r="AH12" s="29"/>
      <c r="AI12" s="29"/>
      <c r="AJ12" s="29"/>
      <c r="AK12" s="29"/>
    </row>
    <row r="13" spans="1:37" x14ac:dyDescent="0.2">
      <c r="A13" s="178" t="s">
        <v>139</v>
      </c>
      <c r="B13" s="56">
        <v>0.48499999999999999</v>
      </c>
      <c r="C13" s="56"/>
      <c r="D13" s="56">
        <v>0.4667</v>
      </c>
      <c r="E13" s="56">
        <v>0.48499999999999999</v>
      </c>
      <c r="F13" s="56">
        <v>0.49430000000000002</v>
      </c>
      <c r="G13" s="56">
        <v>0.49430000000000002</v>
      </c>
      <c r="H13" s="56"/>
      <c r="I13" s="56"/>
      <c r="J13" s="56"/>
      <c r="K13" s="56">
        <v>0.52310000000000001</v>
      </c>
      <c r="L13" s="56"/>
      <c r="M13" s="56"/>
      <c r="N13" s="56">
        <v>0.4667</v>
      </c>
      <c r="O13" s="56">
        <v>0.48499999999999999</v>
      </c>
      <c r="P13" s="56">
        <v>0.49430000000000002</v>
      </c>
      <c r="Q13" s="56">
        <v>0.50380000000000003</v>
      </c>
      <c r="R13" s="56">
        <v>0.44879999999999998</v>
      </c>
      <c r="S13" s="56"/>
      <c r="T13" s="56">
        <v>0.43140000000000001</v>
      </c>
      <c r="U13" s="56"/>
      <c r="V13" s="56"/>
      <c r="W13" s="56"/>
      <c r="X13" s="56">
        <v>0.44879999999999998</v>
      </c>
      <c r="Y13" s="56"/>
      <c r="Z13" s="56"/>
      <c r="AA13" s="56"/>
      <c r="AB13" s="56"/>
      <c r="AC13" s="29"/>
      <c r="AD13" s="84">
        <v>0</v>
      </c>
      <c r="AE13" s="29"/>
      <c r="AF13" s="29"/>
      <c r="AG13" s="29"/>
      <c r="AH13" s="29"/>
      <c r="AI13" s="29"/>
      <c r="AJ13" s="29"/>
      <c r="AK13" s="29"/>
    </row>
    <row r="14" spans="1:37" x14ac:dyDescent="0.2">
      <c r="A14" s="178" t="s">
        <v>140</v>
      </c>
      <c r="B14" s="56">
        <v>0.48499999999999999</v>
      </c>
      <c r="C14" s="56"/>
      <c r="D14" s="56">
        <v>0.4667</v>
      </c>
      <c r="E14" s="56">
        <v>0.48499999999999999</v>
      </c>
      <c r="F14" s="56">
        <v>0.49430000000000002</v>
      </c>
      <c r="G14" s="56">
        <v>0.49430000000000002</v>
      </c>
      <c r="H14" s="56"/>
      <c r="I14" s="56"/>
      <c r="J14" s="56"/>
      <c r="K14" s="56">
        <v>0.52310000000000001</v>
      </c>
      <c r="L14" s="56"/>
      <c r="M14" s="56"/>
      <c r="N14" s="56">
        <v>0.4667</v>
      </c>
      <c r="O14" s="56">
        <v>0.48499999999999999</v>
      </c>
      <c r="P14" s="56">
        <v>0.49430000000000002</v>
      </c>
      <c r="Q14" s="56">
        <v>0.50380000000000003</v>
      </c>
      <c r="R14" s="56">
        <v>0.44879999999999998</v>
      </c>
      <c r="S14" s="56"/>
      <c r="T14" s="56">
        <v>0.43140000000000001</v>
      </c>
      <c r="U14" s="56"/>
      <c r="V14" s="56"/>
      <c r="W14" s="56"/>
      <c r="X14" s="56">
        <v>0.44879999999999998</v>
      </c>
      <c r="Y14" s="56"/>
      <c r="Z14" s="56"/>
      <c r="AA14" s="56"/>
      <c r="AB14" s="56"/>
      <c r="AC14" s="29"/>
      <c r="AD14" s="84">
        <v>0</v>
      </c>
      <c r="AE14" s="29"/>
      <c r="AF14" s="29"/>
      <c r="AG14" s="29"/>
      <c r="AH14" s="29"/>
      <c r="AI14" s="29"/>
      <c r="AJ14" s="29"/>
      <c r="AK14" s="29"/>
    </row>
    <row r="15" spans="1:37" x14ac:dyDescent="0.2">
      <c r="A15" s="178" t="s">
        <v>141</v>
      </c>
      <c r="B15" s="56">
        <v>0.48499999999999999</v>
      </c>
      <c r="C15" s="56"/>
      <c r="D15" s="56">
        <v>0.4667</v>
      </c>
      <c r="E15" s="56">
        <v>0.48499999999999999</v>
      </c>
      <c r="F15" s="56">
        <v>0.49430000000000002</v>
      </c>
      <c r="G15" s="56">
        <v>0.49430000000000002</v>
      </c>
      <c r="H15" s="56"/>
      <c r="I15" s="56"/>
      <c r="J15" s="56"/>
      <c r="K15" s="56">
        <v>0.52310000000000001</v>
      </c>
      <c r="L15" s="56"/>
      <c r="M15" s="56"/>
      <c r="N15" s="56">
        <v>0.4667</v>
      </c>
      <c r="O15" s="56">
        <v>0.48499999999999999</v>
      </c>
      <c r="P15" s="56">
        <v>0.49430000000000002</v>
      </c>
      <c r="Q15" s="56">
        <v>0.50380000000000003</v>
      </c>
      <c r="R15" s="56">
        <v>0.44879999999999998</v>
      </c>
      <c r="S15" s="56"/>
      <c r="T15" s="56">
        <v>0.43140000000000001</v>
      </c>
      <c r="U15" s="56"/>
      <c r="V15" s="56"/>
      <c r="W15" s="56"/>
      <c r="X15" s="56">
        <v>0.44879999999999998</v>
      </c>
      <c r="Y15" s="56"/>
      <c r="Z15" s="56"/>
      <c r="AA15" s="56"/>
      <c r="AB15" s="56"/>
      <c r="AC15" s="29"/>
      <c r="AD15" s="84">
        <v>0</v>
      </c>
      <c r="AE15" s="29"/>
      <c r="AF15" s="29"/>
      <c r="AG15" s="29"/>
      <c r="AH15" s="29"/>
      <c r="AI15" s="29"/>
      <c r="AJ15" s="29"/>
      <c r="AK15" s="29"/>
    </row>
    <row r="16" spans="1:37" x14ac:dyDescent="0.2">
      <c r="A16" s="177" t="s">
        <v>142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29"/>
      <c r="AD16" s="84"/>
      <c r="AE16" s="29"/>
      <c r="AF16" s="29"/>
      <c r="AG16" s="29"/>
      <c r="AH16" s="29"/>
      <c r="AI16" s="29"/>
      <c r="AJ16" s="29"/>
      <c r="AK16" s="29"/>
    </row>
    <row r="17" spans="1:37" x14ac:dyDescent="0.2">
      <c r="A17" s="178" t="s">
        <v>143</v>
      </c>
      <c r="B17" s="56">
        <v>0.48499999999999999</v>
      </c>
      <c r="C17" s="56"/>
      <c r="D17" s="56">
        <v>0.4667</v>
      </c>
      <c r="E17" s="56">
        <v>0.48499999999999999</v>
      </c>
      <c r="F17" s="56">
        <v>0.49430000000000002</v>
      </c>
      <c r="G17" s="56">
        <v>0.49430000000000002</v>
      </c>
      <c r="H17" s="56"/>
      <c r="I17" s="56"/>
      <c r="J17" s="56"/>
      <c r="K17" s="56">
        <v>0.52310000000000001</v>
      </c>
      <c r="L17" s="56"/>
      <c r="M17" s="56"/>
      <c r="N17" s="56">
        <v>0.4667</v>
      </c>
      <c r="O17" s="56">
        <v>0.48499999999999999</v>
      </c>
      <c r="P17" s="56">
        <v>0.49430000000000002</v>
      </c>
      <c r="Q17" s="56">
        <v>0.50380000000000003</v>
      </c>
      <c r="R17" s="56">
        <v>0.44879999999999998</v>
      </c>
      <c r="S17" s="56"/>
      <c r="T17" s="56">
        <v>0.43140000000000001</v>
      </c>
      <c r="U17" s="56"/>
      <c r="V17" s="56"/>
      <c r="W17" s="56"/>
      <c r="X17" s="56">
        <v>0.44879999999999998</v>
      </c>
      <c r="Y17" s="56"/>
      <c r="Z17" s="56"/>
      <c r="AA17" s="56"/>
      <c r="AB17" s="56"/>
      <c r="AC17" s="29"/>
      <c r="AD17" s="84">
        <v>0</v>
      </c>
      <c r="AE17" s="29"/>
      <c r="AF17" s="29"/>
      <c r="AG17" s="29"/>
      <c r="AH17" s="29"/>
      <c r="AI17" s="29"/>
      <c r="AJ17" s="29"/>
      <c r="AK17" s="29"/>
    </row>
    <row r="18" spans="1:37" x14ac:dyDescent="0.2">
      <c r="A18" s="178" t="s">
        <v>144</v>
      </c>
      <c r="B18" s="56">
        <v>0.48499999999999999</v>
      </c>
      <c r="C18" s="56"/>
      <c r="D18" s="56">
        <v>0.4667</v>
      </c>
      <c r="E18" s="56">
        <v>0.48499999999999999</v>
      </c>
      <c r="F18" s="56">
        <v>0.49430000000000002</v>
      </c>
      <c r="G18" s="56">
        <v>0.49430000000000002</v>
      </c>
      <c r="H18" s="56"/>
      <c r="I18" s="56"/>
      <c r="J18" s="56"/>
      <c r="K18" s="56">
        <v>0.52310000000000001</v>
      </c>
      <c r="L18" s="56"/>
      <c r="M18" s="56"/>
      <c r="N18" s="56">
        <v>0.4667</v>
      </c>
      <c r="O18" s="56">
        <v>0.48499999999999999</v>
      </c>
      <c r="P18" s="56">
        <v>0.49430000000000002</v>
      </c>
      <c r="Q18" s="56">
        <v>0.50380000000000003</v>
      </c>
      <c r="R18" s="56">
        <v>0.44879999999999998</v>
      </c>
      <c r="S18" s="56"/>
      <c r="T18" s="56">
        <v>0.43140000000000001</v>
      </c>
      <c r="U18" s="56"/>
      <c r="V18" s="56"/>
      <c r="W18" s="56"/>
      <c r="X18" s="56">
        <v>0.44879999999999998</v>
      </c>
      <c r="Y18" s="56"/>
      <c r="Z18" s="56"/>
      <c r="AA18" s="56"/>
      <c r="AB18" s="56"/>
      <c r="AC18" s="29"/>
      <c r="AD18" s="84">
        <v>0</v>
      </c>
      <c r="AE18" s="29"/>
      <c r="AF18" s="29"/>
      <c r="AG18" s="29"/>
      <c r="AH18" s="29"/>
      <c r="AI18" s="29"/>
      <c r="AJ18" s="29"/>
      <c r="AK18" s="29"/>
    </row>
    <row r="19" spans="1:37" x14ac:dyDescent="0.2">
      <c r="A19" s="178" t="s">
        <v>145</v>
      </c>
      <c r="B19" s="56">
        <v>0.48499999999999999</v>
      </c>
      <c r="C19" s="56"/>
      <c r="D19" s="56">
        <v>0.4667</v>
      </c>
      <c r="E19" s="56">
        <v>0.48499999999999999</v>
      </c>
      <c r="F19" s="56">
        <v>0.49430000000000002</v>
      </c>
      <c r="G19" s="56">
        <v>0.49430000000000002</v>
      </c>
      <c r="H19" s="56"/>
      <c r="I19" s="56"/>
      <c r="J19" s="56"/>
      <c r="K19" s="56">
        <v>0.52310000000000001</v>
      </c>
      <c r="L19" s="56"/>
      <c r="M19" s="56"/>
      <c r="N19" s="56">
        <v>0.4667</v>
      </c>
      <c r="O19" s="56">
        <v>0.48499999999999999</v>
      </c>
      <c r="P19" s="56">
        <v>0.49430000000000002</v>
      </c>
      <c r="Q19" s="56">
        <v>0.50380000000000003</v>
      </c>
      <c r="R19" s="56">
        <v>0.44879999999999998</v>
      </c>
      <c r="S19" s="56"/>
      <c r="T19" s="56">
        <v>0.43140000000000001</v>
      </c>
      <c r="U19" s="56"/>
      <c r="V19" s="56"/>
      <c r="W19" s="56"/>
      <c r="X19" s="56">
        <v>0.44879999999999998</v>
      </c>
      <c r="Y19" s="56"/>
      <c r="Z19" s="56"/>
      <c r="AA19" s="56"/>
      <c r="AB19" s="56"/>
      <c r="AC19" s="29"/>
      <c r="AD19" s="84">
        <v>0</v>
      </c>
      <c r="AE19" s="29"/>
      <c r="AF19" s="29"/>
      <c r="AG19" s="29"/>
      <c r="AH19" s="29"/>
      <c r="AI19" s="29"/>
      <c r="AJ19" s="29"/>
      <c r="AK19" s="29"/>
    </row>
    <row r="20" spans="1:37" x14ac:dyDescent="0.2">
      <c r="A20" s="178" t="s">
        <v>146</v>
      </c>
      <c r="B20" s="56">
        <v>0.48499999999999999</v>
      </c>
      <c r="C20" s="56"/>
      <c r="D20" s="56">
        <v>0.4667</v>
      </c>
      <c r="E20" s="56">
        <v>0.48499999999999999</v>
      </c>
      <c r="F20" s="56">
        <v>0.49430000000000002</v>
      </c>
      <c r="G20" s="56">
        <v>0.49430000000000002</v>
      </c>
      <c r="H20" s="56"/>
      <c r="I20" s="56"/>
      <c r="J20" s="56"/>
      <c r="K20" s="56">
        <v>0.52310000000000001</v>
      </c>
      <c r="L20" s="56"/>
      <c r="M20" s="56"/>
      <c r="N20" s="56">
        <v>0.4667</v>
      </c>
      <c r="O20" s="56">
        <v>0.48499999999999999</v>
      </c>
      <c r="P20" s="56">
        <v>0.49430000000000002</v>
      </c>
      <c r="Q20" s="56">
        <v>0.50380000000000003</v>
      </c>
      <c r="R20" s="56">
        <v>0.44879999999999998</v>
      </c>
      <c r="S20" s="56"/>
      <c r="T20" s="56">
        <v>0.43140000000000001</v>
      </c>
      <c r="U20" s="56"/>
      <c r="V20" s="56"/>
      <c r="W20" s="56"/>
      <c r="X20" s="56">
        <v>0.44879999999999998</v>
      </c>
      <c r="Y20" s="56"/>
      <c r="Z20" s="56"/>
      <c r="AA20" s="56"/>
      <c r="AB20" s="56"/>
      <c r="AC20" s="29"/>
      <c r="AD20" s="84">
        <v>0</v>
      </c>
      <c r="AE20" s="29"/>
      <c r="AF20" s="29"/>
      <c r="AG20" s="29"/>
      <c r="AH20" s="29"/>
      <c r="AI20" s="29"/>
      <c r="AJ20" s="29"/>
      <c r="AK20" s="29"/>
    </row>
    <row r="21" spans="1:37" x14ac:dyDescent="0.2">
      <c r="A21" s="177" t="s">
        <v>147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29"/>
      <c r="AD21" s="84"/>
      <c r="AE21" s="29"/>
      <c r="AF21" s="29"/>
      <c r="AG21" s="29"/>
      <c r="AH21" s="29"/>
      <c r="AI21" s="29"/>
      <c r="AJ21" s="29"/>
      <c r="AK21" s="29"/>
    </row>
    <row r="22" spans="1:37" x14ac:dyDescent="0.2">
      <c r="A22" s="178" t="s">
        <v>148</v>
      </c>
      <c r="B22" s="56">
        <v>0.48499999999999999</v>
      </c>
      <c r="C22" s="56"/>
      <c r="D22" s="56">
        <v>0.4667</v>
      </c>
      <c r="E22" s="56">
        <v>0.48499999999999999</v>
      </c>
      <c r="F22" s="56">
        <v>0.49430000000000002</v>
      </c>
      <c r="G22" s="56">
        <v>0.49430000000000002</v>
      </c>
      <c r="H22" s="56"/>
      <c r="I22" s="56"/>
      <c r="J22" s="56"/>
      <c r="K22" s="56">
        <v>0.52310000000000001</v>
      </c>
      <c r="L22" s="56"/>
      <c r="M22" s="56"/>
      <c r="N22" s="56">
        <v>0.4667</v>
      </c>
      <c r="O22" s="56">
        <v>0.48499999999999999</v>
      </c>
      <c r="P22" s="56">
        <v>0.49430000000000002</v>
      </c>
      <c r="Q22" s="56">
        <v>0.50380000000000003</v>
      </c>
      <c r="R22" s="56">
        <v>0.44879999999999998</v>
      </c>
      <c r="S22" s="56"/>
      <c r="T22" s="56">
        <v>0.43140000000000001</v>
      </c>
      <c r="U22" s="56"/>
      <c r="V22" s="56"/>
      <c r="W22" s="56"/>
      <c r="X22" s="56">
        <v>0.44879999999999998</v>
      </c>
      <c r="Y22" s="56"/>
      <c r="Z22" s="56"/>
      <c r="AA22" s="56"/>
      <c r="AB22" s="56"/>
      <c r="AC22" s="29"/>
      <c r="AD22" s="84">
        <v>0</v>
      </c>
      <c r="AE22" s="29"/>
      <c r="AF22" s="29"/>
      <c r="AG22" s="29"/>
      <c r="AH22" s="29"/>
      <c r="AI22" s="29"/>
      <c r="AJ22" s="29"/>
      <c r="AK22" s="29"/>
    </row>
    <row r="23" spans="1:37" x14ac:dyDescent="0.2">
      <c r="A23" s="178" t="s">
        <v>149</v>
      </c>
      <c r="B23" s="56">
        <v>0.48499999999999999</v>
      </c>
      <c r="C23" s="56"/>
      <c r="D23" s="56">
        <v>0.4667</v>
      </c>
      <c r="E23" s="56">
        <v>0.48499999999999999</v>
      </c>
      <c r="F23" s="56">
        <v>0.49430000000000002</v>
      </c>
      <c r="G23" s="56">
        <v>0.49430000000000002</v>
      </c>
      <c r="H23" s="56"/>
      <c r="I23" s="56"/>
      <c r="J23" s="56"/>
      <c r="K23" s="56">
        <v>0.52310000000000001</v>
      </c>
      <c r="L23" s="56"/>
      <c r="M23" s="56"/>
      <c r="N23" s="56">
        <v>0.4667</v>
      </c>
      <c r="O23" s="56">
        <v>0.48499999999999999</v>
      </c>
      <c r="P23" s="56">
        <v>0.49430000000000002</v>
      </c>
      <c r="Q23" s="56">
        <v>0.50380000000000003</v>
      </c>
      <c r="R23" s="56">
        <v>0.44879999999999998</v>
      </c>
      <c r="S23" s="56"/>
      <c r="T23" s="56">
        <v>0.43140000000000001</v>
      </c>
      <c r="U23" s="56"/>
      <c r="V23" s="56"/>
      <c r="W23" s="56"/>
      <c r="X23" s="56">
        <v>0.44879999999999998</v>
      </c>
      <c r="Y23" s="56"/>
      <c r="Z23" s="56"/>
      <c r="AA23" s="56"/>
      <c r="AB23" s="56"/>
      <c r="AC23" s="29"/>
      <c r="AD23" s="84">
        <v>0</v>
      </c>
      <c r="AE23" s="29"/>
      <c r="AF23" s="29"/>
      <c r="AG23" s="29"/>
      <c r="AH23" s="29"/>
      <c r="AI23" s="29"/>
      <c r="AJ23" s="29"/>
      <c r="AK23" s="29"/>
    </row>
    <row r="24" spans="1:37" x14ac:dyDescent="0.2">
      <c r="A24" s="177" t="s">
        <v>150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29"/>
      <c r="AD24" s="84"/>
      <c r="AE24" s="29"/>
      <c r="AF24" s="29"/>
      <c r="AG24" s="29"/>
      <c r="AH24" s="29"/>
      <c r="AI24" s="29"/>
      <c r="AJ24" s="29"/>
      <c r="AK24" s="29"/>
    </row>
    <row r="25" spans="1:37" x14ac:dyDescent="0.2">
      <c r="A25" s="178" t="s">
        <v>151</v>
      </c>
      <c r="B25" s="56">
        <v>0.48499999999999999</v>
      </c>
      <c r="C25" s="56"/>
      <c r="D25" s="56">
        <v>0.4667</v>
      </c>
      <c r="E25" s="56">
        <v>0.48499999999999999</v>
      </c>
      <c r="F25" s="56">
        <v>0.49430000000000002</v>
      </c>
      <c r="G25" s="56">
        <v>0.49430000000000002</v>
      </c>
      <c r="H25" s="56"/>
      <c r="I25" s="56"/>
      <c r="J25" s="56"/>
      <c r="K25" s="56">
        <v>0.52310000000000001</v>
      </c>
      <c r="L25" s="56"/>
      <c r="M25" s="56"/>
      <c r="N25" s="56">
        <v>0.4667</v>
      </c>
      <c r="O25" s="56">
        <v>0.48499999999999999</v>
      </c>
      <c r="P25" s="56">
        <v>0.49430000000000002</v>
      </c>
      <c r="Q25" s="56">
        <v>0.50380000000000003</v>
      </c>
      <c r="R25" s="56">
        <v>0.44879999999999998</v>
      </c>
      <c r="S25" s="56"/>
      <c r="T25" s="56">
        <v>0.43140000000000001</v>
      </c>
      <c r="U25" s="56"/>
      <c r="V25" s="56"/>
      <c r="W25" s="56"/>
      <c r="X25" s="56">
        <v>0.44879999999999998</v>
      </c>
      <c r="Y25" s="56"/>
      <c r="Z25" s="56"/>
      <c r="AA25" s="56"/>
      <c r="AB25" s="56"/>
      <c r="AC25" s="29"/>
      <c r="AD25" s="84">
        <v>0</v>
      </c>
      <c r="AE25" s="29"/>
      <c r="AF25" s="29"/>
      <c r="AG25" s="29"/>
      <c r="AH25" s="29"/>
      <c r="AI25" s="29"/>
      <c r="AJ25" s="29"/>
      <c r="AK25" s="29"/>
    </row>
    <row r="26" spans="1:37" x14ac:dyDescent="0.2">
      <c r="A26" s="178" t="s">
        <v>152</v>
      </c>
      <c r="B26" s="56">
        <v>0.48499999999999999</v>
      </c>
      <c r="C26" s="56"/>
      <c r="D26" s="56">
        <v>0.4667</v>
      </c>
      <c r="E26" s="56">
        <v>0.48499999999999999</v>
      </c>
      <c r="F26" s="56">
        <v>0.49430000000000002</v>
      </c>
      <c r="G26" s="56">
        <v>0.49430000000000002</v>
      </c>
      <c r="H26" s="56"/>
      <c r="I26" s="56"/>
      <c r="J26" s="56"/>
      <c r="K26" s="56">
        <v>0.52310000000000001</v>
      </c>
      <c r="L26" s="56"/>
      <c r="M26" s="56"/>
      <c r="N26" s="56">
        <v>0.4667</v>
      </c>
      <c r="O26" s="56">
        <v>0.48499999999999999</v>
      </c>
      <c r="P26" s="56">
        <v>0.49430000000000002</v>
      </c>
      <c r="Q26" s="56">
        <v>0.50380000000000003</v>
      </c>
      <c r="R26" s="56">
        <v>0.44879999999999998</v>
      </c>
      <c r="S26" s="56"/>
      <c r="T26" s="56">
        <v>0.43140000000000001</v>
      </c>
      <c r="U26" s="56"/>
      <c r="V26" s="56"/>
      <c r="W26" s="56"/>
      <c r="X26" s="56">
        <v>0.44879999999999998</v>
      </c>
      <c r="Y26" s="56"/>
      <c r="Z26" s="56"/>
      <c r="AA26" s="56"/>
      <c r="AB26" s="56"/>
      <c r="AC26" s="29"/>
      <c r="AD26" s="84">
        <v>0</v>
      </c>
      <c r="AE26" s="29"/>
      <c r="AF26" s="29"/>
      <c r="AG26" s="29"/>
      <c r="AH26" s="29"/>
      <c r="AI26" s="29"/>
      <c r="AJ26" s="29"/>
      <c r="AK26" s="29"/>
    </row>
    <row r="27" spans="1:37" x14ac:dyDescent="0.2">
      <c r="A27" s="177" t="s">
        <v>153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29"/>
      <c r="AD27" s="84"/>
      <c r="AE27" s="29"/>
      <c r="AF27" s="29"/>
      <c r="AG27" s="29"/>
      <c r="AH27" s="29"/>
      <c r="AI27" s="29"/>
      <c r="AJ27" s="29"/>
      <c r="AK27" s="29"/>
    </row>
    <row r="28" spans="1:37" x14ac:dyDescent="0.2">
      <c r="A28" s="178" t="s">
        <v>154</v>
      </c>
      <c r="B28" s="56">
        <v>0.48499999999999999</v>
      </c>
      <c r="C28" s="56"/>
      <c r="D28" s="56">
        <v>0.4667</v>
      </c>
      <c r="E28" s="56">
        <v>0.48499999999999999</v>
      </c>
      <c r="F28" s="56">
        <v>0.49430000000000002</v>
      </c>
      <c r="G28" s="56">
        <v>0.49430000000000002</v>
      </c>
      <c r="H28" s="56"/>
      <c r="I28" s="56"/>
      <c r="J28" s="56"/>
      <c r="K28" s="56">
        <v>0.52310000000000001</v>
      </c>
      <c r="L28" s="56"/>
      <c r="M28" s="56"/>
      <c r="N28" s="56">
        <v>0.4667</v>
      </c>
      <c r="O28" s="56">
        <v>0.48499999999999999</v>
      </c>
      <c r="P28" s="56">
        <v>0.49430000000000002</v>
      </c>
      <c r="Q28" s="56">
        <v>0.50380000000000003</v>
      </c>
      <c r="R28" s="56">
        <v>0.44879999999999998</v>
      </c>
      <c r="S28" s="56"/>
      <c r="T28" s="56">
        <v>0.43140000000000001</v>
      </c>
      <c r="U28" s="56"/>
      <c r="V28" s="56"/>
      <c r="W28" s="56"/>
      <c r="X28" s="56">
        <v>0.44879999999999998</v>
      </c>
      <c r="Y28" s="56"/>
      <c r="Z28" s="56"/>
      <c r="AA28" s="56"/>
      <c r="AB28" s="56"/>
      <c r="AC28" s="29"/>
      <c r="AD28" s="84">
        <v>0</v>
      </c>
      <c r="AE28" s="29"/>
      <c r="AF28" s="29"/>
      <c r="AG28" s="29"/>
      <c r="AH28" s="29"/>
      <c r="AI28" s="29"/>
      <c r="AJ28" s="29"/>
      <c r="AK28" s="29"/>
    </row>
    <row r="29" spans="1:37" x14ac:dyDescent="0.2">
      <c r="A29" s="178" t="s">
        <v>155</v>
      </c>
      <c r="B29" s="56">
        <v>0.48499999999999999</v>
      </c>
      <c r="C29" s="56"/>
      <c r="D29" s="56">
        <v>0.4667</v>
      </c>
      <c r="E29" s="56">
        <v>0.48499999999999999</v>
      </c>
      <c r="F29" s="56">
        <v>0.49430000000000002</v>
      </c>
      <c r="G29" s="56">
        <v>0.49430000000000002</v>
      </c>
      <c r="H29" s="56"/>
      <c r="I29" s="56"/>
      <c r="J29" s="56"/>
      <c r="K29" s="56">
        <v>0.52310000000000001</v>
      </c>
      <c r="L29" s="56"/>
      <c r="M29" s="56"/>
      <c r="N29" s="56">
        <v>0.4667</v>
      </c>
      <c r="O29" s="56">
        <v>0.48499999999999999</v>
      </c>
      <c r="P29" s="56">
        <v>0.49430000000000002</v>
      </c>
      <c r="Q29" s="56">
        <v>0.50380000000000003</v>
      </c>
      <c r="R29" s="56">
        <v>0.44879999999999998</v>
      </c>
      <c r="S29" s="56"/>
      <c r="T29" s="56">
        <v>0.43140000000000001</v>
      </c>
      <c r="U29" s="56"/>
      <c r="V29" s="56"/>
      <c r="W29" s="56"/>
      <c r="X29" s="56">
        <v>0.44879999999999998</v>
      </c>
      <c r="Y29" s="56"/>
      <c r="Z29" s="56"/>
      <c r="AA29" s="56"/>
      <c r="AB29" s="56"/>
      <c r="AC29" s="29"/>
      <c r="AD29" s="84">
        <v>0</v>
      </c>
      <c r="AE29" s="29"/>
      <c r="AF29" s="29"/>
      <c r="AG29" s="29"/>
      <c r="AH29" s="29"/>
      <c r="AI29" s="29"/>
      <c r="AJ29" s="29"/>
      <c r="AK29" s="29"/>
    </row>
    <row r="30" spans="1:37" x14ac:dyDescent="0.2">
      <c r="A30" s="177" t="s">
        <v>156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29"/>
      <c r="AD30" s="84"/>
      <c r="AE30" s="29"/>
      <c r="AF30" s="29"/>
      <c r="AG30" s="29"/>
      <c r="AH30" s="29"/>
      <c r="AI30" s="29"/>
      <c r="AJ30" s="29"/>
      <c r="AK30" s="29"/>
    </row>
    <row r="31" spans="1:37" x14ac:dyDescent="0.2">
      <c r="A31" s="178" t="s">
        <v>157</v>
      </c>
      <c r="B31" s="56">
        <v>0.48499999999999999</v>
      </c>
      <c r="C31" s="56"/>
      <c r="D31" s="56">
        <v>0.4667</v>
      </c>
      <c r="E31" s="56">
        <v>0.48499999999999999</v>
      </c>
      <c r="F31" s="56">
        <v>0.49430000000000002</v>
      </c>
      <c r="G31" s="56">
        <v>0.49430000000000002</v>
      </c>
      <c r="H31" s="56"/>
      <c r="I31" s="56"/>
      <c r="J31" s="56"/>
      <c r="K31" s="56">
        <v>0.52310000000000001</v>
      </c>
      <c r="L31" s="56"/>
      <c r="M31" s="56"/>
      <c r="N31" s="56">
        <v>0.4667</v>
      </c>
      <c r="O31" s="56">
        <v>0.48499999999999999</v>
      </c>
      <c r="P31" s="56">
        <v>0.49430000000000002</v>
      </c>
      <c r="Q31" s="56">
        <v>0.50380000000000003</v>
      </c>
      <c r="R31" s="56">
        <v>0.44879999999999998</v>
      </c>
      <c r="S31" s="56"/>
      <c r="T31" s="56">
        <v>0.43140000000000001</v>
      </c>
      <c r="U31" s="56"/>
      <c r="V31" s="56"/>
      <c r="W31" s="56"/>
      <c r="X31" s="56">
        <v>0.44879999999999998</v>
      </c>
      <c r="Y31" s="56"/>
      <c r="Z31" s="56"/>
      <c r="AA31" s="56"/>
      <c r="AB31" s="56"/>
      <c r="AC31" s="29"/>
      <c r="AD31" s="84">
        <v>0</v>
      </c>
      <c r="AE31" s="29"/>
      <c r="AF31" s="29"/>
      <c r="AG31" s="29"/>
      <c r="AH31" s="29"/>
      <c r="AI31" s="29"/>
      <c r="AJ31" s="29"/>
      <c r="AK31" s="29"/>
    </row>
    <row r="32" spans="1:37" x14ac:dyDescent="0.2">
      <c r="A32" s="178" t="s">
        <v>158</v>
      </c>
      <c r="B32" s="56">
        <v>0.48499999999999999</v>
      </c>
      <c r="C32" s="56"/>
      <c r="D32" s="56">
        <v>0.4667</v>
      </c>
      <c r="E32" s="56">
        <v>0.48499999999999999</v>
      </c>
      <c r="F32" s="56">
        <v>0.49430000000000002</v>
      </c>
      <c r="G32" s="56">
        <v>0.49430000000000002</v>
      </c>
      <c r="H32" s="56"/>
      <c r="I32" s="56"/>
      <c r="J32" s="56"/>
      <c r="K32" s="56">
        <v>0.52310000000000001</v>
      </c>
      <c r="L32" s="56"/>
      <c r="M32" s="56"/>
      <c r="N32" s="56">
        <v>0.4667</v>
      </c>
      <c r="O32" s="56">
        <v>0.48499999999999999</v>
      </c>
      <c r="P32" s="56">
        <v>0.49430000000000002</v>
      </c>
      <c r="Q32" s="56">
        <v>0.50380000000000003</v>
      </c>
      <c r="R32" s="56">
        <v>0.44879999999999998</v>
      </c>
      <c r="S32" s="56"/>
      <c r="T32" s="56">
        <v>0.43140000000000001</v>
      </c>
      <c r="U32" s="56"/>
      <c r="V32" s="56"/>
      <c r="W32" s="56"/>
      <c r="X32" s="56">
        <v>0.44879999999999998</v>
      </c>
      <c r="Y32" s="56"/>
      <c r="Z32" s="56"/>
      <c r="AA32" s="56"/>
      <c r="AB32" s="56"/>
      <c r="AC32" s="29"/>
      <c r="AD32" s="84">
        <v>0</v>
      </c>
      <c r="AE32" s="29"/>
      <c r="AF32" s="29"/>
      <c r="AG32" s="29"/>
      <c r="AH32" s="29"/>
      <c r="AI32" s="29"/>
      <c r="AJ32" s="29"/>
      <c r="AK32" s="29"/>
    </row>
    <row r="33" spans="1:37" x14ac:dyDescent="0.2">
      <c r="A33" s="178" t="s">
        <v>159</v>
      </c>
      <c r="B33" s="56">
        <v>0.48499999999999999</v>
      </c>
      <c r="C33" s="56"/>
      <c r="D33" s="56">
        <v>0.4667</v>
      </c>
      <c r="E33" s="56">
        <v>0.48499999999999999</v>
      </c>
      <c r="F33" s="56">
        <v>0.49430000000000002</v>
      </c>
      <c r="G33" s="56">
        <v>0.49430000000000002</v>
      </c>
      <c r="H33" s="56"/>
      <c r="I33" s="56"/>
      <c r="J33" s="56"/>
      <c r="K33" s="56">
        <v>0.52310000000000001</v>
      </c>
      <c r="L33" s="56"/>
      <c r="M33" s="56"/>
      <c r="N33" s="56">
        <v>0.4667</v>
      </c>
      <c r="O33" s="56">
        <v>0.48499999999999999</v>
      </c>
      <c r="P33" s="56">
        <v>0.49430000000000002</v>
      </c>
      <c r="Q33" s="56">
        <v>0.50380000000000003</v>
      </c>
      <c r="R33" s="56">
        <v>0.44879999999999998</v>
      </c>
      <c r="S33" s="56"/>
      <c r="T33" s="56">
        <v>0.43140000000000001</v>
      </c>
      <c r="U33" s="56"/>
      <c r="V33" s="56"/>
      <c r="W33" s="56"/>
      <c r="X33" s="56">
        <v>0.44879999999999998</v>
      </c>
      <c r="Y33" s="56"/>
      <c r="Z33" s="56"/>
      <c r="AA33" s="56"/>
      <c r="AB33" s="56"/>
      <c r="AC33" s="29"/>
      <c r="AD33" s="84">
        <v>0</v>
      </c>
      <c r="AE33" s="29"/>
      <c r="AF33" s="29"/>
      <c r="AG33" s="29"/>
      <c r="AH33" s="29"/>
      <c r="AI33" s="29"/>
      <c r="AJ33" s="29"/>
      <c r="AK33" s="29"/>
    </row>
    <row r="34" spans="1:37" x14ac:dyDescent="0.2">
      <c r="A34" s="177" t="s">
        <v>160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29"/>
      <c r="AD34" s="84"/>
      <c r="AE34" s="29"/>
      <c r="AF34" s="29"/>
      <c r="AG34" s="29"/>
      <c r="AH34" s="29"/>
      <c r="AI34" s="29"/>
      <c r="AJ34" s="29"/>
      <c r="AK34" s="29"/>
    </row>
    <row r="35" spans="1:37" x14ac:dyDescent="0.2">
      <c r="A35" s="178" t="s">
        <v>161</v>
      </c>
      <c r="B35" s="56">
        <v>0.48499999999999999</v>
      </c>
      <c r="C35" s="56"/>
      <c r="D35" s="56">
        <v>0.4667</v>
      </c>
      <c r="E35" s="56">
        <v>0.48499999999999999</v>
      </c>
      <c r="F35" s="56">
        <v>0.49430000000000002</v>
      </c>
      <c r="G35" s="56">
        <v>0.49430000000000002</v>
      </c>
      <c r="H35" s="56"/>
      <c r="I35" s="56"/>
      <c r="J35" s="56"/>
      <c r="K35" s="56">
        <v>0.52310000000000001</v>
      </c>
      <c r="L35" s="56"/>
      <c r="M35" s="56"/>
      <c r="N35" s="56">
        <v>0.4667</v>
      </c>
      <c r="O35" s="56">
        <v>0.48499999999999999</v>
      </c>
      <c r="P35" s="56">
        <v>0.49430000000000002</v>
      </c>
      <c r="Q35" s="56">
        <v>0.50380000000000003</v>
      </c>
      <c r="R35" s="56">
        <v>0.44879999999999998</v>
      </c>
      <c r="S35" s="56"/>
      <c r="T35" s="56">
        <v>0.43140000000000001</v>
      </c>
      <c r="U35" s="56"/>
      <c r="V35" s="56"/>
      <c r="W35" s="56"/>
      <c r="X35" s="56">
        <v>0.44879999999999998</v>
      </c>
      <c r="Y35" s="56"/>
      <c r="Z35" s="56"/>
      <c r="AA35" s="56"/>
      <c r="AB35" s="56"/>
      <c r="AC35" s="29"/>
      <c r="AD35" s="84">
        <v>0</v>
      </c>
      <c r="AE35" s="29"/>
      <c r="AF35" s="29"/>
      <c r="AG35" s="29"/>
      <c r="AH35" s="29"/>
      <c r="AI35" s="29"/>
      <c r="AJ35" s="29"/>
      <c r="AK35" s="29"/>
    </row>
    <row r="36" spans="1:37" x14ac:dyDescent="0.2">
      <c r="A36" s="178" t="s">
        <v>162</v>
      </c>
      <c r="B36" s="56">
        <v>0.48499999999999999</v>
      </c>
      <c r="C36" s="56"/>
      <c r="D36" s="56">
        <v>0.4667</v>
      </c>
      <c r="E36" s="56">
        <v>0.48499999999999999</v>
      </c>
      <c r="F36" s="56">
        <v>0.49430000000000002</v>
      </c>
      <c r="G36" s="56">
        <v>0.49430000000000002</v>
      </c>
      <c r="H36" s="56"/>
      <c r="I36" s="56"/>
      <c r="J36" s="56"/>
      <c r="K36" s="56">
        <v>0.52310000000000001</v>
      </c>
      <c r="L36" s="56"/>
      <c r="M36" s="56"/>
      <c r="N36" s="56">
        <v>0.4667</v>
      </c>
      <c r="O36" s="56">
        <v>0.48499999999999999</v>
      </c>
      <c r="P36" s="56">
        <v>0.49430000000000002</v>
      </c>
      <c r="Q36" s="56">
        <v>0.50380000000000003</v>
      </c>
      <c r="R36" s="56">
        <v>0.44879999999999998</v>
      </c>
      <c r="S36" s="56"/>
      <c r="T36" s="56">
        <v>0.43140000000000001</v>
      </c>
      <c r="U36" s="56"/>
      <c r="V36" s="56"/>
      <c r="W36" s="56"/>
      <c r="X36" s="56">
        <v>0.44879999999999998</v>
      </c>
      <c r="Y36" s="56"/>
      <c r="Z36" s="56"/>
      <c r="AA36" s="56"/>
      <c r="AB36" s="56"/>
      <c r="AC36" s="29"/>
      <c r="AD36" s="84">
        <v>0</v>
      </c>
      <c r="AE36" s="29"/>
      <c r="AF36" s="29"/>
      <c r="AG36" s="29"/>
      <c r="AH36" s="29"/>
      <c r="AI36" s="29"/>
      <c r="AJ36" s="29"/>
      <c r="AK36" s="29"/>
    </row>
    <row r="37" spans="1:37" x14ac:dyDescent="0.2">
      <c r="A37" s="177" t="s">
        <v>163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29"/>
      <c r="AD37" s="84"/>
      <c r="AE37" s="29"/>
      <c r="AF37" s="29"/>
      <c r="AG37" s="29"/>
      <c r="AH37" s="29"/>
      <c r="AI37" s="29"/>
      <c r="AJ37" s="29"/>
      <c r="AK37" s="29"/>
    </row>
    <row r="38" spans="1:37" x14ac:dyDescent="0.2">
      <c r="A38" s="178" t="s">
        <v>164</v>
      </c>
      <c r="B38" s="56">
        <v>0.48499999999999999</v>
      </c>
      <c r="C38" s="56"/>
      <c r="D38" s="56">
        <v>0.4667</v>
      </c>
      <c r="E38" s="56">
        <v>0.48499999999999999</v>
      </c>
      <c r="F38" s="56">
        <v>0.49430000000000002</v>
      </c>
      <c r="G38" s="56">
        <v>0.49430000000000002</v>
      </c>
      <c r="H38" s="56"/>
      <c r="I38" s="56"/>
      <c r="J38" s="56"/>
      <c r="K38" s="56">
        <v>0.52310000000000001</v>
      </c>
      <c r="L38" s="56"/>
      <c r="M38" s="56"/>
      <c r="N38" s="56">
        <v>0.4667</v>
      </c>
      <c r="O38" s="56">
        <v>0.48499999999999999</v>
      </c>
      <c r="P38" s="56">
        <v>0.49430000000000002</v>
      </c>
      <c r="Q38" s="56">
        <v>0.50380000000000003</v>
      </c>
      <c r="R38" s="56">
        <v>0.44879999999999998</v>
      </c>
      <c r="S38" s="56"/>
      <c r="T38" s="56">
        <v>0.43140000000000001</v>
      </c>
      <c r="U38" s="56"/>
      <c r="V38" s="56"/>
      <c r="W38" s="56"/>
      <c r="X38" s="56">
        <v>0.44879999999999998</v>
      </c>
      <c r="Y38" s="56"/>
      <c r="Z38" s="56"/>
      <c r="AA38" s="56"/>
      <c r="AB38" s="56"/>
      <c r="AC38" s="29"/>
      <c r="AD38" s="84">
        <v>0</v>
      </c>
      <c r="AE38" s="29"/>
      <c r="AF38" s="29"/>
      <c r="AG38" s="29"/>
      <c r="AH38" s="29"/>
      <c r="AI38" s="29"/>
      <c r="AJ38" s="29"/>
      <c r="AK38" s="29"/>
    </row>
    <row r="39" spans="1:37" x14ac:dyDescent="0.2">
      <c r="A39" s="178" t="s">
        <v>165</v>
      </c>
      <c r="B39" s="56">
        <v>0.48499999999999999</v>
      </c>
      <c r="C39" s="56"/>
      <c r="D39" s="56">
        <v>0.4667</v>
      </c>
      <c r="E39" s="56">
        <v>0.48499999999999999</v>
      </c>
      <c r="F39" s="56">
        <v>0.49430000000000002</v>
      </c>
      <c r="G39" s="56">
        <v>0.49430000000000002</v>
      </c>
      <c r="H39" s="56"/>
      <c r="I39" s="56"/>
      <c r="J39" s="56"/>
      <c r="K39" s="56">
        <v>0.52310000000000001</v>
      </c>
      <c r="L39" s="56"/>
      <c r="M39" s="56"/>
      <c r="N39" s="56">
        <v>0.4667</v>
      </c>
      <c r="O39" s="56">
        <v>0.48499999999999999</v>
      </c>
      <c r="P39" s="56">
        <v>0.49430000000000002</v>
      </c>
      <c r="Q39" s="56">
        <v>0.50380000000000003</v>
      </c>
      <c r="R39" s="56">
        <v>0.44879999999999998</v>
      </c>
      <c r="S39" s="56"/>
      <c r="T39" s="56">
        <v>0.43140000000000001</v>
      </c>
      <c r="U39" s="56"/>
      <c r="V39" s="56"/>
      <c r="W39" s="56"/>
      <c r="X39" s="56">
        <v>0.44879999999999998</v>
      </c>
      <c r="Y39" s="56"/>
      <c r="Z39" s="56"/>
      <c r="AA39" s="56"/>
      <c r="AB39" s="56"/>
      <c r="AC39" s="29"/>
      <c r="AD39" s="84">
        <v>0</v>
      </c>
      <c r="AE39" s="29"/>
      <c r="AF39" s="29"/>
      <c r="AG39" s="29"/>
      <c r="AH39" s="29"/>
      <c r="AI39" s="29"/>
      <c r="AJ39" s="29"/>
      <c r="AK39" s="29"/>
    </row>
    <row r="40" spans="1:37" x14ac:dyDescent="0.2">
      <c r="A40" s="177" t="s">
        <v>166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29"/>
      <c r="AD40" s="84"/>
      <c r="AE40" s="29"/>
      <c r="AF40" s="29"/>
      <c r="AG40" s="29"/>
      <c r="AH40" s="29"/>
      <c r="AI40" s="29"/>
      <c r="AJ40" s="29"/>
      <c r="AK40" s="29"/>
    </row>
    <row r="41" spans="1:37" x14ac:dyDescent="0.2">
      <c r="A41" s="178" t="s">
        <v>167</v>
      </c>
      <c r="B41" s="56">
        <v>0.48499999999999999</v>
      </c>
      <c r="C41" s="56"/>
      <c r="D41" s="56">
        <v>0.4667</v>
      </c>
      <c r="E41" s="56">
        <v>0.48499999999999999</v>
      </c>
      <c r="F41" s="56">
        <v>0.49430000000000002</v>
      </c>
      <c r="G41" s="56">
        <v>0.49430000000000002</v>
      </c>
      <c r="H41" s="56"/>
      <c r="I41" s="56"/>
      <c r="J41" s="56"/>
      <c r="K41" s="56">
        <v>0.52310000000000001</v>
      </c>
      <c r="L41" s="56"/>
      <c r="M41" s="56"/>
      <c r="N41" s="56">
        <v>0.4667</v>
      </c>
      <c r="O41" s="56">
        <v>0.48499999999999999</v>
      </c>
      <c r="P41" s="56">
        <v>0.49430000000000002</v>
      </c>
      <c r="Q41" s="56">
        <v>0.50380000000000003</v>
      </c>
      <c r="R41" s="56">
        <v>0.44879999999999998</v>
      </c>
      <c r="S41" s="56"/>
      <c r="T41" s="56">
        <v>0.43140000000000001</v>
      </c>
      <c r="U41" s="56"/>
      <c r="V41" s="56"/>
      <c r="W41" s="56"/>
      <c r="X41" s="56">
        <v>0.44879999999999998</v>
      </c>
      <c r="Y41" s="56"/>
      <c r="Z41" s="56"/>
      <c r="AA41" s="56"/>
      <c r="AB41" s="56"/>
      <c r="AC41" s="29"/>
      <c r="AD41" s="84">
        <v>0</v>
      </c>
      <c r="AE41" s="29"/>
      <c r="AF41" s="29"/>
      <c r="AG41" s="29"/>
      <c r="AH41" s="29"/>
      <c r="AI41" s="29"/>
      <c r="AJ41" s="29"/>
      <c r="AK41" s="29"/>
    </row>
    <row r="42" spans="1:37" x14ac:dyDescent="0.2">
      <c r="A42" s="178" t="s">
        <v>168</v>
      </c>
      <c r="B42" s="56">
        <v>0.48499999999999999</v>
      </c>
      <c r="C42" s="56"/>
      <c r="D42" s="56">
        <v>0.4667</v>
      </c>
      <c r="E42" s="56">
        <v>0.48499999999999999</v>
      </c>
      <c r="F42" s="56">
        <v>0.49430000000000002</v>
      </c>
      <c r="G42" s="56">
        <v>0.49430000000000002</v>
      </c>
      <c r="H42" s="56"/>
      <c r="I42" s="56"/>
      <c r="J42" s="56"/>
      <c r="K42" s="56">
        <v>0.52310000000000001</v>
      </c>
      <c r="L42" s="56"/>
      <c r="M42" s="56"/>
      <c r="N42" s="56">
        <v>0.4667</v>
      </c>
      <c r="O42" s="56">
        <v>0.48499999999999999</v>
      </c>
      <c r="P42" s="56">
        <v>0.49430000000000002</v>
      </c>
      <c r="Q42" s="56">
        <v>0.50380000000000003</v>
      </c>
      <c r="R42" s="56">
        <v>0.44879999999999998</v>
      </c>
      <c r="S42" s="56"/>
      <c r="T42" s="56">
        <v>0.43140000000000001</v>
      </c>
      <c r="U42" s="56"/>
      <c r="V42" s="56"/>
      <c r="W42" s="56"/>
      <c r="X42" s="56">
        <v>0.44879999999999998</v>
      </c>
      <c r="Y42" s="56"/>
      <c r="Z42" s="56"/>
      <c r="AA42" s="56"/>
      <c r="AB42" s="56"/>
      <c r="AC42" s="29"/>
      <c r="AD42" s="84">
        <v>0</v>
      </c>
      <c r="AE42" s="29"/>
      <c r="AF42" s="29"/>
      <c r="AG42" s="29"/>
      <c r="AH42" s="29"/>
      <c r="AI42" s="29"/>
      <c r="AJ42" s="29"/>
      <c r="AK42" s="29"/>
    </row>
    <row r="43" spans="1:37" x14ac:dyDescent="0.2">
      <c r="A43" s="177" t="s">
        <v>169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29"/>
      <c r="AD43" s="84"/>
      <c r="AE43" s="29"/>
      <c r="AF43" s="29"/>
      <c r="AG43" s="29"/>
      <c r="AH43" s="29"/>
      <c r="AI43" s="29"/>
      <c r="AJ43" s="29"/>
      <c r="AK43" s="29"/>
    </row>
    <row r="44" spans="1:37" x14ac:dyDescent="0.2">
      <c r="A44" s="178" t="s">
        <v>170</v>
      </c>
      <c r="B44" s="56">
        <v>0.48499999999999999</v>
      </c>
      <c r="C44" s="56"/>
      <c r="D44" s="56">
        <v>0.4667</v>
      </c>
      <c r="E44" s="56">
        <v>0.48499999999999999</v>
      </c>
      <c r="F44" s="56">
        <v>0.49430000000000002</v>
      </c>
      <c r="G44" s="56">
        <v>0.49430000000000002</v>
      </c>
      <c r="H44" s="56"/>
      <c r="I44" s="56"/>
      <c r="J44" s="56"/>
      <c r="K44" s="56">
        <v>0.52310000000000001</v>
      </c>
      <c r="L44" s="56"/>
      <c r="M44" s="56"/>
      <c r="N44" s="56">
        <v>0.4667</v>
      </c>
      <c r="O44" s="56">
        <v>0.48499999999999999</v>
      </c>
      <c r="P44" s="56">
        <v>0.49430000000000002</v>
      </c>
      <c r="Q44" s="56">
        <v>0.50380000000000003</v>
      </c>
      <c r="R44" s="56">
        <v>0.44879999999999998</v>
      </c>
      <c r="S44" s="56"/>
      <c r="T44" s="56">
        <v>0.43140000000000001</v>
      </c>
      <c r="U44" s="56"/>
      <c r="V44" s="56"/>
      <c r="W44" s="56"/>
      <c r="X44" s="56">
        <v>0.44879999999999998</v>
      </c>
      <c r="Y44" s="56"/>
      <c r="Z44" s="56"/>
      <c r="AA44" s="56"/>
      <c r="AB44" s="56"/>
      <c r="AC44" s="29"/>
      <c r="AD44" s="84">
        <v>0</v>
      </c>
      <c r="AE44" s="29"/>
      <c r="AF44" s="29"/>
      <c r="AG44" s="29"/>
      <c r="AH44" s="29"/>
      <c r="AI44" s="29"/>
      <c r="AJ44" s="29"/>
      <c r="AK44" s="29"/>
    </row>
    <row r="45" spans="1:37" x14ac:dyDescent="0.2">
      <c r="A45" s="178" t="s">
        <v>171</v>
      </c>
      <c r="B45" s="56">
        <v>0.48499999999999999</v>
      </c>
      <c r="C45" s="56"/>
      <c r="D45" s="56">
        <v>0.4667</v>
      </c>
      <c r="E45" s="56">
        <v>0.48499999999999999</v>
      </c>
      <c r="F45" s="56">
        <v>0.49430000000000002</v>
      </c>
      <c r="G45" s="56">
        <v>0.49430000000000002</v>
      </c>
      <c r="H45" s="56"/>
      <c r="I45" s="56"/>
      <c r="J45" s="56"/>
      <c r="K45" s="56">
        <v>0.52310000000000001</v>
      </c>
      <c r="L45" s="56"/>
      <c r="M45" s="56"/>
      <c r="N45" s="56">
        <v>0.4667</v>
      </c>
      <c r="O45" s="56">
        <v>0.48499999999999999</v>
      </c>
      <c r="P45" s="56">
        <v>0.49430000000000002</v>
      </c>
      <c r="Q45" s="56">
        <v>0.50380000000000003</v>
      </c>
      <c r="R45" s="56">
        <v>0.44879999999999998</v>
      </c>
      <c r="S45" s="56"/>
      <c r="T45" s="56">
        <v>0.43140000000000001</v>
      </c>
      <c r="U45" s="56"/>
      <c r="V45" s="56"/>
      <c r="W45" s="56"/>
      <c r="X45" s="56">
        <v>0.44879999999999998</v>
      </c>
      <c r="Y45" s="56"/>
      <c r="Z45" s="56"/>
      <c r="AA45" s="56"/>
      <c r="AB45" s="56"/>
      <c r="AC45" s="29"/>
      <c r="AD45" s="84">
        <v>0</v>
      </c>
      <c r="AE45" s="29"/>
      <c r="AF45" s="29"/>
      <c r="AG45" s="29"/>
      <c r="AH45" s="29"/>
      <c r="AI45" s="29"/>
      <c r="AJ45" s="29"/>
      <c r="AK45" s="29"/>
    </row>
    <row r="46" spans="1:37" x14ac:dyDescent="0.2">
      <c r="A46" s="177" t="s">
        <v>122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29"/>
      <c r="AD46" s="84"/>
      <c r="AE46" s="29"/>
      <c r="AF46" s="29"/>
      <c r="AG46" s="29"/>
      <c r="AH46" s="29"/>
      <c r="AI46" s="29"/>
      <c r="AJ46" s="29"/>
      <c r="AK46" s="29"/>
    </row>
    <row r="47" spans="1:37" x14ac:dyDescent="0.2">
      <c r="A47" s="178" t="s">
        <v>123</v>
      </c>
      <c r="B47" s="56">
        <v>0.48499999999999999</v>
      </c>
      <c r="C47" s="56"/>
      <c r="D47" s="56">
        <v>0.4667</v>
      </c>
      <c r="E47" s="56">
        <v>0.48499999999999999</v>
      </c>
      <c r="F47" s="56">
        <v>0.49430000000000002</v>
      </c>
      <c r="G47" s="56">
        <v>0.49430000000000002</v>
      </c>
      <c r="H47" s="56"/>
      <c r="I47" s="56"/>
      <c r="J47" s="56"/>
      <c r="K47" s="56">
        <v>0.52310000000000001</v>
      </c>
      <c r="L47" s="56"/>
      <c r="M47" s="56"/>
      <c r="N47" s="56">
        <v>0.4667</v>
      </c>
      <c r="O47" s="56">
        <v>0.48499999999999999</v>
      </c>
      <c r="P47" s="56">
        <v>0.49430000000000002</v>
      </c>
      <c r="Q47" s="56">
        <v>0.50380000000000003</v>
      </c>
      <c r="R47" s="56">
        <v>0.44879999999999998</v>
      </c>
      <c r="S47" s="56"/>
      <c r="T47" s="56">
        <v>0.43140000000000001</v>
      </c>
      <c r="U47" s="56"/>
      <c r="V47" s="56"/>
      <c r="W47" s="56"/>
      <c r="X47" s="56">
        <v>0.44879999999999998</v>
      </c>
      <c r="Y47" s="56"/>
      <c r="Z47" s="56"/>
      <c r="AA47" s="56"/>
      <c r="AB47" s="56"/>
      <c r="AC47" s="29"/>
      <c r="AD47" s="84">
        <v>0</v>
      </c>
      <c r="AE47" s="29"/>
      <c r="AF47" s="29"/>
      <c r="AG47" s="29"/>
      <c r="AH47" s="29"/>
      <c r="AI47" s="29"/>
      <c r="AJ47" s="29"/>
      <c r="AK47" s="29"/>
    </row>
    <row r="48" spans="1:37" x14ac:dyDescent="0.2">
      <c r="A48" s="177" t="s">
        <v>84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29"/>
      <c r="AD48" s="84"/>
      <c r="AE48" s="29"/>
      <c r="AF48" s="29"/>
      <c r="AG48" s="29"/>
      <c r="AH48" s="29"/>
      <c r="AI48" s="29"/>
      <c r="AJ48" s="29"/>
      <c r="AK48" s="29"/>
    </row>
    <row r="49" spans="1:37" x14ac:dyDescent="0.2">
      <c r="A49" s="178" t="s">
        <v>114</v>
      </c>
      <c r="B49" s="56">
        <v>0.48499999999999999</v>
      </c>
      <c r="C49" s="56"/>
      <c r="D49" s="56">
        <v>0.4667</v>
      </c>
      <c r="E49" s="56">
        <v>0.48499999999999999</v>
      </c>
      <c r="F49" s="56">
        <v>0.49430000000000002</v>
      </c>
      <c r="G49" s="56">
        <v>0.49430000000000002</v>
      </c>
      <c r="H49" s="56"/>
      <c r="I49" s="56"/>
      <c r="J49" s="56"/>
      <c r="K49" s="56">
        <v>0.52310000000000001</v>
      </c>
      <c r="L49" s="56"/>
      <c r="M49" s="56"/>
      <c r="N49" s="56">
        <v>0.4667</v>
      </c>
      <c r="O49" s="56">
        <v>0.48499999999999999</v>
      </c>
      <c r="P49" s="56">
        <v>0.49430000000000002</v>
      </c>
      <c r="Q49" s="56">
        <v>0.50380000000000003</v>
      </c>
      <c r="R49" s="56">
        <v>0.44879999999999998</v>
      </c>
      <c r="S49" s="56"/>
      <c r="T49" s="56">
        <v>0.43140000000000001</v>
      </c>
      <c r="U49" s="56"/>
      <c r="V49" s="56"/>
      <c r="W49" s="56"/>
      <c r="X49" s="56">
        <v>0.44879999999999998</v>
      </c>
      <c r="Y49" s="56"/>
      <c r="Z49" s="56"/>
      <c r="AA49" s="56"/>
      <c r="AB49" s="56"/>
      <c r="AC49" s="29"/>
      <c r="AD49" s="84">
        <v>0</v>
      </c>
      <c r="AE49" s="29"/>
      <c r="AF49" s="29"/>
      <c r="AG49" s="29"/>
      <c r="AH49" s="29"/>
      <c r="AI49" s="29"/>
      <c r="AJ49" s="29"/>
      <c r="AK49" s="29"/>
    </row>
    <row r="50" spans="1:37" x14ac:dyDescent="0.2">
      <c r="A50" s="178" t="s">
        <v>92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29"/>
      <c r="AD50" s="84"/>
      <c r="AE50" s="29"/>
      <c r="AF50" s="29"/>
      <c r="AG50" s="29"/>
      <c r="AH50" s="29"/>
      <c r="AI50" s="29"/>
      <c r="AJ50" s="29"/>
      <c r="AK50" s="29"/>
    </row>
    <row r="51" spans="1:37" x14ac:dyDescent="0.2">
      <c r="A51" s="177" t="s">
        <v>172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29"/>
      <c r="AD51" s="84"/>
      <c r="AE51" s="29"/>
      <c r="AF51" s="29"/>
      <c r="AG51" s="29"/>
      <c r="AH51" s="29"/>
      <c r="AI51" s="29"/>
      <c r="AJ51" s="29"/>
      <c r="AK51" s="29"/>
    </row>
    <row r="52" spans="1:37" x14ac:dyDescent="0.2">
      <c r="A52" s="178" t="s">
        <v>173</v>
      </c>
      <c r="B52" s="56">
        <v>0</v>
      </c>
      <c r="C52" s="56"/>
      <c r="D52" s="56">
        <v>0</v>
      </c>
      <c r="E52" s="56">
        <v>0</v>
      </c>
      <c r="F52" s="56">
        <v>0</v>
      </c>
      <c r="G52" s="56">
        <v>0</v>
      </c>
      <c r="H52" s="56"/>
      <c r="I52" s="56"/>
      <c r="J52" s="56"/>
      <c r="K52" s="56">
        <v>0</v>
      </c>
      <c r="L52" s="56"/>
      <c r="M52" s="56"/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/>
      <c r="T52" s="56">
        <v>0</v>
      </c>
      <c r="U52" s="56"/>
      <c r="V52" s="56"/>
      <c r="W52" s="56"/>
      <c r="X52" s="56">
        <v>0</v>
      </c>
      <c r="Y52" s="56"/>
      <c r="Z52" s="56"/>
      <c r="AA52" s="56"/>
      <c r="AB52" s="56"/>
      <c r="AC52" s="29"/>
      <c r="AD52" s="84">
        <v>0.02</v>
      </c>
      <c r="AE52" s="29"/>
      <c r="AF52" s="29"/>
      <c r="AG52" s="29"/>
      <c r="AH52" s="29"/>
      <c r="AI52" s="29"/>
      <c r="AJ52" s="29"/>
      <c r="AK52" s="29"/>
    </row>
    <row r="53" spans="1:37" x14ac:dyDescent="0.2">
      <c r="A53" s="178" t="s">
        <v>174</v>
      </c>
      <c r="B53" s="56">
        <v>0</v>
      </c>
      <c r="C53" s="56"/>
      <c r="D53" s="56">
        <v>0</v>
      </c>
      <c r="E53" s="56">
        <v>0</v>
      </c>
      <c r="F53" s="56">
        <v>0</v>
      </c>
      <c r="G53" s="56">
        <v>0</v>
      </c>
      <c r="H53" s="56"/>
      <c r="I53" s="56"/>
      <c r="J53" s="56"/>
      <c r="K53" s="56">
        <v>0</v>
      </c>
      <c r="L53" s="56"/>
      <c r="M53" s="56"/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/>
      <c r="T53" s="56">
        <v>0</v>
      </c>
      <c r="U53" s="56"/>
      <c r="V53" s="56"/>
      <c r="W53" s="56"/>
      <c r="X53" s="56">
        <v>0</v>
      </c>
      <c r="Y53" s="56"/>
      <c r="Z53" s="56"/>
      <c r="AA53" s="56"/>
      <c r="AB53" s="56"/>
      <c r="AC53" s="29"/>
      <c r="AD53" s="84">
        <v>0.02</v>
      </c>
      <c r="AE53" s="29"/>
      <c r="AF53" s="29"/>
      <c r="AG53" s="29"/>
      <c r="AH53" s="29"/>
      <c r="AI53" s="29"/>
      <c r="AJ53" s="29"/>
      <c r="AK53" s="29"/>
    </row>
    <row r="54" spans="1:37" x14ac:dyDescent="0.2">
      <c r="A54" s="183" t="s">
        <v>175</v>
      </c>
      <c r="B54" s="56">
        <v>0</v>
      </c>
      <c r="C54" s="56"/>
      <c r="D54" s="56">
        <v>0</v>
      </c>
      <c r="E54" s="56">
        <v>0</v>
      </c>
      <c r="F54" s="56">
        <v>0</v>
      </c>
      <c r="G54" s="56">
        <v>0</v>
      </c>
      <c r="H54" s="56"/>
      <c r="I54" s="56"/>
      <c r="J54" s="56"/>
      <c r="K54" s="56">
        <v>0</v>
      </c>
      <c r="L54" s="56"/>
      <c r="M54" s="56"/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/>
      <c r="T54" s="56">
        <v>0</v>
      </c>
      <c r="U54" s="56"/>
      <c r="V54" s="56"/>
      <c r="W54" s="56"/>
      <c r="X54" s="56">
        <v>0</v>
      </c>
      <c r="Y54" s="56"/>
      <c r="Z54" s="56"/>
      <c r="AA54" s="56"/>
      <c r="AB54" s="56"/>
      <c r="AC54" s="29"/>
      <c r="AD54" s="84">
        <v>0.02</v>
      </c>
      <c r="AE54" s="29"/>
      <c r="AF54" s="29"/>
      <c r="AG54" s="29"/>
      <c r="AH54" s="29"/>
      <c r="AI54" s="29"/>
      <c r="AJ54" s="29"/>
      <c r="AK54" s="29"/>
    </row>
    <row r="55" spans="1:37" x14ac:dyDescent="0.2">
      <c r="A55" s="178" t="s">
        <v>176</v>
      </c>
      <c r="B55" s="56">
        <v>0</v>
      </c>
      <c r="C55" s="56"/>
      <c r="D55" s="56">
        <v>0</v>
      </c>
      <c r="E55" s="56">
        <v>0</v>
      </c>
      <c r="F55" s="56">
        <v>0</v>
      </c>
      <c r="G55" s="56">
        <v>0</v>
      </c>
      <c r="H55" s="56"/>
      <c r="I55" s="56"/>
      <c r="J55" s="56"/>
      <c r="K55" s="56">
        <v>0</v>
      </c>
      <c r="L55" s="56"/>
      <c r="M55" s="56"/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/>
      <c r="T55" s="56">
        <v>0</v>
      </c>
      <c r="U55" s="56"/>
      <c r="V55" s="56"/>
      <c r="W55" s="56"/>
      <c r="X55" s="56">
        <v>0</v>
      </c>
      <c r="Y55" s="56"/>
      <c r="Z55" s="56"/>
      <c r="AA55" s="56"/>
      <c r="AB55" s="56"/>
      <c r="AC55" s="29"/>
      <c r="AD55" s="84">
        <v>0.02</v>
      </c>
      <c r="AE55" s="29"/>
      <c r="AF55" s="29"/>
      <c r="AG55" s="29"/>
      <c r="AH55" s="29"/>
      <c r="AI55" s="29"/>
      <c r="AJ55" s="29"/>
      <c r="AK55" s="29"/>
    </row>
    <row r="56" spans="1:37" x14ac:dyDescent="0.2">
      <c r="A56" s="178" t="s">
        <v>177</v>
      </c>
      <c r="B56" s="56">
        <v>0</v>
      </c>
      <c r="C56" s="56"/>
      <c r="D56" s="56">
        <v>0</v>
      </c>
      <c r="E56" s="56">
        <v>0</v>
      </c>
      <c r="F56" s="56">
        <v>0</v>
      </c>
      <c r="G56" s="56">
        <v>0</v>
      </c>
      <c r="H56" s="56"/>
      <c r="I56" s="56"/>
      <c r="J56" s="56"/>
      <c r="K56" s="56">
        <v>0</v>
      </c>
      <c r="L56" s="56"/>
      <c r="M56" s="56"/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/>
      <c r="T56" s="56">
        <v>0</v>
      </c>
      <c r="U56" s="56"/>
      <c r="V56" s="56"/>
      <c r="W56" s="56"/>
      <c r="X56" s="56">
        <v>0</v>
      </c>
      <c r="Y56" s="56"/>
      <c r="Z56" s="56"/>
      <c r="AA56" s="56"/>
      <c r="AB56" s="56"/>
      <c r="AC56" s="29"/>
      <c r="AD56" s="84">
        <v>0.02</v>
      </c>
      <c r="AE56" s="29"/>
      <c r="AF56" s="29"/>
      <c r="AG56" s="29"/>
      <c r="AH56" s="29"/>
      <c r="AI56" s="29"/>
      <c r="AJ56" s="29"/>
      <c r="AK56" s="29"/>
    </row>
    <row r="57" spans="1:37" x14ac:dyDescent="0.2">
      <c r="A57" s="178" t="s">
        <v>178</v>
      </c>
      <c r="B57" s="56">
        <v>0</v>
      </c>
      <c r="C57" s="56"/>
      <c r="D57" s="56">
        <v>0</v>
      </c>
      <c r="E57" s="56">
        <v>0</v>
      </c>
      <c r="F57" s="56">
        <v>0</v>
      </c>
      <c r="G57" s="56">
        <v>0</v>
      </c>
      <c r="H57" s="56"/>
      <c r="I57" s="56"/>
      <c r="J57" s="56"/>
      <c r="K57" s="56">
        <v>0</v>
      </c>
      <c r="L57" s="56"/>
      <c r="M57" s="56"/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/>
      <c r="T57" s="56">
        <v>0</v>
      </c>
      <c r="U57" s="56"/>
      <c r="V57" s="56"/>
      <c r="W57" s="56"/>
      <c r="X57" s="56">
        <v>0</v>
      </c>
      <c r="Y57" s="56"/>
      <c r="Z57" s="56"/>
      <c r="AA57" s="56"/>
      <c r="AB57" s="56"/>
      <c r="AC57" s="29"/>
      <c r="AD57" s="84">
        <v>0.02</v>
      </c>
      <c r="AE57" s="29"/>
      <c r="AF57" s="29"/>
      <c r="AG57" s="29"/>
      <c r="AH57" s="29"/>
      <c r="AI57" s="29"/>
      <c r="AJ57" s="29"/>
      <c r="AK57" s="29"/>
    </row>
    <row r="58" spans="1:37" x14ac:dyDescent="0.2">
      <c r="A58" s="178" t="s">
        <v>179</v>
      </c>
      <c r="B58" s="56">
        <v>0</v>
      </c>
      <c r="C58" s="56"/>
      <c r="D58" s="56">
        <v>0</v>
      </c>
      <c r="E58" s="56">
        <v>0</v>
      </c>
      <c r="F58" s="56">
        <v>0</v>
      </c>
      <c r="G58" s="56">
        <v>0</v>
      </c>
      <c r="H58" s="56"/>
      <c r="I58" s="56"/>
      <c r="J58" s="56"/>
      <c r="K58" s="56">
        <v>0</v>
      </c>
      <c r="L58" s="56"/>
      <c r="M58" s="56"/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/>
      <c r="T58" s="56">
        <v>0</v>
      </c>
      <c r="U58" s="56"/>
      <c r="V58" s="56"/>
      <c r="W58" s="56"/>
      <c r="X58" s="56">
        <v>0</v>
      </c>
      <c r="Y58" s="56"/>
      <c r="Z58" s="56"/>
      <c r="AA58" s="56"/>
      <c r="AB58" s="56"/>
      <c r="AC58" s="29"/>
      <c r="AD58" s="84">
        <v>0.02</v>
      </c>
      <c r="AE58" s="29"/>
      <c r="AF58" s="29"/>
      <c r="AG58" s="29"/>
      <c r="AH58" s="29"/>
      <c r="AI58" s="29"/>
      <c r="AJ58" s="29"/>
      <c r="AK58" s="29"/>
    </row>
    <row r="59" spans="1:37" x14ac:dyDescent="0.2">
      <c r="A59" s="178" t="s">
        <v>180</v>
      </c>
      <c r="B59" s="56">
        <v>0</v>
      </c>
      <c r="C59" s="56"/>
      <c r="D59" s="56">
        <v>0</v>
      </c>
      <c r="E59" s="56">
        <v>0</v>
      </c>
      <c r="F59" s="56">
        <v>0</v>
      </c>
      <c r="G59" s="56">
        <v>0</v>
      </c>
      <c r="H59" s="56"/>
      <c r="I59" s="56"/>
      <c r="J59" s="56"/>
      <c r="K59" s="56">
        <v>0</v>
      </c>
      <c r="L59" s="56"/>
      <c r="M59" s="56"/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/>
      <c r="T59" s="56">
        <v>0</v>
      </c>
      <c r="U59" s="56"/>
      <c r="V59" s="56"/>
      <c r="W59" s="56"/>
      <c r="X59" s="56">
        <v>0</v>
      </c>
      <c r="Y59" s="56"/>
      <c r="Z59" s="56"/>
      <c r="AA59" s="56"/>
      <c r="AB59" s="56"/>
      <c r="AC59" s="29"/>
      <c r="AD59" s="84">
        <v>0.02</v>
      </c>
      <c r="AE59" s="29"/>
      <c r="AF59" s="29"/>
      <c r="AG59" s="29"/>
      <c r="AH59" s="29"/>
      <c r="AI59" s="29"/>
      <c r="AJ59" s="29"/>
      <c r="AK59" s="29"/>
    </row>
    <row r="60" spans="1:37" x14ac:dyDescent="0.2">
      <c r="A60" s="177" t="s">
        <v>181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29"/>
      <c r="AD60" s="84"/>
      <c r="AE60" s="29"/>
      <c r="AF60" s="29"/>
      <c r="AG60" s="29"/>
      <c r="AH60" s="29"/>
      <c r="AI60" s="29"/>
      <c r="AJ60" s="29"/>
      <c r="AK60" s="29"/>
    </row>
    <row r="61" spans="1:37" x14ac:dyDescent="0.2">
      <c r="A61" s="178" t="s">
        <v>182</v>
      </c>
      <c r="B61" s="56">
        <v>0</v>
      </c>
      <c r="C61" s="56">
        <v>0</v>
      </c>
      <c r="D61" s="56">
        <v>0</v>
      </c>
      <c r="E61" s="56">
        <v>0</v>
      </c>
      <c r="F61" s="56">
        <v>0</v>
      </c>
      <c r="G61" s="56">
        <v>0</v>
      </c>
      <c r="H61" s="56"/>
      <c r="I61" s="56"/>
      <c r="J61" s="56"/>
      <c r="K61" s="56">
        <v>0</v>
      </c>
      <c r="L61" s="56"/>
      <c r="M61" s="56"/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/>
      <c r="T61" s="56">
        <v>0</v>
      </c>
      <c r="U61" s="56"/>
      <c r="V61" s="56"/>
      <c r="W61" s="56"/>
      <c r="X61" s="56">
        <v>0</v>
      </c>
      <c r="Y61" s="56"/>
      <c r="Z61" s="56"/>
      <c r="AA61" s="56"/>
      <c r="AB61" s="56"/>
      <c r="AC61" s="29"/>
      <c r="AD61" s="84">
        <v>0.02</v>
      </c>
      <c r="AE61" s="29"/>
      <c r="AF61" s="29"/>
      <c r="AG61" s="29"/>
      <c r="AH61" s="29"/>
      <c r="AI61" s="29"/>
      <c r="AJ61" s="29"/>
      <c r="AK61" s="29"/>
    </row>
    <row r="62" spans="1:37" x14ac:dyDescent="0.2">
      <c r="A62" s="178" t="s">
        <v>183</v>
      </c>
      <c r="B62" s="56">
        <v>0</v>
      </c>
      <c r="C62" s="56">
        <v>0</v>
      </c>
      <c r="D62" s="56">
        <v>0</v>
      </c>
      <c r="E62" s="56">
        <v>0</v>
      </c>
      <c r="F62" s="56">
        <v>0</v>
      </c>
      <c r="G62" s="56">
        <v>0</v>
      </c>
      <c r="H62" s="56"/>
      <c r="I62" s="56"/>
      <c r="J62" s="56"/>
      <c r="K62" s="56">
        <v>0</v>
      </c>
      <c r="L62" s="56"/>
      <c r="M62" s="56"/>
      <c r="N62" s="56">
        <v>0</v>
      </c>
      <c r="O62" s="56">
        <v>0</v>
      </c>
      <c r="P62" s="56">
        <v>0</v>
      </c>
      <c r="Q62" s="56">
        <v>0</v>
      </c>
      <c r="R62" s="56">
        <v>0</v>
      </c>
      <c r="S62" s="56"/>
      <c r="T62" s="56">
        <v>0</v>
      </c>
      <c r="U62" s="56"/>
      <c r="V62" s="56"/>
      <c r="W62" s="56"/>
      <c r="X62" s="56">
        <v>0</v>
      </c>
      <c r="Y62" s="56"/>
      <c r="Z62" s="56"/>
      <c r="AA62" s="56"/>
      <c r="AB62" s="56"/>
      <c r="AC62" s="29"/>
      <c r="AD62" s="84">
        <v>0.02</v>
      </c>
      <c r="AE62" s="29"/>
      <c r="AF62" s="29"/>
      <c r="AG62" s="29"/>
      <c r="AH62" s="29"/>
      <c r="AI62" s="29"/>
      <c r="AJ62" s="29"/>
      <c r="AK62" s="29"/>
    </row>
    <row r="63" spans="1:37" x14ac:dyDescent="0.2">
      <c r="A63" s="178" t="s">
        <v>184</v>
      </c>
      <c r="B63" s="56">
        <v>0</v>
      </c>
      <c r="C63" s="56">
        <v>0</v>
      </c>
      <c r="D63" s="56">
        <v>0</v>
      </c>
      <c r="E63" s="56">
        <v>0</v>
      </c>
      <c r="F63" s="56">
        <v>0</v>
      </c>
      <c r="G63" s="56">
        <v>0</v>
      </c>
      <c r="H63" s="56"/>
      <c r="I63" s="56"/>
      <c r="J63" s="56"/>
      <c r="K63" s="56">
        <v>0</v>
      </c>
      <c r="L63" s="56"/>
      <c r="M63" s="56"/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/>
      <c r="T63" s="56">
        <v>0</v>
      </c>
      <c r="U63" s="56"/>
      <c r="V63" s="56"/>
      <c r="W63" s="56"/>
      <c r="X63" s="56">
        <v>0</v>
      </c>
      <c r="Y63" s="56"/>
      <c r="Z63" s="56"/>
      <c r="AA63" s="56"/>
      <c r="AB63" s="56"/>
      <c r="AC63" s="29"/>
      <c r="AD63" s="84">
        <v>0.02</v>
      </c>
      <c r="AE63" s="29"/>
      <c r="AF63" s="29"/>
      <c r="AG63" s="29"/>
      <c r="AH63" s="29"/>
      <c r="AI63" s="29"/>
      <c r="AJ63" s="29"/>
      <c r="AK63" s="29"/>
    </row>
    <row r="64" spans="1:37" x14ac:dyDescent="0.2">
      <c r="A64" s="178" t="s">
        <v>185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/>
      <c r="I64" s="56"/>
      <c r="J64" s="56"/>
      <c r="K64" s="56">
        <v>0</v>
      </c>
      <c r="L64" s="56"/>
      <c r="M64" s="56"/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/>
      <c r="T64" s="56">
        <v>0</v>
      </c>
      <c r="U64" s="56"/>
      <c r="V64" s="56"/>
      <c r="W64" s="56"/>
      <c r="X64" s="56">
        <v>0</v>
      </c>
      <c r="Y64" s="56"/>
      <c r="Z64" s="56"/>
      <c r="AA64" s="56"/>
      <c r="AB64" s="56"/>
      <c r="AC64" s="29"/>
      <c r="AD64" s="84">
        <v>0.02</v>
      </c>
      <c r="AE64" s="29"/>
      <c r="AF64" s="29"/>
      <c r="AG64" s="29"/>
      <c r="AH64" s="29"/>
      <c r="AI64" s="29"/>
      <c r="AJ64" s="29"/>
      <c r="AK64" s="29"/>
    </row>
    <row r="65" spans="1:256" x14ac:dyDescent="0.2">
      <c r="A65" s="178" t="s">
        <v>186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/>
      <c r="I65" s="56"/>
      <c r="J65" s="56"/>
      <c r="K65" s="56">
        <v>0</v>
      </c>
      <c r="L65" s="56"/>
      <c r="M65" s="56"/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/>
      <c r="T65" s="56">
        <v>0</v>
      </c>
      <c r="U65" s="56"/>
      <c r="V65" s="56"/>
      <c r="W65" s="56"/>
      <c r="X65" s="56">
        <v>0</v>
      </c>
      <c r="Y65" s="56"/>
      <c r="Z65" s="56"/>
      <c r="AA65" s="56"/>
      <c r="AB65" s="56"/>
      <c r="AC65" s="29"/>
      <c r="AD65" s="84">
        <v>0.02</v>
      </c>
      <c r="AE65" s="29"/>
      <c r="AF65" s="29"/>
      <c r="AG65" s="29"/>
      <c r="AH65" s="29"/>
      <c r="AI65" s="29"/>
      <c r="AJ65" s="29"/>
      <c r="AK65" s="29"/>
    </row>
    <row r="66" spans="1:256" x14ac:dyDescent="0.2">
      <c r="A66" s="178" t="s">
        <v>187</v>
      </c>
      <c r="B66" s="56">
        <v>0</v>
      </c>
      <c r="C66" s="56">
        <v>0</v>
      </c>
      <c r="D66" s="56">
        <v>0</v>
      </c>
      <c r="E66" s="56">
        <v>0</v>
      </c>
      <c r="F66" s="56">
        <v>0</v>
      </c>
      <c r="G66" s="56">
        <v>0</v>
      </c>
      <c r="H66" s="56"/>
      <c r="I66" s="56"/>
      <c r="J66" s="56"/>
      <c r="K66" s="56">
        <v>0</v>
      </c>
      <c r="L66" s="56"/>
      <c r="M66" s="56"/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/>
      <c r="T66" s="56">
        <v>0</v>
      </c>
      <c r="U66" s="56"/>
      <c r="V66" s="56"/>
      <c r="W66" s="56"/>
      <c r="X66" s="56">
        <v>0</v>
      </c>
      <c r="Y66" s="56"/>
      <c r="Z66" s="56"/>
      <c r="AA66" s="56"/>
      <c r="AB66" s="56"/>
      <c r="AC66" s="29"/>
      <c r="AD66" s="84">
        <v>0.02</v>
      </c>
      <c r="AE66" s="29"/>
      <c r="AF66" s="29"/>
      <c r="AG66" s="29"/>
      <c r="AH66" s="29"/>
      <c r="AI66" s="29"/>
      <c r="AJ66" s="29"/>
      <c r="AK66" s="29"/>
    </row>
    <row r="67" spans="1:256" x14ac:dyDescent="0.2">
      <c r="A67" s="178" t="s">
        <v>188</v>
      </c>
      <c r="B67" s="56">
        <v>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/>
      <c r="I67" s="56"/>
      <c r="J67" s="56"/>
      <c r="K67" s="56">
        <v>0</v>
      </c>
      <c r="L67" s="56"/>
      <c r="M67" s="56"/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/>
      <c r="T67" s="56">
        <v>0</v>
      </c>
      <c r="U67" s="56"/>
      <c r="V67" s="56"/>
      <c r="W67" s="56"/>
      <c r="X67" s="56">
        <v>0</v>
      </c>
      <c r="Y67" s="56"/>
      <c r="Z67" s="56"/>
      <c r="AA67" s="56"/>
      <c r="AB67" s="56"/>
      <c r="AC67" s="29"/>
      <c r="AD67" s="84">
        <v>0.02</v>
      </c>
      <c r="AE67" s="29"/>
      <c r="AF67" s="29"/>
      <c r="AG67" s="29"/>
      <c r="AH67" s="29"/>
      <c r="AI67" s="29"/>
      <c r="AJ67" s="29"/>
      <c r="AK67" s="29"/>
    </row>
    <row r="68" spans="1:256" x14ac:dyDescent="0.2">
      <c r="A68" s="177" t="s">
        <v>189</v>
      </c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29"/>
      <c r="AD68" s="84"/>
      <c r="AE68" s="29"/>
      <c r="AF68" s="29"/>
      <c r="AG68" s="29"/>
      <c r="AH68" s="29"/>
      <c r="AI68" s="29"/>
      <c r="AJ68" s="29"/>
      <c r="AK68" s="29"/>
    </row>
    <row r="69" spans="1:256" x14ac:dyDescent="0.2">
      <c r="A69" s="178" t="s">
        <v>190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/>
      <c r="I69" s="56"/>
      <c r="J69" s="56"/>
      <c r="K69" s="56">
        <v>0</v>
      </c>
      <c r="L69" s="56"/>
      <c r="M69" s="56"/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/>
      <c r="T69" s="56">
        <v>0</v>
      </c>
      <c r="U69" s="56"/>
      <c r="V69" s="56"/>
      <c r="W69" s="56"/>
      <c r="X69" s="56">
        <v>0</v>
      </c>
      <c r="Y69" s="56"/>
      <c r="Z69" s="56"/>
      <c r="AA69" s="56"/>
      <c r="AB69" s="56"/>
      <c r="AC69" s="29"/>
      <c r="AD69" s="84">
        <v>0</v>
      </c>
      <c r="AE69" s="29"/>
      <c r="AF69" s="29"/>
      <c r="AG69" s="29"/>
      <c r="AH69" s="29"/>
      <c r="AI69" s="29"/>
      <c r="AJ69" s="29"/>
      <c r="AK69" s="29"/>
    </row>
    <row r="70" spans="1:256" x14ac:dyDescent="0.2">
      <c r="A70" s="178" t="s">
        <v>191</v>
      </c>
      <c r="B70" s="56">
        <v>0</v>
      </c>
      <c r="C70" s="56">
        <v>0</v>
      </c>
      <c r="D70" s="56">
        <v>0</v>
      </c>
      <c r="E70" s="56">
        <v>0</v>
      </c>
      <c r="F70" s="56">
        <v>0</v>
      </c>
      <c r="G70" s="56">
        <v>0</v>
      </c>
      <c r="H70" s="56"/>
      <c r="I70" s="56"/>
      <c r="J70" s="56"/>
      <c r="K70" s="56">
        <v>0</v>
      </c>
      <c r="L70" s="56"/>
      <c r="M70" s="56"/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/>
      <c r="T70" s="56">
        <v>0</v>
      </c>
      <c r="U70" s="56"/>
      <c r="V70" s="56"/>
      <c r="W70" s="56"/>
      <c r="X70" s="56">
        <v>0</v>
      </c>
      <c r="Y70" s="56"/>
      <c r="Z70" s="56"/>
      <c r="AA70" s="56"/>
      <c r="AB70" s="56"/>
      <c r="AC70" s="29"/>
      <c r="AD70" s="84">
        <v>0</v>
      </c>
      <c r="AE70" s="29"/>
      <c r="AF70" s="29"/>
      <c r="AG70" s="29"/>
      <c r="AH70" s="29"/>
      <c r="AI70" s="29"/>
      <c r="AJ70" s="29"/>
      <c r="AK70" s="29"/>
      <c r="IV70" s="70"/>
    </row>
    <row r="71" spans="1:256" x14ac:dyDescent="0.2">
      <c r="A71" s="178" t="s">
        <v>192</v>
      </c>
      <c r="B71" s="56">
        <v>0</v>
      </c>
      <c r="C71" s="56">
        <v>0</v>
      </c>
      <c r="D71" s="56">
        <v>0</v>
      </c>
      <c r="E71" s="56">
        <v>0</v>
      </c>
      <c r="F71" s="56">
        <v>0</v>
      </c>
      <c r="G71" s="56">
        <v>0</v>
      </c>
      <c r="H71" s="56"/>
      <c r="I71" s="56"/>
      <c r="J71" s="56"/>
      <c r="K71" s="56">
        <v>0</v>
      </c>
      <c r="L71" s="56"/>
      <c r="M71" s="56"/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/>
      <c r="T71" s="56">
        <v>0</v>
      </c>
      <c r="U71" s="56"/>
      <c r="V71" s="56"/>
      <c r="W71" s="56"/>
      <c r="X71" s="56">
        <v>0</v>
      </c>
      <c r="Y71" s="56"/>
      <c r="Z71" s="56"/>
      <c r="AA71" s="56"/>
      <c r="AB71" s="56"/>
      <c r="AC71" s="29"/>
      <c r="AD71" s="84">
        <v>0</v>
      </c>
      <c r="AE71" s="29"/>
      <c r="AF71" s="29"/>
      <c r="AG71" s="29"/>
      <c r="AH71" s="29"/>
      <c r="AI71" s="29"/>
      <c r="AJ71" s="29"/>
      <c r="AK71" s="29"/>
    </row>
    <row r="72" spans="1:256" x14ac:dyDescent="0.2">
      <c r="A72" s="178" t="s">
        <v>193</v>
      </c>
      <c r="B72" s="56">
        <v>0</v>
      </c>
      <c r="C72" s="56">
        <v>0</v>
      </c>
      <c r="D72" s="56">
        <v>0</v>
      </c>
      <c r="E72" s="56">
        <v>0</v>
      </c>
      <c r="F72" s="56">
        <v>0</v>
      </c>
      <c r="G72" s="56">
        <v>0</v>
      </c>
      <c r="H72" s="56"/>
      <c r="I72" s="56"/>
      <c r="J72" s="56"/>
      <c r="K72" s="56">
        <v>0</v>
      </c>
      <c r="L72" s="56"/>
      <c r="M72" s="56"/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/>
      <c r="T72" s="56">
        <v>0</v>
      </c>
      <c r="U72" s="56"/>
      <c r="V72" s="56"/>
      <c r="W72" s="56"/>
      <c r="X72" s="56">
        <v>0</v>
      </c>
      <c r="Y72" s="56"/>
      <c r="Z72" s="56"/>
      <c r="AA72" s="56"/>
      <c r="AB72" s="56"/>
      <c r="AC72" s="29"/>
      <c r="AD72" s="84">
        <v>0</v>
      </c>
      <c r="AE72" s="29"/>
      <c r="AF72" s="29"/>
      <c r="AG72" s="29"/>
      <c r="AH72" s="29"/>
      <c r="AI72" s="29"/>
      <c r="AJ72" s="29"/>
      <c r="AK72" s="29"/>
    </row>
    <row r="73" spans="1:256" x14ac:dyDescent="0.2">
      <c r="A73" s="177" t="s">
        <v>194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29"/>
      <c r="AD73" s="84"/>
      <c r="AE73" s="29"/>
      <c r="AF73" s="29"/>
      <c r="AG73" s="29"/>
      <c r="AH73" s="29"/>
      <c r="AI73" s="29"/>
      <c r="AJ73" s="29"/>
      <c r="AK73" s="29"/>
    </row>
    <row r="74" spans="1:256" x14ac:dyDescent="0.2">
      <c r="A74" s="178" t="s">
        <v>195</v>
      </c>
      <c r="B74" s="56">
        <v>0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/>
      <c r="I74" s="56"/>
      <c r="J74" s="56"/>
      <c r="K74" s="56">
        <v>0</v>
      </c>
      <c r="L74" s="56"/>
      <c r="M74" s="56"/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/>
      <c r="T74" s="56">
        <v>0</v>
      </c>
      <c r="U74" s="56"/>
      <c r="V74" s="56"/>
      <c r="W74" s="56"/>
      <c r="X74" s="56">
        <v>0</v>
      </c>
      <c r="Y74" s="56"/>
      <c r="Z74" s="56"/>
      <c r="AA74" s="56"/>
      <c r="AB74" s="56"/>
      <c r="AC74" s="29"/>
      <c r="AD74" s="84">
        <v>0</v>
      </c>
      <c r="AE74" s="29"/>
      <c r="AF74" s="29"/>
      <c r="AG74" s="29"/>
      <c r="AH74" s="29"/>
      <c r="AI74" s="29"/>
      <c r="AJ74" s="29"/>
      <c r="AK74" s="29"/>
    </row>
    <row r="75" spans="1:256" x14ac:dyDescent="0.2">
      <c r="A75" s="178" t="s">
        <v>196</v>
      </c>
      <c r="B75" s="56">
        <v>0</v>
      </c>
      <c r="C75" s="56">
        <v>0</v>
      </c>
      <c r="D75" s="56">
        <v>0</v>
      </c>
      <c r="E75" s="56">
        <v>0</v>
      </c>
      <c r="F75" s="56">
        <v>0</v>
      </c>
      <c r="G75" s="56">
        <v>0</v>
      </c>
      <c r="H75" s="56"/>
      <c r="I75" s="56"/>
      <c r="J75" s="56"/>
      <c r="K75" s="56">
        <v>0</v>
      </c>
      <c r="L75" s="56"/>
      <c r="M75" s="56"/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/>
      <c r="T75" s="56">
        <v>0</v>
      </c>
      <c r="U75" s="56"/>
      <c r="V75" s="56"/>
      <c r="W75" s="56"/>
      <c r="X75" s="56">
        <v>0</v>
      </c>
      <c r="Y75" s="56"/>
      <c r="Z75" s="56"/>
      <c r="AA75" s="56"/>
      <c r="AB75" s="56"/>
      <c r="AC75" s="29"/>
      <c r="AD75" s="84">
        <v>0</v>
      </c>
      <c r="AE75" s="29"/>
      <c r="AF75" s="29"/>
      <c r="AG75" s="29"/>
      <c r="AH75" s="29"/>
      <c r="AI75" s="29"/>
      <c r="AJ75" s="29"/>
      <c r="AK75" s="29"/>
    </row>
    <row r="76" spans="1:256" x14ac:dyDescent="0.2">
      <c r="A76" s="178" t="s">
        <v>197</v>
      </c>
      <c r="B76" s="56">
        <v>0</v>
      </c>
      <c r="C76" s="56">
        <v>0</v>
      </c>
      <c r="D76" s="56">
        <v>0</v>
      </c>
      <c r="E76" s="56">
        <v>0</v>
      </c>
      <c r="F76" s="56">
        <v>0</v>
      </c>
      <c r="G76" s="56">
        <v>0</v>
      </c>
      <c r="H76" s="56"/>
      <c r="I76" s="56"/>
      <c r="J76" s="56"/>
      <c r="K76" s="56">
        <v>0</v>
      </c>
      <c r="L76" s="56"/>
      <c r="M76" s="56"/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/>
      <c r="T76" s="56">
        <v>0</v>
      </c>
      <c r="U76" s="56"/>
      <c r="V76" s="56"/>
      <c r="W76" s="56"/>
      <c r="X76" s="56">
        <v>0</v>
      </c>
      <c r="Y76" s="56"/>
      <c r="Z76" s="56"/>
      <c r="AA76" s="56"/>
      <c r="AB76" s="56"/>
      <c r="AC76" s="29"/>
      <c r="AD76" s="84">
        <v>0</v>
      </c>
      <c r="AE76" s="29"/>
      <c r="AF76" s="29"/>
      <c r="AG76" s="29"/>
      <c r="AH76" s="29"/>
      <c r="AI76" s="29"/>
      <c r="AJ76" s="29"/>
      <c r="AK76" s="29"/>
    </row>
    <row r="77" spans="1:256" x14ac:dyDescent="0.2">
      <c r="A77" s="178" t="s">
        <v>198</v>
      </c>
      <c r="B77" s="56">
        <v>0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/>
      <c r="I77" s="56"/>
      <c r="J77" s="56"/>
      <c r="K77" s="56">
        <v>0</v>
      </c>
      <c r="L77" s="56"/>
      <c r="M77" s="56"/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/>
      <c r="T77" s="56">
        <v>0</v>
      </c>
      <c r="U77" s="56"/>
      <c r="V77" s="56"/>
      <c r="W77" s="56"/>
      <c r="X77" s="56">
        <v>0</v>
      </c>
      <c r="Y77" s="56"/>
      <c r="Z77" s="56"/>
      <c r="AA77" s="56"/>
      <c r="AB77" s="56"/>
      <c r="AC77" s="29"/>
      <c r="AD77" s="84">
        <v>0</v>
      </c>
      <c r="AE77" s="29"/>
      <c r="AF77" s="29"/>
      <c r="AG77" s="29"/>
      <c r="AH77" s="29"/>
      <c r="AI77" s="29"/>
      <c r="AJ77" s="29"/>
      <c r="AK77" s="29"/>
    </row>
    <row r="78" spans="1:256" x14ac:dyDescent="0.2">
      <c r="A78" s="177" t="s">
        <v>83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>
        <v>0</v>
      </c>
      <c r="O78" s="56">
        <v>0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29"/>
      <c r="AD78" s="84"/>
      <c r="AE78" s="29"/>
      <c r="AF78" s="29"/>
      <c r="AG78" s="29"/>
      <c r="AH78" s="29"/>
      <c r="AI78" s="29"/>
      <c r="AJ78" s="29"/>
      <c r="AK78" s="29"/>
    </row>
    <row r="79" spans="1:256" x14ac:dyDescent="0.2">
      <c r="A79" s="177" t="s">
        <v>199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29"/>
      <c r="AD79" s="84"/>
      <c r="AE79" s="29"/>
      <c r="AF79" s="29"/>
      <c r="AG79" s="29"/>
      <c r="AH79" s="29"/>
      <c r="AI79" s="29"/>
      <c r="AJ79" s="29"/>
      <c r="AK79" s="29"/>
    </row>
    <row r="80" spans="1:256" x14ac:dyDescent="0.2">
      <c r="A80" s="178" t="s">
        <v>200</v>
      </c>
      <c r="B80" s="56">
        <v>0.48499999999999999</v>
      </c>
      <c r="C80" s="56"/>
      <c r="D80" s="56">
        <v>0.4667</v>
      </c>
      <c r="E80" s="56">
        <v>0.48499999999999999</v>
      </c>
      <c r="F80" s="56">
        <v>0.49430000000000002</v>
      </c>
      <c r="G80" s="56">
        <v>0.49430000000000002</v>
      </c>
      <c r="H80" s="56"/>
      <c r="I80" s="56"/>
      <c r="J80" s="56"/>
      <c r="K80" s="56">
        <v>0.52310000000000001</v>
      </c>
      <c r="L80" s="56"/>
      <c r="M80" s="56"/>
      <c r="N80" s="56">
        <v>0.4667</v>
      </c>
      <c r="O80" s="56">
        <v>0.48499999999999999</v>
      </c>
      <c r="P80" s="56">
        <v>0.49430000000000002</v>
      </c>
      <c r="Q80" s="56">
        <v>0.50380000000000003</v>
      </c>
      <c r="R80" s="56">
        <v>0.44879999999999998</v>
      </c>
      <c r="S80" s="56"/>
      <c r="T80" s="56">
        <v>0.43140000000000001</v>
      </c>
      <c r="U80" s="56"/>
      <c r="V80" s="56"/>
      <c r="W80" s="56"/>
      <c r="X80" s="56">
        <v>0.44879999999999998</v>
      </c>
      <c r="Y80" s="56"/>
      <c r="Z80" s="56"/>
      <c r="AA80" s="56"/>
      <c r="AB80" s="56"/>
      <c r="AC80" s="29"/>
      <c r="AD80" s="84">
        <v>0</v>
      </c>
      <c r="AE80" s="29"/>
      <c r="AF80" s="29"/>
      <c r="AG80" s="29"/>
      <c r="AH80" s="29"/>
      <c r="AI80" s="29"/>
      <c r="AJ80" s="29"/>
      <c r="AK80" s="29"/>
    </row>
    <row r="81" spans="1:37" x14ac:dyDescent="0.2">
      <c r="A81" s="178" t="s">
        <v>201</v>
      </c>
      <c r="B81" s="56">
        <v>0.48499999999999999</v>
      </c>
      <c r="C81" s="56"/>
      <c r="D81" s="56">
        <v>0.4667</v>
      </c>
      <c r="E81" s="56">
        <v>0.48499999999999999</v>
      </c>
      <c r="F81" s="56">
        <v>0.49430000000000002</v>
      </c>
      <c r="G81" s="56">
        <v>0.49430000000000002</v>
      </c>
      <c r="H81" s="56"/>
      <c r="I81" s="56"/>
      <c r="J81" s="56"/>
      <c r="K81" s="56">
        <v>0.52310000000000001</v>
      </c>
      <c r="L81" s="56"/>
      <c r="M81" s="56"/>
      <c r="N81" s="56">
        <v>0.4667</v>
      </c>
      <c r="O81" s="56">
        <v>0.48499999999999999</v>
      </c>
      <c r="P81" s="56">
        <v>0.49430000000000002</v>
      </c>
      <c r="Q81" s="56">
        <v>0.50380000000000003</v>
      </c>
      <c r="R81" s="56">
        <v>0.44879999999999998</v>
      </c>
      <c r="S81" s="56"/>
      <c r="T81" s="56">
        <v>0.43140000000000001</v>
      </c>
      <c r="U81" s="56"/>
      <c r="V81" s="56"/>
      <c r="W81" s="56"/>
      <c r="X81" s="56">
        <v>0.44879999999999998</v>
      </c>
      <c r="Y81" s="56"/>
      <c r="Z81" s="56"/>
      <c r="AA81" s="56"/>
      <c r="AB81" s="56"/>
      <c r="AC81" s="29"/>
      <c r="AD81" s="84">
        <v>0</v>
      </c>
      <c r="AE81" s="29"/>
      <c r="AF81" s="29"/>
      <c r="AG81" s="29"/>
      <c r="AH81" s="29"/>
      <c r="AI81" s="29"/>
      <c r="AJ81" s="29"/>
      <c r="AK81" s="29"/>
    </row>
    <row r="82" spans="1:37" x14ac:dyDescent="0.2">
      <c r="A82" s="178" t="s">
        <v>238</v>
      </c>
      <c r="B82" s="56">
        <v>0.48499999999999999</v>
      </c>
      <c r="C82" s="56"/>
      <c r="D82" s="56">
        <v>0.4667</v>
      </c>
      <c r="E82" s="56">
        <v>0.48499999999999999</v>
      </c>
      <c r="F82" s="56">
        <v>0.49430000000000002</v>
      </c>
      <c r="G82" s="56">
        <v>0.49430000000000002</v>
      </c>
      <c r="H82" s="56"/>
      <c r="I82" s="56"/>
      <c r="J82" s="56"/>
      <c r="K82" s="56">
        <v>0.52310000000000001</v>
      </c>
      <c r="L82" s="56"/>
      <c r="M82" s="56"/>
      <c r="N82" s="56">
        <v>0.4667</v>
      </c>
      <c r="O82" s="56">
        <v>0.48499999999999999</v>
      </c>
      <c r="P82" s="56">
        <v>0.49430000000000002</v>
      </c>
      <c r="Q82" s="56">
        <v>0.50380000000000003</v>
      </c>
      <c r="R82" s="56">
        <v>0.44879999999999998</v>
      </c>
      <c r="S82" s="56"/>
      <c r="T82" s="56">
        <v>0.43140000000000001</v>
      </c>
      <c r="U82" s="56"/>
      <c r="V82" s="56"/>
      <c r="W82" s="56"/>
      <c r="X82" s="56">
        <v>0.44879999999999998</v>
      </c>
      <c r="Y82" s="56"/>
      <c r="Z82" s="56"/>
      <c r="AA82" s="56"/>
      <c r="AB82" s="56"/>
      <c r="AC82" s="29"/>
      <c r="AD82" s="84">
        <v>0</v>
      </c>
      <c r="AE82" s="29"/>
      <c r="AF82" s="29"/>
      <c r="AG82" s="29"/>
      <c r="AH82" s="29"/>
      <c r="AI82" s="29"/>
      <c r="AJ82" s="29"/>
      <c r="AK82" s="29"/>
    </row>
    <row r="83" spans="1:37" x14ac:dyDescent="0.2">
      <c r="A83" s="178" t="s">
        <v>202</v>
      </c>
      <c r="B83" s="56">
        <v>0.48499999999999999</v>
      </c>
      <c r="C83" s="56"/>
      <c r="D83" s="56">
        <v>0.4667</v>
      </c>
      <c r="E83" s="56">
        <v>0.48499999999999999</v>
      </c>
      <c r="F83" s="56">
        <v>0.49430000000000002</v>
      </c>
      <c r="G83" s="56">
        <v>0.49430000000000002</v>
      </c>
      <c r="H83" s="56"/>
      <c r="I83" s="56"/>
      <c r="J83" s="56"/>
      <c r="K83" s="56">
        <v>0.52310000000000001</v>
      </c>
      <c r="L83" s="56"/>
      <c r="M83" s="56"/>
      <c r="N83" s="56">
        <v>0.4667</v>
      </c>
      <c r="O83" s="56">
        <v>0.48499999999999999</v>
      </c>
      <c r="P83" s="56">
        <v>0.49430000000000002</v>
      </c>
      <c r="Q83" s="56">
        <v>0.50380000000000003</v>
      </c>
      <c r="R83" s="56">
        <v>0.44879999999999998</v>
      </c>
      <c r="S83" s="56"/>
      <c r="T83" s="56">
        <v>0.43140000000000001</v>
      </c>
      <c r="U83" s="56"/>
      <c r="V83" s="56"/>
      <c r="W83" s="56"/>
      <c r="X83" s="56">
        <v>0.44879999999999998</v>
      </c>
      <c r="Y83" s="56"/>
      <c r="Z83" s="56"/>
      <c r="AA83" s="56"/>
      <c r="AB83" s="56"/>
      <c r="AC83" s="29"/>
      <c r="AD83" s="84">
        <v>0</v>
      </c>
      <c r="AE83" s="29"/>
      <c r="AF83" s="29"/>
      <c r="AG83" s="29"/>
      <c r="AH83" s="29"/>
      <c r="AI83" s="29"/>
      <c r="AJ83" s="29"/>
      <c r="AK83" s="29"/>
    </row>
    <row r="84" spans="1:37" x14ac:dyDescent="0.2">
      <c r="A84" s="178" t="s">
        <v>203</v>
      </c>
      <c r="B84" s="56">
        <v>0.48499999999999999</v>
      </c>
      <c r="C84" s="56"/>
      <c r="D84" s="56">
        <v>0.4667</v>
      </c>
      <c r="E84" s="56">
        <v>0.48499999999999999</v>
      </c>
      <c r="F84" s="56">
        <v>0.49430000000000002</v>
      </c>
      <c r="G84" s="56">
        <v>0.49430000000000002</v>
      </c>
      <c r="H84" s="56"/>
      <c r="I84" s="56"/>
      <c r="J84" s="56"/>
      <c r="K84" s="56">
        <v>0.52310000000000001</v>
      </c>
      <c r="L84" s="56"/>
      <c r="M84" s="56"/>
      <c r="N84" s="56">
        <v>0.4667</v>
      </c>
      <c r="O84" s="56">
        <v>0.48499999999999999</v>
      </c>
      <c r="P84" s="56">
        <v>0.49430000000000002</v>
      </c>
      <c r="Q84" s="56">
        <v>0.50380000000000003</v>
      </c>
      <c r="R84" s="56">
        <v>0.44879999999999998</v>
      </c>
      <c r="S84" s="56"/>
      <c r="T84" s="56">
        <v>0.43140000000000001</v>
      </c>
      <c r="U84" s="56"/>
      <c r="V84" s="56"/>
      <c r="W84" s="56"/>
      <c r="X84" s="56">
        <v>0.44879999999999998</v>
      </c>
      <c r="Y84" s="56"/>
      <c r="Z84" s="56"/>
      <c r="AA84" s="56"/>
      <c r="AB84" s="56"/>
      <c r="AC84" s="29"/>
      <c r="AD84" s="84">
        <v>0</v>
      </c>
      <c r="AE84" s="29"/>
      <c r="AF84" s="29"/>
      <c r="AG84" s="29"/>
      <c r="AH84" s="29"/>
      <c r="AI84" s="29"/>
      <c r="AJ84" s="29"/>
      <c r="AK84" s="29"/>
    </row>
    <row r="85" spans="1:37" x14ac:dyDescent="0.2">
      <c r="A85" s="177" t="s">
        <v>204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29"/>
      <c r="AD85" s="84"/>
      <c r="AE85" s="29"/>
      <c r="AF85" s="29"/>
      <c r="AG85" s="29"/>
      <c r="AH85" s="29"/>
      <c r="AI85" s="29"/>
      <c r="AJ85" s="29"/>
      <c r="AK85" s="29"/>
    </row>
    <row r="86" spans="1:37" x14ac:dyDescent="0.2">
      <c r="A86" s="178" t="s">
        <v>205</v>
      </c>
      <c r="B86" s="56">
        <v>0.48499999999999999</v>
      </c>
      <c r="C86" s="56"/>
      <c r="D86" s="56">
        <v>0.4667</v>
      </c>
      <c r="E86" s="56">
        <v>0.48499999999999999</v>
      </c>
      <c r="F86" s="56">
        <v>0.49430000000000002</v>
      </c>
      <c r="G86" s="56">
        <v>0.49430000000000002</v>
      </c>
      <c r="H86" s="56"/>
      <c r="I86" s="56"/>
      <c r="J86" s="56"/>
      <c r="K86" s="56">
        <v>0.52310000000000001</v>
      </c>
      <c r="L86" s="56"/>
      <c r="M86" s="56"/>
      <c r="N86" s="56">
        <v>0.4667</v>
      </c>
      <c r="O86" s="56">
        <v>0.48499999999999999</v>
      </c>
      <c r="P86" s="56">
        <v>0.49430000000000002</v>
      </c>
      <c r="Q86" s="56">
        <v>0.50380000000000003</v>
      </c>
      <c r="R86" s="56">
        <v>0.44879999999999998</v>
      </c>
      <c r="S86" s="56"/>
      <c r="T86" s="56">
        <v>0.43140000000000001</v>
      </c>
      <c r="U86" s="56"/>
      <c r="V86" s="56"/>
      <c r="W86" s="56"/>
      <c r="X86" s="56">
        <v>0.44879999999999998</v>
      </c>
      <c r="Y86" s="56"/>
      <c r="Z86" s="56"/>
      <c r="AA86" s="56"/>
      <c r="AB86" s="56"/>
      <c r="AC86" s="29"/>
      <c r="AD86" s="84">
        <v>0</v>
      </c>
      <c r="AE86" s="29"/>
      <c r="AF86" s="29"/>
      <c r="AG86" s="29"/>
      <c r="AH86" s="29"/>
      <c r="AI86" s="29"/>
      <c r="AJ86" s="29"/>
      <c r="AK86" s="29"/>
    </row>
    <row r="87" spans="1:37" x14ac:dyDescent="0.2">
      <c r="A87" s="178" t="s">
        <v>206</v>
      </c>
      <c r="B87" s="56">
        <v>0.48499999999999999</v>
      </c>
      <c r="C87" s="56"/>
      <c r="D87" s="56">
        <v>0.4667</v>
      </c>
      <c r="E87" s="56">
        <v>0.48499999999999999</v>
      </c>
      <c r="F87" s="56">
        <v>0.49430000000000002</v>
      </c>
      <c r="G87" s="56">
        <v>0.49430000000000002</v>
      </c>
      <c r="H87" s="56"/>
      <c r="I87" s="56"/>
      <c r="J87" s="56"/>
      <c r="K87" s="56">
        <v>0.52310000000000001</v>
      </c>
      <c r="L87" s="56"/>
      <c r="M87" s="56"/>
      <c r="N87" s="56">
        <v>0.4667</v>
      </c>
      <c r="O87" s="56">
        <v>0.48499999999999999</v>
      </c>
      <c r="P87" s="56">
        <v>0.49430000000000002</v>
      </c>
      <c r="Q87" s="56">
        <v>0.50380000000000003</v>
      </c>
      <c r="R87" s="56">
        <v>0.44879999999999998</v>
      </c>
      <c r="S87" s="56"/>
      <c r="T87" s="56">
        <v>0.43140000000000001</v>
      </c>
      <c r="U87" s="56"/>
      <c r="V87" s="56"/>
      <c r="W87" s="56"/>
      <c r="X87" s="56">
        <v>0.44879999999999998</v>
      </c>
      <c r="Y87" s="56"/>
      <c r="Z87" s="56"/>
      <c r="AA87" s="56"/>
      <c r="AB87" s="56"/>
      <c r="AC87" s="29"/>
      <c r="AD87" s="84">
        <v>0</v>
      </c>
      <c r="AE87" s="29"/>
      <c r="AF87" s="29"/>
      <c r="AG87" s="29"/>
      <c r="AH87" s="29"/>
      <c r="AI87" s="29"/>
      <c r="AJ87" s="29"/>
      <c r="AK87" s="29"/>
    </row>
    <row r="88" spans="1:37" x14ac:dyDescent="0.2">
      <c r="A88" s="178" t="s">
        <v>207</v>
      </c>
      <c r="B88" s="56">
        <v>0.48499999999999999</v>
      </c>
      <c r="C88" s="56"/>
      <c r="D88" s="56">
        <v>0.4667</v>
      </c>
      <c r="E88" s="56">
        <v>0.48499999999999999</v>
      </c>
      <c r="F88" s="56">
        <v>0.49430000000000002</v>
      </c>
      <c r="G88" s="56">
        <v>0.49430000000000002</v>
      </c>
      <c r="H88" s="56"/>
      <c r="I88" s="56"/>
      <c r="J88" s="56"/>
      <c r="K88" s="56">
        <v>0.52310000000000001</v>
      </c>
      <c r="L88" s="56"/>
      <c r="M88" s="56"/>
      <c r="N88" s="56">
        <v>0.4667</v>
      </c>
      <c r="O88" s="56">
        <v>0.48499999999999999</v>
      </c>
      <c r="P88" s="56">
        <v>0.49430000000000002</v>
      </c>
      <c r="Q88" s="56">
        <v>0.50380000000000003</v>
      </c>
      <c r="R88" s="56">
        <v>0.44879999999999998</v>
      </c>
      <c r="S88" s="56"/>
      <c r="T88" s="56">
        <v>0.43140000000000001</v>
      </c>
      <c r="U88" s="56"/>
      <c r="V88" s="56"/>
      <c r="W88" s="56"/>
      <c r="X88" s="56">
        <v>0.44879999999999998</v>
      </c>
      <c r="Y88" s="56"/>
      <c r="Z88" s="56"/>
      <c r="AA88" s="56"/>
      <c r="AB88" s="56"/>
      <c r="AC88" s="29"/>
      <c r="AD88" s="84">
        <v>0</v>
      </c>
      <c r="AE88" s="29"/>
      <c r="AF88" s="29"/>
      <c r="AG88" s="29"/>
      <c r="AH88" s="29"/>
      <c r="AI88" s="29"/>
      <c r="AJ88" s="29"/>
      <c r="AK88" s="29"/>
    </row>
    <row r="89" spans="1:37" x14ac:dyDescent="0.2">
      <c r="A89" s="178" t="s">
        <v>208</v>
      </c>
      <c r="B89" s="56">
        <v>0.48499999999999999</v>
      </c>
      <c r="C89" s="56"/>
      <c r="D89" s="56">
        <v>0.4667</v>
      </c>
      <c r="E89" s="56">
        <v>0.48499999999999999</v>
      </c>
      <c r="F89" s="56">
        <v>0.49430000000000002</v>
      </c>
      <c r="G89" s="56">
        <v>0.49430000000000002</v>
      </c>
      <c r="H89" s="56"/>
      <c r="I89" s="56"/>
      <c r="J89" s="56"/>
      <c r="K89" s="56">
        <v>0.52310000000000001</v>
      </c>
      <c r="L89" s="56"/>
      <c r="M89" s="56"/>
      <c r="N89" s="56">
        <v>0.4667</v>
      </c>
      <c r="O89" s="56">
        <v>0.48499999999999999</v>
      </c>
      <c r="P89" s="56">
        <v>0.49430000000000002</v>
      </c>
      <c r="Q89" s="56">
        <v>0.50380000000000003</v>
      </c>
      <c r="R89" s="56">
        <v>0.44879999999999998</v>
      </c>
      <c r="S89" s="56"/>
      <c r="T89" s="56">
        <v>0.43140000000000001</v>
      </c>
      <c r="U89" s="56"/>
      <c r="V89" s="56"/>
      <c r="W89" s="56"/>
      <c r="X89" s="56">
        <v>0.44879999999999998</v>
      </c>
      <c r="Y89" s="56"/>
      <c r="Z89" s="56"/>
      <c r="AA89" s="56"/>
      <c r="AB89" s="56"/>
      <c r="AC89" s="29"/>
      <c r="AD89" s="84">
        <v>0</v>
      </c>
      <c r="AE89" s="29"/>
      <c r="AF89" s="29"/>
      <c r="AG89" s="29"/>
      <c r="AH89" s="29"/>
      <c r="AI89" s="29"/>
      <c r="AJ89" s="29"/>
      <c r="AK89" s="29"/>
    </row>
    <row r="90" spans="1:37" x14ac:dyDescent="0.2">
      <c r="A90" s="178" t="s">
        <v>209</v>
      </c>
      <c r="B90" s="56">
        <v>0.48499999999999999</v>
      </c>
      <c r="C90" s="56"/>
      <c r="D90" s="56">
        <v>0.4667</v>
      </c>
      <c r="E90" s="56">
        <v>0.48499999999999999</v>
      </c>
      <c r="F90" s="56">
        <v>0.49430000000000002</v>
      </c>
      <c r="G90" s="56">
        <v>0.49430000000000002</v>
      </c>
      <c r="H90" s="56"/>
      <c r="I90" s="56"/>
      <c r="J90" s="56"/>
      <c r="K90" s="56">
        <v>0.52310000000000001</v>
      </c>
      <c r="L90" s="56"/>
      <c r="M90" s="56"/>
      <c r="N90" s="56">
        <v>0.4667</v>
      </c>
      <c r="O90" s="56">
        <v>0.48499999999999999</v>
      </c>
      <c r="P90" s="56">
        <v>0.49430000000000002</v>
      </c>
      <c r="Q90" s="56">
        <v>0.50380000000000003</v>
      </c>
      <c r="R90" s="56">
        <v>0.44879999999999998</v>
      </c>
      <c r="S90" s="56"/>
      <c r="T90" s="56">
        <v>0.43140000000000001</v>
      </c>
      <c r="U90" s="56"/>
      <c r="V90" s="56"/>
      <c r="W90" s="56"/>
      <c r="X90" s="56">
        <v>0.44879999999999998</v>
      </c>
      <c r="Y90" s="56"/>
      <c r="Z90" s="56"/>
      <c r="AA90" s="56"/>
      <c r="AB90" s="56"/>
      <c r="AC90" s="29"/>
      <c r="AD90" s="84">
        <v>0</v>
      </c>
      <c r="AE90" s="29"/>
      <c r="AF90" s="29"/>
      <c r="AG90" s="29"/>
      <c r="AH90" s="29"/>
      <c r="AI90" s="29"/>
      <c r="AJ90" s="29"/>
      <c r="AK90" s="29"/>
    </row>
    <row r="91" spans="1:37" x14ac:dyDescent="0.2">
      <c r="A91" s="177" t="s">
        <v>210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29"/>
      <c r="AD91" s="84"/>
      <c r="AE91" s="29"/>
      <c r="AF91" s="29"/>
      <c r="AG91" s="29"/>
      <c r="AH91" s="29"/>
      <c r="AI91" s="29"/>
      <c r="AJ91" s="29"/>
      <c r="AK91" s="29"/>
    </row>
    <row r="92" spans="1:37" x14ac:dyDescent="0.2">
      <c r="A92" s="177" t="s">
        <v>211</v>
      </c>
      <c r="B92" s="56">
        <v>0.48499999999999999</v>
      </c>
      <c r="C92" s="56"/>
      <c r="D92" s="56">
        <v>0.4667</v>
      </c>
      <c r="E92" s="56">
        <v>0.48499999999999999</v>
      </c>
      <c r="F92" s="56">
        <v>0.49430000000000002</v>
      </c>
      <c r="G92" s="56">
        <v>0.49430000000000002</v>
      </c>
      <c r="H92" s="56"/>
      <c r="I92" s="56"/>
      <c r="J92" s="56"/>
      <c r="K92" s="56">
        <v>0.52310000000000001</v>
      </c>
      <c r="L92" s="56"/>
      <c r="M92" s="56"/>
      <c r="N92" s="56">
        <v>0.4667</v>
      </c>
      <c r="O92" s="56">
        <v>0.48499999999999999</v>
      </c>
      <c r="P92" s="56">
        <v>0.49430000000000002</v>
      </c>
      <c r="Q92" s="56">
        <v>0.50380000000000003</v>
      </c>
      <c r="R92" s="56">
        <v>0.44879999999999998</v>
      </c>
      <c r="S92" s="56"/>
      <c r="T92" s="56">
        <v>0.43140000000000001</v>
      </c>
      <c r="U92" s="56"/>
      <c r="V92" s="56"/>
      <c r="W92" s="56"/>
      <c r="X92" s="56">
        <v>0.44879999999999998</v>
      </c>
      <c r="Y92" s="56"/>
      <c r="Z92" s="56"/>
      <c r="AA92" s="56"/>
      <c r="AB92" s="56"/>
      <c r="AC92" s="29"/>
      <c r="AD92" s="84">
        <v>0</v>
      </c>
      <c r="AE92" s="29"/>
      <c r="AF92" s="29"/>
      <c r="AG92" s="29"/>
      <c r="AH92" s="29"/>
      <c r="AI92" s="29"/>
      <c r="AJ92" s="29"/>
      <c r="AK92" s="29"/>
    </row>
    <row r="93" spans="1:37" x14ac:dyDescent="0.2">
      <c r="A93" s="177" t="s">
        <v>212</v>
      </c>
      <c r="B93" s="56">
        <v>0.48499999999999999</v>
      </c>
      <c r="C93" s="56"/>
      <c r="D93" s="56">
        <v>0.4667</v>
      </c>
      <c r="E93" s="56">
        <v>0.48499999999999999</v>
      </c>
      <c r="F93" s="56">
        <v>0.49430000000000002</v>
      </c>
      <c r="G93" s="56">
        <v>0.49430000000000002</v>
      </c>
      <c r="H93" s="56"/>
      <c r="I93" s="56"/>
      <c r="J93" s="56"/>
      <c r="K93" s="56">
        <v>0.52310000000000001</v>
      </c>
      <c r="L93" s="56"/>
      <c r="M93" s="56"/>
      <c r="N93" s="56">
        <v>0.4667</v>
      </c>
      <c r="O93" s="56">
        <v>0.48499999999999999</v>
      </c>
      <c r="P93" s="56">
        <v>0.49430000000000002</v>
      </c>
      <c r="Q93" s="56">
        <v>0.50380000000000003</v>
      </c>
      <c r="R93" s="56">
        <v>0.44879999999999998</v>
      </c>
      <c r="S93" s="56"/>
      <c r="T93" s="56">
        <v>0.43140000000000001</v>
      </c>
      <c r="U93" s="56"/>
      <c r="V93" s="56"/>
      <c r="W93" s="56"/>
      <c r="X93" s="56">
        <v>0.44879999999999998</v>
      </c>
      <c r="Y93" s="56"/>
      <c r="Z93" s="56"/>
      <c r="AA93" s="56"/>
      <c r="AB93" s="56"/>
      <c r="AC93" s="29"/>
      <c r="AD93" s="84">
        <v>0</v>
      </c>
      <c r="AE93" s="29"/>
      <c r="AF93" s="29"/>
      <c r="AG93" s="29"/>
      <c r="AH93" s="29"/>
      <c r="AI93" s="29"/>
      <c r="AJ93" s="29"/>
      <c r="AK93" s="29"/>
    </row>
    <row r="94" spans="1:37" x14ac:dyDescent="0.2">
      <c r="A94" s="178" t="s">
        <v>213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29"/>
      <c r="AD94" s="84"/>
      <c r="AE94" s="29"/>
      <c r="AF94" s="29"/>
      <c r="AG94" s="29"/>
      <c r="AH94" s="29"/>
      <c r="AI94" s="29"/>
      <c r="AJ94" s="29"/>
      <c r="AK94" s="29"/>
    </row>
    <row r="95" spans="1:37" x14ac:dyDescent="0.2">
      <c r="A95" s="178" t="s">
        <v>214</v>
      </c>
      <c r="B95" s="56">
        <v>0.48499999999999999</v>
      </c>
      <c r="C95" s="56"/>
      <c r="D95" s="56">
        <v>0.4667</v>
      </c>
      <c r="E95" s="56">
        <v>0.48499999999999999</v>
      </c>
      <c r="F95" s="56">
        <v>0.49430000000000002</v>
      </c>
      <c r="G95" s="56">
        <v>0.49430000000000002</v>
      </c>
      <c r="H95" s="56"/>
      <c r="I95" s="56"/>
      <c r="J95" s="56"/>
      <c r="K95" s="56">
        <v>0.52310000000000001</v>
      </c>
      <c r="L95" s="56"/>
      <c r="M95" s="56"/>
      <c r="N95" s="56">
        <v>0.4667</v>
      </c>
      <c r="O95" s="56">
        <v>0.48499999999999999</v>
      </c>
      <c r="P95" s="56">
        <v>0.49430000000000002</v>
      </c>
      <c r="Q95" s="56">
        <v>0.50380000000000003</v>
      </c>
      <c r="R95" s="56">
        <v>0.44879999999999998</v>
      </c>
      <c r="S95" s="56"/>
      <c r="T95" s="56">
        <v>0.43140000000000001</v>
      </c>
      <c r="U95" s="56"/>
      <c r="V95" s="56"/>
      <c r="W95" s="56"/>
      <c r="X95" s="56">
        <v>0.44879999999999998</v>
      </c>
      <c r="Y95" s="56"/>
      <c r="Z95" s="56"/>
      <c r="AA95" s="56"/>
      <c r="AB95" s="56"/>
      <c r="AC95" s="29"/>
      <c r="AD95" s="84">
        <v>0</v>
      </c>
      <c r="AE95" s="29"/>
      <c r="AF95" s="29"/>
      <c r="AG95" s="29"/>
      <c r="AH95" s="29"/>
      <c r="AI95" s="29"/>
      <c r="AJ95" s="29"/>
      <c r="AK95" s="29"/>
    </row>
    <row r="96" spans="1:37" x14ac:dyDescent="0.2">
      <c r="A96" s="178" t="s">
        <v>215</v>
      </c>
      <c r="B96" s="56">
        <v>0.48499999999999999</v>
      </c>
      <c r="C96" s="56"/>
      <c r="D96" s="56">
        <v>0.4667</v>
      </c>
      <c r="E96" s="56">
        <v>0.48499999999999999</v>
      </c>
      <c r="F96" s="56">
        <v>0.49430000000000002</v>
      </c>
      <c r="G96" s="56">
        <v>0.49430000000000002</v>
      </c>
      <c r="H96" s="56"/>
      <c r="I96" s="56"/>
      <c r="J96" s="56"/>
      <c r="K96" s="56">
        <v>0.52310000000000001</v>
      </c>
      <c r="L96" s="56"/>
      <c r="M96" s="56"/>
      <c r="N96" s="56">
        <v>0.4667</v>
      </c>
      <c r="O96" s="56">
        <v>0.48499999999999999</v>
      </c>
      <c r="P96" s="56">
        <v>0.49430000000000002</v>
      </c>
      <c r="Q96" s="56">
        <v>0.50380000000000003</v>
      </c>
      <c r="R96" s="56">
        <v>0.44879999999999998</v>
      </c>
      <c r="S96" s="56"/>
      <c r="T96" s="56">
        <v>0.43140000000000001</v>
      </c>
      <c r="U96" s="56"/>
      <c r="V96" s="56"/>
      <c r="W96" s="56"/>
      <c r="X96" s="56">
        <v>0.44879999999999998</v>
      </c>
      <c r="Y96" s="56"/>
      <c r="Z96" s="56"/>
      <c r="AA96" s="56"/>
      <c r="AB96" s="56"/>
      <c r="AC96" s="29"/>
      <c r="AD96" s="84">
        <v>0</v>
      </c>
      <c r="AE96" s="29"/>
      <c r="AF96" s="29"/>
      <c r="AG96" s="29"/>
      <c r="AH96" s="29"/>
      <c r="AI96" s="29"/>
      <c r="AJ96" s="29"/>
      <c r="AK96" s="29"/>
    </row>
    <row r="97" spans="1:37" x14ac:dyDescent="0.2">
      <c r="A97" s="177" t="s">
        <v>216</v>
      </c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29"/>
      <c r="AD97" s="84"/>
      <c r="AE97" s="29"/>
      <c r="AF97" s="29"/>
      <c r="AG97" s="29"/>
      <c r="AH97" s="29"/>
      <c r="AI97" s="29"/>
      <c r="AJ97" s="29"/>
      <c r="AK97" s="29"/>
    </row>
    <row r="98" spans="1:37" x14ac:dyDescent="0.2">
      <c r="A98" s="177" t="s">
        <v>217</v>
      </c>
      <c r="B98" s="56">
        <v>0.48499999999999999</v>
      </c>
      <c r="C98" s="56"/>
      <c r="D98" s="56">
        <v>0.4667</v>
      </c>
      <c r="E98" s="56">
        <v>0.48499999999999999</v>
      </c>
      <c r="F98" s="56">
        <v>0.49430000000000002</v>
      </c>
      <c r="G98" s="56">
        <v>0.49430000000000002</v>
      </c>
      <c r="H98" s="56"/>
      <c r="I98" s="56"/>
      <c r="J98" s="56"/>
      <c r="K98" s="56">
        <v>0.52310000000000001</v>
      </c>
      <c r="L98" s="56"/>
      <c r="M98" s="56"/>
      <c r="N98" s="56">
        <v>0.4667</v>
      </c>
      <c r="O98" s="56">
        <v>0.48499999999999999</v>
      </c>
      <c r="P98" s="56">
        <v>0.49430000000000002</v>
      </c>
      <c r="Q98" s="56">
        <v>0.50380000000000003</v>
      </c>
      <c r="R98" s="56">
        <v>0.44879999999999998</v>
      </c>
      <c r="S98" s="56"/>
      <c r="T98" s="56">
        <v>0.43140000000000001</v>
      </c>
      <c r="U98" s="56"/>
      <c r="V98" s="56"/>
      <c r="W98" s="56"/>
      <c r="X98" s="56">
        <v>0.44879999999999998</v>
      </c>
      <c r="Y98" s="56"/>
      <c r="Z98" s="56"/>
      <c r="AA98" s="56"/>
      <c r="AB98" s="56"/>
      <c r="AC98" s="29"/>
      <c r="AD98" s="84">
        <v>0</v>
      </c>
      <c r="AE98" s="29"/>
      <c r="AF98" s="29"/>
      <c r="AG98" s="29"/>
      <c r="AH98" s="29"/>
      <c r="AI98" s="29"/>
      <c r="AJ98" s="29"/>
      <c r="AK98" s="29"/>
    </row>
    <row r="99" spans="1:37" x14ac:dyDescent="0.2">
      <c r="A99" s="177" t="s">
        <v>218</v>
      </c>
      <c r="B99" s="56">
        <v>0.48499999999999999</v>
      </c>
      <c r="C99" s="56"/>
      <c r="D99" s="56">
        <v>0.4667</v>
      </c>
      <c r="E99" s="56">
        <v>0.48499999999999999</v>
      </c>
      <c r="F99" s="56">
        <v>0.49430000000000002</v>
      </c>
      <c r="G99" s="56">
        <v>0.49430000000000002</v>
      </c>
      <c r="H99" s="56"/>
      <c r="I99" s="56"/>
      <c r="J99" s="56"/>
      <c r="K99" s="56">
        <v>0.52310000000000001</v>
      </c>
      <c r="L99" s="56"/>
      <c r="M99" s="56"/>
      <c r="N99" s="56">
        <v>0.4667</v>
      </c>
      <c r="O99" s="56">
        <v>0.48499999999999999</v>
      </c>
      <c r="P99" s="56">
        <v>0.49430000000000002</v>
      </c>
      <c r="Q99" s="56">
        <v>0.50380000000000003</v>
      </c>
      <c r="R99" s="56">
        <v>0.44879999999999998</v>
      </c>
      <c r="S99" s="56"/>
      <c r="T99" s="56">
        <v>0.43140000000000001</v>
      </c>
      <c r="U99" s="56"/>
      <c r="V99" s="56"/>
      <c r="W99" s="56"/>
      <c r="X99" s="56">
        <v>0.44879999999999998</v>
      </c>
      <c r="Y99" s="56"/>
      <c r="Z99" s="56"/>
      <c r="AA99" s="56"/>
      <c r="AB99" s="56"/>
      <c r="AC99" s="29"/>
      <c r="AD99" s="84">
        <v>0</v>
      </c>
      <c r="AE99" s="29"/>
      <c r="AF99" s="29"/>
      <c r="AG99" s="29"/>
      <c r="AH99" s="29"/>
      <c r="AI99" s="29"/>
      <c r="AJ99" s="29"/>
      <c r="AK99" s="29"/>
    </row>
    <row r="100" spans="1:37" x14ac:dyDescent="0.2">
      <c r="A100" s="177" t="s">
        <v>219</v>
      </c>
      <c r="B100" s="56">
        <v>0.48499999999999999</v>
      </c>
      <c r="C100" s="56"/>
      <c r="D100" s="56">
        <v>0.4667</v>
      </c>
      <c r="E100" s="56">
        <v>0.48499999999999999</v>
      </c>
      <c r="F100" s="56">
        <v>0.49430000000000002</v>
      </c>
      <c r="G100" s="56">
        <v>0.49430000000000002</v>
      </c>
      <c r="H100" s="56"/>
      <c r="I100" s="56"/>
      <c r="J100" s="56"/>
      <c r="K100" s="56">
        <v>0.52310000000000001</v>
      </c>
      <c r="L100" s="56"/>
      <c r="M100" s="56"/>
      <c r="N100" s="56">
        <v>0.4667</v>
      </c>
      <c r="O100" s="56">
        <v>0.48499999999999999</v>
      </c>
      <c r="P100" s="56">
        <v>0.49430000000000002</v>
      </c>
      <c r="Q100" s="56">
        <v>0.50380000000000003</v>
      </c>
      <c r="R100" s="56">
        <v>0.44879999999999998</v>
      </c>
      <c r="S100" s="56"/>
      <c r="T100" s="56">
        <v>0.43140000000000001</v>
      </c>
      <c r="U100" s="56"/>
      <c r="V100" s="56"/>
      <c r="W100" s="56"/>
      <c r="X100" s="56">
        <v>0.44879999999999998</v>
      </c>
      <c r="Y100" s="56"/>
      <c r="Z100" s="56"/>
      <c r="AA100" s="56"/>
      <c r="AB100" s="56"/>
      <c r="AC100" s="29"/>
      <c r="AD100" s="84">
        <v>0</v>
      </c>
      <c r="AE100" s="29"/>
      <c r="AF100" s="29"/>
      <c r="AG100" s="29"/>
      <c r="AH100" s="29"/>
      <c r="AI100" s="29"/>
      <c r="AJ100" s="29"/>
      <c r="AK100" s="29"/>
    </row>
    <row r="101" spans="1:37" x14ac:dyDescent="0.2">
      <c r="A101" s="178" t="s">
        <v>220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29"/>
      <c r="AD101" s="84"/>
      <c r="AE101" s="29"/>
      <c r="AF101" s="29"/>
      <c r="AG101" s="29"/>
      <c r="AH101" s="29"/>
      <c r="AI101" s="29"/>
      <c r="AJ101" s="29"/>
      <c r="AK101" s="29"/>
    </row>
    <row r="102" spans="1:37" x14ac:dyDescent="0.2">
      <c r="A102" s="178" t="s">
        <v>221</v>
      </c>
      <c r="B102" s="56">
        <v>0.48499999999999999</v>
      </c>
      <c r="C102" s="56"/>
      <c r="D102" s="56">
        <v>0.4667</v>
      </c>
      <c r="E102" s="56">
        <v>0.48499999999999999</v>
      </c>
      <c r="F102" s="56">
        <v>0.49430000000000002</v>
      </c>
      <c r="G102" s="56">
        <v>0.49430000000000002</v>
      </c>
      <c r="H102" s="56"/>
      <c r="I102" s="56"/>
      <c r="J102" s="56"/>
      <c r="K102" s="56">
        <v>0.52310000000000001</v>
      </c>
      <c r="L102" s="56"/>
      <c r="M102" s="56"/>
      <c r="N102" s="56">
        <v>0.4667</v>
      </c>
      <c r="O102" s="56">
        <v>0.48499999999999999</v>
      </c>
      <c r="P102" s="56">
        <v>0.49430000000000002</v>
      </c>
      <c r="Q102" s="56">
        <v>0.50380000000000003</v>
      </c>
      <c r="R102" s="56">
        <v>0.44879999999999998</v>
      </c>
      <c r="S102" s="56"/>
      <c r="T102" s="56">
        <v>0.43140000000000001</v>
      </c>
      <c r="U102" s="56"/>
      <c r="V102" s="56"/>
      <c r="W102" s="56"/>
      <c r="X102" s="56">
        <v>0.44879999999999998</v>
      </c>
      <c r="Y102" s="56"/>
      <c r="Z102" s="56"/>
      <c r="AA102" s="56"/>
      <c r="AB102" s="56"/>
      <c r="AC102" s="29"/>
      <c r="AD102" s="84">
        <v>0</v>
      </c>
      <c r="AE102" s="29"/>
      <c r="AF102" s="29"/>
      <c r="AG102" s="29"/>
      <c r="AH102" s="29"/>
      <c r="AI102" s="29"/>
      <c r="AJ102" s="29"/>
      <c r="AK102" s="29"/>
    </row>
    <row r="103" spans="1:37" x14ac:dyDescent="0.2">
      <c r="A103" s="178" t="s">
        <v>222</v>
      </c>
      <c r="B103" s="56">
        <v>0.48499999999999999</v>
      </c>
      <c r="C103" s="56"/>
      <c r="D103" s="56">
        <v>0.4667</v>
      </c>
      <c r="E103" s="56">
        <v>0.48499999999999999</v>
      </c>
      <c r="F103" s="56">
        <v>0.49430000000000002</v>
      </c>
      <c r="G103" s="56">
        <v>0.49430000000000002</v>
      </c>
      <c r="H103" s="56"/>
      <c r="I103" s="56"/>
      <c r="J103" s="56"/>
      <c r="K103" s="56">
        <v>0.52310000000000001</v>
      </c>
      <c r="L103" s="56"/>
      <c r="M103" s="56"/>
      <c r="N103" s="56">
        <v>0.4667</v>
      </c>
      <c r="O103" s="56">
        <v>0.48499999999999999</v>
      </c>
      <c r="P103" s="56">
        <v>0.49430000000000002</v>
      </c>
      <c r="Q103" s="56">
        <v>0.50380000000000003</v>
      </c>
      <c r="R103" s="56">
        <v>0.44879999999999998</v>
      </c>
      <c r="S103" s="56"/>
      <c r="T103" s="56">
        <v>0.43140000000000001</v>
      </c>
      <c r="U103" s="56"/>
      <c r="V103" s="56"/>
      <c r="W103" s="56"/>
      <c r="X103" s="56">
        <v>0.44879999999999998</v>
      </c>
      <c r="Y103" s="56"/>
      <c r="Z103" s="56"/>
      <c r="AA103" s="56"/>
      <c r="AB103" s="56"/>
      <c r="AC103" s="29"/>
      <c r="AD103" s="84">
        <v>0</v>
      </c>
      <c r="AE103" s="29"/>
      <c r="AF103" s="29"/>
      <c r="AG103" s="29"/>
      <c r="AH103" s="29"/>
      <c r="AI103" s="29"/>
      <c r="AJ103" s="29"/>
      <c r="AK103" s="29"/>
    </row>
    <row r="104" spans="1:37" x14ac:dyDescent="0.2">
      <c r="A104" s="183" t="s">
        <v>223</v>
      </c>
      <c r="B104" s="56">
        <v>0.48499999999999999</v>
      </c>
      <c r="C104" s="56"/>
      <c r="D104" s="56">
        <v>0.4667</v>
      </c>
      <c r="E104" s="56">
        <v>0.48499999999999999</v>
      </c>
      <c r="F104" s="56">
        <v>0.49430000000000002</v>
      </c>
      <c r="G104" s="56">
        <v>0.49430000000000002</v>
      </c>
      <c r="H104" s="56"/>
      <c r="I104" s="56"/>
      <c r="J104" s="56"/>
      <c r="K104" s="56">
        <v>0.52310000000000001</v>
      </c>
      <c r="L104" s="56"/>
      <c r="M104" s="56"/>
      <c r="N104" s="56">
        <v>0.4667</v>
      </c>
      <c r="O104" s="56">
        <v>0.48499999999999999</v>
      </c>
      <c r="P104" s="56">
        <v>0.49430000000000002</v>
      </c>
      <c r="Q104" s="56">
        <v>0.50380000000000003</v>
      </c>
      <c r="R104" s="56">
        <v>0.44879999999999998</v>
      </c>
      <c r="S104" s="56"/>
      <c r="T104" s="56">
        <v>0.43140000000000001</v>
      </c>
      <c r="U104" s="56"/>
      <c r="V104" s="56"/>
      <c r="W104" s="56"/>
      <c r="X104" s="56">
        <v>0.44879999999999998</v>
      </c>
      <c r="Y104" s="56"/>
      <c r="Z104" s="56"/>
      <c r="AA104" s="56"/>
      <c r="AB104" s="56"/>
      <c r="AC104" s="29"/>
      <c r="AD104" s="84">
        <v>0</v>
      </c>
      <c r="AE104" s="29"/>
      <c r="AF104" s="29"/>
      <c r="AG104" s="29"/>
      <c r="AH104" s="29"/>
      <c r="AI104" s="29"/>
      <c r="AJ104" s="29"/>
      <c r="AK104" s="29"/>
    </row>
    <row r="105" spans="1:37" x14ac:dyDescent="0.2">
      <c r="A105" s="177" t="s">
        <v>224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29"/>
      <c r="AD105" s="84"/>
      <c r="AE105" s="29"/>
      <c r="AF105" s="29"/>
      <c r="AG105" s="29"/>
      <c r="AH105" s="29"/>
      <c r="AI105" s="29"/>
      <c r="AJ105" s="29"/>
      <c r="AK105" s="29"/>
    </row>
    <row r="106" spans="1:37" x14ac:dyDescent="0.2">
      <c r="A106" s="177" t="s">
        <v>225</v>
      </c>
      <c r="B106" s="56">
        <v>0.48499999999999999</v>
      </c>
      <c r="C106" s="56"/>
      <c r="D106" s="56">
        <v>0.4667</v>
      </c>
      <c r="E106" s="56">
        <v>0.48499999999999999</v>
      </c>
      <c r="F106" s="56">
        <v>0.49430000000000002</v>
      </c>
      <c r="G106" s="56">
        <v>0.49430000000000002</v>
      </c>
      <c r="H106" s="56"/>
      <c r="I106" s="56"/>
      <c r="J106" s="56"/>
      <c r="K106" s="56">
        <v>0.52310000000000001</v>
      </c>
      <c r="L106" s="56"/>
      <c r="M106" s="56"/>
      <c r="N106" s="56">
        <v>0.4667</v>
      </c>
      <c r="O106" s="56">
        <v>0.48499999999999999</v>
      </c>
      <c r="P106" s="56">
        <v>0.49430000000000002</v>
      </c>
      <c r="Q106" s="56">
        <v>0.50380000000000003</v>
      </c>
      <c r="R106" s="56">
        <v>0.44879999999999998</v>
      </c>
      <c r="S106" s="56"/>
      <c r="T106" s="56">
        <v>0.43140000000000001</v>
      </c>
      <c r="U106" s="56"/>
      <c r="V106" s="56"/>
      <c r="W106" s="56"/>
      <c r="X106" s="56">
        <v>0.44879999999999998</v>
      </c>
      <c r="Y106" s="56"/>
      <c r="Z106" s="56"/>
      <c r="AA106" s="56"/>
      <c r="AB106" s="56"/>
      <c r="AC106" s="29"/>
      <c r="AD106" s="84">
        <v>0</v>
      </c>
      <c r="AE106" s="29"/>
      <c r="AF106" s="29"/>
      <c r="AG106" s="29"/>
      <c r="AH106" s="29"/>
      <c r="AI106" s="29"/>
      <c r="AJ106" s="29"/>
      <c r="AK106" s="29"/>
    </row>
    <row r="107" spans="1:37" x14ac:dyDescent="0.2">
      <c r="A107" s="178" t="s">
        <v>226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29"/>
      <c r="AD107" s="84"/>
      <c r="AE107" s="29"/>
      <c r="AF107" s="29"/>
      <c r="AG107" s="29"/>
      <c r="AH107" s="29"/>
      <c r="AI107" s="29"/>
      <c r="AJ107" s="29"/>
      <c r="AK107" s="29"/>
    </row>
    <row r="108" spans="1:37" x14ac:dyDescent="0.2">
      <c r="A108" s="178" t="s">
        <v>227</v>
      </c>
      <c r="B108" s="56">
        <v>0.48499999999999999</v>
      </c>
      <c r="C108" s="56"/>
      <c r="D108" s="56">
        <v>0.4667</v>
      </c>
      <c r="E108" s="56">
        <v>0.48499999999999999</v>
      </c>
      <c r="F108" s="56">
        <v>0.49430000000000002</v>
      </c>
      <c r="G108" s="56">
        <v>0.49430000000000002</v>
      </c>
      <c r="H108" s="56"/>
      <c r="I108" s="56"/>
      <c r="J108" s="56"/>
      <c r="K108" s="56">
        <v>0.52310000000000001</v>
      </c>
      <c r="L108" s="56"/>
      <c r="M108" s="56"/>
      <c r="N108" s="56">
        <v>0.4667</v>
      </c>
      <c r="O108" s="56">
        <v>0.48499999999999999</v>
      </c>
      <c r="P108" s="56">
        <v>0.49430000000000002</v>
      </c>
      <c r="Q108" s="56">
        <v>0.50380000000000003</v>
      </c>
      <c r="R108" s="56">
        <v>0.44879999999999998</v>
      </c>
      <c r="S108" s="56"/>
      <c r="T108" s="56">
        <v>0.43140000000000001</v>
      </c>
      <c r="U108" s="56"/>
      <c r="V108" s="56"/>
      <c r="W108" s="56"/>
      <c r="X108" s="56">
        <v>0.44879999999999998</v>
      </c>
      <c r="Y108" s="56"/>
      <c r="Z108" s="56"/>
      <c r="AA108" s="56"/>
      <c r="AB108" s="56"/>
      <c r="AC108" s="29"/>
      <c r="AD108" s="84">
        <v>0</v>
      </c>
      <c r="AE108" s="29"/>
      <c r="AF108" s="29"/>
      <c r="AG108" s="29"/>
      <c r="AH108" s="29"/>
      <c r="AI108" s="29"/>
      <c r="AJ108" s="29"/>
      <c r="AK108" s="29"/>
    </row>
    <row r="109" spans="1:37" x14ac:dyDescent="0.2">
      <c r="A109" s="178" t="s">
        <v>228</v>
      </c>
      <c r="B109" s="56">
        <v>0.48499999999999999</v>
      </c>
      <c r="C109" s="56"/>
      <c r="D109" s="56">
        <v>0.4667</v>
      </c>
      <c r="E109" s="56">
        <v>0.48499999999999999</v>
      </c>
      <c r="F109" s="56">
        <v>0.49430000000000002</v>
      </c>
      <c r="G109" s="56">
        <v>0.49430000000000002</v>
      </c>
      <c r="H109" s="56"/>
      <c r="I109" s="56"/>
      <c r="J109" s="56"/>
      <c r="K109" s="56">
        <v>0.52310000000000001</v>
      </c>
      <c r="L109" s="56"/>
      <c r="M109" s="56"/>
      <c r="N109" s="56">
        <v>0.4667</v>
      </c>
      <c r="O109" s="56">
        <v>0.48499999999999999</v>
      </c>
      <c r="P109" s="56">
        <v>0.49430000000000002</v>
      </c>
      <c r="Q109" s="56">
        <v>0.50380000000000003</v>
      </c>
      <c r="R109" s="56">
        <v>0.44879999999999998</v>
      </c>
      <c r="S109" s="56"/>
      <c r="T109" s="56">
        <v>0.43140000000000001</v>
      </c>
      <c r="U109" s="56"/>
      <c r="V109" s="56"/>
      <c r="W109" s="56"/>
      <c r="X109" s="56">
        <v>0.44879999999999998</v>
      </c>
      <c r="Y109" s="56"/>
      <c r="Z109" s="56"/>
      <c r="AA109" s="56"/>
      <c r="AB109" s="56"/>
      <c r="AC109" s="29"/>
      <c r="AD109" s="84">
        <v>0</v>
      </c>
      <c r="AE109" s="29"/>
      <c r="AF109" s="29"/>
      <c r="AG109" s="29"/>
      <c r="AH109" s="29"/>
      <c r="AI109" s="29"/>
      <c r="AJ109" s="29"/>
      <c r="AK109" s="29"/>
    </row>
    <row r="110" spans="1:37" x14ac:dyDescent="0.2">
      <c r="A110" s="179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29"/>
      <c r="AD110" s="84"/>
      <c r="AE110" s="29"/>
      <c r="AF110" s="29"/>
      <c r="AG110" s="29"/>
      <c r="AH110" s="29"/>
      <c r="AI110" s="29"/>
      <c r="AJ110" s="29"/>
      <c r="AK110" s="29"/>
    </row>
    <row r="111" spans="1:37" x14ac:dyDescent="0.2">
      <c r="A111" s="177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29"/>
      <c r="AD111" s="84"/>
      <c r="AE111" s="29"/>
      <c r="AF111" s="29"/>
      <c r="AG111" s="29"/>
      <c r="AH111" s="29"/>
      <c r="AI111" s="29"/>
      <c r="AJ111" s="29"/>
      <c r="AK111" s="29"/>
    </row>
    <row r="112" spans="1:37" x14ac:dyDescent="0.2">
      <c r="A112" s="177" t="s">
        <v>124</v>
      </c>
      <c r="B112" s="56">
        <v>0.48499999999999999</v>
      </c>
      <c r="C112" s="56"/>
      <c r="D112" s="56">
        <v>0.4667</v>
      </c>
      <c r="E112" s="56">
        <v>0.48499999999999999</v>
      </c>
      <c r="F112" s="56">
        <v>0.49430000000000002</v>
      </c>
      <c r="G112" s="56">
        <v>0.49430000000000002</v>
      </c>
      <c r="H112" s="56"/>
      <c r="I112" s="56"/>
      <c r="J112" s="56"/>
      <c r="K112" s="56">
        <v>0.52310000000000001</v>
      </c>
      <c r="L112" s="56"/>
      <c r="M112" s="56"/>
      <c r="N112" s="56">
        <v>0.4667</v>
      </c>
      <c r="O112" s="56">
        <v>0.48499999999999999</v>
      </c>
      <c r="P112" s="56">
        <v>0.49430000000000002</v>
      </c>
      <c r="Q112" s="56">
        <v>0.50380000000000003</v>
      </c>
      <c r="R112" s="56">
        <v>0.44879999999999998</v>
      </c>
      <c r="S112" s="56"/>
      <c r="T112" s="56">
        <v>0.43140000000000001</v>
      </c>
      <c r="U112" s="56"/>
      <c r="V112" s="56"/>
      <c r="W112" s="56"/>
      <c r="X112" s="56">
        <v>0.44879999999999998</v>
      </c>
      <c r="Y112" s="56"/>
      <c r="Z112" s="56"/>
      <c r="AA112" s="56"/>
      <c r="AB112" s="56"/>
      <c r="AC112" s="29"/>
      <c r="AD112" s="84">
        <v>0</v>
      </c>
      <c r="AE112" s="29"/>
      <c r="AF112" s="29"/>
      <c r="AG112" s="29"/>
      <c r="AH112" s="29"/>
      <c r="AI112" s="29"/>
      <c r="AJ112" s="29"/>
      <c r="AK112" s="29"/>
    </row>
    <row r="113" spans="1:37" x14ac:dyDescent="0.2">
      <c r="A113" s="178" t="s">
        <v>125</v>
      </c>
      <c r="B113" s="56">
        <v>0.48499999999999999</v>
      </c>
      <c r="C113" s="56"/>
      <c r="D113" s="56">
        <v>0.4667</v>
      </c>
      <c r="E113" s="56">
        <v>0.48499999999999999</v>
      </c>
      <c r="F113" s="56">
        <v>0.49430000000000002</v>
      </c>
      <c r="G113" s="56">
        <v>0.49430000000000002</v>
      </c>
      <c r="H113" s="56"/>
      <c r="I113" s="56"/>
      <c r="J113" s="56"/>
      <c r="K113" s="56">
        <v>0.52310000000000001</v>
      </c>
      <c r="L113" s="56"/>
      <c r="M113" s="56"/>
      <c r="N113" s="56">
        <v>0.4667</v>
      </c>
      <c r="O113" s="56">
        <v>0.48499999999999999</v>
      </c>
      <c r="P113" s="56">
        <v>0.49430000000000002</v>
      </c>
      <c r="Q113" s="56">
        <v>0.50380000000000003</v>
      </c>
      <c r="R113" s="56">
        <v>0.44879999999999998</v>
      </c>
      <c r="S113" s="56"/>
      <c r="T113" s="56">
        <v>0.43140000000000001</v>
      </c>
      <c r="U113" s="56"/>
      <c r="V113" s="56"/>
      <c r="W113" s="56"/>
      <c r="X113" s="56">
        <v>0.44879999999999998</v>
      </c>
      <c r="Y113" s="56"/>
      <c r="Z113" s="56"/>
      <c r="AA113" s="56"/>
      <c r="AB113" s="56"/>
      <c r="AC113" s="29"/>
      <c r="AD113" s="84">
        <v>0</v>
      </c>
      <c r="AE113" s="29"/>
      <c r="AF113" s="29"/>
      <c r="AG113" s="29"/>
      <c r="AH113" s="29"/>
      <c r="AI113" s="29"/>
      <c r="AJ113" s="29"/>
      <c r="AK113" s="29"/>
    </row>
    <row r="114" spans="1:37" x14ac:dyDescent="0.2">
      <c r="A114" s="178" t="s">
        <v>118</v>
      </c>
      <c r="B114" s="56">
        <v>0.48499999999999999</v>
      </c>
      <c r="C114" s="56"/>
      <c r="D114" s="56">
        <v>0.4667</v>
      </c>
      <c r="E114" s="56">
        <v>0.48499999999999999</v>
      </c>
      <c r="F114" s="56">
        <v>0.49430000000000002</v>
      </c>
      <c r="G114" s="56">
        <v>0.49430000000000002</v>
      </c>
      <c r="H114" s="56"/>
      <c r="I114" s="56"/>
      <c r="J114" s="56"/>
      <c r="K114" s="56">
        <v>0.52310000000000001</v>
      </c>
      <c r="L114" s="56"/>
      <c r="M114" s="56"/>
      <c r="N114" s="56">
        <v>0.4667</v>
      </c>
      <c r="O114" s="56">
        <v>0.48499999999999999</v>
      </c>
      <c r="P114" s="56">
        <v>0.49430000000000002</v>
      </c>
      <c r="Q114" s="56">
        <v>0.50380000000000003</v>
      </c>
      <c r="R114" s="56">
        <v>0.44879999999999998</v>
      </c>
      <c r="S114" s="56"/>
      <c r="T114" s="56">
        <v>0.43140000000000001</v>
      </c>
      <c r="U114" s="56"/>
      <c r="V114" s="56"/>
      <c r="W114" s="56"/>
      <c r="X114" s="56">
        <v>0.44879999999999998</v>
      </c>
      <c r="Y114" s="56"/>
      <c r="Z114" s="56"/>
      <c r="AA114" s="56"/>
      <c r="AB114" s="56"/>
      <c r="AC114" s="29"/>
      <c r="AD114" s="84">
        <v>0</v>
      </c>
      <c r="AE114" s="29"/>
      <c r="AF114" s="29"/>
      <c r="AG114" s="29"/>
      <c r="AH114" s="29"/>
      <c r="AI114" s="29"/>
      <c r="AJ114" s="29"/>
      <c r="AK114" s="29"/>
    </row>
    <row r="115" spans="1:37" x14ac:dyDescent="0.2">
      <c r="A115" s="213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29"/>
      <c r="AD115" s="84"/>
      <c r="AE115" s="29"/>
      <c r="AF115" s="29"/>
      <c r="AG115" s="29"/>
      <c r="AH115" s="29"/>
      <c r="AI115" s="29"/>
      <c r="AJ115" s="29"/>
      <c r="AK115" s="29"/>
    </row>
    <row r="116" spans="1:37" x14ac:dyDescent="0.2">
      <c r="A116" s="178" t="s">
        <v>229</v>
      </c>
      <c r="B116" s="56">
        <v>0.48499999999999999</v>
      </c>
      <c r="C116" s="56"/>
      <c r="D116" s="56">
        <v>0.4667</v>
      </c>
      <c r="E116" s="56">
        <v>0.48499999999999999</v>
      </c>
      <c r="F116" s="56">
        <v>0.49430000000000002</v>
      </c>
      <c r="G116" s="56">
        <v>0.49430000000000002</v>
      </c>
      <c r="H116" s="56"/>
      <c r="I116" s="56"/>
      <c r="J116" s="56"/>
      <c r="K116" s="56">
        <v>0.52310000000000001</v>
      </c>
      <c r="L116" s="56"/>
      <c r="M116" s="56"/>
      <c r="N116" s="56">
        <v>0.4667</v>
      </c>
      <c r="O116" s="56">
        <v>0.48499999999999999</v>
      </c>
      <c r="P116" s="56">
        <v>0.49430000000000002</v>
      </c>
      <c r="Q116" s="56">
        <v>0.50380000000000003</v>
      </c>
      <c r="R116" s="56">
        <v>0.44879999999999998</v>
      </c>
      <c r="S116" s="56"/>
      <c r="T116" s="56">
        <v>0.43140000000000001</v>
      </c>
      <c r="U116" s="56"/>
      <c r="V116" s="56"/>
      <c r="W116" s="56"/>
      <c r="X116" s="56">
        <v>0.44879999999999998</v>
      </c>
      <c r="Y116" s="56"/>
      <c r="Z116" s="56"/>
      <c r="AA116" s="56"/>
      <c r="AB116" s="56"/>
      <c r="AC116" s="29"/>
      <c r="AD116" s="84">
        <v>0</v>
      </c>
      <c r="AE116" s="29"/>
      <c r="AF116" s="29"/>
      <c r="AG116" s="29"/>
      <c r="AH116" s="29"/>
      <c r="AI116" s="29"/>
      <c r="AJ116" s="29"/>
      <c r="AK116" s="29"/>
    </row>
    <row r="117" spans="1:37" x14ac:dyDescent="0.2">
      <c r="A117" s="178" t="s">
        <v>230</v>
      </c>
      <c r="B117" s="56">
        <v>0.48499999999999999</v>
      </c>
      <c r="C117" s="56"/>
      <c r="D117" s="56">
        <v>0.4667</v>
      </c>
      <c r="E117" s="56">
        <v>0.48499999999999999</v>
      </c>
      <c r="F117" s="56">
        <v>0.49430000000000002</v>
      </c>
      <c r="G117" s="56">
        <v>0.49430000000000002</v>
      </c>
      <c r="H117" s="56"/>
      <c r="I117" s="56"/>
      <c r="J117" s="56"/>
      <c r="K117" s="56">
        <v>0.52310000000000001</v>
      </c>
      <c r="L117" s="56"/>
      <c r="M117" s="56"/>
      <c r="N117" s="56">
        <v>0.4667</v>
      </c>
      <c r="O117" s="56">
        <v>0.48499999999999999</v>
      </c>
      <c r="P117" s="56">
        <v>0.49430000000000002</v>
      </c>
      <c r="Q117" s="56">
        <v>0.50380000000000003</v>
      </c>
      <c r="R117" s="56">
        <v>0.44879999999999998</v>
      </c>
      <c r="S117" s="56"/>
      <c r="T117" s="56">
        <v>0.43140000000000001</v>
      </c>
      <c r="U117" s="56"/>
      <c r="V117" s="56"/>
      <c r="W117" s="56"/>
      <c r="X117" s="56">
        <v>0.44879999999999998</v>
      </c>
      <c r="Y117" s="56"/>
      <c r="Z117" s="56"/>
      <c r="AA117" s="56"/>
      <c r="AB117" s="56"/>
      <c r="AC117" s="29"/>
      <c r="AD117" s="84">
        <v>0</v>
      </c>
      <c r="AE117" s="29"/>
      <c r="AF117" s="29"/>
      <c r="AG117" s="29"/>
      <c r="AH117" s="29"/>
      <c r="AI117" s="29"/>
      <c r="AJ117" s="29"/>
      <c r="AK117" s="29"/>
    </row>
    <row r="118" spans="1:37" x14ac:dyDescent="0.2">
      <c r="A118" s="178" t="s">
        <v>231</v>
      </c>
      <c r="B118" s="56">
        <v>0.48499999999999999</v>
      </c>
      <c r="C118" s="56"/>
      <c r="D118" s="56">
        <v>0.4667</v>
      </c>
      <c r="E118" s="56">
        <v>0.48499999999999999</v>
      </c>
      <c r="F118" s="56">
        <v>0.49430000000000002</v>
      </c>
      <c r="G118" s="56">
        <v>0.49430000000000002</v>
      </c>
      <c r="H118" s="56"/>
      <c r="I118" s="56"/>
      <c r="J118" s="56"/>
      <c r="K118" s="56">
        <v>0.52310000000000001</v>
      </c>
      <c r="L118" s="56"/>
      <c r="M118" s="56"/>
      <c r="N118" s="56">
        <v>0.4667</v>
      </c>
      <c r="O118" s="56">
        <v>0.48499999999999999</v>
      </c>
      <c r="P118" s="56">
        <v>0.49430000000000002</v>
      </c>
      <c r="Q118" s="56">
        <v>0.50380000000000003</v>
      </c>
      <c r="R118" s="56">
        <v>0.44879999999999998</v>
      </c>
      <c r="S118" s="56"/>
      <c r="T118" s="56">
        <v>0.43140000000000001</v>
      </c>
      <c r="U118" s="56"/>
      <c r="V118" s="56"/>
      <c r="W118" s="56"/>
      <c r="X118" s="56">
        <v>0.44879999999999998</v>
      </c>
      <c r="Y118" s="56"/>
      <c r="Z118" s="56"/>
      <c r="AA118" s="56"/>
      <c r="AB118" s="56"/>
      <c r="AC118" s="29"/>
      <c r="AD118" s="84">
        <v>0</v>
      </c>
      <c r="AE118" s="29"/>
      <c r="AF118" s="29"/>
      <c r="AG118" s="29"/>
      <c r="AH118" s="29"/>
      <c r="AI118" s="29"/>
      <c r="AJ118" s="29"/>
      <c r="AK118" s="29"/>
    </row>
    <row r="119" spans="1:37" x14ac:dyDescent="0.2">
      <c r="A119" s="213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29"/>
      <c r="AD119" s="84"/>
      <c r="AE119" s="29"/>
      <c r="AF119" s="29"/>
      <c r="AG119" s="29"/>
      <c r="AH119" s="29"/>
      <c r="AI119" s="29"/>
      <c r="AJ119" s="29"/>
      <c r="AK119" s="29"/>
    </row>
    <row r="120" spans="1:37" x14ac:dyDescent="0.2">
      <c r="A120" s="178" t="s">
        <v>232</v>
      </c>
      <c r="B120" s="56">
        <v>0.48499999999999999</v>
      </c>
      <c r="C120" s="56"/>
      <c r="D120" s="56">
        <v>0.4667</v>
      </c>
      <c r="E120" s="56">
        <v>0.48499999999999999</v>
      </c>
      <c r="F120" s="56">
        <v>0.49430000000000002</v>
      </c>
      <c r="G120" s="56">
        <v>0.49430000000000002</v>
      </c>
      <c r="H120" s="56"/>
      <c r="I120" s="56"/>
      <c r="J120" s="56"/>
      <c r="K120" s="56">
        <v>0.52310000000000001</v>
      </c>
      <c r="L120" s="56"/>
      <c r="M120" s="56"/>
      <c r="N120" s="56">
        <v>0.4667</v>
      </c>
      <c r="O120" s="56">
        <v>0.48499999999999999</v>
      </c>
      <c r="P120" s="56">
        <v>0.49430000000000002</v>
      </c>
      <c r="Q120" s="56">
        <v>0.50380000000000003</v>
      </c>
      <c r="R120" s="56">
        <v>0.44879999999999998</v>
      </c>
      <c r="S120" s="56"/>
      <c r="T120" s="56">
        <v>0.43140000000000001</v>
      </c>
      <c r="U120" s="56"/>
      <c r="V120" s="56"/>
      <c r="W120" s="56"/>
      <c r="X120" s="56">
        <v>0.44879999999999998</v>
      </c>
      <c r="Y120" s="56"/>
      <c r="Z120" s="56"/>
      <c r="AA120" s="56"/>
      <c r="AB120" s="56"/>
      <c r="AC120" s="29"/>
      <c r="AD120" s="84">
        <v>0</v>
      </c>
      <c r="AE120" s="29"/>
      <c r="AF120" s="29"/>
      <c r="AG120" s="29"/>
      <c r="AH120" s="29"/>
      <c r="AI120" s="29"/>
      <c r="AJ120" s="29"/>
      <c r="AK120" s="29"/>
    </row>
    <row r="121" spans="1:37" x14ac:dyDescent="0.2">
      <c r="A121" s="178" t="s">
        <v>233</v>
      </c>
      <c r="B121" s="56">
        <v>0.48499999999999999</v>
      </c>
      <c r="C121" s="56"/>
      <c r="D121" s="56">
        <v>0.4667</v>
      </c>
      <c r="E121" s="56">
        <v>0.48499999999999999</v>
      </c>
      <c r="F121" s="56">
        <v>0.49430000000000002</v>
      </c>
      <c r="G121" s="56">
        <v>0.49430000000000002</v>
      </c>
      <c r="H121" s="56"/>
      <c r="I121" s="56"/>
      <c r="J121" s="56"/>
      <c r="K121" s="56">
        <v>0.52310000000000001</v>
      </c>
      <c r="L121" s="56"/>
      <c r="M121" s="56"/>
      <c r="N121" s="56">
        <v>0.4667</v>
      </c>
      <c r="O121" s="56">
        <v>0.48499999999999999</v>
      </c>
      <c r="P121" s="56">
        <v>0.49430000000000002</v>
      </c>
      <c r="Q121" s="56">
        <v>0.50380000000000003</v>
      </c>
      <c r="R121" s="56">
        <v>0.44879999999999998</v>
      </c>
      <c r="S121" s="56"/>
      <c r="T121" s="56">
        <v>0.43140000000000001</v>
      </c>
      <c r="U121" s="56"/>
      <c r="V121" s="56"/>
      <c r="W121" s="56"/>
      <c r="X121" s="56">
        <v>0.44879999999999998</v>
      </c>
      <c r="Y121" s="56"/>
      <c r="Z121" s="56"/>
      <c r="AA121" s="56"/>
      <c r="AB121" s="56"/>
      <c r="AC121" s="29"/>
      <c r="AD121" s="84">
        <v>0</v>
      </c>
      <c r="AE121" s="29"/>
      <c r="AF121" s="29"/>
      <c r="AG121" s="29"/>
      <c r="AH121" s="29"/>
      <c r="AI121" s="29"/>
      <c r="AJ121" s="29"/>
      <c r="AK121" s="29"/>
    </row>
    <row r="122" spans="1:37" x14ac:dyDescent="0.2">
      <c r="A122" s="178" t="s">
        <v>132</v>
      </c>
      <c r="B122" s="56">
        <v>0.48499999999999999</v>
      </c>
      <c r="C122" s="56"/>
      <c r="D122" s="56">
        <v>0.4667</v>
      </c>
      <c r="E122" s="56">
        <v>0.48499999999999999</v>
      </c>
      <c r="F122" s="56">
        <v>0.49430000000000002</v>
      </c>
      <c r="G122" s="56">
        <v>0.49430000000000002</v>
      </c>
      <c r="H122" s="56"/>
      <c r="I122" s="56"/>
      <c r="J122" s="56"/>
      <c r="K122" s="56">
        <v>0.52310000000000001</v>
      </c>
      <c r="L122" s="56"/>
      <c r="M122" s="56"/>
      <c r="N122" s="56">
        <v>0.4667</v>
      </c>
      <c r="O122" s="56">
        <v>0.48499999999999999</v>
      </c>
      <c r="P122" s="56">
        <v>0.49430000000000002</v>
      </c>
      <c r="Q122" s="56">
        <v>0.50380000000000003</v>
      </c>
      <c r="R122" s="56">
        <v>0.44879999999999998</v>
      </c>
      <c r="S122" s="56"/>
      <c r="T122" s="56">
        <v>0.43140000000000001</v>
      </c>
      <c r="U122" s="56"/>
      <c r="V122" s="56"/>
      <c r="W122" s="56"/>
      <c r="X122" s="56">
        <v>0.44879999999999998</v>
      </c>
      <c r="Y122" s="56"/>
      <c r="Z122" s="56"/>
      <c r="AA122" s="56"/>
      <c r="AB122" s="56"/>
      <c r="AC122" s="29"/>
      <c r="AD122" s="84"/>
      <c r="AE122" s="29"/>
      <c r="AF122" s="29"/>
      <c r="AG122" s="29"/>
      <c r="AH122" s="29"/>
      <c r="AI122" s="29"/>
      <c r="AJ122" s="29"/>
      <c r="AK122" s="29"/>
    </row>
    <row r="123" spans="1:37" x14ac:dyDescent="0.2">
      <c r="A123" s="178" t="s">
        <v>133</v>
      </c>
      <c r="B123" s="56">
        <v>0.48499999999999999</v>
      </c>
      <c r="C123" s="56"/>
      <c r="D123" s="56">
        <v>0.4667</v>
      </c>
      <c r="E123" s="56">
        <v>0.48499999999999999</v>
      </c>
      <c r="F123" s="56">
        <v>0.49430000000000002</v>
      </c>
      <c r="G123" s="56">
        <v>0.49430000000000002</v>
      </c>
      <c r="H123" s="56"/>
      <c r="I123" s="56"/>
      <c r="J123" s="56"/>
      <c r="K123" s="56">
        <v>0.52310000000000001</v>
      </c>
      <c r="L123" s="56"/>
      <c r="M123" s="56"/>
      <c r="N123" s="56">
        <v>0.4667</v>
      </c>
      <c r="O123" s="56">
        <v>0.48499999999999999</v>
      </c>
      <c r="P123" s="56">
        <v>0.49430000000000002</v>
      </c>
      <c r="Q123" s="56">
        <v>0.50380000000000003</v>
      </c>
      <c r="R123" s="56">
        <v>0.44879999999999998</v>
      </c>
      <c r="S123" s="56"/>
      <c r="T123" s="56">
        <v>0.43140000000000001</v>
      </c>
      <c r="U123" s="56"/>
      <c r="V123" s="56"/>
      <c r="W123" s="56"/>
      <c r="X123" s="56">
        <v>0.44879999999999998</v>
      </c>
      <c r="Y123" s="56"/>
      <c r="Z123" s="56"/>
      <c r="AA123" s="56"/>
      <c r="AB123" s="56"/>
      <c r="AC123" s="29"/>
      <c r="AD123" s="84"/>
      <c r="AE123" s="29"/>
      <c r="AF123" s="29"/>
      <c r="AG123" s="29"/>
      <c r="AH123" s="29"/>
      <c r="AI123" s="29"/>
      <c r="AJ123" s="29"/>
      <c r="AK123" s="29"/>
    </row>
    <row r="124" spans="1:37" x14ac:dyDescent="0.2">
      <c r="A124" s="177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29"/>
      <c r="AD124" s="84"/>
      <c r="AE124" s="29"/>
      <c r="AF124" s="29"/>
      <c r="AG124" s="29"/>
      <c r="AH124" s="29"/>
      <c r="AI124" s="29"/>
      <c r="AJ124" s="29"/>
      <c r="AK124" s="29"/>
    </row>
    <row r="125" spans="1:37" x14ac:dyDescent="0.2">
      <c r="A125" s="178" t="s">
        <v>134</v>
      </c>
      <c r="B125" s="56">
        <v>0.48499999999999999</v>
      </c>
      <c r="C125" s="56"/>
      <c r="D125" s="56">
        <v>0.4667</v>
      </c>
      <c r="E125" s="56">
        <v>0.48499999999999999</v>
      </c>
      <c r="F125" s="56">
        <v>0.49430000000000002</v>
      </c>
      <c r="G125" s="56">
        <v>0.49430000000000002</v>
      </c>
      <c r="H125" s="56"/>
      <c r="I125" s="56"/>
      <c r="J125" s="56"/>
      <c r="K125" s="56">
        <v>0.52310000000000001</v>
      </c>
      <c r="L125" s="56"/>
      <c r="M125" s="56"/>
      <c r="N125" s="56">
        <v>0.4667</v>
      </c>
      <c r="O125" s="56">
        <v>0.48499999999999999</v>
      </c>
      <c r="P125" s="56">
        <v>0.49430000000000002</v>
      </c>
      <c r="Q125" s="56">
        <v>0.50380000000000003</v>
      </c>
      <c r="R125" s="56">
        <v>0.44879999999999998</v>
      </c>
      <c r="S125" s="56"/>
      <c r="T125" s="56">
        <v>0.43140000000000001</v>
      </c>
      <c r="U125" s="56"/>
      <c r="V125" s="56"/>
      <c r="W125" s="56"/>
      <c r="X125" s="56">
        <v>0.44879999999999998</v>
      </c>
      <c r="Y125" s="56"/>
      <c r="Z125" s="56"/>
      <c r="AA125" s="56"/>
      <c r="AB125" s="56"/>
      <c r="AC125" s="29"/>
      <c r="AD125" s="84">
        <v>0</v>
      </c>
      <c r="AE125" s="29"/>
      <c r="AF125" s="29"/>
      <c r="AG125" s="29"/>
      <c r="AH125" s="29"/>
      <c r="AI125" s="29"/>
      <c r="AJ125" s="29"/>
      <c r="AK125" s="29"/>
    </row>
    <row r="126" spans="1:37" x14ac:dyDescent="0.2">
      <c r="A126" s="178" t="s">
        <v>119</v>
      </c>
      <c r="B126" s="56">
        <v>0.48499999999999999</v>
      </c>
      <c r="C126" s="56"/>
      <c r="D126" s="56">
        <v>0.4667</v>
      </c>
      <c r="E126" s="56">
        <v>0.48499999999999999</v>
      </c>
      <c r="F126" s="56">
        <v>0.49430000000000002</v>
      </c>
      <c r="G126" s="56">
        <v>0.49430000000000002</v>
      </c>
      <c r="H126" s="56"/>
      <c r="I126" s="56"/>
      <c r="J126" s="56"/>
      <c r="K126" s="56">
        <v>0.52310000000000001</v>
      </c>
      <c r="L126" s="56"/>
      <c r="M126" s="56"/>
      <c r="N126" s="56">
        <v>0.4667</v>
      </c>
      <c r="O126" s="56">
        <v>0.48499999999999999</v>
      </c>
      <c r="P126" s="56">
        <v>0.49430000000000002</v>
      </c>
      <c r="Q126" s="56">
        <v>0.50380000000000003</v>
      </c>
      <c r="R126" s="56">
        <v>0.44879999999999998</v>
      </c>
      <c r="S126" s="56"/>
      <c r="T126" s="56">
        <v>0.43140000000000001</v>
      </c>
      <c r="U126" s="56"/>
      <c r="V126" s="56"/>
      <c r="W126" s="56"/>
      <c r="X126" s="56">
        <v>0.44879999999999998</v>
      </c>
      <c r="Y126" s="56"/>
      <c r="Z126" s="56"/>
      <c r="AA126" s="56"/>
      <c r="AB126" s="56"/>
      <c r="AC126" s="29"/>
      <c r="AD126" s="84">
        <v>0</v>
      </c>
      <c r="AE126" s="29"/>
      <c r="AF126" s="29"/>
      <c r="AG126" s="29"/>
      <c r="AH126" s="29"/>
      <c r="AI126" s="29"/>
      <c r="AJ126" s="29"/>
      <c r="AK126" s="29"/>
    </row>
    <row r="127" spans="1:37" x14ac:dyDescent="0.2">
      <c r="A127" s="178" t="s">
        <v>120</v>
      </c>
      <c r="B127" s="56">
        <v>0.48499999999999999</v>
      </c>
      <c r="C127" s="56"/>
      <c r="D127" s="56">
        <v>0.4667</v>
      </c>
      <c r="E127" s="56">
        <v>0.48499999999999999</v>
      </c>
      <c r="F127" s="56">
        <v>0.49430000000000002</v>
      </c>
      <c r="G127" s="56">
        <v>0.49430000000000002</v>
      </c>
      <c r="H127" s="56"/>
      <c r="I127" s="56"/>
      <c r="J127" s="56"/>
      <c r="K127" s="56">
        <v>0.52310000000000001</v>
      </c>
      <c r="L127" s="56"/>
      <c r="M127" s="56"/>
      <c r="N127" s="56">
        <v>0.4667</v>
      </c>
      <c r="O127" s="56">
        <v>0.48499999999999999</v>
      </c>
      <c r="P127" s="56">
        <v>0.49430000000000002</v>
      </c>
      <c r="Q127" s="56">
        <v>0.50380000000000003</v>
      </c>
      <c r="R127" s="56">
        <v>0.44879999999999998</v>
      </c>
      <c r="S127" s="56"/>
      <c r="T127" s="56">
        <v>0.43140000000000001</v>
      </c>
      <c r="U127" s="56"/>
      <c r="V127" s="56"/>
      <c r="W127" s="56"/>
      <c r="X127" s="56">
        <v>0.44879999999999998</v>
      </c>
      <c r="Y127" s="56"/>
      <c r="Z127" s="56"/>
      <c r="AA127" s="56"/>
      <c r="AB127" s="56"/>
      <c r="AC127" s="29"/>
      <c r="AD127" s="84">
        <v>0</v>
      </c>
      <c r="AE127" s="29"/>
      <c r="AF127" s="29"/>
      <c r="AG127" s="29"/>
      <c r="AH127" s="29"/>
      <c r="AI127" s="29"/>
      <c r="AJ127" s="29"/>
      <c r="AK127" s="29"/>
    </row>
    <row r="128" spans="1:37" x14ac:dyDescent="0.2">
      <c r="A128" s="178" t="s">
        <v>121</v>
      </c>
      <c r="B128" s="56">
        <v>0.48499999999999999</v>
      </c>
      <c r="C128" s="56"/>
      <c r="D128" s="56">
        <v>0.4667</v>
      </c>
      <c r="E128" s="56">
        <v>0.48499999999999999</v>
      </c>
      <c r="F128" s="56">
        <v>0.49430000000000002</v>
      </c>
      <c r="G128" s="56">
        <v>0.49430000000000002</v>
      </c>
      <c r="H128" s="56"/>
      <c r="I128" s="56"/>
      <c r="J128" s="56"/>
      <c r="K128" s="56">
        <v>0.52310000000000001</v>
      </c>
      <c r="L128" s="56"/>
      <c r="M128" s="56"/>
      <c r="N128" s="56">
        <v>0.4667</v>
      </c>
      <c r="O128" s="56">
        <v>0.48499999999999999</v>
      </c>
      <c r="P128" s="56">
        <v>0.49430000000000002</v>
      </c>
      <c r="Q128" s="56">
        <v>0.50380000000000003</v>
      </c>
      <c r="R128" s="56">
        <v>0.44879999999999998</v>
      </c>
      <c r="S128" s="56"/>
      <c r="T128" s="56">
        <v>0.43140000000000001</v>
      </c>
      <c r="U128" s="56"/>
      <c r="V128" s="56"/>
      <c r="W128" s="56"/>
      <c r="X128" s="56">
        <v>0.44879999999999998</v>
      </c>
      <c r="Y128" s="56"/>
      <c r="Z128" s="56"/>
      <c r="AA128" s="56"/>
      <c r="AB128" s="56"/>
      <c r="AC128" s="29"/>
      <c r="AD128" s="84">
        <v>0</v>
      </c>
      <c r="AE128" s="29"/>
      <c r="AF128" s="29"/>
      <c r="AG128" s="29"/>
      <c r="AH128" s="29"/>
      <c r="AI128" s="29"/>
      <c r="AJ128" s="29"/>
      <c r="AK128" s="29"/>
    </row>
    <row r="129" spans="1:256" x14ac:dyDescent="0.2">
      <c r="A129" s="21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29"/>
      <c r="AD129" s="350"/>
      <c r="AE129" s="29"/>
      <c r="AF129" s="29"/>
      <c r="AG129" s="29"/>
      <c r="AH129" s="29"/>
      <c r="AI129" s="29"/>
      <c r="AJ129" s="29"/>
      <c r="AK129" s="29"/>
    </row>
    <row r="130" spans="1:256" x14ac:dyDescent="0.2">
      <c r="A130" s="24" t="s">
        <v>244</v>
      </c>
      <c r="B130" s="56">
        <v>0.48499999999999999</v>
      </c>
      <c r="C130" s="56"/>
      <c r="D130" s="56">
        <v>0.4667</v>
      </c>
      <c r="E130" s="56">
        <v>0.48499999999999999</v>
      </c>
      <c r="F130" s="56">
        <v>0.49430000000000002</v>
      </c>
      <c r="G130" s="56">
        <v>0.49430000000000002</v>
      </c>
      <c r="H130" s="56"/>
      <c r="I130" s="56"/>
      <c r="J130" s="56"/>
      <c r="K130" s="56">
        <v>0.52310000000000001</v>
      </c>
      <c r="L130" s="56"/>
      <c r="M130" s="56"/>
      <c r="N130" s="56">
        <v>0.4667</v>
      </c>
      <c r="O130" s="56">
        <v>0.48499999999999999</v>
      </c>
      <c r="P130" s="56">
        <v>0.49430000000000002</v>
      </c>
      <c r="Q130" s="56">
        <v>0.50380000000000003</v>
      </c>
      <c r="R130" s="56">
        <v>0.44879999999999998</v>
      </c>
      <c r="S130" s="56"/>
      <c r="T130" s="56">
        <v>0.43140000000000001</v>
      </c>
      <c r="U130" s="56"/>
      <c r="V130" s="56"/>
      <c r="W130" s="56"/>
      <c r="X130" s="56">
        <v>0.44879999999999998</v>
      </c>
      <c r="Y130" s="56"/>
      <c r="Z130" s="56"/>
      <c r="AA130" s="56"/>
      <c r="AB130" s="56"/>
      <c r="AC130" s="29"/>
      <c r="AD130" s="350"/>
      <c r="AE130" s="29"/>
      <c r="AF130" s="29"/>
      <c r="AG130" s="29"/>
      <c r="AH130" s="29"/>
      <c r="AI130" s="29"/>
      <c r="AJ130" s="29"/>
      <c r="AK130" s="29"/>
    </row>
    <row r="131" spans="1:256" x14ac:dyDescent="0.2">
      <c r="A131" s="24" t="s">
        <v>239</v>
      </c>
      <c r="B131" s="56">
        <v>0.48499999999999999</v>
      </c>
      <c r="C131" s="56"/>
      <c r="D131" s="56">
        <v>0.4667</v>
      </c>
      <c r="E131" s="56">
        <v>0.48499999999999999</v>
      </c>
      <c r="F131" s="56">
        <v>0.49430000000000002</v>
      </c>
      <c r="G131" s="56">
        <v>0.49430000000000002</v>
      </c>
      <c r="H131" s="56"/>
      <c r="I131" s="56"/>
      <c r="J131" s="56"/>
      <c r="K131" s="56">
        <v>0.52310000000000001</v>
      </c>
      <c r="L131" s="56"/>
      <c r="M131" s="56"/>
      <c r="N131" s="56">
        <v>0.4667</v>
      </c>
      <c r="O131" s="56">
        <v>0.48499999999999999</v>
      </c>
      <c r="P131" s="56">
        <v>0.49430000000000002</v>
      </c>
      <c r="Q131" s="56">
        <v>0.50380000000000003</v>
      </c>
      <c r="R131" s="56">
        <v>0.44879999999999998</v>
      </c>
      <c r="S131" s="56"/>
      <c r="T131" s="56">
        <v>0.43140000000000001</v>
      </c>
      <c r="U131" s="56"/>
      <c r="V131" s="56"/>
      <c r="W131" s="56"/>
      <c r="X131" s="56">
        <v>0.44879999999999998</v>
      </c>
      <c r="Y131" s="56"/>
      <c r="Z131" s="56"/>
      <c r="AA131" s="56"/>
      <c r="AB131" s="56"/>
      <c r="AC131" s="29"/>
      <c r="AD131" s="350"/>
      <c r="AE131" s="29"/>
      <c r="AF131" s="29"/>
      <c r="AG131" s="29"/>
      <c r="AH131" s="29"/>
      <c r="AI131" s="29"/>
      <c r="AJ131" s="29"/>
      <c r="AK131" s="29"/>
    </row>
    <row r="132" spans="1:256" x14ac:dyDescent="0.2">
      <c r="A132" s="21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29"/>
      <c r="AD132" s="350"/>
      <c r="AE132" s="29"/>
      <c r="AF132" s="29"/>
      <c r="AG132" s="29"/>
      <c r="AH132" s="29"/>
      <c r="AI132" s="29"/>
      <c r="AJ132" s="29"/>
      <c r="AK132" s="29"/>
    </row>
    <row r="133" spans="1:256" x14ac:dyDescent="0.2">
      <c r="A133" s="349" t="s">
        <v>234</v>
      </c>
      <c r="B133" s="56">
        <v>0.48499999999999999</v>
      </c>
      <c r="C133" s="56"/>
      <c r="D133" s="56">
        <v>0.4667</v>
      </c>
      <c r="E133" s="56">
        <v>0.48499999999999999</v>
      </c>
      <c r="F133" s="56">
        <v>0.49430000000000002</v>
      </c>
      <c r="G133" s="56">
        <v>0.49430000000000002</v>
      </c>
      <c r="H133" s="56"/>
      <c r="I133" s="56"/>
      <c r="J133" s="56"/>
      <c r="K133" s="56">
        <v>0.52310000000000001</v>
      </c>
      <c r="L133" s="56"/>
      <c r="M133" s="56"/>
      <c r="N133" s="56">
        <v>0.4667</v>
      </c>
      <c r="O133" s="56">
        <v>0.48499999999999999</v>
      </c>
      <c r="P133" s="56">
        <v>0.49430000000000002</v>
      </c>
      <c r="Q133" s="56">
        <v>0.50380000000000003</v>
      </c>
      <c r="R133" s="56">
        <v>0.44879999999999998</v>
      </c>
      <c r="S133" s="56"/>
      <c r="T133" s="56">
        <v>0.43140000000000001</v>
      </c>
      <c r="U133" s="56"/>
      <c r="V133" s="56"/>
      <c r="W133" s="56"/>
      <c r="X133" s="56">
        <v>0.44879999999999998</v>
      </c>
      <c r="Y133" s="56"/>
      <c r="Z133" s="56"/>
      <c r="AA133" s="56"/>
      <c r="AB133" s="56"/>
      <c r="AC133" s="29"/>
      <c r="AD133" s="350"/>
      <c r="AE133" s="29"/>
      <c r="AF133" s="29"/>
      <c r="AG133" s="29"/>
      <c r="AH133" s="29"/>
      <c r="AI133" s="29"/>
      <c r="AJ133" s="29"/>
      <c r="AK133" s="29"/>
    </row>
    <row r="134" spans="1:256" x14ac:dyDescent="0.2">
      <c r="A134" s="349" t="s">
        <v>235</v>
      </c>
      <c r="B134" s="56">
        <v>0.48499999999999999</v>
      </c>
      <c r="C134" s="56"/>
      <c r="D134" s="56">
        <v>0.4667</v>
      </c>
      <c r="E134" s="56">
        <v>0.48499999999999999</v>
      </c>
      <c r="F134" s="56">
        <v>0.49430000000000002</v>
      </c>
      <c r="G134" s="56">
        <v>0.49430000000000002</v>
      </c>
      <c r="H134" s="56"/>
      <c r="I134" s="56"/>
      <c r="J134" s="56"/>
      <c r="K134" s="56">
        <v>0.52310000000000001</v>
      </c>
      <c r="L134" s="56"/>
      <c r="M134" s="56"/>
      <c r="N134" s="56">
        <v>0.4667</v>
      </c>
      <c r="O134" s="56">
        <v>0.48499999999999999</v>
      </c>
      <c r="P134" s="56">
        <v>0.49430000000000002</v>
      </c>
      <c r="Q134" s="56">
        <v>0.50380000000000003</v>
      </c>
      <c r="R134" s="56">
        <v>0.44879999999999998</v>
      </c>
      <c r="S134" s="56"/>
      <c r="T134" s="56">
        <v>0.43140000000000001</v>
      </c>
      <c r="U134" s="56"/>
      <c r="V134" s="56"/>
      <c r="W134" s="56"/>
      <c r="X134" s="56">
        <v>0.44879999999999998</v>
      </c>
      <c r="Y134" s="56"/>
      <c r="Z134" s="56"/>
      <c r="AA134" s="56"/>
      <c r="AB134" s="56"/>
      <c r="AC134" s="29"/>
      <c r="AD134" s="350"/>
      <c r="AE134" s="29"/>
      <c r="AF134" s="29"/>
      <c r="AG134" s="29"/>
      <c r="AH134" s="29"/>
      <c r="AI134" s="29"/>
      <c r="AJ134" s="29"/>
      <c r="AK134" s="29"/>
    </row>
    <row r="135" spans="1:256" x14ac:dyDescent="0.2">
      <c r="A135" s="349" t="s">
        <v>236</v>
      </c>
      <c r="B135" s="56">
        <v>0.48499999999999999</v>
      </c>
      <c r="C135" s="56"/>
      <c r="D135" s="56">
        <v>0.4667</v>
      </c>
      <c r="E135" s="56">
        <v>0.48499999999999999</v>
      </c>
      <c r="F135" s="56">
        <v>0.49430000000000002</v>
      </c>
      <c r="G135" s="56">
        <v>0.49430000000000002</v>
      </c>
      <c r="H135" s="56"/>
      <c r="I135" s="56"/>
      <c r="J135" s="56"/>
      <c r="K135" s="56">
        <v>0.52310000000000001</v>
      </c>
      <c r="L135" s="56"/>
      <c r="M135" s="56"/>
      <c r="N135" s="56">
        <v>0.4667</v>
      </c>
      <c r="O135" s="56">
        <v>0.48499999999999999</v>
      </c>
      <c r="P135" s="56">
        <v>0.49430000000000002</v>
      </c>
      <c r="Q135" s="56">
        <v>0.50380000000000003</v>
      </c>
      <c r="R135" s="56">
        <v>0.44879999999999998</v>
      </c>
      <c r="S135" s="56"/>
      <c r="T135" s="56">
        <v>0.43140000000000001</v>
      </c>
      <c r="U135" s="56"/>
      <c r="V135" s="56"/>
      <c r="W135" s="56"/>
      <c r="X135" s="56">
        <v>0.44879999999999998</v>
      </c>
      <c r="Y135" s="56"/>
      <c r="Z135" s="56"/>
      <c r="AA135" s="56"/>
      <c r="AB135" s="56"/>
      <c r="AC135" s="29"/>
      <c r="AD135" s="350"/>
      <c r="AE135" s="29"/>
      <c r="AF135" s="29"/>
      <c r="AG135" s="29"/>
      <c r="AH135" s="29"/>
      <c r="AI135" s="29"/>
      <c r="AJ135" s="29"/>
      <c r="AK135" s="29"/>
    </row>
    <row r="136" spans="1:256" x14ac:dyDescent="0.2">
      <c r="A136" s="349" t="s">
        <v>237</v>
      </c>
      <c r="B136" s="56">
        <v>0.48499999999999999</v>
      </c>
      <c r="C136" s="56"/>
      <c r="D136" s="56">
        <v>0.4667</v>
      </c>
      <c r="E136" s="56">
        <v>0.48499999999999999</v>
      </c>
      <c r="F136" s="56">
        <v>0.49430000000000002</v>
      </c>
      <c r="G136" s="56">
        <v>0.49430000000000002</v>
      </c>
      <c r="H136" s="56"/>
      <c r="I136" s="56"/>
      <c r="J136" s="56"/>
      <c r="K136" s="56">
        <v>0.52310000000000001</v>
      </c>
      <c r="L136" s="56"/>
      <c r="M136" s="56"/>
      <c r="N136" s="56">
        <v>0.4667</v>
      </c>
      <c r="O136" s="56">
        <v>0.48499999999999999</v>
      </c>
      <c r="P136" s="56">
        <v>0.49430000000000002</v>
      </c>
      <c r="Q136" s="56">
        <v>0.50380000000000003</v>
      </c>
      <c r="R136" s="56">
        <v>0.44879999999999998</v>
      </c>
      <c r="S136" s="56"/>
      <c r="T136" s="56">
        <v>0.43140000000000001</v>
      </c>
      <c r="U136" s="56"/>
      <c r="V136" s="56"/>
      <c r="W136" s="56"/>
      <c r="X136" s="56">
        <v>0.44879999999999998</v>
      </c>
      <c r="Y136" s="56"/>
      <c r="Z136" s="56"/>
      <c r="AA136" s="56"/>
      <c r="AB136" s="56"/>
      <c r="AC136" s="72"/>
      <c r="AD136" s="74"/>
      <c r="AE136" s="72"/>
      <c r="AF136" s="72"/>
    </row>
    <row r="137" spans="1:256" x14ac:dyDescent="0.2">
      <c r="A137" s="180"/>
      <c r="B137" s="26" t="s">
        <v>60</v>
      </c>
      <c r="C137" s="71" t="s">
        <v>36</v>
      </c>
      <c r="D137" s="71" t="s">
        <v>37</v>
      </c>
      <c r="E137" s="71" t="s">
        <v>70</v>
      </c>
      <c r="F137" s="71" t="s">
        <v>38</v>
      </c>
      <c r="G137" s="71" t="s">
        <v>39</v>
      </c>
      <c r="H137" s="71" t="s">
        <v>40</v>
      </c>
      <c r="I137" s="71" t="s">
        <v>41</v>
      </c>
      <c r="J137" s="71" t="s">
        <v>42</v>
      </c>
      <c r="K137" s="71" t="s">
        <v>43</v>
      </c>
      <c r="L137" s="71" t="s">
        <v>44</v>
      </c>
      <c r="M137" s="71" t="s">
        <v>45</v>
      </c>
      <c r="N137" s="71" t="s">
        <v>46</v>
      </c>
      <c r="O137" s="71" t="s">
        <v>47</v>
      </c>
      <c r="P137" s="71" t="s">
        <v>48</v>
      </c>
      <c r="Q137" s="71" t="s">
        <v>49</v>
      </c>
      <c r="R137" s="71" t="s">
        <v>50</v>
      </c>
      <c r="S137" s="71" t="s">
        <v>51</v>
      </c>
      <c r="T137" s="71" t="s">
        <v>52</v>
      </c>
      <c r="U137" s="71" t="s">
        <v>78</v>
      </c>
      <c r="V137" s="71" t="s">
        <v>53</v>
      </c>
      <c r="W137" s="71" t="s">
        <v>59</v>
      </c>
      <c r="X137" s="71" t="s">
        <v>54</v>
      </c>
      <c r="Y137" s="71" t="s">
        <v>55</v>
      </c>
      <c r="Z137" s="71" t="s">
        <v>56</v>
      </c>
      <c r="AA137" s="71" t="s">
        <v>57</v>
      </c>
      <c r="AB137" s="71" t="s">
        <v>58</v>
      </c>
      <c r="AC137" s="72"/>
      <c r="AD137" s="74"/>
      <c r="AE137" s="72"/>
      <c r="AF137" s="72"/>
    </row>
    <row r="138" spans="1:256" x14ac:dyDescent="0.2">
      <c r="A138" s="181"/>
      <c r="B138" s="75">
        <v>0.12</v>
      </c>
      <c r="C138" s="76">
        <v>0.12</v>
      </c>
      <c r="D138" s="76">
        <v>0.12</v>
      </c>
      <c r="E138" s="76">
        <v>0.12</v>
      </c>
      <c r="F138" s="76">
        <v>0.12</v>
      </c>
      <c r="G138" s="76">
        <v>0.12</v>
      </c>
      <c r="H138" s="76">
        <v>0.12</v>
      </c>
      <c r="I138" s="76">
        <v>0.12</v>
      </c>
      <c r="J138" s="76">
        <v>0.12</v>
      </c>
      <c r="K138" s="76">
        <v>0.12</v>
      </c>
      <c r="L138" s="76">
        <v>0.12</v>
      </c>
      <c r="M138" s="76">
        <v>0.12</v>
      </c>
      <c r="N138" s="76">
        <v>0.12</v>
      </c>
      <c r="O138" s="76">
        <v>0.18</v>
      </c>
      <c r="P138" s="76">
        <v>0.12</v>
      </c>
      <c r="Q138" s="76">
        <v>0.12</v>
      </c>
      <c r="R138" s="76">
        <v>0.12</v>
      </c>
      <c r="S138" s="76">
        <v>0.12</v>
      </c>
      <c r="T138" s="76">
        <v>0.12</v>
      </c>
      <c r="U138" s="76">
        <v>0.12</v>
      </c>
      <c r="V138" s="76">
        <v>0.12</v>
      </c>
      <c r="W138" s="76">
        <v>0.12</v>
      </c>
      <c r="X138" s="76">
        <v>0.12</v>
      </c>
      <c r="Y138" s="76">
        <v>0.12</v>
      </c>
      <c r="Z138" s="76">
        <v>0.12</v>
      </c>
      <c r="AA138" s="76">
        <v>0.12</v>
      </c>
      <c r="AB138" s="76">
        <v>0.12</v>
      </c>
      <c r="AC138" s="72"/>
      <c r="AD138" s="74"/>
      <c r="AE138" s="72"/>
      <c r="AF138" s="72"/>
      <c r="IV138" s="76">
        <v>0.17</v>
      </c>
    </row>
    <row r="139" spans="1:256" x14ac:dyDescent="0.2">
      <c r="A139" s="181"/>
      <c r="B139" s="75">
        <v>0.2</v>
      </c>
      <c r="C139" s="76">
        <v>0.19</v>
      </c>
      <c r="D139" s="76">
        <v>0.19</v>
      </c>
      <c r="E139" s="76">
        <v>0.2</v>
      </c>
      <c r="F139" s="76">
        <v>0.20499999999999999</v>
      </c>
      <c r="G139" s="76">
        <v>0.20499999999999999</v>
      </c>
      <c r="H139" s="76">
        <v>0.18</v>
      </c>
      <c r="I139" s="76">
        <v>0.17</v>
      </c>
      <c r="J139" s="76">
        <v>0.17</v>
      </c>
      <c r="K139" s="76">
        <v>0.22</v>
      </c>
      <c r="L139" s="76">
        <v>0.17</v>
      </c>
      <c r="M139" s="76">
        <v>0.17</v>
      </c>
      <c r="N139" s="76">
        <v>0.19</v>
      </c>
      <c r="O139" s="76">
        <v>0.2</v>
      </c>
      <c r="P139" s="76">
        <v>0.20499999999999999</v>
      </c>
      <c r="Q139" s="76">
        <v>0.21</v>
      </c>
      <c r="R139" s="76">
        <v>0.18</v>
      </c>
      <c r="S139" s="76">
        <v>0.18</v>
      </c>
      <c r="T139" s="76">
        <v>0.17</v>
      </c>
      <c r="U139" s="76">
        <v>0.17499999999999999</v>
      </c>
      <c r="V139" s="76">
        <v>0.17</v>
      </c>
      <c r="W139" s="76">
        <v>0.18</v>
      </c>
      <c r="X139" s="76">
        <v>0.18</v>
      </c>
      <c r="Y139" s="76">
        <v>0.18</v>
      </c>
      <c r="Z139" s="76">
        <v>0.18</v>
      </c>
      <c r="AA139" s="76">
        <v>0.18</v>
      </c>
      <c r="AB139" s="76">
        <v>0.2</v>
      </c>
      <c r="AC139" s="72"/>
      <c r="AD139" s="74"/>
      <c r="AE139" s="72"/>
      <c r="AF139" s="72"/>
    </row>
    <row r="140" spans="1:256" x14ac:dyDescent="0.2">
      <c r="A140" s="51"/>
      <c r="B140" s="75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2"/>
      <c r="AD140" s="74"/>
      <c r="AE140" s="72"/>
      <c r="AF140" s="72"/>
    </row>
    <row r="141" spans="1:256" x14ac:dyDescent="0.2">
      <c r="A141" s="51"/>
      <c r="B141" s="75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2"/>
      <c r="AD141" s="74"/>
      <c r="AE141" s="72"/>
      <c r="AF141" s="72"/>
    </row>
    <row r="142" spans="1:256" x14ac:dyDescent="0.2">
      <c r="A142" s="51"/>
      <c r="B142" s="75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2"/>
      <c r="AD142" s="74"/>
      <c r="AE142" s="72"/>
      <c r="AF142" s="72"/>
    </row>
    <row r="143" spans="1:256" x14ac:dyDescent="0.2"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72"/>
      <c r="AD143" s="74"/>
      <c r="AE143" s="72"/>
      <c r="AF143" s="72"/>
    </row>
    <row r="144" spans="1:256" x14ac:dyDescent="0.2"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72"/>
      <c r="AD144" s="72"/>
      <c r="AE144" s="72"/>
      <c r="AF144" s="72"/>
    </row>
    <row r="145" spans="2:32" x14ac:dyDescent="0.2"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72"/>
      <c r="AD145" s="72"/>
      <c r="AE145" s="72"/>
      <c r="AF145" s="72"/>
    </row>
    <row r="146" spans="2:32" x14ac:dyDescent="0.2"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72"/>
      <c r="AD146" s="72"/>
      <c r="AE146" s="72"/>
      <c r="AF146" s="72"/>
    </row>
    <row r="147" spans="2:32" x14ac:dyDescent="0.2"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72"/>
      <c r="AD147" s="72"/>
      <c r="AE147" s="72"/>
      <c r="AF147" s="72"/>
    </row>
    <row r="148" spans="2:32" x14ac:dyDescent="0.2"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72"/>
      <c r="AD148" s="72"/>
      <c r="AE148" s="72"/>
      <c r="AF148" s="72"/>
    </row>
    <row r="149" spans="2:32" x14ac:dyDescent="0.2"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72"/>
      <c r="AD149" s="72"/>
      <c r="AE149" s="72"/>
      <c r="AF149" s="72"/>
    </row>
    <row r="150" spans="2:32" x14ac:dyDescent="0.2"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72"/>
      <c r="AD150" s="72"/>
      <c r="AE150" s="72"/>
      <c r="AF150" s="72"/>
    </row>
    <row r="151" spans="2:32" x14ac:dyDescent="0.2"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72"/>
      <c r="AD151" s="72"/>
      <c r="AE151" s="72"/>
      <c r="AF151" s="72"/>
    </row>
    <row r="152" spans="2:32" x14ac:dyDescent="0.2"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72"/>
      <c r="AD152" s="72"/>
      <c r="AE152" s="72"/>
      <c r="AF152" s="72"/>
    </row>
    <row r="153" spans="2:32" x14ac:dyDescent="0.2"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72"/>
      <c r="AD153" s="72"/>
      <c r="AE153" s="72"/>
      <c r="AF153" s="72"/>
    </row>
    <row r="154" spans="2:32" x14ac:dyDescent="0.2"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72"/>
      <c r="AD154" s="72"/>
      <c r="AE154" s="72"/>
      <c r="AF154" s="72"/>
    </row>
    <row r="155" spans="2:32" x14ac:dyDescent="0.2"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72"/>
      <c r="AD155" s="72"/>
      <c r="AE155" s="72"/>
      <c r="AF155" s="72"/>
    </row>
    <row r="156" spans="2:32" x14ac:dyDescent="0.2"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72"/>
      <c r="AD156" s="72"/>
      <c r="AE156" s="72"/>
      <c r="AF156" s="72"/>
    </row>
    <row r="157" spans="2:32" x14ac:dyDescent="0.2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72"/>
      <c r="AD157" s="72"/>
      <c r="AE157" s="72"/>
      <c r="AF157" s="72"/>
    </row>
    <row r="158" spans="2:32" x14ac:dyDescent="0.2"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72"/>
      <c r="AD158" s="72"/>
      <c r="AE158" s="72"/>
      <c r="AF158" s="72"/>
    </row>
    <row r="159" spans="2:32" x14ac:dyDescent="0.2"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72"/>
      <c r="AD159" s="72"/>
      <c r="AE159" s="72"/>
      <c r="AF159" s="72"/>
    </row>
    <row r="160" spans="2:32" x14ac:dyDescent="0.2"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72"/>
      <c r="AD160" s="72"/>
      <c r="AE160" s="72"/>
      <c r="AF160" s="72"/>
    </row>
    <row r="161" spans="2:32" x14ac:dyDescent="0.2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72"/>
      <c r="AD161" s="72"/>
      <c r="AE161" s="72"/>
      <c r="AF161" s="72"/>
    </row>
    <row r="162" spans="2:32" x14ac:dyDescent="0.2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72"/>
      <c r="AD162" s="72"/>
      <c r="AE162" s="72"/>
      <c r="AF162" s="72"/>
    </row>
    <row r="163" spans="2:32" x14ac:dyDescent="0.2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72"/>
      <c r="AD163" s="72"/>
      <c r="AE163" s="72"/>
      <c r="AF163" s="72"/>
    </row>
    <row r="164" spans="2:32" x14ac:dyDescent="0.2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72"/>
      <c r="AD164" s="72"/>
      <c r="AE164" s="72"/>
      <c r="AF164" s="72"/>
    </row>
    <row r="165" spans="2:32" x14ac:dyDescent="0.2"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72"/>
      <c r="AD165" s="72"/>
      <c r="AE165" s="72"/>
      <c r="AF165" s="72"/>
    </row>
    <row r="166" spans="2:32" x14ac:dyDescent="0.2"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72"/>
      <c r="AD166" s="72"/>
      <c r="AE166" s="72"/>
      <c r="AF166" s="72"/>
    </row>
    <row r="167" spans="2:32" x14ac:dyDescent="0.2"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72"/>
      <c r="AD167" s="72"/>
      <c r="AE167" s="72"/>
      <c r="AF167" s="72"/>
    </row>
    <row r="168" spans="2:32" x14ac:dyDescent="0.2"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72"/>
      <c r="AD168" s="72"/>
      <c r="AE168" s="72"/>
      <c r="AF168" s="72"/>
    </row>
    <row r="169" spans="2:32" x14ac:dyDescent="0.2"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72"/>
      <c r="AD169" s="72"/>
      <c r="AE169" s="72"/>
      <c r="AF169" s="72"/>
    </row>
    <row r="170" spans="2:32" x14ac:dyDescent="0.2"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72"/>
      <c r="AD170" s="72"/>
      <c r="AE170" s="72"/>
      <c r="AF170" s="72"/>
    </row>
    <row r="171" spans="2:32" x14ac:dyDescent="0.2"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72"/>
      <c r="AD171" s="72"/>
      <c r="AE171" s="72"/>
      <c r="AF171" s="72"/>
    </row>
    <row r="172" spans="2:32" x14ac:dyDescent="0.2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72"/>
      <c r="AD172" s="72"/>
      <c r="AE172" s="72"/>
      <c r="AF172" s="72"/>
    </row>
    <row r="173" spans="2:32" x14ac:dyDescent="0.2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72"/>
      <c r="AD173" s="72"/>
      <c r="AE173" s="72"/>
      <c r="AF173" s="72"/>
    </row>
    <row r="174" spans="2:32" x14ac:dyDescent="0.2"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72"/>
      <c r="AD174" s="72"/>
      <c r="AE174" s="72"/>
      <c r="AF174" s="72"/>
    </row>
    <row r="175" spans="2:32" x14ac:dyDescent="0.2"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72"/>
      <c r="AD175" s="72"/>
      <c r="AE175" s="72"/>
      <c r="AF175" s="72"/>
    </row>
    <row r="176" spans="2:32" x14ac:dyDescent="0.2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72"/>
      <c r="AD176" s="72"/>
      <c r="AE176" s="72"/>
      <c r="AF176" s="72"/>
    </row>
    <row r="177" spans="2:32" x14ac:dyDescent="0.2"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72"/>
      <c r="AD177" s="72"/>
      <c r="AE177" s="72"/>
      <c r="AF177" s="72"/>
    </row>
    <row r="178" spans="2:32" x14ac:dyDescent="0.2"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72"/>
      <c r="AD178" s="72"/>
      <c r="AE178" s="72"/>
      <c r="AF178" s="72"/>
    </row>
    <row r="179" spans="2:32" x14ac:dyDescent="0.2"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72"/>
      <c r="AD179" s="72"/>
      <c r="AE179" s="72"/>
      <c r="AF179" s="72"/>
    </row>
  </sheetData>
  <phoneticPr fontId="0" type="noConversion"/>
  <conditionalFormatting sqref="C1:E8 B3 C143:E65546">
    <cfRule type="cellIs" dxfId="0" priority="1" stopIfTrue="1" operator="equal">
      <formula>0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Frete_Regiao-Impostos</vt:lpstr>
      <vt:lpstr>Sim_Preço</vt:lpstr>
      <vt:lpstr>Custo</vt:lpstr>
      <vt:lpstr>Peso</vt:lpstr>
      <vt:lpstr>MVA-grupos</vt:lpstr>
      <vt:lpstr>MVA-IPI</vt:lpstr>
      <vt:lpstr>Sim_Preço!Area_de_impressao</vt:lpstr>
    </vt:vector>
  </TitlesOfParts>
  <Company>Tintas Hidracor S/A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Tintas Hidracor S/A</dc:creator>
  <cp:lastModifiedBy>JOAO BATISTA DE OLIVEIRA</cp:lastModifiedBy>
  <cp:lastPrinted>2021-07-07T22:11:50Z</cp:lastPrinted>
  <dcterms:created xsi:type="dcterms:W3CDTF">2005-05-19T15:58:43Z</dcterms:created>
  <dcterms:modified xsi:type="dcterms:W3CDTF">2026-03-19T22:01:03Z</dcterms:modified>
</cp:coreProperties>
</file>