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itsuomatsui/Documents/GitHub/brazimil/analise economica/Brazimil_Analise_Economicas/"/>
    </mc:Choice>
  </mc:AlternateContent>
  <xr:revisionPtr revIDLastSave="0" documentId="8_{E42990CF-C9EF-E74A-9091-F045F0992BC1}" xr6:coauthVersionLast="47" xr6:coauthVersionMax="47" xr10:uidLastSave="{00000000-0000-0000-0000-000000000000}"/>
  <bookViews>
    <workbookView xWindow="0" yWindow="600" windowWidth="38400" windowHeight="19700" tabRatio="500" xr2:uid="{00000000-000D-0000-FFFF-FFFF00000000}"/>
  </bookViews>
  <sheets>
    <sheet name="Formação de Preço de Venda" sheetId="1" r:id="rId1"/>
    <sheet name="Grfico" sheetId="2" r:id="rId2"/>
    <sheet name="Tabela de Produtos" sheetId="3" r:id="rId3"/>
    <sheet name="Simulador Resultados" sheetId="4" r:id="rId4"/>
    <sheet name="Tabela Simplificada" sheetId="5" state="hidden" r:id="rId5"/>
    <sheet name="Ficha de Produção" sheetId="6" r:id="rId6"/>
    <sheet name="Ficha de Embalagens" sheetId="7" r:id="rId7"/>
    <sheet name="Custos Matéria Prima Embalagens" sheetId="8" r:id="rId8"/>
    <sheet name="Despesas Fixas" sheetId="9" r:id="rId9"/>
    <sheet name="Custos de Produção" sheetId="10" r:id="rId10"/>
    <sheet name="Salários" sheetId="11" r:id="rId11"/>
    <sheet name="Despesas Não Fabris" sheetId="12" r:id="rId12"/>
    <sheet name="Depreciações" sheetId="13" r:id="rId13"/>
    <sheet name="Ficha de Insumos" sheetId="14" r:id="rId14"/>
    <sheet name="De-Para" sheetId="15" r:id="rId15"/>
    <sheet name="Concorrência" sheetId="16" r:id="rId16"/>
    <sheet name="Análise CF Correto" sheetId="17" r:id="rId17"/>
  </sheets>
  <definedNames>
    <definedName name="_xlnm._FilterDatabase" localSheetId="14" hidden="1">'De-Para'!$A$1:$F$11</definedName>
    <definedName name="_xlnm._FilterDatabase" localSheetId="5" hidden="1">'Ficha de Produção'!$A$2:$S$920</definedName>
    <definedName name="_xlnm._FilterDatabase" localSheetId="0" hidden="1">'Formação de Preço de Venda'!$A$13:$BM$435</definedName>
    <definedName name="_xlnm._FilterDatabase" localSheetId="1" hidden="1">Grfico!$B$3:$C$3</definedName>
    <definedName name="_xlnm._FilterDatabase" localSheetId="2" hidden="1">'Tabela de Produtos'!$A$3:$W$425</definedName>
    <definedName name="solver_adj" localSheetId="0">'Formação de Preço de Venda'!$G$14</definedName>
    <definedName name="solver_cvg" localSheetId="0">0.0001</definedName>
    <definedName name="solver_drv" localSheetId="0">1</definedName>
    <definedName name="solver_eng" localSheetId="0">1</definedName>
    <definedName name="solver_est" localSheetId="0">1</definedName>
    <definedName name="solver_itr" localSheetId="0">2147483647</definedName>
    <definedName name="solver_mip" localSheetId="0">2147483647</definedName>
    <definedName name="solver_mni" localSheetId="0">30</definedName>
    <definedName name="solver_mrt" localSheetId="0">0.075</definedName>
    <definedName name="solver_msl" localSheetId="0">2</definedName>
    <definedName name="solver_neg" localSheetId="0">1</definedName>
    <definedName name="solver_nod" localSheetId="0">2147483647</definedName>
    <definedName name="solver_num" localSheetId="0">0</definedName>
    <definedName name="solver_nwt" localSheetId="0">1</definedName>
    <definedName name="solver_opt" localSheetId="0">'Formação de Preço de Venda'!$BH$14</definedName>
    <definedName name="solver_pre" localSheetId="0">0.000001</definedName>
    <definedName name="solver_rbv" localSheetId="0">1</definedName>
    <definedName name="solver_rlx" localSheetId="0">2</definedName>
    <definedName name="solver_rsd" localSheetId="0">0</definedName>
    <definedName name="solver_scl" localSheetId="0">1</definedName>
    <definedName name="solver_sho" localSheetId="0">2</definedName>
    <definedName name="solver_ssz" localSheetId="0">100</definedName>
    <definedName name="solver_tim" localSheetId="0">2147483647</definedName>
    <definedName name="solver_tol" localSheetId="0">0.01</definedName>
    <definedName name="solver_typ" localSheetId="0">3</definedName>
    <definedName name="solver_val" localSheetId="0">0.2</definedName>
    <definedName name="solver_ver" localSheetId="0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2" i="17" l="1"/>
  <c r="B162" i="17"/>
  <c r="A162" i="17"/>
  <c r="E161" i="17"/>
  <c r="B161" i="17"/>
  <c r="A161" i="17"/>
  <c r="E160" i="17"/>
  <c r="B160" i="17"/>
  <c r="A160" i="17"/>
  <c r="E159" i="17"/>
  <c r="B159" i="17"/>
  <c r="A159" i="17"/>
  <c r="E158" i="17"/>
  <c r="B158" i="17"/>
  <c r="A158" i="17"/>
  <c r="E157" i="17"/>
  <c r="B157" i="17"/>
  <c r="A157" i="17"/>
  <c r="E156" i="17"/>
  <c r="B156" i="17"/>
  <c r="A156" i="17"/>
  <c r="E155" i="17"/>
  <c r="B155" i="17"/>
  <c r="A155" i="17"/>
  <c r="E154" i="17"/>
  <c r="B154" i="17"/>
  <c r="A154" i="17"/>
  <c r="E153" i="17"/>
  <c r="B153" i="17"/>
  <c r="A153" i="17"/>
  <c r="E152" i="17"/>
  <c r="B152" i="17"/>
  <c r="A152" i="17"/>
  <c r="E151" i="17"/>
  <c r="B151" i="17"/>
  <c r="A151" i="17"/>
  <c r="E150" i="17"/>
  <c r="B150" i="17"/>
  <c r="A150" i="17"/>
  <c r="E149" i="17"/>
  <c r="B149" i="17"/>
  <c r="A149" i="17"/>
  <c r="E148" i="17"/>
  <c r="B148" i="17"/>
  <c r="A148" i="17"/>
  <c r="E147" i="17"/>
  <c r="B147" i="17"/>
  <c r="A147" i="17"/>
  <c r="E146" i="17"/>
  <c r="B146" i="17"/>
  <c r="A146" i="17"/>
  <c r="E145" i="17"/>
  <c r="B145" i="17"/>
  <c r="A145" i="17"/>
  <c r="E144" i="17"/>
  <c r="B144" i="17"/>
  <c r="A144" i="17"/>
  <c r="E143" i="17"/>
  <c r="B143" i="17"/>
  <c r="A143" i="17"/>
  <c r="E142" i="17"/>
  <c r="B142" i="17"/>
  <c r="A142" i="17"/>
  <c r="E141" i="17"/>
  <c r="B141" i="17"/>
  <c r="A141" i="17"/>
  <c r="E140" i="17"/>
  <c r="B140" i="17"/>
  <c r="A140" i="17"/>
  <c r="E139" i="17"/>
  <c r="B139" i="17"/>
  <c r="A139" i="17"/>
  <c r="E138" i="17"/>
  <c r="B138" i="17"/>
  <c r="A138" i="17"/>
  <c r="E137" i="17"/>
  <c r="B137" i="17"/>
  <c r="A137" i="17"/>
  <c r="E136" i="17"/>
  <c r="B136" i="17"/>
  <c r="A136" i="17"/>
  <c r="E135" i="17"/>
  <c r="B135" i="17"/>
  <c r="A135" i="17"/>
  <c r="E134" i="17"/>
  <c r="B134" i="17"/>
  <c r="A134" i="17"/>
  <c r="E133" i="17"/>
  <c r="B133" i="17"/>
  <c r="A133" i="17"/>
  <c r="E132" i="17"/>
  <c r="B132" i="17"/>
  <c r="A132" i="17"/>
  <c r="E131" i="17"/>
  <c r="B131" i="17"/>
  <c r="A131" i="17"/>
  <c r="E130" i="17"/>
  <c r="B130" i="17"/>
  <c r="A130" i="17"/>
  <c r="E129" i="17"/>
  <c r="B129" i="17"/>
  <c r="A129" i="17"/>
  <c r="E128" i="17"/>
  <c r="B128" i="17"/>
  <c r="A128" i="17"/>
  <c r="E127" i="17"/>
  <c r="B127" i="17"/>
  <c r="A127" i="17"/>
  <c r="E126" i="17"/>
  <c r="B126" i="17"/>
  <c r="A126" i="17"/>
  <c r="E125" i="17"/>
  <c r="B125" i="17"/>
  <c r="A125" i="17"/>
  <c r="E124" i="17"/>
  <c r="B124" i="17"/>
  <c r="A124" i="17"/>
  <c r="E123" i="17"/>
  <c r="B123" i="17"/>
  <c r="A123" i="17"/>
  <c r="E122" i="17"/>
  <c r="B122" i="17"/>
  <c r="A122" i="17"/>
  <c r="E121" i="17"/>
  <c r="B121" i="17"/>
  <c r="A121" i="17"/>
  <c r="E120" i="17"/>
  <c r="B120" i="17"/>
  <c r="A120" i="17"/>
  <c r="E119" i="17"/>
  <c r="B119" i="17"/>
  <c r="A119" i="17"/>
  <c r="E118" i="17"/>
  <c r="B118" i="17"/>
  <c r="A118" i="17"/>
  <c r="E117" i="17"/>
  <c r="B117" i="17"/>
  <c r="A117" i="17"/>
  <c r="E116" i="17"/>
  <c r="B116" i="17"/>
  <c r="A116" i="17"/>
  <c r="E115" i="17"/>
  <c r="B115" i="17"/>
  <c r="A115" i="17"/>
  <c r="E114" i="17"/>
  <c r="B114" i="17"/>
  <c r="A114" i="17"/>
  <c r="E113" i="17"/>
  <c r="B113" i="17"/>
  <c r="A113" i="17"/>
  <c r="E112" i="17"/>
  <c r="B112" i="17"/>
  <c r="A112" i="17"/>
  <c r="E111" i="17"/>
  <c r="B111" i="17"/>
  <c r="A111" i="17"/>
  <c r="E110" i="17"/>
  <c r="B110" i="17"/>
  <c r="A110" i="17"/>
  <c r="E109" i="17"/>
  <c r="B109" i="17"/>
  <c r="A109" i="17"/>
  <c r="E108" i="17"/>
  <c r="B108" i="17"/>
  <c r="A108" i="17"/>
  <c r="E107" i="17"/>
  <c r="B107" i="17"/>
  <c r="A107" i="17"/>
  <c r="E106" i="17"/>
  <c r="B106" i="17"/>
  <c r="A106" i="17"/>
  <c r="E105" i="17"/>
  <c r="B105" i="17"/>
  <c r="A105" i="17"/>
  <c r="E104" i="17"/>
  <c r="B104" i="17"/>
  <c r="A104" i="17"/>
  <c r="E103" i="17"/>
  <c r="B103" i="17"/>
  <c r="A103" i="17"/>
  <c r="E102" i="17"/>
  <c r="B102" i="17"/>
  <c r="A102" i="17"/>
  <c r="E101" i="17"/>
  <c r="B101" i="17"/>
  <c r="A101" i="17"/>
  <c r="E100" i="17"/>
  <c r="B100" i="17"/>
  <c r="A100" i="17"/>
  <c r="E99" i="17"/>
  <c r="B99" i="17"/>
  <c r="A99" i="17"/>
  <c r="E98" i="17"/>
  <c r="B98" i="17"/>
  <c r="A98" i="17"/>
  <c r="E97" i="17"/>
  <c r="B97" i="17"/>
  <c r="A97" i="17"/>
  <c r="E96" i="17"/>
  <c r="B96" i="17"/>
  <c r="A96" i="17"/>
  <c r="E95" i="17"/>
  <c r="B95" i="17"/>
  <c r="A95" i="17"/>
  <c r="E94" i="17"/>
  <c r="B94" i="17"/>
  <c r="A94" i="17"/>
  <c r="E93" i="17"/>
  <c r="B93" i="17"/>
  <c r="A93" i="17"/>
  <c r="E92" i="17"/>
  <c r="B92" i="17"/>
  <c r="A92" i="17"/>
  <c r="E91" i="17"/>
  <c r="B91" i="17"/>
  <c r="A91" i="17"/>
  <c r="E90" i="17"/>
  <c r="B90" i="17"/>
  <c r="A90" i="17"/>
  <c r="E89" i="17"/>
  <c r="B89" i="17"/>
  <c r="A89" i="17"/>
  <c r="E88" i="17"/>
  <c r="B88" i="17"/>
  <c r="A88" i="17"/>
  <c r="E87" i="17"/>
  <c r="B87" i="17"/>
  <c r="A87" i="17"/>
  <c r="E86" i="17"/>
  <c r="B86" i="17"/>
  <c r="A86" i="17"/>
  <c r="E85" i="17"/>
  <c r="B85" i="17"/>
  <c r="A85" i="17"/>
  <c r="E84" i="17"/>
  <c r="B84" i="17"/>
  <c r="A84" i="17"/>
  <c r="E83" i="17"/>
  <c r="B83" i="17"/>
  <c r="A83" i="17"/>
  <c r="E82" i="17"/>
  <c r="B82" i="17"/>
  <c r="A82" i="17"/>
  <c r="E81" i="17"/>
  <c r="B81" i="17"/>
  <c r="A81" i="17"/>
  <c r="E80" i="17"/>
  <c r="B80" i="17"/>
  <c r="A80" i="17"/>
  <c r="E79" i="17"/>
  <c r="B79" i="17"/>
  <c r="A79" i="17"/>
  <c r="E78" i="17"/>
  <c r="B78" i="17"/>
  <c r="A78" i="17"/>
  <c r="E77" i="17"/>
  <c r="B77" i="17"/>
  <c r="A77" i="17"/>
  <c r="E76" i="17"/>
  <c r="B76" i="17"/>
  <c r="A76" i="17"/>
  <c r="E75" i="17"/>
  <c r="B75" i="17"/>
  <c r="A75" i="17"/>
  <c r="E74" i="17"/>
  <c r="B74" i="17"/>
  <c r="A74" i="17"/>
  <c r="E73" i="17"/>
  <c r="B73" i="17"/>
  <c r="A73" i="17"/>
  <c r="E72" i="17"/>
  <c r="B72" i="17"/>
  <c r="A72" i="17"/>
  <c r="E71" i="17"/>
  <c r="B71" i="17"/>
  <c r="A71" i="17"/>
  <c r="E70" i="17"/>
  <c r="B70" i="17"/>
  <c r="A70" i="17"/>
  <c r="E69" i="17"/>
  <c r="B69" i="17"/>
  <c r="A69" i="17"/>
  <c r="E68" i="17"/>
  <c r="B68" i="17"/>
  <c r="A68" i="17"/>
  <c r="E67" i="17"/>
  <c r="B67" i="17"/>
  <c r="A67" i="17"/>
  <c r="E66" i="17"/>
  <c r="B66" i="17"/>
  <c r="A66" i="17"/>
  <c r="E65" i="17"/>
  <c r="B65" i="17"/>
  <c r="A65" i="17"/>
  <c r="E64" i="17"/>
  <c r="B64" i="17"/>
  <c r="A64" i="17"/>
  <c r="E63" i="17"/>
  <c r="B63" i="17"/>
  <c r="A63" i="17"/>
  <c r="E62" i="17"/>
  <c r="B62" i="17"/>
  <c r="A62" i="17"/>
  <c r="E61" i="17"/>
  <c r="B61" i="17"/>
  <c r="A61" i="17"/>
  <c r="E60" i="17"/>
  <c r="B60" i="17"/>
  <c r="A60" i="17"/>
  <c r="E59" i="17"/>
  <c r="B59" i="17"/>
  <c r="A59" i="17"/>
  <c r="E58" i="17"/>
  <c r="B58" i="17"/>
  <c r="A58" i="17"/>
  <c r="E57" i="17"/>
  <c r="B57" i="17"/>
  <c r="A57" i="17"/>
  <c r="E56" i="17"/>
  <c r="B56" i="17"/>
  <c r="A56" i="17"/>
  <c r="E55" i="17"/>
  <c r="B55" i="17"/>
  <c r="A55" i="17"/>
  <c r="E54" i="17"/>
  <c r="B54" i="17"/>
  <c r="A54" i="17"/>
  <c r="E53" i="17"/>
  <c r="B53" i="17"/>
  <c r="A53" i="17"/>
  <c r="E52" i="17"/>
  <c r="B52" i="17"/>
  <c r="A52" i="17"/>
  <c r="E51" i="17"/>
  <c r="B51" i="17"/>
  <c r="A51" i="17"/>
  <c r="E50" i="17"/>
  <c r="B50" i="17"/>
  <c r="A50" i="17"/>
  <c r="E49" i="17"/>
  <c r="B49" i="17"/>
  <c r="A49" i="17"/>
  <c r="E48" i="17"/>
  <c r="B48" i="17"/>
  <c r="A48" i="17"/>
  <c r="E47" i="17"/>
  <c r="B47" i="17"/>
  <c r="A47" i="17"/>
  <c r="E46" i="17"/>
  <c r="B46" i="17"/>
  <c r="A46" i="17"/>
  <c r="E45" i="17"/>
  <c r="B45" i="17"/>
  <c r="A45" i="17"/>
  <c r="E44" i="17"/>
  <c r="B44" i="17"/>
  <c r="A44" i="17"/>
  <c r="E43" i="17"/>
  <c r="B43" i="17"/>
  <c r="A43" i="17"/>
  <c r="E42" i="17"/>
  <c r="B42" i="17"/>
  <c r="A42" i="17"/>
  <c r="E41" i="17"/>
  <c r="B41" i="17"/>
  <c r="A41" i="17"/>
  <c r="E40" i="17"/>
  <c r="B40" i="17"/>
  <c r="A40" i="17"/>
  <c r="E39" i="17"/>
  <c r="B39" i="17"/>
  <c r="A39" i="17"/>
  <c r="E38" i="17"/>
  <c r="B38" i="17"/>
  <c r="A38" i="17"/>
  <c r="E37" i="17"/>
  <c r="B37" i="17"/>
  <c r="A37" i="17"/>
  <c r="E36" i="17"/>
  <c r="B36" i="17"/>
  <c r="A36" i="17"/>
  <c r="E35" i="17"/>
  <c r="B35" i="17"/>
  <c r="A35" i="17"/>
  <c r="E34" i="17"/>
  <c r="B34" i="17"/>
  <c r="A34" i="17"/>
  <c r="E33" i="17"/>
  <c r="B33" i="17"/>
  <c r="A33" i="17"/>
  <c r="E32" i="17"/>
  <c r="B32" i="17"/>
  <c r="A32" i="17"/>
  <c r="E31" i="17"/>
  <c r="B31" i="17"/>
  <c r="A31" i="17"/>
  <c r="E30" i="17"/>
  <c r="B30" i="17"/>
  <c r="A30" i="17"/>
  <c r="E29" i="17"/>
  <c r="B29" i="17"/>
  <c r="A29" i="17"/>
  <c r="E28" i="17"/>
  <c r="B28" i="17"/>
  <c r="A28" i="17"/>
  <c r="E27" i="17"/>
  <c r="B27" i="17"/>
  <c r="A27" i="17"/>
  <c r="E26" i="17"/>
  <c r="B26" i="17"/>
  <c r="A26" i="17"/>
  <c r="E25" i="17"/>
  <c r="B25" i="17"/>
  <c r="A25" i="17"/>
  <c r="E24" i="17"/>
  <c r="B24" i="17"/>
  <c r="A24" i="17"/>
  <c r="E23" i="17"/>
  <c r="B23" i="17"/>
  <c r="A23" i="17"/>
  <c r="E22" i="17"/>
  <c r="B22" i="17"/>
  <c r="A22" i="17"/>
  <c r="E21" i="17"/>
  <c r="B21" i="17"/>
  <c r="A21" i="17"/>
  <c r="E20" i="17"/>
  <c r="B20" i="17"/>
  <c r="A20" i="17"/>
  <c r="E19" i="17"/>
  <c r="B19" i="17"/>
  <c r="A19" i="17"/>
  <c r="E18" i="17"/>
  <c r="B18" i="17"/>
  <c r="A18" i="17"/>
  <c r="E17" i="17"/>
  <c r="B17" i="17"/>
  <c r="A17" i="17"/>
  <c r="E16" i="17"/>
  <c r="B16" i="17"/>
  <c r="A16" i="17"/>
  <c r="E15" i="17"/>
  <c r="B15" i="17"/>
  <c r="A15" i="17"/>
  <c r="E14" i="17"/>
  <c r="B14" i="17"/>
  <c r="A14" i="17"/>
  <c r="E13" i="17"/>
  <c r="B13" i="17"/>
  <c r="A13" i="17"/>
  <c r="E12" i="17"/>
  <c r="B12" i="17"/>
  <c r="A12" i="17"/>
  <c r="B4" i="17"/>
  <c r="H148" i="17" s="1"/>
  <c r="F1906" i="14"/>
  <c r="E1906" i="14"/>
  <c r="D1906" i="14"/>
  <c r="B1906" i="14"/>
  <c r="F1905" i="14"/>
  <c r="E1905" i="14"/>
  <c r="D1905" i="14"/>
  <c r="B1905" i="14"/>
  <c r="F1904" i="14"/>
  <c r="E1904" i="14"/>
  <c r="D1904" i="14"/>
  <c r="B1904" i="14"/>
  <c r="F1903" i="14"/>
  <c r="E1903" i="14"/>
  <c r="D1903" i="14"/>
  <c r="B1903" i="14"/>
  <c r="F1902" i="14"/>
  <c r="G1902" i="14" s="1"/>
  <c r="E1902" i="14"/>
  <c r="D1902" i="14"/>
  <c r="B1902" i="14"/>
  <c r="F1901" i="14"/>
  <c r="G1901" i="14" s="1"/>
  <c r="E1901" i="14"/>
  <c r="D1901" i="14"/>
  <c r="B1901" i="14"/>
  <c r="F1900" i="14"/>
  <c r="G1900" i="14" s="1"/>
  <c r="E1900" i="14"/>
  <c r="D1900" i="14"/>
  <c r="B1900" i="14"/>
  <c r="F1899" i="14"/>
  <c r="G1899" i="14" s="1"/>
  <c r="E1899" i="14"/>
  <c r="D1899" i="14"/>
  <c r="B1899" i="14"/>
  <c r="F1897" i="14"/>
  <c r="G1897" i="14" s="1"/>
  <c r="E1897" i="14"/>
  <c r="D1897" i="14"/>
  <c r="B1897" i="14"/>
  <c r="F1896" i="14"/>
  <c r="E1896" i="14"/>
  <c r="D1896" i="14"/>
  <c r="B1896" i="14"/>
  <c r="F1895" i="14"/>
  <c r="G1895" i="14" s="1"/>
  <c r="E1895" i="14"/>
  <c r="D1895" i="14"/>
  <c r="B1895" i="14"/>
  <c r="F1894" i="14"/>
  <c r="E1894" i="14"/>
  <c r="D1894" i="14"/>
  <c r="B1894" i="14"/>
  <c r="F1893" i="14"/>
  <c r="G1893" i="14" s="1"/>
  <c r="E1893" i="14"/>
  <c r="D1893" i="14"/>
  <c r="B1893" i="14"/>
  <c r="F1892" i="14"/>
  <c r="G1892" i="14" s="1"/>
  <c r="E1892" i="14"/>
  <c r="D1892" i="14"/>
  <c r="B1892" i="14"/>
  <c r="F1891" i="14"/>
  <c r="E1891" i="14"/>
  <c r="D1891" i="14"/>
  <c r="B1891" i="14"/>
  <c r="F1890" i="14"/>
  <c r="G1890" i="14" s="1"/>
  <c r="E1890" i="14"/>
  <c r="D1890" i="14"/>
  <c r="B1890" i="14"/>
  <c r="G1888" i="14"/>
  <c r="F1888" i="14"/>
  <c r="E1888" i="14"/>
  <c r="D1888" i="14"/>
  <c r="B1888" i="14"/>
  <c r="F1887" i="14"/>
  <c r="G1887" i="14" s="1"/>
  <c r="E1887" i="14"/>
  <c r="D1887" i="14"/>
  <c r="B1887" i="14"/>
  <c r="F1886" i="14"/>
  <c r="G1886" i="14" s="1"/>
  <c r="E1886" i="14"/>
  <c r="D1886" i="14"/>
  <c r="B1886" i="14"/>
  <c r="G1885" i="14"/>
  <c r="F1885" i="14"/>
  <c r="E1885" i="14"/>
  <c r="D1885" i="14"/>
  <c r="B1885" i="14"/>
  <c r="F1884" i="14"/>
  <c r="G1884" i="14" s="1"/>
  <c r="E1884" i="14"/>
  <c r="D1884" i="14"/>
  <c r="B1884" i="14"/>
  <c r="G1883" i="14"/>
  <c r="F1883" i="14"/>
  <c r="E1883" i="14"/>
  <c r="D1883" i="14"/>
  <c r="B1883" i="14"/>
  <c r="G1882" i="14"/>
  <c r="F1882" i="14"/>
  <c r="E1882" i="14"/>
  <c r="D1882" i="14"/>
  <c r="B1882" i="14"/>
  <c r="F1881" i="14"/>
  <c r="G1881" i="14" s="1"/>
  <c r="E1881" i="14"/>
  <c r="D1881" i="14"/>
  <c r="B1881" i="14"/>
  <c r="F1879" i="14"/>
  <c r="G1879" i="14" s="1"/>
  <c r="E1879" i="14"/>
  <c r="D1879" i="14"/>
  <c r="B1879" i="14"/>
  <c r="F1878" i="14"/>
  <c r="G1878" i="14" s="1"/>
  <c r="E1878" i="14"/>
  <c r="D1878" i="14"/>
  <c r="B1878" i="14"/>
  <c r="G1877" i="14"/>
  <c r="F1877" i="14"/>
  <c r="E1877" i="14"/>
  <c r="D1877" i="14"/>
  <c r="B1877" i="14"/>
  <c r="G1876" i="14"/>
  <c r="F1876" i="14"/>
  <c r="E1876" i="14"/>
  <c r="D1876" i="14"/>
  <c r="B1876" i="14"/>
  <c r="F1875" i="14"/>
  <c r="G1875" i="14" s="1"/>
  <c r="E1875" i="14"/>
  <c r="D1875" i="14"/>
  <c r="B1875" i="14"/>
  <c r="G1874" i="14"/>
  <c r="F1874" i="14"/>
  <c r="E1874" i="14"/>
  <c r="D1874" i="14"/>
  <c r="B1874" i="14"/>
  <c r="F1873" i="14"/>
  <c r="E1873" i="14"/>
  <c r="D1873" i="14"/>
  <c r="B1873" i="14"/>
  <c r="G1872" i="14"/>
  <c r="F1872" i="14"/>
  <c r="E1872" i="14"/>
  <c r="D1872" i="14"/>
  <c r="B1872" i="14"/>
  <c r="F1870" i="14"/>
  <c r="E1870" i="14"/>
  <c r="D1870" i="14"/>
  <c r="B1870" i="14"/>
  <c r="G1869" i="14"/>
  <c r="F1869" i="14"/>
  <c r="E1869" i="14"/>
  <c r="D1869" i="14"/>
  <c r="B1869" i="14"/>
  <c r="G1868" i="14"/>
  <c r="F1868" i="14"/>
  <c r="D1868" i="14"/>
  <c r="B1868" i="14"/>
  <c r="F1867" i="14"/>
  <c r="G1867" i="14" s="1"/>
  <c r="D1867" i="14"/>
  <c r="B1867" i="14"/>
  <c r="F1866" i="14"/>
  <c r="G1866" i="14" s="1"/>
  <c r="D1866" i="14"/>
  <c r="B1866" i="14"/>
  <c r="F1865" i="14"/>
  <c r="D1865" i="14"/>
  <c r="B1865" i="14"/>
  <c r="F1864" i="14"/>
  <c r="D1864" i="14"/>
  <c r="B1864" i="14"/>
  <c r="F1863" i="14"/>
  <c r="D1863" i="14"/>
  <c r="B1863" i="14"/>
  <c r="G1862" i="14"/>
  <c r="F1862" i="14"/>
  <c r="D1862" i="14"/>
  <c r="B1862" i="14"/>
  <c r="G1861" i="14"/>
  <c r="F1861" i="14"/>
  <c r="D1861" i="14"/>
  <c r="B1861" i="14"/>
  <c r="G1860" i="14"/>
  <c r="F1860" i="14"/>
  <c r="D1860" i="14"/>
  <c r="B1860" i="14"/>
  <c r="G1859" i="14"/>
  <c r="F1859" i="14"/>
  <c r="D1859" i="14"/>
  <c r="B1859" i="14"/>
  <c r="G1858" i="14"/>
  <c r="F1858" i="14"/>
  <c r="D1858" i="14"/>
  <c r="B1858" i="14"/>
  <c r="F1857" i="14"/>
  <c r="G1857" i="14" s="1"/>
  <c r="D1857" i="14"/>
  <c r="B1857" i="14"/>
  <c r="F1856" i="14"/>
  <c r="G1856" i="14" s="1"/>
  <c r="D1856" i="14"/>
  <c r="B1856" i="14"/>
  <c r="F1855" i="14"/>
  <c r="D1855" i="14"/>
  <c r="B1855" i="14"/>
  <c r="F1854" i="14"/>
  <c r="D1854" i="14"/>
  <c r="B1854" i="14"/>
  <c r="G1853" i="14"/>
  <c r="F1853" i="14"/>
  <c r="D1853" i="14"/>
  <c r="B1853" i="14"/>
  <c r="F1851" i="14"/>
  <c r="E1851" i="14"/>
  <c r="D1851" i="14"/>
  <c r="B1851" i="14"/>
  <c r="F1850" i="14"/>
  <c r="E1850" i="14"/>
  <c r="D1850" i="14"/>
  <c r="B1850" i="14"/>
  <c r="F1849" i="14"/>
  <c r="E1849" i="14"/>
  <c r="D1849" i="14"/>
  <c r="B1849" i="14"/>
  <c r="G1848" i="14"/>
  <c r="F1848" i="14"/>
  <c r="E1848" i="14"/>
  <c r="D1848" i="14"/>
  <c r="B1848" i="14"/>
  <c r="F1847" i="14"/>
  <c r="G1847" i="14" s="1"/>
  <c r="E1847" i="14"/>
  <c r="D1847" i="14"/>
  <c r="B1847" i="14"/>
  <c r="G1846" i="14"/>
  <c r="F1846" i="14"/>
  <c r="E1846" i="14"/>
  <c r="D1846" i="14"/>
  <c r="B1846" i="14"/>
  <c r="F1845" i="14"/>
  <c r="E1845" i="14"/>
  <c r="D1845" i="14"/>
  <c r="B1845" i="14"/>
  <c r="F1844" i="14"/>
  <c r="E1844" i="14"/>
  <c r="D1844" i="14"/>
  <c r="B1844" i="14"/>
  <c r="G1843" i="14"/>
  <c r="F1843" i="14"/>
  <c r="E1843" i="14"/>
  <c r="D1843" i="14"/>
  <c r="B1843" i="14"/>
  <c r="F1842" i="14"/>
  <c r="G1842" i="14" s="1"/>
  <c r="E1842" i="14"/>
  <c r="D1842" i="14"/>
  <c r="B1842" i="14"/>
  <c r="G1841" i="14"/>
  <c r="F1841" i="14"/>
  <c r="E1841" i="14"/>
  <c r="D1841" i="14"/>
  <c r="B1841" i="14"/>
  <c r="F1840" i="14"/>
  <c r="G1840" i="14" s="1"/>
  <c r="E1840" i="14"/>
  <c r="D1840" i="14"/>
  <c r="B1840" i="14"/>
  <c r="F1839" i="14"/>
  <c r="E1839" i="14"/>
  <c r="D1839" i="14"/>
  <c r="B1839" i="14"/>
  <c r="G1838" i="14"/>
  <c r="F1838" i="14"/>
  <c r="E1838" i="14"/>
  <c r="D1838" i="14"/>
  <c r="B1838" i="14"/>
  <c r="F1837" i="14"/>
  <c r="G1837" i="14" s="1"/>
  <c r="E1837" i="14"/>
  <c r="D1837" i="14"/>
  <c r="B1837" i="14"/>
  <c r="F1836" i="14"/>
  <c r="E1836" i="14"/>
  <c r="D1836" i="14"/>
  <c r="B1836" i="14"/>
  <c r="F1834" i="14"/>
  <c r="G1834" i="14" s="1"/>
  <c r="E1834" i="14"/>
  <c r="D1834" i="14"/>
  <c r="B1834" i="14"/>
  <c r="F1833" i="14"/>
  <c r="E1833" i="14"/>
  <c r="D1833" i="14"/>
  <c r="B1833" i="14"/>
  <c r="G1832" i="14"/>
  <c r="F1832" i="14"/>
  <c r="E1832" i="14"/>
  <c r="D1832" i="14"/>
  <c r="B1832" i="14"/>
  <c r="F1831" i="14"/>
  <c r="G1831" i="14" s="1"/>
  <c r="E1831" i="14"/>
  <c r="D1831" i="14"/>
  <c r="B1831" i="14"/>
  <c r="F1830" i="14"/>
  <c r="G1830" i="14" s="1"/>
  <c r="E1830" i="14"/>
  <c r="D1830" i="14"/>
  <c r="B1830" i="14"/>
  <c r="F1829" i="14"/>
  <c r="E1829" i="14"/>
  <c r="D1829" i="14"/>
  <c r="B1829" i="14"/>
  <c r="F1828" i="14"/>
  <c r="E1828" i="14"/>
  <c r="D1828" i="14"/>
  <c r="B1828" i="14"/>
  <c r="G1827" i="14"/>
  <c r="F1827" i="14"/>
  <c r="E1827" i="14"/>
  <c r="D1827" i="14"/>
  <c r="B1827" i="14"/>
  <c r="F1826" i="14"/>
  <c r="G1826" i="14" s="1"/>
  <c r="D1826" i="14"/>
  <c r="B1826" i="14"/>
  <c r="F1825" i="14"/>
  <c r="G1825" i="14" s="1"/>
  <c r="D1825" i="14"/>
  <c r="B1825" i="14"/>
  <c r="F1824" i="14"/>
  <c r="E1824" i="14"/>
  <c r="D1824" i="14"/>
  <c r="B1824" i="14"/>
  <c r="G1823" i="14"/>
  <c r="F1823" i="14"/>
  <c r="E1823" i="14"/>
  <c r="D1823" i="14"/>
  <c r="B1823" i="14"/>
  <c r="F1822" i="14"/>
  <c r="G1822" i="14" s="1"/>
  <c r="E1822" i="14"/>
  <c r="D1822" i="14"/>
  <c r="B1822" i="14"/>
  <c r="G1821" i="14"/>
  <c r="F1821" i="14"/>
  <c r="E1821" i="14"/>
  <c r="D1821" i="14"/>
  <c r="B1821" i="14"/>
  <c r="F1820" i="14"/>
  <c r="E1820" i="14"/>
  <c r="D1820" i="14"/>
  <c r="B1820" i="14"/>
  <c r="F1819" i="14"/>
  <c r="G1819" i="14" s="1"/>
  <c r="E1819" i="14"/>
  <c r="D1819" i="14"/>
  <c r="B1819" i="14"/>
  <c r="F1818" i="14"/>
  <c r="G1818" i="14" s="1"/>
  <c r="E1818" i="14"/>
  <c r="D1818" i="14"/>
  <c r="B1818" i="14"/>
  <c r="F1817" i="14"/>
  <c r="G1817" i="14" s="1"/>
  <c r="E1817" i="14"/>
  <c r="D1817" i="14"/>
  <c r="B1817" i="14"/>
  <c r="F1815" i="14"/>
  <c r="E1815" i="14"/>
  <c r="D1815" i="14"/>
  <c r="B1815" i="14"/>
  <c r="F1814" i="14"/>
  <c r="G1814" i="14" s="1"/>
  <c r="E1814" i="14"/>
  <c r="D1814" i="14"/>
  <c r="B1814" i="14"/>
  <c r="F1813" i="14"/>
  <c r="G1813" i="14" s="1"/>
  <c r="E1813" i="14"/>
  <c r="D1813" i="14"/>
  <c r="B1813" i="14"/>
  <c r="F1812" i="14"/>
  <c r="E1812" i="14"/>
  <c r="D1812" i="14"/>
  <c r="B1812" i="14"/>
  <c r="F1811" i="14"/>
  <c r="G1811" i="14" s="1"/>
  <c r="E1811" i="14"/>
  <c r="D1811" i="14"/>
  <c r="B1811" i="14"/>
  <c r="G1810" i="14"/>
  <c r="F1810" i="14"/>
  <c r="E1810" i="14"/>
  <c r="D1810" i="14"/>
  <c r="B1810" i="14"/>
  <c r="F1809" i="14"/>
  <c r="G1809" i="14" s="1"/>
  <c r="E1809" i="14"/>
  <c r="D1809" i="14"/>
  <c r="B1809" i="14"/>
  <c r="F1808" i="14"/>
  <c r="G1808" i="14" s="1"/>
  <c r="E1808" i="14"/>
  <c r="D1808" i="14"/>
  <c r="B1808" i="14"/>
  <c r="F1807" i="14"/>
  <c r="G1807" i="14" s="1"/>
  <c r="E1807" i="14"/>
  <c r="D1807" i="14"/>
  <c r="B1807" i="14"/>
  <c r="F1806" i="14"/>
  <c r="G1806" i="14" s="1"/>
  <c r="E1806" i="14"/>
  <c r="D1806" i="14"/>
  <c r="B1806" i="14"/>
  <c r="G1805" i="14"/>
  <c r="F1805" i="14"/>
  <c r="E1805" i="14"/>
  <c r="D1805" i="14"/>
  <c r="B1805" i="14"/>
  <c r="F1804" i="14"/>
  <c r="E1804" i="14"/>
  <c r="D1804" i="14"/>
  <c r="B1804" i="14"/>
  <c r="F1803" i="14"/>
  <c r="G1803" i="14" s="1"/>
  <c r="E1803" i="14"/>
  <c r="D1803" i="14"/>
  <c r="B1803" i="14"/>
  <c r="F1802" i="14"/>
  <c r="G1802" i="14" s="1"/>
  <c r="E1802" i="14"/>
  <c r="D1802" i="14"/>
  <c r="B1802" i="14"/>
  <c r="F1801" i="14"/>
  <c r="G1801" i="14" s="1"/>
  <c r="E1801" i="14"/>
  <c r="D1801" i="14"/>
  <c r="B1801" i="14"/>
  <c r="G1800" i="14"/>
  <c r="F1800" i="14"/>
  <c r="E1800" i="14"/>
  <c r="D1800" i="14"/>
  <c r="B1800" i="14"/>
  <c r="F1798" i="14"/>
  <c r="G1798" i="14" s="1"/>
  <c r="E1798" i="14"/>
  <c r="D1798" i="14"/>
  <c r="B1798" i="14"/>
  <c r="F1797" i="14"/>
  <c r="G1797" i="14" s="1"/>
  <c r="E1797" i="14"/>
  <c r="D1797" i="14"/>
  <c r="B1797" i="14"/>
  <c r="F1796" i="14"/>
  <c r="E1796" i="14"/>
  <c r="D1796" i="14"/>
  <c r="B1796" i="14"/>
  <c r="F1795" i="14"/>
  <c r="G1795" i="14" s="1"/>
  <c r="E1795" i="14"/>
  <c r="D1795" i="14"/>
  <c r="B1795" i="14"/>
  <c r="G1794" i="14"/>
  <c r="F1794" i="14"/>
  <c r="E1794" i="14"/>
  <c r="D1794" i="14"/>
  <c r="B1794" i="14"/>
  <c r="F1793" i="14"/>
  <c r="E1793" i="14"/>
  <c r="D1793" i="14"/>
  <c r="B1793" i="14"/>
  <c r="F1792" i="14"/>
  <c r="G1792" i="14" s="1"/>
  <c r="E1792" i="14"/>
  <c r="D1792" i="14"/>
  <c r="B1792" i="14"/>
  <c r="F1791" i="14"/>
  <c r="G1791" i="14" s="1"/>
  <c r="E1791" i="14"/>
  <c r="D1791" i="14"/>
  <c r="B1791" i="14"/>
  <c r="F1790" i="14"/>
  <c r="G1790" i="14" s="1"/>
  <c r="E1790" i="14"/>
  <c r="D1790" i="14"/>
  <c r="B1790" i="14"/>
  <c r="F1789" i="14"/>
  <c r="E1789" i="14"/>
  <c r="D1789" i="14"/>
  <c r="B1789" i="14"/>
  <c r="F1788" i="14"/>
  <c r="G1788" i="14" s="1"/>
  <c r="E1788" i="14"/>
  <c r="D1788" i="14"/>
  <c r="B1788" i="14"/>
  <c r="F1787" i="14"/>
  <c r="G1787" i="14" s="1"/>
  <c r="E1787" i="14"/>
  <c r="D1787" i="14"/>
  <c r="B1787" i="14"/>
  <c r="F1786" i="14"/>
  <c r="E1786" i="14"/>
  <c r="D1786" i="14"/>
  <c r="B1786" i="14"/>
  <c r="F1785" i="14"/>
  <c r="G1785" i="14" s="1"/>
  <c r="E1785" i="14"/>
  <c r="D1785" i="14"/>
  <c r="B1785" i="14"/>
  <c r="G1784" i="14"/>
  <c r="F1784" i="14"/>
  <c r="E1784" i="14"/>
  <c r="D1784" i="14"/>
  <c r="B1784" i="14"/>
  <c r="F1783" i="14"/>
  <c r="G1783" i="14" s="1"/>
  <c r="E1783" i="14"/>
  <c r="D1783" i="14"/>
  <c r="B1783" i="14"/>
  <c r="F1781" i="14"/>
  <c r="G1781" i="14" s="1"/>
  <c r="E1781" i="14"/>
  <c r="D1781" i="14"/>
  <c r="B1781" i="14"/>
  <c r="F1780" i="14"/>
  <c r="G1780" i="14" s="1"/>
  <c r="E1780" i="14"/>
  <c r="D1780" i="14"/>
  <c r="B1780" i="14"/>
  <c r="F1779" i="14"/>
  <c r="G1779" i="14" s="1"/>
  <c r="E1779" i="14"/>
  <c r="D1779" i="14"/>
  <c r="B1779" i="14"/>
  <c r="G1778" i="14"/>
  <c r="F1778" i="14"/>
  <c r="E1778" i="14"/>
  <c r="D1778" i="14"/>
  <c r="B1778" i="14"/>
  <c r="F1777" i="14"/>
  <c r="E1777" i="14"/>
  <c r="D1777" i="14"/>
  <c r="B1777" i="14"/>
  <c r="F1776" i="14"/>
  <c r="G1776" i="14" s="1"/>
  <c r="E1776" i="14"/>
  <c r="D1776" i="14"/>
  <c r="B1776" i="14"/>
  <c r="F1775" i="14"/>
  <c r="G1775" i="14" s="1"/>
  <c r="E1775" i="14"/>
  <c r="D1775" i="14"/>
  <c r="B1775" i="14"/>
  <c r="F1774" i="14"/>
  <c r="G1774" i="14" s="1"/>
  <c r="E1774" i="14"/>
  <c r="D1774" i="14"/>
  <c r="B1774" i="14"/>
  <c r="G1773" i="14"/>
  <c r="F1773" i="14"/>
  <c r="E1773" i="14"/>
  <c r="D1773" i="14"/>
  <c r="B1773" i="14"/>
  <c r="F1772" i="14"/>
  <c r="G1772" i="14" s="1"/>
  <c r="E1772" i="14"/>
  <c r="D1772" i="14"/>
  <c r="B1772" i="14"/>
  <c r="F1771" i="14"/>
  <c r="G1771" i="14" s="1"/>
  <c r="E1771" i="14"/>
  <c r="D1771" i="14"/>
  <c r="B1771" i="14"/>
  <c r="F1770" i="14"/>
  <c r="E1770" i="14"/>
  <c r="D1770" i="14"/>
  <c r="B1770" i="14"/>
  <c r="F1769" i="14"/>
  <c r="G1769" i="14" s="1"/>
  <c r="E1769" i="14"/>
  <c r="D1769" i="14"/>
  <c r="B1769" i="14"/>
  <c r="G1768" i="14"/>
  <c r="F1768" i="14"/>
  <c r="E1768" i="14"/>
  <c r="D1768" i="14"/>
  <c r="B1768" i="14"/>
  <c r="F1767" i="14"/>
  <c r="E1767" i="14"/>
  <c r="D1767" i="14"/>
  <c r="B1767" i="14"/>
  <c r="F1766" i="14"/>
  <c r="G1766" i="14" s="1"/>
  <c r="E1766" i="14"/>
  <c r="D1766" i="14"/>
  <c r="B1766" i="14"/>
  <c r="F1764" i="14"/>
  <c r="G1764" i="14" s="1"/>
  <c r="E1764" i="14"/>
  <c r="D1764" i="14"/>
  <c r="B1764" i="14"/>
  <c r="F1763" i="14"/>
  <c r="G1763" i="14" s="1"/>
  <c r="E1763" i="14"/>
  <c r="D1763" i="14"/>
  <c r="B1763" i="14"/>
  <c r="F1762" i="14"/>
  <c r="E1762" i="14"/>
  <c r="D1762" i="14"/>
  <c r="B1762" i="14"/>
  <c r="F1761" i="14"/>
  <c r="G1761" i="14" s="1"/>
  <c r="E1761" i="14"/>
  <c r="D1761" i="14"/>
  <c r="B1761" i="14"/>
  <c r="F1760" i="14"/>
  <c r="G1760" i="14" s="1"/>
  <c r="E1760" i="14"/>
  <c r="D1760" i="14"/>
  <c r="B1760" i="14"/>
  <c r="F1759" i="14"/>
  <c r="E1759" i="14"/>
  <c r="D1759" i="14"/>
  <c r="B1759" i="14"/>
  <c r="F1758" i="14"/>
  <c r="G1758" i="14" s="1"/>
  <c r="E1758" i="14"/>
  <c r="D1758" i="14"/>
  <c r="B1758" i="14"/>
  <c r="G1757" i="14"/>
  <c r="F1757" i="14"/>
  <c r="E1757" i="14"/>
  <c r="D1757" i="14"/>
  <c r="B1757" i="14"/>
  <c r="F1756" i="14"/>
  <c r="G1756" i="14" s="1"/>
  <c r="E1756" i="14"/>
  <c r="D1756" i="14"/>
  <c r="B1756" i="14"/>
  <c r="F1755" i="14"/>
  <c r="G1755" i="14" s="1"/>
  <c r="E1755" i="14"/>
  <c r="D1755" i="14"/>
  <c r="B1755" i="14"/>
  <c r="F1754" i="14"/>
  <c r="G1754" i="14" s="1"/>
  <c r="E1754" i="14"/>
  <c r="D1754" i="14"/>
  <c r="B1754" i="14"/>
  <c r="F1753" i="14"/>
  <c r="G1753" i="14" s="1"/>
  <c r="E1753" i="14"/>
  <c r="D1753" i="14"/>
  <c r="B1753" i="14"/>
  <c r="G1752" i="14"/>
  <c r="F1752" i="14"/>
  <c r="E1752" i="14"/>
  <c r="D1752" i="14"/>
  <c r="B1752" i="14"/>
  <c r="F1751" i="14"/>
  <c r="E1751" i="14"/>
  <c r="D1751" i="14"/>
  <c r="B1751" i="14"/>
  <c r="F1750" i="14"/>
  <c r="G1750" i="14" s="1"/>
  <c r="E1750" i="14"/>
  <c r="D1750" i="14"/>
  <c r="B1750" i="14"/>
  <c r="F1749" i="14"/>
  <c r="G1749" i="14" s="1"/>
  <c r="E1749" i="14"/>
  <c r="D1749" i="14"/>
  <c r="B1749" i="14"/>
  <c r="F1747" i="14"/>
  <c r="G1747" i="14" s="1"/>
  <c r="E1747" i="14"/>
  <c r="D1747" i="14"/>
  <c r="B1747" i="14"/>
  <c r="G1746" i="14"/>
  <c r="F1746" i="14"/>
  <c r="E1746" i="14"/>
  <c r="D1746" i="14"/>
  <c r="B1746" i="14"/>
  <c r="F1745" i="14"/>
  <c r="G1745" i="14" s="1"/>
  <c r="E1745" i="14"/>
  <c r="D1745" i="14"/>
  <c r="B1745" i="14"/>
  <c r="F1744" i="14"/>
  <c r="G1744" i="14" s="1"/>
  <c r="E1744" i="14"/>
  <c r="D1744" i="14"/>
  <c r="B1744" i="14"/>
  <c r="F1743" i="14"/>
  <c r="E1743" i="14"/>
  <c r="D1743" i="14"/>
  <c r="B1743" i="14"/>
  <c r="F1742" i="14"/>
  <c r="G1742" i="14" s="1"/>
  <c r="E1742" i="14"/>
  <c r="D1742" i="14"/>
  <c r="B1742" i="14"/>
  <c r="G1741" i="14"/>
  <c r="F1741" i="14"/>
  <c r="E1741" i="14"/>
  <c r="D1741" i="14"/>
  <c r="B1741" i="14"/>
  <c r="F1740" i="14"/>
  <c r="E1740" i="14"/>
  <c r="D1740" i="14"/>
  <c r="B1740" i="14"/>
  <c r="F1739" i="14"/>
  <c r="G1739" i="14" s="1"/>
  <c r="E1739" i="14"/>
  <c r="D1739" i="14"/>
  <c r="B1739" i="14"/>
  <c r="F1738" i="14"/>
  <c r="G1738" i="14" s="1"/>
  <c r="E1738" i="14"/>
  <c r="D1738" i="14"/>
  <c r="B1738" i="14"/>
  <c r="F1737" i="14"/>
  <c r="G1737" i="14" s="1"/>
  <c r="E1737" i="14"/>
  <c r="D1737" i="14"/>
  <c r="B1737" i="14"/>
  <c r="F1736" i="14"/>
  <c r="E1736" i="14"/>
  <c r="D1736" i="14"/>
  <c r="B1736" i="14"/>
  <c r="F1735" i="14"/>
  <c r="G1735" i="14" s="1"/>
  <c r="E1735" i="14"/>
  <c r="D1735" i="14"/>
  <c r="B1735" i="14"/>
  <c r="F1734" i="14"/>
  <c r="G1734" i="14" s="1"/>
  <c r="E1734" i="14"/>
  <c r="D1734" i="14"/>
  <c r="B1734" i="14"/>
  <c r="F1733" i="14"/>
  <c r="E1733" i="14"/>
  <c r="D1733" i="14"/>
  <c r="B1733" i="14"/>
  <c r="F1732" i="14"/>
  <c r="G1732" i="14" s="1"/>
  <c r="E1732" i="14"/>
  <c r="D1732" i="14"/>
  <c r="B1732" i="14"/>
  <c r="G1730" i="14"/>
  <c r="F1730" i="14"/>
  <c r="E1730" i="14"/>
  <c r="D1730" i="14"/>
  <c r="B1730" i="14"/>
  <c r="F1729" i="14"/>
  <c r="G1729" i="14" s="1"/>
  <c r="E1729" i="14"/>
  <c r="D1729" i="14"/>
  <c r="B1729" i="14"/>
  <c r="F1728" i="14"/>
  <c r="G1728" i="14" s="1"/>
  <c r="E1728" i="14"/>
  <c r="D1728" i="14"/>
  <c r="B1728" i="14"/>
  <c r="F1727" i="14"/>
  <c r="G1727" i="14" s="1"/>
  <c r="E1727" i="14"/>
  <c r="D1727" i="14"/>
  <c r="B1727" i="14"/>
  <c r="F1726" i="14"/>
  <c r="G1726" i="14" s="1"/>
  <c r="E1726" i="14"/>
  <c r="D1726" i="14"/>
  <c r="B1726" i="14"/>
  <c r="G1725" i="14"/>
  <c r="F1725" i="14"/>
  <c r="E1725" i="14"/>
  <c r="D1725" i="14"/>
  <c r="B1725" i="14"/>
  <c r="F1724" i="14"/>
  <c r="E1724" i="14"/>
  <c r="D1724" i="14"/>
  <c r="B1724" i="14"/>
  <c r="F1723" i="14"/>
  <c r="G1723" i="14" s="1"/>
  <c r="E1723" i="14"/>
  <c r="D1723" i="14"/>
  <c r="B1723" i="14"/>
  <c r="F1722" i="14"/>
  <c r="G1722" i="14" s="1"/>
  <c r="E1722" i="14"/>
  <c r="D1722" i="14"/>
  <c r="B1722" i="14"/>
  <c r="F1721" i="14"/>
  <c r="E1721" i="14"/>
  <c r="D1721" i="14"/>
  <c r="B1721" i="14"/>
  <c r="G1720" i="14"/>
  <c r="F1720" i="14"/>
  <c r="E1720" i="14"/>
  <c r="D1720" i="14"/>
  <c r="B1720" i="14"/>
  <c r="F1719" i="14"/>
  <c r="E1719" i="14"/>
  <c r="D1719" i="14"/>
  <c r="B1719" i="14"/>
  <c r="F1718" i="14"/>
  <c r="G1718" i="14" s="1"/>
  <c r="E1718" i="14"/>
  <c r="D1718" i="14"/>
  <c r="B1718" i="14"/>
  <c r="F1717" i="14"/>
  <c r="E1717" i="14"/>
  <c r="D1717" i="14"/>
  <c r="B1717" i="14"/>
  <c r="F1716" i="14"/>
  <c r="G1716" i="14" s="1"/>
  <c r="E1716" i="14"/>
  <c r="D1716" i="14"/>
  <c r="B1716" i="14"/>
  <c r="G1715" i="14"/>
  <c r="F1715" i="14"/>
  <c r="E1715" i="14"/>
  <c r="D1715" i="14"/>
  <c r="B1715" i="14"/>
  <c r="F1713" i="14"/>
  <c r="E1713" i="14"/>
  <c r="D1713" i="14"/>
  <c r="B1713" i="14"/>
  <c r="F1712" i="14"/>
  <c r="G1712" i="14" s="1"/>
  <c r="E1712" i="14"/>
  <c r="D1712" i="14"/>
  <c r="B1712" i="14"/>
  <c r="F1711" i="14"/>
  <c r="E1711" i="14"/>
  <c r="D1711" i="14"/>
  <c r="B1711" i="14"/>
  <c r="F1710" i="14"/>
  <c r="G1710" i="14" s="1"/>
  <c r="E1710" i="14"/>
  <c r="D1710" i="14"/>
  <c r="B1710" i="14"/>
  <c r="F1709" i="14"/>
  <c r="E1709" i="14"/>
  <c r="D1709" i="14"/>
  <c r="B1709" i="14"/>
  <c r="F1708" i="14"/>
  <c r="G1708" i="14" s="1"/>
  <c r="E1708" i="14"/>
  <c r="D1708" i="14"/>
  <c r="B1708" i="14"/>
  <c r="F1707" i="14"/>
  <c r="G1707" i="14" s="1"/>
  <c r="E1707" i="14"/>
  <c r="D1707" i="14"/>
  <c r="B1707" i="14"/>
  <c r="G1706" i="14"/>
  <c r="F1706" i="14"/>
  <c r="E1706" i="14"/>
  <c r="D1706" i="14"/>
  <c r="B1706" i="14"/>
  <c r="F1705" i="14"/>
  <c r="G1705" i="14" s="1"/>
  <c r="E1705" i="14"/>
  <c r="D1705" i="14"/>
  <c r="B1705" i="14"/>
  <c r="G1704" i="14"/>
  <c r="F1704" i="14"/>
  <c r="E1704" i="14"/>
  <c r="D1704" i="14"/>
  <c r="B1704" i="14"/>
  <c r="F1703" i="14"/>
  <c r="G1703" i="14" s="1"/>
  <c r="E1703" i="14"/>
  <c r="D1703" i="14"/>
  <c r="B1703" i="14"/>
  <c r="F1702" i="14"/>
  <c r="E1702" i="14"/>
  <c r="D1702" i="14"/>
  <c r="B1702" i="14"/>
  <c r="F1701" i="14"/>
  <c r="G1701" i="14" s="1"/>
  <c r="E1701" i="14"/>
  <c r="D1701" i="14"/>
  <c r="B1701" i="14"/>
  <c r="F1700" i="14"/>
  <c r="G1700" i="14" s="1"/>
  <c r="E1700" i="14"/>
  <c r="D1700" i="14"/>
  <c r="B1700" i="14"/>
  <c r="G1699" i="14"/>
  <c r="F1699" i="14"/>
  <c r="E1699" i="14"/>
  <c r="D1699" i="14"/>
  <c r="B1699" i="14"/>
  <c r="F1698" i="14"/>
  <c r="E1698" i="14"/>
  <c r="D1698" i="14"/>
  <c r="B1698" i="14"/>
  <c r="F1696" i="14"/>
  <c r="G1696" i="14" s="1"/>
  <c r="E1696" i="14"/>
  <c r="D1696" i="14"/>
  <c r="B1696" i="14"/>
  <c r="F1695" i="14"/>
  <c r="G1695" i="14" s="1"/>
  <c r="E1695" i="14"/>
  <c r="D1695" i="14"/>
  <c r="B1695" i="14"/>
  <c r="F1694" i="14"/>
  <c r="G1694" i="14" s="1"/>
  <c r="E1694" i="14"/>
  <c r="D1694" i="14"/>
  <c r="B1694" i="14"/>
  <c r="G1693" i="14"/>
  <c r="F1693" i="14"/>
  <c r="E1693" i="14"/>
  <c r="D1693" i="14"/>
  <c r="B1693" i="14"/>
  <c r="F1692" i="14"/>
  <c r="G1692" i="14" s="1"/>
  <c r="E1692" i="14"/>
  <c r="D1692" i="14"/>
  <c r="B1692" i="14"/>
  <c r="F1691" i="14"/>
  <c r="G1691" i="14" s="1"/>
  <c r="E1691" i="14"/>
  <c r="D1691" i="14"/>
  <c r="B1691" i="14"/>
  <c r="G1690" i="14"/>
  <c r="F1690" i="14"/>
  <c r="E1690" i="14"/>
  <c r="D1690" i="14"/>
  <c r="B1690" i="14"/>
  <c r="G1689" i="14"/>
  <c r="F1689" i="14"/>
  <c r="E1689" i="14"/>
  <c r="D1689" i="14"/>
  <c r="B1689" i="14"/>
  <c r="G1688" i="14"/>
  <c r="F1688" i="14"/>
  <c r="E1688" i="14"/>
  <c r="D1688" i="14"/>
  <c r="B1688" i="14"/>
  <c r="F1687" i="14"/>
  <c r="G1687" i="14" s="1"/>
  <c r="E1687" i="14"/>
  <c r="D1687" i="14"/>
  <c r="B1687" i="14"/>
  <c r="F1686" i="14"/>
  <c r="G1686" i="14" s="1"/>
  <c r="E1686" i="14"/>
  <c r="D1686" i="14"/>
  <c r="B1686" i="14"/>
  <c r="G1685" i="14"/>
  <c r="F1685" i="14"/>
  <c r="E1685" i="14"/>
  <c r="D1685" i="14"/>
  <c r="B1685" i="14"/>
  <c r="G1684" i="14"/>
  <c r="F1684" i="14"/>
  <c r="E1684" i="14"/>
  <c r="D1684" i="14"/>
  <c r="B1684" i="14"/>
  <c r="F1683" i="14"/>
  <c r="E1683" i="14"/>
  <c r="D1683" i="14"/>
  <c r="B1683" i="14"/>
  <c r="G1682" i="14"/>
  <c r="F1682" i="14"/>
  <c r="E1682" i="14"/>
  <c r="D1682" i="14"/>
  <c r="B1682" i="14"/>
  <c r="F1681" i="14"/>
  <c r="E1681" i="14"/>
  <c r="D1681" i="14"/>
  <c r="B1681" i="14"/>
  <c r="G1679" i="14"/>
  <c r="F1679" i="14"/>
  <c r="E1679" i="14"/>
  <c r="D1679" i="14"/>
  <c r="B1679" i="14"/>
  <c r="G1678" i="14"/>
  <c r="F1678" i="14"/>
  <c r="E1678" i="14"/>
  <c r="D1678" i="14"/>
  <c r="B1678" i="14"/>
  <c r="F1677" i="14"/>
  <c r="E1677" i="14"/>
  <c r="D1677" i="14"/>
  <c r="B1677" i="14"/>
  <c r="G1676" i="14"/>
  <c r="F1676" i="14"/>
  <c r="E1676" i="14"/>
  <c r="D1676" i="14"/>
  <c r="B1676" i="14"/>
  <c r="F1675" i="14"/>
  <c r="E1675" i="14"/>
  <c r="D1675" i="14"/>
  <c r="B1675" i="14"/>
  <c r="G1674" i="14"/>
  <c r="F1674" i="14"/>
  <c r="E1674" i="14"/>
  <c r="D1674" i="14"/>
  <c r="B1674" i="14"/>
  <c r="G1673" i="14"/>
  <c r="F1673" i="14"/>
  <c r="E1673" i="14"/>
  <c r="D1673" i="14"/>
  <c r="B1673" i="14"/>
  <c r="G1672" i="14"/>
  <c r="F1672" i="14"/>
  <c r="E1672" i="14"/>
  <c r="D1672" i="14"/>
  <c r="B1672" i="14"/>
  <c r="G1671" i="14"/>
  <c r="F1671" i="14"/>
  <c r="E1671" i="14"/>
  <c r="D1671" i="14"/>
  <c r="B1671" i="14"/>
  <c r="G1670" i="14"/>
  <c r="F1670" i="14"/>
  <c r="E1670" i="14"/>
  <c r="D1670" i="14"/>
  <c r="B1670" i="14"/>
  <c r="G1669" i="14"/>
  <c r="F1669" i="14"/>
  <c r="E1669" i="14"/>
  <c r="D1669" i="14"/>
  <c r="B1669" i="14"/>
  <c r="G1668" i="14"/>
  <c r="F1668" i="14"/>
  <c r="E1668" i="14"/>
  <c r="D1668" i="14"/>
  <c r="B1668" i="14"/>
  <c r="F1667" i="14"/>
  <c r="E1667" i="14"/>
  <c r="D1667" i="14"/>
  <c r="B1667" i="14"/>
  <c r="G1666" i="14"/>
  <c r="F1666" i="14"/>
  <c r="E1666" i="14"/>
  <c r="D1666" i="14"/>
  <c r="B1666" i="14"/>
  <c r="G1665" i="14"/>
  <c r="F1665" i="14"/>
  <c r="E1665" i="14"/>
  <c r="D1665" i="14"/>
  <c r="B1665" i="14"/>
  <c r="G1664" i="14"/>
  <c r="F1664" i="14"/>
  <c r="E1664" i="14"/>
  <c r="D1664" i="14"/>
  <c r="B1664" i="14"/>
  <c r="G1662" i="14"/>
  <c r="F1662" i="14"/>
  <c r="E1662" i="14"/>
  <c r="D1662" i="14"/>
  <c r="B1662" i="14"/>
  <c r="F1661" i="14"/>
  <c r="E1661" i="14"/>
  <c r="D1661" i="14"/>
  <c r="B1661" i="14"/>
  <c r="G1660" i="14"/>
  <c r="F1660" i="14"/>
  <c r="E1660" i="14"/>
  <c r="D1660" i="14"/>
  <c r="B1660" i="14"/>
  <c r="G1659" i="14"/>
  <c r="F1659" i="14"/>
  <c r="E1659" i="14"/>
  <c r="D1659" i="14"/>
  <c r="B1659" i="14"/>
  <c r="G1658" i="14"/>
  <c r="F1658" i="14"/>
  <c r="E1658" i="14"/>
  <c r="D1658" i="14"/>
  <c r="B1658" i="14"/>
  <c r="G1657" i="14"/>
  <c r="F1657" i="14"/>
  <c r="E1657" i="14"/>
  <c r="D1657" i="14"/>
  <c r="B1657" i="14"/>
  <c r="G1656" i="14"/>
  <c r="F1656" i="14"/>
  <c r="E1656" i="14"/>
  <c r="D1656" i="14"/>
  <c r="B1656" i="14"/>
  <c r="F1655" i="14"/>
  <c r="E1655" i="14"/>
  <c r="D1655" i="14"/>
  <c r="B1655" i="14"/>
  <c r="F1654" i="14"/>
  <c r="E1654" i="14"/>
  <c r="D1654" i="14"/>
  <c r="B1654" i="14"/>
  <c r="G1653" i="14"/>
  <c r="F1653" i="14"/>
  <c r="E1653" i="14"/>
  <c r="D1653" i="14"/>
  <c r="B1653" i="14"/>
  <c r="G1652" i="14"/>
  <c r="F1652" i="14"/>
  <c r="E1652" i="14"/>
  <c r="D1652" i="14"/>
  <c r="B1652" i="14"/>
  <c r="F1651" i="14"/>
  <c r="G1651" i="14" s="1"/>
  <c r="E1651" i="14"/>
  <c r="D1651" i="14"/>
  <c r="B1651" i="14"/>
  <c r="F1650" i="14"/>
  <c r="E1650" i="14"/>
  <c r="D1650" i="14"/>
  <c r="B1650" i="14"/>
  <c r="F1649" i="14"/>
  <c r="E1649" i="14"/>
  <c r="D1649" i="14"/>
  <c r="B1649" i="14"/>
  <c r="G1648" i="14"/>
  <c r="F1648" i="14"/>
  <c r="E1648" i="14"/>
  <c r="D1648" i="14"/>
  <c r="B1648" i="14"/>
  <c r="G1647" i="14"/>
  <c r="F1647" i="14"/>
  <c r="E1647" i="14"/>
  <c r="D1647" i="14"/>
  <c r="B1647" i="14"/>
  <c r="F1645" i="14"/>
  <c r="G1645" i="14" s="1"/>
  <c r="E1645" i="14"/>
  <c r="D1645" i="14"/>
  <c r="B1645" i="14"/>
  <c r="F1644" i="14"/>
  <c r="E1644" i="14"/>
  <c r="D1644" i="14"/>
  <c r="B1644" i="14"/>
  <c r="F1643" i="14"/>
  <c r="E1643" i="14"/>
  <c r="D1643" i="14"/>
  <c r="B1643" i="14"/>
  <c r="G1642" i="14"/>
  <c r="F1642" i="14"/>
  <c r="E1642" i="14"/>
  <c r="D1642" i="14"/>
  <c r="B1642" i="14"/>
  <c r="G1641" i="14"/>
  <c r="F1641" i="14"/>
  <c r="E1641" i="14"/>
  <c r="D1641" i="14"/>
  <c r="B1641" i="14"/>
  <c r="F1640" i="14"/>
  <c r="G1640" i="14" s="1"/>
  <c r="E1640" i="14"/>
  <c r="D1640" i="14"/>
  <c r="B1640" i="14"/>
  <c r="F1639" i="14"/>
  <c r="E1639" i="14"/>
  <c r="D1639" i="14"/>
  <c r="B1639" i="14"/>
  <c r="F1638" i="14"/>
  <c r="E1638" i="14"/>
  <c r="D1638" i="14"/>
  <c r="B1638" i="14"/>
  <c r="G1637" i="14"/>
  <c r="F1637" i="14"/>
  <c r="E1637" i="14"/>
  <c r="D1637" i="14"/>
  <c r="B1637" i="14"/>
  <c r="G1636" i="14"/>
  <c r="F1636" i="14"/>
  <c r="E1636" i="14"/>
  <c r="D1636" i="14"/>
  <c r="B1636" i="14"/>
  <c r="F1635" i="14"/>
  <c r="G1635" i="14" s="1"/>
  <c r="E1635" i="14"/>
  <c r="D1635" i="14"/>
  <c r="B1635" i="14"/>
  <c r="F1634" i="14"/>
  <c r="G1634" i="14" s="1"/>
  <c r="E1634" i="14"/>
  <c r="D1634" i="14"/>
  <c r="B1634" i="14"/>
  <c r="F1633" i="14"/>
  <c r="E1633" i="14"/>
  <c r="D1633" i="14"/>
  <c r="B1633" i="14"/>
  <c r="G1632" i="14"/>
  <c r="F1632" i="14"/>
  <c r="E1632" i="14"/>
  <c r="D1632" i="14"/>
  <c r="B1632" i="14"/>
  <c r="G1631" i="14"/>
  <c r="F1631" i="14"/>
  <c r="E1631" i="14"/>
  <c r="D1631" i="14"/>
  <c r="B1631" i="14"/>
  <c r="F1630" i="14"/>
  <c r="G1630" i="14" s="1"/>
  <c r="E1630" i="14"/>
  <c r="D1630" i="14"/>
  <c r="B1630" i="14"/>
  <c r="G1628" i="14"/>
  <c r="F1628" i="14"/>
  <c r="E1628" i="14"/>
  <c r="D1628" i="14"/>
  <c r="B1628" i="14"/>
  <c r="F1627" i="14"/>
  <c r="G1627" i="14" s="1"/>
  <c r="E1627" i="14"/>
  <c r="D1627" i="14"/>
  <c r="B1627" i="14"/>
  <c r="G1626" i="14"/>
  <c r="F1626" i="14"/>
  <c r="E1626" i="14"/>
  <c r="D1626" i="14"/>
  <c r="B1626" i="14"/>
  <c r="G1625" i="14"/>
  <c r="F1625" i="14"/>
  <c r="E1625" i="14"/>
  <c r="D1625" i="14"/>
  <c r="B1625" i="14"/>
  <c r="G1624" i="14"/>
  <c r="F1624" i="14"/>
  <c r="E1624" i="14"/>
  <c r="D1624" i="14"/>
  <c r="B1624" i="14"/>
  <c r="G1623" i="14"/>
  <c r="F1623" i="14"/>
  <c r="E1623" i="14"/>
  <c r="D1623" i="14"/>
  <c r="B1623" i="14"/>
  <c r="F1622" i="14"/>
  <c r="E1622" i="14"/>
  <c r="D1622" i="14"/>
  <c r="B1622" i="14"/>
  <c r="F1621" i="14"/>
  <c r="G1621" i="14" s="1"/>
  <c r="E1621" i="14"/>
  <c r="D1621" i="14"/>
  <c r="B1621" i="14"/>
  <c r="F1620" i="14"/>
  <c r="E1620" i="14"/>
  <c r="D1620" i="14"/>
  <c r="B1620" i="14"/>
  <c r="F1619" i="14"/>
  <c r="G1619" i="14" s="1"/>
  <c r="E1619" i="14"/>
  <c r="D1619" i="14"/>
  <c r="B1619" i="14"/>
  <c r="G1618" i="14"/>
  <c r="F1618" i="14"/>
  <c r="E1618" i="14"/>
  <c r="D1618" i="14"/>
  <c r="B1618" i="14"/>
  <c r="F1617" i="14"/>
  <c r="E1617" i="14"/>
  <c r="D1617" i="14"/>
  <c r="B1617" i="14"/>
  <c r="F1615" i="14"/>
  <c r="G1615" i="14" s="1"/>
  <c r="E1615" i="14"/>
  <c r="D1615" i="14"/>
  <c r="B1615" i="14"/>
  <c r="F1614" i="14"/>
  <c r="E1614" i="14"/>
  <c r="D1614" i="14"/>
  <c r="B1614" i="14"/>
  <c r="F1613" i="14"/>
  <c r="E1613" i="14"/>
  <c r="D1613" i="14"/>
  <c r="B1613" i="14"/>
  <c r="F1612" i="14"/>
  <c r="E1612" i="14"/>
  <c r="D1612" i="14"/>
  <c r="B1612" i="14"/>
  <c r="G1611" i="14"/>
  <c r="F1611" i="14"/>
  <c r="E1611" i="14"/>
  <c r="D1611" i="14"/>
  <c r="B1611" i="14"/>
  <c r="F1610" i="14"/>
  <c r="G1610" i="14" s="1"/>
  <c r="E1610" i="14"/>
  <c r="D1610" i="14"/>
  <c r="B1610" i="14"/>
  <c r="G1609" i="14"/>
  <c r="F1609" i="14"/>
  <c r="E1609" i="14"/>
  <c r="D1609" i="14"/>
  <c r="B1609" i="14"/>
  <c r="F1608" i="14"/>
  <c r="E1608" i="14"/>
  <c r="D1608" i="14"/>
  <c r="B1608" i="14"/>
  <c r="G1607" i="14"/>
  <c r="F1607" i="14"/>
  <c r="E1607" i="14"/>
  <c r="D1607" i="14"/>
  <c r="B1607" i="14"/>
  <c r="F1606" i="14"/>
  <c r="E1606" i="14"/>
  <c r="D1606" i="14"/>
  <c r="B1606" i="14"/>
  <c r="F1605" i="14"/>
  <c r="G1605" i="14" s="1"/>
  <c r="E1605" i="14"/>
  <c r="D1605" i="14"/>
  <c r="B1605" i="14"/>
  <c r="F1604" i="14"/>
  <c r="G1604" i="14" s="1"/>
  <c r="E1604" i="14"/>
  <c r="D1604" i="14"/>
  <c r="B1604" i="14"/>
  <c r="F1602" i="14"/>
  <c r="E1602" i="14"/>
  <c r="D1602" i="14"/>
  <c r="B1602" i="14"/>
  <c r="F1601" i="14"/>
  <c r="G1601" i="14" s="1"/>
  <c r="E1601" i="14"/>
  <c r="D1601" i="14"/>
  <c r="B1601" i="14"/>
  <c r="G1600" i="14"/>
  <c r="F1600" i="14"/>
  <c r="E1600" i="14"/>
  <c r="D1600" i="14"/>
  <c r="B1600" i="14"/>
  <c r="F1599" i="14"/>
  <c r="G1599" i="14" s="1"/>
  <c r="E1599" i="14"/>
  <c r="D1599" i="14"/>
  <c r="B1599" i="14"/>
  <c r="F1598" i="14"/>
  <c r="E1598" i="14"/>
  <c r="D1598" i="14"/>
  <c r="B1598" i="14"/>
  <c r="G1597" i="14"/>
  <c r="F1597" i="14"/>
  <c r="E1597" i="14"/>
  <c r="D1597" i="14"/>
  <c r="B1597" i="14"/>
  <c r="F1596" i="14"/>
  <c r="E1596" i="14"/>
  <c r="D1596" i="14"/>
  <c r="B1596" i="14"/>
  <c r="G1595" i="14"/>
  <c r="F1595" i="14"/>
  <c r="E1595" i="14"/>
  <c r="D1595" i="14"/>
  <c r="B1595" i="14"/>
  <c r="F1594" i="14"/>
  <c r="G1594" i="14" s="1"/>
  <c r="E1594" i="14"/>
  <c r="D1594" i="14"/>
  <c r="B1594" i="14"/>
  <c r="G1593" i="14"/>
  <c r="F1593" i="14"/>
  <c r="E1593" i="14"/>
  <c r="D1593" i="14"/>
  <c r="B1593" i="14"/>
  <c r="F1592" i="14"/>
  <c r="E1592" i="14"/>
  <c r="D1592" i="14"/>
  <c r="B1592" i="14"/>
  <c r="F1591" i="14"/>
  <c r="G1591" i="14" s="1"/>
  <c r="E1591" i="14"/>
  <c r="D1591" i="14"/>
  <c r="B1591" i="14"/>
  <c r="F1589" i="14"/>
  <c r="G1589" i="14" s="1"/>
  <c r="E1589" i="14"/>
  <c r="D1589" i="14"/>
  <c r="B1589" i="14"/>
  <c r="F1588" i="14"/>
  <c r="G1588" i="14" s="1"/>
  <c r="E1588" i="14"/>
  <c r="D1588" i="14"/>
  <c r="B1588" i="14"/>
  <c r="F1587" i="14"/>
  <c r="E1587" i="14"/>
  <c r="D1587" i="14"/>
  <c r="B1587" i="14"/>
  <c r="F1586" i="14"/>
  <c r="G1586" i="14" s="1"/>
  <c r="E1586" i="14"/>
  <c r="D1586" i="14"/>
  <c r="B1586" i="14"/>
  <c r="F1585" i="14"/>
  <c r="E1585" i="14"/>
  <c r="D1585" i="14"/>
  <c r="B1585" i="14"/>
  <c r="G1584" i="14"/>
  <c r="F1584" i="14"/>
  <c r="E1584" i="14"/>
  <c r="D1584" i="14"/>
  <c r="B1584" i="14"/>
  <c r="F1583" i="14"/>
  <c r="G1583" i="14" s="1"/>
  <c r="E1583" i="14"/>
  <c r="D1583" i="14"/>
  <c r="B1583" i="14"/>
  <c r="F1582" i="14"/>
  <c r="G1582" i="14" s="1"/>
  <c r="E1582" i="14"/>
  <c r="D1582" i="14"/>
  <c r="B1582" i="14"/>
  <c r="F1581" i="14"/>
  <c r="G1581" i="14" s="1"/>
  <c r="E1581" i="14"/>
  <c r="D1581" i="14"/>
  <c r="B1581" i="14"/>
  <c r="G1580" i="14"/>
  <c r="F1580" i="14"/>
  <c r="E1580" i="14"/>
  <c r="D1580" i="14"/>
  <c r="B1580" i="14"/>
  <c r="F1579" i="14"/>
  <c r="E1579" i="14"/>
  <c r="D1579" i="14"/>
  <c r="B1579" i="14"/>
  <c r="F1578" i="14"/>
  <c r="G1578" i="14" s="1"/>
  <c r="E1578" i="14"/>
  <c r="D1578" i="14"/>
  <c r="B1578" i="14"/>
  <c r="F1576" i="14"/>
  <c r="E1576" i="14"/>
  <c r="D1576" i="14"/>
  <c r="B1576" i="14"/>
  <c r="F1575" i="14"/>
  <c r="E1575" i="14"/>
  <c r="D1575" i="14"/>
  <c r="B1575" i="14"/>
  <c r="G1574" i="14"/>
  <c r="F1574" i="14"/>
  <c r="E1574" i="14"/>
  <c r="D1574" i="14"/>
  <c r="B1574" i="14"/>
  <c r="G1573" i="14"/>
  <c r="F1573" i="14"/>
  <c r="E1573" i="14"/>
  <c r="D1573" i="14"/>
  <c r="B1573" i="14"/>
  <c r="F1572" i="14"/>
  <c r="G1572" i="14" s="1"/>
  <c r="E1572" i="14"/>
  <c r="D1572" i="14"/>
  <c r="B1572" i="14"/>
  <c r="G1571" i="14"/>
  <c r="F1571" i="14"/>
  <c r="E1571" i="14"/>
  <c r="D1571" i="14"/>
  <c r="B1571" i="14"/>
  <c r="F1570" i="14"/>
  <c r="E1570" i="14"/>
  <c r="D1570" i="14"/>
  <c r="B1570" i="14"/>
  <c r="F1569" i="14"/>
  <c r="E1569" i="14"/>
  <c r="D1569" i="14"/>
  <c r="B1569" i="14"/>
  <c r="F1568" i="14"/>
  <c r="G1568" i="14" s="1"/>
  <c r="E1568" i="14"/>
  <c r="D1568" i="14"/>
  <c r="B1568" i="14"/>
  <c r="F1567" i="14"/>
  <c r="E1567" i="14"/>
  <c r="D1567" i="14"/>
  <c r="B1567" i="14"/>
  <c r="G1566" i="14"/>
  <c r="F1566" i="14"/>
  <c r="E1566" i="14"/>
  <c r="D1566" i="14"/>
  <c r="B1566" i="14"/>
  <c r="G1565" i="14"/>
  <c r="F1565" i="14"/>
  <c r="E1565" i="14"/>
  <c r="D1565" i="14"/>
  <c r="B1565" i="14"/>
  <c r="F1563" i="14"/>
  <c r="E1563" i="14"/>
  <c r="D1563" i="14"/>
  <c r="B1563" i="14"/>
  <c r="F1562" i="14"/>
  <c r="G1562" i="14" s="1"/>
  <c r="E1562" i="14"/>
  <c r="D1562" i="14"/>
  <c r="B1562" i="14"/>
  <c r="G1561" i="14"/>
  <c r="F1561" i="14"/>
  <c r="E1561" i="14"/>
  <c r="D1561" i="14"/>
  <c r="B1561" i="14"/>
  <c r="G1560" i="14"/>
  <c r="F1560" i="14"/>
  <c r="E1560" i="14"/>
  <c r="D1560" i="14"/>
  <c r="B1560" i="14"/>
  <c r="G1559" i="14"/>
  <c r="F1559" i="14"/>
  <c r="E1559" i="14"/>
  <c r="D1559" i="14"/>
  <c r="B1559" i="14"/>
  <c r="F1558" i="14"/>
  <c r="E1558" i="14"/>
  <c r="D1558" i="14"/>
  <c r="B1558" i="14"/>
  <c r="F1557" i="14"/>
  <c r="G1557" i="14" s="1"/>
  <c r="E1557" i="14"/>
  <c r="D1557" i="14"/>
  <c r="B1557" i="14"/>
  <c r="F1556" i="14"/>
  <c r="E1556" i="14"/>
  <c r="D1556" i="14"/>
  <c r="B1556" i="14"/>
  <c r="F1555" i="14"/>
  <c r="G1555" i="14" s="1"/>
  <c r="E1555" i="14"/>
  <c r="D1555" i="14"/>
  <c r="B1555" i="14"/>
  <c r="F1554" i="14"/>
  <c r="E1554" i="14"/>
  <c r="D1554" i="14"/>
  <c r="B1554" i="14"/>
  <c r="F1553" i="14"/>
  <c r="G1553" i="14" s="1"/>
  <c r="E1553" i="14"/>
  <c r="D1553" i="14"/>
  <c r="B1553" i="14"/>
  <c r="F1552" i="14"/>
  <c r="G1552" i="14" s="1"/>
  <c r="E1552" i="14"/>
  <c r="D1552" i="14"/>
  <c r="B1552" i="14"/>
  <c r="F1550" i="14"/>
  <c r="E1550" i="14"/>
  <c r="D1550" i="14"/>
  <c r="B1550" i="14"/>
  <c r="F1549" i="14"/>
  <c r="G1549" i="14" s="1"/>
  <c r="E1549" i="14"/>
  <c r="D1549" i="14"/>
  <c r="B1549" i="14"/>
  <c r="G1548" i="14"/>
  <c r="F1548" i="14"/>
  <c r="E1548" i="14"/>
  <c r="D1548" i="14"/>
  <c r="B1548" i="14"/>
  <c r="F1547" i="14"/>
  <c r="G1547" i="14" s="1"/>
  <c r="E1547" i="14"/>
  <c r="D1547" i="14"/>
  <c r="B1547" i="14"/>
  <c r="F1546" i="14"/>
  <c r="G1546" i="14" s="1"/>
  <c r="E1546" i="14"/>
  <c r="D1546" i="14"/>
  <c r="B1546" i="14"/>
  <c r="F1545" i="14"/>
  <c r="G1545" i="14" s="1"/>
  <c r="E1545" i="14"/>
  <c r="D1545" i="14"/>
  <c r="B1545" i="14"/>
  <c r="F1544" i="14"/>
  <c r="E1544" i="14"/>
  <c r="D1544" i="14"/>
  <c r="B1544" i="14"/>
  <c r="G1543" i="14"/>
  <c r="F1543" i="14"/>
  <c r="E1543" i="14"/>
  <c r="D1543" i="14"/>
  <c r="B1543" i="14"/>
  <c r="F1542" i="14"/>
  <c r="G1542" i="14" s="1"/>
  <c r="E1542" i="14"/>
  <c r="D1542" i="14"/>
  <c r="B1542" i="14"/>
  <c r="F1541" i="14"/>
  <c r="G1541" i="14" s="1"/>
  <c r="E1541" i="14"/>
  <c r="D1541" i="14"/>
  <c r="B1541" i="14"/>
  <c r="F1540" i="14"/>
  <c r="G1540" i="14" s="1"/>
  <c r="E1540" i="14"/>
  <c r="D1540" i="14"/>
  <c r="B1540" i="14"/>
  <c r="F1539" i="14"/>
  <c r="E1539" i="14"/>
  <c r="D1539" i="14"/>
  <c r="B1539" i="14"/>
  <c r="G1537" i="14"/>
  <c r="F1537" i="14"/>
  <c r="E1537" i="14"/>
  <c r="D1537" i="14"/>
  <c r="B1537" i="14"/>
  <c r="F1536" i="14"/>
  <c r="G1536" i="14" s="1"/>
  <c r="E1536" i="14"/>
  <c r="D1536" i="14"/>
  <c r="B1536" i="14"/>
  <c r="F1535" i="14"/>
  <c r="E1535" i="14"/>
  <c r="D1535" i="14"/>
  <c r="B1535" i="14"/>
  <c r="F1534" i="14"/>
  <c r="G1534" i="14" s="1"/>
  <c r="E1534" i="14"/>
  <c r="D1534" i="14"/>
  <c r="B1534" i="14"/>
  <c r="F1533" i="14"/>
  <c r="G1533" i="14" s="1"/>
  <c r="E1533" i="14"/>
  <c r="D1533" i="14"/>
  <c r="B1533" i="14"/>
  <c r="F1532" i="14"/>
  <c r="E1532" i="14"/>
  <c r="D1532" i="14"/>
  <c r="B1532" i="14"/>
  <c r="F1531" i="14"/>
  <c r="G1531" i="14" s="1"/>
  <c r="E1531" i="14"/>
  <c r="D1531" i="14"/>
  <c r="B1531" i="14"/>
  <c r="F1530" i="14"/>
  <c r="G1530" i="14" s="1"/>
  <c r="E1530" i="14"/>
  <c r="D1530" i="14"/>
  <c r="B1530" i="14"/>
  <c r="F1529" i="14"/>
  <c r="E1529" i="14"/>
  <c r="D1529" i="14"/>
  <c r="B1529" i="14"/>
  <c r="F1528" i="14"/>
  <c r="G1528" i="14" s="1"/>
  <c r="E1528" i="14"/>
  <c r="D1528" i="14"/>
  <c r="B1528" i="14"/>
  <c r="G1527" i="14"/>
  <c r="F1527" i="14"/>
  <c r="E1527" i="14"/>
  <c r="D1527" i="14"/>
  <c r="B1527" i="14"/>
  <c r="F1526" i="14"/>
  <c r="G1526" i="14" s="1"/>
  <c r="E1526" i="14"/>
  <c r="D1526" i="14"/>
  <c r="B1526" i="14"/>
  <c r="F1524" i="14"/>
  <c r="G1524" i="14" s="1"/>
  <c r="E1524" i="14"/>
  <c r="D1524" i="14"/>
  <c r="B1524" i="14"/>
  <c r="F1523" i="14"/>
  <c r="E1523" i="14"/>
  <c r="D1523" i="14"/>
  <c r="B1523" i="14"/>
  <c r="F1522" i="14"/>
  <c r="G1522" i="14" s="1"/>
  <c r="E1522" i="14"/>
  <c r="D1522" i="14"/>
  <c r="B1522" i="14"/>
  <c r="G1521" i="14"/>
  <c r="F1521" i="14"/>
  <c r="E1521" i="14"/>
  <c r="D1521" i="14"/>
  <c r="B1521" i="14"/>
  <c r="F1520" i="14"/>
  <c r="G1520" i="14" s="1"/>
  <c r="E1520" i="14"/>
  <c r="D1520" i="14"/>
  <c r="B1520" i="14"/>
  <c r="F1519" i="14"/>
  <c r="G1519" i="14" s="1"/>
  <c r="E1519" i="14"/>
  <c r="D1519" i="14"/>
  <c r="B1519" i="14"/>
  <c r="F1518" i="14"/>
  <c r="G1518" i="14" s="1"/>
  <c r="E1518" i="14"/>
  <c r="D1518" i="14"/>
  <c r="B1518" i="14"/>
  <c r="F1517" i="14"/>
  <c r="E1517" i="14"/>
  <c r="D1517" i="14"/>
  <c r="B1517" i="14"/>
  <c r="G1516" i="14"/>
  <c r="F1516" i="14"/>
  <c r="E1516" i="14"/>
  <c r="D1516" i="14"/>
  <c r="B1516" i="14"/>
  <c r="F1515" i="14"/>
  <c r="G1515" i="14" s="1"/>
  <c r="E1515" i="14"/>
  <c r="D1515" i="14"/>
  <c r="B1515" i="14"/>
  <c r="F1514" i="14"/>
  <c r="E1514" i="14"/>
  <c r="D1514" i="14"/>
  <c r="B1514" i="14"/>
  <c r="F1513" i="14"/>
  <c r="G1513" i="14" s="1"/>
  <c r="E1513" i="14"/>
  <c r="D1513" i="14"/>
  <c r="B1513" i="14"/>
  <c r="F1511" i="14"/>
  <c r="E1511" i="14"/>
  <c r="D1511" i="14"/>
  <c r="B1511" i="14"/>
  <c r="G1510" i="14"/>
  <c r="F1510" i="14"/>
  <c r="E1510" i="14"/>
  <c r="D1510" i="14"/>
  <c r="B1510" i="14"/>
  <c r="F1509" i="14"/>
  <c r="G1509" i="14" s="1"/>
  <c r="E1509" i="14"/>
  <c r="D1509" i="14"/>
  <c r="B1509" i="14"/>
  <c r="F1508" i="14"/>
  <c r="E1508" i="14"/>
  <c r="D1508" i="14"/>
  <c r="B1508" i="14"/>
  <c r="F1507" i="14"/>
  <c r="G1507" i="14" s="1"/>
  <c r="E1507" i="14"/>
  <c r="D1507" i="14"/>
  <c r="B1507" i="14"/>
  <c r="F1506" i="14"/>
  <c r="G1506" i="14" s="1"/>
  <c r="E1506" i="14"/>
  <c r="D1506" i="14"/>
  <c r="B1506" i="14"/>
  <c r="G1505" i="14"/>
  <c r="F1505" i="14"/>
  <c r="E1505" i="14"/>
  <c r="D1505" i="14"/>
  <c r="B1505" i="14"/>
  <c r="F1504" i="14"/>
  <c r="G1504" i="14" s="1"/>
  <c r="E1504" i="14"/>
  <c r="D1504" i="14"/>
  <c r="B1504" i="14"/>
  <c r="F1503" i="14"/>
  <c r="E1503" i="14"/>
  <c r="D1503" i="14"/>
  <c r="B1503" i="14"/>
  <c r="F1502" i="14"/>
  <c r="E1502" i="14"/>
  <c r="D1502" i="14"/>
  <c r="B1502" i="14"/>
  <c r="F1501" i="14"/>
  <c r="G1501" i="14" s="1"/>
  <c r="E1501" i="14"/>
  <c r="D1501" i="14"/>
  <c r="B1501" i="14"/>
  <c r="G1500" i="14"/>
  <c r="F1500" i="14"/>
  <c r="E1500" i="14"/>
  <c r="D1500" i="14"/>
  <c r="B1500" i="14"/>
  <c r="F1498" i="14"/>
  <c r="G1498" i="14" s="1"/>
  <c r="E1498" i="14"/>
  <c r="D1498" i="14"/>
  <c r="B1498" i="14"/>
  <c r="F1497" i="14"/>
  <c r="E1497" i="14"/>
  <c r="D1497" i="14"/>
  <c r="B1497" i="14"/>
  <c r="F1496" i="14"/>
  <c r="E1496" i="14"/>
  <c r="D1496" i="14"/>
  <c r="B1496" i="14"/>
  <c r="F1495" i="14"/>
  <c r="G1495" i="14" s="1"/>
  <c r="E1495" i="14"/>
  <c r="D1495" i="14"/>
  <c r="B1495" i="14"/>
  <c r="G1494" i="14"/>
  <c r="F1494" i="14"/>
  <c r="E1494" i="14"/>
  <c r="D1494" i="14"/>
  <c r="B1494" i="14"/>
  <c r="F1493" i="14"/>
  <c r="G1493" i="14" s="1"/>
  <c r="E1493" i="14"/>
  <c r="D1493" i="14"/>
  <c r="B1493" i="14"/>
  <c r="F1492" i="14"/>
  <c r="G1492" i="14" s="1"/>
  <c r="E1492" i="14"/>
  <c r="D1492" i="14"/>
  <c r="B1492" i="14"/>
  <c r="F1491" i="14"/>
  <c r="G1491" i="14" s="1"/>
  <c r="E1491" i="14"/>
  <c r="D1491" i="14"/>
  <c r="B1491" i="14"/>
  <c r="F1490" i="14"/>
  <c r="E1490" i="14"/>
  <c r="D1490" i="14"/>
  <c r="B1490" i="14"/>
  <c r="G1489" i="14"/>
  <c r="F1489" i="14"/>
  <c r="E1489" i="14"/>
  <c r="D1489" i="14"/>
  <c r="B1489" i="14"/>
  <c r="F1488" i="14"/>
  <c r="G1488" i="14" s="1"/>
  <c r="E1488" i="14"/>
  <c r="D1488" i="14"/>
  <c r="B1488" i="14"/>
  <c r="F1487" i="14"/>
  <c r="G1487" i="14" s="1"/>
  <c r="E1487" i="14"/>
  <c r="D1487" i="14"/>
  <c r="B1487" i="14"/>
  <c r="F1485" i="14"/>
  <c r="E1485" i="14"/>
  <c r="D1485" i="14"/>
  <c r="B1485" i="14"/>
  <c r="F1484" i="14"/>
  <c r="E1484" i="14"/>
  <c r="D1484" i="14"/>
  <c r="B1484" i="14"/>
  <c r="G1483" i="14"/>
  <c r="F1483" i="14"/>
  <c r="E1483" i="14"/>
  <c r="D1483" i="14"/>
  <c r="B1483" i="14"/>
  <c r="F1482" i="14"/>
  <c r="G1482" i="14" s="1"/>
  <c r="E1482" i="14"/>
  <c r="D1482" i="14"/>
  <c r="B1482" i="14"/>
  <c r="F1481" i="14"/>
  <c r="E1481" i="14"/>
  <c r="D1481" i="14"/>
  <c r="B1481" i="14"/>
  <c r="F1480" i="14"/>
  <c r="G1480" i="14" s="1"/>
  <c r="E1480" i="14"/>
  <c r="D1480" i="14"/>
  <c r="B1480" i="14"/>
  <c r="F1479" i="14"/>
  <c r="G1479" i="14" s="1"/>
  <c r="E1479" i="14"/>
  <c r="D1479" i="14"/>
  <c r="B1479" i="14"/>
  <c r="G1478" i="14"/>
  <c r="F1478" i="14"/>
  <c r="E1478" i="14"/>
  <c r="D1478" i="14"/>
  <c r="B1478" i="14"/>
  <c r="F1477" i="14"/>
  <c r="G1477" i="14" s="1"/>
  <c r="E1477" i="14"/>
  <c r="D1477" i="14"/>
  <c r="B1477" i="14"/>
  <c r="F1476" i="14"/>
  <c r="E1476" i="14"/>
  <c r="D1476" i="14"/>
  <c r="B1476" i="14"/>
  <c r="G1475" i="14"/>
  <c r="F1475" i="14"/>
  <c r="E1475" i="14"/>
  <c r="D1475" i="14"/>
  <c r="B1475" i="14"/>
  <c r="F1474" i="14"/>
  <c r="G1474" i="14" s="1"/>
  <c r="E1474" i="14"/>
  <c r="D1474" i="14"/>
  <c r="B1474" i="14"/>
  <c r="G1472" i="14"/>
  <c r="F1472" i="14"/>
  <c r="E1472" i="14"/>
  <c r="D1472" i="14"/>
  <c r="B1472" i="14"/>
  <c r="F1471" i="14"/>
  <c r="G1471" i="14" s="1"/>
  <c r="E1471" i="14"/>
  <c r="D1471" i="14"/>
  <c r="B1471" i="14"/>
  <c r="F1470" i="14"/>
  <c r="G1470" i="14" s="1"/>
  <c r="E1470" i="14"/>
  <c r="D1470" i="14"/>
  <c r="B1470" i="14"/>
  <c r="F1469" i="14"/>
  <c r="E1469" i="14"/>
  <c r="D1469" i="14"/>
  <c r="B1469" i="14"/>
  <c r="F1468" i="14"/>
  <c r="G1468" i="14" s="1"/>
  <c r="E1468" i="14"/>
  <c r="D1468" i="14"/>
  <c r="B1468" i="14"/>
  <c r="G1467" i="14"/>
  <c r="F1467" i="14"/>
  <c r="E1467" i="14"/>
  <c r="D1467" i="14"/>
  <c r="B1467" i="14"/>
  <c r="F1466" i="14"/>
  <c r="G1466" i="14" s="1"/>
  <c r="E1466" i="14"/>
  <c r="D1466" i="14"/>
  <c r="B1466" i="14"/>
  <c r="F1465" i="14"/>
  <c r="G1465" i="14" s="1"/>
  <c r="E1465" i="14"/>
  <c r="D1465" i="14"/>
  <c r="B1465" i="14"/>
  <c r="F1464" i="14"/>
  <c r="G1464" i="14" s="1"/>
  <c r="E1464" i="14"/>
  <c r="D1464" i="14"/>
  <c r="B1464" i="14"/>
  <c r="F1463" i="14"/>
  <c r="E1463" i="14"/>
  <c r="D1463" i="14"/>
  <c r="B1463" i="14"/>
  <c r="G1462" i="14"/>
  <c r="F1462" i="14"/>
  <c r="E1462" i="14"/>
  <c r="D1462" i="14"/>
  <c r="B1462" i="14"/>
  <c r="F1461" i="14"/>
  <c r="G1461" i="14" s="1"/>
  <c r="E1461" i="14"/>
  <c r="D1461" i="14"/>
  <c r="B1461" i="14"/>
  <c r="F1459" i="14"/>
  <c r="G1459" i="14" s="1"/>
  <c r="E1459" i="14"/>
  <c r="D1459" i="14"/>
  <c r="B1459" i="14"/>
  <c r="G1458" i="14"/>
  <c r="F1458" i="14"/>
  <c r="E1458" i="14"/>
  <c r="D1458" i="14"/>
  <c r="B1458" i="14"/>
  <c r="F1457" i="14"/>
  <c r="E1457" i="14"/>
  <c r="D1457" i="14"/>
  <c r="B1457" i="14"/>
  <c r="G1456" i="14"/>
  <c r="F1456" i="14"/>
  <c r="E1456" i="14"/>
  <c r="D1456" i="14"/>
  <c r="B1456" i="14"/>
  <c r="F1455" i="14"/>
  <c r="E1455" i="14"/>
  <c r="D1455" i="14"/>
  <c r="B1455" i="14"/>
  <c r="F1454" i="14"/>
  <c r="E1454" i="14"/>
  <c r="D1454" i="14"/>
  <c r="B1454" i="14"/>
  <c r="F1453" i="14"/>
  <c r="G1453" i="14" s="1"/>
  <c r="E1453" i="14"/>
  <c r="D1453" i="14"/>
  <c r="B1453" i="14"/>
  <c r="F1452" i="14"/>
  <c r="E1452" i="14"/>
  <c r="D1452" i="14"/>
  <c r="B1452" i="14"/>
  <c r="G1451" i="14"/>
  <c r="F1451" i="14"/>
  <c r="E1451" i="14"/>
  <c r="D1451" i="14"/>
  <c r="B1451" i="14"/>
  <c r="F1450" i="14"/>
  <c r="G1450" i="14" s="1"/>
  <c r="E1450" i="14"/>
  <c r="D1450" i="14"/>
  <c r="B1450" i="14"/>
  <c r="F1449" i="14"/>
  <c r="E1449" i="14"/>
  <c r="D1449" i="14"/>
  <c r="B1449" i="14"/>
  <c r="F1448" i="14"/>
  <c r="E1448" i="14"/>
  <c r="D1448" i="14"/>
  <c r="B1448" i="14"/>
  <c r="F1446" i="14"/>
  <c r="G1446" i="14" s="1"/>
  <c r="E1446" i="14"/>
  <c r="D1446" i="14"/>
  <c r="B1446" i="14"/>
  <c r="G1445" i="14"/>
  <c r="F1445" i="14"/>
  <c r="E1445" i="14"/>
  <c r="D1445" i="14"/>
  <c r="B1445" i="14"/>
  <c r="F1444" i="14"/>
  <c r="G1444" i="14" s="1"/>
  <c r="E1444" i="14"/>
  <c r="D1444" i="14"/>
  <c r="B1444" i="14"/>
  <c r="F1443" i="14"/>
  <c r="G1443" i="14" s="1"/>
  <c r="E1443" i="14"/>
  <c r="D1443" i="14"/>
  <c r="B1443" i="14"/>
  <c r="F1442" i="14"/>
  <c r="G1442" i="14" s="1"/>
  <c r="E1442" i="14"/>
  <c r="D1442" i="14"/>
  <c r="B1442" i="14"/>
  <c r="F1441" i="14"/>
  <c r="G1441" i="14" s="1"/>
  <c r="E1441" i="14"/>
  <c r="D1441" i="14"/>
  <c r="B1441" i="14"/>
  <c r="F1440" i="14"/>
  <c r="E1440" i="14"/>
  <c r="D1440" i="14"/>
  <c r="B1440" i="14"/>
  <c r="F1439" i="14"/>
  <c r="E1439" i="14"/>
  <c r="D1439" i="14"/>
  <c r="B1439" i="14"/>
  <c r="F1438" i="14"/>
  <c r="G1438" i="14" s="1"/>
  <c r="E1438" i="14"/>
  <c r="D1438" i="14"/>
  <c r="B1438" i="14"/>
  <c r="F1437" i="14"/>
  <c r="G1437" i="14" s="1"/>
  <c r="E1437" i="14"/>
  <c r="D1437" i="14"/>
  <c r="B1437" i="14"/>
  <c r="F1436" i="14"/>
  <c r="G1436" i="14" s="1"/>
  <c r="E1436" i="14"/>
  <c r="D1436" i="14"/>
  <c r="B1436" i="14"/>
  <c r="G1435" i="14"/>
  <c r="F1435" i="14"/>
  <c r="E1435" i="14"/>
  <c r="D1435" i="14"/>
  <c r="B1435" i="14"/>
  <c r="F1433" i="14"/>
  <c r="E1433" i="14"/>
  <c r="D1433" i="14"/>
  <c r="B1433" i="14"/>
  <c r="F1432" i="14"/>
  <c r="G1432" i="14" s="1"/>
  <c r="E1432" i="14"/>
  <c r="D1432" i="14"/>
  <c r="B1432" i="14"/>
  <c r="G1431" i="14"/>
  <c r="F1431" i="14"/>
  <c r="E1431" i="14"/>
  <c r="D1431" i="14"/>
  <c r="B1431" i="14"/>
  <c r="F1430" i="14"/>
  <c r="E1430" i="14"/>
  <c r="D1430" i="14"/>
  <c r="B1430" i="14"/>
  <c r="G1429" i="14"/>
  <c r="F1429" i="14"/>
  <c r="E1429" i="14"/>
  <c r="D1429" i="14"/>
  <c r="B1429" i="14"/>
  <c r="F1428" i="14"/>
  <c r="E1428" i="14"/>
  <c r="D1428" i="14"/>
  <c r="B1428" i="14"/>
  <c r="F1427" i="14"/>
  <c r="E1427" i="14"/>
  <c r="D1427" i="14"/>
  <c r="B1427" i="14"/>
  <c r="F1426" i="14"/>
  <c r="G1426" i="14" s="1"/>
  <c r="E1426" i="14"/>
  <c r="D1426" i="14"/>
  <c r="B1426" i="14"/>
  <c r="F1425" i="14"/>
  <c r="G1425" i="14" s="1"/>
  <c r="E1425" i="14"/>
  <c r="D1425" i="14"/>
  <c r="B1425" i="14"/>
  <c r="G1424" i="14"/>
  <c r="F1424" i="14"/>
  <c r="E1424" i="14"/>
  <c r="D1424" i="14"/>
  <c r="B1424" i="14"/>
  <c r="F1423" i="14"/>
  <c r="G1423" i="14" s="1"/>
  <c r="E1423" i="14"/>
  <c r="D1423" i="14"/>
  <c r="B1423" i="14"/>
  <c r="G1422" i="14"/>
  <c r="F1422" i="14"/>
  <c r="E1422" i="14"/>
  <c r="D1422" i="14"/>
  <c r="B1422" i="14"/>
  <c r="F1420" i="14"/>
  <c r="G1420" i="14" s="1"/>
  <c r="E1420" i="14"/>
  <c r="D1420" i="14"/>
  <c r="B1420" i="14"/>
  <c r="F1419" i="14"/>
  <c r="G1419" i="14" s="1"/>
  <c r="E1419" i="14"/>
  <c r="D1419" i="14"/>
  <c r="B1419" i="14"/>
  <c r="F1418" i="14"/>
  <c r="G1418" i="14" s="1"/>
  <c r="E1418" i="14"/>
  <c r="D1418" i="14"/>
  <c r="B1418" i="14"/>
  <c r="F1417" i="14"/>
  <c r="G1417" i="14" s="1"/>
  <c r="E1417" i="14"/>
  <c r="D1417" i="14"/>
  <c r="B1417" i="14"/>
  <c r="F1416" i="14"/>
  <c r="G1416" i="14" s="1"/>
  <c r="E1416" i="14"/>
  <c r="D1416" i="14"/>
  <c r="B1416" i="14"/>
  <c r="F1415" i="14"/>
  <c r="G1415" i="14" s="1"/>
  <c r="E1415" i="14"/>
  <c r="D1415" i="14"/>
  <c r="B1415" i="14"/>
  <c r="F1414" i="14"/>
  <c r="E1414" i="14"/>
  <c r="D1414" i="14"/>
  <c r="B1414" i="14"/>
  <c r="F1413" i="14"/>
  <c r="G1413" i="14" s="1"/>
  <c r="E1413" i="14"/>
  <c r="D1413" i="14"/>
  <c r="B1413" i="14"/>
  <c r="F1412" i="14"/>
  <c r="E1412" i="14"/>
  <c r="D1412" i="14"/>
  <c r="B1412" i="14"/>
  <c r="F1411" i="14"/>
  <c r="G1411" i="14" s="1"/>
  <c r="E1411" i="14"/>
  <c r="D1411" i="14"/>
  <c r="B1411" i="14"/>
  <c r="F1410" i="14"/>
  <c r="G1410" i="14" s="1"/>
  <c r="E1410" i="14"/>
  <c r="D1410" i="14"/>
  <c r="B1410" i="14"/>
  <c r="F1409" i="14"/>
  <c r="E1409" i="14"/>
  <c r="D1409" i="14"/>
  <c r="B1409" i="14"/>
  <c r="F1407" i="14"/>
  <c r="E1407" i="14"/>
  <c r="D1407" i="14"/>
  <c r="B1407" i="14"/>
  <c r="F1406" i="14"/>
  <c r="E1406" i="14"/>
  <c r="D1406" i="14"/>
  <c r="B1406" i="14"/>
  <c r="F1405" i="14"/>
  <c r="E1405" i="14"/>
  <c r="D1405" i="14"/>
  <c r="B1405" i="14"/>
  <c r="G1404" i="14"/>
  <c r="F1404" i="14"/>
  <c r="E1404" i="14"/>
  <c r="D1404" i="14"/>
  <c r="B1404" i="14"/>
  <c r="F1403" i="14"/>
  <c r="E1403" i="14"/>
  <c r="D1403" i="14"/>
  <c r="B1403" i="14"/>
  <c r="G1402" i="14"/>
  <c r="F1402" i="14"/>
  <c r="E1402" i="14"/>
  <c r="D1402" i="14"/>
  <c r="B1402" i="14"/>
  <c r="F1401" i="14"/>
  <c r="G1401" i="14" s="1"/>
  <c r="E1401" i="14"/>
  <c r="D1401" i="14"/>
  <c r="B1401" i="14"/>
  <c r="F1400" i="14"/>
  <c r="E1400" i="14"/>
  <c r="D1400" i="14"/>
  <c r="B1400" i="14"/>
  <c r="G1399" i="14"/>
  <c r="F1399" i="14"/>
  <c r="E1399" i="14"/>
  <c r="D1399" i="14"/>
  <c r="B1399" i="14"/>
  <c r="F1398" i="14"/>
  <c r="G1398" i="14" s="1"/>
  <c r="E1398" i="14"/>
  <c r="D1398" i="14"/>
  <c r="B1398" i="14"/>
  <c r="G1397" i="14"/>
  <c r="F1397" i="14"/>
  <c r="E1397" i="14"/>
  <c r="D1397" i="14"/>
  <c r="B1397" i="14"/>
  <c r="F1396" i="14"/>
  <c r="G1396" i="14" s="1"/>
  <c r="E1396" i="14"/>
  <c r="D1396" i="14"/>
  <c r="B1396" i="14"/>
  <c r="F1394" i="14"/>
  <c r="E1394" i="14"/>
  <c r="D1394" i="14"/>
  <c r="B1394" i="14"/>
  <c r="F1393" i="14"/>
  <c r="G1393" i="14" s="1"/>
  <c r="E1393" i="14"/>
  <c r="D1393" i="14"/>
  <c r="B1393" i="14"/>
  <c r="F1392" i="14"/>
  <c r="G1392" i="14" s="1"/>
  <c r="E1392" i="14"/>
  <c r="D1392" i="14"/>
  <c r="B1392" i="14"/>
  <c r="F1391" i="14"/>
  <c r="E1391" i="14"/>
  <c r="D1391" i="14"/>
  <c r="B1391" i="14"/>
  <c r="F1390" i="14"/>
  <c r="G1390" i="14" s="1"/>
  <c r="E1390" i="14"/>
  <c r="D1390" i="14"/>
  <c r="B1390" i="14"/>
  <c r="F1389" i="14"/>
  <c r="G1389" i="14" s="1"/>
  <c r="E1389" i="14"/>
  <c r="D1389" i="14"/>
  <c r="B1389" i="14"/>
  <c r="F1388" i="14"/>
  <c r="G1388" i="14" s="1"/>
  <c r="E1388" i="14"/>
  <c r="D1388" i="14"/>
  <c r="B1388" i="14"/>
  <c r="G1387" i="14"/>
  <c r="F1387" i="14"/>
  <c r="E1387" i="14"/>
  <c r="D1387" i="14"/>
  <c r="B1387" i="14"/>
  <c r="F1386" i="14"/>
  <c r="E1386" i="14"/>
  <c r="D1386" i="14"/>
  <c r="B1386" i="14"/>
  <c r="F1385" i="14"/>
  <c r="G1385" i="14" s="1"/>
  <c r="E1385" i="14"/>
  <c r="D1385" i="14"/>
  <c r="B1385" i="14"/>
  <c r="F1384" i="14"/>
  <c r="G1384" i="14" s="1"/>
  <c r="E1384" i="14"/>
  <c r="D1384" i="14"/>
  <c r="B1384" i="14"/>
  <c r="F1383" i="14"/>
  <c r="G1383" i="14" s="1"/>
  <c r="E1383" i="14"/>
  <c r="D1383" i="14"/>
  <c r="B1383" i="14"/>
  <c r="G1382" i="14"/>
  <c r="F1382" i="14"/>
  <c r="E1382" i="14"/>
  <c r="D1382" i="14"/>
  <c r="B1382" i="14"/>
  <c r="G1381" i="14"/>
  <c r="F1381" i="14"/>
  <c r="E1381" i="14"/>
  <c r="D1381" i="14"/>
  <c r="B1381" i="14"/>
  <c r="F1380" i="14"/>
  <c r="E1380" i="14"/>
  <c r="D1380" i="14"/>
  <c r="B1380" i="14"/>
  <c r="F1378" i="14"/>
  <c r="G1378" i="14" s="1"/>
  <c r="E1378" i="14"/>
  <c r="D1378" i="14"/>
  <c r="B1378" i="14"/>
  <c r="F1377" i="14"/>
  <c r="G1377" i="14" s="1"/>
  <c r="E1377" i="14"/>
  <c r="D1377" i="14"/>
  <c r="B1377" i="14"/>
  <c r="G1376" i="14"/>
  <c r="F1376" i="14"/>
  <c r="E1376" i="14"/>
  <c r="D1376" i="14"/>
  <c r="B1376" i="14"/>
  <c r="G1375" i="14"/>
  <c r="F1375" i="14"/>
  <c r="E1375" i="14"/>
  <c r="D1375" i="14"/>
  <c r="B1375" i="14"/>
  <c r="F1374" i="14"/>
  <c r="G1374" i="14" s="1"/>
  <c r="E1374" i="14"/>
  <c r="D1374" i="14"/>
  <c r="B1374" i="14"/>
  <c r="F1373" i="14"/>
  <c r="G1373" i="14" s="1"/>
  <c r="E1373" i="14"/>
  <c r="D1373" i="14"/>
  <c r="B1373" i="14"/>
  <c r="F1372" i="14"/>
  <c r="G1372" i="14" s="1"/>
  <c r="E1372" i="14"/>
  <c r="D1372" i="14"/>
  <c r="B1372" i="14"/>
  <c r="F1371" i="14"/>
  <c r="E1371" i="14"/>
  <c r="D1371" i="14"/>
  <c r="B1371" i="14"/>
  <c r="G1370" i="14"/>
  <c r="F1370" i="14"/>
  <c r="E1370" i="14"/>
  <c r="D1370" i="14"/>
  <c r="B1370" i="14"/>
  <c r="F1369" i="14"/>
  <c r="E1369" i="14"/>
  <c r="D1369" i="14"/>
  <c r="B1369" i="14"/>
  <c r="F1368" i="14"/>
  <c r="E1368" i="14"/>
  <c r="D1368" i="14"/>
  <c r="B1368" i="14"/>
  <c r="F1367" i="14"/>
  <c r="G1367" i="14" s="1"/>
  <c r="E1367" i="14"/>
  <c r="D1367" i="14"/>
  <c r="B1367" i="14"/>
  <c r="G1366" i="14"/>
  <c r="F1366" i="14"/>
  <c r="E1366" i="14"/>
  <c r="D1366" i="14"/>
  <c r="B1366" i="14"/>
  <c r="F1365" i="14"/>
  <c r="E1365" i="14"/>
  <c r="D1365" i="14"/>
  <c r="B1365" i="14"/>
  <c r="G1364" i="14"/>
  <c r="F1364" i="14"/>
  <c r="E1364" i="14"/>
  <c r="D1364" i="14"/>
  <c r="B1364" i="14"/>
  <c r="F1362" i="14"/>
  <c r="E1362" i="14"/>
  <c r="D1362" i="14"/>
  <c r="B1362" i="14"/>
  <c r="F1361" i="14"/>
  <c r="G1361" i="14" s="1"/>
  <c r="E1361" i="14"/>
  <c r="D1361" i="14"/>
  <c r="B1361" i="14"/>
  <c r="F1360" i="14"/>
  <c r="E1360" i="14"/>
  <c r="D1360" i="14"/>
  <c r="B1360" i="14"/>
  <c r="G1359" i="14"/>
  <c r="F1359" i="14"/>
  <c r="E1359" i="14"/>
  <c r="D1359" i="14"/>
  <c r="B1359" i="14"/>
  <c r="F1358" i="14"/>
  <c r="E1358" i="14"/>
  <c r="D1358" i="14"/>
  <c r="B1358" i="14"/>
  <c r="G1357" i="14"/>
  <c r="F1357" i="14"/>
  <c r="E1357" i="14"/>
  <c r="D1357" i="14"/>
  <c r="B1357" i="14"/>
  <c r="F1356" i="14"/>
  <c r="E1356" i="14"/>
  <c r="D1356" i="14"/>
  <c r="B1356" i="14"/>
  <c r="F1355" i="14"/>
  <c r="E1355" i="14"/>
  <c r="D1355" i="14"/>
  <c r="B1355" i="14"/>
  <c r="F1354" i="14"/>
  <c r="E1354" i="14"/>
  <c r="D1354" i="14"/>
  <c r="B1354" i="14"/>
  <c r="F1353" i="14"/>
  <c r="G1353" i="14" s="1"/>
  <c r="E1353" i="14"/>
  <c r="D1353" i="14"/>
  <c r="B1353" i="14"/>
  <c r="G1352" i="14"/>
  <c r="F1352" i="14"/>
  <c r="E1352" i="14"/>
  <c r="D1352" i="14"/>
  <c r="B1352" i="14"/>
  <c r="F1351" i="14"/>
  <c r="G1351" i="14" s="1"/>
  <c r="E1351" i="14"/>
  <c r="D1351" i="14"/>
  <c r="B1351" i="14"/>
  <c r="F1350" i="14"/>
  <c r="E1350" i="14"/>
  <c r="D1350" i="14"/>
  <c r="B1350" i="14"/>
  <c r="F1349" i="14"/>
  <c r="G1349" i="14" s="1"/>
  <c r="E1349" i="14"/>
  <c r="D1349" i="14"/>
  <c r="B1349" i="14"/>
  <c r="G1348" i="14"/>
  <c r="F1348" i="14"/>
  <c r="E1348" i="14"/>
  <c r="D1348" i="14"/>
  <c r="B1348" i="14"/>
  <c r="G1346" i="14"/>
  <c r="F1346" i="14"/>
  <c r="E1346" i="14"/>
  <c r="D1346" i="14"/>
  <c r="B1346" i="14"/>
  <c r="F1345" i="14"/>
  <c r="G1345" i="14" s="1"/>
  <c r="E1345" i="14"/>
  <c r="D1345" i="14"/>
  <c r="B1345" i="14"/>
  <c r="F1344" i="14"/>
  <c r="G1344" i="14" s="1"/>
  <c r="E1344" i="14"/>
  <c r="D1344" i="14"/>
  <c r="B1344" i="14"/>
  <c r="G1343" i="14"/>
  <c r="F1343" i="14"/>
  <c r="E1343" i="14"/>
  <c r="D1343" i="14"/>
  <c r="B1343" i="14"/>
  <c r="F1342" i="14"/>
  <c r="E1342" i="14"/>
  <c r="D1342" i="14"/>
  <c r="B1342" i="14"/>
  <c r="G1341" i="14"/>
  <c r="F1341" i="14"/>
  <c r="E1341" i="14"/>
  <c r="D1341" i="14"/>
  <c r="B1341" i="14"/>
  <c r="F1340" i="14"/>
  <c r="G1340" i="14" s="1"/>
  <c r="E1340" i="14"/>
  <c r="D1340" i="14"/>
  <c r="B1340" i="14"/>
  <c r="G1339" i="14"/>
  <c r="F1339" i="14"/>
  <c r="E1339" i="14"/>
  <c r="D1339" i="14"/>
  <c r="B1339" i="14"/>
  <c r="F1338" i="14"/>
  <c r="G1338" i="14" s="1"/>
  <c r="E1338" i="14"/>
  <c r="D1338" i="14"/>
  <c r="B1338" i="14"/>
  <c r="G1337" i="14"/>
  <c r="F1337" i="14"/>
  <c r="E1337" i="14"/>
  <c r="D1337" i="14"/>
  <c r="B1337" i="14"/>
  <c r="G1336" i="14"/>
  <c r="F1336" i="14"/>
  <c r="E1336" i="14"/>
  <c r="D1336" i="14"/>
  <c r="B1336" i="14"/>
  <c r="F1335" i="14"/>
  <c r="G1335" i="14" s="1"/>
  <c r="E1335" i="14"/>
  <c r="D1335" i="14"/>
  <c r="B1335" i="14"/>
  <c r="F1334" i="14"/>
  <c r="G1334" i="14" s="1"/>
  <c r="E1334" i="14"/>
  <c r="D1334" i="14"/>
  <c r="B1334" i="14"/>
  <c r="F1333" i="14"/>
  <c r="E1333" i="14"/>
  <c r="D1333" i="14"/>
  <c r="B1333" i="14"/>
  <c r="F1332" i="14"/>
  <c r="E1332" i="14"/>
  <c r="D1332" i="14"/>
  <c r="B1332" i="14"/>
  <c r="G1330" i="14"/>
  <c r="F1330" i="14"/>
  <c r="E1330" i="14"/>
  <c r="D1330" i="14"/>
  <c r="B1330" i="14"/>
  <c r="F1329" i="14"/>
  <c r="E1329" i="14"/>
  <c r="D1329" i="14"/>
  <c r="B1329" i="14"/>
  <c r="F1328" i="14"/>
  <c r="E1328" i="14"/>
  <c r="D1328" i="14"/>
  <c r="B1328" i="14"/>
  <c r="F1327" i="14"/>
  <c r="E1327" i="14"/>
  <c r="D1327" i="14"/>
  <c r="B1327" i="14"/>
  <c r="F1326" i="14"/>
  <c r="G1326" i="14" s="1"/>
  <c r="E1326" i="14"/>
  <c r="D1326" i="14"/>
  <c r="B1326" i="14"/>
  <c r="G1325" i="14"/>
  <c r="F1325" i="14"/>
  <c r="E1325" i="14"/>
  <c r="D1325" i="14"/>
  <c r="B1325" i="14"/>
  <c r="G1324" i="14"/>
  <c r="F1324" i="14"/>
  <c r="E1324" i="14"/>
  <c r="D1324" i="14"/>
  <c r="B1324" i="14"/>
  <c r="G1323" i="14"/>
  <c r="F1323" i="14"/>
  <c r="E1323" i="14"/>
  <c r="D1323" i="14"/>
  <c r="B1323" i="14"/>
  <c r="G1322" i="14"/>
  <c r="F1322" i="14"/>
  <c r="E1322" i="14"/>
  <c r="D1322" i="14"/>
  <c r="B1322" i="14"/>
  <c r="G1321" i="14"/>
  <c r="F1321" i="14"/>
  <c r="E1321" i="14"/>
  <c r="D1321" i="14"/>
  <c r="B1321" i="14"/>
  <c r="G1320" i="14"/>
  <c r="F1320" i="14"/>
  <c r="E1320" i="14"/>
  <c r="D1320" i="14"/>
  <c r="B1320" i="14"/>
  <c r="G1319" i="14"/>
  <c r="F1319" i="14"/>
  <c r="E1319" i="14"/>
  <c r="D1319" i="14"/>
  <c r="B1319" i="14"/>
  <c r="F1318" i="14"/>
  <c r="E1318" i="14"/>
  <c r="D1318" i="14"/>
  <c r="B1318" i="14"/>
  <c r="F1317" i="14"/>
  <c r="E1317" i="14"/>
  <c r="D1317" i="14"/>
  <c r="B1317" i="14"/>
  <c r="G1316" i="14"/>
  <c r="F1316" i="14"/>
  <c r="E1316" i="14"/>
  <c r="D1316" i="14"/>
  <c r="B1316" i="14"/>
  <c r="G1314" i="14"/>
  <c r="F1314" i="14"/>
  <c r="E1314" i="14"/>
  <c r="D1314" i="14"/>
  <c r="B1314" i="14"/>
  <c r="G1313" i="14"/>
  <c r="F1313" i="14"/>
  <c r="E1313" i="14"/>
  <c r="D1313" i="14"/>
  <c r="B1313" i="14"/>
  <c r="F1312" i="14"/>
  <c r="E1312" i="14"/>
  <c r="D1312" i="14"/>
  <c r="B1312" i="14"/>
  <c r="F1311" i="14"/>
  <c r="E1311" i="14"/>
  <c r="D1311" i="14"/>
  <c r="B1311" i="14"/>
  <c r="G1310" i="14"/>
  <c r="F1310" i="14"/>
  <c r="E1310" i="14"/>
  <c r="D1310" i="14"/>
  <c r="B1310" i="14"/>
  <c r="G1309" i="14"/>
  <c r="F1309" i="14"/>
  <c r="E1309" i="14"/>
  <c r="D1309" i="14"/>
  <c r="B1309" i="14"/>
  <c r="F1308" i="14"/>
  <c r="E1308" i="14"/>
  <c r="D1308" i="14"/>
  <c r="B1308" i="14"/>
  <c r="F1307" i="14"/>
  <c r="E1307" i="14"/>
  <c r="D1307" i="14"/>
  <c r="B1307" i="14"/>
  <c r="F1306" i="14"/>
  <c r="E1306" i="14"/>
  <c r="D1306" i="14"/>
  <c r="B1306" i="14"/>
  <c r="G1305" i="14"/>
  <c r="F1305" i="14"/>
  <c r="E1305" i="14"/>
  <c r="D1305" i="14"/>
  <c r="B1305" i="14"/>
  <c r="G1304" i="14"/>
  <c r="F1304" i="14"/>
  <c r="E1304" i="14"/>
  <c r="D1304" i="14"/>
  <c r="B1304" i="14"/>
  <c r="G1303" i="14"/>
  <c r="F1303" i="14"/>
  <c r="E1303" i="14"/>
  <c r="D1303" i="14"/>
  <c r="B1303" i="14"/>
  <c r="F1302" i="14"/>
  <c r="E1302" i="14"/>
  <c r="D1302" i="14"/>
  <c r="B1302" i="14"/>
  <c r="F1301" i="14"/>
  <c r="E1301" i="14"/>
  <c r="D1301" i="14"/>
  <c r="B1301" i="14"/>
  <c r="G1300" i="14"/>
  <c r="F1300" i="14"/>
  <c r="E1300" i="14"/>
  <c r="D1300" i="14"/>
  <c r="B1300" i="14"/>
  <c r="G1298" i="14"/>
  <c r="F1298" i="14"/>
  <c r="E1298" i="14"/>
  <c r="D1298" i="14"/>
  <c r="B1298" i="14"/>
  <c r="F1297" i="14"/>
  <c r="G1297" i="14" s="1"/>
  <c r="E1297" i="14"/>
  <c r="D1297" i="14"/>
  <c r="B1297" i="14"/>
  <c r="G1296" i="14"/>
  <c r="F1296" i="14"/>
  <c r="E1296" i="14"/>
  <c r="D1296" i="14"/>
  <c r="B1296" i="14"/>
  <c r="F1295" i="14"/>
  <c r="E1295" i="14"/>
  <c r="D1295" i="14"/>
  <c r="B1295" i="14"/>
  <c r="G1294" i="14"/>
  <c r="F1294" i="14"/>
  <c r="E1294" i="14"/>
  <c r="D1294" i="14"/>
  <c r="B1294" i="14"/>
  <c r="F1293" i="14"/>
  <c r="E1293" i="14"/>
  <c r="D1293" i="14"/>
  <c r="B1293" i="14"/>
  <c r="F1292" i="14"/>
  <c r="E1292" i="14"/>
  <c r="D1292" i="14"/>
  <c r="B1292" i="14"/>
  <c r="G1291" i="14"/>
  <c r="F1291" i="14"/>
  <c r="E1291" i="14"/>
  <c r="D1291" i="14"/>
  <c r="B1291" i="14"/>
  <c r="F1290" i="14"/>
  <c r="E1290" i="14"/>
  <c r="D1290" i="14"/>
  <c r="B1290" i="14"/>
  <c r="G1289" i="14"/>
  <c r="F1289" i="14"/>
  <c r="E1289" i="14"/>
  <c r="D1289" i="14"/>
  <c r="B1289" i="14"/>
  <c r="G1288" i="14"/>
  <c r="F1288" i="14"/>
  <c r="E1288" i="14"/>
  <c r="D1288" i="14"/>
  <c r="B1288" i="14"/>
  <c r="F1287" i="14"/>
  <c r="E1287" i="14"/>
  <c r="D1287" i="14"/>
  <c r="B1287" i="14"/>
  <c r="F1286" i="14"/>
  <c r="E1286" i="14"/>
  <c r="D1286" i="14"/>
  <c r="B1286" i="14"/>
  <c r="F1285" i="14"/>
  <c r="E1285" i="14"/>
  <c r="D1285" i="14"/>
  <c r="B1285" i="14"/>
  <c r="G1284" i="14"/>
  <c r="F1284" i="14"/>
  <c r="E1284" i="14"/>
  <c r="D1284" i="14"/>
  <c r="B1284" i="14"/>
  <c r="F1282" i="14"/>
  <c r="E1282" i="14"/>
  <c r="D1282" i="14"/>
  <c r="B1282" i="14"/>
  <c r="G1281" i="14"/>
  <c r="F1281" i="14"/>
  <c r="E1281" i="14"/>
  <c r="D1281" i="14"/>
  <c r="B1281" i="14"/>
  <c r="F1280" i="14"/>
  <c r="E1280" i="14"/>
  <c r="D1280" i="14"/>
  <c r="B1280" i="14"/>
  <c r="F1279" i="14"/>
  <c r="E1279" i="14"/>
  <c r="D1279" i="14"/>
  <c r="B1279" i="14"/>
  <c r="G1278" i="14"/>
  <c r="F1278" i="14"/>
  <c r="E1278" i="14"/>
  <c r="D1278" i="14"/>
  <c r="B1278" i="14"/>
  <c r="G1277" i="14"/>
  <c r="F1277" i="14"/>
  <c r="E1277" i="14"/>
  <c r="D1277" i="14"/>
  <c r="B1277" i="14"/>
  <c r="F1276" i="14"/>
  <c r="E1276" i="14"/>
  <c r="D1276" i="14"/>
  <c r="B1276" i="14"/>
  <c r="G1275" i="14"/>
  <c r="F1275" i="14"/>
  <c r="E1275" i="14"/>
  <c r="D1275" i="14"/>
  <c r="B1275" i="14"/>
  <c r="F1274" i="14"/>
  <c r="E1274" i="14"/>
  <c r="D1274" i="14"/>
  <c r="B1274" i="14"/>
  <c r="G1273" i="14"/>
  <c r="F1273" i="14"/>
  <c r="E1273" i="14"/>
  <c r="D1273" i="14"/>
  <c r="B1273" i="14"/>
  <c r="G1272" i="14"/>
  <c r="F1272" i="14"/>
  <c r="E1272" i="14"/>
  <c r="D1272" i="14"/>
  <c r="B1272" i="14"/>
  <c r="F1271" i="14"/>
  <c r="E1271" i="14"/>
  <c r="D1271" i="14"/>
  <c r="B1271" i="14"/>
  <c r="F1270" i="14"/>
  <c r="E1270" i="14"/>
  <c r="D1270" i="14"/>
  <c r="B1270" i="14"/>
  <c r="F1269" i="14"/>
  <c r="E1269" i="14"/>
  <c r="D1269" i="14"/>
  <c r="B1269" i="14"/>
  <c r="G1268" i="14"/>
  <c r="F1268" i="14"/>
  <c r="E1268" i="14"/>
  <c r="D1268" i="14"/>
  <c r="B1268" i="14"/>
  <c r="F1266" i="14"/>
  <c r="E1266" i="14"/>
  <c r="D1266" i="14"/>
  <c r="B1266" i="14"/>
  <c r="G1265" i="14"/>
  <c r="F1265" i="14"/>
  <c r="E1265" i="14"/>
  <c r="D1265" i="14"/>
  <c r="B1265" i="14"/>
  <c r="G1264" i="14"/>
  <c r="F1264" i="14"/>
  <c r="E1264" i="14"/>
  <c r="D1264" i="14"/>
  <c r="B1264" i="14"/>
  <c r="F1263" i="14"/>
  <c r="E1263" i="14"/>
  <c r="D1263" i="14"/>
  <c r="B1263" i="14"/>
  <c r="G1262" i="14"/>
  <c r="F1262" i="14"/>
  <c r="E1262" i="14"/>
  <c r="D1262" i="14"/>
  <c r="B1262" i="14"/>
  <c r="F1261" i="14"/>
  <c r="E1261" i="14"/>
  <c r="D1261" i="14"/>
  <c r="B1261" i="14"/>
  <c r="F1260" i="14"/>
  <c r="E1260" i="14"/>
  <c r="D1260" i="14"/>
  <c r="B1260" i="14"/>
  <c r="F1259" i="14"/>
  <c r="E1259" i="14"/>
  <c r="D1259" i="14"/>
  <c r="B1259" i="14"/>
  <c r="F1258" i="14"/>
  <c r="E1258" i="14"/>
  <c r="D1258" i="14"/>
  <c r="B1258" i="14"/>
  <c r="G1257" i="14"/>
  <c r="F1257" i="14"/>
  <c r="E1257" i="14"/>
  <c r="D1257" i="14"/>
  <c r="B1257" i="14"/>
  <c r="G1256" i="14"/>
  <c r="F1256" i="14"/>
  <c r="E1256" i="14"/>
  <c r="D1256" i="14"/>
  <c r="B1256" i="14"/>
  <c r="F1255" i="14"/>
  <c r="E1255" i="14"/>
  <c r="D1255" i="14"/>
  <c r="B1255" i="14"/>
  <c r="G1254" i="14"/>
  <c r="F1254" i="14"/>
  <c r="E1254" i="14"/>
  <c r="D1254" i="14"/>
  <c r="B1254" i="14"/>
  <c r="F1253" i="14"/>
  <c r="E1253" i="14"/>
  <c r="D1253" i="14"/>
  <c r="B1253" i="14"/>
  <c r="G1252" i="14"/>
  <c r="F1252" i="14"/>
  <c r="E1252" i="14"/>
  <c r="D1252" i="14"/>
  <c r="B1252" i="14"/>
  <c r="F1250" i="14"/>
  <c r="G1250" i="14" s="1"/>
  <c r="E1250" i="14"/>
  <c r="D1250" i="14"/>
  <c r="B1250" i="14"/>
  <c r="G1249" i="14"/>
  <c r="F1249" i="14"/>
  <c r="E1249" i="14"/>
  <c r="D1249" i="14"/>
  <c r="B1249" i="14"/>
  <c r="F1248" i="14"/>
  <c r="E1248" i="14"/>
  <c r="D1248" i="14"/>
  <c r="B1248" i="14"/>
  <c r="F1247" i="14"/>
  <c r="E1247" i="14"/>
  <c r="D1247" i="14"/>
  <c r="B1247" i="14"/>
  <c r="G1246" i="14"/>
  <c r="F1246" i="14"/>
  <c r="E1246" i="14"/>
  <c r="D1246" i="14"/>
  <c r="B1246" i="14"/>
  <c r="G1245" i="14"/>
  <c r="F1245" i="14"/>
  <c r="E1245" i="14"/>
  <c r="D1245" i="14"/>
  <c r="B1245" i="14"/>
  <c r="F1244" i="14"/>
  <c r="G1244" i="14" s="1"/>
  <c r="E1244" i="14"/>
  <c r="D1244" i="14"/>
  <c r="B1244" i="14"/>
  <c r="G1243" i="14"/>
  <c r="F1243" i="14"/>
  <c r="E1243" i="14"/>
  <c r="D1243" i="14"/>
  <c r="B1243" i="14"/>
  <c r="F1242" i="14"/>
  <c r="E1242" i="14"/>
  <c r="D1242" i="14"/>
  <c r="B1242" i="14"/>
  <c r="G1241" i="14"/>
  <c r="F1241" i="14"/>
  <c r="E1241" i="14"/>
  <c r="D1241" i="14"/>
  <c r="B1241" i="14"/>
  <c r="F1240" i="14"/>
  <c r="E1240" i="14"/>
  <c r="D1240" i="14"/>
  <c r="B1240" i="14"/>
  <c r="F1239" i="14"/>
  <c r="E1239" i="14"/>
  <c r="D1239" i="14"/>
  <c r="B1239" i="14"/>
  <c r="G1238" i="14"/>
  <c r="F1238" i="14"/>
  <c r="E1238" i="14"/>
  <c r="D1238" i="14"/>
  <c r="B1238" i="14"/>
  <c r="F1237" i="14"/>
  <c r="E1237" i="14"/>
  <c r="D1237" i="14"/>
  <c r="B1237" i="14"/>
  <c r="F1236" i="14"/>
  <c r="G1236" i="14" s="1"/>
  <c r="E1236" i="14"/>
  <c r="D1236" i="14"/>
  <c r="B1236" i="14"/>
  <c r="G1234" i="14"/>
  <c r="F1234" i="14"/>
  <c r="E1234" i="14"/>
  <c r="D1234" i="14"/>
  <c r="B1234" i="14"/>
  <c r="F1233" i="14"/>
  <c r="E1233" i="14"/>
  <c r="D1233" i="14"/>
  <c r="B1233" i="14"/>
  <c r="F1232" i="14"/>
  <c r="E1232" i="14"/>
  <c r="D1232" i="14"/>
  <c r="B1232" i="14"/>
  <c r="F1231" i="14"/>
  <c r="E1231" i="14"/>
  <c r="D1231" i="14"/>
  <c r="B1231" i="14"/>
  <c r="F1230" i="14"/>
  <c r="G1230" i="14" s="1"/>
  <c r="E1230" i="14"/>
  <c r="D1230" i="14"/>
  <c r="B1230" i="14"/>
  <c r="F1229" i="14"/>
  <c r="G1229" i="14" s="1"/>
  <c r="E1229" i="14"/>
  <c r="D1229" i="14"/>
  <c r="B1229" i="14"/>
  <c r="G1228" i="14"/>
  <c r="F1228" i="14"/>
  <c r="E1228" i="14"/>
  <c r="D1228" i="14"/>
  <c r="B1228" i="14"/>
  <c r="F1227" i="14"/>
  <c r="E1227" i="14"/>
  <c r="D1227" i="14"/>
  <c r="B1227" i="14"/>
  <c r="F1226" i="14"/>
  <c r="E1226" i="14"/>
  <c r="D1226" i="14"/>
  <c r="B1226" i="14"/>
  <c r="F1225" i="14"/>
  <c r="G1225" i="14" s="1"/>
  <c r="E1225" i="14"/>
  <c r="D1225" i="14"/>
  <c r="B1225" i="14"/>
  <c r="F1224" i="14"/>
  <c r="E1224" i="14"/>
  <c r="D1224" i="14"/>
  <c r="B1224" i="14"/>
  <c r="G1223" i="14"/>
  <c r="F1223" i="14"/>
  <c r="E1223" i="14"/>
  <c r="D1223" i="14"/>
  <c r="B1223" i="14"/>
  <c r="G1222" i="14"/>
  <c r="F1222" i="14"/>
  <c r="E1222" i="14"/>
  <c r="D1222" i="14"/>
  <c r="B1222" i="14"/>
  <c r="F1221" i="14"/>
  <c r="E1221" i="14"/>
  <c r="D1221" i="14"/>
  <c r="B1221" i="14"/>
  <c r="F1220" i="14"/>
  <c r="G1220" i="14" s="1"/>
  <c r="E1220" i="14"/>
  <c r="D1220" i="14"/>
  <c r="B1220" i="14"/>
  <c r="F1218" i="14"/>
  <c r="G1218" i="14" s="1"/>
  <c r="E1218" i="14"/>
  <c r="D1218" i="14"/>
  <c r="B1218" i="14"/>
  <c r="G1217" i="14"/>
  <c r="F1217" i="14"/>
  <c r="E1217" i="14"/>
  <c r="D1217" i="14"/>
  <c r="B1217" i="14"/>
  <c r="F1216" i="14"/>
  <c r="E1216" i="14"/>
  <c r="D1216" i="14"/>
  <c r="B1216" i="14"/>
  <c r="F1215" i="14"/>
  <c r="E1215" i="14"/>
  <c r="D1215" i="14"/>
  <c r="B1215" i="14"/>
  <c r="F1214" i="14"/>
  <c r="G1214" i="14" s="1"/>
  <c r="E1214" i="14"/>
  <c r="D1214" i="14"/>
  <c r="B1214" i="14"/>
  <c r="F1213" i="14"/>
  <c r="E1213" i="14"/>
  <c r="D1213" i="14"/>
  <c r="B1213" i="14"/>
  <c r="G1212" i="14"/>
  <c r="F1212" i="14"/>
  <c r="E1212" i="14"/>
  <c r="D1212" i="14"/>
  <c r="B1212" i="14"/>
  <c r="G1211" i="14"/>
  <c r="F1211" i="14"/>
  <c r="E1211" i="14"/>
  <c r="D1211" i="14"/>
  <c r="B1211" i="14"/>
  <c r="F1210" i="14"/>
  <c r="E1210" i="14"/>
  <c r="D1210" i="14"/>
  <c r="B1210" i="14"/>
  <c r="F1209" i="14"/>
  <c r="G1209" i="14" s="1"/>
  <c r="E1209" i="14"/>
  <c r="D1209" i="14"/>
  <c r="B1209" i="14"/>
  <c r="G1208" i="14"/>
  <c r="F1208" i="14"/>
  <c r="E1208" i="14"/>
  <c r="D1208" i="14"/>
  <c r="B1208" i="14"/>
  <c r="F1207" i="14"/>
  <c r="E1207" i="14"/>
  <c r="D1207" i="14"/>
  <c r="B1207" i="14"/>
  <c r="F1206" i="14"/>
  <c r="E1206" i="14"/>
  <c r="D1206" i="14"/>
  <c r="B1206" i="14"/>
  <c r="F1205" i="14"/>
  <c r="E1205" i="14"/>
  <c r="D1205" i="14"/>
  <c r="B1205" i="14"/>
  <c r="F1204" i="14"/>
  <c r="G1204" i="14" s="1"/>
  <c r="E1204" i="14"/>
  <c r="D1204" i="14"/>
  <c r="B1204" i="14"/>
  <c r="F1202" i="14"/>
  <c r="E1202" i="14"/>
  <c r="D1202" i="14"/>
  <c r="B1202" i="14"/>
  <c r="F1201" i="14"/>
  <c r="G1201" i="14" s="1"/>
  <c r="E1201" i="14"/>
  <c r="D1201" i="14"/>
  <c r="B1201" i="14"/>
  <c r="F1200" i="14"/>
  <c r="E1200" i="14"/>
  <c r="D1200" i="14"/>
  <c r="B1200" i="14"/>
  <c r="F1199" i="14"/>
  <c r="E1199" i="14"/>
  <c r="D1199" i="14"/>
  <c r="B1199" i="14"/>
  <c r="F1198" i="14"/>
  <c r="G1198" i="14" s="1"/>
  <c r="E1198" i="14"/>
  <c r="D1198" i="14"/>
  <c r="B1198" i="14"/>
  <c r="F1197" i="14"/>
  <c r="E1197" i="14"/>
  <c r="D1197" i="14"/>
  <c r="B1197" i="14"/>
  <c r="F1196" i="14"/>
  <c r="G1196" i="14" s="1"/>
  <c r="E1196" i="14"/>
  <c r="D1196" i="14"/>
  <c r="B1196" i="14"/>
  <c r="G1195" i="14"/>
  <c r="F1195" i="14"/>
  <c r="E1195" i="14"/>
  <c r="D1195" i="14"/>
  <c r="B1195" i="14"/>
  <c r="F1194" i="14"/>
  <c r="G1194" i="14" s="1"/>
  <c r="E1194" i="14"/>
  <c r="D1194" i="14"/>
  <c r="B1194" i="14"/>
  <c r="F1193" i="14"/>
  <c r="G1193" i="14" s="1"/>
  <c r="E1193" i="14"/>
  <c r="D1193" i="14"/>
  <c r="B1193" i="14"/>
  <c r="F1192" i="14"/>
  <c r="E1192" i="14"/>
  <c r="D1192" i="14"/>
  <c r="B1192" i="14"/>
  <c r="F1191" i="14"/>
  <c r="G1191" i="14" s="1"/>
  <c r="E1191" i="14"/>
  <c r="D1191" i="14"/>
  <c r="B1191" i="14"/>
  <c r="G1190" i="14"/>
  <c r="F1190" i="14"/>
  <c r="E1190" i="14"/>
  <c r="D1190" i="14"/>
  <c r="B1190" i="14"/>
  <c r="F1189" i="14"/>
  <c r="G1189" i="14" s="1"/>
  <c r="E1189" i="14"/>
  <c r="D1189" i="14"/>
  <c r="B1189" i="14"/>
  <c r="F1188" i="14"/>
  <c r="G1188" i="14" s="1"/>
  <c r="E1188" i="14"/>
  <c r="D1188" i="14"/>
  <c r="B1188" i="14"/>
  <c r="G1186" i="14"/>
  <c r="F1186" i="14"/>
  <c r="E1186" i="14"/>
  <c r="D1186" i="14"/>
  <c r="B1186" i="14"/>
  <c r="F1185" i="14"/>
  <c r="E1185" i="14"/>
  <c r="D1185" i="14"/>
  <c r="B1185" i="14"/>
  <c r="G1184" i="14"/>
  <c r="F1184" i="14"/>
  <c r="E1184" i="14"/>
  <c r="D1184" i="14"/>
  <c r="B1184" i="14"/>
  <c r="F1183" i="14"/>
  <c r="G1183" i="14" s="1"/>
  <c r="E1183" i="14"/>
  <c r="D1183" i="14"/>
  <c r="B1183" i="14"/>
  <c r="F1182" i="14"/>
  <c r="G1182" i="14" s="1"/>
  <c r="E1182" i="14"/>
  <c r="D1182" i="14"/>
  <c r="B1182" i="14"/>
  <c r="F1181" i="14"/>
  <c r="G1181" i="14" s="1"/>
  <c r="E1181" i="14"/>
  <c r="D1181" i="14"/>
  <c r="B1181" i="14"/>
  <c r="F1180" i="14"/>
  <c r="E1180" i="14"/>
  <c r="D1180" i="14"/>
  <c r="B1180" i="14"/>
  <c r="G1179" i="14"/>
  <c r="F1179" i="14"/>
  <c r="E1179" i="14"/>
  <c r="D1179" i="14"/>
  <c r="B1179" i="14"/>
  <c r="F1178" i="14"/>
  <c r="G1178" i="14" s="1"/>
  <c r="E1178" i="14"/>
  <c r="D1178" i="14"/>
  <c r="B1178" i="14"/>
  <c r="F1177" i="14"/>
  <c r="G1177" i="14" s="1"/>
  <c r="E1177" i="14"/>
  <c r="D1177" i="14"/>
  <c r="B1177" i="14"/>
  <c r="F1176" i="14"/>
  <c r="G1176" i="14" s="1"/>
  <c r="E1176" i="14"/>
  <c r="D1176" i="14"/>
  <c r="B1176" i="14"/>
  <c r="G1175" i="14"/>
  <c r="F1175" i="14"/>
  <c r="E1175" i="14"/>
  <c r="D1175" i="14"/>
  <c r="B1175" i="14"/>
  <c r="G1174" i="14"/>
  <c r="F1174" i="14"/>
  <c r="E1174" i="14"/>
  <c r="D1174" i="14"/>
  <c r="B1174" i="14"/>
  <c r="F1173" i="14"/>
  <c r="G1173" i="14" s="1"/>
  <c r="E1173" i="14"/>
  <c r="D1173" i="14"/>
  <c r="B1173" i="14"/>
  <c r="F1172" i="14"/>
  <c r="G1172" i="14" s="1"/>
  <c r="E1172" i="14"/>
  <c r="D1172" i="14"/>
  <c r="B1172" i="14"/>
  <c r="F1170" i="14"/>
  <c r="E1170" i="14"/>
  <c r="D1170" i="14"/>
  <c r="B1170" i="14"/>
  <c r="F1169" i="14"/>
  <c r="G1169" i="14" s="1"/>
  <c r="E1169" i="14"/>
  <c r="D1169" i="14"/>
  <c r="B1169" i="14"/>
  <c r="G1168" i="14"/>
  <c r="F1168" i="14"/>
  <c r="E1168" i="14"/>
  <c r="D1168" i="14"/>
  <c r="B1168" i="14"/>
  <c r="F1167" i="14"/>
  <c r="G1167" i="14" s="1"/>
  <c r="E1167" i="14"/>
  <c r="D1167" i="14"/>
  <c r="B1167" i="14"/>
  <c r="F1166" i="14"/>
  <c r="G1166" i="14" s="1"/>
  <c r="E1166" i="14"/>
  <c r="D1166" i="14"/>
  <c r="B1166" i="14"/>
  <c r="F1165" i="14"/>
  <c r="E1165" i="14"/>
  <c r="D1165" i="14"/>
  <c r="B1165" i="14"/>
  <c r="F1164" i="14"/>
  <c r="G1164" i="14" s="1"/>
  <c r="E1164" i="14"/>
  <c r="D1164" i="14"/>
  <c r="B1164" i="14"/>
  <c r="G1163" i="14"/>
  <c r="F1163" i="14"/>
  <c r="E1163" i="14"/>
  <c r="D1163" i="14"/>
  <c r="B1163" i="14"/>
  <c r="F1162" i="14"/>
  <c r="G1162" i="14" s="1"/>
  <c r="E1162" i="14"/>
  <c r="D1162" i="14"/>
  <c r="B1162" i="14"/>
  <c r="F1161" i="14"/>
  <c r="G1161" i="14" s="1"/>
  <c r="E1161" i="14"/>
  <c r="D1161" i="14"/>
  <c r="B1161" i="14"/>
  <c r="G1160" i="14"/>
  <c r="F1160" i="14"/>
  <c r="E1160" i="14"/>
  <c r="D1160" i="14"/>
  <c r="B1160" i="14"/>
  <c r="F1159" i="14"/>
  <c r="E1159" i="14"/>
  <c r="D1159" i="14"/>
  <c r="B1159" i="14"/>
  <c r="G1158" i="14"/>
  <c r="F1158" i="14"/>
  <c r="E1158" i="14"/>
  <c r="D1158" i="14"/>
  <c r="B1158" i="14"/>
  <c r="F1157" i="14"/>
  <c r="G1157" i="14" s="1"/>
  <c r="E1157" i="14"/>
  <c r="D1157" i="14"/>
  <c r="B1157" i="14"/>
  <c r="F1156" i="14"/>
  <c r="G1156" i="14" s="1"/>
  <c r="E1156" i="14"/>
  <c r="D1156" i="14"/>
  <c r="B1156" i="14"/>
  <c r="F1154" i="14"/>
  <c r="G1154" i="14" s="1"/>
  <c r="E1154" i="14"/>
  <c r="D1154" i="14"/>
  <c r="B1154" i="14"/>
  <c r="F1153" i="14"/>
  <c r="E1153" i="14"/>
  <c r="D1153" i="14"/>
  <c r="B1153" i="14"/>
  <c r="G1152" i="14"/>
  <c r="F1152" i="14"/>
  <c r="E1152" i="14"/>
  <c r="D1152" i="14"/>
  <c r="B1152" i="14"/>
  <c r="F1151" i="14"/>
  <c r="G1151" i="14" s="1"/>
  <c r="E1151" i="14"/>
  <c r="D1151" i="14"/>
  <c r="B1151" i="14"/>
  <c r="F1150" i="14"/>
  <c r="G1150" i="14" s="1"/>
  <c r="E1150" i="14"/>
  <c r="D1150" i="14"/>
  <c r="B1150" i="14"/>
  <c r="F1149" i="14"/>
  <c r="G1149" i="14" s="1"/>
  <c r="E1149" i="14"/>
  <c r="D1149" i="14"/>
  <c r="B1149" i="14"/>
  <c r="G1148" i="14"/>
  <c r="F1148" i="14"/>
  <c r="E1148" i="14"/>
  <c r="D1148" i="14"/>
  <c r="B1148" i="14"/>
  <c r="G1147" i="14"/>
  <c r="F1147" i="14"/>
  <c r="E1147" i="14"/>
  <c r="D1147" i="14"/>
  <c r="B1147" i="14"/>
  <c r="F1146" i="14"/>
  <c r="G1146" i="14" s="1"/>
  <c r="E1146" i="14"/>
  <c r="D1146" i="14"/>
  <c r="B1146" i="14"/>
  <c r="F1145" i="14"/>
  <c r="G1145" i="14" s="1"/>
  <c r="E1145" i="14"/>
  <c r="D1145" i="14"/>
  <c r="B1145" i="14"/>
  <c r="F1144" i="14"/>
  <c r="E1144" i="14"/>
  <c r="D1144" i="14"/>
  <c r="B1144" i="14"/>
  <c r="F1143" i="14"/>
  <c r="G1143" i="14" s="1"/>
  <c r="E1143" i="14"/>
  <c r="D1143" i="14"/>
  <c r="B1143" i="14"/>
  <c r="G1142" i="14"/>
  <c r="F1142" i="14"/>
  <c r="E1142" i="14"/>
  <c r="D1142" i="14"/>
  <c r="B1142" i="14"/>
  <c r="F1141" i="14"/>
  <c r="G1141" i="14" s="1"/>
  <c r="E1141" i="14"/>
  <c r="D1141" i="14"/>
  <c r="B1141" i="14"/>
  <c r="F1140" i="14"/>
  <c r="G1140" i="14" s="1"/>
  <c r="E1140" i="14"/>
  <c r="D1140" i="14"/>
  <c r="B1140" i="14"/>
  <c r="F1138" i="14"/>
  <c r="E1138" i="14"/>
  <c r="D1138" i="14"/>
  <c r="B1138" i="14"/>
  <c r="F1137" i="14"/>
  <c r="G1137" i="14" s="1"/>
  <c r="E1137" i="14"/>
  <c r="D1137" i="14"/>
  <c r="B1137" i="14"/>
  <c r="G1136" i="14"/>
  <c r="F1136" i="14"/>
  <c r="E1136" i="14"/>
  <c r="D1136" i="14"/>
  <c r="B1136" i="14"/>
  <c r="F1135" i="14"/>
  <c r="G1135" i="14" s="1"/>
  <c r="E1135" i="14"/>
  <c r="D1135" i="14"/>
  <c r="B1135" i="14"/>
  <c r="F1134" i="14"/>
  <c r="G1134" i="14" s="1"/>
  <c r="E1134" i="14"/>
  <c r="D1134" i="14"/>
  <c r="B1134" i="14"/>
  <c r="G1133" i="14"/>
  <c r="F1133" i="14"/>
  <c r="E1133" i="14"/>
  <c r="D1133" i="14"/>
  <c r="B1133" i="14"/>
  <c r="F1132" i="14"/>
  <c r="E1132" i="14"/>
  <c r="D1132" i="14"/>
  <c r="B1132" i="14"/>
  <c r="G1131" i="14"/>
  <c r="F1131" i="14"/>
  <c r="E1131" i="14"/>
  <c r="D1131" i="14"/>
  <c r="B1131" i="14"/>
  <c r="F1130" i="14"/>
  <c r="G1130" i="14" s="1"/>
  <c r="E1130" i="14"/>
  <c r="D1130" i="14"/>
  <c r="B1130" i="14"/>
  <c r="F1129" i="14"/>
  <c r="G1129" i="14" s="1"/>
  <c r="E1129" i="14"/>
  <c r="D1129" i="14"/>
  <c r="B1129" i="14"/>
  <c r="F1128" i="14"/>
  <c r="G1128" i="14" s="1"/>
  <c r="E1128" i="14"/>
  <c r="D1128" i="14"/>
  <c r="B1128" i="14"/>
  <c r="F1127" i="14"/>
  <c r="E1127" i="14"/>
  <c r="D1127" i="14"/>
  <c r="B1127" i="14"/>
  <c r="G1126" i="14"/>
  <c r="F1126" i="14"/>
  <c r="E1126" i="14"/>
  <c r="D1126" i="14"/>
  <c r="B1126" i="14"/>
  <c r="F1125" i="14"/>
  <c r="G1125" i="14" s="1"/>
  <c r="E1125" i="14"/>
  <c r="D1125" i="14"/>
  <c r="B1125" i="14"/>
  <c r="F1124" i="14"/>
  <c r="G1124" i="14" s="1"/>
  <c r="E1124" i="14"/>
  <c r="D1124" i="14"/>
  <c r="B1124" i="14"/>
  <c r="F1122" i="14"/>
  <c r="G1122" i="14" s="1"/>
  <c r="E1122" i="14"/>
  <c r="D1122" i="14"/>
  <c r="B1122" i="14"/>
  <c r="G1121" i="14"/>
  <c r="F1121" i="14"/>
  <c r="E1121" i="14"/>
  <c r="D1121" i="14"/>
  <c r="B1121" i="14"/>
  <c r="G1120" i="14"/>
  <c r="F1120" i="14"/>
  <c r="E1120" i="14"/>
  <c r="D1120" i="14"/>
  <c r="B1120" i="14"/>
  <c r="F1119" i="14"/>
  <c r="G1119" i="14" s="1"/>
  <c r="E1119" i="14"/>
  <c r="D1119" i="14"/>
  <c r="B1119" i="14"/>
  <c r="F1118" i="14"/>
  <c r="G1118" i="14" s="1"/>
  <c r="E1118" i="14"/>
  <c r="D1118" i="14"/>
  <c r="B1118" i="14"/>
  <c r="F1117" i="14"/>
  <c r="E1117" i="14"/>
  <c r="D1117" i="14"/>
  <c r="B1117" i="14"/>
  <c r="F1116" i="14"/>
  <c r="G1116" i="14" s="1"/>
  <c r="E1116" i="14"/>
  <c r="D1116" i="14"/>
  <c r="B1116" i="14"/>
  <c r="G1115" i="14"/>
  <c r="F1115" i="14"/>
  <c r="E1115" i="14"/>
  <c r="D1115" i="14"/>
  <c r="B1115" i="14"/>
  <c r="F1114" i="14"/>
  <c r="G1114" i="14" s="1"/>
  <c r="E1114" i="14"/>
  <c r="D1114" i="14"/>
  <c r="B1114" i="14"/>
  <c r="G1113" i="14"/>
  <c r="F1113" i="14"/>
  <c r="E1113" i="14"/>
  <c r="D1113" i="14"/>
  <c r="B1113" i="14"/>
  <c r="G1112" i="14"/>
  <c r="F1112" i="14"/>
  <c r="E1112" i="14"/>
  <c r="D1112" i="14"/>
  <c r="B1112" i="14"/>
  <c r="G1111" i="14"/>
  <c r="F1111" i="14"/>
  <c r="E1111" i="14"/>
  <c r="D1111" i="14"/>
  <c r="B1111" i="14"/>
  <c r="G1110" i="14"/>
  <c r="F1110" i="14"/>
  <c r="E1110" i="14"/>
  <c r="D1110" i="14"/>
  <c r="B1110" i="14"/>
  <c r="F1109" i="14"/>
  <c r="G1109" i="14" s="1"/>
  <c r="E1109" i="14"/>
  <c r="D1109" i="14"/>
  <c r="B1109" i="14"/>
  <c r="G1108" i="14"/>
  <c r="F1108" i="14"/>
  <c r="E1108" i="14"/>
  <c r="D1108" i="14"/>
  <c r="B1108" i="14"/>
  <c r="G1106" i="14"/>
  <c r="F1106" i="14"/>
  <c r="E1106" i="14"/>
  <c r="D1106" i="14"/>
  <c r="B1106" i="14"/>
  <c r="G1105" i="14"/>
  <c r="F1105" i="14"/>
  <c r="E1105" i="14"/>
  <c r="D1105" i="14"/>
  <c r="B1105" i="14"/>
  <c r="F1104" i="14"/>
  <c r="E1104" i="14"/>
  <c r="D1104" i="14"/>
  <c r="B1104" i="14"/>
  <c r="F1103" i="14"/>
  <c r="G1103" i="14" s="1"/>
  <c r="E1103" i="14"/>
  <c r="D1103" i="14"/>
  <c r="B1103" i="14"/>
  <c r="G1102" i="14"/>
  <c r="F1102" i="14"/>
  <c r="E1102" i="14"/>
  <c r="D1102" i="14"/>
  <c r="B1102" i="14"/>
  <c r="G1101" i="14"/>
  <c r="F1101" i="14"/>
  <c r="E1101" i="14"/>
  <c r="D1101" i="14"/>
  <c r="B1101" i="14"/>
  <c r="G1100" i="14"/>
  <c r="F1100" i="14"/>
  <c r="E1100" i="14"/>
  <c r="D1100" i="14"/>
  <c r="B1100" i="14"/>
  <c r="F1099" i="14"/>
  <c r="G1099" i="14" s="1"/>
  <c r="E1099" i="14"/>
  <c r="D1099" i="14"/>
  <c r="B1099" i="14"/>
  <c r="F1098" i="14"/>
  <c r="G1098" i="14" s="1"/>
  <c r="E1098" i="14"/>
  <c r="D1098" i="14"/>
  <c r="B1098" i="14"/>
  <c r="G1097" i="14"/>
  <c r="F1097" i="14"/>
  <c r="E1097" i="14"/>
  <c r="D1097" i="14"/>
  <c r="B1097" i="14"/>
  <c r="G1096" i="14"/>
  <c r="F1096" i="14"/>
  <c r="E1096" i="14"/>
  <c r="D1096" i="14"/>
  <c r="B1096" i="14"/>
  <c r="G1095" i="14"/>
  <c r="F1095" i="14"/>
  <c r="E1095" i="14"/>
  <c r="D1095" i="14"/>
  <c r="B1095" i="14"/>
  <c r="F1093" i="14"/>
  <c r="E1093" i="14"/>
  <c r="D1093" i="14"/>
  <c r="B1093" i="14"/>
  <c r="F1092" i="14"/>
  <c r="G1092" i="14" s="1"/>
  <c r="E1092" i="14"/>
  <c r="D1092" i="14"/>
  <c r="B1092" i="14"/>
  <c r="G1091" i="14"/>
  <c r="F1091" i="14"/>
  <c r="E1091" i="14"/>
  <c r="D1091" i="14"/>
  <c r="B1091" i="14"/>
  <c r="G1090" i="14"/>
  <c r="F1090" i="14"/>
  <c r="E1090" i="14"/>
  <c r="D1090" i="14"/>
  <c r="B1090" i="14"/>
  <c r="G1089" i="14"/>
  <c r="F1089" i="14"/>
  <c r="E1089" i="14"/>
  <c r="D1089" i="14"/>
  <c r="B1089" i="14"/>
  <c r="F1088" i="14"/>
  <c r="G1088" i="14" s="1"/>
  <c r="E1088" i="14"/>
  <c r="D1088" i="14"/>
  <c r="B1088" i="14"/>
  <c r="F1087" i="14"/>
  <c r="G1087" i="14" s="1"/>
  <c r="E1087" i="14"/>
  <c r="D1087" i="14"/>
  <c r="B1087" i="14"/>
  <c r="G1086" i="14"/>
  <c r="F1086" i="14"/>
  <c r="E1086" i="14"/>
  <c r="D1086" i="14"/>
  <c r="B1086" i="14"/>
  <c r="G1085" i="14"/>
  <c r="F1085" i="14"/>
  <c r="E1085" i="14"/>
  <c r="D1085" i="14"/>
  <c r="B1085" i="14"/>
  <c r="G1084" i="14"/>
  <c r="F1084" i="14"/>
  <c r="E1084" i="14"/>
  <c r="D1084" i="14"/>
  <c r="B1084" i="14"/>
  <c r="G1083" i="14"/>
  <c r="F1083" i="14"/>
  <c r="E1083" i="14"/>
  <c r="D1083" i="14"/>
  <c r="B1083" i="14"/>
  <c r="F1082" i="14"/>
  <c r="G1082" i="14" s="1"/>
  <c r="E1082" i="14"/>
  <c r="D1082" i="14"/>
  <c r="B1082" i="14"/>
  <c r="G1080" i="14"/>
  <c r="F1080" i="14"/>
  <c r="E1080" i="14"/>
  <c r="D1080" i="14"/>
  <c r="B1080" i="14"/>
  <c r="G1079" i="14"/>
  <c r="F1079" i="14"/>
  <c r="E1079" i="14"/>
  <c r="D1079" i="14"/>
  <c r="B1079" i="14"/>
  <c r="G1078" i="14"/>
  <c r="F1078" i="14"/>
  <c r="E1078" i="14"/>
  <c r="D1078" i="14"/>
  <c r="B1078" i="14"/>
  <c r="F1077" i="14"/>
  <c r="E1077" i="14"/>
  <c r="D1077" i="14"/>
  <c r="B1077" i="14"/>
  <c r="F1076" i="14"/>
  <c r="G1076" i="14" s="1"/>
  <c r="E1076" i="14"/>
  <c r="D1076" i="14"/>
  <c r="B1076" i="14"/>
  <c r="G1075" i="14"/>
  <c r="F1075" i="14"/>
  <c r="E1075" i="14"/>
  <c r="D1075" i="14"/>
  <c r="B1075" i="14"/>
  <c r="G1074" i="14"/>
  <c r="F1074" i="14"/>
  <c r="E1074" i="14"/>
  <c r="D1074" i="14"/>
  <c r="B1074" i="14"/>
  <c r="G1073" i="14"/>
  <c r="F1073" i="14"/>
  <c r="E1073" i="14"/>
  <c r="D1073" i="14"/>
  <c r="B1073" i="14"/>
  <c r="F1072" i="14"/>
  <c r="G1072" i="14" s="1"/>
  <c r="E1072" i="14"/>
  <c r="D1072" i="14"/>
  <c r="B1072" i="14"/>
  <c r="F1071" i="14"/>
  <c r="G1071" i="14" s="1"/>
  <c r="E1071" i="14"/>
  <c r="D1071" i="14"/>
  <c r="B1071" i="14"/>
  <c r="G1070" i="14"/>
  <c r="F1070" i="14"/>
  <c r="E1070" i="14"/>
  <c r="D1070" i="14"/>
  <c r="B1070" i="14"/>
  <c r="F1069" i="14"/>
  <c r="E1069" i="14"/>
  <c r="D1069" i="14"/>
  <c r="B1069" i="14"/>
  <c r="G1067" i="14"/>
  <c r="F1067" i="14"/>
  <c r="E1067" i="14"/>
  <c r="D1067" i="14"/>
  <c r="B1067" i="14"/>
  <c r="F1066" i="14"/>
  <c r="E1066" i="14"/>
  <c r="D1066" i="14"/>
  <c r="B1066" i="14"/>
  <c r="F1065" i="14"/>
  <c r="G1065" i="14" s="1"/>
  <c r="E1065" i="14"/>
  <c r="D1065" i="14"/>
  <c r="B1065" i="14"/>
  <c r="G1064" i="14"/>
  <c r="F1064" i="14"/>
  <c r="E1064" i="14"/>
  <c r="D1064" i="14"/>
  <c r="B1064" i="14"/>
  <c r="G1063" i="14"/>
  <c r="F1063" i="14"/>
  <c r="E1063" i="14"/>
  <c r="D1063" i="14"/>
  <c r="B1063" i="14"/>
  <c r="G1062" i="14"/>
  <c r="F1062" i="14"/>
  <c r="E1062" i="14"/>
  <c r="D1062" i="14"/>
  <c r="B1062" i="14"/>
  <c r="F1061" i="14"/>
  <c r="G1061" i="14" s="1"/>
  <c r="E1061" i="14"/>
  <c r="D1061" i="14"/>
  <c r="B1061" i="14"/>
  <c r="F1060" i="14"/>
  <c r="G1060" i="14" s="1"/>
  <c r="E1060" i="14"/>
  <c r="D1060" i="14"/>
  <c r="B1060" i="14"/>
  <c r="G1059" i="14"/>
  <c r="F1059" i="14"/>
  <c r="E1059" i="14"/>
  <c r="D1059" i="14"/>
  <c r="B1059" i="14"/>
  <c r="G1058" i="14"/>
  <c r="F1058" i="14"/>
  <c r="E1058" i="14"/>
  <c r="D1058" i="14"/>
  <c r="B1058" i="14"/>
  <c r="F1057" i="14"/>
  <c r="E1057" i="14"/>
  <c r="D1057" i="14"/>
  <c r="B1057" i="14"/>
  <c r="G1056" i="14"/>
  <c r="F1056" i="14"/>
  <c r="E1056" i="14"/>
  <c r="D1056" i="14"/>
  <c r="B1056" i="14"/>
  <c r="F1054" i="14"/>
  <c r="G1054" i="14" s="1"/>
  <c r="E1054" i="14"/>
  <c r="D1054" i="14"/>
  <c r="B1054" i="14"/>
  <c r="F1053" i="14"/>
  <c r="E1053" i="14"/>
  <c r="D1053" i="14"/>
  <c r="B1053" i="14"/>
  <c r="F1052" i="14"/>
  <c r="E1052" i="14"/>
  <c r="D1052" i="14"/>
  <c r="B1052" i="14"/>
  <c r="G1051" i="14"/>
  <c r="F1051" i="14"/>
  <c r="E1051" i="14"/>
  <c r="D1051" i="14"/>
  <c r="B1051" i="14"/>
  <c r="F1050" i="14"/>
  <c r="E1050" i="14"/>
  <c r="D1050" i="14"/>
  <c r="B1050" i="14"/>
  <c r="F1049" i="14"/>
  <c r="G1049" i="14" s="1"/>
  <c r="E1049" i="14"/>
  <c r="D1049" i="14"/>
  <c r="B1049" i="14"/>
  <c r="F1048" i="14"/>
  <c r="E1048" i="14"/>
  <c r="D1048" i="14"/>
  <c r="B1048" i="14"/>
  <c r="G1047" i="14"/>
  <c r="F1047" i="14"/>
  <c r="E1047" i="14"/>
  <c r="D1047" i="14"/>
  <c r="B1047" i="14"/>
  <c r="F1046" i="14"/>
  <c r="G1046" i="14" s="1"/>
  <c r="E1046" i="14"/>
  <c r="D1046" i="14"/>
  <c r="B1046" i="14"/>
  <c r="G1045" i="14"/>
  <c r="F1045" i="14"/>
  <c r="E1045" i="14"/>
  <c r="D1045" i="14"/>
  <c r="B1045" i="14"/>
  <c r="F1044" i="14"/>
  <c r="G1044" i="14" s="1"/>
  <c r="E1044" i="14"/>
  <c r="D1044" i="14"/>
  <c r="B1044" i="14"/>
  <c r="G1043" i="14"/>
  <c r="F1043" i="14"/>
  <c r="E1043" i="14"/>
  <c r="D1043" i="14"/>
  <c r="B1043" i="14"/>
  <c r="G1041" i="14"/>
  <c r="F1041" i="14"/>
  <c r="E1041" i="14"/>
  <c r="D1041" i="14"/>
  <c r="B1041" i="14"/>
  <c r="F1040" i="14"/>
  <c r="E1040" i="14"/>
  <c r="D1040" i="14"/>
  <c r="B1040" i="14"/>
  <c r="F1039" i="14"/>
  <c r="E1039" i="14"/>
  <c r="D1039" i="14"/>
  <c r="B1039" i="14"/>
  <c r="F1038" i="14"/>
  <c r="G1038" i="14" s="1"/>
  <c r="E1038" i="14"/>
  <c r="D1038" i="14"/>
  <c r="B1038" i="14"/>
  <c r="G1037" i="14"/>
  <c r="F1037" i="14"/>
  <c r="E1037" i="14"/>
  <c r="D1037" i="14"/>
  <c r="B1037" i="14"/>
  <c r="F1036" i="14"/>
  <c r="E1036" i="14"/>
  <c r="D1036" i="14"/>
  <c r="B1036" i="14"/>
  <c r="F1035" i="14"/>
  <c r="E1035" i="14"/>
  <c r="D1035" i="14"/>
  <c r="B1035" i="14"/>
  <c r="F1034" i="14"/>
  <c r="G1034" i="14" s="1"/>
  <c r="E1034" i="14"/>
  <c r="D1034" i="14"/>
  <c r="B1034" i="14"/>
  <c r="F1033" i="14"/>
  <c r="G1033" i="14" s="1"/>
  <c r="E1033" i="14"/>
  <c r="D1033" i="14"/>
  <c r="B1033" i="14"/>
  <c r="F1032" i="14"/>
  <c r="G1032" i="14" s="1"/>
  <c r="E1032" i="14"/>
  <c r="D1032" i="14"/>
  <c r="B1032" i="14"/>
  <c r="G1031" i="14"/>
  <c r="F1031" i="14"/>
  <c r="E1031" i="14"/>
  <c r="D1031" i="14"/>
  <c r="B1031" i="14"/>
  <c r="F1030" i="14"/>
  <c r="E1030" i="14"/>
  <c r="D1030" i="14"/>
  <c r="B1030" i="14"/>
  <c r="G1028" i="14"/>
  <c r="F1028" i="14"/>
  <c r="E1028" i="14"/>
  <c r="D1028" i="14"/>
  <c r="B1028" i="14"/>
  <c r="F1027" i="14"/>
  <c r="G1027" i="14" s="1"/>
  <c r="E1027" i="14"/>
  <c r="D1027" i="14"/>
  <c r="B1027" i="14"/>
  <c r="G1026" i="14"/>
  <c r="F1026" i="14"/>
  <c r="E1026" i="14"/>
  <c r="D1026" i="14"/>
  <c r="B1026" i="14"/>
  <c r="F1025" i="14"/>
  <c r="E1025" i="14"/>
  <c r="D1025" i="14"/>
  <c r="B1025" i="14"/>
  <c r="G1024" i="14"/>
  <c r="F1024" i="14"/>
  <c r="E1024" i="14"/>
  <c r="D1024" i="14"/>
  <c r="B1024" i="14"/>
  <c r="G1023" i="14"/>
  <c r="F1023" i="14"/>
  <c r="E1023" i="14"/>
  <c r="D1023" i="14"/>
  <c r="B1023" i="14"/>
  <c r="F1022" i="14"/>
  <c r="G1022" i="14" s="1"/>
  <c r="E1022" i="14"/>
  <c r="D1022" i="14"/>
  <c r="B1022" i="14"/>
  <c r="F1021" i="14"/>
  <c r="E1021" i="14"/>
  <c r="D1021" i="14"/>
  <c r="B1021" i="14"/>
  <c r="G1020" i="14"/>
  <c r="F1020" i="14"/>
  <c r="E1020" i="14"/>
  <c r="D1020" i="14"/>
  <c r="B1020" i="14"/>
  <c r="G1019" i="14"/>
  <c r="F1019" i="14"/>
  <c r="E1019" i="14"/>
  <c r="D1019" i="14"/>
  <c r="B1019" i="14"/>
  <c r="F1018" i="14"/>
  <c r="E1018" i="14"/>
  <c r="D1018" i="14"/>
  <c r="B1018" i="14"/>
  <c r="F1017" i="14"/>
  <c r="G1017" i="14" s="1"/>
  <c r="E1017" i="14"/>
  <c r="D1017" i="14"/>
  <c r="B1017" i="14"/>
  <c r="G1015" i="14"/>
  <c r="F1015" i="14"/>
  <c r="E1015" i="14"/>
  <c r="D1015" i="14"/>
  <c r="B1015" i="14"/>
  <c r="F1014" i="14"/>
  <c r="E1014" i="14"/>
  <c r="D1014" i="14"/>
  <c r="B1014" i="14"/>
  <c r="F1013" i="14"/>
  <c r="G1013" i="14" s="1"/>
  <c r="E1013" i="14"/>
  <c r="D1013" i="14"/>
  <c r="B1013" i="14"/>
  <c r="F1012" i="14"/>
  <c r="E1012" i="14"/>
  <c r="D1012" i="14"/>
  <c r="B1012" i="14"/>
  <c r="F1011" i="14"/>
  <c r="G1011" i="14" s="1"/>
  <c r="E1011" i="14"/>
  <c r="D1011" i="14"/>
  <c r="B1011" i="14"/>
  <c r="F1010" i="14"/>
  <c r="E1010" i="14"/>
  <c r="D1010" i="14"/>
  <c r="B1010" i="14"/>
  <c r="G1009" i="14"/>
  <c r="F1009" i="14"/>
  <c r="E1009" i="14"/>
  <c r="D1009" i="14"/>
  <c r="B1009" i="14"/>
  <c r="F1008" i="14"/>
  <c r="E1008" i="14"/>
  <c r="D1008" i="14"/>
  <c r="B1008" i="14"/>
  <c r="G1007" i="14"/>
  <c r="F1007" i="14"/>
  <c r="E1007" i="14"/>
  <c r="D1007" i="14"/>
  <c r="B1007" i="14"/>
  <c r="G1006" i="14"/>
  <c r="F1006" i="14"/>
  <c r="E1006" i="14"/>
  <c r="D1006" i="14"/>
  <c r="B1006" i="14"/>
  <c r="F1005" i="14"/>
  <c r="G1005" i="14" s="1"/>
  <c r="E1005" i="14"/>
  <c r="D1005" i="14"/>
  <c r="B1005" i="14"/>
  <c r="F1004" i="14"/>
  <c r="E1004" i="14"/>
  <c r="D1004" i="14"/>
  <c r="B1004" i="14"/>
  <c r="F1002" i="14"/>
  <c r="E1002" i="14"/>
  <c r="D1002" i="14"/>
  <c r="B1002" i="14"/>
  <c r="G1001" i="14"/>
  <c r="F1001" i="14"/>
  <c r="E1001" i="14"/>
  <c r="D1001" i="14"/>
  <c r="B1001" i="14"/>
  <c r="G1000" i="14"/>
  <c r="F1000" i="14"/>
  <c r="E1000" i="14"/>
  <c r="D1000" i="14"/>
  <c r="B1000" i="14"/>
  <c r="G999" i="14"/>
  <c r="F999" i="14"/>
  <c r="E999" i="14"/>
  <c r="D999" i="14"/>
  <c r="B999" i="14"/>
  <c r="G998" i="14"/>
  <c r="F998" i="14"/>
  <c r="E998" i="14"/>
  <c r="D998" i="14"/>
  <c r="B998" i="14"/>
  <c r="F997" i="14"/>
  <c r="E997" i="14"/>
  <c r="D997" i="14"/>
  <c r="B997" i="14"/>
  <c r="G996" i="14"/>
  <c r="F996" i="14"/>
  <c r="E996" i="14"/>
  <c r="D996" i="14"/>
  <c r="B996" i="14"/>
  <c r="G995" i="14"/>
  <c r="F995" i="14"/>
  <c r="E995" i="14"/>
  <c r="D995" i="14"/>
  <c r="B995" i="14"/>
  <c r="F994" i="14"/>
  <c r="E994" i="14"/>
  <c r="D994" i="14"/>
  <c r="B994" i="14"/>
  <c r="F993" i="14"/>
  <c r="E993" i="14"/>
  <c r="D993" i="14"/>
  <c r="B993" i="14"/>
  <c r="F992" i="14"/>
  <c r="E992" i="14"/>
  <c r="D992" i="14"/>
  <c r="B992" i="14"/>
  <c r="F991" i="14"/>
  <c r="G991" i="14" s="1"/>
  <c r="E991" i="14"/>
  <c r="D991" i="14"/>
  <c r="B991" i="14"/>
  <c r="G989" i="14"/>
  <c r="F989" i="14"/>
  <c r="E989" i="14"/>
  <c r="D989" i="14"/>
  <c r="B989" i="14"/>
  <c r="F988" i="14"/>
  <c r="G988" i="14" s="1"/>
  <c r="E988" i="14"/>
  <c r="D988" i="14"/>
  <c r="B988" i="14"/>
  <c r="G987" i="14"/>
  <c r="F987" i="14"/>
  <c r="E987" i="14"/>
  <c r="D987" i="14"/>
  <c r="B987" i="14"/>
  <c r="F986" i="14"/>
  <c r="E986" i="14"/>
  <c r="D986" i="14"/>
  <c r="B986" i="14"/>
  <c r="F985" i="14"/>
  <c r="G985" i="14" s="1"/>
  <c r="E985" i="14"/>
  <c r="D985" i="14"/>
  <c r="B985" i="14"/>
  <c r="G984" i="14"/>
  <c r="F984" i="14"/>
  <c r="E984" i="14"/>
  <c r="D984" i="14"/>
  <c r="B984" i="14"/>
  <c r="F983" i="14"/>
  <c r="G983" i="14" s="1"/>
  <c r="E983" i="14"/>
  <c r="D983" i="14"/>
  <c r="B983" i="14"/>
  <c r="F982" i="14"/>
  <c r="E982" i="14"/>
  <c r="D982" i="14"/>
  <c r="B982" i="14"/>
  <c r="F981" i="14"/>
  <c r="E981" i="14"/>
  <c r="D981" i="14"/>
  <c r="B981" i="14"/>
  <c r="F980" i="14"/>
  <c r="G980" i="14" s="1"/>
  <c r="E980" i="14"/>
  <c r="D980" i="14"/>
  <c r="B980" i="14"/>
  <c r="G979" i="14"/>
  <c r="F979" i="14"/>
  <c r="E979" i="14"/>
  <c r="D979" i="14"/>
  <c r="B979" i="14"/>
  <c r="F978" i="14"/>
  <c r="E978" i="14"/>
  <c r="D978" i="14"/>
  <c r="B978" i="14"/>
  <c r="F976" i="14"/>
  <c r="G976" i="14" s="1"/>
  <c r="E976" i="14"/>
  <c r="D976" i="14"/>
  <c r="B976" i="14"/>
  <c r="F975" i="14"/>
  <c r="E975" i="14"/>
  <c r="D975" i="14"/>
  <c r="B975" i="14"/>
  <c r="F974" i="14"/>
  <c r="G974" i="14" s="1"/>
  <c r="E974" i="14"/>
  <c r="D974" i="14"/>
  <c r="B974" i="14"/>
  <c r="G973" i="14"/>
  <c r="F973" i="14"/>
  <c r="E973" i="14"/>
  <c r="D973" i="14"/>
  <c r="B973" i="14"/>
  <c r="G972" i="14"/>
  <c r="F972" i="14"/>
  <c r="E972" i="14"/>
  <c r="D972" i="14"/>
  <c r="B972" i="14"/>
  <c r="F971" i="14"/>
  <c r="G971" i="14" s="1"/>
  <c r="E971" i="14"/>
  <c r="D971" i="14"/>
  <c r="B971" i="14"/>
  <c r="F970" i="14"/>
  <c r="E970" i="14"/>
  <c r="D970" i="14"/>
  <c r="B970" i="14"/>
  <c r="F969" i="14"/>
  <c r="G969" i="14" s="1"/>
  <c r="E969" i="14"/>
  <c r="D969" i="14"/>
  <c r="B969" i="14"/>
  <c r="G968" i="14"/>
  <c r="F968" i="14"/>
  <c r="E968" i="14"/>
  <c r="D968" i="14"/>
  <c r="B968" i="14"/>
  <c r="F967" i="14"/>
  <c r="E967" i="14"/>
  <c r="D967" i="14"/>
  <c r="B967" i="14"/>
  <c r="F966" i="14"/>
  <c r="E966" i="14"/>
  <c r="D966" i="14"/>
  <c r="B966" i="14"/>
  <c r="F965" i="14"/>
  <c r="E965" i="14"/>
  <c r="D965" i="14"/>
  <c r="B965" i="14"/>
  <c r="F963" i="14"/>
  <c r="G963" i="14" s="1"/>
  <c r="E963" i="14"/>
  <c r="D963" i="14"/>
  <c r="B963" i="14"/>
  <c r="G962" i="14"/>
  <c r="F962" i="14"/>
  <c r="E962" i="14"/>
  <c r="D962" i="14"/>
  <c r="B962" i="14"/>
  <c r="F961" i="14"/>
  <c r="G961" i="14" s="1"/>
  <c r="E961" i="14"/>
  <c r="D961" i="14"/>
  <c r="B961" i="14"/>
  <c r="G960" i="14"/>
  <c r="F960" i="14"/>
  <c r="E960" i="14"/>
  <c r="D960" i="14"/>
  <c r="B960" i="14"/>
  <c r="F959" i="14"/>
  <c r="E959" i="14"/>
  <c r="D959" i="14"/>
  <c r="B959" i="14"/>
  <c r="F958" i="14"/>
  <c r="G958" i="14" s="1"/>
  <c r="E958" i="14"/>
  <c r="D958" i="14"/>
  <c r="B958" i="14"/>
  <c r="G957" i="14"/>
  <c r="F957" i="14"/>
  <c r="E957" i="14"/>
  <c r="D957" i="14"/>
  <c r="B957" i="14"/>
  <c r="F956" i="14"/>
  <c r="G956" i="14" s="1"/>
  <c r="E956" i="14"/>
  <c r="D956" i="14"/>
  <c r="B956" i="14"/>
  <c r="F955" i="14"/>
  <c r="E955" i="14"/>
  <c r="D955" i="14"/>
  <c r="B955" i="14"/>
  <c r="F954" i="14"/>
  <c r="E954" i="14"/>
  <c r="D954" i="14"/>
  <c r="B954" i="14"/>
  <c r="F953" i="14"/>
  <c r="G953" i="14" s="1"/>
  <c r="E953" i="14"/>
  <c r="D953" i="14"/>
  <c r="B953" i="14"/>
  <c r="G952" i="14"/>
  <c r="F952" i="14"/>
  <c r="E952" i="14"/>
  <c r="D952" i="14"/>
  <c r="B952" i="14"/>
  <c r="F950" i="14"/>
  <c r="E950" i="14"/>
  <c r="D950" i="14"/>
  <c r="B950" i="14"/>
  <c r="F949" i="14"/>
  <c r="G949" i="14" s="1"/>
  <c r="E949" i="14"/>
  <c r="D949" i="14"/>
  <c r="B949" i="14"/>
  <c r="F948" i="14"/>
  <c r="E948" i="14"/>
  <c r="D948" i="14"/>
  <c r="B948" i="14"/>
  <c r="F947" i="14"/>
  <c r="G947" i="14" s="1"/>
  <c r="E947" i="14"/>
  <c r="D947" i="14"/>
  <c r="B947" i="14"/>
  <c r="G946" i="14"/>
  <c r="F946" i="14"/>
  <c r="E946" i="14"/>
  <c r="D946" i="14"/>
  <c r="B946" i="14"/>
  <c r="G945" i="14"/>
  <c r="F945" i="14"/>
  <c r="E945" i="14"/>
  <c r="D945" i="14"/>
  <c r="B945" i="14"/>
  <c r="F944" i="14"/>
  <c r="G944" i="14" s="1"/>
  <c r="E944" i="14"/>
  <c r="D944" i="14"/>
  <c r="B944" i="14"/>
  <c r="F943" i="14"/>
  <c r="E943" i="14"/>
  <c r="D943" i="14"/>
  <c r="B943" i="14"/>
  <c r="F942" i="14"/>
  <c r="G942" i="14" s="1"/>
  <c r="E942" i="14"/>
  <c r="D942" i="14"/>
  <c r="B942" i="14"/>
  <c r="G941" i="14"/>
  <c r="F941" i="14"/>
  <c r="E941" i="14"/>
  <c r="D941" i="14"/>
  <c r="B941" i="14"/>
  <c r="F940" i="14"/>
  <c r="E940" i="14"/>
  <c r="D940" i="14"/>
  <c r="B940" i="14"/>
  <c r="F939" i="14"/>
  <c r="E939" i="14"/>
  <c r="D939" i="14"/>
  <c r="B939" i="14"/>
  <c r="F937" i="14"/>
  <c r="E937" i="14"/>
  <c r="D937" i="14"/>
  <c r="B937" i="14"/>
  <c r="F936" i="14"/>
  <c r="G936" i="14" s="1"/>
  <c r="E936" i="14"/>
  <c r="D936" i="14"/>
  <c r="B936" i="14"/>
  <c r="G935" i="14"/>
  <c r="F935" i="14"/>
  <c r="E935" i="14"/>
  <c r="D935" i="14"/>
  <c r="B935" i="14"/>
  <c r="F934" i="14"/>
  <c r="E934" i="14"/>
  <c r="D934" i="14"/>
  <c r="B934" i="14"/>
  <c r="G933" i="14"/>
  <c r="F933" i="14"/>
  <c r="E933" i="14"/>
  <c r="D933" i="14"/>
  <c r="B933" i="14"/>
  <c r="F932" i="14"/>
  <c r="E932" i="14"/>
  <c r="D932" i="14"/>
  <c r="B932" i="14"/>
  <c r="F931" i="14"/>
  <c r="G931" i="14" s="1"/>
  <c r="E931" i="14"/>
  <c r="D931" i="14"/>
  <c r="B931" i="14"/>
  <c r="G930" i="14"/>
  <c r="F930" i="14"/>
  <c r="E930" i="14"/>
  <c r="D930" i="14"/>
  <c r="B930" i="14"/>
  <c r="F929" i="14"/>
  <c r="G929" i="14" s="1"/>
  <c r="E929" i="14"/>
  <c r="D929" i="14"/>
  <c r="B929" i="14"/>
  <c r="F928" i="14"/>
  <c r="E928" i="14"/>
  <c r="D928" i="14"/>
  <c r="B928" i="14"/>
  <c r="F927" i="14"/>
  <c r="E927" i="14"/>
  <c r="D927" i="14"/>
  <c r="B927" i="14"/>
  <c r="F926" i="14"/>
  <c r="G926" i="14" s="1"/>
  <c r="E926" i="14"/>
  <c r="D926" i="14"/>
  <c r="B926" i="14"/>
  <c r="G924" i="14"/>
  <c r="F924" i="14"/>
  <c r="E924" i="14"/>
  <c r="D924" i="14"/>
  <c r="B924" i="14"/>
  <c r="F923" i="14"/>
  <c r="E923" i="14"/>
  <c r="D923" i="14"/>
  <c r="B923" i="14"/>
  <c r="F922" i="14"/>
  <c r="G922" i="14" s="1"/>
  <c r="E922" i="14"/>
  <c r="D922" i="14"/>
  <c r="B922" i="14"/>
  <c r="F921" i="14"/>
  <c r="E921" i="14"/>
  <c r="D921" i="14"/>
  <c r="B921" i="14"/>
  <c r="F920" i="14"/>
  <c r="G920" i="14" s="1"/>
  <c r="E920" i="14"/>
  <c r="D920" i="14"/>
  <c r="B920" i="14"/>
  <c r="G919" i="14"/>
  <c r="F919" i="14"/>
  <c r="E919" i="14"/>
  <c r="D919" i="14"/>
  <c r="B919" i="14"/>
  <c r="G918" i="14"/>
  <c r="F918" i="14"/>
  <c r="E918" i="14"/>
  <c r="D918" i="14"/>
  <c r="B918" i="14"/>
  <c r="F917" i="14"/>
  <c r="G917" i="14" s="1"/>
  <c r="E917" i="14"/>
  <c r="D917" i="14"/>
  <c r="B917" i="14"/>
  <c r="F916" i="14"/>
  <c r="E916" i="14"/>
  <c r="D916" i="14"/>
  <c r="B916" i="14"/>
  <c r="F915" i="14"/>
  <c r="G915" i="14" s="1"/>
  <c r="E915" i="14"/>
  <c r="D915" i="14"/>
  <c r="B915" i="14"/>
  <c r="G914" i="14"/>
  <c r="F914" i="14"/>
  <c r="E914" i="14"/>
  <c r="D914" i="14"/>
  <c r="B914" i="14"/>
  <c r="F913" i="14"/>
  <c r="E913" i="14"/>
  <c r="D913" i="14"/>
  <c r="B913" i="14"/>
  <c r="F912" i="14"/>
  <c r="G912" i="14" s="1"/>
  <c r="E912" i="14"/>
  <c r="D912" i="14"/>
  <c r="B912" i="14"/>
  <c r="F911" i="14"/>
  <c r="E911" i="14"/>
  <c r="D911" i="14"/>
  <c r="B911" i="14"/>
  <c r="F910" i="14"/>
  <c r="G910" i="14" s="1"/>
  <c r="E910" i="14"/>
  <c r="D910" i="14"/>
  <c r="B910" i="14"/>
  <c r="F909" i="14"/>
  <c r="G909" i="14" s="1"/>
  <c r="E909" i="14"/>
  <c r="D909" i="14"/>
  <c r="B909" i="14"/>
  <c r="F908" i="14"/>
  <c r="G908" i="14" s="1"/>
  <c r="E908" i="14"/>
  <c r="D908" i="14"/>
  <c r="B908" i="14"/>
  <c r="F906" i="14"/>
  <c r="E906" i="14"/>
  <c r="D906" i="14"/>
  <c r="B906" i="14"/>
  <c r="F905" i="14"/>
  <c r="E905" i="14"/>
  <c r="D905" i="14"/>
  <c r="B905" i="14"/>
  <c r="F904" i="14"/>
  <c r="G904" i="14" s="1"/>
  <c r="E904" i="14"/>
  <c r="D904" i="14"/>
  <c r="B904" i="14"/>
  <c r="F903" i="14"/>
  <c r="E903" i="14"/>
  <c r="D903" i="14"/>
  <c r="B903" i="14"/>
  <c r="G902" i="14"/>
  <c r="F902" i="14"/>
  <c r="E902" i="14"/>
  <c r="D902" i="14"/>
  <c r="B902" i="14"/>
  <c r="F901" i="14"/>
  <c r="G901" i="14" s="1"/>
  <c r="E901" i="14"/>
  <c r="D901" i="14"/>
  <c r="B901" i="14"/>
  <c r="F900" i="14"/>
  <c r="E900" i="14"/>
  <c r="D900" i="14"/>
  <c r="B900" i="14"/>
  <c r="F899" i="14"/>
  <c r="G899" i="14" s="1"/>
  <c r="E899" i="14"/>
  <c r="D899" i="14"/>
  <c r="B899" i="14"/>
  <c r="F898" i="14"/>
  <c r="G898" i="14" s="1"/>
  <c r="E898" i="14"/>
  <c r="D898" i="14"/>
  <c r="B898" i="14"/>
  <c r="F897" i="14"/>
  <c r="G897" i="14" s="1"/>
  <c r="E897" i="14"/>
  <c r="D897" i="14"/>
  <c r="B897" i="14"/>
  <c r="G896" i="14"/>
  <c r="F896" i="14"/>
  <c r="E896" i="14"/>
  <c r="D896" i="14"/>
  <c r="B896" i="14"/>
  <c r="F895" i="14"/>
  <c r="E895" i="14"/>
  <c r="D895" i="14"/>
  <c r="B895" i="14"/>
  <c r="F894" i="14"/>
  <c r="G894" i="14" s="1"/>
  <c r="E894" i="14"/>
  <c r="D894" i="14"/>
  <c r="B894" i="14"/>
  <c r="G893" i="14"/>
  <c r="F893" i="14"/>
  <c r="E893" i="14"/>
  <c r="D893" i="14"/>
  <c r="B893" i="14"/>
  <c r="F892" i="14"/>
  <c r="G892" i="14" s="1"/>
  <c r="E892" i="14"/>
  <c r="D892" i="14"/>
  <c r="B892" i="14"/>
  <c r="F891" i="14"/>
  <c r="G891" i="14" s="1"/>
  <c r="E891" i="14"/>
  <c r="D891" i="14"/>
  <c r="B891" i="14"/>
  <c r="F890" i="14"/>
  <c r="E890" i="14"/>
  <c r="D890" i="14"/>
  <c r="B890" i="14"/>
  <c r="F888" i="14"/>
  <c r="G888" i="14" s="1"/>
  <c r="E888" i="14"/>
  <c r="D888" i="14"/>
  <c r="B888" i="14"/>
  <c r="F887" i="14"/>
  <c r="G887" i="14" s="1"/>
  <c r="E887" i="14"/>
  <c r="D887" i="14"/>
  <c r="B887" i="14"/>
  <c r="F886" i="14"/>
  <c r="E886" i="14"/>
  <c r="D886" i="14"/>
  <c r="B886" i="14"/>
  <c r="F885" i="14"/>
  <c r="G885" i="14" s="1"/>
  <c r="E885" i="14"/>
  <c r="D885" i="14"/>
  <c r="B885" i="14"/>
  <c r="F884" i="14"/>
  <c r="E884" i="14"/>
  <c r="D884" i="14"/>
  <c r="B884" i="14"/>
  <c r="F883" i="14"/>
  <c r="G883" i="14" s="1"/>
  <c r="E883" i="14"/>
  <c r="D883" i="14"/>
  <c r="B883" i="14"/>
  <c r="F882" i="14"/>
  <c r="G882" i="14" s="1"/>
  <c r="E882" i="14"/>
  <c r="D882" i="14"/>
  <c r="B882" i="14"/>
  <c r="F881" i="14"/>
  <c r="G881" i="14" s="1"/>
  <c r="E881" i="14"/>
  <c r="D881" i="14"/>
  <c r="B881" i="14"/>
  <c r="F880" i="14"/>
  <c r="E880" i="14"/>
  <c r="D880" i="14"/>
  <c r="B880" i="14"/>
  <c r="F879" i="14"/>
  <c r="E879" i="14"/>
  <c r="D879" i="14"/>
  <c r="B879" i="14"/>
  <c r="F878" i="14"/>
  <c r="G878" i="14" s="1"/>
  <c r="E878" i="14"/>
  <c r="D878" i="14"/>
  <c r="B878" i="14"/>
  <c r="F877" i="14"/>
  <c r="E877" i="14"/>
  <c r="D877" i="14"/>
  <c r="B877" i="14"/>
  <c r="G876" i="14"/>
  <c r="F876" i="14"/>
  <c r="E876" i="14"/>
  <c r="D876" i="14"/>
  <c r="B876" i="14"/>
  <c r="G875" i="14"/>
  <c r="F875" i="14"/>
  <c r="E875" i="14"/>
  <c r="D875" i="14"/>
  <c r="B875" i="14"/>
  <c r="F874" i="14"/>
  <c r="G874" i="14" s="1"/>
  <c r="E874" i="14"/>
  <c r="D874" i="14"/>
  <c r="B874" i="14"/>
  <c r="L872" i="14"/>
  <c r="G872" i="14"/>
  <c r="F872" i="14"/>
  <c r="E872" i="14"/>
  <c r="D872" i="14"/>
  <c r="B872" i="14"/>
  <c r="L871" i="14"/>
  <c r="F871" i="14"/>
  <c r="G871" i="14" s="1"/>
  <c r="E871" i="14"/>
  <c r="D871" i="14"/>
  <c r="B871" i="14"/>
  <c r="L870" i="14"/>
  <c r="G870" i="14"/>
  <c r="F870" i="14"/>
  <c r="E870" i="14"/>
  <c r="D870" i="14"/>
  <c r="B870" i="14"/>
  <c r="L869" i="14"/>
  <c r="G869" i="14"/>
  <c r="F869" i="14"/>
  <c r="E869" i="14"/>
  <c r="D869" i="14"/>
  <c r="B869" i="14"/>
  <c r="L868" i="14"/>
  <c r="F868" i="14"/>
  <c r="G868" i="14" s="1"/>
  <c r="E868" i="14"/>
  <c r="D868" i="14"/>
  <c r="B868" i="14"/>
  <c r="L867" i="14"/>
  <c r="G867" i="14"/>
  <c r="F867" i="14"/>
  <c r="E867" i="14"/>
  <c r="D867" i="14"/>
  <c r="B867" i="14"/>
  <c r="L866" i="14"/>
  <c r="G866" i="14"/>
  <c r="F866" i="14"/>
  <c r="E866" i="14"/>
  <c r="D866" i="14"/>
  <c r="B866" i="14"/>
  <c r="L865" i="14"/>
  <c r="G865" i="14"/>
  <c r="F865" i="14"/>
  <c r="E865" i="14"/>
  <c r="D865" i="14"/>
  <c r="B865" i="14"/>
  <c r="L864" i="14"/>
  <c r="F864" i="14"/>
  <c r="E864" i="14"/>
  <c r="D864" i="14"/>
  <c r="B864" i="14"/>
  <c r="L863" i="14"/>
  <c r="F863" i="14"/>
  <c r="G863" i="14" s="1"/>
  <c r="E863" i="14"/>
  <c r="D863" i="14"/>
  <c r="B863" i="14"/>
  <c r="L862" i="14"/>
  <c r="G862" i="14"/>
  <c r="F862" i="14"/>
  <c r="E862" i="14"/>
  <c r="D862" i="14"/>
  <c r="B862" i="14"/>
  <c r="L861" i="14"/>
  <c r="F861" i="14"/>
  <c r="G861" i="14" s="1"/>
  <c r="E861" i="14"/>
  <c r="D861" i="14"/>
  <c r="B861" i="14"/>
  <c r="L860" i="14"/>
  <c r="G860" i="14"/>
  <c r="F860" i="14"/>
  <c r="E860" i="14"/>
  <c r="D860" i="14"/>
  <c r="B860" i="14"/>
  <c r="L859" i="14"/>
  <c r="F859" i="14"/>
  <c r="G859" i="14" s="1"/>
  <c r="E859" i="14"/>
  <c r="D859" i="14"/>
  <c r="B859" i="14"/>
  <c r="F857" i="14"/>
  <c r="I857" i="14" s="1"/>
  <c r="E857" i="14"/>
  <c r="D857" i="14"/>
  <c r="F856" i="14"/>
  <c r="E856" i="14"/>
  <c r="D856" i="14"/>
  <c r="F855" i="14"/>
  <c r="G855" i="14" s="1"/>
  <c r="E855" i="14"/>
  <c r="D855" i="14"/>
  <c r="G854" i="14"/>
  <c r="F854" i="14"/>
  <c r="I854" i="14" s="1"/>
  <c r="E854" i="14"/>
  <c r="D854" i="14"/>
  <c r="I853" i="14"/>
  <c r="F853" i="14"/>
  <c r="G853" i="14" s="1"/>
  <c r="E853" i="14"/>
  <c r="D853" i="14"/>
  <c r="G852" i="14"/>
  <c r="F852" i="14"/>
  <c r="I852" i="14" s="1"/>
  <c r="E852" i="14"/>
  <c r="D852" i="14"/>
  <c r="I851" i="14"/>
  <c r="F851" i="14"/>
  <c r="G851" i="14" s="1"/>
  <c r="E851" i="14"/>
  <c r="D851" i="14"/>
  <c r="I850" i="14"/>
  <c r="F850" i="14"/>
  <c r="G850" i="14" s="1"/>
  <c r="E850" i="14"/>
  <c r="D850" i="14"/>
  <c r="I849" i="14"/>
  <c r="G849" i="14"/>
  <c r="F849" i="14"/>
  <c r="E849" i="14"/>
  <c r="D849" i="14"/>
  <c r="G847" i="14"/>
  <c r="F847" i="14"/>
  <c r="E847" i="14"/>
  <c r="D847" i="14"/>
  <c r="B847" i="14"/>
  <c r="G846" i="14"/>
  <c r="F846" i="14"/>
  <c r="E846" i="14"/>
  <c r="D846" i="14"/>
  <c r="B846" i="14"/>
  <c r="G845" i="14"/>
  <c r="F845" i="14"/>
  <c r="E845" i="14"/>
  <c r="D845" i="14"/>
  <c r="B845" i="14"/>
  <c r="F844" i="14"/>
  <c r="E844" i="14"/>
  <c r="D844" i="14"/>
  <c r="B844" i="14"/>
  <c r="F843" i="14"/>
  <c r="E843" i="14"/>
  <c r="D843" i="14"/>
  <c r="B843" i="14"/>
  <c r="G842" i="14"/>
  <c r="F842" i="14"/>
  <c r="E842" i="14"/>
  <c r="D842" i="14"/>
  <c r="B842" i="14"/>
  <c r="G841" i="14"/>
  <c r="F841" i="14"/>
  <c r="E841" i="14"/>
  <c r="D841" i="14"/>
  <c r="B841" i="14"/>
  <c r="G840" i="14"/>
  <c r="F840" i="14"/>
  <c r="E840" i="14"/>
  <c r="D840" i="14"/>
  <c r="B840" i="14"/>
  <c r="F839" i="14"/>
  <c r="E839" i="14"/>
  <c r="D839" i="14"/>
  <c r="B839" i="14"/>
  <c r="F838" i="14"/>
  <c r="E838" i="14"/>
  <c r="D838" i="14"/>
  <c r="B838" i="14"/>
  <c r="G837" i="14"/>
  <c r="F837" i="14"/>
  <c r="E837" i="14"/>
  <c r="D837" i="14"/>
  <c r="B837" i="14"/>
  <c r="G836" i="14"/>
  <c r="F836" i="14"/>
  <c r="E836" i="14"/>
  <c r="D836" i="14"/>
  <c r="B836" i="14"/>
  <c r="F835" i="14"/>
  <c r="G835" i="14" s="1"/>
  <c r="E835" i="14"/>
  <c r="D835" i="14"/>
  <c r="B835" i="14"/>
  <c r="G834" i="14"/>
  <c r="F834" i="14"/>
  <c r="E834" i="14"/>
  <c r="D834" i="14"/>
  <c r="B834" i="14"/>
  <c r="G833" i="14"/>
  <c r="F833" i="14"/>
  <c r="E833" i="14"/>
  <c r="D833" i="14"/>
  <c r="B833" i="14"/>
  <c r="G831" i="14"/>
  <c r="F831" i="14"/>
  <c r="E831" i="14"/>
  <c r="D831" i="14"/>
  <c r="B831" i="14"/>
  <c r="F830" i="14"/>
  <c r="E830" i="14"/>
  <c r="D830" i="14"/>
  <c r="B830" i="14"/>
  <c r="F829" i="14"/>
  <c r="E829" i="14"/>
  <c r="D829" i="14"/>
  <c r="B829" i="14"/>
  <c r="F828" i="14"/>
  <c r="E828" i="14"/>
  <c r="D828" i="14"/>
  <c r="B828" i="14"/>
  <c r="F827" i="14"/>
  <c r="E827" i="14"/>
  <c r="D827" i="14"/>
  <c r="B827" i="14"/>
  <c r="G826" i="14"/>
  <c r="F826" i="14"/>
  <c r="E826" i="14"/>
  <c r="D826" i="14"/>
  <c r="B826" i="14"/>
  <c r="F825" i="14"/>
  <c r="E825" i="14"/>
  <c r="D825" i="14"/>
  <c r="B825" i="14"/>
  <c r="G824" i="14"/>
  <c r="F824" i="14"/>
  <c r="E824" i="14"/>
  <c r="D824" i="14"/>
  <c r="B824" i="14"/>
  <c r="F823" i="14"/>
  <c r="G823" i="14" s="1"/>
  <c r="E823" i="14"/>
  <c r="D823" i="14"/>
  <c r="B823" i="14"/>
  <c r="F822" i="14"/>
  <c r="E822" i="14"/>
  <c r="D822" i="14"/>
  <c r="B822" i="14"/>
  <c r="G821" i="14"/>
  <c r="F821" i="14"/>
  <c r="E821" i="14"/>
  <c r="D821" i="14"/>
  <c r="B821" i="14"/>
  <c r="F820" i="14"/>
  <c r="E820" i="14"/>
  <c r="D820" i="14"/>
  <c r="B820" i="14"/>
  <c r="G819" i="14"/>
  <c r="F819" i="14"/>
  <c r="E819" i="14"/>
  <c r="D819" i="14"/>
  <c r="B819" i="14"/>
  <c r="G818" i="14"/>
  <c r="F818" i="14"/>
  <c r="E818" i="14"/>
  <c r="D818" i="14"/>
  <c r="B818" i="14"/>
  <c r="F817" i="14"/>
  <c r="E817" i="14"/>
  <c r="D817" i="14"/>
  <c r="B817" i="14"/>
  <c r="G815" i="14"/>
  <c r="F815" i="14"/>
  <c r="E815" i="14"/>
  <c r="D815" i="14"/>
  <c r="B815" i="14"/>
  <c r="G814" i="14"/>
  <c r="F814" i="14"/>
  <c r="E814" i="14"/>
  <c r="D814" i="14"/>
  <c r="B814" i="14"/>
  <c r="G813" i="14"/>
  <c r="F813" i="14"/>
  <c r="E813" i="14"/>
  <c r="D813" i="14"/>
  <c r="B813" i="14"/>
  <c r="F812" i="14"/>
  <c r="E812" i="14"/>
  <c r="D812" i="14"/>
  <c r="B812" i="14"/>
  <c r="F811" i="14"/>
  <c r="E811" i="14"/>
  <c r="D811" i="14"/>
  <c r="B811" i="14"/>
  <c r="G810" i="14"/>
  <c r="F810" i="14"/>
  <c r="E810" i="14"/>
  <c r="D810" i="14"/>
  <c r="B810" i="14"/>
  <c r="F809" i="14"/>
  <c r="E809" i="14"/>
  <c r="D809" i="14"/>
  <c r="B809" i="14"/>
  <c r="G808" i="14"/>
  <c r="F808" i="14"/>
  <c r="E808" i="14"/>
  <c r="D808" i="14"/>
  <c r="B808" i="14"/>
  <c r="G807" i="14"/>
  <c r="F807" i="14"/>
  <c r="E807" i="14"/>
  <c r="D807" i="14"/>
  <c r="B807" i="14"/>
  <c r="G806" i="14"/>
  <c r="F806" i="14"/>
  <c r="E806" i="14"/>
  <c r="D806" i="14"/>
  <c r="B806" i="14"/>
  <c r="G805" i="14"/>
  <c r="F805" i="14"/>
  <c r="E805" i="14"/>
  <c r="D805" i="14"/>
  <c r="B805" i="14"/>
  <c r="F804" i="14"/>
  <c r="E804" i="14"/>
  <c r="D804" i="14"/>
  <c r="B804" i="14"/>
  <c r="F803" i="14"/>
  <c r="G803" i="14" s="1"/>
  <c r="E803" i="14"/>
  <c r="D803" i="14"/>
  <c r="B803" i="14"/>
  <c r="F802" i="14"/>
  <c r="G802" i="14" s="1"/>
  <c r="E802" i="14"/>
  <c r="D802" i="14"/>
  <c r="B802" i="14"/>
  <c r="F801" i="14"/>
  <c r="E801" i="14"/>
  <c r="D801" i="14"/>
  <c r="B801" i="14"/>
  <c r="F799" i="14"/>
  <c r="E799" i="14"/>
  <c r="D799" i="14"/>
  <c r="B799" i="14"/>
  <c r="F798" i="14"/>
  <c r="G798" i="14" s="1"/>
  <c r="E798" i="14"/>
  <c r="D798" i="14"/>
  <c r="B798" i="14"/>
  <c r="F797" i="14"/>
  <c r="E797" i="14"/>
  <c r="D797" i="14"/>
  <c r="B797" i="14"/>
  <c r="G796" i="14"/>
  <c r="F796" i="14"/>
  <c r="E796" i="14"/>
  <c r="D796" i="14"/>
  <c r="B796" i="14"/>
  <c r="G795" i="14"/>
  <c r="F795" i="14"/>
  <c r="E795" i="14"/>
  <c r="D795" i="14"/>
  <c r="B795" i="14"/>
  <c r="G794" i="14"/>
  <c r="F794" i="14"/>
  <c r="E794" i="14"/>
  <c r="D794" i="14"/>
  <c r="B794" i="14"/>
  <c r="F793" i="14"/>
  <c r="G793" i="14" s="1"/>
  <c r="E793" i="14"/>
  <c r="D793" i="14"/>
  <c r="B793" i="14"/>
  <c r="F792" i="14"/>
  <c r="E792" i="14"/>
  <c r="D792" i="14"/>
  <c r="B792" i="14"/>
  <c r="F791" i="14"/>
  <c r="E791" i="14"/>
  <c r="D791" i="14"/>
  <c r="B791" i="14"/>
  <c r="F790" i="14"/>
  <c r="E790" i="14"/>
  <c r="D790" i="14"/>
  <c r="B790" i="14"/>
  <c r="G789" i="14"/>
  <c r="F789" i="14"/>
  <c r="E789" i="14"/>
  <c r="D789" i="14"/>
  <c r="B789" i="14"/>
  <c r="F788" i="14"/>
  <c r="E788" i="14"/>
  <c r="D788" i="14"/>
  <c r="B788" i="14"/>
  <c r="F787" i="14"/>
  <c r="G787" i="14" s="1"/>
  <c r="E787" i="14"/>
  <c r="D787" i="14"/>
  <c r="B787" i="14"/>
  <c r="G786" i="14"/>
  <c r="F786" i="14"/>
  <c r="E786" i="14"/>
  <c r="D786" i="14"/>
  <c r="B786" i="14"/>
  <c r="F785" i="14"/>
  <c r="G785" i="14" s="1"/>
  <c r="E785" i="14"/>
  <c r="D785" i="14"/>
  <c r="B785" i="14"/>
  <c r="F783" i="14"/>
  <c r="E783" i="14"/>
  <c r="D783" i="14"/>
  <c r="B783" i="14"/>
  <c r="F782" i="14"/>
  <c r="E782" i="14"/>
  <c r="D782" i="14"/>
  <c r="B782" i="14"/>
  <c r="G781" i="14"/>
  <c r="F781" i="14"/>
  <c r="E781" i="14"/>
  <c r="D781" i="14"/>
  <c r="B781" i="14"/>
  <c r="F780" i="14"/>
  <c r="G780" i="14" s="1"/>
  <c r="E780" i="14"/>
  <c r="D780" i="14"/>
  <c r="B780" i="14"/>
  <c r="F779" i="14"/>
  <c r="G779" i="14" s="1"/>
  <c r="E779" i="14"/>
  <c r="D779" i="14"/>
  <c r="B779" i="14"/>
  <c r="F778" i="14"/>
  <c r="E778" i="14"/>
  <c r="D778" i="14"/>
  <c r="B778" i="14"/>
  <c r="F777" i="14"/>
  <c r="G777" i="14" s="1"/>
  <c r="E777" i="14"/>
  <c r="D777" i="14"/>
  <c r="B777" i="14"/>
  <c r="F776" i="14"/>
  <c r="G776" i="14" s="1"/>
  <c r="E776" i="14"/>
  <c r="D776" i="14"/>
  <c r="B776" i="14"/>
  <c r="F775" i="14"/>
  <c r="E775" i="14"/>
  <c r="D775" i="14"/>
  <c r="B775" i="14"/>
  <c r="F774" i="14"/>
  <c r="E774" i="14"/>
  <c r="D774" i="14"/>
  <c r="B774" i="14"/>
  <c r="G773" i="14"/>
  <c r="F773" i="14"/>
  <c r="E773" i="14"/>
  <c r="D773" i="14"/>
  <c r="B773" i="14"/>
  <c r="F772" i="14"/>
  <c r="E772" i="14"/>
  <c r="D772" i="14"/>
  <c r="B772" i="14"/>
  <c r="G771" i="14"/>
  <c r="F771" i="14"/>
  <c r="E771" i="14"/>
  <c r="D771" i="14"/>
  <c r="B771" i="14"/>
  <c r="F770" i="14"/>
  <c r="E770" i="14"/>
  <c r="D770" i="14"/>
  <c r="B770" i="14"/>
  <c r="F769" i="14"/>
  <c r="G769" i="14" s="1"/>
  <c r="E769" i="14"/>
  <c r="D769" i="14"/>
  <c r="B769" i="14"/>
  <c r="G767" i="14"/>
  <c r="F767" i="14"/>
  <c r="E767" i="14"/>
  <c r="D767" i="14"/>
  <c r="B767" i="14"/>
  <c r="F766" i="14"/>
  <c r="G766" i="14" s="1"/>
  <c r="E766" i="14"/>
  <c r="D766" i="14"/>
  <c r="B766" i="14"/>
  <c r="G765" i="14"/>
  <c r="F765" i="14"/>
  <c r="E765" i="14"/>
  <c r="D765" i="14"/>
  <c r="B765" i="14"/>
  <c r="F764" i="14"/>
  <c r="G764" i="14" s="1"/>
  <c r="E764" i="14"/>
  <c r="D764" i="14"/>
  <c r="B764" i="14"/>
  <c r="G763" i="14"/>
  <c r="F763" i="14"/>
  <c r="E763" i="14"/>
  <c r="D763" i="14"/>
  <c r="B763" i="14"/>
  <c r="G762" i="14"/>
  <c r="F762" i="14"/>
  <c r="E762" i="14"/>
  <c r="D762" i="14"/>
  <c r="B762" i="14"/>
  <c r="F761" i="14"/>
  <c r="G761" i="14" s="1"/>
  <c r="E761" i="14"/>
  <c r="D761" i="14"/>
  <c r="B761" i="14"/>
  <c r="F760" i="14"/>
  <c r="G760" i="14" s="1"/>
  <c r="E760" i="14"/>
  <c r="D760" i="14"/>
  <c r="B760" i="14"/>
  <c r="G759" i="14"/>
  <c r="F759" i="14"/>
  <c r="E759" i="14"/>
  <c r="D759" i="14"/>
  <c r="B759" i="14"/>
  <c r="F758" i="14"/>
  <c r="G758" i="14" s="1"/>
  <c r="E758" i="14"/>
  <c r="D758" i="14"/>
  <c r="B758" i="14"/>
  <c r="F757" i="14"/>
  <c r="E757" i="14"/>
  <c r="D757" i="14"/>
  <c r="B757" i="14"/>
  <c r="F756" i="14"/>
  <c r="E756" i="14"/>
  <c r="D756" i="14"/>
  <c r="B756" i="14"/>
  <c r="F755" i="14"/>
  <c r="E755" i="14"/>
  <c r="D755" i="14"/>
  <c r="B755" i="14"/>
  <c r="F754" i="14"/>
  <c r="E754" i="14"/>
  <c r="D754" i="14"/>
  <c r="B754" i="14"/>
  <c r="F753" i="14"/>
  <c r="E753" i="14"/>
  <c r="D753" i="14"/>
  <c r="B753" i="14"/>
  <c r="G751" i="14"/>
  <c r="F751" i="14"/>
  <c r="E751" i="14"/>
  <c r="D751" i="14"/>
  <c r="B751" i="14"/>
  <c r="F750" i="14"/>
  <c r="E750" i="14"/>
  <c r="D750" i="14"/>
  <c r="B750" i="14"/>
  <c r="F749" i="14"/>
  <c r="G749" i="14" s="1"/>
  <c r="E749" i="14"/>
  <c r="D749" i="14"/>
  <c r="B749" i="14"/>
  <c r="G748" i="14"/>
  <c r="F748" i="14"/>
  <c r="E748" i="14"/>
  <c r="D748" i="14"/>
  <c r="B748" i="14"/>
  <c r="F747" i="14"/>
  <c r="G747" i="14" s="1"/>
  <c r="E747" i="14"/>
  <c r="D747" i="14"/>
  <c r="B747" i="14"/>
  <c r="G746" i="14"/>
  <c r="F746" i="14"/>
  <c r="E746" i="14"/>
  <c r="D746" i="14"/>
  <c r="B746" i="14"/>
  <c r="F745" i="14"/>
  <c r="E745" i="14"/>
  <c r="D745" i="14"/>
  <c r="B745" i="14"/>
  <c r="F744" i="14"/>
  <c r="E744" i="14"/>
  <c r="D744" i="14"/>
  <c r="B744" i="14"/>
  <c r="F743" i="14"/>
  <c r="E743" i="14"/>
  <c r="D743" i="14"/>
  <c r="B743" i="14"/>
  <c r="F742" i="14"/>
  <c r="G742" i="14" s="1"/>
  <c r="E742" i="14"/>
  <c r="D742" i="14"/>
  <c r="B742" i="14"/>
  <c r="F741" i="14"/>
  <c r="E741" i="14"/>
  <c r="D741" i="14"/>
  <c r="B741" i="14"/>
  <c r="F740" i="14"/>
  <c r="E740" i="14"/>
  <c r="D740" i="14"/>
  <c r="B740" i="14"/>
  <c r="F739" i="14"/>
  <c r="E739" i="14"/>
  <c r="D739" i="14"/>
  <c r="B739" i="14"/>
  <c r="F738" i="14"/>
  <c r="G738" i="14" s="1"/>
  <c r="E738" i="14"/>
  <c r="D738" i="14"/>
  <c r="B738" i="14"/>
  <c r="G737" i="14"/>
  <c r="F737" i="14"/>
  <c r="E737" i="14"/>
  <c r="D737" i="14"/>
  <c r="B737" i="14"/>
  <c r="G735" i="14"/>
  <c r="F735" i="14"/>
  <c r="E735" i="14"/>
  <c r="D735" i="14"/>
  <c r="B735" i="14"/>
  <c r="F734" i="14"/>
  <c r="G734" i="14" s="1"/>
  <c r="E734" i="14"/>
  <c r="D734" i="14"/>
  <c r="B734" i="14"/>
  <c r="F733" i="14"/>
  <c r="G733" i="14" s="1"/>
  <c r="E733" i="14"/>
  <c r="D733" i="14"/>
  <c r="B733" i="14"/>
  <c r="F732" i="14"/>
  <c r="E732" i="14"/>
  <c r="D732" i="14"/>
  <c r="B732" i="14"/>
  <c r="F731" i="14"/>
  <c r="G731" i="14" s="1"/>
  <c r="E731" i="14"/>
  <c r="D731" i="14"/>
  <c r="B731" i="14"/>
  <c r="F730" i="14"/>
  <c r="G730" i="14" s="1"/>
  <c r="E730" i="14"/>
  <c r="D730" i="14"/>
  <c r="B730" i="14"/>
  <c r="F729" i="14"/>
  <c r="E729" i="14"/>
  <c r="D729" i="14"/>
  <c r="B729" i="14"/>
  <c r="G728" i="14"/>
  <c r="F728" i="14"/>
  <c r="E728" i="14"/>
  <c r="D728" i="14"/>
  <c r="B728" i="14"/>
  <c r="F727" i="14"/>
  <c r="G727" i="14" s="1"/>
  <c r="E727" i="14"/>
  <c r="D727" i="14"/>
  <c r="B727" i="14"/>
  <c r="F726" i="14"/>
  <c r="E726" i="14"/>
  <c r="D726" i="14"/>
  <c r="B726" i="14"/>
  <c r="G725" i="14"/>
  <c r="F725" i="14"/>
  <c r="E725" i="14"/>
  <c r="D725" i="14"/>
  <c r="B725" i="14"/>
  <c r="F724" i="14"/>
  <c r="G724" i="14" s="1"/>
  <c r="E724" i="14"/>
  <c r="D724" i="14"/>
  <c r="B724" i="14"/>
  <c r="F723" i="14"/>
  <c r="G723" i="14" s="1"/>
  <c r="E723" i="14"/>
  <c r="D723" i="14"/>
  <c r="B723" i="14"/>
  <c r="F722" i="14"/>
  <c r="E722" i="14"/>
  <c r="D722" i="14"/>
  <c r="B722" i="14"/>
  <c r="G721" i="14"/>
  <c r="F721" i="14"/>
  <c r="E721" i="14"/>
  <c r="D721" i="14"/>
  <c r="B721" i="14"/>
  <c r="G719" i="14"/>
  <c r="F719" i="14"/>
  <c r="E719" i="14"/>
  <c r="D719" i="14"/>
  <c r="B719" i="14"/>
  <c r="F718" i="14"/>
  <c r="E718" i="14"/>
  <c r="D718" i="14"/>
  <c r="B718" i="14"/>
  <c r="F717" i="14"/>
  <c r="G717" i="14" s="1"/>
  <c r="E717" i="14"/>
  <c r="D717" i="14"/>
  <c r="B717" i="14"/>
  <c r="F716" i="14"/>
  <c r="G716" i="14" s="1"/>
  <c r="E716" i="14"/>
  <c r="D716" i="14"/>
  <c r="B716" i="14"/>
  <c r="F715" i="14"/>
  <c r="G715" i="14" s="1"/>
  <c r="E715" i="14"/>
  <c r="D715" i="14"/>
  <c r="B715" i="14"/>
  <c r="F714" i="14"/>
  <c r="E714" i="14"/>
  <c r="D714" i="14"/>
  <c r="B714" i="14"/>
  <c r="F713" i="14"/>
  <c r="G713" i="14" s="1"/>
  <c r="E713" i="14"/>
  <c r="D713" i="14"/>
  <c r="B713" i="14"/>
  <c r="G712" i="14"/>
  <c r="F712" i="14"/>
  <c r="E712" i="14"/>
  <c r="D712" i="14"/>
  <c r="B712" i="14"/>
  <c r="F711" i="14"/>
  <c r="G711" i="14" s="1"/>
  <c r="E711" i="14"/>
  <c r="D711" i="14"/>
  <c r="B711" i="14"/>
  <c r="G710" i="14"/>
  <c r="F710" i="14"/>
  <c r="E710" i="14"/>
  <c r="D710" i="14"/>
  <c r="B710" i="14"/>
  <c r="G709" i="14"/>
  <c r="F709" i="14"/>
  <c r="E709" i="14"/>
  <c r="D709" i="14"/>
  <c r="B709" i="14"/>
  <c r="F708" i="14"/>
  <c r="G708" i="14" s="1"/>
  <c r="E708" i="14"/>
  <c r="D708" i="14"/>
  <c r="B708" i="14"/>
  <c r="F707" i="14"/>
  <c r="G707" i="14" s="1"/>
  <c r="E707" i="14"/>
  <c r="D707" i="14"/>
  <c r="B707" i="14"/>
  <c r="F706" i="14"/>
  <c r="E706" i="14"/>
  <c r="D706" i="14"/>
  <c r="B706" i="14"/>
  <c r="F705" i="14"/>
  <c r="G705" i="14" s="1"/>
  <c r="E705" i="14"/>
  <c r="D705" i="14"/>
  <c r="B705" i="14"/>
  <c r="G703" i="14"/>
  <c r="F703" i="14"/>
  <c r="E703" i="14"/>
  <c r="D703" i="14"/>
  <c r="B703" i="14"/>
  <c r="F702" i="14"/>
  <c r="E702" i="14"/>
  <c r="D702" i="14"/>
  <c r="B702" i="14"/>
  <c r="F701" i="14"/>
  <c r="E701" i="14"/>
  <c r="D701" i="14"/>
  <c r="B701" i="14"/>
  <c r="F700" i="14"/>
  <c r="G700" i="14" s="1"/>
  <c r="E700" i="14"/>
  <c r="D700" i="14"/>
  <c r="B700" i="14"/>
  <c r="F699" i="14"/>
  <c r="G699" i="14" s="1"/>
  <c r="E699" i="14"/>
  <c r="D699" i="14"/>
  <c r="B699" i="14"/>
  <c r="F698" i="14"/>
  <c r="E698" i="14"/>
  <c r="D698" i="14"/>
  <c r="B698" i="14"/>
  <c r="F697" i="14"/>
  <c r="G697" i="14" s="1"/>
  <c r="E697" i="14"/>
  <c r="D697" i="14"/>
  <c r="B697" i="14"/>
  <c r="F696" i="14"/>
  <c r="G696" i="14" s="1"/>
  <c r="E696" i="14"/>
  <c r="D696" i="14"/>
  <c r="B696" i="14"/>
  <c r="G695" i="14"/>
  <c r="F695" i="14"/>
  <c r="E695" i="14"/>
  <c r="D695" i="14"/>
  <c r="B695" i="14"/>
  <c r="G694" i="14"/>
  <c r="F694" i="14"/>
  <c r="E694" i="14"/>
  <c r="D694" i="14"/>
  <c r="B694" i="14"/>
  <c r="G693" i="14"/>
  <c r="F693" i="14"/>
  <c r="E693" i="14"/>
  <c r="D693" i="14"/>
  <c r="B693" i="14"/>
  <c r="F692" i="14"/>
  <c r="E692" i="14"/>
  <c r="D692" i="14"/>
  <c r="B692" i="14"/>
  <c r="F691" i="14"/>
  <c r="E691" i="14"/>
  <c r="D691" i="14"/>
  <c r="B691" i="14"/>
  <c r="G690" i="14"/>
  <c r="F690" i="14"/>
  <c r="E690" i="14"/>
  <c r="D690" i="14"/>
  <c r="B690" i="14"/>
  <c r="F689" i="14"/>
  <c r="G689" i="14" s="1"/>
  <c r="E689" i="14"/>
  <c r="D689" i="14"/>
  <c r="B689" i="14"/>
  <c r="F687" i="14"/>
  <c r="E687" i="14"/>
  <c r="D687" i="14"/>
  <c r="B687" i="14"/>
  <c r="F686" i="14"/>
  <c r="G686" i="14" s="1"/>
  <c r="E686" i="14"/>
  <c r="D686" i="14"/>
  <c r="B686" i="14"/>
  <c r="G685" i="14"/>
  <c r="F685" i="14"/>
  <c r="E685" i="14"/>
  <c r="D685" i="14"/>
  <c r="B685" i="14"/>
  <c r="F684" i="14"/>
  <c r="G684" i="14" s="1"/>
  <c r="E684" i="14"/>
  <c r="D684" i="14"/>
  <c r="B684" i="14"/>
  <c r="F683" i="14"/>
  <c r="G683" i="14" s="1"/>
  <c r="E683" i="14"/>
  <c r="D683" i="14"/>
  <c r="B683" i="14"/>
  <c r="G682" i="14"/>
  <c r="F682" i="14"/>
  <c r="E682" i="14"/>
  <c r="D682" i="14"/>
  <c r="B682" i="14"/>
  <c r="F681" i="14"/>
  <c r="G681" i="14" s="1"/>
  <c r="E681" i="14"/>
  <c r="D681" i="14"/>
  <c r="B681" i="14"/>
  <c r="F680" i="14"/>
  <c r="G680" i="14" s="1"/>
  <c r="E680" i="14"/>
  <c r="D680" i="14"/>
  <c r="B680" i="14"/>
  <c r="F679" i="14"/>
  <c r="E679" i="14"/>
  <c r="D679" i="14"/>
  <c r="B679" i="14"/>
  <c r="F678" i="14"/>
  <c r="G678" i="14" s="1"/>
  <c r="E678" i="14"/>
  <c r="D678" i="14"/>
  <c r="B678" i="14"/>
  <c r="G677" i="14"/>
  <c r="F677" i="14"/>
  <c r="E677" i="14"/>
  <c r="D677" i="14"/>
  <c r="B677" i="14"/>
  <c r="F676" i="14"/>
  <c r="E676" i="14"/>
  <c r="D676" i="14"/>
  <c r="B676" i="14"/>
  <c r="G675" i="14"/>
  <c r="F675" i="14"/>
  <c r="E675" i="14"/>
  <c r="D675" i="14"/>
  <c r="B675" i="14"/>
  <c r="F674" i="14"/>
  <c r="G674" i="14" s="1"/>
  <c r="E674" i="14"/>
  <c r="D674" i="14"/>
  <c r="B674" i="14"/>
  <c r="G673" i="14"/>
  <c r="F673" i="14"/>
  <c r="E673" i="14"/>
  <c r="D673" i="14"/>
  <c r="B673" i="14"/>
  <c r="F671" i="14"/>
  <c r="E671" i="14"/>
  <c r="D671" i="14"/>
  <c r="B671" i="14"/>
  <c r="F670" i="14"/>
  <c r="G670" i="14" s="1"/>
  <c r="E670" i="14"/>
  <c r="D670" i="14"/>
  <c r="B670" i="14"/>
  <c r="F669" i="14"/>
  <c r="G669" i="14" s="1"/>
  <c r="E669" i="14"/>
  <c r="D669" i="14"/>
  <c r="B669" i="14"/>
  <c r="G668" i="14"/>
  <c r="F668" i="14"/>
  <c r="E668" i="14"/>
  <c r="D668" i="14"/>
  <c r="B668" i="14"/>
  <c r="G667" i="14"/>
  <c r="F667" i="14"/>
  <c r="E667" i="14"/>
  <c r="D667" i="14"/>
  <c r="B667" i="14"/>
  <c r="G666" i="14"/>
  <c r="F666" i="14"/>
  <c r="E666" i="14"/>
  <c r="D666" i="14"/>
  <c r="B666" i="14"/>
  <c r="F665" i="14"/>
  <c r="E665" i="14"/>
  <c r="D665" i="14"/>
  <c r="B665" i="14"/>
  <c r="G664" i="14"/>
  <c r="F664" i="14"/>
  <c r="E664" i="14"/>
  <c r="D664" i="14"/>
  <c r="B664" i="14"/>
  <c r="G663" i="14"/>
  <c r="F663" i="14"/>
  <c r="E663" i="14"/>
  <c r="D663" i="14"/>
  <c r="B663" i="14"/>
  <c r="F662" i="14"/>
  <c r="E662" i="14"/>
  <c r="D662" i="14"/>
  <c r="B662" i="14"/>
  <c r="G661" i="14"/>
  <c r="F661" i="14"/>
  <c r="E661" i="14"/>
  <c r="D661" i="14"/>
  <c r="B661" i="14"/>
  <c r="F660" i="14"/>
  <c r="G660" i="14" s="1"/>
  <c r="E660" i="14"/>
  <c r="D660" i="14"/>
  <c r="B660" i="14"/>
  <c r="F659" i="14"/>
  <c r="G659" i="14" s="1"/>
  <c r="E659" i="14"/>
  <c r="D659" i="14"/>
  <c r="B659" i="14"/>
  <c r="F658" i="14"/>
  <c r="E658" i="14"/>
  <c r="D658" i="14"/>
  <c r="B658" i="14"/>
  <c r="F657" i="14"/>
  <c r="E657" i="14"/>
  <c r="D657" i="14"/>
  <c r="B657" i="14"/>
  <c r="G655" i="14"/>
  <c r="F655" i="14"/>
  <c r="E655" i="14"/>
  <c r="D655" i="14"/>
  <c r="B655" i="14"/>
  <c r="F654" i="14"/>
  <c r="E654" i="14"/>
  <c r="D654" i="14"/>
  <c r="B654" i="14"/>
  <c r="F653" i="14"/>
  <c r="E653" i="14"/>
  <c r="D653" i="14"/>
  <c r="B653" i="14"/>
  <c r="G652" i="14"/>
  <c r="F652" i="14"/>
  <c r="E652" i="14"/>
  <c r="D652" i="14"/>
  <c r="B652" i="14"/>
  <c r="F651" i="14"/>
  <c r="G651" i="14" s="1"/>
  <c r="E651" i="14"/>
  <c r="D651" i="14"/>
  <c r="B651" i="14"/>
  <c r="G650" i="14"/>
  <c r="F650" i="14"/>
  <c r="E650" i="14"/>
  <c r="D650" i="14"/>
  <c r="B650" i="14"/>
  <c r="F649" i="14"/>
  <c r="E649" i="14"/>
  <c r="D649" i="14"/>
  <c r="B649" i="14"/>
  <c r="G648" i="14"/>
  <c r="F648" i="14"/>
  <c r="E648" i="14"/>
  <c r="D648" i="14"/>
  <c r="B648" i="14"/>
  <c r="F647" i="14"/>
  <c r="G647" i="14" s="1"/>
  <c r="E647" i="14"/>
  <c r="D647" i="14"/>
  <c r="B647" i="14"/>
  <c r="G646" i="14"/>
  <c r="F646" i="14"/>
  <c r="E646" i="14"/>
  <c r="D646" i="14"/>
  <c r="B646" i="14"/>
  <c r="G645" i="14"/>
  <c r="F645" i="14"/>
  <c r="E645" i="14"/>
  <c r="D645" i="14"/>
  <c r="B645" i="14"/>
  <c r="F644" i="14"/>
  <c r="G644" i="14" s="1"/>
  <c r="E644" i="14"/>
  <c r="D644" i="14"/>
  <c r="B644" i="14"/>
  <c r="F643" i="14"/>
  <c r="G643" i="14" s="1"/>
  <c r="E643" i="14"/>
  <c r="D643" i="14"/>
  <c r="B643" i="14"/>
  <c r="G642" i="14"/>
  <c r="F642" i="14"/>
  <c r="E642" i="14"/>
  <c r="D642" i="14"/>
  <c r="B642" i="14"/>
  <c r="F641" i="14"/>
  <c r="G641" i="14" s="1"/>
  <c r="E641" i="14"/>
  <c r="D641" i="14"/>
  <c r="B641" i="14"/>
  <c r="G639" i="14"/>
  <c r="F639" i="14"/>
  <c r="E639" i="14"/>
  <c r="D639" i="14"/>
  <c r="B639" i="14"/>
  <c r="F638" i="14"/>
  <c r="E638" i="14"/>
  <c r="D638" i="14"/>
  <c r="B638" i="14"/>
  <c r="G637" i="14"/>
  <c r="F637" i="14"/>
  <c r="E637" i="14"/>
  <c r="D637" i="14"/>
  <c r="B637" i="14"/>
  <c r="F636" i="14"/>
  <c r="E636" i="14"/>
  <c r="D636" i="14"/>
  <c r="B636" i="14"/>
  <c r="F635" i="14"/>
  <c r="G635" i="14" s="1"/>
  <c r="E635" i="14"/>
  <c r="D635" i="14"/>
  <c r="B635" i="14"/>
  <c r="G634" i="14"/>
  <c r="F634" i="14"/>
  <c r="E634" i="14"/>
  <c r="D634" i="14"/>
  <c r="B634" i="14"/>
  <c r="F633" i="14"/>
  <c r="G633" i="14" s="1"/>
  <c r="E633" i="14"/>
  <c r="D633" i="14"/>
  <c r="B633" i="14"/>
  <c r="F632" i="14"/>
  <c r="G632" i="14" s="1"/>
  <c r="E632" i="14"/>
  <c r="D632" i="14"/>
  <c r="B632" i="14"/>
  <c r="F631" i="14"/>
  <c r="G631" i="14" s="1"/>
  <c r="E631" i="14"/>
  <c r="D631" i="14"/>
  <c r="B631" i="14"/>
  <c r="G630" i="14"/>
  <c r="F630" i="14"/>
  <c r="E630" i="14"/>
  <c r="D630" i="14"/>
  <c r="B630" i="14"/>
  <c r="G629" i="14"/>
  <c r="F629" i="14"/>
  <c r="E629" i="14"/>
  <c r="D629" i="14"/>
  <c r="B629" i="14"/>
  <c r="F628" i="14"/>
  <c r="G628" i="14" s="1"/>
  <c r="E628" i="14"/>
  <c r="D628" i="14"/>
  <c r="B628" i="14"/>
  <c r="F627" i="14"/>
  <c r="G627" i="14" s="1"/>
  <c r="E627" i="14"/>
  <c r="D627" i="14"/>
  <c r="B627" i="14"/>
  <c r="G626" i="14"/>
  <c r="F626" i="14"/>
  <c r="E626" i="14"/>
  <c r="D626" i="14"/>
  <c r="B626" i="14"/>
  <c r="F625" i="14"/>
  <c r="G625" i="14" s="1"/>
  <c r="E625" i="14"/>
  <c r="D625" i="14"/>
  <c r="B625" i="14"/>
  <c r="F623" i="14"/>
  <c r="G623" i="14" s="1"/>
  <c r="E623" i="14"/>
  <c r="D623" i="14"/>
  <c r="B623" i="14"/>
  <c r="F622" i="14"/>
  <c r="E622" i="14"/>
  <c r="D622" i="14"/>
  <c r="B622" i="14"/>
  <c r="F621" i="14"/>
  <c r="G621" i="14" s="1"/>
  <c r="E621" i="14"/>
  <c r="D621" i="14"/>
  <c r="B621" i="14"/>
  <c r="F620" i="14"/>
  <c r="E620" i="14"/>
  <c r="D620" i="14"/>
  <c r="B620" i="14"/>
  <c r="G619" i="14"/>
  <c r="F619" i="14"/>
  <c r="E619" i="14"/>
  <c r="D619" i="14"/>
  <c r="B619" i="14"/>
  <c r="G618" i="14"/>
  <c r="F618" i="14"/>
  <c r="E618" i="14"/>
  <c r="D618" i="14"/>
  <c r="B618" i="14"/>
  <c r="F617" i="14"/>
  <c r="E617" i="14"/>
  <c r="D617" i="14"/>
  <c r="B617" i="14"/>
  <c r="F616" i="14"/>
  <c r="E616" i="14"/>
  <c r="D616" i="14"/>
  <c r="B616" i="14"/>
  <c r="F615" i="14"/>
  <c r="G615" i="14" s="1"/>
  <c r="E615" i="14"/>
  <c r="D615" i="14"/>
  <c r="B615" i="14"/>
  <c r="G614" i="14"/>
  <c r="F614" i="14"/>
  <c r="E614" i="14"/>
  <c r="D614" i="14"/>
  <c r="B614" i="14"/>
  <c r="G613" i="14"/>
  <c r="F613" i="14"/>
  <c r="E613" i="14"/>
  <c r="D613" i="14"/>
  <c r="B613" i="14"/>
  <c r="F612" i="14"/>
  <c r="E612" i="14"/>
  <c r="D612" i="14"/>
  <c r="B612" i="14"/>
  <c r="G611" i="14"/>
  <c r="F611" i="14"/>
  <c r="E611" i="14"/>
  <c r="D611" i="14"/>
  <c r="B611" i="14"/>
  <c r="F610" i="14"/>
  <c r="G610" i="14" s="1"/>
  <c r="E610" i="14"/>
  <c r="D610" i="14"/>
  <c r="B610" i="14"/>
  <c r="F609" i="14"/>
  <c r="E609" i="14"/>
  <c r="D609" i="14"/>
  <c r="B609" i="14"/>
  <c r="G607" i="14"/>
  <c r="F607" i="14"/>
  <c r="E607" i="14"/>
  <c r="D607" i="14"/>
  <c r="B607" i="14"/>
  <c r="F606" i="14"/>
  <c r="E606" i="14"/>
  <c r="D606" i="14"/>
  <c r="B606" i="14"/>
  <c r="F605" i="14"/>
  <c r="E605" i="14"/>
  <c r="D605" i="14"/>
  <c r="B605" i="14"/>
  <c r="F604" i="14"/>
  <c r="G604" i="14" s="1"/>
  <c r="E604" i="14"/>
  <c r="D604" i="14"/>
  <c r="B604" i="14"/>
  <c r="F603" i="14"/>
  <c r="E603" i="14"/>
  <c r="D603" i="14"/>
  <c r="B603" i="14"/>
  <c r="G602" i="14"/>
  <c r="F602" i="14"/>
  <c r="E602" i="14"/>
  <c r="D602" i="14"/>
  <c r="B602" i="14"/>
  <c r="F601" i="14"/>
  <c r="G601" i="14" s="1"/>
  <c r="E601" i="14"/>
  <c r="D601" i="14"/>
  <c r="B601" i="14"/>
  <c r="F600" i="14"/>
  <c r="G600" i="14" s="1"/>
  <c r="E600" i="14"/>
  <c r="D600" i="14"/>
  <c r="B600" i="14"/>
  <c r="F599" i="14"/>
  <c r="E599" i="14"/>
  <c r="D599" i="14"/>
  <c r="B599" i="14"/>
  <c r="F598" i="14"/>
  <c r="G598" i="14" s="1"/>
  <c r="E598" i="14"/>
  <c r="D598" i="14"/>
  <c r="B598" i="14"/>
  <c r="F597" i="14"/>
  <c r="G597" i="14" s="1"/>
  <c r="E597" i="14"/>
  <c r="D597" i="14"/>
  <c r="B597" i="14"/>
  <c r="F596" i="14"/>
  <c r="E596" i="14"/>
  <c r="D596" i="14"/>
  <c r="B596" i="14"/>
  <c r="F595" i="14"/>
  <c r="G595" i="14" s="1"/>
  <c r="E595" i="14"/>
  <c r="D595" i="14"/>
  <c r="B595" i="14"/>
  <c r="F594" i="14"/>
  <c r="G594" i="14" s="1"/>
  <c r="E594" i="14"/>
  <c r="D594" i="14"/>
  <c r="B594" i="14"/>
  <c r="F593" i="14"/>
  <c r="G593" i="14" s="1"/>
  <c r="E593" i="14"/>
  <c r="D593" i="14"/>
  <c r="B593" i="14"/>
  <c r="G591" i="14"/>
  <c r="F591" i="14"/>
  <c r="E591" i="14"/>
  <c r="D591" i="14"/>
  <c r="B591" i="14"/>
  <c r="F590" i="14"/>
  <c r="G590" i="14" s="1"/>
  <c r="E590" i="14"/>
  <c r="D590" i="14"/>
  <c r="B590" i="14"/>
  <c r="F589" i="14"/>
  <c r="G589" i="14" s="1"/>
  <c r="E589" i="14"/>
  <c r="D589" i="14"/>
  <c r="B589" i="14"/>
  <c r="F588" i="14"/>
  <c r="E588" i="14"/>
  <c r="D588" i="14"/>
  <c r="B588" i="14"/>
  <c r="G587" i="14"/>
  <c r="F587" i="14"/>
  <c r="E587" i="14"/>
  <c r="D587" i="14"/>
  <c r="B587" i="14"/>
  <c r="G586" i="14"/>
  <c r="F586" i="14"/>
  <c r="E586" i="14"/>
  <c r="D586" i="14"/>
  <c r="B586" i="14"/>
  <c r="F585" i="14"/>
  <c r="E585" i="14"/>
  <c r="D585" i="14"/>
  <c r="B585" i="14"/>
  <c r="F584" i="14"/>
  <c r="G584" i="14" s="1"/>
  <c r="E584" i="14"/>
  <c r="D584" i="14"/>
  <c r="B584" i="14"/>
  <c r="G583" i="14"/>
  <c r="F583" i="14"/>
  <c r="E583" i="14"/>
  <c r="D583" i="14"/>
  <c r="B583" i="14"/>
  <c r="F582" i="14"/>
  <c r="G582" i="14" s="1"/>
  <c r="E582" i="14"/>
  <c r="D582" i="14"/>
  <c r="B582" i="14"/>
  <c r="F581" i="14"/>
  <c r="E581" i="14"/>
  <c r="D581" i="14"/>
  <c r="B581" i="14"/>
  <c r="F580" i="14"/>
  <c r="E580" i="14"/>
  <c r="D580" i="14"/>
  <c r="B580" i="14"/>
  <c r="G579" i="14"/>
  <c r="F579" i="14"/>
  <c r="E579" i="14"/>
  <c r="D579" i="14"/>
  <c r="B579" i="14"/>
  <c r="F578" i="14"/>
  <c r="G578" i="14" s="1"/>
  <c r="E578" i="14"/>
  <c r="D578" i="14"/>
  <c r="B578" i="14"/>
  <c r="F577" i="14"/>
  <c r="G577" i="14" s="1"/>
  <c r="E577" i="14"/>
  <c r="D577" i="14"/>
  <c r="B577" i="14"/>
  <c r="G575" i="14"/>
  <c r="F575" i="14"/>
  <c r="E575" i="14"/>
  <c r="D575" i="14"/>
  <c r="B575" i="14"/>
  <c r="F574" i="14"/>
  <c r="G574" i="14" s="1"/>
  <c r="E574" i="14"/>
  <c r="D574" i="14"/>
  <c r="B574" i="14"/>
  <c r="F573" i="14"/>
  <c r="E573" i="14"/>
  <c r="D573" i="14"/>
  <c r="B573" i="14"/>
  <c r="F572" i="14"/>
  <c r="G572" i="14" s="1"/>
  <c r="E572" i="14"/>
  <c r="D572" i="14"/>
  <c r="B572" i="14"/>
  <c r="F571" i="14"/>
  <c r="E571" i="14"/>
  <c r="D571" i="14"/>
  <c r="B571" i="14"/>
  <c r="G570" i="14"/>
  <c r="F570" i="14"/>
  <c r="E570" i="14"/>
  <c r="D570" i="14"/>
  <c r="B570" i="14"/>
  <c r="F569" i="14"/>
  <c r="E569" i="14"/>
  <c r="D569" i="14"/>
  <c r="B569" i="14"/>
  <c r="F568" i="14"/>
  <c r="E568" i="14"/>
  <c r="D568" i="14"/>
  <c r="B568" i="14"/>
  <c r="F567" i="14"/>
  <c r="G567" i="14" s="1"/>
  <c r="E567" i="14"/>
  <c r="D567" i="14"/>
  <c r="B567" i="14"/>
  <c r="F566" i="14"/>
  <c r="G566" i="14" s="1"/>
  <c r="E566" i="14"/>
  <c r="D566" i="14"/>
  <c r="B566" i="14"/>
  <c r="G565" i="14"/>
  <c r="F565" i="14"/>
  <c r="E565" i="14"/>
  <c r="D565" i="14"/>
  <c r="B565" i="14"/>
  <c r="F564" i="14"/>
  <c r="G564" i="14" s="1"/>
  <c r="E564" i="14"/>
  <c r="D564" i="14"/>
  <c r="B564" i="14"/>
  <c r="F563" i="14"/>
  <c r="G563" i="14" s="1"/>
  <c r="E563" i="14"/>
  <c r="D563" i="14"/>
  <c r="B563" i="14"/>
  <c r="G562" i="14"/>
  <c r="F562" i="14"/>
  <c r="E562" i="14"/>
  <c r="D562" i="14"/>
  <c r="B562" i="14"/>
  <c r="G561" i="14"/>
  <c r="F561" i="14"/>
  <c r="E561" i="14"/>
  <c r="D561" i="14"/>
  <c r="B561" i="14"/>
  <c r="G559" i="14"/>
  <c r="F559" i="14"/>
  <c r="E559" i="14"/>
  <c r="D559" i="14"/>
  <c r="B559" i="14"/>
  <c r="F558" i="14"/>
  <c r="E558" i="14"/>
  <c r="D558" i="14"/>
  <c r="B558" i="14"/>
  <c r="F557" i="14"/>
  <c r="E557" i="14"/>
  <c r="D557" i="14"/>
  <c r="B557" i="14"/>
  <c r="G556" i="14"/>
  <c r="F556" i="14"/>
  <c r="E556" i="14"/>
  <c r="D556" i="14"/>
  <c r="B556" i="14"/>
  <c r="F555" i="14"/>
  <c r="E555" i="14"/>
  <c r="D555" i="14"/>
  <c r="B555" i="14"/>
  <c r="F554" i="14"/>
  <c r="E554" i="14"/>
  <c r="D554" i="14"/>
  <c r="B554" i="14"/>
  <c r="F553" i="14"/>
  <c r="G553" i="14" s="1"/>
  <c r="E553" i="14"/>
  <c r="D553" i="14"/>
  <c r="B553" i="14"/>
  <c r="G552" i="14"/>
  <c r="F552" i="14"/>
  <c r="E552" i="14"/>
  <c r="D552" i="14"/>
  <c r="B552" i="14"/>
  <c r="F551" i="14"/>
  <c r="G551" i="14" s="1"/>
  <c r="E551" i="14"/>
  <c r="D551" i="14"/>
  <c r="B551" i="14"/>
  <c r="F550" i="14"/>
  <c r="G550" i="14" s="1"/>
  <c r="E550" i="14"/>
  <c r="D550" i="14"/>
  <c r="B550" i="14"/>
  <c r="G549" i="14"/>
  <c r="F549" i="14"/>
  <c r="E549" i="14"/>
  <c r="D549" i="14"/>
  <c r="B549" i="14"/>
  <c r="F548" i="14"/>
  <c r="G548" i="14" s="1"/>
  <c r="E548" i="14"/>
  <c r="D548" i="14"/>
  <c r="B548" i="14"/>
  <c r="F547" i="14"/>
  <c r="E547" i="14"/>
  <c r="D547" i="14"/>
  <c r="B547" i="14"/>
  <c r="F546" i="14"/>
  <c r="G546" i="14" s="1"/>
  <c r="E546" i="14"/>
  <c r="D546" i="14"/>
  <c r="B546" i="14"/>
  <c r="G545" i="14"/>
  <c r="F545" i="14"/>
  <c r="E545" i="14"/>
  <c r="D545" i="14"/>
  <c r="B545" i="14"/>
  <c r="G543" i="14"/>
  <c r="F543" i="14"/>
  <c r="E543" i="14"/>
  <c r="D543" i="14"/>
  <c r="B543" i="14"/>
  <c r="F542" i="14"/>
  <c r="E542" i="14"/>
  <c r="D542" i="14"/>
  <c r="B542" i="14"/>
  <c r="F541" i="14"/>
  <c r="G541" i="14" s="1"/>
  <c r="E541" i="14"/>
  <c r="D541" i="14"/>
  <c r="B541" i="14"/>
  <c r="F540" i="14"/>
  <c r="E540" i="14"/>
  <c r="D540" i="14"/>
  <c r="B540" i="14"/>
  <c r="F539" i="14"/>
  <c r="E539" i="14"/>
  <c r="D539" i="14"/>
  <c r="B539" i="14"/>
  <c r="F538" i="14"/>
  <c r="G538" i="14" s="1"/>
  <c r="E538" i="14"/>
  <c r="D538" i="14"/>
  <c r="B538" i="14"/>
  <c r="F537" i="14"/>
  <c r="G537" i="14" s="1"/>
  <c r="E537" i="14"/>
  <c r="D537" i="14"/>
  <c r="B537" i="14"/>
  <c r="F536" i="14"/>
  <c r="E536" i="14"/>
  <c r="D536" i="14"/>
  <c r="B536" i="14"/>
  <c r="F535" i="14"/>
  <c r="E535" i="14"/>
  <c r="D535" i="14"/>
  <c r="B535" i="14"/>
  <c r="G534" i="14"/>
  <c r="F534" i="14"/>
  <c r="E534" i="14"/>
  <c r="D534" i="14"/>
  <c r="B534" i="14"/>
  <c r="F533" i="14"/>
  <c r="G533" i="14" s="1"/>
  <c r="E533" i="14"/>
  <c r="D533" i="14"/>
  <c r="B533" i="14"/>
  <c r="F532" i="14"/>
  <c r="G532" i="14" s="1"/>
  <c r="E532" i="14"/>
  <c r="D532" i="14"/>
  <c r="B532" i="14"/>
  <c r="G531" i="14"/>
  <c r="F531" i="14"/>
  <c r="E531" i="14"/>
  <c r="D531" i="14"/>
  <c r="B531" i="14"/>
  <c r="G530" i="14"/>
  <c r="F530" i="14"/>
  <c r="E530" i="14"/>
  <c r="D530" i="14"/>
  <c r="B530" i="14"/>
  <c r="G529" i="14"/>
  <c r="F529" i="14"/>
  <c r="E529" i="14"/>
  <c r="D529" i="14"/>
  <c r="B529" i="14"/>
  <c r="G528" i="14"/>
  <c r="F528" i="14"/>
  <c r="E528" i="14"/>
  <c r="D528" i="14"/>
  <c r="B528" i="14"/>
  <c r="F526" i="14"/>
  <c r="G526" i="14" s="1"/>
  <c r="E526" i="14"/>
  <c r="D526" i="14"/>
  <c r="B526" i="14"/>
  <c r="G525" i="14"/>
  <c r="F525" i="14"/>
  <c r="E525" i="14"/>
  <c r="D525" i="14"/>
  <c r="B525" i="14"/>
  <c r="G524" i="14"/>
  <c r="F524" i="14"/>
  <c r="E524" i="14"/>
  <c r="D524" i="14"/>
  <c r="B524" i="14"/>
  <c r="F523" i="14"/>
  <c r="G523" i="14" s="1"/>
  <c r="E523" i="14"/>
  <c r="D523" i="14"/>
  <c r="B523" i="14"/>
  <c r="F522" i="14"/>
  <c r="G522" i="14" s="1"/>
  <c r="E522" i="14"/>
  <c r="D522" i="14"/>
  <c r="B522" i="14"/>
  <c r="F521" i="14"/>
  <c r="G521" i="14" s="1"/>
  <c r="E521" i="14"/>
  <c r="D521" i="14"/>
  <c r="B521" i="14"/>
  <c r="G520" i="14"/>
  <c r="F520" i="14"/>
  <c r="E520" i="14"/>
  <c r="D520" i="14"/>
  <c r="B520" i="14"/>
  <c r="F519" i="14"/>
  <c r="G519" i="14" s="1"/>
  <c r="E519" i="14"/>
  <c r="D519" i="14"/>
  <c r="B519" i="14"/>
  <c r="G518" i="14"/>
  <c r="F518" i="14"/>
  <c r="E518" i="14"/>
  <c r="D518" i="14"/>
  <c r="B518" i="14"/>
  <c r="F517" i="14"/>
  <c r="G517" i="14" s="1"/>
  <c r="E517" i="14"/>
  <c r="D517" i="14"/>
  <c r="B517" i="14"/>
  <c r="F516" i="14"/>
  <c r="G516" i="14" s="1"/>
  <c r="E516" i="14"/>
  <c r="D516" i="14"/>
  <c r="B516" i="14"/>
  <c r="G515" i="14"/>
  <c r="F515" i="14"/>
  <c r="E515" i="14"/>
  <c r="D515" i="14"/>
  <c r="B515" i="14"/>
  <c r="F514" i="14"/>
  <c r="E514" i="14"/>
  <c r="D514" i="14"/>
  <c r="B514" i="14"/>
  <c r="F513" i="14"/>
  <c r="E513" i="14"/>
  <c r="D513" i="14"/>
  <c r="B513" i="14"/>
  <c r="F512" i="14"/>
  <c r="G512" i="14" s="1"/>
  <c r="E512" i="14"/>
  <c r="D512" i="14"/>
  <c r="B512" i="14"/>
  <c r="F510" i="14"/>
  <c r="G510" i="14" s="1"/>
  <c r="E510" i="14"/>
  <c r="D510" i="14"/>
  <c r="B510" i="14"/>
  <c r="F509" i="14"/>
  <c r="G509" i="14" s="1"/>
  <c r="E509" i="14"/>
  <c r="D509" i="14"/>
  <c r="B509" i="14"/>
  <c r="F508" i="14"/>
  <c r="E508" i="14"/>
  <c r="D508" i="14"/>
  <c r="B508" i="14"/>
  <c r="G507" i="14"/>
  <c r="F507" i="14"/>
  <c r="E507" i="14"/>
  <c r="D507" i="14"/>
  <c r="B507" i="14"/>
  <c r="F506" i="14"/>
  <c r="G506" i="14" s="1"/>
  <c r="E506" i="14"/>
  <c r="D506" i="14"/>
  <c r="B506" i="14"/>
  <c r="F505" i="14"/>
  <c r="G505" i="14" s="1"/>
  <c r="E505" i="14"/>
  <c r="D505" i="14"/>
  <c r="B505" i="14"/>
  <c r="G504" i="14"/>
  <c r="F504" i="14"/>
  <c r="E504" i="14"/>
  <c r="D504" i="14"/>
  <c r="B504" i="14"/>
  <c r="G503" i="14"/>
  <c r="F503" i="14"/>
  <c r="E503" i="14"/>
  <c r="D503" i="14"/>
  <c r="B503" i="14"/>
  <c r="G502" i="14"/>
  <c r="F502" i="14"/>
  <c r="E502" i="14"/>
  <c r="D502" i="14"/>
  <c r="B502" i="14"/>
  <c r="G501" i="14"/>
  <c r="F501" i="14"/>
  <c r="E501" i="14"/>
  <c r="D501" i="14"/>
  <c r="B501" i="14"/>
  <c r="F500" i="14"/>
  <c r="G500" i="14" s="1"/>
  <c r="E500" i="14"/>
  <c r="D500" i="14"/>
  <c r="B500" i="14"/>
  <c r="G499" i="14"/>
  <c r="F499" i="14"/>
  <c r="E499" i="14"/>
  <c r="D499" i="14"/>
  <c r="B499" i="14"/>
  <c r="G498" i="14"/>
  <c r="F498" i="14"/>
  <c r="E498" i="14"/>
  <c r="D498" i="14"/>
  <c r="B498" i="14"/>
  <c r="F497" i="14"/>
  <c r="E497" i="14"/>
  <c r="D497" i="14"/>
  <c r="B497" i="14"/>
  <c r="F496" i="14"/>
  <c r="G496" i="14" s="1"/>
  <c r="E496" i="14"/>
  <c r="D496" i="14"/>
  <c r="B496" i="14"/>
  <c r="F495" i="14"/>
  <c r="G495" i="14" s="1"/>
  <c r="E495" i="14"/>
  <c r="D495" i="14"/>
  <c r="B495" i="14"/>
  <c r="G493" i="14"/>
  <c r="F493" i="14"/>
  <c r="E493" i="14"/>
  <c r="D493" i="14"/>
  <c r="B493" i="14"/>
  <c r="F492" i="14"/>
  <c r="G492" i="14" s="1"/>
  <c r="E492" i="14"/>
  <c r="D492" i="14"/>
  <c r="B492" i="14"/>
  <c r="G491" i="14"/>
  <c r="F491" i="14"/>
  <c r="E491" i="14"/>
  <c r="D491" i="14"/>
  <c r="B491" i="14"/>
  <c r="F490" i="14"/>
  <c r="E490" i="14"/>
  <c r="D490" i="14"/>
  <c r="B490" i="14"/>
  <c r="F489" i="14"/>
  <c r="G489" i="14" s="1"/>
  <c r="E489" i="14"/>
  <c r="D489" i="14"/>
  <c r="B489" i="14"/>
  <c r="G488" i="14"/>
  <c r="F488" i="14"/>
  <c r="E488" i="14"/>
  <c r="D488" i="14"/>
  <c r="B488" i="14"/>
  <c r="F487" i="14"/>
  <c r="E487" i="14"/>
  <c r="D487" i="14"/>
  <c r="B487" i="14"/>
  <c r="F486" i="14"/>
  <c r="E486" i="14"/>
  <c r="D486" i="14"/>
  <c r="B486" i="14"/>
  <c r="F485" i="14"/>
  <c r="G485" i="14" s="1"/>
  <c r="E485" i="14"/>
  <c r="D485" i="14"/>
  <c r="B485" i="14"/>
  <c r="F484" i="14"/>
  <c r="G484" i="14" s="1"/>
  <c r="E484" i="14"/>
  <c r="D484" i="14"/>
  <c r="B484" i="14"/>
  <c r="F483" i="14"/>
  <c r="G483" i="14" s="1"/>
  <c r="E483" i="14"/>
  <c r="D483" i="14"/>
  <c r="B483" i="14"/>
  <c r="G482" i="14"/>
  <c r="F482" i="14"/>
  <c r="E482" i="14"/>
  <c r="D482" i="14"/>
  <c r="B482" i="14"/>
  <c r="G481" i="14"/>
  <c r="F481" i="14"/>
  <c r="E481" i="14"/>
  <c r="D481" i="14"/>
  <c r="B481" i="14"/>
  <c r="F480" i="14"/>
  <c r="G480" i="14" s="1"/>
  <c r="E480" i="14"/>
  <c r="D480" i="14"/>
  <c r="B480" i="14"/>
  <c r="F478" i="14"/>
  <c r="G478" i="14" s="1"/>
  <c r="E478" i="14"/>
  <c r="D478" i="14"/>
  <c r="B478" i="14"/>
  <c r="F477" i="14"/>
  <c r="E477" i="14"/>
  <c r="D477" i="14"/>
  <c r="B477" i="14"/>
  <c r="G476" i="14"/>
  <c r="F476" i="14"/>
  <c r="E476" i="14"/>
  <c r="D476" i="14"/>
  <c r="B476" i="14"/>
  <c r="G475" i="14"/>
  <c r="F475" i="14"/>
  <c r="E475" i="14"/>
  <c r="D475" i="14"/>
  <c r="B475" i="14"/>
  <c r="F474" i="14"/>
  <c r="E474" i="14"/>
  <c r="D474" i="14"/>
  <c r="B474" i="14"/>
  <c r="F473" i="14"/>
  <c r="G473" i="14" s="1"/>
  <c r="E473" i="14"/>
  <c r="D473" i="14"/>
  <c r="B473" i="14"/>
  <c r="G472" i="14"/>
  <c r="F472" i="14"/>
  <c r="E472" i="14"/>
  <c r="D472" i="14"/>
  <c r="B472" i="14"/>
  <c r="G471" i="14"/>
  <c r="F471" i="14"/>
  <c r="E471" i="14"/>
  <c r="D471" i="14"/>
  <c r="B471" i="14"/>
  <c r="F470" i="14"/>
  <c r="E470" i="14"/>
  <c r="D470" i="14"/>
  <c r="B470" i="14"/>
  <c r="F469" i="14"/>
  <c r="G469" i="14" s="1"/>
  <c r="E469" i="14"/>
  <c r="D469" i="14"/>
  <c r="B469" i="14"/>
  <c r="F468" i="14"/>
  <c r="G468" i="14" s="1"/>
  <c r="E468" i="14"/>
  <c r="D468" i="14"/>
  <c r="B468" i="14"/>
  <c r="G467" i="14"/>
  <c r="F467" i="14"/>
  <c r="E467" i="14"/>
  <c r="D467" i="14"/>
  <c r="B467" i="14"/>
  <c r="F466" i="14"/>
  <c r="E466" i="14"/>
  <c r="D466" i="14"/>
  <c r="B466" i="14"/>
  <c r="G465" i="14"/>
  <c r="F465" i="14"/>
  <c r="E465" i="14"/>
  <c r="D465" i="14"/>
  <c r="B465" i="14"/>
  <c r="F464" i="14"/>
  <c r="G464" i="14" s="1"/>
  <c r="E464" i="14"/>
  <c r="D464" i="14"/>
  <c r="B464" i="14"/>
  <c r="F463" i="14"/>
  <c r="G463" i="14" s="1"/>
  <c r="E463" i="14"/>
  <c r="D463" i="14"/>
  <c r="B463" i="14"/>
  <c r="G461" i="14"/>
  <c r="F461" i="14"/>
  <c r="E461" i="14"/>
  <c r="D461" i="14"/>
  <c r="B461" i="14"/>
  <c r="G460" i="14"/>
  <c r="F460" i="14"/>
  <c r="E460" i="14"/>
  <c r="D460" i="14"/>
  <c r="B460" i="14"/>
  <c r="F459" i="14"/>
  <c r="E459" i="14"/>
  <c r="D459" i="14"/>
  <c r="B459" i="14"/>
  <c r="F458" i="14"/>
  <c r="E458" i="14"/>
  <c r="D458" i="14"/>
  <c r="B458" i="14"/>
  <c r="F457" i="14"/>
  <c r="G457" i="14" s="1"/>
  <c r="E457" i="14"/>
  <c r="D457" i="14"/>
  <c r="B457" i="14"/>
  <c r="F456" i="14"/>
  <c r="E456" i="14"/>
  <c r="D456" i="14"/>
  <c r="B456" i="14"/>
  <c r="F455" i="14"/>
  <c r="E455" i="14"/>
  <c r="D455" i="14"/>
  <c r="B455" i="14"/>
  <c r="G454" i="14"/>
  <c r="F454" i="14"/>
  <c r="E454" i="14"/>
  <c r="D454" i="14"/>
  <c r="B454" i="14"/>
  <c r="F453" i="14"/>
  <c r="E453" i="14"/>
  <c r="D453" i="14"/>
  <c r="B453" i="14"/>
  <c r="F452" i="14"/>
  <c r="G452" i="14" s="1"/>
  <c r="E452" i="14"/>
  <c r="D452" i="14"/>
  <c r="B452" i="14"/>
  <c r="F451" i="14"/>
  <c r="E451" i="14"/>
  <c r="D451" i="14"/>
  <c r="B451" i="14"/>
  <c r="G450" i="14"/>
  <c r="F450" i="14"/>
  <c r="E450" i="14"/>
  <c r="D450" i="14"/>
  <c r="B450" i="14"/>
  <c r="G449" i="14"/>
  <c r="F449" i="14"/>
  <c r="E449" i="14"/>
  <c r="D449" i="14"/>
  <c r="B449" i="14"/>
  <c r="G448" i="14"/>
  <c r="F448" i="14"/>
  <c r="E448" i="14"/>
  <c r="D448" i="14"/>
  <c r="B448" i="14"/>
  <c r="F446" i="14"/>
  <c r="G446" i="14" s="1"/>
  <c r="E446" i="14"/>
  <c r="D446" i="14"/>
  <c r="B446" i="14"/>
  <c r="G445" i="14"/>
  <c r="F445" i="14"/>
  <c r="E445" i="14"/>
  <c r="D445" i="14"/>
  <c r="B445" i="14"/>
  <c r="G444" i="14"/>
  <c r="F444" i="14"/>
  <c r="E444" i="14"/>
  <c r="D444" i="14"/>
  <c r="B444" i="14"/>
  <c r="G443" i="14"/>
  <c r="F443" i="14"/>
  <c r="E443" i="14"/>
  <c r="D443" i="14"/>
  <c r="B443" i="14"/>
  <c r="F442" i="14"/>
  <c r="E442" i="14"/>
  <c r="D442" i="14"/>
  <c r="B442" i="14"/>
  <c r="F441" i="14"/>
  <c r="G441" i="14" s="1"/>
  <c r="E441" i="14"/>
  <c r="D441" i="14"/>
  <c r="B441" i="14"/>
  <c r="G440" i="14"/>
  <c r="F440" i="14"/>
  <c r="E440" i="14"/>
  <c r="D440" i="14"/>
  <c r="B440" i="14"/>
  <c r="F439" i="14"/>
  <c r="E439" i="14"/>
  <c r="D439" i="14"/>
  <c r="B439" i="14"/>
  <c r="F438" i="14"/>
  <c r="E438" i="14"/>
  <c r="D438" i="14"/>
  <c r="B438" i="14"/>
  <c r="F437" i="14"/>
  <c r="E437" i="14"/>
  <c r="D437" i="14"/>
  <c r="B437" i="14"/>
  <c r="F436" i="14"/>
  <c r="G436" i="14" s="1"/>
  <c r="E436" i="14"/>
  <c r="D436" i="14"/>
  <c r="B436" i="14"/>
  <c r="G435" i="14"/>
  <c r="F435" i="14"/>
  <c r="E435" i="14"/>
  <c r="D435" i="14"/>
  <c r="B435" i="14"/>
  <c r="F434" i="14"/>
  <c r="G434" i="14" s="1"/>
  <c r="E434" i="14"/>
  <c r="D434" i="14"/>
  <c r="B434" i="14"/>
  <c r="G433" i="14"/>
  <c r="F433" i="14"/>
  <c r="E433" i="14"/>
  <c r="D433" i="14"/>
  <c r="B433" i="14"/>
  <c r="F432" i="14"/>
  <c r="E432" i="14"/>
  <c r="D432" i="14"/>
  <c r="B432" i="14"/>
  <c r="F430" i="14"/>
  <c r="G430" i="14" s="1"/>
  <c r="E430" i="14"/>
  <c r="D430" i="14"/>
  <c r="B430" i="14"/>
  <c r="F429" i="14"/>
  <c r="G429" i="14" s="1"/>
  <c r="E429" i="14"/>
  <c r="D429" i="14"/>
  <c r="B429" i="14"/>
  <c r="G428" i="14"/>
  <c r="F428" i="14"/>
  <c r="E428" i="14"/>
  <c r="D428" i="14"/>
  <c r="B428" i="14"/>
  <c r="G427" i="14"/>
  <c r="F427" i="14"/>
  <c r="E427" i="14"/>
  <c r="D427" i="14"/>
  <c r="B427" i="14"/>
  <c r="F426" i="14"/>
  <c r="G426" i="14" s="1"/>
  <c r="E426" i="14"/>
  <c r="D426" i="14"/>
  <c r="B426" i="14"/>
  <c r="F425" i="14"/>
  <c r="G425" i="14" s="1"/>
  <c r="E425" i="14"/>
  <c r="D425" i="14"/>
  <c r="B425" i="14"/>
  <c r="F424" i="14"/>
  <c r="E424" i="14"/>
  <c r="D424" i="14"/>
  <c r="B424" i="14"/>
  <c r="G423" i="14"/>
  <c r="F423" i="14"/>
  <c r="E423" i="14"/>
  <c r="D423" i="14"/>
  <c r="B423" i="14"/>
  <c r="F422" i="14"/>
  <c r="G422" i="14" s="1"/>
  <c r="E422" i="14"/>
  <c r="D422" i="14"/>
  <c r="B422" i="14"/>
  <c r="G421" i="14"/>
  <c r="F421" i="14"/>
  <c r="E421" i="14"/>
  <c r="D421" i="14"/>
  <c r="B421" i="14"/>
  <c r="F420" i="14"/>
  <c r="G420" i="14" s="1"/>
  <c r="E420" i="14"/>
  <c r="D420" i="14"/>
  <c r="B420" i="14"/>
  <c r="G419" i="14"/>
  <c r="F419" i="14"/>
  <c r="E419" i="14"/>
  <c r="D419" i="14"/>
  <c r="B419" i="14"/>
  <c r="G418" i="14"/>
  <c r="F418" i="14"/>
  <c r="E418" i="14"/>
  <c r="D418" i="14"/>
  <c r="B418" i="14"/>
  <c r="G417" i="14"/>
  <c r="F417" i="14"/>
  <c r="E417" i="14"/>
  <c r="D417" i="14"/>
  <c r="B417" i="14"/>
  <c r="F416" i="14"/>
  <c r="E416" i="14"/>
  <c r="D416" i="14"/>
  <c r="B416" i="14"/>
  <c r="F414" i="14"/>
  <c r="G414" i="14" s="1"/>
  <c r="E414" i="14"/>
  <c r="D414" i="14"/>
  <c r="B414" i="14"/>
  <c r="F413" i="14"/>
  <c r="G413" i="14" s="1"/>
  <c r="E413" i="14"/>
  <c r="D413" i="14"/>
  <c r="B413" i="14"/>
  <c r="F412" i="14"/>
  <c r="E412" i="14"/>
  <c r="D412" i="14"/>
  <c r="B412" i="14"/>
  <c r="G411" i="14"/>
  <c r="F411" i="14"/>
  <c r="E411" i="14"/>
  <c r="D411" i="14"/>
  <c r="B411" i="14"/>
  <c r="F410" i="14"/>
  <c r="G410" i="14" s="1"/>
  <c r="E410" i="14"/>
  <c r="D410" i="14"/>
  <c r="B410" i="14"/>
  <c r="F409" i="14"/>
  <c r="G409" i="14" s="1"/>
  <c r="E409" i="14"/>
  <c r="D409" i="14"/>
  <c r="B409" i="14"/>
  <c r="F408" i="14"/>
  <c r="G408" i="14" s="1"/>
  <c r="E408" i="14"/>
  <c r="D408" i="14"/>
  <c r="B408" i="14"/>
  <c r="G407" i="14"/>
  <c r="F407" i="14"/>
  <c r="E407" i="14"/>
  <c r="D407" i="14"/>
  <c r="B407" i="14"/>
  <c r="F406" i="14"/>
  <c r="E406" i="14"/>
  <c r="D406" i="14"/>
  <c r="B406" i="14"/>
  <c r="G405" i="14"/>
  <c r="F405" i="14"/>
  <c r="E405" i="14"/>
  <c r="D405" i="14"/>
  <c r="B405" i="14"/>
  <c r="F404" i="14"/>
  <c r="E404" i="14"/>
  <c r="D404" i="14"/>
  <c r="B404" i="14"/>
  <c r="G403" i="14"/>
  <c r="F403" i="14"/>
  <c r="E403" i="14"/>
  <c r="D403" i="14"/>
  <c r="B403" i="14"/>
  <c r="F402" i="14"/>
  <c r="E402" i="14"/>
  <c r="D402" i="14"/>
  <c r="B402" i="14"/>
  <c r="G401" i="14"/>
  <c r="F401" i="14"/>
  <c r="E401" i="14"/>
  <c r="D401" i="14"/>
  <c r="B401" i="14"/>
  <c r="G400" i="14"/>
  <c r="F400" i="14"/>
  <c r="E400" i="14"/>
  <c r="D400" i="14"/>
  <c r="B400" i="14"/>
  <c r="F399" i="14"/>
  <c r="E399" i="14"/>
  <c r="D399" i="14"/>
  <c r="B399" i="14"/>
  <c r="F398" i="14"/>
  <c r="E398" i="14"/>
  <c r="D398" i="14"/>
  <c r="B398" i="14"/>
  <c r="G397" i="14"/>
  <c r="F397" i="14"/>
  <c r="E397" i="14"/>
  <c r="D397" i="14"/>
  <c r="B397" i="14"/>
  <c r="G395" i="14"/>
  <c r="F395" i="14"/>
  <c r="E395" i="14"/>
  <c r="D395" i="14"/>
  <c r="B395" i="14"/>
  <c r="F394" i="14"/>
  <c r="G394" i="14" s="1"/>
  <c r="E394" i="14"/>
  <c r="D394" i="14"/>
  <c r="B394" i="14"/>
  <c r="F393" i="14"/>
  <c r="G393" i="14" s="1"/>
  <c r="E393" i="14"/>
  <c r="D393" i="14"/>
  <c r="B393" i="14"/>
  <c r="F392" i="14"/>
  <c r="E392" i="14"/>
  <c r="D392" i="14"/>
  <c r="B392" i="14"/>
  <c r="G391" i="14"/>
  <c r="F391" i="14"/>
  <c r="E391" i="14"/>
  <c r="D391" i="14"/>
  <c r="B391" i="14"/>
  <c r="G390" i="14"/>
  <c r="F390" i="14"/>
  <c r="E390" i="14"/>
  <c r="D390" i="14"/>
  <c r="B390" i="14"/>
  <c r="F389" i="14"/>
  <c r="G389" i="14" s="1"/>
  <c r="E389" i="14"/>
  <c r="D389" i="14"/>
  <c r="B389" i="14"/>
  <c r="F388" i="14"/>
  <c r="G388" i="14" s="1"/>
  <c r="E388" i="14"/>
  <c r="D388" i="14"/>
  <c r="B388" i="14"/>
  <c r="G387" i="14"/>
  <c r="F387" i="14"/>
  <c r="E387" i="14"/>
  <c r="D387" i="14"/>
  <c r="B387" i="14"/>
  <c r="G386" i="14"/>
  <c r="F386" i="14"/>
  <c r="E386" i="14"/>
  <c r="D386" i="14"/>
  <c r="B386" i="14"/>
  <c r="G385" i="14"/>
  <c r="F385" i="14"/>
  <c r="E385" i="14"/>
  <c r="D385" i="14"/>
  <c r="B385" i="14"/>
  <c r="G384" i="14"/>
  <c r="F384" i="14"/>
  <c r="E384" i="14"/>
  <c r="D384" i="14"/>
  <c r="B384" i="14"/>
  <c r="F383" i="14"/>
  <c r="G383" i="14" s="1"/>
  <c r="E383" i="14"/>
  <c r="D383" i="14"/>
  <c r="B383" i="14"/>
  <c r="G382" i="14"/>
  <c r="F382" i="14"/>
  <c r="E382" i="14"/>
  <c r="D382" i="14"/>
  <c r="B382" i="14"/>
  <c r="G381" i="14"/>
  <c r="F381" i="14"/>
  <c r="E381" i="14"/>
  <c r="D381" i="14"/>
  <c r="B381" i="14"/>
  <c r="G380" i="14"/>
  <c r="F380" i="14"/>
  <c r="E380" i="14"/>
  <c r="D380" i="14"/>
  <c r="B380" i="14"/>
  <c r="F378" i="14"/>
  <c r="E378" i="14"/>
  <c r="D378" i="14"/>
  <c r="B378" i="14"/>
  <c r="F377" i="14"/>
  <c r="G377" i="14" s="1"/>
  <c r="E377" i="14"/>
  <c r="D377" i="14"/>
  <c r="B377" i="14"/>
  <c r="F376" i="14"/>
  <c r="G376" i="14" s="1"/>
  <c r="E376" i="14"/>
  <c r="D376" i="14"/>
  <c r="B376" i="14"/>
  <c r="F375" i="14"/>
  <c r="G375" i="14" s="1"/>
  <c r="E375" i="14"/>
  <c r="D375" i="14"/>
  <c r="B375" i="14"/>
  <c r="F374" i="14"/>
  <c r="G374" i="14" s="1"/>
  <c r="E374" i="14"/>
  <c r="D374" i="14"/>
  <c r="B374" i="14"/>
  <c r="F373" i="14"/>
  <c r="E373" i="14"/>
  <c r="D373" i="14"/>
  <c r="B373" i="14"/>
  <c r="F372" i="14"/>
  <c r="G372" i="14" s="1"/>
  <c r="E372" i="14"/>
  <c r="D372" i="14"/>
  <c r="B372" i="14"/>
  <c r="F371" i="14"/>
  <c r="G371" i="14" s="1"/>
  <c r="E371" i="14"/>
  <c r="D371" i="14"/>
  <c r="B371" i="14"/>
  <c r="F370" i="14"/>
  <c r="E370" i="14"/>
  <c r="D370" i="14"/>
  <c r="B370" i="14"/>
  <c r="G369" i="14"/>
  <c r="F369" i="14"/>
  <c r="E369" i="14"/>
  <c r="D369" i="14"/>
  <c r="B369" i="14"/>
  <c r="F368" i="14"/>
  <c r="E368" i="14"/>
  <c r="D368" i="14"/>
  <c r="B368" i="14"/>
  <c r="F367" i="14"/>
  <c r="G367" i="14" s="1"/>
  <c r="E367" i="14"/>
  <c r="D367" i="14"/>
  <c r="B367" i="14"/>
  <c r="F366" i="14"/>
  <c r="G366" i="14" s="1"/>
  <c r="E366" i="14"/>
  <c r="D366" i="14"/>
  <c r="B366" i="14"/>
  <c r="G365" i="14"/>
  <c r="F365" i="14"/>
  <c r="E365" i="14"/>
  <c r="D365" i="14"/>
  <c r="B365" i="14"/>
  <c r="G364" i="14"/>
  <c r="F364" i="14"/>
  <c r="E364" i="14"/>
  <c r="D364" i="14"/>
  <c r="B364" i="14"/>
  <c r="F362" i="14"/>
  <c r="G362" i="14" s="1"/>
  <c r="E362" i="14"/>
  <c r="D362" i="14"/>
  <c r="B362" i="14"/>
  <c r="F361" i="14"/>
  <c r="G361" i="14" s="1"/>
  <c r="E361" i="14"/>
  <c r="D361" i="14"/>
  <c r="B361" i="14"/>
  <c r="F360" i="14"/>
  <c r="G360" i="14" s="1"/>
  <c r="E360" i="14"/>
  <c r="D360" i="14"/>
  <c r="B360" i="14"/>
  <c r="G359" i="14"/>
  <c r="F359" i="14"/>
  <c r="E359" i="14"/>
  <c r="D359" i="14"/>
  <c r="B359" i="14"/>
  <c r="G358" i="14"/>
  <c r="F358" i="14"/>
  <c r="E358" i="14"/>
  <c r="D358" i="14"/>
  <c r="B358" i="14"/>
  <c r="F357" i="14"/>
  <c r="G357" i="14" s="1"/>
  <c r="E357" i="14"/>
  <c r="D357" i="14"/>
  <c r="B357" i="14"/>
  <c r="F356" i="14"/>
  <c r="G356" i="14" s="1"/>
  <c r="E356" i="14"/>
  <c r="D356" i="14"/>
  <c r="B356" i="14"/>
  <c r="F355" i="14"/>
  <c r="E355" i="14"/>
  <c r="D355" i="14"/>
  <c r="B355" i="14"/>
  <c r="G354" i="14"/>
  <c r="F354" i="14"/>
  <c r="E354" i="14"/>
  <c r="D354" i="14"/>
  <c r="B354" i="14"/>
  <c r="G353" i="14"/>
  <c r="F353" i="14"/>
  <c r="E353" i="14"/>
  <c r="D353" i="14"/>
  <c r="B353" i="14"/>
  <c r="F352" i="14"/>
  <c r="G352" i="14" s="1"/>
  <c r="E352" i="14"/>
  <c r="D352" i="14"/>
  <c r="B352" i="14"/>
  <c r="F351" i="14"/>
  <c r="G351" i="14" s="1"/>
  <c r="E351" i="14"/>
  <c r="D351" i="14"/>
  <c r="B351" i="14"/>
  <c r="F350" i="14"/>
  <c r="E350" i="14"/>
  <c r="D350" i="14"/>
  <c r="B350" i="14"/>
  <c r="F349" i="14"/>
  <c r="G349" i="14" s="1"/>
  <c r="E349" i="14"/>
  <c r="D349" i="14"/>
  <c r="B349" i="14"/>
  <c r="G348" i="14"/>
  <c r="F348" i="14"/>
  <c r="E348" i="14"/>
  <c r="D348" i="14"/>
  <c r="B348" i="14"/>
  <c r="F347" i="14"/>
  <c r="G347" i="14" s="1"/>
  <c r="E347" i="14"/>
  <c r="D347" i="14"/>
  <c r="B347" i="14"/>
  <c r="F345" i="14"/>
  <c r="G345" i="14" s="1"/>
  <c r="E345" i="14"/>
  <c r="D345" i="14"/>
  <c r="B345" i="14"/>
  <c r="G344" i="14"/>
  <c r="F344" i="14"/>
  <c r="E344" i="14"/>
  <c r="D344" i="14"/>
  <c r="B344" i="14"/>
  <c r="F343" i="14"/>
  <c r="G343" i="14" s="1"/>
  <c r="E343" i="14"/>
  <c r="D343" i="14"/>
  <c r="B343" i="14"/>
  <c r="F342" i="14"/>
  <c r="E342" i="14"/>
  <c r="D342" i="14"/>
  <c r="B342" i="14"/>
  <c r="F341" i="14"/>
  <c r="G341" i="14" s="1"/>
  <c r="E341" i="14"/>
  <c r="D341" i="14"/>
  <c r="B341" i="14"/>
  <c r="F340" i="14"/>
  <c r="G340" i="14" s="1"/>
  <c r="E340" i="14"/>
  <c r="D340" i="14"/>
  <c r="B340" i="14"/>
  <c r="G339" i="14"/>
  <c r="F339" i="14"/>
  <c r="E339" i="14"/>
  <c r="D339" i="14"/>
  <c r="B339" i="14"/>
  <c r="F338" i="14"/>
  <c r="E338" i="14"/>
  <c r="D338" i="14"/>
  <c r="B338" i="14"/>
  <c r="G337" i="14"/>
  <c r="F337" i="14"/>
  <c r="E337" i="14"/>
  <c r="D337" i="14"/>
  <c r="B337" i="14"/>
  <c r="F336" i="14"/>
  <c r="G336" i="14" s="1"/>
  <c r="E336" i="14"/>
  <c r="D336" i="14"/>
  <c r="B336" i="14"/>
  <c r="F335" i="14"/>
  <c r="G335" i="14" s="1"/>
  <c r="E335" i="14"/>
  <c r="D335" i="14"/>
  <c r="B335" i="14"/>
  <c r="F334" i="14"/>
  <c r="G334" i="14" s="1"/>
  <c r="E334" i="14"/>
  <c r="D334" i="14"/>
  <c r="B334" i="14"/>
  <c r="G333" i="14"/>
  <c r="F333" i="14"/>
  <c r="E333" i="14"/>
  <c r="D333" i="14"/>
  <c r="B333" i="14"/>
  <c r="G332" i="14"/>
  <c r="F332" i="14"/>
  <c r="E332" i="14"/>
  <c r="D332" i="14"/>
  <c r="B332" i="14"/>
  <c r="F330" i="14"/>
  <c r="G330" i="14" s="1"/>
  <c r="E330" i="14"/>
  <c r="D330" i="14"/>
  <c r="B330" i="14"/>
  <c r="F329" i="14"/>
  <c r="G329" i="14" s="1"/>
  <c r="E329" i="14"/>
  <c r="D329" i="14"/>
  <c r="B329" i="14"/>
  <c r="F328" i="14"/>
  <c r="E328" i="14"/>
  <c r="D328" i="14"/>
  <c r="B328" i="14"/>
  <c r="G327" i="14"/>
  <c r="F327" i="14"/>
  <c r="E327" i="14"/>
  <c r="D327" i="14"/>
  <c r="B327" i="14"/>
  <c r="G326" i="14"/>
  <c r="F326" i="14"/>
  <c r="E326" i="14"/>
  <c r="D326" i="14"/>
  <c r="B326" i="14"/>
  <c r="F325" i="14"/>
  <c r="G325" i="14" s="1"/>
  <c r="E325" i="14"/>
  <c r="D325" i="14"/>
  <c r="B325" i="14"/>
  <c r="F324" i="14"/>
  <c r="G324" i="14" s="1"/>
  <c r="E324" i="14"/>
  <c r="D324" i="14"/>
  <c r="B324" i="14"/>
  <c r="F323" i="14"/>
  <c r="E323" i="14"/>
  <c r="D323" i="14"/>
  <c r="B323" i="14"/>
  <c r="F322" i="14"/>
  <c r="G322" i="14" s="1"/>
  <c r="E322" i="14"/>
  <c r="D322" i="14"/>
  <c r="B322" i="14"/>
  <c r="G321" i="14"/>
  <c r="F321" i="14"/>
  <c r="E321" i="14"/>
  <c r="D321" i="14"/>
  <c r="B321" i="14"/>
  <c r="F320" i="14"/>
  <c r="G320" i="14" s="1"/>
  <c r="E320" i="14"/>
  <c r="D320" i="14"/>
  <c r="B320" i="14"/>
  <c r="F319" i="14"/>
  <c r="G319" i="14" s="1"/>
  <c r="E319" i="14"/>
  <c r="D319" i="14"/>
  <c r="B319" i="14"/>
  <c r="G318" i="14"/>
  <c r="F318" i="14"/>
  <c r="E318" i="14"/>
  <c r="D318" i="14"/>
  <c r="B318" i="14"/>
  <c r="F317" i="14"/>
  <c r="G317" i="14" s="1"/>
  <c r="E317" i="14"/>
  <c r="D317" i="14"/>
  <c r="B317" i="14"/>
  <c r="F316" i="14"/>
  <c r="E316" i="14"/>
  <c r="D316" i="14"/>
  <c r="B316" i="14"/>
  <c r="F314" i="14"/>
  <c r="G314" i="14" s="1"/>
  <c r="E314" i="14"/>
  <c r="D314" i="14"/>
  <c r="B314" i="14"/>
  <c r="F313" i="14"/>
  <c r="G313" i="14" s="1"/>
  <c r="E313" i="14"/>
  <c r="D313" i="14"/>
  <c r="B313" i="14"/>
  <c r="G312" i="14"/>
  <c r="F312" i="14"/>
  <c r="E312" i="14"/>
  <c r="D312" i="14"/>
  <c r="B312" i="14"/>
  <c r="F311" i="14"/>
  <c r="E311" i="14"/>
  <c r="D311" i="14"/>
  <c r="B311" i="14"/>
  <c r="G310" i="14"/>
  <c r="F310" i="14"/>
  <c r="E310" i="14"/>
  <c r="D310" i="14"/>
  <c r="B310" i="14"/>
  <c r="F309" i="14"/>
  <c r="G309" i="14" s="1"/>
  <c r="E309" i="14"/>
  <c r="D309" i="14"/>
  <c r="B309" i="14"/>
  <c r="F308" i="14"/>
  <c r="G308" i="14" s="1"/>
  <c r="E308" i="14"/>
  <c r="D308" i="14"/>
  <c r="B308" i="14"/>
  <c r="F307" i="14"/>
  <c r="G307" i="14" s="1"/>
  <c r="E307" i="14"/>
  <c r="D307" i="14"/>
  <c r="B307" i="14"/>
  <c r="G306" i="14"/>
  <c r="F306" i="14"/>
  <c r="E306" i="14"/>
  <c r="D306" i="14"/>
  <c r="B306" i="14"/>
  <c r="G305" i="14"/>
  <c r="F305" i="14"/>
  <c r="E305" i="14"/>
  <c r="D305" i="14"/>
  <c r="B305" i="14"/>
  <c r="F304" i="14"/>
  <c r="G304" i="14" s="1"/>
  <c r="E304" i="14"/>
  <c r="D304" i="14"/>
  <c r="B304" i="14"/>
  <c r="F303" i="14"/>
  <c r="G303" i="14" s="1"/>
  <c r="E303" i="14"/>
  <c r="D303" i="14"/>
  <c r="B303" i="14"/>
  <c r="J302" i="14"/>
  <c r="F302" i="14"/>
  <c r="E302" i="14"/>
  <c r="D302" i="14"/>
  <c r="B302" i="14"/>
  <c r="F301" i="14"/>
  <c r="E301" i="14"/>
  <c r="D301" i="14"/>
  <c r="B301" i="14"/>
  <c r="G300" i="14"/>
  <c r="F300" i="14"/>
  <c r="E300" i="14"/>
  <c r="D300" i="14"/>
  <c r="B300" i="14"/>
  <c r="F298" i="14"/>
  <c r="G298" i="14" s="1"/>
  <c r="E298" i="14"/>
  <c r="D298" i="14"/>
  <c r="B298" i="14"/>
  <c r="F297" i="14"/>
  <c r="G297" i="14" s="1"/>
  <c r="E297" i="14"/>
  <c r="D297" i="14"/>
  <c r="B297" i="14"/>
  <c r="F296" i="14"/>
  <c r="E296" i="14"/>
  <c r="D296" i="14"/>
  <c r="B296" i="14"/>
  <c r="F295" i="14"/>
  <c r="G295" i="14" s="1"/>
  <c r="E295" i="14"/>
  <c r="D295" i="14"/>
  <c r="B295" i="14"/>
  <c r="G294" i="14"/>
  <c r="F294" i="14"/>
  <c r="E294" i="14"/>
  <c r="D294" i="14"/>
  <c r="B294" i="14"/>
  <c r="F293" i="14"/>
  <c r="E293" i="14"/>
  <c r="D293" i="14"/>
  <c r="B293" i="14"/>
  <c r="F292" i="14"/>
  <c r="G292" i="14" s="1"/>
  <c r="E292" i="14"/>
  <c r="D292" i="14"/>
  <c r="B292" i="14"/>
  <c r="G291" i="14"/>
  <c r="F291" i="14"/>
  <c r="E291" i="14"/>
  <c r="D291" i="14"/>
  <c r="B291" i="14"/>
  <c r="F290" i="14"/>
  <c r="G290" i="14" s="1"/>
  <c r="E290" i="14"/>
  <c r="D290" i="14"/>
  <c r="B290" i="14"/>
  <c r="F289" i="14"/>
  <c r="E289" i="14"/>
  <c r="D289" i="14"/>
  <c r="B289" i="14"/>
  <c r="F288" i="14"/>
  <c r="G288" i="14" s="1"/>
  <c r="E288" i="14"/>
  <c r="D288" i="14"/>
  <c r="B288" i="14"/>
  <c r="F287" i="14"/>
  <c r="E287" i="14"/>
  <c r="D287" i="14"/>
  <c r="B287" i="14"/>
  <c r="G286" i="14"/>
  <c r="F286" i="14"/>
  <c r="E286" i="14"/>
  <c r="D286" i="14"/>
  <c r="B286" i="14"/>
  <c r="F285" i="14"/>
  <c r="E285" i="14"/>
  <c r="D285" i="14"/>
  <c r="B285" i="14"/>
  <c r="G284" i="14"/>
  <c r="F284" i="14"/>
  <c r="E284" i="14"/>
  <c r="D284" i="14"/>
  <c r="B284" i="14"/>
  <c r="F283" i="14"/>
  <c r="G283" i="14" s="1"/>
  <c r="E283" i="14"/>
  <c r="D283" i="14"/>
  <c r="B283" i="14"/>
  <c r="F281" i="14"/>
  <c r="E281" i="14"/>
  <c r="D281" i="14"/>
  <c r="B281" i="14"/>
  <c r="F280" i="14"/>
  <c r="G280" i="14" s="1"/>
  <c r="E280" i="14"/>
  <c r="D280" i="14"/>
  <c r="B280" i="14"/>
  <c r="G279" i="14"/>
  <c r="F279" i="14"/>
  <c r="E279" i="14"/>
  <c r="D279" i="14"/>
  <c r="B279" i="14"/>
  <c r="G278" i="14"/>
  <c r="F278" i="14"/>
  <c r="E278" i="14"/>
  <c r="D278" i="14"/>
  <c r="B278" i="14"/>
  <c r="F277" i="14"/>
  <c r="G277" i="14" s="1"/>
  <c r="E277" i="14"/>
  <c r="D277" i="14"/>
  <c r="B277" i="14"/>
  <c r="J276" i="14"/>
  <c r="F276" i="14"/>
  <c r="G276" i="14" s="1"/>
  <c r="E276" i="14"/>
  <c r="D276" i="14"/>
  <c r="B276" i="14"/>
  <c r="F275" i="14"/>
  <c r="G275" i="14" s="1"/>
  <c r="E275" i="14"/>
  <c r="D275" i="14"/>
  <c r="B275" i="14"/>
  <c r="F274" i="14"/>
  <c r="G274" i="14" s="1"/>
  <c r="E274" i="14"/>
  <c r="D274" i="14"/>
  <c r="B274" i="14"/>
  <c r="G273" i="14"/>
  <c r="F273" i="14"/>
  <c r="E273" i="14"/>
  <c r="D273" i="14"/>
  <c r="B273" i="14"/>
  <c r="F272" i="14"/>
  <c r="G272" i="14" s="1"/>
  <c r="E272" i="14"/>
  <c r="D272" i="14"/>
  <c r="B272" i="14"/>
  <c r="F271" i="14"/>
  <c r="G271" i="14" s="1"/>
  <c r="E271" i="14"/>
  <c r="D271" i="14"/>
  <c r="B271" i="14"/>
  <c r="F270" i="14"/>
  <c r="E270" i="14"/>
  <c r="D270" i="14"/>
  <c r="B270" i="14"/>
  <c r="J269" i="14"/>
  <c r="F269" i="14"/>
  <c r="G269" i="14" s="1"/>
  <c r="E269" i="14"/>
  <c r="D269" i="14"/>
  <c r="B269" i="14"/>
  <c r="F268" i="14"/>
  <c r="E268" i="14"/>
  <c r="D268" i="14"/>
  <c r="B268" i="14"/>
  <c r="F267" i="14"/>
  <c r="G267" i="14" s="1"/>
  <c r="E267" i="14"/>
  <c r="D267" i="14"/>
  <c r="B267" i="14"/>
  <c r="F265" i="14"/>
  <c r="G265" i="14" s="1"/>
  <c r="E265" i="14"/>
  <c r="D265" i="14"/>
  <c r="B265" i="14"/>
  <c r="G264" i="14"/>
  <c r="F264" i="14"/>
  <c r="E264" i="14"/>
  <c r="D264" i="14"/>
  <c r="B264" i="14"/>
  <c r="F263" i="14"/>
  <c r="G263" i="14" s="1"/>
  <c r="E263" i="14"/>
  <c r="D263" i="14"/>
  <c r="B263" i="14"/>
  <c r="G262" i="14"/>
  <c r="F262" i="14"/>
  <c r="E262" i="14"/>
  <c r="D262" i="14"/>
  <c r="B262" i="14"/>
  <c r="F261" i="14"/>
  <c r="G261" i="14" s="1"/>
  <c r="E261" i="14"/>
  <c r="D261" i="14"/>
  <c r="B261" i="14"/>
  <c r="F260" i="14"/>
  <c r="E260" i="14"/>
  <c r="D260" i="14"/>
  <c r="B260" i="14"/>
  <c r="F259" i="14"/>
  <c r="G259" i="14" s="1"/>
  <c r="E259" i="14"/>
  <c r="D259" i="14"/>
  <c r="B259" i="14"/>
  <c r="F258" i="14"/>
  <c r="E258" i="14"/>
  <c r="D258" i="14"/>
  <c r="B258" i="14"/>
  <c r="G257" i="14"/>
  <c r="F257" i="14"/>
  <c r="E257" i="14"/>
  <c r="D257" i="14"/>
  <c r="B257" i="14"/>
  <c r="F256" i="14"/>
  <c r="G256" i="14" s="1"/>
  <c r="E256" i="14"/>
  <c r="D256" i="14"/>
  <c r="B256" i="14"/>
  <c r="F255" i="14"/>
  <c r="E255" i="14"/>
  <c r="D255" i="14"/>
  <c r="B255" i="14"/>
  <c r="F254" i="14"/>
  <c r="G254" i="14" s="1"/>
  <c r="E254" i="14"/>
  <c r="D254" i="14"/>
  <c r="B254" i="14"/>
  <c r="G253" i="14"/>
  <c r="F253" i="14"/>
  <c r="E253" i="14"/>
  <c r="D253" i="14"/>
  <c r="B253" i="14"/>
  <c r="G252" i="14"/>
  <c r="F252" i="14"/>
  <c r="E252" i="14"/>
  <c r="D252" i="14"/>
  <c r="B252" i="14"/>
  <c r="F251" i="14"/>
  <c r="G251" i="14" s="1"/>
  <c r="E251" i="14"/>
  <c r="D251" i="14"/>
  <c r="B251" i="14"/>
  <c r="F250" i="14"/>
  <c r="G250" i="14" s="1"/>
  <c r="E250" i="14"/>
  <c r="D250" i="14"/>
  <c r="B250" i="14"/>
  <c r="F248" i="14"/>
  <c r="G248" i="14" s="1"/>
  <c r="E248" i="14"/>
  <c r="D248" i="14"/>
  <c r="B248" i="14"/>
  <c r="F247" i="14"/>
  <c r="E247" i="14"/>
  <c r="D247" i="14"/>
  <c r="B247" i="14"/>
  <c r="G246" i="14"/>
  <c r="F246" i="14"/>
  <c r="E246" i="14"/>
  <c r="D246" i="14"/>
  <c r="B246" i="14"/>
  <c r="F245" i="14"/>
  <c r="G245" i="14" s="1"/>
  <c r="E245" i="14"/>
  <c r="D245" i="14"/>
  <c r="B245" i="14"/>
  <c r="J244" i="14"/>
  <c r="G244" i="14"/>
  <c r="F244" i="14"/>
  <c r="E244" i="14"/>
  <c r="D244" i="14"/>
  <c r="B244" i="14"/>
  <c r="F243" i="14"/>
  <c r="E243" i="14"/>
  <c r="D243" i="14"/>
  <c r="B243" i="14"/>
  <c r="G242" i="14"/>
  <c r="F242" i="14"/>
  <c r="E242" i="14"/>
  <c r="D242" i="14"/>
  <c r="B242" i="14"/>
  <c r="G241" i="14"/>
  <c r="F241" i="14"/>
  <c r="E241" i="14"/>
  <c r="D241" i="14"/>
  <c r="B241" i="14"/>
  <c r="F240" i="14"/>
  <c r="G240" i="14" s="1"/>
  <c r="E240" i="14"/>
  <c r="D240" i="14"/>
  <c r="B240" i="14"/>
  <c r="F239" i="14"/>
  <c r="E239" i="14"/>
  <c r="D239" i="14"/>
  <c r="B239" i="14"/>
  <c r="G238" i="14"/>
  <c r="F238" i="14"/>
  <c r="E238" i="14"/>
  <c r="D238" i="14"/>
  <c r="B238" i="14"/>
  <c r="J237" i="14"/>
  <c r="G237" i="14"/>
  <c r="F237" i="14"/>
  <c r="E237" i="14"/>
  <c r="D237" i="14"/>
  <c r="B237" i="14"/>
  <c r="G236" i="14"/>
  <c r="F236" i="14"/>
  <c r="E236" i="14"/>
  <c r="D236" i="14"/>
  <c r="B236" i="14"/>
  <c r="F235" i="14"/>
  <c r="G235" i="14" s="1"/>
  <c r="E235" i="14"/>
  <c r="D235" i="14"/>
  <c r="B235" i="14"/>
  <c r="G233" i="14"/>
  <c r="F233" i="14"/>
  <c r="E233" i="14"/>
  <c r="D233" i="14"/>
  <c r="B233" i="14"/>
  <c r="G232" i="14"/>
  <c r="F232" i="14"/>
  <c r="E232" i="14"/>
  <c r="D232" i="14"/>
  <c r="B232" i="14"/>
  <c r="F231" i="14"/>
  <c r="E231" i="14"/>
  <c r="D231" i="14"/>
  <c r="B231" i="14"/>
  <c r="F230" i="14"/>
  <c r="E230" i="14"/>
  <c r="D230" i="14"/>
  <c r="B230" i="14"/>
  <c r="F229" i="14"/>
  <c r="G229" i="14" s="1"/>
  <c r="E229" i="14"/>
  <c r="D229" i="14"/>
  <c r="B229" i="14"/>
  <c r="G228" i="14"/>
  <c r="F228" i="14"/>
  <c r="E228" i="14"/>
  <c r="D228" i="14"/>
  <c r="B228" i="14"/>
  <c r="F227" i="14"/>
  <c r="E227" i="14"/>
  <c r="D227" i="14"/>
  <c r="B227" i="14"/>
  <c r="J226" i="14"/>
  <c r="G226" i="14"/>
  <c r="F226" i="14"/>
  <c r="E226" i="14"/>
  <c r="D226" i="14"/>
  <c r="B226" i="14"/>
  <c r="F225" i="14"/>
  <c r="E225" i="14"/>
  <c r="D225" i="14"/>
  <c r="B225" i="14"/>
  <c r="F224" i="14"/>
  <c r="G224" i="14" s="1"/>
  <c r="E224" i="14"/>
  <c r="D224" i="14"/>
  <c r="B224" i="14"/>
  <c r="G223" i="14"/>
  <c r="F223" i="14"/>
  <c r="E223" i="14"/>
  <c r="D223" i="14"/>
  <c r="B223" i="14"/>
  <c r="F222" i="14"/>
  <c r="G222" i="14" s="1"/>
  <c r="E222" i="14"/>
  <c r="D222" i="14"/>
  <c r="B222" i="14"/>
  <c r="G221" i="14"/>
  <c r="F221" i="14"/>
  <c r="E221" i="14"/>
  <c r="D221" i="14"/>
  <c r="B221" i="14"/>
  <c r="F220" i="14"/>
  <c r="G220" i="14" s="1"/>
  <c r="E220" i="14"/>
  <c r="D220" i="14"/>
  <c r="B220" i="14"/>
  <c r="F219" i="14"/>
  <c r="G219" i="14" s="1"/>
  <c r="E219" i="14"/>
  <c r="D219" i="14"/>
  <c r="B219" i="14"/>
  <c r="F218" i="14"/>
  <c r="G218" i="14" s="1"/>
  <c r="E218" i="14"/>
  <c r="D218" i="14"/>
  <c r="B218" i="14"/>
  <c r="G216" i="14"/>
  <c r="F216" i="14"/>
  <c r="E216" i="14"/>
  <c r="D216" i="14"/>
  <c r="B216" i="14"/>
  <c r="G215" i="14"/>
  <c r="F215" i="14"/>
  <c r="E215" i="14"/>
  <c r="D215" i="14"/>
  <c r="B215" i="14"/>
  <c r="G214" i="14"/>
  <c r="F214" i="14"/>
  <c r="E214" i="14"/>
  <c r="D214" i="14"/>
  <c r="B214" i="14"/>
  <c r="F213" i="14"/>
  <c r="G213" i="14" s="1"/>
  <c r="E213" i="14"/>
  <c r="D213" i="14"/>
  <c r="B213" i="14"/>
  <c r="F212" i="14"/>
  <c r="E212" i="14"/>
  <c r="D212" i="14"/>
  <c r="B212" i="14"/>
  <c r="G211" i="14"/>
  <c r="F211" i="14"/>
  <c r="E211" i="14"/>
  <c r="D211" i="14"/>
  <c r="B211" i="14"/>
  <c r="G210" i="14"/>
  <c r="F210" i="14"/>
  <c r="E210" i="14"/>
  <c r="D210" i="14"/>
  <c r="B210" i="14"/>
  <c r="G209" i="14"/>
  <c r="F209" i="14"/>
  <c r="E209" i="14"/>
  <c r="D209" i="14"/>
  <c r="B209" i="14"/>
  <c r="F208" i="14"/>
  <c r="G208" i="14" s="1"/>
  <c r="E208" i="14"/>
  <c r="D208" i="14"/>
  <c r="B208" i="14"/>
  <c r="G207" i="14"/>
  <c r="F207" i="14"/>
  <c r="E207" i="14"/>
  <c r="D207" i="14"/>
  <c r="B207" i="14"/>
  <c r="G206" i="14"/>
  <c r="F206" i="14"/>
  <c r="E206" i="14"/>
  <c r="D206" i="14"/>
  <c r="B206" i="14"/>
  <c r="J205" i="14"/>
  <c r="F205" i="14"/>
  <c r="E205" i="14"/>
  <c r="D205" i="14"/>
  <c r="B205" i="14"/>
  <c r="F204" i="14"/>
  <c r="E204" i="14"/>
  <c r="D204" i="14"/>
  <c r="B204" i="14"/>
  <c r="F203" i="14"/>
  <c r="G203" i="14" s="1"/>
  <c r="E203" i="14"/>
  <c r="D203" i="14"/>
  <c r="B203" i="14"/>
  <c r="G201" i="14"/>
  <c r="F201" i="14"/>
  <c r="E201" i="14"/>
  <c r="D201" i="14"/>
  <c r="B201" i="14"/>
  <c r="F200" i="14"/>
  <c r="E200" i="14"/>
  <c r="D200" i="14"/>
  <c r="B200" i="14"/>
  <c r="J199" i="14"/>
  <c r="G199" i="14"/>
  <c r="F199" i="14"/>
  <c r="E199" i="14"/>
  <c r="D199" i="14"/>
  <c r="B199" i="14"/>
  <c r="F198" i="14"/>
  <c r="E198" i="14"/>
  <c r="D198" i="14"/>
  <c r="B198" i="14"/>
  <c r="G197" i="14"/>
  <c r="F197" i="14"/>
  <c r="E197" i="14"/>
  <c r="D197" i="14"/>
  <c r="B197" i="14"/>
  <c r="G196" i="14"/>
  <c r="F196" i="14"/>
  <c r="E196" i="14"/>
  <c r="D196" i="14"/>
  <c r="B196" i="14"/>
  <c r="F195" i="14"/>
  <c r="E195" i="14"/>
  <c r="D195" i="14"/>
  <c r="B195" i="14"/>
  <c r="G194" i="14"/>
  <c r="F194" i="14"/>
  <c r="E194" i="14"/>
  <c r="D194" i="14"/>
  <c r="B194" i="14"/>
  <c r="F193" i="14"/>
  <c r="E193" i="14"/>
  <c r="D193" i="14"/>
  <c r="B193" i="14"/>
  <c r="G192" i="14"/>
  <c r="F192" i="14"/>
  <c r="E192" i="14"/>
  <c r="D192" i="14"/>
  <c r="B192" i="14"/>
  <c r="G191" i="14"/>
  <c r="F191" i="14"/>
  <c r="E191" i="14"/>
  <c r="D191" i="14"/>
  <c r="B191" i="14"/>
  <c r="G190" i="14"/>
  <c r="F190" i="14"/>
  <c r="E190" i="14"/>
  <c r="D190" i="14"/>
  <c r="B190" i="14"/>
  <c r="J189" i="14"/>
  <c r="G189" i="14"/>
  <c r="F189" i="14"/>
  <c r="E189" i="14"/>
  <c r="D189" i="14"/>
  <c r="B189" i="14"/>
  <c r="F188" i="14"/>
  <c r="E188" i="14"/>
  <c r="D188" i="14"/>
  <c r="B188" i="14"/>
  <c r="F187" i="14"/>
  <c r="G187" i="14" s="1"/>
  <c r="E187" i="14"/>
  <c r="D187" i="14"/>
  <c r="B187" i="14"/>
  <c r="J185" i="14"/>
  <c r="F185" i="14"/>
  <c r="G185" i="14" s="1"/>
  <c r="E185" i="14"/>
  <c r="D185" i="14"/>
  <c r="B185" i="14"/>
  <c r="F184" i="14"/>
  <c r="E184" i="14"/>
  <c r="D184" i="14"/>
  <c r="B184" i="14"/>
  <c r="J183" i="14"/>
  <c r="G183" i="14"/>
  <c r="F183" i="14"/>
  <c r="E183" i="14"/>
  <c r="D183" i="14"/>
  <c r="B183" i="14"/>
  <c r="F182" i="14"/>
  <c r="E182" i="14"/>
  <c r="D182" i="14"/>
  <c r="B182" i="14"/>
  <c r="F181" i="14"/>
  <c r="G181" i="14" s="1"/>
  <c r="E181" i="14"/>
  <c r="D181" i="14"/>
  <c r="B181" i="14"/>
  <c r="F180" i="14"/>
  <c r="G180" i="14" s="1"/>
  <c r="E180" i="14"/>
  <c r="D180" i="14"/>
  <c r="B180" i="14"/>
  <c r="F179" i="14"/>
  <c r="G179" i="14" s="1"/>
  <c r="E179" i="14"/>
  <c r="D179" i="14"/>
  <c r="B179" i="14"/>
  <c r="F178" i="14"/>
  <c r="G178" i="14" s="1"/>
  <c r="E178" i="14"/>
  <c r="D178" i="14"/>
  <c r="B178" i="14"/>
  <c r="F177" i="14"/>
  <c r="E177" i="14"/>
  <c r="D177" i="14"/>
  <c r="B177" i="14"/>
  <c r="F176" i="14"/>
  <c r="G176" i="14" s="1"/>
  <c r="E176" i="14"/>
  <c r="D176" i="14"/>
  <c r="B176" i="14"/>
  <c r="F175" i="14"/>
  <c r="G175" i="14" s="1"/>
  <c r="E175" i="14"/>
  <c r="D175" i="14"/>
  <c r="B175" i="14"/>
  <c r="F174" i="14"/>
  <c r="E174" i="14"/>
  <c r="D174" i="14"/>
  <c r="B174" i="14"/>
  <c r="J173" i="14"/>
  <c r="G173" i="14"/>
  <c r="F173" i="14"/>
  <c r="E173" i="14"/>
  <c r="D173" i="14"/>
  <c r="B173" i="14"/>
  <c r="F172" i="14"/>
  <c r="E172" i="14"/>
  <c r="D172" i="14"/>
  <c r="B172" i="14"/>
  <c r="F171" i="14"/>
  <c r="G171" i="14" s="1"/>
  <c r="E171" i="14"/>
  <c r="D171" i="14"/>
  <c r="B171" i="14"/>
  <c r="F169" i="14"/>
  <c r="G169" i="14" s="1"/>
  <c r="E169" i="14"/>
  <c r="D169" i="14"/>
  <c r="B169" i="14"/>
  <c r="F168" i="14"/>
  <c r="G168" i="14" s="1"/>
  <c r="E168" i="14"/>
  <c r="D168" i="14"/>
  <c r="B168" i="14"/>
  <c r="J167" i="14"/>
  <c r="G167" i="14"/>
  <c r="F167" i="14"/>
  <c r="E167" i="14"/>
  <c r="D167" i="14"/>
  <c r="B167" i="14"/>
  <c r="G166" i="14"/>
  <c r="F166" i="14"/>
  <c r="E166" i="14"/>
  <c r="D166" i="14"/>
  <c r="B166" i="14"/>
  <c r="F165" i="14"/>
  <c r="G165" i="14" s="1"/>
  <c r="E165" i="14"/>
  <c r="D165" i="14"/>
  <c r="B165" i="14"/>
  <c r="F164" i="14"/>
  <c r="G164" i="14" s="1"/>
  <c r="E164" i="14"/>
  <c r="D164" i="14"/>
  <c r="B164" i="14"/>
  <c r="G163" i="14"/>
  <c r="F163" i="14"/>
  <c r="E163" i="14"/>
  <c r="D163" i="14"/>
  <c r="B163" i="14"/>
  <c r="J162" i="14"/>
  <c r="G162" i="14"/>
  <c r="F162" i="14"/>
  <c r="E162" i="14"/>
  <c r="D162" i="14"/>
  <c r="B162" i="14"/>
  <c r="F161" i="14"/>
  <c r="E161" i="14"/>
  <c r="D161" i="14"/>
  <c r="B161" i="14"/>
  <c r="F160" i="14"/>
  <c r="G160" i="14" s="1"/>
  <c r="E160" i="14"/>
  <c r="D160" i="14"/>
  <c r="B160" i="14"/>
  <c r="J159" i="14"/>
  <c r="F159" i="14"/>
  <c r="G159" i="14" s="1"/>
  <c r="E159" i="14"/>
  <c r="D159" i="14"/>
  <c r="B159" i="14"/>
  <c r="F158" i="14"/>
  <c r="E158" i="14"/>
  <c r="D158" i="14"/>
  <c r="B158" i="14"/>
  <c r="J157" i="14"/>
  <c r="G157" i="14"/>
  <c r="F157" i="14"/>
  <c r="E157" i="14"/>
  <c r="D157" i="14"/>
  <c r="B157" i="14"/>
  <c r="F156" i="14"/>
  <c r="E156" i="14"/>
  <c r="D156" i="14"/>
  <c r="B156" i="14"/>
  <c r="F155" i="14"/>
  <c r="G155" i="14" s="1"/>
  <c r="E155" i="14"/>
  <c r="D155" i="14"/>
  <c r="B155" i="14"/>
  <c r="J154" i="14"/>
  <c r="F154" i="14"/>
  <c r="G154" i="14" s="1"/>
  <c r="E154" i="14"/>
  <c r="D154" i="14"/>
  <c r="B154" i="14"/>
  <c r="F153" i="14"/>
  <c r="G153" i="14" s="1"/>
  <c r="E153" i="14"/>
  <c r="D153" i="14"/>
  <c r="B153" i="14"/>
  <c r="F152" i="14"/>
  <c r="G152" i="14" s="1"/>
  <c r="E152" i="14"/>
  <c r="D152" i="14"/>
  <c r="B152" i="14"/>
  <c r="F150" i="14"/>
  <c r="E150" i="14"/>
  <c r="D150" i="14"/>
  <c r="B150" i="14"/>
  <c r="F149" i="14"/>
  <c r="G149" i="14" s="1"/>
  <c r="E149" i="14"/>
  <c r="D149" i="14"/>
  <c r="B149" i="14"/>
  <c r="J148" i="14"/>
  <c r="F148" i="14"/>
  <c r="G148" i="14" s="1"/>
  <c r="E148" i="14"/>
  <c r="D148" i="14"/>
  <c r="B148" i="14"/>
  <c r="F147" i="14"/>
  <c r="E147" i="14"/>
  <c r="D147" i="14"/>
  <c r="B147" i="14"/>
  <c r="G146" i="14"/>
  <c r="F146" i="14"/>
  <c r="E146" i="14"/>
  <c r="D146" i="14"/>
  <c r="B146" i="14"/>
  <c r="F145" i="14"/>
  <c r="E145" i="14"/>
  <c r="D145" i="14"/>
  <c r="B145" i="14"/>
  <c r="F144" i="14"/>
  <c r="G144" i="14" s="1"/>
  <c r="E144" i="14"/>
  <c r="D144" i="14"/>
  <c r="B144" i="14"/>
  <c r="F143" i="14"/>
  <c r="G143" i="14" s="1"/>
  <c r="E143" i="14"/>
  <c r="D143" i="14"/>
  <c r="B143" i="14"/>
  <c r="F142" i="14"/>
  <c r="G142" i="14" s="1"/>
  <c r="E142" i="14"/>
  <c r="D142" i="14"/>
  <c r="B142" i="14"/>
  <c r="J141" i="14"/>
  <c r="G141" i="14"/>
  <c r="F141" i="14"/>
  <c r="E141" i="14"/>
  <c r="D141" i="14"/>
  <c r="B141" i="14"/>
  <c r="G140" i="14"/>
  <c r="F140" i="14"/>
  <c r="E140" i="14"/>
  <c r="D140" i="14"/>
  <c r="B140" i="14"/>
  <c r="F139" i="14"/>
  <c r="G139" i="14" s="1"/>
  <c r="E139" i="14"/>
  <c r="D139" i="14"/>
  <c r="B139" i="14"/>
  <c r="F138" i="14"/>
  <c r="G138" i="14" s="1"/>
  <c r="E138" i="14"/>
  <c r="D138" i="14"/>
  <c r="B138" i="14"/>
  <c r="J137" i="14"/>
  <c r="G137" i="14"/>
  <c r="F137" i="14"/>
  <c r="E137" i="14"/>
  <c r="D137" i="14"/>
  <c r="B137" i="14"/>
  <c r="G136" i="14"/>
  <c r="F136" i="14"/>
  <c r="E136" i="14"/>
  <c r="D136" i="14"/>
  <c r="B136" i="14"/>
  <c r="F135" i="14"/>
  <c r="E135" i="14"/>
  <c r="D135" i="14"/>
  <c r="B135" i="14"/>
  <c r="F133" i="14"/>
  <c r="G133" i="14" s="1"/>
  <c r="E133" i="14"/>
  <c r="D133" i="14"/>
  <c r="B133" i="14"/>
  <c r="J132" i="14"/>
  <c r="F132" i="14"/>
  <c r="G132" i="14" s="1"/>
  <c r="E132" i="14"/>
  <c r="D132" i="14"/>
  <c r="B132" i="14"/>
  <c r="F131" i="14"/>
  <c r="E131" i="14"/>
  <c r="D131" i="14"/>
  <c r="B131" i="14"/>
  <c r="G130" i="14"/>
  <c r="F130" i="14"/>
  <c r="E130" i="14"/>
  <c r="D130" i="14"/>
  <c r="B130" i="14"/>
  <c r="F129" i="14"/>
  <c r="E129" i="14"/>
  <c r="D129" i="14"/>
  <c r="B129" i="14"/>
  <c r="F128" i="14"/>
  <c r="G128" i="14" s="1"/>
  <c r="E128" i="14"/>
  <c r="D128" i="14"/>
  <c r="B128" i="14"/>
  <c r="F127" i="14"/>
  <c r="G127" i="14" s="1"/>
  <c r="E127" i="14"/>
  <c r="D127" i="14"/>
  <c r="B127" i="14"/>
  <c r="F126" i="14"/>
  <c r="G126" i="14" s="1"/>
  <c r="E126" i="14"/>
  <c r="D126" i="14"/>
  <c r="B126" i="14"/>
  <c r="J125" i="14"/>
  <c r="G125" i="14"/>
  <c r="F125" i="14"/>
  <c r="E125" i="14"/>
  <c r="D125" i="14"/>
  <c r="B125" i="14"/>
  <c r="F124" i="14"/>
  <c r="E124" i="14"/>
  <c r="D124" i="14"/>
  <c r="B124" i="14"/>
  <c r="F123" i="14"/>
  <c r="G123" i="14" s="1"/>
  <c r="E123" i="14"/>
  <c r="D123" i="14"/>
  <c r="B123" i="14"/>
  <c r="F122" i="14"/>
  <c r="G122" i="14" s="1"/>
  <c r="E122" i="14"/>
  <c r="D122" i="14"/>
  <c r="B122" i="14"/>
  <c r="J121" i="14"/>
  <c r="F121" i="14"/>
  <c r="E121" i="14"/>
  <c r="D121" i="14"/>
  <c r="B121" i="14"/>
  <c r="G120" i="14"/>
  <c r="F120" i="14"/>
  <c r="E120" i="14"/>
  <c r="D120" i="14"/>
  <c r="B120" i="14"/>
  <c r="F119" i="14"/>
  <c r="E119" i="14"/>
  <c r="D119" i="14"/>
  <c r="B119" i="14"/>
  <c r="F117" i="14"/>
  <c r="G117" i="14" s="1"/>
  <c r="E117" i="14"/>
  <c r="D117" i="14"/>
  <c r="B117" i="14"/>
  <c r="F116" i="14"/>
  <c r="G116" i="14" s="1"/>
  <c r="E116" i="14"/>
  <c r="D116" i="14"/>
  <c r="B116" i="14"/>
  <c r="F115" i="14"/>
  <c r="G115" i="14" s="1"/>
  <c r="E115" i="14"/>
  <c r="D115" i="14"/>
  <c r="B115" i="14"/>
  <c r="J114" i="14"/>
  <c r="G114" i="14"/>
  <c r="F114" i="14"/>
  <c r="E114" i="14"/>
  <c r="D114" i="14"/>
  <c r="B114" i="14"/>
  <c r="G113" i="14"/>
  <c r="F113" i="14"/>
  <c r="E113" i="14"/>
  <c r="D113" i="14"/>
  <c r="B113" i="14"/>
  <c r="F112" i="14"/>
  <c r="G112" i="14" s="1"/>
  <c r="E112" i="14"/>
  <c r="D112" i="14"/>
  <c r="B112" i="14"/>
  <c r="F111" i="14"/>
  <c r="G111" i="14" s="1"/>
  <c r="E111" i="14"/>
  <c r="D111" i="14"/>
  <c r="B111" i="14"/>
  <c r="G110" i="14"/>
  <c r="F110" i="14"/>
  <c r="E110" i="14"/>
  <c r="D110" i="14"/>
  <c r="B110" i="14"/>
  <c r="G109" i="14"/>
  <c r="F109" i="14"/>
  <c r="E109" i="14"/>
  <c r="D109" i="14"/>
  <c r="B109" i="14"/>
  <c r="G108" i="14"/>
  <c r="F108" i="14"/>
  <c r="E108" i="14"/>
  <c r="D108" i="14"/>
  <c r="B108" i="14"/>
  <c r="F107" i="14"/>
  <c r="G107" i="14" s="1"/>
  <c r="E107" i="14"/>
  <c r="D107" i="14"/>
  <c r="B107" i="14"/>
  <c r="F106" i="14"/>
  <c r="G106" i="14" s="1"/>
  <c r="E106" i="14"/>
  <c r="D106" i="14"/>
  <c r="B106" i="14"/>
  <c r="F105" i="14"/>
  <c r="G105" i="14" s="1"/>
  <c r="E105" i="14"/>
  <c r="D105" i="14"/>
  <c r="B105" i="14"/>
  <c r="J104" i="14"/>
  <c r="G104" i="14"/>
  <c r="F104" i="14"/>
  <c r="E104" i="14"/>
  <c r="D104" i="14"/>
  <c r="B104" i="14"/>
  <c r="G103" i="14"/>
  <c r="F103" i="14"/>
  <c r="E103" i="14"/>
  <c r="D103" i="14"/>
  <c r="B103" i="14"/>
  <c r="F102" i="14"/>
  <c r="G102" i="14" s="1"/>
  <c r="E102" i="14"/>
  <c r="D102" i="14"/>
  <c r="B102" i="14"/>
  <c r="J100" i="14"/>
  <c r="F100" i="14"/>
  <c r="G100" i="14" s="1"/>
  <c r="E100" i="14"/>
  <c r="D100" i="14"/>
  <c r="B100" i="14"/>
  <c r="F99" i="14"/>
  <c r="G99" i="14" s="1"/>
  <c r="E99" i="14"/>
  <c r="D99" i="14"/>
  <c r="B99" i="14"/>
  <c r="G98" i="14"/>
  <c r="F98" i="14"/>
  <c r="E98" i="14"/>
  <c r="D98" i="14"/>
  <c r="B98" i="14"/>
  <c r="G97" i="14"/>
  <c r="F97" i="14"/>
  <c r="E97" i="14"/>
  <c r="D97" i="14"/>
  <c r="B97" i="14"/>
  <c r="F96" i="14"/>
  <c r="G96" i="14" s="1"/>
  <c r="E96" i="14"/>
  <c r="D96" i="14"/>
  <c r="B96" i="14"/>
  <c r="F95" i="14"/>
  <c r="G95" i="14" s="1"/>
  <c r="E95" i="14"/>
  <c r="D95" i="14"/>
  <c r="B95" i="14"/>
  <c r="F94" i="14"/>
  <c r="E94" i="14"/>
  <c r="D94" i="14"/>
  <c r="B94" i="14"/>
  <c r="J93" i="14"/>
  <c r="G93" i="14"/>
  <c r="F93" i="14"/>
  <c r="E93" i="14"/>
  <c r="D93" i="14"/>
  <c r="B93" i="14"/>
  <c r="G92" i="14"/>
  <c r="F92" i="14"/>
  <c r="E92" i="14"/>
  <c r="D92" i="14"/>
  <c r="B92" i="14"/>
  <c r="F91" i="14"/>
  <c r="G91" i="14" s="1"/>
  <c r="E91" i="14"/>
  <c r="D91" i="14"/>
  <c r="B91" i="14"/>
  <c r="F90" i="14"/>
  <c r="G90" i="14" s="1"/>
  <c r="E90" i="14"/>
  <c r="D90" i="14"/>
  <c r="B90" i="14"/>
  <c r="J89" i="14"/>
  <c r="F89" i="14"/>
  <c r="E89" i="14"/>
  <c r="D89" i="14"/>
  <c r="B89" i="14"/>
  <c r="F88" i="14"/>
  <c r="G88" i="14" s="1"/>
  <c r="E88" i="14"/>
  <c r="D88" i="14"/>
  <c r="B88" i="14"/>
  <c r="G87" i="14"/>
  <c r="F87" i="14"/>
  <c r="E87" i="14"/>
  <c r="D87" i="14"/>
  <c r="B87" i="14"/>
  <c r="F85" i="14"/>
  <c r="G85" i="14" s="1"/>
  <c r="E85" i="14"/>
  <c r="D85" i="14"/>
  <c r="B85" i="14"/>
  <c r="F84" i="14"/>
  <c r="G84" i="14" s="1"/>
  <c r="E84" i="14"/>
  <c r="D84" i="14"/>
  <c r="B84" i="14"/>
  <c r="F83" i="14"/>
  <c r="E83" i="14"/>
  <c r="D83" i="14"/>
  <c r="B83" i="14"/>
  <c r="G82" i="14"/>
  <c r="F82" i="14"/>
  <c r="E82" i="14"/>
  <c r="D82" i="14"/>
  <c r="B82" i="14"/>
  <c r="G81" i="14"/>
  <c r="F81" i="14"/>
  <c r="E81" i="14"/>
  <c r="D81" i="14"/>
  <c r="B81" i="14"/>
  <c r="F80" i="14"/>
  <c r="G80" i="14" s="1"/>
  <c r="E80" i="14"/>
  <c r="D80" i="14"/>
  <c r="B80" i="14"/>
  <c r="J79" i="14"/>
  <c r="F79" i="14"/>
  <c r="G79" i="14" s="1"/>
  <c r="E79" i="14"/>
  <c r="D79" i="14"/>
  <c r="B79" i="14"/>
  <c r="F78" i="14"/>
  <c r="G78" i="14" s="1"/>
  <c r="E78" i="14"/>
  <c r="D78" i="14"/>
  <c r="B78" i="14"/>
  <c r="J77" i="14"/>
  <c r="F77" i="14"/>
  <c r="E77" i="14"/>
  <c r="D77" i="14"/>
  <c r="B77" i="14"/>
  <c r="G76" i="14"/>
  <c r="F76" i="14"/>
  <c r="E76" i="14"/>
  <c r="D76" i="14"/>
  <c r="B76" i="14"/>
  <c r="F75" i="14"/>
  <c r="G75" i="14" s="1"/>
  <c r="E75" i="14"/>
  <c r="D75" i="14"/>
  <c r="B75" i="14"/>
  <c r="J74" i="14"/>
  <c r="F74" i="14"/>
  <c r="G74" i="14" s="1"/>
  <c r="E74" i="14"/>
  <c r="D74" i="14"/>
  <c r="B74" i="14"/>
  <c r="F73" i="14"/>
  <c r="G73" i="14" s="1"/>
  <c r="E73" i="14"/>
  <c r="D73" i="14"/>
  <c r="B73" i="14"/>
  <c r="F72" i="14"/>
  <c r="E72" i="14"/>
  <c r="D72" i="14"/>
  <c r="B72" i="14"/>
  <c r="G71" i="14"/>
  <c r="F71" i="14"/>
  <c r="E71" i="14"/>
  <c r="D71" i="14"/>
  <c r="B71" i="14"/>
  <c r="F69" i="14"/>
  <c r="G69" i="14" s="1"/>
  <c r="E69" i="14"/>
  <c r="D69" i="14"/>
  <c r="B69" i="14"/>
  <c r="J68" i="14"/>
  <c r="F68" i="14"/>
  <c r="G68" i="14" s="1"/>
  <c r="E68" i="14"/>
  <c r="D68" i="14"/>
  <c r="B68" i="14"/>
  <c r="G67" i="14"/>
  <c r="F67" i="14"/>
  <c r="E67" i="14"/>
  <c r="D67" i="14"/>
  <c r="B67" i="14"/>
  <c r="J66" i="14"/>
  <c r="F66" i="14"/>
  <c r="G66" i="14" s="1"/>
  <c r="E66" i="14"/>
  <c r="D66" i="14"/>
  <c r="B66" i="14"/>
  <c r="G65" i="14"/>
  <c r="F65" i="14"/>
  <c r="E65" i="14"/>
  <c r="D65" i="14"/>
  <c r="B65" i="14"/>
  <c r="F64" i="14"/>
  <c r="G64" i="14" s="1"/>
  <c r="E64" i="14"/>
  <c r="D64" i="14"/>
  <c r="B64" i="14"/>
  <c r="F63" i="14"/>
  <c r="G63" i="14" s="1"/>
  <c r="E63" i="14"/>
  <c r="D63" i="14"/>
  <c r="B63" i="14"/>
  <c r="F62" i="14"/>
  <c r="E62" i="14"/>
  <c r="D62" i="14"/>
  <c r="B62" i="14"/>
  <c r="F60" i="14"/>
  <c r="G60" i="14" s="1"/>
  <c r="E60" i="14"/>
  <c r="D60" i="14"/>
  <c r="B60" i="14"/>
  <c r="G59" i="14"/>
  <c r="F59" i="14"/>
  <c r="E59" i="14"/>
  <c r="D59" i="14"/>
  <c r="B59" i="14"/>
  <c r="F58" i="14"/>
  <c r="G58" i="14" s="1"/>
  <c r="E58" i="14"/>
  <c r="D58" i="14"/>
  <c r="B58" i="14"/>
  <c r="J57" i="14"/>
  <c r="F57" i="14"/>
  <c r="G57" i="14" s="1"/>
  <c r="E57" i="14"/>
  <c r="D57" i="14"/>
  <c r="B57" i="14"/>
  <c r="J56" i="14"/>
  <c r="F56" i="14"/>
  <c r="E56" i="14"/>
  <c r="D56" i="14"/>
  <c r="B56" i="14"/>
  <c r="J55" i="14"/>
  <c r="F55" i="14"/>
  <c r="G55" i="14" s="1"/>
  <c r="E55" i="14"/>
  <c r="D55" i="14"/>
  <c r="B55" i="14"/>
  <c r="G54" i="14"/>
  <c r="F54" i="14"/>
  <c r="E54" i="14"/>
  <c r="D54" i="14"/>
  <c r="B54" i="14"/>
  <c r="F53" i="14"/>
  <c r="G53" i="14" s="1"/>
  <c r="E53" i="14"/>
  <c r="D53" i="14"/>
  <c r="B53" i="14"/>
  <c r="F51" i="14"/>
  <c r="G51" i="14" s="1"/>
  <c r="E51" i="14"/>
  <c r="D51" i="14"/>
  <c r="B51" i="14"/>
  <c r="F50" i="14"/>
  <c r="G50" i="14" s="1"/>
  <c r="E50" i="14"/>
  <c r="D50" i="14"/>
  <c r="B50" i="14"/>
  <c r="J49" i="14"/>
  <c r="F49" i="14"/>
  <c r="E49" i="14"/>
  <c r="D49" i="14"/>
  <c r="B49" i="14"/>
  <c r="G48" i="14"/>
  <c r="F48" i="14"/>
  <c r="E48" i="14"/>
  <c r="D48" i="14"/>
  <c r="B48" i="14"/>
  <c r="F47" i="14"/>
  <c r="G47" i="14" s="1"/>
  <c r="E47" i="14"/>
  <c r="D47" i="14"/>
  <c r="B47" i="14"/>
  <c r="J46" i="14"/>
  <c r="F46" i="14"/>
  <c r="G46" i="14" s="1"/>
  <c r="E46" i="14"/>
  <c r="D46" i="14"/>
  <c r="B46" i="14"/>
  <c r="J45" i="14"/>
  <c r="F45" i="14"/>
  <c r="G45" i="14" s="1"/>
  <c r="E45" i="14"/>
  <c r="D45" i="14"/>
  <c r="B45" i="14"/>
  <c r="F44" i="14"/>
  <c r="E44" i="14"/>
  <c r="D44" i="14"/>
  <c r="B44" i="14"/>
  <c r="G43" i="14"/>
  <c r="F43" i="14"/>
  <c r="E43" i="14"/>
  <c r="D43" i="14"/>
  <c r="B43" i="14"/>
  <c r="F42" i="14"/>
  <c r="G42" i="14" s="1"/>
  <c r="E42" i="14"/>
  <c r="D42" i="14"/>
  <c r="B42" i="14"/>
  <c r="J41" i="14"/>
  <c r="F41" i="14"/>
  <c r="G41" i="14" s="1"/>
  <c r="E41" i="14"/>
  <c r="D41" i="14"/>
  <c r="B41" i="14"/>
  <c r="F40" i="14"/>
  <c r="G40" i="14" s="1"/>
  <c r="E40" i="14"/>
  <c r="D40" i="14"/>
  <c r="B40" i="14"/>
  <c r="F39" i="14"/>
  <c r="G39" i="14" s="1"/>
  <c r="E39" i="14"/>
  <c r="D39" i="14"/>
  <c r="B39" i="14"/>
  <c r="G37" i="14"/>
  <c r="F37" i="14"/>
  <c r="E37" i="14"/>
  <c r="D37" i="14"/>
  <c r="B37" i="14"/>
  <c r="F36" i="14"/>
  <c r="G36" i="14" s="1"/>
  <c r="E36" i="14"/>
  <c r="D36" i="14"/>
  <c r="B36" i="14"/>
  <c r="J35" i="14"/>
  <c r="F35" i="14"/>
  <c r="G35" i="14" s="1"/>
  <c r="E35" i="14"/>
  <c r="D35" i="14"/>
  <c r="B35" i="14"/>
  <c r="F34" i="14"/>
  <c r="E34" i="14"/>
  <c r="D34" i="14"/>
  <c r="B34" i="14"/>
  <c r="F33" i="14"/>
  <c r="G33" i="14" s="1"/>
  <c r="E33" i="14"/>
  <c r="D33" i="14"/>
  <c r="B33" i="14"/>
  <c r="G32" i="14"/>
  <c r="F32" i="14"/>
  <c r="E32" i="14"/>
  <c r="D32" i="14"/>
  <c r="B32" i="14"/>
  <c r="F31" i="14"/>
  <c r="G31" i="14" s="1"/>
  <c r="E31" i="14"/>
  <c r="D31" i="14"/>
  <c r="B31" i="14"/>
  <c r="J30" i="14"/>
  <c r="F30" i="14"/>
  <c r="G30" i="14" s="1"/>
  <c r="E30" i="14"/>
  <c r="D30" i="14"/>
  <c r="B30" i="14"/>
  <c r="F29" i="14"/>
  <c r="E29" i="14"/>
  <c r="D29" i="14"/>
  <c r="B29" i="14"/>
  <c r="F28" i="14"/>
  <c r="G28" i="14" s="1"/>
  <c r="E28" i="14"/>
  <c r="D28" i="14"/>
  <c r="B28" i="14"/>
  <c r="G27" i="14"/>
  <c r="F27" i="14"/>
  <c r="E27" i="14"/>
  <c r="D27" i="14"/>
  <c r="B27" i="14"/>
  <c r="F26" i="14"/>
  <c r="G26" i="14" s="1"/>
  <c r="E26" i="14"/>
  <c r="D26" i="14"/>
  <c r="B26" i="14"/>
  <c r="F25" i="14"/>
  <c r="G25" i="14" s="1"/>
  <c r="E25" i="14"/>
  <c r="D25" i="14"/>
  <c r="B25" i="14"/>
  <c r="J23" i="14"/>
  <c r="F23" i="14"/>
  <c r="G23" i="14" s="1"/>
  <c r="E23" i="14"/>
  <c r="D23" i="14"/>
  <c r="B23" i="14"/>
  <c r="J22" i="14"/>
  <c r="F22" i="14"/>
  <c r="G22" i="14" s="1"/>
  <c r="E22" i="14"/>
  <c r="D22" i="14"/>
  <c r="B22" i="14"/>
  <c r="G21" i="14"/>
  <c r="F21" i="14"/>
  <c r="E21" i="14"/>
  <c r="D21" i="14"/>
  <c r="B21" i="14"/>
  <c r="F20" i="14"/>
  <c r="G20" i="14" s="1"/>
  <c r="E20" i="14"/>
  <c r="D20" i="14"/>
  <c r="B20" i="14"/>
  <c r="J19" i="14"/>
  <c r="F19" i="14"/>
  <c r="G19" i="14" s="1"/>
  <c r="E19" i="14"/>
  <c r="D19" i="14"/>
  <c r="B19" i="14"/>
  <c r="J18" i="14"/>
  <c r="F18" i="14"/>
  <c r="E18" i="14"/>
  <c r="D18" i="14"/>
  <c r="B18" i="14"/>
  <c r="F17" i="14"/>
  <c r="E17" i="14"/>
  <c r="D17" i="14"/>
  <c r="B17" i="14"/>
  <c r="G16" i="14"/>
  <c r="F16" i="14"/>
  <c r="E16" i="14"/>
  <c r="D16" i="14"/>
  <c r="B16" i="14"/>
  <c r="F14" i="14"/>
  <c r="G14" i="14" s="1"/>
  <c r="E14" i="14"/>
  <c r="D14" i="14"/>
  <c r="B14" i="14"/>
  <c r="J13" i="14"/>
  <c r="F13" i="14"/>
  <c r="G13" i="14" s="1"/>
  <c r="E13" i="14"/>
  <c r="D13" i="14"/>
  <c r="B13" i="14"/>
  <c r="F12" i="14"/>
  <c r="G12" i="14" s="1"/>
  <c r="E12" i="14"/>
  <c r="D12" i="14"/>
  <c r="B12" i="14"/>
  <c r="J11" i="14"/>
  <c r="F11" i="14"/>
  <c r="G11" i="14" s="1"/>
  <c r="E11" i="14"/>
  <c r="D11" i="14"/>
  <c r="B11" i="14"/>
  <c r="G10" i="14"/>
  <c r="F10" i="14"/>
  <c r="E10" i="14"/>
  <c r="D10" i="14"/>
  <c r="B10" i="14"/>
  <c r="F9" i="14"/>
  <c r="G9" i="14" s="1"/>
  <c r="E9" i="14"/>
  <c r="D9" i="14"/>
  <c r="B9" i="14"/>
  <c r="F8" i="14"/>
  <c r="G8" i="14" s="1"/>
  <c r="E8" i="14"/>
  <c r="D8" i="14"/>
  <c r="B8" i="14"/>
  <c r="F7" i="14"/>
  <c r="G7" i="14" s="1"/>
  <c r="E7" i="14"/>
  <c r="D7" i="14"/>
  <c r="B7" i="14"/>
  <c r="B2" i="14"/>
  <c r="K25" i="13"/>
  <c r="J25" i="13"/>
  <c r="I25" i="13"/>
  <c r="H25" i="13"/>
  <c r="K24" i="13"/>
  <c r="J24" i="13"/>
  <c r="I24" i="13"/>
  <c r="H24" i="13"/>
  <c r="K10" i="13"/>
  <c r="J10" i="13"/>
  <c r="I10" i="13"/>
  <c r="H10" i="13"/>
  <c r="K4" i="13"/>
  <c r="G22" i="12"/>
  <c r="G4" i="12" s="1"/>
  <c r="G9" i="12"/>
  <c r="T28" i="11"/>
  <c r="S28" i="11"/>
  <c r="R28" i="11"/>
  <c r="O28" i="11"/>
  <c r="M28" i="11"/>
  <c r="L28" i="11"/>
  <c r="H28" i="11"/>
  <c r="F28" i="11"/>
  <c r="T27" i="11"/>
  <c r="S27" i="11"/>
  <c r="F27" i="11" s="1"/>
  <c r="R27" i="11"/>
  <c r="Q27" i="11"/>
  <c r="P27" i="11"/>
  <c r="O27" i="11"/>
  <c r="M27" i="11"/>
  <c r="N27" i="11" s="1"/>
  <c r="L27" i="11"/>
  <c r="H27" i="11"/>
  <c r="T26" i="11"/>
  <c r="F26" i="11" s="1"/>
  <c r="S26" i="11"/>
  <c r="R26" i="11"/>
  <c r="O26" i="11"/>
  <c r="M26" i="11"/>
  <c r="L26" i="11"/>
  <c r="H26" i="11"/>
  <c r="T25" i="11"/>
  <c r="S25" i="11"/>
  <c r="R25" i="11"/>
  <c r="P25" i="11"/>
  <c r="G25" i="11" s="1"/>
  <c r="O25" i="11"/>
  <c r="N25" i="11"/>
  <c r="Q25" i="11" s="1"/>
  <c r="M25" i="11"/>
  <c r="L25" i="11"/>
  <c r="H25" i="11"/>
  <c r="F25" i="11"/>
  <c r="T12" i="11"/>
  <c r="S12" i="11"/>
  <c r="R12" i="11"/>
  <c r="O12" i="11"/>
  <c r="M12" i="11"/>
  <c r="L12" i="11"/>
  <c r="P12" i="11" s="1"/>
  <c r="H12" i="11"/>
  <c r="I12" i="11" s="1"/>
  <c r="J12" i="11" s="1"/>
  <c r="T11" i="11"/>
  <c r="S11" i="11"/>
  <c r="R11" i="11"/>
  <c r="O11" i="11"/>
  <c r="N11" i="11"/>
  <c r="M11" i="11"/>
  <c r="L11" i="11"/>
  <c r="P11" i="11" s="1"/>
  <c r="I11" i="11"/>
  <c r="J11" i="11" s="1"/>
  <c r="H11" i="11"/>
  <c r="K75" i="10"/>
  <c r="K62" i="10"/>
  <c r="K49" i="10"/>
  <c r="K36" i="10"/>
  <c r="K23" i="10"/>
  <c r="K10" i="10"/>
  <c r="F58" i="9"/>
  <c r="F57" i="9"/>
  <c r="F56" i="9"/>
  <c r="F52" i="9"/>
  <c r="F51" i="9"/>
  <c r="F50" i="9"/>
  <c r="F49" i="9"/>
  <c r="F48" i="9"/>
  <c r="F46" i="9"/>
  <c r="F25" i="9"/>
  <c r="C24" i="9"/>
  <c r="F24" i="9" s="1"/>
  <c r="C20" i="9"/>
  <c r="F20" i="9" s="1"/>
  <c r="F19" i="9"/>
  <c r="C19" i="9"/>
  <c r="F9" i="9"/>
  <c r="C9" i="9"/>
  <c r="F5" i="9"/>
  <c r="F4" i="9" s="1"/>
  <c r="G85" i="8"/>
  <c r="G83" i="8"/>
  <c r="L918" i="6" s="1"/>
  <c r="M918" i="6" s="1"/>
  <c r="N918" i="6" s="1"/>
  <c r="G76" i="8"/>
  <c r="G75" i="8"/>
  <c r="G74" i="8"/>
  <c r="G73" i="8"/>
  <c r="G72" i="8"/>
  <c r="G71" i="8"/>
  <c r="L908" i="6" s="1"/>
  <c r="M908" i="6" s="1"/>
  <c r="G70" i="8"/>
  <c r="G69" i="8"/>
  <c r="G68" i="8"/>
  <c r="G67" i="8"/>
  <c r="G66" i="8"/>
  <c r="J65" i="14" s="1"/>
  <c r="G65" i="8"/>
  <c r="G64" i="8"/>
  <c r="G63" i="8"/>
  <c r="J116" i="14" s="1"/>
  <c r="G62" i="8"/>
  <c r="G61" i="8"/>
  <c r="L60" i="8"/>
  <c r="G60" i="8"/>
  <c r="G59" i="8"/>
  <c r="G58" i="8"/>
  <c r="L906" i="6" s="1"/>
  <c r="M906" i="6" s="1"/>
  <c r="G57" i="8"/>
  <c r="G56" i="8"/>
  <c r="G55" i="8"/>
  <c r="J110" i="14" s="1"/>
  <c r="G54" i="8"/>
  <c r="J51" i="14" s="1"/>
  <c r="G53" i="8"/>
  <c r="G52" i="8"/>
  <c r="G51" i="8"/>
  <c r="G50" i="8"/>
  <c r="J240" i="14" s="1"/>
  <c r="G49" i="8"/>
  <c r="J870" i="14" s="1"/>
  <c r="G48" i="8"/>
  <c r="J50" i="14" s="1"/>
  <c r="G47" i="8"/>
  <c r="J59" i="14" s="1"/>
  <c r="G46" i="8"/>
  <c r="G45" i="8"/>
  <c r="G44" i="8"/>
  <c r="G43" i="8"/>
  <c r="G42" i="8"/>
  <c r="G41" i="8"/>
  <c r="J224" i="14" s="1"/>
  <c r="G40" i="8"/>
  <c r="G39" i="8"/>
  <c r="J404" i="14" s="1"/>
  <c r="G38" i="8"/>
  <c r="J10" i="14" s="1"/>
  <c r="G37" i="8"/>
  <c r="J482" i="14" s="1"/>
  <c r="G36" i="8"/>
  <c r="G35" i="8"/>
  <c r="G34" i="8"/>
  <c r="J40" i="14" s="1"/>
  <c r="G33" i="8"/>
  <c r="G32" i="8"/>
  <c r="G31" i="8"/>
  <c r="J231" i="14" s="1"/>
  <c r="G30" i="8"/>
  <c r="J60" i="14" s="1"/>
  <c r="G29" i="8"/>
  <c r="G28" i="8"/>
  <c r="J62" i="14" s="1"/>
  <c r="G27" i="8"/>
  <c r="G26" i="8"/>
  <c r="G25" i="8"/>
  <c r="F18" i="7" s="1"/>
  <c r="G24" i="8"/>
  <c r="G23" i="8"/>
  <c r="G22" i="8"/>
  <c r="G21" i="8"/>
  <c r="F3" i="7" s="1"/>
  <c r="G20" i="8"/>
  <c r="F129" i="7" s="1"/>
  <c r="G19" i="8"/>
  <c r="G18" i="8"/>
  <c r="F141" i="7" s="1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E141" i="7"/>
  <c r="D141" i="7"/>
  <c r="F140" i="7"/>
  <c r="E140" i="7"/>
  <c r="D140" i="7"/>
  <c r="E139" i="7"/>
  <c r="D139" i="7"/>
  <c r="E138" i="7"/>
  <c r="D138" i="7"/>
  <c r="B138" i="7"/>
  <c r="F137" i="7"/>
  <c r="E137" i="7"/>
  <c r="D137" i="7"/>
  <c r="E136" i="7"/>
  <c r="D136" i="7"/>
  <c r="E135" i="7"/>
  <c r="D135" i="7"/>
  <c r="B135" i="7"/>
  <c r="F134" i="7"/>
  <c r="E134" i="7"/>
  <c r="D134" i="7"/>
  <c r="F133" i="7"/>
  <c r="E133" i="7"/>
  <c r="D133" i="7"/>
  <c r="F132" i="7"/>
  <c r="E132" i="7"/>
  <c r="D132" i="7"/>
  <c r="E131" i="7"/>
  <c r="D131" i="7"/>
  <c r="B131" i="7"/>
  <c r="F130" i="7"/>
  <c r="E130" i="7"/>
  <c r="D130" i="7"/>
  <c r="E129" i="7"/>
  <c r="D129" i="7"/>
  <c r="E128" i="7"/>
  <c r="D128" i="7"/>
  <c r="B128" i="7"/>
  <c r="F127" i="7"/>
  <c r="E127" i="7"/>
  <c r="D127" i="7"/>
  <c r="F126" i="7"/>
  <c r="E126" i="7"/>
  <c r="D126" i="7"/>
  <c r="E125" i="7"/>
  <c r="D125" i="7"/>
  <c r="E124" i="7"/>
  <c r="D124" i="7"/>
  <c r="F122" i="7"/>
  <c r="E122" i="7"/>
  <c r="D122" i="7"/>
  <c r="F121" i="7"/>
  <c r="E121" i="7"/>
  <c r="D121" i="7"/>
  <c r="F120" i="7"/>
  <c r="E120" i="7"/>
  <c r="D120" i="7"/>
  <c r="F119" i="7"/>
  <c r="E119" i="7"/>
  <c r="D119" i="7"/>
  <c r="F118" i="7"/>
  <c r="E118" i="7"/>
  <c r="D118" i="7"/>
  <c r="F117" i="7"/>
  <c r="E117" i="7"/>
  <c r="D117" i="7"/>
  <c r="F116" i="7"/>
  <c r="E116" i="7"/>
  <c r="D116" i="7"/>
  <c r="F115" i="7"/>
  <c r="E115" i="7"/>
  <c r="D115" i="7"/>
  <c r="F114" i="7"/>
  <c r="E114" i="7"/>
  <c r="D114" i="7"/>
  <c r="F113" i="7"/>
  <c r="E113" i="7"/>
  <c r="D113" i="7"/>
  <c r="F112" i="7"/>
  <c r="E112" i="7"/>
  <c r="D112" i="7"/>
  <c r="F111" i="7"/>
  <c r="E111" i="7"/>
  <c r="D111" i="7"/>
  <c r="E110" i="7"/>
  <c r="D110" i="7"/>
  <c r="F109" i="7"/>
  <c r="E109" i="7"/>
  <c r="D109" i="7"/>
  <c r="F108" i="7"/>
  <c r="E108" i="7"/>
  <c r="D108" i="7"/>
  <c r="F107" i="7"/>
  <c r="E107" i="7"/>
  <c r="D107" i="7"/>
  <c r="E106" i="7"/>
  <c r="D106" i="7"/>
  <c r="F105" i="7"/>
  <c r="E105" i="7"/>
  <c r="D105" i="7"/>
  <c r="E104" i="7"/>
  <c r="D104" i="7"/>
  <c r="F103" i="7"/>
  <c r="E103" i="7"/>
  <c r="D103" i="7"/>
  <c r="F102" i="7"/>
  <c r="E102" i="7"/>
  <c r="D102" i="7"/>
  <c r="F101" i="7"/>
  <c r="E101" i="7"/>
  <c r="D101" i="7"/>
  <c r="E100" i="7"/>
  <c r="D100" i="7"/>
  <c r="F99" i="7"/>
  <c r="E99" i="7"/>
  <c r="D99" i="7"/>
  <c r="F98" i="7"/>
  <c r="E98" i="7"/>
  <c r="D98" i="7"/>
  <c r="F97" i="7"/>
  <c r="E97" i="7"/>
  <c r="D97" i="7"/>
  <c r="F96" i="7"/>
  <c r="E96" i="7"/>
  <c r="D96" i="7"/>
  <c r="F95" i="7"/>
  <c r="E95" i="7"/>
  <c r="D95" i="7"/>
  <c r="E94" i="7"/>
  <c r="D94" i="7"/>
  <c r="F93" i="7"/>
  <c r="E93" i="7"/>
  <c r="D93" i="7"/>
  <c r="F92" i="7"/>
  <c r="E92" i="7"/>
  <c r="D92" i="7"/>
  <c r="F91" i="7"/>
  <c r="E91" i="7"/>
  <c r="D91" i="7"/>
  <c r="E90" i="7"/>
  <c r="D90" i="7"/>
  <c r="F89" i="7"/>
  <c r="E89" i="7"/>
  <c r="D89" i="7"/>
  <c r="E88" i="7"/>
  <c r="D88" i="7"/>
  <c r="F87" i="7"/>
  <c r="E87" i="7"/>
  <c r="D87" i="7"/>
  <c r="F86" i="7"/>
  <c r="E86" i="7"/>
  <c r="D86" i="7"/>
  <c r="F85" i="7"/>
  <c r="E85" i="7"/>
  <c r="D85" i="7"/>
  <c r="E84" i="7"/>
  <c r="D84" i="7"/>
  <c r="F83" i="7"/>
  <c r="E83" i="7"/>
  <c r="D83" i="7"/>
  <c r="F82" i="7"/>
  <c r="E82" i="7"/>
  <c r="D82" i="7"/>
  <c r="E81" i="7"/>
  <c r="D81" i="7"/>
  <c r="E80" i="7"/>
  <c r="D80" i="7"/>
  <c r="F79" i="7"/>
  <c r="E79" i="7"/>
  <c r="D79" i="7"/>
  <c r="F78" i="7"/>
  <c r="E78" i="7"/>
  <c r="D78" i="7"/>
  <c r="F77" i="7"/>
  <c r="E77" i="7"/>
  <c r="D77" i="7"/>
  <c r="E76" i="7"/>
  <c r="D76" i="7"/>
  <c r="F75" i="7"/>
  <c r="E75" i="7"/>
  <c r="D75" i="7"/>
  <c r="E74" i="7"/>
  <c r="D74" i="7"/>
  <c r="E73" i="7"/>
  <c r="D73" i="7"/>
  <c r="F72" i="7"/>
  <c r="E72" i="7"/>
  <c r="D72" i="7"/>
  <c r="E71" i="7"/>
  <c r="D71" i="7"/>
  <c r="E70" i="7"/>
  <c r="D70" i="7"/>
  <c r="F69" i="7"/>
  <c r="E69" i="7"/>
  <c r="D69" i="7"/>
  <c r="E68" i="7"/>
  <c r="D68" i="7"/>
  <c r="E67" i="7"/>
  <c r="D67" i="7"/>
  <c r="E66" i="7"/>
  <c r="D66" i="7"/>
  <c r="F65" i="7"/>
  <c r="E65" i="7"/>
  <c r="D65" i="7"/>
  <c r="E64" i="7"/>
  <c r="D64" i="7"/>
  <c r="E63" i="7"/>
  <c r="D63" i="7"/>
  <c r="F62" i="7"/>
  <c r="E62" i="7"/>
  <c r="D62" i="7"/>
  <c r="E61" i="7"/>
  <c r="D61" i="7"/>
  <c r="E60" i="7"/>
  <c r="D60" i="7"/>
  <c r="F59" i="7"/>
  <c r="E59" i="7"/>
  <c r="D59" i="7"/>
  <c r="E58" i="7"/>
  <c r="D58" i="7"/>
  <c r="F57" i="7"/>
  <c r="E57" i="7"/>
  <c r="D57" i="7"/>
  <c r="E56" i="7"/>
  <c r="D56" i="7"/>
  <c r="F55" i="7"/>
  <c r="E55" i="7"/>
  <c r="D55" i="7"/>
  <c r="E54" i="7"/>
  <c r="D54" i="7"/>
  <c r="E53" i="7"/>
  <c r="D53" i="7"/>
  <c r="F52" i="7"/>
  <c r="E52" i="7"/>
  <c r="D52" i="7"/>
  <c r="E51" i="7"/>
  <c r="D51" i="7"/>
  <c r="E50" i="7"/>
  <c r="D50" i="7"/>
  <c r="E49" i="7"/>
  <c r="D49" i="7"/>
  <c r="E48" i="7"/>
  <c r="D48" i="7"/>
  <c r="F47" i="7"/>
  <c r="E47" i="7"/>
  <c r="D47" i="7"/>
  <c r="E46" i="7"/>
  <c r="D46" i="7"/>
  <c r="F45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F37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F25" i="7"/>
  <c r="E25" i="7"/>
  <c r="D25" i="7"/>
  <c r="E24" i="7"/>
  <c r="D24" i="7"/>
  <c r="F23" i="7"/>
  <c r="E23" i="7"/>
  <c r="D23" i="7"/>
  <c r="F22" i="7"/>
  <c r="E22" i="7"/>
  <c r="D22" i="7"/>
  <c r="E21" i="7"/>
  <c r="D21" i="7"/>
  <c r="E20" i="7"/>
  <c r="D20" i="7"/>
  <c r="F19" i="7"/>
  <c r="E19" i="7"/>
  <c r="D19" i="7"/>
  <c r="E18" i="7"/>
  <c r="D18" i="7"/>
  <c r="E17" i="7"/>
  <c r="D17" i="7"/>
  <c r="F16" i="7"/>
  <c r="E16" i="7"/>
  <c r="D16" i="7"/>
  <c r="F15" i="7"/>
  <c r="E15" i="7"/>
  <c r="D15" i="7"/>
  <c r="E14" i="7"/>
  <c r="D14" i="7"/>
  <c r="E13" i="7"/>
  <c r="D13" i="7"/>
  <c r="F12" i="7"/>
  <c r="E12" i="7"/>
  <c r="D12" i="7"/>
  <c r="E11" i="7"/>
  <c r="D11" i="7"/>
  <c r="F10" i="7"/>
  <c r="E10" i="7"/>
  <c r="D10" i="7"/>
  <c r="F9" i="7"/>
  <c r="E9" i="7"/>
  <c r="D9" i="7"/>
  <c r="F8" i="7"/>
  <c r="E8" i="7"/>
  <c r="D8" i="7"/>
  <c r="F7" i="7"/>
  <c r="E7" i="7"/>
  <c r="D7" i="7"/>
  <c r="F6" i="7"/>
  <c r="E6" i="7"/>
  <c r="D6" i="7"/>
  <c r="F5" i="7"/>
  <c r="E5" i="7"/>
  <c r="D5" i="7"/>
  <c r="F4" i="7"/>
  <c r="E4" i="7"/>
  <c r="D4" i="7"/>
  <c r="E3" i="7"/>
  <c r="D3" i="7"/>
  <c r="N920" i="6"/>
  <c r="L920" i="6"/>
  <c r="M920" i="6" s="1"/>
  <c r="K920" i="6"/>
  <c r="I920" i="6"/>
  <c r="J913" i="6" s="1"/>
  <c r="H920" i="6"/>
  <c r="L919" i="6"/>
  <c r="M919" i="6" s="1"/>
  <c r="N919" i="6" s="1"/>
  <c r="J919" i="6"/>
  <c r="I919" i="6"/>
  <c r="H919" i="6"/>
  <c r="K919" i="6" s="1"/>
  <c r="K918" i="6"/>
  <c r="I918" i="6"/>
  <c r="H918" i="6"/>
  <c r="L917" i="6"/>
  <c r="M917" i="6" s="1"/>
  <c r="N917" i="6" s="1"/>
  <c r="I917" i="6"/>
  <c r="H917" i="6"/>
  <c r="K917" i="6" s="1"/>
  <c r="K916" i="6"/>
  <c r="J916" i="6"/>
  <c r="I916" i="6"/>
  <c r="H916" i="6"/>
  <c r="L915" i="6"/>
  <c r="M915" i="6" s="1"/>
  <c r="N915" i="6" s="1"/>
  <c r="J915" i="6"/>
  <c r="I915" i="6"/>
  <c r="H915" i="6"/>
  <c r="K915" i="6" s="1"/>
  <c r="M914" i="6"/>
  <c r="N914" i="6" s="1"/>
  <c r="L914" i="6"/>
  <c r="K914" i="6"/>
  <c r="I914" i="6"/>
  <c r="H914" i="6"/>
  <c r="I913" i="6"/>
  <c r="H913" i="6"/>
  <c r="K913" i="6" s="1"/>
  <c r="N912" i="6"/>
  <c r="L912" i="6"/>
  <c r="M912" i="6" s="1"/>
  <c r="J912" i="6"/>
  <c r="I912" i="6"/>
  <c r="H912" i="6"/>
  <c r="K912" i="6" s="1"/>
  <c r="L911" i="6"/>
  <c r="M911" i="6" s="1"/>
  <c r="N911" i="6" s="1"/>
  <c r="J911" i="6"/>
  <c r="I911" i="6"/>
  <c r="H911" i="6"/>
  <c r="K911" i="6" s="1"/>
  <c r="I910" i="6"/>
  <c r="H910" i="6"/>
  <c r="K910" i="6" s="1"/>
  <c r="L909" i="6"/>
  <c r="M909" i="6" s="1"/>
  <c r="I909" i="6"/>
  <c r="H909" i="6"/>
  <c r="K909" i="6" s="1"/>
  <c r="K908" i="6"/>
  <c r="I908" i="6"/>
  <c r="J910" i="6" s="1"/>
  <c r="H908" i="6"/>
  <c r="L907" i="6"/>
  <c r="M907" i="6" s="1"/>
  <c r="N907" i="6" s="1"/>
  <c r="J907" i="6"/>
  <c r="I907" i="6"/>
  <c r="H907" i="6"/>
  <c r="K907" i="6" s="1"/>
  <c r="K906" i="6"/>
  <c r="I906" i="6"/>
  <c r="J906" i="6" s="1"/>
  <c r="H906" i="6"/>
  <c r="L905" i="6"/>
  <c r="M905" i="6" s="1"/>
  <c r="I905" i="6"/>
  <c r="H905" i="6"/>
  <c r="K905" i="6" s="1"/>
  <c r="L904" i="6"/>
  <c r="M904" i="6" s="1"/>
  <c r="K904" i="6"/>
  <c r="I904" i="6"/>
  <c r="J905" i="6" s="1"/>
  <c r="H904" i="6"/>
  <c r="L903" i="6"/>
  <c r="M903" i="6" s="1"/>
  <c r="I903" i="6"/>
  <c r="H903" i="6"/>
  <c r="K903" i="6" s="1"/>
  <c r="M902" i="6"/>
  <c r="L902" i="6"/>
  <c r="K902" i="6"/>
  <c r="I902" i="6"/>
  <c r="H902" i="6"/>
  <c r="L901" i="6"/>
  <c r="M901" i="6" s="1"/>
  <c r="I901" i="6"/>
  <c r="H901" i="6"/>
  <c r="K901" i="6" s="1"/>
  <c r="I900" i="6"/>
  <c r="H900" i="6"/>
  <c r="K900" i="6" s="1"/>
  <c r="L899" i="6"/>
  <c r="M899" i="6" s="1"/>
  <c r="I899" i="6"/>
  <c r="H899" i="6"/>
  <c r="K899" i="6" s="1"/>
  <c r="M898" i="6"/>
  <c r="L898" i="6"/>
  <c r="K898" i="6"/>
  <c r="I898" i="6"/>
  <c r="J899" i="6" s="1"/>
  <c r="N899" i="6" s="1"/>
  <c r="H898" i="6"/>
  <c r="L897" i="6"/>
  <c r="M897" i="6" s="1"/>
  <c r="N897" i="6" s="1"/>
  <c r="J897" i="6"/>
  <c r="I897" i="6"/>
  <c r="J900" i="6" s="1"/>
  <c r="H897" i="6"/>
  <c r="K897" i="6" s="1"/>
  <c r="K896" i="6"/>
  <c r="I896" i="6"/>
  <c r="J896" i="6" s="1"/>
  <c r="H896" i="6"/>
  <c r="L895" i="6"/>
  <c r="M895" i="6" s="1"/>
  <c r="N895" i="6" s="1"/>
  <c r="I895" i="6"/>
  <c r="H895" i="6"/>
  <c r="K895" i="6" s="1"/>
  <c r="L894" i="6"/>
  <c r="M894" i="6" s="1"/>
  <c r="K894" i="6"/>
  <c r="I894" i="6"/>
  <c r="J895" i="6" s="1"/>
  <c r="H894" i="6"/>
  <c r="L893" i="6"/>
  <c r="M893" i="6" s="1"/>
  <c r="I893" i="6"/>
  <c r="H893" i="6"/>
  <c r="K893" i="6" s="1"/>
  <c r="M892" i="6"/>
  <c r="L892" i="6"/>
  <c r="K892" i="6"/>
  <c r="I892" i="6"/>
  <c r="H892" i="6"/>
  <c r="L891" i="6"/>
  <c r="M891" i="6" s="1"/>
  <c r="N891" i="6" s="1"/>
  <c r="J891" i="6"/>
  <c r="I891" i="6"/>
  <c r="J893" i="6" s="1"/>
  <c r="H891" i="6"/>
  <c r="K891" i="6" s="1"/>
  <c r="I890" i="6"/>
  <c r="H890" i="6"/>
  <c r="K890" i="6" s="1"/>
  <c r="L889" i="6"/>
  <c r="M889" i="6" s="1"/>
  <c r="I889" i="6"/>
  <c r="H889" i="6"/>
  <c r="K889" i="6" s="1"/>
  <c r="M888" i="6"/>
  <c r="L888" i="6"/>
  <c r="K888" i="6"/>
  <c r="I888" i="6"/>
  <c r="J889" i="6" s="1"/>
  <c r="N889" i="6" s="1"/>
  <c r="H888" i="6"/>
  <c r="L887" i="6"/>
  <c r="M887" i="6" s="1"/>
  <c r="N887" i="6" s="1"/>
  <c r="J887" i="6"/>
  <c r="I887" i="6"/>
  <c r="J890" i="6" s="1"/>
  <c r="H887" i="6"/>
  <c r="K887" i="6" s="1"/>
  <c r="K886" i="6"/>
  <c r="I886" i="6"/>
  <c r="J886" i="6" s="1"/>
  <c r="H886" i="6"/>
  <c r="L885" i="6"/>
  <c r="M885" i="6" s="1"/>
  <c r="N885" i="6" s="1"/>
  <c r="I885" i="6"/>
  <c r="H885" i="6"/>
  <c r="K885" i="6" s="1"/>
  <c r="L884" i="6"/>
  <c r="M884" i="6" s="1"/>
  <c r="K884" i="6"/>
  <c r="I884" i="6"/>
  <c r="J885" i="6" s="1"/>
  <c r="H884" i="6"/>
  <c r="L883" i="6"/>
  <c r="M883" i="6" s="1"/>
  <c r="I883" i="6"/>
  <c r="H883" i="6"/>
  <c r="K883" i="6" s="1"/>
  <c r="M882" i="6"/>
  <c r="L882" i="6"/>
  <c r="K882" i="6"/>
  <c r="I882" i="6"/>
  <c r="H882" i="6"/>
  <c r="L881" i="6"/>
  <c r="M881" i="6" s="1"/>
  <c r="I881" i="6"/>
  <c r="H881" i="6"/>
  <c r="K881" i="6" s="1"/>
  <c r="I880" i="6"/>
  <c r="H880" i="6"/>
  <c r="K880" i="6" s="1"/>
  <c r="L879" i="6"/>
  <c r="M879" i="6" s="1"/>
  <c r="I879" i="6"/>
  <c r="H879" i="6"/>
  <c r="K879" i="6" s="1"/>
  <c r="M878" i="6"/>
  <c r="L878" i="6"/>
  <c r="K878" i="6"/>
  <c r="I878" i="6"/>
  <c r="H878" i="6"/>
  <c r="L877" i="6"/>
  <c r="M877" i="6" s="1"/>
  <c r="N877" i="6" s="1"/>
  <c r="J877" i="6"/>
  <c r="I877" i="6"/>
  <c r="H877" i="6"/>
  <c r="K877" i="6" s="1"/>
  <c r="K876" i="6"/>
  <c r="I876" i="6"/>
  <c r="J876" i="6" s="1"/>
  <c r="H876" i="6"/>
  <c r="L875" i="6"/>
  <c r="M875" i="6" s="1"/>
  <c r="I875" i="6"/>
  <c r="H875" i="6"/>
  <c r="K875" i="6" s="1"/>
  <c r="K874" i="6"/>
  <c r="I874" i="6"/>
  <c r="J875" i="6" s="1"/>
  <c r="N875" i="6" s="1"/>
  <c r="H874" i="6"/>
  <c r="L873" i="6"/>
  <c r="M873" i="6" s="1"/>
  <c r="I873" i="6"/>
  <c r="H873" i="6"/>
  <c r="K873" i="6" s="1"/>
  <c r="M872" i="6"/>
  <c r="L872" i="6"/>
  <c r="K872" i="6"/>
  <c r="I872" i="6"/>
  <c r="J874" i="6" s="1"/>
  <c r="H872" i="6"/>
  <c r="L871" i="6"/>
  <c r="M871" i="6" s="1"/>
  <c r="J871" i="6"/>
  <c r="I871" i="6"/>
  <c r="H871" i="6"/>
  <c r="K871" i="6" s="1"/>
  <c r="M870" i="6"/>
  <c r="L870" i="6"/>
  <c r="I870" i="6"/>
  <c r="H870" i="6"/>
  <c r="K870" i="6" s="1"/>
  <c r="N869" i="6"/>
  <c r="L869" i="6"/>
  <c r="M869" i="6" s="1"/>
  <c r="I869" i="6"/>
  <c r="H869" i="6"/>
  <c r="K869" i="6" s="1"/>
  <c r="M868" i="6"/>
  <c r="L868" i="6"/>
  <c r="K868" i="6"/>
  <c r="I868" i="6"/>
  <c r="J869" i="6" s="1"/>
  <c r="H868" i="6"/>
  <c r="J867" i="6"/>
  <c r="I867" i="6"/>
  <c r="J870" i="6" s="1"/>
  <c r="H867" i="6"/>
  <c r="K867" i="6" s="1"/>
  <c r="M866" i="6"/>
  <c r="L866" i="6"/>
  <c r="K866" i="6"/>
  <c r="I866" i="6"/>
  <c r="H866" i="6"/>
  <c r="L865" i="6"/>
  <c r="M865" i="6" s="1"/>
  <c r="I865" i="6"/>
  <c r="H865" i="6"/>
  <c r="K865" i="6" s="1"/>
  <c r="L864" i="6"/>
  <c r="M864" i="6" s="1"/>
  <c r="K864" i="6"/>
  <c r="I864" i="6"/>
  <c r="H864" i="6"/>
  <c r="L863" i="6"/>
  <c r="M863" i="6" s="1"/>
  <c r="I863" i="6"/>
  <c r="H863" i="6"/>
  <c r="K863" i="6" s="1"/>
  <c r="K862" i="6"/>
  <c r="I862" i="6"/>
  <c r="H862" i="6"/>
  <c r="L861" i="6"/>
  <c r="M861" i="6" s="1"/>
  <c r="J861" i="6"/>
  <c r="I861" i="6"/>
  <c r="H861" i="6"/>
  <c r="K861" i="6" s="1"/>
  <c r="I860" i="6"/>
  <c r="H860" i="6"/>
  <c r="K860" i="6" s="1"/>
  <c r="L859" i="6"/>
  <c r="M859" i="6" s="1"/>
  <c r="I859" i="6"/>
  <c r="J866" i="6" s="1"/>
  <c r="H859" i="6"/>
  <c r="K859" i="6" s="1"/>
  <c r="M858" i="6"/>
  <c r="L858" i="6"/>
  <c r="K858" i="6"/>
  <c r="I858" i="6"/>
  <c r="H858" i="6"/>
  <c r="L857" i="6"/>
  <c r="M857" i="6" s="1"/>
  <c r="I857" i="6"/>
  <c r="H857" i="6"/>
  <c r="K857" i="6" s="1"/>
  <c r="M856" i="6"/>
  <c r="L856" i="6"/>
  <c r="K856" i="6"/>
  <c r="I856" i="6"/>
  <c r="H856" i="6"/>
  <c r="L855" i="6"/>
  <c r="M855" i="6" s="1"/>
  <c r="I855" i="6"/>
  <c r="H855" i="6"/>
  <c r="K855" i="6" s="1"/>
  <c r="L854" i="6"/>
  <c r="M854" i="6" s="1"/>
  <c r="K854" i="6"/>
  <c r="I854" i="6"/>
  <c r="J857" i="6" s="1"/>
  <c r="H854" i="6"/>
  <c r="L853" i="6"/>
  <c r="M853" i="6" s="1"/>
  <c r="I853" i="6"/>
  <c r="H853" i="6"/>
  <c r="K853" i="6" s="1"/>
  <c r="K852" i="6"/>
  <c r="I852" i="6"/>
  <c r="H852" i="6"/>
  <c r="L851" i="6"/>
  <c r="M851" i="6" s="1"/>
  <c r="I851" i="6"/>
  <c r="J856" i="6" s="1"/>
  <c r="H851" i="6"/>
  <c r="K851" i="6" s="1"/>
  <c r="I850" i="6"/>
  <c r="H850" i="6"/>
  <c r="K850" i="6" s="1"/>
  <c r="L849" i="6"/>
  <c r="M849" i="6" s="1"/>
  <c r="K849" i="6"/>
  <c r="I849" i="6"/>
  <c r="H849" i="6"/>
  <c r="M848" i="6"/>
  <c r="L848" i="6"/>
  <c r="K848" i="6"/>
  <c r="I848" i="6"/>
  <c r="H848" i="6"/>
  <c r="L847" i="6"/>
  <c r="M847" i="6" s="1"/>
  <c r="J847" i="6"/>
  <c r="I847" i="6"/>
  <c r="H847" i="6"/>
  <c r="K847" i="6" s="1"/>
  <c r="K846" i="6"/>
  <c r="I846" i="6"/>
  <c r="H846" i="6"/>
  <c r="L845" i="6"/>
  <c r="M845" i="6" s="1"/>
  <c r="I845" i="6"/>
  <c r="H845" i="6"/>
  <c r="K845" i="6" s="1"/>
  <c r="L844" i="6"/>
  <c r="M844" i="6" s="1"/>
  <c r="K844" i="6"/>
  <c r="I844" i="6"/>
  <c r="H844" i="6"/>
  <c r="L843" i="6"/>
  <c r="M843" i="6" s="1"/>
  <c r="I843" i="6"/>
  <c r="H843" i="6"/>
  <c r="K843" i="6" s="1"/>
  <c r="K842" i="6"/>
  <c r="I842" i="6"/>
  <c r="H842" i="6"/>
  <c r="L841" i="6"/>
  <c r="M841" i="6" s="1"/>
  <c r="I841" i="6"/>
  <c r="H841" i="6"/>
  <c r="K841" i="6" s="1"/>
  <c r="M840" i="6"/>
  <c r="L840" i="6"/>
  <c r="I840" i="6"/>
  <c r="H840" i="6"/>
  <c r="K840" i="6" s="1"/>
  <c r="L839" i="6"/>
  <c r="M839" i="6" s="1"/>
  <c r="K839" i="6"/>
  <c r="I839" i="6"/>
  <c r="H839" i="6"/>
  <c r="M838" i="6"/>
  <c r="L838" i="6"/>
  <c r="K838" i="6"/>
  <c r="I838" i="6"/>
  <c r="H838" i="6"/>
  <c r="I837" i="6"/>
  <c r="H837" i="6"/>
  <c r="K837" i="6" s="1"/>
  <c r="K836" i="6"/>
  <c r="I836" i="6"/>
  <c r="H836" i="6"/>
  <c r="L835" i="6"/>
  <c r="M835" i="6" s="1"/>
  <c r="I835" i="6"/>
  <c r="H835" i="6"/>
  <c r="K835" i="6" s="1"/>
  <c r="L834" i="6"/>
  <c r="M834" i="6" s="1"/>
  <c r="K834" i="6"/>
  <c r="I834" i="6"/>
  <c r="H834" i="6"/>
  <c r="I833" i="6"/>
  <c r="H833" i="6"/>
  <c r="K833" i="6" s="1"/>
  <c r="M832" i="6"/>
  <c r="L832" i="6"/>
  <c r="K832" i="6"/>
  <c r="I832" i="6"/>
  <c r="H832" i="6"/>
  <c r="L831" i="6"/>
  <c r="M831" i="6" s="1"/>
  <c r="J831" i="6"/>
  <c r="I831" i="6"/>
  <c r="H831" i="6"/>
  <c r="K831" i="6" s="1"/>
  <c r="M830" i="6"/>
  <c r="L830" i="6"/>
  <c r="I830" i="6"/>
  <c r="J835" i="6" s="1"/>
  <c r="N835" i="6" s="1"/>
  <c r="H830" i="6"/>
  <c r="K830" i="6" s="1"/>
  <c r="L829" i="6"/>
  <c r="M829" i="6" s="1"/>
  <c r="K829" i="6"/>
  <c r="J829" i="6"/>
  <c r="N829" i="6" s="1"/>
  <c r="I829" i="6"/>
  <c r="H829" i="6"/>
  <c r="M828" i="6"/>
  <c r="L828" i="6"/>
  <c r="K828" i="6"/>
  <c r="I828" i="6"/>
  <c r="H828" i="6"/>
  <c r="I827" i="6"/>
  <c r="H827" i="6"/>
  <c r="K827" i="6" s="1"/>
  <c r="K826" i="6"/>
  <c r="I826" i="6"/>
  <c r="H826" i="6"/>
  <c r="I825" i="6"/>
  <c r="H825" i="6"/>
  <c r="K825" i="6" s="1"/>
  <c r="K824" i="6"/>
  <c r="I824" i="6"/>
  <c r="H824" i="6"/>
  <c r="L823" i="6"/>
  <c r="M823" i="6" s="1"/>
  <c r="I823" i="6"/>
  <c r="H823" i="6"/>
  <c r="K823" i="6" s="1"/>
  <c r="M822" i="6"/>
  <c r="L822" i="6"/>
  <c r="K822" i="6"/>
  <c r="I822" i="6"/>
  <c r="H822" i="6"/>
  <c r="I821" i="6"/>
  <c r="H821" i="6"/>
  <c r="K821" i="6" s="1"/>
  <c r="I820" i="6"/>
  <c r="H820" i="6"/>
  <c r="K820" i="6" s="1"/>
  <c r="N819" i="6"/>
  <c r="L819" i="6"/>
  <c r="M819" i="6" s="1"/>
  <c r="K819" i="6"/>
  <c r="J819" i="6"/>
  <c r="I819" i="6"/>
  <c r="H819" i="6"/>
  <c r="M818" i="6"/>
  <c r="L818" i="6"/>
  <c r="K818" i="6"/>
  <c r="I818" i="6"/>
  <c r="J825" i="6" s="1"/>
  <c r="H818" i="6"/>
  <c r="L817" i="6"/>
  <c r="M817" i="6" s="1"/>
  <c r="J817" i="6"/>
  <c r="N817" i="6" s="1"/>
  <c r="I817" i="6"/>
  <c r="H817" i="6"/>
  <c r="K817" i="6" s="1"/>
  <c r="K816" i="6"/>
  <c r="I816" i="6"/>
  <c r="H816" i="6"/>
  <c r="I815" i="6"/>
  <c r="H815" i="6"/>
  <c r="K815" i="6" s="1"/>
  <c r="K814" i="6"/>
  <c r="I814" i="6"/>
  <c r="H814" i="6"/>
  <c r="L813" i="6"/>
  <c r="M813" i="6" s="1"/>
  <c r="I813" i="6"/>
  <c r="H813" i="6"/>
  <c r="K813" i="6" s="1"/>
  <c r="M812" i="6"/>
  <c r="L812" i="6"/>
  <c r="K812" i="6"/>
  <c r="I812" i="6"/>
  <c r="H812" i="6"/>
  <c r="I811" i="6"/>
  <c r="H811" i="6"/>
  <c r="K811" i="6" s="1"/>
  <c r="I810" i="6"/>
  <c r="H810" i="6"/>
  <c r="K810" i="6" s="1"/>
  <c r="L809" i="6"/>
  <c r="M809" i="6" s="1"/>
  <c r="K809" i="6"/>
  <c r="I809" i="6"/>
  <c r="H809" i="6"/>
  <c r="M808" i="6"/>
  <c r="L808" i="6"/>
  <c r="K808" i="6"/>
  <c r="I808" i="6"/>
  <c r="J809" i="6" s="1"/>
  <c r="H808" i="6"/>
  <c r="L807" i="6"/>
  <c r="M807" i="6" s="1"/>
  <c r="I807" i="6"/>
  <c r="H807" i="6"/>
  <c r="K807" i="6" s="1"/>
  <c r="M806" i="6"/>
  <c r="L806" i="6"/>
  <c r="K806" i="6"/>
  <c r="I806" i="6"/>
  <c r="H806" i="6"/>
  <c r="I805" i="6"/>
  <c r="H805" i="6"/>
  <c r="K805" i="6" s="1"/>
  <c r="L804" i="6"/>
  <c r="M804" i="6" s="1"/>
  <c r="K804" i="6"/>
  <c r="I804" i="6"/>
  <c r="H804" i="6"/>
  <c r="L803" i="6"/>
  <c r="M803" i="6" s="1"/>
  <c r="I803" i="6"/>
  <c r="H803" i="6"/>
  <c r="K803" i="6" s="1"/>
  <c r="L802" i="6"/>
  <c r="M802" i="6" s="1"/>
  <c r="K802" i="6"/>
  <c r="I802" i="6"/>
  <c r="H802" i="6"/>
  <c r="L801" i="6"/>
  <c r="M801" i="6" s="1"/>
  <c r="K801" i="6"/>
  <c r="I801" i="6"/>
  <c r="H801" i="6"/>
  <c r="M800" i="6"/>
  <c r="L800" i="6"/>
  <c r="I800" i="6"/>
  <c r="J805" i="6" s="1"/>
  <c r="H800" i="6"/>
  <c r="K800" i="6" s="1"/>
  <c r="L799" i="6"/>
  <c r="M799" i="6" s="1"/>
  <c r="K799" i="6"/>
  <c r="I799" i="6"/>
  <c r="H799" i="6"/>
  <c r="M798" i="6"/>
  <c r="N798" i="6" s="1"/>
  <c r="L798" i="6"/>
  <c r="K798" i="6"/>
  <c r="J798" i="6"/>
  <c r="I798" i="6"/>
  <c r="H798" i="6"/>
  <c r="I797" i="6"/>
  <c r="H797" i="6"/>
  <c r="K797" i="6" s="1"/>
  <c r="K796" i="6"/>
  <c r="I796" i="6"/>
  <c r="H796" i="6"/>
  <c r="L795" i="6"/>
  <c r="M795" i="6" s="1"/>
  <c r="I795" i="6"/>
  <c r="H795" i="6"/>
  <c r="K795" i="6" s="1"/>
  <c r="L794" i="6"/>
  <c r="M794" i="6" s="1"/>
  <c r="K794" i="6"/>
  <c r="I794" i="6"/>
  <c r="H794" i="6"/>
  <c r="I793" i="6"/>
  <c r="H793" i="6"/>
  <c r="K793" i="6" s="1"/>
  <c r="L792" i="6"/>
  <c r="M792" i="6" s="1"/>
  <c r="K792" i="6"/>
  <c r="I792" i="6"/>
  <c r="H792" i="6"/>
  <c r="L791" i="6"/>
  <c r="M791" i="6" s="1"/>
  <c r="I791" i="6"/>
  <c r="H791" i="6"/>
  <c r="K791" i="6" s="1"/>
  <c r="M790" i="6"/>
  <c r="L790" i="6"/>
  <c r="I790" i="6"/>
  <c r="H790" i="6"/>
  <c r="K790" i="6" s="1"/>
  <c r="M789" i="6"/>
  <c r="L789" i="6"/>
  <c r="K789" i="6"/>
  <c r="I789" i="6"/>
  <c r="H789" i="6"/>
  <c r="M788" i="6"/>
  <c r="L788" i="6"/>
  <c r="K788" i="6"/>
  <c r="I788" i="6"/>
  <c r="H788" i="6"/>
  <c r="J787" i="6"/>
  <c r="I787" i="6"/>
  <c r="H787" i="6"/>
  <c r="K787" i="6" s="1"/>
  <c r="K786" i="6"/>
  <c r="I786" i="6"/>
  <c r="H786" i="6"/>
  <c r="L785" i="6"/>
  <c r="M785" i="6" s="1"/>
  <c r="K785" i="6"/>
  <c r="I785" i="6"/>
  <c r="H785" i="6"/>
  <c r="L784" i="6"/>
  <c r="M784" i="6" s="1"/>
  <c r="I784" i="6"/>
  <c r="H784" i="6"/>
  <c r="K784" i="6" s="1"/>
  <c r="I783" i="6"/>
  <c r="H783" i="6"/>
  <c r="K783" i="6" s="1"/>
  <c r="M782" i="6"/>
  <c r="L782" i="6"/>
  <c r="K782" i="6"/>
  <c r="I782" i="6"/>
  <c r="H782" i="6"/>
  <c r="L781" i="6"/>
  <c r="M781" i="6" s="1"/>
  <c r="K781" i="6"/>
  <c r="I781" i="6"/>
  <c r="H781" i="6"/>
  <c r="M780" i="6"/>
  <c r="L780" i="6"/>
  <c r="I780" i="6"/>
  <c r="H780" i="6"/>
  <c r="K780" i="6" s="1"/>
  <c r="M779" i="6"/>
  <c r="L779" i="6"/>
  <c r="K779" i="6"/>
  <c r="I779" i="6"/>
  <c r="H779" i="6"/>
  <c r="L778" i="6"/>
  <c r="M778" i="6" s="1"/>
  <c r="K778" i="6"/>
  <c r="I778" i="6"/>
  <c r="H778" i="6"/>
  <c r="L777" i="6"/>
  <c r="M777" i="6" s="1"/>
  <c r="I777" i="6"/>
  <c r="H777" i="6"/>
  <c r="K777" i="6" s="1"/>
  <c r="M776" i="6"/>
  <c r="L776" i="6"/>
  <c r="K776" i="6"/>
  <c r="I776" i="6"/>
  <c r="H776" i="6"/>
  <c r="I775" i="6"/>
  <c r="H775" i="6"/>
  <c r="K775" i="6" s="1"/>
  <c r="L774" i="6"/>
  <c r="M774" i="6" s="1"/>
  <c r="N774" i="6" s="1"/>
  <c r="K774" i="6"/>
  <c r="I774" i="6"/>
  <c r="H774" i="6"/>
  <c r="L773" i="6"/>
  <c r="M773" i="6" s="1"/>
  <c r="I773" i="6"/>
  <c r="H773" i="6"/>
  <c r="K773" i="6" s="1"/>
  <c r="M772" i="6"/>
  <c r="L772" i="6"/>
  <c r="K772" i="6"/>
  <c r="I772" i="6"/>
  <c r="H772" i="6"/>
  <c r="L771" i="6"/>
  <c r="M771" i="6" s="1"/>
  <c r="I771" i="6"/>
  <c r="H771" i="6"/>
  <c r="K771" i="6" s="1"/>
  <c r="I770" i="6"/>
  <c r="J774" i="6" s="1"/>
  <c r="H770" i="6"/>
  <c r="K770" i="6" s="1"/>
  <c r="L769" i="6"/>
  <c r="M769" i="6" s="1"/>
  <c r="K769" i="6"/>
  <c r="I769" i="6"/>
  <c r="H769" i="6"/>
  <c r="M768" i="6"/>
  <c r="L768" i="6"/>
  <c r="K768" i="6"/>
  <c r="I768" i="6"/>
  <c r="H768" i="6"/>
  <c r="I767" i="6"/>
  <c r="H767" i="6"/>
  <c r="K767" i="6" s="1"/>
  <c r="M766" i="6"/>
  <c r="L766" i="6"/>
  <c r="K766" i="6"/>
  <c r="I766" i="6"/>
  <c r="H766" i="6"/>
  <c r="M765" i="6"/>
  <c r="N765" i="6" s="1"/>
  <c r="L765" i="6"/>
  <c r="K765" i="6"/>
  <c r="J765" i="6"/>
  <c r="I765" i="6"/>
  <c r="H765" i="6"/>
  <c r="L764" i="6"/>
  <c r="M764" i="6" s="1"/>
  <c r="I764" i="6"/>
  <c r="H764" i="6"/>
  <c r="K764" i="6" s="1"/>
  <c r="L763" i="6"/>
  <c r="M763" i="6" s="1"/>
  <c r="I763" i="6"/>
  <c r="H763" i="6"/>
  <c r="K763" i="6" s="1"/>
  <c r="M762" i="6"/>
  <c r="L762" i="6"/>
  <c r="K762" i="6"/>
  <c r="I762" i="6"/>
  <c r="H762" i="6"/>
  <c r="L761" i="6"/>
  <c r="M761" i="6" s="1"/>
  <c r="K761" i="6"/>
  <c r="J761" i="6"/>
  <c r="I761" i="6"/>
  <c r="H761" i="6"/>
  <c r="M760" i="6"/>
  <c r="L760" i="6"/>
  <c r="I760" i="6"/>
  <c r="J759" i="6" s="1"/>
  <c r="H760" i="6"/>
  <c r="K760" i="6" s="1"/>
  <c r="L759" i="6"/>
  <c r="M759" i="6" s="1"/>
  <c r="K759" i="6"/>
  <c r="I759" i="6"/>
  <c r="H759" i="6"/>
  <c r="L758" i="6"/>
  <c r="M758" i="6" s="1"/>
  <c r="K758" i="6"/>
  <c r="I758" i="6"/>
  <c r="H758" i="6"/>
  <c r="M757" i="6"/>
  <c r="L757" i="6"/>
  <c r="I757" i="6"/>
  <c r="H757" i="6"/>
  <c r="K757" i="6" s="1"/>
  <c r="M756" i="6"/>
  <c r="L756" i="6"/>
  <c r="K756" i="6"/>
  <c r="I756" i="6"/>
  <c r="H756" i="6"/>
  <c r="M755" i="6"/>
  <c r="L755" i="6"/>
  <c r="K755" i="6"/>
  <c r="I755" i="6"/>
  <c r="H755" i="6"/>
  <c r="L754" i="6"/>
  <c r="M754" i="6" s="1"/>
  <c r="K754" i="6"/>
  <c r="I754" i="6"/>
  <c r="H754" i="6"/>
  <c r="L753" i="6"/>
  <c r="M753" i="6" s="1"/>
  <c r="I753" i="6"/>
  <c r="H753" i="6"/>
  <c r="K753" i="6" s="1"/>
  <c r="L752" i="6"/>
  <c r="M752" i="6" s="1"/>
  <c r="K752" i="6"/>
  <c r="I752" i="6"/>
  <c r="H752" i="6"/>
  <c r="L751" i="6"/>
  <c r="M751" i="6" s="1"/>
  <c r="K751" i="6"/>
  <c r="I751" i="6"/>
  <c r="H751" i="6"/>
  <c r="M750" i="6"/>
  <c r="L750" i="6"/>
  <c r="I750" i="6"/>
  <c r="H750" i="6"/>
  <c r="K750" i="6" s="1"/>
  <c r="M749" i="6"/>
  <c r="L749" i="6"/>
  <c r="K749" i="6"/>
  <c r="I749" i="6"/>
  <c r="H749" i="6"/>
  <c r="M748" i="6"/>
  <c r="L748" i="6"/>
  <c r="K748" i="6"/>
  <c r="I748" i="6"/>
  <c r="H748" i="6"/>
  <c r="I747" i="6"/>
  <c r="H747" i="6"/>
  <c r="K747" i="6" s="1"/>
  <c r="L746" i="6"/>
  <c r="M746" i="6" s="1"/>
  <c r="K746" i="6"/>
  <c r="I746" i="6"/>
  <c r="H746" i="6"/>
  <c r="L745" i="6"/>
  <c r="M745" i="6" s="1"/>
  <c r="K745" i="6"/>
  <c r="I745" i="6"/>
  <c r="H745" i="6"/>
  <c r="L744" i="6"/>
  <c r="M744" i="6" s="1"/>
  <c r="K744" i="6"/>
  <c r="I744" i="6"/>
  <c r="H744" i="6"/>
  <c r="M743" i="6"/>
  <c r="L743" i="6"/>
  <c r="I743" i="6"/>
  <c r="H743" i="6"/>
  <c r="K743" i="6" s="1"/>
  <c r="M742" i="6"/>
  <c r="L742" i="6"/>
  <c r="K742" i="6"/>
  <c r="I742" i="6"/>
  <c r="H742" i="6"/>
  <c r="L741" i="6"/>
  <c r="M741" i="6" s="1"/>
  <c r="J741" i="6"/>
  <c r="I741" i="6"/>
  <c r="H741" i="6"/>
  <c r="K741" i="6" s="1"/>
  <c r="I740" i="6"/>
  <c r="H740" i="6"/>
  <c r="K740" i="6" s="1"/>
  <c r="M739" i="6"/>
  <c r="L739" i="6"/>
  <c r="K739" i="6"/>
  <c r="I739" i="6"/>
  <c r="H739" i="6"/>
  <c r="M738" i="6"/>
  <c r="L738" i="6"/>
  <c r="K738" i="6"/>
  <c r="J738" i="6"/>
  <c r="I738" i="6"/>
  <c r="J748" i="6" s="1"/>
  <c r="H738" i="6"/>
  <c r="I737" i="6"/>
  <c r="H737" i="6"/>
  <c r="K737" i="6" s="1"/>
  <c r="L736" i="6"/>
  <c r="M736" i="6" s="1"/>
  <c r="K736" i="6"/>
  <c r="I736" i="6"/>
  <c r="H736" i="6"/>
  <c r="I735" i="6"/>
  <c r="H735" i="6"/>
  <c r="K735" i="6" s="1"/>
  <c r="L734" i="6"/>
  <c r="M734" i="6" s="1"/>
  <c r="K734" i="6"/>
  <c r="I734" i="6"/>
  <c r="H734" i="6"/>
  <c r="L733" i="6"/>
  <c r="M733" i="6" s="1"/>
  <c r="I733" i="6"/>
  <c r="H733" i="6"/>
  <c r="K733" i="6" s="1"/>
  <c r="L732" i="6"/>
  <c r="M732" i="6" s="1"/>
  <c r="K732" i="6"/>
  <c r="I732" i="6"/>
  <c r="H732" i="6"/>
  <c r="L731" i="6"/>
  <c r="M731" i="6" s="1"/>
  <c r="I731" i="6"/>
  <c r="H731" i="6"/>
  <c r="K731" i="6" s="1"/>
  <c r="M730" i="6"/>
  <c r="L730" i="6"/>
  <c r="I730" i="6"/>
  <c r="H730" i="6"/>
  <c r="K730" i="6" s="1"/>
  <c r="L729" i="6"/>
  <c r="M729" i="6" s="1"/>
  <c r="K729" i="6"/>
  <c r="I729" i="6"/>
  <c r="H729" i="6"/>
  <c r="L728" i="6"/>
  <c r="M728" i="6" s="1"/>
  <c r="I728" i="6"/>
  <c r="H728" i="6"/>
  <c r="K728" i="6" s="1"/>
  <c r="I727" i="6"/>
  <c r="H727" i="6"/>
  <c r="K727" i="6" s="1"/>
  <c r="M726" i="6"/>
  <c r="L726" i="6"/>
  <c r="K726" i="6"/>
  <c r="I726" i="6"/>
  <c r="H726" i="6"/>
  <c r="M725" i="6"/>
  <c r="L725" i="6"/>
  <c r="K725" i="6"/>
  <c r="I725" i="6"/>
  <c r="H725" i="6"/>
  <c r="L724" i="6"/>
  <c r="M724" i="6" s="1"/>
  <c r="I724" i="6"/>
  <c r="H724" i="6"/>
  <c r="K724" i="6" s="1"/>
  <c r="M723" i="6"/>
  <c r="L723" i="6"/>
  <c r="I723" i="6"/>
  <c r="H723" i="6"/>
  <c r="K723" i="6" s="1"/>
  <c r="L722" i="6"/>
  <c r="M722" i="6" s="1"/>
  <c r="K722" i="6"/>
  <c r="I722" i="6"/>
  <c r="H722" i="6"/>
  <c r="L721" i="6"/>
  <c r="M721" i="6" s="1"/>
  <c r="K721" i="6"/>
  <c r="I721" i="6"/>
  <c r="H721" i="6"/>
  <c r="M720" i="6"/>
  <c r="L720" i="6"/>
  <c r="I720" i="6"/>
  <c r="H720" i="6"/>
  <c r="K720" i="6" s="1"/>
  <c r="K719" i="6"/>
  <c r="I719" i="6"/>
  <c r="H719" i="6"/>
  <c r="M718" i="6"/>
  <c r="L718" i="6"/>
  <c r="K718" i="6"/>
  <c r="I718" i="6"/>
  <c r="H718" i="6"/>
  <c r="L717" i="6"/>
  <c r="M717" i="6" s="1"/>
  <c r="I717" i="6"/>
  <c r="H717" i="6"/>
  <c r="K717" i="6" s="1"/>
  <c r="M716" i="6"/>
  <c r="L716" i="6"/>
  <c r="K716" i="6"/>
  <c r="I716" i="6"/>
  <c r="H716" i="6"/>
  <c r="L715" i="6"/>
  <c r="M715" i="6" s="1"/>
  <c r="K715" i="6"/>
  <c r="I715" i="6"/>
  <c r="H715" i="6"/>
  <c r="L714" i="6"/>
  <c r="M714" i="6" s="1"/>
  <c r="I714" i="6"/>
  <c r="H714" i="6"/>
  <c r="K714" i="6" s="1"/>
  <c r="M713" i="6"/>
  <c r="L713" i="6"/>
  <c r="I713" i="6"/>
  <c r="H713" i="6"/>
  <c r="K713" i="6" s="1"/>
  <c r="L712" i="6"/>
  <c r="M712" i="6" s="1"/>
  <c r="K712" i="6"/>
  <c r="I712" i="6"/>
  <c r="H712" i="6"/>
  <c r="L711" i="6"/>
  <c r="M711" i="6" s="1"/>
  <c r="K711" i="6"/>
  <c r="I711" i="6"/>
  <c r="H711" i="6"/>
  <c r="M710" i="6"/>
  <c r="L710" i="6"/>
  <c r="I710" i="6"/>
  <c r="H710" i="6"/>
  <c r="K710" i="6" s="1"/>
  <c r="M709" i="6"/>
  <c r="L709" i="6"/>
  <c r="K709" i="6"/>
  <c r="I709" i="6"/>
  <c r="H709" i="6"/>
  <c r="L708" i="6"/>
  <c r="M708" i="6" s="1"/>
  <c r="K708" i="6"/>
  <c r="I708" i="6"/>
  <c r="H708" i="6"/>
  <c r="L707" i="6"/>
  <c r="M707" i="6" s="1"/>
  <c r="I707" i="6"/>
  <c r="J715" i="6" s="1"/>
  <c r="H707" i="6"/>
  <c r="K707" i="6" s="1"/>
  <c r="L706" i="6"/>
  <c r="M706" i="6" s="1"/>
  <c r="K706" i="6"/>
  <c r="I706" i="6"/>
  <c r="H706" i="6"/>
  <c r="L705" i="6"/>
  <c r="M705" i="6" s="1"/>
  <c r="K705" i="6"/>
  <c r="I705" i="6"/>
  <c r="H705" i="6"/>
  <c r="L704" i="6"/>
  <c r="M704" i="6" s="1"/>
  <c r="K704" i="6"/>
  <c r="I704" i="6"/>
  <c r="H704" i="6"/>
  <c r="I703" i="6"/>
  <c r="H703" i="6"/>
  <c r="K703" i="6" s="1"/>
  <c r="M702" i="6"/>
  <c r="L702" i="6"/>
  <c r="K702" i="6"/>
  <c r="I702" i="6"/>
  <c r="H702" i="6"/>
  <c r="M701" i="6"/>
  <c r="L701" i="6"/>
  <c r="K701" i="6"/>
  <c r="I701" i="6"/>
  <c r="H701" i="6"/>
  <c r="M700" i="6"/>
  <c r="L700" i="6"/>
  <c r="I700" i="6"/>
  <c r="H700" i="6"/>
  <c r="K700" i="6" s="1"/>
  <c r="L699" i="6"/>
  <c r="M699" i="6" s="1"/>
  <c r="K699" i="6"/>
  <c r="I699" i="6"/>
  <c r="H699" i="6"/>
  <c r="M698" i="6"/>
  <c r="L698" i="6"/>
  <c r="K698" i="6"/>
  <c r="I698" i="6"/>
  <c r="H698" i="6"/>
  <c r="M697" i="6"/>
  <c r="L697" i="6"/>
  <c r="K697" i="6"/>
  <c r="I697" i="6"/>
  <c r="H697" i="6"/>
  <c r="M696" i="6"/>
  <c r="L696" i="6"/>
  <c r="I696" i="6"/>
  <c r="H696" i="6"/>
  <c r="K696" i="6" s="1"/>
  <c r="M695" i="6"/>
  <c r="L695" i="6"/>
  <c r="K695" i="6"/>
  <c r="I695" i="6"/>
  <c r="H695" i="6"/>
  <c r="L694" i="6"/>
  <c r="M694" i="6" s="1"/>
  <c r="I694" i="6"/>
  <c r="J700" i="6" s="1"/>
  <c r="H694" i="6"/>
  <c r="K694" i="6" s="1"/>
  <c r="M693" i="6"/>
  <c r="L693" i="6"/>
  <c r="I693" i="6"/>
  <c r="H693" i="6"/>
  <c r="K693" i="6" s="1"/>
  <c r="L692" i="6"/>
  <c r="M692" i="6" s="1"/>
  <c r="K692" i="6"/>
  <c r="I692" i="6"/>
  <c r="H692" i="6"/>
  <c r="L691" i="6"/>
  <c r="M691" i="6" s="1"/>
  <c r="I691" i="6"/>
  <c r="H691" i="6"/>
  <c r="K691" i="6" s="1"/>
  <c r="M690" i="6"/>
  <c r="L690" i="6"/>
  <c r="I690" i="6"/>
  <c r="H690" i="6"/>
  <c r="K690" i="6" s="1"/>
  <c r="M689" i="6"/>
  <c r="L689" i="6"/>
  <c r="K689" i="6"/>
  <c r="J689" i="6"/>
  <c r="N689" i="6" s="1"/>
  <c r="I689" i="6"/>
  <c r="H689" i="6"/>
  <c r="L688" i="6"/>
  <c r="M688" i="6" s="1"/>
  <c r="I688" i="6"/>
  <c r="H688" i="6"/>
  <c r="K688" i="6" s="1"/>
  <c r="K687" i="6"/>
  <c r="I687" i="6"/>
  <c r="H687" i="6"/>
  <c r="L686" i="6"/>
  <c r="M686" i="6" s="1"/>
  <c r="I686" i="6"/>
  <c r="H686" i="6"/>
  <c r="K686" i="6" s="1"/>
  <c r="L685" i="6"/>
  <c r="M685" i="6" s="1"/>
  <c r="K685" i="6"/>
  <c r="I685" i="6"/>
  <c r="H685" i="6"/>
  <c r="L684" i="6"/>
  <c r="M684" i="6" s="1"/>
  <c r="K684" i="6"/>
  <c r="J684" i="6"/>
  <c r="I684" i="6"/>
  <c r="H684" i="6"/>
  <c r="L683" i="6"/>
  <c r="M683" i="6" s="1"/>
  <c r="I683" i="6"/>
  <c r="H683" i="6"/>
  <c r="K683" i="6" s="1"/>
  <c r="L682" i="6"/>
  <c r="M682" i="6" s="1"/>
  <c r="K682" i="6"/>
  <c r="I682" i="6"/>
  <c r="H682" i="6"/>
  <c r="M681" i="6"/>
  <c r="L681" i="6"/>
  <c r="I681" i="6"/>
  <c r="H681" i="6"/>
  <c r="K681" i="6" s="1"/>
  <c r="M680" i="6"/>
  <c r="L680" i="6"/>
  <c r="I680" i="6"/>
  <c r="J674" i="6" s="1"/>
  <c r="H680" i="6"/>
  <c r="K680" i="6" s="1"/>
  <c r="L679" i="6"/>
  <c r="M679" i="6" s="1"/>
  <c r="K679" i="6"/>
  <c r="I679" i="6"/>
  <c r="H679" i="6"/>
  <c r="M678" i="6"/>
  <c r="L678" i="6"/>
  <c r="I678" i="6"/>
  <c r="H678" i="6"/>
  <c r="K678" i="6" s="1"/>
  <c r="M677" i="6"/>
  <c r="L677" i="6"/>
  <c r="K677" i="6"/>
  <c r="J677" i="6"/>
  <c r="N677" i="6" s="1"/>
  <c r="I677" i="6"/>
  <c r="H677" i="6"/>
  <c r="L676" i="6"/>
  <c r="M676" i="6" s="1"/>
  <c r="I676" i="6"/>
  <c r="H676" i="6"/>
  <c r="K676" i="6" s="1"/>
  <c r="M675" i="6"/>
  <c r="L675" i="6"/>
  <c r="I675" i="6"/>
  <c r="J679" i="6" s="1"/>
  <c r="H675" i="6"/>
  <c r="K675" i="6" s="1"/>
  <c r="L674" i="6"/>
  <c r="M674" i="6" s="1"/>
  <c r="I674" i="6"/>
  <c r="H674" i="6"/>
  <c r="K674" i="6" s="1"/>
  <c r="M673" i="6"/>
  <c r="L673" i="6"/>
  <c r="I673" i="6"/>
  <c r="H673" i="6"/>
  <c r="K673" i="6" s="1"/>
  <c r="K672" i="6"/>
  <c r="I672" i="6"/>
  <c r="H672" i="6"/>
  <c r="L671" i="6"/>
  <c r="M671" i="6" s="1"/>
  <c r="K671" i="6"/>
  <c r="I671" i="6"/>
  <c r="H671" i="6"/>
  <c r="M670" i="6"/>
  <c r="L670" i="6"/>
  <c r="I670" i="6"/>
  <c r="H670" i="6"/>
  <c r="K670" i="6" s="1"/>
  <c r="M669" i="6"/>
  <c r="L669" i="6"/>
  <c r="K669" i="6"/>
  <c r="I669" i="6"/>
  <c r="H669" i="6"/>
  <c r="L668" i="6"/>
  <c r="M668" i="6" s="1"/>
  <c r="K668" i="6"/>
  <c r="I668" i="6"/>
  <c r="H668" i="6"/>
  <c r="M667" i="6"/>
  <c r="L667" i="6"/>
  <c r="I667" i="6"/>
  <c r="H667" i="6"/>
  <c r="K667" i="6" s="1"/>
  <c r="L666" i="6"/>
  <c r="M666" i="6" s="1"/>
  <c r="K666" i="6"/>
  <c r="I666" i="6"/>
  <c r="H666" i="6"/>
  <c r="L665" i="6"/>
  <c r="M665" i="6" s="1"/>
  <c r="K665" i="6"/>
  <c r="I665" i="6"/>
  <c r="H665" i="6"/>
  <c r="L664" i="6"/>
  <c r="M664" i="6" s="1"/>
  <c r="K664" i="6"/>
  <c r="I664" i="6"/>
  <c r="H664" i="6"/>
  <c r="M663" i="6"/>
  <c r="L663" i="6"/>
  <c r="I663" i="6"/>
  <c r="H663" i="6"/>
  <c r="K663" i="6" s="1"/>
  <c r="M662" i="6"/>
  <c r="L662" i="6"/>
  <c r="K662" i="6"/>
  <c r="I662" i="6"/>
  <c r="H662" i="6"/>
  <c r="M661" i="6"/>
  <c r="L661" i="6"/>
  <c r="K661" i="6"/>
  <c r="I661" i="6"/>
  <c r="J672" i="6" s="1"/>
  <c r="H661" i="6"/>
  <c r="M660" i="6"/>
  <c r="L660" i="6"/>
  <c r="J660" i="6"/>
  <c r="I660" i="6"/>
  <c r="J664" i="6" s="1"/>
  <c r="H660" i="6"/>
  <c r="K660" i="6" s="1"/>
  <c r="L659" i="6"/>
  <c r="M659" i="6" s="1"/>
  <c r="K659" i="6"/>
  <c r="I659" i="6"/>
  <c r="H659" i="6"/>
  <c r="M658" i="6"/>
  <c r="L658" i="6"/>
  <c r="K658" i="6"/>
  <c r="I658" i="6"/>
  <c r="H658" i="6"/>
  <c r="I657" i="6"/>
  <c r="H657" i="6"/>
  <c r="K657" i="6" s="1"/>
  <c r="K656" i="6"/>
  <c r="I656" i="6"/>
  <c r="H656" i="6"/>
  <c r="L655" i="6"/>
  <c r="M655" i="6" s="1"/>
  <c r="K655" i="6"/>
  <c r="I655" i="6"/>
  <c r="H655" i="6"/>
  <c r="L654" i="6"/>
  <c r="M654" i="6" s="1"/>
  <c r="I654" i="6"/>
  <c r="H654" i="6"/>
  <c r="K654" i="6" s="1"/>
  <c r="M653" i="6"/>
  <c r="L653" i="6"/>
  <c r="I653" i="6"/>
  <c r="H653" i="6"/>
  <c r="K653" i="6" s="1"/>
  <c r="L652" i="6"/>
  <c r="M652" i="6" s="1"/>
  <c r="K652" i="6"/>
  <c r="I652" i="6"/>
  <c r="J644" i="6" s="1"/>
  <c r="H652" i="6"/>
  <c r="L651" i="6"/>
  <c r="M651" i="6" s="1"/>
  <c r="K651" i="6"/>
  <c r="I651" i="6"/>
  <c r="H651" i="6"/>
  <c r="M650" i="6"/>
  <c r="L650" i="6"/>
  <c r="I650" i="6"/>
  <c r="H650" i="6"/>
  <c r="K650" i="6" s="1"/>
  <c r="M649" i="6"/>
  <c r="L649" i="6"/>
  <c r="K649" i="6"/>
  <c r="I649" i="6"/>
  <c r="H649" i="6"/>
  <c r="L648" i="6"/>
  <c r="M648" i="6" s="1"/>
  <c r="K648" i="6"/>
  <c r="I648" i="6"/>
  <c r="H648" i="6"/>
  <c r="M647" i="6"/>
  <c r="L647" i="6"/>
  <c r="K647" i="6"/>
  <c r="I647" i="6"/>
  <c r="J652" i="6" s="1"/>
  <c r="H647" i="6"/>
  <c r="L646" i="6"/>
  <c r="M646" i="6" s="1"/>
  <c r="I646" i="6"/>
  <c r="H646" i="6"/>
  <c r="K646" i="6" s="1"/>
  <c r="L645" i="6"/>
  <c r="M645" i="6" s="1"/>
  <c r="K645" i="6"/>
  <c r="I645" i="6"/>
  <c r="H645" i="6"/>
  <c r="L644" i="6"/>
  <c r="M644" i="6" s="1"/>
  <c r="K644" i="6"/>
  <c r="I644" i="6"/>
  <c r="H644" i="6"/>
  <c r="L643" i="6"/>
  <c r="M643" i="6" s="1"/>
  <c r="I643" i="6"/>
  <c r="H643" i="6"/>
  <c r="K643" i="6" s="1"/>
  <c r="L642" i="6"/>
  <c r="M642" i="6" s="1"/>
  <c r="K642" i="6"/>
  <c r="I642" i="6"/>
  <c r="H642" i="6"/>
  <c r="M641" i="6"/>
  <c r="L641" i="6"/>
  <c r="I641" i="6"/>
  <c r="H641" i="6"/>
  <c r="K641" i="6" s="1"/>
  <c r="I640" i="6"/>
  <c r="H640" i="6"/>
  <c r="K640" i="6" s="1"/>
  <c r="M639" i="6"/>
  <c r="L639" i="6"/>
  <c r="K639" i="6"/>
  <c r="J639" i="6"/>
  <c r="I639" i="6"/>
  <c r="H639" i="6"/>
  <c r="L638" i="6"/>
  <c r="M638" i="6" s="1"/>
  <c r="N638" i="6" s="1"/>
  <c r="I638" i="6"/>
  <c r="H638" i="6"/>
  <c r="K638" i="6" s="1"/>
  <c r="M637" i="6"/>
  <c r="L637" i="6"/>
  <c r="K637" i="6"/>
  <c r="I637" i="6"/>
  <c r="H637" i="6"/>
  <c r="L636" i="6"/>
  <c r="M636" i="6" s="1"/>
  <c r="K636" i="6"/>
  <c r="I636" i="6"/>
  <c r="H636" i="6"/>
  <c r="L635" i="6"/>
  <c r="M635" i="6" s="1"/>
  <c r="I635" i="6"/>
  <c r="H635" i="6"/>
  <c r="K635" i="6" s="1"/>
  <c r="L634" i="6"/>
  <c r="M634" i="6" s="1"/>
  <c r="K634" i="6"/>
  <c r="I634" i="6"/>
  <c r="H634" i="6"/>
  <c r="L633" i="6"/>
  <c r="M633" i="6" s="1"/>
  <c r="I633" i="6"/>
  <c r="H633" i="6"/>
  <c r="K633" i="6" s="1"/>
  <c r="M632" i="6"/>
  <c r="L632" i="6"/>
  <c r="K632" i="6"/>
  <c r="I632" i="6"/>
  <c r="J640" i="6" s="1"/>
  <c r="H632" i="6"/>
  <c r="M631" i="6"/>
  <c r="L631" i="6"/>
  <c r="K631" i="6"/>
  <c r="J631" i="6"/>
  <c r="I631" i="6"/>
  <c r="H631" i="6"/>
  <c r="M630" i="6"/>
  <c r="L630" i="6"/>
  <c r="I630" i="6"/>
  <c r="H630" i="6"/>
  <c r="K630" i="6" s="1"/>
  <c r="M629" i="6"/>
  <c r="N629" i="6" s="1"/>
  <c r="L629" i="6"/>
  <c r="K629" i="6"/>
  <c r="J629" i="6"/>
  <c r="I629" i="6"/>
  <c r="H629" i="6"/>
  <c r="M628" i="6"/>
  <c r="L628" i="6"/>
  <c r="K628" i="6"/>
  <c r="J628" i="6"/>
  <c r="I628" i="6"/>
  <c r="J638" i="6" s="1"/>
  <c r="H628" i="6"/>
  <c r="M627" i="6"/>
  <c r="L627" i="6"/>
  <c r="I627" i="6"/>
  <c r="H627" i="6"/>
  <c r="K627" i="6" s="1"/>
  <c r="L626" i="6"/>
  <c r="M626" i="6" s="1"/>
  <c r="I626" i="6"/>
  <c r="H626" i="6"/>
  <c r="K626" i="6" s="1"/>
  <c r="M625" i="6"/>
  <c r="N625" i="6" s="1"/>
  <c r="L625" i="6"/>
  <c r="K625" i="6"/>
  <c r="J625" i="6"/>
  <c r="I625" i="6"/>
  <c r="H625" i="6"/>
  <c r="L624" i="6"/>
  <c r="M624" i="6" s="1"/>
  <c r="I624" i="6"/>
  <c r="H624" i="6"/>
  <c r="K624" i="6" s="1"/>
  <c r="I623" i="6"/>
  <c r="H623" i="6"/>
  <c r="K623" i="6" s="1"/>
  <c r="L622" i="6"/>
  <c r="M622" i="6" s="1"/>
  <c r="K622" i="6"/>
  <c r="I622" i="6"/>
  <c r="H622" i="6"/>
  <c r="M621" i="6"/>
  <c r="L621" i="6"/>
  <c r="I621" i="6"/>
  <c r="H621" i="6"/>
  <c r="K621" i="6" s="1"/>
  <c r="M620" i="6"/>
  <c r="L620" i="6"/>
  <c r="I620" i="6"/>
  <c r="H620" i="6"/>
  <c r="K620" i="6" s="1"/>
  <c r="M619" i="6"/>
  <c r="L619" i="6"/>
  <c r="K619" i="6"/>
  <c r="I619" i="6"/>
  <c r="H619" i="6"/>
  <c r="M618" i="6"/>
  <c r="L618" i="6"/>
  <c r="I618" i="6"/>
  <c r="H618" i="6"/>
  <c r="K618" i="6" s="1"/>
  <c r="M617" i="6"/>
  <c r="L617" i="6"/>
  <c r="K617" i="6"/>
  <c r="J617" i="6"/>
  <c r="N617" i="6" s="1"/>
  <c r="I617" i="6"/>
  <c r="H617" i="6"/>
  <c r="L616" i="6"/>
  <c r="M616" i="6" s="1"/>
  <c r="I616" i="6"/>
  <c r="H616" i="6"/>
  <c r="K616" i="6" s="1"/>
  <c r="M615" i="6"/>
  <c r="L615" i="6"/>
  <c r="I615" i="6"/>
  <c r="H615" i="6"/>
  <c r="K615" i="6" s="1"/>
  <c r="L614" i="6"/>
  <c r="M614" i="6" s="1"/>
  <c r="I614" i="6"/>
  <c r="H614" i="6"/>
  <c r="K614" i="6" s="1"/>
  <c r="L613" i="6"/>
  <c r="M613" i="6" s="1"/>
  <c r="I613" i="6"/>
  <c r="H613" i="6"/>
  <c r="K613" i="6" s="1"/>
  <c r="M612" i="6"/>
  <c r="L612" i="6"/>
  <c r="K612" i="6"/>
  <c r="J612" i="6"/>
  <c r="I612" i="6"/>
  <c r="H612" i="6"/>
  <c r="M611" i="6"/>
  <c r="L611" i="6"/>
  <c r="K611" i="6"/>
  <c r="I611" i="6"/>
  <c r="H611" i="6"/>
  <c r="M610" i="6"/>
  <c r="L610" i="6"/>
  <c r="I610" i="6"/>
  <c r="J624" i="6" s="1"/>
  <c r="H610" i="6"/>
  <c r="K610" i="6" s="1"/>
  <c r="L609" i="6"/>
  <c r="M609" i="6" s="1"/>
  <c r="K609" i="6"/>
  <c r="I609" i="6"/>
  <c r="H609" i="6"/>
  <c r="M608" i="6"/>
  <c r="L608" i="6"/>
  <c r="K608" i="6"/>
  <c r="I608" i="6"/>
  <c r="H608" i="6"/>
  <c r="K607" i="6"/>
  <c r="I607" i="6"/>
  <c r="H607" i="6"/>
  <c r="I606" i="6"/>
  <c r="H606" i="6"/>
  <c r="K606" i="6" s="1"/>
  <c r="L605" i="6"/>
  <c r="M605" i="6" s="1"/>
  <c r="K605" i="6"/>
  <c r="I605" i="6"/>
  <c r="H605" i="6"/>
  <c r="L604" i="6"/>
  <c r="M604" i="6" s="1"/>
  <c r="I604" i="6"/>
  <c r="H604" i="6"/>
  <c r="K604" i="6" s="1"/>
  <c r="M603" i="6"/>
  <c r="L603" i="6"/>
  <c r="I603" i="6"/>
  <c r="H603" i="6"/>
  <c r="K603" i="6" s="1"/>
  <c r="L602" i="6"/>
  <c r="M602" i="6" s="1"/>
  <c r="K602" i="6"/>
  <c r="I602" i="6"/>
  <c r="H602" i="6"/>
  <c r="L601" i="6"/>
  <c r="M601" i="6" s="1"/>
  <c r="I601" i="6"/>
  <c r="H601" i="6"/>
  <c r="K601" i="6" s="1"/>
  <c r="M600" i="6"/>
  <c r="L600" i="6"/>
  <c r="I600" i="6"/>
  <c r="H600" i="6"/>
  <c r="K600" i="6" s="1"/>
  <c r="M599" i="6"/>
  <c r="L599" i="6"/>
  <c r="K599" i="6"/>
  <c r="J599" i="6"/>
  <c r="I599" i="6"/>
  <c r="H599" i="6"/>
  <c r="L598" i="6"/>
  <c r="M598" i="6" s="1"/>
  <c r="I598" i="6"/>
  <c r="H598" i="6"/>
  <c r="K598" i="6" s="1"/>
  <c r="M597" i="6"/>
  <c r="L597" i="6"/>
  <c r="K597" i="6"/>
  <c r="I597" i="6"/>
  <c r="H597" i="6"/>
  <c r="L596" i="6"/>
  <c r="M596" i="6" s="1"/>
  <c r="K596" i="6"/>
  <c r="I596" i="6"/>
  <c r="H596" i="6"/>
  <c r="L595" i="6"/>
  <c r="M595" i="6" s="1"/>
  <c r="I595" i="6"/>
  <c r="H595" i="6"/>
  <c r="K595" i="6" s="1"/>
  <c r="L594" i="6"/>
  <c r="M594" i="6" s="1"/>
  <c r="K594" i="6"/>
  <c r="I594" i="6"/>
  <c r="J601" i="6" s="1"/>
  <c r="H594" i="6"/>
  <c r="L593" i="6"/>
  <c r="M593" i="6" s="1"/>
  <c r="I593" i="6"/>
  <c r="H593" i="6"/>
  <c r="K593" i="6" s="1"/>
  <c r="L592" i="6"/>
  <c r="M592" i="6" s="1"/>
  <c r="K592" i="6"/>
  <c r="I592" i="6"/>
  <c r="H592" i="6"/>
  <c r="M591" i="6"/>
  <c r="L591" i="6"/>
  <c r="K591" i="6"/>
  <c r="J591" i="6"/>
  <c r="I591" i="6"/>
  <c r="H591" i="6"/>
  <c r="M590" i="6"/>
  <c r="L590" i="6"/>
  <c r="I590" i="6"/>
  <c r="H590" i="6"/>
  <c r="K590" i="6" s="1"/>
  <c r="K589" i="6"/>
  <c r="I589" i="6"/>
  <c r="H589" i="6"/>
  <c r="M588" i="6"/>
  <c r="L588" i="6"/>
  <c r="K588" i="6"/>
  <c r="J588" i="6"/>
  <c r="I588" i="6"/>
  <c r="H588" i="6"/>
  <c r="M587" i="6"/>
  <c r="L587" i="6"/>
  <c r="I587" i="6"/>
  <c r="H587" i="6"/>
  <c r="K587" i="6" s="1"/>
  <c r="L586" i="6"/>
  <c r="M586" i="6" s="1"/>
  <c r="I586" i="6"/>
  <c r="H586" i="6"/>
  <c r="K586" i="6" s="1"/>
  <c r="M585" i="6"/>
  <c r="N585" i="6" s="1"/>
  <c r="L585" i="6"/>
  <c r="K585" i="6"/>
  <c r="J585" i="6"/>
  <c r="I585" i="6"/>
  <c r="H585" i="6"/>
  <c r="L584" i="6"/>
  <c r="M584" i="6" s="1"/>
  <c r="K584" i="6"/>
  <c r="I584" i="6"/>
  <c r="H584" i="6"/>
  <c r="M583" i="6"/>
  <c r="L583" i="6"/>
  <c r="K583" i="6"/>
  <c r="I583" i="6"/>
  <c r="H583" i="6"/>
  <c r="L582" i="6"/>
  <c r="M582" i="6" s="1"/>
  <c r="I582" i="6"/>
  <c r="H582" i="6"/>
  <c r="K582" i="6" s="1"/>
  <c r="M581" i="6"/>
  <c r="L581" i="6"/>
  <c r="K581" i="6"/>
  <c r="I581" i="6"/>
  <c r="H581" i="6"/>
  <c r="M580" i="6"/>
  <c r="L580" i="6"/>
  <c r="I580" i="6"/>
  <c r="H580" i="6"/>
  <c r="K580" i="6" s="1"/>
  <c r="M579" i="6"/>
  <c r="L579" i="6"/>
  <c r="K579" i="6"/>
  <c r="J579" i="6"/>
  <c r="I579" i="6"/>
  <c r="H579" i="6"/>
  <c r="L578" i="6"/>
  <c r="M578" i="6" s="1"/>
  <c r="I578" i="6"/>
  <c r="H578" i="6"/>
  <c r="K578" i="6" s="1"/>
  <c r="L577" i="6"/>
  <c r="M577" i="6" s="1"/>
  <c r="K577" i="6"/>
  <c r="I577" i="6"/>
  <c r="J582" i="6" s="1"/>
  <c r="H577" i="6"/>
  <c r="L576" i="6"/>
  <c r="M576" i="6" s="1"/>
  <c r="K576" i="6"/>
  <c r="I576" i="6"/>
  <c r="J589" i="6" s="1"/>
  <c r="H576" i="6"/>
  <c r="M575" i="6"/>
  <c r="L575" i="6"/>
  <c r="I575" i="6"/>
  <c r="H575" i="6"/>
  <c r="K575" i="6" s="1"/>
  <c r="L574" i="6"/>
  <c r="M574" i="6" s="1"/>
  <c r="K574" i="6"/>
  <c r="I574" i="6"/>
  <c r="H574" i="6"/>
  <c r="L573" i="6"/>
  <c r="M573" i="6" s="1"/>
  <c r="K573" i="6"/>
  <c r="I573" i="6"/>
  <c r="H573" i="6"/>
  <c r="L572" i="6"/>
  <c r="M572" i="6" s="1"/>
  <c r="I572" i="6"/>
  <c r="H572" i="6"/>
  <c r="K572" i="6" s="1"/>
  <c r="K571" i="6"/>
  <c r="I571" i="6"/>
  <c r="H571" i="6"/>
  <c r="M570" i="6"/>
  <c r="L570" i="6"/>
  <c r="I570" i="6"/>
  <c r="H570" i="6"/>
  <c r="K570" i="6" s="1"/>
  <c r="M569" i="6"/>
  <c r="L569" i="6"/>
  <c r="K569" i="6"/>
  <c r="J569" i="6"/>
  <c r="I569" i="6"/>
  <c r="H569" i="6"/>
  <c r="L568" i="6"/>
  <c r="M568" i="6" s="1"/>
  <c r="I568" i="6"/>
  <c r="H568" i="6"/>
  <c r="K568" i="6" s="1"/>
  <c r="L567" i="6"/>
  <c r="M567" i="6" s="1"/>
  <c r="K567" i="6"/>
  <c r="I567" i="6"/>
  <c r="H567" i="6"/>
  <c r="L566" i="6"/>
  <c r="M566" i="6" s="1"/>
  <c r="K566" i="6"/>
  <c r="I566" i="6"/>
  <c r="H566" i="6"/>
  <c r="M565" i="6"/>
  <c r="L565" i="6"/>
  <c r="I565" i="6"/>
  <c r="H565" i="6"/>
  <c r="K565" i="6" s="1"/>
  <c r="L564" i="6"/>
  <c r="M564" i="6" s="1"/>
  <c r="K564" i="6"/>
  <c r="I564" i="6"/>
  <c r="H564" i="6"/>
  <c r="M563" i="6"/>
  <c r="L563" i="6"/>
  <c r="K563" i="6"/>
  <c r="I563" i="6"/>
  <c r="J564" i="6" s="1"/>
  <c r="H563" i="6"/>
  <c r="L562" i="6"/>
  <c r="M562" i="6" s="1"/>
  <c r="I562" i="6"/>
  <c r="H562" i="6"/>
  <c r="K562" i="6" s="1"/>
  <c r="M561" i="6"/>
  <c r="L561" i="6"/>
  <c r="K561" i="6"/>
  <c r="I561" i="6"/>
  <c r="H561" i="6"/>
  <c r="M560" i="6"/>
  <c r="L560" i="6"/>
  <c r="I560" i="6"/>
  <c r="H560" i="6"/>
  <c r="K560" i="6" s="1"/>
  <c r="M559" i="6"/>
  <c r="L559" i="6"/>
  <c r="K559" i="6"/>
  <c r="I559" i="6"/>
  <c r="H559" i="6"/>
  <c r="L558" i="6"/>
  <c r="M558" i="6" s="1"/>
  <c r="I558" i="6"/>
  <c r="H558" i="6"/>
  <c r="K558" i="6" s="1"/>
  <c r="L557" i="6"/>
  <c r="M557" i="6" s="1"/>
  <c r="K557" i="6"/>
  <c r="I557" i="6"/>
  <c r="H557" i="6"/>
  <c r="K556" i="6"/>
  <c r="I556" i="6"/>
  <c r="H556" i="6"/>
  <c r="M555" i="6"/>
  <c r="L555" i="6"/>
  <c r="I555" i="6"/>
  <c r="H555" i="6"/>
  <c r="K555" i="6" s="1"/>
  <c r="M554" i="6"/>
  <c r="L554" i="6"/>
  <c r="K554" i="6"/>
  <c r="I554" i="6"/>
  <c r="H554" i="6"/>
  <c r="M553" i="6"/>
  <c r="L553" i="6"/>
  <c r="K553" i="6"/>
  <c r="J553" i="6"/>
  <c r="I553" i="6"/>
  <c r="H553" i="6"/>
  <c r="N552" i="6"/>
  <c r="L552" i="6"/>
  <c r="M552" i="6" s="1"/>
  <c r="I552" i="6"/>
  <c r="H552" i="6"/>
  <c r="K552" i="6" s="1"/>
  <c r="M551" i="6"/>
  <c r="L551" i="6"/>
  <c r="K551" i="6"/>
  <c r="I551" i="6"/>
  <c r="H551" i="6"/>
  <c r="M550" i="6"/>
  <c r="L550" i="6"/>
  <c r="I550" i="6"/>
  <c r="H550" i="6"/>
  <c r="K550" i="6" s="1"/>
  <c r="M549" i="6"/>
  <c r="L549" i="6"/>
  <c r="K549" i="6"/>
  <c r="I549" i="6"/>
  <c r="H549" i="6"/>
  <c r="L548" i="6"/>
  <c r="M548" i="6" s="1"/>
  <c r="I548" i="6"/>
  <c r="H548" i="6"/>
  <c r="K548" i="6" s="1"/>
  <c r="L547" i="6"/>
  <c r="M547" i="6" s="1"/>
  <c r="K547" i="6"/>
  <c r="I547" i="6"/>
  <c r="H547" i="6"/>
  <c r="L546" i="6"/>
  <c r="M546" i="6" s="1"/>
  <c r="K546" i="6"/>
  <c r="I546" i="6"/>
  <c r="J550" i="6" s="1"/>
  <c r="N550" i="6" s="1"/>
  <c r="H546" i="6"/>
  <c r="M545" i="6"/>
  <c r="L545" i="6"/>
  <c r="I545" i="6"/>
  <c r="H545" i="6"/>
  <c r="K545" i="6" s="1"/>
  <c r="M544" i="6"/>
  <c r="L544" i="6"/>
  <c r="K544" i="6"/>
  <c r="J544" i="6"/>
  <c r="I544" i="6"/>
  <c r="H544" i="6"/>
  <c r="M543" i="6"/>
  <c r="L543" i="6"/>
  <c r="K543" i="6"/>
  <c r="J543" i="6"/>
  <c r="I543" i="6"/>
  <c r="J552" i="6" s="1"/>
  <c r="H543" i="6"/>
  <c r="L542" i="6"/>
  <c r="M542" i="6" s="1"/>
  <c r="I542" i="6"/>
  <c r="H542" i="6"/>
  <c r="K542" i="6" s="1"/>
  <c r="M541" i="6"/>
  <c r="L541" i="6"/>
  <c r="K541" i="6"/>
  <c r="I541" i="6"/>
  <c r="H541" i="6"/>
  <c r="I540" i="6"/>
  <c r="H540" i="6"/>
  <c r="K540" i="6" s="1"/>
  <c r="M539" i="6"/>
  <c r="L539" i="6"/>
  <c r="I539" i="6"/>
  <c r="H539" i="6"/>
  <c r="K539" i="6" s="1"/>
  <c r="L538" i="6"/>
  <c r="M538" i="6" s="1"/>
  <c r="I538" i="6"/>
  <c r="H538" i="6"/>
  <c r="K538" i="6" s="1"/>
  <c r="M537" i="6"/>
  <c r="L537" i="6"/>
  <c r="K537" i="6"/>
  <c r="I537" i="6"/>
  <c r="H537" i="6"/>
  <c r="L536" i="6"/>
  <c r="M536" i="6" s="1"/>
  <c r="K536" i="6"/>
  <c r="I536" i="6"/>
  <c r="H536" i="6"/>
  <c r="M535" i="6"/>
  <c r="L535" i="6"/>
  <c r="I535" i="6"/>
  <c r="H535" i="6"/>
  <c r="K535" i="6" s="1"/>
  <c r="M534" i="6"/>
  <c r="L534" i="6"/>
  <c r="K534" i="6"/>
  <c r="J534" i="6"/>
  <c r="I534" i="6"/>
  <c r="H534" i="6"/>
  <c r="L533" i="6"/>
  <c r="M533" i="6" s="1"/>
  <c r="K533" i="6"/>
  <c r="I533" i="6"/>
  <c r="H533" i="6"/>
  <c r="L532" i="6"/>
  <c r="M532" i="6" s="1"/>
  <c r="I532" i="6"/>
  <c r="H532" i="6"/>
  <c r="K532" i="6" s="1"/>
  <c r="M531" i="6"/>
  <c r="L531" i="6"/>
  <c r="K531" i="6"/>
  <c r="I531" i="6"/>
  <c r="H531" i="6"/>
  <c r="M530" i="6"/>
  <c r="L530" i="6"/>
  <c r="I530" i="6"/>
  <c r="H530" i="6"/>
  <c r="K530" i="6" s="1"/>
  <c r="M529" i="6"/>
  <c r="L529" i="6"/>
  <c r="K529" i="6"/>
  <c r="J529" i="6"/>
  <c r="I529" i="6"/>
  <c r="H529" i="6"/>
  <c r="L528" i="6"/>
  <c r="M528" i="6" s="1"/>
  <c r="I528" i="6"/>
  <c r="H528" i="6"/>
  <c r="K528" i="6" s="1"/>
  <c r="M527" i="6"/>
  <c r="L527" i="6"/>
  <c r="K527" i="6"/>
  <c r="I527" i="6"/>
  <c r="H527" i="6"/>
  <c r="L526" i="6"/>
  <c r="M526" i="6" s="1"/>
  <c r="K526" i="6"/>
  <c r="I526" i="6"/>
  <c r="H526" i="6"/>
  <c r="M525" i="6"/>
  <c r="L525" i="6"/>
  <c r="I525" i="6"/>
  <c r="J510" i="6" s="1"/>
  <c r="H525" i="6"/>
  <c r="K525" i="6" s="1"/>
  <c r="L524" i="6"/>
  <c r="M524" i="6" s="1"/>
  <c r="K524" i="6"/>
  <c r="I524" i="6"/>
  <c r="H524" i="6"/>
  <c r="K523" i="6"/>
  <c r="I523" i="6"/>
  <c r="H523" i="6"/>
  <c r="L522" i="6"/>
  <c r="M522" i="6" s="1"/>
  <c r="I522" i="6"/>
  <c r="H522" i="6"/>
  <c r="K522" i="6" s="1"/>
  <c r="M521" i="6"/>
  <c r="L521" i="6"/>
  <c r="K521" i="6"/>
  <c r="I521" i="6"/>
  <c r="H521" i="6"/>
  <c r="M520" i="6"/>
  <c r="L520" i="6"/>
  <c r="K520" i="6"/>
  <c r="J520" i="6"/>
  <c r="N520" i="6" s="1"/>
  <c r="I520" i="6"/>
  <c r="H520" i="6"/>
  <c r="M519" i="6"/>
  <c r="L519" i="6"/>
  <c r="K519" i="6"/>
  <c r="I519" i="6"/>
  <c r="H519" i="6"/>
  <c r="L518" i="6"/>
  <c r="M518" i="6" s="1"/>
  <c r="I518" i="6"/>
  <c r="H518" i="6"/>
  <c r="K518" i="6" s="1"/>
  <c r="M517" i="6"/>
  <c r="L517" i="6"/>
  <c r="K517" i="6"/>
  <c r="I517" i="6"/>
  <c r="H517" i="6"/>
  <c r="L516" i="6"/>
  <c r="M516" i="6" s="1"/>
  <c r="K516" i="6"/>
  <c r="I516" i="6"/>
  <c r="H516" i="6"/>
  <c r="M515" i="6"/>
  <c r="L515" i="6"/>
  <c r="I515" i="6"/>
  <c r="J524" i="6" s="1"/>
  <c r="H515" i="6"/>
  <c r="K515" i="6" s="1"/>
  <c r="L514" i="6"/>
  <c r="M514" i="6" s="1"/>
  <c r="K514" i="6"/>
  <c r="I514" i="6"/>
  <c r="H514" i="6"/>
  <c r="L513" i="6"/>
  <c r="M513" i="6" s="1"/>
  <c r="K513" i="6"/>
  <c r="I513" i="6"/>
  <c r="H513" i="6"/>
  <c r="L512" i="6"/>
  <c r="M512" i="6" s="1"/>
  <c r="I512" i="6"/>
  <c r="H512" i="6"/>
  <c r="K512" i="6" s="1"/>
  <c r="M511" i="6"/>
  <c r="L511" i="6"/>
  <c r="K511" i="6"/>
  <c r="I511" i="6"/>
  <c r="H511" i="6"/>
  <c r="L510" i="6"/>
  <c r="M510" i="6" s="1"/>
  <c r="N510" i="6" s="1"/>
  <c r="K510" i="6"/>
  <c r="I510" i="6"/>
  <c r="H510" i="6"/>
  <c r="M509" i="6"/>
  <c r="L509" i="6"/>
  <c r="I509" i="6"/>
  <c r="H509" i="6"/>
  <c r="K509" i="6" s="1"/>
  <c r="L508" i="6"/>
  <c r="M508" i="6" s="1"/>
  <c r="I508" i="6"/>
  <c r="H508" i="6"/>
  <c r="K508" i="6" s="1"/>
  <c r="M507" i="6"/>
  <c r="L507" i="6"/>
  <c r="K507" i="6"/>
  <c r="I507" i="6"/>
  <c r="H507" i="6"/>
  <c r="K506" i="6"/>
  <c r="I506" i="6"/>
  <c r="H506" i="6"/>
  <c r="M505" i="6"/>
  <c r="L505" i="6"/>
  <c r="I505" i="6"/>
  <c r="H505" i="6"/>
  <c r="K505" i="6" s="1"/>
  <c r="L504" i="6"/>
  <c r="M504" i="6" s="1"/>
  <c r="K504" i="6"/>
  <c r="I504" i="6"/>
  <c r="H504" i="6"/>
  <c r="M503" i="6"/>
  <c r="L503" i="6"/>
  <c r="K503" i="6"/>
  <c r="I503" i="6"/>
  <c r="H503" i="6"/>
  <c r="L502" i="6"/>
  <c r="M502" i="6" s="1"/>
  <c r="I502" i="6"/>
  <c r="H502" i="6"/>
  <c r="K502" i="6" s="1"/>
  <c r="M501" i="6"/>
  <c r="L501" i="6"/>
  <c r="K501" i="6"/>
  <c r="I501" i="6"/>
  <c r="H501" i="6"/>
  <c r="L500" i="6"/>
  <c r="M500" i="6" s="1"/>
  <c r="I500" i="6"/>
  <c r="H500" i="6"/>
  <c r="K500" i="6" s="1"/>
  <c r="L499" i="6"/>
  <c r="M499" i="6" s="1"/>
  <c r="K499" i="6"/>
  <c r="I499" i="6"/>
  <c r="H499" i="6"/>
  <c r="L498" i="6"/>
  <c r="M498" i="6" s="1"/>
  <c r="I498" i="6"/>
  <c r="H498" i="6"/>
  <c r="K498" i="6" s="1"/>
  <c r="L497" i="6"/>
  <c r="M497" i="6" s="1"/>
  <c r="K497" i="6"/>
  <c r="I497" i="6"/>
  <c r="H497" i="6"/>
  <c r="L496" i="6"/>
  <c r="M496" i="6" s="1"/>
  <c r="I496" i="6"/>
  <c r="H496" i="6"/>
  <c r="K496" i="6" s="1"/>
  <c r="M495" i="6"/>
  <c r="L495" i="6"/>
  <c r="I495" i="6"/>
  <c r="H495" i="6"/>
  <c r="K495" i="6" s="1"/>
  <c r="M494" i="6"/>
  <c r="L494" i="6"/>
  <c r="K494" i="6"/>
  <c r="I494" i="6"/>
  <c r="H494" i="6"/>
  <c r="M493" i="6"/>
  <c r="L493" i="6"/>
  <c r="K493" i="6"/>
  <c r="I493" i="6"/>
  <c r="H493" i="6"/>
  <c r="L492" i="6"/>
  <c r="M492" i="6" s="1"/>
  <c r="I492" i="6"/>
  <c r="H492" i="6"/>
  <c r="K492" i="6" s="1"/>
  <c r="M491" i="6"/>
  <c r="L491" i="6"/>
  <c r="K491" i="6"/>
  <c r="I491" i="6"/>
  <c r="H491" i="6"/>
  <c r="M490" i="6"/>
  <c r="L490" i="6"/>
  <c r="K490" i="6"/>
  <c r="I490" i="6"/>
  <c r="H490" i="6"/>
  <c r="K489" i="6"/>
  <c r="I489" i="6"/>
  <c r="H489" i="6"/>
  <c r="L488" i="6"/>
  <c r="M488" i="6" s="1"/>
  <c r="I488" i="6"/>
  <c r="H488" i="6"/>
  <c r="K488" i="6" s="1"/>
  <c r="L487" i="6"/>
  <c r="M487" i="6" s="1"/>
  <c r="K487" i="6"/>
  <c r="I487" i="6"/>
  <c r="H487" i="6"/>
  <c r="L486" i="6"/>
  <c r="M486" i="6" s="1"/>
  <c r="J486" i="6"/>
  <c r="I486" i="6"/>
  <c r="H486" i="6"/>
  <c r="K486" i="6" s="1"/>
  <c r="M485" i="6"/>
  <c r="L485" i="6"/>
  <c r="I485" i="6"/>
  <c r="H485" i="6"/>
  <c r="K485" i="6" s="1"/>
  <c r="M484" i="6"/>
  <c r="L484" i="6"/>
  <c r="K484" i="6"/>
  <c r="I484" i="6"/>
  <c r="H484" i="6"/>
  <c r="M483" i="6"/>
  <c r="L483" i="6"/>
  <c r="K483" i="6"/>
  <c r="I483" i="6"/>
  <c r="H483" i="6"/>
  <c r="L482" i="6"/>
  <c r="M482" i="6" s="1"/>
  <c r="I482" i="6"/>
  <c r="H482" i="6"/>
  <c r="K482" i="6" s="1"/>
  <c r="M481" i="6"/>
  <c r="L481" i="6"/>
  <c r="K481" i="6"/>
  <c r="I481" i="6"/>
  <c r="H481" i="6"/>
  <c r="M480" i="6"/>
  <c r="L480" i="6"/>
  <c r="K480" i="6"/>
  <c r="I480" i="6"/>
  <c r="H480" i="6"/>
  <c r="L479" i="6"/>
  <c r="M479" i="6" s="1"/>
  <c r="J479" i="6"/>
  <c r="I479" i="6"/>
  <c r="H479" i="6"/>
  <c r="K479" i="6" s="1"/>
  <c r="L478" i="6"/>
  <c r="M478" i="6" s="1"/>
  <c r="I478" i="6"/>
  <c r="H478" i="6"/>
  <c r="K478" i="6" s="1"/>
  <c r="M477" i="6"/>
  <c r="L477" i="6"/>
  <c r="K477" i="6"/>
  <c r="I477" i="6"/>
  <c r="J480" i="6" s="1"/>
  <c r="N480" i="6" s="1"/>
  <c r="H477" i="6"/>
  <c r="L476" i="6"/>
  <c r="M476" i="6" s="1"/>
  <c r="K476" i="6"/>
  <c r="I476" i="6"/>
  <c r="J483" i="6" s="1"/>
  <c r="H476" i="6"/>
  <c r="M475" i="6"/>
  <c r="L475" i="6"/>
  <c r="I475" i="6"/>
  <c r="J464" i="6" s="1"/>
  <c r="H475" i="6"/>
  <c r="K475" i="6" s="1"/>
  <c r="K474" i="6"/>
  <c r="I474" i="6"/>
  <c r="H474" i="6"/>
  <c r="L473" i="6"/>
  <c r="M473" i="6" s="1"/>
  <c r="N473" i="6" s="1"/>
  <c r="K473" i="6"/>
  <c r="I473" i="6"/>
  <c r="H473" i="6"/>
  <c r="L472" i="6"/>
  <c r="M472" i="6" s="1"/>
  <c r="I472" i="6"/>
  <c r="H472" i="6"/>
  <c r="K472" i="6" s="1"/>
  <c r="M471" i="6"/>
  <c r="L471" i="6"/>
  <c r="K471" i="6"/>
  <c r="I471" i="6"/>
  <c r="H471" i="6"/>
  <c r="L470" i="6"/>
  <c r="M470" i="6" s="1"/>
  <c r="N470" i="6" s="1"/>
  <c r="J470" i="6"/>
  <c r="I470" i="6"/>
  <c r="H470" i="6"/>
  <c r="K470" i="6" s="1"/>
  <c r="L469" i="6"/>
  <c r="M469" i="6" s="1"/>
  <c r="K469" i="6"/>
  <c r="I469" i="6"/>
  <c r="H469" i="6"/>
  <c r="L468" i="6"/>
  <c r="M468" i="6" s="1"/>
  <c r="I468" i="6"/>
  <c r="H468" i="6"/>
  <c r="K468" i="6" s="1"/>
  <c r="L467" i="6"/>
  <c r="M467" i="6" s="1"/>
  <c r="K467" i="6"/>
  <c r="I467" i="6"/>
  <c r="H467" i="6"/>
  <c r="L466" i="6"/>
  <c r="M466" i="6" s="1"/>
  <c r="J466" i="6"/>
  <c r="I466" i="6"/>
  <c r="H466" i="6"/>
  <c r="K466" i="6" s="1"/>
  <c r="M465" i="6"/>
  <c r="L465" i="6"/>
  <c r="I465" i="6"/>
  <c r="H465" i="6"/>
  <c r="K465" i="6" s="1"/>
  <c r="M464" i="6"/>
  <c r="L464" i="6"/>
  <c r="K464" i="6"/>
  <c r="I464" i="6"/>
  <c r="H464" i="6"/>
  <c r="M463" i="6"/>
  <c r="L463" i="6"/>
  <c r="K463" i="6"/>
  <c r="I463" i="6"/>
  <c r="J473" i="6" s="1"/>
  <c r="H463" i="6"/>
  <c r="L462" i="6"/>
  <c r="M462" i="6" s="1"/>
  <c r="I462" i="6"/>
  <c r="H462" i="6"/>
  <c r="K462" i="6" s="1"/>
  <c r="M461" i="6"/>
  <c r="L461" i="6"/>
  <c r="K461" i="6"/>
  <c r="I461" i="6"/>
  <c r="H461" i="6"/>
  <c r="K460" i="6"/>
  <c r="I460" i="6"/>
  <c r="H460" i="6"/>
  <c r="L459" i="6"/>
  <c r="M459" i="6" s="1"/>
  <c r="I459" i="6"/>
  <c r="H459" i="6"/>
  <c r="K459" i="6" s="1"/>
  <c r="L458" i="6"/>
  <c r="M458" i="6" s="1"/>
  <c r="I458" i="6"/>
  <c r="H458" i="6"/>
  <c r="K458" i="6" s="1"/>
  <c r="M457" i="6"/>
  <c r="L457" i="6"/>
  <c r="K457" i="6"/>
  <c r="I457" i="6"/>
  <c r="H457" i="6"/>
  <c r="L456" i="6"/>
  <c r="M456" i="6" s="1"/>
  <c r="K456" i="6"/>
  <c r="I456" i="6"/>
  <c r="H456" i="6"/>
  <c r="M455" i="6"/>
  <c r="L455" i="6"/>
  <c r="I455" i="6"/>
  <c r="J459" i="6" s="1"/>
  <c r="H455" i="6"/>
  <c r="K455" i="6" s="1"/>
  <c r="L454" i="6"/>
  <c r="M454" i="6" s="1"/>
  <c r="K454" i="6"/>
  <c r="I454" i="6"/>
  <c r="H454" i="6"/>
  <c r="L453" i="6"/>
  <c r="M453" i="6" s="1"/>
  <c r="K453" i="6"/>
  <c r="I453" i="6"/>
  <c r="H453" i="6"/>
  <c r="L452" i="6"/>
  <c r="M452" i="6" s="1"/>
  <c r="I452" i="6"/>
  <c r="J449" i="6" s="1"/>
  <c r="H452" i="6"/>
  <c r="K452" i="6" s="1"/>
  <c r="M451" i="6"/>
  <c r="L451" i="6"/>
  <c r="K451" i="6"/>
  <c r="I451" i="6"/>
  <c r="H451" i="6"/>
  <c r="L450" i="6"/>
  <c r="M450" i="6" s="1"/>
  <c r="N450" i="6" s="1"/>
  <c r="J450" i="6"/>
  <c r="I450" i="6"/>
  <c r="H450" i="6"/>
  <c r="K450" i="6" s="1"/>
  <c r="L449" i="6"/>
  <c r="M449" i="6" s="1"/>
  <c r="K449" i="6"/>
  <c r="I449" i="6"/>
  <c r="H449" i="6"/>
  <c r="L448" i="6"/>
  <c r="M448" i="6" s="1"/>
  <c r="I448" i="6"/>
  <c r="H448" i="6"/>
  <c r="K448" i="6" s="1"/>
  <c r="L447" i="6"/>
  <c r="M447" i="6" s="1"/>
  <c r="K447" i="6"/>
  <c r="I447" i="6"/>
  <c r="H447" i="6"/>
  <c r="L446" i="6"/>
  <c r="M446" i="6" s="1"/>
  <c r="K446" i="6"/>
  <c r="I446" i="6"/>
  <c r="H446" i="6"/>
  <c r="M445" i="6"/>
  <c r="L445" i="6"/>
  <c r="I445" i="6"/>
  <c r="H445" i="6"/>
  <c r="K445" i="6" s="1"/>
  <c r="L444" i="6"/>
  <c r="M444" i="6" s="1"/>
  <c r="K444" i="6"/>
  <c r="I444" i="6"/>
  <c r="H444" i="6"/>
  <c r="M443" i="6"/>
  <c r="L443" i="6"/>
  <c r="K443" i="6"/>
  <c r="I443" i="6"/>
  <c r="H443" i="6"/>
  <c r="M442" i="6"/>
  <c r="L442" i="6"/>
  <c r="I442" i="6"/>
  <c r="H442" i="6"/>
  <c r="K442" i="6" s="1"/>
  <c r="M441" i="6"/>
  <c r="L441" i="6"/>
  <c r="K441" i="6"/>
  <c r="I441" i="6"/>
  <c r="H441" i="6"/>
  <c r="L440" i="6"/>
  <c r="M440" i="6" s="1"/>
  <c r="I440" i="6"/>
  <c r="H440" i="6"/>
  <c r="K440" i="6" s="1"/>
  <c r="L439" i="6"/>
  <c r="M439" i="6" s="1"/>
  <c r="K439" i="6"/>
  <c r="I439" i="6"/>
  <c r="H439" i="6"/>
  <c r="L438" i="6"/>
  <c r="M438" i="6" s="1"/>
  <c r="I438" i="6"/>
  <c r="H438" i="6"/>
  <c r="K438" i="6" s="1"/>
  <c r="M437" i="6"/>
  <c r="L437" i="6"/>
  <c r="K437" i="6"/>
  <c r="I437" i="6"/>
  <c r="H437" i="6"/>
  <c r="L436" i="6"/>
  <c r="M436" i="6" s="1"/>
  <c r="I436" i="6"/>
  <c r="H436" i="6"/>
  <c r="K436" i="6" s="1"/>
  <c r="M435" i="6"/>
  <c r="L435" i="6"/>
  <c r="I435" i="6"/>
  <c r="H435" i="6"/>
  <c r="K435" i="6" s="1"/>
  <c r="M434" i="6"/>
  <c r="L434" i="6"/>
  <c r="K434" i="6"/>
  <c r="I434" i="6"/>
  <c r="H434" i="6"/>
  <c r="M433" i="6"/>
  <c r="L433" i="6"/>
  <c r="K433" i="6"/>
  <c r="I433" i="6"/>
  <c r="J432" i="6" s="1"/>
  <c r="N432" i="6" s="1"/>
  <c r="H433" i="6"/>
  <c r="M432" i="6"/>
  <c r="L432" i="6"/>
  <c r="I432" i="6"/>
  <c r="H432" i="6"/>
  <c r="K432" i="6" s="1"/>
  <c r="M431" i="6"/>
  <c r="L431" i="6"/>
  <c r="K431" i="6"/>
  <c r="I431" i="6"/>
  <c r="H431" i="6"/>
  <c r="M430" i="6"/>
  <c r="N430" i="6" s="1"/>
  <c r="L430" i="6"/>
  <c r="I430" i="6"/>
  <c r="H430" i="6"/>
  <c r="K430" i="6" s="1"/>
  <c r="L429" i="6"/>
  <c r="M429" i="6" s="1"/>
  <c r="I429" i="6"/>
  <c r="J430" i="6" s="1"/>
  <c r="H429" i="6"/>
  <c r="K429" i="6" s="1"/>
  <c r="L428" i="6"/>
  <c r="M428" i="6" s="1"/>
  <c r="I428" i="6"/>
  <c r="H428" i="6"/>
  <c r="K428" i="6" s="1"/>
  <c r="L427" i="6"/>
  <c r="M427" i="6" s="1"/>
  <c r="K427" i="6"/>
  <c r="I427" i="6"/>
  <c r="H427" i="6"/>
  <c r="L426" i="6"/>
  <c r="M426" i="6" s="1"/>
  <c r="I426" i="6"/>
  <c r="H426" i="6"/>
  <c r="K426" i="6" s="1"/>
  <c r="M425" i="6"/>
  <c r="L425" i="6"/>
  <c r="I425" i="6"/>
  <c r="H425" i="6"/>
  <c r="K425" i="6" s="1"/>
  <c r="M424" i="6"/>
  <c r="L424" i="6"/>
  <c r="K424" i="6"/>
  <c r="I424" i="6"/>
  <c r="H424" i="6"/>
  <c r="L423" i="6"/>
  <c r="M423" i="6" s="1"/>
  <c r="K423" i="6"/>
  <c r="I423" i="6"/>
  <c r="H423" i="6"/>
  <c r="M422" i="6"/>
  <c r="L422" i="6"/>
  <c r="I422" i="6"/>
  <c r="H422" i="6"/>
  <c r="K422" i="6" s="1"/>
  <c r="M421" i="6"/>
  <c r="L421" i="6"/>
  <c r="K421" i="6"/>
  <c r="I421" i="6"/>
  <c r="H421" i="6"/>
  <c r="L420" i="6"/>
  <c r="M420" i="6" s="1"/>
  <c r="I420" i="6"/>
  <c r="H420" i="6"/>
  <c r="K420" i="6" s="1"/>
  <c r="L419" i="6"/>
  <c r="M419" i="6" s="1"/>
  <c r="K419" i="6"/>
  <c r="I419" i="6"/>
  <c r="J410" i="6" s="1"/>
  <c r="N410" i="6" s="1"/>
  <c r="H419" i="6"/>
  <c r="L418" i="6"/>
  <c r="M418" i="6" s="1"/>
  <c r="I418" i="6"/>
  <c r="H418" i="6"/>
  <c r="K418" i="6" s="1"/>
  <c r="M417" i="6"/>
  <c r="L417" i="6"/>
  <c r="K417" i="6"/>
  <c r="I417" i="6"/>
  <c r="H417" i="6"/>
  <c r="L416" i="6"/>
  <c r="M416" i="6" s="1"/>
  <c r="I416" i="6"/>
  <c r="J423" i="6" s="1"/>
  <c r="H416" i="6"/>
  <c r="K416" i="6" s="1"/>
  <c r="M415" i="6"/>
  <c r="L415" i="6"/>
  <c r="I415" i="6"/>
  <c r="H415" i="6"/>
  <c r="K415" i="6" s="1"/>
  <c r="L414" i="6"/>
  <c r="M414" i="6" s="1"/>
  <c r="K414" i="6"/>
  <c r="I414" i="6"/>
  <c r="H414" i="6"/>
  <c r="M413" i="6"/>
  <c r="L413" i="6"/>
  <c r="K413" i="6"/>
  <c r="I413" i="6"/>
  <c r="H413" i="6"/>
  <c r="M412" i="6"/>
  <c r="L412" i="6"/>
  <c r="I412" i="6"/>
  <c r="H412" i="6"/>
  <c r="K412" i="6" s="1"/>
  <c r="M411" i="6"/>
  <c r="L411" i="6"/>
  <c r="K411" i="6"/>
  <c r="I411" i="6"/>
  <c r="H411" i="6"/>
  <c r="M410" i="6"/>
  <c r="L410" i="6"/>
  <c r="K410" i="6"/>
  <c r="I410" i="6"/>
  <c r="H410" i="6"/>
  <c r="L409" i="6"/>
  <c r="M409" i="6" s="1"/>
  <c r="I409" i="6"/>
  <c r="H409" i="6"/>
  <c r="K409" i="6" s="1"/>
  <c r="L408" i="6"/>
  <c r="M408" i="6" s="1"/>
  <c r="I408" i="6"/>
  <c r="H408" i="6"/>
  <c r="K408" i="6" s="1"/>
  <c r="L407" i="6"/>
  <c r="M407" i="6" s="1"/>
  <c r="K407" i="6"/>
  <c r="I407" i="6"/>
  <c r="H407" i="6"/>
  <c r="L406" i="6"/>
  <c r="M406" i="6" s="1"/>
  <c r="K406" i="6"/>
  <c r="I406" i="6"/>
  <c r="H406" i="6"/>
  <c r="M405" i="6"/>
  <c r="L405" i="6"/>
  <c r="I405" i="6"/>
  <c r="H405" i="6"/>
  <c r="K405" i="6" s="1"/>
  <c r="M404" i="6"/>
  <c r="L404" i="6"/>
  <c r="K404" i="6"/>
  <c r="I404" i="6"/>
  <c r="H404" i="6"/>
  <c r="L403" i="6"/>
  <c r="M403" i="6" s="1"/>
  <c r="K403" i="6"/>
  <c r="I403" i="6"/>
  <c r="H403" i="6"/>
  <c r="M402" i="6"/>
  <c r="L402" i="6"/>
  <c r="I402" i="6"/>
  <c r="H402" i="6"/>
  <c r="K402" i="6" s="1"/>
  <c r="M401" i="6"/>
  <c r="L401" i="6"/>
  <c r="K401" i="6"/>
  <c r="I401" i="6"/>
  <c r="H401" i="6"/>
  <c r="L400" i="6"/>
  <c r="M400" i="6" s="1"/>
  <c r="K400" i="6"/>
  <c r="I400" i="6"/>
  <c r="H400" i="6"/>
  <c r="L399" i="6"/>
  <c r="M399" i="6" s="1"/>
  <c r="K399" i="6"/>
  <c r="I399" i="6"/>
  <c r="H399" i="6"/>
  <c r="L398" i="6"/>
  <c r="M398" i="6" s="1"/>
  <c r="I398" i="6"/>
  <c r="H398" i="6"/>
  <c r="K398" i="6" s="1"/>
  <c r="L397" i="6"/>
  <c r="M397" i="6" s="1"/>
  <c r="K397" i="6"/>
  <c r="I397" i="6"/>
  <c r="H397" i="6"/>
  <c r="L396" i="6"/>
  <c r="M396" i="6" s="1"/>
  <c r="K396" i="6"/>
  <c r="I396" i="6"/>
  <c r="H396" i="6"/>
  <c r="M395" i="6"/>
  <c r="L395" i="6"/>
  <c r="I395" i="6"/>
  <c r="H395" i="6"/>
  <c r="K395" i="6" s="1"/>
  <c r="L394" i="6"/>
  <c r="M394" i="6" s="1"/>
  <c r="K394" i="6"/>
  <c r="I394" i="6"/>
  <c r="H394" i="6"/>
  <c r="M393" i="6"/>
  <c r="L393" i="6"/>
  <c r="K393" i="6"/>
  <c r="I393" i="6"/>
  <c r="H393" i="6"/>
  <c r="M392" i="6"/>
  <c r="L392" i="6"/>
  <c r="I392" i="6"/>
  <c r="H392" i="6"/>
  <c r="K392" i="6" s="1"/>
  <c r="M391" i="6"/>
  <c r="L391" i="6"/>
  <c r="K391" i="6"/>
  <c r="I391" i="6"/>
  <c r="H391" i="6"/>
  <c r="L390" i="6"/>
  <c r="M390" i="6" s="1"/>
  <c r="I390" i="6"/>
  <c r="H390" i="6"/>
  <c r="K390" i="6" s="1"/>
  <c r="L389" i="6"/>
  <c r="M389" i="6" s="1"/>
  <c r="K389" i="6"/>
  <c r="I389" i="6"/>
  <c r="H389" i="6"/>
  <c r="L388" i="6"/>
  <c r="M388" i="6" s="1"/>
  <c r="I388" i="6"/>
  <c r="H388" i="6"/>
  <c r="K388" i="6" s="1"/>
  <c r="M387" i="6"/>
  <c r="L387" i="6"/>
  <c r="K387" i="6"/>
  <c r="I387" i="6"/>
  <c r="H387" i="6"/>
  <c r="L386" i="6"/>
  <c r="M386" i="6" s="1"/>
  <c r="I386" i="6"/>
  <c r="H386" i="6"/>
  <c r="K386" i="6" s="1"/>
  <c r="M385" i="6"/>
  <c r="L385" i="6"/>
  <c r="I385" i="6"/>
  <c r="H385" i="6"/>
  <c r="K385" i="6" s="1"/>
  <c r="M384" i="6"/>
  <c r="L384" i="6"/>
  <c r="K384" i="6"/>
  <c r="I384" i="6"/>
  <c r="H384" i="6"/>
  <c r="M383" i="6"/>
  <c r="L383" i="6"/>
  <c r="K383" i="6"/>
  <c r="I383" i="6"/>
  <c r="J382" i="6" s="1"/>
  <c r="N382" i="6" s="1"/>
  <c r="H383" i="6"/>
  <c r="M382" i="6"/>
  <c r="L382" i="6"/>
  <c r="I382" i="6"/>
  <c r="H382" i="6"/>
  <c r="K382" i="6" s="1"/>
  <c r="M381" i="6"/>
  <c r="L381" i="6"/>
  <c r="K381" i="6"/>
  <c r="I381" i="6"/>
  <c r="H381" i="6"/>
  <c r="M380" i="6"/>
  <c r="L380" i="6"/>
  <c r="I380" i="6"/>
  <c r="H380" i="6"/>
  <c r="K380" i="6" s="1"/>
  <c r="L379" i="6"/>
  <c r="M379" i="6" s="1"/>
  <c r="I379" i="6"/>
  <c r="H379" i="6"/>
  <c r="K379" i="6" s="1"/>
  <c r="L378" i="6"/>
  <c r="M378" i="6" s="1"/>
  <c r="I378" i="6"/>
  <c r="H378" i="6"/>
  <c r="K378" i="6" s="1"/>
  <c r="M377" i="6"/>
  <c r="L377" i="6"/>
  <c r="K377" i="6"/>
  <c r="I377" i="6"/>
  <c r="H377" i="6"/>
  <c r="L376" i="6"/>
  <c r="M376" i="6" s="1"/>
  <c r="I376" i="6"/>
  <c r="H376" i="6"/>
  <c r="K376" i="6" s="1"/>
  <c r="M375" i="6"/>
  <c r="L375" i="6"/>
  <c r="I375" i="6"/>
  <c r="H375" i="6"/>
  <c r="K375" i="6" s="1"/>
  <c r="M374" i="6"/>
  <c r="L374" i="6"/>
  <c r="K374" i="6"/>
  <c r="I374" i="6"/>
  <c r="H374" i="6"/>
  <c r="L373" i="6"/>
  <c r="M373" i="6" s="1"/>
  <c r="K373" i="6"/>
  <c r="I373" i="6"/>
  <c r="H373" i="6"/>
  <c r="M372" i="6"/>
  <c r="L372" i="6"/>
  <c r="I372" i="6"/>
  <c r="H372" i="6"/>
  <c r="K372" i="6" s="1"/>
  <c r="M371" i="6"/>
  <c r="L371" i="6"/>
  <c r="K371" i="6"/>
  <c r="I371" i="6"/>
  <c r="H371" i="6"/>
  <c r="M370" i="6"/>
  <c r="L370" i="6"/>
  <c r="I370" i="6"/>
  <c r="H370" i="6"/>
  <c r="K370" i="6" s="1"/>
  <c r="L369" i="6"/>
  <c r="M369" i="6" s="1"/>
  <c r="K369" i="6"/>
  <c r="I369" i="6"/>
  <c r="J364" i="6" s="1"/>
  <c r="H369" i="6"/>
  <c r="L368" i="6"/>
  <c r="M368" i="6" s="1"/>
  <c r="I368" i="6"/>
  <c r="H368" i="6"/>
  <c r="K368" i="6" s="1"/>
  <c r="M367" i="6"/>
  <c r="L367" i="6"/>
  <c r="K367" i="6"/>
  <c r="I367" i="6"/>
  <c r="H367" i="6"/>
  <c r="L366" i="6"/>
  <c r="M366" i="6" s="1"/>
  <c r="I366" i="6"/>
  <c r="H366" i="6"/>
  <c r="K366" i="6" s="1"/>
  <c r="M365" i="6"/>
  <c r="L365" i="6"/>
  <c r="I365" i="6"/>
  <c r="H365" i="6"/>
  <c r="K365" i="6" s="1"/>
  <c r="L364" i="6"/>
  <c r="M364" i="6" s="1"/>
  <c r="K364" i="6"/>
  <c r="I364" i="6"/>
  <c r="H364" i="6"/>
  <c r="M363" i="6"/>
  <c r="L363" i="6"/>
  <c r="K363" i="6"/>
  <c r="I363" i="6"/>
  <c r="H363" i="6"/>
  <c r="M362" i="6"/>
  <c r="L362" i="6"/>
  <c r="I362" i="6"/>
  <c r="H362" i="6"/>
  <c r="K362" i="6" s="1"/>
  <c r="M361" i="6"/>
  <c r="L361" i="6"/>
  <c r="K361" i="6"/>
  <c r="I361" i="6"/>
  <c r="H361" i="6"/>
  <c r="M360" i="6"/>
  <c r="L360" i="6"/>
  <c r="K360" i="6"/>
  <c r="J360" i="6"/>
  <c r="N360" i="6" s="1"/>
  <c r="I360" i="6"/>
  <c r="H360" i="6"/>
  <c r="L359" i="6"/>
  <c r="M359" i="6" s="1"/>
  <c r="I359" i="6"/>
  <c r="H359" i="6"/>
  <c r="K359" i="6" s="1"/>
  <c r="L358" i="6"/>
  <c r="M358" i="6" s="1"/>
  <c r="I358" i="6"/>
  <c r="H358" i="6"/>
  <c r="K358" i="6" s="1"/>
  <c r="L357" i="6"/>
  <c r="M357" i="6" s="1"/>
  <c r="K357" i="6"/>
  <c r="I357" i="6"/>
  <c r="H357" i="6"/>
  <c r="L356" i="6"/>
  <c r="M356" i="6" s="1"/>
  <c r="K356" i="6"/>
  <c r="I356" i="6"/>
  <c r="H356" i="6"/>
  <c r="M355" i="6"/>
  <c r="L355" i="6"/>
  <c r="I355" i="6"/>
  <c r="H355" i="6"/>
  <c r="K355" i="6" s="1"/>
  <c r="M354" i="6"/>
  <c r="L354" i="6"/>
  <c r="K354" i="6"/>
  <c r="I354" i="6"/>
  <c r="H354" i="6"/>
  <c r="L353" i="6"/>
  <c r="M353" i="6" s="1"/>
  <c r="K353" i="6"/>
  <c r="I353" i="6"/>
  <c r="H353" i="6"/>
  <c r="M352" i="6"/>
  <c r="L352" i="6"/>
  <c r="I352" i="6"/>
  <c r="H352" i="6"/>
  <c r="K352" i="6" s="1"/>
  <c r="M351" i="6"/>
  <c r="L351" i="6"/>
  <c r="K351" i="6"/>
  <c r="I351" i="6"/>
  <c r="H351" i="6"/>
  <c r="L350" i="6"/>
  <c r="M350" i="6" s="1"/>
  <c r="K350" i="6"/>
  <c r="I350" i="6"/>
  <c r="H350" i="6"/>
  <c r="L349" i="6"/>
  <c r="M349" i="6" s="1"/>
  <c r="K349" i="6"/>
  <c r="I349" i="6"/>
  <c r="H349" i="6"/>
  <c r="L348" i="6"/>
  <c r="M348" i="6" s="1"/>
  <c r="I348" i="6"/>
  <c r="H348" i="6"/>
  <c r="K348" i="6" s="1"/>
  <c r="L347" i="6"/>
  <c r="M347" i="6" s="1"/>
  <c r="K347" i="6"/>
  <c r="I347" i="6"/>
  <c r="H347" i="6"/>
  <c r="L346" i="6"/>
  <c r="M346" i="6" s="1"/>
  <c r="K346" i="6"/>
  <c r="I346" i="6"/>
  <c r="H346" i="6"/>
  <c r="M345" i="6"/>
  <c r="L345" i="6"/>
  <c r="I345" i="6"/>
  <c r="H345" i="6"/>
  <c r="K345" i="6" s="1"/>
  <c r="L344" i="6"/>
  <c r="M344" i="6" s="1"/>
  <c r="K344" i="6"/>
  <c r="I344" i="6"/>
  <c r="H344" i="6"/>
  <c r="M343" i="6"/>
  <c r="L343" i="6"/>
  <c r="K343" i="6"/>
  <c r="I343" i="6"/>
  <c r="H343" i="6"/>
  <c r="M342" i="6"/>
  <c r="L342" i="6"/>
  <c r="I342" i="6"/>
  <c r="J346" i="6" s="1"/>
  <c r="H342" i="6"/>
  <c r="K342" i="6" s="1"/>
  <c r="M341" i="6"/>
  <c r="L341" i="6"/>
  <c r="K341" i="6"/>
  <c r="I341" i="6"/>
  <c r="H341" i="6"/>
  <c r="L340" i="6"/>
  <c r="M340" i="6" s="1"/>
  <c r="I340" i="6"/>
  <c r="H340" i="6"/>
  <c r="K340" i="6" s="1"/>
  <c r="L339" i="6"/>
  <c r="M339" i="6" s="1"/>
  <c r="K339" i="6"/>
  <c r="I339" i="6"/>
  <c r="H339" i="6"/>
  <c r="L338" i="6"/>
  <c r="M338" i="6" s="1"/>
  <c r="I338" i="6"/>
  <c r="H338" i="6"/>
  <c r="K338" i="6" s="1"/>
  <c r="M337" i="6"/>
  <c r="L337" i="6"/>
  <c r="K337" i="6"/>
  <c r="I337" i="6"/>
  <c r="H337" i="6"/>
  <c r="L336" i="6"/>
  <c r="M336" i="6" s="1"/>
  <c r="I336" i="6"/>
  <c r="H336" i="6"/>
  <c r="K336" i="6" s="1"/>
  <c r="M335" i="6"/>
  <c r="L335" i="6"/>
  <c r="I335" i="6"/>
  <c r="H335" i="6"/>
  <c r="K335" i="6" s="1"/>
  <c r="M334" i="6"/>
  <c r="L334" i="6"/>
  <c r="K334" i="6"/>
  <c r="I334" i="6"/>
  <c r="H334" i="6"/>
  <c r="M333" i="6"/>
  <c r="L333" i="6"/>
  <c r="K333" i="6"/>
  <c r="I333" i="6"/>
  <c r="H333" i="6"/>
  <c r="M332" i="6"/>
  <c r="L332" i="6"/>
  <c r="J332" i="6"/>
  <c r="N332" i="6" s="1"/>
  <c r="I332" i="6"/>
  <c r="H332" i="6"/>
  <c r="K332" i="6" s="1"/>
  <c r="M331" i="6"/>
  <c r="L331" i="6"/>
  <c r="K331" i="6"/>
  <c r="I331" i="6"/>
  <c r="H331" i="6"/>
  <c r="M330" i="6"/>
  <c r="L330" i="6"/>
  <c r="I330" i="6"/>
  <c r="H330" i="6"/>
  <c r="K330" i="6" s="1"/>
  <c r="L329" i="6"/>
  <c r="M329" i="6" s="1"/>
  <c r="I329" i="6"/>
  <c r="H329" i="6"/>
  <c r="K329" i="6" s="1"/>
  <c r="L328" i="6"/>
  <c r="M328" i="6" s="1"/>
  <c r="I328" i="6"/>
  <c r="H328" i="6"/>
  <c r="K328" i="6" s="1"/>
  <c r="M327" i="6"/>
  <c r="L327" i="6"/>
  <c r="K327" i="6"/>
  <c r="I327" i="6"/>
  <c r="H327" i="6"/>
  <c r="L326" i="6"/>
  <c r="M326" i="6" s="1"/>
  <c r="I326" i="6"/>
  <c r="H326" i="6"/>
  <c r="K326" i="6" s="1"/>
  <c r="M325" i="6"/>
  <c r="L325" i="6"/>
  <c r="I325" i="6"/>
  <c r="H325" i="6"/>
  <c r="K325" i="6" s="1"/>
  <c r="L324" i="6"/>
  <c r="M324" i="6" s="1"/>
  <c r="K324" i="6"/>
  <c r="I324" i="6"/>
  <c r="H324" i="6"/>
  <c r="L323" i="6"/>
  <c r="M323" i="6" s="1"/>
  <c r="K323" i="6"/>
  <c r="J323" i="6"/>
  <c r="I323" i="6"/>
  <c r="H323" i="6"/>
  <c r="M322" i="6"/>
  <c r="L322" i="6"/>
  <c r="I322" i="6"/>
  <c r="H322" i="6"/>
  <c r="K322" i="6" s="1"/>
  <c r="M321" i="6"/>
  <c r="L321" i="6"/>
  <c r="K321" i="6"/>
  <c r="I321" i="6"/>
  <c r="H321" i="6"/>
  <c r="M320" i="6"/>
  <c r="L320" i="6"/>
  <c r="I320" i="6"/>
  <c r="H320" i="6"/>
  <c r="K320" i="6" s="1"/>
  <c r="L319" i="6"/>
  <c r="M319" i="6" s="1"/>
  <c r="K319" i="6"/>
  <c r="I319" i="6"/>
  <c r="H319" i="6"/>
  <c r="L318" i="6"/>
  <c r="M318" i="6" s="1"/>
  <c r="I318" i="6"/>
  <c r="H318" i="6"/>
  <c r="K318" i="6" s="1"/>
  <c r="M317" i="6"/>
  <c r="L317" i="6"/>
  <c r="K317" i="6"/>
  <c r="I317" i="6"/>
  <c r="H317" i="6"/>
  <c r="L316" i="6"/>
  <c r="M316" i="6" s="1"/>
  <c r="I316" i="6"/>
  <c r="H316" i="6"/>
  <c r="K316" i="6" s="1"/>
  <c r="M315" i="6"/>
  <c r="L315" i="6"/>
  <c r="I315" i="6"/>
  <c r="H315" i="6"/>
  <c r="K315" i="6" s="1"/>
  <c r="L314" i="6"/>
  <c r="M314" i="6" s="1"/>
  <c r="K314" i="6"/>
  <c r="I314" i="6"/>
  <c r="H314" i="6"/>
  <c r="L313" i="6"/>
  <c r="M313" i="6" s="1"/>
  <c r="I313" i="6"/>
  <c r="H313" i="6"/>
  <c r="K313" i="6" s="1"/>
  <c r="M312" i="6"/>
  <c r="L312" i="6"/>
  <c r="I312" i="6"/>
  <c r="H312" i="6"/>
  <c r="K312" i="6" s="1"/>
  <c r="L311" i="6"/>
  <c r="M311" i="6" s="1"/>
  <c r="K311" i="6"/>
  <c r="I311" i="6"/>
  <c r="H311" i="6"/>
  <c r="M310" i="6"/>
  <c r="L310" i="6"/>
  <c r="K310" i="6"/>
  <c r="I310" i="6"/>
  <c r="H310" i="6"/>
  <c r="L309" i="6"/>
  <c r="M309" i="6" s="1"/>
  <c r="K309" i="6"/>
  <c r="I309" i="6"/>
  <c r="H309" i="6"/>
  <c r="M308" i="6"/>
  <c r="L308" i="6"/>
  <c r="I308" i="6"/>
  <c r="H308" i="6"/>
  <c r="K308" i="6" s="1"/>
  <c r="M307" i="6"/>
  <c r="L307" i="6"/>
  <c r="K307" i="6"/>
  <c r="I307" i="6"/>
  <c r="H307" i="6"/>
  <c r="L306" i="6"/>
  <c r="M306" i="6" s="1"/>
  <c r="I306" i="6"/>
  <c r="H306" i="6"/>
  <c r="K306" i="6" s="1"/>
  <c r="M305" i="6"/>
  <c r="L305" i="6"/>
  <c r="I305" i="6"/>
  <c r="H305" i="6"/>
  <c r="K305" i="6" s="1"/>
  <c r="L304" i="6"/>
  <c r="M304" i="6" s="1"/>
  <c r="K304" i="6"/>
  <c r="I304" i="6"/>
  <c r="H304" i="6"/>
  <c r="M303" i="6"/>
  <c r="L303" i="6"/>
  <c r="K303" i="6"/>
  <c r="I303" i="6"/>
  <c r="H303" i="6"/>
  <c r="M302" i="6"/>
  <c r="L302" i="6"/>
  <c r="I302" i="6"/>
  <c r="H302" i="6"/>
  <c r="K302" i="6" s="1"/>
  <c r="M301" i="6"/>
  <c r="L301" i="6"/>
  <c r="K301" i="6"/>
  <c r="I301" i="6"/>
  <c r="H301" i="6"/>
  <c r="M300" i="6"/>
  <c r="L300" i="6"/>
  <c r="K300" i="6"/>
  <c r="I300" i="6"/>
  <c r="H300" i="6"/>
  <c r="L299" i="6"/>
  <c r="M299" i="6" s="1"/>
  <c r="I299" i="6"/>
  <c r="J300" i="6" s="1"/>
  <c r="N300" i="6" s="1"/>
  <c r="H299" i="6"/>
  <c r="K299" i="6" s="1"/>
  <c r="L298" i="6"/>
  <c r="M298" i="6" s="1"/>
  <c r="I298" i="6"/>
  <c r="H298" i="6"/>
  <c r="K298" i="6" s="1"/>
  <c r="L297" i="6"/>
  <c r="M297" i="6" s="1"/>
  <c r="K297" i="6"/>
  <c r="I297" i="6"/>
  <c r="H297" i="6"/>
  <c r="L296" i="6"/>
  <c r="M296" i="6" s="1"/>
  <c r="I296" i="6"/>
  <c r="H296" i="6"/>
  <c r="K296" i="6" s="1"/>
  <c r="M295" i="6"/>
  <c r="L295" i="6"/>
  <c r="I295" i="6"/>
  <c r="H295" i="6"/>
  <c r="K295" i="6" s="1"/>
  <c r="M294" i="6"/>
  <c r="L294" i="6"/>
  <c r="K294" i="6"/>
  <c r="I294" i="6"/>
  <c r="H294" i="6"/>
  <c r="M293" i="6"/>
  <c r="L293" i="6"/>
  <c r="K293" i="6"/>
  <c r="J293" i="6"/>
  <c r="I293" i="6"/>
  <c r="H293" i="6"/>
  <c r="M292" i="6"/>
  <c r="L292" i="6"/>
  <c r="I292" i="6"/>
  <c r="H292" i="6"/>
  <c r="K292" i="6" s="1"/>
  <c r="M291" i="6"/>
  <c r="L291" i="6"/>
  <c r="K291" i="6"/>
  <c r="I291" i="6"/>
  <c r="H291" i="6"/>
  <c r="M290" i="6"/>
  <c r="L290" i="6"/>
  <c r="K290" i="6"/>
  <c r="I290" i="6"/>
  <c r="H290" i="6"/>
  <c r="L289" i="6"/>
  <c r="M289" i="6" s="1"/>
  <c r="J289" i="6"/>
  <c r="I289" i="6"/>
  <c r="J279" i="6" s="1"/>
  <c r="N279" i="6" s="1"/>
  <c r="H289" i="6"/>
  <c r="K289" i="6" s="1"/>
  <c r="L288" i="6"/>
  <c r="M288" i="6" s="1"/>
  <c r="I288" i="6"/>
  <c r="H288" i="6"/>
  <c r="K288" i="6" s="1"/>
  <c r="L287" i="6"/>
  <c r="M287" i="6" s="1"/>
  <c r="I287" i="6"/>
  <c r="H287" i="6"/>
  <c r="K287" i="6" s="1"/>
  <c r="L286" i="6"/>
  <c r="M286" i="6" s="1"/>
  <c r="I286" i="6"/>
  <c r="H286" i="6"/>
  <c r="K286" i="6" s="1"/>
  <c r="M285" i="6"/>
  <c r="L285" i="6"/>
  <c r="I285" i="6"/>
  <c r="H285" i="6"/>
  <c r="K285" i="6" s="1"/>
  <c r="L284" i="6"/>
  <c r="M284" i="6" s="1"/>
  <c r="K284" i="6"/>
  <c r="J284" i="6"/>
  <c r="I284" i="6"/>
  <c r="H284" i="6"/>
  <c r="M283" i="6"/>
  <c r="L283" i="6"/>
  <c r="I283" i="6"/>
  <c r="H283" i="6"/>
  <c r="K283" i="6" s="1"/>
  <c r="M282" i="6"/>
  <c r="L282" i="6"/>
  <c r="K282" i="6"/>
  <c r="I282" i="6"/>
  <c r="H282" i="6"/>
  <c r="L281" i="6"/>
  <c r="M281" i="6" s="1"/>
  <c r="K281" i="6"/>
  <c r="I281" i="6"/>
  <c r="H281" i="6"/>
  <c r="M280" i="6"/>
  <c r="L280" i="6"/>
  <c r="I280" i="6"/>
  <c r="H280" i="6"/>
  <c r="K280" i="6" s="1"/>
  <c r="L279" i="6"/>
  <c r="M279" i="6" s="1"/>
  <c r="K279" i="6"/>
  <c r="I279" i="6"/>
  <c r="H279" i="6"/>
  <c r="L278" i="6"/>
  <c r="M278" i="6" s="1"/>
  <c r="K278" i="6"/>
  <c r="I278" i="6"/>
  <c r="H278" i="6"/>
  <c r="M277" i="6"/>
  <c r="L277" i="6"/>
  <c r="I277" i="6"/>
  <c r="H277" i="6"/>
  <c r="K277" i="6" s="1"/>
  <c r="L276" i="6"/>
  <c r="M276" i="6" s="1"/>
  <c r="K276" i="6"/>
  <c r="I276" i="6"/>
  <c r="J275" i="6" s="1"/>
  <c r="H276" i="6"/>
  <c r="L275" i="6"/>
  <c r="M275" i="6" s="1"/>
  <c r="I275" i="6"/>
  <c r="H275" i="6"/>
  <c r="K275" i="6" s="1"/>
  <c r="L274" i="6"/>
  <c r="M274" i="6" s="1"/>
  <c r="K274" i="6"/>
  <c r="I274" i="6"/>
  <c r="H274" i="6"/>
  <c r="L273" i="6"/>
  <c r="M273" i="6" s="1"/>
  <c r="K273" i="6"/>
  <c r="I273" i="6"/>
  <c r="H273" i="6"/>
  <c r="L272" i="6"/>
  <c r="M272" i="6" s="1"/>
  <c r="K272" i="6"/>
  <c r="J272" i="6"/>
  <c r="I272" i="6"/>
  <c r="H272" i="6"/>
  <c r="M271" i="6"/>
  <c r="L271" i="6"/>
  <c r="I271" i="6"/>
  <c r="H271" i="6"/>
  <c r="K271" i="6" s="1"/>
  <c r="M270" i="6"/>
  <c r="L270" i="6"/>
  <c r="K270" i="6"/>
  <c r="I270" i="6"/>
  <c r="H270" i="6"/>
  <c r="L269" i="6"/>
  <c r="M269" i="6" s="1"/>
  <c r="K269" i="6"/>
  <c r="I269" i="6"/>
  <c r="H269" i="6"/>
  <c r="M268" i="6"/>
  <c r="L268" i="6"/>
  <c r="I268" i="6"/>
  <c r="H268" i="6"/>
  <c r="K268" i="6" s="1"/>
  <c r="M267" i="6"/>
  <c r="L267" i="6"/>
  <c r="K267" i="6"/>
  <c r="I267" i="6"/>
  <c r="H267" i="6"/>
  <c r="M266" i="6"/>
  <c r="L266" i="6"/>
  <c r="I266" i="6"/>
  <c r="H266" i="6"/>
  <c r="K266" i="6" s="1"/>
  <c r="L265" i="6"/>
  <c r="M265" i="6" s="1"/>
  <c r="I265" i="6"/>
  <c r="H265" i="6"/>
  <c r="K265" i="6" s="1"/>
  <c r="L264" i="6"/>
  <c r="M264" i="6" s="1"/>
  <c r="I264" i="6"/>
  <c r="H264" i="6"/>
  <c r="K264" i="6" s="1"/>
  <c r="L263" i="6"/>
  <c r="M263" i="6" s="1"/>
  <c r="K263" i="6"/>
  <c r="I263" i="6"/>
  <c r="H263" i="6"/>
  <c r="L262" i="6"/>
  <c r="M262" i="6" s="1"/>
  <c r="K262" i="6"/>
  <c r="J262" i="6"/>
  <c r="I262" i="6"/>
  <c r="J269" i="6" s="1"/>
  <c r="H262" i="6"/>
  <c r="M261" i="6"/>
  <c r="L261" i="6"/>
  <c r="I261" i="6"/>
  <c r="H261" i="6"/>
  <c r="K261" i="6" s="1"/>
  <c r="M260" i="6"/>
  <c r="N260" i="6" s="1"/>
  <c r="L260" i="6"/>
  <c r="K260" i="6"/>
  <c r="J260" i="6"/>
  <c r="I260" i="6"/>
  <c r="H260" i="6"/>
  <c r="L259" i="6"/>
  <c r="M259" i="6" s="1"/>
  <c r="K259" i="6"/>
  <c r="I259" i="6"/>
  <c r="H259" i="6"/>
  <c r="M258" i="6"/>
  <c r="L258" i="6"/>
  <c r="I258" i="6"/>
  <c r="H258" i="6"/>
  <c r="K258" i="6" s="1"/>
  <c r="M257" i="6"/>
  <c r="L257" i="6"/>
  <c r="K257" i="6"/>
  <c r="I257" i="6"/>
  <c r="H257" i="6"/>
  <c r="M256" i="6"/>
  <c r="L256" i="6"/>
  <c r="I256" i="6"/>
  <c r="H256" i="6"/>
  <c r="K256" i="6" s="1"/>
  <c r="L255" i="6"/>
  <c r="M255" i="6" s="1"/>
  <c r="I255" i="6"/>
  <c r="H255" i="6"/>
  <c r="K255" i="6" s="1"/>
  <c r="L254" i="6"/>
  <c r="M254" i="6" s="1"/>
  <c r="I254" i="6"/>
  <c r="H254" i="6"/>
  <c r="K254" i="6" s="1"/>
  <c r="L253" i="6"/>
  <c r="M253" i="6" s="1"/>
  <c r="K253" i="6"/>
  <c r="I253" i="6"/>
  <c r="H253" i="6"/>
  <c r="L252" i="6"/>
  <c r="M252" i="6" s="1"/>
  <c r="K252" i="6"/>
  <c r="J252" i="6"/>
  <c r="I252" i="6"/>
  <c r="H252" i="6"/>
  <c r="M251" i="6"/>
  <c r="L251" i="6"/>
  <c r="I251" i="6"/>
  <c r="H251" i="6"/>
  <c r="K251" i="6" s="1"/>
  <c r="M250" i="6"/>
  <c r="N250" i="6" s="1"/>
  <c r="L250" i="6"/>
  <c r="K250" i="6"/>
  <c r="J250" i="6"/>
  <c r="I250" i="6"/>
  <c r="H250" i="6"/>
  <c r="L249" i="6"/>
  <c r="M249" i="6" s="1"/>
  <c r="K249" i="6"/>
  <c r="I249" i="6"/>
  <c r="H249" i="6"/>
  <c r="M248" i="6"/>
  <c r="L248" i="6"/>
  <c r="I248" i="6"/>
  <c r="H248" i="6"/>
  <c r="K248" i="6" s="1"/>
  <c r="M247" i="6"/>
  <c r="L247" i="6"/>
  <c r="K247" i="6"/>
  <c r="I247" i="6"/>
  <c r="H247" i="6"/>
  <c r="M246" i="6"/>
  <c r="L246" i="6"/>
  <c r="I246" i="6"/>
  <c r="H246" i="6"/>
  <c r="K246" i="6" s="1"/>
  <c r="L245" i="6"/>
  <c r="M245" i="6" s="1"/>
  <c r="I245" i="6"/>
  <c r="H245" i="6"/>
  <c r="K245" i="6" s="1"/>
  <c r="L244" i="6"/>
  <c r="M244" i="6" s="1"/>
  <c r="I244" i="6"/>
  <c r="H244" i="6"/>
  <c r="K244" i="6" s="1"/>
  <c r="L243" i="6"/>
  <c r="M243" i="6" s="1"/>
  <c r="K243" i="6"/>
  <c r="I243" i="6"/>
  <c r="H243" i="6"/>
  <c r="L242" i="6"/>
  <c r="M242" i="6" s="1"/>
  <c r="K242" i="6"/>
  <c r="I242" i="6"/>
  <c r="H242" i="6"/>
  <c r="M241" i="6"/>
  <c r="L241" i="6"/>
  <c r="I241" i="6"/>
  <c r="H241" i="6"/>
  <c r="K241" i="6" s="1"/>
  <c r="M240" i="6"/>
  <c r="L240" i="6"/>
  <c r="K240" i="6"/>
  <c r="I240" i="6"/>
  <c r="H240" i="6"/>
  <c r="L239" i="6"/>
  <c r="M239" i="6" s="1"/>
  <c r="K239" i="6"/>
  <c r="I239" i="6"/>
  <c r="H239" i="6"/>
  <c r="M238" i="6"/>
  <c r="L238" i="6"/>
  <c r="I238" i="6"/>
  <c r="H238" i="6"/>
  <c r="K238" i="6" s="1"/>
  <c r="M237" i="6"/>
  <c r="L237" i="6"/>
  <c r="K237" i="6"/>
  <c r="I237" i="6"/>
  <c r="H237" i="6"/>
  <c r="M236" i="6"/>
  <c r="L236" i="6"/>
  <c r="K236" i="6"/>
  <c r="I236" i="6"/>
  <c r="H236" i="6"/>
  <c r="L235" i="6"/>
  <c r="M235" i="6" s="1"/>
  <c r="I235" i="6"/>
  <c r="H235" i="6"/>
  <c r="K235" i="6" s="1"/>
  <c r="L234" i="6"/>
  <c r="M234" i="6" s="1"/>
  <c r="I234" i="6"/>
  <c r="H234" i="6"/>
  <c r="K234" i="6" s="1"/>
  <c r="L233" i="6"/>
  <c r="M233" i="6" s="1"/>
  <c r="K233" i="6"/>
  <c r="I233" i="6"/>
  <c r="J240" i="6" s="1"/>
  <c r="H233" i="6"/>
  <c r="L232" i="6"/>
  <c r="M232" i="6" s="1"/>
  <c r="K232" i="6"/>
  <c r="I232" i="6"/>
  <c r="H232" i="6"/>
  <c r="M231" i="6"/>
  <c r="L231" i="6"/>
  <c r="I231" i="6"/>
  <c r="H231" i="6"/>
  <c r="K231" i="6" s="1"/>
  <c r="M230" i="6"/>
  <c r="L230" i="6"/>
  <c r="K230" i="6"/>
  <c r="I230" i="6"/>
  <c r="H230" i="6"/>
  <c r="M229" i="6"/>
  <c r="L229" i="6"/>
  <c r="K229" i="6"/>
  <c r="I229" i="6"/>
  <c r="H229" i="6"/>
  <c r="M228" i="6"/>
  <c r="L228" i="6"/>
  <c r="I228" i="6"/>
  <c r="H228" i="6"/>
  <c r="K228" i="6" s="1"/>
  <c r="M227" i="6"/>
  <c r="L227" i="6"/>
  <c r="K227" i="6"/>
  <c r="I227" i="6"/>
  <c r="H227" i="6"/>
  <c r="L226" i="6"/>
  <c r="M226" i="6" s="1"/>
  <c r="K226" i="6"/>
  <c r="I226" i="6"/>
  <c r="H226" i="6"/>
  <c r="L225" i="6"/>
  <c r="M225" i="6" s="1"/>
  <c r="K225" i="6"/>
  <c r="I225" i="6"/>
  <c r="H225" i="6"/>
  <c r="L224" i="6"/>
  <c r="M224" i="6" s="1"/>
  <c r="I224" i="6"/>
  <c r="H224" i="6"/>
  <c r="K224" i="6" s="1"/>
  <c r="L223" i="6"/>
  <c r="M223" i="6" s="1"/>
  <c r="K223" i="6"/>
  <c r="I223" i="6"/>
  <c r="H223" i="6"/>
  <c r="L222" i="6"/>
  <c r="M222" i="6" s="1"/>
  <c r="K222" i="6"/>
  <c r="J222" i="6"/>
  <c r="I222" i="6"/>
  <c r="J226" i="6" s="1"/>
  <c r="H222" i="6"/>
  <c r="M221" i="6"/>
  <c r="L221" i="6"/>
  <c r="I221" i="6"/>
  <c r="H221" i="6"/>
  <c r="K221" i="6" s="1"/>
  <c r="M220" i="6"/>
  <c r="N220" i="6" s="1"/>
  <c r="L220" i="6"/>
  <c r="K220" i="6"/>
  <c r="J220" i="6"/>
  <c r="I220" i="6"/>
  <c r="H220" i="6"/>
  <c r="M219" i="6"/>
  <c r="L219" i="6"/>
  <c r="K219" i="6"/>
  <c r="I219" i="6"/>
  <c r="H219" i="6"/>
  <c r="M218" i="6"/>
  <c r="L218" i="6"/>
  <c r="I218" i="6"/>
  <c r="H218" i="6"/>
  <c r="K218" i="6" s="1"/>
  <c r="M217" i="6"/>
  <c r="L217" i="6"/>
  <c r="K217" i="6"/>
  <c r="I217" i="6"/>
  <c r="H217" i="6"/>
  <c r="L216" i="6"/>
  <c r="M216" i="6" s="1"/>
  <c r="I216" i="6"/>
  <c r="H216" i="6"/>
  <c r="K216" i="6" s="1"/>
  <c r="L215" i="6"/>
  <c r="M215" i="6" s="1"/>
  <c r="K215" i="6"/>
  <c r="I215" i="6"/>
  <c r="H215" i="6"/>
  <c r="L214" i="6"/>
  <c r="M214" i="6" s="1"/>
  <c r="I214" i="6"/>
  <c r="H214" i="6"/>
  <c r="K214" i="6" s="1"/>
  <c r="L213" i="6"/>
  <c r="M213" i="6" s="1"/>
  <c r="K213" i="6"/>
  <c r="I213" i="6"/>
  <c r="H213" i="6"/>
  <c r="L212" i="6"/>
  <c r="M212" i="6" s="1"/>
  <c r="I212" i="6"/>
  <c r="H212" i="6"/>
  <c r="K212" i="6" s="1"/>
  <c r="M211" i="6"/>
  <c r="L211" i="6"/>
  <c r="I211" i="6"/>
  <c r="J215" i="6" s="1"/>
  <c r="H211" i="6"/>
  <c r="K211" i="6" s="1"/>
  <c r="M210" i="6"/>
  <c r="L210" i="6"/>
  <c r="K210" i="6"/>
  <c r="I210" i="6"/>
  <c r="H210" i="6"/>
  <c r="L209" i="6"/>
  <c r="M209" i="6" s="1"/>
  <c r="K209" i="6"/>
  <c r="I209" i="6"/>
  <c r="H209" i="6"/>
  <c r="M208" i="6"/>
  <c r="L208" i="6"/>
  <c r="I208" i="6"/>
  <c r="H208" i="6"/>
  <c r="K208" i="6" s="1"/>
  <c r="M207" i="6"/>
  <c r="L207" i="6"/>
  <c r="K207" i="6"/>
  <c r="I207" i="6"/>
  <c r="H207" i="6"/>
  <c r="L206" i="6"/>
  <c r="M206" i="6" s="1"/>
  <c r="K206" i="6"/>
  <c r="I206" i="6"/>
  <c r="H206" i="6"/>
  <c r="L205" i="6"/>
  <c r="M205" i="6" s="1"/>
  <c r="I205" i="6"/>
  <c r="H205" i="6"/>
  <c r="K205" i="6" s="1"/>
  <c r="L204" i="6"/>
  <c r="M204" i="6" s="1"/>
  <c r="I204" i="6"/>
  <c r="H204" i="6"/>
  <c r="K204" i="6" s="1"/>
  <c r="L203" i="6"/>
  <c r="M203" i="6" s="1"/>
  <c r="K203" i="6"/>
  <c r="I203" i="6"/>
  <c r="J208" i="6" s="1"/>
  <c r="N208" i="6" s="1"/>
  <c r="H203" i="6"/>
  <c r="L202" i="6"/>
  <c r="M202" i="6" s="1"/>
  <c r="K202" i="6"/>
  <c r="I202" i="6"/>
  <c r="H202" i="6"/>
  <c r="M201" i="6"/>
  <c r="L201" i="6"/>
  <c r="I201" i="6"/>
  <c r="H201" i="6"/>
  <c r="K201" i="6" s="1"/>
  <c r="L200" i="6"/>
  <c r="M200" i="6" s="1"/>
  <c r="N200" i="6" s="1"/>
  <c r="K200" i="6"/>
  <c r="I200" i="6"/>
  <c r="H200" i="6"/>
  <c r="M199" i="6"/>
  <c r="L199" i="6"/>
  <c r="K199" i="6"/>
  <c r="I199" i="6"/>
  <c r="H199" i="6"/>
  <c r="M198" i="6"/>
  <c r="L198" i="6"/>
  <c r="I198" i="6"/>
  <c r="H198" i="6"/>
  <c r="K198" i="6" s="1"/>
  <c r="M197" i="6"/>
  <c r="L197" i="6"/>
  <c r="K197" i="6"/>
  <c r="I197" i="6"/>
  <c r="H197" i="6"/>
  <c r="L196" i="6"/>
  <c r="M196" i="6" s="1"/>
  <c r="N196" i="6" s="1"/>
  <c r="I196" i="6"/>
  <c r="H196" i="6"/>
  <c r="K196" i="6" s="1"/>
  <c r="L195" i="6"/>
  <c r="M195" i="6" s="1"/>
  <c r="K195" i="6"/>
  <c r="I195" i="6"/>
  <c r="H195" i="6"/>
  <c r="L194" i="6"/>
  <c r="M194" i="6" s="1"/>
  <c r="I194" i="6"/>
  <c r="H194" i="6"/>
  <c r="K194" i="6" s="1"/>
  <c r="M193" i="6"/>
  <c r="L193" i="6"/>
  <c r="K193" i="6"/>
  <c r="I193" i="6"/>
  <c r="J196" i="6" s="1"/>
  <c r="H193" i="6"/>
  <c r="L192" i="6"/>
  <c r="M192" i="6" s="1"/>
  <c r="I192" i="6"/>
  <c r="J199" i="6" s="1"/>
  <c r="H192" i="6"/>
  <c r="K192" i="6" s="1"/>
  <c r="M191" i="6"/>
  <c r="L191" i="6"/>
  <c r="I191" i="6"/>
  <c r="H191" i="6"/>
  <c r="K191" i="6" s="1"/>
  <c r="L190" i="6"/>
  <c r="M190" i="6" s="1"/>
  <c r="K190" i="6"/>
  <c r="I190" i="6"/>
  <c r="H190" i="6"/>
  <c r="M189" i="6"/>
  <c r="L189" i="6"/>
  <c r="K189" i="6"/>
  <c r="I189" i="6"/>
  <c r="H189" i="6"/>
  <c r="M188" i="6"/>
  <c r="L188" i="6"/>
  <c r="J188" i="6"/>
  <c r="N188" i="6" s="1"/>
  <c r="I188" i="6"/>
  <c r="J200" i="6" s="1"/>
  <c r="H188" i="6"/>
  <c r="K188" i="6" s="1"/>
  <c r="M187" i="6"/>
  <c r="L187" i="6"/>
  <c r="K187" i="6"/>
  <c r="I187" i="6"/>
  <c r="H187" i="6"/>
  <c r="M186" i="6"/>
  <c r="L186" i="6"/>
  <c r="K186" i="6"/>
  <c r="I186" i="6"/>
  <c r="H186" i="6"/>
  <c r="L185" i="6"/>
  <c r="M185" i="6" s="1"/>
  <c r="I185" i="6"/>
  <c r="H185" i="6"/>
  <c r="K185" i="6" s="1"/>
  <c r="L184" i="6"/>
  <c r="M184" i="6" s="1"/>
  <c r="I184" i="6"/>
  <c r="H184" i="6"/>
  <c r="K184" i="6" s="1"/>
  <c r="L183" i="6"/>
  <c r="M183" i="6" s="1"/>
  <c r="K183" i="6"/>
  <c r="I183" i="6"/>
  <c r="H183" i="6"/>
  <c r="L182" i="6"/>
  <c r="M182" i="6" s="1"/>
  <c r="K182" i="6"/>
  <c r="I182" i="6"/>
  <c r="H182" i="6"/>
  <c r="M181" i="6"/>
  <c r="L181" i="6"/>
  <c r="I181" i="6"/>
  <c r="H181" i="6"/>
  <c r="K181" i="6" s="1"/>
  <c r="M180" i="6"/>
  <c r="L180" i="6"/>
  <c r="K180" i="6"/>
  <c r="I180" i="6"/>
  <c r="H180" i="6"/>
  <c r="M179" i="6"/>
  <c r="L179" i="6"/>
  <c r="K179" i="6"/>
  <c r="I179" i="6"/>
  <c r="H179" i="6"/>
  <c r="M178" i="6"/>
  <c r="L178" i="6"/>
  <c r="I178" i="6"/>
  <c r="H178" i="6"/>
  <c r="K178" i="6" s="1"/>
  <c r="M177" i="6"/>
  <c r="L177" i="6"/>
  <c r="K177" i="6"/>
  <c r="I177" i="6"/>
  <c r="H177" i="6"/>
  <c r="L176" i="6"/>
  <c r="M176" i="6" s="1"/>
  <c r="K176" i="6"/>
  <c r="I176" i="6"/>
  <c r="H176" i="6"/>
  <c r="L175" i="6"/>
  <c r="M175" i="6" s="1"/>
  <c r="K175" i="6"/>
  <c r="I175" i="6"/>
  <c r="H175" i="6"/>
  <c r="L174" i="6"/>
  <c r="M174" i="6" s="1"/>
  <c r="I174" i="6"/>
  <c r="H174" i="6"/>
  <c r="K174" i="6" s="1"/>
  <c r="L173" i="6"/>
  <c r="M173" i="6" s="1"/>
  <c r="K173" i="6"/>
  <c r="I173" i="6"/>
  <c r="H173" i="6"/>
  <c r="L172" i="6"/>
  <c r="M172" i="6" s="1"/>
  <c r="K172" i="6"/>
  <c r="I172" i="6"/>
  <c r="J178" i="6" s="1"/>
  <c r="N178" i="6" s="1"/>
  <c r="H172" i="6"/>
  <c r="M171" i="6"/>
  <c r="L171" i="6"/>
  <c r="I171" i="6"/>
  <c r="H171" i="6"/>
  <c r="K171" i="6" s="1"/>
  <c r="M170" i="6"/>
  <c r="L170" i="6"/>
  <c r="K170" i="6"/>
  <c r="I170" i="6"/>
  <c r="H170" i="6"/>
  <c r="M169" i="6"/>
  <c r="L169" i="6"/>
  <c r="K169" i="6"/>
  <c r="I169" i="6"/>
  <c r="H169" i="6"/>
  <c r="M168" i="6"/>
  <c r="L168" i="6"/>
  <c r="I168" i="6"/>
  <c r="H168" i="6"/>
  <c r="K168" i="6" s="1"/>
  <c r="M167" i="6"/>
  <c r="L167" i="6"/>
  <c r="K167" i="6"/>
  <c r="I167" i="6"/>
  <c r="H167" i="6"/>
  <c r="L166" i="6"/>
  <c r="M166" i="6" s="1"/>
  <c r="I166" i="6"/>
  <c r="H166" i="6"/>
  <c r="K166" i="6" s="1"/>
  <c r="L165" i="6"/>
  <c r="M165" i="6" s="1"/>
  <c r="K165" i="6"/>
  <c r="I165" i="6"/>
  <c r="H165" i="6"/>
  <c r="L164" i="6"/>
  <c r="M164" i="6" s="1"/>
  <c r="I164" i="6"/>
  <c r="H164" i="6"/>
  <c r="K164" i="6" s="1"/>
  <c r="L163" i="6"/>
  <c r="M163" i="6" s="1"/>
  <c r="K163" i="6"/>
  <c r="I163" i="6"/>
  <c r="H163" i="6"/>
  <c r="L162" i="6"/>
  <c r="M162" i="6" s="1"/>
  <c r="I162" i="6"/>
  <c r="H162" i="6"/>
  <c r="K162" i="6" s="1"/>
  <c r="M161" i="6"/>
  <c r="L161" i="6"/>
  <c r="I161" i="6"/>
  <c r="J170" i="6" s="1"/>
  <c r="H161" i="6"/>
  <c r="K161" i="6" s="1"/>
  <c r="M160" i="6"/>
  <c r="L160" i="6"/>
  <c r="K160" i="6"/>
  <c r="I160" i="6"/>
  <c r="H160" i="6"/>
  <c r="L159" i="6"/>
  <c r="M159" i="6" s="1"/>
  <c r="K159" i="6"/>
  <c r="I159" i="6"/>
  <c r="H159" i="6"/>
  <c r="M158" i="6"/>
  <c r="L158" i="6"/>
  <c r="I158" i="6"/>
  <c r="J168" i="6" s="1"/>
  <c r="N168" i="6" s="1"/>
  <c r="H158" i="6"/>
  <c r="K158" i="6" s="1"/>
  <c r="M157" i="6"/>
  <c r="L157" i="6"/>
  <c r="K157" i="6"/>
  <c r="I157" i="6"/>
  <c r="H157" i="6"/>
  <c r="L156" i="6"/>
  <c r="M156" i="6" s="1"/>
  <c r="K156" i="6"/>
  <c r="I156" i="6"/>
  <c r="H156" i="6"/>
  <c r="L155" i="6"/>
  <c r="M155" i="6" s="1"/>
  <c r="I155" i="6"/>
  <c r="H155" i="6"/>
  <c r="K155" i="6" s="1"/>
  <c r="L154" i="6"/>
  <c r="M154" i="6" s="1"/>
  <c r="I154" i="6"/>
  <c r="H154" i="6"/>
  <c r="K154" i="6" s="1"/>
  <c r="L153" i="6"/>
  <c r="M153" i="6" s="1"/>
  <c r="K153" i="6"/>
  <c r="I153" i="6"/>
  <c r="H153" i="6"/>
  <c r="L152" i="6"/>
  <c r="M152" i="6" s="1"/>
  <c r="K152" i="6"/>
  <c r="I152" i="6"/>
  <c r="H152" i="6"/>
  <c r="M151" i="6"/>
  <c r="L151" i="6"/>
  <c r="I151" i="6"/>
  <c r="H151" i="6"/>
  <c r="K151" i="6" s="1"/>
  <c r="L150" i="6"/>
  <c r="M150" i="6" s="1"/>
  <c r="K150" i="6"/>
  <c r="I150" i="6"/>
  <c r="H150" i="6"/>
  <c r="L149" i="6"/>
  <c r="M149" i="6" s="1"/>
  <c r="K149" i="6"/>
  <c r="I149" i="6"/>
  <c r="H149" i="6"/>
  <c r="M148" i="6"/>
  <c r="L148" i="6"/>
  <c r="I148" i="6"/>
  <c r="H148" i="6"/>
  <c r="K148" i="6" s="1"/>
  <c r="M147" i="6"/>
  <c r="L147" i="6"/>
  <c r="K147" i="6"/>
  <c r="I147" i="6"/>
  <c r="H147" i="6"/>
  <c r="L146" i="6"/>
  <c r="M146" i="6" s="1"/>
  <c r="N146" i="6" s="1"/>
  <c r="I146" i="6"/>
  <c r="H146" i="6"/>
  <c r="K146" i="6" s="1"/>
  <c r="L145" i="6"/>
  <c r="M145" i="6" s="1"/>
  <c r="K145" i="6"/>
  <c r="I145" i="6"/>
  <c r="H145" i="6"/>
  <c r="L144" i="6"/>
  <c r="M144" i="6" s="1"/>
  <c r="I144" i="6"/>
  <c r="H144" i="6"/>
  <c r="K144" i="6" s="1"/>
  <c r="M143" i="6"/>
  <c r="L143" i="6"/>
  <c r="K143" i="6"/>
  <c r="I143" i="6"/>
  <c r="J146" i="6" s="1"/>
  <c r="H143" i="6"/>
  <c r="L142" i="6"/>
  <c r="M142" i="6" s="1"/>
  <c r="J142" i="6"/>
  <c r="I142" i="6"/>
  <c r="J149" i="6" s="1"/>
  <c r="H142" i="6"/>
  <c r="K142" i="6" s="1"/>
  <c r="M141" i="6"/>
  <c r="L141" i="6"/>
  <c r="I141" i="6"/>
  <c r="H141" i="6"/>
  <c r="K141" i="6" s="1"/>
  <c r="L140" i="6"/>
  <c r="M140" i="6" s="1"/>
  <c r="K140" i="6"/>
  <c r="I140" i="6"/>
  <c r="H140" i="6"/>
  <c r="M139" i="6"/>
  <c r="L139" i="6"/>
  <c r="K139" i="6"/>
  <c r="I139" i="6"/>
  <c r="H139" i="6"/>
  <c r="M138" i="6"/>
  <c r="L138" i="6"/>
  <c r="J138" i="6"/>
  <c r="N138" i="6" s="1"/>
  <c r="I138" i="6"/>
  <c r="H138" i="6"/>
  <c r="K138" i="6" s="1"/>
  <c r="M137" i="6"/>
  <c r="L137" i="6"/>
  <c r="K137" i="6"/>
  <c r="I137" i="6"/>
  <c r="H137" i="6"/>
  <c r="M136" i="6"/>
  <c r="L136" i="6"/>
  <c r="K136" i="6"/>
  <c r="I136" i="6"/>
  <c r="H136" i="6"/>
  <c r="L135" i="6"/>
  <c r="M135" i="6" s="1"/>
  <c r="I135" i="6"/>
  <c r="H135" i="6"/>
  <c r="K135" i="6" s="1"/>
  <c r="L134" i="6"/>
  <c r="M134" i="6" s="1"/>
  <c r="I134" i="6"/>
  <c r="H134" i="6"/>
  <c r="K134" i="6" s="1"/>
  <c r="L133" i="6"/>
  <c r="M133" i="6" s="1"/>
  <c r="K133" i="6"/>
  <c r="I133" i="6"/>
  <c r="J136" i="6" s="1"/>
  <c r="H133" i="6"/>
  <c r="L132" i="6"/>
  <c r="M132" i="6" s="1"/>
  <c r="K132" i="6"/>
  <c r="I132" i="6"/>
  <c r="H132" i="6"/>
  <c r="M131" i="6"/>
  <c r="L131" i="6"/>
  <c r="I131" i="6"/>
  <c r="H131" i="6"/>
  <c r="K131" i="6" s="1"/>
  <c r="M130" i="6"/>
  <c r="L130" i="6"/>
  <c r="K130" i="6"/>
  <c r="I130" i="6"/>
  <c r="H130" i="6"/>
  <c r="L129" i="6"/>
  <c r="M129" i="6" s="1"/>
  <c r="N129" i="6" s="1"/>
  <c r="K129" i="6"/>
  <c r="J129" i="6"/>
  <c r="I129" i="6"/>
  <c r="H129" i="6"/>
  <c r="M128" i="6"/>
  <c r="L128" i="6"/>
  <c r="I128" i="6"/>
  <c r="J140" i="6" s="1"/>
  <c r="H128" i="6"/>
  <c r="K128" i="6" s="1"/>
  <c r="M127" i="6"/>
  <c r="L127" i="6"/>
  <c r="K127" i="6"/>
  <c r="I127" i="6"/>
  <c r="J137" i="6" s="1"/>
  <c r="N137" i="6" s="1"/>
  <c r="H127" i="6"/>
  <c r="L126" i="6"/>
  <c r="M126" i="6" s="1"/>
  <c r="K126" i="6"/>
  <c r="I126" i="6"/>
  <c r="H126" i="6"/>
  <c r="L125" i="6"/>
  <c r="M125" i="6" s="1"/>
  <c r="K125" i="6"/>
  <c r="I125" i="6"/>
  <c r="H125" i="6"/>
  <c r="L124" i="6"/>
  <c r="M124" i="6" s="1"/>
  <c r="I124" i="6"/>
  <c r="H124" i="6"/>
  <c r="K124" i="6" s="1"/>
  <c r="L123" i="6"/>
  <c r="M123" i="6" s="1"/>
  <c r="K123" i="6"/>
  <c r="I123" i="6"/>
  <c r="H123" i="6"/>
  <c r="L122" i="6"/>
  <c r="M122" i="6" s="1"/>
  <c r="K122" i="6"/>
  <c r="I122" i="6"/>
  <c r="J126" i="6" s="1"/>
  <c r="H122" i="6"/>
  <c r="M121" i="6"/>
  <c r="L121" i="6"/>
  <c r="I121" i="6"/>
  <c r="H121" i="6"/>
  <c r="K121" i="6" s="1"/>
  <c r="L120" i="6"/>
  <c r="M120" i="6" s="1"/>
  <c r="N120" i="6" s="1"/>
  <c r="K120" i="6"/>
  <c r="J120" i="6"/>
  <c r="I120" i="6"/>
  <c r="H120" i="6"/>
  <c r="M119" i="6"/>
  <c r="L119" i="6"/>
  <c r="K119" i="6"/>
  <c r="I119" i="6"/>
  <c r="H119" i="6"/>
  <c r="M118" i="6"/>
  <c r="L118" i="6"/>
  <c r="I118" i="6"/>
  <c r="H118" i="6"/>
  <c r="K118" i="6" s="1"/>
  <c r="M117" i="6"/>
  <c r="L117" i="6"/>
  <c r="K117" i="6"/>
  <c r="I117" i="6"/>
  <c r="H117" i="6"/>
  <c r="L116" i="6"/>
  <c r="M116" i="6" s="1"/>
  <c r="I116" i="6"/>
  <c r="H116" i="6"/>
  <c r="K116" i="6" s="1"/>
  <c r="L115" i="6"/>
  <c r="M115" i="6" s="1"/>
  <c r="K115" i="6"/>
  <c r="J115" i="6"/>
  <c r="I115" i="6"/>
  <c r="H115" i="6"/>
  <c r="L114" i="6"/>
  <c r="M114" i="6" s="1"/>
  <c r="I114" i="6"/>
  <c r="H114" i="6"/>
  <c r="K114" i="6" s="1"/>
  <c r="L113" i="6"/>
  <c r="M113" i="6" s="1"/>
  <c r="K113" i="6"/>
  <c r="I113" i="6"/>
  <c r="J112" i="6" s="1"/>
  <c r="H113" i="6"/>
  <c r="L112" i="6"/>
  <c r="M112" i="6" s="1"/>
  <c r="I112" i="6"/>
  <c r="H112" i="6"/>
  <c r="K112" i="6" s="1"/>
  <c r="M111" i="6"/>
  <c r="L111" i="6"/>
  <c r="I111" i="6"/>
  <c r="H111" i="6"/>
  <c r="K111" i="6" s="1"/>
  <c r="M110" i="6"/>
  <c r="L110" i="6"/>
  <c r="K110" i="6"/>
  <c r="I110" i="6"/>
  <c r="H110" i="6"/>
  <c r="L109" i="6"/>
  <c r="M109" i="6" s="1"/>
  <c r="K109" i="6"/>
  <c r="I109" i="6"/>
  <c r="H109" i="6"/>
  <c r="M108" i="6"/>
  <c r="L108" i="6"/>
  <c r="I108" i="6"/>
  <c r="H108" i="6"/>
  <c r="K108" i="6" s="1"/>
  <c r="M107" i="6"/>
  <c r="L107" i="6"/>
  <c r="K107" i="6"/>
  <c r="I107" i="6"/>
  <c r="H107" i="6"/>
  <c r="L106" i="6"/>
  <c r="M106" i="6" s="1"/>
  <c r="K106" i="6"/>
  <c r="I106" i="6"/>
  <c r="H106" i="6"/>
  <c r="L105" i="6"/>
  <c r="M105" i="6" s="1"/>
  <c r="I105" i="6"/>
  <c r="H105" i="6"/>
  <c r="K105" i="6" s="1"/>
  <c r="L104" i="6"/>
  <c r="M104" i="6" s="1"/>
  <c r="I104" i="6"/>
  <c r="H104" i="6"/>
  <c r="K104" i="6" s="1"/>
  <c r="L103" i="6"/>
  <c r="M103" i="6" s="1"/>
  <c r="K103" i="6"/>
  <c r="I103" i="6"/>
  <c r="H103" i="6"/>
  <c r="L102" i="6"/>
  <c r="M102" i="6" s="1"/>
  <c r="K102" i="6"/>
  <c r="I102" i="6"/>
  <c r="H102" i="6"/>
  <c r="M101" i="6"/>
  <c r="L101" i="6"/>
  <c r="I101" i="6"/>
  <c r="H101" i="6"/>
  <c r="K101" i="6" s="1"/>
  <c r="L100" i="6"/>
  <c r="M100" i="6" s="1"/>
  <c r="K100" i="6"/>
  <c r="I100" i="6"/>
  <c r="H100" i="6"/>
  <c r="L99" i="6"/>
  <c r="M99" i="6" s="1"/>
  <c r="K99" i="6"/>
  <c r="I99" i="6"/>
  <c r="J105" i="6" s="1"/>
  <c r="H99" i="6"/>
  <c r="M98" i="6"/>
  <c r="L98" i="6"/>
  <c r="I98" i="6"/>
  <c r="J110" i="6" s="1"/>
  <c r="H98" i="6"/>
  <c r="K98" i="6" s="1"/>
  <c r="M97" i="6"/>
  <c r="L97" i="6"/>
  <c r="K97" i="6"/>
  <c r="I97" i="6"/>
  <c r="H97" i="6"/>
  <c r="L96" i="6"/>
  <c r="M96" i="6" s="1"/>
  <c r="I96" i="6"/>
  <c r="H96" i="6"/>
  <c r="K96" i="6" s="1"/>
  <c r="L95" i="6"/>
  <c r="M95" i="6" s="1"/>
  <c r="K95" i="6"/>
  <c r="I95" i="6"/>
  <c r="H95" i="6"/>
  <c r="L94" i="6"/>
  <c r="M94" i="6" s="1"/>
  <c r="I94" i="6"/>
  <c r="H94" i="6"/>
  <c r="K94" i="6" s="1"/>
  <c r="M93" i="6"/>
  <c r="L93" i="6"/>
  <c r="K93" i="6"/>
  <c r="I93" i="6"/>
  <c r="H93" i="6"/>
  <c r="L92" i="6"/>
  <c r="M92" i="6" s="1"/>
  <c r="I92" i="6"/>
  <c r="H92" i="6"/>
  <c r="K92" i="6" s="1"/>
  <c r="M91" i="6"/>
  <c r="L91" i="6"/>
  <c r="I91" i="6"/>
  <c r="H91" i="6"/>
  <c r="K91" i="6" s="1"/>
  <c r="L90" i="6"/>
  <c r="M90" i="6" s="1"/>
  <c r="K90" i="6"/>
  <c r="I90" i="6"/>
  <c r="H90" i="6"/>
  <c r="M89" i="6"/>
  <c r="L89" i="6"/>
  <c r="K89" i="6"/>
  <c r="I89" i="6"/>
  <c r="H89" i="6"/>
  <c r="L88" i="6"/>
  <c r="M88" i="6" s="1"/>
  <c r="I88" i="6"/>
  <c r="H88" i="6"/>
  <c r="K88" i="6" s="1"/>
  <c r="M87" i="6"/>
  <c r="L87" i="6"/>
  <c r="K87" i="6"/>
  <c r="I87" i="6"/>
  <c r="H87" i="6"/>
  <c r="L86" i="6"/>
  <c r="M86" i="6" s="1"/>
  <c r="K86" i="6"/>
  <c r="I86" i="6"/>
  <c r="H86" i="6"/>
  <c r="L85" i="6"/>
  <c r="M85" i="6" s="1"/>
  <c r="I85" i="6"/>
  <c r="H85" i="6"/>
  <c r="K85" i="6" s="1"/>
  <c r="L84" i="6"/>
  <c r="M84" i="6" s="1"/>
  <c r="I84" i="6"/>
  <c r="H84" i="6"/>
  <c r="K84" i="6" s="1"/>
  <c r="L83" i="6"/>
  <c r="M83" i="6" s="1"/>
  <c r="K83" i="6"/>
  <c r="I83" i="6"/>
  <c r="H83" i="6"/>
  <c r="L82" i="6"/>
  <c r="M82" i="6" s="1"/>
  <c r="K82" i="6"/>
  <c r="I82" i="6"/>
  <c r="H82" i="6"/>
  <c r="M81" i="6"/>
  <c r="L81" i="6"/>
  <c r="I81" i="6"/>
  <c r="H81" i="6"/>
  <c r="K81" i="6" s="1"/>
  <c r="M80" i="6"/>
  <c r="L80" i="6"/>
  <c r="I80" i="6"/>
  <c r="H80" i="6"/>
  <c r="K80" i="6" s="1"/>
  <c r="L79" i="6"/>
  <c r="M79" i="6" s="1"/>
  <c r="K79" i="6"/>
  <c r="I79" i="6"/>
  <c r="J95" i="6" s="1"/>
  <c r="H79" i="6"/>
  <c r="L78" i="6"/>
  <c r="M78" i="6" s="1"/>
  <c r="I78" i="6"/>
  <c r="H78" i="6"/>
  <c r="K78" i="6" s="1"/>
  <c r="M77" i="6"/>
  <c r="L77" i="6"/>
  <c r="K77" i="6"/>
  <c r="I77" i="6"/>
  <c r="H77" i="6"/>
  <c r="M76" i="6"/>
  <c r="L76" i="6"/>
  <c r="I76" i="6"/>
  <c r="H76" i="6"/>
  <c r="K76" i="6" s="1"/>
  <c r="L75" i="6"/>
  <c r="M75" i="6" s="1"/>
  <c r="K75" i="6"/>
  <c r="I75" i="6"/>
  <c r="H75" i="6"/>
  <c r="L74" i="6"/>
  <c r="M74" i="6" s="1"/>
  <c r="I74" i="6"/>
  <c r="H74" i="6"/>
  <c r="K74" i="6" s="1"/>
  <c r="L73" i="6"/>
  <c r="M73" i="6" s="1"/>
  <c r="K73" i="6"/>
  <c r="I73" i="6"/>
  <c r="H73" i="6"/>
  <c r="L72" i="6"/>
  <c r="M72" i="6" s="1"/>
  <c r="I72" i="6"/>
  <c r="H72" i="6"/>
  <c r="K72" i="6" s="1"/>
  <c r="M71" i="6"/>
  <c r="L71" i="6"/>
  <c r="I71" i="6"/>
  <c r="H71" i="6"/>
  <c r="K71" i="6" s="1"/>
  <c r="L70" i="6"/>
  <c r="M70" i="6" s="1"/>
  <c r="I70" i="6"/>
  <c r="H70" i="6"/>
  <c r="K70" i="6" s="1"/>
  <c r="L69" i="6"/>
  <c r="M69" i="6" s="1"/>
  <c r="K69" i="6"/>
  <c r="I69" i="6"/>
  <c r="H69" i="6"/>
  <c r="L68" i="6"/>
  <c r="M68" i="6" s="1"/>
  <c r="N68" i="6" s="1"/>
  <c r="I68" i="6"/>
  <c r="J68" i="6" s="1"/>
  <c r="H68" i="6"/>
  <c r="K68" i="6" s="1"/>
  <c r="M67" i="6"/>
  <c r="L67" i="6"/>
  <c r="K67" i="6"/>
  <c r="I67" i="6"/>
  <c r="H67" i="6"/>
  <c r="L66" i="6"/>
  <c r="M66" i="6" s="1"/>
  <c r="N66" i="6" s="1"/>
  <c r="K66" i="6"/>
  <c r="J66" i="6"/>
  <c r="I66" i="6"/>
  <c r="H66" i="6"/>
  <c r="L65" i="6"/>
  <c r="M65" i="6" s="1"/>
  <c r="I65" i="6"/>
  <c r="H65" i="6"/>
  <c r="K65" i="6" s="1"/>
  <c r="L64" i="6"/>
  <c r="M64" i="6" s="1"/>
  <c r="I64" i="6"/>
  <c r="H64" i="6"/>
  <c r="K64" i="6" s="1"/>
  <c r="M63" i="6"/>
  <c r="L63" i="6"/>
  <c r="K63" i="6"/>
  <c r="I63" i="6"/>
  <c r="H63" i="6"/>
  <c r="L62" i="6"/>
  <c r="M62" i="6" s="1"/>
  <c r="K62" i="6"/>
  <c r="I62" i="6"/>
  <c r="H62" i="6"/>
  <c r="M61" i="6"/>
  <c r="L61" i="6"/>
  <c r="I61" i="6"/>
  <c r="H61" i="6"/>
  <c r="K61" i="6" s="1"/>
  <c r="M60" i="6"/>
  <c r="L60" i="6"/>
  <c r="I60" i="6"/>
  <c r="H60" i="6"/>
  <c r="K60" i="6" s="1"/>
  <c r="M59" i="6"/>
  <c r="L59" i="6"/>
  <c r="K59" i="6"/>
  <c r="I59" i="6"/>
  <c r="H59" i="6"/>
  <c r="L58" i="6"/>
  <c r="M58" i="6" s="1"/>
  <c r="I58" i="6"/>
  <c r="H58" i="6"/>
  <c r="K58" i="6" s="1"/>
  <c r="M57" i="6"/>
  <c r="L57" i="6"/>
  <c r="K57" i="6"/>
  <c r="I57" i="6"/>
  <c r="H57" i="6"/>
  <c r="M56" i="6"/>
  <c r="L56" i="6"/>
  <c r="K56" i="6"/>
  <c r="I56" i="6"/>
  <c r="H56" i="6"/>
  <c r="L55" i="6"/>
  <c r="M55" i="6" s="1"/>
  <c r="K55" i="6"/>
  <c r="I55" i="6"/>
  <c r="H55" i="6"/>
  <c r="L54" i="6"/>
  <c r="M54" i="6" s="1"/>
  <c r="I54" i="6"/>
  <c r="H54" i="6"/>
  <c r="K54" i="6" s="1"/>
  <c r="L53" i="6"/>
  <c r="M53" i="6" s="1"/>
  <c r="K53" i="6"/>
  <c r="I53" i="6"/>
  <c r="J62" i="6" s="1"/>
  <c r="H53" i="6"/>
  <c r="L52" i="6"/>
  <c r="M52" i="6" s="1"/>
  <c r="K52" i="6"/>
  <c r="I52" i="6"/>
  <c r="H52" i="6"/>
  <c r="M51" i="6"/>
  <c r="L51" i="6"/>
  <c r="I51" i="6"/>
  <c r="J55" i="6" s="1"/>
  <c r="H51" i="6"/>
  <c r="K51" i="6" s="1"/>
  <c r="L50" i="6"/>
  <c r="M50" i="6" s="1"/>
  <c r="I50" i="6"/>
  <c r="H50" i="6"/>
  <c r="K50" i="6" s="1"/>
  <c r="L49" i="6"/>
  <c r="M49" i="6" s="1"/>
  <c r="N49" i="6" s="1"/>
  <c r="K49" i="6"/>
  <c r="J49" i="6"/>
  <c r="I49" i="6"/>
  <c r="J58" i="6" s="1"/>
  <c r="H49" i="6"/>
  <c r="L48" i="6"/>
  <c r="M48" i="6" s="1"/>
  <c r="I48" i="6"/>
  <c r="H48" i="6"/>
  <c r="K48" i="6" s="1"/>
  <c r="M47" i="6"/>
  <c r="L47" i="6"/>
  <c r="K47" i="6"/>
  <c r="I47" i="6"/>
  <c r="H47" i="6"/>
  <c r="L46" i="6"/>
  <c r="M46" i="6" s="1"/>
  <c r="I46" i="6"/>
  <c r="H46" i="6"/>
  <c r="K46" i="6" s="1"/>
  <c r="L45" i="6"/>
  <c r="M45" i="6" s="1"/>
  <c r="K45" i="6"/>
  <c r="I45" i="6"/>
  <c r="H45" i="6"/>
  <c r="L44" i="6"/>
  <c r="M44" i="6" s="1"/>
  <c r="I44" i="6"/>
  <c r="H44" i="6"/>
  <c r="K44" i="6" s="1"/>
  <c r="M43" i="6"/>
  <c r="L43" i="6"/>
  <c r="K43" i="6"/>
  <c r="I43" i="6"/>
  <c r="H43" i="6"/>
  <c r="L42" i="6"/>
  <c r="M42" i="6" s="1"/>
  <c r="I42" i="6"/>
  <c r="H42" i="6"/>
  <c r="K42" i="6" s="1"/>
  <c r="M41" i="6"/>
  <c r="L41" i="6"/>
  <c r="I41" i="6"/>
  <c r="H41" i="6"/>
  <c r="K41" i="6" s="1"/>
  <c r="L40" i="6"/>
  <c r="M40" i="6" s="1"/>
  <c r="I40" i="6"/>
  <c r="H40" i="6"/>
  <c r="K40" i="6" s="1"/>
  <c r="M39" i="6"/>
  <c r="L39" i="6"/>
  <c r="K39" i="6"/>
  <c r="I39" i="6"/>
  <c r="H39" i="6"/>
  <c r="L38" i="6"/>
  <c r="M38" i="6" s="1"/>
  <c r="I38" i="6"/>
  <c r="H38" i="6"/>
  <c r="K38" i="6" s="1"/>
  <c r="M37" i="6"/>
  <c r="L37" i="6"/>
  <c r="K37" i="6"/>
  <c r="I37" i="6"/>
  <c r="H37" i="6"/>
  <c r="L36" i="6"/>
  <c r="M36" i="6" s="1"/>
  <c r="K36" i="6"/>
  <c r="I36" i="6"/>
  <c r="H36" i="6"/>
  <c r="L35" i="6"/>
  <c r="M35" i="6" s="1"/>
  <c r="I35" i="6"/>
  <c r="H35" i="6"/>
  <c r="K35" i="6" s="1"/>
  <c r="L34" i="6"/>
  <c r="M34" i="6" s="1"/>
  <c r="I34" i="6"/>
  <c r="H34" i="6"/>
  <c r="K34" i="6" s="1"/>
  <c r="L33" i="6"/>
  <c r="M33" i="6" s="1"/>
  <c r="K33" i="6"/>
  <c r="I33" i="6"/>
  <c r="J40" i="6" s="1"/>
  <c r="H33" i="6"/>
  <c r="L32" i="6"/>
  <c r="M32" i="6" s="1"/>
  <c r="K32" i="6"/>
  <c r="I32" i="6"/>
  <c r="H32" i="6"/>
  <c r="M31" i="6"/>
  <c r="L31" i="6"/>
  <c r="I31" i="6"/>
  <c r="H31" i="6"/>
  <c r="K31" i="6" s="1"/>
  <c r="M30" i="6"/>
  <c r="L30" i="6"/>
  <c r="I30" i="6"/>
  <c r="H30" i="6"/>
  <c r="K30" i="6" s="1"/>
  <c r="L29" i="6"/>
  <c r="M29" i="6" s="1"/>
  <c r="K29" i="6"/>
  <c r="I29" i="6"/>
  <c r="H29" i="6"/>
  <c r="L28" i="6"/>
  <c r="M28" i="6" s="1"/>
  <c r="I28" i="6"/>
  <c r="H28" i="6"/>
  <c r="K28" i="6" s="1"/>
  <c r="M27" i="6"/>
  <c r="L27" i="6"/>
  <c r="K27" i="6"/>
  <c r="I27" i="6"/>
  <c r="H27" i="6"/>
  <c r="M26" i="6"/>
  <c r="L26" i="6"/>
  <c r="I26" i="6"/>
  <c r="H26" i="6"/>
  <c r="K26" i="6" s="1"/>
  <c r="L25" i="6"/>
  <c r="M25" i="6" s="1"/>
  <c r="K25" i="6"/>
  <c r="I25" i="6"/>
  <c r="H25" i="6"/>
  <c r="L24" i="6"/>
  <c r="M24" i="6" s="1"/>
  <c r="I24" i="6"/>
  <c r="H24" i="6"/>
  <c r="K24" i="6" s="1"/>
  <c r="L23" i="6"/>
  <c r="M23" i="6" s="1"/>
  <c r="K23" i="6"/>
  <c r="I23" i="6"/>
  <c r="H23" i="6"/>
  <c r="L22" i="6"/>
  <c r="M22" i="6" s="1"/>
  <c r="I22" i="6"/>
  <c r="H22" i="6"/>
  <c r="K22" i="6" s="1"/>
  <c r="M21" i="6"/>
  <c r="L21" i="6"/>
  <c r="I21" i="6"/>
  <c r="H21" i="6"/>
  <c r="K21" i="6" s="1"/>
  <c r="L20" i="6"/>
  <c r="M20" i="6" s="1"/>
  <c r="I20" i="6"/>
  <c r="H20" i="6"/>
  <c r="K20" i="6" s="1"/>
  <c r="L19" i="6"/>
  <c r="M19" i="6" s="1"/>
  <c r="K19" i="6"/>
  <c r="I19" i="6"/>
  <c r="H19" i="6"/>
  <c r="L18" i="6"/>
  <c r="M18" i="6" s="1"/>
  <c r="I18" i="6"/>
  <c r="J25" i="6" s="1"/>
  <c r="H18" i="6"/>
  <c r="K18" i="6" s="1"/>
  <c r="M17" i="6"/>
  <c r="L17" i="6"/>
  <c r="K17" i="6"/>
  <c r="I17" i="6"/>
  <c r="H17" i="6"/>
  <c r="L16" i="6"/>
  <c r="M16" i="6" s="1"/>
  <c r="K16" i="6"/>
  <c r="I16" i="6"/>
  <c r="H16" i="6"/>
  <c r="L15" i="6"/>
  <c r="M15" i="6" s="1"/>
  <c r="I15" i="6"/>
  <c r="H15" i="6"/>
  <c r="K15" i="6" s="1"/>
  <c r="L14" i="6"/>
  <c r="M14" i="6" s="1"/>
  <c r="I14" i="6"/>
  <c r="H14" i="6"/>
  <c r="K14" i="6" s="1"/>
  <c r="M13" i="6"/>
  <c r="L13" i="6"/>
  <c r="K13" i="6"/>
  <c r="I13" i="6"/>
  <c r="H13" i="6"/>
  <c r="L12" i="6"/>
  <c r="M12" i="6" s="1"/>
  <c r="K12" i="6"/>
  <c r="I12" i="6"/>
  <c r="H12" i="6"/>
  <c r="M11" i="6"/>
  <c r="L11" i="6"/>
  <c r="I11" i="6"/>
  <c r="H11" i="6"/>
  <c r="K11" i="6" s="1"/>
  <c r="M10" i="6"/>
  <c r="L10" i="6"/>
  <c r="I10" i="6"/>
  <c r="H10" i="6"/>
  <c r="K10" i="6" s="1"/>
  <c r="M9" i="6"/>
  <c r="L9" i="6"/>
  <c r="K9" i="6"/>
  <c r="I9" i="6"/>
  <c r="H9" i="6"/>
  <c r="L8" i="6"/>
  <c r="M8" i="6" s="1"/>
  <c r="I8" i="6"/>
  <c r="H8" i="6"/>
  <c r="K8" i="6" s="1"/>
  <c r="M7" i="6"/>
  <c r="L7" i="6"/>
  <c r="K7" i="6"/>
  <c r="I7" i="6"/>
  <c r="H7" i="6"/>
  <c r="M6" i="6"/>
  <c r="L6" i="6"/>
  <c r="K6" i="6"/>
  <c r="I6" i="6"/>
  <c r="H6" i="6"/>
  <c r="L5" i="6"/>
  <c r="M5" i="6" s="1"/>
  <c r="K5" i="6"/>
  <c r="I5" i="6"/>
  <c r="H5" i="6"/>
  <c r="L4" i="6"/>
  <c r="M4" i="6" s="1"/>
  <c r="I4" i="6"/>
  <c r="H4" i="6"/>
  <c r="K4" i="6" s="1"/>
  <c r="L3" i="6"/>
  <c r="M3" i="6" s="1"/>
  <c r="K3" i="6"/>
  <c r="I3" i="6"/>
  <c r="J8" i="6" s="1"/>
  <c r="H3" i="6"/>
  <c r="K48" i="5"/>
  <c r="N48" i="5" s="1"/>
  <c r="G48" i="5"/>
  <c r="F48" i="5"/>
  <c r="C48" i="5"/>
  <c r="E48" i="5" s="1"/>
  <c r="M47" i="5"/>
  <c r="K47" i="5"/>
  <c r="N47" i="5" s="1"/>
  <c r="G47" i="5"/>
  <c r="F47" i="5"/>
  <c r="E47" i="5"/>
  <c r="C47" i="5"/>
  <c r="G46" i="5"/>
  <c r="C46" i="5"/>
  <c r="K46" i="5" s="1"/>
  <c r="M46" i="5" s="1"/>
  <c r="G45" i="5"/>
  <c r="C45" i="5"/>
  <c r="G44" i="5"/>
  <c r="C44" i="5"/>
  <c r="E44" i="5" s="1"/>
  <c r="G43" i="5"/>
  <c r="F43" i="5" s="1"/>
  <c r="E43" i="5"/>
  <c r="C43" i="5"/>
  <c r="K43" i="5" s="1"/>
  <c r="G42" i="5"/>
  <c r="C42" i="5"/>
  <c r="M41" i="5"/>
  <c r="K41" i="5"/>
  <c r="N41" i="5" s="1"/>
  <c r="G41" i="5"/>
  <c r="F41" i="5" s="1"/>
  <c r="E41" i="5"/>
  <c r="C41" i="5"/>
  <c r="G40" i="5"/>
  <c r="E40" i="5"/>
  <c r="C40" i="5"/>
  <c r="K40" i="5" s="1"/>
  <c r="G39" i="5"/>
  <c r="C39" i="5"/>
  <c r="K38" i="5"/>
  <c r="N38" i="5" s="1"/>
  <c r="G38" i="5"/>
  <c r="C38" i="5"/>
  <c r="F38" i="5" s="1"/>
  <c r="M37" i="5"/>
  <c r="K37" i="5"/>
  <c r="I37" i="5"/>
  <c r="G37" i="5"/>
  <c r="F37" i="5" s="1"/>
  <c r="E37" i="5"/>
  <c r="C37" i="5"/>
  <c r="K36" i="5"/>
  <c r="I36" i="5"/>
  <c r="G36" i="5"/>
  <c r="F36" i="5" s="1"/>
  <c r="E36" i="5"/>
  <c r="C36" i="5"/>
  <c r="G35" i="5"/>
  <c r="C35" i="5"/>
  <c r="K34" i="5"/>
  <c r="M34" i="5" s="1"/>
  <c r="G34" i="5"/>
  <c r="E34" i="5"/>
  <c r="C34" i="5"/>
  <c r="N33" i="5"/>
  <c r="M33" i="5"/>
  <c r="K33" i="5"/>
  <c r="G33" i="5"/>
  <c r="C33" i="5"/>
  <c r="F33" i="5" s="1"/>
  <c r="M32" i="5"/>
  <c r="K32" i="5"/>
  <c r="N32" i="5" s="1"/>
  <c r="I32" i="5"/>
  <c r="G32" i="5"/>
  <c r="F32" i="5" s="1"/>
  <c r="E32" i="5"/>
  <c r="C32" i="5"/>
  <c r="K31" i="5"/>
  <c r="I31" i="5"/>
  <c r="G31" i="5"/>
  <c r="F31" i="5"/>
  <c r="E31" i="5"/>
  <c r="C31" i="5"/>
  <c r="G30" i="5"/>
  <c r="F30" i="5" s="1"/>
  <c r="E30" i="5"/>
  <c r="C30" i="5"/>
  <c r="G29" i="5"/>
  <c r="E29" i="5"/>
  <c r="C29" i="5"/>
  <c r="N28" i="5"/>
  <c r="M28" i="5"/>
  <c r="K28" i="5"/>
  <c r="G28" i="5"/>
  <c r="C28" i="5"/>
  <c r="K27" i="5"/>
  <c r="N27" i="5" s="1"/>
  <c r="I27" i="5"/>
  <c r="G27" i="5"/>
  <c r="F27" i="5" s="1"/>
  <c r="E27" i="5"/>
  <c r="C27" i="5"/>
  <c r="K26" i="5"/>
  <c r="I26" i="5"/>
  <c r="G26" i="5"/>
  <c r="F26" i="5"/>
  <c r="E26" i="5"/>
  <c r="C26" i="5"/>
  <c r="G25" i="5"/>
  <c r="F25" i="5"/>
  <c r="E25" i="5"/>
  <c r="C25" i="5"/>
  <c r="G24" i="5"/>
  <c r="C24" i="5"/>
  <c r="K23" i="5"/>
  <c r="N23" i="5" s="1"/>
  <c r="G23" i="5"/>
  <c r="C23" i="5"/>
  <c r="N22" i="5"/>
  <c r="K22" i="5"/>
  <c r="M22" i="5" s="1"/>
  <c r="I22" i="5"/>
  <c r="G22" i="5"/>
  <c r="F22" i="5" s="1"/>
  <c r="E22" i="5"/>
  <c r="C22" i="5"/>
  <c r="K21" i="5"/>
  <c r="I21" i="5"/>
  <c r="G21" i="5"/>
  <c r="F21" i="5"/>
  <c r="E21" i="5"/>
  <c r="C21" i="5"/>
  <c r="G20" i="5"/>
  <c r="C20" i="5"/>
  <c r="N19" i="5"/>
  <c r="K19" i="5"/>
  <c r="M19" i="5" s="1"/>
  <c r="G19" i="5"/>
  <c r="C19" i="5"/>
  <c r="K18" i="5"/>
  <c r="N18" i="5" s="1"/>
  <c r="G18" i="5"/>
  <c r="C18" i="5"/>
  <c r="F18" i="5" s="1"/>
  <c r="K17" i="5"/>
  <c r="N17" i="5" s="1"/>
  <c r="I17" i="5"/>
  <c r="G17" i="5"/>
  <c r="F17" i="5" s="1"/>
  <c r="E17" i="5"/>
  <c r="C17" i="5"/>
  <c r="K16" i="5"/>
  <c r="I16" i="5"/>
  <c r="G16" i="5"/>
  <c r="F16" i="5" s="1"/>
  <c r="E16" i="5"/>
  <c r="C16" i="5"/>
  <c r="G15" i="5"/>
  <c r="C15" i="5"/>
  <c r="K14" i="5"/>
  <c r="M14" i="5" s="1"/>
  <c r="G14" i="5"/>
  <c r="C14" i="5"/>
  <c r="K13" i="5"/>
  <c r="N13" i="5" s="1"/>
  <c r="G13" i="5"/>
  <c r="C13" i="5"/>
  <c r="F13" i="5" s="1"/>
  <c r="M12" i="5"/>
  <c r="K12" i="5"/>
  <c r="I12" i="5"/>
  <c r="G12" i="5"/>
  <c r="F12" i="5" s="1"/>
  <c r="E12" i="5"/>
  <c r="C12" i="5"/>
  <c r="K11" i="5"/>
  <c r="I11" i="5"/>
  <c r="G11" i="5"/>
  <c r="F11" i="5" s="1"/>
  <c r="E11" i="5"/>
  <c r="C11" i="5"/>
  <c r="G10" i="5"/>
  <c r="C10" i="5"/>
  <c r="K9" i="5"/>
  <c r="M9" i="5" s="1"/>
  <c r="G9" i="5"/>
  <c r="E9" i="5"/>
  <c r="C9" i="5"/>
  <c r="N8" i="5"/>
  <c r="M8" i="5"/>
  <c r="K8" i="5"/>
  <c r="G8" i="5"/>
  <c r="C8" i="5"/>
  <c r="F8" i="5" s="1"/>
  <c r="M7" i="5"/>
  <c r="K7" i="5"/>
  <c r="N7" i="5" s="1"/>
  <c r="I7" i="5"/>
  <c r="G7" i="5"/>
  <c r="F7" i="5" s="1"/>
  <c r="E7" i="5"/>
  <c r="C7" i="5"/>
  <c r="K6" i="5"/>
  <c r="I6" i="5"/>
  <c r="G6" i="5"/>
  <c r="F6" i="5"/>
  <c r="E6" i="5"/>
  <c r="C6" i="5"/>
  <c r="G5" i="5"/>
  <c r="F5" i="5" s="1"/>
  <c r="E5" i="5"/>
  <c r="C5" i="5"/>
  <c r="G4" i="5"/>
  <c r="E4" i="5"/>
  <c r="C4" i="5"/>
  <c r="N3" i="5"/>
  <c r="M3" i="5"/>
  <c r="M50" i="5" s="1"/>
  <c r="K3" i="5"/>
  <c r="G3" i="5"/>
  <c r="C3" i="5"/>
  <c r="O118" i="4"/>
  <c r="M118" i="4"/>
  <c r="H118" i="4"/>
  <c r="G118" i="4"/>
  <c r="F118" i="4"/>
  <c r="K118" i="4" s="1"/>
  <c r="L118" i="4" s="1"/>
  <c r="N118" i="4" s="1"/>
  <c r="D118" i="4"/>
  <c r="B118" i="4"/>
  <c r="O117" i="4"/>
  <c r="M117" i="4"/>
  <c r="H117" i="4"/>
  <c r="G117" i="4"/>
  <c r="D117" i="4"/>
  <c r="B117" i="4"/>
  <c r="O116" i="4"/>
  <c r="M116" i="4"/>
  <c r="H116" i="4"/>
  <c r="G116" i="4"/>
  <c r="D116" i="4"/>
  <c r="B116" i="4"/>
  <c r="O115" i="4"/>
  <c r="M115" i="4"/>
  <c r="H115" i="4"/>
  <c r="G115" i="4"/>
  <c r="D115" i="4"/>
  <c r="B115" i="4"/>
  <c r="O114" i="4"/>
  <c r="M114" i="4"/>
  <c r="H114" i="4"/>
  <c r="G114" i="4"/>
  <c r="D114" i="4"/>
  <c r="B114" i="4"/>
  <c r="O113" i="4"/>
  <c r="M113" i="4"/>
  <c r="H113" i="4"/>
  <c r="G113" i="4"/>
  <c r="D113" i="4"/>
  <c r="B113" i="4"/>
  <c r="O112" i="4"/>
  <c r="M112" i="4"/>
  <c r="H112" i="4"/>
  <c r="G112" i="4"/>
  <c r="D112" i="4"/>
  <c r="B112" i="4"/>
  <c r="O111" i="4"/>
  <c r="M111" i="4"/>
  <c r="H111" i="4"/>
  <c r="G111" i="4"/>
  <c r="D111" i="4"/>
  <c r="B111" i="4"/>
  <c r="O110" i="4"/>
  <c r="M110" i="4"/>
  <c r="H110" i="4"/>
  <c r="G110" i="4"/>
  <c r="D110" i="4"/>
  <c r="B110" i="4"/>
  <c r="O109" i="4"/>
  <c r="M109" i="4"/>
  <c r="H109" i="4"/>
  <c r="G109" i="4"/>
  <c r="D109" i="4"/>
  <c r="B109" i="4"/>
  <c r="O108" i="4"/>
  <c r="M108" i="4"/>
  <c r="H108" i="4"/>
  <c r="G108" i="4"/>
  <c r="D108" i="4"/>
  <c r="B108" i="4"/>
  <c r="O107" i="4"/>
  <c r="M107" i="4"/>
  <c r="H107" i="4"/>
  <c r="G107" i="4"/>
  <c r="D107" i="4"/>
  <c r="B107" i="4"/>
  <c r="O106" i="4"/>
  <c r="M106" i="4"/>
  <c r="H106" i="4"/>
  <c r="G106" i="4"/>
  <c r="D106" i="4"/>
  <c r="B106" i="4"/>
  <c r="O105" i="4"/>
  <c r="M105" i="4"/>
  <c r="H105" i="4"/>
  <c r="G105" i="4"/>
  <c r="D105" i="4"/>
  <c r="B105" i="4"/>
  <c r="O104" i="4"/>
  <c r="M104" i="4"/>
  <c r="H104" i="4"/>
  <c r="G104" i="4"/>
  <c r="D104" i="4"/>
  <c r="B104" i="4"/>
  <c r="O103" i="4"/>
  <c r="M103" i="4"/>
  <c r="H103" i="4"/>
  <c r="G103" i="4"/>
  <c r="D103" i="4"/>
  <c r="B103" i="4"/>
  <c r="O102" i="4"/>
  <c r="M102" i="4"/>
  <c r="H102" i="4"/>
  <c r="G102" i="4"/>
  <c r="D102" i="4"/>
  <c r="B102" i="4"/>
  <c r="O101" i="4"/>
  <c r="M101" i="4"/>
  <c r="H101" i="4"/>
  <c r="G101" i="4"/>
  <c r="D101" i="4"/>
  <c r="B101" i="4"/>
  <c r="O100" i="4"/>
  <c r="M100" i="4"/>
  <c r="H100" i="4"/>
  <c r="G100" i="4"/>
  <c r="D100" i="4"/>
  <c r="B100" i="4"/>
  <c r="O99" i="4"/>
  <c r="M99" i="4"/>
  <c r="H99" i="4"/>
  <c r="G99" i="4"/>
  <c r="D99" i="4"/>
  <c r="B99" i="4"/>
  <c r="O98" i="4"/>
  <c r="M98" i="4"/>
  <c r="H98" i="4"/>
  <c r="G98" i="4"/>
  <c r="D98" i="4"/>
  <c r="B98" i="4"/>
  <c r="O97" i="4"/>
  <c r="M97" i="4"/>
  <c r="H97" i="4"/>
  <c r="G97" i="4"/>
  <c r="D97" i="4"/>
  <c r="B97" i="4"/>
  <c r="O96" i="4"/>
  <c r="M96" i="4"/>
  <c r="H96" i="4"/>
  <c r="G96" i="4"/>
  <c r="D96" i="4"/>
  <c r="B96" i="4"/>
  <c r="O95" i="4"/>
  <c r="M95" i="4"/>
  <c r="H95" i="4"/>
  <c r="G95" i="4"/>
  <c r="D95" i="4"/>
  <c r="B95" i="4"/>
  <c r="O94" i="4"/>
  <c r="M94" i="4"/>
  <c r="H94" i="4"/>
  <c r="G94" i="4"/>
  <c r="D94" i="4"/>
  <c r="B94" i="4"/>
  <c r="O93" i="4"/>
  <c r="M93" i="4"/>
  <c r="H93" i="4"/>
  <c r="G93" i="4"/>
  <c r="D93" i="4"/>
  <c r="B93" i="4"/>
  <c r="O92" i="4"/>
  <c r="M92" i="4"/>
  <c r="H92" i="4"/>
  <c r="G92" i="4"/>
  <c r="D92" i="4"/>
  <c r="B92" i="4"/>
  <c r="O91" i="4"/>
  <c r="M91" i="4"/>
  <c r="H91" i="4"/>
  <c r="G91" i="4"/>
  <c r="D91" i="4"/>
  <c r="B91" i="4"/>
  <c r="O90" i="4"/>
  <c r="M90" i="4"/>
  <c r="H90" i="4"/>
  <c r="G90" i="4"/>
  <c r="D90" i="4"/>
  <c r="B90" i="4"/>
  <c r="O89" i="4"/>
  <c r="M89" i="4"/>
  <c r="H89" i="4"/>
  <c r="G89" i="4"/>
  <c r="D89" i="4"/>
  <c r="B89" i="4"/>
  <c r="O88" i="4"/>
  <c r="M88" i="4"/>
  <c r="H88" i="4"/>
  <c r="G88" i="4"/>
  <c r="D88" i="4"/>
  <c r="B88" i="4"/>
  <c r="O87" i="4"/>
  <c r="M87" i="4"/>
  <c r="H87" i="4"/>
  <c r="G87" i="4"/>
  <c r="D87" i="4"/>
  <c r="B87" i="4"/>
  <c r="O86" i="4"/>
  <c r="M86" i="4"/>
  <c r="H86" i="4"/>
  <c r="G86" i="4"/>
  <c r="D86" i="4"/>
  <c r="B86" i="4"/>
  <c r="O85" i="4"/>
  <c r="M85" i="4"/>
  <c r="H85" i="4"/>
  <c r="G85" i="4"/>
  <c r="D85" i="4"/>
  <c r="B85" i="4"/>
  <c r="O84" i="4"/>
  <c r="M84" i="4"/>
  <c r="H84" i="4"/>
  <c r="G84" i="4"/>
  <c r="D84" i="4"/>
  <c r="B84" i="4"/>
  <c r="O83" i="4"/>
  <c r="M83" i="4"/>
  <c r="H83" i="4"/>
  <c r="G83" i="4"/>
  <c r="D83" i="4"/>
  <c r="B83" i="4"/>
  <c r="O82" i="4"/>
  <c r="M82" i="4"/>
  <c r="H82" i="4"/>
  <c r="G82" i="4"/>
  <c r="D82" i="4"/>
  <c r="B82" i="4"/>
  <c r="O81" i="4"/>
  <c r="M81" i="4"/>
  <c r="H81" i="4"/>
  <c r="G81" i="4"/>
  <c r="D81" i="4"/>
  <c r="B81" i="4"/>
  <c r="O80" i="4"/>
  <c r="M80" i="4"/>
  <c r="H80" i="4"/>
  <c r="G80" i="4"/>
  <c r="D80" i="4"/>
  <c r="B80" i="4"/>
  <c r="O79" i="4"/>
  <c r="M79" i="4"/>
  <c r="H79" i="4"/>
  <c r="G79" i="4"/>
  <c r="D79" i="4"/>
  <c r="B79" i="4"/>
  <c r="O78" i="4"/>
  <c r="M78" i="4"/>
  <c r="H78" i="4"/>
  <c r="G78" i="4"/>
  <c r="D78" i="4"/>
  <c r="B78" i="4"/>
  <c r="O77" i="4"/>
  <c r="M77" i="4"/>
  <c r="H77" i="4"/>
  <c r="G77" i="4"/>
  <c r="D77" i="4"/>
  <c r="B77" i="4"/>
  <c r="O76" i="4"/>
  <c r="M76" i="4"/>
  <c r="H76" i="4"/>
  <c r="G76" i="4"/>
  <c r="D76" i="4"/>
  <c r="B76" i="4"/>
  <c r="O75" i="4"/>
  <c r="M75" i="4"/>
  <c r="H75" i="4"/>
  <c r="G75" i="4"/>
  <c r="D75" i="4"/>
  <c r="B75" i="4"/>
  <c r="O74" i="4"/>
  <c r="M74" i="4"/>
  <c r="H74" i="4"/>
  <c r="G74" i="4"/>
  <c r="D74" i="4"/>
  <c r="B74" i="4"/>
  <c r="O73" i="4"/>
  <c r="M73" i="4"/>
  <c r="H73" i="4"/>
  <c r="G73" i="4"/>
  <c r="D73" i="4"/>
  <c r="B73" i="4"/>
  <c r="O72" i="4"/>
  <c r="M72" i="4"/>
  <c r="H72" i="4"/>
  <c r="G72" i="4"/>
  <c r="D72" i="4"/>
  <c r="B72" i="4"/>
  <c r="O71" i="4"/>
  <c r="M71" i="4"/>
  <c r="H71" i="4"/>
  <c r="G71" i="4"/>
  <c r="D71" i="4"/>
  <c r="B71" i="4"/>
  <c r="O70" i="4"/>
  <c r="M70" i="4"/>
  <c r="H70" i="4"/>
  <c r="G70" i="4"/>
  <c r="D70" i="4"/>
  <c r="B70" i="4"/>
  <c r="O69" i="4"/>
  <c r="M69" i="4"/>
  <c r="H69" i="4"/>
  <c r="G69" i="4"/>
  <c r="D69" i="4"/>
  <c r="B69" i="4"/>
  <c r="O68" i="4"/>
  <c r="M68" i="4"/>
  <c r="H68" i="4"/>
  <c r="G68" i="4"/>
  <c r="D68" i="4"/>
  <c r="B68" i="4"/>
  <c r="O67" i="4"/>
  <c r="M67" i="4"/>
  <c r="H67" i="4"/>
  <c r="G67" i="4"/>
  <c r="D67" i="4"/>
  <c r="B67" i="4"/>
  <c r="O66" i="4"/>
  <c r="M66" i="4"/>
  <c r="H66" i="4"/>
  <c r="G66" i="4"/>
  <c r="D66" i="4"/>
  <c r="B66" i="4"/>
  <c r="O65" i="4"/>
  <c r="M65" i="4"/>
  <c r="H65" i="4"/>
  <c r="G65" i="4"/>
  <c r="D65" i="4"/>
  <c r="B65" i="4"/>
  <c r="O64" i="4"/>
  <c r="M64" i="4"/>
  <c r="H64" i="4"/>
  <c r="G64" i="4"/>
  <c r="D64" i="4"/>
  <c r="B64" i="4"/>
  <c r="O63" i="4"/>
  <c r="M63" i="4"/>
  <c r="H63" i="4"/>
  <c r="G63" i="4"/>
  <c r="D63" i="4"/>
  <c r="B63" i="4"/>
  <c r="O62" i="4"/>
  <c r="M62" i="4"/>
  <c r="H62" i="4"/>
  <c r="G62" i="4"/>
  <c r="D62" i="4"/>
  <c r="B62" i="4"/>
  <c r="O61" i="4"/>
  <c r="M61" i="4"/>
  <c r="H61" i="4"/>
  <c r="G61" i="4"/>
  <c r="D61" i="4"/>
  <c r="B61" i="4"/>
  <c r="O60" i="4"/>
  <c r="M60" i="4"/>
  <c r="H60" i="4"/>
  <c r="G60" i="4"/>
  <c r="D60" i="4"/>
  <c r="B60" i="4"/>
  <c r="O59" i="4"/>
  <c r="M59" i="4"/>
  <c r="H59" i="4"/>
  <c r="G59" i="4"/>
  <c r="D59" i="4"/>
  <c r="B59" i="4"/>
  <c r="O58" i="4"/>
  <c r="M58" i="4"/>
  <c r="H58" i="4"/>
  <c r="G58" i="4"/>
  <c r="D58" i="4"/>
  <c r="B58" i="4"/>
  <c r="O57" i="4"/>
  <c r="M57" i="4"/>
  <c r="H57" i="4"/>
  <c r="G57" i="4"/>
  <c r="D57" i="4"/>
  <c r="B57" i="4"/>
  <c r="O56" i="4"/>
  <c r="M56" i="4"/>
  <c r="H56" i="4"/>
  <c r="G56" i="4"/>
  <c r="D56" i="4"/>
  <c r="B56" i="4"/>
  <c r="O55" i="4"/>
  <c r="M55" i="4"/>
  <c r="H55" i="4"/>
  <c r="G55" i="4"/>
  <c r="D55" i="4"/>
  <c r="B55" i="4"/>
  <c r="O54" i="4"/>
  <c r="M54" i="4"/>
  <c r="H54" i="4"/>
  <c r="G54" i="4"/>
  <c r="D54" i="4"/>
  <c r="B54" i="4"/>
  <c r="O53" i="4"/>
  <c r="M53" i="4"/>
  <c r="H53" i="4"/>
  <c r="G53" i="4"/>
  <c r="D53" i="4"/>
  <c r="B53" i="4"/>
  <c r="O52" i="4"/>
  <c r="M52" i="4"/>
  <c r="H52" i="4"/>
  <c r="G52" i="4"/>
  <c r="D52" i="4"/>
  <c r="B52" i="4"/>
  <c r="O51" i="4"/>
  <c r="M51" i="4"/>
  <c r="H51" i="4"/>
  <c r="G51" i="4"/>
  <c r="D51" i="4"/>
  <c r="B51" i="4"/>
  <c r="O50" i="4"/>
  <c r="M50" i="4"/>
  <c r="H50" i="4"/>
  <c r="G50" i="4"/>
  <c r="D50" i="4"/>
  <c r="B50" i="4"/>
  <c r="O49" i="4"/>
  <c r="M49" i="4"/>
  <c r="H49" i="4"/>
  <c r="G49" i="4"/>
  <c r="D49" i="4"/>
  <c r="B49" i="4"/>
  <c r="O48" i="4"/>
  <c r="M48" i="4"/>
  <c r="H48" i="4"/>
  <c r="G48" i="4"/>
  <c r="D48" i="4"/>
  <c r="B48" i="4"/>
  <c r="O47" i="4"/>
  <c r="M47" i="4"/>
  <c r="H47" i="4"/>
  <c r="G47" i="4"/>
  <c r="D47" i="4"/>
  <c r="B47" i="4"/>
  <c r="O46" i="4"/>
  <c r="M46" i="4"/>
  <c r="H46" i="4"/>
  <c r="G46" i="4"/>
  <c r="D46" i="4"/>
  <c r="B46" i="4"/>
  <c r="O45" i="4"/>
  <c r="M45" i="4"/>
  <c r="H45" i="4"/>
  <c r="G45" i="4"/>
  <c r="D45" i="4"/>
  <c r="B45" i="4"/>
  <c r="O44" i="4"/>
  <c r="M44" i="4"/>
  <c r="H44" i="4"/>
  <c r="G44" i="4"/>
  <c r="D44" i="4"/>
  <c r="B44" i="4"/>
  <c r="O43" i="4"/>
  <c r="M43" i="4"/>
  <c r="H43" i="4"/>
  <c r="G43" i="4"/>
  <c r="D43" i="4"/>
  <c r="B43" i="4"/>
  <c r="O42" i="4"/>
  <c r="M42" i="4"/>
  <c r="H42" i="4"/>
  <c r="G42" i="4"/>
  <c r="D42" i="4"/>
  <c r="B42" i="4"/>
  <c r="O41" i="4"/>
  <c r="M41" i="4"/>
  <c r="H41" i="4"/>
  <c r="G41" i="4"/>
  <c r="D41" i="4"/>
  <c r="B41" i="4"/>
  <c r="O40" i="4"/>
  <c r="M40" i="4"/>
  <c r="H40" i="4"/>
  <c r="G40" i="4"/>
  <c r="D40" i="4"/>
  <c r="B40" i="4"/>
  <c r="O39" i="4"/>
  <c r="M39" i="4"/>
  <c r="H39" i="4"/>
  <c r="G39" i="4"/>
  <c r="D39" i="4"/>
  <c r="B39" i="4"/>
  <c r="O38" i="4"/>
  <c r="M38" i="4"/>
  <c r="H38" i="4"/>
  <c r="G38" i="4"/>
  <c r="D38" i="4"/>
  <c r="B38" i="4"/>
  <c r="O37" i="4"/>
  <c r="M37" i="4"/>
  <c r="H37" i="4"/>
  <c r="G37" i="4"/>
  <c r="D37" i="4"/>
  <c r="B37" i="4"/>
  <c r="O36" i="4"/>
  <c r="M36" i="4"/>
  <c r="H36" i="4"/>
  <c r="G36" i="4"/>
  <c r="D36" i="4"/>
  <c r="B36" i="4"/>
  <c r="O35" i="4"/>
  <c r="M35" i="4"/>
  <c r="H35" i="4"/>
  <c r="G35" i="4"/>
  <c r="D35" i="4"/>
  <c r="B35" i="4"/>
  <c r="O34" i="4"/>
  <c r="M34" i="4"/>
  <c r="H34" i="4"/>
  <c r="G34" i="4"/>
  <c r="D34" i="4"/>
  <c r="B34" i="4"/>
  <c r="O33" i="4"/>
  <c r="M33" i="4"/>
  <c r="H33" i="4"/>
  <c r="G33" i="4"/>
  <c r="D33" i="4"/>
  <c r="B33" i="4"/>
  <c r="O32" i="4"/>
  <c r="M32" i="4"/>
  <c r="H32" i="4"/>
  <c r="G32" i="4"/>
  <c r="D32" i="4"/>
  <c r="B32" i="4"/>
  <c r="O31" i="4"/>
  <c r="M31" i="4"/>
  <c r="H31" i="4"/>
  <c r="G31" i="4"/>
  <c r="D31" i="4"/>
  <c r="B31" i="4"/>
  <c r="O30" i="4"/>
  <c r="M30" i="4"/>
  <c r="H30" i="4"/>
  <c r="G30" i="4"/>
  <c r="D30" i="4"/>
  <c r="B30" i="4"/>
  <c r="O29" i="4"/>
  <c r="M29" i="4"/>
  <c r="H29" i="4"/>
  <c r="G29" i="4"/>
  <c r="D29" i="4"/>
  <c r="B29" i="4"/>
  <c r="O28" i="4"/>
  <c r="M28" i="4"/>
  <c r="H28" i="4"/>
  <c r="G28" i="4"/>
  <c r="D28" i="4"/>
  <c r="B28" i="4"/>
  <c r="O27" i="4"/>
  <c r="M27" i="4"/>
  <c r="H27" i="4"/>
  <c r="G27" i="4"/>
  <c r="D27" i="4"/>
  <c r="B27" i="4"/>
  <c r="O26" i="4"/>
  <c r="M26" i="4"/>
  <c r="H26" i="4"/>
  <c r="G26" i="4"/>
  <c r="D26" i="4"/>
  <c r="B26" i="4"/>
  <c r="O25" i="4"/>
  <c r="M25" i="4"/>
  <c r="H25" i="4"/>
  <c r="G25" i="4"/>
  <c r="D25" i="4"/>
  <c r="B25" i="4"/>
  <c r="O24" i="4"/>
  <c r="M24" i="4"/>
  <c r="H24" i="4"/>
  <c r="G24" i="4"/>
  <c r="D24" i="4"/>
  <c r="B24" i="4"/>
  <c r="O23" i="4"/>
  <c r="M23" i="4"/>
  <c r="H23" i="4"/>
  <c r="G23" i="4"/>
  <c r="D23" i="4"/>
  <c r="B23" i="4"/>
  <c r="O22" i="4"/>
  <c r="M22" i="4"/>
  <c r="H22" i="4"/>
  <c r="G22" i="4"/>
  <c r="D22" i="4"/>
  <c r="B22" i="4"/>
  <c r="O21" i="4"/>
  <c r="M21" i="4"/>
  <c r="H21" i="4"/>
  <c r="G21" i="4"/>
  <c r="D21" i="4"/>
  <c r="B21" i="4"/>
  <c r="O20" i="4"/>
  <c r="M20" i="4"/>
  <c r="H20" i="4"/>
  <c r="G20" i="4"/>
  <c r="D20" i="4"/>
  <c r="B20" i="4"/>
  <c r="O19" i="4"/>
  <c r="M19" i="4"/>
  <c r="H19" i="4"/>
  <c r="G19" i="4"/>
  <c r="D19" i="4"/>
  <c r="B19" i="4"/>
  <c r="O18" i="4"/>
  <c r="M18" i="4"/>
  <c r="H18" i="4"/>
  <c r="G18" i="4"/>
  <c r="D18" i="4"/>
  <c r="B18" i="4"/>
  <c r="O17" i="4"/>
  <c r="M17" i="4"/>
  <c r="H17" i="4"/>
  <c r="G17" i="4"/>
  <c r="D17" i="4"/>
  <c r="B17" i="4"/>
  <c r="O16" i="4"/>
  <c r="M16" i="4"/>
  <c r="H16" i="4"/>
  <c r="G16" i="4"/>
  <c r="D16" i="4"/>
  <c r="B16" i="4"/>
  <c r="O15" i="4"/>
  <c r="M15" i="4"/>
  <c r="H15" i="4"/>
  <c r="G15" i="4"/>
  <c r="D15" i="4"/>
  <c r="B15" i="4"/>
  <c r="O14" i="4"/>
  <c r="M14" i="4"/>
  <c r="H14" i="4"/>
  <c r="G14" i="4"/>
  <c r="D14" i="4"/>
  <c r="B14" i="4"/>
  <c r="O13" i="4"/>
  <c r="M13" i="4"/>
  <c r="H13" i="4"/>
  <c r="G13" i="4"/>
  <c r="D13" i="4"/>
  <c r="B13" i="4"/>
  <c r="O12" i="4"/>
  <c r="M12" i="4"/>
  <c r="H12" i="4"/>
  <c r="G12" i="4"/>
  <c r="D12" i="4"/>
  <c r="B12" i="4"/>
  <c r="O11" i="4"/>
  <c r="M11" i="4"/>
  <c r="H11" i="4"/>
  <c r="G11" i="4"/>
  <c r="D11" i="4"/>
  <c r="B11" i="4"/>
  <c r="O10" i="4"/>
  <c r="M10" i="4"/>
  <c r="H10" i="4"/>
  <c r="G10" i="4"/>
  <c r="D10" i="4"/>
  <c r="B10" i="4"/>
  <c r="O9" i="4"/>
  <c r="M9" i="4"/>
  <c r="M120" i="4" s="1"/>
  <c r="H9" i="4"/>
  <c r="G9" i="4"/>
  <c r="D9" i="4"/>
  <c r="B9" i="4"/>
  <c r="W425" i="3"/>
  <c r="V425" i="3"/>
  <c r="N425" i="3"/>
  <c r="O425" i="3" s="1"/>
  <c r="M425" i="3"/>
  <c r="L425" i="3"/>
  <c r="K425" i="3"/>
  <c r="J425" i="3"/>
  <c r="AC424" i="3"/>
  <c r="W424" i="3"/>
  <c r="V424" i="3"/>
  <c r="N424" i="3"/>
  <c r="M424" i="3"/>
  <c r="O424" i="3" s="1"/>
  <c r="L424" i="3"/>
  <c r="K424" i="3"/>
  <c r="P424" i="3" s="1"/>
  <c r="Q424" i="3" s="1"/>
  <c r="J424" i="3"/>
  <c r="AC423" i="3"/>
  <c r="V423" i="3"/>
  <c r="O423" i="3"/>
  <c r="N423" i="3"/>
  <c r="M423" i="3"/>
  <c r="W423" i="3" s="1"/>
  <c r="L423" i="3"/>
  <c r="K423" i="3"/>
  <c r="P423" i="3" s="1"/>
  <c r="Q423" i="3" s="1"/>
  <c r="J423" i="3"/>
  <c r="AC422" i="3"/>
  <c r="P422" i="3"/>
  <c r="N422" i="3"/>
  <c r="M422" i="3"/>
  <c r="O422" i="3" s="1"/>
  <c r="L422" i="3"/>
  <c r="K422" i="3"/>
  <c r="J422" i="3"/>
  <c r="AC421" i="3"/>
  <c r="N421" i="3"/>
  <c r="M421" i="3"/>
  <c r="W421" i="3" s="1"/>
  <c r="L421" i="3"/>
  <c r="K421" i="3"/>
  <c r="P421" i="3" s="1"/>
  <c r="J421" i="3"/>
  <c r="AC420" i="3"/>
  <c r="O420" i="3"/>
  <c r="N420" i="3"/>
  <c r="M420" i="3"/>
  <c r="W420" i="3" s="1"/>
  <c r="L420" i="3"/>
  <c r="K420" i="3"/>
  <c r="J420" i="3"/>
  <c r="AC419" i="3"/>
  <c r="V419" i="3"/>
  <c r="N419" i="3"/>
  <c r="M419" i="3"/>
  <c r="O419" i="3" s="1"/>
  <c r="L419" i="3"/>
  <c r="K419" i="3"/>
  <c r="J419" i="3"/>
  <c r="AC418" i="3"/>
  <c r="V418" i="3"/>
  <c r="O418" i="3"/>
  <c r="N418" i="3"/>
  <c r="M418" i="3"/>
  <c r="W418" i="3" s="1"/>
  <c r="L418" i="3"/>
  <c r="K418" i="3"/>
  <c r="P418" i="3" s="1"/>
  <c r="Q418" i="3" s="1"/>
  <c r="J418" i="3"/>
  <c r="AC417" i="3"/>
  <c r="Q417" i="3"/>
  <c r="P417" i="3"/>
  <c r="O417" i="3"/>
  <c r="N417" i="3"/>
  <c r="M417" i="3"/>
  <c r="L417" i="3"/>
  <c r="K417" i="3"/>
  <c r="J417" i="3"/>
  <c r="AC416" i="3"/>
  <c r="V416" i="3"/>
  <c r="P416" i="3"/>
  <c r="N416" i="3"/>
  <c r="M416" i="3"/>
  <c r="W416" i="3" s="1"/>
  <c r="L416" i="3"/>
  <c r="K416" i="3"/>
  <c r="J416" i="3"/>
  <c r="AC415" i="3"/>
  <c r="N415" i="3"/>
  <c r="M415" i="3"/>
  <c r="L415" i="3"/>
  <c r="K415" i="3"/>
  <c r="P415" i="3" s="1"/>
  <c r="J415" i="3"/>
  <c r="AC414" i="3"/>
  <c r="N414" i="3"/>
  <c r="M414" i="3"/>
  <c r="O414" i="3" s="1"/>
  <c r="L414" i="3"/>
  <c r="K414" i="3"/>
  <c r="P414" i="3" s="1"/>
  <c r="Q414" i="3" s="1"/>
  <c r="J414" i="3"/>
  <c r="AC413" i="3"/>
  <c r="V413" i="3"/>
  <c r="O413" i="3"/>
  <c r="Q413" i="3" s="1"/>
  <c r="N413" i="3"/>
  <c r="M413" i="3"/>
  <c r="W413" i="3" s="1"/>
  <c r="L413" i="3"/>
  <c r="K413" i="3"/>
  <c r="P413" i="3" s="1"/>
  <c r="J413" i="3"/>
  <c r="AC412" i="3"/>
  <c r="N412" i="3"/>
  <c r="M412" i="3"/>
  <c r="L412" i="3"/>
  <c r="K412" i="3"/>
  <c r="P412" i="3" s="1"/>
  <c r="J412" i="3"/>
  <c r="AC411" i="3"/>
  <c r="V411" i="3"/>
  <c r="N411" i="3"/>
  <c r="M411" i="3"/>
  <c r="W411" i="3" s="1"/>
  <c r="L411" i="3"/>
  <c r="K411" i="3"/>
  <c r="P411" i="3" s="1"/>
  <c r="J411" i="3"/>
  <c r="AC410" i="3"/>
  <c r="N410" i="3"/>
  <c r="M410" i="3"/>
  <c r="L410" i="3"/>
  <c r="K410" i="3"/>
  <c r="J410" i="3"/>
  <c r="AC409" i="3"/>
  <c r="W409" i="3"/>
  <c r="O409" i="3"/>
  <c r="N409" i="3"/>
  <c r="M409" i="3"/>
  <c r="V409" i="3" s="1"/>
  <c r="L409" i="3"/>
  <c r="K409" i="3"/>
  <c r="J409" i="3"/>
  <c r="AC408" i="3"/>
  <c r="N408" i="3"/>
  <c r="M408" i="3"/>
  <c r="W408" i="3" s="1"/>
  <c r="L408" i="3"/>
  <c r="K408" i="3"/>
  <c r="P408" i="3" s="1"/>
  <c r="J408" i="3"/>
  <c r="AC407" i="3"/>
  <c r="N407" i="3"/>
  <c r="M407" i="3"/>
  <c r="W407" i="3" s="1"/>
  <c r="L407" i="3"/>
  <c r="K407" i="3"/>
  <c r="P407" i="3" s="1"/>
  <c r="J407" i="3"/>
  <c r="AC406" i="3"/>
  <c r="N406" i="3"/>
  <c r="M406" i="3"/>
  <c r="L406" i="3"/>
  <c r="K406" i="3"/>
  <c r="P406" i="3" s="1"/>
  <c r="J406" i="3"/>
  <c r="AC405" i="3"/>
  <c r="V405" i="3"/>
  <c r="O405" i="3"/>
  <c r="N405" i="3"/>
  <c r="M405" i="3"/>
  <c r="W405" i="3" s="1"/>
  <c r="L405" i="3"/>
  <c r="K405" i="3"/>
  <c r="J405" i="3"/>
  <c r="AC404" i="3"/>
  <c r="N404" i="3"/>
  <c r="M404" i="3"/>
  <c r="V404" i="3" s="1"/>
  <c r="L404" i="3"/>
  <c r="K404" i="3"/>
  <c r="J404" i="3"/>
  <c r="AC403" i="3"/>
  <c r="N403" i="3"/>
  <c r="M403" i="3"/>
  <c r="W403" i="3" s="1"/>
  <c r="L403" i="3"/>
  <c r="K403" i="3"/>
  <c r="P403" i="3" s="1"/>
  <c r="J403" i="3"/>
  <c r="AC402" i="3"/>
  <c r="P402" i="3"/>
  <c r="N402" i="3"/>
  <c r="M402" i="3"/>
  <c r="L402" i="3"/>
  <c r="K402" i="3"/>
  <c r="J402" i="3"/>
  <c r="AC401" i="3"/>
  <c r="V401" i="3"/>
  <c r="P401" i="3"/>
  <c r="N401" i="3"/>
  <c r="M401" i="3"/>
  <c r="L401" i="3"/>
  <c r="K401" i="3"/>
  <c r="J401" i="3"/>
  <c r="AC400" i="3"/>
  <c r="O400" i="3"/>
  <c r="N400" i="3"/>
  <c r="M400" i="3"/>
  <c r="W400" i="3" s="1"/>
  <c r="L400" i="3"/>
  <c r="K400" i="3"/>
  <c r="J400" i="3"/>
  <c r="AC399" i="3"/>
  <c r="N399" i="3"/>
  <c r="M399" i="3"/>
  <c r="V399" i="3" s="1"/>
  <c r="L399" i="3"/>
  <c r="K399" i="3"/>
  <c r="J399" i="3"/>
  <c r="AC398" i="3"/>
  <c r="V398" i="3"/>
  <c r="N398" i="3"/>
  <c r="M398" i="3"/>
  <c r="W398" i="3" s="1"/>
  <c r="L398" i="3"/>
  <c r="K398" i="3"/>
  <c r="P398" i="3" s="1"/>
  <c r="J398" i="3"/>
  <c r="AC397" i="3"/>
  <c r="P397" i="3"/>
  <c r="N397" i="3"/>
  <c r="M397" i="3"/>
  <c r="L397" i="3"/>
  <c r="K397" i="3"/>
  <c r="J397" i="3"/>
  <c r="AC396" i="3"/>
  <c r="N396" i="3"/>
  <c r="M396" i="3"/>
  <c r="L396" i="3"/>
  <c r="K396" i="3"/>
  <c r="P396" i="3" s="1"/>
  <c r="J396" i="3"/>
  <c r="AC395" i="3"/>
  <c r="N395" i="3"/>
  <c r="M395" i="3"/>
  <c r="W395" i="3" s="1"/>
  <c r="L395" i="3"/>
  <c r="K395" i="3"/>
  <c r="J395" i="3"/>
  <c r="AC394" i="3"/>
  <c r="N394" i="3"/>
  <c r="M394" i="3"/>
  <c r="V394" i="3" s="1"/>
  <c r="L394" i="3"/>
  <c r="K394" i="3"/>
  <c r="J394" i="3"/>
  <c r="AC393" i="3"/>
  <c r="V393" i="3"/>
  <c r="O393" i="3"/>
  <c r="Q393" i="3" s="1"/>
  <c r="N393" i="3"/>
  <c r="M393" i="3"/>
  <c r="W393" i="3" s="1"/>
  <c r="L393" i="3"/>
  <c r="K393" i="3"/>
  <c r="P393" i="3" s="1"/>
  <c r="J393" i="3"/>
  <c r="AC392" i="3"/>
  <c r="P392" i="3"/>
  <c r="N392" i="3"/>
  <c r="M392" i="3"/>
  <c r="L392" i="3"/>
  <c r="K392" i="3"/>
  <c r="J392" i="3"/>
  <c r="AC391" i="3"/>
  <c r="V391" i="3"/>
  <c r="N391" i="3"/>
  <c r="M391" i="3"/>
  <c r="L391" i="3"/>
  <c r="K391" i="3"/>
  <c r="P391" i="3" s="1"/>
  <c r="J391" i="3"/>
  <c r="AC390" i="3"/>
  <c r="N390" i="3"/>
  <c r="M390" i="3"/>
  <c r="W390" i="3" s="1"/>
  <c r="L390" i="3"/>
  <c r="K390" i="3"/>
  <c r="J390" i="3"/>
  <c r="AC389" i="3"/>
  <c r="N389" i="3"/>
  <c r="M389" i="3"/>
  <c r="V389" i="3" s="1"/>
  <c r="L389" i="3"/>
  <c r="K389" i="3"/>
  <c r="J389" i="3"/>
  <c r="AC388" i="3"/>
  <c r="O388" i="3"/>
  <c r="N388" i="3"/>
  <c r="M388" i="3"/>
  <c r="W388" i="3" s="1"/>
  <c r="L388" i="3"/>
  <c r="K388" i="3"/>
  <c r="P388" i="3" s="1"/>
  <c r="J388" i="3"/>
  <c r="AC387" i="3"/>
  <c r="P387" i="3"/>
  <c r="N387" i="3"/>
  <c r="M387" i="3"/>
  <c r="L387" i="3"/>
  <c r="K387" i="3"/>
  <c r="J387" i="3"/>
  <c r="AC386" i="3"/>
  <c r="V386" i="3"/>
  <c r="P386" i="3"/>
  <c r="N386" i="3"/>
  <c r="M386" i="3"/>
  <c r="L386" i="3"/>
  <c r="K386" i="3"/>
  <c r="J386" i="3"/>
  <c r="AC385" i="3"/>
  <c r="V385" i="3"/>
  <c r="O385" i="3"/>
  <c r="N385" i="3"/>
  <c r="M385" i="3"/>
  <c r="W385" i="3" s="1"/>
  <c r="L385" i="3"/>
  <c r="K385" i="3"/>
  <c r="J385" i="3"/>
  <c r="AC384" i="3"/>
  <c r="W384" i="3"/>
  <c r="N384" i="3"/>
  <c r="M384" i="3"/>
  <c r="V384" i="3" s="1"/>
  <c r="L384" i="3"/>
  <c r="K384" i="3"/>
  <c r="J384" i="3"/>
  <c r="AC383" i="3"/>
  <c r="V383" i="3"/>
  <c r="O383" i="3"/>
  <c r="N383" i="3"/>
  <c r="M383" i="3"/>
  <c r="W383" i="3" s="1"/>
  <c r="L383" i="3"/>
  <c r="K383" i="3"/>
  <c r="P383" i="3" s="1"/>
  <c r="Q383" i="3" s="1"/>
  <c r="J383" i="3"/>
  <c r="AC382" i="3"/>
  <c r="N382" i="3"/>
  <c r="M382" i="3"/>
  <c r="L382" i="3"/>
  <c r="K382" i="3"/>
  <c r="P382" i="3" s="1"/>
  <c r="J382" i="3"/>
  <c r="AC381" i="3"/>
  <c r="V381" i="3"/>
  <c r="P381" i="3"/>
  <c r="N381" i="3"/>
  <c r="M381" i="3"/>
  <c r="L381" i="3"/>
  <c r="K381" i="3"/>
  <c r="J381" i="3"/>
  <c r="AC380" i="3"/>
  <c r="V380" i="3"/>
  <c r="N380" i="3"/>
  <c r="M380" i="3"/>
  <c r="W380" i="3" s="1"/>
  <c r="L380" i="3"/>
  <c r="K380" i="3"/>
  <c r="J380" i="3"/>
  <c r="N379" i="3"/>
  <c r="L379" i="3"/>
  <c r="K379" i="3"/>
  <c r="J379" i="3"/>
  <c r="N378" i="3"/>
  <c r="L378" i="3"/>
  <c r="K378" i="3"/>
  <c r="P378" i="3" s="1"/>
  <c r="J378" i="3"/>
  <c r="AC377" i="3"/>
  <c r="V377" i="3"/>
  <c r="P377" i="3"/>
  <c r="Q377" i="3" s="1"/>
  <c r="O377" i="3"/>
  <c r="N377" i="3"/>
  <c r="M377" i="3"/>
  <c r="W377" i="3" s="1"/>
  <c r="L377" i="3"/>
  <c r="K377" i="3"/>
  <c r="J377" i="3"/>
  <c r="AC376" i="3"/>
  <c r="V376" i="3"/>
  <c r="N376" i="3"/>
  <c r="O376" i="3" s="1"/>
  <c r="M376" i="3"/>
  <c r="W376" i="3" s="1"/>
  <c r="L376" i="3"/>
  <c r="K376" i="3"/>
  <c r="P376" i="3" s="1"/>
  <c r="Q376" i="3" s="1"/>
  <c r="J376" i="3"/>
  <c r="AC375" i="3"/>
  <c r="V375" i="3"/>
  <c r="O375" i="3"/>
  <c r="N375" i="3"/>
  <c r="M375" i="3"/>
  <c r="W375" i="3" s="1"/>
  <c r="L375" i="3"/>
  <c r="K375" i="3"/>
  <c r="P375" i="3" s="1"/>
  <c r="Q375" i="3" s="1"/>
  <c r="J375" i="3"/>
  <c r="AC374" i="3"/>
  <c r="N374" i="3"/>
  <c r="M374" i="3"/>
  <c r="V374" i="3" s="1"/>
  <c r="L374" i="3"/>
  <c r="K374" i="3"/>
  <c r="P374" i="3" s="1"/>
  <c r="J374" i="3"/>
  <c r="L373" i="3"/>
  <c r="K373" i="3"/>
  <c r="P373" i="3" s="1"/>
  <c r="J373" i="3"/>
  <c r="P372" i="3"/>
  <c r="L372" i="3"/>
  <c r="K372" i="3"/>
  <c r="J372" i="3"/>
  <c r="I1902" i="14" s="1"/>
  <c r="P371" i="3"/>
  <c r="N371" i="3"/>
  <c r="L371" i="3"/>
  <c r="K371" i="3"/>
  <c r="J371" i="3"/>
  <c r="L370" i="3"/>
  <c r="K370" i="3"/>
  <c r="P370" i="3" s="1"/>
  <c r="J370" i="3"/>
  <c r="AC369" i="3"/>
  <c r="W369" i="3"/>
  <c r="V369" i="3"/>
  <c r="O369" i="3"/>
  <c r="N369" i="3"/>
  <c r="M369" i="3"/>
  <c r="L369" i="3"/>
  <c r="K369" i="3"/>
  <c r="J369" i="3"/>
  <c r="L368" i="3"/>
  <c r="K368" i="3"/>
  <c r="P368" i="3" s="1"/>
  <c r="J368" i="3"/>
  <c r="I1890" i="14" s="1"/>
  <c r="AC367" i="3"/>
  <c r="V367" i="3"/>
  <c r="P367" i="3"/>
  <c r="O367" i="3"/>
  <c r="N367" i="3"/>
  <c r="M367" i="3"/>
  <c r="W367" i="3" s="1"/>
  <c r="L367" i="3"/>
  <c r="K367" i="3"/>
  <c r="J367" i="3"/>
  <c r="AC366" i="3"/>
  <c r="P366" i="3"/>
  <c r="Q366" i="3" s="1"/>
  <c r="O366" i="3"/>
  <c r="N366" i="3"/>
  <c r="M366" i="3"/>
  <c r="L366" i="3"/>
  <c r="K366" i="3"/>
  <c r="J366" i="3"/>
  <c r="AC365" i="3"/>
  <c r="W365" i="3"/>
  <c r="N365" i="3"/>
  <c r="O365" i="3" s="1"/>
  <c r="M365" i="3"/>
  <c r="V365" i="3" s="1"/>
  <c r="L365" i="3"/>
  <c r="K365" i="3"/>
  <c r="J365" i="3"/>
  <c r="AC364" i="3"/>
  <c r="W364" i="3"/>
  <c r="V364" i="3"/>
  <c r="O364" i="3"/>
  <c r="N364" i="3"/>
  <c r="M364" i="3"/>
  <c r="L364" i="3"/>
  <c r="K364" i="3"/>
  <c r="J364" i="3"/>
  <c r="AC363" i="3"/>
  <c r="O363" i="3"/>
  <c r="N363" i="3"/>
  <c r="M363" i="3"/>
  <c r="W363" i="3" s="1"/>
  <c r="L363" i="3"/>
  <c r="K363" i="3"/>
  <c r="P363" i="3" s="1"/>
  <c r="J363" i="3"/>
  <c r="AC362" i="3"/>
  <c r="N362" i="3"/>
  <c r="M362" i="3"/>
  <c r="W362" i="3" s="1"/>
  <c r="L362" i="3"/>
  <c r="K362" i="3"/>
  <c r="P362" i="3" s="1"/>
  <c r="J362" i="3"/>
  <c r="AC361" i="3"/>
  <c r="N361" i="3"/>
  <c r="M361" i="3"/>
  <c r="W361" i="3" s="1"/>
  <c r="L361" i="3"/>
  <c r="K361" i="3"/>
  <c r="P361" i="3" s="1"/>
  <c r="J361" i="3"/>
  <c r="AC360" i="3"/>
  <c r="V360" i="3"/>
  <c r="N360" i="3"/>
  <c r="M360" i="3"/>
  <c r="W360" i="3" s="1"/>
  <c r="L360" i="3"/>
  <c r="K360" i="3"/>
  <c r="J360" i="3"/>
  <c r="AC359" i="3"/>
  <c r="W359" i="3"/>
  <c r="N359" i="3"/>
  <c r="M359" i="3"/>
  <c r="V359" i="3" s="1"/>
  <c r="L359" i="3"/>
  <c r="K359" i="3"/>
  <c r="J359" i="3"/>
  <c r="AC358" i="3"/>
  <c r="N358" i="3"/>
  <c r="M358" i="3"/>
  <c r="L358" i="3"/>
  <c r="K358" i="3"/>
  <c r="P358" i="3" s="1"/>
  <c r="J358" i="3"/>
  <c r="AC357" i="3"/>
  <c r="O357" i="3"/>
  <c r="N357" i="3"/>
  <c r="M357" i="3"/>
  <c r="W357" i="3" s="1"/>
  <c r="L357" i="3"/>
  <c r="K357" i="3"/>
  <c r="P357" i="3" s="1"/>
  <c r="Q357" i="3" s="1"/>
  <c r="J357" i="3"/>
  <c r="AC356" i="3"/>
  <c r="V356" i="3"/>
  <c r="N356" i="3"/>
  <c r="M356" i="3"/>
  <c r="W356" i="3" s="1"/>
  <c r="L356" i="3"/>
  <c r="K356" i="3"/>
  <c r="P356" i="3" s="1"/>
  <c r="J356" i="3"/>
  <c r="N355" i="3"/>
  <c r="L355" i="3"/>
  <c r="K355" i="3"/>
  <c r="J355" i="3"/>
  <c r="N354" i="3"/>
  <c r="L354" i="3"/>
  <c r="K354" i="3"/>
  <c r="P354" i="3" s="1"/>
  <c r="J354" i="3"/>
  <c r="AC353" i="3"/>
  <c r="N353" i="3"/>
  <c r="M353" i="3"/>
  <c r="L353" i="3"/>
  <c r="K353" i="3"/>
  <c r="P353" i="3" s="1"/>
  <c r="J353" i="3"/>
  <c r="AC352" i="3"/>
  <c r="P352" i="3"/>
  <c r="N352" i="3"/>
  <c r="M352" i="3"/>
  <c r="L352" i="3"/>
  <c r="K352" i="3"/>
  <c r="J352" i="3"/>
  <c r="AC351" i="3"/>
  <c r="N351" i="3"/>
  <c r="M351" i="3"/>
  <c r="W351" i="3" s="1"/>
  <c r="L351" i="3"/>
  <c r="K351" i="3"/>
  <c r="P351" i="3" s="1"/>
  <c r="J351" i="3"/>
  <c r="AC350" i="3"/>
  <c r="W350" i="3"/>
  <c r="O350" i="3"/>
  <c r="N350" i="3"/>
  <c r="M350" i="3"/>
  <c r="V350" i="3" s="1"/>
  <c r="L350" i="3"/>
  <c r="K350" i="3"/>
  <c r="J350" i="3"/>
  <c r="N349" i="3"/>
  <c r="L349" i="3"/>
  <c r="K349" i="3"/>
  <c r="P349" i="3" s="1"/>
  <c r="J349" i="3"/>
  <c r="L348" i="3"/>
  <c r="K348" i="3"/>
  <c r="P348" i="3" s="1"/>
  <c r="J348" i="3"/>
  <c r="P347" i="3"/>
  <c r="N347" i="3"/>
  <c r="L347" i="3"/>
  <c r="K347" i="3"/>
  <c r="J347" i="3"/>
  <c r="P346" i="3"/>
  <c r="N346" i="3"/>
  <c r="L346" i="3"/>
  <c r="K346" i="3"/>
  <c r="J346" i="3"/>
  <c r="AC345" i="3"/>
  <c r="N345" i="3"/>
  <c r="M345" i="3"/>
  <c r="L345" i="3"/>
  <c r="K345" i="3"/>
  <c r="P345" i="3" s="1"/>
  <c r="J345" i="3"/>
  <c r="L344" i="3"/>
  <c r="K344" i="3"/>
  <c r="P344" i="3" s="1"/>
  <c r="J344" i="3"/>
  <c r="AC343" i="3"/>
  <c r="W343" i="3"/>
  <c r="Q343" i="3"/>
  <c r="N343" i="3"/>
  <c r="M343" i="3"/>
  <c r="O343" i="3" s="1"/>
  <c r="L343" i="3"/>
  <c r="P343" i="3" s="1"/>
  <c r="K343" i="3"/>
  <c r="J343" i="3"/>
  <c r="AC342" i="3"/>
  <c r="N342" i="3"/>
  <c r="M342" i="3"/>
  <c r="W342" i="3" s="1"/>
  <c r="L342" i="3"/>
  <c r="K342" i="3"/>
  <c r="P342" i="3" s="1"/>
  <c r="J342" i="3"/>
  <c r="AC341" i="3"/>
  <c r="W341" i="3"/>
  <c r="V341" i="3"/>
  <c r="P341" i="3"/>
  <c r="N341" i="3"/>
  <c r="M341" i="3"/>
  <c r="O341" i="3" s="1"/>
  <c r="L341" i="3"/>
  <c r="K341" i="3"/>
  <c r="J341" i="3"/>
  <c r="AC340" i="3"/>
  <c r="P340" i="3"/>
  <c r="N340" i="3"/>
  <c r="M340" i="3"/>
  <c r="L340" i="3"/>
  <c r="K340" i="3"/>
  <c r="J340" i="3"/>
  <c r="AC339" i="3"/>
  <c r="N339" i="3"/>
  <c r="M339" i="3"/>
  <c r="L339" i="3"/>
  <c r="K339" i="3"/>
  <c r="P339" i="3" s="1"/>
  <c r="J339" i="3"/>
  <c r="AC338" i="3"/>
  <c r="W338" i="3"/>
  <c r="V338" i="3"/>
  <c r="O338" i="3"/>
  <c r="N338" i="3"/>
  <c r="M338" i="3"/>
  <c r="L338" i="3"/>
  <c r="K338" i="3"/>
  <c r="J338" i="3"/>
  <c r="AC337" i="3"/>
  <c r="V337" i="3"/>
  <c r="P337" i="3"/>
  <c r="Q337" i="3" s="1"/>
  <c r="N337" i="3"/>
  <c r="O337" i="3" s="1"/>
  <c r="M337" i="3"/>
  <c r="W337" i="3" s="1"/>
  <c r="L337" i="3"/>
  <c r="K337" i="3"/>
  <c r="J337" i="3"/>
  <c r="AC336" i="3"/>
  <c r="W336" i="3"/>
  <c r="P336" i="3"/>
  <c r="Q336" i="3" s="1"/>
  <c r="O336" i="3"/>
  <c r="N336" i="3"/>
  <c r="M336" i="3"/>
  <c r="V336" i="3" s="1"/>
  <c r="L336" i="3"/>
  <c r="K336" i="3"/>
  <c r="J336" i="3"/>
  <c r="AC335" i="3"/>
  <c r="N335" i="3"/>
  <c r="M335" i="3"/>
  <c r="L335" i="3"/>
  <c r="K335" i="3"/>
  <c r="P335" i="3" s="1"/>
  <c r="J335" i="3"/>
  <c r="AC334" i="3"/>
  <c r="W334" i="3"/>
  <c r="N334" i="3"/>
  <c r="O334" i="3" s="1"/>
  <c r="Q334" i="3" s="1"/>
  <c r="M334" i="3"/>
  <c r="V334" i="3" s="1"/>
  <c r="L334" i="3"/>
  <c r="K334" i="3"/>
  <c r="P334" i="3" s="1"/>
  <c r="J334" i="3"/>
  <c r="AC333" i="3"/>
  <c r="W333" i="3"/>
  <c r="Q333" i="3"/>
  <c r="N333" i="3"/>
  <c r="M333" i="3"/>
  <c r="O333" i="3" s="1"/>
  <c r="L333" i="3"/>
  <c r="P333" i="3" s="1"/>
  <c r="K333" i="3"/>
  <c r="J333" i="3"/>
  <c r="AC332" i="3"/>
  <c r="N332" i="3"/>
  <c r="M332" i="3"/>
  <c r="W332" i="3" s="1"/>
  <c r="L332" i="3"/>
  <c r="K332" i="3"/>
  <c r="P332" i="3" s="1"/>
  <c r="J332" i="3"/>
  <c r="AF331" i="3"/>
  <c r="AC331" i="3"/>
  <c r="W331" i="3"/>
  <c r="V331" i="3"/>
  <c r="P331" i="3"/>
  <c r="Q331" i="3" s="1"/>
  <c r="N331" i="3"/>
  <c r="M331" i="3"/>
  <c r="O331" i="3" s="1"/>
  <c r="L331" i="3"/>
  <c r="K331" i="3"/>
  <c r="J331" i="3"/>
  <c r="AC330" i="3"/>
  <c r="P330" i="3"/>
  <c r="N330" i="3"/>
  <c r="M330" i="3"/>
  <c r="L330" i="3"/>
  <c r="K330" i="3"/>
  <c r="J330" i="3"/>
  <c r="AC329" i="3"/>
  <c r="N329" i="3"/>
  <c r="M329" i="3"/>
  <c r="L329" i="3"/>
  <c r="K329" i="3"/>
  <c r="P329" i="3" s="1"/>
  <c r="J329" i="3"/>
  <c r="AC328" i="3"/>
  <c r="W328" i="3"/>
  <c r="V328" i="3"/>
  <c r="O328" i="3"/>
  <c r="N328" i="3"/>
  <c r="M328" i="3"/>
  <c r="L328" i="3"/>
  <c r="K328" i="3"/>
  <c r="J328" i="3"/>
  <c r="AC327" i="3"/>
  <c r="V327" i="3"/>
  <c r="P327" i="3"/>
  <c r="Q327" i="3" s="1"/>
  <c r="N327" i="3"/>
  <c r="O327" i="3" s="1"/>
  <c r="M327" i="3"/>
  <c r="W327" i="3" s="1"/>
  <c r="L327" i="3"/>
  <c r="K327" i="3"/>
  <c r="J327" i="3"/>
  <c r="AC326" i="3"/>
  <c r="W326" i="3"/>
  <c r="P326" i="3"/>
  <c r="Q326" i="3" s="1"/>
  <c r="O326" i="3"/>
  <c r="N326" i="3"/>
  <c r="M326" i="3"/>
  <c r="V326" i="3" s="1"/>
  <c r="L326" i="3"/>
  <c r="K326" i="3"/>
  <c r="J326" i="3"/>
  <c r="AC325" i="3"/>
  <c r="N325" i="3"/>
  <c r="M325" i="3"/>
  <c r="L325" i="3"/>
  <c r="K325" i="3"/>
  <c r="P325" i="3" s="1"/>
  <c r="J325" i="3"/>
  <c r="AC324" i="3"/>
  <c r="W324" i="3"/>
  <c r="N324" i="3"/>
  <c r="O324" i="3" s="1"/>
  <c r="Q324" i="3" s="1"/>
  <c r="M324" i="3"/>
  <c r="V324" i="3" s="1"/>
  <c r="L324" i="3"/>
  <c r="K324" i="3"/>
  <c r="P324" i="3" s="1"/>
  <c r="J324" i="3"/>
  <c r="AC323" i="3"/>
  <c r="W323" i="3"/>
  <c r="Q323" i="3"/>
  <c r="N323" i="3"/>
  <c r="M323" i="3"/>
  <c r="O323" i="3" s="1"/>
  <c r="L323" i="3"/>
  <c r="P323" i="3" s="1"/>
  <c r="K323" i="3"/>
  <c r="J323" i="3"/>
  <c r="AC322" i="3"/>
  <c r="N322" i="3"/>
  <c r="M322" i="3"/>
  <c r="W322" i="3" s="1"/>
  <c r="L322" i="3"/>
  <c r="K322" i="3"/>
  <c r="P322" i="3" s="1"/>
  <c r="J322" i="3"/>
  <c r="AF321" i="3"/>
  <c r="AC321" i="3"/>
  <c r="W321" i="3"/>
  <c r="V321" i="3"/>
  <c r="P321" i="3"/>
  <c r="Q321" i="3" s="1"/>
  <c r="N321" i="3"/>
  <c r="M321" i="3"/>
  <c r="O321" i="3" s="1"/>
  <c r="L321" i="3"/>
  <c r="K321" i="3"/>
  <c r="J321" i="3"/>
  <c r="AC320" i="3"/>
  <c r="N320" i="3"/>
  <c r="M320" i="3"/>
  <c r="L320" i="3"/>
  <c r="P320" i="3" s="1"/>
  <c r="K320" i="3"/>
  <c r="J320" i="3"/>
  <c r="AC319" i="3"/>
  <c r="N319" i="3"/>
  <c r="M319" i="3"/>
  <c r="L319" i="3"/>
  <c r="K319" i="3"/>
  <c r="P319" i="3" s="1"/>
  <c r="J319" i="3"/>
  <c r="AC318" i="3"/>
  <c r="W318" i="3"/>
  <c r="V318" i="3"/>
  <c r="O318" i="3"/>
  <c r="N318" i="3"/>
  <c r="M318" i="3"/>
  <c r="L318" i="3"/>
  <c r="K318" i="3"/>
  <c r="P318" i="3" s="1"/>
  <c r="Q318" i="3" s="1"/>
  <c r="J318" i="3"/>
  <c r="AC317" i="3"/>
  <c r="V317" i="3"/>
  <c r="P317" i="3"/>
  <c r="Q317" i="3" s="1"/>
  <c r="N317" i="3"/>
  <c r="O317" i="3" s="1"/>
  <c r="M317" i="3"/>
  <c r="W317" i="3" s="1"/>
  <c r="L317" i="3"/>
  <c r="K317" i="3"/>
  <c r="J317" i="3"/>
  <c r="AC316" i="3"/>
  <c r="W316" i="3"/>
  <c r="O316" i="3"/>
  <c r="N316" i="3"/>
  <c r="M316" i="3"/>
  <c r="V316" i="3" s="1"/>
  <c r="L316" i="3"/>
  <c r="K316" i="3"/>
  <c r="P316" i="3" s="1"/>
  <c r="Q316" i="3" s="1"/>
  <c r="J316" i="3"/>
  <c r="AC315" i="3"/>
  <c r="N315" i="3"/>
  <c r="M315" i="3"/>
  <c r="L315" i="3"/>
  <c r="K315" i="3"/>
  <c r="P315" i="3" s="1"/>
  <c r="J315" i="3"/>
  <c r="AC314" i="3"/>
  <c r="W314" i="3"/>
  <c r="N314" i="3"/>
  <c r="O314" i="3" s="1"/>
  <c r="Q314" i="3" s="1"/>
  <c r="M314" i="3"/>
  <c r="V314" i="3" s="1"/>
  <c r="L314" i="3"/>
  <c r="K314" i="3"/>
  <c r="P314" i="3" s="1"/>
  <c r="J314" i="3"/>
  <c r="AF313" i="3"/>
  <c r="AC313" i="3"/>
  <c r="W313" i="3"/>
  <c r="Q313" i="3"/>
  <c r="N313" i="3"/>
  <c r="M313" i="3"/>
  <c r="O313" i="3" s="1"/>
  <c r="L313" i="3"/>
  <c r="P313" i="3" s="1"/>
  <c r="K313" i="3"/>
  <c r="J313" i="3"/>
  <c r="AC312" i="3"/>
  <c r="N312" i="3"/>
  <c r="M312" i="3"/>
  <c r="W312" i="3" s="1"/>
  <c r="L312" i="3"/>
  <c r="K312" i="3"/>
  <c r="P312" i="3" s="1"/>
  <c r="J312" i="3"/>
  <c r="AC311" i="3"/>
  <c r="W311" i="3"/>
  <c r="V311" i="3"/>
  <c r="P311" i="3"/>
  <c r="Q311" i="3" s="1"/>
  <c r="N311" i="3"/>
  <c r="M311" i="3"/>
  <c r="O311" i="3" s="1"/>
  <c r="L311" i="3"/>
  <c r="K311" i="3"/>
  <c r="J311" i="3"/>
  <c r="AC310" i="3"/>
  <c r="N310" i="3"/>
  <c r="M310" i="3"/>
  <c r="L310" i="3"/>
  <c r="P310" i="3" s="1"/>
  <c r="K310" i="3"/>
  <c r="J310" i="3"/>
  <c r="AC309" i="3"/>
  <c r="N309" i="3"/>
  <c r="M309" i="3"/>
  <c r="O309" i="3" s="1"/>
  <c r="L309" i="3"/>
  <c r="K309" i="3"/>
  <c r="P309" i="3" s="1"/>
  <c r="J309" i="3"/>
  <c r="AC308" i="3"/>
  <c r="W308" i="3"/>
  <c r="V308" i="3"/>
  <c r="N308" i="3"/>
  <c r="M308" i="3"/>
  <c r="O308" i="3" s="1"/>
  <c r="L308" i="3"/>
  <c r="K308" i="3"/>
  <c r="P308" i="3" s="1"/>
  <c r="Q308" i="3" s="1"/>
  <c r="J308" i="3"/>
  <c r="AC307" i="3"/>
  <c r="V307" i="3"/>
  <c r="P307" i="3"/>
  <c r="N307" i="3"/>
  <c r="O307" i="3" s="1"/>
  <c r="M307" i="3"/>
  <c r="W307" i="3" s="1"/>
  <c r="L307" i="3"/>
  <c r="K307" i="3"/>
  <c r="J307" i="3"/>
  <c r="AC306" i="3"/>
  <c r="W306" i="3"/>
  <c r="O306" i="3"/>
  <c r="N306" i="3"/>
  <c r="M306" i="3"/>
  <c r="V306" i="3" s="1"/>
  <c r="L306" i="3"/>
  <c r="K306" i="3"/>
  <c r="P306" i="3" s="1"/>
  <c r="Q306" i="3" s="1"/>
  <c r="J306" i="3"/>
  <c r="AC305" i="3"/>
  <c r="N305" i="3"/>
  <c r="M305" i="3"/>
  <c r="L305" i="3"/>
  <c r="K305" i="3"/>
  <c r="P305" i="3" s="1"/>
  <c r="J305" i="3"/>
  <c r="AC304" i="3"/>
  <c r="W304" i="3"/>
  <c r="N304" i="3"/>
  <c r="O304" i="3" s="1"/>
  <c r="Q304" i="3" s="1"/>
  <c r="M304" i="3"/>
  <c r="V304" i="3" s="1"/>
  <c r="L304" i="3"/>
  <c r="K304" i="3"/>
  <c r="P304" i="3" s="1"/>
  <c r="J304" i="3"/>
  <c r="AF303" i="3"/>
  <c r="AC303" i="3"/>
  <c r="W303" i="3"/>
  <c r="Q303" i="3"/>
  <c r="N303" i="3"/>
  <c r="M303" i="3"/>
  <c r="O303" i="3" s="1"/>
  <c r="L303" i="3"/>
  <c r="P303" i="3" s="1"/>
  <c r="K303" i="3"/>
  <c r="J303" i="3"/>
  <c r="AC302" i="3"/>
  <c r="N302" i="3"/>
  <c r="M302" i="3"/>
  <c r="W302" i="3" s="1"/>
  <c r="L302" i="3"/>
  <c r="K302" i="3"/>
  <c r="P302" i="3" s="1"/>
  <c r="J302" i="3"/>
  <c r="AC301" i="3"/>
  <c r="W301" i="3"/>
  <c r="V301" i="3"/>
  <c r="P301" i="3"/>
  <c r="N301" i="3"/>
  <c r="M301" i="3"/>
  <c r="O301" i="3" s="1"/>
  <c r="L301" i="3"/>
  <c r="K301" i="3"/>
  <c r="J301" i="3"/>
  <c r="AC300" i="3"/>
  <c r="N300" i="3"/>
  <c r="M300" i="3"/>
  <c r="L300" i="3"/>
  <c r="P300" i="3" s="1"/>
  <c r="K300" i="3"/>
  <c r="J300" i="3"/>
  <c r="AC299" i="3"/>
  <c r="W299" i="3"/>
  <c r="N299" i="3"/>
  <c r="M299" i="3"/>
  <c r="O299" i="3" s="1"/>
  <c r="L299" i="3"/>
  <c r="K299" i="3"/>
  <c r="P299" i="3" s="1"/>
  <c r="Q299" i="3" s="1"/>
  <c r="J299" i="3"/>
  <c r="AC298" i="3"/>
  <c r="W298" i="3"/>
  <c r="V298" i="3"/>
  <c r="N298" i="3"/>
  <c r="M298" i="3"/>
  <c r="O298" i="3" s="1"/>
  <c r="L298" i="3"/>
  <c r="K298" i="3"/>
  <c r="J298" i="3"/>
  <c r="AC297" i="3"/>
  <c r="V297" i="3"/>
  <c r="P297" i="3"/>
  <c r="N297" i="3"/>
  <c r="O297" i="3" s="1"/>
  <c r="M297" i="3"/>
  <c r="W297" i="3" s="1"/>
  <c r="L297" i="3"/>
  <c r="K297" i="3"/>
  <c r="J297" i="3"/>
  <c r="AC296" i="3"/>
  <c r="W296" i="3"/>
  <c r="P296" i="3"/>
  <c r="N296" i="3"/>
  <c r="M296" i="3"/>
  <c r="L296" i="3"/>
  <c r="K296" i="3"/>
  <c r="J296" i="3"/>
  <c r="N295" i="3"/>
  <c r="L295" i="3"/>
  <c r="K295" i="3"/>
  <c r="P295" i="3" s="1"/>
  <c r="J295" i="3"/>
  <c r="N294" i="3"/>
  <c r="L294" i="3"/>
  <c r="K294" i="3"/>
  <c r="P294" i="3" s="1"/>
  <c r="J294" i="3"/>
  <c r="V293" i="3"/>
  <c r="N293" i="3"/>
  <c r="M293" i="3"/>
  <c r="L293" i="3"/>
  <c r="K293" i="3"/>
  <c r="P293" i="3" s="1"/>
  <c r="J293" i="3"/>
  <c r="N292" i="3"/>
  <c r="L292" i="3"/>
  <c r="K292" i="3"/>
  <c r="P292" i="3" s="1"/>
  <c r="J292" i="3"/>
  <c r="R291" i="3"/>
  <c r="P291" i="3"/>
  <c r="N291" i="3"/>
  <c r="L291" i="3"/>
  <c r="K291" i="3"/>
  <c r="J291" i="3"/>
  <c r="N290" i="3"/>
  <c r="L290" i="3"/>
  <c r="P290" i="3" s="1"/>
  <c r="K290" i="3"/>
  <c r="J290" i="3"/>
  <c r="N289" i="3"/>
  <c r="L289" i="3"/>
  <c r="K289" i="3"/>
  <c r="P289" i="3" s="1"/>
  <c r="J289" i="3"/>
  <c r="W288" i="3"/>
  <c r="V288" i="3"/>
  <c r="R288" i="3"/>
  <c r="P288" i="3"/>
  <c r="O288" i="3"/>
  <c r="Q288" i="3" s="1"/>
  <c r="N288" i="3"/>
  <c r="M288" i="3"/>
  <c r="L288" i="3"/>
  <c r="K288" i="3"/>
  <c r="J288" i="3"/>
  <c r="P287" i="3"/>
  <c r="N287" i="3"/>
  <c r="L287" i="3"/>
  <c r="K287" i="3"/>
  <c r="J287" i="3"/>
  <c r="N286" i="3"/>
  <c r="L286" i="3"/>
  <c r="K286" i="3"/>
  <c r="P286" i="3" s="1"/>
  <c r="J286" i="3"/>
  <c r="AC285" i="3"/>
  <c r="W285" i="3"/>
  <c r="V285" i="3"/>
  <c r="N285" i="3"/>
  <c r="M285" i="3"/>
  <c r="O285" i="3" s="1"/>
  <c r="L285" i="3"/>
  <c r="K285" i="3"/>
  <c r="P285" i="3" s="1"/>
  <c r="Q285" i="3" s="1"/>
  <c r="J285" i="3"/>
  <c r="AC284" i="3"/>
  <c r="N284" i="3"/>
  <c r="O284" i="3" s="1"/>
  <c r="M284" i="3"/>
  <c r="V284" i="3" s="1"/>
  <c r="L284" i="3"/>
  <c r="K284" i="3"/>
  <c r="J284" i="3"/>
  <c r="AC283" i="3"/>
  <c r="N283" i="3"/>
  <c r="M283" i="3"/>
  <c r="V283" i="3" s="1"/>
  <c r="L283" i="3"/>
  <c r="K283" i="3"/>
  <c r="P283" i="3" s="1"/>
  <c r="J283" i="3"/>
  <c r="AC282" i="3"/>
  <c r="V282" i="3"/>
  <c r="N282" i="3"/>
  <c r="M282" i="3"/>
  <c r="W282" i="3" s="1"/>
  <c r="L282" i="3"/>
  <c r="K282" i="3"/>
  <c r="P282" i="3" s="1"/>
  <c r="J282" i="3"/>
  <c r="AC281" i="3"/>
  <c r="W281" i="3"/>
  <c r="P281" i="3"/>
  <c r="N281" i="3"/>
  <c r="O281" i="3" s="1"/>
  <c r="Q281" i="3" s="1"/>
  <c r="M281" i="3"/>
  <c r="V281" i="3" s="1"/>
  <c r="L281" i="3"/>
  <c r="K281" i="3"/>
  <c r="J281" i="3"/>
  <c r="AC280" i="3"/>
  <c r="W280" i="3"/>
  <c r="P280" i="3"/>
  <c r="N280" i="3"/>
  <c r="M280" i="3"/>
  <c r="L280" i="3"/>
  <c r="K280" i="3"/>
  <c r="J280" i="3"/>
  <c r="AC279" i="3"/>
  <c r="W279" i="3"/>
  <c r="V279" i="3"/>
  <c r="N279" i="3"/>
  <c r="M279" i="3"/>
  <c r="L279" i="3"/>
  <c r="K279" i="3"/>
  <c r="J279" i="3"/>
  <c r="AC278" i="3"/>
  <c r="W278" i="3"/>
  <c r="V278" i="3"/>
  <c r="O278" i="3"/>
  <c r="N278" i="3"/>
  <c r="M278" i="3"/>
  <c r="L278" i="3"/>
  <c r="P278" i="3" s="1"/>
  <c r="Q278" i="3" s="1"/>
  <c r="K278" i="3"/>
  <c r="J278" i="3"/>
  <c r="P277" i="3"/>
  <c r="O277" i="3"/>
  <c r="Q277" i="3" s="1"/>
  <c r="N277" i="3"/>
  <c r="M277" i="3"/>
  <c r="W277" i="3" s="1"/>
  <c r="L277" i="3"/>
  <c r="K277" i="3"/>
  <c r="J277" i="3"/>
  <c r="W276" i="3"/>
  <c r="P276" i="3"/>
  <c r="N276" i="3"/>
  <c r="M276" i="3"/>
  <c r="L276" i="3"/>
  <c r="K276" i="3"/>
  <c r="J276" i="3"/>
  <c r="W275" i="3"/>
  <c r="P275" i="3"/>
  <c r="N275" i="3"/>
  <c r="M275" i="3"/>
  <c r="L275" i="3"/>
  <c r="K275" i="3"/>
  <c r="J275" i="3"/>
  <c r="R274" i="3"/>
  <c r="O274" i="3"/>
  <c r="N274" i="3"/>
  <c r="M274" i="3"/>
  <c r="V274" i="3" s="1"/>
  <c r="L274" i="3"/>
  <c r="K274" i="3"/>
  <c r="J274" i="3"/>
  <c r="AF273" i="3"/>
  <c r="W273" i="3"/>
  <c r="V273" i="3"/>
  <c r="P273" i="3"/>
  <c r="Q273" i="3" s="1"/>
  <c r="N273" i="3"/>
  <c r="M273" i="3"/>
  <c r="O273" i="3" s="1"/>
  <c r="L273" i="3"/>
  <c r="K273" i="3"/>
  <c r="J273" i="3"/>
  <c r="V272" i="3"/>
  <c r="N272" i="3"/>
  <c r="M272" i="3"/>
  <c r="L272" i="3"/>
  <c r="K272" i="3"/>
  <c r="P272" i="3" s="1"/>
  <c r="J272" i="3"/>
  <c r="P271" i="3"/>
  <c r="N271" i="3"/>
  <c r="L271" i="3"/>
  <c r="K271" i="3"/>
  <c r="J271" i="3"/>
  <c r="N270" i="3"/>
  <c r="M270" i="3"/>
  <c r="W270" i="3" s="1"/>
  <c r="L270" i="3"/>
  <c r="K270" i="3"/>
  <c r="P270" i="3" s="1"/>
  <c r="J270" i="3"/>
  <c r="N269" i="3"/>
  <c r="M269" i="3"/>
  <c r="W269" i="3" s="1"/>
  <c r="L269" i="3"/>
  <c r="K269" i="3"/>
  <c r="P269" i="3" s="1"/>
  <c r="J269" i="3"/>
  <c r="P268" i="3"/>
  <c r="N268" i="3"/>
  <c r="L268" i="3"/>
  <c r="K268" i="3"/>
  <c r="J268" i="3"/>
  <c r="AC267" i="3"/>
  <c r="N267" i="3"/>
  <c r="M267" i="3"/>
  <c r="L267" i="3"/>
  <c r="K267" i="3"/>
  <c r="P267" i="3" s="1"/>
  <c r="J267" i="3"/>
  <c r="AC266" i="3"/>
  <c r="W266" i="3"/>
  <c r="V266" i="3"/>
  <c r="N266" i="3"/>
  <c r="O266" i="3" s="1"/>
  <c r="M266" i="3"/>
  <c r="L266" i="3"/>
  <c r="K266" i="3"/>
  <c r="J266" i="3"/>
  <c r="AC265" i="3"/>
  <c r="W265" i="3"/>
  <c r="N265" i="3"/>
  <c r="O265" i="3" s="1"/>
  <c r="M265" i="3"/>
  <c r="V265" i="3" s="1"/>
  <c r="L265" i="3"/>
  <c r="K265" i="3"/>
  <c r="P265" i="3" s="1"/>
  <c r="Q265" i="3" s="1"/>
  <c r="AB265" i="3" s="1"/>
  <c r="AD265" i="3" s="1"/>
  <c r="AE265" i="3" s="1"/>
  <c r="J265" i="3"/>
  <c r="AC264" i="3"/>
  <c r="N264" i="3"/>
  <c r="M264" i="3"/>
  <c r="W264" i="3" s="1"/>
  <c r="L264" i="3"/>
  <c r="K264" i="3"/>
  <c r="J264" i="3"/>
  <c r="AC263" i="3"/>
  <c r="N263" i="3"/>
  <c r="M263" i="3"/>
  <c r="W263" i="3" s="1"/>
  <c r="L263" i="3"/>
  <c r="K263" i="3"/>
  <c r="P263" i="3" s="1"/>
  <c r="J263" i="3"/>
  <c r="AC262" i="3"/>
  <c r="Q262" i="3"/>
  <c r="P262" i="3"/>
  <c r="O262" i="3"/>
  <c r="N262" i="3"/>
  <c r="M262" i="3"/>
  <c r="W262" i="3" s="1"/>
  <c r="L262" i="3"/>
  <c r="K262" i="3"/>
  <c r="J262" i="3"/>
  <c r="AC261" i="3"/>
  <c r="V261" i="3"/>
  <c r="Q261" i="3"/>
  <c r="N261" i="3"/>
  <c r="O261" i="3" s="1"/>
  <c r="M261" i="3"/>
  <c r="W261" i="3" s="1"/>
  <c r="L261" i="3"/>
  <c r="P261" i="3" s="1"/>
  <c r="K261" i="3"/>
  <c r="J261" i="3"/>
  <c r="AC260" i="3"/>
  <c r="W260" i="3"/>
  <c r="N260" i="3"/>
  <c r="M260" i="3"/>
  <c r="O260" i="3" s="1"/>
  <c r="L260" i="3"/>
  <c r="K260" i="3"/>
  <c r="J260" i="3"/>
  <c r="AC259" i="3"/>
  <c r="V259" i="3"/>
  <c r="O259" i="3"/>
  <c r="N259" i="3"/>
  <c r="M259" i="3"/>
  <c r="W259" i="3" s="1"/>
  <c r="L259" i="3"/>
  <c r="K259" i="3"/>
  <c r="J259" i="3"/>
  <c r="W258" i="3"/>
  <c r="O258" i="3"/>
  <c r="N258" i="3"/>
  <c r="M258" i="3"/>
  <c r="V258" i="3" s="1"/>
  <c r="L258" i="3"/>
  <c r="K258" i="3"/>
  <c r="P258" i="3" s="1"/>
  <c r="Q258" i="3" s="1"/>
  <c r="J258" i="3"/>
  <c r="V257" i="3"/>
  <c r="R257" i="3"/>
  <c r="P257" i="3"/>
  <c r="N257" i="3"/>
  <c r="M257" i="3"/>
  <c r="W257" i="3" s="1"/>
  <c r="L257" i="3"/>
  <c r="K257" i="3"/>
  <c r="J257" i="3"/>
  <c r="W256" i="3"/>
  <c r="R256" i="3"/>
  <c r="P256" i="3"/>
  <c r="Q256" i="3" s="1"/>
  <c r="O256" i="3"/>
  <c r="N256" i="3"/>
  <c r="M256" i="3"/>
  <c r="V256" i="3" s="1"/>
  <c r="L256" i="3"/>
  <c r="K256" i="3"/>
  <c r="J256" i="3"/>
  <c r="N255" i="3"/>
  <c r="M255" i="3"/>
  <c r="L255" i="3"/>
  <c r="P255" i="3" s="1"/>
  <c r="K255" i="3"/>
  <c r="J255" i="3"/>
  <c r="W254" i="3"/>
  <c r="N254" i="3"/>
  <c r="M254" i="3"/>
  <c r="L254" i="3"/>
  <c r="K254" i="3"/>
  <c r="P254" i="3" s="1"/>
  <c r="J254" i="3"/>
  <c r="R253" i="3"/>
  <c r="L253" i="3"/>
  <c r="P253" i="3" s="1"/>
  <c r="K253" i="3"/>
  <c r="J253" i="3"/>
  <c r="V252" i="3"/>
  <c r="Q252" i="3"/>
  <c r="N252" i="3"/>
  <c r="O252" i="3" s="1"/>
  <c r="M252" i="3"/>
  <c r="W252" i="3" s="1"/>
  <c r="L252" i="3"/>
  <c r="K252" i="3"/>
  <c r="P252" i="3" s="1"/>
  <c r="J252" i="3"/>
  <c r="AB251" i="3"/>
  <c r="W251" i="3"/>
  <c r="R251" i="3"/>
  <c r="P251" i="3"/>
  <c r="Q251" i="3" s="1"/>
  <c r="N251" i="3"/>
  <c r="M251" i="3"/>
  <c r="O251" i="3" s="1"/>
  <c r="L251" i="3"/>
  <c r="K251" i="3"/>
  <c r="J251" i="3"/>
  <c r="L250" i="3"/>
  <c r="K250" i="3"/>
  <c r="P250" i="3" s="1"/>
  <c r="J250" i="3"/>
  <c r="AC249" i="3"/>
  <c r="W249" i="3"/>
  <c r="V249" i="3"/>
  <c r="N249" i="3"/>
  <c r="O249" i="3" s="1"/>
  <c r="M249" i="3"/>
  <c r="L249" i="3"/>
  <c r="K249" i="3"/>
  <c r="P249" i="3" s="1"/>
  <c r="J249" i="3"/>
  <c r="AC248" i="3"/>
  <c r="W248" i="3"/>
  <c r="O248" i="3"/>
  <c r="N248" i="3"/>
  <c r="M248" i="3"/>
  <c r="V248" i="3" s="1"/>
  <c r="L248" i="3"/>
  <c r="K248" i="3"/>
  <c r="J248" i="3"/>
  <c r="AC247" i="3"/>
  <c r="V247" i="3"/>
  <c r="P247" i="3"/>
  <c r="N247" i="3"/>
  <c r="O247" i="3" s="1"/>
  <c r="Q247" i="3" s="1"/>
  <c r="M247" i="3"/>
  <c r="W247" i="3" s="1"/>
  <c r="L247" i="3"/>
  <c r="K247" i="3"/>
  <c r="J247" i="3"/>
  <c r="AC246" i="3"/>
  <c r="N246" i="3"/>
  <c r="M246" i="3"/>
  <c r="L246" i="3"/>
  <c r="K246" i="3"/>
  <c r="P246" i="3" s="1"/>
  <c r="J246" i="3"/>
  <c r="AC245" i="3"/>
  <c r="P245" i="3"/>
  <c r="N245" i="3"/>
  <c r="M245" i="3"/>
  <c r="L245" i="3"/>
  <c r="K245" i="3"/>
  <c r="J245" i="3"/>
  <c r="AC244" i="3"/>
  <c r="W244" i="3"/>
  <c r="V244" i="3"/>
  <c r="R244" i="3"/>
  <c r="N244" i="3"/>
  <c r="O244" i="3" s="1"/>
  <c r="M244" i="3"/>
  <c r="L244" i="3"/>
  <c r="K244" i="3"/>
  <c r="J244" i="3"/>
  <c r="AC243" i="3"/>
  <c r="W243" i="3"/>
  <c r="O243" i="3"/>
  <c r="N243" i="3"/>
  <c r="M243" i="3"/>
  <c r="V243" i="3" s="1"/>
  <c r="L243" i="3"/>
  <c r="P243" i="3" s="1"/>
  <c r="Q243" i="3" s="1"/>
  <c r="AF243" i="3" s="1"/>
  <c r="K243" i="3"/>
  <c r="J243" i="3"/>
  <c r="AC242" i="3"/>
  <c r="V242" i="3"/>
  <c r="N242" i="3"/>
  <c r="O242" i="3" s="1"/>
  <c r="Q242" i="3" s="1"/>
  <c r="M242" i="3"/>
  <c r="W242" i="3" s="1"/>
  <c r="L242" i="3"/>
  <c r="K242" i="3"/>
  <c r="P242" i="3" s="1"/>
  <c r="J242" i="3"/>
  <c r="AC241" i="3"/>
  <c r="W241" i="3"/>
  <c r="R241" i="3"/>
  <c r="P241" i="3"/>
  <c r="Q241" i="3" s="1"/>
  <c r="N241" i="3"/>
  <c r="M241" i="3"/>
  <c r="O241" i="3" s="1"/>
  <c r="L241" i="3"/>
  <c r="K241" i="3"/>
  <c r="J241" i="3"/>
  <c r="AC240" i="3"/>
  <c r="N240" i="3"/>
  <c r="M240" i="3"/>
  <c r="O240" i="3" s="1"/>
  <c r="L240" i="3"/>
  <c r="K240" i="3"/>
  <c r="P240" i="3" s="1"/>
  <c r="J240" i="3"/>
  <c r="AC239" i="3"/>
  <c r="W239" i="3"/>
  <c r="V239" i="3"/>
  <c r="R239" i="3"/>
  <c r="N239" i="3"/>
  <c r="O239" i="3" s="1"/>
  <c r="M239" i="3"/>
  <c r="L239" i="3"/>
  <c r="K239" i="3"/>
  <c r="J239" i="3"/>
  <c r="AC238" i="3"/>
  <c r="W238" i="3"/>
  <c r="N238" i="3"/>
  <c r="M238" i="3"/>
  <c r="V238" i="3" s="1"/>
  <c r="L238" i="3"/>
  <c r="K238" i="3"/>
  <c r="J238" i="3"/>
  <c r="AC237" i="3"/>
  <c r="V237" i="3"/>
  <c r="P237" i="3"/>
  <c r="Q237" i="3" s="1"/>
  <c r="N237" i="3"/>
  <c r="O237" i="3" s="1"/>
  <c r="M237" i="3"/>
  <c r="W237" i="3" s="1"/>
  <c r="L237" i="3"/>
  <c r="K237" i="3"/>
  <c r="J237" i="3"/>
  <c r="AC236" i="3"/>
  <c r="W236" i="3"/>
  <c r="R236" i="3"/>
  <c r="P236" i="3"/>
  <c r="N236" i="3"/>
  <c r="M236" i="3"/>
  <c r="L236" i="3"/>
  <c r="K236" i="3"/>
  <c r="J236" i="3"/>
  <c r="AC235" i="3"/>
  <c r="N235" i="3"/>
  <c r="M235" i="3"/>
  <c r="W235" i="3" s="1"/>
  <c r="L235" i="3"/>
  <c r="K235" i="3"/>
  <c r="P235" i="3" s="1"/>
  <c r="J235" i="3"/>
  <c r="AC234" i="3"/>
  <c r="W234" i="3"/>
  <c r="V234" i="3"/>
  <c r="R234" i="3"/>
  <c r="N234" i="3"/>
  <c r="O234" i="3" s="1"/>
  <c r="M234" i="3"/>
  <c r="L234" i="3"/>
  <c r="K234" i="3"/>
  <c r="J234" i="3"/>
  <c r="AC233" i="3"/>
  <c r="W233" i="3"/>
  <c r="R233" i="3"/>
  <c r="Q233" i="3"/>
  <c r="O233" i="3"/>
  <c r="N233" i="3"/>
  <c r="M233" i="3"/>
  <c r="V233" i="3" s="1"/>
  <c r="L233" i="3"/>
  <c r="P233" i="3" s="1"/>
  <c r="K233" i="3"/>
  <c r="J233" i="3"/>
  <c r="AC232" i="3"/>
  <c r="V232" i="3"/>
  <c r="O232" i="3"/>
  <c r="N232" i="3"/>
  <c r="M232" i="3"/>
  <c r="W232" i="3" s="1"/>
  <c r="L232" i="3"/>
  <c r="K232" i="3"/>
  <c r="P232" i="3" s="1"/>
  <c r="J232" i="3"/>
  <c r="AC231" i="3"/>
  <c r="W231" i="3"/>
  <c r="R231" i="3"/>
  <c r="P231" i="3"/>
  <c r="N231" i="3"/>
  <c r="M231" i="3"/>
  <c r="L231" i="3"/>
  <c r="K231" i="3"/>
  <c r="J231" i="3"/>
  <c r="AC230" i="3"/>
  <c r="W230" i="3"/>
  <c r="V230" i="3"/>
  <c r="P230" i="3"/>
  <c r="Q230" i="3" s="1"/>
  <c r="N230" i="3"/>
  <c r="M230" i="3"/>
  <c r="O230" i="3" s="1"/>
  <c r="L230" i="3"/>
  <c r="K230" i="3"/>
  <c r="J230" i="3"/>
  <c r="AC229" i="3"/>
  <c r="W229" i="3"/>
  <c r="O229" i="3"/>
  <c r="N229" i="3"/>
  <c r="M229" i="3"/>
  <c r="V229" i="3" s="1"/>
  <c r="L229" i="3"/>
  <c r="K229" i="3"/>
  <c r="J229" i="3"/>
  <c r="AC228" i="3"/>
  <c r="AB228" i="3"/>
  <c r="AD228" i="3" s="1"/>
  <c r="AE228" i="3" s="1"/>
  <c r="W228" i="3"/>
  <c r="Q228" i="3"/>
  <c r="AF228" i="3" s="1"/>
  <c r="O228" i="3"/>
  <c r="N228" i="3"/>
  <c r="M228" i="3"/>
  <c r="V228" i="3" s="1"/>
  <c r="L228" i="3"/>
  <c r="K228" i="3"/>
  <c r="P228" i="3" s="1"/>
  <c r="J228" i="3"/>
  <c r="AC227" i="3"/>
  <c r="V227" i="3"/>
  <c r="N227" i="3"/>
  <c r="O227" i="3" s="1"/>
  <c r="M227" i="3"/>
  <c r="W227" i="3" s="1"/>
  <c r="L227" i="3"/>
  <c r="K227" i="3"/>
  <c r="P227" i="3" s="1"/>
  <c r="Q227" i="3" s="1"/>
  <c r="AB227" i="3" s="1"/>
  <c r="AD227" i="3" s="1"/>
  <c r="AE227" i="3" s="1"/>
  <c r="J227" i="3"/>
  <c r="AC226" i="3"/>
  <c r="R226" i="3"/>
  <c r="N226" i="3"/>
  <c r="M226" i="3"/>
  <c r="L226" i="3"/>
  <c r="K226" i="3"/>
  <c r="P226" i="3" s="1"/>
  <c r="J226" i="3"/>
  <c r="AC225" i="3"/>
  <c r="W225" i="3"/>
  <c r="V225" i="3"/>
  <c r="O225" i="3"/>
  <c r="N225" i="3"/>
  <c r="M225" i="3"/>
  <c r="L225" i="3"/>
  <c r="K225" i="3"/>
  <c r="P225" i="3" s="1"/>
  <c r="Q225" i="3" s="1"/>
  <c r="J225" i="3"/>
  <c r="AC224" i="3"/>
  <c r="W224" i="3"/>
  <c r="V224" i="3"/>
  <c r="N224" i="3"/>
  <c r="O224" i="3" s="1"/>
  <c r="M224" i="3"/>
  <c r="L224" i="3"/>
  <c r="K224" i="3"/>
  <c r="P224" i="3" s="1"/>
  <c r="J224" i="3"/>
  <c r="AC223" i="3"/>
  <c r="W223" i="3"/>
  <c r="R223" i="3"/>
  <c r="Q223" i="3"/>
  <c r="P223" i="3"/>
  <c r="O223" i="3"/>
  <c r="N223" i="3"/>
  <c r="M223" i="3"/>
  <c r="V223" i="3" s="1"/>
  <c r="L223" i="3"/>
  <c r="K223" i="3"/>
  <c r="J223" i="3"/>
  <c r="AC222" i="3"/>
  <c r="V222" i="3"/>
  <c r="P222" i="3"/>
  <c r="N222" i="3"/>
  <c r="M222" i="3"/>
  <c r="W222" i="3" s="1"/>
  <c r="L222" i="3"/>
  <c r="K222" i="3"/>
  <c r="J222" i="3"/>
  <c r="AC221" i="3"/>
  <c r="R221" i="3"/>
  <c r="N221" i="3"/>
  <c r="M221" i="3"/>
  <c r="L221" i="3"/>
  <c r="K221" i="3"/>
  <c r="P221" i="3" s="1"/>
  <c r="J221" i="3"/>
  <c r="AC220" i="3"/>
  <c r="W220" i="3"/>
  <c r="P220" i="3"/>
  <c r="O220" i="3"/>
  <c r="Q220" i="3" s="1"/>
  <c r="N220" i="3"/>
  <c r="M220" i="3"/>
  <c r="V220" i="3" s="1"/>
  <c r="L220" i="3"/>
  <c r="K220" i="3"/>
  <c r="J220" i="3"/>
  <c r="AC219" i="3"/>
  <c r="W219" i="3"/>
  <c r="V219" i="3"/>
  <c r="N219" i="3"/>
  <c r="M219" i="3"/>
  <c r="L219" i="3"/>
  <c r="K219" i="3"/>
  <c r="J219" i="3"/>
  <c r="AC218" i="3"/>
  <c r="V218" i="3"/>
  <c r="R218" i="3"/>
  <c r="O218" i="3"/>
  <c r="N218" i="3"/>
  <c r="M218" i="3"/>
  <c r="W218" i="3" s="1"/>
  <c r="L218" i="3"/>
  <c r="K218" i="3"/>
  <c r="J218" i="3"/>
  <c r="AC217" i="3"/>
  <c r="V217" i="3"/>
  <c r="N217" i="3"/>
  <c r="O217" i="3" s="1"/>
  <c r="Q217" i="3" s="1"/>
  <c r="M217" i="3"/>
  <c r="W217" i="3" s="1"/>
  <c r="L217" i="3"/>
  <c r="K217" i="3"/>
  <c r="P217" i="3" s="1"/>
  <c r="J217" i="3"/>
  <c r="AC216" i="3"/>
  <c r="W216" i="3"/>
  <c r="R216" i="3"/>
  <c r="N216" i="3"/>
  <c r="M216" i="3"/>
  <c r="V216" i="3" s="1"/>
  <c r="L216" i="3"/>
  <c r="K216" i="3"/>
  <c r="P216" i="3" s="1"/>
  <c r="J216" i="3"/>
  <c r="AC215" i="3"/>
  <c r="O215" i="3"/>
  <c r="N215" i="3"/>
  <c r="M215" i="3"/>
  <c r="W215" i="3" s="1"/>
  <c r="L215" i="3"/>
  <c r="K215" i="3"/>
  <c r="P215" i="3" s="1"/>
  <c r="J215" i="3"/>
  <c r="AC214" i="3"/>
  <c r="W214" i="3"/>
  <c r="V214" i="3"/>
  <c r="R214" i="3"/>
  <c r="O214" i="3"/>
  <c r="N214" i="3"/>
  <c r="M214" i="3"/>
  <c r="L214" i="3"/>
  <c r="K214" i="3"/>
  <c r="J214" i="3"/>
  <c r="AC213" i="3"/>
  <c r="W213" i="3"/>
  <c r="R213" i="3"/>
  <c r="O213" i="3"/>
  <c r="N213" i="3"/>
  <c r="M213" i="3"/>
  <c r="V213" i="3" s="1"/>
  <c r="L213" i="3"/>
  <c r="P213" i="3" s="1"/>
  <c r="Q213" i="3" s="1"/>
  <c r="K213" i="3"/>
  <c r="J213" i="3"/>
  <c r="AC212" i="3"/>
  <c r="P212" i="3"/>
  <c r="N212" i="3"/>
  <c r="O212" i="3" s="1"/>
  <c r="M212" i="3"/>
  <c r="W212" i="3" s="1"/>
  <c r="L212" i="3"/>
  <c r="K212" i="3"/>
  <c r="J212" i="3"/>
  <c r="AC211" i="3"/>
  <c r="AB211" i="3"/>
  <c r="AD211" i="3" s="1"/>
  <c r="AE211" i="3" s="1"/>
  <c r="W211" i="3"/>
  <c r="V211" i="3"/>
  <c r="R211" i="3"/>
  <c r="N211" i="3"/>
  <c r="M211" i="3"/>
  <c r="O211" i="3" s="1"/>
  <c r="L211" i="3"/>
  <c r="K211" i="3"/>
  <c r="P211" i="3" s="1"/>
  <c r="Q211" i="3" s="1"/>
  <c r="J211" i="3"/>
  <c r="AC210" i="3"/>
  <c r="N210" i="3"/>
  <c r="M210" i="3"/>
  <c r="L210" i="3"/>
  <c r="K210" i="3"/>
  <c r="P210" i="3" s="1"/>
  <c r="J210" i="3"/>
  <c r="AC209" i="3"/>
  <c r="W209" i="3"/>
  <c r="V209" i="3"/>
  <c r="N209" i="3"/>
  <c r="M209" i="3"/>
  <c r="O209" i="3" s="1"/>
  <c r="L209" i="3"/>
  <c r="K209" i="3"/>
  <c r="J209" i="3"/>
  <c r="AC208" i="3"/>
  <c r="V208" i="3"/>
  <c r="R208" i="3"/>
  <c r="O208" i="3"/>
  <c r="N208" i="3"/>
  <c r="M208" i="3"/>
  <c r="W208" i="3" s="1"/>
  <c r="L208" i="3"/>
  <c r="K208" i="3"/>
  <c r="J208" i="3"/>
  <c r="AC207" i="3"/>
  <c r="V207" i="3"/>
  <c r="P207" i="3"/>
  <c r="O207" i="3"/>
  <c r="N207" i="3"/>
  <c r="M207" i="3"/>
  <c r="W207" i="3" s="1"/>
  <c r="L207" i="3"/>
  <c r="K207" i="3"/>
  <c r="J207" i="3"/>
  <c r="AC206" i="3"/>
  <c r="W206" i="3"/>
  <c r="R206" i="3"/>
  <c r="N206" i="3"/>
  <c r="M206" i="3"/>
  <c r="V206" i="3" s="1"/>
  <c r="L206" i="3"/>
  <c r="K206" i="3"/>
  <c r="J206" i="3"/>
  <c r="AC205" i="3"/>
  <c r="O205" i="3"/>
  <c r="N205" i="3"/>
  <c r="M205" i="3"/>
  <c r="W205" i="3" s="1"/>
  <c r="L205" i="3"/>
  <c r="K205" i="3"/>
  <c r="P205" i="3" s="1"/>
  <c r="J205" i="3"/>
  <c r="AC204" i="3"/>
  <c r="W204" i="3"/>
  <c r="V204" i="3"/>
  <c r="R204" i="3"/>
  <c r="O204" i="3"/>
  <c r="N204" i="3"/>
  <c r="M204" i="3"/>
  <c r="L204" i="3"/>
  <c r="K204" i="3"/>
  <c r="P204" i="3" s="1"/>
  <c r="J204" i="3"/>
  <c r="AC203" i="3"/>
  <c r="W203" i="3"/>
  <c r="R203" i="3"/>
  <c r="O203" i="3"/>
  <c r="N203" i="3"/>
  <c r="M203" i="3"/>
  <c r="V203" i="3" s="1"/>
  <c r="L203" i="3"/>
  <c r="P203" i="3" s="1"/>
  <c r="Q203" i="3" s="1"/>
  <c r="AF203" i="3" s="1"/>
  <c r="K203" i="3"/>
  <c r="J203" i="3"/>
  <c r="AC202" i="3"/>
  <c r="V202" i="3"/>
  <c r="R202" i="3"/>
  <c r="P202" i="3"/>
  <c r="N202" i="3"/>
  <c r="M202" i="3"/>
  <c r="W202" i="3" s="1"/>
  <c r="L202" i="3"/>
  <c r="K202" i="3"/>
  <c r="J202" i="3"/>
  <c r="AC201" i="3"/>
  <c r="R201" i="3"/>
  <c r="N201" i="3"/>
  <c r="M201" i="3"/>
  <c r="L201" i="3"/>
  <c r="K201" i="3"/>
  <c r="J201" i="3"/>
  <c r="AC200" i="3"/>
  <c r="W200" i="3"/>
  <c r="V200" i="3"/>
  <c r="O200" i="3"/>
  <c r="N200" i="3"/>
  <c r="M200" i="3"/>
  <c r="L200" i="3"/>
  <c r="K200" i="3"/>
  <c r="J200" i="3"/>
  <c r="AC199" i="3"/>
  <c r="R199" i="3"/>
  <c r="N199" i="3"/>
  <c r="M199" i="3"/>
  <c r="L199" i="3"/>
  <c r="K199" i="3"/>
  <c r="P199" i="3" s="1"/>
  <c r="J199" i="3"/>
  <c r="AC198" i="3"/>
  <c r="V198" i="3"/>
  <c r="P198" i="3"/>
  <c r="Q198" i="3" s="1"/>
  <c r="O198" i="3"/>
  <c r="N198" i="3"/>
  <c r="M198" i="3"/>
  <c r="W198" i="3" s="1"/>
  <c r="L198" i="3"/>
  <c r="K198" i="3"/>
  <c r="J198" i="3"/>
  <c r="AC197" i="3"/>
  <c r="R197" i="3"/>
  <c r="N197" i="3"/>
  <c r="M197" i="3"/>
  <c r="L197" i="3"/>
  <c r="K197" i="3"/>
  <c r="P197" i="3" s="1"/>
  <c r="J197" i="3"/>
  <c r="AC196" i="3"/>
  <c r="W196" i="3"/>
  <c r="V196" i="3"/>
  <c r="R196" i="3"/>
  <c r="Q196" i="3"/>
  <c r="P196" i="3"/>
  <c r="O196" i="3"/>
  <c r="N196" i="3"/>
  <c r="M196" i="3"/>
  <c r="L196" i="3"/>
  <c r="K196" i="3"/>
  <c r="J196" i="3"/>
  <c r="AC195" i="3"/>
  <c r="N195" i="3"/>
  <c r="M195" i="3"/>
  <c r="L195" i="3"/>
  <c r="P195" i="3" s="1"/>
  <c r="K195" i="3"/>
  <c r="J195" i="3"/>
  <c r="AC194" i="3"/>
  <c r="N194" i="3"/>
  <c r="M194" i="3"/>
  <c r="L194" i="3"/>
  <c r="K194" i="3"/>
  <c r="J194" i="3"/>
  <c r="AC193" i="3"/>
  <c r="W193" i="3"/>
  <c r="V193" i="3"/>
  <c r="R193" i="3"/>
  <c r="N193" i="3"/>
  <c r="M193" i="3"/>
  <c r="O193" i="3" s="1"/>
  <c r="L193" i="3"/>
  <c r="K193" i="3"/>
  <c r="P193" i="3" s="1"/>
  <c r="Q193" i="3" s="1"/>
  <c r="J193" i="3"/>
  <c r="AC192" i="3"/>
  <c r="R192" i="3"/>
  <c r="P192" i="3"/>
  <c r="Q192" i="3" s="1"/>
  <c r="O192" i="3"/>
  <c r="N192" i="3"/>
  <c r="M192" i="3"/>
  <c r="L192" i="3"/>
  <c r="K192" i="3"/>
  <c r="J192" i="3"/>
  <c r="AC191" i="3"/>
  <c r="W191" i="3"/>
  <c r="V191" i="3"/>
  <c r="R191" i="3"/>
  <c r="N191" i="3"/>
  <c r="M191" i="3"/>
  <c r="O191" i="3" s="1"/>
  <c r="L191" i="3"/>
  <c r="K191" i="3"/>
  <c r="P191" i="3" s="1"/>
  <c r="Q191" i="3" s="1"/>
  <c r="J191" i="3"/>
  <c r="AC190" i="3"/>
  <c r="N190" i="3"/>
  <c r="M190" i="3"/>
  <c r="L190" i="3"/>
  <c r="K190" i="3"/>
  <c r="J190" i="3"/>
  <c r="AC189" i="3"/>
  <c r="R189" i="3"/>
  <c r="Q189" i="3"/>
  <c r="O189" i="3"/>
  <c r="N189" i="3"/>
  <c r="M189" i="3"/>
  <c r="V189" i="3" s="1"/>
  <c r="L189" i="3"/>
  <c r="K189" i="3"/>
  <c r="P189" i="3" s="1"/>
  <c r="J189" i="3"/>
  <c r="AC188" i="3"/>
  <c r="O188" i="3"/>
  <c r="N188" i="3"/>
  <c r="M188" i="3"/>
  <c r="L188" i="3"/>
  <c r="K188" i="3"/>
  <c r="J188" i="3"/>
  <c r="AC187" i="3"/>
  <c r="V187" i="3"/>
  <c r="R187" i="3"/>
  <c r="P187" i="3"/>
  <c r="N187" i="3"/>
  <c r="M187" i="3"/>
  <c r="L187" i="3"/>
  <c r="K187" i="3"/>
  <c r="J187" i="3"/>
  <c r="AC186" i="3"/>
  <c r="W186" i="3"/>
  <c r="R186" i="3"/>
  <c r="N186" i="3"/>
  <c r="M186" i="3"/>
  <c r="L186" i="3"/>
  <c r="K186" i="3"/>
  <c r="P186" i="3" s="1"/>
  <c r="J186" i="3"/>
  <c r="AC185" i="3"/>
  <c r="V185" i="3"/>
  <c r="P185" i="3"/>
  <c r="N185" i="3"/>
  <c r="M185" i="3"/>
  <c r="W185" i="3" s="1"/>
  <c r="L185" i="3"/>
  <c r="K185" i="3"/>
  <c r="J185" i="3"/>
  <c r="AC184" i="3"/>
  <c r="W184" i="3"/>
  <c r="V184" i="3"/>
  <c r="N184" i="3"/>
  <c r="M184" i="3"/>
  <c r="O184" i="3" s="1"/>
  <c r="L184" i="3"/>
  <c r="K184" i="3"/>
  <c r="P184" i="3" s="1"/>
  <c r="Q184" i="3" s="1"/>
  <c r="J184" i="3"/>
  <c r="AC183" i="3"/>
  <c r="W183" i="3"/>
  <c r="V183" i="3"/>
  <c r="R183" i="3"/>
  <c r="Q183" i="3"/>
  <c r="P183" i="3"/>
  <c r="N183" i="3"/>
  <c r="M183" i="3"/>
  <c r="O183" i="3" s="1"/>
  <c r="L183" i="3"/>
  <c r="K183" i="3"/>
  <c r="J183" i="3"/>
  <c r="AC182" i="3"/>
  <c r="R182" i="3"/>
  <c r="N182" i="3"/>
  <c r="M182" i="3"/>
  <c r="L182" i="3"/>
  <c r="K182" i="3"/>
  <c r="P182" i="3" s="1"/>
  <c r="J182" i="3"/>
  <c r="AC181" i="3"/>
  <c r="V181" i="3"/>
  <c r="R181" i="3"/>
  <c r="P181" i="3"/>
  <c r="N181" i="3"/>
  <c r="M181" i="3"/>
  <c r="W181" i="3" s="1"/>
  <c r="L181" i="3"/>
  <c r="K181" i="3"/>
  <c r="J181" i="3"/>
  <c r="AC180" i="3"/>
  <c r="N180" i="3"/>
  <c r="M180" i="3"/>
  <c r="L180" i="3"/>
  <c r="K180" i="3"/>
  <c r="J180" i="3"/>
  <c r="AC179" i="3"/>
  <c r="R179" i="3"/>
  <c r="N179" i="3"/>
  <c r="M179" i="3"/>
  <c r="W179" i="3" s="1"/>
  <c r="L179" i="3"/>
  <c r="K179" i="3"/>
  <c r="P179" i="3" s="1"/>
  <c r="J179" i="3"/>
  <c r="AC178" i="3"/>
  <c r="R178" i="3"/>
  <c r="P178" i="3"/>
  <c r="Q178" i="3" s="1"/>
  <c r="O178" i="3"/>
  <c r="N178" i="3"/>
  <c r="M178" i="3"/>
  <c r="L178" i="3"/>
  <c r="K178" i="3"/>
  <c r="J178" i="3"/>
  <c r="AC177" i="3"/>
  <c r="V177" i="3"/>
  <c r="R177" i="3"/>
  <c r="N177" i="3"/>
  <c r="M177" i="3"/>
  <c r="W177" i="3" s="1"/>
  <c r="L177" i="3"/>
  <c r="K177" i="3"/>
  <c r="P177" i="3" s="1"/>
  <c r="J177" i="3"/>
  <c r="AF176" i="3"/>
  <c r="AC176" i="3"/>
  <c r="V176" i="3"/>
  <c r="R176" i="3"/>
  <c r="P176" i="3"/>
  <c r="Q176" i="3" s="1"/>
  <c r="O176" i="3"/>
  <c r="N176" i="3"/>
  <c r="M176" i="3"/>
  <c r="W176" i="3" s="1"/>
  <c r="L176" i="3"/>
  <c r="K176" i="3"/>
  <c r="J176" i="3"/>
  <c r="AC175" i="3"/>
  <c r="N175" i="3"/>
  <c r="M175" i="3"/>
  <c r="L175" i="3"/>
  <c r="P175" i="3" s="1"/>
  <c r="K175" i="3"/>
  <c r="J175" i="3"/>
  <c r="AC174" i="3"/>
  <c r="V174" i="3"/>
  <c r="N174" i="3"/>
  <c r="M174" i="3"/>
  <c r="W174" i="3" s="1"/>
  <c r="L174" i="3"/>
  <c r="K174" i="3"/>
  <c r="P174" i="3" s="1"/>
  <c r="J174" i="3"/>
  <c r="AC173" i="3"/>
  <c r="R173" i="3"/>
  <c r="N173" i="3"/>
  <c r="M173" i="3"/>
  <c r="L173" i="3"/>
  <c r="P173" i="3" s="1"/>
  <c r="K173" i="3"/>
  <c r="J173" i="3"/>
  <c r="AC172" i="3"/>
  <c r="V172" i="3"/>
  <c r="R172" i="3"/>
  <c r="O172" i="3"/>
  <c r="N172" i="3"/>
  <c r="M172" i="3"/>
  <c r="W172" i="3" s="1"/>
  <c r="L172" i="3"/>
  <c r="K172" i="3"/>
  <c r="P172" i="3" s="1"/>
  <c r="Q172" i="3" s="1"/>
  <c r="J172" i="3"/>
  <c r="AC171" i="3"/>
  <c r="R171" i="3"/>
  <c r="P171" i="3"/>
  <c r="N171" i="3"/>
  <c r="O171" i="3" s="1"/>
  <c r="M171" i="3"/>
  <c r="W171" i="3" s="1"/>
  <c r="L171" i="3"/>
  <c r="K171" i="3"/>
  <c r="J171" i="3"/>
  <c r="AC170" i="3"/>
  <c r="W170" i="3"/>
  <c r="V170" i="3"/>
  <c r="N170" i="3"/>
  <c r="M170" i="3"/>
  <c r="O170" i="3" s="1"/>
  <c r="L170" i="3"/>
  <c r="K170" i="3"/>
  <c r="P170" i="3" s="1"/>
  <c r="Q170" i="3" s="1"/>
  <c r="J170" i="3"/>
  <c r="AC169" i="3"/>
  <c r="W169" i="3"/>
  <c r="R169" i="3"/>
  <c r="N169" i="3"/>
  <c r="O169" i="3" s="1"/>
  <c r="Q169" i="3" s="1"/>
  <c r="M169" i="3"/>
  <c r="V169" i="3" s="1"/>
  <c r="L169" i="3"/>
  <c r="K169" i="3"/>
  <c r="P169" i="3" s="1"/>
  <c r="J169" i="3"/>
  <c r="AC168" i="3"/>
  <c r="R168" i="3"/>
  <c r="N168" i="3"/>
  <c r="M168" i="3"/>
  <c r="L168" i="3"/>
  <c r="K168" i="3"/>
  <c r="J168" i="3"/>
  <c r="AC167" i="3"/>
  <c r="V167" i="3"/>
  <c r="R167" i="3"/>
  <c r="N167" i="3"/>
  <c r="M167" i="3"/>
  <c r="W167" i="3" s="1"/>
  <c r="L167" i="3"/>
  <c r="K167" i="3"/>
  <c r="P167" i="3" s="1"/>
  <c r="J167" i="3"/>
  <c r="AC166" i="3"/>
  <c r="R166" i="3"/>
  <c r="P166" i="3"/>
  <c r="N166" i="3"/>
  <c r="M166" i="3"/>
  <c r="L166" i="3"/>
  <c r="K166" i="3"/>
  <c r="J166" i="3"/>
  <c r="AC165" i="3"/>
  <c r="V165" i="3"/>
  <c r="N165" i="3"/>
  <c r="M165" i="3"/>
  <c r="W165" i="3" s="1"/>
  <c r="L165" i="3"/>
  <c r="P165" i="3" s="1"/>
  <c r="K165" i="3"/>
  <c r="J165" i="3"/>
  <c r="AC164" i="3"/>
  <c r="N164" i="3"/>
  <c r="O164" i="3" s="1"/>
  <c r="Q164" i="3" s="1"/>
  <c r="M164" i="3"/>
  <c r="W164" i="3" s="1"/>
  <c r="L164" i="3"/>
  <c r="K164" i="3"/>
  <c r="P164" i="3" s="1"/>
  <c r="J164" i="3"/>
  <c r="AC163" i="3"/>
  <c r="W163" i="3"/>
  <c r="V163" i="3"/>
  <c r="R163" i="3"/>
  <c r="N163" i="3"/>
  <c r="M163" i="3"/>
  <c r="O163" i="3" s="1"/>
  <c r="L163" i="3"/>
  <c r="K163" i="3"/>
  <c r="J163" i="3"/>
  <c r="AC162" i="3"/>
  <c r="R162" i="3"/>
  <c r="P162" i="3"/>
  <c r="O162" i="3"/>
  <c r="Q162" i="3" s="1"/>
  <c r="N162" i="3"/>
  <c r="M162" i="3"/>
  <c r="W162" i="3" s="1"/>
  <c r="L162" i="3"/>
  <c r="K162" i="3"/>
  <c r="J162" i="3"/>
  <c r="AC161" i="3"/>
  <c r="R161" i="3"/>
  <c r="N161" i="3"/>
  <c r="M161" i="3"/>
  <c r="L161" i="3"/>
  <c r="P161" i="3" s="1"/>
  <c r="K161" i="3"/>
  <c r="J161" i="3"/>
  <c r="AC160" i="3"/>
  <c r="W160" i="3"/>
  <c r="V160" i="3"/>
  <c r="N160" i="3"/>
  <c r="M160" i="3"/>
  <c r="L160" i="3"/>
  <c r="K160" i="3"/>
  <c r="P160" i="3" s="1"/>
  <c r="J160" i="3"/>
  <c r="AC159" i="3"/>
  <c r="W159" i="3"/>
  <c r="R159" i="3"/>
  <c r="O159" i="3"/>
  <c r="N159" i="3"/>
  <c r="M159" i="3"/>
  <c r="V159" i="3" s="1"/>
  <c r="L159" i="3"/>
  <c r="K159" i="3"/>
  <c r="P159" i="3" s="1"/>
  <c r="Q159" i="3" s="1"/>
  <c r="J159" i="3"/>
  <c r="AC158" i="3"/>
  <c r="R158" i="3"/>
  <c r="N158" i="3"/>
  <c r="M158" i="3"/>
  <c r="L158" i="3"/>
  <c r="K158" i="3"/>
  <c r="J158" i="3"/>
  <c r="AC157" i="3"/>
  <c r="V157" i="3"/>
  <c r="R157" i="3"/>
  <c r="P157" i="3"/>
  <c r="O157" i="3"/>
  <c r="N157" i="3"/>
  <c r="M157" i="3"/>
  <c r="W157" i="3" s="1"/>
  <c r="L157" i="3"/>
  <c r="K157" i="3"/>
  <c r="J157" i="3"/>
  <c r="AC156" i="3"/>
  <c r="W156" i="3"/>
  <c r="V156" i="3"/>
  <c r="R156" i="3"/>
  <c r="O156" i="3"/>
  <c r="N156" i="3"/>
  <c r="M156" i="3"/>
  <c r="L156" i="3"/>
  <c r="K156" i="3"/>
  <c r="J156" i="3"/>
  <c r="AC155" i="3"/>
  <c r="V155" i="3"/>
  <c r="P155" i="3"/>
  <c r="N155" i="3"/>
  <c r="M155" i="3"/>
  <c r="W155" i="3" s="1"/>
  <c r="L155" i="3"/>
  <c r="K155" i="3"/>
  <c r="J155" i="3"/>
  <c r="AC154" i="3"/>
  <c r="N154" i="3"/>
  <c r="M154" i="3"/>
  <c r="L154" i="3"/>
  <c r="K154" i="3"/>
  <c r="J154" i="3"/>
  <c r="AC153" i="3"/>
  <c r="W153" i="3"/>
  <c r="V153" i="3"/>
  <c r="R153" i="3"/>
  <c r="N153" i="3"/>
  <c r="M153" i="3"/>
  <c r="O153" i="3" s="1"/>
  <c r="L153" i="3"/>
  <c r="K153" i="3"/>
  <c r="P153" i="3" s="1"/>
  <c r="Q153" i="3" s="1"/>
  <c r="J153" i="3"/>
  <c r="AC152" i="3"/>
  <c r="R152" i="3"/>
  <c r="N152" i="3"/>
  <c r="M152" i="3"/>
  <c r="L152" i="3"/>
  <c r="K152" i="3"/>
  <c r="P152" i="3" s="1"/>
  <c r="J152" i="3"/>
  <c r="AC151" i="3"/>
  <c r="R151" i="3"/>
  <c r="N151" i="3"/>
  <c r="M151" i="3"/>
  <c r="L151" i="3"/>
  <c r="K151" i="3"/>
  <c r="P151" i="3" s="1"/>
  <c r="J151" i="3"/>
  <c r="AC150" i="3"/>
  <c r="W150" i="3"/>
  <c r="V150" i="3"/>
  <c r="N150" i="3"/>
  <c r="O150" i="3" s="1"/>
  <c r="M150" i="3"/>
  <c r="L150" i="3"/>
  <c r="K150" i="3"/>
  <c r="J150" i="3"/>
  <c r="AC149" i="3"/>
  <c r="R149" i="3"/>
  <c r="N149" i="3"/>
  <c r="M149" i="3"/>
  <c r="O149" i="3" s="1"/>
  <c r="L149" i="3"/>
  <c r="K149" i="3"/>
  <c r="P149" i="3" s="1"/>
  <c r="J149" i="3"/>
  <c r="AC148" i="3"/>
  <c r="W148" i="3"/>
  <c r="F158" i="1" s="1"/>
  <c r="V148" i="3"/>
  <c r="R148" i="3"/>
  <c r="P148" i="3"/>
  <c r="Q148" i="3" s="1"/>
  <c r="N148" i="3"/>
  <c r="M148" i="3"/>
  <c r="O148" i="3" s="1"/>
  <c r="L148" i="3"/>
  <c r="K148" i="3"/>
  <c r="J148" i="3"/>
  <c r="AC147" i="3"/>
  <c r="R147" i="3"/>
  <c r="P147" i="3"/>
  <c r="N147" i="3"/>
  <c r="M147" i="3"/>
  <c r="L147" i="3"/>
  <c r="K147" i="3"/>
  <c r="J147" i="3"/>
  <c r="AC146" i="3"/>
  <c r="W146" i="3"/>
  <c r="V146" i="3"/>
  <c r="R146" i="3"/>
  <c r="P146" i="3"/>
  <c r="Q146" i="3" s="1"/>
  <c r="N146" i="3"/>
  <c r="M146" i="3"/>
  <c r="O146" i="3" s="1"/>
  <c r="L146" i="3"/>
  <c r="K146" i="3"/>
  <c r="J146" i="3"/>
  <c r="AC145" i="3"/>
  <c r="O145" i="3"/>
  <c r="N145" i="3"/>
  <c r="M145" i="3"/>
  <c r="W145" i="3" s="1"/>
  <c r="L145" i="3"/>
  <c r="P145" i="3" s="1"/>
  <c r="K145" i="3"/>
  <c r="J145" i="3"/>
  <c r="AC144" i="3"/>
  <c r="N144" i="3"/>
  <c r="M144" i="3"/>
  <c r="L144" i="3"/>
  <c r="K144" i="3"/>
  <c r="J144" i="3"/>
  <c r="R143" i="3"/>
  <c r="P143" i="3"/>
  <c r="N143" i="3"/>
  <c r="L143" i="3"/>
  <c r="K143" i="3"/>
  <c r="J143" i="3"/>
  <c r="R142" i="3"/>
  <c r="P142" i="3"/>
  <c r="N142" i="3"/>
  <c r="L142" i="3"/>
  <c r="K142" i="3"/>
  <c r="J142" i="3"/>
  <c r="L141" i="3"/>
  <c r="K141" i="3"/>
  <c r="P141" i="3" s="1"/>
  <c r="J141" i="3"/>
  <c r="S140" i="3"/>
  <c r="R140" i="3"/>
  <c r="N140" i="3"/>
  <c r="L140" i="3"/>
  <c r="K140" i="3"/>
  <c r="P140" i="3" s="1"/>
  <c r="J140" i="3"/>
  <c r="R139" i="3"/>
  <c r="N139" i="3"/>
  <c r="L139" i="3"/>
  <c r="K139" i="3"/>
  <c r="P139" i="3" s="1"/>
  <c r="J139" i="3"/>
  <c r="R138" i="3"/>
  <c r="N138" i="3"/>
  <c r="L138" i="3"/>
  <c r="K138" i="3"/>
  <c r="P138" i="3" s="1"/>
  <c r="J138" i="3"/>
  <c r="R137" i="3"/>
  <c r="L137" i="3"/>
  <c r="P137" i="3" s="1"/>
  <c r="K137" i="3"/>
  <c r="J137" i="3"/>
  <c r="P136" i="3"/>
  <c r="N136" i="3"/>
  <c r="L136" i="3"/>
  <c r="K136" i="3"/>
  <c r="J136" i="3"/>
  <c r="R135" i="3"/>
  <c r="L135" i="3"/>
  <c r="K135" i="3"/>
  <c r="P135" i="3" s="1"/>
  <c r="J135" i="3"/>
  <c r="R134" i="3"/>
  <c r="N134" i="3"/>
  <c r="L134" i="3"/>
  <c r="P134" i="3" s="1"/>
  <c r="K134" i="3"/>
  <c r="J134" i="3"/>
  <c r="R133" i="3"/>
  <c r="P133" i="3"/>
  <c r="N133" i="3"/>
  <c r="L133" i="3"/>
  <c r="K133" i="3"/>
  <c r="J133" i="3"/>
  <c r="R132" i="3"/>
  <c r="N132" i="3"/>
  <c r="L132" i="3"/>
  <c r="P132" i="3" s="1"/>
  <c r="K132" i="3"/>
  <c r="J132" i="3"/>
  <c r="P131" i="3"/>
  <c r="L131" i="3"/>
  <c r="K131" i="3"/>
  <c r="J131" i="3"/>
  <c r="R130" i="3"/>
  <c r="N130" i="3"/>
  <c r="L130" i="3"/>
  <c r="K130" i="3"/>
  <c r="J130" i="3"/>
  <c r="R129" i="3"/>
  <c r="P129" i="3"/>
  <c r="N129" i="3"/>
  <c r="L129" i="3"/>
  <c r="K129" i="3"/>
  <c r="J129" i="3"/>
  <c r="R128" i="3"/>
  <c r="P128" i="3"/>
  <c r="N128" i="3"/>
  <c r="L128" i="3"/>
  <c r="K128" i="3"/>
  <c r="J128" i="3"/>
  <c r="R127" i="3"/>
  <c r="P127" i="3"/>
  <c r="N127" i="3"/>
  <c r="L127" i="3"/>
  <c r="K127" i="3"/>
  <c r="J127" i="3"/>
  <c r="N126" i="3"/>
  <c r="L126" i="3"/>
  <c r="K126" i="3"/>
  <c r="P126" i="3" s="1"/>
  <c r="J126" i="3"/>
  <c r="R125" i="3"/>
  <c r="L125" i="3"/>
  <c r="K125" i="3"/>
  <c r="J125" i="3"/>
  <c r="R124" i="3"/>
  <c r="P124" i="3"/>
  <c r="N124" i="3"/>
  <c r="L124" i="3"/>
  <c r="K124" i="3"/>
  <c r="J124" i="3"/>
  <c r="R123" i="3"/>
  <c r="N123" i="3"/>
  <c r="M123" i="3"/>
  <c r="L123" i="3"/>
  <c r="K123" i="3"/>
  <c r="P123" i="3" s="1"/>
  <c r="J123" i="3"/>
  <c r="W122" i="3"/>
  <c r="V122" i="3"/>
  <c r="R122" i="3"/>
  <c r="N122" i="3"/>
  <c r="M122" i="3"/>
  <c r="L122" i="3"/>
  <c r="K122" i="3"/>
  <c r="P122" i="3" s="1"/>
  <c r="J122" i="3"/>
  <c r="P121" i="3"/>
  <c r="M121" i="3"/>
  <c r="L121" i="3"/>
  <c r="K121" i="3"/>
  <c r="J121" i="3"/>
  <c r="AC120" i="3"/>
  <c r="R120" i="3"/>
  <c r="N120" i="3"/>
  <c r="L120" i="3"/>
  <c r="K120" i="3"/>
  <c r="P120" i="3" s="1"/>
  <c r="J120" i="3"/>
  <c r="V119" i="3"/>
  <c r="R119" i="3"/>
  <c r="P119" i="3"/>
  <c r="M119" i="3"/>
  <c r="W119" i="3" s="1"/>
  <c r="L119" i="3"/>
  <c r="K119" i="3"/>
  <c r="J119" i="3"/>
  <c r="R118" i="3"/>
  <c r="N118" i="3"/>
  <c r="L118" i="3"/>
  <c r="K118" i="3"/>
  <c r="P118" i="3" s="1"/>
  <c r="J118" i="3"/>
  <c r="R117" i="3"/>
  <c r="N117" i="3"/>
  <c r="L117" i="3"/>
  <c r="K117" i="3"/>
  <c r="J117" i="3"/>
  <c r="W116" i="3"/>
  <c r="V116" i="3"/>
  <c r="N116" i="3"/>
  <c r="O116" i="3" s="1"/>
  <c r="M116" i="3"/>
  <c r="L116" i="3"/>
  <c r="K116" i="3"/>
  <c r="P116" i="3" s="1"/>
  <c r="Q116" i="3" s="1"/>
  <c r="J116" i="3"/>
  <c r="V115" i="3"/>
  <c r="R115" i="3"/>
  <c r="M115" i="3"/>
  <c r="W115" i="3" s="1"/>
  <c r="L115" i="3"/>
  <c r="K115" i="3"/>
  <c r="J115" i="3"/>
  <c r="AB114" i="3"/>
  <c r="R114" i="3"/>
  <c r="Q114" i="3"/>
  <c r="N114" i="3"/>
  <c r="M114" i="3"/>
  <c r="O114" i="3" s="1"/>
  <c r="L114" i="3"/>
  <c r="K114" i="3"/>
  <c r="P114" i="3" s="1"/>
  <c r="J114" i="3"/>
  <c r="R113" i="3"/>
  <c r="P113" i="3"/>
  <c r="N113" i="3"/>
  <c r="L113" i="3"/>
  <c r="K113" i="3"/>
  <c r="J113" i="3"/>
  <c r="R112" i="3"/>
  <c r="L112" i="3"/>
  <c r="P112" i="3" s="1"/>
  <c r="K112" i="3"/>
  <c r="J112" i="3"/>
  <c r="W111" i="3"/>
  <c r="V111" i="3"/>
  <c r="M111" i="3"/>
  <c r="L111" i="3"/>
  <c r="K111" i="3"/>
  <c r="P111" i="3" s="1"/>
  <c r="J111" i="3"/>
  <c r="R110" i="3"/>
  <c r="N110" i="3"/>
  <c r="L110" i="3"/>
  <c r="K110" i="3"/>
  <c r="P110" i="3" s="1"/>
  <c r="J110" i="3"/>
  <c r="R109" i="3"/>
  <c r="P109" i="3"/>
  <c r="N109" i="3"/>
  <c r="L109" i="3"/>
  <c r="K109" i="3"/>
  <c r="J109" i="3"/>
  <c r="AC108" i="3"/>
  <c r="R108" i="3"/>
  <c r="N108" i="3"/>
  <c r="L108" i="3"/>
  <c r="K108" i="3"/>
  <c r="P108" i="3" s="1"/>
  <c r="J108" i="3"/>
  <c r="R107" i="3"/>
  <c r="P107" i="3"/>
  <c r="L107" i="3"/>
  <c r="K107" i="3"/>
  <c r="J107" i="3"/>
  <c r="P106" i="3"/>
  <c r="N106" i="3"/>
  <c r="L106" i="3"/>
  <c r="K106" i="3"/>
  <c r="J106" i="3"/>
  <c r="R105" i="3"/>
  <c r="L105" i="3"/>
  <c r="K105" i="3"/>
  <c r="J105" i="3"/>
  <c r="R104" i="3"/>
  <c r="P104" i="3"/>
  <c r="L104" i="3"/>
  <c r="K104" i="3"/>
  <c r="J104" i="3"/>
  <c r="R103" i="3"/>
  <c r="N103" i="3"/>
  <c r="L103" i="3"/>
  <c r="K103" i="3"/>
  <c r="P103" i="3" s="1"/>
  <c r="J103" i="3"/>
  <c r="R102" i="3"/>
  <c r="L102" i="3"/>
  <c r="K102" i="3"/>
  <c r="P102" i="3" s="1"/>
  <c r="J102" i="3"/>
  <c r="L101" i="3"/>
  <c r="K101" i="3"/>
  <c r="P101" i="3" s="1"/>
  <c r="J101" i="3"/>
  <c r="R100" i="3"/>
  <c r="N100" i="3"/>
  <c r="L100" i="3"/>
  <c r="K100" i="3"/>
  <c r="P100" i="3" s="1"/>
  <c r="J100" i="3"/>
  <c r="R99" i="3"/>
  <c r="L99" i="3"/>
  <c r="K99" i="3"/>
  <c r="P99" i="3" s="1"/>
  <c r="J99" i="3"/>
  <c r="R98" i="3"/>
  <c r="P98" i="3"/>
  <c r="L98" i="3"/>
  <c r="K98" i="3"/>
  <c r="J98" i="3"/>
  <c r="R97" i="3"/>
  <c r="L97" i="3"/>
  <c r="P97" i="3" s="1"/>
  <c r="K97" i="3"/>
  <c r="J97" i="3"/>
  <c r="AC96" i="3"/>
  <c r="N96" i="3"/>
  <c r="L96" i="3"/>
  <c r="K96" i="3"/>
  <c r="P96" i="3" s="1"/>
  <c r="J96" i="3"/>
  <c r="R95" i="3"/>
  <c r="L95" i="3"/>
  <c r="K95" i="3"/>
  <c r="P95" i="3" s="1"/>
  <c r="J95" i="3"/>
  <c r="R94" i="3"/>
  <c r="P94" i="3"/>
  <c r="L94" i="3"/>
  <c r="K94" i="3"/>
  <c r="J94" i="3"/>
  <c r="R93" i="3"/>
  <c r="N93" i="3"/>
  <c r="L93" i="3"/>
  <c r="K93" i="3"/>
  <c r="P93" i="3" s="1"/>
  <c r="J93" i="3"/>
  <c r="R92" i="3"/>
  <c r="P92" i="3"/>
  <c r="L92" i="3"/>
  <c r="K92" i="3"/>
  <c r="J92" i="3"/>
  <c r="P91" i="3"/>
  <c r="L91" i="3"/>
  <c r="K91" i="3"/>
  <c r="J91" i="3"/>
  <c r="R90" i="3"/>
  <c r="N90" i="3"/>
  <c r="L90" i="3"/>
  <c r="K90" i="3"/>
  <c r="P90" i="3" s="1"/>
  <c r="J90" i="3"/>
  <c r="R89" i="3"/>
  <c r="P89" i="3"/>
  <c r="L89" i="3"/>
  <c r="K89" i="3"/>
  <c r="J89" i="3"/>
  <c r="R88" i="3"/>
  <c r="N88" i="3"/>
  <c r="L88" i="3"/>
  <c r="K88" i="3"/>
  <c r="P88" i="3" s="1"/>
  <c r="J88" i="3"/>
  <c r="R87" i="3"/>
  <c r="M87" i="3"/>
  <c r="L87" i="3"/>
  <c r="K87" i="3"/>
  <c r="J87" i="3"/>
  <c r="W86" i="3"/>
  <c r="V86" i="3"/>
  <c r="N86" i="3"/>
  <c r="O86" i="3" s="1"/>
  <c r="M86" i="3"/>
  <c r="L86" i="3"/>
  <c r="K86" i="3"/>
  <c r="P86" i="3" s="1"/>
  <c r="Q86" i="3" s="1"/>
  <c r="J86" i="3"/>
  <c r="R85" i="3"/>
  <c r="M85" i="3"/>
  <c r="L85" i="3"/>
  <c r="K85" i="3"/>
  <c r="J85" i="3"/>
  <c r="R84" i="3"/>
  <c r="L84" i="3"/>
  <c r="K84" i="3"/>
  <c r="J84" i="3"/>
  <c r="R83" i="3"/>
  <c r="P83" i="3"/>
  <c r="O83" i="3"/>
  <c r="Q83" i="3" s="1"/>
  <c r="N83" i="3"/>
  <c r="M83" i="3"/>
  <c r="L83" i="3"/>
  <c r="K83" i="3"/>
  <c r="J83" i="3"/>
  <c r="R82" i="3"/>
  <c r="L82" i="3"/>
  <c r="K82" i="3"/>
  <c r="P82" i="3" s="1"/>
  <c r="J82" i="3"/>
  <c r="L81" i="3"/>
  <c r="K81" i="3"/>
  <c r="P81" i="3" s="1"/>
  <c r="J81" i="3"/>
  <c r="R80" i="3"/>
  <c r="M80" i="3"/>
  <c r="L80" i="3"/>
  <c r="K80" i="3"/>
  <c r="J80" i="3"/>
  <c r="R79" i="3"/>
  <c r="P79" i="3"/>
  <c r="M79" i="3"/>
  <c r="W79" i="3" s="1"/>
  <c r="L79" i="3"/>
  <c r="K79" i="3"/>
  <c r="J79" i="3"/>
  <c r="AC78" i="3"/>
  <c r="V78" i="3"/>
  <c r="R78" i="3"/>
  <c r="N78" i="3"/>
  <c r="M78" i="3"/>
  <c r="L78" i="3"/>
  <c r="K78" i="3"/>
  <c r="P78" i="3" s="1"/>
  <c r="J78" i="3"/>
  <c r="S77" i="3"/>
  <c r="R77" i="3"/>
  <c r="P77" i="3"/>
  <c r="L77" i="3"/>
  <c r="K77" i="3"/>
  <c r="J77" i="3"/>
  <c r="N76" i="3"/>
  <c r="L76" i="3"/>
  <c r="K76" i="3"/>
  <c r="J76" i="3"/>
  <c r="R75" i="3"/>
  <c r="M75" i="3"/>
  <c r="L75" i="3"/>
  <c r="K75" i="3"/>
  <c r="J75" i="3"/>
  <c r="R74" i="3"/>
  <c r="P74" i="3"/>
  <c r="L74" i="3"/>
  <c r="K74" i="3"/>
  <c r="J74" i="3"/>
  <c r="R73" i="3"/>
  <c r="P73" i="3"/>
  <c r="L73" i="3"/>
  <c r="K73" i="3"/>
  <c r="J73" i="3"/>
  <c r="R72" i="3"/>
  <c r="L72" i="3"/>
  <c r="P72" i="3" s="1"/>
  <c r="K72" i="3"/>
  <c r="J72" i="3"/>
  <c r="AC71" i="3"/>
  <c r="V71" i="3"/>
  <c r="P71" i="3"/>
  <c r="N71" i="3"/>
  <c r="M71" i="3"/>
  <c r="W71" i="3" s="1"/>
  <c r="L71" i="3"/>
  <c r="K71" i="3"/>
  <c r="J71" i="3"/>
  <c r="AC70" i="3"/>
  <c r="W70" i="3"/>
  <c r="V70" i="3"/>
  <c r="R70" i="3"/>
  <c r="O70" i="3"/>
  <c r="N70" i="3"/>
  <c r="M70" i="3"/>
  <c r="L70" i="3"/>
  <c r="K70" i="3"/>
  <c r="J70" i="3"/>
  <c r="AC69" i="3"/>
  <c r="W69" i="3"/>
  <c r="R69" i="3"/>
  <c r="N69" i="3"/>
  <c r="M69" i="3"/>
  <c r="O69" i="3" s="1"/>
  <c r="L69" i="3"/>
  <c r="K69" i="3"/>
  <c r="P69" i="3" s="1"/>
  <c r="J69" i="3"/>
  <c r="AC68" i="3"/>
  <c r="V68" i="3"/>
  <c r="R68" i="3"/>
  <c r="P68" i="3"/>
  <c r="Q68" i="3" s="1"/>
  <c r="O68" i="3"/>
  <c r="N68" i="3"/>
  <c r="M68" i="3"/>
  <c r="W68" i="3" s="1"/>
  <c r="L68" i="3"/>
  <c r="K68" i="3"/>
  <c r="J68" i="3"/>
  <c r="AC67" i="3"/>
  <c r="R67" i="3"/>
  <c r="N67" i="3"/>
  <c r="M67" i="3"/>
  <c r="L67" i="3"/>
  <c r="K67" i="3"/>
  <c r="J67" i="3"/>
  <c r="AC66" i="3"/>
  <c r="V66" i="3"/>
  <c r="N66" i="3"/>
  <c r="O66" i="3" s="1"/>
  <c r="M66" i="3"/>
  <c r="W66" i="3" s="1"/>
  <c r="L66" i="3"/>
  <c r="K66" i="3"/>
  <c r="P66" i="3" s="1"/>
  <c r="J66" i="3"/>
  <c r="AC65" i="3"/>
  <c r="W65" i="3"/>
  <c r="V65" i="3"/>
  <c r="R65" i="3"/>
  <c r="Q65" i="3"/>
  <c r="N65" i="3"/>
  <c r="O65" i="3" s="1"/>
  <c r="M65" i="3"/>
  <c r="L65" i="3"/>
  <c r="K65" i="3"/>
  <c r="P65" i="3" s="1"/>
  <c r="J65" i="3"/>
  <c r="AC64" i="3"/>
  <c r="V64" i="3"/>
  <c r="R64" i="3"/>
  <c r="P64" i="3"/>
  <c r="N64" i="3"/>
  <c r="M64" i="3"/>
  <c r="W64" i="3" s="1"/>
  <c r="L64" i="3"/>
  <c r="K64" i="3"/>
  <c r="J64" i="3"/>
  <c r="AC63" i="3"/>
  <c r="R63" i="3"/>
  <c r="N63" i="3"/>
  <c r="M63" i="3"/>
  <c r="L63" i="3"/>
  <c r="K63" i="3"/>
  <c r="P63" i="3" s="1"/>
  <c r="J63" i="3"/>
  <c r="AC62" i="3"/>
  <c r="W62" i="3"/>
  <c r="V62" i="3"/>
  <c r="R62" i="3"/>
  <c r="O62" i="3"/>
  <c r="N62" i="3"/>
  <c r="M62" i="3"/>
  <c r="L62" i="3"/>
  <c r="K62" i="3"/>
  <c r="P62" i="3" s="1"/>
  <c r="Q62" i="3" s="1"/>
  <c r="J62" i="3"/>
  <c r="AC61" i="3"/>
  <c r="P61" i="3"/>
  <c r="N61" i="3"/>
  <c r="M61" i="3"/>
  <c r="L61" i="3"/>
  <c r="K61" i="3"/>
  <c r="J61" i="3"/>
  <c r="AC60" i="3"/>
  <c r="W60" i="3"/>
  <c r="V60" i="3"/>
  <c r="R60" i="3"/>
  <c r="N60" i="3"/>
  <c r="O60" i="3" s="1"/>
  <c r="M60" i="3"/>
  <c r="L60" i="3"/>
  <c r="K60" i="3"/>
  <c r="J60" i="3"/>
  <c r="AC59" i="3"/>
  <c r="W59" i="3"/>
  <c r="V59" i="3"/>
  <c r="R59" i="3"/>
  <c r="N59" i="3"/>
  <c r="M59" i="3"/>
  <c r="O59" i="3" s="1"/>
  <c r="L59" i="3"/>
  <c r="K59" i="3"/>
  <c r="P59" i="3" s="1"/>
  <c r="Q59" i="3" s="1"/>
  <c r="J59" i="3"/>
  <c r="AC58" i="3"/>
  <c r="R58" i="3"/>
  <c r="P58" i="3"/>
  <c r="Q58" i="3" s="1"/>
  <c r="O58" i="3"/>
  <c r="N58" i="3"/>
  <c r="M58" i="3"/>
  <c r="W58" i="3" s="1"/>
  <c r="L58" i="3"/>
  <c r="K58" i="3"/>
  <c r="J58" i="3"/>
  <c r="AC57" i="3"/>
  <c r="AB57" i="3"/>
  <c r="AD57" i="3" s="1"/>
  <c r="AE57" i="3" s="1"/>
  <c r="W57" i="3"/>
  <c r="R57" i="3"/>
  <c r="N57" i="3"/>
  <c r="M57" i="3"/>
  <c r="O57" i="3" s="1"/>
  <c r="L57" i="3"/>
  <c r="K57" i="3"/>
  <c r="P57" i="3" s="1"/>
  <c r="Q57" i="3" s="1"/>
  <c r="J57" i="3"/>
  <c r="AC56" i="3"/>
  <c r="L56" i="3"/>
  <c r="K56" i="3"/>
  <c r="J56" i="3"/>
  <c r="R55" i="3"/>
  <c r="L55" i="3"/>
  <c r="K55" i="3"/>
  <c r="P55" i="3" s="1"/>
  <c r="J55" i="3"/>
  <c r="R54" i="3"/>
  <c r="P54" i="3"/>
  <c r="L54" i="3"/>
  <c r="K54" i="3"/>
  <c r="J54" i="3"/>
  <c r="AC53" i="3"/>
  <c r="R53" i="3"/>
  <c r="N53" i="3"/>
  <c r="L53" i="3"/>
  <c r="K53" i="3"/>
  <c r="P53" i="3" s="1"/>
  <c r="J53" i="3"/>
  <c r="R52" i="3"/>
  <c r="P52" i="3"/>
  <c r="L52" i="3"/>
  <c r="K52" i="3"/>
  <c r="J52" i="3"/>
  <c r="L51" i="3"/>
  <c r="K51" i="3"/>
  <c r="J51" i="3"/>
  <c r="R50" i="3"/>
  <c r="L50" i="3"/>
  <c r="K50" i="3"/>
  <c r="P50" i="3" s="1"/>
  <c r="J50" i="3"/>
  <c r="R49" i="3"/>
  <c r="L49" i="3"/>
  <c r="P49" i="3" s="1"/>
  <c r="K49" i="3"/>
  <c r="J49" i="3"/>
  <c r="S48" i="3"/>
  <c r="R48" i="3"/>
  <c r="L48" i="3"/>
  <c r="K48" i="3"/>
  <c r="P48" i="3" s="1"/>
  <c r="J48" i="3"/>
  <c r="R47" i="3"/>
  <c r="L47" i="3"/>
  <c r="P47" i="3" s="1"/>
  <c r="K47" i="3"/>
  <c r="J47" i="3"/>
  <c r="P46" i="3"/>
  <c r="L46" i="3"/>
  <c r="K46" i="3"/>
  <c r="J46" i="3"/>
  <c r="R45" i="3"/>
  <c r="L45" i="3"/>
  <c r="K45" i="3"/>
  <c r="P45" i="3" s="1"/>
  <c r="J45" i="3"/>
  <c r="R44" i="3"/>
  <c r="L44" i="3"/>
  <c r="K44" i="3"/>
  <c r="P44" i="3" s="1"/>
  <c r="J44" i="3"/>
  <c r="R43" i="3"/>
  <c r="P43" i="3"/>
  <c r="L43" i="3"/>
  <c r="K43" i="3"/>
  <c r="J43" i="3"/>
  <c r="R42" i="3"/>
  <c r="L42" i="3"/>
  <c r="K42" i="3"/>
  <c r="J42" i="3"/>
  <c r="AC41" i="3"/>
  <c r="P41" i="3"/>
  <c r="N41" i="3"/>
  <c r="M41" i="3"/>
  <c r="L41" i="3"/>
  <c r="K41" i="3"/>
  <c r="J41" i="3"/>
  <c r="AC40" i="3"/>
  <c r="V40" i="3"/>
  <c r="R40" i="3"/>
  <c r="N40" i="3"/>
  <c r="M40" i="3"/>
  <c r="L40" i="3"/>
  <c r="K40" i="3"/>
  <c r="J40" i="3"/>
  <c r="AC39" i="3"/>
  <c r="W39" i="3"/>
  <c r="R39" i="3"/>
  <c r="O39" i="3"/>
  <c r="N39" i="3"/>
  <c r="M39" i="3"/>
  <c r="V39" i="3" s="1"/>
  <c r="L39" i="3"/>
  <c r="K39" i="3"/>
  <c r="P39" i="3" s="1"/>
  <c r="Q39" i="3" s="1"/>
  <c r="J39" i="3"/>
  <c r="AC38" i="3"/>
  <c r="R38" i="3"/>
  <c r="O38" i="3"/>
  <c r="Q38" i="3" s="1"/>
  <c r="N38" i="3"/>
  <c r="M38" i="3"/>
  <c r="W38" i="3" s="1"/>
  <c r="L38" i="3"/>
  <c r="K38" i="3"/>
  <c r="P38" i="3" s="1"/>
  <c r="J38" i="3"/>
  <c r="AC37" i="3"/>
  <c r="AB37" i="3"/>
  <c r="AD37" i="3" s="1"/>
  <c r="AE37" i="3" s="1"/>
  <c r="W37" i="3"/>
  <c r="V37" i="3"/>
  <c r="R37" i="3"/>
  <c r="O37" i="3"/>
  <c r="N37" i="3"/>
  <c r="M37" i="3"/>
  <c r="L37" i="3"/>
  <c r="K37" i="3"/>
  <c r="P37" i="3" s="1"/>
  <c r="Q37" i="3" s="1"/>
  <c r="J37" i="3"/>
  <c r="AC36" i="3"/>
  <c r="S36" i="3"/>
  <c r="P36" i="3"/>
  <c r="Q36" i="3" s="1"/>
  <c r="O36" i="3"/>
  <c r="N36" i="3"/>
  <c r="M36" i="3"/>
  <c r="L36" i="3"/>
  <c r="K36" i="3"/>
  <c r="J36" i="3"/>
  <c r="AC35" i="3"/>
  <c r="AB35" i="3"/>
  <c r="AD35" i="3" s="1"/>
  <c r="AE35" i="3" s="1"/>
  <c r="W35" i="3"/>
  <c r="F45" i="1" s="1"/>
  <c r="BH45" i="1" s="1"/>
  <c r="V35" i="3"/>
  <c r="R35" i="3"/>
  <c r="N35" i="3"/>
  <c r="M35" i="3"/>
  <c r="O35" i="3" s="1"/>
  <c r="L35" i="3"/>
  <c r="K35" i="3"/>
  <c r="P35" i="3" s="1"/>
  <c r="Q35" i="3" s="1"/>
  <c r="J35" i="3"/>
  <c r="AC34" i="3"/>
  <c r="W34" i="3"/>
  <c r="V34" i="3"/>
  <c r="R34" i="3"/>
  <c r="O34" i="3"/>
  <c r="N34" i="3"/>
  <c r="M34" i="3"/>
  <c r="L34" i="3"/>
  <c r="K34" i="3"/>
  <c r="P34" i="3" s="1"/>
  <c r="Q34" i="3" s="1"/>
  <c r="AF34" i="3" s="1"/>
  <c r="J34" i="3"/>
  <c r="AC33" i="3"/>
  <c r="R33" i="3"/>
  <c r="P33" i="3"/>
  <c r="O33" i="3"/>
  <c r="Q33" i="3" s="1"/>
  <c r="N33" i="3"/>
  <c r="M33" i="3"/>
  <c r="L33" i="3"/>
  <c r="K33" i="3"/>
  <c r="J33" i="3"/>
  <c r="AC32" i="3"/>
  <c r="R32" i="3"/>
  <c r="N32" i="3"/>
  <c r="M32" i="3"/>
  <c r="L32" i="3"/>
  <c r="K32" i="3"/>
  <c r="J32" i="3"/>
  <c r="AC31" i="3"/>
  <c r="W31" i="3"/>
  <c r="V31" i="3"/>
  <c r="S31" i="3"/>
  <c r="P31" i="3"/>
  <c r="N31" i="3"/>
  <c r="M31" i="3"/>
  <c r="L31" i="3"/>
  <c r="K31" i="3"/>
  <c r="J31" i="3"/>
  <c r="AC30" i="3"/>
  <c r="V30" i="3"/>
  <c r="R30" i="3"/>
  <c r="N30" i="3"/>
  <c r="O30" i="3" s="1"/>
  <c r="M30" i="3"/>
  <c r="W30" i="3" s="1"/>
  <c r="L30" i="3"/>
  <c r="K30" i="3"/>
  <c r="J30" i="3"/>
  <c r="AC29" i="3"/>
  <c r="AB29" i="3"/>
  <c r="AD29" i="3" s="1"/>
  <c r="AE29" i="3" s="1"/>
  <c r="W29" i="3"/>
  <c r="V29" i="3"/>
  <c r="R29" i="3"/>
  <c r="P29" i="3"/>
  <c r="Q29" i="3" s="1"/>
  <c r="O29" i="3"/>
  <c r="N29" i="3"/>
  <c r="M29" i="3"/>
  <c r="L29" i="3"/>
  <c r="K29" i="3"/>
  <c r="J29" i="3"/>
  <c r="AC28" i="3"/>
  <c r="R28" i="3"/>
  <c r="O28" i="3"/>
  <c r="N28" i="3"/>
  <c r="M28" i="3"/>
  <c r="L28" i="3"/>
  <c r="K28" i="3"/>
  <c r="P28" i="3" s="1"/>
  <c r="Q28" i="3" s="1"/>
  <c r="J28" i="3"/>
  <c r="AC27" i="3"/>
  <c r="W27" i="3"/>
  <c r="V27" i="3"/>
  <c r="R27" i="3"/>
  <c r="N27" i="3"/>
  <c r="O27" i="3" s="1"/>
  <c r="M27" i="3"/>
  <c r="L27" i="3"/>
  <c r="K27" i="3"/>
  <c r="J27" i="3"/>
  <c r="N26" i="3"/>
  <c r="L26" i="3"/>
  <c r="P26" i="3" s="1"/>
  <c r="K26" i="3"/>
  <c r="J26" i="3"/>
  <c r="R25" i="3"/>
  <c r="L25" i="3"/>
  <c r="K25" i="3"/>
  <c r="J25" i="3"/>
  <c r="R24" i="3"/>
  <c r="N24" i="3"/>
  <c r="L24" i="3"/>
  <c r="P24" i="3" s="1"/>
  <c r="K24" i="3"/>
  <c r="J24" i="3"/>
  <c r="R23" i="3"/>
  <c r="P23" i="3"/>
  <c r="N23" i="3"/>
  <c r="L23" i="3"/>
  <c r="K23" i="3"/>
  <c r="J23" i="3"/>
  <c r="R22" i="3"/>
  <c r="L22" i="3"/>
  <c r="K22" i="3"/>
  <c r="P22" i="3" s="1"/>
  <c r="J22" i="3"/>
  <c r="AC21" i="3"/>
  <c r="L21" i="3"/>
  <c r="K21" i="3"/>
  <c r="P21" i="3" s="1"/>
  <c r="J21" i="3"/>
  <c r="AC20" i="3"/>
  <c r="S20" i="3"/>
  <c r="R20" i="3"/>
  <c r="N20" i="3"/>
  <c r="L20" i="3"/>
  <c r="K20" i="3"/>
  <c r="P20" i="3" s="1"/>
  <c r="J20" i="3"/>
  <c r="S19" i="3"/>
  <c r="R19" i="3"/>
  <c r="P19" i="3"/>
  <c r="N19" i="3"/>
  <c r="L19" i="3"/>
  <c r="K19" i="3"/>
  <c r="J19" i="3"/>
  <c r="S18" i="3"/>
  <c r="R18" i="3"/>
  <c r="P18" i="3"/>
  <c r="L18" i="3"/>
  <c r="K18" i="3"/>
  <c r="J18" i="3"/>
  <c r="R17" i="3"/>
  <c r="P17" i="3"/>
  <c r="N17" i="3"/>
  <c r="L17" i="3"/>
  <c r="K17" i="3"/>
  <c r="J17" i="3"/>
  <c r="AC16" i="3"/>
  <c r="N16" i="3"/>
  <c r="L16" i="3"/>
  <c r="K16" i="3"/>
  <c r="J16" i="3"/>
  <c r="S15" i="3"/>
  <c r="R15" i="3"/>
  <c r="L15" i="3"/>
  <c r="K15" i="3"/>
  <c r="P15" i="3" s="1"/>
  <c r="J15" i="3"/>
  <c r="R14" i="3"/>
  <c r="L14" i="3"/>
  <c r="K14" i="3"/>
  <c r="J14" i="3"/>
  <c r="R13" i="3"/>
  <c r="P13" i="3"/>
  <c r="N13" i="3"/>
  <c r="L13" i="3"/>
  <c r="K13" i="3"/>
  <c r="J13" i="3"/>
  <c r="S12" i="3"/>
  <c r="R12" i="3"/>
  <c r="L12" i="3"/>
  <c r="K12" i="3"/>
  <c r="P12" i="3" s="1"/>
  <c r="J12" i="3"/>
  <c r="S11" i="3"/>
  <c r="P11" i="3"/>
  <c r="N11" i="3"/>
  <c r="L11" i="3"/>
  <c r="K11" i="3"/>
  <c r="J11" i="3"/>
  <c r="R10" i="3"/>
  <c r="N10" i="3"/>
  <c r="L10" i="3"/>
  <c r="K10" i="3"/>
  <c r="P10" i="3" s="1"/>
  <c r="J10" i="3"/>
  <c r="AC9" i="3"/>
  <c r="S9" i="3"/>
  <c r="R9" i="3"/>
  <c r="P9" i="3"/>
  <c r="N9" i="3"/>
  <c r="M9" i="3"/>
  <c r="L9" i="3"/>
  <c r="K9" i="3"/>
  <c r="J9" i="3"/>
  <c r="AC8" i="3"/>
  <c r="V8" i="3"/>
  <c r="S8" i="3"/>
  <c r="R8" i="3"/>
  <c r="N8" i="3"/>
  <c r="M8" i="3"/>
  <c r="L8" i="3"/>
  <c r="K8" i="3"/>
  <c r="P8" i="3" s="1"/>
  <c r="J8" i="3"/>
  <c r="R7" i="3"/>
  <c r="N7" i="3"/>
  <c r="L7" i="3"/>
  <c r="K7" i="3"/>
  <c r="J7" i="3"/>
  <c r="S6" i="3"/>
  <c r="N6" i="3"/>
  <c r="L6" i="3"/>
  <c r="K6" i="3"/>
  <c r="J6" i="3"/>
  <c r="AC5" i="3"/>
  <c r="R5" i="3"/>
  <c r="N5" i="3"/>
  <c r="L5" i="3"/>
  <c r="K5" i="3"/>
  <c r="P5" i="3" s="1"/>
  <c r="J5" i="3"/>
  <c r="N4" i="3"/>
  <c r="L4" i="3"/>
  <c r="K4" i="3"/>
  <c r="P4" i="3" s="1"/>
  <c r="J4" i="3"/>
  <c r="S1" i="3"/>
  <c r="R1" i="3"/>
  <c r="R292" i="3" s="1"/>
  <c r="BE435" i="1"/>
  <c r="BD435" i="1"/>
  <c r="BA435" i="1"/>
  <c r="AY435" i="1"/>
  <c r="J435" i="1"/>
  <c r="I435" i="1"/>
  <c r="F435" i="1"/>
  <c r="BH435" i="1" s="1"/>
  <c r="B435" i="1"/>
  <c r="BH434" i="1"/>
  <c r="AZ434" i="1"/>
  <c r="I434" i="1"/>
  <c r="F434" i="1"/>
  <c r="B434" i="1"/>
  <c r="J434" i="1" s="1"/>
  <c r="BD433" i="1"/>
  <c r="BC433" i="1"/>
  <c r="BB433" i="1"/>
  <c r="AZ433" i="1"/>
  <c r="I433" i="1"/>
  <c r="F433" i="1"/>
  <c r="BH433" i="1" s="1"/>
  <c r="B433" i="1"/>
  <c r="J433" i="1" s="1"/>
  <c r="BE432" i="1"/>
  <c r="BD432" i="1"/>
  <c r="BA432" i="1"/>
  <c r="J432" i="1"/>
  <c r="I432" i="1"/>
  <c r="B432" i="1"/>
  <c r="BH431" i="1"/>
  <c r="BE431" i="1"/>
  <c r="BD431" i="1"/>
  <c r="BA431" i="1"/>
  <c r="AY431" i="1"/>
  <c r="I431" i="1"/>
  <c r="BB431" i="1" s="1"/>
  <c r="F431" i="1"/>
  <c r="B431" i="1"/>
  <c r="J431" i="1" s="1"/>
  <c r="BE430" i="1"/>
  <c r="AY430" i="1"/>
  <c r="J430" i="1"/>
  <c r="I430" i="1"/>
  <c r="F430" i="1"/>
  <c r="BH430" i="1" s="1"/>
  <c r="B430" i="1"/>
  <c r="I429" i="1"/>
  <c r="B429" i="1"/>
  <c r="J429" i="1" s="1"/>
  <c r="AZ428" i="1"/>
  <c r="I428" i="1"/>
  <c r="BB428" i="1" s="1"/>
  <c r="F428" i="1"/>
  <c r="BH428" i="1" s="1"/>
  <c r="B428" i="1"/>
  <c r="J428" i="1" s="1"/>
  <c r="BA427" i="1"/>
  <c r="AZ427" i="1"/>
  <c r="J427" i="1"/>
  <c r="I427" i="1"/>
  <c r="B427" i="1"/>
  <c r="BH426" i="1"/>
  <c r="BE426" i="1"/>
  <c r="BD426" i="1"/>
  <c r="BC426" i="1"/>
  <c r="BB426" i="1"/>
  <c r="BA426" i="1"/>
  <c r="AY426" i="1"/>
  <c r="J426" i="1"/>
  <c r="I426" i="1"/>
  <c r="F426" i="1"/>
  <c r="B426" i="1"/>
  <c r="BE425" i="1"/>
  <c r="BD425" i="1"/>
  <c r="BC425" i="1"/>
  <c r="BB425" i="1"/>
  <c r="J425" i="1"/>
  <c r="I425" i="1"/>
  <c r="B425" i="1"/>
  <c r="BE424" i="1"/>
  <c r="BC424" i="1"/>
  <c r="AZ424" i="1"/>
  <c r="I424" i="1"/>
  <c r="B424" i="1"/>
  <c r="J424" i="1" s="1"/>
  <c r="BD423" i="1"/>
  <c r="BB423" i="1"/>
  <c r="BA423" i="1"/>
  <c r="AZ423" i="1"/>
  <c r="AY423" i="1"/>
  <c r="J423" i="1"/>
  <c r="I423" i="1"/>
  <c r="F423" i="1"/>
  <c r="BH423" i="1" s="1"/>
  <c r="B423" i="1"/>
  <c r="BE422" i="1"/>
  <c r="BD422" i="1"/>
  <c r="BC422" i="1"/>
  <c r="BA422" i="1"/>
  <c r="I422" i="1"/>
  <c r="B422" i="1"/>
  <c r="J422" i="1" s="1"/>
  <c r="BE421" i="1"/>
  <c r="BB421" i="1"/>
  <c r="I421" i="1"/>
  <c r="F421" i="1"/>
  <c r="BH421" i="1" s="1"/>
  <c r="B421" i="1"/>
  <c r="J421" i="1" s="1"/>
  <c r="BE420" i="1"/>
  <c r="BD420" i="1"/>
  <c r="BC420" i="1"/>
  <c r="BB420" i="1"/>
  <c r="BA420" i="1"/>
  <c r="AY420" i="1"/>
  <c r="J420" i="1"/>
  <c r="I420" i="1"/>
  <c r="B420" i="1"/>
  <c r="BE419" i="1"/>
  <c r="BD419" i="1"/>
  <c r="BC419" i="1"/>
  <c r="BB419" i="1"/>
  <c r="AY419" i="1"/>
  <c r="J419" i="1"/>
  <c r="I419" i="1"/>
  <c r="BA419" i="1" s="1"/>
  <c r="F419" i="1"/>
  <c r="BH419" i="1" s="1"/>
  <c r="B419" i="1"/>
  <c r="BH418" i="1"/>
  <c r="BD418" i="1"/>
  <c r="BC418" i="1"/>
  <c r="BB418" i="1"/>
  <c r="AY418" i="1"/>
  <c r="J418" i="1"/>
  <c r="I418" i="1"/>
  <c r="BA418" i="1" s="1"/>
  <c r="F418" i="1"/>
  <c r="B418" i="1"/>
  <c r="BH417" i="1"/>
  <c r="BE417" i="1"/>
  <c r="I417" i="1"/>
  <c r="BC417" i="1" s="1"/>
  <c r="F417" i="1"/>
  <c r="B417" i="1"/>
  <c r="J417" i="1" s="1"/>
  <c r="BD416" i="1"/>
  <c r="BA416" i="1"/>
  <c r="I416" i="1"/>
  <c r="B416" i="1"/>
  <c r="J416" i="1" s="1"/>
  <c r="BE415" i="1"/>
  <c r="BD415" i="1"/>
  <c r="BC415" i="1"/>
  <c r="BB415" i="1"/>
  <c r="BA415" i="1"/>
  <c r="AY415" i="1"/>
  <c r="J415" i="1"/>
  <c r="I415" i="1"/>
  <c r="F415" i="1"/>
  <c r="BH415" i="1" s="1"/>
  <c r="B415" i="1"/>
  <c r="BE414" i="1"/>
  <c r="BD414" i="1"/>
  <c r="BC414" i="1"/>
  <c r="AY414" i="1"/>
  <c r="I414" i="1"/>
  <c r="BA414" i="1" s="1"/>
  <c r="B414" i="1"/>
  <c r="J414" i="1" s="1"/>
  <c r="BD413" i="1"/>
  <c r="BB413" i="1"/>
  <c r="BA413" i="1"/>
  <c r="J413" i="1"/>
  <c r="I413" i="1"/>
  <c r="AY413" i="1" s="1"/>
  <c r="F413" i="1"/>
  <c r="BH413" i="1" s="1"/>
  <c r="B413" i="1"/>
  <c r="BE412" i="1"/>
  <c r="BD412" i="1"/>
  <c r="BB412" i="1"/>
  <c r="J412" i="1"/>
  <c r="I412" i="1"/>
  <c r="B412" i="1"/>
  <c r="BD411" i="1"/>
  <c r="BA411" i="1"/>
  <c r="I411" i="1"/>
  <c r="B411" i="1"/>
  <c r="J411" i="1" s="1"/>
  <c r="BH410" i="1"/>
  <c r="BE410" i="1"/>
  <c r="BD410" i="1"/>
  <c r="BC410" i="1"/>
  <c r="BB410" i="1"/>
  <c r="BA410" i="1"/>
  <c r="AY410" i="1"/>
  <c r="I410" i="1"/>
  <c r="F410" i="1"/>
  <c r="B410" i="1"/>
  <c r="J410" i="1" s="1"/>
  <c r="BE409" i="1"/>
  <c r="BD409" i="1"/>
  <c r="BC409" i="1"/>
  <c r="BB409" i="1"/>
  <c r="AY409" i="1"/>
  <c r="J409" i="1"/>
  <c r="I409" i="1"/>
  <c r="BA409" i="1" s="1"/>
  <c r="B409" i="1"/>
  <c r="BH408" i="1"/>
  <c r="BD408" i="1"/>
  <c r="BC408" i="1"/>
  <c r="BB408" i="1"/>
  <c r="J408" i="1"/>
  <c r="I408" i="1"/>
  <c r="F408" i="1"/>
  <c r="B408" i="1"/>
  <c r="BD407" i="1"/>
  <c r="BA407" i="1"/>
  <c r="I407" i="1"/>
  <c r="B407" i="1"/>
  <c r="J407" i="1" s="1"/>
  <c r="BB406" i="1"/>
  <c r="BA406" i="1"/>
  <c r="AY406" i="1"/>
  <c r="J406" i="1"/>
  <c r="I406" i="1"/>
  <c r="B406" i="1"/>
  <c r="BE405" i="1"/>
  <c r="BD405" i="1"/>
  <c r="BC405" i="1"/>
  <c r="BB405" i="1"/>
  <c r="BA405" i="1"/>
  <c r="AY405" i="1"/>
  <c r="J405" i="1"/>
  <c r="I405" i="1"/>
  <c r="F405" i="1"/>
  <c r="BH405" i="1" s="1"/>
  <c r="B405" i="1"/>
  <c r="BE404" i="1"/>
  <c r="BD404" i="1"/>
  <c r="BC404" i="1"/>
  <c r="BB404" i="1"/>
  <c r="AY404" i="1"/>
  <c r="J404" i="1"/>
  <c r="I404" i="1"/>
  <c r="BA404" i="1" s="1"/>
  <c r="B404" i="1"/>
  <c r="BH403" i="1"/>
  <c r="AZ403" i="1"/>
  <c r="J403" i="1"/>
  <c r="I403" i="1"/>
  <c r="F403" i="1"/>
  <c r="B403" i="1"/>
  <c r="BA402" i="1"/>
  <c r="J402" i="1"/>
  <c r="I402" i="1"/>
  <c r="B402" i="1"/>
  <c r="J401" i="1"/>
  <c r="I401" i="1"/>
  <c r="B401" i="1"/>
  <c r="BE400" i="1"/>
  <c r="BD400" i="1"/>
  <c r="BC400" i="1"/>
  <c r="BB400" i="1"/>
  <c r="BA400" i="1"/>
  <c r="AY400" i="1"/>
  <c r="J400" i="1"/>
  <c r="I400" i="1"/>
  <c r="F400" i="1"/>
  <c r="BH400" i="1" s="1"/>
  <c r="B400" i="1"/>
  <c r="BE399" i="1"/>
  <c r="BD399" i="1"/>
  <c r="BC399" i="1"/>
  <c r="BB399" i="1"/>
  <c r="AY399" i="1"/>
  <c r="J399" i="1"/>
  <c r="I399" i="1"/>
  <c r="BA399" i="1" s="1"/>
  <c r="B399" i="1"/>
  <c r="BD398" i="1"/>
  <c r="BC398" i="1"/>
  <c r="BA398" i="1"/>
  <c r="J398" i="1"/>
  <c r="I398" i="1"/>
  <c r="AY398" i="1" s="1"/>
  <c r="F398" i="1"/>
  <c r="BH398" i="1" s="1"/>
  <c r="B398" i="1"/>
  <c r="BE397" i="1"/>
  <c r="BC397" i="1"/>
  <c r="BA397" i="1"/>
  <c r="J397" i="1"/>
  <c r="I397" i="1"/>
  <c r="B397" i="1"/>
  <c r="BD396" i="1"/>
  <c r="BB396" i="1"/>
  <c r="BA396" i="1"/>
  <c r="J396" i="1"/>
  <c r="I396" i="1"/>
  <c r="AY396" i="1" s="1"/>
  <c r="B396" i="1"/>
  <c r="BE395" i="1"/>
  <c r="BD395" i="1"/>
  <c r="BC395" i="1"/>
  <c r="BB395" i="1"/>
  <c r="BA395" i="1"/>
  <c r="AY395" i="1"/>
  <c r="I395" i="1"/>
  <c r="F395" i="1"/>
  <c r="BH395" i="1" s="1"/>
  <c r="B395" i="1"/>
  <c r="J395" i="1" s="1"/>
  <c r="BE394" i="1"/>
  <c r="BD394" i="1"/>
  <c r="I394" i="1"/>
  <c r="F394" i="1"/>
  <c r="BH394" i="1" s="1"/>
  <c r="B394" i="1"/>
  <c r="J394" i="1" s="1"/>
  <c r="BD393" i="1"/>
  <c r="BA393" i="1"/>
  <c r="AZ393" i="1"/>
  <c r="J393" i="1"/>
  <c r="I393" i="1"/>
  <c r="AY393" i="1" s="1"/>
  <c r="F393" i="1"/>
  <c r="BH393" i="1" s="1"/>
  <c r="B393" i="1"/>
  <c r="BD392" i="1"/>
  <c r="BB392" i="1"/>
  <c r="BA392" i="1"/>
  <c r="J392" i="1"/>
  <c r="I392" i="1"/>
  <c r="B392" i="1"/>
  <c r="BD391" i="1"/>
  <c r="BB391" i="1"/>
  <c r="BA391" i="1"/>
  <c r="J391" i="1"/>
  <c r="I391" i="1"/>
  <c r="B391" i="1"/>
  <c r="BH390" i="1"/>
  <c r="BE390" i="1"/>
  <c r="BD390" i="1"/>
  <c r="BC390" i="1"/>
  <c r="BB390" i="1"/>
  <c r="BA390" i="1"/>
  <c r="AY390" i="1"/>
  <c r="I390" i="1"/>
  <c r="F390" i="1"/>
  <c r="B390" i="1"/>
  <c r="J390" i="1" s="1"/>
  <c r="BE389" i="1"/>
  <c r="BD389" i="1"/>
  <c r="BC389" i="1"/>
  <c r="BB389" i="1"/>
  <c r="AC389" i="1"/>
  <c r="Z389" i="1"/>
  <c r="V389" i="1"/>
  <c r="U389" i="1"/>
  <c r="T389" i="1"/>
  <c r="Q389" i="1"/>
  <c r="P389" i="1"/>
  <c r="O389" i="1"/>
  <c r="I389" i="1"/>
  <c r="BA389" i="1" s="1"/>
  <c r="B389" i="1"/>
  <c r="BD388" i="1"/>
  <c r="AC388" i="1"/>
  <c r="Z388" i="1"/>
  <c r="V388" i="1"/>
  <c r="U388" i="1"/>
  <c r="T388" i="1"/>
  <c r="W388" i="1" s="1"/>
  <c r="S388" i="1"/>
  <c r="R388" i="1"/>
  <c r="Q388" i="1"/>
  <c r="P388" i="1"/>
  <c r="O388" i="1"/>
  <c r="K388" i="1"/>
  <c r="I388" i="1"/>
  <c r="BB388" i="1" s="1"/>
  <c r="B388" i="1"/>
  <c r="BH387" i="1"/>
  <c r="BE387" i="1"/>
  <c r="BC387" i="1"/>
  <c r="BA387" i="1"/>
  <c r="AZ387" i="1"/>
  <c r="J387" i="1"/>
  <c r="I387" i="1"/>
  <c r="F387" i="1"/>
  <c r="B387" i="1"/>
  <c r="BH386" i="1"/>
  <c r="BD386" i="1"/>
  <c r="BB386" i="1"/>
  <c r="BA386" i="1"/>
  <c r="AZ386" i="1"/>
  <c r="AY386" i="1"/>
  <c r="I386" i="1"/>
  <c r="F386" i="1"/>
  <c r="B386" i="1"/>
  <c r="J386" i="1" s="1"/>
  <c r="BH385" i="1"/>
  <c r="BE385" i="1"/>
  <c r="BD385" i="1"/>
  <c r="BC385" i="1"/>
  <c r="BB385" i="1"/>
  <c r="BA385" i="1"/>
  <c r="AZ385" i="1"/>
  <c r="AY385" i="1"/>
  <c r="I385" i="1"/>
  <c r="F385" i="1"/>
  <c r="B385" i="1"/>
  <c r="J385" i="1" s="1"/>
  <c r="BD384" i="1"/>
  <c r="BB384" i="1"/>
  <c r="I384" i="1"/>
  <c r="BC384" i="1" s="1"/>
  <c r="B384" i="1"/>
  <c r="J384" i="1" s="1"/>
  <c r="BD383" i="1"/>
  <c r="AC383" i="1"/>
  <c r="Z383" i="1"/>
  <c r="V383" i="1"/>
  <c r="U383" i="1"/>
  <c r="T383" i="1"/>
  <c r="R383" i="1"/>
  <c r="Q383" i="1"/>
  <c r="P383" i="1"/>
  <c r="O383" i="1"/>
  <c r="I383" i="1"/>
  <c r="B383" i="1"/>
  <c r="K383" i="1" s="1"/>
  <c r="AC382" i="1"/>
  <c r="Z382" i="1"/>
  <c r="V382" i="1"/>
  <c r="U382" i="1"/>
  <c r="T382" i="1"/>
  <c r="R382" i="1"/>
  <c r="Q382" i="1"/>
  <c r="P382" i="1"/>
  <c r="O382" i="1"/>
  <c r="I382" i="1"/>
  <c r="B382" i="1"/>
  <c r="BE381" i="1"/>
  <c r="AC381" i="1"/>
  <c r="Z381" i="1"/>
  <c r="W381" i="1"/>
  <c r="V381" i="1"/>
  <c r="U381" i="1"/>
  <c r="T381" i="1"/>
  <c r="S381" i="1"/>
  <c r="Q381" i="1"/>
  <c r="P381" i="1"/>
  <c r="O381" i="1"/>
  <c r="K381" i="1"/>
  <c r="I381" i="1"/>
  <c r="B381" i="1"/>
  <c r="BE380" i="1"/>
  <c r="BD380" i="1"/>
  <c r="BC380" i="1"/>
  <c r="BA380" i="1"/>
  <c r="Z380" i="1"/>
  <c r="V380" i="1"/>
  <c r="U380" i="1"/>
  <c r="T380" i="1"/>
  <c r="R380" i="1"/>
  <c r="Q380" i="1"/>
  <c r="P380" i="1"/>
  <c r="O380" i="1"/>
  <c r="K380" i="1"/>
  <c r="I380" i="1"/>
  <c r="BB380" i="1" s="1"/>
  <c r="B380" i="1"/>
  <c r="BE379" i="1"/>
  <c r="BD379" i="1"/>
  <c r="BC379" i="1"/>
  <c r="BB379" i="1"/>
  <c r="AY379" i="1"/>
  <c r="J379" i="1"/>
  <c r="I379" i="1"/>
  <c r="BA379" i="1" s="1"/>
  <c r="F379" i="1"/>
  <c r="BH379" i="1" s="1"/>
  <c r="B379" i="1"/>
  <c r="BD378" i="1"/>
  <c r="BA378" i="1"/>
  <c r="AC378" i="1"/>
  <c r="AA378" i="1"/>
  <c r="Z378" i="1"/>
  <c r="V378" i="1"/>
  <c r="U378" i="1"/>
  <c r="T378" i="1"/>
  <c r="Q378" i="1"/>
  <c r="P378" i="1"/>
  <c r="R378" i="1" s="1"/>
  <c r="O378" i="1"/>
  <c r="I378" i="1"/>
  <c r="BC378" i="1" s="1"/>
  <c r="B378" i="1"/>
  <c r="K378" i="1" s="1"/>
  <c r="BH377" i="1"/>
  <c r="BE377" i="1"/>
  <c r="BB377" i="1"/>
  <c r="J377" i="1"/>
  <c r="I377" i="1"/>
  <c r="AY377" i="1" s="1"/>
  <c r="F377" i="1"/>
  <c r="B377" i="1"/>
  <c r="BE376" i="1"/>
  <c r="BD376" i="1"/>
  <c r="BC376" i="1"/>
  <c r="BB376" i="1"/>
  <c r="BA376" i="1"/>
  <c r="AZ376" i="1"/>
  <c r="AY376" i="1"/>
  <c r="I376" i="1"/>
  <c r="B376" i="1"/>
  <c r="J376" i="1" s="1"/>
  <c r="BE375" i="1"/>
  <c r="BD375" i="1"/>
  <c r="BC375" i="1"/>
  <c r="BA375" i="1"/>
  <c r="AY375" i="1"/>
  <c r="J375" i="1"/>
  <c r="I375" i="1"/>
  <c r="BB375" i="1" s="1"/>
  <c r="F375" i="1"/>
  <c r="BH375" i="1" s="1"/>
  <c r="B375" i="1"/>
  <c r="BH374" i="1"/>
  <c r="BE374" i="1"/>
  <c r="BD374" i="1"/>
  <c r="BB374" i="1"/>
  <c r="BA374" i="1"/>
  <c r="AY374" i="1"/>
  <c r="J374" i="1"/>
  <c r="I374" i="1"/>
  <c r="BC374" i="1" s="1"/>
  <c r="F374" i="1"/>
  <c r="B374" i="1"/>
  <c r="BH373" i="1"/>
  <c r="I373" i="1"/>
  <c r="F373" i="1"/>
  <c r="B373" i="1"/>
  <c r="J373" i="1" s="1"/>
  <c r="J372" i="1"/>
  <c r="I372" i="1"/>
  <c r="F372" i="1"/>
  <c r="BH372" i="1" s="1"/>
  <c r="B372" i="1"/>
  <c r="I371" i="1"/>
  <c r="F371" i="1"/>
  <c r="BH371" i="1" s="1"/>
  <c r="B371" i="1"/>
  <c r="J371" i="1" s="1"/>
  <c r="I370" i="1"/>
  <c r="F370" i="1"/>
  <c r="BH370" i="1" s="1"/>
  <c r="B370" i="1"/>
  <c r="J370" i="1" s="1"/>
  <c r="BE369" i="1"/>
  <c r="BD369" i="1"/>
  <c r="BC369" i="1"/>
  <c r="BB369" i="1"/>
  <c r="BA369" i="1"/>
  <c r="AY369" i="1"/>
  <c r="I369" i="1"/>
  <c r="F369" i="1"/>
  <c r="BH369" i="1" s="1"/>
  <c r="B369" i="1"/>
  <c r="J369" i="1" s="1"/>
  <c r="J368" i="1"/>
  <c r="I368" i="1"/>
  <c r="B368" i="1"/>
  <c r="AZ367" i="1"/>
  <c r="J367" i="1"/>
  <c r="I367" i="1"/>
  <c r="F367" i="1"/>
  <c r="BH367" i="1" s="1"/>
  <c r="B367" i="1"/>
  <c r="BE366" i="1"/>
  <c r="BD366" i="1"/>
  <c r="BC366" i="1"/>
  <c r="BB366" i="1"/>
  <c r="BA366" i="1"/>
  <c r="J366" i="1"/>
  <c r="I366" i="1"/>
  <c r="AY366" i="1" s="1"/>
  <c r="F366" i="1"/>
  <c r="BH366" i="1" s="1"/>
  <c r="B366" i="1"/>
  <c r="AC365" i="1"/>
  <c r="Z365" i="1"/>
  <c r="V365" i="1"/>
  <c r="U365" i="1"/>
  <c r="T365" i="1"/>
  <c r="Q365" i="1"/>
  <c r="P365" i="1"/>
  <c r="R365" i="1" s="1"/>
  <c r="O365" i="1"/>
  <c r="I365" i="1"/>
  <c r="BD365" i="1" s="1"/>
  <c r="B365" i="1"/>
  <c r="BE364" i="1"/>
  <c r="BD364" i="1"/>
  <c r="BC364" i="1"/>
  <c r="BA364" i="1"/>
  <c r="AA364" i="1"/>
  <c r="Z364" i="1"/>
  <c r="V364" i="1"/>
  <c r="U364" i="1"/>
  <c r="W364" i="1" s="1"/>
  <c r="T364" i="1"/>
  <c r="R364" i="1"/>
  <c r="Q364" i="1"/>
  <c r="P364" i="1"/>
  <c r="O364" i="1"/>
  <c r="K364" i="1"/>
  <c r="I364" i="1"/>
  <c r="BB364" i="1" s="1"/>
  <c r="B364" i="1"/>
  <c r="S364" i="1" s="1"/>
  <c r="I363" i="1"/>
  <c r="B363" i="1"/>
  <c r="J363" i="1" s="1"/>
  <c r="J362" i="1"/>
  <c r="I362" i="1"/>
  <c r="AY362" i="1" s="1"/>
  <c r="B362" i="1"/>
  <c r="BH361" i="1"/>
  <c r="BB361" i="1"/>
  <c r="BA361" i="1"/>
  <c r="J361" i="1"/>
  <c r="I361" i="1"/>
  <c r="F361" i="1"/>
  <c r="B361" i="1"/>
  <c r="BE360" i="1"/>
  <c r="BD360" i="1"/>
  <c r="BB360" i="1"/>
  <c r="BA360" i="1"/>
  <c r="AY360" i="1"/>
  <c r="I360" i="1"/>
  <c r="BC360" i="1" s="1"/>
  <c r="F360" i="1"/>
  <c r="BH360" i="1" s="1"/>
  <c r="B360" i="1"/>
  <c r="J360" i="1" s="1"/>
  <c r="BE359" i="1"/>
  <c r="BD359" i="1"/>
  <c r="BA359" i="1"/>
  <c r="AC359" i="1"/>
  <c r="Z359" i="1"/>
  <c r="V359" i="1"/>
  <c r="U359" i="1"/>
  <c r="T359" i="1"/>
  <c r="R359" i="1"/>
  <c r="Q359" i="1"/>
  <c r="P359" i="1"/>
  <c r="O359" i="1"/>
  <c r="K359" i="1"/>
  <c r="I359" i="1"/>
  <c r="B359" i="1"/>
  <c r="S359" i="1" s="1"/>
  <c r="W359" i="1" s="1"/>
  <c r="BE358" i="1"/>
  <c r="BC358" i="1"/>
  <c r="BB358" i="1"/>
  <c r="BA358" i="1"/>
  <c r="Z358" i="1"/>
  <c r="V358" i="1"/>
  <c r="U358" i="1"/>
  <c r="T358" i="1"/>
  <c r="Q358" i="1"/>
  <c r="P358" i="1"/>
  <c r="O358" i="1"/>
  <c r="K358" i="1"/>
  <c r="I358" i="1"/>
  <c r="B358" i="1"/>
  <c r="BD357" i="1"/>
  <c r="AC357" i="1"/>
  <c r="AA357" i="1"/>
  <c r="Z357" i="1"/>
  <c r="V357" i="1"/>
  <c r="U357" i="1"/>
  <c r="T357" i="1"/>
  <c r="Q357" i="1"/>
  <c r="P357" i="1"/>
  <c r="R357" i="1" s="1"/>
  <c r="O357" i="1"/>
  <c r="I357" i="1"/>
  <c r="BE357" i="1" s="1"/>
  <c r="B357" i="1"/>
  <c r="BE356" i="1"/>
  <c r="BB356" i="1"/>
  <c r="BA356" i="1"/>
  <c r="AC356" i="1"/>
  <c r="AA356" i="1"/>
  <c r="Z356" i="1"/>
  <c r="W356" i="1"/>
  <c r="V356" i="1"/>
  <c r="U356" i="1"/>
  <c r="T356" i="1"/>
  <c r="S356" i="1"/>
  <c r="Q356" i="1"/>
  <c r="P356" i="1"/>
  <c r="O356" i="1"/>
  <c r="I356" i="1"/>
  <c r="BD356" i="1" s="1"/>
  <c r="B356" i="1"/>
  <c r="K356" i="1" s="1"/>
  <c r="BE355" i="1"/>
  <c r="BD355" i="1"/>
  <c r="BB355" i="1"/>
  <c r="AY355" i="1"/>
  <c r="I355" i="1"/>
  <c r="BC355" i="1" s="1"/>
  <c r="B355" i="1"/>
  <c r="J355" i="1" s="1"/>
  <c r="BE354" i="1"/>
  <c r="BD354" i="1"/>
  <c r="BB354" i="1"/>
  <c r="AC354" i="1"/>
  <c r="AA354" i="1"/>
  <c r="Z354" i="1"/>
  <c r="V354" i="1"/>
  <c r="U354" i="1"/>
  <c r="T354" i="1"/>
  <c r="Q354" i="1"/>
  <c r="P354" i="1"/>
  <c r="R354" i="1" s="1"/>
  <c r="O354" i="1"/>
  <c r="K354" i="1"/>
  <c r="I354" i="1"/>
  <c r="B354" i="1"/>
  <c r="BH353" i="1"/>
  <c r="BD353" i="1"/>
  <c r="BC353" i="1"/>
  <c r="BB353" i="1"/>
  <c r="BA353" i="1"/>
  <c r="AZ353" i="1"/>
  <c r="AY353" i="1"/>
  <c r="J353" i="1"/>
  <c r="I353" i="1"/>
  <c r="BE353" i="1" s="1"/>
  <c r="F353" i="1"/>
  <c r="B353" i="1"/>
  <c r="BH352" i="1"/>
  <c r="BE352" i="1"/>
  <c r="BC352" i="1"/>
  <c r="BB352" i="1"/>
  <c r="AY352" i="1"/>
  <c r="I352" i="1"/>
  <c r="BA352" i="1" s="1"/>
  <c r="F352" i="1"/>
  <c r="B352" i="1"/>
  <c r="J352" i="1" s="1"/>
  <c r="BH351" i="1"/>
  <c r="BB351" i="1"/>
  <c r="I351" i="1"/>
  <c r="F351" i="1"/>
  <c r="B351" i="1"/>
  <c r="J351" i="1" s="1"/>
  <c r="BB350" i="1"/>
  <c r="I350" i="1"/>
  <c r="B350" i="1"/>
  <c r="J350" i="1" s="1"/>
  <c r="I349" i="1"/>
  <c r="B349" i="1"/>
  <c r="J349" i="1" s="1"/>
  <c r="BH348" i="1"/>
  <c r="J348" i="1"/>
  <c r="I348" i="1"/>
  <c r="F348" i="1"/>
  <c r="B348" i="1"/>
  <c r="AZ347" i="1"/>
  <c r="AY347" i="1"/>
  <c r="J347" i="1"/>
  <c r="I347" i="1"/>
  <c r="F347" i="1"/>
  <c r="BH347" i="1" s="1"/>
  <c r="B347" i="1"/>
  <c r="BH346" i="1"/>
  <c r="AZ346" i="1"/>
  <c r="I346" i="1"/>
  <c r="F346" i="1"/>
  <c r="B346" i="1"/>
  <c r="J346" i="1" s="1"/>
  <c r="BD345" i="1"/>
  <c r="BC345" i="1"/>
  <c r="BB345" i="1"/>
  <c r="I345" i="1"/>
  <c r="B345" i="1"/>
  <c r="J345" i="1" s="1"/>
  <c r="BE344" i="1"/>
  <c r="BC344" i="1"/>
  <c r="AZ344" i="1"/>
  <c r="AY344" i="1"/>
  <c r="J344" i="1"/>
  <c r="I344" i="1"/>
  <c r="F344" i="1"/>
  <c r="BH344" i="1" s="1"/>
  <c r="B344" i="1"/>
  <c r="BH343" i="1"/>
  <c r="AZ343" i="1"/>
  <c r="I343" i="1"/>
  <c r="F343" i="1"/>
  <c r="B343" i="1"/>
  <c r="J343" i="1" s="1"/>
  <c r="BE342" i="1"/>
  <c r="BD342" i="1"/>
  <c r="BC342" i="1"/>
  <c r="BB342" i="1"/>
  <c r="BA342" i="1"/>
  <c r="J342" i="1"/>
  <c r="I342" i="1"/>
  <c r="AY342" i="1" s="1"/>
  <c r="F342" i="1"/>
  <c r="BH342" i="1" s="1"/>
  <c r="B342" i="1"/>
  <c r="BE341" i="1"/>
  <c r="BC341" i="1"/>
  <c r="AZ341" i="1"/>
  <c r="AY341" i="1"/>
  <c r="I341" i="1"/>
  <c r="BA341" i="1" s="1"/>
  <c r="F341" i="1"/>
  <c r="BH341" i="1" s="1"/>
  <c r="B341" i="1"/>
  <c r="J341" i="1" s="1"/>
  <c r="BD340" i="1"/>
  <c r="BA340" i="1"/>
  <c r="AY340" i="1"/>
  <c r="I340" i="1"/>
  <c r="BB340" i="1" s="1"/>
  <c r="B340" i="1"/>
  <c r="J340" i="1" s="1"/>
  <c r="BE339" i="1"/>
  <c r="BD339" i="1"/>
  <c r="BC339" i="1"/>
  <c r="BA339" i="1"/>
  <c r="AY339" i="1"/>
  <c r="J339" i="1"/>
  <c r="I339" i="1"/>
  <c r="BB339" i="1" s="1"/>
  <c r="B339" i="1"/>
  <c r="BH338" i="1"/>
  <c r="I338" i="1"/>
  <c r="F338" i="1"/>
  <c r="B338" i="1"/>
  <c r="J338" i="1" s="1"/>
  <c r="BH337" i="1"/>
  <c r="AZ337" i="1"/>
  <c r="AY337" i="1"/>
  <c r="J337" i="1"/>
  <c r="I337" i="1"/>
  <c r="F337" i="1"/>
  <c r="B337" i="1"/>
  <c r="BE336" i="1"/>
  <c r="BC336" i="1"/>
  <c r="BB336" i="1"/>
  <c r="BA336" i="1"/>
  <c r="AZ336" i="1"/>
  <c r="AY336" i="1"/>
  <c r="J336" i="1"/>
  <c r="I336" i="1"/>
  <c r="BD336" i="1" s="1"/>
  <c r="F336" i="1"/>
  <c r="BH336" i="1" s="1"/>
  <c r="B336" i="1"/>
  <c r="BE335" i="1"/>
  <c r="BD335" i="1"/>
  <c r="BC335" i="1"/>
  <c r="BB335" i="1"/>
  <c r="BA335" i="1"/>
  <c r="AY335" i="1"/>
  <c r="I335" i="1"/>
  <c r="B335" i="1"/>
  <c r="J335" i="1" s="1"/>
  <c r="BE334" i="1"/>
  <c r="BD334" i="1"/>
  <c r="BA334" i="1"/>
  <c r="AZ334" i="1"/>
  <c r="J334" i="1"/>
  <c r="I334" i="1"/>
  <c r="F334" i="1"/>
  <c r="BH334" i="1" s="1"/>
  <c r="B334" i="1"/>
  <c r="BH333" i="1"/>
  <c r="BD333" i="1"/>
  <c r="BB333" i="1"/>
  <c r="BA333" i="1"/>
  <c r="AZ333" i="1"/>
  <c r="AY333" i="1"/>
  <c r="J333" i="1"/>
  <c r="I333" i="1"/>
  <c r="F333" i="1"/>
  <c r="B333" i="1"/>
  <c r="BH332" i="1"/>
  <c r="BE332" i="1"/>
  <c r="BD332" i="1"/>
  <c r="BB332" i="1"/>
  <c r="BA332" i="1"/>
  <c r="AY332" i="1"/>
  <c r="I332" i="1"/>
  <c r="BC332" i="1" s="1"/>
  <c r="F332" i="1"/>
  <c r="B332" i="1"/>
  <c r="J332" i="1" s="1"/>
  <c r="BH331" i="1"/>
  <c r="AZ331" i="1"/>
  <c r="I331" i="1"/>
  <c r="F331" i="1"/>
  <c r="B331" i="1"/>
  <c r="J331" i="1" s="1"/>
  <c r="I330" i="1"/>
  <c r="B330" i="1"/>
  <c r="J330" i="1" s="1"/>
  <c r="BC329" i="1"/>
  <c r="I329" i="1"/>
  <c r="B329" i="1"/>
  <c r="J329" i="1" s="1"/>
  <c r="BH328" i="1"/>
  <c r="BE328" i="1"/>
  <c r="BD328" i="1"/>
  <c r="BC328" i="1"/>
  <c r="BB328" i="1"/>
  <c r="BA328" i="1"/>
  <c r="AZ328" i="1"/>
  <c r="I328" i="1"/>
  <c r="AY328" i="1" s="1"/>
  <c r="F328" i="1"/>
  <c r="B328" i="1"/>
  <c r="J328" i="1" s="1"/>
  <c r="BB327" i="1"/>
  <c r="AZ327" i="1"/>
  <c r="AY327" i="1"/>
  <c r="J327" i="1"/>
  <c r="I327" i="1"/>
  <c r="F327" i="1"/>
  <c r="BH327" i="1" s="1"/>
  <c r="B327" i="1"/>
  <c r="BH326" i="1"/>
  <c r="BC326" i="1"/>
  <c r="BB326" i="1"/>
  <c r="BA326" i="1"/>
  <c r="AZ326" i="1"/>
  <c r="AY326" i="1"/>
  <c r="J326" i="1"/>
  <c r="I326" i="1"/>
  <c r="F326" i="1"/>
  <c r="B326" i="1"/>
  <c r="BE325" i="1"/>
  <c r="BD325" i="1"/>
  <c r="BC325" i="1"/>
  <c r="BB325" i="1"/>
  <c r="BA325" i="1"/>
  <c r="I325" i="1"/>
  <c r="B325" i="1"/>
  <c r="J325" i="1" s="1"/>
  <c r="BE324" i="1"/>
  <c r="BD324" i="1"/>
  <c r="BC324" i="1"/>
  <c r="AZ324" i="1"/>
  <c r="J324" i="1"/>
  <c r="I324" i="1"/>
  <c r="F324" i="1"/>
  <c r="BH324" i="1" s="1"/>
  <c r="B324" i="1"/>
  <c r="BH323" i="1"/>
  <c r="AZ323" i="1"/>
  <c r="I323" i="1"/>
  <c r="F323" i="1"/>
  <c r="B323" i="1"/>
  <c r="J323" i="1" s="1"/>
  <c r="BE322" i="1"/>
  <c r="BD322" i="1"/>
  <c r="BC322" i="1"/>
  <c r="BB322" i="1"/>
  <c r="BA322" i="1"/>
  <c r="AY322" i="1"/>
  <c r="J322" i="1"/>
  <c r="I322" i="1"/>
  <c r="F322" i="1"/>
  <c r="BH322" i="1" s="1"/>
  <c r="B322" i="1"/>
  <c r="BE321" i="1"/>
  <c r="BC321" i="1"/>
  <c r="BA321" i="1"/>
  <c r="AZ321" i="1"/>
  <c r="AY321" i="1"/>
  <c r="I321" i="1"/>
  <c r="BD321" i="1" s="1"/>
  <c r="F321" i="1"/>
  <c r="BH321" i="1" s="1"/>
  <c r="B321" i="1"/>
  <c r="J321" i="1" s="1"/>
  <c r="BE320" i="1"/>
  <c r="BB320" i="1"/>
  <c r="AY320" i="1"/>
  <c r="I320" i="1"/>
  <c r="BD320" i="1" s="1"/>
  <c r="B320" i="1"/>
  <c r="J320" i="1" s="1"/>
  <c r="BE319" i="1"/>
  <c r="J319" i="1"/>
  <c r="I319" i="1"/>
  <c r="B319" i="1"/>
  <c r="BH318" i="1"/>
  <c r="BE318" i="1"/>
  <c r="BC318" i="1"/>
  <c r="AZ318" i="1"/>
  <c r="AY318" i="1"/>
  <c r="I318" i="1"/>
  <c r="F318" i="1"/>
  <c r="B318" i="1"/>
  <c r="J318" i="1" s="1"/>
  <c r="J317" i="1"/>
  <c r="I317" i="1"/>
  <c r="F317" i="1"/>
  <c r="BH317" i="1" s="1"/>
  <c r="B317" i="1"/>
  <c r="AZ316" i="1"/>
  <c r="J316" i="1"/>
  <c r="I316" i="1"/>
  <c r="F316" i="1"/>
  <c r="BH316" i="1" s="1"/>
  <c r="B316" i="1"/>
  <c r="BA315" i="1"/>
  <c r="AY315" i="1"/>
  <c r="I315" i="1"/>
  <c r="B315" i="1"/>
  <c r="J315" i="1" s="1"/>
  <c r="BE314" i="1"/>
  <c r="BD314" i="1"/>
  <c r="BC314" i="1"/>
  <c r="BA314" i="1"/>
  <c r="AZ314" i="1"/>
  <c r="BF314" i="1" s="1"/>
  <c r="BG314" i="1" s="1"/>
  <c r="J314" i="1"/>
  <c r="I314" i="1"/>
  <c r="BB314" i="1" s="1"/>
  <c r="F314" i="1"/>
  <c r="BH314" i="1" s="1"/>
  <c r="B314" i="1"/>
  <c r="BH313" i="1"/>
  <c r="BE313" i="1"/>
  <c r="BD313" i="1"/>
  <c r="BC313" i="1"/>
  <c r="BA313" i="1"/>
  <c r="AZ313" i="1"/>
  <c r="AY313" i="1"/>
  <c r="J313" i="1"/>
  <c r="I313" i="1"/>
  <c r="BB313" i="1" s="1"/>
  <c r="F313" i="1"/>
  <c r="B313" i="1"/>
  <c r="BH312" i="1"/>
  <c r="BE312" i="1"/>
  <c r="BC312" i="1"/>
  <c r="BB312" i="1"/>
  <c r="BA312" i="1"/>
  <c r="AY312" i="1"/>
  <c r="J312" i="1"/>
  <c r="I312" i="1"/>
  <c r="F312" i="1"/>
  <c r="B312" i="1"/>
  <c r="BH311" i="1"/>
  <c r="BE311" i="1"/>
  <c r="BC311" i="1"/>
  <c r="BB311" i="1"/>
  <c r="BA311" i="1"/>
  <c r="AY311" i="1"/>
  <c r="I311" i="1"/>
  <c r="F311" i="1"/>
  <c r="B311" i="1"/>
  <c r="J311" i="1" s="1"/>
  <c r="BE310" i="1"/>
  <c r="BD310" i="1"/>
  <c r="BC310" i="1"/>
  <c r="I310" i="1"/>
  <c r="BB310" i="1" s="1"/>
  <c r="B310" i="1"/>
  <c r="J310" i="1" s="1"/>
  <c r="BH309" i="1"/>
  <c r="BE309" i="1"/>
  <c r="BC309" i="1"/>
  <c r="AZ309" i="1"/>
  <c r="AY309" i="1"/>
  <c r="I309" i="1"/>
  <c r="F309" i="1"/>
  <c r="B309" i="1"/>
  <c r="J309" i="1" s="1"/>
  <c r="BH308" i="1"/>
  <c r="BE308" i="1"/>
  <c r="BC308" i="1"/>
  <c r="BB308" i="1"/>
  <c r="AY308" i="1"/>
  <c r="I308" i="1"/>
  <c r="BA308" i="1" s="1"/>
  <c r="F308" i="1"/>
  <c r="B308" i="1"/>
  <c r="J308" i="1" s="1"/>
  <c r="BE307" i="1"/>
  <c r="BD307" i="1"/>
  <c r="BC307" i="1"/>
  <c r="BB307" i="1"/>
  <c r="BA307" i="1"/>
  <c r="I307" i="1"/>
  <c r="AY307" i="1" s="1"/>
  <c r="F307" i="1"/>
  <c r="BH307" i="1" s="1"/>
  <c r="B307" i="1"/>
  <c r="J307" i="1" s="1"/>
  <c r="I306" i="1"/>
  <c r="F306" i="1"/>
  <c r="BH306" i="1" s="1"/>
  <c r="B306" i="1"/>
  <c r="J306" i="1" s="1"/>
  <c r="BD305" i="1"/>
  <c r="BC305" i="1"/>
  <c r="BB305" i="1"/>
  <c r="BA305" i="1"/>
  <c r="AC305" i="1"/>
  <c r="AA305" i="1"/>
  <c r="Z305" i="1"/>
  <c r="V305" i="1"/>
  <c r="U305" i="1"/>
  <c r="T305" i="1"/>
  <c r="R305" i="1"/>
  <c r="Q305" i="1"/>
  <c r="P305" i="1"/>
  <c r="O305" i="1"/>
  <c r="K305" i="1"/>
  <c r="I305" i="1"/>
  <c r="BE305" i="1" s="1"/>
  <c r="B305" i="1"/>
  <c r="S305" i="1" s="1"/>
  <c r="W305" i="1" s="1"/>
  <c r="BD304" i="1"/>
  <c r="BB304" i="1"/>
  <c r="BA304" i="1"/>
  <c r="AC304" i="1"/>
  <c r="AA304" i="1"/>
  <c r="Z304" i="1"/>
  <c r="W304" i="1"/>
  <c r="V304" i="1"/>
  <c r="U304" i="1"/>
  <c r="T304" i="1"/>
  <c r="S304" i="1"/>
  <c r="Q304" i="1"/>
  <c r="P304" i="1"/>
  <c r="O304" i="1"/>
  <c r="R304" i="1" s="1"/>
  <c r="I304" i="1"/>
  <c r="BE304" i="1" s="1"/>
  <c r="B304" i="1"/>
  <c r="K304" i="1" s="1"/>
  <c r="BE303" i="1"/>
  <c r="BC303" i="1"/>
  <c r="BA303" i="1"/>
  <c r="AY303" i="1"/>
  <c r="I303" i="1"/>
  <c r="B303" i="1"/>
  <c r="J303" i="1" s="1"/>
  <c r="BD302" i="1"/>
  <c r="BC302" i="1"/>
  <c r="BB302" i="1"/>
  <c r="BA302" i="1"/>
  <c r="AC302" i="1"/>
  <c r="Z302" i="1"/>
  <c r="V302" i="1"/>
  <c r="U302" i="1"/>
  <c r="T302" i="1"/>
  <c r="W302" i="1" s="1"/>
  <c r="S302" i="1"/>
  <c r="Q302" i="1"/>
  <c r="P302" i="1"/>
  <c r="O302" i="1"/>
  <c r="K302" i="1"/>
  <c r="I302" i="1"/>
  <c r="B302" i="1"/>
  <c r="BE301" i="1"/>
  <c r="BD301" i="1"/>
  <c r="AC301" i="1"/>
  <c r="AA301" i="1"/>
  <c r="Z301" i="1"/>
  <c r="V301" i="1"/>
  <c r="U301" i="1"/>
  <c r="T301" i="1"/>
  <c r="Q301" i="1"/>
  <c r="P301" i="1"/>
  <c r="O301" i="1"/>
  <c r="K301" i="1"/>
  <c r="I301" i="1"/>
  <c r="BB301" i="1" s="1"/>
  <c r="B301" i="1"/>
  <c r="BE300" i="1"/>
  <c r="BD300" i="1"/>
  <c r="BC300" i="1"/>
  <c r="BB300" i="1"/>
  <c r="AC300" i="1"/>
  <c r="AA300" i="1"/>
  <c r="Z300" i="1"/>
  <c r="V300" i="1"/>
  <c r="U300" i="1"/>
  <c r="T300" i="1"/>
  <c r="S300" i="1"/>
  <c r="W300" i="1" s="1"/>
  <c r="Q300" i="1"/>
  <c r="P300" i="1"/>
  <c r="R300" i="1" s="1"/>
  <c r="O300" i="1"/>
  <c r="I300" i="1"/>
  <c r="B300" i="1"/>
  <c r="K300" i="1" s="1"/>
  <c r="Z299" i="1"/>
  <c r="V299" i="1"/>
  <c r="U299" i="1"/>
  <c r="T299" i="1"/>
  <c r="S299" i="1"/>
  <c r="Q299" i="1"/>
  <c r="P299" i="1"/>
  <c r="O299" i="1"/>
  <c r="R299" i="1" s="1"/>
  <c r="K299" i="1"/>
  <c r="I299" i="1"/>
  <c r="B299" i="1"/>
  <c r="BH298" i="1"/>
  <c r="BD298" i="1"/>
  <c r="AZ298" i="1"/>
  <c r="I298" i="1"/>
  <c r="F298" i="1"/>
  <c r="B298" i="1"/>
  <c r="J298" i="1" s="1"/>
  <c r="BC297" i="1"/>
  <c r="BA297" i="1"/>
  <c r="AC297" i="1"/>
  <c r="Z297" i="1"/>
  <c r="V297" i="1"/>
  <c r="U297" i="1"/>
  <c r="T297" i="1"/>
  <c r="S297" i="1"/>
  <c r="W297" i="1" s="1"/>
  <c r="R297" i="1"/>
  <c r="Q297" i="1"/>
  <c r="P297" i="1"/>
  <c r="O297" i="1"/>
  <c r="K297" i="1"/>
  <c r="I297" i="1"/>
  <c r="B297" i="1"/>
  <c r="BA296" i="1"/>
  <c r="AC296" i="1"/>
  <c r="Z296" i="1"/>
  <c r="V296" i="1"/>
  <c r="U296" i="1"/>
  <c r="T296" i="1"/>
  <c r="Q296" i="1"/>
  <c r="P296" i="1"/>
  <c r="O296" i="1"/>
  <c r="R296" i="1" s="1"/>
  <c r="I296" i="1"/>
  <c r="B296" i="1"/>
  <c r="S296" i="1" s="1"/>
  <c r="W296" i="1" s="1"/>
  <c r="BC295" i="1"/>
  <c r="AZ295" i="1"/>
  <c r="I295" i="1"/>
  <c r="F295" i="1"/>
  <c r="BH295" i="1" s="1"/>
  <c r="B295" i="1"/>
  <c r="J295" i="1" s="1"/>
  <c r="BC294" i="1"/>
  <c r="J294" i="1"/>
  <c r="I294" i="1"/>
  <c r="B294" i="1"/>
  <c r="BE293" i="1"/>
  <c r="BD293" i="1"/>
  <c r="BC293" i="1"/>
  <c r="BB293" i="1"/>
  <c r="BA293" i="1"/>
  <c r="J293" i="1"/>
  <c r="I293" i="1"/>
  <c r="AY293" i="1" s="1"/>
  <c r="B293" i="1"/>
  <c r="I292" i="1"/>
  <c r="F292" i="1"/>
  <c r="BH292" i="1" s="1"/>
  <c r="B292" i="1"/>
  <c r="J292" i="1" s="1"/>
  <c r="BH291" i="1"/>
  <c r="AZ291" i="1"/>
  <c r="AY291" i="1"/>
  <c r="I291" i="1"/>
  <c r="F291" i="1"/>
  <c r="B291" i="1"/>
  <c r="J291" i="1" s="1"/>
  <c r="I290" i="1"/>
  <c r="F290" i="1"/>
  <c r="BH290" i="1" s="1"/>
  <c r="B290" i="1"/>
  <c r="J290" i="1" s="1"/>
  <c r="BE289" i="1"/>
  <c r="BD289" i="1"/>
  <c r="BC289" i="1"/>
  <c r="BA289" i="1"/>
  <c r="J289" i="1"/>
  <c r="I289" i="1"/>
  <c r="BB289" i="1" s="1"/>
  <c r="F289" i="1"/>
  <c r="BH289" i="1" s="1"/>
  <c r="B289" i="1"/>
  <c r="BH288" i="1"/>
  <c r="BE288" i="1"/>
  <c r="BD288" i="1"/>
  <c r="BC288" i="1"/>
  <c r="BA288" i="1"/>
  <c r="AZ288" i="1"/>
  <c r="AY288" i="1"/>
  <c r="J288" i="1"/>
  <c r="I288" i="1"/>
  <c r="BB288" i="1" s="1"/>
  <c r="F288" i="1"/>
  <c r="B288" i="1"/>
  <c r="BH287" i="1"/>
  <c r="BE287" i="1"/>
  <c r="BC287" i="1"/>
  <c r="BB287" i="1"/>
  <c r="BA287" i="1"/>
  <c r="BF287" i="1" s="1"/>
  <c r="BG287" i="1" s="1"/>
  <c r="AZ287" i="1"/>
  <c r="J287" i="1"/>
  <c r="I287" i="1"/>
  <c r="BD287" i="1" s="1"/>
  <c r="F287" i="1"/>
  <c r="B287" i="1"/>
  <c r="BE286" i="1"/>
  <c r="BC286" i="1"/>
  <c r="BB286" i="1"/>
  <c r="BA286" i="1"/>
  <c r="I286" i="1"/>
  <c r="BD286" i="1" s="1"/>
  <c r="F286" i="1"/>
  <c r="BH286" i="1" s="1"/>
  <c r="B286" i="1"/>
  <c r="J286" i="1" s="1"/>
  <c r="BE285" i="1"/>
  <c r="BD285" i="1"/>
  <c r="BA285" i="1"/>
  <c r="I285" i="1"/>
  <c r="BB285" i="1" s="1"/>
  <c r="F285" i="1"/>
  <c r="BH285" i="1" s="1"/>
  <c r="B285" i="1"/>
  <c r="J285" i="1" s="1"/>
  <c r="BD284" i="1"/>
  <c r="I284" i="1"/>
  <c r="BA284" i="1" s="1"/>
  <c r="B284" i="1"/>
  <c r="J284" i="1" s="1"/>
  <c r="BH283" i="1"/>
  <c r="BE283" i="1"/>
  <c r="BD283" i="1"/>
  <c r="BC283" i="1"/>
  <c r="BB283" i="1"/>
  <c r="BA283" i="1"/>
  <c r="AZ283" i="1"/>
  <c r="AY283" i="1"/>
  <c r="J283" i="1"/>
  <c r="I283" i="1"/>
  <c r="F283" i="1"/>
  <c r="B283" i="1"/>
  <c r="I282" i="1"/>
  <c r="AY282" i="1" s="1"/>
  <c r="B282" i="1"/>
  <c r="J282" i="1" s="1"/>
  <c r="BB281" i="1"/>
  <c r="AC281" i="1"/>
  <c r="AA281" i="1"/>
  <c r="Z281" i="1"/>
  <c r="V281" i="1"/>
  <c r="U281" i="1"/>
  <c r="T281" i="1"/>
  <c r="S281" i="1"/>
  <c r="W281" i="1" s="1"/>
  <c r="Q281" i="1"/>
  <c r="P281" i="1"/>
  <c r="O281" i="1"/>
  <c r="R281" i="1" s="1"/>
  <c r="I281" i="1"/>
  <c r="B281" i="1"/>
  <c r="K281" i="1" s="1"/>
  <c r="BH280" i="1"/>
  <c r="BA280" i="1"/>
  <c r="AY280" i="1"/>
  <c r="I280" i="1"/>
  <c r="F280" i="1"/>
  <c r="B280" i="1"/>
  <c r="J280" i="1" s="1"/>
  <c r="BH279" i="1"/>
  <c r="BE279" i="1"/>
  <c r="BD279" i="1"/>
  <c r="BC279" i="1"/>
  <c r="BB279" i="1"/>
  <c r="BA279" i="1"/>
  <c r="AY279" i="1"/>
  <c r="I279" i="1"/>
  <c r="F279" i="1"/>
  <c r="B279" i="1"/>
  <c r="J279" i="1" s="1"/>
  <c r="BD278" i="1"/>
  <c r="BB278" i="1"/>
  <c r="AC278" i="1"/>
  <c r="Z278" i="1"/>
  <c r="V278" i="1"/>
  <c r="U278" i="1"/>
  <c r="W278" i="1" s="1"/>
  <c r="T278" i="1"/>
  <c r="Q278" i="1"/>
  <c r="P278" i="1"/>
  <c r="O278" i="1"/>
  <c r="K278" i="1"/>
  <c r="I278" i="1"/>
  <c r="B278" i="1"/>
  <c r="S278" i="1" s="1"/>
  <c r="BB277" i="1"/>
  <c r="BA277" i="1"/>
  <c r="AY277" i="1"/>
  <c r="I277" i="1"/>
  <c r="B277" i="1"/>
  <c r="J277" i="1" s="1"/>
  <c r="BH276" i="1"/>
  <c r="I276" i="1"/>
  <c r="F276" i="1"/>
  <c r="B276" i="1"/>
  <c r="J276" i="1" s="1"/>
  <c r="BC275" i="1"/>
  <c r="BA275" i="1"/>
  <c r="AZ275" i="1"/>
  <c r="I275" i="1"/>
  <c r="F275" i="1"/>
  <c r="BH275" i="1" s="1"/>
  <c r="B275" i="1"/>
  <c r="J275" i="1" s="1"/>
  <c r="BH274" i="1"/>
  <c r="BD274" i="1"/>
  <c r="BC274" i="1"/>
  <c r="BA274" i="1"/>
  <c r="AY274" i="1"/>
  <c r="J274" i="1"/>
  <c r="I274" i="1"/>
  <c r="F274" i="1"/>
  <c r="B274" i="1"/>
  <c r="BH273" i="1"/>
  <c r="BE273" i="1"/>
  <c r="BD273" i="1"/>
  <c r="BC273" i="1"/>
  <c r="BB273" i="1"/>
  <c r="BA273" i="1"/>
  <c r="J273" i="1"/>
  <c r="I273" i="1"/>
  <c r="AY273" i="1" s="1"/>
  <c r="F273" i="1"/>
  <c r="B273" i="1"/>
  <c r="BH272" i="1"/>
  <c r="BE272" i="1"/>
  <c r="BD272" i="1"/>
  <c r="AZ272" i="1"/>
  <c r="I272" i="1"/>
  <c r="BB272" i="1" s="1"/>
  <c r="F272" i="1"/>
  <c r="B272" i="1"/>
  <c r="J272" i="1" s="1"/>
  <c r="BH271" i="1"/>
  <c r="BC271" i="1"/>
  <c r="BA271" i="1"/>
  <c r="AZ271" i="1"/>
  <c r="I271" i="1"/>
  <c r="F271" i="1"/>
  <c r="B271" i="1"/>
  <c r="J271" i="1" s="1"/>
  <c r="I270" i="1"/>
  <c r="F270" i="1"/>
  <c r="BH270" i="1" s="1"/>
  <c r="B270" i="1"/>
  <c r="J270" i="1" s="1"/>
  <c r="BH269" i="1"/>
  <c r="I269" i="1"/>
  <c r="F269" i="1"/>
  <c r="B269" i="1"/>
  <c r="J269" i="1" s="1"/>
  <c r="BH268" i="1"/>
  <c r="BE268" i="1"/>
  <c r="AZ268" i="1"/>
  <c r="AY268" i="1"/>
  <c r="J268" i="1"/>
  <c r="I268" i="1"/>
  <c r="F268" i="1"/>
  <c r="B268" i="1"/>
  <c r="BE267" i="1"/>
  <c r="BD267" i="1"/>
  <c r="BC267" i="1"/>
  <c r="BB267" i="1"/>
  <c r="BA267" i="1"/>
  <c r="AY267" i="1"/>
  <c r="J267" i="1"/>
  <c r="I267" i="1"/>
  <c r="F267" i="1"/>
  <c r="BH267" i="1" s="1"/>
  <c r="B267" i="1"/>
  <c r="BH266" i="1"/>
  <c r="BE266" i="1"/>
  <c r="BC266" i="1"/>
  <c r="BB266" i="1"/>
  <c r="BA266" i="1"/>
  <c r="BF266" i="1" s="1"/>
  <c r="BG266" i="1" s="1"/>
  <c r="AZ266" i="1"/>
  <c r="AY266" i="1"/>
  <c r="I266" i="1"/>
  <c r="BD266" i="1" s="1"/>
  <c r="F266" i="1"/>
  <c r="B266" i="1"/>
  <c r="J266" i="1" s="1"/>
  <c r="BE265" i="1"/>
  <c r="BD265" i="1"/>
  <c r="BB265" i="1"/>
  <c r="AY265" i="1"/>
  <c r="I265" i="1"/>
  <c r="B265" i="1"/>
  <c r="J265" i="1" s="1"/>
  <c r="BH264" i="1"/>
  <c r="AY264" i="1"/>
  <c r="J264" i="1"/>
  <c r="I264" i="1"/>
  <c r="F264" i="1"/>
  <c r="B264" i="1"/>
  <c r="BE263" i="1"/>
  <c r="BD263" i="1"/>
  <c r="BC263" i="1"/>
  <c r="BB263" i="1"/>
  <c r="BA263" i="1"/>
  <c r="AC263" i="1"/>
  <c r="Z263" i="1"/>
  <c r="V263" i="1"/>
  <c r="U263" i="1"/>
  <c r="T263" i="1"/>
  <c r="Q263" i="1"/>
  <c r="P263" i="1"/>
  <c r="O263" i="1"/>
  <c r="R263" i="1" s="1"/>
  <c r="I263" i="1"/>
  <c r="B263" i="1"/>
  <c r="K263" i="1" s="1"/>
  <c r="AZ262" i="1"/>
  <c r="J262" i="1"/>
  <c r="I262" i="1"/>
  <c r="BA262" i="1" s="1"/>
  <c r="F262" i="1"/>
  <c r="BH262" i="1" s="1"/>
  <c r="B262" i="1"/>
  <c r="BH261" i="1"/>
  <c r="BE261" i="1"/>
  <c r="BC261" i="1"/>
  <c r="BB261" i="1"/>
  <c r="BA261" i="1"/>
  <c r="AZ261" i="1"/>
  <c r="J261" i="1"/>
  <c r="I261" i="1"/>
  <c r="F261" i="1"/>
  <c r="B261" i="1"/>
  <c r="AC260" i="1"/>
  <c r="AA260" i="1"/>
  <c r="Z260" i="1"/>
  <c r="V260" i="1"/>
  <c r="U260" i="1"/>
  <c r="T260" i="1"/>
  <c r="Q260" i="1"/>
  <c r="P260" i="1"/>
  <c r="O260" i="1"/>
  <c r="I260" i="1"/>
  <c r="BE260" i="1" s="1"/>
  <c r="B260" i="1"/>
  <c r="BE259" i="1"/>
  <c r="BC259" i="1"/>
  <c r="AY259" i="1"/>
  <c r="J259" i="1"/>
  <c r="I259" i="1"/>
  <c r="F259" i="1"/>
  <c r="BH259" i="1" s="1"/>
  <c r="B259" i="1"/>
  <c r="BH258" i="1"/>
  <c r="BC258" i="1"/>
  <c r="BB258" i="1"/>
  <c r="BA258" i="1"/>
  <c r="AY258" i="1"/>
  <c r="I258" i="1"/>
  <c r="F258" i="1"/>
  <c r="B258" i="1"/>
  <c r="J258" i="1" s="1"/>
  <c r="BE257" i="1"/>
  <c r="BD257" i="1"/>
  <c r="BC257" i="1"/>
  <c r="BB257" i="1"/>
  <c r="AZ257" i="1"/>
  <c r="I257" i="1"/>
  <c r="AY257" i="1" s="1"/>
  <c r="F257" i="1"/>
  <c r="BH257" i="1" s="1"/>
  <c r="B257" i="1"/>
  <c r="J257" i="1" s="1"/>
  <c r="BE256" i="1"/>
  <c r="I256" i="1"/>
  <c r="BB256" i="1" s="1"/>
  <c r="B256" i="1"/>
  <c r="J256" i="1" s="1"/>
  <c r="BE255" i="1"/>
  <c r="BC255" i="1"/>
  <c r="BA255" i="1"/>
  <c r="I255" i="1"/>
  <c r="BD255" i="1" s="1"/>
  <c r="B255" i="1"/>
  <c r="J255" i="1" s="1"/>
  <c r="BH254" i="1"/>
  <c r="BE254" i="1"/>
  <c r="BC254" i="1"/>
  <c r="I254" i="1"/>
  <c r="F254" i="1"/>
  <c r="B254" i="1"/>
  <c r="J254" i="1" s="1"/>
  <c r="BH253" i="1"/>
  <c r="BD253" i="1"/>
  <c r="AZ253" i="1"/>
  <c r="J253" i="1"/>
  <c r="I253" i="1"/>
  <c r="F253" i="1"/>
  <c r="B253" i="1"/>
  <c r="AZ252" i="1"/>
  <c r="J252" i="1"/>
  <c r="I252" i="1"/>
  <c r="F252" i="1"/>
  <c r="BH252" i="1" s="1"/>
  <c r="B252" i="1"/>
  <c r="BH251" i="1"/>
  <c r="AZ251" i="1"/>
  <c r="I251" i="1"/>
  <c r="BB251" i="1" s="1"/>
  <c r="F251" i="1"/>
  <c r="B251" i="1"/>
  <c r="J251" i="1" s="1"/>
  <c r="BD250" i="1"/>
  <c r="BC250" i="1"/>
  <c r="I250" i="1"/>
  <c r="B250" i="1"/>
  <c r="J250" i="1" s="1"/>
  <c r="BE249" i="1"/>
  <c r="BC249" i="1"/>
  <c r="AY249" i="1"/>
  <c r="J249" i="1"/>
  <c r="I249" i="1"/>
  <c r="F249" i="1"/>
  <c r="BH249" i="1" s="1"/>
  <c r="B249" i="1"/>
  <c r="BH248" i="1"/>
  <c r="BA248" i="1"/>
  <c r="AY248" i="1"/>
  <c r="I248" i="1"/>
  <c r="F248" i="1"/>
  <c r="B248" i="1"/>
  <c r="J248" i="1" s="1"/>
  <c r="BE247" i="1"/>
  <c r="BD247" i="1"/>
  <c r="BC247" i="1"/>
  <c r="BB247" i="1"/>
  <c r="AZ247" i="1"/>
  <c r="I247" i="1"/>
  <c r="AY247" i="1" s="1"/>
  <c r="F247" i="1"/>
  <c r="BH247" i="1" s="1"/>
  <c r="B247" i="1"/>
  <c r="J247" i="1" s="1"/>
  <c r="BE246" i="1"/>
  <c r="I246" i="1"/>
  <c r="BB246" i="1" s="1"/>
  <c r="F246" i="1"/>
  <c r="BH246" i="1" s="1"/>
  <c r="B246" i="1"/>
  <c r="J246" i="1" s="1"/>
  <c r="BE245" i="1"/>
  <c r="BC245" i="1"/>
  <c r="BA245" i="1"/>
  <c r="I245" i="1"/>
  <c r="BD245" i="1" s="1"/>
  <c r="F245" i="1"/>
  <c r="BH245" i="1" s="1"/>
  <c r="B245" i="1"/>
  <c r="J245" i="1" s="1"/>
  <c r="BH244" i="1"/>
  <c r="BE244" i="1"/>
  <c r="BC244" i="1"/>
  <c r="I244" i="1"/>
  <c r="F244" i="1"/>
  <c r="B244" i="1"/>
  <c r="J244" i="1" s="1"/>
  <c r="BH243" i="1"/>
  <c r="AZ243" i="1"/>
  <c r="J243" i="1"/>
  <c r="I243" i="1"/>
  <c r="F243" i="1"/>
  <c r="B243" i="1"/>
  <c r="I242" i="1"/>
  <c r="F242" i="1"/>
  <c r="BH242" i="1" s="1"/>
  <c r="B242" i="1"/>
  <c r="J242" i="1" s="1"/>
  <c r="BE241" i="1"/>
  <c r="BC241" i="1"/>
  <c r="BB241" i="1"/>
  <c r="BA241" i="1"/>
  <c r="AY241" i="1"/>
  <c r="J241" i="1"/>
  <c r="I241" i="1"/>
  <c r="BD241" i="1" s="1"/>
  <c r="F241" i="1"/>
  <c r="BH241" i="1" s="1"/>
  <c r="B241" i="1"/>
  <c r="BG240" i="1"/>
  <c r="BE240" i="1"/>
  <c r="BD240" i="1"/>
  <c r="BC240" i="1"/>
  <c r="BB240" i="1"/>
  <c r="BA240" i="1"/>
  <c r="BF240" i="1" s="1"/>
  <c r="AZ240" i="1"/>
  <c r="AY240" i="1"/>
  <c r="I240" i="1"/>
  <c r="F240" i="1"/>
  <c r="BH240" i="1" s="1"/>
  <c r="B240" i="1"/>
  <c r="J240" i="1" s="1"/>
  <c r="BH239" i="1"/>
  <c r="I239" i="1"/>
  <c r="BA239" i="1" s="1"/>
  <c r="F239" i="1"/>
  <c r="B239" i="1"/>
  <c r="J239" i="1" s="1"/>
  <c r="BH238" i="1"/>
  <c r="BD238" i="1"/>
  <c r="BB238" i="1"/>
  <c r="BA238" i="1"/>
  <c r="AZ238" i="1"/>
  <c r="J238" i="1"/>
  <c r="I238" i="1"/>
  <c r="AY238" i="1" s="1"/>
  <c r="F238" i="1"/>
  <c r="B238" i="1"/>
  <c r="BH237" i="1"/>
  <c r="BF237" i="1"/>
  <c r="BE237" i="1"/>
  <c r="BD237" i="1"/>
  <c r="BC237" i="1"/>
  <c r="BB237" i="1"/>
  <c r="BA237" i="1"/>
  <c r="AZ237" i="1"/>
  <c r="I237" i="1"/>
  <c r="AY237" i="1" s="1"/>
  <c r="F237" i="1"/>
  <c r="B237" i="1"/>
  <c r="J237" i="1" s="1"/>
  <c r="I236" i="1"/>
  <c r="B236" i="1"/>
  <c r="J236" i="1" s="1"/>
  <c r="BB235" i="1"/>
  <c r="AZ235" i="1"/>
  <c r="I235" i="1"/>
  <c r="F235" i="1"/>
  <c r="BH235" i="1" s="1"/>
  <c r="B235" i="1"/>
  <c r="J235" i="1" s="1"/>
  <c r="BE234" i="1"/>
  <c r="BD234" i="1"/>
  <c r="BC234" i="1"/>
  <c r="BA234" i="1"/>
  <c r="AY234" i="1"/>
  <c r="J234" i="1"/>
  <c r="I234" i="1"/>
  <c r="BB234" i="1" s="1"/>
  <c r="F234" i="1"/>
  <c r="BH234" i="1" s="1"/>
  <c r="B234" i="1"/>
  <c r="BH233" i="1"/>
  <c r="AZ233" i="1"/>
  <c r="I233" i="1"/>
  <c r="F233" i="1"/>
  <c r="B233" i="1"/>
  <c r="J233" i="1" s="1"/>
  <c r="BH232" i="1"/>
  <c r="I232" i="1"/>
  <c r="F232" i="1"/>
  <c r="B232" i="1"/>
  <c r="J232" i="1" s="1"/>
  <c r="BC231" i="1"/>
  <c r="BB231" i="1"/>
  <c r="BA231" i="1"/>
  <c r="AY231" i="1"/>
  <c r="I231" i="1"/>
  <c r="B231" i="1"/>
  <c r="J231" i="1" s="1"/>
  <c r="BC230" i="1"/>
  <c r="BB230" i="1"/>
  <c r="BA230" i="1"/>
  <c r="AZ230" i="1"/>
  <c r="I230" i="1"/>
  <c r="F230" i="1"/>
  <c r="BH230" i="1" s="1"/>
  <c r="B230" i="1"/>
  <c r="J230" i="1" s="1"/>
  <c r="BE229" i="1"/>
  <c r="BD229" i="1"/>
  <c r="BC229" i="1"/>
  <c r="J229" i="1"/>
  <c r="I229" i="1"/>
  <c r="F229" i="1"/>
  <c r="BH229" i="1" s="1"/>
  <c r="B229" i="1"/>
  <c r="BH228" i="1"/>
  <c r="I228" i="1"/>
  <c r="F228" i="1"/>
  <c r="B228" i="1"/>
  <c r="J228" i="1" s="1"/>
  <c r="BE227" i="1"/>
  <c r="BD227" i="1"/>
  <c r="BC227" i="1"/>
  <c r="BB227" i="1"/>
  <c r="BA227" i="1"/>
  <c r="AY227" i="1"/>
  <c r="J227" i="1"/>
  <c r="I227" i="1"/>
  <c r="F227" i="1"/>
  <c r="BH227" i="1" s="1"/>
  <c r="B227" i="1"/>
  <c r="BH226" i="1"/>
  <c r="BE226" i="1"/>
  <c r="BC226" i="1"/>
  <c r="BA226" i="1"/>
  <c r="I226" i="1"/>
  <c r="BD226" i="1" s="1"/>
  <c r="F226" i="1"/>
  <c r="B226" i="1"/>
  <c r="J226" i="1" s="1"/>
  <c r="BE225" i="1"/>
  <c r="BD225" i="1"/>
  <c r="I225" i="1"/>
  <c r="BB225" i="1" s="1"/>
  <c r="F225" i="1"/>
  <c r="BH225" i="1" s="1"/>
  <c r="B225" i="1"/>
  <c r="J225" i="1" s="1"/>
  <c r="BH224" i="1"/>
  <c r="BE224" i="1"/>
  <c r="BC224" i="1"/>
  <c r="J224" i="1"/>
  <c r="I224" i="1"/>
  <c r="BA224" i="1" s="1"/>
  <c r="F224" i="1"/>
  <c r="B224" i="1"/>
  <c r="BH223" i="1"/>
  <c r="BE223" i="1"/>
  <c r="BD223" i="1"/>
  <c r="BB223" i="1"/>
  <c r="AZ223" i="1"/>
  <c r="I223" i="1"/>
  <c r="F223" i="1"/>
  <c r="B223" i="1"/>
  <c r="J223" i="1" s="1"/>
  <c r="BH222" i="1"/>
  <c r="BE222" i="1"/>
  <c r="J222" i="1"/>
  <c r="I222" i="1"/>
  <c r="F222" i="1"/>
  <c r="B222" i="1"/>
  <c r="AZ221" i="1"/>
  <c r="I221" i="1"/>
  <c r="F221" i="1"/>
  <c r="BH221" i="1" s="1"/>
  <c r="B221" i="1"/>
  <c r="J221" i="1" s="1"/>
  <c r="BD220" i="1"/>
  <c r="I220" i="1"/>
  <c r="B220" i="1"/>
  <c r="J220" i="1" s="1"/>
  <c r="BE219" i="1"/>
  <c r="BD219" i="1"/>
  <c r="BC219" i="1"/>
  <c r="BA219" i="1"/>
  <c r="I219" i="1"/>
  <c r="BB219" i="1" s="1"/>
  <c r="F219" i="1"/>
  <c r="BH219" i="1" s="1"/>
  <c r="B219" i="1"/>
  <c r="J219" i="1" s="1"/>
  <c r="BH218" i="1"/>
  <c r="BA218" i="1"/>
  <c r="AY218" i="1"/>
  <c r="J218" i="1"/>
  <c r="I218" i="1"/>
  <c r="F218" i="1"/>
  <c r="B218" i="1"/>
  <c r="BH217" i="1"/>
  <c r="J217" i="1"/>
  <c r="I217" i="1"/>
  <c r="F217" i="1"/>
  <c r="B217" i="1"/>
  <c r="BH216" i="1"/>
  <c r="BE216" i="1"/>
  <c r="BC216" i="1"/>
  <c r="BB216" i="1"/>
  <c r="BA216" i="1"/>
  <c r="AY216" i="1"/>
  <c r="I216" i="1"/>
  <c r="F216" i="1"/>
  <c r="B216" i="1"/>
  <c r="J216" i="1" s="1"/>
  <c r="BE215" i="1"/>
  <c r="BD215" i="1"/>
  <c r="BC215" i="1"/>
  <c r="BB215" i="1"/>
  <c r="I215" i="1"/>
  <c r="F215" i="1"/>
  <c r="BH215" i="1" s="1"/>
  <c r="B215" i="1"/>
  <c r="J215" i="1" s="1"/>
  <c r="BH214" i="1"/>
  <c r="I214" i="1"/>
  <c r="BC214" i="1" s="1"/>
  <c r="F214" i="1"/>
  <c r="B214" i="1"/>
  <c r="J214" i="1" s="1"/>
  <c r="BH213" i="1"/>
  <c r="BE213" i="1"/>
  <c r="BC213" i="1"/>
  <c r="BB213" i="1"/>
  <c r="BA213" i="1"/>
  <c r="AZ213" i="1"/>
  <c r="J213" i="1"/>
  <c r="I213" i="1"/>
  <c r="AY213" i="1" s="1"/>
  <c r="F213" i="1"/>
  <c r="B213" i="1"/>
  <c r="BE212" i="1"/>
  <c r="BD212" i="1"/>
  <c r="BC212" i="1"/>
  <c r="BB212" i="1"/>
  <c r="BA212" i="1"/>
  <c r="I212" i="1"/>
  <c r="AY212" i="1" s="1"/>
  <c r="F212" i="1"/>
  <c r="BH212" i="1" s="1"/>
  <c r="B212" i="1"/>
  <c r="J212" i="1" s="1"/>
  <c r="BE211" i="1"/>
  <c r="BA211" i="1"/>
  <c r="I211" i="1"/>
  <c r="BC211" i="1" s="1"/>
  <c r="B211" i="1"/>
  <c r="J211" i="1" s="1"/>
  <c r="BD210" i="1"/>
  <c r="BA210" i="1"/>
  <c r="I210" i="1"/>
  <c r="BB210" i="1" s="1"/>
  <c r="F210" i="1"/>
  <c r="BH210" i="1" s="1"/>
  <c r="B210" i="1"/>
  <c r="J210" i="1" s="1"/>
  <c r="BE209" i="1"/>
  <c r="BD209" i="1"/>
  <c r="BC209" i="1"/>
  <c r="BA209" i="1"/>
  <c r="AY209" i="1"/>
  <c r="J209" i="1"/>
  <c r="I209" i="1"/>
  <c r="BB209" i="1" s="1"/>
  <c r="B209" i="1"/>
  <c r="BH208" i="1"/>
  <c r="AZ208" i="1"/>
  <c r="I208" i="1"/>
  <c r="F208" i="1"/>
  <c r="B208" i="1"/>
  <c r="J208" i="1" s="1"/>
  <c r="J207" i="1"/>
  <c r="I207" i="1"/>
  <c r="B207" i="1"/>
  <c r="BH206" i="1"/>
  <c r="BA206" i="1"/>
  <c r="AZ206" i="1"/>
  <c r="I206" i="1"/>
  <c r="F206" i="1"/>
  <c r="B206" i="1"/>
  <c r="J206" i="1" s="1"/>
  <c r="BC205" i="1"/>
  <c r="BB205" i="1"/>
  <c r="BA205" i="1"/>
  <c r="I205" i="1"/>
  <c r="B205" i="1"/>
  <c r="J205" i="1" s="1"/>
  <c r="I204" i="1"/>
  <c r="B204" i="1"/>
  <c r="J204" i="1" s="1"/>
  <c r="BH203" i="1"/>
  <c r="BE203" i="1"/>
  <c r="BC203" i="1"/>
  <c r="BA203" i="1"/>
  <c r="AZ203" i="1"/>
  <c r="AY203" i="1"/>
  <c r="J203" i="1"/>
  <c r="I203" i="1"/>
  <c r="F203" i="1"/>
  <c r="B203" i="1"/>
  <c r="BE202" i="1"/>
  <c r="BD202" i="1"/>
  <c r="BC202" i="1"/>
  <c r="BB202" i="1"/>
  <c r="BA202" i="1"/>
  <c r="AY202" i="1"/>
  <c r="J202" i="1"/>
  <c r="I202" i="1"/>
  <c r="B202" i="1"/>
  <c r="BE201" i="1"/>
  <c r="BC201" i="1"/>
  <c r="BB201" i="1"/>
  <c r="AZ201" i="1"/>
  <c r="I201" i="1"/>
  <c r="BD201" i="1" s="1"/>
  <c r="F201" i="1"/>
  <c r="BH201" i="1" s="1"/>
  <c r="B201" i="1"/>
  <c r="J201" i="1" s="1"/>
  <c r="BE200" i="1"/>
  <c r="BD200" i="1"/>
  <c r="I200" i="1"/>
  <c r="BB200" i="1" s="1"/>
  <c r="B200" i="1"/>
  <c r="J200" i="1" s="1"/>
  <c r="BE199" i="1"/>
  <c r="BC199" i="1"/>
  <c r="AZ199" i="1"/>
  <c r="J199" i="1"/>
  <c r="I199" i="1"/>
  <c r="BA199" i="1" s="1"/>
  <c r="B199" i="1"/>
  <c r="I198" i="1"/>
  <c r="B198" i="1"/>
  <c r="J198" i="1" s="1"/>
  <c r="I197" i="1"/>
  <c r="B197" i="1"/>
  <c r="J197" i="1" s="1"/>
  <c r="BH196" i="1"/>
  <c r="BE196" i="1"/>
  <c r="J196" i="1"/>
  <c r="I196" i="1"/>
  <c r="F196" i="1"/>
  <c r="B196" i="1"/>
  <c r="I195" i="1"/>
  <c r="F195" i="1"/>
  <c r="BH195" i="1" s="1"/>
  <c r="B195" i="1"/>
  <c r="J195" i="1" s="1"/>
  <c r="BH194" i="1"/>
  <c r="BE194" i="1"/>
  <c r="AZ194" i="1"/>
  <c r="I194" i="1"/>
  <c r="F194" i="1"/>
  <c r="B194" i="1"/>
  <c r="J194" i="1" s="1"/>
  <c r="BH193" i="1"/>
  <c r="BB193" i="1"/>
  <c r="AZ193" i="1"/>
  <c r="J193" i="1"/>
  <c r="I193" i="1"/>
  <c r="F193" i="1"/>
  <c r="B193" i="1"/>
  <c r="AY192" i="1"/>
  <c r="J192" i="1"/>
  <c r="I192" i="1"/>
  <c r="B192" i="1"/>
  <c r="BE191" i="1"/>
  <c r="BC191" i="1"/>
  <c r="BB191" i="1"/>
  <c r="BA191" i="1"/>
  <c r="AY191" i="1"/>
  <c r="J191" i="1"/>
  <c r="I191" i="1"/>
  <c r="BD191" i="1" s="1"/>
  <c r="F191" i="1"/>
  <c r="BH191" i="1" s="1"/>
  <c r="B191" i="1"/>
  <c r="BE190" i="1"/>
  <c r="BD190" i="1"/>
  <c r="BC190" i="1"/>
  <c r="BB190" i="1"/>
  <c r="BA190" i="1"/>
  <c r="AY190" i="1"/>
  <c r="I190" i="1"/>
  <c r="B190" i="1"/>
  <c r="J190" i="1" s="1"/>
  <c r="BH189" i="1"/>
  <c r="BE189" i="1"/>
  <c r="BD189" i="1"/>
  <c r="BA189" i="1"/>
  <c r="J189" i="1"/>
  <c r="I189" i="1"/>
  <c r="AY189" i="1" s="1"/>
  <c r="F189" i="1"/>
  <c r="B189" i="1"/>
  <c r="BD188" i="1"/>
  <c r="BB188" i="1"/>
  <c r="BA188" i="1"/>
  <c r="AZ188" i="1"/>
  <c r="AY188" i="1"/>
  <c r="I188" i="1"/>
  <c r="B188" i="1"/>
  <c r="J188" i="1" s="1"/>
  <c r="BE187" i="1"/>
  <c r="BD187" i="1"/>
  <c r="BC187" i="1"/>
  <c r="BB187" i="1"/>
  <c r="BA187" i="1"/>
  <c r="AY187" i="1"/>
  <c r="J187" i="1"/>
  <c r="I187" i="1"/>
  <c r="F187" i="1"/>
  <c r="BH187" i="1" s="1"/>
  <c r="B187" i="1"/>
  <c r="BH186" i="1"/>
  <c r="AZ186" i="1"/>
  <c r="I186" i="1"/>
  <c r="BB186" i="1" s="1"/>
  <c r="F186" i="1"/>
  <c r="B186" i="1"/>
  <c r="J186" i="1" s="1"/>
  <c r="BD185" i="1"/>
  <c r="I185" i="1"/>
  <c r="B185" i="1"/>
  <c r="J185" i="1" s="1"/>
  <c r="J184" i="1"/>
  <c r="I184" i="1"/>
  <c r="F184" i="1"/>
  <c r="BH184" i="1" s="1"/>
  <c r="B184" i="1"/>
  <c r="I183" i="1"/>
  <c r="B183" i="1"/>
  <c r="J183" i="1" s="1"/>
  <c r="BH182" i="1"/>
  <c r="BB182" i="1"/>
  <c r="AY182" i="1"/>
  <c r="I182" i="1"/>
  <c r="F182" i="1"/>
  <c r="B182" i="1"/>
  <c r="J182" i="1" s="1"/>
  <c r="J181" i="1"/>
  <c r="I181" i="1"/>
  <c r="F181" i="1"/>
  <c r="BH181" i="1" s="1"/>
  <c r="B181" i="1"/>
  <c r="AZ180" i="1"/>
  <c r="I180" i="1"/>
  <c r="F180" i="1"/>
  <c r="BH180" i="1" s="1"/>
  <c r="B180" i="1"/>
  <c r="J180" i="1" s="1"/>
  <c r="BH179" i="1"/>
  <c r="BC179" i="1"/>
  <c r="BA179" i="1"/>
  <c r="AZ179" i="1"/>
  <c r="I179" i="1"/>
  <c r="F179" i="1"/>
  <c r="B179" i="1"/>
  <c r="J179" i="1" s="1"/>
  <c r="BE178" i="1"/>
  <c r="BD178" i="1"/>
  <c r="BC178" i="1"/>
  <c r="BB178" i="1"/>
  <c r="I178" i="1"/>
  <c r="B178" i="1"/>
  <c r="J178" i="1" s="1"/>
  <c r="BE177" i="1"/>
  <c r="BC177" i="1"/>
  <c r="BA177" i="1"/>
  <c r="AY177" i="1"/>
  <c r="J177" i="1"/>
  <c r="I177" i="1"/>
  <c r="F177" i="1"/>
  <c r="BH177" i="1" s="1"/>
  <c r="B177" i="1"/>
  <c r="I176" i="1"/>
  <c r="B176" i="1"/>
  <c r="J176" i="1" s="1"/>
  <c r="BE175" i="1"/>
  <c r="BD175" i="1"/>
  <c r="BC175" i="1"/>
  <c r="BB175" i="1"/>
  <c r="BA175" i="1"/>
  <c r="I175" i="1"/>
  <c r="F175" i="1"/>
  <c r="BH175" i="1" s="1"/>
  <c r="B175" i="1"/>
  <c r="J175" i="1" s="1"/>
  <c r="BH174" i="1"/>
  <c r="BE174" i="1"/>
  <c r="AZ174" i="1"/>
  <c r="I174" i="1"/>
  <c r="F174" i="1"/>
  <c r="B174" i="1"/>
  <c r="J174" i="1" s="1"/>
  <c r="BH173" i="1"/>
  <c r="BE173" i="1"/>
  <c r="BC173" i="1"/>
  <c r="BA173" i="1"/>
  <c r="J173" i="1"/>
  <c r="I173" i="1"/>
  <c r="AY173" i="1" s="1"/>
  <c r="F173" i="1"/>
  <c r="B173" i="1"/>
  <c r="BE172" i="1"/>
  <c r="BD172" i="1"/>
  <c r="BC172" i="1"/>
  <c r="BB172" i="1"/>
  <c r="BA172" i="1"/>
  <c r="AY172" i="1"/>
  <c r="J172" i="1"/>
  <c r="I172" i="1"/>
  <c r="F172" i="1"/>
  <c r="BH172" i="1" s="1"/>
  <c r="B172" i="1"/>
  <c r="BE171" i="1"/>
  <c r="BB171" i="1"/>
  <c r="I171" i="1"/>
  <c r="BD171" i="1" s="1"/>
  <c r="B171" i="1"/>
  <c r="J171" i="1" s="1"/>
  <c r="BE170" i="1"/>
  <c r="BB170" i="1"/>
  <c r="I170" i="1"/>
  <c r="BD170" i="1" s="1"/>
  <c r="F170" i="1"/>
  <c r="BH170" i="1" s="1"/>
  <c r="B170" i="1"/>
  <c r="J170" i="1" s="1"/>
  <c r="AZ169" i="1"/>
  <c r="J169" i="1"/>
  <c r="I169" i="1"/>
  <c r="F169" i="1"/>
  <c r="BH169" i="1" s="1"/>
  <c r="B169" i="1"/>
  <c r="I168" i="1"/>
  <c r="BC168" i="1" s="1"/>
  <c r="B168" i="1"/>
  <c r="J168" i="1" s="1"/>
  <c r="BH167" i="1"/>
  <c r="BE167" i="1"/>
  <c r="AY167" i="1"/>
  <c r="I167" i="1"/>
  <c r="F167" i="1"/>
  <c r="B167" i="1"/>
  <c r="J167" i="1" s="1"/>
  <c r="BH166" i="1"/>
  <c r="AY166" i="1"/>
  <c r="J166" i="1"/>
  <c r="I166" i="1"/>
  <c r="F166" i="1"/>
  <c r="B166" i="1"/>
  <c r="I165" i="1"/>
  <c r="F165" i="1"/>
  <c r="BH165" i="1" s="1"/>
  <c r="B165" i="1"/>
  <c r="J165" i="1" s="1"/>
  <c r="BA164" i="1"/>
  <c r="AY164" i="1"/>
  <c r="I164" i="1"/>
  <c r="B164" i="1"/>
  <c r="J164" i="1" s="1"/>
  <c r="BH163" i="1"/>
  <c r="AZ163" i="1"/>
  <c r="J163" i="1"/>
  <c r="I163" i="1"/>
  <c r="F163" i="1"/>
  <c r="B163" i="1"/>
  <c r="I162" i="1"/>
  <c r="AY162" i="1" s="1"/>
  <c r="B162" i="1"/>
  <c r="J162" i="1" s="1"/>
  <c r="BE161" i="1"/>
  <c r="BC161" i="1"/>
  <c r="BB161" i="1"/>
  <c r="BA161" i="1"/>
  <c r="AY161" i="1"/>
  <c r="J161" i="1"/>
  <c r="I161" i="1"/>
  <c r="BD161" i="1" s="1"/>
  <c r="B161" i="1"/>
  <c r="BE160" i="1"/>
  <c r="BD160" i="1"/>
  <c r="BC160" i="1"/>
  <c r="BB160" i="1"/>
  <c r="BA160" i="1"/>
  <c r="AY160" i="1"/>
  <c r="I160" i="1"/>
  <c r="F160" i="1"/>
  <c r="BH160" i="1" s="1"/>
  <c r="B160" i="1"/>
  <c r="J160" i="1" s="1"/>
  <c r="BE159" i="1"/>
  <c r="BD159" i="1"/>
  <c r="BA159" i="1"/>
  <c r="J159" i="1"/>
  <c r="I159" i="1"/>
  <c r="AY159" i="1" s="1"/>
  <c r="B159" i="1"/>
  <c r="BH158" i="1"/>
  <c r="BD158" i="1"/>
  <c r="BB158" i="1"/>
  <c r="BA158" i="1"/>
  <c r="AZ158" i="1"/>
  <c r="AY158" i="1"/>
  <c r="I158" i="1"/>
  <c r="B158" i="1"/>
  <c r="J158" i="1" s="1"/>
  <c r="BE157" i="1"/>
  <c r="BD157" i="1"/>
  <c r="BC157" i="1"/>
  <c r="BB157" i="1"/>
  <c r="BA157" i="1"/>
  <c r="AY157" i="1"/>
  <c r="J157" i="1"/>
  <c r="I157" i="1"/>
  <c r="B157" i="1"/>
  <c r="BH156" i="1"/>
  <c r="BE156" i="1"/>
  <c r="BB156" i="1"/>
  <c r="I156" i="1"/>
  <c r="BD156" i="1" s="1"/>
  <c r="F156" i="1"/>
  <c r="B156" i="1"/>
  <c r="J156" i="1" s="1"/>
  <c r="BE155" i="1"/>
  <c r="BB155" i="1"/>
  <c r="I155" i="1"/>
  <c r="AY155" i="1" s="1"/>
  <c r="F155" i="1"/>
  <c r="BH155" i="1" s="1"/>
  <c r="B155" i="1"/>
  <c r="J155" i="1" s="1"/>
  <c r="J154" i="1"/>
  <c r="I154" i="1"/>
  <c r="BE154" i="1" s="1"/>
  <c r="B154" i="1"/>
  <c r="BE153" i="1"/>
  <c r="BD153" i="1"/>
  <c r="BC153" i="1"/>
  <c r="BB153" i="1"/>
  <c r="BA153" i="1"/>
  <c r="AC153" i="1"/>
  <c r="AA153" i="1"/>
  <c r="Z153" i="1"/>
  <c r="V153" i="1"/>
  <c r="U153" i="1"/>
  <c r="T153" i="1"/>
  <c r="S153" i="1"/>
  <c r="W153" i="1" s="1"/>
  <c r="R153" i="1"/>
  <c r="Q153" i="1"/>
  <c r="P153" i="1"/>
  <c r="O153" i="1"/>
  <c r="I153" i="1"/>
  <c r="B153" i="1"/>
  <c r="BD152" i="1"/>
  <c r="BA152" i="1"/>
  <c r="AC152" i="1"/>
  <c r="Z152" i="1"/>
  <c r="V152" i="1"/>
  <c r="U152" i="1"/>
  <c r="T152" i="1"/>
  <c r="Q152" i="1"/>
  <c r="P152" i="1"/>
  <c r="R152" i="1" s="1"/>
  <c r="O152" i="1"/>
  <c r="I152" i="1"/>
  <c r="BC152" i="1" s="1"/>
  <c r="B152" i="1"/>
  <c r="S152" i="1" s="1"/>
  <c r="W152" i="1" s="1"/>
  <c r="BE151" i="1"/>
  <c r="BC151" i="1"/>
  <c r="BB151" i="1"/>
  <c r="BA151" i="1"/>
  <c r="AC151" i="1"/>
  <c r="AA151" i="1"/>
  <c r="Z151" i="1"/>
  <c r="V151" i="1"/>
  <c r="U151" i="1"/>
  <c r="T151" i="1"/>
  <c r="Q151" i="1"/>
  <c r="P151" i="1"/>
  <c r="O151" i="1"/>
  <c r="R151" i="1" s="1"/>
  <c r="I151" i="1"/>
  <c r="BD151" i="1" s="1"/>
  <c r="B151" i="1"/>
  <c r="K151" i="1" s="1"/>
  <c r="BE150" i="1"/>
  <c r="BD150" i="1"/>
  <c r="BA150" i="1"/>
  <c r="AC150" i="1"/>
  <c r="Z150" i="1"/>
  <c r="V150" i="1"/>
  <c r="U150" i="1"/>
  <c r="T150" i="1"/>
  <c r="R150" i="1"/>
  <c r="Q150" i="1"/>
  <c r="P150" i="1"/>
  <c r="O150" i="1"/>
  <c r="K150" i="1"/>
  <c r="I150" i="1"/>
  <c r="B150" i="1"/>
  <c r="BE149" i="1"/>
  <c r="BD149" i="1"/>
  <c r="BC149" i="1"/>
  <c r="BA149" i="1"/>
  <c r="AA149" i="1"/>
  <c r="Z149" i="1"/>
  <c r="V149" i="1"/>
  <c r="U149" i="1"/>
  <c r="T149" i="1"/>
  <c r="Q149" i="1"/>
  <c r="P149" i="1"/>
  <c r="R149" i="1" s="1"/>
  <c r="O149" i="1"/>
  <c r="I149" i="1"/>
  <c r="BB149" i="1" s="1"/>
  <c r="B149" i="1"/>
  <c r="AC148" i="1"/>
  <c r="Z148" i="1"/>
  <c r="V148" i="1"/>
  <c r="U148" i="1"/>
  <c r="T148" i="1"/>
  <c r="S148" i="1"/>
  <c r="W148" i="1" s="1"/>
  <c r="Q148" i="1"/>
  <c r="P148" i="1"/>
  <c r="O148" i="1"/>
  <c r="I148" i="1"/>
  <c r="BB148" i="1" s="1"/>
  <c r="B148" i="1"/>
  <c r="BD147" i="1"/>
  <c r="BC147" i="1"/>
  <c r="BB147" i="1"/>
  <c r="BA147" i="1"/>
  <c r="AC147" i="1"/>
  <c r="Z147" i="1"/>
  <c r="V147" i="1"/>
  <c r="U147" i="1"/>
  <c r="T147" i="1"/>
  <c r="Q147" i="1"/>
  <c r="P147" i="1"/>
  <c r="O147" i="1"/>
  <c r="R147" i="1" s="1"/>
  <c r="I147" i="1"/>
  <c r="B147" i="1"/>
  <c r="BE146" i="1"/>
  <c r="BD146" i="1"/>
  <c r="AC146" i="1"/>
  <c r="AA146" i="1"/>
  <c r="Z146" i="1"/>
  <c r="V146" i="1"/>
  <c r="U146" i="1"/>
  <c r="T146" i="1"/>
  <c r="Q146" i="1"/>
  <c r="P146" i="1"/>
  <c r="O146" i="1"/>
  <c r="R146" i="1" s="1"/>
  <c r="K146" i="1"/>
  <c r="I146" i="1"/>
  <c r="BB146" i="1" s="1"/>
  <c r="B146" i="1"/>
  <c r="AC145" i="1"/>
  <c r="AA145" i="1"/>
  <c r="Z145" i="1"/>
  <c r="V145" i="1"/>
  <c r="U145" i="1"/>
  <c r="T145" i="1"/>
  <c r="Q145" i="1"/>
  <c r="P145" i="1"/>
  <c r="R145" i="1" s="1"/>
  <c r="O145" i="1"/>
  <c r="I145" i="1"/>
  <c r="B145" i="1"/>
  <c r="BC144" i="1"/>
  <c r="BA144" i="1"/>
  <c r="Z144" i="1"/>
  <c r="V144" i="1"/>
  <c r="U144" i="1"/>
  <c r="T144" i="1"/>
  <c r="S144" i="1"/>
  <c r="W144" i="1" s="1"/>
  <c r="Q144" i="1"/>
  <c r="P144" i="1"/>
  <c r="O144" i="1"/>
  <c r="R144" i="1" s="1"/>
  <c r="K144" i="1"/>
  <c r="I144" i="1"/>
  <c r="B144" i="1"/>
  <c r="BE143" i="1"/>
  <c r="BD143" i="1"/>
  <c r="BC143" i="1"/>
  <c r="BB143" i="1"/>
  <c r="BA143" i="1"/>
  <c r="AC143" i="1"/>
  <c r="AA143" i="1"/>
  <c r="Z143" i="1"/>
  <c r="V143" i="1"/>
  <c r="U143" i="1"/>
  <c r="T143" i="1"/>
  <c r="S143" i="1"/>
  <c r="W143" i="1" s="1"/>
  <c r="Q143" i="1"/>
  <c r="R143" i="1" s="1"/>
  <c r="P143" i="1"/>
  <c r="O143" i="1"/>
  <c r="I143" i="1"/>
  <c r="B143" i="1"/>
  <c r="BC142" i="1"/>
  <c r="AC142" i="1"/>
  <c r="Z142" i="1"/>
  <c r="V142" i="1"/>
  <c r="U142" i="1"/>
  <c r="T142" i="1"/>
  <c r="Q142" i="1"/>
  <c r="P142" i="1"/>
  <c r="R142" i="1" s="1"/>
  <c r="O142" i="1"/>
  <c r="K142" i="1"/>
  <c r="I142" i="1"/>
  <c r="BD142" i="1" s="1"/>
  <c r="B142" i="1"/>
  <c r="BE141" i="1"/>
  <c r="BC141" i="1"/>
  <c r="BB141" i="1"/>
  <c r="BA141" i="1"/>
  <c r="AC141" i="1"/>
  <c r="AA141" i="1"/>
  <c r="Z141" i="1"/>
  <c r="V141" i="1"/>
  <c r="U141" i="1"/>
  <c r="T141" i="1"/>
  <c r="Q141" i="1"/>
  <c r="P141" i="1"/>
  <c r="O141" i="1"/>
  <c r="R141" i="1" s="1"/>
  <c r="I141" i="1"/>
  <c r="BD141" i="1" s="1"/>
  <c r="B141" i="1"/>
  <c r="K141" i="1" s="1"/>
  <c r="BE140" i="1"/>
  <c r="BD140" i="1"/>
  <c r="BA140" i="1"/>
  <c r="AC140" i="1"/>
  <c r="Z140" i="1"/>
  <c r="V140" i="1"/>
  <c r="U140" i="1"/>
  <c r="T140" i="1"/>
  <c r="S140" i="1"/>
  <c r="W140" i="1" s="1"/>
  <c r="Q140" i="1"/>
  <c r="P140" i="1"/>
  <c r="R140" i="1" s="1"/>
  <c r="O140" i="1"/>
  <c r="I140" i="1"/>
  <c r="B140" i="1"/>
  <c r="BE139" i="1"/>
  <c r="BD139" i="1"/>
  <c r="BC139" i="1"/>
  <c r="BA139" i="1"/>
  <c r="Z139" i="1"/>
  <c r="V139" i="1"/>
  <c r="U139" i="1"/>
  <c r="T139" i="1"/>
  <c r="Q139" i="1"/>
  <c r="P139" i="1"/>
  <c r="O139" i="1"/>
  <c r="I139" i="1"/>
  <c r="BB139" i="1" s="1"/>
  <c r="B139" i="1"/>
  <c r="BD138" i="1"/>
  <c r="AC138" i="1"/>
  <c r="Z138" i="1"/>
  <c r="V138" i="1"/>
  <c r="U138" i="1"/>
  <c r="T138" i="1"/>
  <c r="Q138" i="1"/>
  <c r="P138" i="1"/>
  <c r="O138" i="1"/>
  <c r="R138" i="1" s="1"/>
  <c r="I138" i="1"/>
  <c r="B138" i="1"/>
  <c r="K138" i="1" s="1"/>
  <c r="BD137" i="1"/>
  <c r="BC137" i="1"/>
  <c r="BB137" i="1"/>
  <c r="BA137" i="1"/>
  <c r="AC137" i="1"/>
  <c r="Z137" i="1"/>
  <c r="W137" i="1"/>
  <c r="V137" i="1"/>
  <c r="U137" i="1"/>
  <c r="T137" i="1"/>
  <c r="S137" i="1"/>
  <c r="Q137" i="1"/>
  <c r="P137" i="1"/>
  <c r="O137" i="1"/>
  <c r="R137" i="1" s="1"/>
  <c r="K137" i="1"/>
  <c r="I137" i="1"/>
  <c r="B137" i="1"/>
  <c r="AC136" i="1"/>
  <c r="AA136" i="1"/>
  <c r="Z136" i="1"/>
  <c r="V136" i="1"/>
  <c r="U136" i="1"/>
  <c r="T136" i="1"/>
  <c r="Q136" i="1"/>
  <c r="P136" i="1"/>
  <c r="O136" i="1"/>
  <c r="I136" i="1"/>
  <c r="B136" i="1"/>
  <c r="BE135" i="1"/>
  <c r="BC135" i="1"/>
  <c r="BA135" i="1"/>
  <c r="AC135" i="1"/>
  <c r="AA135" i="1"/>
  <c r="Z135" i="1"/>
  <c r="V135" i="1"/>
  <c r="U135" i="1"/>
  <c r="T135" i="1"/>
  <c r="Q135" i="1"/>
  <c r="R135" i="1" s="1"/>
  <c r="P135" i="1"/>
  <c r="O135" i="1"/>
  <c r="I135" i="1"/>
  <c r="BD135" i="1" s="1"/>
  <c r="B135" i="1"/>
  <c r="BE134" i="1"/>
  <c r="BC134" i="1"/>
  <c r="BA134" i="1"/>
  <c r="Z134" i="1"/>
  <c r="W134" i="1"/>
  <c r="V134" i="1"/>
  <c r="U134" i="1"/>
  <c r="T134" i="1"/>
  <c r="S134" i="1"/>
  <c r="Q134" i="1"/>
  <c r="P134" i="1"/>
  <c r="O134" i="1"/>
  <c r="R134" i="1" s="1"/>
  <c r="K134" i="1"/>
  <c r="I134" i="1"/>
  <c r="B134" i="1"/>
  <c r="BE133" i="1"/>
  <c r="BD133" i="1"/>
  <c r="BC133" i="1"/>
  <c r="BB133" i="1"/>
  <c r="BA133" i="1"/>
  <c r="AY133" i="1"/>
  <c r="I133" i="1"/>
  <c r="B133" i="1"/>
  <c r="J133" i="1" s="1"/>
  <c r="BE132" i="1"/>
  <c r="BD132" i="1"/>
  <c r="BC132" i="1"/>
  <c r="BB132" i="1"/>
  <c r="AY132" i="1"/>
  <c r="I132" i="1"/>
  <c r="BA132" i="1" s="1"/>
  <c r="F132" i="1"/>
  <c r="BH132" i="1" s="1"/>
  <c r="B132" i="1"/>
  <c r="J132" i="1" s="1"/>
  <c r="I131" i="1"/>
  <c r="B131" i="1"/>
  <c r="J131" i="1" s="1"/>
  <c r="BE130" i="1"/>
  <c r="BC130" i="1"/>
  <c r="BB130" i="1"/>
  <c r="AC130" i="1"/>
  <c r="AA130" i="1"/>
  <c r="Z130" i="1"/>
  <c r="V130" i="1"/>
  <c r="U130" i="1"/>
  <c r="T130" i="1"/>
  <c r="S130" i="1"/>
  <c r="W130" i="1" s="1"/>
  <c r="Q130" i="1"/>
  <c r="P130" i="1"/>
  <c r="R130" i="1" s="1"/>
  <c r="O130" i="1"/>
  <c r="K130" i="1"/>
  <c r="I130" i="1"/>
  <c r="BA130" i="1" s="1"/>
  <c r="B130" i="1"/>
  <c r="BH129" i="1"/>
  <c r="BE129" i="1"/>
  <c r="BD129" i="1"/>
  <c r="BC129" i="1"/>
  <c r="BB129" i="1"/>
  <c r="BA129" i="1"/>
  <c r="AY129" i="1"/>
  <c r="I129" i="1"/>
  <c r="F129" i="1"/>
  <c r="B129" i="1"/>
  <c r="J129" i="1" s="1"/>
  <c r="AC128" i="1"/>
  <c r="Z128" i="1"/>
  <c r="V128" i="1"/>
  <c r="U128" i="1"/>
  <c r="W128" i="1" s="1"/>
  <c r="T128" i="1"/>
  <c r="Q128" i="1"/>
  <c r="P128" i="1"/>
  <c r="O128" i="1"/>
  <c r="K128" i="1"/>
  <c r="I128" i="1"/>
  <c r="BD128" i="1" s="1"/>
  <c r="B128" i="1"/>
  <c r="S128" i="1" s="1"/>
  <c r="BC127" i="1"/>
  <c r="BB127" i="1"/>
  <c r="BA127" i="1"/>
  <c r="AC127" i="1"/>
  <c r="Z127" i="1"/>
  <c r="V127" i="1"/>
  <c r="U127" i="1"/>
  <c r="T127" i="1"/>
  <c r="S127" i="1"/>
  <c r="W127" i="1" s="1"/>
  <c r="Q127" i="1"/>
  <c r="P127" i="1"/>
  <c r="R127" i="1" s="1"/>
  <c r="O127" i="1"/>
  <c r="I127" i="1"/>
  <c r="B127" i="1"/>
  <c r="AZ126" i="1"/>
  <c r="J126" i="1"/>
  <c r="I126" i="1"/>
  <c r="F126" i="1"/>
  <c r="BH126" i="1" s="1"/>
  <c r="B126" i="1"/>
  <c r="BE125" i="1"/>
  <c r="BD125" i="1"/>
  <c r="BB125" i="1"/>
  <c r="BA125" i="1"/>
  <c r="AY125" i="1"/>
  <c r="J125" i="1"/>
  <c r="I125" i="1"/>
  <c r="BC125" i="1" s="1"/>
  <c r="F125" i="1"/>
  <c r="BH125" i="1" s="1"/>
  <c r="B125" i="1"/>
  <c r="BE124" i="1"/>
  <c r="BD124" i="1"/>
  <c r="BC124" i="1"/>
  <c r="BB124" i="1"/>
  <c r="BA124" i="1"/>
  <c r="AY124" i="1"/>
  <c r="I124" i="1"/>
  <c r="B124" i="1"/>
  <c r="J124" i="1" s="1"/>
  <c r="Z123" i="1"/>
  <c r="V123" i="1"/>
  <c r="U123" i="1"/>
  <c r="T123" i="1"/>
  <c r="Q123" i="1"/>
  <c r="P123" i="1"/>
  <c r="O123" i="1"/>
  <c r="K123" i="1"/>
  <c r="I123" i="1"/>
  <c r="BE123" i="1" s="1"/>
  <c r="B123" i="1"/>
  <c r="S123" i="1" s="1"/>
  <c r="W123" i="1" s="1"/>
  <c r="BB122" i="1"/>
  <c r="BA122" i="1"/>
  <c r="AC122" i="1"/>
  <c r="Z122" i="1"/>
  <c r="V122" i="1"/>
  <c r="U122" i="1"/>
  <c r="T122" i="1"/>
  <c r="Q122" i="1"/>
  <c r="P122" i="1"/>
  <c r="R122" i="1" s="1"/>
  <c r="O122" i="1"/>
  <c r="K122" i="1"/>
  <c r="I122" i="1"/>
  <c r="B122" i="1"/>
  <c r="I121" i="1"/>
  <c r="F121" i="1"/>
  <c r="BH121" i="1" s="1"/>
  <c r="B121" i="1"/>
  <c r="J121" i="1" s="1"/>
  <c r="AC120" i="1"/>
  <c r="Z120" i="1"/>
  <c r="V120" i="1"/>
  <c r="U120" i="1"/>
  <c r="T120" i="1"/>
  <c r="Q120" i="1"/>
  <c r="P120" i="1"/>
  <c r="O120" i="1"/>
  <c r="R120" i="1" s="1"/>
  <c r="I120" i="1"/>
  <c r="B120" i="1"/>
  <c r="BE119" i="1"/>
  <c r="BD119" i="1"/>
  <c r="BC119" i="1"/>
  <c r="BA119" i="1"/>
  <c r="AA119" i="1"/>
  <c r="Z119" i="1"/>
  <c r="V119" i="1"/>
  <c r="U119" i="1"/>
  <c r="T119" i="1"/>
  <c r="Q119" i="1"/>
  <c r="P119" i="1"/>
  <c r="R119" i="1" s="1"/>
  <c r="O119" i="1"/>
  <c r="I119" i="1"/>
  <c r="BB119" i="1" s="1"/>
  <c r="B119" i="1"/>
  <c r="AC118" i="1"/>
  <c r="AA118" i="1"/>
  <c r="Z118" i="1"/>
  <c r="V118" i="1"/>
  <c r="U118" i="1"/>
  <c r="T118" i="1"/>
  <c r="Q118" i="1"/>
  <c r="P118" i="1"/>
  <c r="O118" i="1"/>
  <c r="K118" i="1"/>
  <c r="I118" i="1"/>
  <c r="B118" i="1"/>
  <c r="AC117" i="1"/>
  <c r="Z117" i="1"/>
  <c r="V117" i="1"/>
  <c r="U117" i="1"/>
  <c r="T117" i="1"/>
  <c r="R117" i="1"/>
  <c r="Q117" i="1"/>
  <c r="P117" i="1"/>
  <c r="O117" i="1"/>
  <c r="K117" i="1"/>
  <c r="I117" i="1"/>
  <c r="BE117" i="1" s="1"/>
  <c r="B117" i="1"/>
  <c r="BC116" i="1"/>
  <c r="BB116" i="1"/>
  <c r="BA116" i="1"/>
  <c r="AC116" i="1"/>
  <c r="Z116" i="1"/>
  <c r="V116" i="1"/>
  <c r="U116" i="1"/>
  <c r="T116" i="1"/>
  <c r="R116" i="1"/>
  <c r="Q116" i="1"/>
  <c r="P116" i="1"/>
  <c r="O116" i="1"/>
  <c r="I116" i="1"/>
  <c r="B116" i="1"/>
  <c r="K116" i="1" s="1"/>
  <c r="BB115" i="1"/>
  <c r="BA115" i="1"/>
  <c r="AC115" i="1"/>
  <c r="Z115" i="1"/>
  <c r="V115" i="1"/>
  <c r="U115" i="1"/>
  <c r="T115" i="1"/>
  <c r="Q115" i="1"/>
  <c r="P115" i="1"/>
  <c r="O115" i="1"/>
  <c r="R115" i="1" s="1"/>
  <c r="I115" i="1"/>
  <c r="B115" i="1"/>
  <c r="BE114" i="1"/>
  <c r="BC114" i="1"/>
  <c r="BA114" i="1"/>
  <c r="AC114" i="1"/>
  <c r="AA114" i="1"/>
  <c r="Z114" i="1"/>
  <c r="V114" i="1"/>
  <c r="U114" i="1"/>
  <c r="T114" i="1"/>
  <c r="Q114" i="1"/>
  <c r="P114" i="1"/>
  <c r="O114" i="1"/>
  <c r="R114" i="1" s="1"/>
  <c r="I114" i="1"/>
  <c r="BD114" i="1" s="1"/>
  <c r="B114" i="1"/>
  <c r="BE113" i="1"/>
  <c r="BD113" i="1"/>
  <c r="BB113" i="1"/>
  <c r="AC113" i="1"/>
  <c r="AA113" i="1"/>
  <c r="Z113" i="1"/>
  <c r="V113" i="1"/>
  <c r="U113" i="1"/>
  <c r="T113" i="1"/>
  <c r="S113" i="1"/>
  <c r="Q113" i="1"/>
  <c r="P113" i="1"/>
  <c r="O113" i="1"/>
  <c r="R113" i="1" s="1"/>
  <c r="K113" i="1"/>
  <c r="I113" i="1"/>
  <c r="B113" i="1"/>
  <c r="BE112" i="1"/>
  <c r="BD112" i="1"/>
  <c r="BC112" i="1"/>
  <c r="BA112" i="1"/>
  <c r="Z112" i="1"/>
  <c r="V112" i="1"/>
  <c r="U112" i="1"/>
  <c r="T112" i="1"/>
  <c r="Q112" i="1"/>
  <c r="P112" i="1"/>
  <c r="O112" i="1"/>
  <c r="R112" i="1" s="1"/>
  <c r="K112" i="1"/>
  <c r="I112" i="1"/>
  <c r="BB112" i="1" s="1"/>
  <c r="B112" i="1"/>
  <c r="AC111" i="1"/>
  <c r="AA111" i="1"/>
  <c r="Z111" i="1"/>
  <c r="V111" i="1"/>
  <c r="U111" i="1"/>
  <c r="T111" i="1"/>
  <c r="Q111" i="1"/>
  <c r="P111" i="1"/>
  <c r="O111" i="1"/>
  <c r="I111" i="1"/>
  <c r="B111" i="1"/>
  <c r="AC110" i="1"/>
  <c r="Z110" i="1"/>
  <c r="V110" i="1"/>
  <c r="U110" i="1"/>
  <c r="T110" i="1"/>
  <c r="S110" i="1"/>
  <c r="W110" i="1" s="1"/>
  <c r="R110" i="1"/>
  <c r="Q110" i="1"/>
  <c r="P110" i="1"/>
  <c r="O110" i="1"/>
  <c r="K110" i="1"/>
  <c r="I110" i="1"/>
  <c r="B110" i="1"/>
  <c r="BB109" i="1"/>
  <c r="AC109" i="1"/>
  <c r="Z109" i="1"/>
  <c r="V109" i="1"/>
  <c r="U109" i="1"/>
  <c r="T109" i="1"/>
  <c r="R109" i="1"/>
  <c r="Q109" i="1"/>
  <c r="P109" i="1"/>
  <c r="O109" i="1"/>
  <c r="I109" i="1"/>
  <c r="BA109" i="1" s="1"/>
  <c r="B109" i="1"/>
  <c r="K109" i="1" s="1"/>
  <c r="BC108" i="1"/>
  <c r="BB108" i="1"/>
  <c r="BA108" i="1"/>
  <c r="AC108" i="1"/>
  <c r="AA108" i="1"/>
  <c r="Z108" i="1"/>
  <c r="V108" i="1"/>
  <c r="U108" i="1"/>
  <c r="T108" i="1"/>
  <c r="R108" i="1"/>
  <c r="Q108" i="1"/>
  <c r="P108" i="1"/>
  <c r="O108" i="1"/>
  <c r="I108" i="1"/>
  <c r="B108" i="1"/>
  <c r="BC107" i="1"/>
  <c r="BB107" i="1"/>
  <c r="BA107" i="1"/>
  <c r="AC107" i="1"/>
  <c r="AA107" i="1"/>
  <c r="Z107" i="1"/>
  <c r="V107" i="1"/>
  <c r="U107" i="1"/>
  <c r="T107" i="1"/>
  <c r="Q107" i="1"/>
  <c r="P107" i="1"/>
  <c r="O107" i="1"/>
  <c r="R107" i="1" s="1"/>
  <c r="I107" i="1"/>
  <c r="B107" i="1"/>
  <c r="K107" i="1" s="1"/>
  <c r="BC106" i="1"/>
  <c r="BB106" i="1"/>
  <c r="BA106" i="1"/>
  <c r="AC106" i="1"/>
  <c r="AA106" i="1"/>
  <c r="Z106" i="1"/>
  <c r="V106" i="1"/>
  <c r="U106" i="1"/>
  <c r="T106" i="1"/>
  <c r="S106" i="1"/>
  <c r="W106" i="1" s="1"/>
  <c r="Q106" i="1"/>
  <c r="P106" i="1"/>
  <c r="O106" i="1"/>
  <c r="R106" i="1" s="1"/>
  <c r="I106" i="1"/>
  <c r="B106" i="1"/>
  <c r="K106" i="1" s="1"/>
  <c r="BD105" i="1"/>
  <c r="BB105" i="1"/>
  <c r="BA105" i="1"/>
  <c r="AC105" i="1"/>
  <c r="AA105" i="1"/>
  <c r="Z105" i="1"/>
  <c r="V105" i="1"/>
  <c r="U105" i="1"/>
  <c r="T105" i="1"/>
  <c r="Q105" i="1"/>
  <c r="P105" i="1"/>
  <c r="O105" i="1"/>
  <c r="R105" i="1" s="1"/>
  <c r="K105" i="1"/>
  <c r="I105" i="1"/>
  <c r="B105" i="1"/>
  <c r="BE104" i="1"/>
  <c r="BC104" i="1"/>
  <c r="BA104" i="1"/>
  <c r="AC104" i="1"/>
  <c r="AA104" i="1"/>
  <c r="Z104" i="1"/>
  <c r="V104" i="1"/>
  <c r="U104" i="1"/>
  <c r="T104" i="1"/>
  <c r="Q104" i="1"/>
  <c r="P104" i="1"/>
  <c r="O104" i="1"/>
  <c r="R104" i="1" s="1"/>
  <c r="I104" i="1"/>
  <c r="BD104" i="1" s="1"/>
  <c r="B104" i="1"/>
  <c r="BE103" i="1"/>
  <c r="BD103" i="1"/>
  <c r="AC103" i="1"/>
  <c r="AA103" i="1"/>
  <c r="Z103" i="1"/>
  <c r="W103" i="1"/>
  <c r="V103" i="1"/>
  <c r="U103" i="1"/>
  <c r="T103" i="1"/>
  <c r="S103" i="1"/>
  <c r="Q103" i="1"/>
  <c r="P103" i="1"/>
  <c r="O103" i="1"/>
  <c r="R103" i="1" s="1"/>
  <c r="I103" i="1"/>
  <c r="BB103" i="1" s="1"/>
  <c r="B103" i="1"/>
  <c r="BE102" i="1"/>
  <c r="BD102" i="1"/>
  <c r="BC102" i="1"/>
  <c r="BA102" i="1"/>
  <c r="Z102" i="1"/>
  <c r="V102" i="1"/>
  <c r="U102" i="1"/>
  <c r="T102" i="1"/>
  <c r="Q102" i="1"/>
  <c r="P102" i="1"/>
  <c r="O102" i="1"/>
  <c r="R102" i="1" s="1"/>
  <c r="K102" i="1"/>
  <c r="I102" i="1"/>
  <c r="BB102" i="1" s="1"/>
  <c r="B102" i="1"/>
  <c r="BD101" i="1"/>
  <c r="AC101" i="1"/>
  <c r="Z101" i="1"/>
  <c r="V101" i="1"/>
  <c r="U101" i="1"/>
  <c r="T101" i="1"/>
  <c r="Q101" i="1"/>
  <c r="P101" i="1"/>
  <c r="O101" i="1"/>
  <c r="R101" i="1" s="1"/>
  <c r="K101" i="1"/>
  <c r="I101" i="1"/>
  <c r="B101" i="1"/>
  <c r="AC100" i="1"/>
  <c r="Z100" i="1"/>
  <c r="V100" i="1"/>
  <c r="U100" i="1"/>
  <c r="T100" i="1"/>
  <c r="S100" i="1"/>
  <c r="Q100" i="1"/>
  <c r="P100" i="1"/>
  <c r="R100" i="1" s="1"/>
  <c r="O100" i="1"/>
  <c r="K100" i="1"/>
  <c r="I100" i="1"/>
  <c r="B100" i="1"/>
  <c r="BE99" i="1"/>
  <c r="BD99" i="1"/>
  <c r="BC99" i="1"/>
  <c r="BB99" i="1"/>
  <c r="BA99" i="1"/>
  <c r="AC99" i="1"/>
  <c r="AA99" i="1"/>
  <c r="Z99" i="1"/>
  <c r="V99" i="1"/>
  <c r="U99" i="1"/>
  <c r="T99" i="1"/>
  <c r="Q99" i="1"/>
  <c r="P99" i="1"/>
  <c r="O99" i="1"/>
  <c r="R99" i="1" s="1"/>
  <c r="K99" i="1"/>
  <c r="I99" i="1"/>
  <c r="B99" i="1"/>
  <c r="BE98" i="1"/>
  <c r="BD98" i="1"/>
  <c r="BC98" i="1"/>
  <c r="BB98" i="1"/>
  <c r="BA98" i="1"/>
  <c r="AC98" i="1"/>
  <c r="AA98" i="1"/>
  <c r="Z98" i="1"/>
  <c r="V98" i="1"/>
  <c r="U98" i="1"/>
  <c r="T98" i="1"/>
  <c r="S98" i="1"/>
  <c r="W98" i="1" s="1"/>
  <c r="Q98" i="1"/>
  <c r="P98" i="1"/>
  <c r="R98" i="1" s="1"/>
  <c r="O98" i="1"/>
  <c r="K98" i="1"/>
  <c r="I98" i="1"/>
  <c r="B98" i="1"/>
  <c r="BE97" i="1"/>
  <c r="BD97" i="1"/>
  <c r="BC97" i="1"/>
  <c r="BB97" i="1"/>
  <c r="BA97" i="1"/>
  <c r="AY97" i="1"/>
  <c r="J97" i="1"/>
  <c r="I97" i="1"/>
  <c r="B97" i="1"/>
  <c r="BH96" i="1"/>
  <c r="BE96" i="1"/>
  <c r="BC96" i="1"/>
  <c r="AZ96" i="1"/>
  <c r="I96" i="1"/>
  <c r="F96" i="1"/>
  <c r="B96" i="1"/>
  <c r="J96" i="1" s="1"/>
  <c r="J95" i="1"/>
  <c r="I95" i="1"/>
  <c r="B95" i="1"/>
  <c r="AC94" i="1"/>
  <c r="Z94" i="1"/>
  <c r="V94" i="1"/>
  <c r="U94" i="1"/>
  <c r="T94" i="1"/>
  <c r="R94" i="1"/>
  <c r="Q94" i="1"/>
  <c r="P94" i="1"/>
  <c r="O94" i="1"/>
  <c r="I94" i="1"/>
  <c r="B94" i="1"/>
  <c r="BE93" i="1"/>
  <c r="BD93" i="1"/>
  <c r="BC93" i="1"/>
  <c r="BB93" i="1"/>
  <c r="BA93" i="1"/>
  <c r="AZ93" i="1"/>
  <c r="BF93" i="1" s="1"/>
  <c r="BG93" i="1" s="1"/>
  <c r="AY93" i="1"/>
  <c r="I93" i="1"/>
  <c r="B93" i="1"/>
  <c r="J93" i="1" s="1"/>
  <c r="BE92" i="1"/>
  <c r="BD92" i="1"/>
  <c r="BC92" i="1"/>
  <c r="BA92" i="1"/>
  <c r="Z92" i="1"/>
  <c r="V92" i="1"/>
  <c r="U92" i="1"/>
  <c r="T92" i="1"/>
  <c r="Q92" i="1"/>
  <c r="P92" i="1"/>
  <c r="O92" i="1"/>
  <c r="R92" i="1" s="1"/>
  <c r="K92" i="1"/>
  <c r="I92" i="1"/>
  <c r="BB92" i="1" s="1"/>
  <c r="B92" i="1"/>
  <c r="BE91" i="1"/>
  <c r="BD91" i="1"/>
  <c r="BC91" i="1"/>
  <c r="AC91" i="1"/>
  <c r="AA91" i="1"/>
  <c r="Z91" i="1"/>
  <c r="V91" i="1"/>
  <c r="U91" i="1"/>
  <c r="T91" i="1"/>
  <c r="Q91" i="1"/>
  <c r="P91" i="1"/>
  <c r="O91" i="1"/>
  <c r="I91" i="1"/>
  <c r="BB91" i="1" s="1"/>
  <c r="B91" i="1"/>
  <c r="BE90" i="1"/>
  <c r="BD90" i="1"/>
  <c r="BB90" i="1"/>
  <c r="I90" i="1"/>
  <c r="BA90" i="1" s="1"/>
  <c r="B90" i="1"/>
  <c r="J90" i="1" s="1"/>
  <c r="BH89" i="1"/>
  <c r="BC89" i="1"/>
  <c r="J89" i="1"/>
  <c r="I89" i="1"/>
  <c r="F89" i="1"/>
  <c r="B89" i="1"/>
  <c r="I88" i="1"/>
  <c r="B88" i="1"/>
  <c r="J88" i="1" s="1"/>
  <c r="BE87" i="1"/>
  <c r="BD87" i="1"/>
  <c r="BC87" i="1"/>
  <c r="BA87" i="1"/>
  <c r="Z87" i="1"/>
  <c r="V87" i="1"/>
  <c r="U87" i="1"/>
  <c r="T87" i="1"/>
  <c r="Q87" i="1"/>
  <c r="P87" i="1"/>
  <c r="R87" i="1" s="1"/>
  <c r="O87" i="1"/>
  <c r="K87" i="1"/>
  <c r="I87" i="1"/>
  <c r="BB87" i="1" s="1"/>
  <c r="B87" i="1"/>
  <c r="AC86" i="1"/>
  <c r="AA86" i="1"/>
  <c r="Z86" i="1"/>
  <c r="W86" i="1"/>
  <c r="V86" i="1"/>
  <c r="U86" i="1"/>
  <c r="T86" i="1"/>
  <c r="Q86" i="1"/>
  <c r="P86" i="1"/>
  <c r="O86" i="1"/>
  <c r="R86" i="1" s="1"/>
  <c r="I86" i="1"/>
  <c r="B86" i="1"/>
  <c r="S86" i="1" s="1"/>
  <c r="I85" i="1"/>
  <c r="B85" i="1"/>
  <c r="J85" i="1" s="1"/>
  <c r="BE84" i="1"/>
  <c r="BC84" i="1"/>
  <c r="BA84" i="1"/>
  <c r="AC84" i="1"/>
  <c r="AA84" i="1"/>
  <c r="Z84" i="1"/>
  <c r="V84" i="1"/>
  <c r="U84" i="1"/>
  <c r="T84" i="1"/>
  <c r="R84" i="1"/>
  <c r="Q84" i="1"/>
  <c r="P84" i="1"/>
  <c r="O84" i="1"/>
  <c r="I84" i="1"/>
  <c r="BD84" i="1" s="1"/>
  <c r="B84" i="1"/>
  <c r="BE83" i="1"/>
  <c r="BB83" i="1"/>
  <c r="AC83" i="1"/>
  <c r="AA83" i="1"/>
  <c r="Z83" i="1"/>
  <c r="V83" i="1"/>
  <c r="U83" i="1"/>
  <c r="T83" i="1"/>
  <c r="Q83" i="1"/>
  <c r="P83" i="1"/>
  <c r="O83" i="1"/>
  <c r="I83" i="1"/>
  <c r="BD83" i="1" s="1"/>
  <c r="B83" i="1"/>
  <c r="BE82" i="1"/>
  <c r="BD82" i="1"/>
  <c r="BC82" i="1"/>
  <c r="BA82" i="1"/>
  <c r="Z82" i="1"/>
  <c r="V82" i="1"/>
  <c r="U82" i="1"/>
  <c r="T82" i="1"/>
  <c r="Q82" i="1"/>
  <c r="P82" i="1"/>
  <c r="R82" i="1" s="1"/>
  <c r="O82" i="1"/>
  <c r="K82" i="1"/>
  <c r="I82" i="1"/>
  <c r="BB82" i="1" s="1"/>
  <c r="B82" i="1"/>
  <c r="BH81" i="1"/>
  <c r="BE81" i="1"/>
  <c r="J81" i="1"/>
  <c r="I81" i="1"/>
  <c r="F81" i="1"/>
  <c r="B81" i="1"/>
  <c r="J80" i="1"/>
  <c r="I80" i="1"/>
  <c r="F80" i="1"/>
  <c r="BH80" i="1" s="1"/>
  <c r="B80" i="1"/>
  <c r="BE79" i="1"/>
  <c r="BD79" i="1"/>
  <c r="BC79" i="1"/>
  <c r="BB79" i="1"/>
  <c r="BA79" i="1"/>
  <c r="I79" i="1"/>
  <c r="AY79" i="1" s="1"/>
  <c r="F79" i="1"/>
  <c r="BH79" i="1" s="1"/>
  <c r="B79" i="1"/>
  <c r="J79" i="1" s="1"/>
  <c r="BE78" i="1"/>
  <c r="BD78" i="1"/>
  <c r="BB78" i="1"/>
  <c r="AZ78" i="1"/>
  <c r="AY78" i="1"/>
  <c r="I78" i="1"/>
  <c r="F78" i="1"/>
  <c r="BH78" i="1" s="1"/>
  <c r="B78" i="1"/>
  <c r="J78" i="1" s="1"/>
  <c r="BE77" i="1"/>
  <c r="BD77" i="1"/>
  <c r="BC77" i="1"/>
  <c r="BB77" i="1"/>
  <c r="BA77" i="1"/>
  <c r="AY77" i="1"/>
  <c r="J77" i="1"/>
  <c r="I77" i="1"/>
  <c r="B77" i="1"/>
  <c r="J76" i="1"/>
  <c r="I76" i="1"/>
  <c r="F76" i="1"/>
  <c r="BH76" i="1" s="1"/>
  <c r="B76" i="1"/>
  <c r="BD75" i="1"/>
  <c r="BB75" i="1"/>
  <c r="BA75" i="1"/>
  <c r="AZ75" i="1"/>
  <c r="AY75" i="1"/>
  <c r="J75" i="1"/>
  <c r="I75" i="1"/>
  <c r="F75" i="1"/>
  <c r="BH75" i="1" s="1"/>
  <c r="B75" i="1"/>
  <c r="BE74" i="1"/>
  <c r="BD74" i="1"/>
  <c r="BC74" i="1"/>
  <c r="BB74" i="1"/>
  <c r="BA74" i="1"/>
  <c r="J74" i="1"/>
  <c r="I74" i="1"/>
  <c r="AY74" i="1" s="1"/>
  <c r="F74" i="1"/>
  <c r="BH74" i="1" s="1"/>
  <c r="B74" i="1"/>
  <c r="BE73" i="1"/>
  <c r="BD73" i="1"/>
  <c r="I73" i="1"/>
  <c r="BB73" i="1" s="1"/>
  <c r="B73" i="1"/>
  <c r="J73" i="1" s="1"/>
  <c r="BH72" i="1"/>
  <c r="BF72" i="1"/>
  <c r="BE72" i="1"/>
  <c r="BD72" i="1"/>
  <c r="BC72" i="1"/>
  <c r="BB72" i="1"/>
  <c r="BA72" i="1"/>
  <c r="AZ72" i="1"/>
  <c r="AY72" i="1"/>
  <c r="J72" i="1"/>
  <c r="I72" i="1"/>
  <c r="BG72" i="1" s="1"/>
  <c r="F72" i="1"/>
  <c r="B72" i="1"/>
  <c r="I71" i="1"/>
  <c r="B71" i="1"/>
  <c r="J71" i="1" s="1"/>
  <c r="BD70" i="1"/>
  <c r="J70" i="1"/>
  <c r="I70" i="1"/>
  <c r="BB70" i="1" s="1"/>
  <c r="F70" i="1"/>
  <c r="BH70" i="1" s="1"/>
  <c r="B70" i="1"/>
  <c r="BF69" i="1"/>
  <c r="BE69" i="1"/>
  <c r="BD69" i="1"/>
  <c r="BC69" i="1"/>
  <c r="BB69" i="1"/>
  <c r="BA69" i="1"/>
  <c r="AZ69" i="1"/>
  <c r="I69" i="1"/>
  <c r="AY69" i="1" s="1"/>
  <c r="F69" i="1"/>
  <c r="BH69" i="1" s="1"/>
  <c r="B69" i="1"/>
  <c r="J69" i="1" s="1"/>
  <c r="BH68" i="1"/>
  <c r="I68" i="1"/>
  <c r="F68" i="1"/>
  <c r="B68" i="1"/>
  <c r="J68" i="1" s="1"/>
  <c r="BE67" i="1"/>
  <c r="BD67" i="1"/>
  <c r="BF67" i="1" s="1"/>
  <c r="BC67" i="1"/>
  <c r="BB67" i="1"/>
  <c r="BA67" i="1"/>
  <c r="AZ67" i="1"/>
  <c r="AY67" i="1"/>
  <c r="J67" i="1"/>
  <c r="I67" i="1"/>
  <c r="F67" i="1"/>
  <c r="BH67" i="1" s="1"/>
  <c r="B67" i="1"/>
  <c r="AC66" i="1"/>
  <c r="AA66" i="1"/>
  <c r="Z66" i="1"/>
  <c r="V66" i="1"/>
  <c r="U66" i="1"/>
  <c r="T66" i="1"/>
  <c r="Q66" i="1"/>
  <c r="P66" i="1"/>
  <c r="O66" i="1"/>
  <c r="R66" i="1" s="1"/>
  <c r="I66" i="1"/>
  <c r="B66" i="1"/>
  <c r="BE65" i="1"/>
  <c r="BD65" i="1"/>
  <c r="BC65" i="1"/>
  <c r="BB65" i="1"/>
  <c r="BA65" i="1"/>
  <c r="AC65" i="1"/>
  <c r="Z65" i="1"/>
  <c r="V65" i="1"/>
  <c r="U65" i="1"/>
  <c r="T65" i="1"/>
  <c r="Q65" i="1"/>
  <c r="P65" i="1"/>
  <c r="R65" i="1" s="1"/>
  <c r="O65" i="1"/>
  <c r="K65" i="1"/>
  <c r="I65" i="1"/>
  <c r="B65" i="1"/>
  <c r="BE64" i="1"/>
  <c r="BD64" i="1"/>
  <c r="BC64" i="1"/>
  <c r="BA64" i="1"/>
  <c r="AC64" i="1"/>
  <c r="AA64" i="1"/>
  <c r="Z64" i="1"/>
  <c r="V64" i="1"/>
  <c r="U64" i="1"/>
  <c r="T64" i="1"/>
  <c r="Q64" i="1"/>
  <c r="P64" i="1"/>
  <c r="O64" i="1"/>
  <c r="R64" i="1" s="1"/>
  <c r="I64" i="1"/>
  <c r="BB64" i="1" s="1"/>
  <c r="B64" i="1"/>
  <c r="BE63" i="1"/>
  <c r="BD63" i="1"/>
  <c r="BB63" i="1"/>
  <c r="AC63" i="1"/>
  <c r="AA63" i="1"/>
  <c r="Z63" i="1"/>
  <c r="V63" i="1"/>
  <c r="U63" i="1"/>
  <c r="T63" i="1"/>
  <c r="Q63" i="1"/>
  <c r="P63" i="1"/>
  <c r="R63" i="1" s="1"/>
  <c r="O63" i="1"/>
  <c r="I63" i="1"/>
  <c r="BA63" i="1" s="1"/>
  <c r="B63" i="1"/>
  <c r="BD62" i="1"/>
  <c r="BB62" i="1"/>
  <c r="AC62" i="1"/>
  <c r="AA62" i="1"/>
  <c r="Z62" i="1"/>
  <c r="V62" i="1"/>
  <c r="U62" i="1"/>
  <c r="T62" i="1"/>
  <c r="R62" i="1"/>
  <c r="Q62" i="1"/>
  <c r="P62" i="1"/>
  <c r="O62" i="1"/>
  <c r="I62" i="1"/>
  <c r="BC62" i="1" s="1"/>
  <c r="B62" i="1"/>
  <c r="BE61" i="1"/>
  <c r="BB61" i="1"/>
  <c r="AC61" i="1"/>
  <c r="AA61" i="1"/>
  <c r="Z61" i="1"/>
  <c r="V61" i="1"/>
  <c r="U61" i="1"/>
  <c r="T61" i="1"/>
  <c r="R61" i="1"/>
  <c r="Q61" i="1"/>
  <c r="P61" i="1"/>
  <c r="O61" i="1"/>
  <c r="I61" i="1"/>
  <c r="BD61" i="1" s="1"/>
  <c r="B61" i="1"/>
  <c r="BB60" i="1"/>
  <c r="AC60" i="1"/>
  <c r="AA60" i="1"/>
  <c r="Z60" i="1"/>
  <c r="V60" i="1"/>
  <c r="U60" i="1"/>
  <c r="T60" i="1"/>
  <c r="Q60" i="1"/>
  <c r="R60" i="1" s="1"/>
  <c r="P60" i="1"/>
  <c r="O60" i="1"/>
  <c r="I60" i="1"/>
  <c r="B60" i="1"/>
  <c r="BE59" i="1"/>
  <c r="AC59" i="1"/>
  <c r="AA59" i="1"/>
  <c r="Z59" i="1"/>
  <c r="V59" i="1"/>
  <c r="U59" i="1"/>
  <c r="T59" i="1"/>
  <c r="Q59" i="1"/>
  <c r="P59" i="1"/>
  <c r="O59" i="1"/>
  <c r="R59" i="1" s="1"/>
  <c r="I59" i="1"/>
  <c r="B59" i="1"/>
  <c r="K59" i="1" s="1"/>
  <c r="BE58" i="1"/>
  <c r="BD58" i="1"/>
  <c r="BB58" i="1"/>
  <c r="BA58" i="1"/>
  <c r="AC58" i="1"/>
  <c r="AA58" i="1"/>
  <c r="Z58" i="1"/>
  <c r="V58" i="1"/>
  <c r="U58" i="1"/>
  <c r="T58" i="1"/>
  <c r="Q58" i="1"/>
  <c r="R58" i="1" s="1"/>
  <c r="P58" i="1"/>
  <c r="O58" i="1"/>
  <c r="I58" i="1"/>
  <c r="BC58" i="1" s="1"/>
  <c r="B58" i="1"/>
  <c r="BE57" i="1"/>
  <c r="BD57" i="1"/>
  <c r="BC57" i="1"/>
  <c r="BA57" i="1"/>
  <c r="AA57" i="1"/>
  <c r="Z57" i="1"/>
  <c r="V57" i="1"/>
  <c r="U57" i="1"/>
  <c r="T57" i="1"/>
  <c r="R57" i="1"/>
  <c r="Q57" i="1"/>
  <c r="P57" i="1"/>
  <c r="O57" i="1"/>
  <c r="K57" i="1"/>
  <c r="I57" i="1"/>
  <c r="BB57" i="1" s="1"/>
  <c r="B57" i="1"/>
  <c r="BE56" i="1"/>
  <c r="BD56" i="1"/>
  <c r="BC56" i="1"/>
  <c r="BB56" i="1"/>
  <c r="AC56" i="1"/>
  <c r="AA56" i="1"/>
  <c r="Z56" i="1"/>
  <c r="V56" i="1"/>
  <c r="U56" i="1"/>
  <c r="T56" i="1"/>
  <c r="Q56" i="1"/>
  <c r="P56" i="1"/>
  <c r="O56" i="1"/>
  <c r="R56" i="1" s="1"/>
  <c r="K56" i="1"/>
  <c r="I56" i="1"/>
  <c r="BA56" i="1" s="1"/>
  <c r="B56" i="1"/>
  <c r="AC55" i="1"/>
  <c r="Z55" i="1"/>
  <c r="V55" i="1"/>
  <c r="U55" i="1"/>
  <c r="T55" i="1"/>
  <c r="Q55" i="1"/>
  <c r="P55" i="1"/>
  <c r="R55" i="1" s="1"/>
  <c r="O55" i="1"/>
  <c r="K55" i="1"/>
  <c r="I55" i="1"/>
  <c r="B55" i="1"/>
  <c r="BB54" i="1"/>
  <c r="BA54" i="1"/>
  <c r="AC54" i="1"/>
  <c r="AA54" i="1"/>
  <c r="Z54" i="1"/>
  <c r="V54" i="1"/>
  <c r="U54" i="1"/>
  <c r="T54" i="1"/>
  <c r="Q54" i="1"/>
  <c r="P54" i="1"/>
  <c r="O54" i="1"/>
  <c r="R54" i="1" s="1"/>
  <c r="I54" i="1"/>
  <c r="B54" i="1"/>
  <c r="BD53" i="1"/>
  <c r="BC53" i="1"/>
  <c r="BB53" i="1"/>
  <c r="BA53" i="1"/>
  <c r="AC53" i="1"/>
  <c r="AA53" i="1"/>
  <c r="Z53" i="1"/>
  <c r="V53" i="1"/>
  <c r="U53" i="1"/>
  <c r="T53" i="1"/>
  <c r="R53" i="1"/>
  <c r="Q53" i="1"/>
  <c r="P53" i="1"/>
  <c r="O53" i="1"/>
  <c r="K53" i="1"/>
  <c r="I53" i="1"/>
  <c r="BE53" i="1" s="1"/>
  <c r="B53" i="1"/>
  <c r="BE52" i="1"/>
  <c r="BD52" i="1"/>
  <c r="BC52" i="1"/>
  <c r="BB52" i="1"/>
  <c r="BA52" i="1"/>
  <c r="AC52" i="1"/>
  <c r="AA52" i="1"/>
  <c r="Z52" i="1"/>
  <c r="V52" i="1"/>
  <c r="U52" i="1"/>
  <c r="T52" i="1"/>
  <c r="Q52" i="1"/>
  <c r="P52" i="1"/>
  <c r="O52" i="1"/>
  <c r="R52" i="1" s="1"/>
  <c r="C10" i="2" s="1"/>
  <c r="I52" i="1"/>
  <c r="B52" i="1"/>
  <c r="I51" i="1"/>
  <c r="AY51" i="1" s="1"/>
  <c r="B51" i="1"/>
  <c r="J51" i="1" s="1"/>
  <c r="BB50" i="1"/>
  <c r="I50" i="1"/>
  <c r="B50" i="1"/>
  <c r="J50" i="1" s="1"/>
  <c r="BE49" i="1"/>
  <c r="BC49" i="1"/>
  <c r="BB49" i="1"/>
  <c r="BA49" i="1"/>
  <c r="AZ49" i="1"/>
  <c r="J49" i="1"/>
  <c r="I49" i="1"/>
  <c r="BD49" i="1" s="1"/>
  <c r="F49" i="1"/>
  <c r="BH49" i="1" s="1"/>
  <c r="B49" i="1"/>
  <c r="BE48" i="1"/>
  <c r="BD48" i="1"/>
  <c r="BC48" i="1"/>
  <c r="BA48" i="1"/>
  <c r="I48" i="1"/>
  <c r="AY48" i="1" s="1"/>
  <c r="F48" i="1"/>
  <c r="BH48" i="1" s="1"/>
  <c r="B48" i="1"/>
  <c r="J48" i="1" s="1"/>
  <c r="BH47" i="1"/>
  <c r="BD47" i="1"/>
  <c r="AZ47" i="1"/>
  <c r="AY47" i="1"/>
  <c r="J47" i="1"/>
  <c r="I47" i="1"/>
  <c r="F47" i="1"/>
  <c r="B47" i="1"/>
  <c r="BE46" i="1"/>
  <c r="BD46" i="1"/>
  <c r="BC46" i="1"/>
  <c r="BB46" i="1"/>
  <c r="BA46" i="1"/>
  <c r="AZ46" i="1"/>
  <c r="AY46" i="1"/>
  <c r="I46" i="1"/>
  <c r="B46" i="1"/>
  <c r="J46" i="1" s="1"/>
  <c r="BE45" i="1"/>
  <c r="BD45" i="1"/>
  <c r="BC45" i="1"/>
  <c r="BB45" i="1"/>
  <c r="BA45" i="1"/>
  <c r="J45" i="1"/>
  <c r="I45" i="1"/>
  <c r="AY45" i="1" s="1"/>
  <c r="B45" i="1"/>
  <c r="I44" i="1"/>
  <c r="F44" i="1"/>
  <c r="BH44" i="1" s="1"/>
  <c r="B44" i="1"/>
  <c r="J44" i="1" s="1"/>
  <c r="AZ43" i="1"/>
  <c r="I43" i="1"/>
  <c r="B43" i="1"/>
  <c r="J43" i="1" s="1"/>
  <c r="BE42" i="1"/>
  <c r="BD42" i="1"/>
  <c r="BC42" i="1"/>
  <c r="BA42" i="1"/>
  <c r="AY42" i="1"/>
  <c r="J42" i="1"/>
  <c r="I42" i="1"/>
  <c r="BB42" i="1" s="1"/>
  <c r="B42" i="1"/>
  <c r="BH41" i="1"/>
  <c r="BE41" i="1"/>
  <c r="BD41" i="1"/>
  <c r="BC41" i="1"/>
  <c r="BB41" i="1"/>
  <c r="BA41" i="1"/>
  <c r="AY41" i="1"/>
  <c r="I41" i="1"/>
  <c r="F41" i="1"/>
  <c r="B41" i="1"/>
  <c r="J41" i="1" s="1"/>
  <c r="I40" i="1"/>
  <c r="F40" i="1"/>
  <c r="BH40" i="1" s="1"/>
  <c r="B40" i="1"/>
  <c r="J40" i="1" s="1"/>
  <c r="BH39" i="1"/>
  <c r="AZ39" i="1"/>
  <c r="I39" i="1"/>
  <c r="F39" i="1"/>
  <c r="B39" i="1"/>
  <c r="J39" i="1" s="1"/>
  <c r="BD38" i="1"/>
  <c r="BC38" i="1"/>
  <c r="AZ38" i="1"/>
  <c r="I38" i="1"/>
  <c r="B38" i="1"/>
  <c r="J38" i="1" s="1"/>
  <c r="BE37" i="1"/>
  <c r="BD37" i="1"/>
  <c r="BC37" i="1"/>
  <c r="I37" i="1"/>
  <c r="BB37" i="1" s="1"/>
  <c r="F37" i="1"/>
  <c r="BH37" i="1" s="1"/>
  <c r="B37" i="1"/>
  <c r="J37" i="1" s="1"/>
  <c r="BE36" i="1"/>
  <c r="BC36" i="1"/>
  <c r="AC36" i="1"/>
  <c r="Z36" i="1"/>
  <c r="V36" i="1"/>
  <c r="U36" i="1"/>
  <c r="T36" i="1"/>
  <c r="S36" i="1"/>
  <c r="W36" i="1" s="1"/>
  <c r="Q36" i="1"/>
  <c r="P36" i="1"/>
  <c r="O36" i="1"/>
  <c r="K36" i="1"/>
  <c r="I36" i="1"/>
  <c r="B36" i="1"/>
  <c r="BD35" i="1"/>
  <c r="BC35" i="1"/>
  <c r="BB35" i="1"/>
  <c r="BA35" i="1"/>
  <c r="AC35" i="1"/>
  <c r="AA35" i="1"/>
  <c r="Z35" i="1"/>
  <c r="V35" i="1"/>
  <c r="U35" i="1"/>
  <c r="T35" i="1"/>
  <c r="R35" i="1"/>
  <c r="Q35" i="1"/>
  <c r="P35" i="1"/>
  <c r="O35" i="1"/>
  <c r="I35" i="1"/>
  <c r="BE35" i="1" s="1"/>
  <c r="B35" i="1"/>
  <c r="AC34" i="1"/>
  <c r="AA34" i="1"/>
  <c r="Z34" i="1"/>
  <c r="V34" i="1"/>
  <c r="U34" i="1"/>
  <c r="T34" i="1"/>
  <c r="W34" i="1" s="1"/>
  <c r="S34" i="1"/>
  <c r="Q34" i="1"/>
  <c r="P34" i="1"/>
  <c r="O34" i="1"/>
  <c r="R34" i="1" s="1"/>
  <c r="I34" i="1"/>
  <c r="B34" i="1"/>
  <c r="BE33" i="1"/>
  <c r="BD33" i="1"/>
  <c r="BB33" i="1"/>
  <c r="BA33" i="1"/>
  <c r="AC33" i="1"/>
  <c r="AA33" i="1"/>
  <c r="Z33" i="1"/>
  <c r="V33" i="1"/>
  <c r="U33" i="1"/>
  <c r="T33" i="1"/>
  <c r="Q33" i="1"/>
  <c r="P33" i="1"/>
  <c r="O33" i="1"/>
  <c r="R33" i="1" s="1"/>
  <c r="I33" i="1"/>
  <c r="BC33" i="1" s="1"/>
  <c r="B33" i="1"/>
  <c r="BE32" i="1"/>
  <c r="BD32" i="1"/>
  <c r="BC32" i="1"/>
  <c r="BA32" i="1"/>
  <c r="AA32" i="1"/>
  <c r="Z32" i="1"/>
  <c r="V32" i="1"/>
  <c r="U32" i="1"/>
  <c r="T32" i="1"/>
  <c r="Q32" i="1"/>
  <c r="P32" i="1"/>
  <c r="R32" i="1" s="1"/>
  <c r="O32" i="1"/>
  <c r="K32" i="1"/>
  <c r="I32" i="1"/>
  <c r="BB32" i="1" s="1"/>
  <c r="B32" i="1"/>
  <c r="BE31" i="1"/>
  <c r="BD31" i="1"/>
  <c r="BC31" i="1"/>
  <c r="BB31" i="1"/>
  <c r="AC31" i="1"/>
  <c r="AA31" i="1"/>
  <c r="Z31" i="1"/>
  <c r="V31" i="1"/>
  <c r="U31" i="1"/>
  <c r="T31" i="1"/>
  <c r="Q31" i="1"/>
  <c r="P31" i="1"/>
  <c r="O31" i="1"/>
  <c r="K31" i="1"/>
  <c r="I31" i="1"/>
  <c r="BA31" i="1" s="1"/>
  <c r="B31" i="1"/>
  <c r="BE30" i="1"/>
  <c r="BD30" i="1"/>
  <c r="BB30" i="1"/>
  <c r="AC30" i="1"/>
  <c r="Z30" i="1"/>
  <c r="V30" i="1"/>
  <c r="U30" i="1"/>
  <c r="T30" i="1"/>
  <c r="S30" i="1"/>
  <c r="W30" i="1" s="1"/>
  <c r="R30" i="1"/>
  <c r="Q30" i="1"/>
  <c r="P30" i="1"/>
  <c r="O30" i="1"/>
  <c r="K30" i="1"/>
  <c r="I30" i="1"/>
  <c r="B30" i="1"/>
  <c r="BD29" i="1"/>
  <c r="BC29" i="1"/>
  <c r="AC29" i="1"/>
  <c r="AA29" i="1"/>
  <c r="Z29" i="1"/>
  <c r="V29" i="1"/>
  <c r="U29" i="1"/>
  <c r="T29" i="1"/>
  <c r="S29" i="1"/>
  <c r="W29" i="1" s="1"/>
  <c r="R29" i="1"/>
  <c r="Q29" i="1"/>
  <c r="P29" i="1"/>
  <c r="O29" i="1"/>
  <c r="I29" i="1"/>
  <c r="BB29" i="1" s="1"/>
  <c r="B29" i="1"/>
  <c r="BD28" i="1"/>
  <c r="BC28" i="1"/>
  <c r="BB28" i="1"/>
  <c r="BA28" i="1"/>
  <c r="AC28" i="1"/>
  <c r="AA28" i="1"/>
  <c r="Z28" i="1"/>
  <c r="V28" i="1"/>
  <c r="U28" i="1"/>
  <c r="T28" i="1"/>
  <c r="R28" i="1"/>
  <c r="Q28" i="1"/>
  <c r="P28" i="1"/>
  <c r="O28" i="1"/>
  <c r="K28" i="1"/>
  <c r="I28" i="1"/>
  <c r="BE28" i="1" s="1"/>
  <c r="B28" i="1"/>
  <c r="BE27" i="1"/>
  <c r="BD27" i="1"/>
  <c r="BC27" i="1"/>
  <c r="BB27" i="1"/>
  <c r="BA27" i="1"/>
  <c r="AC27" i="1"/>
  <c r="AA27" i="1"/>
  <c r="Z27" i="1"/>
  <c r="V27" i="1"/>
  <c r="U27" i="1"/>
  <c r="T27" i="1"/>
  <c r="S27" i="1"/>
  <c r="W27" i="1" s="1"/>
  <c r="Q27" i="1"/>
  <c r="P27" i="1"/>
  <c r="R27" i="1" s="1"/>
  <c r="O27" i="1"/>
  <c r="I27" i="1"/>
  <c r="B27" i="1"/>
  <c r="BE26" i="1"/>
  <c r="BC26" i="1"/>
  <c r="AC26" i="1"/>
  <c r="Z26" i="1"/>
  <c r="V26" i="1"/>
  <c r="U26" i="1"/>
  <c r="T26" i="1"/>
  <c r="S26" i="1"/>
  <c r="W26" i="1" s="1"/>
  <c r="Q26" i="1"/>
  <c r="P26" i="1"/>
  <c r="O26" i="1"/>
  <c r="I26" i="1"/>
  <c r="B26" i="1"/>
  <c r="BD25" i="1"/>
  <c r="BC25" i="1"/>
  <c r="BB25" i="1"/>
  <c r="BA25" i="1"/>
  <c r="AC25" i="1"/>
  <c r="AA25" i="1"/>
  <c r="Z25" i="1"/>
  <c r="V25" i="1"/>
  <c r="U25" i="1"/>
  <c r="T25" i="1"/>
  <c r="R25" i="1"/>
  <c r="Q25" i="1"/>
  <c r="P25" i="1"/>
  <c r="O25" i="1"/>
  <c r="I25" i="1"/>
  <c r="BE25" i="1" s="1"/>
  <c r="B25" i="1"/>
  <c r="AC24" i="1"/>
  <c r="AA24" i="1"/>
  <c r="Z24" i="1"/>
  <c r="V24" i="1"/>
  <c r="U24" i="1"/>
  <c r="T24" i="1"/>
  <c r="Q24" i="1"/>
  <c r="P24" i="1"/>
  <c r="O24" i="1"/>
  <c r="R24" i="1" s="1"/>
  <c r="I24" i="1"/>
  <c r="B24" i="1"/>
  <c r="BE23" i="1"/>
  <c r="BD23" i="1"/>
  <c r="BB23" i="1"/>
  <c r="BA23" i="1"/>
  <c r="AC23" i="1"/>
  <c r="AA23" i="1"/>
  <c r="Z23" i="1"/>
  <c r="V23" i="1"/>
  <c r="U23" i="1"/>
  <c r="T23" i="1"/>
  <c r="Q23" i="1"/>
  <c r="P23" i="1"/>
  <c r="O23" i="1"/>
  <c r="R23" i="1" s="1"/>
  <c r="I23" i="1"/>
  <c r="BC23" i="1" s="1"/>
  <c r="B23" i="1"/>
  <c r="BE22" i="1"/>
  <c r="BD22" i="1"/>
  <c r="BC22" i="1"/>
  <c r="BA22" i="1"/>
  <c r="AA22" i="1"/>
  <c r="Z22" i="1"/>
  <c r="V22" i="1"/>
  <c r="U22" i="1"/>
  <c r="T22" i="1"/>
  <c r="Q22" i="1"/>
  <c r="P22" i="1"/>
  <c r="R22" i="1" s="1"/>
  <c r="O22" i="1"/>
  <c r="K22" i="1"/>
  <c r="I22" i="1"/>
  <c r="BB22" i="1" s="1"/>
  <c r="B22" i="1"/>
  <c r="BE21" i="1"/>
  <c r="BD21" i="1"/>
  <c r="BC21" i="1"/>
  <c r="BB21" i="1"/>
  <c r="AC21" i="1"/>
  <c r="AA21" i="1"/>
  <c r="Z21" i="1"/>
  <c r="V21" i="1"/>
  <c r="U21" i="1"/>
  <c r="T21" i="1"/>
  <c r="Q21" i="1"/>
  <c r="P21" i="1"/>
  <c r="O21" i="1"/>
  <c r="K21" i="1"/>
  <c r="I21" i="1"/>
  <c r="BA21" i="1" s="1"/>
  <c r="B21" i="1"/>
  <c r="BE20" i="1"/>
  <c r="BD20" i="1"/>
  <c r="BB20" i="1"/>
  <c r="AC20" i="1"/>
  <c r="Z20" i="1"/>
  <c r="V20" i="1"/>
  <c r="U20" i="1"/>
  <c r="T20" i="1"/>
  <c r="S20" i="1"/>
  <c r="W20" i="1" s="1"/>
  <c r="R20" i="1"/>
  <c r="Q20" i="1"/>
  <c r="P20" i="1"/>
  <c r="O20" i="1"/>
  <c r="K20" i="1"/>
  <c r="I20" i="1"/>
  <c r="B20" i="1"/>
  <c r="BD19" i="1"/>
  <c r="BC19" i="1"/>
  <c r="BB19" i="1"/>
  <c r="I19" i="1"/>
  <c r="B19" i="1"/>
  <c r="J19" i="1" s="1"/>
  <c r="BE18" i="1"/>
  <c r="BD18" i="1"/>
  <c r="BB18" i="1"/>
  <c r="I18" i="1"/>
  <c r="BC18" i="1" s="1"/>
  <c r="B18" i="1"/>
  <c r="J18" i="1" s="1"/>
  <c r="BE17" i="1"/>
  <c r="BC17" i="1"/>
  <c r="AC17" i="1"/>
  <c r="Z17" i="1"/>
  <c r="V17" i="1"/>
  <c r="U17" i="1"/>
  <c r="T17" i="1"/>
  <c r="S17" i="1"/>
  <c r="W17" i="1" s="1"/>
  <c r="Q17" i="1"/>
  <c r="P17" i="1"/>
  <c r="O17" i="1"/>
  <c r="I17" i="1"/>
  <c r="B17" i="1"/>
  <c r="BE16" i="1"/>
  <c r="BD16" i="1"/>
  <c r="BC16" i="1"/>
  <c r="BB16" i="1"/>
  <c r="BA16" i="1"/>
  <c r="AC16" i="1"/>
  <c r="AA16" i="1"/>
  <c r="Z16" i="1"/>
  <c r="V16" i="1"/>
  <c r="U16" i="1"/>
  <c r="T16" i="1"/>
  <c r="Q16" i="1"/>
  <c r="P16" i="1"/>
  <c r="O16" i="1"/>
  <c r="I16" i="1"/>
  <c r="B16" i="1"/>
  <c r="S16" i="1" s="1"/>
  <c r="AC15" i="1"/>
  <c r="Z15" i="1"/>
  <c r="V15" i="1"/>
  <c r="U15" i="1"/>
  <c r="T15" i="1"/>
  <c r="R15" i="1"/>
  <c r="Q15" i="1"/>
  <c r="P15" i="1"/>
  <c r="O15" i="1"/>
  <c r="I15" i="1"/>
  <c r="BC15" i="1" s="1"/>
  <c r="B15" i="1"/>
  <c r="BE14" i="1"/>
  <c r="BC14" i="1"/>
  <c r="BB14" i="1"/>
  <c r="BA14" i="1"/>
  <c r="AC14" i="1"/>
  <c r="AA14" i="1"/>
  <c r="Z14" i="1"/>
  <c r="V14" i="1"/>
  <c r="U14" i="1"/>
  <c r="T14" i="1"/>
  <c r="Q14" i="1"/>
  <c r="P14" i="1"/>
  <c r="O14" i="1"/>
  <c r="R14" i="1" s="1"/>
  <c r="I14" i="1"/>
  <c r="BD14" i="1" s="1"/>
  <c r="B14" i="1"/>
  <c r="AK12" i="1"/>
  <c r="AJ12" i="1"/>
  <c r="AI12" i="1"/>
  <c r="AH12" i="1"/>
  <c r="AC12" i="1"/>
  <c r="AC358" i="1" s="1"/>
  <c r="AB12" i="1"/>
  <c r="AA12" i="1"/>
  <c r="AA389" i="1" s="1"/>
  <c r="AB389" i="1" l="1"/>
  <c r="AB278" i="1"/>
  <c r="AB148" i="1"/>
  <c r="AB138" i="1"/>
  <c r="AB128" i="1"/>
  <c r="AB123" i="1"/>
  <c r="AB118" i="1"/>
  <c r="AB381" i="1"/>
  <c r="AB354" i="1"/>
  <c r="AB301" i="1"/>
  <c r="AB281" i="1"/>
  <c r="AD281" i="1" s="1"/>
  <c r="AB146" i="1"/>
  <c r="AB136" i="1"/>
  <c r="AB111" i="1"/>
  <c r="AB101" i="1"/>
  <c r="AB91" i="1"/>
  <c r="AD91" i="1" s="1"/>
  <c r="AB86" i="1"/>
  <c r="AB66" i="1"/>
  <c r="AB56" i="1"/>
  <c r="AB31" i="1"/>
  <c r="AB21" i="1"/>
  <c r="AB364" i="1"/>
  <c r="AB356" i="1"/>
  <c r="AB305" i="1"/>
  <c r="AB113" i="1"/>
  <c r="AD113" i="1" s="1"/>
  <c r="AB103" i="1"/>
  <c r="AB83" i="1"/>
  <c r="AB116" i="1"/>
  <c r="AB115" i="1"/>
  <c r="AB109" i="1"/>
  <c r="AB94" i="1"/>
  <c r="AB53" i="1"/>
  <c r="AB28" i="1"/>
  <c r="AB145" i="1"/>
  <c r="AB92" i="1"/>
  <c r="AB14" i="1"/>
  <c r="AB383" i="1"/>
  <c r="AB263" i="1"/>
  <c r="AB151" i="1"/>
  <c r="AB150" i="1"/>
  <c r="AB130" i="1"/>
  <c r="AD130" i="1" s="1"/>
  <c r="AB108" i="1"/>
  <c r="AD108" i="1" s="1"/>
  <c r="AB107" i="1"/>
  <c r="AD107" i="1" s="1"/>
  <c r="AB106" i="1"/>
  <c r="AB105" i="1"/>
  <c r="AB99" i="1"/>
  <c r="AD99" i="1" s="1"/>
  <c r="AB141" i="1"/>
  <c r="AB140" i="1"/>
  <c r="AB98" i="1"/>
  <c r="AB359" i="1"/>
  <c r="AB302" i="1"/>
  <c r="AB300" i="1"/>
  <c r="AB260" i="1"/>
  <c r="AB134" i="1"/>
  <c r="AB117" i="1"/>
  <c r="AB114" i="1"/>
  <c r="AD114" i="1" s="1"/>
  <c r="AB149" i="1"/>
  <c r="AB122" i="1"/>
  <c r="AB110" i="1"/>
  <c r="AB59" i="1"/>
  <c r="AD59" i="1" s="1"/>
  <c r="AB57" i="1"/>
  <c r="AB55" i="1"/>
  <c r="AB34" i="1"/>
  <c r="AB32" i="1"/>
  <c r="AD32" i="1" s="1"/>
  <c r="AB30" i="1"/>
  <c r="AB24" i="1"/>
  <c r="AD24" i="1" s="1"/>
  <c r="AB22" i="1"/>
  <c r="AD22" i="1" s="1"/>
  <c r="AB20" i="1"/>
  <c r="AB365" i="1"/>
  <c r="AB139" i="1"/>
  <c r="AB135" i="1"/>
  <c r="AD135" i="1" s="1"/>
  <c r="AB82" i="1"/>
  <c r="AB61" i="1"/>
  <c r="AD61" i="1" s="1"/>
  <c r="AB36" i="1"/>
  <c r="AB29" i="1"/>
  <c r="AB26" i="1"/>
  <c r="AB65" i="1"/>
  <c r="AB100" i="1"/>
  <c r="AB142" i="1"/>
  <c r="AB358" i="1"/>
  <c r="AB153" i="1"/>
  <c r="AD153" i="1" s="1"/>
  <c r="AB84" i="1"/>
  <c r="AB62" i="1"/>
  <c r="AD62" i="1" s="1"/>
  <c r="AB35" i="1"/>
  <c r="AB25" i="1"/>
  <c r="AB16" i="1"/>
  <c r="AB63" i="1"/>
  <c r="AB299" i="1"/>
  <c r="AB23" i="1"/>
  <c r="AB54" i="1"/>
  <c r="AB388" i="1"/>
  <c r="AB382" i="1"/>
  <c r="AB304" i="1"/>
  <c r="AB64" i="1"/>
  <c r="AB52" i="1"/>
  <c r="AB15" i="1"/>
  <c r="AB296" i="1"/>
  <c r="AB137" i="1"/>
  <c r="AB87" i="1"/>
  <c r="AB33" i="1"/>
  <c r="AB112" i="1"/>
  <c r="AB357" i="1"/>
  <c r="AD357" i="1" s="1"/>
  <c r="AB380" i="1"/>
  <c r="AB297" i="1"/>
  <c r="AB152" i="1"/>
  <c r="AB143" i="1"/>
  <c r="AD143" i="1" s="1"/>
  <c r="AB378" i="1"/>
  <c r="AD378" i="1" s="1"/>
  <c r="AB144" i="1"/>
  <c r="AB127" i="1"/>
  <c r="AB120" i="1"/>
  <c r="AB60" i="1"/>
  <c r="AB58" i="1"/>
  <c r="AB17" i="1"/>
  <c r="AB27" i="1"/>
  <c r="AD27" i="1" s="1"/>
  <c r="AD54" i="1"/>
  <c r="K136" i="1"/>
  <c r="S136" i="1"/>
  <c r="W136" i="1" s="1"/>
  <c r="AD28" i="1"/>
  <c r="AY85" i="1"/>
  <c r="BD85" i="1"/>
  <c r="BC85" i="1"/>
  <c r="BE85" i="1"/>
  <c r="BB85" i="1"/>
  <c r="BA85" i="1"/>
  <c r="K111" i="1"/>
  <c r="AD111" i="1"/>
  <c r="AD389" i="1"/>
  <c r="R17" i="1"/>
  <c r="BA55" i="1"/>
  <c r="BC55" i="1"/>
  <c r="BE55" i="1"/>
  <c r="BD55" i="1"/>
  <c r="BB55" i="1"/>
  <c r="K62" i="1"/>
  <c r="BE94" i="1"/>
  <c r="BC94" i="1"/>
  <c r="BD94" i="1"/>
  <c r="BB94" i="1"/>
  <c r="BA94" i="1"/>
  <c r="BE122" i="1"/>
  <c r="BD122" i="1"/>
  <c r="BC122" i="1"/>
  <c r="BD233" i="1"/>
  <c r="BC233" i="1"/>
  <c r="BB233" i="1"/>
  <c r="BE233" i="1"/>
  <c r="BA233" i="1"/>
  <c r="AY233" i="1"/>
  <c r="BE252" i="1"/>
  <c r="BC252" i="1"/>
  <c r="BD252" i="1"/>
  <c r="BB252" i="1"/>
  <c r="BA252" i="1"/>
  <c r="BF252" i="1" s="1"/>
  <c r="BG252" i="1" s="1"/>
  <c r="AY252" i="1"/>
  <c r="BA118" i="1"/>
  <c r="BE118" i="1"/>
  <c r="BC118" i="1"/>
  <c r="BD118" i="1"/>
  <c r="BB118" i="1"/>
  <c r="BB184" i="1"/>
  <c r="BD184" i="1"/>
  <c r="BA184" i="1"/>
  <c r="AY184" i="1"/>
  <c r="BE184" i="1"/>
  <c r="BC184" i="1"/>
  <c r="BC208" i="1"/>
  <c r="BB208" i="1"/>
  <c r="BA208" i="1"/>
  <c r="BE208" i="1"/>
  <c r="BD208" i="1"/>
  <c r="AY208" i="1"/>
  <c r="BD100" i="1"/>
  <c r="BB100" i="1"/>
  <c r="BC100" i="1"/>
  <c r="BA100" i="1"/>
  <c r="BE100" i="1"/>
  <c r="AD104" i="1"/>
  <c r="AD106" i="1"/>
  <c r="BD228" i="1"/>
  <c r="BB228" i="1"/>
  <c r="BA228" i="1"/>
  <c r="BE228" i="1"/>
  <c r="AY228" i="1"/>
  <c r="BC228" i="1"/>
  <c r="AD304" i="1"/>
  <c r="K84" i="1"/>
  <c r="AD103" i="1"/>
  <c r="AD33" i="1"/>
  <c r="BD44" i="1"/>
  <c r="AY44" i="1"/>
  <c r="BB44" i="1"/>
  <c r="BE44" i="1"/>
  <c r="K64" i="1"/>
  <c r="BE95" i="1"/>
  <c r="BC95" i="1"/>
  <c r="BB95" i="1"/>
  <c r="BA95" i="1"/>
  <c r="BD95" i="1"/>
  <c r="K25" i="1"/>
  <c r="BC43" i="1"/>
  <c r="BB43" i="1"/>
  <c r="BA43" i="1"/>
  <c r="BF43" i="1" s="1"/>
  <c r="BG43" i="1" s="1"/>
  <c r="BE43" i="1"/>
  <c r="BD43" i="1"/>
  <c r="AY43" i="1"/>
  <c r="AD105" i="1"/>
  <c r="BD217" i="1"/>
  <c r="BE217" i="1"/>
  <c r="BC217" i="1"/>
  <c r="AY217" i="1"/>
  <c r="BB217" i="1"/>
  <c r="BA217" i="1"/>
  <c r="BC136" i="1"/>
  <c r="BA136" i="1"/>
  <c r="BD136" i="1"/>
  <c r="BB136" i="1"/>
  <c r="BE136" i="1"/>
  <c r="AB147" i="1"/>
  <c r="BD221" i="1"/>
  <c r="BE221" i="1"/>
  <c r="BB221" i="1"/>
  <c r="BC221" i="1"/>
  <c r="BA221" i="1"/>
  <c r="AY221" i="1"/>
  <c r="BA76" i="1"/>
  <c r="AY76" i="1"/>
  <c r="BE76" i="1"/>
  <c r="BC76" i="1"/>
  <c r="BD76" i="1"/>
  <c r="BB76" i="1"/>
  <c r="BE80" i="1"/>
  <c r="BC80" i="1"/>
  <c r="BB80" i="1"/>
  <c r="BD80" i="1"/>
  <c r="BA80" i="1"/>
  <c r="AY126" i="1"/>
  <c r="BE126" i="1"/>
  <c r="BC126" i="1"/>
  <c r="BD126" i="1"/>
  <c r="BB126" i="1"/>
  <c r="BA126" i="1"/>
  <c r="BF126" i="1" s="1"/>
  <c r="BG126" i="1" s="1"/>
  <c r="K29" i="1"/>
  <c r="BD24" i="1"/>
  <c r="BA24" i="1"/>
  <c r="BC24" i="1"/>
  <c r="BE24" i="1"/>
  <c r="BB24" i="1"/>
  <c r="AD52" i="1"/>
  <c r="AD64" i="1"/>
  <c r="BA66" i="1"/>
  <c r="BE66" i="1"/>
  <c r="BC66" i="1"/>
  <c r="BB66" i="1"/>
  <c r="BD66" i="1"/>
  <c r="AY80" i="1"/>
  <c r="BC88" i="1"/>
  <c r="BB88" i="1"/>
  <c r="BA88" i="1"/>
  <c r="BE88" i="1"/>
  <c r="AY88" i="1"/>
  <c r="BD88" i="1"/>
  <c r="BA101" i="1"/>
  <c r="BC101" i="1"/>
  <c r="BB101" i="1"/>
  <c r="BE101" i="1"/>
  <c r="BD181" i="1"/>
  <c r="BC181" i="1"/>
  <c r="BA181" i="1"/>
  <c r="BE181" i="1"/>
  <c r="BB181" i="1"/>
  <c r="AY181" i="1"/>
  <c r="BA243" i="1"/>
  <c r="AY243" i="1"/>
  <c r="BC243" i="1"/>
  <c r="BB243" i="1"/>
  <c r="BE243" i="1"/>
  <c r="BD243" i="1"/>
  <c r="K15" i="1"/>
  <c r="BB40" i="1"/>
  <c r="BA40" i="1"/>
  <c r="AY40" i="1"/>
  <c r="BD40" i="1"/>
  <c r="BC40" i="1"/>
  <c r="BE40" i="1"/>
  <c r="AB104" i="1"/>
  <c r="BC120" i="1"/>
  <c r="BE120" i="1"/>
  <c r="BD120" i="1"/>
  <c r="BA120" i="1"/>
  <c r="BB120" i="1"/>
  <c r="AD136" i="1"/>
  <c r="AD23" i="1"/>
  <c r="AB102" i="1"/>
  <c r="BA111" i="1"/>
  <c r="BB111" i="1"/>
  <c r="BD111" i="1"/>
  <c r="BC111" i="1"/>
  <c r="BE111" i="1"/>
  <c r="AB119" i="1"/>
  <c r="K145" i="1"/>
  <c r="AD151" i="1"/>
  <c r="AD34" i="1"/>
  <c r="BA71" i="1"/>
  <c r="AY71" i="1"/>
  <c r="BE71" i="1"/>
  <c r="BD71" i="1"/>
  <c r="BC71" i="1"/>
  <c r="BB71" i="1"/>
  <c r="S15" i="1"/>
  <c r="W15" i="1" s="1"/>
  <c r="BD34" i="1"/>
  <c r="BA34" i="1"/>
  <c r="BC34" i="1"/>
  <c r="BE34" i="1"/>
  <c r="BB34" i="1"/>
  <c r="BA44" i="1"/>
  <c r="W16" i="1"/>
  <c r="R21" i="1"/>
  <c r="R31" i="1"/>
  <c r="BC44" i="1"/>
  <c r="K63" i="1"/>
  <c r="S63" i="1"/>
  <c r="W63" i="1" s="1"/>
  <c r="AD63" i="1"/>
  <c r="AY95" i="1"/>
  <c r="BA145" i="1"/>
  <c r="BD176" i="1"/>
  <c r="BE176" i="1"/>
  <c r="BA198" i="1"/>
  <c r="AY198" i="1"/>
  <c r="BC198" i="1"/>
  <c r="BB204" i="1"/>
  <c r="BA204" i="1"/>
  <c r="AY204" i="1"/>
  <c r="BE204" i="1"/>
  <c r="BD39" i="1"/>
  <c r="BE39" i="1"/>
  <c r="BC39" i="1"/>
  <c r="BB39" i="1"/>
  <c r="K91" i="1"/>
  <c r="AY176" i="1"/>
  <c r="BB198" i="1"/>
  <c r="K23" i="1"/>
  <c r="S23" i="1"/>
  <c r="W23" i="1" s="1"/>
  <c r="R26" i="1"/>
  <c r="K33" i="1"/>
  <c r="S33" i="1"/>
  <c r="W33" i="1" s="1"/>
  <c r="R36" i="1"/>
  <c r="BF46" i="1"/>
  <c r="BG46" i="1" s="1"/>
  <c r="BF49" i="1"/>
  <c r="BG49" i="1" s="1"/>
  <c r="BE54" i="1"/>
  <c r="BA86" i="1"/>
  <c r="BE86" i="1"/>
  <c r="BD89" i="1"/>
  <c r="BB89" i="1"/>
  <c r="BA89" i="1"/>
  <c r="AY89" i="1"/>
  <c r="BE89" i="1"/>
  <c r="AD98" i="1"/>
  <c r="W100" i="1"/>
  <c r="K120" i="1"/>
  <c r="S120" i="1"/>
  <c r="W120" i="1" s="1"/>
  <c r="R139" i="1"/>
  <c r="S142" i="1"/>
  <c r="W142" i="1" s="1"/>
  <c r="S149" i="1"/>
  <c r="W149" i="1" s="1"/>
  <c r="K149" i="1"/>
  <c r="BD196" i="1"/>
  <c r="BC196" i="1"/>
  <c r="BA196" i="1"/>
  <c r="BB196" i="1"/>
  <c r="AY196" i="1"/>
  <c r="AY205" i="1"/>
  <c r="BE205" i="1"/>
  <c r="BD205" i="1"/>
  <c r="BB218" i="1"/>
  <c r="BE218" i="1"/>
  <c r="BD218" i="1"/>
  <c r="BC218" i="1"/>
  <c r="BE235" i="1"/>
  <c r="BC235" i="1"/>
  <c r="BA235" i="1"/>
  <c r="BF235" i="1" s="1"/>
  <c r="BG235" i="1" s="1"/>
  <c r="AY235" i="1"/>
  <c r="BD235" i="1"/>
  <c r="BB244" i="1"/>
  <c r="BA244" i="1"/>
  <c r="AY244" i="1"/>
  <c r="BD244" i="1"/>
  <c r="BA253" i="1"/>
  <c r="AY253" i="1"/>
  <c r="BC253" i="1"/>
  <c r="BB253" i="1"/>
  <c r="BE253" i="1"/>
  <c r="BD262" i="1"/>
  <c r="BD271" i="1"/>
  <c r="BE271" i="1"/>
  <c r="AY271" i="1"/>
  <c r="BB271" i="1"/>
  <c r="BF271" i="1" s="1"/>
  <c r="BG271" i="1" s="1"/>
  <c r="W299" i="1"/>
  <c r="AD300" i="1"/>
  <c r="R301" i="1"/>
  <c r="R302" i="1"/>
  <c r="BD351" i="1"/>
  <c r="BC351" i="1"/>
  <c r="BA351" i="1"/>
  <c r="AY351" i="1"/>
  <c r="BE351" i="1"/>
  <c r="BB365" i="1"/>
  <c r="BA368" i="1"/>
  <c r="BB368" i="1"/>
  <c r="AY368" i="1"/>
  <c r="BD368" i="1"/>
  <c r="BC368" i="1"/>
  <c r="BE368" i="1"/>
  <c r="AY402" i="1"/>
  <c r="BD402" i="1"/>
  <c r="BB402" i="1"/>
  <c r="BE402" i="1"/>
  <c r="BC402" i="1"/>
  <c r="BC421" i="1"/>
  <c r="AY421" i="1"/>
  <c r="BD421" i="1"/>
  <c r="BA421" i="1"/>
  <c r="W61" i="3"/>
  <c r="F71" i="1" s="1"/>
  <c r="BH71" i="1" s="1"/>
  <c r="V61" i="3"/>
  <c r="O61" i="3"/>
  <c r="BA138" i="1"/>
  <c r="BC138" i="1"/>
  <c r="BE138" i="1"/>
  <c r="BB138" i="1"/>
  <c r="BA163" i="1"/>
  <c r="BF163" i="1" s="1"/>
  <c r="BG163" i="1" s="1"/>
  <c r="AY163" i="1"/>
  <c r="BE163" i="1"/>
  <c r="BC163" i="1"/>
  <c r="BD163" i="1"/>
  <c r="BD166" i="1"/>
  <c r="BC166" i="1"/>
  <c r="BA166" i="1"/>
  <c r="BE166" i="1"/>
  <c r="BB166" i="1"/>
  <c r="BB169" i="1"/>
  <c r="BD169" i="1"/>
  <c r="AY169" i="1"/>
  <c r="BC169" i="1"/>
  <c r="BE192" i="1"/>
  <c r="BC192" i="1"/>
  <c r="BD192" i="1"/>
  <c r="BB222" i="1"/>
  <c r="AY222" i="1"/>
  <c r="BD222" i="1"/>
  <c r="BC222" i="1"/>
  <c r="BA222" i="1"/>
  <c r="BD248" i="1"/>
  <c r="BE248" i="1"/>
  <c r="BB264" i="1"/>
  <c r="BD264" i="1"/>
  <c r="BE277" i="1"/>
  <c r="BD277" i="1"/>
  <c r="BB294" i="1"/>
  <c r="BE294" i="1"/>
  <c r="BA294" i="1"/>
  <c r="AY294" i="1"/>
  <c r="BD294" i="1"/>
  <c r="BD331" i="1"/>
  <c r="BA331" i="1"/>
  <c r="AY331" i="1"/>
  <c r="BB331" i="1"/>
  <c r="BE331" i="1"/>
  <c r="BF336" i="1"/>
  <c r="BG336" i="1" s="1"/>
  <c r="BA348" i="1"/>
  <c r="AY348" i="1"/>
  <c r="BC348" i="1"/>
  <c r="BB348" i="1"/>
  <c r="BE348" i="1"/>
  <c r="AD354" i="1"/>
  <c r="BD372" i="1"/>
  <c r="AY372" i="1"/>
  <c r="BE372" i="1"/>
  <c r="BB372" i="1"/>
  <c r="BC372" i="1"/>
  <c r="BA372" i="1"/>
  <c r="I32" i="14"/>
  <c r="I36" i="14"/>
  <c r="I33" i="14"/>
  <c r="I26" i="14"/>
  <c r="I37" i="14"/>
  <c r="I27" i="14"/>
  <c r="I31" i="14"/>
  <c r="I28" i="14"/>
  <c r="BE290" i="1"/>
  <c r="BC290" i="1"/>
  <c r="BB290" i="1"/>
  <c r="BA290" i="1"/>
  <c r="BB317" i="1"/>
  <c r="AY317" i="1"/>
  <c r="BE317" i="1"/>
  <c r="BD317" i="1"/>
  <c r="BC317" i="1"/>
  <c r="BD343" i="1"/>
  <c r="BE343" i="1"/>
  <c r="K357" i="1"/>
  <c r="BA363" i="1"/>
  <c r="BE363" i="1"/>
  <c r="BD363" i="1"/>
  <c r="BC363" i="1"/>
  <c r="BD434" i="1"/>
  <c r="BE434" i="1"/>
  <c r="BC434" i="1"/>
  <c r="AY434" i="1"/>
  <c r="BB434" i="1"/>
  <c r="BA434" i="1"/>
  <c r="P27" i="3"/>
  <c r="Q27" i="3" s="1"/>
  <c r="AF28" i="3"/>
  <c r="AB28" i="3"/>
  <c r="AD28" i="3" s="1"/>
  <c r="AE28" i="3" s="1"/>
  <c r="AY290" i="1"/>
  <c r="K296" i="1"/>
  <c r="BC331" i="1"/>
  <c r="AY343" i="1"/>
  <c r="BE347" i="1"/>
  <c r="BC347" i="1"/>
  <c r="BD347" i="1"/>
  <c r="BB347" i="1"/>
  <c r="BA347" i="1"/>
  <c r="BF347" i="1" s="1"/>
  <c r="BG347" i="1" s="1"/>
  <c r="BD348" i="1"/>
  <c r="BB359" i="1"/>
  <c r="BC359" i="1"/>
  <c r="AY363" i="1"/>
  <c r="BC365" i="1"/>
  <c r="BE365" i="1"/>
  <c r="BC381" i="1"/>
  <c r="BD381" i="1"/>
  <c r="BA381" i="1"/>
  <c r="BB381" i="1"/>
  <c r="I284" i="14"/>
  <c r="I295" i="14"/>
  <c r="I288" i="14"/>
  <c r="I291" i="14"/>
  <c r="I283" i="14"/>
  <c r="I298" i="14"/>
  <c r="I286" i="14"/>
  <c r="AD14" i="1"/>
  <c r="BD232" i="1"/>
  <c r="BB232" i="1"/>
  <c r="BE232" i="1"/>
  <c r="AY270" i="1"/>
  <c r="BB270" i="1"/>
  <c r="BA270" i="1"/>
  <c r="BD270" i="1"/>
  <c r="BD299" i="1"/>
  <c r="BB299" i="1"/>
  <c r="BE299" i="1"/>
  <c r="BD306" i="1"/>
  <c r="BB306" i="1"/>
  <c r="BC306" i="1"/>
  <c r="BA306" i="1"/>
  <c r="AY306" i="1"/>
  <c r="BA317" i="1"/>
  <c r="BD323" i="1"/>
  <c r="BB323" i="1"/>
  <c r="BD350" i="1"/>
  <c r="BA350" i="1"/>
  <c r="AY350" i="1"/>
  <c r="BC350" i="1"/>
  <c r="BB363" i="1"/>
  <c r="BE367" i="1"/>
  <c r="BD367" i="1"/>
  <c r="BB367" i="1"/>
  <c r="BC367" i="1"/>
  <c r="BA367" i="1"/>
  <c r="BF367" i="1" s="1"/>
  <c r="BG367" i="1" s="1"/>
  <c r="BB370" i="1"/>
  <c r="BE370" i="1"/>
  <c r="AY370" i="1"/>
  <c r="BD370" i="1"/>
  <c r="BC370" i="1"/>
  <c r="BA370" i="1"/>
  <c r="I23" i="14"/>
  <c r="K23" i="14" s="1"/>
  <c r="I20" i="14"/>
  <c r="I22" i="14"/>
  <c r="K22" i="14" s="1"/>
  <c r="AB33" i="3"/>
  <c r="AD33" i="3" s="1"/>
  <c r="AE33" i="3" s="1"/>
  <c r="AF33" i="3"/>
  <c r="AF38" i="3"/>
  <c r="T38" i="3"/>
  <c r="AB38" i="3"/>
  <c r="AD38" i="3" s="1"/>
  <c r="AE38" i="3" s="1"/>
  <c r="AZ48" i="1"/>
  <c r="AY121" i="1"/>
  <c r="BD121" i="1"/>
  <c r="BB121" i="1"/>
  <c r="BE121" i="1"/>
  <c r="BC121" i="1"/>
  <c r="BA121" i="1"/>
  <c r="BA117" i="1"/>
  <c r="BD130" i="1"/>
  <c r="BD165" i="1"/>
  <c r="BC165" i="1"/>
  <c r="BA165" i="1"/>
  <c r="BB165" i="1"/>
  <c r="BC183" i="1"/>
  <c r="BB183" i="1"/>
  <c r="BA183" i="1"/>
  <c r="BE183" i="1"/>
  <c r="BD330" i="1"/>
  <c r="BB330" i="1"/>
  <c r="BA330" i="1"/>
  <c r="AY330" i="1"/>
  <c r="BE330" i="1"/>
  <c r="BA343" i="1"/>
  <c r="BF343" i="1" s="1"/>
  <c r="BG343" i="1" s="1"/>
  <c r="BD346" i="1"/>
  <c r="BE346" i="1"/>
  <c r="BC346" i="1"/>
  <c r="BB373" i="1"/>
  <c r="AY373" i="1"/>
  <c r="BD373" i="1"/>
  <c r="BC373" i="1"/>
  <c r="BA373" i="1"/>
  <c r="BE373" i="1"/>
  <c r="AY239" i="1"/>
  <c r="S389" i="1"/>
  <c r="W389" i="1" s="1"/>
  <c r="AD56" i="1"/>
  <c r="BG67" i="1"/>
  <c r="BB163" i="1"/>
  <c r="K58" i="1"/>
  <c r="BF75" i="1"/>
  <c r="BG75" i="1" s="1"/>
  <c r="BA128" i="1"/>
  <c r="BE128" i="1"/>
  <c r="BC128" i="1"/>
  <c r="AD141" i="1"/>
  <c r="AD145" i="1"/>
  <c r="BB192" i="1"/>
  <c r="AY195" i="1"/>
  <c r="BD207" i="1"/>
  <c r="BB207" i="1"/>
  <c r="BE207" i="1"/>
  <c r="BC207" i="1"/>
  <c r="BE242" i="1"/>
  <c r="BC242" i="1"/>
  <c r="BD242" i="1"/>
  <c r="BB242" i="1"/>
  <c r="BA242" i="1"/>
  <c r="BD316" i="1"/>
  <c r="BE316" i="1"/>
  <c r="BB316" i="1"/>
  <c r="BC316" i="1"/>
  <c r="BA316" i="1"/>
  <c r="AY323" i="1"/>
  <c r="AD16" i="1"/>
  <c r="K27" i="1"/>
  <c r="BA30" i="1"/>
  <c r="BC30" i="1"/>
  <c r="AD35" i="1"/>
  <c r="BB36" i="1"/>
  <c r="BA36" i="1"/>
  <c r="BD36" i="1"/>
  <c r="BE38" i="1"/>
  <c r="AY38" i="1"/>
  <c r="AY39" i="1"/>
  <c r="K60" i="1"/>
  <c r="K83" i="1"/>
  <c r="BE108" i="1"/>
  <c r="BD108" i="1"/>
  <c r="BA162" i="1"/>
  <c r="AY165" i="1"/>
  <c r="BB174" i="1"/>
  <c r="BA174" i="1"/>
  <c r="AY174" i="1"/>
  <c r="AY183" i="1"/>
  <c r="BC195" i="1"/>
  <c r="AY214" i="1"/>
  <c r="BB292" i="1"/>
  <c r="AY292" i="1"/>
  <c r="BD292" i="1"/>
  <c r="BC292" i="1"/>
  <c r="BA292" i="1"/>
  <c r="BC330" i="1"/>
  <c r="BB343" i="1"/>
  <c r="K382" i="1"/>
  <c r="BC401" i="1"/>
  <c r="AY401" i="1"/>
  <c r="BD401" i="1"/>
  <c r="BE401" i="1"/>
  <c r="BB401" i="1"/>
  <c r="BA401" i="1"/>
  <c r="BE403" i="1"/>
  <c r="BC403" i="1"/>
  <c r="BF403" i="1" s="1"/>
  <c r="BG403" i="1" s="1"/>
  <c r="BA403" i="1"/>
  <c r="AY403" i="1"/>
  <c r="BD403" i="1"/>
  <c r="AD83" i="1"/>
  <c r="BE107" i="1"/>
  <c r="BD107" i="1"/>
  <c r="W113" i="1"/>
  <c r="BA154" i="1"/>
  <c r="BB194" i="1"/>
  <c r="BD194" i="1"/>
  <c r="BC194" i="1"/>
  <c r="BA194" i="1"/>
  <c r="BF194" i="1" s="1"/>
  <c r="BG194" i="1" s="1"/>
  <c r="BA197" i="1"/>
  <c r="BC197" i="1"/>
  <c r="BB197" i="1"/>
  <c r="AY197" i="1"/>
  <c r="BE197" i="1"/>
  <c r="BE220" i="1"/>
  <c r="BC220" i="1"/>
  <c r="BB220" i="1"/>
  <c r="BA220" i="1"/>
  <c r="BF238" i="1"/>
  <c r="BG238" i="1" s="1"/>
  <c r="AY242" i="1"/>
  <c r="BA250" i="1"/>
  <c r="AY250" i="1"/>
  <c r="BE250" i="1"/>
  <c r="BA251" i="1"/>
  <c r="AY316" i="1"/>
  <c r="BB319" i="1"/>
  <c r="BD319" i="1"/>
  <c r="AY319" i="1"/>
  <c r="BC319" i="1"/>
  <c r="BA323" i="1"/>
  <c r="BF323" i="1" s="1"/>
  <c r="BG323" i="1" s="1"/>
  <c r="BC338" i="1"/>
  <c r="BB338" i="1"/>
  <c r="BA338" i="1"/>
  <c r="BE338" i="1"/>
  <c r="BC343" i="1"/>
  <c r="BB349" i="1"/>
  <c r="BC349" i="1"/>
  <c r="BA349" i="1"/>
  <c r="BE349" i="1"/>
  <c r="BE383" i="1"/>
  <c r="BB383" i="1"/>
  <c r="BC383" i="1"/>
  <c r="BA383" i="1"/>
  <c r="BD429" i="1"/>
  <c r="BC429" i="1"/>
  <c r="BE429" i="1"/>
  <c r="BB429" i="1"/>
  <c r="BA429" i="1"/>
  <c r="I273" i="14"/>
  <c r="I277" i="14"/>
  <c r="I276" i="14"/>
  <c r="I280" i="14"/>
  <c r="I269" i="14"/>
  <c r="K269" i="14" s="1"/>
  <c r="I279" i="14"/>
  <c r="I272" i="14"/>
  <c r="I275" i="14"/>
  <c r="I278" i="14"/>
  <c r="I267" i="14"/>
  <c r="I274" i="14"/>
  <c r="BB51" i="1"/>
  <c r="BA51" i="1"/>
  <c r="BD51" i="1"/>
  <c r="BB168" i="1"/>
  <c r="BA168" i="1"/>
  <c r="BD168" i="1"/>
  <c r="BA169" i="1"/>
  <c r="BD276" i="1"/>
  <c r="BA276" i="1"/>
  <c r="AY276" i="1"/>
  <c r="BE276" i="1"/>
  <c r="BE70" i="1"/>
  <c r="BC70" i="1"/>
  <c r="BC110" i="1"/>
  <c r="BB110" i="1"/>
  <c r="BA110" i="1"/>
  <c r="BE110" i="1"/>
  <c r="BA123" i="1"/>
  <c r="BD123" i="1"/>
  <c r="BB123" i="1"/>
  <c r="BD131" i="1"/>
  <c r="BC131" i="1"/>
  <c r="BA131" i="1"/>
  <c r="BB145" i="1"/>
  <c r="AY168" i="1"/>
  <c r="BE169" i="1"/>
  <c r="BD180" i="1"/>
  <c r="BE180" i="1"/>
  <c r="BC180" i="1"/>
  <c r="BB180" i="1"/>
  <c r="BD186" i="1"/>
  <c r="BA186" i="1"/>
  <c r="AY186" i="1"/>
  <c r="BC186" i="1"/>
  <c r="BB239" i="1"/>
  <c r="BC239" i="1"/>
  <c r="BA282" i="1"/>
  <c r="BE282" i="1"/>
  <c r="BD282" i="1"/>
  <c r="BD290" i="1"/>
  <c r="BD296" i="1"/>
  <c r="BC296" i="1"/>
  <c r="BB296" i="1"/>
  <c r="BA299" i="1"/>
  <c r="BE50" i="1"/>
  <c r="BD50" i="1"/>
  <c r="BC50" i="1"/>
  <c r="AD118" i="1"/>
  <c r="AY131" i="1"/>
  <c r="S138" i="1"/>
  <c r="W138" i="1" s="1"/>
  <c r="K143" i="1"/>
  <c r="BC145" i="1"/>
  <c r="K148" i="1"/>
  <c r="AY232" i="1"/>
  <c r="BC248" i="1"/>
  <c r="BC299" i="1"/>
  <c r="BE306" i="1"/>
  <c r="AY346" i="1"/>
  <c r="BA15" i="1"/>
  <c r="BA2" i="1" s="1"/>
  <c r="AD66" i="1"/>
  <c r="BC68" i="1"/>
  <c r="BA68" i="1"/>
  <c r="AY68" i="1"/>
  <c r="BD68" i="1"/>
  <c r="BE168" i="1"/>
  <c r="BB176" i="1"/>
  <c r="BB179" i="1"/>
  <c r="BE179" i="1"/>
  <c r="BD179" i="1"/>
  <c r="BD204" i="1"/>
  <c r="BD206" i="1"/>
  <c r="BE206" i="1"/>
  <c r="BC206" i="1"/>
  <c r="BB206" i="1"/>
  <c r="BF206" i="1" s="1"/>
  <c r="BG206" i="1" s="1"/>
  <c r="AY207" i="1"/>
  <c r="BA232" i="1"/>
  <c r="BD236" i="1"/>
  <c r="BB236" i="1"/>
  <c r="BA236" i="1"/>
  <c r="AY236" i="1"/>
  <c r="BE236" i="1"/>
  <c r="BD260" i="1"/>
  <c r="BE264" i="1"/>
  <c r="BB269" i="1"/>
  <c r="BA269" i="1"/>
  <c r="AY269" i="1"/>
  <c r="BD269" i="1"/>
  <c r="BC269" i="1"/>
  <c r="BD275" i="1"/>
  <c r="BB275" i="1"/>
  <c r="BE275" i="1"/>
  <c r="BB276" i="1"/>
  <c r="BD281" i="1"/>
  <c r="BC281" i="1"/>
  <c r="BA281" i="1"/>
  <c r="BE281" i="1"/>
  <c r="BB282" i="1"/>
  <c r="BC298" i="1"/>
  <c r="BB298" i="1"/>
  <c r="BF298" i="1" s="1"/>
  <c r="BG298" i="1" s="1"/>
  <c r="BA298" i="1"/>
  <c r="BE298" i="1"/>
  <c r="R16" i="1"/>
  <c r="AD29" i="1"/>
  <c r="BA38" i="1"/>
  <c r="BF38" i="1" s="1"/>
  <c r="BG38" i="1" s="1"/>
  <c r="BA39" i="1"/>
  <c r="BF39" i="1" s="1"/>
  <c r="BG39" i="1" s="1"/>
  <c r="AY50" i="1"/>
  <c r="BE51" i="1"/>
  <c r="AD53" i="1"/>
  <c r="K54" i="1"/>
  <c r="AD58" i="1"/>
  <c r="BD59" i="1"/>
  <c r="BB59" i="1"/>
  <c r="BC59" i="1"/>
  <c r="BA59" i="1"/>
  <c r="BE60" i="1"/>
  <c r="BC60" i="1"/>
  <c r="BA60" i="1"/>
  <c r="BD60" i="1"/>
  <c r="BB68" i="1"/>
  <c r="BD86" i="1"/>
  <c r="R91" i="1"/>
  <c r="BD106" i="1"/>
  <c r="BE106" i="1"/>
  <c r="K108" i="1"/>
  <c r="BD110" i="1"/>
  <c r="BE115" i="1"/>
  <c r="BC115" i="1"/>
  <c r="BD115" i="1"/>
  <c r="BE116" i="1"/>
  <c r="BD116" i="1"/>
  <c r="BC117" i="1"/>
  <c r="R118" i="1"/>
  <c r="BB131" i="1"/>
  <c r="BE145" i="1"/>
  <c r="S150" i="1"/>
  <c r="W150" i="1" s="1"/>
  <c r="BB164" i="1"/>
  <c r="BE164" i="1"/>
  <c r="BC164" i="1"/>
  <c r="BD164" i="1"/>
  <c r="BE165" i="1"/>
  <c r="BA167" i="1"/>
  <c r="BD167" i="1"/>
  <c r="BC167" i="1"/>
  <c r="BB167" i="1"/>
  <c r="BC174" i="1"/>
  <c r="BC176" i="1"/>
  <c r="AY179" i="1"/>
  <c r="BA180" i="1"/>
  <c r="BF180" i="1" s="1"/>
  <c r="BG180" i="1" s="1"/>
  <c r="BD183" i="1"/>
  <c r="BE186" i="1"/>
  <c r="AY194" i="1"/>
  <c r="BD197" i="1"/>
  <c r="BA207" i="1"/>
  <c r="AY220" i="1"/>
  <c r="BA223" i="1"/>
  <c r="AY223" i="1"/>
  <c r="BC223" i="1"/>
  <c r="BC232" i="1"/>
  <c r="BC236" i="1"/>
  <c r="BD239" i="1"/>
  <c r="BB254" i="1"/>
  <c r="BA254" i="1"/>
  <c r="AY254" i="1"/>
  <c r="BD254" i="1"/>
  <c r="R260" i="1"/>
  <c r="AY275" i="1"/>
  <c r="BC276" i="1"/>
  <c r="BA278" i="1"/>
  <c r="BE278" i="1"/>
  <c r="BC278" i="1"/>
  <c r="BC282" i="1"/>
  <c r="BD291" i="1"/>
  <c r="BE291" i="1"/>
  <c r="BB291" i="1"/>
  <c r="BC291" i="1"/>
  <c r="BA291" i="1"/>
  <c r="BE292" i="1"/>
  <c r="BD295" i="1"/>
  <c r="BB295" i="1"/>
  <c r="BA295" i="1"/>
  <c r="AY295" i="1"/>
  <c r="BE295" i="1"/>
  <c r="AY298" i="1"/>
  <c r="BA300" i="1"/>
  <c r="BD312" i="1"/>
  <c r="BE315" i="1"/>
  <c r="BD315" i="1"/>
  <c r="BC315" i="1"/>
  <c r="BB315" i="1"/>
  <c r="BF316" i="1"/>
  <c r="BG316" i="1" s="1"/>
  <c r="BC323" i="1"/>
  <c r="BB329" i="1"/>
  <c r="BE329" i="1"/>
  <c r="BA329" i="1"/>
  <c r="AY329" i="1"/>
  <c r="BD329" i="1"/>
  <c r="AY338" i="1"/>
  <c r="BA345" i="1"/>
  <c r="AY345" i="1"/>
  <c r="BE345" i="1"/>
  <c r="BA346" i="1"/>
  <c r="AY349" i="1"/>
  <c r="BC354" i="1"/>
  <c r="BA354" i="1"/>
  <c r="R356" i="1"/>
  <c r="AD356" i="1"/>
  <c r="S357" i="1"/>
  <c r="W357" i="1" s="1"/>
  <c r="AY361" i="1"/>
  <c r="BE361" i="1"/>
  <c r="BD361" i="1"/>
  <c r="BC361" i="1"/>
  <c r="S365" i="1"/>
  <c r="W365" i="1" s="1"/>
  <c r="BB371" i="1"/>
  <c r="BD371" i="1"/>
  <c r="BA371" i="1"/>
  <c r="AY371" i="1"/>
  <c r="BE371" i="1"/>
  <c r="BC371" i="1"/>
  <c r="AY429" i="1"/>
  <c r="BE162" i="1"/>
  <c r="BC162" i="1"/>
  <c r="BD162" i="1"/>
  <c r="BE15" i="1"/>
  <c r="BB15" i="1"/>
  <c r="AD146" i="1"/>
  <c r="K153" i="1"/>
  <c r="BA192" i="1"/>
  <c r="BD195" i="1"/>
  <c r="BB195" i="1"/>
  <c r="BA195" i="1"/>
  <c r="BE195" i="1"/>
  <c r="BD251" i="1"/>
  <c r="BE251" i="1"/>
  <c r="BC251" i="1"/>
  <c r="BF251" i="1" s="1"/>
  <c r="BG251" i="1" s="1"/>
  <c r="K260" i="1"/>
  <c r="BE262" i="1"/>
  <c r="BB262" i="1"/>
  <c r="BF262" i="1" s="1"/>
  <c r="BG262" i="1" s="1"/>
  <c r="BE29" i="1"/>
  <c r="AD86" i="1"/>
  <c r="BE109" i="1"/>
  <c r="BD109" i="1"/>
  <c r="BC109" i="1"/>
  <c r="BB154" i="1"/>
  <c r="BD154" i="1"/>
  <c r="AY154" i="1"/>
  <c r="BC154" i="1"/>
  <c r="BD198" i="1"/>
  <c r="BB214" i="1"/>
  <c r="BD214" i="1"/>
  <c r="BA214" i="1"/>
  <c r="BB248" i="1"/>
  <c r="AY251" i="1"/>
  <c r="BC260" i="1"/>
  <c r="BA260" i="1"/>
  <c r="BA264" i="1"/>
  <c r="BC270" i="1"/>
  <c r="BC277" i="1"/>
  <c r="BA20" i="1"/>
  <c r="BC20" i="1"/>
  <c r="BC2" i="1" s="1"/>
  <c r="AD25" i="1"/>
  <c r="BB26" i="1"/>
  <c r="BA26" i="1"/>
  <c r="BD26" i="1"/>
  <c r="BC54" i="1"/>
  <c r="AD84" i="1"/>
  <c r="BB86" i="1"/>
  <c r="BA176" i="1"/>
  <c r="AY180" i="1"/>
  <c r="BE198" i="1"/>
  <c r="BC204" i="1"/>
  <c r="AD260" i="1"/>
  <c r="BB260" i="1"/>
  <c r="AY262" i="1"/>
  <c r="BC264" i="1"/>
  <c r="BE270" i="1"/>
  <c r="BE296" i="1"/>
  <c r="BE350" i="1"/>
  <c r="BE362" i="1"/>
  <c r="BC362" i="1"/>
  <c r="BA362" i="1"/>
  <c r="BD362" i="1"/>
  <c r="BB362" i="1"/>
  <c r="AY367" i="1"/>
  <c r="BB17" i="1"/>
  <c r="BA17" i="1"/>
  <c r="BD17" i="1"/>
  <c r="AY19" i="1"/>
  <c r="BE19" i="1"/>
  <c r="BC51" i="1"/>
  <c r="BD54" i="1"/>
  <c r="AY70" i="1"/>
  <c r="BC86" i="1"/>
  <c r="BB117" i="1"/>
  <c r="BD145" i="1"/>
  <c r="BA148" i="1"/>
  <c r="BC148" i="1"/>
  <c r="BE148" i="1"/>
  <c r="BD148" i="1"/>
  <c r="BB162" i="1"/>
  <c r="BD15" i="1"/>
  <c r="BA19" i="1"/>
  <c r="AD21" i="1"/>
  <c r="BA29" i="1"/>
  <c r="AD31" i="1"/>
  <c r="BB38" i="1"/>
  <c r="BB47" i="1"/>
  <c r="BC47" i="1"/>
  <c r="BA47" i="1"/>
  <c r="BE47" i="1"/>
  <c r="BA50" i="1"/>
  <c r="BE68" i="1"/>
  <c r="BA70" i="1"/>
  <c r="BA81" i="1"/>
  <c r="AY81" i="1"/>
  <c r="BD81" i="1"/>
  <c r="BC81" i="1"/>
  <c r="BB81" i="1"/>
  <c r="R83" i="1"/>
  <c r="BA96" i="1"/>
  <c r="AY96" i="1"/>
  <c r="BB96" i="1"/>
  <c r="BD96" i="1"/>
  <c r="BD117" i="1"/>
  <c r="S119" i="1"/>
  <c r="W119" i="1" s="1"/>
  <c r="K119" i="1"/>
  <c r="BC123" i="1"/>
  <c r="BE127" i="1"/>
  <c r="BD127" i="1"/>
  <c r="BB128" i="1"/>
  <c r="BE131" i="1"/>
  <c r="BD134" i="1"/>
  <c r="BB134" i="1"/>
  <c r="BD144" i="1"/>
  <c r="BB144" i="1"/>
  <c r="BE144" i="1"/>
  <c r="BC150" i="1"/>
  <c r="BB150" i="1"/>
  <c r="BD174" i="1"/>
  <c r="BF179" i="1"/>
  <c r="BG179" i="1" s="1"/>
  <c r="BA182" i="1"/>
  <c r="BE182" i="1"/>
  <c r="BD182" i="1"/>
  <c r="BC182" i="1"/>
  <c r="BC185" i="1"/>
  <c r="BA185" i="1"/>
  <c r="BB185" i="1"/>
  <c r="AY185" i="1"/>
  <c r="BE185" i="1"/>
  <c r="BA193" i="1"/>
  <c r="BF193" i="1" s="1"/>
  <c r="BG193" i="1" s="1"/>
  <c r="AY193" i="1"/>
  <c r="BE193" i="1"/>
  <c r="BD193" i="1"/>
  <c r="BC193" i="1"/>
  <c r="AY206" i="1"/>
  <c r="BE214" i="1"/>
  <c r="AY230" i="1"/>
  <c r="BE230" i="1"/>
  <c r="BD230" i="1"/>
  <c r="BF230" i="1" s="1"/>
  <c r="BG230" i="1" s="1"/>
  <c r="BE239" i="1"/>
  <c r="BB250" i="1"/>
  <c r="BD258" i="1"/>
  <c r="BE258" i="1"/>
  <c r="BC262" i="1"/>
  <c r="BD268" i="1"/>
  <c r="BB268" i="1"/>
  <c r="BC268" i="1"/>
  <c r="BA268" i="1"/>
  <c r="BE269" i="1"/>
  <c r="BF275" i="1"/>
  <c r="BG275" i="1" s="1"/>
  <c r="BC280" i="1"/>
  <c r="BE280" i="1"/>
  <c r="BD280" i="1"/>
  <c r="BB280" i="1"/>
  <c r="BB297" i="1"/>
  <c r="BE297" i="1"/>
  <c r="BD297" i="1"/>
  <c r="AD301" i="1"/>
  <c r="BB318" i="1"/>
  <c r="BA318" i="1"/>
  <c r="BD318" i="1"/>
  <c r="BA319" i="1"/>
  <c r="BE323" i="1"/>
  <c r="BC327" i="1"/>
  <c r="BA327" i="1"/>
  <c r="BE327" i="1"/>
  <c r="BD327" i="1"/>
  <c r="BF328" i="1"/>
  <c r="BG328" i="1" s="1"/>
  <c r="BD337" i="1"/>
  <c r="BB337" i="1"/>
  <c r="BE337" i="1"/>
  <c r="BC337" i="1"/>
  <c r="BA337" i="1"/>
  <c r="BF337" i="1" s="1"/>
  <c r="BG337" i="1" s="1"/>
  <c r="BD338" i="1"/>
  <c r="BB346" i="1"/>
  <c r="BF346" i="1" s="1"/>
  <c r="BG346" i="1" s="1"/>
  <c r="BD349" i="1"/>
  <c r="BA365" i="1"/>
  <c r="BB403" i="1"/>
  <c r="AB34" i="3"/>
  <c r="AD34" i="3" s="1"/>
  <c r="AE34" i="3" s="1"/>
  <c r="T34" i="3"/>
  <c r="AZ44" i="1"/>
  <c r="BF44" i="1" s="1"/>
  <c r="BG44" i="1" s="1"/>
  <c r="V67" i="3"/>
  <c r="O67" i="3"/>
  <c r="W67" i="3"/>
  <c r="F77" i="1" s="1"/>
  <c r="BH77" i="1" s="1"/>
  <c r="AB68" i="3"/>
  <c r="AD68" i="3" s="1"/>
  <c r="AE68" i="3" s="1"/>
  <c r="AF68" i="3"/>
  <c r="W85" i="3"/>
  <c r="F95" i="1" s="1"/>
  <c r="BH95" i="1" s="1"/>
  <c r="V85" i="3"/>
  <c r="I1352" i="14"/>
  <c r="I1361" i="14"/>
  <c r="I1357" i="14"/>
  <c r="I1353" i="14"/>
  <c r="I1349" i="14"/>
  <c r="I1348" i="14"/>
  <c r="BF376" i="1"/>
  <c r="BG376" i="1" s="1"/>
  <c r="BF385" i="1"/>
  <c r="BG385" i="1" s="1"/>
  <c r="BC391" i="1"/>
  <c r="AY391" i="1"/>
  <c r="BE391" i="1"/>
  <c r="BA394" i="1"/>
  <c r="BB394" i="1"/>
  <c r="BC411" i="1"/>
  <c r="AY411" i="1"/>
  <c r="BE411" i="1"/>
  <c r="BB411" i="1"/>
  <c r="BC416" i="1"/>
  <c r="BE416" i="1"/>
  <c r="BB416" i="1"/>
  <c r="BD424" i="1"/>
  <c r="BB424" i="1"/>
  <c r="BA424" i="1"/>
  <c r="BB427" i="1"/>
  <c r="BD427" i="1"/>
  <c r="BF427" i="1" s="1"/>
  <c r="BG427" i="1" s="1"/>
  <c r="BE427" i="1"/>
  <c r="BC427" i="1"/>
  <c r="AB58" i="3"/>
  <c r="AD58" i="3" s="1"/>
  <c r="AE58" i="3" s="1"/>
  <c r="AF58" i="3"/>
  <c r="AA15" i="1"/>
  <c r="AD15" i="1" s="1"/>
  <c r="BA18" i="1"/>
  <c r="K34" i="1"/>
  <c r="BA37" i="1"/>
  <c r="BB48" i="1"/>
  <c r="AY49" i="1"/>
  <c r="AD60" i="1"/>
  <c r="BC61" i="1"/>
  <c r="BC63" i="1"/>
  <c r="BE75" i="1"/>
  <c r="BC75" i="1"/>
  <c r="BC90" i="1"/>
  <c r="AA101" i="1"/>
  <c r="AD101" i="1" s="1"/>
  <c r="BE105" i="1"/>
  <c r="BC105" i="1"/>
  <c r="R111" i="1"/>
  <c r="S116" i="1"/>
  <c r="W116" i="1" s="1"/>
  <c r="AA120" i="1"/>
  <c r="AD120" i="1" s="1"/>
  <c r="R136" i="1"/>
  <c r="S139" i="1"/>
  <c r="W139" i="1" s="1"/>
  <c r="K139" i="1"/>
  <c r="BC140" i="1"/>
  <c r="BB140" i="1"/>
  <c r="R148" i="1"/>
  <c r="K152" i="1"/>
  <c r="BD155" i="1"/>
  <c r="BC156" i="1"/>
  <c r="BC171" i="1"/>
  <c r="AY175" i="1"/>
  <c r="BD177" i="1"/>
  <c r="BB177" i="1"/>
  <c r="BA178" i="1"/>
  <c r="AY178" i="1"/>
  <c r="BF188" i="1"/>
  <c r="BG188" i="1" s="1"/>
  <c r="BA201" i="1"/>
  <c r="BF201" i="1" s="1"/>
  <c r="BG201" i="1" s="1"/>
  <c r="BD203" i="1"/>
  <c r="BB203" i="1"/>
  <c r="BF203" i="1" s="1"/>
  <c r="BG203" i="1" s="1"/>
  <c r="BA215" i="1"/>
  <c r="AY215" i="1"/>
  <c r="BD216" i="1"/>
  <c r="BB226" i="1"/>
  <c r="BB229" i="1"/>
  <c r="BA229" i="1"/>
  <c r="AY229" i="1"/>
  <c r="BD231" i="1"/>
  <c r="BE231" i="1"/>
  <c r="BB245" i="1"/>
  <c r="BA247" i="1"/>
  <c r="BF247" i="1" s="1"/>
  <c r="BG247" i="1" s="1"/>
  <c r="BB249" i="1"/>
  <c r="BD249" i="1"/>
  <c r="BA249" i="1"/>
  <c r="BB255" i="1"/>
  <c r="BA257" i="1"/>
  <c r="BF257" i="1" s="1"/>
  <c r="BG257" i="1" s="1"/>
  <c r="BB259" i="1"/>
  <c r="BD259" i="1"/>
  <c r="BA259" i="1"/>
  <c r="BC265" i="1"/>
  <c r="BA265" i="1"/>
  <c r="BB274" i="1"/>
  <c r="BE274" i="1"/>
  <c r="BC285" i="1"/>
  <c r="AY287" i="1"/>
  <c r="AA296" i="1"/>
  <c r="AD296" i="1" s="1"/>
  <c r="AD305" i="1"/>
  <c r="BB321" i="1"/>
  <c r="BF321" i="1" s="1"/>
  <c r="BG321" i="1" s="1"/>
  <c r="BB324" i="1"/>
  <c r="BA324" i="1"/>
  <c r="BF324" i="1" s="1"/>
  <c r="BG324" i="1" s="1"/>
  <c r="AY324" i="1"/>
  <c r="AY325" i="1"/>
  <c r="BD326" i="1"/>
  <c r="BF326" i="1" s="1"/>
  <c r="BG326" i="1" s="1"/>
  <c r="BE326" i="1"/>
  <c r="AY334" i="1"/>
  <c r="BB344" i="1"/>
  <c r="BD344" i="1"/>
  <c r="BA344" i="1"/>
  <c r="BF344" i="1" s="1"/>
  <c r="BG344" i="1" s="1"/>
  <c r="BD352" i="1"/>
  <c r="BF353" i="1"/>
  <c r="BG353" i="1" s="1"/>
  <c r="BA355" i="1"/>
  <c r="R358" i="1"/>
  <c r="AA358" i="1"/>
  <c r="AD358" i="1" s="1"/>
  <c r="AY394" i="1"/>
  <c r="BB414" i="1"/>
  <c r="AY424" i="1"/>
  <c r="S421" i="3"/>
  <c r="S416" i="3"/>
  <c r="S423" i="3"/>
  <c r="S376" i="3"/>
  <c r="S374" i="3"/>
  <c r="S348" i="3"/>
  <c r="S415" i="3"/>
  <c r="S412" i="3"/>
  <c r="S408" i="3"/>
  <c r="S417" i="3"/>
  <c r="S410" i="3"/>
  <c r="S420" i="3"/>
  <c r="S373" i="3"/>
  <c r="S422" i="3"/>
  <c r="S425" i="3"/>
  <c r="S375" i="3"/>
  <c r="S424" i="3"/>
  <c r="S418" i="3"/>
  <c r="S367" i="3"/>
  <c r="S404" i="3"/>
  <c r="S403" i="3"/>
  <c r="S390" i="3"/>
  <c r="S382" i="3"/>
  <c r="S372" i="3"/>
  <c r="S371" i="3"/>
  <c r="S364" i="3"/>
  <c r="S361" i="3"/>
  <c r="S355" i="3"/>
  <c r="S349" i="3"/>
  <c r="S346" i="3"/>
  <c r="S336" i="3"/>
  <c r="S326" i="3"/>
  <c r="S316" i="3"/>
  <c r="S306" i="3"/>
  <c r="S296" i="3"/>
  <c r="S293" i="3"/>
  <c r="S270" i="3"/>
  <c r="S264" i="3"/>
  <c r="S414" i="3"/>
  <c r="S396" i="3"/>
  <c r="S389" i="3"/>
  <c r="S388" i="3"/>
  <c r="S343" i="3"/>
  <c r="S333" i="3"/>
  <c r="S323" i="3"/>
  <c r="S313" i="3"/>
  <c r="S303" i="3"/>
  <c r="S287" i="3"/>
  <c r="S402" i="3"/>
  <c r="S381" i="3"/>
  <c r="S370" i="3"/>
  <c r="S363" i="3"/>
  <c r="S354" i="3"/>
  <c r="S290" i="3"/>
  <c r="S284" i="3"/>
  <c r="S274" i="3"/>
  <c r="S271" i="3"/>
  <c r="S268" i="3"/>
  <c r="S249" i="3"/>
  <c r="S239" i="3"/>
  <c r="S229" i="3"/>
  <c r="S219" i="3"/>
  <c r="S209" i="3"/>
  <c r="S395" i="3"/>
  <c r="S387" i="3"/>
  <c r="S378" i="3"/>
  <c r="S401" i="3"/>
  <c r="S394" i="3"/>
  <c r="S393" i="3"/>
  <c r="S380" i="3"/>
  <c r="S379" i="3"/>
  <c r="S368" i="3"/>
  <c r="S360" i="3"/>
  <c r="S353" i="3"/>
  <c r="S344" i="3"/>
  <c r="S334" i="3"/>
  <c r="S324" i="3"/>
  <c r="S314" i="3"/>
  <c r="S304" i="3"/>
  <c r="S294" i="3"/>
  <c r="S291" i="3"/>
  <c r="S288" i="3"/>
  <c r="S278" i="3"/>
  <c r="S265" i="3"/>
  <c r="S262" i="3"/>
  <c r="S243" i="3"/>
  <c r="S386" i="3"/>
  <c r="S377" i="3"/>
  <c r="S347" i="3"/>
  <c r="S341" i="3"/>
  <c r="S331" i="3"/>
  <c r="S321" i="3"/>
  <c r="S311" i="3"/>
  <c r="S301" i="3"/>
  <c r="S419" i="3"/>
  <c r="S400" i="3"/>
  <c r="S392" i="3"/>
  <c r="S366" i="3"/>
  <c r="S362" i="3"/>
  <c r="S350" i="3"/>
  <c r="S338" i="3"/>
  <c r="S328" i="3"/>
  <c r="S318" i="3"/>
  <c r="S308" i="3"/>
  <c r="S407" i="3"/>
  <c r="S399" i="3"/>
  <c r="S398" i="3"/>
  <c r="S385" i="3"/>
  <c r="S359" i="3"/>
  <c r="S356" i="3"/>
  <c r="S352" i="3"/>
  <c r="S292" i="3"/>
  <c r="S279" i="3"/>
  <c r="S263" i="3"/>
  <c r="S244" i="3"/>
  <c r="S234" i="3"/>
  <c r="S224" i="3"/>
  <c r="S406" i="3"/>
  <c r="S391" i="3"/>
  <c r="S384" i="3"/>
  <c r="S383" i="3"/>
  <c r="S365" i="3"/>
  <c r="S413" i="3"/>
  <c r="S411" i="3"/>
  <c r="S409" i="3"/>
  <c r="S405" i="3"/>
  <c r="S397" i="3"/>
  <c r="S358" i="3"/>
  <c r="S339" i="3"/>
  <c r="S329" i="3"/>
  <c r="S319" i="3"/>
  <c r="S309" i="3"/>
  <c r="S299" i="3"/>
  <c r="S283" i="3"/>
  <c r="S267" i="3"/>
  <c r="S260" i="3"/>
  <c r="S315" i="3"/>
  <c r="S307" i="3"/>
  <c r="S259" i="3"/>
  <c r="S232" i="3"/>
  <c r="S227" i="3"/>
  <c r="S369" i="3"/>
  <c r="S335" i="3"/>
  <c r="S325" i="3"/>
  <c r="S277" i="3"/>
  <c r="S269" i="3"/>
  <c r="S258" i="3"/>
  <c r="S254" i="3"/>
  <c r="S246" i="3"/>
  <c r="S317" i="3"/>
  <c r="S295" i="3"/>
  <c r="S282" i="3"/>
  <c r="S253" i="3"/>
  <c r="S242" i="3"/>
  <c r="S237" i="3"/>
  <c r="S226" i="3"/>
  <c r="S220" i="3"/>
  <c r="S210" i="3"/>
  <c r="S337" i="3"/>
  <c r="S345" i="3"/>
  <c r="S340" i="3"/>
  <c r="S330" i="3"/>
  <c r="S320" i="3"/>
  <c r="S302" i="3"/>
  <c r="S297" i="3"/>
  <c r="S276" i="3"/>
  <c r="S280" i="3"/>
  <c r="S275" i="3"/>
  <c r="S256" i="3"/>
  <c r="S251" i="3"/>
  <c r="S248" i="3"/>
  <c r="S312" i="3"/>
  <c r="S342" i="3"/>
  <c r="S332" i="3"/>
  <c r="S322" i="3"/>
  <c r="S357" i="3"/>
  <c r="S305" i="3"/>
  <c r="S250" i="3"/>
  <c r="S238" i="3"/>
  <c r="S230" i="3"/>
  <c r="S214" i="3"/>
  <c r="S204" i="3"/>
  <c r="S201" i="3"/>
  <c r="S191" i="3"/>
  <c r="S181" i="3"/>
  <c r="S171" i="3"/>
  <c r="S161" i="3"/>
  <c r="S151" i="3"/>
  <c r="S351" i="3"/>
  <c r="S286" i="3"/>
  <c r="S285" i="3"/>
  <c r="S255" i="3"/>
  <c r="S247" i="3"/>
  <c r="S240" i="3"/>
  <c r="S300" i="3"/>
  <c r="S235" i="3"/>
  <c r="S218" i="3"/>
  <c r="S203" i="3"/>
  <c r="S197" i="3"/>
  <c r="S184" i="3"/>
  <c r="S175" i="3"/>
  <c r="S272" i="3"/>
  <c r="S245" i="3"/>
  <c r="S233" i="3"/>
  <c r="S221" i="3"/>
  <c r="S192" i="3"/>
  <c r="S188" i="3"/>
  <c r="S180" i="3"/>
  <c r="S178" i="3"/>
  <c r="S173" i="3"/>
  <c r="S166" i="3"/>
  <c r="S159" i="3"/>
  <c r="T159" i="3" s="1"/>
  <c r="S136" i="3"/>
  <c r="S130" i="3"/>
  <c r="S127" i="3"/>
  <c r="S124" i="3"/>
  <c r="AC122" i="3"/>
  <c r="S118" i="3"/>
  <c r="AC116" i="3"/>
  <c r="AC113" i="3"/>
  <c r="AC110" i="3"/>
  <c r="AC98" i="3"/>
  <c r="AC95" i="3"/>
  <c r="AC92" i="3"/>
  <c r="S88" i="3"/>
  <c r="AC86" i="3"/>
  <c r="S82" i="3"/>
  <c r="S79" i="3"/>
  <c r="S70" i="3"/>
  <c r="S241" i="3"/>
  <c r="S225" i="3"/>
  <c r="S215" i="3"/>
  <c r="S207" i="3"/>
  <c r="S205" i="3"/>
  <c r="S190" i="3"/>
  <c r="S154" i="3"/>
  <c r="S152" i="3"/>
  <c r="S147" i="3"/>
  <c r="AC138" i="3"/>
  <c r="AC135" i="3"/>
  <c r="S115" i="3"/>
  <c r="S112" i="3"/>
  <c r="S109" i="3"/>
  <c r="AC107" i="3"/>
  <c r="S103" i="3"/>
  <c r="AC101" i="3"/>
  <c r="S97" i="3"/>
  <c r="S94" i="3"/>
  <c r="S85" i="3"/>
  <c r="S76" i="3"/>
  <c r="S67" i="3"/>
  <c r="S57" i="3"/>
  <c r="S54" i="3"/>
  <c r="S45" i="3"/>
  <c r="S39" i="3"/>
  <c r="S29" i="3"/>
  <c r="S16" i="3"/>
  <c r="S7" i="3"/>
  <c r="S273" i="3"/>
  <c r="S266" i="3"/>
  <c r="S223" i="3"/>
  <c r="S196" i="3"/>
  <c r="S183" i="3"/>
  <c r="S176" i="3"/>
  <c r="S169" i="3"/>
  <c r="AC292" i="3"/>
  <c r="S289" i="3"/>
  <c r="S261" i="3"/>
  <c r="S310" i="3"/>
  <c r="AC256" i="3"/>
  <c r="S236" i="3"/>
  <c r="S206" i="3"/>
  <c r="S298" i="3"/>
  <c r="AC255" i="3"/>
  <c r="S252" i="3"/>
  <c r="S327" i="3"/>
  <c r="S281" i="3"/>
  <c r="AC271" i="3"/>
  <c r="S257" i="3"/>
  <c r="S222" i="3"/>
  <c r="S182" i="3"/>
  <c r="S177" i="3"/>
  <c r="S165" i="3"/>
  <c r="S228" i="3"/>
  <c r="S213" i="3"/>
  <c r="S199" i="3"/>
  <c r="S195" i="3"/>
  <c r="S186" i="3"/>
  <c r="S170" i="3"/>
  <c r="S168" i="3"/>
  <c r="S163" i="3"/>
  <c r="S156" i="3"/>
  <c r="S149" i="3"/>
  <c r="S139" i="3"/>
  <c r="AC137" i="3"/>
  <c r="S126" i="3"/>
  <c r="S217" i="3"/>
  <c r="S216" i="3"/>
  <c r="S158" i="3"/>
  <c r="S155" i="3"/>
  <c r="AC140" i="3"/>
  <c r="S137" i="3"/>
  <c r="AC133" i="3"/>
  <c r="S131" i="3"/>
  <c r="AC130" i="3"/>
  <c r="S125" i="3"/>
  <c r="S122" i="3"/>
  <c r="AC77" i="3"/>
  <c r="S73" i="3"/>
  <c r="AC72" i="3"/>
  <c r="S63" i="3"/>
  <c r="S33" i="3"/>
  <c r="T33" i="3" s="1"/>
  <c r="S28" i="3"/>
  <c r="T28" i="3" s="1"/>
  <c r="AC11" i="3"/>
  <c r="S10" i="3"/>
  <c r="S200" i="3"/>
  <c r="S198" i="3"/>
  <c r="S189" i="3"/>
  <c r="S148" i="3"/>
  <c r="S119" i="3"/>
  <c r="S117" i="3"/>
  <c r="S107" i="3"/>
  <c r="S105" i="3"/>
  <c r="AC91" i="3"/>
  <c r="S89" i="3"/>
  <c r="S87" i="3"/>
  <c r="S194" i="3"/>
  <c r="S167" i="3"/>
  <c r="S164" i="3"/>
  <c r="S231" i="3"/>
  <c r="S193" i="3"/>
  <c r="T193" i="3" s="1"/>
  <c r="S187" i="3"/>
  <c r="S185" i="3"/>
  <c r="S157" i="3"/>
  <c r="S143" i="3"/>
  <c r="S133" i="3"/>
  <c r="AC132" i="3"/>
  <c r="AC118" i="3"/>
  <c r="S114" i="3"/>
  <c r="T114" i="3" s="1"/>
  <c r="S102" i="3"/>
  <c r="AC88" i="3"/>
  <c r="S84" i="3"/>
  <c r="AC83" i="3"/>
  <c r="S208" i="3"/>
  <c r="S212" i="3"/>
  <c r="S202" i="3"/>
  <c r="S146" i="3"/>
  <c r="S132" i="3"/>
  <c r="AC131" i="3"/>
  <c r="S129" i="3"/>
  <c r="AC128" i="3"/>
  <c r="AC125" i="3"/>
  <c r="AC117" i="3"/>
  <c r="S111" i="3"/>
  <c r="S101" i="3"/>
  <c r="S96" i="3"/>
  <c r="AC87" i="3"/>
  <c r="S81" i="3"/>
  <c r="AC75" i="3"/>
  <c r="S211" i="3"/>
  <c r="S174" i="3"/>
  <c r="S142" i="3"/>
  <c r="AC141" i="3"/>
  <c r="S138" i="3"/>
  <c r="S135" i="3"/>
  <c r="S134" i="3"/>
  <c r="S123" i="3"/>
  <c r="AC112" i="3"/>
  <c r="S108" i="3"/>
  <c r="AC97" i="3"/>
  <c r="AC82" i="3"/>
  <c r="S78" i="3"/>
  <c r="S71" i="3"/>
  <c r="S69" i="3"/>
  <c r="S60" i="3"/>
  <c r="AC52" i="3"/>
  <c r="S51" i="3"/>
  <c r="AC50" i="3"/>
  <c r="S35" i="3"/>
  <c r="T35" i="3" s="1"/>
  <c r="S30" i="3"/>
  <c r="S23" i="3"/>
  <c r="AC17" i="3"/>
  <c r="AC15" i="3"/>
  <c r="S179" i="3"/>
  <c r="S162" i="3"/>
  <c r="T162" i="3" s="1"/>
  <c r="S141" i="3"/>
  <c r="S121" i="3"/>
  <c r="S120" i="3"/>
  <c r="AC100" i="3"/>
  <c r="S98" i="3"/>
  <c r="S83" i="3"/>
  <c r="T83" i="3" s="1"/>
  <c r="S80" i="3"/>
  <c r="S53" i="3"/>
  <c r="S50" i="3"/>
  <c r="S44" i="3"/>
  <c r="AC43" i="3"/>
  <c r="S24" i="3"/>
  <c r="S21" i="3"/>
  <c r="S17" i="3"/>
  <c r="AC7" i="3"/>
  <c r="S32" i="3"/>
  <c r="AC136" i="3"/>
  <c r="S100" i="3"/>
  <c r="S99" i="3"/>
  <c r="AC90" i="3"/>
  <c r="S61" i="3"/>
  <c r="AC55" i="3"/>
  <c r="S47" i="3"/>
  <c r="AC46" i="3"/>
  <c r="S34" i="3"/>
  <c r="S27" i="3"/>
  <c r="AC26" i="3"/>
  <c r="AC142" i="3"/>
  <c r="AC102" i="3"/>
  <c r="AC85" i="3"/>
  <c r="S56" i="3"/>
  <c r="S52" i="3"/>
  <c r="S43" i="3"/>
  <c r="S41" i="3"/>
  <c r="AC23" i="3"/>
  <c r="S14" i="3"/>
  <c r="AC13" i="3"/>
  <c r="S5" i="3"/>
  <c r="AC127" i="3"/>
  <c r="AC126" i="3"/>
  <c r="AC93" i="3"/>
  <c r="S86" i="3"/>
  <c r="S66" i="3"/>
  <c r="S58" i="3"/>
  <c r="T58" i="3" s="1"/>
  <c r="S160" i="3"/>
  <c r="S153" i="3"/>
  <c r="S150" i="3"/>
  <c r="S128" i="3"/>
  <c r="AC106" i="3"/>
  <c r="AC103" i="3"/>
  <c r="S91" i="3"/>
  <c r="S90" i="3"/>
  <c r="S74" i="3"/>
  <c r="AC73" i="3"/>
  <c r="S49" i="3"/>
  <c r="AC48" i="3"/>
  <c r="AC45" i="3"/>
  <c r="AC42" i="3"/>
  <c r="S38" i="3"/>
  <c r="S26" i="3"/>
  <c r="AC25" i="3"/>
  <c r="AC22" i="3"/>
  <c r="AC10" i="3"/>
  <c r="AC6" i="3"/>
  <c r="S172" i="3"/>
  <c r="S145" i="3"/>
  <c r="S144" i="3"/>
  <c r="AC105" i="3"/>
  <c r="S104" i="3"/>
  <c r="S92" i="3"/>
  <c r="S75" i="3"/>
  <c r="S72" i="3"/>
  <c r="S65" i="3"/>
  <c r="S55" i="3"/>
  <c r="AC51" i="3"/>
  <c r="S46" i="3"/>
  <c r="AC115" i="3"/>
  <c r="S113" i="3"/>
  <c r="S110" i="3"/>
  <c r="S95" i="3"/>
  <c r="S68" i="3"/>
  <c r="T68" i="3" s="1"/>
  <c r="AC47" i="3"/>
  <c r="S42" i="3"/>
  <c r="S37" i="3"/>
  <c r="T37" i="3" s="1"/>
  <c r="AC123" i="3"/>
  <c r="AC121" i="3"/>
  <c r="S116" i="3"/>
  <c r="AC81" i="3"/>
  <c r="AC80" i="3"/>
  <c r="S59" i="3"/>
  <c r="P14" i="3"/>
  <c r="T29" i="3"/>
  <c r="AC111" i="3"/>
  <c r="I1314" i="14"/>
  <c r="I1310" i="14"/>
  <c r="I1305" i="14"/>
  <c r="I1313" i="14"/>
  <c r="I1300" i="14"/>
  <c r="I1309" i="14"/>
  <c r="I1304" i="14"/>
  <c r="Q123" i="3"/>
  <c r="T146" i="3"/>
  <c r="AF146" i="3"/>
  <c r="AZ156" i="1"/>
  <c r="BF156" i="1" s="1"/>
  <c r="BG156" i="1" s="1"/>
  <c r="AB146" i="3"/>
  <c r="AD146" i="3" s="1"/>
  <c r="AE146" i="3" s="1"/>
  <c r="BC394" i="1"/>
  <c r="AY416" i="1"/>
  <c r="AY427" i="1"/>
  <c r="BA430" i="1"/>
  <c r="BD430" i="1"/>
  <c r="BC430" i="1"/>
  <c r="BB430" i="1"/>
  <c r="I9" i="14"/>
  <c r="I10" i="14"/>
  <c r="I11" i="14"/>
  <c r="K11" i="14" s="1"/>
  <c r="I12" i="14"/>
  <c r="I7" i="14"/>
  <c r="I14" i="14"/>
  <c r="AB39" i="3"/>
  <c r="AD39" i="3" s="1"/>
  <c r="AE39" i="3" s="1"/>
  <c r="AF39" i="3"/>
  <c r="AF62" i="3"/>
  <c r="AB62" i="3"/>
  <c r="AD62" i="3" s="1"/>
  <c r="AE62" i="3" s="1"/>
  <c r="V32" i="3"/>
  <c r="O32" i="3"/>
  <c r="AB36" i="3"/>
  <c r="AD36" i="3" s="1"/>
  <c r="AE36" i="3" s="1"/>
  <c r="P42" i="3"/>
  <c r="Q63" i="3"/>
  <c r="I762" i="14"/>
  <c r="I759" i="14"/>
  <c r="I765" i="14"/>
  <c r="C62" i="17"/>
  <c r="AB86" i="3"/>
  <c r="AD86" i="3" s="1"/>
  <c r="AE86" i="3" s="1"/>
  <c r="AF86" i="3"/>
  <c r="Q122" i="3"/>
  <c r="O41" i="3"/>
  <c r="Q41" i="3" s="1"/>
  <c r="W41" i="3"/>
  <c r="F51" i="1" s="1"/>
  <c r="BH51" i="1" s="1"/>
  <c r="V41" i="3"/>
  <c r="AB59" i="3"/>
  <c r="AD59" i="3" s="1"/>
  <c r="AE59" i="3" s="1"/>
  <c r="AF59" i="3"/>
  <c r="T59" i="3"/>
  <c r="C92" i="17"/>
  <c r="AB116" i="3"/>
  <c r="AF116" i="3"/>
  <c r="W63" i="3"/>
  <c r="F73" i="1" s="1"/>
  <c r="BH73" i="1" s="1"/>
  <c r="V63" i="3"/>
  <c r="O63" i="3"/>
  <c r="AB65" i="3"/>
  <c r="AD65" i="3" s="1"/>
  <c r="AE65" i="3" s="1"/>
  <c r="AF65" i="3"/>
  <c r="T65" i="3"/>
  <c r="I677" i="14"/>
  <c r="I674" i="14"/>
  <c r="I678" i="14"/>
  <c r="I683" i="14"/>
  <c r="I681" i="14"/>
  <c r="I686" i="14"/>
  <c r="I684" i="14"/>
  <c r="I682" i="14"/>
  <c r="I673" i="14"/>
  <c r="I675" i="14"/>
  <c r="T57" i="3"/>
  <c r="AF57" i="3"/>
  <c r="I1268" i="14"/>
  <c r="I1278" i="14"/>
  <c r="I1272" i="14"/>
  <c r="I1281" i="14"/>
  <c r="I1273" i="14"/>
  <c r="K147" i="1"/>
  <c r="BB199" i="1"/>
  <c r="BF199" i="1" s="1"/>
  <c r="BG199" i="1" s="1"/>
  <c r="BD199" i="1"/>
  <c r="BE210" i="1"/>
  <c r="BC210" i="1"/>
  <c r="BD211" i="1"/>
  <c r="BB211" i="1"/>
  <c r="BB224" i="1"/>
  <c r="BD224" i="1"/>
  <c r="BF243" i="1"/>
  <c r="BG243" i="1" s="1"/>
  <c r="BD246" i="1"/>
  <c r="BC246" i="1"/>
  <c r="BA246" i="1"/>
  <c r="BF253" i="1"/>
  <c r="BG253" i="1" s="1"/>
  <c r="BD256" i="1"/>
  <c r="BC256" i="1"/>
  <c r="BA256" i="1"/>
  <c r="AA263" i="1"/>
  <c r="AD263" i="1" s="1"/>
  <c r="BF268" i="1"/>
  <c r="BG268" i="1" s="1"/>
  <c r="BC272" i="1"/>
  <c r="BA272" i="1"/>
  <c r="BF283" i="1"/>
  <c r="BG283" i="1" s="1"/>
  <c r="BB284" i="1"/>
  <c r="BE284" i="1"/>
  <c r="BC284" i="1"/>
  <c r="S301" i="1"/>
  <c r="W301" i="1" s="1"/>
  <c r="BD308" i="1"/>
  <c r="BF318" i="1"/>
  <c r="BG318" i="1" s="1"/>
  <c r="BC320" i="1"/>
  <c r="BA320" i="1"/>
  <c r="BE340" i="1"/>
  <c r="BC340" i="1"/>
  <c r="BD341" i="1"/>
  <c r="BB341" i="1"/>
  <c r="BF341" i="1" s="1"/>
  <c r="BG341" i="1" s="1"/>
  <c r="BA357" i="1"/>
  <c r="R381" i="1"/>
  <c r="AA383" i="1"/>
  <c r="AD383" i="1" s="1"/>
  <c r="BC406" i="1"/>
  <c r="BE406" i="1"/>
  <c r="BD406" i="1"/>
  <c r="AY407" i="1"/>
  <c r="BB407" i="1"/>
  <c r="BE407" i="1"/>
  <c r="BC407" i="1"/>
  <c r="BE408" i="1"/>
  <c r="BA408" i="1"/>
  <c r="AY408" i="1"/>
  <c r="BE433" i="1"/>
  <c r="BA433" i="1"/>
  <c r="BF433" i="1" s="1"/>
  <c r="BG433" i="1" s="1"/>
  <c r="AY433" i="1"/>
  <c r="S4" i="3"/>
  <c r="AC18" i="3"/>
  <c r="W32" i="3"/>
  <c r="F42" i="1" s="1"/>
  <c r="BH42" i="1" s="1"/>
  <c r="AZ45" i="1"/>
  <c r="BF45" i="1" s="1"/>
  <c r="BG45" i="1" s="1"/>
  <c r="AF35" i="3"/>
  <c r="AF36" i="3"/>
  <c r="S40" i="3"/>
  <c r="I507" i="14"/>
  <c r="I503" i="14"/>
  <c r="I499" i="14"/>
  <c r="I510" i="14"/>
  <c r="I509" i="14"/>
  <c r="I502" i="14"/>
  <c r="I495" i="14"/>
  <c r="I505" i="14"/>
  <c r="I500" i="14"/>
  <c r="I498" i="14"/>
  <c r="I506" i="14"/>
  <c r="I496" i="14"/>
  <c r="Q61" i="3"/>
  <c r="S64" i="3"/>
  <c r="S93" i="3"/>
  <c r="S106" i="3"/>
  <c r="S21" i="1"/>
  <c r="W21" i="1" s="1"/>
  <c r="BE62" i="1"/>
  <c r="BC73" i="1"/>
  <c r="BA73" i="1"/>
  <c r="BC83" i="1"/>
  <c r="BA83" i="1"/>
  <c r="BA91" i="1"/>
  <c r="K104" i="1"/>
  <c r="BC170" i="1"/>
  <c r="BA170" i="1"/>
  <c r="BC78" i="1"/>
  <c r="BA78" i="1"/>
  <c r="BF78" i="1" s="1"/>
  <c r="BG78" i="1" s="1"/>
  <c r="AY90" i="1"/>
  <c r="AA94" i="1"/>
  <c r="AD94" i="1" s="1"/>
  <c r="BC103" i="1"/>
  <c r="BA103" i="1"/>
  <c r="AA109" i="1"/>
  <c r="AD109" i="1" s="1"/>
  <c r="K114" i="1"/>
  <c r="AA115" i="1"/>
  <c r="AD115" i="1" s="1"/>
  <c r="AA116" i="1"/>
  <c r="AD116" i="1" s="1"/>
  <c r="R128" i="1"/>
  <c r="BE142" i="1"/>
  <c r="BB142" i="1"/>
  <c r="BC146" i="1"/>
  <c r="BA146" i="1"/>
  <c r="AY156" i="1"/>
  <c r="BE158" i="1"/>
  <c r="BC158" i="1"/>
  <c r="BF158" i="1" s="1"/>
  <c r="BG158" i="1" s="1"/>
  <c r="AY170" i="1"/>
  <c r="AY171" i="1"/>
  <c r="BE188" i="1"/>
  <c r="BC188" i="1"/>
  <c r="BC200" i="1"/>
  <c r="BA200" i="1"/>
  <c r="AY210" i="1"/>
  <c r="BF223" i="1"/>
  <c r="BG223" i="1" s="1"/>
  <c r="BC225" i="1"/>
  <c r="BA225" i="1"/>
  <c r="AY245" i="1"/>
  <c r="AY255" i="1"/>
  <c r="R278" i="1"/>
  <c r="BC301" i="1"/>
  <c r="BA301" i="1"/>
  <c r="BD303" i="1"/>
  <c r="BB303" i="1"/>
  <c r="BB309" i="1"/>
  <c r="BD309" i="1"/>
  <c r="BA309" i="1"/>
  <c r="BE333" i="1"/>
  <c r="BC333" i="1"/>
  <c r="BF333" i="1" s="1"/>
  <c r="BG333" i="1" s="1"/>
  <c r="BB357" i="1"/>
  <c r="AD365" i="1"/>
  <c r="AA381" i="1"/>
  <c r="BD382" i="1"/>
  <c r="BB382" i="1"/>
  <c r="BE382" i="1"/>
  <c r="BA382" i="1"/>
  <c r="BC382" i="1"/>
  <c r="BA384" i="1"/>
  <c r="BE384" i="1"/>
  <c r="R389" i="1"/>
  <c r="BE418" i="1"/>
  <c r="BA428" i="1"/>
  <c r="BF428" i="1" s="1"/>
  <c r="BG428" i="1" s="1"/>
  <c r="BE428" i="1"/>
  <c r="BD428" i="1"/>
  <c r="BC428" i="1"/>
  <c r="W8" i="3"/>
  <c r="F18" i="1" s="1"/>
  <c r="BH18" i="1" s="1"/>
  <c r="O8" i="3"/>
  <c r="Q8" i="3" s="1"/>
  <c r="I59" i="14"/>
  <c r="I60" i="14"/>
  <c r="I53" i="14"/>
  <c r="I54" i="14"/>
  <c r="I58" i="14"/>
  <c r="I55" i="14"/>
  <c r="K55" i="14" s="1"/>
  <c r="S13" i="3"/>
  <c r="I149" i="14"/>
  <c r="I144" i="14"/>
  <c r="I139" i="14"/>
  <c r="I143" i="14"/>
  <c r="I138" i="14"/>
  <c r="I141" i="14"/>
  <c r="I136" i="14"/>
  <c r="I142" i="14"/>
  <c r="I148" i="14"/>
  <c r="I137" i="14"/>
  <c r="K137" i="14" s="1"/>
  <c r="I181" i="14"/>
  <c r="I176" i="14"/>
  <c r="I171" i="14"/>
  <c r="I178" i="14"/>
  <c r="I179" i="14"/>
  <c r="I185" i="14"/>
  <c r="I180" i="14"/>
  <c r="I175" i="14"/>
  <c r="I197" i="14"/>
  <c r="I192" i="14"/>
  <c r="I187" i="14"/>
  <c r="I191" i="14"/>
  <c r="I201" i="14"/>
  <c r="I189" i="14"/>
  <c r="I196" i="14"/>
  <c r="I190" i="14"/>
  <c r="S25" i="3"/>
  <c r="AF29" i="3"/>
  <c r="V38" i="3"/>
  <c r="T39" i="3"/>
  <c r="I353" i="14"/>
  <c r="I357" i="14"/>
  <c r="I358" i="14"/>
  <c r="I351" i="14"/>
  <c r="I362" i="14"/>
  <c r="I359" i="14"/>
  <c r="I352" i="14"/>
  <c r="I356" i="14"/>
  <c r="I349" i="14"/>
  <c r="I556" i="14"/>
  <c r="I549" i="14"/>
  <c r="I550" i="14"/>
  <c r="I548" i="14"/>
  <c r="I546" i="14"/>
  <c r="I559" i="14"/>
  <c r="I553" i="14"/>
  <c r="S62" i="3"/>
  <c r="T62" i="3" s="1"/>
  <c r="AC76" i="3"/>
  <c r="K14" i="1"/>
  <c r="AD128" i="1"/>
  <c r="S146" i="1"/>
  <c r="W146" i="1" s="1"/>
  <c r="BC155" i="1"/>
  <c r="BA155" i="1"/>
  <c r="S14" i="1"/>
  <c r="W14" i="1" s="1"/>
  <c r="AA388" i="1"/>
  <c r="AD388" i="1" s="1"/>
  <c r="AA382" i="1"/>
  <c r="AD382" i="1" s="1"/>
  <c r="AA380" i="1"/>
  <c r="AD380" i="1" s="1"/>
  <c r="AA302" i="1"/>
  <c r="AD302" i="1" s="1"/>
  <c r="AA297" i="1"/>
  <c r="AD297" i="1" s="1"/>
  <c r="AA147" i="1"/>
  <c r="AD147" i="1" s="1"/>
  <c r="AA137" i="1"/>
  <c r="AD137" i="1" s="1"/>
  <c r="AA127" i="1"/>
  <c r="AD127" i="1" s="1"/>
  <c r="AA122" i="1"/>
  <c r="AD122" i="1" s="1"/>
  <c r="AA117" i="1"/>
  <c r="AD117" i="1" s="1"/>
  <c r="AA359" i="1"/>
  <c r="AD359" i="1" s="1"/>
  <c r="AA152" i="1"/>
  <c r="AD152" i="1" s="1"/>
  <c r="AA150" i="1"/>
  <c r="AD150" i="1" s="1"/>
  <c r="AA148" i="1"/>
  <c r="AD148" i="1" s="1"/>
  <c r="AA142" i="1"/>
  <c r="AD142" i="1" s="1"/>
  <c r="AA140" i="1"/>
  <c r="AD140" i="1" s="1"/>
  <c r="AA138" i="1"/>
  <c r="AD138" i="1" s="1"/>
  <c r="AA110" i="1"/>
  <c r="AD110" i="1" s="1"/>
  <c r="AA100" i="1"/>
  <c r="AD100" i="1" s="1"/>
  <c r="AA65" i="1"/>
  <c r="AD65" i="1" s="1"/>
  <c r="AA55" i="1"/>
  <c r="AD55" i="1" s="1"/>
  <c r="AA30" i="1"/>
  <c r="AD30" i="1" s="1"/>
  <c r="AA20" i="1"/>
  <c r="AD20" i="1" s="1"/>
  <c r="AA299" i="1"/>
  <c r="AD299" i="1" s="1"/>
  <c r="AA278" i="1"/>
  <c r="AD278" i="1" s="1"/>
  <c r="AA144" i="1"/>
  <c r="AD144" i="1" s="1"/>
  <c r="AA134" i="1"/>
  <c r="AD134" i="1" s="1"/>
  <c r="AA128" i="1"/>
  <c r="AA112" i="1"/>
  <c r="AD112" i="1" s="1"/>
  <c r="AA102" i="1"/>
  <c r="AD102" i="1" s="1"/>
  <c r="AA92" i="1"/>
  <c r="AD92" i="1" s="1"/>
  <c r="AA87" i="1"/>
  <c r="AD87" i="1" s="1"/>
  <c r="AA82" i="1"/>
  <c r="AD82" i="1" s="1"/>
  <c r="AA17" i="1"/>
  <c r="AD17" i="1" s="1"/>
  <c r="AY18" i="1"/>
  <c r="AA26" i="1"/>
  <c r="AD26" i="1" s="1"/>
  <c r="AA36" i="1"/>
  <c r="AD36" i="1" s="1"/>
  <c r="AY37" i="1"/>
  <c r="BA61" i="1"/>
  <c r="BA62" i="1"/>
  <c r="AZ68" i="1"/>
  <c r="AY73" i="1"/>
  <c r="K103" i="1"/>
  <c r="BC113" i="1"/>
  <c r="BA113" i="1"/>
  <c r="AA123" i="1"/>
  <c r="BB135" i="1"/>
  <c r="AA139" i="1"/>
  <c r="AD139" i="1" s="1"/>
  <c r="BA142" i="1"/>
  <c r="BE152" i="1"/>
  <c r="BB152" i="1"/>
  <c r="BA156" i="1"/>
  <c r="BB159" i="1"/>
  <c r="BC159" i="1"/>
  <c r="BF169" i="1"/>
  <c r="BG169" i="1" s="1"/>
  <c r="BA171" i="1"/>
  <c r="BD173" i="1"/>
  <c r="BB173" i="1"/>
  <c r="BB189" i="1"/>
  <c r="BC189" i="1"/>
  <c r="AY199" i="1"/>
  <c r="AY200" i="1"/>
  <c r="AY201" i="1"/>
  <c r="AY211" i="1"/>
  <c r="BD213" i="1"/>
  <c r="BF213" i="1" s="1"/>
  <c r="BG213" i="1" s="1"/>
  <c r="AY224" i="1"/>
  <c r="AY225" i="1"/>
  <c r="AY226" i="1"/>
  <c r="BE238" i="1"/>
  <c r="BC238" i="1"/>
  <c r="AY246" i="1"/>
  <c r="AY256" i="1"/>
  <c r="AY261" i="1"/>
  <c r="BD261" i="1"/>
  <c r="BF261" i="1" s="1"/>
  <c r="BG261" i="1" s="1"/>
  <c r="AY272" i="1"/>
  <c r="AY284" i="1"/>
  <c r="AY285" i="1"/>
  <c r="BC304" i="1"/>
  <c r="BA310" i="1"/>
  <c r="AY310" i="1"/>
  <c r="BD311" i="1"/>
  <c r="BB334" i="1"/>
  <c r="BF334" i="1" s="1"/>
  <c r="BG334" i="1" s="1"/>
  <c r="BC334" i="1"/>
  <c r="BC357" i="1"/>
  <c r="AA365" i="1"/>
  <c r="BD377" i="1"/>
  <c r="BC377" i="1"/>
  <c r="BA377" i="1"/>
  <c r="BE378" i="1"/>
  <c r="BB378" i="1"/>
  <c r="AY384" i="1"/>
  <c r="BC386" i="1"/>
  <c r="BF386" i="1" s="1"/>
  <c r="BG386" i="1" s="1"/>
  <c r="BE386" i="1"/>
  <c r="AY387" i="1"/>
  <c r="BD387" i="1"/>
  <c r="BB387" i="1"/>
  <c r="BF387" i="1" s="1"/>
  <c r="BG387" i="1" s="1"/>
  <c r="BC388" i="1"/>
  <c r="BA388" i="1"/>
  <c r="BE388" i="1"/>
  <c r="AY392" i="1"/>
  <c r="BE392" i="1"/>
  <c r="BC392" i="1"/>
  <c r="BE393" i="1"/>
  <c r="BC393" i="1"/>
  <c r="BB393" i="1"/>
  <c r="BF393" i="1" s="1"/>
  <c r="BG393" i="1" s="1"/>
  <c r="BC396" i="1"/>
  <c r="BE396" i="1"/>
  <c r="AY397" i="1"/>
  <c r="BB397" i="1"/>
  <c r="BD397" i="1"/>
  <c r="BE398" i="1"/>
  <c r="BB398" i="1"/>
  <c r="AY412" i="1"/>
  <c r="BC412" i="1"/>
  <c r="BA412" i="1"/>
  <c r="BE413" i="1"/>
  <c r="BC413" i="1"/>
  <c r="AY417" i="1"/>
  <c r="BB417" i="1"/>
  <c r="BD417" i="1"/>
  <c r="BA417" i="1"/>
  <c r="AY428" i="1"/>
  <c r="O9" i="3"/>
  <c r="Q9" i="3" s="1"/>
  <c r="W9" i="3"/>
  <c r="F19" i="1" s="1"/>
  <c r="BH19" i="1" s="1"/>
  <c r="V9" i="3"/>
  <c r="AC12" i="3"/>
  <c r="S22" i="3"/>
  <c r="AF37" i="3"/>
  <c r="AB164" i="3"/>
  <c r="AD164" i="3" s="1"/>
  <c r="AE164" i="3" s="1"/>
  <c r="AF164" i="3"/>
  <c r="I842" i="14"/>
  <c r="I837" i="14"/>
  <c r="I847" i="14"/>
  <c r="I841" i="14"/>
  <c r="I836" i="14"/>
  <c r="I834" i="14"/>
  <c r="I845" i="14"/>
  <c r="C90" i="17"/>
  <c r="AF114" i="3"/>
  <c r="I1626" i="14"/>
  <c r="I1623" i="14"/>
  <c r="I1621" i="14"/>
  <c r="I1619" i="14"/>
  <c r="I1618" i="14"/>
  <c r="Q145" i="3"/>
  <c r="Q152" i="3"/>
  <c r="AF153" i="3"/>
  <c r="AB153" i="3"/>
  <c r="AD153" i="3" s="1"/>
  <c r="AE153" i="3" s="1"/>
  <c r="AB159" i="3"/>
  <c r="AD159" i="3" s="1"/>
  <c r="AE159" i="3" s="1"/>
  <c r="AF159" i="3"/>
  <c r="V166" i="3"/>
  <c r="W166" i="3"/>
  <c r="F176" i="1" s="1"/>
  <c r="BH176" i="1" s="1"/>
  <c r="AF184" i="3"/>
  <c r="AB184" i="3"/>
  <c r="AD184" i="3" s="1"/>
  <c r="AE184" i="3" s="1"/>
  <c r="T192" i="3"/>
  <c r="AB192" i="3"/>
  <c r="AD192" i="3" s="1"/>
  <c r="AE192" i="3" s="1"/>
  <c r="AF192" i="3"/>
  <c r="AZ202" i="1"/>
  <c r="BF202" i="1" s="1"/>
  <c r="BG202" i="1" s="1"/>
  <c r="P32" i="3"/>
  <c r="Q32" i="3" s="1"/>
  <c r="V36" i="3"/>
  <c r="W36" i="3"/>
  <c r="F46" i="1" s="1"/>
  <c r="BH46" i="1" s="1"/>
  <c r="V57" i="3"/>
  <c r="Q66" i="3"/>
  <c r="P67" i="3"/>
  <c r="Q67" i="3" s="1"/>
  <c r="V69" i="3"/>
  <c r="V75" i="3"/>
  <c r="I746" i="14"/>
  <c r="I748" i="14"/>
  <c r="I738" i="14"/>
  <c r="I747" i="14"/>
  <c r="P85" i="3"/>
  <c r="I1376" i="14"/>
  <c r="I1377" i="14"/>
  <c r="I1370" i="14"/>
  <c r="I1374" i="14"/>
  <c r="I1366" i="14"/>
  <c r="Q149" i="3"/>
  <c r="P158" i="3"/>
  <c r="T196" i="3"/>
  <c r="AB196" i="3"/>
  <c r="AD196" i="3" s="1"/>
  <c r="AE196" i="3" s="1"/>
  <c r="AF196" i="3"/>
  <c r="O144" i="3"/>
  <c r="V144" i="3"/>
  <c r="W147" i="3"/>
  <c r="F157" i="1" s="1"/>
  <c r="BH157" i="1" s="1"/>
  <c r="O147" i="3"/>
  <c r="W152" i="3"/>
  <c r="F162" i="1" s="1"/>
  <c r="BH162" i="1" s="1"/>
  <c r="O152" i="3"/>
  <c r="V152" i="3"/>
  <c r="O166" i="3"/>
  <c r="AF170" i="3"/>
  <c r="AB170" i="3"/>
  <c r="AD170" i="3" s="1"/>
  <c r="AE170" i="3" s="1"/>
  <c r="W182" i="3"/>
  <c r="F192" i="1" s="1"/>
  <c r="BH192" i="1" s="1"/>
  <c r="O182" i="3"/>
  <c r="V190" i="3"/>
  <c r="W190" i="3"/>
  <c r="F200" i="1" s="1"/>
  <c r="BH200" i="1" s="1"/>
  <c r="O190" i="3"/>
  <c r="AB220" i="3"/>
  <c r="AD220" i="3" s="1"/>
  <c r="AE220" i="3" s="1"/>
  <c r="AF220" i="3"/>
  <c r="W154" i="3"/>
  <c r="F164" i="1" s="1"/>
  <c r="BH164" i="1" s="1"/>
  <c r="V154" i="3"/>
  <c r="Q155" i="3"/>
  <c r="O158" i="3"/>
  <c r="W158" i="3"/>
  <c r="F168" i="1" s="1"/>
  <c r="BH168" i="1" s="1"/>
  <c r="I419" i="14"/>
  <c r="I430" i="14"/>
  <c r="I423" i="14"/>
  <c r="I427" i="14"/>
  <c r="I418" i="14"/>
  <c r="I426" i="14"/>
  <c r="I421" i="14"/>
  <c r="I422" i="14"/>
  <c r="I425" i="14"/>
  <c r="I417" i="14"/>
  <c r="I476" i="14"/>
  <c r="I472" i="14"/>
  <c r="I473" i="14"/>
  <c r="I463" i="14"/>
  <c r="I465" i="14"/>
  <c r="I478" i="14"/>
  <c r="I468" i="14"/>
  <c r="I471" i="14"/>
  <c r="I464" i="14"/>
  <c r="I469" i="14"/>
  <c r="I467" i="14"/>
  <c r="I475" i="14"/>
  <c r="I663" i="14"/>
  <c r="I670" i="14"/>
  <c r="I660" i="14"/>
  <c r="I666" i="14"/>
  <c r="I664" i="14"/>
  <c r="I659" i="14"/>
  <c r="V87" i="3"/>
  <c r="I985" i="14"/>
  <c r="I980" i="14"/>
  <c r="I989" i="14"/>
  <c r="I983" i="14"/>
  <c r="I984" i="14"/>
  <c r="I987" i="14"/>
  <c r="I979" i="14"/>
  <c r="I1289" i="14"/>
  <c r="I1284" i="14"/>
  <c r="I1294" i="14"/>
  <c r="I1288" i="14"/>
  <c r="I1297" i="14"/>
  <c r="Q147" i="3"/>
  <c r="T148" i="3"/>
  <c r="AB148" i="3"/>
  <c r="AD148" i="3" s="1"/>
  <c r="AE148" i="3" s="1"/>
  <c r="W161" i="3"/>
  <c r="F171" i="1" s="1"/>
  <c r="BH171" i="1" s="1"/>
  <c r="V161" i="3"/>
  <c r="O161" i="3"/>
  <c r="Q161" i="3" s="1"/>
  <c r="Q171" i="3"/>
  <c r="AB183" i="3"/>
  <c r="AD183" i="3" s="1"/>
  <c r="AE183" i="3" s="1"/>
  <c r="T183" i="3"/>
  <c r="AF183" i="3"/>
  <c r="AY422" i="1"/>
  <c r="BB432" i="1"/>
  <c r="AY432" i="1"/>
  <c r="P25" i="3"/>
  <c r="K35" i="1" s="1"/>
  <c r="P51" i="3"/>
  <c r="I525" i="14"/>
  <c r="I524" i="14"/>
  <c r="I521" i="14"/>
  <c r="I520" i="14"/>
  <c r="I515" i="14"/>
  <c r="I518" i="14"/>
  <c r="I523" i="14"/>
  <c r="I516" i="14"/>
  <c r="I526" i="14"/>
  <c r="W75" i="3"/>
  <c r="F85" i="1" s="1"/>
  <c r="BH85" i="1" s="1"/>
  <c r="I1119" i="14"/>
  <c r="I1116" i="14"/>
  <c r="I1109" i="14"/>
  <c r="I1118" i="14"/>
  <c r="I1122" i="14"/>
  <c r="I1114" i="14"/>
  <c r="I1110" i="14"/>
  <c r="I1121" i="14"/>
  <c r="I1146" i="14"/>
  <c r="I1154" i="14"/>
  <c r="I1143" i="14"/>
  <c r="I1151" i="14"/>
  <c r="I1148" i="14"/>
  <c r="I1141" i="14"/>
  <c r="I1152" i="14"/>
  <c r="I1145" i="14"/>
  <c r="I1149" i="14"/>
  <c r="I1196" i="14"/>
  <c r="I1189" i="14"/>
  <c r="I1194" i="14"/>
  <c r="I1198" i="14"/>
  <c r="I1201" i="14"/>
  <c r="I1191" i="14"/>
  <c r="P115" i="3"/>
  <c r="O122" i="3"/>
  <c r="W123" i="3"/>
  <c r="F133" i="1" s="1"/>
  <c r="BH133" i="1" s="1"/>
  <c r="O123" i="3"/>
  <c r="W144" i="3"/>
  <c r="F154" i="1" s="1"/>
  <c r="BH154" i="1" s="1"/>
  <c r="O154" i="3"/>
  <c r="Q157" i="3"/>
  <c r="Q69" i="3"/>
  <c r="I629" i="14"/>
  <c r="I626" i="14"/>
  <c r="I639" i="14"/>
  <c r="I632" i="14"/>
  <c r="I627" i="14"/>
  <c r="I630" i="14"/>
  <c r="I625" i="14"/>
  <c r="V79" i="3"/>
  <c r="W80" i="3"/>
  <c r="F90" i="1" s="1"/>
  <c r="BH90" i="1" s="1"/>
  <c r="V80" i="3"/>
  <c r="C59" i="17"/>
  <c r="AB83" i="3"/>
  <c r="AD83" i="3" s="1"/>
  <c r="AE83" i="3" s="1"/>
  <c r="AF83" i="3"/>
  <c r="I947" i="14"/>
  <c r="I942" i="14"/>
  <c r="I944" i="14"/>
  <c r="I946" i="14"/>
  <c r="I941" i="14"/>
  <c r="I945" i="14"/>
  <c r="V121" i="3"/>
  <c r="W121" i="3"/>
  <c r="F131" i="1" s="1"/>
  <c r="BH131" i="1" s="1"/>
  <c r="V147" i="3"/>
  <c r="T153" i="3"/>
  <c r="V158" i="3"/>
  <c r="AB162" i="3"/>
  <c r="AD162" i="3" s="1"/>
  <c r="AE162" i="3" s="1"/>
  <c r="AZ172" i="1"/>
  <c r="BF172" i="1" s="1"/>
  <c r="BG172" i="1" s="1"/>
  <c r="AF162" i="3"/>
  <c r="V182" i="3"/>
  <c r="T191" i="3"/>
  <c r="AF191" i="3"/>
  <c r="AB191" i="3"/>
  <c r="AD191" i="3" s="1"/>
  <c r="AE191" i="3" s="1"/>
  <c r="BG69" i="1"/>
  <c r="BB84" i="1"/>
  <c r="BB104" i="1"/>
  <c r="BB114" i="1"/>
  <c r="S118" i="1"/>
  <c r="W118" i="1" s="1"/>
  <c r="R123" i="1"/>
  <c r="BE137" i="1"/>
  <c r="BE147" i="1"/>
  <c r="BG237" i="1"/>
  <c r="BF288" i="1"/>
  <c r="BG288" i="1" s="1"/>
  <c r="BE302" i="1"/>
  <c r="BF313" i="1"/>
  <c r="BG313" i="1" s="1"/>
  <c r="BC356" i="1"/>
  <c r="BD358" i="1"/>
  <c r="AD381" i="1"/>
  <c r="BE423" i="1"/>
  <c r="BC423" i="1"/>
  <c r="BF423" i="1" s="1"/>
  <c r="BG423" i="1" s="1"/>
  <c r="BB435" i="1"/>
  <c r="BC435" i="1"/>
  <c r="I100" i="14"/>
  <c r="I87" i="14"/>
  <c r="I91" i="14"/>
  <c r="I88" i="14"/>
  <c r="I98" i="14"/>
  <c r="I99" i="14"/>
  <c r="I96" i="14"/>
  <c r="P16" i="3"/>
  <c r="V58" i="3"/>
  <c r="P60" i="3"/>
  <c r="Q60" i="3" s="1"/>
  <c r="P76" i="3"/>
  <c r="W87" i="3"/>
  <c r="F97" i="1" s="1"/>
  <c r="BH97" i="1" s="1"/>
  <c r="AB169" i="3"/>
  <c r="AD169" i="3" s="1"/>
  <c r="AE169" i="3" s="1"/>
  <c r="T169" i="3"/>
  <c r="AF169" i="3"/>
  <c r="AF217" i="3"/>
  <c r="AB217" i="3"/>
  <c r="AD217" i="3" s="1"/>
  <c r="AE217" i="3" s="1"/>
  <c r="AZ227" i="1"/>
  <c r="BF227" i="1" s="1"/>
  <c r="BG227" i="1" s="1"/>
  <c r="I64" i="14"/>
  <c r="I65" i="14"/>
  <c r="K65" i="14" s="1"/>
  <c r="I69" i="14"/>
  <c r="I66" i="14"/>
  <c r="K66" i="14" s="1"/>
  <c r="I67" i="14"/>
  <c r="W33" i="3"/>
  <c r="F43" i="1" s="1"/>
  <c r="BH43" i="1" s="1"/>
  <c r="V33" i="3"/>
  <c r="I395" i="14"/>
  <c r="I391" i="14"/>
  <c r="I387" i="14"/>
  <c r="I383" i="14"/>
  <c r="I390" i="14"/>
  <c r="I386" i="14"/>
  <c r="I382" i="14"/>
  <c r="I393" i="14"/>
  <c r="I388" i="14"/>
  <c r="I385" i="14"/>
  <c r="I394" i="14"/>
  <c r="I380" i="14"/>
  <c r="I389" i="14"/>
  <c r="I384" i="14"/>
  <c r="I381" i="14"/>
  <c r="I445" i="14"/>
  <c r="I440" i="14"/>
  <c r="I443" i="14"/>
  <c r="I441" i="14"/>
  <c r="I444" i="14"/>
  <c r="I436" i="14"/>
  <c r="I434" i="14"/>
  <c r="I534" i="14"/>
  <c r="I530" i="14"/>
  <c r="I528" i="14"/>
  <c r="I532" i="14"/>
  <c r="I541" i="14"/>
  <c r="I529" i="14"/>
  <c r="O64" i="3"/>
  <c r="Q64" i="3" s="1"/>
  <c r="V123" i="3"/>
  <c r="I1446" i="14"/>
  <c r="I1438" i="14"/>
  <c r="I1436" i="14"/>
  <c r="I1445" i="14"/>
  <c r="O168" i="3"/>
  <c r="V168" i="3"/>
  <c r="W168" i="3"/>
  <c r="F178" i="1" s="1"/>
  <c r="BH178" i="1" s="1"/>
  <c r="AB172" i="3"/>
  <c r="AD172" i="3" s="1"/>
  <c r="AE172" i="3" s="1"/>
  <c r="AF172" i="3"/>
  <c r="AZ182" i="1"/>
  <c r="BF182" i="1" s="1"/>
  <c r="BG182" i="1" s="1"/>
  <c r="T172" i="3"/>
  <c r="T176" i="3"/>
  <c r="AB176" i="3"/>
  <c r="AD176" i="3" s="1"/>
  <c r="AE176" i="3" s="1"/>
  <c r="W28" i="3"/>
  <c r="F38" i="1" s="1"/>
  <c r="BH38" i="1" s="1"/>
  <c r="V28" i="3"/>
  <c r="AC380" i="1"/>
  <c r="AC364" i="1"/>
  <c r="AC149" i="1"/>
  <c r="AD149" i="1" s="1"/>
  <c r="AC139" i="1"/>
  <c r="AC119" i="1"/>
  <c r="AD119" i="1" s="1"/>
  <c r="AC22" i="1"/>
  <c r="AC32" i="1"/>
  <c r="AC57" i="1"/>
  <c r="AD57" i="1" s="1"/>
  <c r="AC82" i="1"/>
  <c r="AC87" i="1"/>
  <c r="AC92" i="1"/>
  <c r="AC102" i="1"/>
  <c r="AC112" i="1"/>
  <c r="AC123" i="1"/>
  <c r="AZ124" i="1"/>
  <c r="BF124" i="1" s="1"/>
  <c r="BG124" i="1" s="1"/>
  <c r="AC134" i="1"/>
  <c r="AC144" i="1"/>
  <c r="BF208" i="1"/>
  <c r="BG208" i="1" s="1"/>
  <c r="AY219" i="1"/>
  <c r="BF233" i="1"/>
  <c r="BG233" i="1" s="1"/>
  <c r="AY286" i="1"/>
  <c r="AY289" i="1"/>
  <c r="AC299" i="1"/>
  <c r="AY314" i="1"/>
  <c r="BB422" i="1"/>
  <c r="AY425" i="1"/>
  <c r="BA425" i="1"/>
  <c r="BC431" i="1"/>
  <c r="BC432" i="1"/>
  <c r="P7" i="3"/>
  <c r="W40" i="3"/>
  <c r="F50" i="1" s="1"/>
  <c r="BH50" i="1" s="1"/>
  <c r="O40" i="3"/>
  <c r="I831" i="14"/>
  <c r="I823" i="14"/>
  <c r="I826" i="14"/>
  <c r="I821" i="14"/>
  <c r="I818" i="14"/>
  <c r="I819" i="14"/>
  <c r="I865" i="14"/>
  <c r="I861" i="14"/>
  <c r="I866" i="14"/>
  <c r="I863" i="14"/>
  <c r="I860" i="14"/>
  <c r="I870" i="14"/>
  <c r="I871" i="14"/>
  <c r="I859" i="14"/>
  <c r="I1397" i="14"/>
  <c r="I1404" i="14"/>
  <c r="I1401" i="14"/>
  <c r="I1398" i="14"/>
  <c r="I1399" i="14"/>
  <c r="I1396" i="14"/>
  <c r="I1561" i="14"/>
  <c r="I1555" i="14"/>
  <c r="I1562" i="14"/>
  <c r="I1553" i="14"/>
  <c r="I1557" i="14"/>
  <c r="AF148" i="3"/>
  <c r="AB198" i="3"/>
  <c r="AD198" i="3" s="1"/>
  <c r="AE198" i="3" s="1"/>
  <c r="AF198" i="3"/>
  <c r="V210" i="3"/>
  <c r="O210" i="3"/>
  <c r="W210" i="3"/>
  <c r="F220" i="1" s="1"/>
  <c r="BH220" i="1" s="1"/>
  <c r="V226" i="3"/>
  <c r="O226" i="3"/>
  <c r="W226" i="3"/>
  <c r="F236" i="1" s="1"/>
  <c r="BH236" i="1" s="1"/>
  <c r="I233" i="14"/>
  <c r="I229" i="14"/>
  <c r="I224" i="14"/>
  <c r="I220" i="14"/>
  <c r="I228" i="14"/>
  <c r="I222" i="14"/>
  <c r="I223" i="14"/>
  <c r="I232" i="14"/>
  <c r="I218" i="14"/>
  <c r="O31" i="3"/>
  <c r="Q31" i="3" s="1"/>
  <c r="I332" i="14"/>
  <c r="I343" i="14"/>
  <c r="I336" i="14"/>
  <c r="I344" i="14"/>
  <c r="I333" i="14"/>
  <c r="I337" i="14"/>
  <c r="I341" i="14"/>
  <c r="I334" i="14"/>
  <c r="I364" i="14"/>
  <c r="I371" i="14"/>
  <c r="I377" i="14"/>
  <c r="I374" i="14"/>
  <c r="I372" i="14"/>
  <c r="I369" i="14"/>
  <c r="I375" i="14"/>
  <c r="I367" i="14"/>
  <c r="P56" i="3"/>
  <c r="I578" i="14"/>
  <c r="I586" i="14"/>
  <c r="I589" i="14"/>
  <c r="I587" i="14"/>
  <c r="I582" i="14"/>
  <c r="I590" i="14"/>
  <c r="I583" i="14"/>
  <c r="I584" i="14"/>
  <c r="I579" i="14"/>
  <c r="I577" i="14"/>
  <c r="I613" i="14"/>
  <c r="I611" i="14"/>
  <c r="I623" i="14"/>
  <c r="I621" i="14"/>
  <c r="I615" i="14"/>
  <c r="I610" i="14"/>
  <c r="P84" i="3"/>
  <c r="I1078" i="14"/>
  <c r="I1074" i="14"/>
  <c r="I1076" i="14"/>
  <c r="I1070" i="14"/>
  <c r="I1424" i="14"/>
  <c r="I1431" i="14"/>
  <c r="I1422" i="14"/>
  <c r="I1425" i="14"/>
  <c r="I1426" i="14"/>
  <c r="I1423" i="14"/>
  <c r="P144" i="3"/>
  <c r="Q144" i="3" s="1"/>
  <c r="V149" i="3"/>
  <c r="P154" i="3"/>
  <c r="Q154" i="3" s="1"/>
  <c r="O160" i="3"/>
  <c r="Q160" i="3" s="1"/>
  <c r="O180" i="3"/>
  <c r="W180" i="3"/>
  <c r="F190" i="1" s="1"/>
  <c r="BH190" i="1" s="1"/>
  <c r="V180" i="3"/>
  <c r="P188" i="3"/>
  <c r="Q188" i="3" s="1"/>
  <c r="AB193" i="3"/>
  <c r="AD193" i="3" s="1"/>
  <c r="AE193" i="3" s="1"/>
  <c r="AF193" i="3"/>
  <c r="Q195" i="3"/>
  <c r="Q212" i="3"/>
  <c r="Q224" i="3"/>
  <c r="P75" i="3"/>
  <c r="I694" i="14"/>
  <c r="I695" i="14"/>
  <c r="I693" i="14"/>
  <c r="I703" i="14"/>
  <c r="I697" i="14"/>
  <c r="I689" i="14"/>
  <c r="I700" i="14"/>
  <c r="I696" i="14"/>
  <c r="I690" i="14"/>
  <c r="I779" i="14"/>
  <c r="I776" i="14"/>
  <c r="I769" i="14"/>
  <c r="I773" i="14"/>
  <c r="I781" i="14"/>
  <c r="P87" i="3"/>
  <c r="P105" i="3"/>
  <c r="K115" i="1" s="1"/>
  <c r="I1230" i="14"/>
  <c r="I1225" i="14"/>
  <c r="I1228" i="14"/>
  <c r="I1220" i="14"/>
  <c r="I1234" i="14"/>
  <c r="I1223" i="14"/>
  <c r="I1229" i="14"/>
  <c r="P117" i="3"/>
  <c r="I1388" i="14"/>
  <c r="I1381" i="14"/>
  <c r="I1385" i="14"/>
  <c r="I1382" i="14"/>
  <c r="I1392" i="14"/>
  <c r="I1471" i="14"/>
  <c r="I1467" i="14"/>
  <c r="I1468" i="14"/>
  <c r="I1591" i="14"/>
  <c r="I1595" i="14"/>
  <c r="W149" i="3"/>
  <c r="F159" i="1" s="1"/>
  <c r="BH159" i="1" s="1"/>
  <c r="O151" i="3"/>
  <c r="Q151" i="3" s="1"/>
  <c r="Q167" i="3"/>
  <c r="P168" i="3"/>
  <c r="Q168" i="3" s="1"/>
  <c r="T178" i="3"/>
  <c r="AB178" i="3"/>
  <c r="AD178" i="3" s="1"/>
  <c r="AE178" i="3" s="1"/>
  <c r="O186" i="3"/>
  <c r="Q186" i="3" s="1"/>
  <c r="V186" i="3"/>
  <c r="W192" i="3"/>
  <c r="F202" i="1" s="1"/>
  <c r="BH202" i="1" s="1"/>
  <c r="V192" i="3"/>
  <c r="W195" i="3"/>
  <c r="F205" i="1" s="1"/>
  <c r="BH205" i="1" s="1"/>
  <c r="O195" i="3"/>
  <c r="V195" i="3"/>
  <c r="Q199" i="3"/>
  <c r="Q207" i="3"/>
  <c r="V188" i="3"/>
  <c r="W188" i="3"/>
  <c r="F198" i="1" s="1"/>
  <c r="BH198" i="1" s="1"/>
  <c r="W197" i="3"/>
  <c r="F207" i="1" s="1"/>
  <c r="BH207" i="1" s="1"/>
  <c r="O197" i="3"/>
  <c r="Q197" i="3" s="1"/>
  <c r="V197" i="3"/>
  <c r="AB203" i="3"/>
  <c r="AD203" i="3" s="1"/>
  <c r="AE203" i="3" s="1"/>
  <c r="Q221" i="3"/>
  <c r="O194" i="3"/>
  <c r="W194" i="3"/>
  <c r="F204" i="1" s="1"/>
  <c r="BH204" i="1" s="1"/>
  <c r="V194" i="3"/>
  <c r="V199" i="3"/>
  <c r="O199" i="3"/>
  <c r="P201" i="3"/>
  <c r="Q216" i="3"/>
  <c r="AF242" i="3"/>
  <c r="AB242" i="3"/>
  <c r="AD242" i="3" s="1"/>
  <c r="AE242" i="3" s="1"/>
  <c r="O221" i="3"/>
  <c r="V221" i="3"/>
  <c r="W221" i="3"/>
  <c r="F231" i="1" s="1"/>
  <c r="BH231" i="1" s="1"/>
  <c r="W78" i="3"/>
  <c r="F88" i="1" s="1"/>
  <c r="BH88" i="1" s="1"/>
  <c r="O78" i="3"/>
  <c r="Q78" i="3" s="1"/>
  <c r="I711" i="14"/>
  <c r="I708" i="14"/>
  <c r="I715" i="14"/>
  <c r="I709" i="14"/>
  <c r="I719" i="14"/>
  <c r="I717" i="14"/>
  <c r="I716" i="14"/>
  <c r="I796" i="14"/>
  <c r="I793" i="14"/>
  <c r="I794" i="14"/>
  <c r="I798" i="14"/>
  <c r="I795" i="14"/>
  <c r="I789" i="14"/>
  <c r="I786" i="14"/>
  <c r="I785" i="14"/>
  <c r="I920" i="14"/>
  <c r="I915" i="14"/>
  <c r="I910" i="14"/>
  <c r="I919" i="14"/>
  <c r="I918" i="14"/>
  <c r="I914" i="14"/>
  <c r="I917" i="14"/>
  <c r="I924" i="14"/>
  <c r="I963" i="14"/>
  <c r="I958" i="14"/>
  <c r="I953" i="14"/>
  <c r="I962" i="14"/>
  <c r="I956" i="14"/>
  <c r="I957" i="14"/>
  <c r="I960" i="14"/>
  <c r="I952" i="14"/>
  <c r="I1024" i="14"/>
  <c r="I1027" i="14"/>
  <c r="I1022" i="14"/>
  <c r="I1019" i="14"/>
  <c r="I1028" i="14"/>
  <c r="I1020" i="14"/>
  <c r="I1169" i="14"/>
  <c r="I1162" i="14"/>
  <c r="I1167" i="14"/>
  <c r="I1160" i="14"/>
  <c r="I1164" i="14"/>
  <c r="I1157" i="14"/>
  <c r="I1236" i="14"/>
  <c r="I1246" i="14"/>
  <c r="I1241" i="14"/>
  <c r="I1250" i="14"/>
  <c r="I1244" i="14"/>
  <c r="I1521" i="14"/>
  <c r="I1522" i="14"/>
  <c r="I1520" i="14"/>
  <c r="I1513" i="14"/>
  <c r="I1515" i="14"/>
  <c r="I1518" i="14"/>
  <c r="I1573" i="14"/>
  <c r="I1568" i="14"/>
  <c r="I1571" i="14"/>
  <c r="I1566" i="14"/>
  <c r="V151" i="3"/>
  <c r="P156" i="3"/>
  <c r="Q156" i="3" s="1"/>
  <c r="Q166" i="3"/>
  <c r="AB189" i="3"/>
  <c r="AD189" i="3" s="1"/>
  <c r="AE189" i="3" s="1"/>
  <c r="AF189" i="3"/>
  <c r="W201" i="3"/>
  <c r="F211" i="1" s="1"/>
  <c r="BH211" i="1" s="1"/>
  <c r="V201" i="3"/>
  <c r="T211" i="3"/>
  <c r="AF211" i="3"/>
  <c r="AF213" i="3"/>
  <c r="AB213" i="3"/>
  <c r="AD213" i="3" s="1"/>
  <c r="AE213" i="3" s="1"/>
  <c r="T213" i="3"/>
  <c r="Q215" i="3"/>
  <c r="AB223" i="3"/>
  <c r="AD223" i="3" s="1"/>
  <c r="AE223" i="3" s="1"/>
  <c r="AF223" i="3"/>
  <c r="T223" i="3"/>
  <c r="AB237" i="3"/>
  <c r="AD237" i="3" s="1"/>
  <c r="AE237" i="3" s="1"/>
  <c r="AF237" i="3"/>
  <c r="W151" i="3"/>
  <c r="F161" i="1" s="1"/>
  <c r="BH161" i="1" s="1"/>
  <c r="O173" i="3"/>
  <c r="Q173" i="3" s="1"/>
  <c r="W173" i="3"/>
  <c r="F183" i="1" s="1"/>
  <c r="BH183" i="1" s="1"/>
  <c r="V173" i="3"/>
  <c r="Q175" i="3"/>
  <c r="AF178" i="3"/>
  <c r="W199" i="3"/>
  <c r="F209" i="1" s="1"/>
  <c r="BH209" i="1" s="1"/>
  <c r="T203" i="3"/>
  <c r="O71" i="3"/>
  <c r="Q71" i="3" s="1"/>
  <c r="W83" i="3"/>
  <c r="F93" i="1" s="1"/>
  <c r="BH93" i="1" s="1"/>
  <c r="V83" i="3"/>
  <c r="I1065" i="14"/>
  <c r="I1061" i="14"/>
  <c r="I1056" i="14"/>
  <c r="I1060" i="14"/>
  <c r="V114" i="3"/>
  <c r="W175" i="3"/>
  <c r="F185" i="1" s="1"/>
  <c r="BH185" i="1" s="1"/>
  <c r="O175" i="3"/>
  <c r="V175" i="3"/>
  <c r="Q182" i="3"/>
  <c r="O201" i="3"/>
  <c r="Q210" i="3"/>
  <c r="Q226" i="3"/>
  <c r="P6" i="3"/>
  <c r="K16" i="1" s="1"/>
  <c r="I133" i="14"/>
  <c r="I128" i="14"/>
  <c r="I123" i="14"/>
  <c r="I125" i="14"/>
  <c r="I126" i="14"/>
  <c r="I132" i="14"/>
  <c r="I127" i="14"/>
  <c r="I122" i="14"/>
  <c r="I454" i="14"/>
  <c r="I450" i="14"/>
  <c r="I461" i="14"/>
  <c r="I457" i="14"/>
  <c r="I448" i="14"/>
  <c r="I449" i="14"/>
  <c r="I452" i="14"/>
  <c r="P70" i="3"/>
  <c r="Q70" i="3" s="1"/>
  <c r="I936" i="14"/>
  <c r="I931" i="14"/>
  <c r="I926" i="14"/>
  <c r="I930" i="14"/>
  <c r="I935" i="14"/>
  <c r="I933" i="14"/>
  <c r="I929" i="14"/>
  <c r="I1001" i="14"/>
  <c r="I996" i="14"/>
  <c r="I991" i="14"/>
  <c r="I1000" i="14"/>
  <c r="I995" i="14"/>
  <c r="I1209" i="14"/>
  <c r="I1218" i="14"/>
  <c r="I1204" i="14"/>
  <c r="I1208" i="14"/>
  <c r="I1214" i="14"/>
  <c r="W114" i="3"/>
  <c r="F124" i="1" s="1"/>
  <c r="BH124" i="1" s="1"/>
  <c r="P130" i="3"/>
  <c r="P163" i="3"/>
  <c r="Q163" i="3" s="1"/>
  <c r="V178" i="3"/>
  <c r="W178" i="3"/>
  <c r="F188" i="1" s="1"/>
  <c r="BH188" i="1" s="1"/>
  <c r="P180" i="3"/>
  <c r="Q180" i="3" s="1"/>
  <c r="T189" i="3"/>
  <c r="Q205" i="3"/>
  <c r="I1451" i="14"/>
  <c r="I1453" i="14"/>
  <c r="I1495" i="14"/>
  <c r="I1488" i="14"/>
  <c r="I1493" i="14"/>
  <c r="I1498" i="14"/>
  <c r="I1494" i="14"/>
  <c r="I1487" i="14"/>
  <c r="I1531" i="14"/>
  <c r="I1533" i="14"/>
  <c r="I1537" i="14"/>
  <c r="I1534" i="14"/>
  <c r="I1528" i="14"/>
  <c r="I1526" i="14"/>
  <c r="I1605" i="14"/>
  <c r="I1615" i="14"/>
  <c r="I1604" i="14"/>
  <c r="I1607" i="14"/>
  <c r="I1610" i="14"/>
  <c r="O155" i="3"/>
  <c r="O167" i="3"/>
  <c r="P194" i="3"/>
  <c r="Q194" i="3" s="1"/>
  <c r="O202" i="3"/>
  <c r="Q202" i="3" s="1"/>
  <c r="O206" i="3"/>
  <c r="P209" i="3"/>
  <c r="Q209" i="3" s="1"/>
  <c r="Q232" i="3"/>
  <c r="C126" i="17"/>
  <c r="T256" i="3"/>
  <c r="AB256" i="3"/>
  <c r="AD256" i="3" s="1"/>
  <c r="AE256" i="3" s="1"/>
  <c r="AF256" i="3"/>
  <c r="P260" i="3"/>
  <c r="Q260" i="3" s="1"/>
  <c r="O174" i="3"/>
  <c r="Q174" i="3" s="1"/>
  <c r="O179" i="3"/>
  <c r="Q179" i="3" s="1"/>
  <c r="O181" i="3"/>
  <c r="Q181" i="3" s="1"/>
  <c r="O185" i="3"/>
  <c r="Q185" i="3" s="1"/>
  <c r="Q187" i="3"/>
  <c r="P190" i="3"/>
  <c r="Q190" i="3" s="1"/>
  <c r="Q240" i="3"/>
  <c r="Q249" i="3"/>
  <c r="C122" i="17"/>
  <c r="T252" i="3"/>
  <c r="AF252" i="3"/>
  <c r="AB252" i="3"/>
  <c r="AB278" i="3"/>
  <c r="AD278" i="3" s="1"/>
  <c r="AE278" i="3" s="1"/>
  <c r="AF278" i="3"/>
  <c r="T225" i="3"/>
  <c r="AB225" i="3"/>
  <c r="AD225" i="3" s="1"/>
  <c r="AE225" i="3" s="1"/>
  <c r="AF225" i="3"/>
  <c r="AF227" i="3"/>
  <c r="AB230" i="3"/>
  <c r="AD230" i="3" s="1"/>
  <c r="AE230" i="3" s="1"/>
  <c r="AF230" i="3"/>
  <c r="C121" i="17"/>
  <c r="T251" i="3"/>
  <c r="AF251" i="3"/>
  <c r="O254" i="3"/>
  <c r="Q254" i="3" s="1"/>
  <c r="T326" i="3"/>
  <c r="AB326" i="3"/>
  <c r="AD326" i="3" s="1"/>
  <c r="AE326" i="3" s="1"/>
  <c r="AF326" i="3"/>
  <c r="AB243" i="3"/>
  <c r="AD243" i="3" s="1"/>
  <c r="AE243" i="3" s="1"/>
  <c r="AF261" i="3"/>
  <c r="Q275" i="3"/>
  <c r="C141" i="17"/>
  <c r="AB288" i="3"/>
  <c r="AF288" i="3"/>
  <c r="AB316" i="3"/>
  <c r="AD316" i="3" s="1"/>
  <c r="AE316" i="3" s="1"/>
  <c r="AF316" i="3"/>
  <c r="O325" i="3"/>
  <c r="Q325" i="3" s="1"/>
  <c r="W325" i="3"/>
  <c r="F335" i="1" s="1"/>
  <c r="BH335" i="1" s="1"/>
  <c r="V325" i="3"/>
  <c r="C128" i="17"/>
  <c r="AF258" i="3"/>
  <c r="AB258" i="3"/>
  <c r="W267" i="3"/>
  <c r="F277" i="1" s="1"/>
  <c r="BH277" i="1" s="1"/>
  <c r="V267" i="3"/>
  <c r="O267" i="3"/>
  <c r="Q267" i="3" s="1"/>
  <c r="V240" i="3"/>
  <c r="T241" i="3"/>
  <c r="AF241" i="3"/>
  <c r="O245" i="3"/>
  <c r="Q245" i="3" s="1"/>
  <c r="W245" i="3"/>
  <c r="F255" i="1" s="1"/>
  <c r="BH255" i="1" s="1"/>
  <c r="AF262" i="3"/>
  <c r="AB262" i="3"/>
  <c r="AD262" i="3" s="1"/>
  <c r="AE262" i="3" s="1"/>
  <c r="AB308" i="3"/>
  <c r="AD308" i="3" s="1"/>
  <c r="AE308" i="3" s="1"/>
  <c r="T308" i="3"/>
  <c r="AF308" i="3"/>
  <c r="AB317" i="3"/>
  <c r="AD317" i="3" s="1"/>
  <c r="AE317" i="3" s="1"/>
  <c r="T317" i="3"/>
  <c r="AF317" i="3"/>
  <c r="V179" i="3"/>
  <c r="W189" i="3"/>
  <c r="F199" i="1" s="1"/>
  <c r="BH199" i="1" s="1"/>
  <c r="P206" i="3"/>
  <c r="V212" i="3"/>
  <c r="P219" i="3"/>
  <c r="Q219" i="3" s="1"/>
  <c r="AB233" i="3"/>
  <c r="AD233" i="3" s="1"/>
  <c r="AE233" i="3" s="1"/>
  <c r="AF233" i="3"/>
  <c r="W240" i="3"/>
  <c r="F250" i="1" s="1"/>
  <c r="BH250" i="1" s="1"/>
  <c r="AB247" i="3"/>
  <c r="AD247" i="3" s="1"/>
  <c r="AE247" i="3" s="1"/>
  <c r="AB261" i="3"/>
  <c r="AD261" i="3" s="1"/>
  <c r="AE261" i="3" s="1"/>
  <c r="T288" i="3"/>
  <c r="F104" i="4" s="1"/>
  <c r="K104" i="4" s="1"/>
  <c r="L104" i="4" s="1"/>
  <c r="N104" i="4" s="1"/>
  <c r="I117" i="14"/>
  <c r="I112" i="14"/>
  <c r="I116" i="14"/>
  <c r="I104" i="14"/>
  <c r="I111" i="14"/>
  <c r="I105" i="14"/>
  <c r="I102" i="14"/>
  <c r="I114" i="14"/>
  <c r="I109" i="14"/>
  <c r="I115" i="14"/>
  <c r="I110" i="14"/>
  <c r="I107" i="14"/>
  <c r="I215" i="14"/>
  <c r="I211" i="14"/>
  <c r="I207" i="14"/>
  <c r="I203" i="14"/>
  <c r="I210" i="14"/>
  <c r="I213" i="14"/>
  <c r="I214" i="14"/>
  <c r="I206" i="14"/>
  <c r="I251" i="14"/>
  <c r="I261" i="14"/>
  <c r="I254" i="14"/>
  <c r="I253" i="14"/>
  <c r="I256" i="14"/>
  <c r="I259" i="14"/>
  <c r="I264" i="14"/>
  <c r="I257" i="14"/>
  <c r="I252" i="14"/>
  <c r="I250" i="14"/>
  <c r="I300" i="14"/>
  <c r="I304" i="14"/>
  <c r="I305" i="14"/>
  <c r="I309" i="14"/>
  <c r="I306" i="14"/>
  <c r="I310" i="14"/>
  <c r="I303" i="14"/>
  <c r="I314" i="14"/>
  <c r="I307" i="14"/>
  <c r="P30" i="3"/>
  <c r="Q30" i="3" s="1"/>
  <c r="P40" i="3"/>
  <c r="Q40" i="3" s="1"/>
  <c r="I602" i="14"/>
  <c r="I604" i="14"/>
  <c r="I595" i="14"/>
  <c r="I601" i="14"/>
  <c r="I597" i="14"/>
  <c r="I594" i="14"/>
  <c r="I600" i="14"/>
  <c r="I593" i="14"/>
  <c r="P80" i="3"/>
  <c r="I1092" i="14"/>
  <c r="I1088" i="14"/>
  <c r="I1087" i="14"/>
  <c r="I1083" i="14"/>
  <c r="P125" i="3"/>
  <c r="I1504" i="14"/>
  <c r="I1510" i="14"/>
  <c r="I1509" i="14"/>
  <c r="I1507" i="14"/>
  <c r="V145" i="3"/>
  <c r="V162" i="3"/>
  <c r="V164" i="3"/>
  <c r="V171" i="3"/>
  <c r="P200" i="3"/>
  <c r="Q200" i="3" s="1"/>
  <c r="Q204" i="3"/>
  <c r="O235" i="3"/>
  <c r="Q235" i="3" s="1"/>
  <c r="V235" i="3"/>
  <c r="C138" i="17"/>
  <c r="AF277" i="3"/>
  <c r="AB277" i="3"/>
  <c r="AD277" i="3" s="1"/>
  <c r="AE277" i="3" s="1"/>
  <c r="I1794" i="14"/>
  <c r="I1798" i="14"/>
  <c r="I1791" i="14"/>
  <c r="I1787" i="14"/>
  <c r="I1784" i="14"/>
  <c r="I1795" i="14"/>
  <c r="I1788" i="14"/>
  <c r="I1792" i="14"/>
  <c r="I1785" i="14"/>
  <c r="I1797" i="14"/>
  <c r="I1790" i="14"/>
  <c r="I1783" i="14"/>
  <c r="I878" i="14"/>
  <c r="I888" i="14"/>
  <c r="I883" i="14"/>
  <c r="I874" i="14"/>
  <c r="I882" i="14"/>
  <c r="I876" i="14"/>
  <c r="I1011" i="14"/>
  <c r="I1007" i="14"/>
  <c r="I1005" i="14"/>
  <c r="I1006" i="14"/>
  <c r="I1015" i="14"/>
  <c r="I1009" i="14"/>
  <c r="I1047" i="14"/>
  <c r="I1045" i="14"/>
  <c r="I1051" i="14"/>
  <c r="I1043" i="14"/>
  <c r="I1054" i="14"/>
  <c r="I1049" i="14"/>
  <c r="I1135" i="14"/>
  <c r="I1128" i="14"/>
  <c r="I1125" i="14"/>
  <c r="I1133" i="14"/>
  <c r="I1126" i="14"/>
  <c r="I1137" i="14"/>
  <c r="I1130" i="14"/>
  <c r="I1325" i="14"/>
  <c r="I1320" i="14"/>
  <c r="I1330" i="14"/>
  <c r="I1321" i="14"/>
  <c r="I1316" i="14"/>
  <c r="I1326" i="14"/>
  <c r="I1324" i="14"/>
  <c r="I1319" i="14"/>
  <c r="I1582" i="14"/>
  <c r="I1580" i="14"/>
  <c r="I1586" i="14"/>
  <c r="I1589" i="14"/>
  <c r="I1581" i="14"/>
  <c r="P150" i="3"/>
  <c r="Q150" i="3" s="1"/>
  <c r="O165" i="3"/>
  <c r="Q165" i="3" s="1"/>
  <c r="O177" i="3"/>
  <c r="Q177" i="3" s="1"/>
  <c r="P214" i="3"/>
  <c r="Q214" i="3" s="1"/>
  <c r="V215" i="3"/>
  <c r="O219" i="3"/>
  <c r="P238" i="3"/>
  <c r="Q255" i="3"/>
  <c r="O276" i="3"/>
  <c r="Q276" i="3" s="1"/>
  <c r="AB285" i="3"/>
  <c r="AD285" i="3" s="1"/>
  <c r="AE285" i="3" s="1"/>
  <c r="AF285" i="3"/>
  <c r="T285" i="3"/>
  <c r="W187" i="3"/>
  <c r="F197" i="1" s="1"/>
  <c r="BH197" i="1" s="1"/>
  <c r="O187" i="3"/>
  <c r="V205" i="3"/>
  <c r="O216" i="3"/>
  <c r="O222" i="3"/>
  <c r="Q222" i="3" s="1"/>
  <c r="T233" i="3"/>
  <c r="AB241" i="3"/>
  <c r="AD241" i="3" s="1"/>
  <c r="AE241" i="3" s="1"/>
  <c r="V245" i="3"/>
  <c r="AF247" i="3"/>
  <c r="W255" i="3"/>
  <c r="F265" i="1" s="1"/>
  <c r="BH265" i="1" s="1"/>
  <c r="O255" i="3"/>
  <c r="V255" i="3"/>
  <c r="AF265" i="3"/>
  <c r="T281" i="3"/>
  <c r="AB281" i="3"/>
  <c r="AD281" i="3" s="1"/>
  <c r="AE281" i="3" s="1"/>
  <c r="AF281" i="3"/>
  <c r="AB306" i="3"/>
  <c r="AD306" i="3" s="1"/>
  <c r="AE306" i="3" s="1"/>
  <c r="AF306" i="3"/>
  <c r="AB318" i="3"/>
  <c r="AD318" i="3" s="1"/>
  <c r="AE318" i="3" s="1"/>
  <c r="AF318" i="3"/>
  <c r="V236" i="3"/>
  <c r="O236" i="3"/>
  <c r="Q236" i="3" s="1"/>
  <c r="R243" i="3"/>
  <c r="T243" i="3" s="1"/>
  <c r="V263" i="3"/>
  <c r="R264" i="3"/>
  <c r="I1838" i="14"/>
  <c r="I1841" i="14"/>
  <c r="I1848" i="14"/>
  <c r="I1843" i="14"/>
  <c r="I1846" i="14"/>
  <c r="I1840" i="14"/>
  <c r="R271" i="3"/>
  <c r="T323" i="3"/>
  <c r="AB323" i="3"/>
  <c r="AD323" i="3" s="1"/>
  <c r="AE323" i="3" s="1"/>
  <c r="AB333" i="3"/>
  <c r="AD333" i="3" s="1"/>
  <c r="AE333" i="3" s="1"/>
  <c r="AB343" i="3"/>
  <c r="AD343" i="3" s="1"/>
  <c r="AE343" i="3" s="1"/>
  <c r="D160" i="17"/>
  <c r="D150" i="17"/>
  <c r="D140" i="17"/>
  <c r="D130" i="17"/>
  <c r="D120" i="17"/>
  <c r="D110" i="17"/>
  <c r="D100" i="17"/>
  <c r="D90" i="17"/>
  <c r="D80" i="17"/>
  <c r="D70" i="17"/>
  <c r="D60" i="17"/>
  <c r="D159" i="17"/>
  <c r="D149" i="17"/>
  <c r="D139" i="17"/>
  <c r="D129" i="17"/>
  <c r="D119" i="17"/>
  <c r="D109" i="17"/>
  <c r="D99" i="17"/>
  <c r="D89" i="17"/>
  <c r="D79" i="17"/>
  <c r="D69" i="17"/>
  <c r="D59" i="17"/>
  <c r="D158" i="17"/>
  <c r="D148" i="17"/>
  <c r="D138" i="17"/>
  <c r="D128" i="17"/>
  <c r="D118" i="17"/>
  <c r="D108" i="17"/>
  <c r="D98" i="17"/>
  <c r="D88" i="17"/>
  <c r="D78" i="17"/>
  <c r="D68" i="17"/>
  <c r="D157" i="17"/>
  <c r="D147" i="17"/>
  <c r="D137" i="17"/>
  <c r="D127" i="17"/>
  <c r="D117" i="17"/>
  <c r="D107" i="17"/>
  <c r="D97" i="17"/>
  <c r="D87" i="17"/>
  <c r="D77" i="17"/>
  <c r="D67" i="17"/>
  <c r="D57" i="17"/>
  <c r="D162" i="17"/>
  <c r="D151" i="17"/>
  <c r="D146" i="17"/>
  <c r="D124" i="17"/>
  <c r="D101" i="17"/>
  <c r="D96" i="17"/>
  <c r="D74" i="17"/>
  <c r="D55" i="17"/>
  <c r="D45" i="17"/>
  <c r="D35" i="17"/>
  <c r="D25" i="17"/>
  <c r="D152" i="17"/>
  <c r="D143" i="17"/>
  <c r="D115" i="17"/>
  <c r="D102" i="17"/>
  <c r="D93" i="17"/>
  <c r="D65" i="17"/>
  <c r="D54" i="17"/>
  <c r="D44" i="17"/>
  <c r="D161" i="17"/>
  <c r="D156" i="17"/>
  <c r="D134" i="17"/>
  <c r="D111" i="17"/>
  <c r="D106" i="17"/>
  <c r="D84" i="17"/>
  <c r="D61" i="17"/>
  <c r="D53" i="17"/>
  <c r="D43" i="17"/>
  <c r="D155" i="17"/>
  <c r="D142" i="17"/>
  <c r="D133" i="17"/>
  <c r="D154" i="17"/>
  <c r="D144" i="17"/>
  <c r="D103" i="17"/>
  <c r="D92" i="17"/>
  <c r="D73" i="17"/>
  <c r="D56" i="17"/>
  <c r="D20" i="17"/>
  <c r="D123" i="17"/>
  <c r="D81" i="17"/>
  <c r="D50" i="17"/>
  <c r="D42" i="17"/>
  <c r="D19" i="17"/>
  <c r="D135" i="17"/>
  <c r="D121" i="17"/>
  <c r="D95" i="17"/>
  <c r="D71" i="17"/>
  <c r="D58" i="17"/>
  <c r="D18" i="17"/>
  <c r="B8" i="17"/>
  <c r="D116" i="17"/>
  <c r="D76" i="17"/>
  <c r="D63" i="17"/>
  <c r="D51" i="17"/>
  <c r="D17" i="17"/>
  <c r="D126" i="17"/>
  <c r="D114" i="17"/>
  <c r="D112" i="17"/>
  <c r="D82" i="17"/>
  <c r="D38" i="17"/>
  <c r="D16" i="17"/>
  <c r="D153" i="17"/>
  <c r="D145" i="17"/>
  <c r="D104" i="17"/>
  <c r="D85" i="17"/>
  <c r="D66" i="17"/>
  <c r="D52" i="17"/>
  <c r="D39" i="17"/>
  <c r="D37" i="17"/>
  <c r="D15" i="17"/>
  <c r="D131" i="17"/>
  <c r="D72" i="17"/>
  <c r="D47" i="17"/>
  <c r="D46" i="17"/>
  <c r="D36" i="17"/>
  <c r="D34" i="17"/>
  <c r="D33" i="17"/>
  <c r="D32" i="17"/>
  <c r="D31" i="17"/>
  <c r="D30" i="17"/>
  <c r="D29" i="17"/>
  <c r="D28" i="17"/>
  <c r="D14" i="17"/>
  <c r="D136" i="17"/>
  <c r="D122" i="17"/>
  <c r="D94" i="17"/>
  <c r="D83" i="17"/>
  <c r="D64" i="17"/>
  <c r="D48" i="17"/>
  <c r="D40" i="17"/>
  <c r="D27" i="17"/>
  <c r="D13" i="17"/>
  <c r="D91" i="17"/>
  <c r="D75" i="17"/>
  <c r="D26" i="17"/>
  <c r="D24" i="17"/>
  <c r="D23" i="17"/>
  <c r="D22" i="17"/>
  <c r="D12" i="17"/>
  <c r="D141" i="17"/>
  <c r="D132" i="17"/>
  <c r="D125" i="17"/>
  <c r="D113" i="17"/>
  <c r="D105" i="17"/>
  <c r="D86" i="17"/>
  <c r="D62" i="17"/>
  <c r="D49" i="17"/>
  <c r="D41" i="17"/>
  <c r="D21" i="17"/>
  <c r="R425" i="3"/>
  <c r="R420" i="3"/>
  <c r="R415" i="3"/>
  <c r="R410" i="3"/>
  <c r="R405" i="3"/>
  <c r="R400" i="3"/>
  <c r="R395" i="3"/>
  <c r="R390" i="3"/>
  <c r="R385" i="3"/>
  <c r="R380" i="3"/>
  <c r="AC378" i="3"/>
  <c r="R375" i="3"/>
  <c r="AC373" i="3"/>
  <c r="R370" i="3"/>
  <c r="AC368" i="3"/>
  <c r="R365" i="3"/>
  <c r="R360" i="3"/>
  <c r="R355" i="3"/>
  <c r="R350" i="3"/>
  <c r="AC348" i="3"/>
  <c r="R421" i="3"/>
  <c r="R416" i="3"/>
  <c r="R411" i="3"/>
  <c r="R406" i="3"/>
  <c r="R401" i="3"/>
  <c r="R396" i="3"/>
  <c r="R391" i="3"/>
  <c r="R386" i="3"/>
  <c r="R381" i="3"/>
  <c r="AC379" i="3"/>
  <c r="R376" i="3"/>
  <c r="T376" i="3" s="1"/>
  <c r="R371" i="3"/>
  <c r="R366" i="3"/>
  <c r="T366" i="3" s="1"/>
  <c r="F56" i="4" s="1"/>
  <c r="K56" i="4" s="1"/>
  <c r="L56" i="4" s="1"/>
  <c r="N56" i="4" s="1"/>
  <c r="R361" i="3"/>
  <c r="R356" i="3"/>
  <c r="AC354" i="3"/>
  <c r="R351" i="3"/>
  <c r="AC349" i="3"/>
  <c r="R424" i="3"/>
  <c r="R419" i="3"/>
  <c r="R414" i="3"/>
  <c r="T414" i="3" s="1"/>
  <c r="R409" i="3"/>
  <c r="R404" i="3"/>
  <c r="R399" i="3"/>
  <c r="R394" i="3"/>
  <c r="R389" i="3"/>
  <c r="R384" i="3"/>
  <c r="R379" i="3"/>
  <c r="R374" i="3"/>
  <c r="AC372" i="3"/>
  <c r="R369" i="3"/>
  <c r="R364" i="3"/>
  <c r="R359" i="3"/>
  <c r="R354" i="3"/>
  <c r="R349" i="3"/>
  <c r="AC347" i="3"/>
  <c r="R378" i="3"/>
  <c r="R345" i="3"/>
  <c r="R340" i="3"/>
  <c r="R335" i="3"/>
  <c r="R330" i="3"/>
  <c r="R325" i="3"/>
  <c r="R320" i="3"/>
  <c r="R315" i="3"/>
  <c r="R310" i="3"/>
  <c r="R305" i="3"/>
  <c r="R300" i="3"/>
  <c r="R295" i="3"/>
  <c r="AC293" i="3"/>
  <c r="R290" i="3"/>
  <c r="AC288" i="3"/>
  <c r="R285" i="3"/>
  <c r="R280" i="3"/>
  <c r="R275" i="3"/>
  <c r="AC273" i="3"/>
  <c r="R270" i="3"/>
  <c r="AC268" i="3"/>
  <c r="R265" i="3"/>
  <c r="T265" i="3" s="1"/>
  <c r="R260" i="3"/>
  <c r="AC258" i="3"/>
  <c r="R255" i="3"/>
  <c r="AC253" i="3"/>
  <c r="R250" i="3"/>
  <c r="R245" i="3"/>
  <c r="R240" i="3"/>
  <c r="R235" i="3"/>
  <c r="R230" i="3"/>
  <c r="T230" i="3" s="1"/>
  <c r="R225" i="3"/>
  <c r="R220" i="3"/>
  <c r="T220" i="3" s="1"/>
  <c r="R215" i="3"/>
  <c r="R210" i="3"/>
  <c r="R205" i="3"/>
  <c r="R200" i="3"/>
  <c r="R195" i="3"/>
  <c r="R190" i="3"/>
  <c r="R185" i="3"/>
  <c r="R180" i="3"/>
  <c r="R175" i="3"/>
  <c r="R170" i="3"/>
  <c r="T170" i="3" s="1"/>
  <c r="R165" i="3"/>
  <c r="R160" i="3"/>
  <c r="R155" i="3"/>
  <c r="R150" i="3"/>
  <c r="R145" i="3"/>
  <c r="AC143" i="3"/>
  <c r="R423" i="3"/>
  <c r="R412" i="3"/>
  <c r="R408" i="3"/>
  <c r="R417" i="3"/>
  <c r="R422" i="3"/>
  <c r="R377" i="3"/>
  <c r="R368" i="3"/>
  <c r="AC355" i="3"/>
  <c r="AC371" i="3"/>
  <c r="R413" i="3"/>
  <c r="R397" i="3"/>
  <c r="AC370" i="3"/>
  <c r="R358" i="3"/>
  <c r="R339" i="3"/>
  <c r="R329" i="3"/>
  <c r="R319" i="3"/>
  <c r="R309" i="3"/>
  <c r="R299" i="3"/>
  <c r="T299" i="3" s="1"/>
  <c r="AC291" i="3"/>
  <c r="R283" i="3"/>
  <c r="R267" i="3"/>
  <c r="R254" i="3"/>
  <c r="R248" i="3"/>
  <c r="R238" i="3"/>
  <c r="R228" i="3"/>
  <c r="T228" i="3" s="1"/>
  <c r="R403" i="3"/>
  <c r="R382" i="3"/>
  <c r="R373" i="3"/>
  <c r="R372" i="3"/>
  <c r="R346" i="3"/>
  <c r="R336" i="3"/>
  <c r="R326" i="3"/>
  <c r="R316" i="3"/>
  <c r="T316" i="3" s="1"/>
  <c r="R306" i="3"/>
  <c r="T306" i="3" s="1"/>
  <c r="R296" i="3"/>
  <c r="R293" i="3"/>
  <c r="R388" i="3"/>
  <c r="R343" i="3"/>
  <c r="T343" i="3" s="1"/>
  <c r="R333" i="3"/>
  <c r="T333" i="3" s="1"/>
  <c r="R323" i="3"/>
  <c r="R313" i="3"/>
  <c r="R303" i="3"/>
  <c r="R287" i="3"/>
  <c r="R277" i="3"/>
  <c r="T277" i="3" s="1"/>
  <c r="R261" i="3"/>
  <c r="T261" i="3" s="1"/>
  <c r="R258" i="3"/>
  <c r="T258" i="3" s="1"/>
  <c r="R252" i="3"/>
  <c r="R242" i="3"/>
  <c r="T242" i="3" s="1"/>
  <c r="R232" i="3"/>
  <c r="R222" i="3"/>
  <c r="R212" i="3"/>
  <c r="R402" i="3"/>
  <c r="R387" i="3"/>
  <c r="R357" i="3"/>
  <c r="R337" i="3"/>
  <c r="T337" i="3" s="1"/>
  <c r="F116" i="4" s="1"/>
  <c r="K116" i="4" s="1"/>
  <c r="L116" i="4" s="1"/>
  <c r="N116" i="4" s="1"/>
  <c r="R327" i="3"/>
  <c r="T327" i="3" s="1"/>
  <c r="R317" i="3"/>
  <c r="R307" i="3"/>
  <c r="R297" i="3"/>
  <c r="AC286" i="3"/>
  <c r="R281" i="3"/>
  <c r="AC276" i="3"/>
  <c r="AC257" i="3"/>
  <c r="AC254" i="3"/>
  <c r="AC251" i="3"/>
  <c r="AD251" i="3" s="1"/>
  <c r="AE251" i="3" s="1"/>
  <c r="R246" i="3"/>
  <c r="R418" i="3"/>
  <c r="R393" i="3"/>
  <c r="T393" i="3" s="1"/>
  <c r="R367" i="3"/>
  <c r="R353" i="3"/>
  <c r="R344" i="3"/>
  <c r="R334" i="3"/>
  <c r="R324" i="3"/>
  <c r="R314" i="3"/>
  <c r="T314" i="3" s="1"/>
  <c r="R304" i="3"/>
  <c r="T304" i="3" s="1"/>
  <c r="R347" i="3"/>
  <c r="R341" i="3"/>
  <c r="R331" i="3"/>
  <c r="T331" i="3" s="1"/>
  <c r="R321" i="3"/>
  <c r="T321" i="3" s="1"/>
  <c r="R311" i="3"/>
  <c r="R392" i="3"/>
  <c r="R362" i="3"/>
  <c r="AC346" i="3"/>
  <c r="R338" i="3"/>
  <c r="R328" i="3"/>
  <c r="R318" i="3"/>
  <c r="T318" i="3" s="1"/>
  <c r="R308" i="3"/>
  <c r="R298" i="3"/>
  <c r="AC290" i="3"/>
  <c r="AC287" i="3"/>
  <c r="R282" i="3"/>
  <c r="AC277" i="3"/>
  <c r="AC274" i="3"/>
  <c r="R269" i="3"/>
  <c r="R266" i="3"/>
  <c r="AC252" i="3"/>
  <c r="R247" i="3"/>
  <c r="T247" i="3" s="1"/>
  <c r="R237" i="3"/>
  <c r="T237" i="3" s="1"/>
  <c r="R227" i="3"/>
  <c r="T227" i="3" s="1"/>
  <c r="R407" i="3"/>
  <c r="R398" i="3"/>
  <c r="R352" i="3"/>
  <c r="R383" i="3"/>
  <c r="AC344" i="3"/>
  <c r="R342" i="3"/>
  <c r="R332" i="3"/>
  <c r="R322" i="3"/>
  <c r="R312" i="3"/>
  <c r="R302" i="3"/>
  <c r="AC294" i="3"/>
  <c r="R289" i="3"/>
  <c r="R286" i="3"/>
  <c r="R276" i="3"/>
  <c r="R273" i="3"/>
  <c r="R4" i="3"/>
  <c r="AC4" i="3"/>
  <c r="R6" i="3"/>
  <c r="I45" i="14"/>
  <c r="K45" i="14" s="1"/>
  <c r="I42" i="14"/>
  <c r="I50" i="14"/>
  <c r="I39" i="14"/>
  <c r="I47" i="14"/>
  <c r="I40" i="14"/>
  <c r="R11" i="3"/>
  <c r="I80" i="14"/>
  <c r="I73" i="14"/>
  <c r="I81" i="14"/>
  <c r="I85" i="14"/>
  <c r="I78" i="14"/>
  <c r="I82" i="14"/>
  <c r="I75" i="14"/>
  <c r="AC14" i="3"/>
  <c r="R16" i="3"/>
  <c r="I165" i="14"/>
  <c r="I160" i="14"/>
  <c r="I155" i="14"/>
  <c r="I169" i="14"/>
  <c r="I152" i="14"/>
  <c r="I164" i="14"/>
  <c r="I153" i="14"/>
  <c r="I167" i="14"/>
  <c r="I159" i="14"/>
  <c r="I162" i="14"/>
  <c r="I154" i="14"/>
  <c r="I168" i="14"/>
  <c r="I163" i="14"/>
  <c r="AC19" i="3"/>
  <c r="R21" i="3"/>
  <c r="I246" i="14"/>
  <c r="I242" i="14"/>
  <c r="I238" i="14"/>
  <c r="I237" i="14"/>
  <c r="K237" i="14" s="1"/>
  <c r="I240" i="14"/>
  <c r="I241" i="14"/>
  <c r="I244" i="14"/>
  <c r="AC24" i="3"/>
  <c r="R26" i="3"/>
  <c r="R31" i="3"/>
  <c r="R36" i="3"/>
  <c r="T36" i="3" s="1"/>
  <c r="R41" i="3"/>
  <c r="I326" i="14"/>
  <c r="I330" i="14"/>
  <c r="I317" i="14"/>
  <c r="I325" i="14"/>
  <c r="I318" i="14"/>
  <c r="I329" i="14"/>
  <c r="I322" i="14"/>
  <c r="AC44" i="3"/>
  <c r="R46" i="3"/>
  <c r="I414" i="14"/>
  <c r="I407" i="14"/>
  <c r="I400" i="14"/>
  <c r="I397" i="14"/>
  <c r="I403" i="14"/>
  <c r="I410" i="14"/>
  <c r="I405" i="14"/>
  <c r="I413" i="14"/>
  <c r="I408" i="14"/>
  <c r="I401" i="14"/>
  <c r="AC49" i="3"/>
  <c r="R51" i="3"/>
  <c r="I481" i="14"/>
  <c r="I493" i="14"/>
  <c r="I488" i="14"/>
  <c r="I491" i="14"/>
  <c r="I489" i="14"/>
  <c r="I480" i="14"/>
  <c r="I492" i="14"/>
  <c r="I485" i="14"/>
  <c r="I483" i="14"/>
  <c r="AC54" i="3"/>
  <c r="R56" i="3"/>
  <c r="R61" i="3"/>
  <c r="R66" i="3"/>
  <c r="R71" i="3"/>
  <c r="I561" i="14"/>
  <c r="I574" i="14"/>
  <c r="I562" i="14"/>
  <c r="I567" i="14"/>
  <c r="I572" i="14"/>
  <c r="I570" i="14"/>
  <c r="I575" i="14"/>
  <c r="I563" i="14"/>
  <c r="I564" i="14"/>
  <c r="AC74" i="3"/>
  <c r="R76" i="3"/>
  <c r="I646" i="14"/>
  <c r="I652" i="14"/>
  <c r="I655" i="14"/>
  <c r="I641" i="14"/>
  <c r="I642" i="14"/>
  <c r="AC79" i="3"/>
  <c r="R81" i="3"/>
  <c r="I731" i="14"/>
  <c r="I735" i="14"/>
  <c r="I723" i="14"/>
  <c r="I721" i="14"/>
  <c r="I728" i="14"/>
  <c r="I730" i="14"/>
  <c r="I734" i="14"/>
  <c r="I733" i="14"/>
  <c r="AC84" i="3"/>
  <c r="R86" i="3"/>
  <c r="T86" i="3" s="1"/>
  <c r="I815" i="14"/>
  <c r="I814" i="14"/>
  <c r="I808" i="14"/>
  <c r="I805" i="14"/>
  <c r="I813" i="14"/>
  <c r="I802" i="14"/>
  <c r="I810" i="14"/>
  <c r="I807" i="14"/>
  <c r="AC89" i="3"/>
  <c r="R91" i="3"/>
  <c r="I904" i="14"/>
  <c r="I899" i="14"/>
  <c r="I894" i="14"/>
  <c r="I893" i="14"/>
  <c r="I902" i="14"/>
  <c r="I898" i="14"/>
  <c r="I896" i="14"/>
  <c r="AC94" i="3"/>
  <c r="R96" i="3"/>
  <c r="I974" i="14"/>
  <c r="I969" i="14"/>
  <c r="I971" i="14"/>
  <c r="I972" i="14"/>
  <c r="I973" i="14"/>
  <c r="I968" i="14"/>
  <c r="AC99" i="3"/>
  <c r="R101" i="3"/>
  <c r="I1038" i="14"/>
  <c r="I1034" i="14"/>
  <c r="I1037" i="14"/>
  <c r="I1032" i="14"/>
  <c r="I1041" i="14"/>
  <c r="I1033" i="14"/>
  <c r="AC104" i="3"/>
  <c r="R106" i="3"/>
  <c r="I1098" i="14"/>
  <c r="I1103" i="14"/>
  <c r="I1099" i="14"/>
  <c r="I1105" i="14"/>
  <c r="I1101" i="14"/>
  <c r="I1097" i="14"/>
  <c r="AC109" i="3"/>
  <c r="R111" i="3"/>
  <c r="I1173" i="14"/>
  <c r="I1181" i="14"/>
  <c r="I1178" i="14"/>
  <c r="I1186" i="14"/>
  <c r="I1175" i="14"/>
  <c r="I1179" i="14"/>
  <c r="I1172" i="14"/>
  <c r="I1183" i="14"/>
  <c r="I1176" i="14"/>
  <c r="AC114" i="3"/>
  <c r="AD114" i="3" s="1"/>
  <c r="AE114" i="3" s="1"/>
  <c r="R116" i="3"/>
  <c r="T116" i="3" s="1"/>
  <c r="I1252" i="14"/>
  <c r="I1262" i="14"/>
  <c r="I1265" i="14"/>
  <c r="I1257" i="14"/>
  <c r="AC119" i="3"/>
  <c r="R121" i="3"/>
  <c r="I1346" i="14"/>
  <c r="I1335" i="14"/>
  <c r="I1344" i="14"/>
  <c r="I1343" i="14"/>
  <c r="I1339" i="14"/>
  <c r="I1337" i="14"/>
  <c r="AC124" i="3"/>
  <c r="R126" i="3"/>
  <c r="I1418" i="14"/>
  <c r="I1419" i="14"/>
  <c r="I1413" i="14"/>
  <c r="I1410" i="14"/>
  <c r="AC129" i="3"/>
  <c r="R131" i="3"/>
  <c r="I1477" i="14"/>
  <c r="I1483" i="14"/>
  <c r="I1480" i="14"/>
  <c r="I1475" i="14"/>
  <c r="I1479" i="14"/>
  <c r="I1474" i="14"/>
  <c r="AC134" i="3"/>
  <c r="R136" i="3"/>
  <c r="I1547" i="14"/>
  <c r="I1540" i="14"/>
  <c r="I1548" i="14"/>
  <c r="I1545" i="14"/>
  <c r="I1549" i="14"/>
  <c r="I1542" i="14"/>
  <c r="AC139" i="3"/>
  <c r="R141" i="3"/>
  <c r="R144" i="3"/>
  <c r="R154" i="3"/>
  <c r="R164" i="3"/>
  <c r="T164" i="3" s="1"/>
  <c r="R174" i="3"/>
  <c r="R184" i="3"/>
  <c r="T184" i="3" s="1"/>
  <c r="R194" i="3"/>
  <c r="R209" i="3"/>
  <c r="R219" i="3"/>
  <c r="P229" i="3"/>
  <c r="Q229" i="3" s="1"/>
  <c r="O231" i="3"/>
  <c r="Q231" i="3" s="1"/>
  <c r="V231" i="3"/>
  <c r="P234" i="3"/>
  <c r="Q234" i="3" s="1"/>
  <c r="I1827" i="14"/>
  <c r="I1821" i="14"/>
  <c r="I1830" i="14"/>
  <c r="I1818" i="14"/>
  <c r="I1834" i="14"/>
  <c r="I1825" i="14"/>
  <c r="I1822" i="14"/>
  <c r="I1823" i="14"/>
  <c r="I1819" i="14"/>
  <c r="I1832" i="14"/>
  <c r="I1817" i="14"/>
  <c r="V264" i="3"/>
  <c r="AC269" i="3"/>
  <c r="AC270" i="3"/>
  <c r="R272" i="3"/>
  <c r="C134" i="17"/>
  <c r="AB273" i="3"/>
  <c r="T273" i="3"/>
  <c r="V275" i="3"/>
  <c r="O275" i="3"/>
  <c r="R279" i="3"/>
  <c r="O280" i="3"/>
  <c r="Q280" i="3" s="1"/>
  <c r="V280" i="3"/>
  <c r="P298" i="3"/>
  <c r="Q298" i="3" s="1"/>
  <c r="AB304" i="3"/>
  <c r="AD304" i="3" s="1"/>
  <c r="AE304" i="3" s="1"/>
  <c r="AF304" i="3"/>
  <c r="T313" i="3"/>
  <c r="AB313" i="3"/>
  <c r="AD313" i="3" s="1"/>
  <c r="AE313" i="3" s="1"/>
  <c r="P328" i="3"/>
  <c r="Q328" i="3" s="1"/>
  <c r="P338" i="3"/>
  <c r="Q338" i="3" s="1"/>
  <c r="R363" i="3"/>
  <c r="AF299" i="3"/>
  <c r="AB299" i="3"/>
  <c r="AD299" i="3" s="1"/>
  <c r="AE299" i="3" s="1"/>
  <c r="AB321" i="3"/>
  <c r="AD321" i="3" s="1"/>
  <c r="AE321" i="3" s="1"/>
  <c r="Q329" i="3"/>
  <c r="W330" i="3"/>
  <c r="F340" i="1" s="1"/>
  <c r="BH340" i="1" s="1"/>
  <c r="V330" i="3"/>
  <c r="O330" i="3"/>
  <c r="Q330" i="3" s="1"/>
  <c r="AB331" i="3"/>
  <c r="AD331" i="3" s="1"/>
  <c r="AE331" i="3" s="1"/>
  <c r="W340" i="3"/>
  <c r="F350" i="1" s="1"/>
  <c r="BH350" i="1" s="1"/>
  <c r="V340" i="3"/>
  <c r="O340" i="3"/>
  <c r="Q340" i="3" s="1"/>
  <c r="Q341" i="3"/>
  <c r="R348" i="3"/>
  <c r="O296" i="3"/>
  <c r="V296" i="3"/>
  <c r="W300" i="3"/>
  <c r="F310" i="1" s="1"/>
  <c r="BH310" i="1" s="1"/>
  <c r="V300" i="3"/>
  <c r="T303" i="3"/>
  <c r="AB303" i="3"/>
  <c r="AD303" i="3" s="1"/>
  <c r="AE303" i="3" s="1"/>
  <c r="Q310" i="3"/>
  <c r="T311" i="3"/>
  <c r="AB311" i="3"/>
  <c r="AD311" i="3" s="1"/>
  <c r="AE311" i="3" s="1"/>
  <c r="W320" i="3"/>
  <c r="F330" i="1" s="1"/>
  <c r="BH330" i="1" s="1"/>
  <c r="V320" i="3"/>
  <c r="O320" i="3"/>
  <c r="Q320" i="3" s="1"/>
  <c r="AF323" i="3"/>
  <c r="AF333" i="3"/>
  <c r="AF343" i="3"/>
  <c r="O345" i="3"/>
  <c r="Q345" i="3" s="1"/>
  <c r="W345" i="3"/>
  <c r="F355" i="1" s="1"/>
  <c r="BH355" i="1" s="1"/>
  <c r="V345" i="3"/>
  <c r="V246" i="3"/>
  <c r="O246" i="3"/>
  <c r="Q246" i="3" s="1"/>
  <c r="AC250" i="3"/>
  <c r="AC272" i="3"/>
  <c r="I1679" i="14"/>
  <c r="I1674" i="14"/>
  <c r="I1669" i="14"/>
  <c r="I1664" i="14"/>
  <c r="I1673" i="14"/>
  <c r="I1676" i="14"/>
  <c r="I1671" i="14"/>
  <c r="I1678" i="14"/>
  <c r="I1666" i="14"/>
  <c r="I1668" i="14"/>
  <c r="Q297" i="3"/>
  <c r="Q301" i="3"/>
  <c r="Q309" i="3"/>
  <c r="W310" i="3"/>
  <c r="F320" i="1" s="1"/>
  <c r="BH320" i="1" s="1"/>
  <c r="V310" i="3"/>
  <c r="O310" i="3"/>
  <c r="O329" i="3"/>
  <c r="O339" i="3"/>
  <c r="Q339" i="3" s="1"/>
  <c r="Q361" i="3"/>
  <c r="V269" i="3"/>
  <c r="O269" i="3"/>
  <c r="Q269" i="3" s="1"/>
  <c r="AC289" i="3"/>
  <c r="I1746" i="14"/>
  <c r="I1739" i="14"/>
  <c r="I1732" i="14"/>
  <c r="I1735" i="14"/>
  <c r="I1745" i="14"/>
  <c r="I1737" i="14"/>
  <c r="I1744" i="14"/>
  <c r="I1742" i="14"/>
  <c r="I1738" i="14"/>
  <c r="I1734" i="14"/>
  <c r="Q296" i="3"/>
  <c r="O300" i="3"/>
  <c r="Q300" i="3" s="1"/>
  <c r="R301" i="3"/>
  <c r="O319" i="3"/>
  <c r="Q319" i="3" s="1"/>
  <c r="AB327" i="3"/>
  <c r="AD327" i="3" s="1"/>
  <c r="AE327" i="3" s="1"/>
  <c r="AF327" i="3"/>
  <c r="AB337" i="3"/>
  <c r="AD337" i="3" s="1"/>
  <c r="AE337" i="3" s="1"/>
  <c r="AF337" i="3"/>
  <c r="W352" i="3"/>
  <c r="F362" i="1" s="1"/>
  <c r="BH362" i="1" s="1"/>
  <c r="O352" i="3"/>
  <c r="Q352" i="3" s="1"/>
  <c r="V352" i="3"/>
  <c r="Q382" i="3"/>
  <c r="O335" i="3"/>
  <c r="Q335" i="3" s="1"/>
  <c r="W335" i="3"/>
  <c r="F345" i="1" s="1"/>
  <c r="BH345" i="1" s="1"/>
  <c r="V335" i="3"/>
  <c r="T336" i="3"/>
  <c r="F115" i="4" s="1"/>
  <c r="K115" i="4" s="1"/>
  <c r="L115" i="4" s="1"/>
  <c r="N115" i="4" s="1"/>
  <c r="AB336" i="3"/>
  <c r="AD336" i="3" s="1"/>
  <c r="AE336" i="3" s="1"/>
  <c r="T357" i="3"/>
  <c r="AB357" i="3"/>
  <c r="AD357" i="3" s="1"/>
  <c r="AE357" i="3" s="1"/>
  <c r="AF357" i="3"/>
  <c r="W358" i="3"/>
  <c r="F368" i="1" s="1"/>
  <c r="BH368" i="1" s="1"/>
  <c r="O358" i="3"/>
  <c r="Q358" i="3" s="1"/>
  <c r="V358" i="3"/>
  <c r="AB376" i="3"/>
  <c r="AD376" i="3" s="1"/>
  <c r="AE376" i="3" s="1"/>
  <c r="AF376" i="3"/>
  <c r="R229" i="3"/>
  <c r="R249" i="3"/>
  <c r="R262" i="3"/>
  <c r="T262" i="3" s="1"/>
  <c r="O263" i="3"/>
  <c r="Q263" i="3" s="1"/>
  <c r="R268" i="3"/>
  <c r="O270" i="3"/>
  <c r="Q270" i="3" s="1"/>
  <c r="AC275" i="3"/>
  <c r="O283" i="3"/>
  <c r="Q283" i="3" s="1"/>
  <c r="I1693" i="14"/>
  <c r="I1689" i="14"/>
  <c r="I1685" i="14"/>
  <c r="I1696" i="14"/>
  <c r="I1691" i="14"/>
  <c r="I1692" i="14"/>
  <c r="I1684" i="14"/>
  <c r="I1695" i="14"/>
  <c r="I1687" i="14"/>
  <c r="I1682" i="14"/>
  <c r="I1688" i="14"/>
  <c r="O293" i="3"/>
  <c r="Q293" i="3" s="1"/>
  <c r="W293" i="3"/>
  <c r="F303" i="1" s="1"/>
  <c r="BH303" i="1" s="1"/>
  <c r="Q305" i="3"/>
  <c r="AF311" i="3"/>
  <c r="O315" i="3"/>
  <c r="Q315" i="3" s="1"/>
  <c r="W315" i="3"/>
  <c r="F325" i="1" s="1"/>
  <c r="BH325" i="1" s="1"/>
  <c r="V315" i="3"/>
  <c r="R224" i="3"/>
  <c r="P248" i="3"/>
  <c r="Q248" i="3" s="1"/>
  <c r="R259" i="3"/>
  <c r="R263" i="3"/>
  <c r="P266" i="3"/>
  <c r="Q266" i="3" s="1"/>
  <c r="W272" i="3"/>
  <c r="F282" i="1" s="1"/>
  <c r="BH282" i="1" s="1"/>
  <c r="O272" i="3"/>
  <c r="Q272" i="3" s="1"/>
  <c r="Q307" i="3"/>
  <c r="Q322" i="3"/>
  <c r="AB324" i="3"/>
  <c r="AD324" i="3" s="1"/>
  <c r="AE324" i="3" s="1"/>
  <c r="AF324" i="3"/>
  <c r="AB334" i="3"/>
  <c r="AD334" i="3" s="1"/>
  <c r="AE334" i="3" s="1"/>
  <c r="AF334" i="3"/>
  <c r="Q342" i="3"/>
  <c r="T375" i="3"/>
  <c r="AF375" i="3"/>
  <c r="AB375" i="3"/>
  <c r="AD375" i="3" s="1"/>
  <c r="AE375" i="3" s="1"/>
  <c r="T377" i="3"/>
  <c r="AF377" i="3"/>
  <c r="AB377" i="3"/>
  <c r="AD377" i="3" s="1"/>
  <c r="AE377" i="3" s="1"/>
  <c r="R188" i="3"/>
  <c r="R198" i="3"/>
  <c r="T198" i="3" s="1"/>
  <c r="R207" i="3"/>
  <c r="P208" i="3"/>
  <c r="Q208" i="3" s="1"/>
  <c r="R217" i="3"/>
  <c r="T217" i="3" s="1"/>
  <c r="P218" i="3"/>
  <c r="Q218" i="3" s="1"/>
  <c r="O238" i="3"/>
  <c r="P239" i="3"/>
  <c r="Q239" i="3" s="1"/>
  <c r="W246" i="3"/>
  <c r="F256" i="1" s="1"/>
  <c r="BH256" i="1" s="1"/>
  <c r="O264" i="3"/>
  <c r="V270" i="3"/>
  <c r="R278" i="3"/>
  <c r="T278" i="3" s="1"/>
  <c r="O279" i="3"/>
  <c r="W283" i="3"/>
  <c r="F293" i="1" s="1"/>
  <c r="BH293" i="1" s="1"/>
  <c r="R284" i="3"/>
  <c r="R294" i="3"/>
  <c r="AC295" i="3"/>
  <c r="O305" i="3"/>
  <c r="W305" i="3"/>
  <c r="F315" i="1" s="1"/>
  <c r="BH315" i="1" s="1"/>
  <c r="V305" i="3"/>
  <c r="AB314" i="3"/>
  <c r="AD314" i="3" s="1"/>
  <c r="AE314" i="3" s="1"/>
  <c r="AF314" i="3"/>
  <c r="T324" i="3"/>
  <c r="T334" i="3"/>
  <c r="AF336" i="3"/>
  <c r="P274" i="3"/>
  <c r="Q274" i="3" s="1"/>
  <c r="W274" i="3"/>
  <c r="F284" i="1" s="1"/>
  <c r="BH284" i="1" s="1"/>
  <c r="V277" i="3"/>
  <c r="P284" i="3"/>
  <c r="Q284" i="3" s="1"/>
  <c r="W284" i="3"/>
  <c r="F294" i="1" s="1"/>
  <c r="BH294" i="1" s="1"/>
  <c r="I1764" i="14"/>
  <c r="I1760" i="14"/>
  <c r="I1757" i="14"/>
  <c r="I1761" i="14"/>
  <c r="I1754" i="14"/>
  <c r="I1750" i="14"/>
  <c r="I1758" i="14"/>
  <c r="I1752" i="14"/>
  <c r="I1753" i="14"/>
  <c r="I1763" i="14"/>
  <c r="I1749" i="14"/>
  <c r="V303" i="3"/>
  <c r="V313" i="3"/>
  <c r="V323" i="3"/>
  <c r="V333" i="3"/>
  <c r="V343" i="3"/>
  <c r="I1886" i="14"/>
  <c r="I1883" i="14"/>
  <c r="I1884" i="14"/>
  <c r="I1882" i="14"/>
  <c r="O356" i="3"/>
  <c r="Q356" i="3" s="1"/>
  <c r="V361" i="3"/>
  <c r="O362" i="3"/>
  <c r="Q362" i="3" s="1"/>
  <c r="P369" i="3"/>
  <c r="Q369" i="3" s="1"/>
  <c r="W374" i="3"/>
  <c r="F384" i="1" s="1"/>
  <c r="BH384" i="1" s="1"/>
  <c r="O384" i="3"/>
  <c r="W389" i="3"/>
  <c r="F399" i="1" s="1"/>
  <c r="BH399" i="1" s="1"/>
  <c r="V390" i="3"/>
  <c r="O398" i="3"/>
  <c r="Q398" i="3" s="1"/>
  <c r="V403" i="3"/>
  <c r="O408" i="3"/>
  <c r="Q408" i="3" s="1"/>
  <c r="W353" i="3"/>
  <c r="F363" i="1" s="1"/>
  <c r="BH363" i="1" s="1"/>
  <c r="O353" i="3"/>
  <c r="Q353" i="3" s="1"/>
  <c r="V353" i="3"/>
  <c r="O359" i="3"/>
  <c r="Q363" i="3"/>
  <c r="P379" i="3"/>
  <c r="K389" i="1" s="1"/>
  <c r="W386" i="3"/>
  <c r="F396" i="1" s="1"/>
  <c r="BH396" i="1" s="1"/>
  <c r="O386" i="3"/>
  <c r="O399" i="3"/>
  <c r="W404" i="3"/>
  <c r="F414" i="1" s="1"/>
  <c r="BH414" i="1" s="1"/>
  <c r="V408" i="3"/>
  <c r="Q415" i="3"/>
  <c r="V241" i="3"/>
  <c r="V251" i="3"/>
  <c r="V254" i="3"/>
  <c r="V260" i="3"/>
  <c r="P264" i="3"/>
  <c r="Q264" i="3" s="1"/>
  <c r="V276" i="3"/>
  <c r="V299" i="3"/>
  <c r="V309" i="3"/>
  <c r="V319" i="3"/>
  <c r="V329" i="3"/>
  <c r="V339" i="3"/>
  <c r="AF366" i="3"/>
  <c r="W387" i="3"/>
  <c r="F397" i="1" s="1"/>
  <c r="BH397" i="1" s="1"/>
  <c r="O387" i="3"/>
  <c r="V387" i="3"/>
  <c r="Q388" i="3"/>
  <c r="W401" i="3"/>
  <c r="F411" i="1" s="1"/>
  <c r="BH411" i="1" s="1"/>
  <c r="O401" i="3"/>
  <c r="Q401" i="3" s="1"/>
  <c r="V302" i="3"/>
  <c r="W309" i="3"/>
  <c r="F319" i="1" s="1"/>
  <c r="BH319" i="1" s="1"/>
  <c r="V312" i="3"/>
  <c r="W319" i="3"/>
  <c r="F329" i="1" s="1"/>
  <c r="BH329" i="1" s="1"/>
  <c r="V322" i="3"/>
  <c r="W329" i="3"/>
  <c r="F339" i="1" s="1"/>
  <c r="BH339" i="1" s="1"/>
  <c r="V332" i="3"/>
  <c r="W339" i="3"/>
  <c r="F349" i="1" s="1"/>
  <c r="BH349" i="1" s="1"/>
  <c r="V342" i="3"/>
  <c r="Q367" i="3"/>
  <c r="Q386" i="3"/>
  <c r="AF393" i="3"/>
  <c r="AB393" i="3"/>
  <c r="AD393" i="3" s="1"/>
  <c r="AE393" i="3" s="1"/>
  <c r="W402" i="3"/>
  <c r="F412" i="1" s="1"/>
  <c r="BH412" i="1" s="1"/>
  <c r="V402" i="3"/>
  <c r="O402" i="3"/>
  <c r="V415" i="3"/>
  <c r="O415" i="3"/>
  <c r="O351" i="3"/>
  <c r="Q351" i="3" s="1"/>
  <c r="O360" i="3"/>
  <c r="V362" i="3"/>
  <c r="AB366" i="3"/>
  <c r="AD366" i="3" s="1"/>
  <c r="AE366" i="3" s="1"/>
  <c r="O380" i="3"/>
  <c r="W381" i="3"/>
  <c r="F391" i="1" s="1"/>
  <c r="BH391" i="1" s="1"/>
  <c r="O381" i="3"/>
  <c r="Q387" i="3"/>
  <c r="O394" i="3"/>
  <c r="W399" i="3"/>
  <c r="F409" i="1" s="1"/>
  <c r="BH409" i="1" s="1"/>
  <c r="V400" i="3"/>
  <c r="AB414" i="3"/>
  <c r="AD414" i="3" s="1"/>
  <c r="AE414" i="3" s="1"/>
  <c r="AF414" i="3"/>
  <c r="Q421" i="3"/>
  <c r="Q422" i="3"/>
  <c r="P244" i="3"/>
  <c r="Q244" i="3" s="1"/>
  <c r="I1813" i="14"/>
  <c r="I1806" i="14"/>
  <c r="I1810" i="14"/>
  <c r="I1814" i="14"/>
  <c r="I1807" i="14"/>
  <c r="I1803" i="14"/>
  <c r="I1800" i="14"/>
  <c r="I1811" i="14"/>
  <c r="I1809" i="14"/>
  <c r="I1802" i="14"/>
  <c r="P279" i="3"/>
  <c r="W382" i="3"/>
  <c r="F392" i="1" s="1"/>
  <c r="BH392" i="1" s="1"/>
  <c r="V382" i="3"/>
  <c r="O382" i="3"/>
  <c r="AF383" i="3"/>
  <c r="AB383" i="3"/>
  <c r="AD383" i="3" s="1"/>
  <c r="AE383" i="3" s="1"/>
  <c r="T383" i="3"/>
  <c r="O395" i="3"/>
  <c r="W396" i="3"/>
  <c r="F406" i="1" s="1"/>
  <c r="BH406" i="1" s="1"/>
  <c r="O396" i="3"/>
  <c r="Q396" i="3" s="1"/>
  <c r="Q402" i="3"/>
  <c r="W415" i="3"/>
  <c r="F425" i="1" s="1"/>
  <c r="BH425" i="1" s="1"/>
  <c r="T417" i="3"/>
  <c r="AB417" i="3"/>
  <c r="AD417" i="3" s="1"/>
  <c r="AE417" i="3" s="1"/>
  <c r="AF417" i="3"/>
  <c r="AF424" i="3"/>
  <c r="AB424" i="3"/>
  <c r="AD424" i="3" s="1"/>
  <c r="AE424" i="3" s="1"/>
  <c r="T424" i="3"/>
  <c r="Q381" i="3"/>
  <c r="W397" i="3"/>
  <c r="F407" i="1" s="1"/>
  <c r="BH407" i="1" s="1"/>
  <c r="O397" i="3"/>
  <c r="V397" i="3"/>
  <c r="W412" i="3"/>
  <c r="F422" i="1" s="1"/>
  <c r="BH422" i="1" s="1"/>
  <c r="V412" i="3"/>
  <c r="O412" i="3"/>
  <c r="Q412" i="3" s="1"/>
  <c r="O257" i="3"/>
  <c r="Q257" i="3" s="1"/>
  <c r="P259" i="3"/>
  <c r="Q259" i="3" s="1"/>
  <c r="V262" i="3"/>
  <c r="I1779" i="14"/>
  <c r="I1772" i="14"/>
  <c r="I1780" i="14"/>
  <c r="I1776" i="14"/>
  <c r="I1769" i="14"/>
  <c r="I1773" i="14"/>
  <c r="I1766" i="14"/>
  <c r="I1778" i="14"/>
  <c r="I1771" i="14"/>
  <c r="I1775" i="14"/>
  <c r="O302" i="3"/>
  <c r="Q302" i="3" s="1"/>
  <c r="O312" i="3"/>
  <c r="Q312" i="3" s="1"/>
  <c r="O322" i="3"/>
  <c r="O332" i="3"/>
  <c r="Q332" i="3" s="1"/>
  <c r="O342" i="3"/>
  <c r="I1879" i="14"/>
  <c r="I1875" i="14"/>
  <c r="I1876" i="14"/>
  <c r="I1872" i="14"/>
  <c r="I1874" i="14"/>
  <c r="P350" i="3"/>
  <c r="Q350" i="3" s="1"/>
  <c r="V351" i="3"/>
  <c r="V357" i="3"/>
  <c r="O361" i="3"/>
  <c r="O374" i="3"/>
  <c r="Q374" i="3" s="1"/>
  <c r="O389" i="3"/>
  <c r="W394" i="3"/>
  <c r="F404" i="1" s="1"/>
  <c r="BH404" i="1" s="1"/>
  <c r="V395" i="3"/>
  <c r="O403" i="3"/>
  <c r="Q403" i="3" s="1"/>
  <c r="W410" i="3"/>
  <c r="F420" i="1" s="1"/>
  <c r="BH420" i="1" s="1"/>
  <c r="V410" i="3"/>
  <c r="AB423" i="3"/>
  <c r="AD423" i="3" s="1"/>
  <c r="AE423" i="3" s="1"/>
  <c r="AF423" i="3"/>
  <c r="T423" i="3"/>
  <c r="O390" i="3"/>
  <c r="W391" i="3"/>
  <c r="F401" i="1" s="1"/>
  <c r="BH401" i="1" s="1"/>
  <c r="O391" i="3"/>
  <c r="Q391" i="3" s="1"/>
  <c r="Q397" i="3"/>
  <c r="O404" i="3"/>
  <c r="W406" i="3"/>
  <c r="F416" i="1" s="1"/>
  <c r="BH416" i="1" s="1"/>
  <c r="V406" i="3"/>
  <c r="O406" i="3"/>
  <c r="Q406" i="3" s="1"/>
  <c r="AB413" i="3"/>
  <c r="AD413" i="3" s="1"/>
  <c r="AE413" i="3" s="1"/>
  <c r="AF413" i="3"/>
  <c r="T413" i="3"/>
  <c r="O282" i="3"/>
  <c r="Q282" i="3" s="1"/>
  <c r="I1658" i="14"/>
  <c r="I1653" i="14"/>
  <c r="I1648" i="14"/>
  <c r="I1660" i="14"/>
  <c r="I1657" i="14"/>
  <c r="I1647" i="14"/>
  <c r="I1652" i="14"/>
  <c r="I1662" i="14"/>
  <c r="I1656" i="14"/>
  <c r="I1651" i="14"/>
  <c r="I1712" i="14"/>
  <c r="I1705" i="14"/>
  <c r="I1704" i="14"/>
  <c r="I1700" i="14"/>
  <c r="I1701" i="14"/>
  <c r="I1710" i="14"/>
  <c r="I1708" i="14"/>
  <c r="I1699" i="14"/>
  <c r="V363" i="3"/>
  <c r="W366" i="3"/>
  <c r="F376" i="1" s="1"/>
  <c r="BH376" i="1" s="1"/>
  <c r="V366" i="3"/>
  <c r="V388" i="3"/>
  <c r="W392" i="3"/>
  <c r="F402" i="1" s="1"/>
  <c r="BH402" i="1" s="1"/>
  <c r="V392" i="3"/>
  <c r="O392" i="3"/>
  <c r="Q392" i="3" s="1"/>
  <c r="V396" i="3"/>
  <c r="O410" i="3"/>
  <c r="AB418" i="3"/>
  <c r="AD418" i="3" s="1"/>
  <c r="AE418" i="3" s="1"/>
  <c r="AF418" i="3"/>
  <c r="T418" i="3"/>
  <c r="V421" i="3"/>
  <c r="N19" i="6"/>
  <c r="N117" i="6"/>
  <c r="N153" i="6"/>
  <c r="P380" i="3"/>
  <c r="Q380" i="3" s="1"/>
  <c r="P384" i="3"/>
  <c r="Q384" i="3" s="1"/>
  <c r="P390" i="3"/>
  <c r="P394" i="3"/>
  <c r="Q394" i="3" s="1"/>
  <c r="P400" i="3"/>
  <c r="Q400" i="3" s="1"/>
  <c r="P404" i="3"/>
  <c r="Q404" i="3" s="1"/>
  <c r="P410" i="3"/>
  <c r="Q410" i="3" s="1"/>
  <c r="W417" i="3"/>
  <c r="F427" i="1" s="1"/>
  <c r="BH427" i="1" s="1"/>
  <c r="V417" i="3"/>
  <c r="P420" i="3"/>
  <c r="Q420" i="3" s="1"/>
  <c r="N30" i="6"/>
  <c r="N74" i="6"/>
  <c r="N79" i="6"/>
  <c r="N183" i="6"/>
  <c r="N33" i="6"/>
  <c r="N100" i="6"/>
  <c r="N110" i="6"/>
  <c r="N186" i="6"/>
  <c r="P355" i="3"/>
  <c r="P359" i="3"/>
  <c r="Q359" i="3" s="1"/>
  <c r="P365" i="3"/>
  <c r="Q365" i="3" s="1"/>
  <c r="V407" i="3"/>
  <c r="N40" i="5"/>
  <c r="M40" i="5"/>
  <c r="N144" i="6"/>
  <c r="N149" i="6"/>
  <c r="N26" i="6"/>
  <c r="N88" i="6"/>
  <c r="N106" i="6"/>
  <c r="P385" i="3"/>
  <c r="Q385" i="3" s="1"/>
  <c r="P389" i="3"/>
  <c r="Q389" i="3" s="1"/>
  <c r="P395" i="3"/>
  <c r="P399" i="3"/>
  <c r="P405" i="3"/>
  <c r="Q405" i="3" s="1"/>
  <c r="P409" i="3"/>
  <c r="Q409" i="3" s="1"/>
  <c r="W419" i="3"/>
  <c r="F429" i="1" s="1"/>
  <c r="BH429" i="1" s="1"/>
  <c r="M1" i="6"/>
  <c r="N8" i="6"/>
  <c r="N123" i="6"/>
  <c r="V414" i="3"/>
  <c r="V420" i="3"/>
  <c r="O421" i="3"/>
  <c r="N86" i="6"/>
  <c r="N126" i="6"/>
  <c r="N226" i="6"/>
  <c r="N240" i="6"/>
  <c r="W414" i="3"/>
  <c r="F424" i="1" s="1"/>
  <c r="BH424" i="1" s="1"/>
  <c r="P419" i="3"/>
  <c r="Q419" i="3" s="1"/>
  <c r="N13" i="6"/>
  <c r="N37" i="6"/>
  <c r="N133" i="6"/>
  <c r="N140" i="6"/>
  <c r="N160" i="6"/>
  <c r="N170" i="6"/>
  <c r="N233" i="6"/>
  <c r="I1858" i="14"/>
  <c r="I1856" i="14"/>
  <c r="I1867" i="14"/>
  <c r="I1859" i="14"/>
  <c r="I1857" i="14"/>
  <c r="I1868" i="14"/>
  <c r="I1866" i="14"/>
  <c r="I1860" i="14"/>
  <c r="I1642" i="14"/>
  <c r="I1637" i="14"/>
  <c r="I1636" i="14"/>
  <c r="I1641" i="14"/>
  <c r="I1645" i="14"/>
  <c r="I1635" i="14"/>
  <c r="I1632" i="14"/>
  <c r="I1631" i="14"/>
  <c r="I1640" i="14"/>
  <c r="I1730" i="14"/>
  <c r="I1720" i="14"/>
  <c r="I1725" i="14"/>
  <c r="I1726" i="14"/>
  <c r="I1727" i="14"/>
  <c r="I1729" i="14"/>
  <c r="I1718" i="14"/>
  <c r="I1723" i="14"/>
  <c r="I1716" i="14"/>
  <c r="P360" i="3"/>
  <c r="Q360" i="3" s="1"/>
  <c r="P364" i="3"/>
  <c r="Q364" i="3" s="1"/>
  <c r="O407" i="3"/>
  <c r="Q407" i="3" s="1"/>
  <c r="O411" i="3"/>
  <c r="Q411" i="3" s="1"/>
  <c r="O416" i="3"/>
  <c r="Q416" i="3" s="1"/>
  <c r="W422" i="3"/>
  <c r="F432" i="1" s="1"/>
  <c r="BH432" i="1" s="1"/>
  <c r="V422" i="3"/>
  <c r="P425" i="3"/>
  <c r="Q425" i="3" s="1"/>
  <c r="N40" i="6"/>
  <c r="N58" i="6"/>
  <c r="N94" i="6"/>
  <c r="N99" i="6"/>
  <c r="N136" i="6"/>
  <c r="I14" i="5"/>
  <c r="F14" i="5"/>
  <c r="K39" i="5"/>
  <c r="F39" i="5"/>
  <c r="J28" i="6"/>
  <c r="N28" i="6" s="1"/>
  <c r="J47" i="6"/>
  <c r="N47" i="6" s="1"/>
  <c r="J37" i="6"/>
  <c r="J44" i="6"/>
  <c r="N44" i="6" s="1"/>
  <c r="J34" i="6"/>
  <c r="N34" i="6" s="1"/>
  <c r="J41" i="6"/>
  <c r="N41" i="6" s="1"/>
  <c r="J43" i="6"/>
  <c r="N43" i="6" s="1"/>
  <c r="J33" i="6"/>
  <c r="J45" i="6"/>
  <c r="N45" i="6" s="1"/>
  <c r="J78" i="6"/>
  <c r="N78" i="6" s="1"/>
  <c r="N112" i="6"/>
  <c r="J132" i="6"/>
  <c r="J182" i="6"/>
  <c r="N182" i="6" s="1"/>
  <c r="J186" i="6"/>
  <c r="J227" i="6"/>
  <c r="N227" i="6" s="1"/>
  <c r="J224" i="6"/>
  <c r="N224" i="6" s="1"/>
  <c r="J231" i="6"/>
  <c r="J221" i="6"/>
  <c r="J223" i="6"/>
  <c r="N223" i="6" s="1"/>
  <c r="J232" i="6"/>
  <c r="J236" i="6"/>
  <c r="N236" i="6" s="1"/>
  <c r="N269" i="6"/>
  <c r="N275" i="6"/>
  <c r="J401" i="6"/>
  <c r="N401" i="6" s="1"/>
  <c r="J408" i="6"/>
  <c r="N408" i="6" s="1"/>
  <c r="J398" i="6"/>
  <c r="J405" i="6"/>
  <c r="J395" i="6"/>
  <c r="J407" i="6"/>
  <c r="N407" i="6" s="1"/>
  <c r="J397" i="6"/>
  <c r="J404" i="6"/>
  <c r="N404" i="6" s="1"/>
  <c r="J399" i="6"/>
  <c r="J402" i="6"/>
  <c r="N402" i="6" s="1"/>
  <c r="J393" i="6"/>
  <c r="J400" i="6"/>
  <c r="J396" i="6"/>
  <c r="J403" i="6"/>
  <c r="J394" i="6"/>
  <c r="J392" i="6"/>
  <c r="N392" i="6" s="1"/>
  <c r="J406" i="6"/>
  <c r="E14" i="5"/>
  <c r="M17" i="5"/>
  <c r="F23" i="5"/>
  <c r="K25" i="5"/>
  <c r="I25" i="5"/>
  <c r="N26" i="5"/>
  <c r="M26" i="5"/>
  <c r="E39" i="5"/>
  <c r="J19" i="6"/>
  <c r="J30" i="6"/>
  <c r="J32" i="6"/>
  <c r="J36" i="6"/>
  <c r="N36" i="6" s="1"/>
  <c r="N52" i="6"/>
  <c r="J69" i="6"/>
  <c r="N69" i="6" s="1"/>
  <c r="J80" i="6"/>
  <c r="N80" i="6" s="1"/>
  <c r="J82" i="6"/>
  <c r="J86" i="6"/>
  <c r="J100" i="6"/>
  <c r="J109" i="6"/>
  <c r="N109" i="6" s="1"/>
  <c r="J118" i="6"/>
  <c r="N118" i="6" s="1"/>
  <c r="J147" i="6"/>
  <c r="N147" i="6" s="1"/>
  <c r="J154" i="6"/>
  <c r="N154" i="6" s="1"/>
  <c r="J144" i="6"/>
  <c r="J151" i="6"/>
  <c r="J141" i="6"/>
  <c r="J153" i="6"/>
  <c r="J143" i="6"/>
  <c r="N143" i="6" s="1"/>
  <c r="J145" i="6"/>
  <c r="N145" i="6" s="1"/>
  <c r="J150" i="6"/>
  <c r="N150" i="6" s="1"/>
  <c r="J159" i="6"/>
  <c r="N159" i="6" s="1"/>
  <c r="N175" i="6"/>
  <c r="J195" i="6"/>
  <c r="J217" i="6"/>
  <c r="N217" i="6" s="1"/>
  <c r="J207" i="6"/>
  <c r="N207" i="6" s="1"/>
  <c r="J214" i="6"/>
  <c r="N214" i="6" s="1"/>
  <c r="J204" i="6"/>
  <c r="N204" i="6" s="1"/>
  <c r="J211" i="6"/>
  <c r="N211" i="6" s="1"/>
  <c r="J213" i="6"/>
  <c r="N213" i="6" s="1"/>
  <c r="J203" i="6"/>
  <c r="N203" i="6" s="1"/>
  <c r="J209" i="6"/>
  <c r="N209" i="6" s="1"/>
  <c r="J218" i="6"/>
  <c r="N218" i="6" s="1"/>
  <c r="N221" i="6"/>
  <c r="N288" i="6"/>
  <c r="J299" i="6"/>
  <c r="N314" i="6"/>
  <c r="N394" i="6"/>
  <c r="J412" i="6"/>
  <c r="N412" i="6" s="1"/>
  <c r="N452" i="6"/>
  <c r="J516" i="6"/>
  <c r="J539" i="6"/>
  <c r="I9" i="5"/>
  <c r="F9" i="5"/>
  <c r="I34" i="5"/>
  <c r="F34" i="5"/>
  <c r="J75" i="6"/>
  <c r="N75" i="6" s="1"/>
  <c r="J107" i="6"/>
  <c r="N107" i="6" s="1"/>
  <c r="J102" i="6"/>
  <c r="N102" i="6" s="1"/>
  <c r="J106" i="6"/>
  <c r="N132" i="6"/>
  <c r="N139" i="6"/>
  <c r="J152" i="6"/>
  <c r="J156" i="6"/>
  <c r="N156" i="6" s="1"/>
  <c r="J187" i="6"/>
  <c r="N187" i="6" s="1"/>
  <c r="J201" i="6"/>
  <c r="J191" i="6"/>
  <c r="J193" i="6"/>
  <c r="N193" i="6" s="1"/>
  <c r="J202" i="6"/>
  <c r="N202" i="6" s="1"/>
  <c r="J206" i="6"/>
  <c r="N206" i="6" s="1"/>
  <c r="N232" i="6"/>
  <c r="J257" i="6"/>
  <c r="N257" i="6" s="1"/>
  <c r="J247" i="6"/>
  <c r="N247" i="6" s="1"/>
  <c r="J251" i="6"/>
  <c r="N251" i="6" s="1"/>
  <c r="J258" i="6"/>
  <c r="N258" i="6" s="1"/>
  <c r="J248" i="6"/>
  <c r="N248" i="6" s="1"/>
  <c r="J256" i="6"/>
  <c r="N256" i="6" s="1"/>
  <c r="J253" i="6"/>
  <c r="N253" i="6" s="1"/>
  <c r="J267" i="6"/>
  <c r="N267" i="6" s="1"/>
  <c r="J282" i="6"/>
  <c r="N282" i="6" s="1"/>
  <c r="J350" i="6"/>
  <c r="N350" i="6" s="1"/>
  <c r="J353" i="6"/>
  <c r="J366" i="6"/>
  <c r="J373" i="6"/>
  <c r="J362" i="6"/>
  <c r="N362" i="6" s="1"/>
  <c r="K20" i="5"/>
  <c r="I20" i="5"/>
  <c r="N21" i="5"/>
  <c r="M21" i="5"/>
  <c r="J17" i="6"/>
  <c r="N17" i="6" s="1"/>
  <c r="J7" i="6"/>
  <c r="N7" i="6" s="1"/>
  <c r="J14" i="6"/>
  <c r="N14" i="6" s="1"/>
  <c r="J4" i="6"/>
  <c r="N4" i="6" s="1"/>
  <c r="J11" i="6"/>
  <c r="N11" i="6" s="1"/>
  <c r="J13" i="6"/>
  <c r="J3" i="6"/>
  <c r="N3" i="6" s="1"/>
  <c r="J10" i="6"/>
  <c r="N10" i="6" s="1"/>
  <c r="J12" i="6"/>
  <c r="N12" i="6" s="1"/>
  <c r="J16" i="6"/>
  <c r="N16" i="6" s="1"/>
  <c r="N32" i="6"/>
  <c r="J60" i="6"/>
  <c r="N60" i="6" s="1"/>
  <c r="N82" i="6"/>
  <c r="N95" i="6"/>
  <c r="N141" i="6"/>
  <c r="J165" i="6"/>
  <c r="J179" i="6"/>
  <c r="N191" i="6"/>
  <c r="N195" i="6"/>
  <c r="J229" i="6"/>
  <c r="J270" i="6"/>
  <c r="N270" i="6" s="1"/>
  <c r="J314" i="6"/>
  <c r="J309" i="6"/>
  <c r="N373" i="6"/>
  <c r="N397" i="6"/>
  <c r="N423" i="6"/>
  <c r="N497" i="6"/>
  <c r="I4" i="5"/>
  <c r="F4" i="5"/>
  <c r="N12" i="5"/>
  <c r="N14" i="5"/>
  <c r="E20" i="5"/>
  <c r="M23" i="5"/>
  <c r="I29" i="5"/>
  <c r="F29" i="5"/>
  <c r="N37" i="5"/>
  <c r="F44" i="5"/>
  <c r="E46" i="5"/>
  <c r="J5" i="6"/>
  <c r="N5" i="6" s="1"/>
  <c r="N21" i="6"/>
  <c r="N25" i="6"/>
  <c r="J38" i="6"/>
  <c r="N38" i="6" s="1"/>
  <c r="J87" i="6"/>
  <c r="N87" i="6" s="1"/>
  <c r="J94" i="6"/>
  <c r="J84" i="6"/>
  <c r="N84" i="6" s="1"/>
  <c r="J91" i="6"/>
  <c r="N91" i="6" s="1"/>
  <c r="J81" i="6"/>
  <c r="N81" i="6" s="1"/>
  <c r="J93" i="6"/>
  <c r="N93" i="6" s="1"/>
  <c r="J83" i="6"/>
  <c r="N83" i="6" s="1"/>
  <c r="J88" i="6"/>
  <c r="J122" i="6"/>
  <c r="N152" i="6"/>
  <c r="J157" i="6"/>
  <c r="N157" i="6" s="1"/>
  <c r="J161" i="6"/>
  <c r="J163" i="6"/>
  <c r="N163" i="6" s="1"/>
  <c r="J172" i="6"/>
  <c r="J176" i="6"/>
  <c r="N176" i="6" s="1"/>
  <c r="J237" i="6"/>
  <c r="N237" i="6" s="1"/>
  <c r="J244" i="6"/>
  <c r="J234" i="6"/>
  <c r="N234" i="6" s="1"/>
  <c r="J241" i="6"/>
  <c r="N241" i="6" s="1"/>
  <c r="J238" i="6"/>
  <c r="N238" i="6" s="1"/>
  <c r="J246" i="6"/>
  <c r="J243" i="6"/>
  <c r="N243" i="6" s="1"/>
  <c r="J233" i="6"/>
  <c r="J242" i="6"/>
  <c r="N242" i="6" s="1"/>
  <c r="N246" i="6"/>
  <c r="N343" i="6"/>
  <c r="J374" i="6"/>
  <c r="N374" i="6" s="1"/>
  <c r="N400" i="6"/>
  <c r="N463" i="6"/>
  <c r="N490" i="6"/>
  <c r="J501" i="6"/>
  <c r="N501" i="6" s="1"/>
  <c r="J508" i="6"/>
  <c r="J498" i="6"/>
  <c r="N498" i="6" s="1"/>
  <c r="J505" i="6"/>
  <c r="J495" i="6"/>
  <c r="J507" i="6"/>
  <c r="N507" i="6" s="1"/>
  <c r="J497" i="6"/>
  <c r="J509" i="6"/>
  <c r="N509" i="6" s="1"/>
  <c r="J500" i="6"/>
  <c r="J496" i="6"/>
  <c r="J494" i="6"/>
  <c r="N494" i="6" s="1"/>
  <c r="J503" i="6"/>
  <c r="J506" i="6"/>
  <c r="J499" i="6"/>
  <c r="J504" i="6"/>
  <c r="N504" i="6" s="1"/>
  <c r="J502" i="6"/>
  <c r="N502" i="6" s="1"/>
  <c r="J493" i="6"/>
  <c r="N500" i="6"/>
  <c r="N524" i="6"/>
  <c r="J795" i="6"/>
  <c r="J791" i="6"/>
  <c r="J789" i="6"/>
  <c r="K15" i="5"/>
  <c r="I15" i="5"/>
  <c r="N16" i="5"/>
  <c r="M16" i="5"/>
  <c r="F20" i="5"/>
  <c r="F42" i="5"/>
  <c r="E42" i="5"/>
  <c r="F46" i="5"/>
  <c r="J27" i="6"/>
  <c r="N27" i="6" s="1"/>
  <c r="J24" i="6"/>
  <c r="N24" i="6" s="1"/>
  <c r="J31" i="6"/>
  <c r="J21" i="6"/>
  <c r="J23" i="6"/>
  <c r="N23" i="6" s="1"/>
  <c r="J29" i="6"/>
  <c r="N29" i="6" s="1"/>
  <c r="J42" i="6"/>
  <c r="J46" i="6"/>
  <c r="N46" i="6" s="1"/>
  <c r="N62" i="6"/>
  <c r="J79" i="6"/>
  <c r="J90" i="6"/>
  <c r="N90" i="6" s="1"/>
  <c r="J99" i="6"/>
  <c r="J108" i="6"/>
  <c r="N108" i="6" s="1"/>
  <c r="N115" i="6"/>
  <c r="J135" i="6"/>
  <c r="N135" i="6" s="1"/>
  <c r="J158" i="6"/>
  <c r="N158" i="6" s="1"/>
  <c r="N161" i="6"/>
  <c r="N165" i="6"/>
  <c r="J185" i="6"/>
  <c r="J190" i="6"/>
  <c r="N190" i="6" s="1"/>
  <c r="N215" i="6"/>
  <c r="J235" i="6"/>
  <c r="N235" i="6" s="1"/>
  <c r="N244" i="6"/>
  <c r="N254" i="6"/>
  <c r="N284" i="6"/>
  <c r="N289" i="6"/>
  <c r="N353" i="6"/>
  <c r="N371" i="6"/>
  <c r="N448" i="6"/>
  <c r="N505" i="6"/>
  <c r="J530" i="6"/>
  <c r="N530" i="6" s="1"/>
  <c r="J533" i="6"/>
  <c r="N533" i="6" s="1"/>
  <c r="N9" i="5"/>
  <c r="E15" i="5"/>
  <c r="M18" i="5"/>
  <c r="I24" i="5"/>
  <c r="F24" i="5"/>
  <c r="N34" i="5"/>
  <c r="F40" i="5"/>
  <c r="K44" i="5"/>
  <c r="J18" i="6"/>
  <c r="N18" i="6" s="1"/>
  <c r="J35" i="6"/>
  <c r="N35" i="6" s="1"/>
  <c r="N55" i="6"/>
  <c r="J85" i="6"/>
  <c r="N85" i="6" s="1"/>
  <c r="J92" i="6"/>
  <c r="N92" i="6" s="1"/>
  <c r="J96" i="6"/>
  <c r="N96" i="6" s="1"/>
  <c r="N122" i="6"/>
  <c r="J127" i="6"/>
  <c r="N127" i="6" s="1"/>
  <c r="J131" i="6"/>
  <c r="J133" i="6"/>
  <c r="N172" i="6"/>
  <c r="N179" i="6"/>
  <c r="J197" i="6"/>
  <c r="N197" i="6" s="1"/>
  <c r="J192" i="6"/>
  <c r="N192" i="6" s="1"/>
  <c r="N222" i="6"/>
  <c r="N229" i="6"/>
  <c r="J254" i="6"/>
  <c r="N252" i="6"/>
  <c r="N262" i="6"/>
  <c r="N272" i="6"/>
  <c r="J311" i="6"/>
  <c r="J306" i="6"/>
  <c r="N364" i="6"/>
  <c r="N398" i="6"/>
  <c r="J414" i="6"/>
  <c r="N414" i="6" s="1"/>
  <c r="J409" i="6"/>
  <c r="N443" i="6"/>
  <c r="N483" i="6"/>
  <c r="N508" i="6"/>
  <c r="K4" i="5"/>
  <c r="K10" i="5"/>
  <c r="I10" i="5"/>
  <c r="N11" i="5"/>
  <c r="M11" i="5"/>
  <c r="F15" i="5"/>
  <c r="E24" i="5"/>
  <c r="M27" i="5"/>
  <c r="K29" i="5"/>
  <c r="K35" i="5"/>
  <c r="I35" i="5"/>
  <c r="N36" i="5"/>
  <c r="M36" i="5"/>
  <c r="K42" i="5"/>
  <c r="N46" i="5"/>
  <c r="J9" i="6"/>
  <c r="N9" i="6" s="1"/>
  <c r="J20" i="6"/>
  <c r="N20" i="6" s="1"/>
  <c r="J22" i="6"/>
  <c r="J26" i="6"/>
  <c r="N42" i="6"/>
  <c r="J57" i="6"/>
  <c r="N57" i="6" s="1"/>
  <c r="J54" i="6"/>
  <c r="N54" i="6" s="1"/>
  <c r="J61" i="6"/>
  <c r="N61" i="6" s="1"/>
  <c r="J51" i="6"/>
  <c r="N51" i="6" s="1"/>
  <c r="J53" i="6"/>
  <c r="N53" i="6" s="1"/>
  <c r="J59" i="6"/>
  <c r="N59" i="6" s="1"/>
  <c r="J77" i="6"/>
  <c r="N77" i="6" s="1"/>
  <c r="J67" i="6"/>
  <c r="N67" i="6" s="1"/>
  <c r="J74" i="6"/>
  <c r="J64" i="6"/>
  <c r="N64" i="6" s="1"/>
  <c r="J71" i="6"/>
  <c r="N71" i="6" s="1"/>
  <c r="J73" i="6"/>
  <c r="N73" i="6" s="1"/>
  <c r="J63" i="6"/>
  <c r="N63" i="6" s="1"/>
  <c r="J70" i="6"/>
  <c r="N70" i="6" s="1"/>
  <c r="J72" i="6"/>
  <c r="N72" i="6" s="1"/>
  <c r="J76" i="6"/>
  <c r="N76" i="6" s="1"/>
  <c r="J117" i="6"/>
  <c r="J124" i="6"/>
  <c r="N124" i="6" s="1"/>
  <c r="J114" i="6"/>
  <c r="N114" i="6" s="1"/>
  <c r="J121" i="6"/>
  <c r="N121" i="6" s="1"/>
  <c r="J123" i="6"/>
  <c r="J113" i="6"/>
  <c r="N113" i="6" s="1"/>
  <c r="J119" i="6"/>
  <c r="N119" i="6" s="1"/>
  <c r="J128" i="6"/>
  <c r="N128" i="6" s="1"/>
  <c r="N131" i="6"/>
  <c r="J155" i="6"/>
  <c r="J160" i="6"/>
  <c r="J169" i="6"/>
  <c r="N169" i="6" s="1"/>
  <c r="N185" i="6"/>
  <c r="J205" i="6"/>
  <c r="J210" i="6"/>
  <c r="N210" i="6" s="1"/>
  <c r="J219" i="6"/>
  <c r="N219" i="6" s="1"/>
  <c r="J228" i="6"/>
  <c r="N228" i="6" s="1"/>
  <c r="N231" i="6"/>
  <c r="J281" i="6"/>
  <c r="J301" i="6"/>
  <c r="N301" i="6" s="1"/>
  <c r="J291" i="6"/>
  <c r="N291" i="6" s="1"/>
  <c r="J298" i="6"/>
  <c r="N298" i="6" s="1"/>
  <c r="J295" i="6"/>
  <c r="N295" i="6" s="1"/>
  <c r="J303" i="6"/>
  <c r="J296" i="6"/>
  <c r="N296" i="6" s="1"/>
  <c r="J294" i="6"/>
  <c r="N294" i="6" s="1"/>
  <c r="J302" i="6"/>
  <c r="N302" i="6" s="1"/>
  <c r="J297" i="6"/>
  <c r="N297" i="6" s="1"/>
  <c r="J290" i="6"/>
  <c r="N290" i="6" s="1"/>
  <c r="J304" i="6"/>
  <c r="N330" i="6"/>
  <c r="J356" i="6"/>
  <c r="N356" i="6" s="1"/>
  <c r="N393" i="6"/>
  <c r="J446" i="6"/>
  <c r="E10" i="5"/>
  <c r="M13" i="5"/>
  <c r="I19" i="5"/>
  <c r="F19" i="5"/>
  <c r="E35" i="5"/>
  <c r="M38" i="5"/>
  <c r="M48" i="5"/>
  <c r="J15" i="6"/>
  <c r="N15" i="6" s="1"/>
  <c r="N31" i="6"/>
  <c r="J48" i="6"/>
  <c r="N48" i="6" s="1"/>
  <c r="J65" i="6"/>
  <c r="N65" i="6" s="1"/>
  <c r="J97" i="6"/>
  <c r="N97" i="6" s="1"/>
  <c r="J111" i="6"/>
  <c r="N111" i="6" s="1"/>
  <c r="J101" i="6"/>
  <c r="J103" i="6"/>
  <c r="N103" i="6" s="1"/>
  <c r="J116" i="6"/>
  <c r="N116" i="6" s="1"/>
  <c r="N142" i="6"/>
  <c r="J167" i="6"/>
  <c r="N167" i="6" s="1"/>
  <c r="J162" i="6"/>
  <c r="N162" i="6" s="1"/>
  <c r="J166" i="6"/>
  <c r="N166" i="6" s="1"/>
  <c r="N199" i="6"/>
  <c r="J212" i="6"/>
  <c r="N212" i="6" s="1"/>
  <c r="J216" i="6"/>
  <c r="N216" i="6" s="1"/>
  <c r="J239" i="6"/>
  <c r="N239" i="6" s="1"/>
  <c r="J245" i="6"/>
  <c r="N245" i="6" s="1"/>
  <c r="J249" i="6"/>
  <c r="N249" i="6" s="1"/>
  <c r="J255" i="6"/>
  <c r="N255" i="6" s="1"/>
  <c r="J259" i="6"/>
  <c r="N259" i="6" s="1"/>
  <c r="J265" i="6"/>
  <c r="J288" i="6"/>
  <c r="J278" i="6"/>
  <c r="N278" i="6" s="1"/>
  <c r="J286" i="6"/>
  <c r="J283" i="6"/>
  <c r="N283" i="6" s="1"/>
  <c r="J277" i="6"/>
  <c r="N277" i="6" s="1"/>
  <c r="J280" i="6"/>
  <c r="N280" i="6" s="1"/>
  <c r="J287" i="6"/>
  <c r="N287" i="6" s="1"/>
  <c r="J285" i="6"/>
  <c r="N285" i="6" s="1"/>
  <c r="J276" i="6"/>
  <c r="N276" i="6" s="1"/>
  <c r="J331" i="6"/>
  <c r="N331" i="6" s="1"/>
  <c r="J321" i="6"/>
  <c r="N321" i="6" s="1"/>
  <c r="J328" i="6"/>
  <c r="N328" i="6" s="1"/>
  <c r="J325" i="6"/>
  <c r="N325" i="6" s="1"/>
  <c r="J327" i="6"/>
  <c r="N327" i="6" s="1"/>
  <c r="J322" i="6"/>
  <c r="N322" i="6" s="1"/>
  <c r="J329" i="6"/>
  <c r="N329" i="6" s="1"/>
  <c r="J320" i="6"/>
  <c r="N320" i="6" s="1"/>
  <c r="J330" i="6"/>
  <c r="J326" i="6"/>
  <c r="J333" i="6"/>
  <c r="J324" i="6"/>
  <c r="N324" i="6" s="1"/>
  <c r="J319" i="6"/>
  <c r="N319" i="6" s="1"/>
  <c r="J354" i="6"/>
  <c r="N354" i="6" s="1"/>
  <c r="J389" i="6"/>
  <c r="N389" i="6" s="1"/>
  <c r="N403" i="6"/>
  <c r="F3" i="5"/>
  <c r="K5" i="5"/>
  <c r="I5" i="5"/>
  <c r="N6" i="5"/>
  <c r="M6" i="5"/>
  <c r="F10" i="5"/>
  <c r="E19" i="5"/>
  <c r="K24" i="5"/>
  <c r="F28" i="5"/>
  <c r="K30" i="5"/>
  <c r="I30" i="5"/>
  <c r="N31" i="5"/>
  <c r="M31" i="5"/>
  <c r="F35" i="5"/>
  <c r="N43" i="5"/>
  <c r="M43" i="5"/>
  <c r="F45" i="5"/>
  <c r="J6" i="6"/>
  <c r="N6" i="6" s="1"/>
  <c r="N22" i="6"/>
  <c r="J39" i="6"/>
  <c r="N39" i="6" s="1"/>
  <c r="J50" i="6"/>
  <c r="N50" i="6" s="1"/>
  <c r="J52" i="6"/>
  <c r="J56" i="6"/>
  <c r="N56" i="6" s="1"/>
  <c r="J89" i="6"/>
  <c r="N89" i="6" s="1"/>
  <c r="J98" i="6"/>
  <c r="N98" i="6" s="1"/>
  <c r="N101" i="6"/>
  <c r="N105" i="6"/>
  <c r="J125" i="6"/>
  <c r="N125" i="6" s="1"/>
  <c r="J130" i="6"/>
  <c r="N130" i="6" s="1"/>
  <c r="J139" i="6"/>
  <c r="J148" i="6"/>
  <c r="N148" i="6" s="1"/>
  <c r="N151" i="6"/>
  <c r="N155" i="6"/>
  <c r="J177" i="6"/>
  <c r="N177" i="6" s="1"/>
  <c r="J184" i="6"/>
  <c r="N184" i="6" s="1"/>
  <c r="J174" i="6"/>
  <c r="N174" i="6" s="1"/>
  <c r="J181" i="6"/>
  <c r="N181" i="6" s="1"/>
  <c r="J171" i="6"/>
  <c r="N171" i="6" s="1"/>
  <c r="J183" i="6"/>
  <c r="J173" i="6"/>
  <c r="N173" i="6" s="1"/>
  <c r="J175" i="6"/>
  <c r="J180" i="6"/>
  <c r="N180" i="6" s="1"/>
  <c r="J189" i="6"/>
  <c r="N189" i="6" s="1"/>
  <c r="J198" i="6"/>
  <c r="N198" i="6" s="1"/>
  <c r="N201" i="6"/>
  <c r="N205" i="6"/>
  <c r="J225" i="6"/>
  <c r="N225" i="6" s="1"/>
  <c r="J230" i="6"/>
  <c r="N230" i="6" s="1"/>
  <c r="J271" i="6"/>
  <c r="N271" i="6" s="1"/>
  <c r="N265" i="6"/>
  <c r="N281" i="6"/>
  <c r="J292" i="6"/>
  <c r="N292" i="6" s="1"/>
  <c r="N304" i="6"/>
  <c r="N311" i="6"/>
  <c r="N323" i="6"/>
  <c r="J342" i="6"/>
  <c r="N342" i="6" s="1"/>
  <c r="N337" i="6"/>
  <c r="J359" i="6"/>
  <c r="N464" i="6"/>
  <c r="N496" i="6"/>
  <c r="N534" i="6"/>
  <c r="I3" i="5"/>
  <c r="I8" i="5"/>
  <c r="I13" i="5"/>
  <c r="I18" i="5"/>
  <c r="I23" i="5"/>
  <c r="I28" i="5"/>
  <c r="I33" i="5"/>
  <c r="I38" i="5"/>
  <c r="K45" i="5"/>
  <c r="J263" i="6"/>
  <c r="N263" i="6" s="1"/>
  <c r="J273" i="6"/>
  <c r="N273" i="6" s="1"/>
  <c r="J317" i="6"/>
  <c r="N317" i="6" s="1"/>
  <c r="J369" i="6"/>
  <c r="J391" i="6"/>
  <c r="N391" i="6" s="1"/>
  <c r="J381" i="6"/>
  <c r="N381" i="6" s="1"/>
  <c r="J388" i="6"/>
  <c r="N388" i="6" s="1"/>
  <c r="J378" i="6"/>
  <c r="N378" i="6" s="1"/>
  <c r="J385" i="6"/>
  <c r="J387" i="6"/>
  <c r="N387" i="6" s="1"/>
  <c r="J377" i="6"/>
  <c r="N377" i="6" s="1"/>
  <c r="J383" i="6"/>
  <c r="N383" i="6" s="1"/>
  <c r="N395" i="6"/>
  <c r="N399" i="6"/>
  <c r="J419" i="6"/>
  <c r="J424" i="6"/>
  <c r="N424" i="6" s="1"/>
  <c r="J433" i="6"/>
  <c r="J442" i="6"/>
  <c r="N442" i="6" s="1"/>
  <c r="N449" i="6"/>
  <c r="N456" i="6"/>
  <c r="J461" i="6"/>
  <c r="N461" i="6" s="1"/>
  <c r="J467" i="6"/>
  <c r="N467" i="6" s="1"/>
  <c r="N476" i="6"/>
  <c r="N485" i="6"/>
  <c r="N516" i="6"/>
  <c r="J536" i="6"/>
  <c r="N536" i="6" s="1"/>
  <c r="J558" i="6"/>
  <c r="N558" i="6" s="1"/>
  <c r="N564" i="6"/>
  <c r="N596" i="6"/>
  <c r="J654" i="6"/>
  <c r="J266" i="6"/>
  <c r="N266" i="6" s="1"/>
  <c r="N303" i="6"/>
  <c r="J307" i="6"/>
  <c r="N307" i="6" s="1"/>
  <c r="J312" i="6"/>
  <c r="N312" i="6" s="1"/>
  <c r="J371" i="6"/>
  <c r="J368" i="6"/>
  <c r="N368" i="6" s="1"/>
  <c r="J375" i="6"/>
  <c r="J365" i="6"/>
  <c r="J367" i="6"/>
  <c r="N367" i="6" s="1"/>
  <c r="J376" i="6"/>
  <c r="J380" i="6"/>
  <c r="N380" i="6" s="1"/>
  <c r="N406" i="6"/>
  <c r="J426" i="6"/>
  <c r="J453" i="6"/>
  <c r="N453" i="6" s="1"/>
  <c r="J462" i="6"/>
  <c r="N462" i="6" s="1"/>
  <c r="J482" i="6"/>
  <c r="N482" i="6" s="1"/>
  <c r="J513" i="6"/>
  <c r="N513" i="6" s="1"/>
  <c r="J540" i="6"/>
  <c r="N549" i="6"/>
  <c r="J559" i="6"/>
  <c r="N685" i="6"/>
  <c r="J705" i="6"/>
  <c r="J731" i="6"/>
  <c r="J724" i="6"/>
  <c r="J729" i="6"/>
  <c r="N729" i="6" s="1"/>
  <c r="J727" i="6"/>
  <c r="J722" i="6"/>
  <c r="N722" i="6" s="1"/>
  <c r="N749" i="6"/>
  <c r="N293" i="6"/>
  <c r="J347" i="6"/>
  <c r="N347" i="6" s="1"/>
  <c r="J337" i="6"/>
  <c r="J339" i="6"/>
  <c r="N339" i="6" s="1"/>
  <c r="J344" i="6"/>
  <c r="N344" i="6" s="1"/>
  <c r="N365" i="6"/>
  <c r="N369" i="6"/>
  <c r="N415" i="6"/>
  <c r="N419" i="6"/>
  <c r="J439" i="6"/>
  <c r="N439" i="6" s="1"/>
  <c r="J444" i="6"/>
  <c r="N444" i="6" s="1"/>
  <c r="J484" i="6"/>
  <c r="N484" i="6" s="1"/>
  <c r="J490" i="6"/>
  <c r="J521" i="6"/>
  <c r="N521" i="6" s="1"/>
  <c r="J522" i="6"/>
  <c r="N522" i="6" s="1"/>
  <c r="N529" i="6"/>
  <c r="N543" i="6"/>
  <c r="N545" i="6"/>
  <c r="N569" i="6"/>
  <c r="N716" i="6"/>
  <c r="N768" i="6"/>
  <c r="N839" i="6"/>
  <c r="N326" i="6"/>
  <c r="N333" i="6"/>
  <c r="J361" i="6"/>
  <c r="N361" i="6" s="1"/>
  <c r="N376" i="6"/>
  <c r="J421" i="6"/>
  <c r="N421" i="6" s="1"/>
  <c r="J411" i="6"/>
  <c r="N411" i="6" s="1"/>
  <c r="J428" i="6"/>
  <c r="N428" i="6" s="1"/>
  <c r="J418" i="6"/>
  <c r="N418" i="6" s="1"/>
  <c r="J425" i="6"/>
  <c r="N425" i="6" s="1"/>
  <c r="J415" i="6"/>
  <c r="J427" i="6"/>
  <c r="N427" i="6" s="1"/>
  <c r="J417" i="6"/>
  <c r="N417" i="6" s="1"/>
  <c r="N426" i="6"/>
  <c r="N433" i="6"/>
  <c r="N493" i="6"/>
  <c r="J519" i="6"/>
  <c r="J572" i="6"/>
  <c r="N572" i="6" s="1"/>
  <c r="N583" i="6"/>
  <c r="N594" i="6"/>
  <c r="N601" i="6"/>
  <c r="N693" i="6"/>
  <c r="J737" i="6"/>
  <c r="N759" i="6"/>
  <c r="N789" i="6"/>
  <c r="N795" i="6"/>
  <c r="N859" i="6"/>
  <c r="N385" i="6"/>
  <c r="J471" i="6"/>
  <c r="N471" i="6" s="1"/>
  <c r="N495" i="6"/>
  <c r="N499" i="6"/>
  <c r="J526" i="6"/>
  <c r="J542" i="6"/>
  <c r="N542" i="6" s="1"/>
  <c r="N559" i="6"/>
  <c r="N574" i="6"/>
  <c r="N628" i="6"/>
  <c r="J794" i="6"/>
  <c r="J841" i="6"/>
  <c r="J839" i="6"/>
  <c r="J268" i="6"/>
  <c r="N268" i="6" s="1"/>
  <c r="N309" i="6"/>
  <c r="J316" i="6"/>
  <c r="N316" i="6" s="1"/>
  <c r="J341" i="6"/>
  <c r="N341" i="6" s="1"/>
  <c r="N346" i="6"/>
  <c r="J370" i="6"/>
  <c r="N370" i="6" s="1"/>
  <c r="N396" i="6"/>
  <c r="J416" i="6"/>
  <c r="J420" i="6"/>
  <c r="N420" i="6" s="1"/>
  <c r="J441" i="6"/>
  <c r="N441" i="6" s="1"/>
  <c r="J431" i="6"/>
  <c r="N431" i="6" s="1"/>
  <c r="J438" i="6"/>
  <c r="N438" i="6" s="1"/>
  <c r="J445" i="6"/>
  <c r="N445" i="6" s="1"/>
  <c r="J435" i="6"/>
  <c r="N435" i="6" s="1"/>
  <c r="J437" i="6"/>
  <c r="N437" i="6" s="1"/>
  <c r="N446" i="6"/>
  <c r="N455" i="6"/>
  <c r="N459" i="6"/>
  <c r="N466" i="6"/>
  <c r="N479" i="6"/>
  <c r="N486" i="6"/>
  <c r="J492" i="6"/>
  <c r="N492" i="6" s="1"/>
  <c r="N553" i="6"/>
  <c r="N599" i="6"/>
  <c r="N639" i="6"/>
  <c r="J694" i="6"/>
  <c r="J697" i="6"/>
  <c r="N697" i="6" s="1"/>
  <c r="J692" i="6"/>
  <c r="N692" i="6" s="1"/>
  <c r="J690" i="6"/>
  <c r="N690" i="6" s="1"/>
  <c r="J261" i="6"/>
  <c r="N261" i="6" s="1"/>
  <c r="N299" i="6"/>
  <c r="J334" i="6"/>
  <c r="N334" i="6" s="1"/>
  <c r="J343" i="6"/>
  <c r="J352" i="6"/>
  <c r="N352" i="6" s="1"/>
  <c r="N359" i="6"/>
  <c r="J379" i="6"/>
  <c r="J384" i="6"/>
  <c r="N384" i="6" s="1"/>
  <c r="N405" i="6"/>
  <c r="N409" i="6"/>
  <c r="J429" i="6"/>
  <c r="N429" i="6" s="1"/>
  <c r="J434" i="6"/>
  <c r="N434" i="6" s="1"/>
  <c r="J443" i="6"/>
  <c r="J452" i="6"/>
  <c r="J463" i="6"/>
  <c r="J472" i="6"/>
  <c r="N472" i="6" s="1"/>
  <c r="J512" i="6"/>
  <c r="N512" i="6" s="1"/>
  <c r="N519" i="6"/>
  <c r="N526" i="6"/>
  <c r="N546" i="6"/>
  <c r="J571" i="6"/>
  <c r="N568" i="6"/>
  <c r="N579" i="6"/>
  <c r="N635" i="6"/>
  <c r="N652" i="6"/>
  <c r="N700" i="6"/>
  <c r="J786" i="6"/>
  <c r="J783" i="6"/>
  <c r="J780" i="6"/>
  <c r="J782" i="6"/>
  <c r="N782" i="6" s="1"/>
  <c r="J784" i="6"/>
  <c r="J778" i="6"/>
  <c r="J785" i="6"/>
  <c r="N785" i="6" s="1"/>
  <c r="J781" i="6"/>
  <c r="N781" i="6" s="1"/>
  <c r="J779" i="6"/>
  <c r="N779" i="6" s="1"/>
  <c r="E3" i="5"/>
  <c r="E50" i="5" s="1"/>
  <c r="E8" i="5"/>
  <c r="E13" i="5"/>
  <c r="E18" i="5"/>
  <c r="E23" i="5"/>
  <c r="E28" i="5"/>
  <c r="E33" i="5"/>
  <c r="E38" i="5"/>
  <c r="E45" i="5"/>
  <c r="J104" i="6"/>
  <c r="N104" i="6" s="1"/>
  <c r="J134" i="6"/>
  <c r="N134" i="6" s="1"/>
  <c r="J164" i="6"/>
  <c r="N164" i="6" s="1"/>
  <c r="J194" i="6"/>
  <c r="N194" i="6" s="1"/>
  <c r="J264" i="6"/>
  <c r="N264" i="6" s="1"/>
  <c r="J274" i="6"/>
  <c r="N274" i="6" s="1"/>
  <c r="J313" i="6"/>
  <c r="N313" i="6" s="1"/>
  <c r="J336" i="6"/>
  <c r="N336" i="6" s="1"/>
  <c r="J340" i="6"/>
  <c r="N340" i="6" s="1"/>
  <c r="J357" i="6"/>
  <c r="N357" i="6" s="1"/>
  <c r="N366" i="6"/>
  <c r="J386" i="6"/>
  <c r="N386" i="6" s="1"/>
  <c r="J390" i="6"/>
  <c r="N390" i="6" s="1"/>
  <c r="N416" i="6"/>
  <c r="J436" i="6"/>
  <c r="N436" i="6" s="1"/>
  <c r="J440" i="6"/>
  <c r="N440" i="6" s="1"/>
  <c r="J451" i="6"/>
  <c r="N451" i="6" s="1"/>
  <c r="J458" i="6"/>
  <c r="N458" i="6" s="1"/>
  <c r="J448" i="6"/>
  <c r="J455" i="6"/>
  <c r="J457" i="6"/>
  <c r="N457" i="6" s="1"/>
  <c r="J447" i="6"/>
  <c r="N447" i="6" s="1"/>
  <c r="J454" i="6"/>
  <c r="N454" i="6" s="1"/>
  <c r="J474" i="6"/>
  <c r="J491" i="6"/>
  <c r="N491" i="6" s="1"/>
  <c r="J481" i="6"/>
  <c r="N481" i="6" s="1"/>
  <c r="J488" i="6"/>
  <c r="N488" i="6" s="1"/>
  <c r="J478" i="6"/>
  <c r="N478" i="6" s="1"/>
  <c r="J485" i="6"/>
  <c r="J487" i="6"/>
  <c r="N487" i="6" s="1"/>
  <c r="J477" i="6"/>
  <c r="N477" i="6" s="1"/>
  <c r="J514" i="6"/>
  <c r="N514" i="6" s="1"/>
  <c r="J523" i="6"/>
  <c r="N535" i="6"/>
  <c r="J560" i="6"/>
  <c r="N560" i="6" s="1"/>
  <c r="J573" i="6"/>
  <c r="N573" i="6" s="1"/>
  <c r="J563" i="6"/>
  <c r="N563" i="6" s="1"/>
  <c r="J570" i="6"/>
  <c r="N570" i="6" s="1"/>
  <c r="J574" i="6"/>
  <c r="N588" i="6"/>
  <c r="N610" i="6"/>
  <c r="J649" i="6"/>
  <c r="N649" i="6" s="1"/>
  <c r="N679" i="6"/>
  <c r="N705" i="6"/>
  <c r="N715" i="6"/>
  <c r="N762" i="6"/>
  <c r="N809" i="6"/>
  <c r="N286" i="6"/>
  <c r="N306" i="6"/>
  <c r="J310" i="6"/>
  <c r="N310" i="6" s="1"/>
  <c r="J349" i="6"/>
  <c r="N349" i="6" s="1"/>
  <c r="J363" i="6"/>
  <c r="N363" i="6" s="1"/>
  <c r="J372" i="6"/>
  <c r="N372" i="6" s="1"/>
  <c r="N375" i="6"/>
  <c r="N379" i="6"/>
  <c r="J413" i="6"/>
  <c r="N413" i="6" s="1"/>
  <c r="J422" i="6"/>
  <c r="N422" i="6" s="1"/>
  <c r="J456" i="6"/>
  <c r="J460" i="6"/>
  <c r="J469" i="6"/>
  <c r="N469" i="6" s="1"/>
  <c r="J476" i="6"/>
  <c r="J489" i="6"/>
  <c r="N503" i="6"/>
  <c r="J541" i="6"/>
  <c r="N541" i="6" s="1"/>
  <c r="J531" i="6"/>
  <c r="N531" i="6" s="1"/>
  <c r="J538" i="6"/>
  <c r="N538" i="6" s="1"/>
  <c r="J528" i="6"/>
  <c r="N528" i="6" s="1"/>
  <c r="J535" i="6"/>
  <c r="J537" i="6"/>
  <c r="N537" i="6" s="1"/>
  <c r="J527" i="6"/>
  <c r="N527" i="6" s="1"/>
  <c r="J532" i="6"/>
  <c r="N532" i="6" s="1"/>
  <c r="N539" i="6"/>
  <c r="J551" i="6"/>
  <c r="N551" i="6" s="1"/>
  <c r="J548" i="6"/>
  <c r="N548" i="6" s="1"/>
  <c r="J555" i="6"/>
  <c r="N555" i="6" s="1"/>
  <c r="J545" i="6"/>
  <c r="J556" i="6"/>
  <c r="J546" i="6"/>
  <c r="J557" i="6"/>
  <c r="N557" i="6" s="1"/>
  <c r="J547" i="6"/>
  <c r="N547" i="6" s="1"/>
  <c r="N544" i="6"/>
  <c r="J549" i="6"/>
  <c r="J554" i="6"/>
  <c r="N554" i="6" s="1"/>
  <c r="J562" i="6"/>
  <c r="N562" i="6" s="1"/>
  <c r="N566" i="6"/>
  <c r="N582" i="6"/>
  <c r="N612" i="6"/>
  <c r="N643" i="6"/>
  <c r="N660" i="6"/>
  <c r="N662" i="6"/>
  <c r="N778" i="6"/>
  <c r="J645" i="6"/>
  <c r="N645" i="6" s="1"/>
  <c r="J648" i="6"/>
  <c r="N648" i="6" s="1"/>
  <c r="J651" i="6"/>
  <c r="N651" i="6" s="1"/>
  <c r="N654" i="6"/>
  <c r="J685" i="6"/>
  <c r="J716" i="6"/>
  <c r="J764" i="6"/>
  <c r="N764" i="6" s="1"/>
  <c r="N780" i="6"/>
  <c r="N784" i="6"/>
  <c r="N905" i="6"/>
  <c r="F40" i="7"/>
  <c r="N56" i="3" s="1"/>
  <c r="S66" i="1" s="1"/>
  <c r="W66" i="1" s="1"/>
  <c r="F30" i="7"/>
  <c r="N46" i="3" s="1"/>
  <c r="S56" i="1" s="1"/>
  <c r="W56" i="1" s="1"/>
  <c r="F34" i="7"/>
  <c r="N50" i="3" s="1"/>
  <c r="S60" i="1" s="1"/>
  <c r="W60" i="1" s="1"/>
  <c r="F28" i="7"/>
  <c r="N44" i="3" s="1"/>
  <c r="S54" i="1" s="1"/>
  <c r="W54" i="1" s="1"/>
  <c r="F35" i="7"/>
  <c r="N51" i="3" s="1"/>
  <c r="S61" i="1" s="1"/>
  <c r="W61" i="1" s="1"/>
  <c r="F38" i="7"/>
  <c r="N54" i="3" s="1"/>
  <c r="S64" i="1" s="1"/>
  <c r="W64" i="1" s="1"/>
  <c r="F31" i="7"/>
  <c r="N47" i="3" s="1"/>
  <c r="S57" i="1" s="1"/>
  <c r="W57" i="1" s="1"/>
  <c r="F27" i="7"/>
  <c r="N43" i="3" s="1"/>
  <c r="S53" i="1" s="1"/>
  <c r="W53" i="1" s="1"/>
  <c r="F33" i="7"/>
  <c r="N49" i="3" s="1"/>
  <c r="S59" i="1" s="1"/>
  <c r="W59" i="1" s="1"/>
  <c r="F26" i="7"/>
  <c r="N42" i="3" s="1"/>
  <c r="S52" i="1" s="1"/>
  <c r="W52" i="1" s="1"/>
  <c r="C5" i="2" s="1"/>
  <c r="F29" i="7"/>
  <c r="N45" i="3" s="1"/>
  <c r="S55" i="1" s="1"/>
  <c r="W55" i="1" s="1"/>
  <c r="F36" i="7"/>
  <c r="N52" i="3" s="1"/>
  <c r="S62" i="1" s="1"/>
  <c r="W62" i="1" s="1"/>
  <c r="F39" i="7"/>
  <c r="N55" i="3" s="1"/>
  <c r="S65" i="1" s="1"/>
  <c r="W65" i="1" s="1"/>
  <c r="F32" i="7"/>
  <c r="N48" i="3" s="1"/>
  <c r="S58" i="1" s="1"/>
  <c r="W58" i="1" s="1"/>
  <c r="J445" i="14"/>
  <c r="K445" i="14" s="1"/>
  <c r="J429" i="14"/>
  <c r="J414" i="14"/>
  <c r="K414" i="14" s="1"/>
  <c r="J200" i="14"/>
  <c r="J184" i="14"/>
  <c r="L657" i="6"/>
  <c r="M657" i="6" s="1"/>
  <c r="L607" i="6"/>
  <c r="M607" i="6" s="1"/>
  <c r="J169" i="14"/>
  <c r="K169" i="14" s="1"/>
  <c r="J1858" i="14"/>
  <c r="K1858" i="14" s="1"/>
  <c r="J1788" i="14"/>
  <c r="K1788" i="14" s="1"/>
  <c r="J1703" i="14"/>
  <c r="J1754" i="14"/>
  <c r="K1754" i="14" s="1"/>
  <c r="J1841" i="14"/>
  <c r="K1841" i="14" s="1"/>
  <c r="J1822" i="14"/>
  <c r="K1822" i="14" s="1"/>
  <c r="J1622" i="14"/>
  <c r="J1686" i="14"/>
  <c r="J1805" i="14"/>
  <c r="J1771" i="14"/>
  <c r="K1771" i="14" s="1"/>
  <c r="J1737" i="14"/>
  <c r="K1737" i="14" s="1"/>
  <c r="J1583" i="14"/>
  <c r="J1609" i="14"/>
  <c r="J1570" i="14"/>
  <c r="J1505" i="14"/>
  <c r="J1440" i="14"/>
  <c r="J1652" i="14"/>
  <c r="K1652" i="14" s="1"/>
  <c r="J1720" i="14"/>
  <c r="K1720" i="14" s="1"/>
  <c r="J1669" i="14"/>
  <c r="K1669" i="14" s="1"/>
  <c r="J1596" i="14"/>
  <c r="J1531" i="14"/>
  <c r="K1531" i="14" s="1"/>
  <c r="J1466" i="14"/>
  <c r="J1384" i="14"/>
  <c r="J1368" i="14"/>
  <c r="J1352" i="14"/>
  <c r="K1352" i="14" s="1"/>
  <c r="J1336" i="14"/>
  <c r="J1635" i="14"/>
  <c r="K1635" i="14" s="1"/>
  <c r="J1453" i="14"/>
  <c r="K1453" i="14" s="1"/>
  <c r="J1544" i="14"/>
  <c r="J1518" i="14"/>
  <c r="K1518" i="14" s="1"/>
  <c r="J1557" i="14"/>
  <c r="K1557" i="14" s="1"/>
  <c r="J1061" i="14"/>
  <c r="K1061" i="14" s="1"/>
  <c r="J1401" i="14"/>
  <c r="K1401" i="14" s="1"/>
  <c r="J1492" i="14"/>
  <c r="J1479" i="14"/>
  <c r="K1479" i="14" s="1"/>
  <c r="J1427" i="14"/>
  <c r="J1414" i="14"/>
  <c r="J1224" i="14"/>
  <c r="J1192" i="14"/>
  <c r="J970" i="14"/>
  <c r="J900" i="14"/>
  <c r="J895" i="14"/>
  <c r="J879" i="14"/>
  <c r="J1112" i="14"/>
  <c r="J1035" i="14"/>
  <c r="J1128" i="14"/>
  <c r="K1128" i="14" s="1"/>
  <c r="J1022" i="14"/>
  <c r="K1022" i="14" s="1"/>
  <c r="J944" i="14"/>
  <c r="K944" i="14" s="1"/>
  <c r="J901" i="14"/>
  <c r="J896" i="14"/>
  <c r="K896" i="14" s="1"/>
  <c r="J1240" i="14"/>
  <c r="J1144" i="14"/>
  <c r="J1256" i="14"/>
  <c r="J1100" i="14"/>
  <c r="J1272" i="14"/>
  <c r="K1272" i="14" s="1"/>
  <c r="J1208" i="14"/>
  <c r="K1208" i="14" s="1"/>
  <c r="J1160" i="14"/>
  <c r="K1160" i="14" s="1"/>
  <c r="J1087" i="14"/>
  <c r="K1087" i="14" s="1"/>
  <c r="J1288" i="14"/>
  <c r="K1288" i="14" s="1"/>
  <c r="J1320" i="14"/>
  <c r="K1320" i="14" s="1"/>
  <c r="J1304" i="14"/>
  <c r="K1304" i="14" s="1"/>
  <c r="J1176" i="14"/>
  <c r="K1176" i="14" s="1"/>
  <c r="J1048" i="14"/>
  <c r="J983" i="14"/>
  <c r="K983" i="14" s="1"/>
  <c r="J898" i="14"/>
  <c r="K898" i="14" s="1"/>
  <c r="J789" i="14"/>
  <c r="K789" i="14" s="1"/>
  <c r="J773" i="14"/>
  <c r="K773" i="14" s="1"/>
  <c r="J757" i="14"/>
  <c r="J741" i="14"/>
  <c r="J725" i="14"/>
  <c r="J709" i="14"/>
  <c r="K709" i="14" s="1"/>
  <c r="J693" i="14"/>
  <c r="K693" i="14" s="1"/>
  <c r="J677" i="14"/>
  <c r="K677" i="14" s="1"/>
  <c r="J661" i="14"/>
  <c r="J645" i="14"/>
  <c r="J629" i="14"/>
  <c r="K629" i="14" s="1"/>
  <c r="J613" i="14"/>
  <c r="K613" i="14" s="1"/>
  <c r="J597" i="14"/>
  <c r="K597" i="14" s="1"/>
  <c r="J581" i="14"/>
  <c r="J565" i="14"/>
  <c r="J549" i="14"/>
  <c r="K549" i="14" s="1"/>
  <c r="J996" i="14"/>
  <c r="K996" i="14" s="1"/>
  <c r="J957" i="14"/>
  <c r="K957" i="14" s="1"/>
  <c r="J1009" i="14"/>
  <c r="K1009" i="14" s="1"/>
  <c r="J1074" i="14"/>
  <c r="K1074" i="14" s="1"/>
  <c r="J931" i="14"/>
  <c r="K931" i="14" s="1"/>
  <c r="J897" i="14"/>
  <c r="J899" i="14"/>
  <c r="K899" i="14" s="1"/>
  <c r="J864" i="14"/>
  <c r="J384" i="14"/>
  <c r="K384" i="14" s="1"/>
  <c r="J854" i="14"/>
  <c r="K854" i="14" s="1"/>
  <c r="J821" i="14"/>
  <c r="K821" i="14" s="1"/>
  <c r="J420" i="14"/>
  <c r="J837" i="14"/>
  <c r="K837" i="14" s="1"/>
  <c r="J805" i="14"/>
  <c r="K805" i="14" s="1"/>
  <c r="J368" i="14"/>
  <c r="J336" i="14"/>
  <c r="K336" i="14" s="1"/>
  <c r="J304" i="14"/>
  <c r="K304" i="14" s="1"/>
  <c r="J532" i="14"/>
  <c r="K532" i="14" s="1"/>
  <c r="J484" i="14"/>
  <c r="J467" i="14"/>
  <c r="K467" i="14" s="1"/>
  <c r="J401" i="14"/>
  <c r="K401" i="14" s="1"/>
  <c r="J321" i="14"/>
  <c r="J452" i="14"/>
  <c r="K452" i="14" s="1"/>
  <c r="J499" i="14"/>
  <c r="K499" i="14" s="1"/>
  <c r="J239" i="14"/>
  <c r="J156" i="14"/>
  <c r="J76" i="14"/>
  <c r="J43" i="14"/>
  <c r="K43" i="14" s="1"/>
  <c r="J351" i="14"/>
  <c r="K351" i="14" s="1"/>
  <c r="J516" i="14"/>
  <c r="K516" i="14" s="1"/>
  <c r="J436" i="14"/>
  <c r="K436" i="14" s="1"/>
  <c r="J207" i="14"/>
  <c r="K207" i="14" s="1"/>
  <c r="J139" i="14"/>
  <c r="K139" i="14" s="1"/>
  <c r="J123" i="14"/>
  <c r="K123" i="14" s="1"/>
  <c r="J91" i="14"/>
  <c r="K91" i="14" s="1"/>
  <c r="J191" i="14"/>
  <c r="K191" i="14" s="1"/>
  <c r="J29" i="14"/>
  <c r="L916" i="6"/>
  <c r="M916" i="6" s="1"/>
  <c r="N916" i="6" s="1"/>
  <c r="L727" i="6"/>
  <c r="M727" i="6" s="1"/>
  <c r="N727" i="6" s="1"/>
  <c r="J222" i="14"/>
  <c r="K222" i="14" s="1"/>
  <c r="J287" i="14"/>
  <c r="J271" i="14"/>
  <c r="J254" i="14"/>
  <c r="K254" i="14" s="1"/>
  <c r="J106" i="14"/>
  <c r="L842" i="6"/>
  <c r="M842" i="6" s="1"/>
  <c r="J175" i="14"/>
  <c r="K175" i="14" s="1"/>
  <c r="J1777" i="14"/>
  <c r="J1692" i="14"/>
  <c r="K1692" i="14" s="1"/>
  <c r="J1743" i="14"/>
  <c r="J1760" i="14"/>
  <c r="K1760" i="14" s="1"/>
  <c r="J1726" i="14"/>
  <c r="K1726" i="14" s="1"/>
  <c r="J1709" i="14"/>
  <c r="J1675" i="14"/>
  <c r="J1658" i="14"/>
  <c r="K1658" i="14" s="1"/>
  <c r="J1641" i="14"/>
  <c r="K1641" i="14" s="1"/>
  <c r="J1794" i="14"/>
  <c r="K1794" i="14" s="1"/>
  <c r="J1845" i="14"/>
  <c r="J1809" i="14"/>
  <c r="K1809" i="14" s="1"/>
  <c r="J1740" i="14"/>
  <c r="J1862" i="14"/>
  <c r="J1791" i="14"/>
  <c r="K1791" i="14" s="1"/>
  <c r="J1706" i="14"/>
  <c r="J1757" i="14"/>
  <c r="K1757" i="14" s="1"/>
  <c r="J1638" i="14"/>
  <c r="J1774" i="14"/>
  <c r="J1826" i="14"/>
  <c r="J1689" i="14"/>
  <c r="K1689" i="14" s="1"/>
  <c r="J1655" i="14"/>
  <c r="J1672" i="14"/>
  <c r="J1723" i="14"/>
  <c r="K1723" i="14" s="1"/>
  <c r="J1354" i="14"/>
  <c r="J1370" i="14"/>
  <c r="K1370" i="14" s="1"/>
  <c r="J1386" i="14"/>
  <c r="J1322" i="14"/>
  <c r="J1306" i="14"/>
  <c r="J1290" i="14"/>
  <c r="J1274" i="14"/>
  <c r="J1258" i="14"/>
  <c r="J1242" i="14"/>
  <c r="J1226" i="14"/>
  <c r="J1210" i="14"/>
  <c r="J1194" i="14"/>
  <c r="K1194" i="14" s="1"/>
  <c r="J1178" i="14"/>
  <c r="K1178" i="14" s="1"/>
  <c r="J1162" i="14"/>
  <c r="K1162" i="14" s="1"/>
  <c r="J1146" i="14"/>
  <c r="K1146" i="14" s="1"/>
  <c r="J1130" i="14"/>
  <c r="K1130" i="14" s="1"/>
  <c r="J1114" i="14"/>
  <c r="K1114" i="14" s="1"/>
  <c r="J1338" i="14"/>
  <c r="J807" i="14"/>
  <c r="K807" i="14" s="1"/>
  <c r="J743" i="14"/>
  <c r="J663" i="14"/>
  <c r="K663" i="14" s="1"/>
  <c r="J583" i="14"/>
  <c r="K583" i="14" s="1"/>
  <c r="J839" i="14"/>
  <c r="J759" i="14"/>
  <c r="K759" i="14" s="1"/>
  <c r="J679" i="14"/>
  <c r="J599" i="14"/>
  <c r="J711" i="14"/>
  <c r="K711" i="14" s="1"/>
  <c r="J695" i="14"/>
  <c r="K695" i="14" s="1"/>
  <c r="J647" i="14"/>
  <c r="J791" i="14"/>
  <c r="J823" i="14"/>
  <c r="K823" i="14" s="1"/>
  <c r="J775" i="14"/>
  <c r="J567" i="14"/>
  <c r="K567" i="14" s="1"/>
  <c r="J615" i="14"/>
  <c r="K615" i="14" s="1"/>
  <c r="J631" i="14"/>
  <c r="J727" i="14"/>
  <c r="J323" i="14"/>
  <c r="K323" i="14" s="1"/>
  <c r="L747" i="6"/>
  <c r="M747" i="6" s="1"/>
  <c r="N747" i="6" s="1"/>
  <c r="J78" i="14"/>
  <c r="K78" i="14" s="1"/>
  <c r="I17" i="14"/>
  <c r="I43" i="14"/>
  <c r="I89" i="14"/>
  <c r="K89" i="14" s="1"/>
  <c r="J517" i="6"/>
  <c r="N517" i="6" s="1"/>
  <c r="J567" i="6"/>
  <c r="N567" i="6" s="1"/>
  <c r="J577" i="6"/>
  <c r="N577" i="6" s="1"/>
  <c r="J592" i="6"/>
  <c r="N592" i="6" s="1"/>
  <c r="J597" i="6"/>
  <c r="N597" i="6" s="1"/>
  <c r="J605" i="6"/>
  <c r="N605" i="6" s="1"/>
  <c r="J632" i="6"/>
  <c r="N632" i="6" s="1"/>
  <c r="J637" i="6"/>
  <c r="N637" i="6" s="1"/>
  <c r="J658" i="6"/>
  <c r="N658" i="6" s="1"/>
  <c r="J661" i="6"/>
  <c r="N664" i="6"/>
  <c r="J669" i="6"/>
  <c r="N669" i="6" s="1"/>
  <c r="J686" i="6"/>
  <c r="N686" i="6" s="1"/>
  <c r="J676" i="6"/>
  <c r="N676" i="6" s="1"/>
  <c r="J683" i="6"/>
  <c r="N683" i="6" s="1"/>
  <c r="J680" i="6"/>
  <c r="N680" i="6" s="1"/>
  <c r="J696" i="6"/>
  <c r="N696" i="6" s="1"/>
  <c r="J703" i="6"/>
  <c r="J693" i="6"/>
  <c r="J695" i="6"/>
  <c r="N695" i="6" s="1"/>
  <c r="J698" i="6"/>
  <c r="N698" i="6" s="1"/>
  <c r="J701" i="6"/>
  <c r="N701" i="6" s="1"/>
  <c r="N704" i="6"/>
  <c r="J711" i="6"/>
  <c r="N711" i="6" s="1"/>
  <c r="J718" i="6"/>
  <c r="N718" i="6" s="1"/>
  <c r="J725" i="6"/>
  <c r="N725" i="6" s="1"/>
  <c r="J732" i="6"/>
  <c r="N732" i="6" s="1"/>
  <c r="J739" i="6"/>
  <c r="N739" i="6" s="1"/>
  <c r="J777" i="6"/>
  <c r="N777" i="6" s="1"/>
  <c r="J803" i="6"/>
  <c r="N803" i="6" s="1"/>
  <c r="J800" i="6"/>
  <c r="N800" i="6" s="1"/>
  <c r="J804" i="6"/>
  <c r="N804" i="6" s="1"/>
  <c r="J802" i="6"/>
  <c r="N802" i="6" s="1"/>
  <c r="J816" i="6"/>
  <c r="J821" i="6"/>
  <c r="J837" i="6"/>
  <c r="N841" i="6"/>
  <c r="N848" i="6"/>
  <c r="J851" i="6"/>
  <c r="N851" i="6" s="1"/>
  <c r="J873" i="6"/>
  <c r="N873" i="6"/>
  <c r="K59" i="14"/>
  <c r="I77" i="14"/>
  <c r="K77" i="14" s="1"/>
  <c r="K100" i="14"/>
  <c r="I131" i="14"/>
  <c r="I195" i="14"/>
  <c r="I209" i="14"/>
  <c r="J580" i="6"/>
  <c r="N580" i="6" s="1"/>
  <c r="J600" i="6"/>
  <c r="N600" i="6" s="1"/>
  <c r="J626" i="6"/>
  <c r="N626" i="6" s="1"/>
  <c r="J616" i="6"/>
  <c r="N616" i="6" s="1"/>
  <c r="J623" i="6"/>
  <c r="J613" i="6"/>
  <c r="N613" i="6" s="1"/>
  <c r="J615" i="6"/>
  <c r="N615" i="6" s="1"/>
  <c r="J618" i="6"/>
  <c r="N618" i="6" s="1"/>
  <c r="J621" i="6"/>
  <c r="N621" i="6" s="1"/>
  <c r="N624" i="6"/>
  <c r="J757" i="6"/>
  <c r="N757" i="6" s="1"/>
  <c r="J768" i="6"/>
  <c r="J806" i="6"/>
  <c r="N806" i="6" s="1"/>
  <c r="J884" i="6"/>
  <c r="N884" i="6"/>
  <c r="K10" i="14"/>
  <c r="K50" i="14"/>
  <c r="N906" i="6"/>
  <c r="K4" i="10"/>
  <c r="I120" i="14"/>
  <c r="I174" i="14"/>
  <c r="I205" i="14"/>
  <c r="K205" i="14" s="1"/>
  <c r="I230" i="14"/>
  <c r="J586" i="6"/>
  <c r="N586" i="6" s="1"/>
  <c r="J583" i="6"/>
  <c r="J594" i="6"/>
  <c r="J610" i="6"/>
  <c r="J634" i="6"/>
  <c r="N634" i="6" s="1"/>
  <c r="J642" i="6"/>
  <c r="N642" i="6" s="1"/>
  <c r="J647" i="6"/>
  <c r="N647" i="6" s="1"/>
  <c r="J655" i="6"/>
  <c r="N655" i="6" s="1"/>
  <c r="J682" i="6"/>
  <c r="N682" i="6" s="1"/>
  <c r="J687" i="6"/>
  <c r="J708" i="6"/>
  <c r="N708" i="6" s="1"/>
  <c r="J736" i="6"/>
  <c r="N736" i="6" s="1"/>
  <c r="J726" i="6"/>
  <c r="N726" i="6" s="1"/>
  <c r="J733" i="6"/>
  <c r="N733" i="6" s="1"/>
  <c r="J723" i="6"/>
  <c r="N723" i="6" s="1"/>
  <c r="J730" i="6"/>
  <c r="N730" i="6" s="1"/>
  <c r="J734" i="6"/>
  <c r="N734" i="6" s="1"/>
  <c r="J766" i="6"/>
  <c r="N766" i="6" s="1"/>
  <c r="J756" i="6"/>
  <c r="N756" i="6" s="1"/>
  <c r="J763" i="6"/>
  <c r="N763" i="6" s="1"/>
  <c r="J760" i="6"/>
  <c r="N760" i="6" s="1"/>
  <c r="J762" i="6"/>
  <c r="N794" i="6"/>
  <c r="N812" i="6"/>
  <c r="J815" i="6"/>
  <c r="N844" i="6"/>
  <c r="N858" i="6"/>
  <c r="N861" i="6"/>
  <c r="N866" i="6"/>
  <c r="N871" i="6"/>
  <c r="J880" i="6"/>
  <c r="J903" i="6"/>
  <c r="N903" i="6" s="1"/>
  <c r="N28" i="11"/>
  <c r="Q28" i="11" s="1"/>
  <c r="G28" i="11" s="1"/>
  <c r="I28" i="11" s="1"/>
  <c r="J28" i="11" s="1"/>
  <c r="I29" i="14"/>
  <c r="I48" i="14"/>
  <c r="I158" i="14"/>
  <c r="I226" i="14"/>
  <c r="J566" i="6"/>
  <c r="J576" i="6"/>
  <c r="N576" i="6" s="1"/>
  <c r="J602" i="6"/>
  <c r="N602" i="6" s="1"/>
  <c r="J607" i="6"/>
  <c r="J650" i="6"/>
  <c r="N650" i="6" s="1"/>
  <c r="N661" i="6"/>
  <c r="J665" i="6"/>
  <c r="N665" i="6" s="1"/>
  <c r="J668" i="6"/>
  <c r="N668" i="6" s="1"/>
  <c r="J671" i="6"/>
  <c r="N671" i="6" s="1"/>
  <c r="N674" i="6"/>
  <c r="J746" i="6"/>
  <c r="N746" i="6" s="1"/>
  <c r="J753" i="6"/>
  <c r="N753" i="6" s="1"/>
  <c r="J743" i="6"/>
  <c r="N743" i="6" s="1"/>
  <c r="J750" i="6"/>
  <c r="N750" i="6" s="1"/>
  <c r="J740" i="6"/>
  <c r="J752" i="6"/>
  <c r="N752" i="6" s="1"/>
  <c r="N741" i="6"/>
  <c r="J745" i="6"/>
  <c r="N745" i="6" s="1"/>
  <c r="N748" i="6"/>
  <c r="J754" i="6"/>
  <c r="J776" i="6"/>
  <c r="N776" i="6" s="1"/>
  <c r="J773" i="6"/>
  <c r="N773" i="6" s="1"/>
  <c r="J770" i="6"/>
  <c r="J772" i="6"/>
  <c r="N772" i="6" s="1"/>
  <c r="J846" i="6"/>
  <c r="J843" i="6"/>
  <c r="N843" i="6" s="1"/>
  <c r="J850" i="6"/>
  <c r="J840" i="6"/>
  <c r="J844" i="6"/>
  <c r="J848" i="6"/>
  <c r="J838" i="6"/>
  <c r="N838" i="6" s="1"/>
  <c r="J842" i="6"/>
  <c r="J849" i="6"/>
  <c r="N849" i="6" s="1"/>
  <c r="J854" i="6"/>
  <c r="N854" i="6" s="1"/>
  <c r="N856" i="6"/>
  <c r="J901" i="6"/>
  <c r="K60" i="14"/>
  <c r="K240" i="14"/>
  <c r="I18" i="14"/>
  <c r="K18" i="14" s="1"/>
  <c r="G18" i="14"/>
  <c r="I71" i="14"/>
  <c r="I94" i="14"/>
  <c r="I146" i="14"/>
  <c r="K148" i="14"/>
  <c r="I184" i="14"/>
  <c r="I236" i="14"/>
  <c r="N901" i="6"/>
  <c r="K231" i="14"/>
  <c r="K224" i="14"/>
  <c r="B6" i="17"/>
  <c r="B5" i="17"/>
  <c r="I16" i="14"/>
  <c r="I34" i="14"/>
  <c r="I44" i="14"/>
  <c r="I56" i="14"/>
  <c r="K56" i="14" s="1"/>
  <c r="K154" i="14"/>
  <c r="I200" i="14"/>
  <c r="J604" i="6"/>
  <c r="J609" i="6"/>
  <c r="N609" i="6" s="1"/>
  <c r="J620" i="6"/>
  <c r="N620" i="6" s="1"/>
  <c r="J657" i="6"/>
  <c r="J706" i="6"/>
  <c r="N706" i="6" s="1"/>
  <c r="J720" i="6"/>
  <c r="N720" i="6" s="1"/>
  <c r="J710" i="6"/>
  <c r="N710" i="6" s="1"/>
  <c r="J712" i="6"/>
  <c r="N712" i="6" s="1"/>
  <c r="J717" i="6"/>
  <c r="N717" i="6" s="1"/>
  <c r="N754" i="6"/>
  <c r="J827" i="6"/>
  <c r="N831" i="6"/>
  <c r="J845" i="6"/>
  <c r="N845" i="6" s="1"/>
  <c r="N847" i="6"/>
  <c r="N893" i="6"/>
  <c r="I76" i="14"/>
  <c r="I130" i="14"/>
  <c r="K132" i="14"/>
  <c r="I173" i="14"/>
  <c r="I194" i="14"/>
  <c r="I231" i="14"/>
  <c r="J305" i="6"/>
  <c r="N305" i="6" s="1"/>
  <c r="J315" i="6"/>
  <c r="N315" i="6" s="1"/>
  <c r="J335" i="6"/>
  <c r="N335" i="6" s="1"/>
  <c r="J345" i="6"/>
  <c r="N345" i="6" s="1"/>
  <c r="J355" i="6"/>
  <c r="N355" i="6" s="1"/>
  <c r="J465" i="6"/>
  <c r="N465" i="6" s="1"/>
  <c r="J475" i="6"/>
  <c r="N475" i="6" s="1"/>
  <c r="J515" i="6"/>
  <c r="N515" i="6" s="1"/>
  <c r="J525" i="6"/>
  <c r="N525" i="6" s="1"/>
  <c r="J565" i="6"/>
  <c r="N565" i="6" s="1"/>
  <c r="J575" i="6"/>
  <c r="N575" i="6" s="1"/>
  <c r="J606" i="6"/>
  <c r="J596" i="6"/>
  <c r="J603" i="6"/>
  <c r="N603" i="6" s="1"/>
  <c r="J593" i="6"/>
  <c r="N593" i="6" s="1"/>
  <c r="J614" i="6"/>
  <c r="J636" i="6"/>
  <c r="N636" i="6" s="1"/>
  <c r="J633" i="6"/>
  <c r="N633" i="6" s="1"/>
  <c r="J641" i="6"/>
  <c r="N641" i="6" s="1"/>
  <c r="N644" i="6"/>
  <c r="J666" i="6"/>
  <c r="N666" i="6" s="1"/>
  <c r="J662" i="6"/>
  <c r="J667" i="6"/>
  <c r="N667" i="6" s="1"/>
  <c r="J675" i="6"/>
  <c r="N675" i="6" s="1"/>
  <c r="J678" i="6"/>
  <c r="N678" i="6" s="1"/>
  <c r="J681" i="6"/>
  <c r="N681" i="6" s="1"/>
  <c r="N684" i="6"/>
  <c r="J702" i="6"/>
  <c r="N702" i="6" s="1"/>
  <c r="J707" i="6"/>
  <c r="N707" i="6" s="1"/>
  <c r="J719" i="6"/>
  <c r="J742" i="6"/>
  <c r="N742" i="6" s="1"/>
  <c r="J747" i="6"/>
  <c r="J749" i="6"/>
  <c r="N761" i="6"/>
  <c r="J810" i="6"/>
  <c r="J811" i="6"/>
  <c r="J826" i="6"/>
  <c r="N822" i="6"/>
  <c r="N840" i="6"/>
  <c r="J855" i="6"/>
  <c r="N855" i="6" s="1"/>
  <c r="J879" i="6"/>
  <c r="N879" i="6" s="1"/>
  <c r="I121" i="14"/>
  <c r="K121" i="14" s="1"/>
  <c r="I157" i="14"/>
  <c r="I247" i="14"/>
  <c r="J308" i="6"/>
  <c r="N308" i="6" s="1"/>
  <c r="J318" i="6"/>
  <c r="N318" i="6" s="1"/>
  <c r="J338" i="6"/>
  <c r="N338" i="6" s="1"/>
  <c r="J348" i="6"/>
  <c r="N348" i="6" s="1"/>
  <c r="J358" i="6"/>
  <c r="N358" i="6" s="1"/>
  <c r="J468" i="6"/>
  <c r="N468" i="6" s="1"/>
  <c r="J518" i="6"/>
  <c r="N518" i="6" s="1"/>
  <c r="J568" i="6"/>
  <c r="J578" i="6"/>
  <c r="N578" i="6" s="1"/>
  <c r="J587" i="6"/>
  <c r="N587" i="6" s="1"/>
  <c r="N591" i="6"/>
  <c r="J595" i="6"/>
  <c r="N595" i="6" s="1"/>
  <c r="J598" i="6"/>
  <c r="N598" i="6" s="1"/>
  <c r="N604" i="6"/>
  <c r="J622" i="6"/>
  <c r="N622" i="6" s="1"/>
  <c r="J627" i="6"/>
  <c r="N627" i="6" s="1"/>
  <c r="N631" i="6"/>
  <c r="J635" i="6"/>
  <c r="J659" i="6"/>
  <c r="N659" i="6" s="1"/>
  <c r="J670" i="6"/>
  <c r="N670" i="6" s="1"/>
  <c r="J688" i="6"/>
  <c r="N688" i="6" s="1"/>
  <c r="J691" i="6"/>
  <c r="N691" i="6" s="1"/>
  <c r="N694" i="6"/>
  <c r="J699" i="6"/>
  <c r="N699" i="6" s="1"/>
  <c r="J714" i="6"/>
  <c r="N714" i="6" s="1"/>
  <c r="N724" i="6"/>
  <c r="J728" i="6"/>
  <c r="N728" i="6" s="1"/>
  <c r="N731" i="6"/>
  <c r="J735" i="6"/>
  <c r="N738" i="6"/>
  <c r="J758" i="6"/>
  <c r="N758" i="6" s="1"/>
  <c r="J767" i="6"/>
  <c r="J769" i="6"/>
  <c r="N769" i="6" s="1"/>
  <c r="J771" i="6"/>
  <c r="N771" i="6" s="1"/>
  <c r="J775" i="6"/>
  <c r="J796" i="6"/>
  <c r="J793" i="6"/>
  <c r="J790" i="6"/>
  <c r="N790" i="6" s="1"/>
  <c r="J792" i="6"/>
  <c r="N792" i="6" s="1"/>
  <c r="N791" i="6"/>
  <c r="J797" i="6"/>
  <c r="J799" i="6"/>
  <c r="N799" i="6" s="1"/>
  <c r="J807" i="6"/>
  <c r="N807" i="6" s="1"/>
  <c r="N857" i="6"/>
  <c r="J883" i="6"/>
  <c r="N883" i="6"/>
  <c r="K40" i="14"/>
  <c r="K116" i="14"/>
  <c r="I21" i="14"/>
  <c r="K30" i="14"/>
  <c r="I49" i="14"/>
  <c r="K49" i="14" s="1"/>
  <c r="I62" i="14"/>
  <c r="K62" i="14" s="1"/>
  <c r="I93" i="14"/>
  <c r="K93" i="14" s="1"/>
  <c r="K159" i="14"/>
  <c r="I183" i="14"/>
  <c r="I204" i="14"/>
  <c r="J351" i="6"/>
  <c r="N351" i="6" s="1"/>
  <c r="J511" i="6"/>
  <c r="N511" i="6" s="1"/>
  <c r="J561" i="6"/>
  <c r="N561" i="6" s="1"/>
  <c r="J581" i="6"/>
  <c r="N581" i="6" s="1"/>
  <c r="J584" i="6"/>
  <c r="N584" i="6" s="1"/>
  <c r="J590" i="6"/>
  <c r="N590" i="6" s="1"/>
  <c r="J608" i="6"/>
  <c r="N608" i="6" s="1"/>
  <c r="J611" i="6"/>
  <c r="N611" i="6" s="1"/>
  <c r="N614" i="6"/>
  <c r="J619" i="6"/>
  <c r="N619" i="6" s="1"/>
  <c r="J630" i="6"/>
  <c r="N630" i="6" s="1"/>
  <c r="J656" i="6"/>
  <c r="J646" i="6"/>
  <c r="N646" i="6" s="1"/>
  <c r="J653" i="6"/>
  <c r="N653" i="6" s="1"/>
  <c r="J643" i="6"/>
  <c r="J704" i="6"/>
  <c r="J709" i="6"/>
  <c r="N709" i="6" s="1"/>
  <c r="J721" i="6"/>
  <c r="N721" i="6" s="1"/>
  <c r="J744" i="6"/>
  <c r="N744" i="6" s="1"/>
  <c r="J751" i="6"/>
  <c r="N751" i="6" s="1"/>
  <c r="J755" i="6"/>
  <c r="N755" i="6" s="1"/>
  <c r="J788" i="6"/>
  <c r="N788" i="6" s="1"/>
  <c r="J801" i="6"/>
  <c r="N801" i="6" s="1"/>
  <c r="J836" i="6"/>
  <c r="J833" i="6"/>
  <c r="J830" i="6"/>
  <c r="N830" i="6" s="1"/>
  <c r="J834" i="6"/>
  <c r="J828" i="6"/>
  <c r="N828" i="6" s="1"/>
  <c r="J832" i="6"/>
  <c r="N832" i="6" s="1"/>
  <c r="N834" i="6"/>
  <c r="J860" i="6"/>
  <c r="J864" i="6"/>
  <c r="N864" i="6" s="1"/>
  <c r="J865" i="6"/>
  <c r="N865" i="6" s="1"/>
  <c r="J859" i="6"/>
  <c r="N870" i="6"/>
  <c r="J881" i="6"/>
  <c r="N881" i="6" s="1"/>
  <c r="K110" i="14"/>
  <c r="J7" i="11"/>
  <c r="Q12" i="11"/>
  <c r="N12" i="11"/>
  <c r="I72" i="14"/>
  <c r="I83" i="14"/>
  <c r="I147" i="14"/>
  <c r="K185" i="14"/>
  <c r="I199" i="14"/>
  <c r="I227" i="14"/>
  <c r="J909" i="6"/>
  <c r="N909" i="6" s="1"/>
  <c r="F135" i="7"/>
  <c r="N368" i="3" s="1"/>
  <c r="S378" i="1" s="1"/>
  <c r="W378" i="1" s="1"/>
  <c r="F138" i="7"/>
  <c r="N372" i="3" s="1"/>
  <c r="S382" i="1" s="1"/>
  <c r="W382" i="1" s="1"/>
  <c r="F70" i="7"/>
  <c r="N101" i="3" s="1"/>
  <c r="S111" i="1" s="1"/>
  <c r="W111" i="1" s="1"/>
  <c r="F60" i="7"/>
  <c r="N91" i="3" s="1"/>
  <c r="S101" i="1" s="1"/>
  <c r="W101" i="1" s="1"/>
  <c r="F50" i="7"/>
  <c r="N81" i="3" s="1"/>
  <c r="S91" i="1" s="1"/>
  <c r="W91" i="1" s="1"/>
  <c r="F125" i="7"/>
  <c r="N253" i="3" s="1"/>
  <c r="S263" i="1" s="1"/>
  <c r="W263" i="1" s="1"/>
  <c r="F74" i="7"/>
  <c r="N105" i="3" s="1"/>
  <c r="S115" i="1" s="1"/>
  <c r="W115" i="1" s="1"/>
  <c r="F64" i="7"/>
  <c r="N95" i="3" s="1"/>
  <c r="S105" i="1" s="1"/>
  <c r="W105" i="1" s="1"/>
  <c r="F54" i="7"/>
  <c r="N85" i="3" s="1"/>
  <c r="O85" i="3" s="1"/>
  <c r="F44" i="7"/>
  <c r="N75" i="3" s="1"/>
  <c r="O75" i="3" s="1"/>
  <c r="J543" i="14"/>
  <c r="J526" i="14"/>
  <c r="K526" i="14" s="1"/>
  <c r="J298" i="14"/>
  <c r="K298" i="14" s="1"/>
  <c r="J478" i="14"/>
  <c r="K478" i="14" s="1"/>
  <c r="J281" i="14"/>
  <c r="J216" i="14"/>
  <c r="J413" i="14"/>
  <c r="K413" i="14" s="1"/>
  <c r="J461" i="14"/>
  <c r="K461" i="14" s="1"/>
  <c r="J264" i="14"/>
  <c r="K264" i="14" s="1"/>
  <c r="J509" i="14"/>
  <c r="K509" i="14" s="1"/>
  <c r="J233" i="14"/>
  <c r="K233" i="14" s="1"/>
  <c r="J1827" i="14"/>
  <c r="K1827" i="14" s="1"/>
  <c r="J1810" i="14"/>
  <c r="K1810" i="14" s="1"/>
  <c r="J1863" i="14"/>
  <c r="J1846" i="14"/>
  <c r="K1846" i="14" s="1"/>
  <c r="J1389" i="14"/>
  <c r="J1373" i="14"/>
  <c r="J1357" i="14"/>
  <c r="K1357" i="14" s="1"/>
  <c r="J1341" i="14"/>
  <c r="J1325" i="14"/>
  <c r="K1325" i="14" s="1"/>
  <c r="J1165" i="14"/>
  <c r="J1245" i="14"/>
  <c r="K1245" i="14" s="1"/>
  <c r="J1261" i="14"/>
  <c r="K1261" i="14" s="1"/>
  <c r="J1181" i="14"/>
  <c r="K1181" i="14" s="1"/>
  <c r="J1277" i="14"/>
  <c r="J1293" i="14"/>
  <c r="J1213" i="14"/>
  <c r="J1197" i="14"/>
  <c r="J1117" i="14"/>
  <c r="J1133" i="14"/>
  <c r="K1133" i="14" s="1"/>
  <c r="J1309" i="14"/>
  <c r="K1309" i="14" s="1"/>
  <c r="J1229" i="14"/>
  <c r="K1229" i="14" s="1"/>
  <c r="J1149" i="14"/>
  <c r="K1149" i="14" s="1"/>
  <c r="J826" i="14"/>
  <c r="K826" i="14" s="1"/>
  <c r="J794" i="14"/>
  <c r="K794" i="14" s="1"/>
  <c r="J778" i="14"/>
  <c r="J762" i="14"/>
  <c r="K762" i="14" s="1"/>
  <c r="J746" i="14"/>
  <c r="K746" i="14" s="1"/>
  <c r="J730" i="14"/>
  <c r="K730" i="14" s="1"/>
  <c r="J714" i="14"/>
  <c r="J698" i="14"/>
  <c r="J682" i="14"/>
  <c r="K682" i="14" s="1"/>
  <c r="J666" i="14"/>
  <c r="K666" i="14" s="1"/>
  <c r="J650" i="14"/>
  <c r="J634" i="14"/>
  <c r="J618" i="14"/>
  <c r="J602" i="14"/>
  <c r="K602" i="14" s="1"/>
  <c r="J586" i="14"/>
  <c r="K586" i="14" s="1"/>
  <c r="J570" i="14"/>
  <c r="K570" i="14" s="1"/>
  <c r="J552" i="14"/>
  <c r="J842" i="14"/>
  <c r="K842" i="14" s="1"/>
  <c r="J810" i="14"/>
  <c r="K810" i="14" s="1"/>
  <c r="J423" i="14"/>
  <c r="K423" i="14" s="1"/>
  <c r="J535" i="14"/>
  <c r="J487" i="14"/>
  <c r="K487" i="14" s="1"/>
  <c r="J470" i="14"/>
  <c r="J257" i="14"/>
  <c r="K257" i="14" s="1"/>
  <c r="J225" i="14"/>
  <c r="J519" i="14"/>
  <c r="J439" i="14"/>
  <c r="J354" i="14"/>
  <c r="J339" i="14"/>
  <c r="J274" i="14"/>
  <c r="K274" i="14" s="1"/>
  <c r="J502" i="14"/>
  <c r="K502" i="14" s="1"/>
  <c r="J371" i="14"/>
  <c r="K371" i="14" s="1"/>
  <c r="J403" i="14"/>
  <c r="K403" i="14" s="1"/>
  <c r="J387" i="14"/>
  <c r="K387" i="14" s="1"/>
  <c r="J307" i="14"/>
  <c r="K307" i="14" s="1"/>
  <c r="J455" i="14"/>
  <c r="J242" i="14"/>
  <c r="K242" i="14" s="1"/>
  <c r="J47" i="14"/>
  <c r="K47" i="14" s="1"/>
  <c r="J1840" i="14"/>
  <c r="K1840" i="14" s="1"/>
  <c r="J1804" i="14"/>
  <c r="K1804" i="14" s="1"/>
  <c r="J1719" i="14"/>
  <c r="J1770" i="14"/>
  <c r="J1787" i="14"/>
  <c r="K1787" i="14" s="1"/>
  <c r="J1753" i="14"/>
  <c r="K1753" i="14" s="1"/>
  <c r="J1857" i="14"/>
  <c r="K1857" i="14" s="1"/>
  <c r="J1736" i="14"/>
  <c r="J1595" i="14"/>
  <c r="K1595" i="14" s="1"/>
  <c r="J1702" i="14"/>
  <c r="J1821" i="14"/>
  <c r="K1821" i="14" s="1"/>
  <c r="J1543" i="14"/>
  <c r="K1543" i="14" s="1"/>
  <c r="J1478" i="14"/>
  <c r="J1413" i="14"/>
  <c r="K1413" i="14" s="1"/>
  <c r="J1668" i="14"/>
  <c r="K1668" i="14" s="1"/>
  <c r="J1651" i="14"/>
  <c r="K1651" i="14" s="1"/>
  <c r="J1621" i="14"/>
  <c r="K1621" i="14" s="1"/>
  <c r="J1634" i="14"/>
  <c r="J1685" i="14"/>
  <c r="K1685" i="14" s="1"/>
  <c r="J1608" i="14"/>
  <c r="J1569" i="14"/>
  <c r="K1569" i="14" s="1"/>
  <c r="J1504" i="14"/>
  <c r="K1504" i="14" s="1"/>
  <c r="J1452" i="14"/>
  <c r="K1452" i="14" s="1"/>
  <c r="J1582" i="14"/>
  <c r="K1582" i="14" s="1"/>
  <c r="J1426" i="14"/>
  <c r="K1426" i="14" s="1"/>
  <c r="J1556" i="14"/>
  <c r="J1517" i="14"/>
  <c r="J1530" i="14"/>
  <c r="J1400" i="14"/>
  <c r="J1383" i="14"/>
  <c r="K1383" i="14" s="1"/>
  <c r="J1099" i="14"/>
  <c r="K1099" i="14" s="1"/>
  <c r="J1034" i="14"/>
  <c r="K1034" i="14" s="1"/>
  <c r="J1351" i="14"/>
  <c r="K1351" i="14" s="1"/>
  <c r="J1491" i="14"/>
  <c r="J1465" i="14"/>
  <c r="J1439" i="14"/>
  <c r="J1367" i="14"/>
  <c r="J1127" i="14"/>
  <c r="J943" i="14"/>
  <c r="K943" i="14" s="1"/>
  <c r="J916" i="14"/>
  <c r="K916" i="14" s="1"/>
  <c r="J863" i="14"/>
  <c r="K863" i="14" s="1"/>
  <c r="J1239" i="14"/>
  <c r="J1008" i="14"/>
  <c r="J1255" i="14"/>
  <c r="K1255" i="14" s="1"/>
  <c r="J1143" i="14"/>
  <c r="K1143" i="14" s="1"/>
  <c r="J982" i="14"/>
  <c r="J917" i="14"/>
  <c r="K917" i="14" s="1"/>
  <c r="J912" i="14"/>
  <c r="K912" i="14" s="1"/>
  <c r="J853" i="14"/>
  <c r="K853" i="14" s="1"/>
  <c r="J1271" i="14"/>
  <c r="K1271" i="14" s="1"/>
  <c r="J1319" i="14"/>
  <c r="K1319" i="14" s="1"/>
  <c r="J1287" i="14"/>
  <c r="J1207" i="14"/>
  <c r="K1207" i="14" s="1"/>
  <c r="J1159" i="14"/>
  <c r="J1303" i="14"/>
  <c r="J1073" i="14"/>
  <c r="J1175" i="14"/>
  <c r="K1175" i="14" s="1"/>
  <c r="J1223" i="14"/>
  <c r="K1223" i="14" s="1"/>
  <c r="J1191" i="14"/>
  <c r="K1191" i="14" s="1"/>
  <c r="J1335" i="14"/>
  <c r="K1335" i="14" s="1"/>
  <c r="J1111" i="14"/>
  <c r="J1021" i="14"/>
  <c r="K1021" i="14" s="1"/>
  <c r="J1047" i="14"/>
  <c r="K1047" i="14" s="1"/>
  <c r="J956" i="14"/>
  <c r="K956" i="14" s="1"/>
  <c r="J804" i="14"/>
  <c r="J969" i="14"/>
  <c r="K969" i="14" s="1"/>
  <c r="J930" i="14"/>
  <c r="K930" i="14" s="1"/>
  <c r="J915" i="14"/>
  <c r="K915" i="14" s="1"/>
  <c r="J918" i="14"/>
  <c r="K918" i="14" s="1"/>
  <c r="J913" i="14"/>
  <c r="K913" i="14" s="1"/>
  <c r="J894" i="14"/>
  <c r="K894" i="14" s="1"/>
  <c r="J1060" i="14"/>
  <c r="K1060" i="14" s="1"/>
  <c r="J995" i="14"/>
  <c r="K995" i="14" s="1"/>
  <c r="J914" i="14"/>
  <c r="K914" i="14" s="1"/>
  <c r="J1086" i="14"/>
  <c r="J400" i="14"/>
  <c r="K400" i="14" s="1"/>
  <c r="J878" i="14"/>
  <c r="K878" i="14" s="1"/>
  <c r="J708" i="14"/>
  <c r="K708" i="14" s="1"/>
  <c r="J660" i="14"/>
  <c r="K660" i="14" s="1"/>
  <c r="J612" i="14"/>
  <c r="J756" i="14"/>
  <c r="J644" i="14"/>
  <c r="K644" i="14" s="1"/>
  <c r="J548" i="14"/>
  <c r="K548" i="14" s="1"/>
  <c r="J836" i="14"/>
  <c r="K836" i="14" s="1"/>
  <c r="J788" i="14"/>
  <c r="J740" i="14"/>
  <c r="J692" i="14"/>
  <c r="J676" i="14"/>
  <c r="J820" i="14"/>
  <c r="J772" i="14"/>
  <c r="K772" i="14" s="1"/>
  <c r="J724" i="14"/>
  <c r="K724" i="14" s="1"/>
  <c r="J466" i="14"/>
  <c r="J383" i="14"/>
  <c r="K383" i="14" s="1"/>
  <c r="J320" i="14"/>
  <c r="J580" i="14"/>
  <c r="J435" i="14"/>
  <c r="J498" i="14"/>
  <c r="K498" i="14" s="1"/>
  <c r="J596" i="14"/>
  <c r="J564" i="14"/>
  <c r="K564" i="14" s="1"/>
  <c r="J531" i="14"/>
  <c r="J483" i="14"/>
  <c r="K483" i="14" s="1"/>
  <c r="J367" i="14"/>
  <c r="K367" i="14" s="1"/>
  <c r="J350" i="14"/>
  <c r="K350" i="14" s="1"/>
  <c r="J270" i="14"/>
  <c r="K270" i="14" s="1"/>
  <c r="J451" i="14"/>
  <c r="J335" i="14"/>
  <c r="J221" i="14"/>
  <c r="J515" i="14"/>
  <c r="K515" i="14" s="1"/>
  <c r="J419" i="14"/>
  <c r="K419" i="14" s="1"/>
  <c r="J286" i="14"/>
  <c r="K286" i="14" s="1"/>
  <c r="J253" i="14"/>
  <c r="K253" i="14" s="1"/>
  <c r="J303" i="14"/>
  <c r="K303" i="14" s="1"/>
  <c r="J628" i="14"/>
  <c r="J238" i="14"/>
  <c r="K238" i="14" s="1"/>
  <c r="J155" i="14"/>
  <c r="K155" i="14" s="1"/>
  <c r="J75" i="14"/>
  <c r="K75" i="14" s="1"/>
  <c r="J42" i="14"/>
  <c r="K42" i="14" s="1"/>
  <c r="J25" i="14"/>
  <c r="K104" i="14"/>
  <c r="I119" i="14"/>
  <c r="K125" i="14"/>
  <c r="J143" i="14"/>
  <c r="K143" i="14" s="1"/>
  <c r="I145" i="14"/>
  <c r="J152" i="14"/>
  <c r="K152" i="14" s="1"/>
  <c r="I172" i="14"/>
  <c r="J178" i="14"/>
  <c r="K178" i="14" s="1"/>
  <c r="I193" i="14"/>
  <c r="I212" i="14"/>
  <c r="I239" i="14"/>
  <c r="I312" i="14"/>
  <c r="I327" i="14"/>
  <c r="I432" i="14"/>
  <c r="I439" i="14"/>
  <c r="J812" i="6"/>
  <c r="L816" i="6"/>
  <c r="M816" i="6" s="1"/>
  <c r="N816" i="6" s="1"/>
  <c r="J822" i="6"/>
  <c r="L846" i="6"/>
  <c r="M846" i="6" s="1"/>
  <c r="N846" i="6" s="1"/>
  <c r="J852" i="6"/>
  <c r="J862" i="6"/>
  <c r="J872" i="6"/>
  <c r="N872" i="6" s="1"/>
  <c r="L876" i="6"/>
  <c r="M876" i="6" s="1"/>
  <c r="N876" i="6" s="1"/>
  <c r="J882" i="6"/>
  <c r="N882" i="6" s="1"/>
  <c r="L886" i="6"/>
  <c r="M886" i="6" s="1"/>
  <c r="N886" i="6" s="1"/>
  <c r="J892" i="6"/>
  <c r="N892" i="6" s="1"/>
  <c r="L896" i="6"/>
  <c r="M896" i="6" s="1"/>
  <c r="N896" i="6" s="1"/>
  <c r="J902" i="6"/>
  <c r="N902" i="6" s="1"/>
  <c r="F11" i="7"/>
  <c r="N12" i="3" s="1"/>
  <c r="S22" i="1" s="1"/>
  <c r="W22" i="1" s="1"/>
  <c r="F43" i="7"/>
  <c r="N74" i="3" s="1"/>
  <c r="S84" i="1" s="1"/>
  <c r="W84" i="1" s="1"/>
  <c r="F61" i="7"/>
  <c r="N92" i="3" s="1"/>
  <c r="S102" i="1" s="1"/>
  <c r="W102" i="1" s="1"/>
  <c r="F68" i="7"/>
  <c r="N99" i="3" s="1"/>
  <c r="S109" i="1" s="1"/>
  <c r="W109" i="1" s="1"/>
  <c r="F110" i="7"/>
  <c r="N141" i="3" s="1"/>
  <c r="S151" i="1" s="1"/>
  <c r="W151" i="1" s="1"/>
  <c r="F100" i="7"/>
  <c r="N131" i="3" s="1"/>
  <c r="S141" i="1" s="1"/>
  <c r="W141" i="1" s="1"/>
  <c r="F90" i="7"/>
  <c r="N121" i="3" s="1"/>
  <c r="O121" i="3" s="1"/>
  <c r="Q121" i="3" s="1"/>
  <c r="F80" i="7"/>
  <c r="N111" i="3" s="1"/>
  <c r="O111" i="3" s="1"/>
  <c r="Q111" i="3" s="1"/>
  <c r="F104" i="7"/>
  <c r="N135" i="3" s="1"/>
  <c r="S145" i="1" s="1"/>
  <c r="W145" i="1" s="1"/>
  <c r="F94" i="7"/>
  <c r="N125" i="3" s="1"/>
  <c r="S135" i="1" s="1"/>
  <c r="W135" i="1" s="1"/>
  <c r="F84" i="7"/>
  <c r="N115" i="3" s="1"/>
  <c r="O115" i="3" s="1"/>
  <c r="J1751" i="14"/>
  <c r="K1751" i="14" s="1"/>
  <c r="J1717" i="14"/>
  <c r="K1717" i="14" s="1"/>
  <c r="J1734" i="14"/>
  <c r="K1734" i="14" s="1"/>
  <c r="J1700" i="14"/>
  <c r="K1700" i="14" s="1"/>
  <c r="J1785" i="14"/>
  <c r="K1785" i="14" s="1"/>
  <c r="J1649" i="14"/>
  <c r="J1683" i="14"/>
  <c r="J1666" i="14"/>
  <c r="K1666" i="14" s="1"/>
  <c r="J1768" i="14"/>
  <c r="J1632" i="14"/>
  <c r="K1632" i="14" s="1"/>
  <c r="J861" i="14"/>
  <c r="K861" i="14" s="1"/>
  <c r="J1761" i="14"/>
  <c r="K1761" i="14" s="1"/>
  <c r="J1727" i="14"/>
  <c r="K1727" i="14" s="1"/>
  <c r="J1830" i="14"/>
  <c r="K1830" i="14" s="1"/>
  <c r="J1813" i="14"/>
  <c r="K1813" i="14" s="1"/>
  <c r="J1795" i="14"/>
  <c r="K1795" i="14" s="1"/>
  <c r="J1659" i="14"/>
  <c r="J1611" i="14"/>
  <c r="J1778" i="14"/>
  <c r="K1778" i="14" s="1"/>
  <c r="J1866" i="14"/>
  <c r="K1866" i="14" s="1"/>
  <c r="J1849" i="14"/>
  <c r="J1744" i="14"/>
  <c r="K1744" i="14" s="1"/>
  <c r="J1676" i="14"/>
  <c r="K1676" i="14" s="1"/>
  <c r="J1624" i="14"/>
  <c r="J1559" i="14"/>
  <c r="J1494" i="14"/>
  <c r="K1494" i="14" s="1"/>
  <c r="J1429" i="14"/>
  <c r="J1710" i="14"/>
  <c r="K1710" i="14" s="1"/>
  <c r="J1693" i="14"/>
  <c r="K1693" i="14" s="1"/>
  <c r="J1520" i="14"/>
  <c r="K1520" i="14" s="1"/>
  <c r="J1598" i="14"/>
  <c r="J1416" i="14"/>
  <c r="K1416" i="14" s="1"/>
  <c r="J1378" i="14"/>
  <c r="J1362" i="14"/>
  <c r="K1362" i="14" s="1"/>
  <c r="J1346" i="14"/>
  <c r="K1346" i="14" s="1"/>
  <c r="J1330" i="14"/>
  <c r="K1330" i="14" s="1"/>
  <c r="J1481" i="14"/>
  <c r="J1403" i="14"/>
  <c r="J1394" i="14"/>
  <c r="J1585" i="14"/>
  <c r="K1585" i="14" s="1"/>
  <c r="J1533" i="14"/>
  <c r="K1533" i="14" s="1"/>
  <c r="J1642" i="14"/>
  <c r="K1642" i="14" s="1"/>
  <c r="J1507" i="14"/>
  <c r="K1507" i="14" s="1"/>
  <c r="J1468" i="14"/>
  <c r="K1468" i="14" s="1"/>
  <c r="J1442" i="14"/>
  <c r="J1572" i="14"/>
  <c r="J1546" i="14"/>
  <c r="J1050" i="14"/>
  <c r="J1455" i="14"/>
  <c r="J1282" i="14"/>
  <c r="K1282" i="14" s="1"/>
  <c r="J1202" i="14"/>
  <c r="J1138" i="14"/>
  <c r="K1138" i="14" s="1"/>
  <c r="J959" i="14"/>
  <c r="J1298" i="14"/>
  <c r="K1298" i="14" s="1"/>
  <c r="J1089" i="14"/>
  <c r="K1089" i="14" s="1"/>
  <c r="J1218" i="14"/>
  <c r="K1218" i="14" s="1"/>
  <c r="J1154" i="14"/>
  <c r="K1154" i="14" s="1"/>
  <c r="J1076" i="14"/>
  <c r="K1076" i="14" s="1"/>
  <c r="J998" i="14"/>
  <c r="J933" i="14"/>
  <c r="K933" i="14" s="1"/>
  <c r="J1170" i="14"/>
  <c r="J1234" i="14"/>
  <c r="K1234" i="14" s="1"/>
  <c r="J1186" i="14"/>
  <c r="K1186" i="14" s="1"/>
  <c r="J1314" i="14"/>
  <c r="K1314" i="14" s="1"/>
  <c r="J1250" i="14"/>
  <c r="K1250" i="14" s="1"/>
  <c r="J1122" i="14"/>
  <c r="K1122" i="14" s="1"/>
  <c r="J1266" i="14"/>
  <c r="J1102" i="14"/>
  <c r="J1011" i="14"/>
  <c r="K1011" i="14" s="1"/>
  <c r="J920" i="14"/>
  <c r="K920" i="14" s="1"/>
  <c r="J881" i="14"/>
  <c r="J799" i="14"/>
  <c r="J783" i="14"/>
  <c r="J767" i="14"/>
  <c r="J751" i="14"/>
  <c r="J735" i="14"/>
  <c r="K735" i="14" s="1"/>
  <c r="J719" i="14"/>
  <c r="K719" i="14" s="1"/>
  <c r="J703" i="14"/>
  <c r="K703" i="14" s="1"/>
  <c r="J687" i="14"/>
  <c r="J671" i="14"/>
  <c r="J655" i="14"/>
  <c r="K655" i="14" s="1"/>
  <c r="J639" i="14"/>
  <c r="K639" i="14" s="1"/>
  <c r="J623" i="14"/>
  <c r="K623" i="14" s="1"/>
  <c r="J607" i="14"/>
  <c r="J591" i="14"/>
  <c r="J575" i="14"/>
  <c r="K575" i="14" s="1"/>
  <c r="J1063" i="14"/>
  <c r="J1024" i="14"/>
  <c r="K1024" i="14" s="1"/>
  <c r="J972" i="14"/>
  <c r="K972" i="14" s="1"/>
  <c r="J902" i="14"/>
  <c r="K902" i="14" s="1"/>
  <c r="J985" i="14"/>
  <c r="K985" i="14" s="1"/>
  <c r="J946" i="14"/>
  <c r="K946" i="14" s="1"/>
  <c r="J866" i="14"/>
  <c r="K866" i="14" s="1"/>
  <c r="J1037" i="14"/>
  <c r="K1037" i="14" s="1"/>
  <c r="J410" i="14"/>
  <c r="K410" i="14" s="1"/>
  <c r="J831" i="14"/>
  <c r="K831" i="14" s="1"/>
  <c r="J557" i="14"/>
  <c r="J847" i="14"/>
  <c r="K847" i="14" s="1"/>
  <c r="J815" i="14"/>
  <c r="K815" i="14" s="1"/>
  <c r="J524" i="14"/>
  <c r="K524" i="14" s="1"/>
  <c r="J507" i="14"/>
  <c r="K507" i="14" s="1"/>
  <c r="J330" i="14"/>
  <c r="K330" i="14" s="1"/>
  <c r="J540" i="14"/>
  <c r="J392" i="14"/>
  <c r="J262" i="14"/>
  <c r="J230" i="14"/>
  <c r="K230" i="14" s="1"/>
  <c r="J492" i="14"/>
  <c r="K492" i="14" s="1"/>
  <c r="J376" i="14"/>
  <c r="J460" i="14"/>
  <c r="J312" i="14"/>
  <c r="J247" i="14"/>
  <c r="K247" i="14" s="1"/>
  <c r="J359" i="14"/>
  <c r="K359" i="14" s="1"/>
  <c r="J344" i="14"/>
  <c r="K344" i="14" s="1"/>
  <c r="J279" i="14"/>
  <c r="K279" i="14" s="1"/>
  <c r="J475" i="14"/>
  <c r="K475" i="14" s="1"/>
  <c r="J444" i="14"/>
  <c r="K444" i="14" s="1"/>
  <c r="J295" i="14"/>
  <c r="K295" i="14" s="1"/>
  <c r="J428" i="14"/>
  <c r="J215" i="14"/>
  <c r="K215" i="14" s="1"/>
  <c r="J165" i="14"/>
  <c r="K165" i="14" s="1"/>
  <c r="J85" i="14"/>
  <c r="K85" i="14" s="1"/>
  <c r="J1869" i="14"/>
  <c r="J1833" i="14"/>
  <c r="J510" i="14"/>
  <c r="K510" i="14" s="1"/>
  <c r="J362" i="14"/>
  <c r="K362" i="14" s="1"/>
  <c r="J345" i="14"/>
  <c r="J265" i="14"/>
  <c r="J117" i="14"/>
  <c r="K117" i="14" s="1"/>
  <c r="J394" i="14"/>
  <c r="K394" i="14" s="1"/>
  <c r="J378" i="14"/>
  <c r="J430" i="14"/>
  <c r="K430" i="14" s="1"/>
  <c r="J412" i="14"/>
  <c r="K412" i="14" s="1"/>
  <c r="J149" i="14"/>
  <c r="K149" i="14" s="1"/>
  <c r="J133" i="14"/>
  <c r="K133" i="14" s="1"/>
  <c r="N26" i="11"/>
  <c r="Q26" i="11" s="1"/>
  <c r="I8" i="14"/>
  <c r="J12" i="14"/>
  <c r="K12" i="14" s="1"/>
  <c r="J28" i="14"/>
  <c r="K28" i="14" s="1"/>
  <c r="I35" i="14"/>
  <c r="K35" i="14" s="1"/>
  <c r="I63" i="14"/>
  <c r="J67" i="14"/>
  <c r="K67" i="14" s="1"/>
  <c r="J82" i="14"/>
  <c r="K82" i="14" s="1"/>
  <c r="I90" i="14"/>
  <c r="I103" i="14"/>
  <c r="G119" i="14"/>
  <c r="G145" i="14"/>
  <c r="J163" i="14"/>
  <c r="K163" i="14" s="1"/>
  <c r="G172" i="14"/>
  <c r="J190" i="14"/>
  <c r="K190" i="14" s="1"/>
  <c r="G193" i="14"/>
  <c r="G212" i="14"/>
  <c r="G239" i="14"/>
  <c r="J250" i="14"/>
  <c r="K250" i="14" s="1"/>
  <c r="I290" i="14"/>
  <c r="I342" i="14"/>
  <c r="I350" i="14"/>
  <c r="I412" i="14"/>
  <c r="J1838" i="14"/>
  <c r="K1838" i="14" s="1"/>
  <c r="J1802" i="14"/>
  <c r="K1802" i="14" s="1"/>
  <c r="J1819" i="14"/>
  <c r="K1819" i="14" s="1"/>
  <c r="J1606" i="14"/>
  <c r="J1855" i="14"/>
  <c r="J1593" i="14"/>
  <c r="K1593" i="14" s="1"/>
  <c r="J1554" i="14"/>
  <c r="K1554" i="14" s="1"/>
  <c r="J1489" i="14"/>
  <c r="K1489" i="14" s="1"/>
  <c r="J1424" i="14"/>
  <c r="K1424" i="14" s="1"/>
  <c r="J1515" i="14"/>
  <c r="K1515" i="14" s="1"/>
  <c r="J1567" i="14"/>
  <c r="J1398" i="14"/>
  <c r="K1398" i="14" s="1"/>
  <c r="J1619" i="14"/>
  <c r="K1619" i="14" s="1"/>
  <c r="J1528" i="14"/>
  <c r="K1528" i="14" s="1"/>
  <c r="J1502" i="14"/>
  <c r="K1502" i="14" s="1"/>
  <c r="J1580" i="14"/>
  <c r="K1580" i="14" s="1"/>
  <c r="J1541" i="14"/>
  <c r="J1045" i="14"/>
  <c r="K1045" i="14" s="1"/>
  <c r="J1333" i="14"/>
  <c r="J1365" i="14"/>
  <c r="J1450" i="14"/>
  <c r="J1381" i="14"/>
  <c r="K1381" i="14" s="1"/>
  <c r="J1476" i="14"/>
  <c r="J1349" i="14"/>
  <c r="K1349" i="14" s="1"/>
  <c r="J1463" i="14"/>
  <c r="J1437" i="14"/>
  <c r="K1437" i="14" s="1"/>
  <c r="J1411" i="14"/>
  <c r="J1317" i="14"/>
  <c r="K1317" i="14" s="1"/>
  <c r="J1301" i="14"/>
  <c r="K1301" i="14" s="1"/>
  <c r="J1285" i="14"/>
  <c r="J1269" i="14"/>
  <c r="J1253" i="14"/>
  <c r="J1237" i="14"/>
  <c r="J1221" i="14"/>
  <c r="J1205" i="14"/>
  <c r="J1189" i="14"/>
  <c r="K1189" i="14" s="1"/>
  <c r="J1173" i="14"/>
  <c r="K1173" i="14" s="1"/>
  <c r="J1157" i="14"/>
  <c r="K1157" i="14" s="1"/>
  <c r="J1141" i="14"/>
  <c r="K1141" i="14" s="1"/>
  <c r="J1125" i="14"/>
  <c r="K1125" i="14" s="1"/>
  <c r="J1071" i="14"/>
  <c r="J954" i="14"/>
  <c r="J1058" i="14"/>
  <c r="K1058" i="14" s="1"/>
  <c r="J993" i="14"/>
  <c r="J928" i="14"/>
  <c r="K928" i="14" s="1"/>
  <c r="J1109" i="14"/>
  <c r="K1109" i="14" s="1"/>
  <c r="J1084" i="14"/>
  <c r="K1084" i="14" s="1"/>
  <c r="J1032" i="14"/>
  <c r="K1032" i="14" s="1"/>
  <c r="J1006" i="14"/>
  <c r="K1006" i="14" s="1"/>
  <c r="J892" i="14"/>
  <c r="J876" i="14"/>
  <c r="K876" i="14" s="1"/>
  <c r="J1019" i="14"/>
  <c r="K1019" i="14" s="1"/>
  <c r="J967" i="14"/>
  <c r="J834" i="14"/>
  <c r="K834" i="14" s="1"/>
  <c r="J980" i="14"/>
  <c r="K980" i="14" s="1"/>
  <c r="J941" i="14"/>
  <c r="K941" i="14" s="1"/>
  <c r="J1097" i="14"/>
  <c r="K1097" i="14" s="1"/>
  <c r="J910" i="14"/>
  <c r="K910" i="14" s="1"/>
  <c r="J770" i="14"/>
  <c r="J690" i="14"/>
  <c r="K690" i="14" s="1"/>
  <c r="J610" i="14"/>
  <c r="K610" i="14" s="1"/>
  <c r="J496" i="14"/>
  <c r="K496" i="14" s="1"/>
  <c r="J464" i="14"/>
  <c r="K464" i="14" s="1"/>
  <c r="J786" i="14"/>
  <c r="K786" i="14" s="1"/>
  <c r="J706" i="14"/>
  <c r="K706" i="14" s="1"/>
  <c r="J626" i="14"/>
  <c r="K626" i="14" s="1"/>
  <c r="J818" i="14"/>
  <c r="K818" i="14" s="1"/>
  <c r="J722" i="14"/>
  <c r="J674" i="14"/>
  <c r="K674" i="14" s="1"/>
  <c r="J578" i="14"/>
  <c r="K578" i="14" s="1"/>
  <c r="J562" i="14"/>
  <c r="K562" i="14" s="1"/>
  <c r="J754" i="14"/>
  <c r="J658" i="14"/>
  <c r="J851" i="14"/>
  <c r="K851" i="14" s="1"/>
  <c r="J802" i="14"/>
  <c r="K802" i="14" s="1"/>
  <c r="J738" i="14"/>
  <c r="K738" i="14" s="1"/>
  <c r="J251" i="14"/>
  <c r="K251" i="14" s="1"/>
  <c r="J529" i="14"/>
  <c r="K529" i="14" s="1"/>
  <c r="J481" i="14"/>
  <c r="K481" i="14" s="1"/>
  <c r="J348" i="14"/>
  <c r="J284" i="14"/>
  <c r="K284" i="14" s="1"/>
  <c r="J268" i="14"/>
  <c r="J236" i="14"/>
  <c r="K236" i="14" s="1"/>
  <c r="J204" i="14"/>
  <c r="J594" i="14"/>
  <c r="K594" i="14" s="1"/>
  <c r="J642" i="14"/>
  <c r="K642" i="14" s="1"/>
  <c r="J546" i="14"/>
  <c r="K546" i="14" s="1"/>
  <c r="J449" i="14"/>
  <c r="K449" i="14" s="1"/>
  <c r="J188" i="14"/>
  <c r="J172" i="14"/>
  <c r="J103" i="14"/>
  <c r="J54" i="14"/>
  <c r="K54" i="14" s="1"/>
  <c r="J365" i="14"/>
  <c r="J301" i="14"/>
  <c r="J513" i="14"/>
  <c r="K513" i="14" s="1"/>
  <c r="J433" i="14"/>
  <c r="J417" i="14"/>
  <c r="K417" i="14" s="1"/>
  <c r="J398" i="14"/>
  <c r="K398" i="14" s="1"/>
  <c r="J381" i="14"/>
  <c r="K381" i="14" s="1"/>
  <c r="J333" i="14"/>
  <c r="K333" i="14" s="1"/>
  <c r="J318" i="14"/>
  <c r="K318" i="14" s="1"/>
  <c r="J26" i="14"/>
  <c r="K26" i="14" s="1"/>
  <c r="J1893" i="14"/>
  <c r="J1902" i="14"/>
  <c r="K1902" i="14" s="1"/>
  <c r="J1884" i="14"/>
  <c r="K1884" i="14" s="1"/>
  <c r="J1875" i="14"/>
  <c r="K1875" i="14" s="1"/>
  <c r="J1393" i="14"/>
  <c r="K1393" i="14" s="1"/>
  <c r="J1345" i="14"/>
  <c r="J1377" i="14"/>
  <c r="K1377" i="14" s="1"/>
  <c r="J1153" i="14"/>
  <c r="J1169" i="14"/>
  <c r="K1169" i="14" s="1"/>
  <c r="J1313" i="14"/>
  <c r="K1313" i="14" s="1"/>
  <c r="J1233" i="14"/>
  <c r="J1185" i="14"/>
  <c r="K1185" i="14" s="1"/>
  <c r="J1249" i="14"/>
  <c r="K1249" i="14" s="1"/>
  <c r="J1361" i="14"/>
  <c r="K1361" i="14" s="1"/>
  <c r="J1265" i="14"/>
  <c r="K1265" i="14" s="1"/>
  <c r="J1121" i="14"/>
  <c r="K1121" i="14" s="1"/>
  <c r="J1281" i="14"/>
  <c r="K1281" i="14" s="1"/>
  <c r="J1329" i="14"/>
  <c r="J1297" i="14"/>
  <c r="K1297" i="14" s="1"/>
  <c r="J1201" i="14"/>
  <c r="K1201" i="14" s="1"/>
  <c r="J1137" i="14"/>
  <c r="K1137" i="14" s="1"/>
  <c r="J1217" i="14"/>
  <c r="J830" i="14"/>
  <c r="K830" i="14" s="1"/>
  <c r="J556" i="14"/>
  <c r="K556" i="14" s="1"/>
  <c r="J506" i="14"/>
  <c r="K506" i="14" s="1"/>
  <c r="J474" i="14"/>
  <c r="K474" i="14" s="1"/>
  <c r="J846" i="14"/>
  <c r="K846" i="14" s="1"/>
  <c r="J670" i="14"/>
  <c r="K670" i="14" s="1"/>
  <c r="J574" i="14"/>
  <c r="K574" i="14" s="1"/>
  <c r="J622" i="14"/>
  <c r="J766" i="14"/>
  <c r="K766" i="14" s="1"/>
  <c r="J718" i="14"/>
  <c r="J750" i="14"/>
  <c r="J654" i="14"/>
  <c r="K654" i="14" s="1"/>
  <c r="J702" i="14"/>
  <c r="J798" i="14"/>
  <c r="K798" i="14" s="1"/>
  <c r="J734" i="14"/>
  <c r="K734" i="14" s="1"/>
  <c r="J814" i="14"/>
  <c r="K814" i="14" s="1"/>
  <c r="J782" i="14"/>
  <c r="J261" i="14"/>
  <c r="K261" i="14" s="1"/>
  <c r="J459" i="14"/>
  <c r="J427" i="14"/>
  <c r="K427" i="14" s="1"/>
  <c r="J358" i="14"/>
  <c r="K358" i="14" s="1"/>
  <c r="J294" i="14"/>
  <c r="K294" i="14" s="1"/>
  <c r="J278" i="14"/>
  <c r="K278" i="14" s="1"/>
  <c r="J246" i="14"/>
  <c r="K246" i="14" s="1"/>
  <c r="J214" i="14"/>
  <c r="K214" i="14" s="1"/>
  <c r="J638" i="14"/>
  <c r="J523" i="14"/>
  <c r="K523" i="14" s="1"/>
  <c r="J606" i="14"/>
  <c r="J311" i="14"/>
  <c r="K311" i="14" s="1"/>
  <c r="J229" i="14"/>
  <c r="K229" i="14" s="1"/>
  <c r="J491" i="14"/>
  <c r="K491" i="14" s="1"/>
  <c r="J391" i="14"/>
  <c r="K391" i="14" s="1"/>
  <c r="J198" i="14"/>
  <c r="K198" i="14" s="1"/>
  <c r="J182" i="14"/>
  <c r="K182" i="14" s="1"/>
  <c r="J113" i="14"/>
  <c r="K113" i="14" s="1"/>
  <c r="J37" i="14"/>
  <c r="K37" i="14" s="1"/>
  <c r="J539" i="14"/>
  <c r="J343" i="14"/>
  <c r="K343" i="14" s="1"/>
  <c r="J590" i="14"/>
  <c r="K590" i="14" s="1"/>
  <c r="J443" i="14"/>
  <c r="K443" i="14" s="1"/>
  <c r="J329" i="14"/>
  <c r="K329" i="14" s="1"/>
  <c r="J375" i="14"/>
  <c r="K375" i="14" s="1"/>
  <c r="J686" i="14"/>
  <c r="K686" i="14" s="1"/>
  <c r="J409" i="14"/>
  <c r="K409" i="14" s="1"/>
  <c r="J559" i="14"/>
  <c r="K559" i="14" s="1"/>
  <c r="J314" i="14"/>
  <c r="K314" i="14" s="1"/>
  <c r="J477" i="14"/>
  <c r="J361" i="14"/>
  <c r="J150" i="14"/>
  <c r="J297" i="14"/>
  <c r="J395" i="14"/>
  <c r="K395" i="14" s="1"/>
  <c r="J542" i="14"/>
  <c r="K542" i="14" s="1"/>
  <c r="I25" i="11"/>
  <c r="J25" i="11" s="1"/>
  <c r="J8" i="14"/>
  <c r="K8" i="14" s="1"/>
  <c r="J63" i="14"/>
  <c r="J90" i="14"/>
  <c r="J122" i="14"/>
  <c r="K122" i="14" s="1"/>
  <c r="I124" i="14"/>
  <c r="J130" i="14"/>
  <c r="K130" i="14" s="1"/>
  <c r="I150" i="14"/>
  <c r="K157" i="14"/>
  <c r="I177" i="14"/>
  <c r="K183" i="14"/>
  <c r="K199" i="14"/>
  <c r="K226" i="14"/>
  <c r="K244" i="14"/>
  <c r="K276" i="14"/>
  <c r="J290" i="14"/>
  <c r="I294" i="14"/>
  <c r="I301" i="14"/>
  <c r="I348" i="14"/>
  <c r="I365" i="14"/>
  <c r="J808" i="6"/>
  <c r="N808" i="6" s="1"/>
  <c r="J818" i="6"/>
  <c r="N818" i="6" s="1"/>
  <c r="L852" i="6"/>
  <c r="M852" i="6" s="1"/>
  <c r="J858" i="6"/>
  <c r="L862" i="6"/>
  <c r="M862" i="6" s="1"/>
  <c r="J868" i="6"/>
  <c r="N868" i="6" s="1"/>
  <c r="J878" i="6"/>
  <c r="N878" i="6" s="1"/>
  <c r="J888" i="6"/>
  <c r="N888" i="6" s="1"/>
  <c r="J898" i="6"/>
  <c r="N898" i="6" s="1"/>
  <c r="J908" i="6"/>
  <c r="N908" i="6" s="1"/>
  <c r="J914" i="6"/>
  <c r="J920" i="6"/>
  <c r="J917" i="6"/>
  <c r="F51" i="7"/>
  <c r="N82" i="3" s="1"/>
  <c r="S92" i="1" s="1"/>
  <c r="W92" i="1" s="1"/>
  <c r="F58" i="7"/>
  <c r="N89" i="3" s="1"/>
  <c r="S99" i="1" s="1"/>
  <c r="W99" i="1" s="1"/>
  <c r="F76" i="7"/>
  <c r="N107" i="3" s="1"/>
  <c r="S117" i="1" s="1"/>
  <c r="W117" i="1" s="1"/>
  <c r="F136" i="7"/>
  <c r="N370" i="3" s="1"/>
  <c r="S380" i="1" s="1"/>
  <c r="W380" i="1" s="1"/>
  <c r="F139" i="7"/>
  <c r="N373" i="3" s="1"/>
  <c r="S383" i="1" s="1"/>
  <c r="W383" i="1" s="1"/>
  <c r="F20" i="7"/>
  <c r="N21" i="3" s="1"/>
  <c r="S31" i="1" s="1"/>
  <c r="W31" i="1" s="1"/>
  <c r="F24" i="7"/>
  <c r="N25" i="3" s="1"/>
  <c r="S35" i="1" s="1"/>
  <c r="W35" i="1" s="1"/>
  <c r="F14" i="7"/>
  <c r="N15" i="3" s="1"/>
  <c r="S25" i="1" s="1"/>
  <c r="W25" i="1" s="1"/>
  <c r="J1887" i="14"/>
  <c r="K1887" i="14" s="1"/>
  <c r="J1905" i="14"/>
  <c r="J1879" i="14"/>
  <c r="K1879" i="14" s="1"/>
  <c r="J1897" i="14"/>
  <c r="J1793" i="14"/>
  <c r="K1793" i="14" s="1"/>
  <c r="J1708" i="14"/>
  <c r="K1708" i="14" s="1"/>
  <c r="J1759" i="14"/>
  <c r="J1847" i="14"/>
  <c r="J1776" i="14"/>
  <c r="K1776" i="14" s="1"/>
  <c r="J1742" i="14"/>
  <c r="K1742" i="14" s="1"/>
  <c r="J1828" i="14"/>
  <c r="J1811" i="14"/>
  <c r="K1811" i="14" s="1"/>
  <c r="J1584" i="14"/>
  <c r="J1725" i="14"/>
  <c r="K1725" i="14" s="1"/>
  <c r="J1864" i="14"/>
  <c r="J1691" i="14"/>
  <c r="K1691" i="14" s="1"/>
  <c r="J1597" i="14"/>
  <c r="K1597" i="14" s="1"/>
  <c r="J1532" i="14"/>
  <c r="K1532" i="14" s="1"/>
  <c r="J1467" i="14"/>
  <c r="K1467" i="14" s="1"/>
  <c r="J1402" i="14"/>
  <c r="K1402" i="14" s="1"/>
  <c r="J1640" i="14"/>
  <c r="K1640" i="14" s="1"/>
  <c r="J1610" i="14"/>
  <c r="K1610" i="14" s="1"/>
  <c r="J1623" i="14"/>
  <c r="K1623" i="14" s="1"/>
  <c r="J1657" i="14"/>
  <c r="K1657" i="14" s="1"/>
  <c r="J1558" i="14"/>
  <c r="J1493" i="14"/>
  <c r="K1493" i="14" s="1"/>
  <c r="J1674" i="14"/>
  <c r="K1674" i="14" s="1"/>
  <c r="J1374" i="14"/>
  <c r="K1374" i="14" s="1"/>
  <c r="J1571" i="14"/>
  <c r="K1571" i="14" s="1"/>
  <c r="J1545" i="14"/>
  <c r="K1545" i="14" s="1"/>
  <c r="J1506" i="14"/>
  <c r="J1480" i="14"/>
  <c r="K1480" i="14" s="1"/>
  <c r="J1519" i="14"/>
  <c r="J1454" i="14"/>
  <c r="J1358" i="14"/>
  <c r="K1358" i="14" s="1"/>
  <c r="J1390" i="14"/>
  <c r="K1390" i="14" s="1"/>
  <c r="J1088" i="14"/>
  <c r="K1088" i="14" s="1"/>
  <c r="J1023" i="14"/>
  <c r="K1023" i="14" s="1"/>
  <c r="J1415" i="14"/>
  <c r="K1415" i="14" s="1"/>
  <c r="J1428" i="14"/>
  <c r="K1428" i="14" s="1"/>
  <c r="J1441" i="14"/>
  <c r="J1342" i="14"/>
  <c r="J1326" i="14"/>
  <c r="K1326" i="14" s="1"/>
  <c r="J1310" i="14"/>
  <c r="K1310" i="14" s="1"/>
  <c r="J997" i="14"/>
  <c r="J932" i="14"/>
  <c r="J1230" i="14"/>
  <c r="K1230" i="14" s="1"/>
  <c r="J1150" i="14"/>
  <c r="K1150" i="14" s="1"/>
  <c r="J1062" i="14"/>
  <c r="J1049" i="14"/>
  <c r="K1049" i="14" s="1"/>
  <c r="J971" i="14"/>
  <c r="K971" i="14" s="1"/>
  <c r="J880" i="14"/>
  <c r="J865" i="14"/>
  <c r="K865" i="14" s="1"/>
  <c r="J1246" i="14"/>
  <c r="K1246" i="14" s="1"/>
  <c r="J1166" i="14"/>
  <c r="K1166" i="14" s="1"/>
  <c r="J1262" i="14"/>
  <c r="K1262" i="14" s="1"/>
  <c r="J1278" i="14"/>
  <c r="K1278" i="14" s="1"/>
  <c r="J1182" i="14"/>
  <c r="K1182" i="14" s="1"/>
  <c r="J1294" i="14"/>
  <c r="K1294" i="14" s="1"/>
  <c r="J1214" i="14"/>
  <c r="K1214" i="14" s="1"/>
  <c r="J1198" i="14"/>
  <c r="K1198" i="14" s="1"/>
  <c r="J1134" i="14"/>
  <c r="J1075" i="14"/>
  <c r="J1101" i="14"/>
  <c r="K1101" i="14" s="1"/>
  <c r="J984" i="14"/>
  <c r="K984" i="14" s="1"/>
  <c r="J1118" i="14"/>
  <c r="K1118" i="14" s="1"/>
  <c r="J945" i="14"/>
  <c r="K945" i="14" s="1"/>
  <c r="J1036" i="14"/>
  <c r="K1036" i="14" s="1"/>
  <c r="J1010" i="14"/>
  <c r="J958" i="14"/>
  <c r="K958" i="14" s="1"/>
  <c r="J919" i="14"/>
  <c r="K919" i="14" s="1"/>
  <c r="J811" i="14"/>
  <c r="J795" i="14"/>
  <c r="K795" i="14" s="1"/>
  <c r="J747" i="14"/>
  <c r="K747" i="14" s="1"/>
  <c r="J667" i="14"/>
  <c r="J587" i="14"/>
  <c r="K587" i="14" s="1"/>
  <c r="J763" i="14"/>
  <c r="K763" i="14" s="1"/>
  <c r="J683" i="14"/>
  <c r="K683" i="14" s="1"/>
  <c r="J603" i="14"/>
  <c r="J619" i="14"/>
  <c r="K619" i="14" s="1"/>
  <c r="J571" i="14"/>
  <c r="J715" i="14"/>
  <c r="K715" i="14" s="1"/>
  <c r="J827" i="14"/>
  <c r="J699" i="14"/>
  <c r="J651" i="14"/>
  <c r="J843" i="14"/>
  <c r="J779" i="14"/>
  <c r="K779" i="14" s="1"/>
  <c r="J456" i="14"/>
  <c r="K456" i="14" s="1"/>
  <c r="J388" i="14"/>
  <c r="K388" i="14" s="1"/>
  <c r="J326" i="14"/>
  <c r="K326" i="14" s="1"/>
  <c r="J635" i="14"/>
  <c r="J731" i="14"/>
  <c r="K731" i="14" s="1"/>
  <c r="J553" i="14"/>
  <c r="K553" i="14" s="1"/>
  <c r="J520" i="14"/>
  <c r="K520" i="14" s="1"/>
  <c r="J372" i="14"/>
  <c r="K372" i="14" s="1"/>
  <c r="J258" i="14"/>
  <c r="J308" i="14"/>
  <c r="J243" i="14"/>
  <c r="K243" i="14" s="1"/>
  <c r="J161" i="14"/>
  <c r="K161" i="14" s="1"/>
  <c r="J81" i="14"/>
  <c r="K81" i="14" s="1"/>
  <c r="J48" i="14"/>
  <c r="K48" i="14" s="1"/>
  <c r="J21" i="14"/>
  <c r="J424" i="14"/>
  <c r="J471" i="14"/>
  <c r="K471" i="14" s="1"/>
  <c r="J440" i="14"/>
  <c r="K440" i="14" s="1"/>
  <c r="J355" i="14"/>
  <c r="J340" i="14"/>
  <c r="K340" i="14" s="1"/>
  <c r="J503" i="14"/>
  <c r="K503" i="14" s="1"/>
  <c r="J291" i="14"/>
  <c r="K291" i="14" s="1"/>
  <c r="J406" i="14"/>
  <c r="K406" i="14" s="1"/>
  <c r="J536" i="14"/>
  <c r="J488" i="14"/>
  <c r="K488" i="14" s="1"/>
  <c r="J211" i="14"/>
  <c r="K211" i="14" s="1"/>
  <c r="J58" i="14"/>
  <c r="K58" i="14" s="1"/>
  <c r="J446" i="14"/>
  <c r="J493" i="14"/>
  <c r="K493" i="14" s="1"/>
  <c r="J1767" i="14"/>
  <c r="J1818" i="14"/>
  <c r="K1818" i="14" s="1"/>
  <c r="J1733" i="14"/>
  <c r="K1733" i="14" s="1"/>
  <c r="J1784" i="14"/>
  <c r="K1784" i="14" s="1"/>
  <c r="J1750" i="14"/>
  <c r="K1750" i="14" s="1"/>
  <c r="J1854" i="14"/>
  <c r="J1665" i="14"/>
  <c r="J1579" i="14"/>
  <c r="J1801" i="14"/>
  <c r="J1699" i="14"/>
  <c r="K1699" i="14" s="1"/>
  <c r="J1837" i="14"/>
  <c r="K1837" i="14" s="1"/>
  <c r="J1605" i="14"/>
  <c r="K1605" i="14" s="1"/>
  <c r="J1527" i="14"/>
  <c r="K1527" i="14" s="1"/>
  <c r="J1462" i="14"/>
  <c r="J1397" i="14"/>
  <c r="K1397" i="14" s="1"/>
  <c r="J1648" i="14"/>
  <c r="K1648" i="14" s="1"/>
  <c r="J1618" i="14"/>
  <c r="K1618" i="14" s="1"/>
  <c r="J1631" i="14"/>
  <c r="K1631" i="14" s="1"/>
  <c r="J1682" i="14"/>
  <c r="K1682" i="14" s="1"/>
  <c r="J1716" i="14"/>
  <c r="K1716" i="14" s="1"/>
  <c r="J1592" i="14"/>
  <c r="J1553" i="14"/>
  <c r="K1553" i="14" s="1"/>
  <c r="J1488" i="14"/>
  <c r="K1488" i="14" s="1"/>
  <c r="J1540" i="14"/>
  <c r="K1540" i="14" s="1"/>
  <c r="J1501" i="14"/>
  <c r="J1449" i="14"/>
  <c r="J1514" i="14"/>
  <c r="J1566" i="14"/>
  <c r="K1566" i="14" s="1"/>
  <c r="J1083" i="14"/>
  <c r="K1083" i="14" s="1"/>
  <c r="J1018" i="14"/>
  <c r="J1475" i="14"/>
  <c r="K1475" i="14" s="1"/>
  <c r="J1436" i="14"/>
  <c r="K1436" i="14" s="1"/>
  <c r="J1423" i="14"/>
  <c r="K1423" i="14" s="1"/>
  <c r="J1410" i="14"/>
  <c r="K1410" i="14" s="1"/>
  <c r="J1044" i="14"/>
  <c r="K1044" i="14" s="1"/>
  <c r="J992" i="14"/>
  <c r="J927" i="14"/>
  <c r="J1031" i="14"/>
  <c r="J966" i="14"/>
  <c r="J891" i="14"/>
  <c r="J875" i="14"/>
  <c r="J1096" i="14"/>
  <c r="K1096" i="14" s="1"/>
  <c r="J1057" i="14"/>
  <c r="J1005" i="14"/>
  <c r="K1005" i="14" s="1"/>
  <c r="J909" i="14"/>
  <c r="K909" i="14" s="1"/>
  <c r="J979" i="14"/>
  <c r="K979" i="14" s="1"/>
  <c r="J1070" i="14"/>
  <c r="K1070" i="14" s="1"/>
  <c r="J940" i="14"/>
  <c r="J953" i="14"/>
  <c r="K953" i="14" s="1"/>
  <c r="J860" i="14"/>
  <c r="K860" i="14" s="1"/>
  <c r="J850" i="14"/>
  <c r="K850" i="14" s="1"/>
  <c r="J317" i="14"/>
  <c r="K317" i="14" s="1"/>
  <c r="Q11" i="11"/>
  <c r="I19" i="14"/>
  <c r="K19" i="14" s="1"/>
  <c r="G34" i="14"/>
  <c r="J39" i="14"/>
  <c r="K39" i="14" s="1"/>
  <c r="I46" i="14"/>
  <c r="K46" i="14" s="1"/>
  <c r="G49" i="14"/>
  <c r="G62" i="14"/>
  <c r="I74" i="14"/>
  <c r="K74" i="14" s="1"/>
  <c r="G77" i="14"/>
  <c r="G89" i="14"/>
  <c r="I92" i="14"/>
  <c r="J99" i="14"/>
  <c r="K99" i="14" s="1"/>
  <c r="I106" i="14"/>
  <c r="J115" i="14"/>
  <c r="K115" i="14" s="1"/>
  <c r="G121" i="14"/>
  <c r="G124" i="14"/>
  <c r="J142" i="14"/>
  <c r="K142" i="14" s="1"/>
  <c r="G147" i="14"/>
  <c r="G150" i="14"/>
  <c r="J168" i="14"/>
  <c r="K168" i="14" s="1"/>
  <c r="G174" i="14"/>
  <c r="G177" i="14"/>
  <c r="G195" i="14"/>
  <c r="J196" i="14"/>
  <c r="K196" i="14" s="1"/>
  <c r="G205" i="14"/>
  <c r="J206" i="14"/>
  <c r="K206" i="14" s="1"/>
  <c r="J218" i="14"/>
  <c r="K218" i="14" s="1"/>
  <c r="G231" i="14"/>
  <c r="J232" i="14"/>
  <c r="K232" i="14" s="1"/>
  <c r="I248" i="14"/>
  <c r="I263" i="14"/>
  <c r="I271" i="14"/>
  <c r="I296" i="14"/>
  <c r="I316" i="14"/>
  <c r="I323" i="14"/>
  <c r="I355" i="14"/>
  <c r="J109" i="14"/>
  <c r="K109" i="14" s="1"/>
  <c r="J127" i="14"/>
  <c r="K127" i="14" s="1"/>
  <c r="I129" i="14"/>
  <c r="J136" i="14"/>
  <c r="K136" i="14" s="1"/>
  <c r="I156" i="14"/>
  <c r="K162" i="14"/>
  <c r="J180" i="14"/>
  <c r="K180" i="14" s="1"/>
  <c r="I182" i="14"/>
  <c r="K189" i="14"/>
  <c r="I198" i="14"/>
  <c r="J223" i="14"/>
  <c r="K223" i="14" s="1"/>
  <c r="I243" i="14"/>
  <c r="J248" i="14"/>
  <c r="K248" i="14" s="1"/>
  <c r="J263" i="14"/>
  <c r="I321" i="14"/>
  <c r="I338" i="14"/>
  <c r="I370" i="14"/>
  <c r="J814" i="6"/>
  <c r="J824" i="6"/>
  <c r="J894" i="6"/>
  <c r="N894" i="6" s="1"/>
  <c r="J904" i="6"/>
  <c r="N904" i="6" s="1"/>
  <c r="F41" i="7"/>
  <c r="N72" i="3" s="1"/>
  <c r="S82" i="1" s="1"/>
  <c r="W82" i="1" s="1"/>
  <c r="F48" i="7"/>
  <c r="N79" i="3" s="1"/>
  <c r="O79" i="3" s="1"/>
  <c r="Q79" i="3" s="1"/>
  <c r="F66" i="7"/>
  <c r="N97" i="3" s="1"/>
  <c r="S107" i="1" s="1"/>
  <c r="W107" i="1" s="1"/>
  <c r="F73" i="7"/>
  <c r="N104" i="3" s="1"/>
  <c r="S114" i="1" s="1"/>
  <c r="W114" i="1" s="1"/>
  <c r="J7" i="14"/>
  <c r="K7" i="14" s="1"/>
  <c r="I30" i="14"/>
  <c r="J34" i="14"/>
  <c r="I57" i="14"/>
  <c r="K57" i="14" s="1"/>
  <c r="I84" i="14"/>
  <c r="I95" i="14"/>
  <c r="I108" i="14"/>
  <c r="G129" i="14"/>
  <c r="J147" i="14"/>
  <c r="K147" i="14" s="1"/>
  <c r="G156" i="14"/>
  <c r="J174" i="14"/>
  <c r="G182" i="14"/>
  <c r="J195" i="14"/>
  <c r="G198" i="14"/>
  <c r="I208" i="14"/>
  <c r="I216" i="14"/>
  <c r="I225" i="14"/>
  <c r="G225" i="14"/>
  <c r="I235" i="14"/>
  <c r="G243" i="14"/>
  <c r="I285" i="14"/>
  <c r="G285" i="14"/>
  <c r="G287" i="14"/>
  <c r="I287" i="14"/>
  <c r="I289" i="14"/>
  <c r="I328" i="14"/>
  <c r="J1903" i="14"/>
  <c r="K1903" i="14" s="1"/>
  <c r="J1876" i="14"/>
  <c r="K1876" i="14" s="1"/>
  <c r="J1894" i="14"/>
  <c r="J1885" i="14"/>
  <c r="J1783" i="14"/>
  <c r="K1783" i="14" s="1"/>
  <c r="J1698" i="14"/>
  <c r="J1749" i="14"/>
  <c r="K1749" i="14" s="1"/>
  <c r="J1800" i="14"/>
  <c r="K1800" i="14" s="1"/>
  <c r="J1766" i="14"/>
  <c r="K1766" i="14" s="1"/>
  <c r="J1732" i="14"/>
  <c r="K1732" i="14" s="1"/>
  <c r="J1681" i="14"/>
  <c r="K1681" i="14" s="1"/>
  <c r="J1617" i="14"/>
  <c r="K1617" i="14" s="1"/>
  <c r="J1836" i="14"/>
  <c r="K1836" i="14" s="1"/>
  <c r="J1853" i="14"/>
  <c r="J1817" i="14"/>
  <c r="K1817" i="14" s="1"/>
  <c r="J1565" i="14"/>
  <c r="J1500" i="14"/>
  <c r="J1435" i="14"/>
  <c r="K1435" i="14" s="1"/>
  <c r="J1630" i="14"/>
  <c r="K1630" i="14" s="1"/>
  <c r="J1715" i="14"/>
  <c r="K1715" i="14" s="1"/>
  <c r="J1664" i="14"/>
  <c r="K1664" i="14" s="1"/>
  <c r="J1647" i="14"/>
  <c r="K1647" i="14" s="1"/>
  <c r="J1526" i="14"/>
  <c r="K1526" i="14" s="1"/>
  <c r="J1604" i="14"/>
  <c r="K1604" i="14" s="1"/>
  <c r="J1539" i="14"/>
  <c r="J1448" i="14"/>
  <c r="J1591" i="14"/>
  <c r="K1591" i="14" s="1"/>
  <c r="J1513" i="14"/>
  <c r="K1513" i="14" s="1"/>
  <c r="J1474" i="14"/>
  <c r="K1474" i="14" s="1"/>
  <c r="J1422" i="14"/>
  <c r="K1422" i="14" s="1"/>
  <c r="J1380" i="14"/>
  <c r="K1380" i="14" s="1"/>
  <c r="J1552" i="14"/>
  <c r="K1552" i="14" s="1"/>
  <c r="J1578" i="14"/>
  <c r="K1578" i="14" s="1"/>
  <c r="J1332" i="14"/>
  <c r="K1332" i="14" s="1"/>
  <c r="J1461" i="14"/>
  <c r="J1056" i="14"/>
  <c r="K1056" i="14" s="1"/>
  <c r="J1364" i="14"/>
  <c r="J1409" i="14"/>
  <c r="J1348" i="14"/>
  <c r="K1348" i="14" s="1"/>
  <c r="J1487" i="14"/>
  <c r="K1487" i="14" s="1"/>
  <c r="J1396" i="14"/>
  <c r="K1396" i="14" s="1"/>
  <c r="J1316" i="14"/>
  <c r="K1316" i="14" s="1"/>
  <c r="J1252" i="14"/>
  <c r="K1252" i="14" s="1"/>
  <c r="J1017" i="14"/>
  <c r="J965" i="14"/>
  <c r="J890" i="14"/>
  <c r="J874" i="14"/>
  <c r="K874" i="14" s="1"/>
  <c r="J849" i="14"/>
  <c r="K849" i="14" s="1"/>
  <c r="J1268" i="14"/>
  <c r="K1268" i="14" s="1"/>
  <c r="J1124" i="14"/>
  <c r="J1108" i="14"/>
  <c r="J1284" i="14"/>
  <c r="K1284" i="14" s="1"/>
  <c r="J1004" i="14"/>
  <c r="K1004" i="14" s="1"/>
  <c r="J939" i="14"/>
  <c r="J1300" i="14"/>
  <c r="K1300" i="14" s="1"/>
  <c r="J1204" i="14"/>
  <c r="K1204" i="14" s="1"/>
  <c r="J1140" i="14"/>
  <c r="J1095" i="14"/>
  <c r="J1082" i="14"/>
  <c r="J1220" i="14"/>
  <c r="K1220" i="14" s="1"/>
  <c r="J1156" i="14"/>
  <c r="K1156" i="14" s="1"/>
  <c r="J1172" i="14"/>
  <c r="K1172" i="14" s="1"/>
  <c r="J1236" i="14"/>
  <c r="K1236" i="14" s="1"/>
  <c r="J1188" i="14"/>
  <c r="J1030" i="14"/>
  <c r="J908" i="14"/>
  <c r="J978" i="14"/>
  <c r="J1069" i="14"/>
  <c r="K1069" i="14" s="1"/>
  <c r="J991" i="14"/>
  <c r="K991" i="14" s="1"/>
  <c r="J952" i="14"/>
  <c r="K952" i="14" s="1"/>
  <c r="J1043" i="14"/>
  <c r="K1043" i="14" s="1"/>
  <c r="J926" i="14"/>
  <c r="K926" i="14" s="1"/>
  <c r="J721" i="14"/>
  <c r="K721" i="14" s="1"/>
  <c r="J641" i="14"/>
  <c r="K641" i="14" s="1"/>
  <c r="J561" i="14"/>
  <c r="K561" i="14" s="1"/>
  <c r="J528" i="14"/>
  <c r="K528" i="14" s="1"/>
  <c r="J512" i="14"/>
  <c r="J480" i="14"/>
  <c r="K480" i="14" s="1"/>
  <c r="J448" i="14"/>
  <c r="K448" i="14" s="1"/>
  <c r="J432" i="14"/>
  <c r="K432" i="14" s="1"/>
  <c r="J416" i="14"/>
  <c r="K416" i="14" s="1"/>
  <c r="J859" i="14"/>
  <c r="K859" i="14" s="1"/>
  <c r="J737" i="14"/>
  <c r="K737" i="14" s="1"/>
  <c r="J657" i="14"/>
  <c r="J577" i="14"/>
  <c r="K577" i="14" s="1"/>
  <c r="J495" i="14"/>
  <c r="K495" i="14" s="1"/>
  <c r="J753" i="14"/>
  <c r="J705" i="14"/>
  <c r="K705" i="14" s="1"/>
  <c r="J609" i="14"/>
  <c r="K609" i="14" s="1"/>
  <c r="J833" i="14"/>
  <c r="J801" i="14"/>
  <c r="J785" i="14"/>
  <c r="K785" i="14" s="1"/>
  <c r="J689" i="14"/>
  <c r="K689" i="14" s="1"/>
  <c r="J817" i="14"/>
  <c r="J673" i="14"/>
  <c r="K673" i="14" s="1"/>
  <c r="J769" i="14"/>
  <c r="K769" i="14" s="1"/>
  <c r="J463" i="14"/>
  <c r="K463" i="14" s="1"/>
  <c r="J347" i="14"/>
  <c r="J283" i="14"/>
  <c r="K283" i="14" s="1"/>
  <c r="J267" i="14"/>
  <c r="K267" i="14" s="1"/>
  <c r="J397" i="14"/>
  <c r="K397" i="14" s="1"/>
  <c r="J625" i="14"/>
  <c r="K625" i="14" s="1"/>
  <c r="J593" i="14"/>
  <c r="K593" i="14" s="1"/>
  <c r="J364" i="14"/>
  <c r="K364" i="14" s="1"/>
  <c r="J332" i="14"/>
  <c r="K332" i="14" s="1"/>
  <c r="J316" i="14"/>
  <c r="K316" i="14" s="1"/>
  <c r="J300" i="14"/>
  <c r="K300" i="14" s="1"/>
  <c r="J545" i="14"/>
  <c r="J203" i="14"/>
  <c r="K203" i="14" s="1"/>
  <c r="J135" i="14"/>
  <c r="K135" i="14" s="1"/>
  <c r="J119" i="14"/>
  <c r="K119" i="14" s="1"/>
  <c r="J87" i="14"/>
  <c r="K87" i="14" s="1"/>
  <c r="J71" i="14"/>
  <c r="K71" i="14" s="1"/>
  <c r="J16" i="14"/>
  <c r="K16" i="14" s="1"/>
  <c r="J235" i="14"/>
  <c r="J380" i="14"/>
  <c r="K380" i="14" s="1"/>
  <c r="J187" i="14"/>
  <c r="K187" i="14" s="1"/>
  <c r="J171" i="14"/>
  <c r="K171" i="14" s="1"/>
  <c r="J102" i="14"/>
  <c r="K102" i="14" s="1"/>
  <c r="J53" i="14"/>
  <c r="K53" i="14" s="1"/>
  <c r="J1868" i="14"/>
  <c r="K1868" i="14" s="1"/>
  <c r="J1798" i="14"/>
  <c r="K1798" i="14" s="1"/>
  <c r="J1713" i="14"/>
  <c r="J1832" i="14"/>
  <c r="K1832" i="14" s="1"/>
  <c r="J1764" i="14"/>
  <c r="K1764" i="14" s="1"/>
  <c r="J1851" i="14"/>
  <c r="J1815" i="14"/>
  <c r="J1627" i="14"/>
  <c r="J1781" i="14"/>
  <c r="J1747" i="14"/>
  <c r="K1747" i="14" s="1"/>
  <c r="J1679" i="14"/>
  <c r="K1679" i="14" s="1"/>
  <c r="J1510" i="14"/>
  <c r="K1510" i="14" s="1"/>
  <c r="J1445" i="14"/>
  <c r="K1445" i="14" s="1"/>
  <c r="J1730" i="14"/>
  <c r="K1730" i="14" s="1"/>
  <c r="J1601" i="14"/>
  <c r="J1588" i="14"/>
  <c r="J1662" i="14"/>
  <c r="K1662" i="14" s="1"/>
  <c r="J1696" i="14"/>
  <c r="K1696" i="14" s="1"/>
  <c r="J1536" i="14"/>
  <c r="J1471" i="14"/>
  <c r="K1471" i="14" s="1"/>
  <c r="J1575" i="14"/>
  <c r="K1575" i="14" s="1"/>
  <c r="J1523" i="14"/>
  <c r="J1484" i="14"/>
  <c r="K1484" i="14" s="1"/>
  <c r="J1645" i="14"/>
  <c r="K1645" i="14" s="1"/>
  <c r="J1614" i="14"/>
  <c r="J1562" i="14"/>
  <c r="K1562" i="14" s="1"/>
  <c r="J1549" i="14"/>
  <c r="K1549" i="14" s="1"/>
  <c r="J1497" i="14"/>
  <c r="K1497" i="14" s="1"/>
  <c r="J1312" i="14"/>
  <c r="J1296" i="14"/>
  <c r="J1280" i="14"/>
  <c r="K1280" i="14" s="1"/>
  <c r="J1264" i="14"/>
  <c r="J1248" i="14"/>
  <c r="K1248" i="14" s="1"/>
  <c r="J1232" i="14"/>
  <c r="J1216" i="14"/>
  <c r="J1200" i="14"/>
  <c r="J1184" i="14"/>
  <c r="J1168" i="14"/>
  <c r="K1168" i="14" s="1"/>
  <c r="J1152" i="14"/>
  <c r="K1152" i="14" s="1"/>
  <c r="J1136" i="14"/>
  <c r="J1120" i="14"/>
  <c r="K1120" i="14" s="1"/>
  <c r="J1066" i="14"/>
  <c r="K1066" i="14" s="1"/>
  <c r="J1328" i="14"/>
  <c r="K1328" i="14" s="1"/>
  <c r="J1376" i="14"/>
  <c r="K1376" i="14" s="1"/>
  <c r="J1458" i="14"/>
  <c r="J1360" i="14"/>
  <c r="J1432" i="14"/>
  <c r="J1419" i="14"/>
  <c r="K1419" i="14" s="1"/>
  <c r="J1406" i="14"/>
  <c r="J1392" i="14"/>
  <c r="K1392" i="14" s="1"/>
  <c r="J1344" i="14"/>
  <c r="K1344" i="14" s="1"/>
  <c r="J975" i="14"/>
  <c r="K975" i="14" s="1"/>
  <c r="J905" i="14"/>
  <c r="K905" i="14" s="1"/>
  <c r="J1053" i="14"/>
  <c r="J949" i="14"/>
  <c r="J1092" i="14"/>
  <c r="K1092" i="14" s="1"/>
  <c r="J1079" i="14"/>
  <c r="J962" i="14"/>
  <c r="K962" i="14" s="1"/>
  <c r="J1105" i="14"/>
  <c r="K1105" i="14" s="1"/>
  <c r="J1040" i="14"/>
  <c r="J1014" i="14"/>
  <c r="K1014" i="14" s="1"/>
  <c r="J923" i="14"/>
  <c r="K923" i="14" s="1"/>
  <c r="J936" i="14"/>
  <c r="K936" i="14" s="1"/>
  <c r="J871" i="14"/>
  <c r="K871" i="14" s="1"/>
  <c r="J1027" i="14"/>
  <c r="K1027" i="14" s="1"/>
  <c r="J1001" i="14"/>
  <c r="K1001" i="14" s="1"/>
  <c r="J988" i="14"/>
  <c r="J887" i="14"/>
  <c r="J765" i="14"/>
  <c r="K765" i="14" s="1"/>
  <c r="J685" i="14"/>
  <c r="J605" i="14"/>
  <c r="K605" i="14" s="1"/>
  <c r="J538" i="14"/>
  <c r="K538" i="14" s="1"/>
  <c r="J522" i="14"/>
  <c r="K522" i="14" s="1"/>
  <c r="J490" i="14"/>
  <c r="J458" i="14"/>
  <c r="J442" i="14"/>
  <c r="J426" i="14"/>
  <c r="K426" i="14" s="1"/>
  <c r="J857" i="14"/>
  <c r="K857" i="14" s="1"/>
  <c r="J781" i="14"/>
  <c r="K781" i="14" s="1"/>
  <c r="J701" i="14"/>
  <c r="J621" i="14"/>
  <c r="K621" i="14" s="1"/>
  <c r="J749" i="14"/>
  <c r="J653" i="14"/>
  <c r="K653" i="14" s="1"/>
  <c r="J473" i="14"/>
  <c r="K473" i="14" s="1"/>
  <c r="J829" i="14"/>
  <c r="J797" i="14"/>
  <c r="J845" i="14"/>
  <c r="K845" i="14" s="1"/>
  <c r="J733" i="14"/>
  <c r="K733" i="14" s="1"/>
  <c r="J555" i="14"/>
  <c r="J813" i="14"/>
  <c r="K813" i="14" s="1"/>
  <c r="J669" i="14"/>
  <c r="J717" i="14"/>
  <c r="K717" i="14" s="1"/>
  <c r="J357" i="14"/>
  <c r="K357" i="14" s="1"/>
  <c r="J293" i="14"/>
  <c r="J277" i="14"/>
  <c r="K277" i="14" s="1"/>
  <c r="J245" i="14"/>
  <c r="J637" i="14"/>
  <c r="J408" i="14"/>
  <c r="K408" i="14" s="1"/>
  <c r="J374" i="14"/>
  <c r="K374" i="14" s="1"/>
  <c r="J342" i="14"/>
  <c r="K342" i="14" s="1"/>
  <c r="J310" i="14"/>
  <c r="K310" i="14" s="1"/>
  <c r="J589" i="14"/>
  <c r="K589" i="14" s="1"/>
  <c r="J145" i="14"/>
  <c r="K145" i="14" s="1"/>
  <c r="J129" i="14"/>
  <c r="J97" i="14"/>
  <c r="J573" i="14"/>
  <c r="J505" i="14"/>
  <c r="K505" i="14" s="1"/>
  <c r="J328" i="14"/>
  <c r="J390" i="14"/>
  <c r="K390" i="14" s="1"/>
  <c r="J197" i="14"/>
  <c r="K197" i="14" s="1"/>
  <c r="J181" i="14"/>
  <c r="K181" i="14" s="1"/>
  <c r="J112" i="14"/>
  <c r="K112" i="14" s="1"/>
  <c r="J36" i="14"/>
  <c r="K36" i="14" s="1"/>
  <c r="J1899" i="14"/>
  <c r="J1890" i="14"/>
  <c r="K1890" i="14" s="1"/>
  <c r="J1872" i="14"/>
  <c r="K1872" i="14" s="1"/>
  <c r="J1881" i="14"/>
  <c r="J1834" i="14"/>
  <c r="K1834" i="14" s="1"/>
  <c r="J1870" i="14"/>
  <c r="J84" i="14"/>
  <c r="K84" i="14" s="1"/>
  <c r="J95" i="14"/>
  <c r="K95" i="14" s="1"/>
  <c r="J98" i="14"/>
  <c r="K98" i="14" s="1"/>
  <c r="K114" i="14"/>
  <c r="I135" i="14"/>
  <c r="K141" i="14"/>
  <c r="I161" i="14"/>
  <c r="K167" i="14"/>
  <c r="I188" i="14"/>
  <c r="I258" i="14"/>
  <c r="G258" i="14"/>
  <c r="G260" i="14"/>
  <c r="I260" i="14"/>
  <c r="I268" i="14"/>
  <c r="J275" i="14"/>
  <c r="K275" i="14" s="1"/>
  <c r="G289" i="14"/>
  <c r="I302" i="14"/>
  <c r="K302" i="14" s="1"/>
  <c r="I311" i="14"/>
  <c r="I474" i="14"/>
  <c r="J820" i="6"/>
  <c r="L874" i="6"/>
  <c r="M874" i="6" s="1"/>
  <c r="N874" i="6" s="1"/>
  <c r="F13" i="7"/>
  <c r="N14" i="3" s="1"/>
  <c r="S24" i="1" s="1"/>
  <c r="W24" i="1" s="1"/>
  <c r="F56" i="7"/>
  <c r="N87" i="3" s="1"/>
  <c r="O87" i="3" s="1"/>
  <c r="F63" i="7"/>
  <c r="N94" i="3" s="1"/>
  <c r="S104" i="1" s="1"/>
  <c r="W104" i="1" s="1"/>
  <c r="F81" i="7"/>
  <c r="N112" i="3" s="1"/>
  <c r="S122" i="1" s="1"/>
  <c r="W122" i="1" s="1"/>
  <c r="F88" i="7"/>
  <c r="N119" i="3" s="1"/>
  <c r="O119" i="3" s="1"/>
  <c r="Q119" i="3" s="1"/>
  <c r="F106" i="7"/>
  <c r="N137" i="3" s="1"/>
  <c r="S147" i="1" s="1"/>
  <c r="W147" i="1" s="1"/>
  <c r="F124" i="7"/>
  <c r="N250" i="3" s="1"/>
  <c r="S260" i="1" s="1"/>
  <c r="W260" i="1" s="1"/>
  <c r="P28" i="11"/>
  <c r="I13" i="14"/>
  <c r="K13" i="14" s="1"/>
  <c r="G17" i="14"/>
  <c r="G29" i="14"/>
  <c r="J33" i="14"/>
  <c r="K33" i="14" s="1"/>
  <c r="I41" i="14"/>
  <c r="K41" i="14" s="1"/>
  <c r="G44" i="14"/>
  <c r="G56" i="14"/>
  <c r="I68" i="14"/>
  <c r="K68" i="14" s="1"/>
  <c r="G72" i="14"/>
  <c r="J73" i="14"/>
  <c r="K73" i="14" s="1"/>
  <c r="G83" i="14"/>
  <c r="J88" i="14"/>
  <c r="K88" i="14" s="1"/>
  <c r="G94" i="14"/>
  <c r="I97" i="14"/>
  <c r="J105" i="14"/>
  <c r="K105" i="14" s="1"/>
  <c r="J126" i="14"/>
  <c r="K126" i="14" s="1"/>
  <c r="G131" i="14"/>
  <c r="G135" i="14"/>
  <c r="J153" i="14"/>
  <c r="K153" i="14" s="1"/>
  <c r="G158" i="14"/>
  <c r="G161" i="14"/>
  <c r="J179" i="14"/>
  <c r="K179" i="14" s="1"/>
  <c r="G184" i="14"/>
  <c r="G188" i="14"/>
  <c r="G200" i="14"/>
  <c r="J201" i="14"/>
  <c r="K201" i="14" s="1"/>
  <c r="G204" i="14"/>
  <c r="J213" i="14"/>
  <c r="K213" i="14" s="1"/>
  <c r="G227" i="14"/>
  <c r="J228" i="14"/>
  <c r="K228" i="14" s="1"/>
  <c r="G230" i="14"/>
  <c r="I245" i="14"/>
  <c r="G247" i="14"/>
  <c r="J260" i="14"/>
  <c r="K260" i="14" s="1"/>
  <c r="I262" i="14"/>
  <c r="G268" i="14"/>
  <c r="J663" i="6"/>
  <c r="N663" i="6" s="1"/>
  <c r="J673" i="6"/>
  <c r="N673" i="6" s="1"/>
  <c r="J713" i="6"/>
  <c r="N713" i="6" s="1"/>
  <c r="L737" i="6"/>
  <c r="M737" i="6" s="1"/>
  <c r="N737" i="6" s="1"/>
  <c r="L767" i="6"/>
  <c r="M767" i="6" s="1"/>
  <c r="N767" i="6" s="1"/>
  <c r="J813" i="6"/>
  <c r="N813" i="6" s="1"/>
  <c r="J823" i="6"/>
  <c r="N823" i="6" s="1"/>
  <c r="J853" i="6"/>
  <c r="N853" i="6" s="1"/>
  <c r="J863" i="6"/>
  <c r="N863" i="6" s="1"/>
  <c r="L867" i="6"/>
  <c r="M867" i="6" s="1"/>
  <c r="N867" i="6" s="1"/>
  <c r="F17" i="7"/>
  <c r="N18" i="3" s="1"/>
  <c r="S28" i="1" s="1"/>
  <c r="W28" i="1" s="1"/>
  <c r="F42" i="7"/>
  <c r="N73" i="3" s="1"/>
  <c r="S83" i="1" s="1"/>
  <c r="W83" i="1" s="1"/>
  <c r="F49" i="7"/>
  <c r="N80" i="3" s="1"/>
  <c r="O80" i="3" s="1"/>
  <c r="F67" i="7"/>
  <c r="N98" i="3" s="1"/>
  <c r="S108" i="1" s="1"/>
  <c r="W108" i="1" s="1"/>
  <c r="F131" i="7"/>
  <c r="N348" i="3" s="1"/>
  <c r="S358" i="1" s="1"/>
  <c r="W358" i="1" s="1"/>
  <c r="F128" i="7"/>
  <c r="N344" i="3" s="1"/>
  <c r="S354" i="1" s="1"/>
  <c r="W354" i="1" s="1"/>
  <c r="J1850" i="14"/>
  <c r="K1850" i="14" s="1"/>
  <c r="J1814" i="14"/>
  <c r="K1814" i="14" s="1"/>
  <c r="J1729" i="14"/>
  <c r="K1729" i="14" s="1"/>
  <c r="J1780" i="14"/>
  <c r="K1780" i="14" s="1"/>
  <c r="J1695" i="14"/>
  <c r="K1695" i="14" s="1"/>
  <c r="J1867" i="14"/>
  <c r="K1867" i="14" s="1"/>
  <c r="J1831" i="14"/>
  <c r="J1746" i="14"/>
  <c r="K1746" i="14" s="1"/>
  <c r="J1712" i="14"/>
  <c r="K1712" i="14" s="1"/>
  <c r="J1600" i="14"/>
  <c r="K1600" i="14" s="1"/>
  <c r="J1797" i="14"/>
  <c r="K1797" i="14" s="1"/>
  <c r="J1763" i="14"/>
  <c r="K1763" i="14" s="1"/>
  <c r="J1574" i="14"/>
  <c r="K1574" i="14" s="1"/>
  <c r="J1548" i="14"/>
  <c r="K1548" i="14" s="1"/>
  <c r="J1483" i="14"/>
  <c r="K1483" i="14" s="1"/>
  <c r="J1418" i="14"/>
  <c r="K1418" i="14" s="1"/>
  <c r="J1391" i="14"/>
  <c r="J1644" i="14"/>
  <c r="J1678" i="14"/>
  <c r="K1678" i="14" s="1"/>
  <c r="J1587" i="14"/>
  <c r="K1587" i="14" s="1"/>
  <c r="J1509" i="14"/>
  <c r="K1509" i="14" s="1"/>
  <c r="J1496" i="14"/>
  <c r="K1496" i="14" s="1"/>
  <c r="J1613" i="14"/>
  <c r="K1613" i="14" s="1"/>
  <c r="J1535" i="14"/>
  <c r="J1661" i="14"/>
  <c r="J1561" i="14"/>
  <c r="K1561" i="14" s="1"/>
  <c r="J1457" i="14"/>
  <c r="J1626" i="14"/>
  <c r="K1626" i="14" s="1"/>
  <c r="J1522" i="14"/>
  <c r="K1522" i="14" s="1"/>
  <c r="J1327" i="14"/>
  <c r="K1327" i="14" s="1"/>
  <c r="J1375" i="14"/>
  <c r="K1375" i="14" s="1"/>
  <c r="J1104" i="14"/>
  <c r="K1104" i="14" s="1"/>
  <c r="J1039" i="14"/>
  <c r="J1431" i="14"/>
  <c r="K1431" i="14" s="1"/>
  <c r="J1359" i="14"/>
  <c r="J1405" i="14"/>
  <c r="J1444" i="14"/>
  <c r="J1343" i="14"/>
  <c r="K1343" i="14" s="1"/>
  <c r="J1470" i="14"/>
  <c r="K1470" i="14" s="1"/>
  <c r="J1311" i="14"/>
  <c r="K1311" i="14" s="1"/>
  <c r="J1295" i="14"/>
  <c r="K1295" i="14" s="1"/>
  <c r="J1279" i="14"/>
  <c r="J1263" i="14"/>
  <c r="J1247" i="14"/>
  <c r="J1231" i="14"/>
  <c r="J1215" i="14"/>
  <c r="J1199" i="14"/>
  <c r="J1183" i="14"/>
  <c r="K1183" i="14" s="1"/>
  <c r="J1167" i="14"/>
  <c r="K1167" i="14" s="1"/>
  <c r="J1151" i="14"/>
  <c r="K1151" i="14" s="1"/>
  <c r="J1135" i="14"/>
  <c r="K1135" i="14" s="1"/>
  <c r="J1119" i="14"/>
  <c r="K1119" i="14" s="1"/>
  <c r="J948" i="14"/>
  <c r="J884" i="14"/>
  <c r="J1026" i="14"/>
  <c r="J987" i="14"/>
  <c r="K987" i="14" s="1"/>
  <c r="J922" i="14"/>
  <c r="J885" i="14"/>
  <c r="J1091" i="14"/>
  <c r="K1091" i="14" s="1"/>
  <c r="J1052" i="14"/>
  <c r="K1052" i="14" s="1"/>
  <c r="J1065" i="14"/>
  <c r="K1065" i="14" s="1"/>
  <c r="J974" i="14"/>
  <c r="K974" i="14" s="1"/>
  <c r="J935" i="14"/>
  <c r="K935" i="14" s="1"/>
  <c r="J554" i="14"/>
  <c r="J1000" i="14"/>
  <c r="K1000" i="14" s="1"/>
  <c r="J1078" i="14"/>
  <c r="K1078" i="14" s="1"/>
  <c r="J886" i="14"/>
  <c r="J856" i="14"/>
  <c r="K856" i="14" s="1"/>
  <c r="J1013" i="14"/>
  <c r="J961" i="14"/>
  <c r="K961" i="14" s="1"/>
  <c r="J883" i="14"/>
  <c r="K883" i="14" s="1"/>
  <c r="J844" i="14"/>
  <c r="K844" i="14" s="1"/>
  <c r="J716" i="14"/>
  <c r="K716" i="14" s="1"/>
  <c r="J636" i="14"/>
  <c r="J389" i="14"/>
  <c r="K389" i="14" s="1"/>
  <c r="J904" i="14"/>
  <c r="K904" i="14" s="1"/>
  <c r="J869" i="14"/>
  <c r="K869" i="14" s="1"/>
  <c r="J732" i="14"/>
  <c r="J652" i="14"/>
  <c r="K652" i="14" s="1"/>
  <c r="J572" i="14"/>
  <c r="K572" i="14" s="1"/>
  <c r="J796" i="14"/>
  <c r="K796" i="14" s="1"/>
  <c r="J588" i="14"/>
  <c r="K588" i="14" s="1"/>
  <c r="J521" i="14"/>
  <c r="K521" i="14" s="1"/>
  <c r="J780" i="14"/>
  <c r="J684" i="14"/>
  <c r="K684" i="14" s="1"/>
  <c r="J812" i="14"/>
  <c r="J668" i="14"/>
  <c r="J828" i="14"/>
  <c r="J748" i="14"/>
  <c r="K748" i="14" s="1"/>
  <c r="J504" i="14"/>
  <c r="K504" i="14" s="1"/>
  <c r="J373" i="14"/>
  <c r="K373" i="14" s="1"/>
  <c r="J341" i="14"/>
  <c r="K341" i="14" s="1"/>
  <c r="J309" i="14"/>
  <c r="K309" i="14" s="1"/>
  <c r="J764" i="14"/>
  <c r="J700" i="14"/>
  <c r="K700" i="14" s="1"/>
  <c r="J620" i="14"/>
  <c r="J489" i="14"/>
  <c r="K489" i="14" s="1"/>
  <c r="J441" i="14"/>
  <c r="K441" i="14" s="1"/>
  <c r="J604" i="14"/>
  <c r="K604" i="14" s="1"/>
  <c r="J407" i="14"/>
  <c r="K407" i="14" s="1"/>
  <c r="J212" i="14"/>
  <c r="K212" i="14" s="1"/>
  <c r="J327" i="14"/>
  <c r="K327" i="14" s="1"/>
  <c r="J259" i="14"/>
  <c r="K259" i="14" s="1"/>
  <c r="J537" i="14"/>
  <c r="J425" i="14"/>
  <c r="K425" i="14" s="1"/>
  <c r="J472" i="14"/>
  <c r="K472" i="14" s="1"/>
  <c r="J356" i="14"/>
  <c r="K356" i="14" s="1"/>
  <c r="J457" i="14"/>
  <c r="K457" i="14" s="1"/>
  <c r="J292" i="14"/>
  <c r="K292" i="14" s="1"/>
  <c r="J144" i="14"/>
  <c r="K144" i="14" s="1"/>
  <c r="J128" i="14"/>
  <c r="K128" i="14" s="1"/>
  <c r="J96" i="14"/>
  <c r="K96" i="14" s="1"/>
  <c r="J69" i="14"/>
  <c r="K69" i="14" s="1"/>
  <c r="J14" i="14"/>
  <c r="K14" i="14" s="1"/>
  <c r="J1772" i="14"/>
  <c r="K1772" i="14" s="1"/>
  <c r="J1687" i="14"/>
  <c r="K1687" i="14" s="1"/>
  <c r="J1859" i="14"/>
  <c r="K1859" i="14" s="1"/>
  <c r="J1823" i="14"/>
  <c r="K1823" i="14" s="1"/>
  <c r="J1738" i="14"/>
  <c r="K1738" i="14" s="1"/>
  <c r="J1806" i="14"/>
  <c r="K1806" i="14" s="1"/>
  <c r="J1842" i="14"/>
  <c r="K1842" i="14" s="1"/>
  <c r="J1789" i="14"/>
  <c r="J1670" i="14"/>
  <c r="J1573" i="14"/>
  <c r="K1573" i="14" s="1"/>
  <c r="J1755" i="14"/>
  <c r="J1721" i="14"/>
  <c r="J1612" i="14"/>
  <c r="J1521" i="14"/>
  <c r="K1521" i="14" s="1"/>
  <c r="J1456" i="14"/>
  <c r="J1653" i="14"/>
  <c r="K1653" i="14" s="1"/>
  <c r="J1704" i="14"/>
  <c r="K1704" i="14" s="1"/>
  <c r="J1636" i="14"/>
  <c r="K1636" i="14" s="1"/>
  <c r="J1547" i="14"/>
  <c r="K1547" i="14" s="1"/>
  <c r="J1482" i="14"/>
  <c r="J1625" i="14"/>
  <c r="J1469" i="14"/>
  <c r="J1443" i="14"/>
  <c r="J1508" i="14"/>
  <c r="J1430" i="14"/>
  <c r="K1430" i="14" s="1"/>
  <c r="J1385" i="14"/>
  <c r="K1385" i="14" s="1"/>
  <c r="J1369" i="14"/>
  <c r="J1599" i="14"/>
  <c r="K1599" i="14" s="1"/>
  <c r="J1586" i="14"/>
  <c r="K1586" i="14" s="1"/>
  <c r="J1534" i="14"/>
  <c r="K1534" i="14" s="1"/>
  <c r="J1495" i="14"/>
  <c r="K1495" i="14" s="1"/>
  <c r="J1560" i="14"/>
  <c r="J1077" i="14"/>
  <c r="J1012" i="14"/>
  <c r="J1404" i="14"/>
  <c r="K1404" i="14" s="1"/>
  <c r="J1337" i="14"/>
  <c r="K1337" i="14" s="1"/>
  <c r="J1353" i="14"/>
  <c r="K1353" i="14" s="1"/>
  <c r="J1417" i="14"/>
  <c r="J986" i="14"/>
  <c r="J921" i="14"/>
  <c r="J1321" i="14"/>
  <c r="K1321" i="14" s="1"/>
  <c r="J1305" i="14"/>
  <c r="K1305" i="14" s="1"/>
  <c r="J1177" i="14"/>
  <c r="K1177" i="14" s="1"/>
  <c r="J1103" i="14"/>
  <c r="K1103" i="14" s="1"/>
  <c r="J960" i="14"/>
  <c r="K960" i="14" s="1"/>
  <c r="J1225" i="14"/>
  <c r="K1225" i="14" s="1"/>
  <c r="J1193" i="14"/>
  <c r="K1193" i="14" s="1"/>
  <c r="J1113" i="14"/>
  <c r="K1113" i="14" s="1"/>
  <c r="J1129" i="14"/>
  <c r="J1241" i="14"/>
  <c r="K1241" i="14" s="1"/>
  <c r="J1257" i="14"/>
  <c r="K1257" i="14" s="1"/>
  <c r="J1145" i="14"/>
  <c r="K1145" i="14" s="1"/>
  <c r="J1273" i="14"/>
  <c r="K1273" i="14" s="1"/>
  <c r="J1289" i="14"/>
  <c r="K1289" i="14" s="1"/>
  <c r="J1209" i="14"/>
  <c r="K1209" i="14" s="1"/>
  <c r="J1161" i="14"/>
  <c r="K1161" i="14" s="1"/>
  <c r="J1025" i="14"/>
  <c r="K1025" i="14" s="1"/>
  <c r="J947" i="14"/>
  <c r="K947" i="14" s="1"/>
  <c r="J868" i="14"/>
  <c r="J882" i="14"/>
  <c r="K882" i="14" s="1"/>
  <c r="J1038" i="14"/>
  <c r="K1038" i="14" s="1"/>
  <c r="J999" i="14"/>
  <c r="J1064" i="14"/>
  <c r="J1051" i="14"/>
  <c r="K1051" i="14" s="1"/>
  <c r="J973" i="14"/>
  <c r="K973" i="14" s="1"/>
  <c r="J903" i="14"/>
  <c r="K903" i="14" s="1"/>
  <c r="J838" i="14"/>
  <c r="K838" i="14" s="1"/>
  <c r="J934" i="14"/>
  <c r="K934" i="14" s="1"/>
  <c r="J1090" i="14"/>
  <c r="K1090" i="14" s="1"/>
  <c r="J774" i="14"/>
  <c r="J694" i="14"/>
  <c r="K694" i="14" s="1"/>
  <c r="J614" i="14"/>
  <c r="J533" i="14"/>
  <c r="J517" i="14"/>
  <c r="J485" i="14"/>
  <c r="K485" i="14" s="1"/>
  <c r="J453" i="14"/>
  <c r="K453" i="14" s="1"/>
  <c r="J437" i="14"/>
  <c r="K437" i="14" s="1"/>
  <c r="J421" i="14"/>
  <c r="K421" i="14" s="1"/>
  <c r="J790" i="14"/>
  <c r="K790" i="14" s="1"/>
  <c r="J710" i="14"/>
  <c r="J630" i="14"/>
  <c r="K630" i="14" s="1"/>
  <c r="J550" i="14"/>
  <c r="K550" i="14" s="1"/>
  <c r="J468" i="14"/>
  <c r="K468" i="14" s="1"/>
  <c r="J742" i="14"/>
  <c r="J806" i="14"/>
  <c r="J500" i="14"/>
  <c r="K500" i="14" s="1"/>
  <c r="J726" i="14"/>
  <c r="K726" i="14" s="1"/>
  <c r="J822" i="14"/>
  <c r="K822" i="14" s="1"/>
  <c r="J566" i="14"/>
  <c r="J758" i="14"/>
  <c r="J582" i="14"/>
  <c r="K582" i="14" s="1"/>
  <c r="J352" i="14"/>
  <c r="K352" i="14" s="1"/>
  <c r="J288" i="14"/>
  <c r="K288" i="14" s="1"/>
  <c r="J272" i="14"/>
  <c r="K272" i="14" s="1"/>
  <c r="J662" i="14"/>
  <c r="K662" i="14" s="1"/>
  <c r="J369" i="14"/>
  <c r="K369" i="14" s="1"/>
  <c r="J337" i="14"/>
  <c r="K337" i="14" s="1"/>
  <c r="J305" i="14"/>
  <c r="K305" i="14" s="1"/>
  <c r="J646" i="14"/>
  <c r="K646" i="14" s="1"/>
  <c r="J598" i="14"/>
  <c r="J678" i="14"/>
  <c r="K678" i="14" s="1"/>
  <c r="J385" i="14"/>
  <c r="K385" i="14" s="1"/>
  <c r="J402" i="14"/>
  <c r="J255" i="14"/>
  <c r="J140" i="14"/>
  <c r="K140" i="14" s="1"/>
  <c r="J124" i="14"/>
  <c r="K124" i="14" s="1"/>
  <c r="J92" i="14"/>
  <c r="K92" i="14" s="1"/>
  <c r="J208" i="14"/>
  <c r="K208" i="14" s="1"/>
  <c r="J322" i="14"/>
  <c r="K322" i="14" s="1"/>
  <c r="J192" i="14"/>
  <c r="K192" i="14" s="1"/>
  <c r="J176" i="14"/>
  <c r="K176" i="14" s="1"/>
  <c r="J107" i="14"/>
  <c r="K107" i="14" s="1"/>
  <c r="J1861" i="14"/>
  <c r="J1756" i="14"/>
  <c r="J1722" i="14"/>
  <c r="K1722" i="14" s="1"/>
  <c r="J1844" i="14"/>
  <c r="K1844" i="14" s="1"/>
  <c r="J1825" i="14"/>
  <c r="K1825" i="14" s="1"/>
  <c r="J1773" i="14"/>
  <c r="K1773" i="14" s="1"/>
  <c r="J1739" i="14"/>
  <c r="K1739" i="14" s="1"/>
  <c r="J1705" i="14"/>
  <c r="K1705" i="14" s="1"/>
  <c r="J1654" i="14"/>
  <c r="J1808" i="14"/>
  <c r="J1790" i="14"/>
  <c r="K1790" i="14" s="1"/>
  <c r="J1637" i="14"/>
  <c r="K1637" i="14" s="1"/>
  <c r="J1688" i="14"/>
  <c r="K1688" i="14" s="1"/>
  <c r="J1671" i="14"/>
  <c r="K1671" i="14" s="1"/>
  <c r="J1387" i="14"/>
  <c r="K1387" i="14" s="1"/>
  <c r="J1323" i="14"/>
  <c r="K1323" i="14" s="1"/>
  <c r="J1307" i="14"/>
  <c r="J1291" i="14"/>
  <c r="J1275" i="14"/>
  <c r="J1259" i="14"/>
  <c r="J1243" i="14"/>
  <c r="J1227" i="14"/>
  <c r="J1211" i="14"/>
  <c r="J1195" i="14"/>
  <c r="K1195" i="14" s="1"/>
  <c r="J1179" i="14"/>
  <c r="K1179" i="14" s="1"/>
  <c r="J1163" i="14"/>
  <c r="K1163" i="14" s="1"/>
  <c r="J1147" i="14"/>
  <c r="J1131" i="14"/>
  <c r="J1115" i="14"/>
  <c r="J1355" i="14"/>
  <c r="J1339" i="14"/>
  <c r="K1339" i="14" s="1"/>
  <c r="J1371" i="14"/>
  <c r="J808" i="14"/>
  <c r="K808" i="14" s="1"/>
  <c r="J855" i="14"/>
  <c r="K855" i="14" s="1"/>
  <c r="J712" i="14"/>
  <c r="K712" i="14" s="1"/>
  <c r="J632" i="14"/>
  <c r="K632" i="14" s="1"/>
  <c r="J728" i="14"/>
  <c r="K728" i="14" s="1"/>
  <c r="J648" i="14"/>
  <c r="J568" i="14"/>
  <c r="K568" i="14" s="1"/>
  <c r="J616" i="14"/>
  <c r="J664" i="14"/>
  <c r="K664" i="14" s="1"/>
  <c r="J824" i="14"/>
  <c r="J760" i="14"/>
  <c r="K760" i="14" s="1"/>
  <c r="J696" i="14"/>
  <c r="K696" i="14" s="1"/>
  <c r="J600" i="14"/>
  <c r="K600" i="14" s="1"/>
  <c r="J792" i="14"/>
  <c r="K792" i="14" s="1"/>
  <c r="J840" i="14"/>
  <c r="K840" i="14" s="1"/>
  <c r="J776" i="14"/>
  <c r="K776" i="14" s="1"/>
  <c r="J744" i="14"/>
  <c r="J680" i="14"/>
  <c r="J584" i="14"/>
  <c r="K584" i="14" s="1"/>
  <c r="J324" i="14"/>
  <c r="K324" i="14" s="1"/>
  <c r="J1860" i="14"/>
  <c r="K1860" i="14" s="1"/>
  <c r="J1843" i="14"/>
  <c r="K1843" i="14" s="1"/>
  <c r="J1807" i="14"/>
  <c r="K1807" i="14" s="1"/>
  <c r="J1824" i="14"/>
  <c r="K1824" i="14" s="1"/>
  <c r="G27" i="11"/>
  <c r="I27" i="11" s="1"/>
  <c r="J27" i="11" s="1"/>
  <c r="J111" i="14"/>
  <c r="K111" i="14" s="1"/>
  <c r="I113" i="14"/>
  <c r="J120" i="14"/>
  <c r="J138" i="14"/>
  <c r="K138" i="14" s="1"/>
  <c r="I140" i="14"/>
  <c r="J146" i="14"/>
  <c r="K146" i="14" s="1"/>
  <c r="J164" i="14"/>
  <c r="K164" i="14" s="1"/>
  <c r="I166" i="14"/>
  <c r="K173" i="14"/>
  <c r="J194" i="14"/>
  <c r="K194" i="14" s="1"/>
  <c r="I219" i="14"/>
  <c r="I270" i="14"/>
  <c r="G270" i="14"/>
  <c r="G293" i="14"/>
  <c r="I293" i="14"/>
  <c r="I297" i="14"/>
  <c r="I339" i="14"/>
  <c r="I354" i="14"/>
  <c r="I460" i="14"/>
  <c r="I470" i="14"/>
  <c r="I487" i="14"/>
  <c r="L740" i="6"/>
  <c r="M740" i="6" s="1"/>
  <c r="N740" i="6" s="1"/>
  <c r="L770" i="6"/>
  <c r="M770" i="6" s="1"/>
  <c r="L810" i="6"/>
  <c r="M810" i="6" s="1"/>
  <c r="N810" i="6" s="1"/>
  <c r="L820" i="6"/>
  <c r="M820" i="6" s="1"/>
  <c r="N820" i="6" s="1"/>
  <c r="L850" i="6"/>
  <c r="M850" i="6" s="1"/>
  <c r="N850" i="6" s="1"/>
  <c r="L860" i="6"/>
  <c r="M860" i="6" s="1"/>
  <c r="N860" i="6" s="1"/>
  <c r="L880" i="6"/>
  <c r="M880" i="6" s="1"/>
  <c r="N880" i="6" s="1"/>
  <c r="L890" i="6"/>
  <c r="M890" i="6" s="1"/>
  <c r="N890" i="6" s="1"/>
  <c r="L900" i="6"/>
  <c r="M900" i="6" s="1"/>
  <c r="N900" i="6" s="1"/>
  <c r="L910" i="6"/>
  <c r="M910" i="6" s="1"/>
  <c r="N910" i="6" s="1"/>
  <c r="L913" i="6"/>
  <c r="M913" i="6" s="1"/>
  <c r="N913" i="6" s="1"/>
  <c r="E84" i="8" s="1"/>
  <c r="G84" i="8" s="1"/>
  <c r="J918" i="6"/>
  <c r="F21" i="7"/>
  <c r="N22" i="3" s="1"/>
  <c r="S32" i="1" s="1"/>
  <c r="W32" i="1" s="1"/>
  <c r="F46" i="7"/>
  <c r="N77" i="3" s="1"/>
  <c r="S87" i="1" s="1"/>
  <c r="W87" i="1" s="1"/>
  <c r="F53" i="7"/>
  <c r="N84" i="3" s="1"/>
  <c r="S94" i="1" s="1"/>
  <c r="W94" i="1" s="1"/>
  <c r="F71" i="7"/>
  <c r="N102" i="3" s="1"/>
  <c r="S112" i="1" s="1"/>
  <c r="W112" i="1" s="1"/>
  <c r="J541" i="14"/>
  <c r="K541" i="14" s="1"/>
  <c r="J558" i="14"/>
  <c r="K558" i="14" s="1"/>
  <c r="J411" i="14"/>
  <c r="J377" i="14"/>
  <c r="K377" i="14" s="1"/>
  <c r="J393" i="14"/>
  <c r="K393" i="14" s="1"/>
  <c r="J296" i="14"/>
  <c r="K296" i="14" s="1"/>
  <c r="J476" i="14"/>
  <c r="K476" i="14" s="1"/>
  <c r="J166" i="14"/>
  <c r="J525" i="14"/>
  <c r="K525" i="14" s="1"/>
  <c r="J508" i="14"/>
  <c r="K508" i="14" s="1"/>
  <c r="J313" i="14"/>
  <c r="K313" i="14" s="1"/>
  <c r="J280" i="14"/>
  <c r="K280" i="14" s="1"/>
  <c r="J360" i="14"/>
  <c r="J1724" i="14"/>
  <c r="J1775" i="14"/>
  <c r="K1775" i="14" s="1"/>
  <c r="J1707" i="14"/>
  <c r="J1792" i="14"/>
  <c r="K1792" i="14" s="1"/>
  <c r="J1758" i="14"/>
  <c r="K1758" i="14" s="1"/>
  <c r="J1690" i="14"/>
  <c r="J1741" i="14"/>
  <c r="K1741" i="14" s="1"/>
  <c r="J1656" i="14"/>
  <c r="K1656" i="14" s="1"/>
  <c r="J1673" i="14"/>
  <c r="K1673" i="14" s="1"/>
  <c r="J1639" i="14"/>
  <c r="J1372" i="14"/>
  <c r="J1388" i="14"/>
  <c r="K1388" i="14" s="1"/>
  <c r="J1356" i="14"/>
  <c r="J1340" i="14"/>
  <c r="J1276" i="14"/>
  <c r="J1180" i="14"/>
  <c r="J1292" i="14"/>
  <c r="K1292" i="14" s="1"/>
  <c r="J1212" i="14"/>
  <c r="K1212" i="14" s="1"/>
  <c r="J1196" i="14"/>
  <c r="K1196" i="14" s="1"/>
  <c r="J1116" i="14"/>
  <c r="K1116" i="14" s="1"/>
  <c r="J1324" i="14"/>
  <c r="K1324" i="14" s="1"/>
  <c r="J1308" i="14"/>
  <c r="J1132" i="14"/>
  <c r="J1228" i="14"/>
  <c r="K1228" i="14" s="1"/>
  <c r="J1148" i="14"/>
  <c r="K1148" i="14" s="1"/>
  <c r="J1244" i="14"/>
  <c r="K1244" i="14" s="1"/>
  <c r="J1164" i="14"/>
  <c r="K1164" i="14" s="1"/>
  <c r="J1260" i="14"/>
  <c r="K1260" i="14" s="1"/>
  <c r="J809" i="14"/>
  <c r="K809" i="14" s="1"/>
  <c r="J501" i="14"/>
  <c r="J469" i="14"/>
  <c r="K469" i="14" s="1"/>
  <c r="J405" i="14"/>
  <c r="K405" i="14" s="1"/>
  <c r="J745" i="14"/>
  <c r="J841" i="14"/>
  <c r="K841" i="14" s="1"/>
  <c r="J793" i="14"/>
  <c r="K793" i="14" s="1"/>
  <c r="J777" i="14"/>
  <c r="K777" i="14" s="1"/>
  <c r="J681" i="14"/>
  <c r="K681" i="14" s="1"/>
  <c r="J633" i="14"/>
  <c r="K633" i="14" s="1"/>
  <c r="J585" i="14"/>
  <c r="K585" i="14" s="1"/>
  <c r="J551" i="14"/>
  <c r="K551" i="14" s="1"/>
  <c r="J729" i="14"/>
  <c r="J569" i="14"/>
  <c r="J825" i="14"/>
  <c r="J761" i="14"/>
  <c r="J697" i="14"/>
  <c r="K697" i="14" s="1"/>
  <c r="J438" i="14"/>
  <c r="K438" i="14" s="1"/>
  <c r="J325" i="14"/>
  <c r="K325" i="14" s="1"/>
  <c r="J256" i="14"/>
  <c r="K256" i="14" s="1"/>
  <c r="J617" i="14"/>
  <c r="K617" i="14" s="1"/>
  <c r="J353" i="14"/>
  <c r="K353" i="14" s="1"/>
  <c r="J289" i="14"/>
  <c r="J273" i="14"/>
  <c r="K273" i="14" s="1"/>
  <c r="J241" i="14"/>
  <c r="K241" i="14" s="1"/>
  <c r="J209" i="14"/>
  <c r="K209" i="14" s="1"/>
  <c r="J601" i="14"/>
  <c r="K601" i="14" s="1"/>
  <c r="J713" i="14"/>
  <c r="K713" i="14" s="1"/>
  <c r="J649" i="14"/>
  <c r="K649" i="14" s="1"/>
  <c r="J534" i="14"/>
  <c r="K534" i="14" s="1"/>
  <c r="J422" i="14"/>
  <c r="K422" i="14" s="1"/>
  <c r="J370" i="14"/>
  <c r="K370" i="14" s="1"/>
  <c r="J338" i="14"/>
  <c r="J193" i="14"/>
  <c r="J177" i="14"/>
  <c r="J108" i="14"/>
  <c r="J32" i="14"/>
  <c r="K32" i="14" s="1"/>
  <c r="J486" i="14"/>
  <c r="K486" i="14" s="1"/>
  <c r="J386" i="14"/>
  <c r="K386" i="14" s="1"/>
  <c r="J518" i="14"/>
  <c r="K518" i="14" s="1"/>
  <c r="J454" i="14"/>
  <c r="K454" i="14" s="1"/>
  <c r="J306" i="14"/>
  <c r="K306" i="14" s="1"/>
  <c r="J665" i="14"/>
  <c r="J160" i="14"/>
  <c r="K160" i="14" s="1"/>
  <c r="J80" i="14"/>
  <c r="K80" i="14" s="1"/>
  <c r="J1829" i="14"/>
  <c r="J1745" i="14"/>
  <c r="K1745" i="14" s="1"/>
  <c r="J1848" i="14"/>
  <c r="K1848" i="14" s="1"/>
  <c r="J1812" i="14"/>
  <c r="K1812" i="14" s="1"/>
  <c r="J1796" i="14"/>
  <c r="K1796" i="14" s="1"/>
  <c r="J1711" i="14"/>
  <c r="K1711" i="14" s="1"/>
  <c r="J1779" i="14"/>
  <c r="K1779" i="14" s="1"/>
  <c r="J1865" i="14"/>
  <c r="J1762" i="14"/>
  <c r="J1643" i="14"/>
  <c r="J1728" i="14"/>
  <c r="J1694" i="14"/>
  <c r="K1694" i="14" s="1"/>
  <c r="J1677" i="14"/>
  <c r="J1660" i="14"/>
  <c r="K1660" i="14" s="1"/>
  <c r="J867" i="14"/>
  <c r="K867" i="14" s="1"/>
  <c r="P26" i="11"/>
  <c r="J17" i="14"/>
  <c r="K17" i="14" s="1"/>
  <c r="I25" i="14"/>
  <c r="J44" i="14"/>
  <c r="I51" i="14"/>
  <c r="K51" i="14" s="1"/>
  <c r="J72" i="14"/>
  <c r="K72" i="14" s="1"/>
  <c r="I79" i="14"/>
  <c r="K79" i="14" s="1"/>
  <c r="J83" i="14"/>
  <c r="K83" i="14" s="1"/>
  <c r="J94" i="14"/>
  <c r="K94" i="14" s="1"/>
  <c r="J131" i="14"/>
  <c r="K131" i="14" s="1"/>
  <c r="J158" i="14"/>
  <c r="K158" i="14" s="1"/>
  <c r="J210" i="14"/>
  <c r="K210" i="14" s="1"/>
  <c r="J219" i="14"/>
  <c r="K219" i="14" s="1"/>
  <c r="I221" i="14"/>
  <c r="J227" i="14"/>
  <c r="K227" i="14" s="1"/>
  <c r="G255" i="14"/>
  <c r="I255" i="14"/>
  <c r="G281" i="14"/>
  <c r="I281" i="14"/>
  <c r="J1883" i="14"/>
  <c r="K1883" i="14" s="1"/>
  <c r="J1901" i="14"/>
  <c r="K1901" i="14" s="1"/>
  <c r="J1874" i="14"/>
  <c r="K1874" i="14" s="1"/>
  <c r="J1892" i="14"/>
  <c r="K870" i="14"/>
  <c r="J1904" i="14"/>
  <c r="J1896" i="14"/>
  <c r="J1878" i="14"/>
  <c r="J1886" i="14"/>
  <c r="K1886" i="14" s="1"/>
  <c r="J9" i="14"/>
  <c r="K9" i="14" s="1"/>
  <c r="J20" i="14"/>
  <c r="K20" i="14" s="1"/>
  <c r="J31" i="14"/>
  <c r="K31" i="14" s="1"/>
  <c r="J64" i="14"/>
  <c r="K64" i="14" s="1"/>
  <c r="J319" i="14"/>
  <c r="J382" i="14"/>
  <c r="K382" i="14" s="1"/>
  <c r="I406" i="14"/>
  <c r="G406" i="14"/>
  <c r="I411" i="14"/>
  <c r="J418" i="14"/>
  <c r="K418" i="14" s="1"/>
  <c r="I459" i="14"/>
  <c r="G459" i="14"/>
  <c r="J465" i="14"/>
  <c r="K465" i="14" s="1"/>
  <c r="I512" i="14"/>
  <c r="I514" i="14"/>
  <c r="G514" i="14"/>
  <c r="I519" i="14"/>
  <c r="I538" i="14"/>
  <c r="G540" i="14"/>
  <c r="I540" i="14"/>
  <c r="J334" i="14"/>
  <c r="K334" i="14" s="1"/>
  <c r="J349" i="14"/>
  <c r="K349" i="14" s="1"/>
  <c r="I398" i="14"/>
  <c r="I438" i="14"/>
  <c r="G438" i="14"/>
  <c r="G490" i="14"/>
  <c r="I490" i="14"/>
  <c r="G547" i="14"/>
  <c r="I547" i="14"/>
  <c r="G555" i="14"/>
  <c r="I555" i="14"/>
  <c r="I392" i="14"/>
  <c r="G398" i="14"/>
  <c r="I420" i="14"/>
  <c r="G474" i="14"/>
  <c r="I477" i="14"/>
  <c r="G487" i="14"/>
  <c r="I508" i="14"/>
  <c r="J547" i="14"/>
  <c r="K547" i="14" s="1"/>
  <c r="I614" i="14"/>
  <c r="I739" i="14"/>
  <c r="I744" i="14"/>
  <c r="G302" i="14"/>
  <c r="I313" i="14"/>
  <c r="G328" i="14"/>
  <c r="I340" i="14"/>
  <c r="G355" i="14"/>
  <c r="I366" i="14"/>
  <c r="G392" i="14"/>
  <c r="I446" i="14"/>
  <c r="G477" i="14"/>
  <c r="G508" i="14"/>
  <c r="I737" i="14"/>
  <c r="J366" i="14"/>
  <c r="I435" i="14"/>
  <c r="I456" i="14"/>
  <c r="G456" i="14"/>
  <c r="I466" i="14"/>
  <c r="G466" i="14"/>
  <c r="I482" i="14"/>
  <c r="K482" i="14" s="1"/>
  <c r="I533" i="14"/>
  <c r="I566" i="14"/>
  <c r="I712" i="14"/>
  <c r="G301" i="14"/>
  <c r="I324" i="14"/>
  <c r="I368" i="14"/>
  <c r="G368" i="14"/>
  <c r="I416" i="14"/>
  <c r="I424" i="14"/>
  <c r="G458" i="14"/>
  <c r="I458" i="14"/>
  <c r="I497" i="14"/>
  <c r="G497" i="14"/>
  <c r="I513" i="14"/>
  <c r="G513" i="14"/>
  <c r="I535" i="14"/>
  <c r="G535" i="14"/>
  <c r="I539" i="14"/>
  <c r="G539" i="14"/>
  <c r="I543" i="14"/>
  <c r="G662" i="14"/>
  <c r="I662" i="14"/>
  <c r="G316" i="14"/>
  <c r="I320" i="14"/>
  <c r="G342" i="14"/>
  <c r="I347" i="14"/>
  <c r="I361" i="14"/>
  <c r="I402" i="14"/>
  <c r="G412" i="14"/>
  <c r="G416" i="14"/>
  <c r="G424" i="14"/>
  <c r="I429" i="14"/>
  <c r="G437" i="14"/>
  <c r="I437" i="14"/>
  <c r="G439" i="14"/>
  <c r="I442" i="14"/>
  <c r="G442" i="14"/>
  <c r="I451" i="14"/>
  <c r="I484" i="14"/>
  <c r="G573" i="14"/>
  <c r="I573" i="14"/>
  <c r="G580" i="14"/>
  <c r="I580" i="14"/>
  <c r="G617" i="14"/>
  <c r="I617" i="14"/>
  <c r="I770" i="14"/>
  <c r="G296" i="14"/>
  <c r="I308" i="14"/>
  <c r="G311" i="14"/>
  <c r="G323" i="14"/>
  <c r="I335" i="14"/>
  <c r="G338" i="14"/>
  <c r="G350" i="14"/>
  <c r="G370" i="14"/>
  <c r="I373" i="14"/>
  <c r="G373" i="14"/>
  <c r="I376" i="14"/>
  <c r="G402" i="14"/>
  <c r="G432" i="14"/>
  <c r="G451" i="14"/>
  <c r="G470" i="14"/>
  <c r="I522" i="14"/>
  <c r="I554" i="14"/>
  <c r="G554" i="14"/>
  <c r="G571" i="14"/>
  <c r="I571" i="14"/>
  <c r="J1820" i="14"/>
  <c r="J1735" i="14"/>
  <c r="K1735" i="14" s="1"/>
  <c r="J1786" i="14"/>
  <c r="K1786" i="14" s="1"/>
  <c r="J1701" i="14"/>
  <c r="K1701" i="14" s="1"/>
  <c r="J1856" i="14"/>
  <c r="K1856" i="14" s="1"/>
  <c r="J1803" i="14"/>
  <c r="K1803" i="14" s="1"/>
  <c r="J1769" i="14"/>
  <c r="K1769" i="14" s="1"/>
  <c r="J1633" i="14"/>
  <c r="J1839" i="14"/>
  <c r="J1752" i="14"/>
  <c r="K1752" i="14" s="1"/>
  <c r="J1667" i="14"/>
  <c r="J1516" i="14"/>
  <c r="K1516" i="14" s="1"/>
  <c r="J1451" i="14"/>
  <c r="K1451" i="14" s="1"/>
  <c r="J1718" i="14"/>
  <c r="K1718" i="14" s="1"/>
  <c r="J1650" i="14"/>
  <c r="K1650" i="14" s="1"/>
  <c r="J1620" i="14"/>
  <c r="K1620" i="14" s="1"/>
  <c r="J1542" i="14"/>
  <c r="K1542" i="14" s="1"/>
  <c r="J1477" i="14"/>
  <c r="K1477" i="14" s="1"/>
  <c r="J1425" i="14"/>
  <c r="K1425" i="14" s="1"/>
  <c r="J1555" i="14"/>
  <c r="K1555" i="14" s="1"/>
  <c r="J1399" i="14"/>
  <c r="K1399" i="14" s="1"/>
  <c r="J1607" i="14"/>
  <c r="K1607" i="14" s="1"/>
  <c r="J1568" i="14"/>
  <c r="K1568" i="14" s="1"/>
  <c r="J1529" i="14"/>
  <c r="K1529" i="14" s="1"/>
  <c r="J1490" i="14"/>
  <c r="K1490" i="14" s="1"/>
  <c r="J1594" i="14"/>
  <c r="J1684" i="14"/>
  <c r="K1684" i="14" s="1"/>
  <c r="J1581" i="14"/>
  <c r="K1581" i="14" s="1"/>
  <c r="J1438" i="14"/>
  <c r="K1438" i="14" s="1"/>
  <c r="J1350" i="14"/>
  <c r="J1503" i="14"/>
  <c r="K1503" i="14" s="1"/>
  <c r="J1318" i="14"/>
  <c r="J1302" i="14"/>
  <c r="K1302" i="14" s="1"/>
  <c r="J1286" i="14"/>
  <c r="K1286" i="14" s="1"/>
  <c r="J1270" i="14"/>
  <c r="K1270" i="14" s="1"/>
  <c r="J1254" i="14"/>
  <c r="J1238" i="14"/>
  <c r="J1222" i="14"/>
  <c r="K1222" i="14" s="1"/>
  <c r="J1206" i="14"/>
  <c r="J1190" i="14"/>
  <c r="J1174" i="14"/>
  <c r="K1174" i="14" s="1"/>
  <c r="J1158" i="14"/>
  <c r="K1158" i="14" s="1"/>
  <c r="J1142" i="14"/>
  <c r="K1142" i="14" s="1"/>
  <c r="J1126" i="14"/>
  <c r="K1126" i="14" s="1"/>
  <c r="J1110" i="14"/>
  <c r="K1110" i="14" s="1"/>
  <c r="J1072" i="14"/>
  <c r="J1007" i="14"/>
  <c r="K1007" i="14" s="1"/>
  <c r="J1464" i="14"/>
  <c r="K1464" i="14" s="1"/>
  <c r="J1412" i="14"/>
  <c r="J1366" i="14"/>
  <c r="K1366" i="14" s="1"/>
  <c r="J1382" i="14"/>
  <c r="K1382" i="14" s="1"/>
  <c r="J1098" i="14"/>
  <c r="K1098" i="14" s="1"/>
  <c r="J981" i="14"/>
  <c r="K981" i="14" s="1"/>
  <c r="J911" i="14"/>
  <c r="K911" i="14" s="1"/>
  <c r="J1085" i="14"/>
  <c r="K1085" i="14" s="1"/>
  <c r="J955" i="14"/>
  <c r="J1334" i="14"/>
  <c r="J929" i="14"/>
  <c r="K929" i="14" s="1"/>
  <c r="J835" i="14"/>
  <c r="J942" i="14"/>
  <c r="K942" i="14" s="1"/>
  <c r="J1059" i="14"/>
  <c r="J1033" i="14"/>
  <c r="K1033" i="14" s="1"/>
  <c r="J893" i="14"/>
  <c r="K893" i="14" s="1"/>
  <c r="J994" i="14"/>
  <c r="K994" i="14" s="1"/>
  <c r="J877" i="14"/>
  <c r="K877" i="14" s="1"/>
  <c r="J1020" i="14"/>
  <c r="K1020" i="14" s="1"/>
  <c r="J1046" i="14"/>
  <c r="J968" i="14"/>
  <c r="K968" i="14" s="1"/>
  <c r="J862" i="14"/>
  <c r="J739" i="14"/>
  <c r="J659" i="14"/>
  <c r="K659" i="14" s="1"/>
  <c r="J579" i="14"/>
  <c r="K579" i="14" s="1"/>
  <c r="J852" i="14"/>
  <c r="K852" i="14" s="1"/>
  <c r="J819" i="14"/>
  <c r="K819" i="14" s="1"/>
  <c r="J755" i="14"/>
  <c r="K755" i="14" s="1"/>
  <c r="J675" i="14"/>
  <c r="K675" i="14" s="1"/>
  <c r="J595" i="14"/>
  <c r="K595" i="14" s="1"/>
  <c r="J691" i="14"/>
  <c r="J787" i="14"/>
  <c r="J803" i="14"/>
  <c r="J723" i="14"/>
  <c r="K723" i="14" s="1"/>
  <c r="J771" i="14"/>
  <c r="K771" i="14" s="1"/>
  <c r="J563" i="14"/>
  <c r="K563" i="14" s="1"/>
  <c r="J707" i="14"/>
  <c r="K707" i="14" s="1"/>
  <c r="J514" i="14"/>
  <c r="K514" i="14" s="1"/>
  <c r="J497" i="14"/>
  <c r="K497" i="14" s="1"/>
  <c r="J450" i="14"/>
  <c r="K450" i="14" s="1"/>
  <c r="J643" i="14"/>
  <c r="J252" i="14"/>
  <c r="K252" i="14" s="1"/>
  <c r="J220" i="14"/>
  <c r="K220" i="14" s="1"/>
  <c r="J611" i="14"/>
  <c r="K611" i="14" s="1"/>
  <c r="J434" i="14"/>
  <c r="K434" i="14" s="1"/>
  <c r="J627" i="14"/>
  <c r="K627" i="14" s="1"/>
  <c r="J1882" i="14"/>
  <c r="K1882" i="14" s="1"/>
  <c r="J1900" i="14"/>
  <c r="K1900" i="14" s="1"/>
  <c r="J1891" i="14"/>
  <c r="J1873" i="14"/>
  <c r="J27" i="14"/>
  <c r="K27" i="14" s="1"/>
  <c r="G399" i="14"/>
  <c r="I399" i="14"/>
  <c r="I428" i="14"/>
  <c r="I453" i="14"/>
  <c r="G453" i="14"/>
  <c r="I501" i="14"/>
  <c r="J530" i="14"/>
  <c r="K530" i="14" s="1"/>
  <c r="I565" i="14"/>
  <c r="I706" i="14"/>
  <c r="G706" i="14"/>
  <c r="I265" i="14"/>
  <c r="J285" i="14"/>
  <c r="K285" i="14" s="1"/>
  <c r="I292" i="14"/>
  <c r="I319" i="14"/>
  <c r="I345" i="14"/>
  <c r="I360" i="14"/>
  <c r="I378" i="14"/>
  <c r="G378" i="14"/>
  <c r="J399" i="14"/>
  <c r="G404" i="14"/>
  <c r="I404" i="14"/>
  <c r="K404" i="14" s="1"/>
  <c r="I409" i="14"/>
  <c r="I455" i="14"/>
  <c r="G455" i="14"/>
  <c r="G536" i="14"/>
  <c r="I536" i="14"/>
  <c r="G585" i="14"/>
  <c r="I585" i="14"/>
  <c r="G679" i="14"/>
  <c r="I679" i="14"/>
  <c r="I599" i="14"/>
  <c r="I636" i="14"/>
  <c r="G676" i="14"/>
  <c r="I676" i="14"/>
  <c r="I687" i="14"/>
  <c r="G687" i="14"/>
  <c r="G740" i="14"/>
  <c r="I740" i="14"/>
  <c r="I757" i="14"/>
  <c r="G757" i="14"/>
  <c r="I771" i="14"/>
  <c r="I790" i="14"/>
  <c r="I827" i="14"/>
  <c r="G827" i="14"/>
  <c r="I433" i="14"/>
  <c r="I545" i="14"/>
  <c r="G599" i="14"/>
  <c r="G609" i="14"/>
  <c r="I609" i="14"/>
  <c r="G636" i="14"/>
  <c r="I647" i="14"/>
  <c r="I707" i="14"/>
  <c r="I755" i="14"/>
  <c r="G788" i="14"/>
  <c r="I788" i="14"/>
  <c r="I809" i="14"/>
  <c r="I603" i="14"/>
  <c r="G616" i="14"/>
  <c r="I616" i="14"/>
  <c r="G620" i="14"/>
  <c r="I620" i="14"/>
  <c r="G638" i="14"/>
  <c r="I638" i="14"/>
  <c r="I668" i="14"/>
  <c r="G702" i="14"/>
  <c r="I702" i="14"/>
  <c r="I743" i="14"/>
  <c r="G743" i="14"/>
  <c r="I830" i="14"/>
  <c r="I839" i="14"/>
  <c r="G839" i="14"/>
  <c r="I552" i="14"/>
  <c r="I557" i="14"/>
  <c r="G557" i="14"/>
  <c r="I588" i="14"/>
  <c r="G588" i="14"/>
  <c r="G596" i="14"/>
  <c r="I596" i="14"/>
  <c r="G603" i="14"/>
  <c r="I631" i="14"/>
  <c r="I644" i="14"/>
  <c r="I651" i="14"/>
  <c r="G658" i="14"/>
  <c r="I658" i="14"/>
  <c r="I753" i="14"/>
  <c r="I783" i="14"/>
  <c r="I801" i="14"/>
  <c r="G801" i="14"/>
  <c r="I568" i="14"/>
  <c r="G568" i="14"/>
  <c r="G653" i="14"/>
  <c r="I653" i="14"/>
  <c r="I741" i="14"/>
  <c r="G741" i="14"/>
  <c r="G750" i="14"/>
  <c r="I750" i="14"/>
  <c r="I774" i="14"/>
  <c r="G774" i="14"/>
  <c r="G791" i="14"/>
  <c r="I791" i="14"/>
  <c r="I605" i="14"/>
  <c r="G605" i="14"/>
  <c r="I607" i="14"/>
  <c r="I628" i="14"/>
  <c r="I633" i="14"/>
  <c r="I637" i="14"/>
  <c r="I648" i="14"/>
  <c r="I691" i="14"/>
  <c r="G691" i="14"/>
  <c r="I710" i="14"/>
  <c r="I844" i="14"/>
  <c r="I504" i="14"/>
  <c r="I619" i="14"/>
  <c r="I645" i="14"/>
  <c r="I650" i="14"/>
  <c r="I667" i="14"/>
  <c r="I732" i="14"/>
  <c r="G754" i="14"/>
  <c r="I754" i="14"/>
  <c r="I486" i="14"/>
  <c r="G569" i="14"/>
  <c r="I569" i="14"/>
  <c r="G654" i="14"/>
  <c r="I654" i="14"/>
  <c r="I671" i="14"/>
  <c r="G671" i="14"/>
  <c r="I699" i="14"/>
  <c r="I701" i="14"/>
  <c r="I726" i="14"/>
  <c r="G726" i="14"/>
  <c r="I763" i="14"/>
  <c r="I775" i="14"/>
  <c r="I822" i="14"/>
  <c r="G822" i="14"/>
  <c r="G486" i="14"/>
  <c r="I517" i="14"/>
  <c r="I531" i="14"/>
  <c r="I537" i="14"/>
  <c r="I551" i="14"/>
  <c r="G606" i="14"/>
  <c r="I606" i="14"/>
  <c r="I634" i="14"/>
  <c r="I657" i="14"/>
  <c r="G657" i="14"/>
  <c r="I669" i="14"/>
  <c r="I685" i="14"/>
  <c r="I722" i="14"/>
  <c r="I799" i="14"/>
  <c r="G772" i="14"/>
  <c r="I772" i="14"/>
  <c r="I792" i="14"/>
  <c r="I820" i="14"/>
  <c r="G820" i="14"/>
  <c r="G828" i="14"/>
  <c r="I828" i="14"/>
  <c r="G744" i="14"/>
  <c r="G755" i="14"/>
  <c r="I758" i="14"/>
  <c r="G775" i="14"/>
  <c r="I778" i="14"/>
  <c r="G792" i="14"/>
  <c r="I804" i="14"/>
  <c r="I817" i="14"/>
  <c r="G817" i="14"/>
  <c r="G825" i="14"/>
  <c r="I825" i="14"/>
  <c r="G830" i="14"/>
  <c r="G665" i="14"/>
  <c r="I665" i="14"/>
  <c r="I713" i="14"/>
  <c r="I724" i="14"/>
  <c r="I727" i="14"/>
  <c r="I761" i="14"/>
  <c r="I764" i="14"/>
  <c r="I767" i="14"/>
  <c r="G778" i="14"/>
  <c r="G804" i="14"/>
  <c r="G558" i="14"/>
  <c r="I558" i="14"/>
  <c r="I661" i="14"/>
  <c r="G692" i="14"/>
  <c r="I692" i="14"/>
  <c r="I797" i="14"/>
  <c r="G797" i="14"/>
  <c r="I812" i="14"/>
  <c r="G812" i="14"/>
  <c r="I824" i="14"/>
  <c r="I698" i="14"/>
  <c r="G729" i="14"/>
  <c r="I729" i="14"/>
  <c r="I760" i="14"/>
  <c r="G809" i="14"/>
  <c r="G829" i="14"/>
  <c r="I829" i="14"/>
  <c r="G698" i="14"/>
  <c r="G718" i="14"/>
  <c r="I718" i="14"/>
  <c r="G732" i="14"/>
  <c r="G753" i="14"/>
  <c r="I766" i="14"/>
  <c r="G770" i="14"/>
  <c r="I777" i="14"/>
  <c r="I780" i="14"/>
  <c r="G783" i="14"/>
  <c r="I803" i="14"/>
  <c r="G844" i="14"/>
  <c r="I591" i="14"/>
  <c r="G622" i="14"/>
  <c r="I622" i="14"/>
  <c r="G701" i="14"/>
  <c r="I705" i="14"/>
  <c r="G722" i="14"/>
  <c r="I725" i="14"/>
  <c r="G739" i="14"/>
  <c r="I742" i="14"/>
  <c r="I749" i="14"/>
  <c r="G756" i="14"/>
  <c r="I756" i="14"/>
  <c r="I787" i="14"/>
  <c r="G790" i="14"/>
  <c r="G799" i="14"/>
  <c r="I838" i="14"/>
  <c r="I581" i="14"/>
  <c r="G612" i="14"/>
  <c r="I612" i="14"/>
  <c r="I714" i="14"/>
  <c r="G745" i="14"/>
  <c r="I745" i="14"/>
  <c r="I835" i="14"/>
  <c r="G838" i="14"/>
  <c r="I840" i="14"/>
  <c r="G542" i="14"/>
  <c r="I542" i="14"/>
  <c r="G581" i="14"/>
  <c r="I598" i="14"/>
  <c r="I618" i="14"/>
  <c r="I635" i="14"/>
  <c r="I643" i="14"/>
  <c r="G649" i="14"/>
  <c r="I649" i="14"/>
  <c r="I680" i="14"/>
  <c r="G714" i="14"/>
  <c r="I751" i="14"/>
  <c r="G782" i="14"/>
  <c r="I782" i="14"/>
  <c r="I811" i="14"/>
  <c r="G811" i="14"/>
  <c r="I843" i="14"/>
  <c r="G843" i="14"/>
  <c r="I846" i="14"/>
  <c r="I880" i="14"/>
  <c r="G880" i="14"/>
  <c r="I939" i="14"/>
  <c r="G939" i="14"/>
  <c r="I950" i="14"/>
  <c r="I966" i="14"/>
  <c r="I1010" i="14"/>
  <c r="I886" i="14"/>
  <c r="G886" i="14"/>
  <c r="I906" i="14"/>
  <c r="G906" i="14"/>
  <c r="I994" i="14"/>
  <c r="I1023" i="14"/>
  <c r="I1040" i="14"/>
  <c r="I1050" i="14"/>
  <c r="I868" i="14"/>
  <c r="I875" i="14"/>
  <c r="I891" i="14"/>
  <c r="I909" i="14"/>
  <c r="I913" i="14"/>
  <c r="G913" i="14"/>
  <c r="I928" i="14"/>
  <c r="I932" i="14"/>
  <c r="G932" i="14"/>
  <c r="G934" i="14"/>
  <c r="I934" i="14"/>
  <c r="I948" i="14"/>
  <c r="G948" i="14"/>
  <c r="G857" i="14"/>
  <c r="I923" i="14"/>
  <c r="G923" i="14"/>
  <c r="I1004" i="14"/>
  <c r="I864" i="14"/>
  <c r="I867" i="14"/>
  <c r="I921" i="14"/>
  <c r="G921" i="14"/>
  <c r="I940" i="14"/>
  <c r="I967" i="14"/>
  <c r="I982" i="14"/>
  <c r="I999" i="14"/>
  <c r="I1036" i="14"/>
  <c r="I855" i="14"/>
  <c r="G864" i="14"/>
  <c r="I877" i="14"/>
  <c r="G877" i="14"/>
  <c r="I881" i="14"/>
  <c r="I897" i="14"/>
  <c r="I901" i="14"/>
  <c r="I903" i="14"/>
  <c r="G903" i="14"/>
  <c r="I908" i="14"/>
  <c r="I1014" i="14"/>
  <c r="I885" i="14"/>
  <c r="I887" i="14"/>
  <c r="I892" i="14"/>
  <c r="I955" i="14"/>
  <c r="I978" i="14"/>
  <c r="I993" i="14"/>
  <c r="I869" i="14"/>
  <c r="I912" i="14"/>
  <c r="I856" i="14"/>
  <c r="G856" i="14"/>
  <c r="I922" i="14"/>
  <c r="I998" i="14"/>
  <c r="I1018" i="14"/>
  <c r="I937" i="14"/>
  <c r="G937" i="14"/>
  <c r="I949" i="14"/>
  <c r="I961" i="14"/>
  <c r="I965" i="14"/>
  <c r="G965" i="14"/>
  <c r="I976" i="14"/>
  <c r="I988" i="14"/>
  <c r="I992" i="14"/>
  <c r="G992" i="14"/>
  <c r="I1013" i="14"/>
  <c r="I1046" i="14"/>
  <c r="I1131" i="14"/>
  <c r="I1168" i="14"/>
  <c r="I1260" i="14"/>
  <c r="I1298" i="14"/>
  <c r="I872" i="14"/>
  <c r="I900" i="14"/>
  <c r="G900" i="14"/>
  <c r="G928" i="14"/>
  <c r="G940" i="14"/>
  <c r="G955" i="14"/>
  <c r="G967" i="14"/>
  <c r="G982" i="14"/>
  <c r="G994" i="14"/>
  <c r="G1004" i="14"/>
  <c r="G1010" i="14"/>
  <c r="I1031" i="14"/>
  <c r="G1036" i="14"/>
  <c r="I1039" i="14"/>
  <c r="G1039" i="14"/>
  <c r="I1062" i="14"/>
  <c r="I1117" i="14"/>
  <c r="G1117" i="14"/>
  <c r="I1138" i="14"/>
  <c r="I1153" i="14"/>
  <c r="I1174" i="14"/>
  <c r="I1239" i="14"/>
  <c r="I1277" i="14"/>
  <c r="I1287" i="14"/>
  <c r="I1308" i="14"/>
  <c r="I806" i="14"/>
  <c r="I833" i="14"/>
  <c r="I916" i="14"/>
  <c r="G916" i="14"/>
  <c r="I943" i="14"/>
  <c r="G943" i="14"/>
  <c r="I970" i="14"/>
  <c r="G970" i="14"/>
  <c r="I1025" i="14"/>
  <c r="I1064" i="14"/>
  <c r="I1072" i="14"/>
  <c r="I1080" i="14"/>
  <c r="I1100" i="14"/>
  <c r="I1104" i="14"/>
  <c r="G1104" i="14"/>
  <c r="I1106" i="14"/>
  <c r="I1111" i="14"/>
  <c r="I1113" i="14"/>
  <c r="I1115" i="14"/>
  <c r="I1136" i="14"/>
  <c r="I1144" i="14"/>
  <c r="I1159" i="14"/>
  <c r="I1207" i="14"/>
  <c r="I1224" i="14"/>
  <c r="I1256" i="14"/>
  <c r="I890" i="14"/>
  <c r="G890" i="14"/>
  <c r="I997" i="14"/>
  <c r="G997" i="14"/>
  <c r="I1057" i="14"/>
  <c r="I1059" i="14"/>
  <c r="I1085" i="14"/>
  <c r="I1089" i="14"/>
  <c r="I1096" i="14"/>
  <c r="I1102" i="14"/>
  <c r="I1142" i="14"/>
  <c r="I975" i="14"/>
  <c r="G975" i="14"/>
  <c r="I1012" i="14"/>
  <c r="G1012" i="14"/>
  <c r="I1048" i="14"/>
  <c r="I1053" i="14"/>
  <c r="I1066" i="14"/>
  <c r="G1066" i="14"/>
  <c r="I1069" i="14"/>
  <c r="I1091" i="14"/>
  <c r="I1093" i="14"/>
  <c r="I1120" i="14"/>
  <c r="I1127" i="14"/>
  <c r="I1147" i="14"/>
  <c r="I1184" i="14"/>
  <c r="I1212" i="14"/>
  <c r="I1261" i="14"/>
  <c r="I1271" i="14"/>
  <c r="I1282" i="14"/>
  <c r="I1292" i="14"/>
  <c r="I879" i="14"/>
  <c r="G879" i="14"/>
  <c r="I905" i="14"/>
  <c r="G905" i="14"/>
  <c r="G950" i="14"/>
  <c r="G966" i="14"/>
  <c r="G978" i="14"/>
  <c r="G993" i="14"/>
  <c r="I1035" i="14"/>
  <c r="G1050" i="14"/>
  <c r="G1053" i="14"/>
  <c r="G1069" i="14"/>
  <c r="I1132" i="14"/>
  <c r="I1192" i="14"/>
  <c r="I1217" i="14"/>
  <c r="I1240" i="14"/>
  <c r="I1249" i="14"/>
  <c r="I927" i="14"/>
  <c r="G927" i="14"/>
  <c r="I954" i="14"/>
  <c r="G954" i="14"/>
  <c r="I981" i="14"/>
  <c r="G981" i="14"/>
  <c r="I1002" i="14"/>
  <c r="G1002" i="14"/>
  <c r="G1014" i="14"/>
  <c r="G1018" i="14"/>
  <c r="I1030" i="14"/>
  <c r="G1035" i="14"/>
  <c r="G1040" i="14"/>
  <c r="I1063" i="14"/>
  <c r="I1073" i="14"/>
  <c r="I1190" i="14"/>
  <c r="I1197" i="14"/>
  <c r="I1202" i="14"/>
  <c r="I1333" i="14"/>
  <c r="I895" i="14"/>
  <c r="G895" i="14"/>
  <c r="I1021" i="14"/>
  <c r="I1026" i="14"/>
  <c r="I1075" i="14"/>
  <c r="I1077" i="14"/>
  <c r="G1077" i="14"/>
  <c r="I1079" i="14"/>
  <c r="I1108" i="14"/>
  <c r="I1112" i="14"/>
  <c r="I1158" i="14"/>
  <c r="I1195" i="14"/>
  <c r="I1245" i="14"/>
  <c r="I1266" i="14"/>
  <c r="I1276" i="14"/>
  <c r="I959" i="14"/>
  <c r="G959" i="14"/>
  <c r="I986" i="14"/>
  <c r="G986" i="14"/>
  <c r="I1008" i="14"/>
  <c r="I1058" i="14"/>
  <c r="I1067" i="14"/>
  <c r="I1084" i="14"/>
  <c r="I1086" i="14"/>
  <c r="I1090" i="14"/>
  <c r="I1095" i="14"/>
  <c r="I1165" i="14"/>
  <c r="I1180" i="14"/>
  <c r="I1200" i="14"/>
  <c r="I1206" i="14"/>
  <c r="I1255" i="14"/>
  <c r="I1293" i="14"/>
  <c r="I1303" i="14"/>
  <c r="I862" i="14"/>
  <c r="I884" i="14"/>
  <c r="G884" i="14"/>
  <c r="I911" i="14"/>
  <c r="G911" i="14"/>
  <c r="G1008" i="14"/>
  <c r="I1052" i="14"/>
  <c r="I1163" i="14"/>
  <c r="I1170" i="14"/>
  <c r="I1185" i="14"/>
  <c r="I1213" i="14"/>
  <c r="I1233" i="14"/>
  <c r="I1328" i="14"/>
  <c r="I1211" i="14"/>
  <c r="I1238" i="14"/>
  <c r="I1263" i="14"/>
  <c r="I1291" i="14"/>
  <c r="I1327" i="14"/>
  <c r="G1327" i="14"/>
  <c r="G1329" i="14"/>
  <c r="I1329" i="14"/>
  <c r="I1368" i="14"/>
  <c r="I1405" i="14"/>
  <c r="I1457" i="14"/>
  <c r="I1205" i="14"/>
  <c r="G1205" i="14"/>
  <c r="I1226" i="14"/>
  <c r="I1247" i="14"/>
  <c r="I1275" i="14"/>
  <c r="I1301" i="14"/>
  <c r="I1354" i="14"/>
  <c r="I1364" i="14"/>
  <c r="I1403" i="14"/>
  <c r="I1478" i="14"/>
  <c r="I1485" i="14"/>
  <c r="I1216" i="14"/>
  <c r="I1259" i="14"/>
  <c r="I1285" i="14"/>
  <c r="I1322" i="14"/>
  <c r="I1332" i="14"/>
  <c r="G1332" i="14"/>
  <c r="I1409" i="14"/>
  <c r="I1414" i="14"/>
  <c r="I1427" i="14"/>
  <c r="I1463" i="14"/>
  <c r="I1129" i="14"/>
  <c r="G1132" i="14"/>
  <c r="G1144" i="14"/>
  <c r="I1156" i="14"/>
  <c r="G1159" i="14"/>
  <c r="G1170" i="14"/>
  <c r="I1182" i="14"/>
  <c r="G1185" i="14"/>
  <c r="G1197" i="14"/>
  <c r="G1200" i="14"/>
  <c r="G1207" i="14"/>
  <c r="G1213" i="14"/>
  <c r="G1216" i="14"/>
  <c r="I1231" i="14"/>
  <c r="G1240" i="14"/>
  <c r="I1243" i="14"/>
  <c r="G1259" i="14"/>
  <c r="I1269" i="14"/>
  <c r="G1287" i="14"/>
  <c r="G1293" i="14"/>
  <c r="I1296" i="14"/>
  <c r="I1306" i="14"/>
  <c r="G1308" i="14"/>
  <c r="I1317" i="14"/>
  <c r="I1334" i="14"/>
  <c r="I1341" i="14"/>
  <c r="I1350" i="14"/>
  <c r="I1359" i="14"/>
  <c r="I1371" i="14"/>
  <c r="I1386" i="14"/>
  <c r="I1440" i="14"/>
  <c r="I1082" i="14"/>
  <c r="I1222" i="14"/>
  <c r="G1233" i="14"/>
  <c r="I1253" i="14"/>
  <c r="G1271" i="14"/>
  <c r="I1280" i="14"/>
  <c r="I1311" i="14"/>
  <c r="I1336" i="14"/>
  <c r="I1369" i="14"/>
  <c r="I1391" i="14"/>
  <c r="I1458" i="14"/>
  <c r="I1502" i="14"/>
  <c r="I1140" i="14"/>
  <c r="I1166" i="14"/>
  <c r="I1193" i="14"/>
  <c r="I1210" i="14"/>
  <c r="I1237" i="14"/>
  <c r="G1255" i="14"/>
  <c r="G1261" i="14"/>
  <c r="I1264" i="14"/>
  <c r="G1280" i="14"/>
  <c r="I1290" i="14"/>
  <c r="G1328" i="14"/>
  <c r="I1355" i="14"/>
  <c r="I1430" i="14"/>
  <c r="I1227" i="14"/>
  <c r="G1239" i="14"/>
  <c r="I1248" i="14"/>
  <c r="I1274" i="14"/>
  <c r="G1292" i="14"/>
  <c r="I1302" i="14"/>
  <c r="I1338" i="14"/>
  <c r="I1365" i="14"/>
  <c r="G1365" i="14"/>
  <c r="I1394" i="14"/>
  <c r="I1449" i="14"/>
  <c r="G1093" i="14"/>
  <c r="I1124" i="14"/>
  <c r="G1127" i="14"/>
  <c r="G1138" i="14"/>
  <c r="I1150" i="14"/>
  <c r="G1153" i="14"/>
  <c r="G1165" i="14"/>
  <c r="I1177" i="14"/>
  <c r="G1180" i="14"/>
  <c r="G1192" i="14"/>
  <c r="I1199" i="14"/>
  <c r="G1199" i="14"/>
  <c r="G1202" i="14"/>
  <c r="G1206" i="14"/>
  <c r="I1215" i="14"/>
  <c r="G1224" i="14"/>
  <c r="G1227" i="14"/>
  <c r="G1248" i="14"/>
  <c r="I1258" i="14"/>
  <c r="G1276" i="14"/>
  <c r="G1282" i="14"/>
  <c r="I1286" i="14"/>
  <c r="G1302" i="14"/>
  <c r="I1307" i="14"/>
  <c r="I1318" i="14"/>
  <c r="I1323" i="14"/>
  <c r="G1333" i="14"/>
  <c r="I1362" i="14"/>
  <c r="I1380" i="14"/>
  <c r="I1387" i="14"/>
  <c r="I1454" i="14"/>
  <c r="I1017" i="14"/>
  <c r="G1021" i="14"/>
  <c r="G1025" i="14"/>
  <c r="G1030" i="14"/>
  <c r="I1044" i="14"/>
  <c r="G1048" i="14"/>
  <c r="G1052" i="14"/>
  <c r="G1057" i="14"/>
  <c r="I1071" i="14"/>
  <c r="I1232" i="14"/>
  <c r="I1242" i="14"/>
  <c r="G1260" i="14"/>
  <c r="G1266" i="14"/>
  <c r="I1270" i="14"/>
  <c r="G1286" i="14"/>
  <c r="I1295" i="14"/>
  <c r="G1307" i="14"/>
  <c r="I1312" i="14"/>
  <c r="G1318" i="14"/>
  <c r="I1342" i="14"/>
  <c r="G1342" i="14"/>
  <c r="I1360" i="14"/>
  <c r="G1360" i="14"/>
  <c r="I1400" i="14"/>
  <c r="I1490" i="14"/>
  <c r="I1134" i="14"/>
  <c r="I1161" i="14"/>
  <c r="I1188" i="14"/>
  <c r="I1221" i="14"/>
  <c r="G1232" i="14"/>
  <c r="I1254" i="14"/>
  <c r="G1270" i="14"/>
  <c r="I1279" i="14"/>
  <c r="G1312" i="14"/>
  <c r="G1356" i="14"/>
  <c r="I1356" i="14"/>
  <c r="I1358" i="14"/>
  <c r="I1375" i="14"/>
  <c r="G1406" i="14"/>
  <c r="I1406" i="14"/>
  <c r="I1456" i="14"/>
  <c r="I1511" i="14"/>
  <c r="G1511" i="14"/>
  <c r="G1514" i="14"/>
  <c r="I1514" i="14"/>
  <c r="I1532" i="14"/>
  <c r="I1585" i="14"/>
  <c r="I1389" i="14"/>
  <c r="I1402" i="14"/>
  <c r="I1429" i="14"/>
  <c r="G1439" i="14"/>
  <c r="I1439" i="14"/>
  <c r="I1442" i="14"/>
  <c r="I1448" i="14"/>
  <c r="G1448" i="14"/>
  <c r="I1459" i="14"/>
  <c r="I1470" i="14"/>
  <c r="I1489" i="14"/>
  <c r="G1502" i="14"/>
  <c r="I1598" i="14"/>
  <c r="I1462" i="14"/>
  <c r="I1472" i="14"/>
  <c r="G1476" i="14"/>
  <c r="I1476" i="14"/>
  <c r="G1481" i="14"/>
  <c r="I1481" i="14"/>
  <c r="I1543" i="14"/>
  <c r="I1550" i="14"/>
  <c r="I1556" i="14"/>
  <c r="I1575" i="14"/>
  <c r="G1369" i="14"/>
  <c r="I1373" i="14"/>
  <c r="G1391" i="14"/>
  <c r="G1394" i="14"/>
  <c r="G1405" i="14"/>
  <c r="G1409" i="14"/>
  <c r="I1416" i="14"/>
  <c r="I1432" i="14"/>
  <c r="I1444" i="14"/>
  <c r="I1450" i="14"/>
  <c r="I1496" i="14"/>
  <c r="G1496" i="14"/>
  <c r="I1523" i="14"/>
  <c r="G1523" i="14"/>
  <c r="G1535" i="14"/>
  <c r="I1535" i="14"/>
  <c r="I1435" i="14"/>
  <c r="I1441" i="14"/>
  <c r="G1455" i="14"/>
  <c r="I1455" i="14"/>
  <c r="G1485" i="14"/>
  <c r="I1491" i="14"/>
  <c r="I1506" i="14"/>
  <c r="I1517" i="14"/>
  <c r="G1517" i="14"/>
  <c r="I1554" i="14"/>
  <c r="I1351" i="14"/>
  <c r="G1355" i="14"/>
  <c r="G1380" i="14"/>
  <c r="I1384" i="14"/>
  <c r="G1412" i="14"/>
  <c r="I1412" i="14"/>
  <c r="G1428" i="14"/>
  <c r="I1428" i="14"/>
  <c r="I1452" i="14"/>
  <c r="G1452" i="14"/>
  <c r="I1469" i="14"/>
  <c r="G1469" i="14"/>
  <c r="G1508" i="14"/>
  <c r="I1508" i="14"/>
  <c r="I1584" i="14"/>
  <c r="I1614" i="14"/>
  <c r="G1368" i="14"/>
  <c r="I1372" i="14"/>
  <c r="I1407" i="14"/>
  <c r="I1415" i="14"/>
  <c r="I1464" i="14"/>
  <c r="I1501" i="14"/>
  <c r="I1539" i="14"/>
  <c r="I1576" i="14"/>
  <c r="I1345" i="14"/>
  <c r="G1350" i="14"/>
  <c r="G1354" i="14"/>
  <c r="G1358" i="14"/>
  <c r="I1390" i="14"/>
  <c r="I1393" i="14"/>
  <c r="G1400" i="14"/>
  <c r="G1407" i="14"/>
  <c r="G1440" i="14"/>
  <c r="I1443" i="14"/>
  <c r="G1449" i="14"/>
  <c r="G1454" i="14"/>
  <c r="G1457" i="14"/>
  <c r="I1482" i="14"/>
  <c r="G1490" i="14"/>
  <c r="G1503" i="14"/>
  <c r="I1503" i="14"/>
  <c r="I1505" i="14"/>
  <c r="I1527" i="14"/>
  <c r="I1529" i="14"/>
  <c r="I1544" i="14"/>
  <c r="I1567" i="14"/>
  <c r="G1210" i="14"/>
  <c r="G1215" i="14"/>
  <c r="G1221" i="14"/>
  <c r="G1226" i="14"/>
  <c r="G1231" i="14"/>
  <c r="G1237" i="14"/>
  <c r="G1242" i="14"/>
  <c r="G1247" i="14"/>
  <c r="G1253" i="14"/>
  <c r="G1258" i="14"/>
  <c r="G1263" i="14"/>
  <c r="G1269" i="14"/>
  <c r="G1274" i="14"/>
  <c r="G1279" i="14"/>
  <c r="G1285" i="14"/>
  <c r="G1290" i="14"/>
  <c r="G1295" i="14"/>
  <c r="G1301" i="14"/>
  <c r="G1306" i="14"/>
  <c r="G1311" i="14"/>
  <c r="G1317" i="14"/>
  <c r="G1362" i="14"/>
  <c r="G1371" i="14"/>
  <c r="I1383" i="14"/>
  <c r="G1386" i="14"/>
  <c r="G1403" i="14"/>
  <c r="G1414" i="14"/>
  <c r="G1427" i="14"/>
  <c r="G1430" i="14"/>
  <c r="G1463" i="14"/>
  <c r="I1466" i="14"/>
  <c r="I1484" i="14"/>
  <c r="G1484" i="14"/>
  <c r="G1497" i="14"/>
  <c r="I1497" i="14"/>
  <c r="I1602" i="14"/>
  <c r="I1340" i="14"/>
  <c r="I1367" i="14"/>
  <c r="I1378" i="14"/>
  <c r="I1411" i="14"/>
  <c r="I1417" i="14"/>
  <c r="I1420" i="14"/>
  <c r="G1433" i="14"/>
  <c r="I1433" i="14"/>
  <c r="I1437" i="14"/>
  <c r="I1500" i="14"/>
  <c r="I1516" i="14"/>
  <c r="I1560" i="14"/>
  <c r="I1608" i="14"/>
  <c r="I1644" i="14"/>
  <c r="G1644" i="14"/>
  <c r="I1530" i="14"/>
  <c r="I1569" i="14"/>
  <c r="I1574" i="14"/>
  <c r="I1597" i="14"/>
  <c r="G1602" i="14"/>
  <c r="I1622" i="14"/>
  <c r="I1638" i="14"/>
  <c r="G1638" i="14"/>
  <c r="I1559" i="14"/>
  <c r="I1592" i="14"/>
  <c r="I1612" i="14"/>
  <c r="G1612" i="14"/>
  <c r="I1620" i="14"/>
  <c r="G1622" i="14"/>
  <c r="I1624" i="14"/>
  <c r="I1634" i="14"/>
  <c r="G1529" i="14"/>
  <c r="I1541" i="14"/>
  <c r="G1544" i="14"/>
  <c r="G1556" i="14"/>
  <c r="I1594" i="14"/>
  <c r="G1614" i="14"/>
  <c r="I1628" i="14"/>
  <c r="I1650" i="14"/>
  <c r="I1719" i="14"/>
  <c r="G1532" i="14"/>
  <c r="I1536" i="14"/>
  <c r="I1565" i="14"/>
  <c r="G1576" i="14"/>
  <c r="G1585" i="14"/>
  <c r="I1588" i="14"/>
  <c r="I1599" i="14"/>
  <c r="I1711" i="14"/>
  <c r="I1524" i="14"/>
  <c r="I1552" i="14"/>
  <c r="I1609" i="14"/>
  <c r="I1617" i="14"/>
  <c r="G1617" i="14"/>
  <c r="I1639" i="14"/>
  <c r="I1570" i="14"/>
  <c r="I1596" i="14"/>
  <c r="I1601" i="14"/>
  <c r="I1613" i="14"/>
  <c r="I1683" i="14"/>
  <c r="G1683" i="14"/>
  <c r="G1539" i="14"/>
  <c r="G1550" i="14"/>
  <c r="I1558" i="14"/>
  <c r="G1567" i="14"/>
  <c r="G1570" i="14"/>
  <c r="G1575" i="14"/>
  <c r="I1579" i="14"/>
  <c r="G1579" i="14"/>
  <c r="I1593" i="14"/>
  <c r="G1598" i="14"/>
  <c r="G1613" i="14"/>
  <c r="I1625" i="14"/>
  <c r="I1633" i="14"/>
  <c r="G1633" i="14"/>
  <c r="I1655" i="14"/>
  <c r="G1554" i="14"/>
  <c r="I1587" i="14"/>
  <c r="I1606" i="14"/>
  <c r="G1606" i="14"/>
  <c r="I1461" i="14"/>
  <c r="I1465" i="14"/>
  <c r="I1492" i="14"/>
  <c r="I1519" i="14"/>
  <c r="I1546" i="14"/>
  <c r="I1563" i="14"/>
  <c r="I1572" i="14"/>
  <c r="I1630" i="14"/>
  <c r="I1578" i="14"/>
  <c r="I1611" i="14"/>
  <c r="I1672" i="14"/>
  <c r="I1740" i="14"/>
  <c r="G1740" i="14"/>
  <c r="I1768" i="14"/>
  <c r="I1770" i="14"/>
  <c r="I1789" i="14"/>
  <c r="I1836" i="14"/>
  <c r="I1675" i="14"/>
  <c r="I1736" i="14"/>
  <c r="I1777" i="14"/>
  <c r="I1796" i="14"/>
  <c r="I1815" i="14"/>
  <c r="I1850" i="14"/>
  <c r="I1649" i="14"/>
  <c r="I1659" i="14"/>
  <c r="G1675" i="14"/>
  <c r="I1690" i="14"/>
  <c r="I1703" i="14"/>
  <c r="I1715" i="14"/>
  <c r="I1804" i="14"/>
  <c r="G1649" i="14"/>
  <c r="G1655" i="14"/>
  <c r="I1677" i="14"/>
  <c r="I1756" i="14"/>
  <c r="I1661" i="14"/>
  <c r="G1677" i="14"/>
  <c r="I1681" i="14"/>
  <c r="I1722" i="14"/>
  <c r="I1741" i="14"/>
  <c r="G1661" i="14"/>
  <c r="I1665" i="14"/>
  <c r="G1681" i="14"/>
  <c r="I1698" i="14"/>
  <c r="I1707" i="14"/>
  <c r="I1829" i="14"/>
  <c r="I1851" i="14"/>
  <c r="I1855" i="14"/>
  <c r="I1709" i="14"/>
  <c r="G1709" i="14"/>
  <c r="I1717" i="14"/>
  <c r="I1724" i="14"/>
  <c r="I1733" i="14"/>
  <c r="G1733" i="14"/>
  <c r="I1743" i="14"/>
  <c r="I1759" i="14"/>
  <c r="G1759" i="14"/>
  <c r="I1767" i="14"/>
  <c r="G1767" i="14"/>
  <c r="I1805" i="14"/>
  <c r="I1643" i="14"/>
  <c r="I1654" i="14"/>
  <c r="I1667" i="14"/>
  <c r="G1702" i="14"/>
  <c r="I1702" i="14"/>
  <c r="G1711" i="14"/>
  <c r="I1713" i="14"/>
  <c r="G1719" i="14"/>
  <c r="I1786" i="14"/>
  <c r="G1786" i="14"/>
  <c r="I1793" i="14"/>
  <c r="G1793" i="14"/>
  <c r="G1558" i="14"/>
  <c r="G1563" i="14"/>
  <c r="G1569" i="14"/>
  <c r="I1583" i="14"/>
  <c r="G1587" i="14"/>
  <c r="G1592" i="14"/>
  <c r="G1596" i="14"/>
  <c r="I1600" i="14"/>
  <c r="G1608" i="14"/>
  <c r="G1620" i="14"/>
  <c r="G1639" i="14"/>
  <c r="G1643" i="14"/>
  <c r="G1650" i="14"/>
  <c r="G1654" i="14"/>
  <c r="G1667" i="14"/>
  <c r="I1670" i="14"/>
  <c r="I1686" i="14"/>
  <c r="I1694" i="14"/>
  <c r="G1713" i="14"/>
  <c r="I1812" i="14"/>
  <c r="G1812" i="14"/>
  <c r="I1820" i="14"/>
  <c r="I1627" i="14"/>
  <c r="I1706" i="14"/>
  <c r="G1721" i="14"/>
  <c r="I1721" i="14"/>
  <c r="I1751" i="14"/>
  <c r="I1762" i="14"/>
  <c r="I1845" i="14"/>
  <c r="I1849" i="14"/>
  <c r="G1849" i="14"/>
  <c r="I1864" i="14"/>
  <c r="G1864" i="14"/>
  <c r="I1870" i="14"/>
  <c r="I1873" i="14"/>
  <c r="G1873" i="14"/>
  <c r="I1888" i="14"/>
  <c r="G1820" i="14"/>
  <c r="I1826" i="14"/>
  <c r="G1829" i="14"/>
  <c r="G1836" i="14"/>
  <c r="G1855" i="14"/>
  <c r="I1877" i="14"/>
  <c r="I1894" i="14"/>
  <c r="I1728" i="14"/>
  <c r="G1736" i="14"/>
  <c r="I1747" i="14"/>
  <c r="I1755" i="14"/>
  <c r="G1762" i="14"/>
  <c r="I1774" i="14"/>
  <c r="I1781" i="14"/>
  <c r="G1789" i="14"/>
  <c r="I1801" i="14"/>
  <c r="I1808" i="14"/>
  <c r="G1815" i="14"/>
  <c r="I1839" i="14"/>
  <c r="G1839" i="14"/>
  <c r="G1698" i="14"/>
  <c r="G1717" i="14"/>
  <c r="G1724" i="14"/>
  <c r="G1743" i="14"/>
  <c r="G1751" i="14"/>
  <c r="G1770" i="14"/>
  <c r="G1777" i="14"/>
  <c r="G1796" i="14"/>
  <c r="G1804" i="14"/>
  <c r="I1842" i="14"/>
  <c r="G1845" i="14"/>
  <c r="G1851" i="14"/>
  <c r="I1828" i="14"/>
  <c r="G1828" i="14"/>
  <c r="I1861" i="14"/>
  <c r="I1863" i="14"/>
  <c r="I1869" i="14"/>
  <c r="I1831" i="14"/>
  <c r="I1854" i="14"/>
  <c r="G1854" i="14"/>
  <c r="G1863" i="14"/>
  <c r="I1865" i="14"/>
  <c r="G1865" i="14"/>
  <c r="I1844" i="14"/>
  <c r="G1844" i="14"/>
  <c r="I1847" i="14"/>
  <c r="G1850" i="14"/>
  <c r="I1885" i="14"/>
  <c r="I1833" i="14"/>
  <c r="G1833" i="14"/>
  <c r="I1824" i="14"/>
  <c r="G1824" i="14"/>
  <c r="I1837" i="14"/>
  <c r="I1853" i="14"/>
  <c r="I1862" i="14"/>
  <c r="I1891" i="14"/>
  <c r="I1896" i="14"/>
  <c r="I1887" i="14"/>
  <c r="G1891" i="14"/>
  <c r="G1894" i="14"/>
  <c r="I1901" i="14"/>
  <c r="I1905" i="14"/>
  <c r="G1870" i="14"/>
  <c r="I1897" i="14"/>
  <c r="I1903" i="14"/>
  <c r="I1878" i="14"/>
  <c r="I1893" i="14"/>
  <c r="G1896" i="14"/>
  <c r="I1900" i="14"/>
  <c r="I1906" i="14"/>
  <c r="I1904" i="14"/>
  <c r="I1892" i="14"/>
  <c r="I1895" i="14"/>
  <c r="I1881" i="14"/>
  <c r="I1899" i="14"/>
  <c r="G1906" i="14"/>
  <c r="H17" i="17"/>
  <c r="H42" i="17"/>
  <c r="H67" i="17"/>
  <c r="H100" i="17"/>
  <c r="H111" i="17"/>
  <c r="H152" i="17"/>
  <c r="H159" i="17"/>
  <c r="H18" i="17"/>
  <c r="H58" i="17"/>
  <c r="H78" i="17"/>
  <c r="H142" i="17"/>
  <c r="G1905" i="14"/>
  <c r="H19" i="17"/>
  <c r="H57" i="17"/>
  <c r="H62" i="17"/>
  <c r="H70" i="17"/>
  <c r="H117" i="17"/>
  <c r="H127" i="17"/>
  <c r="H158" i="17"/>
  <c r="H20" i="17"/>
  <c r="H55" i="17"/>
  <c r="H56" i="17"/>
  <c r="H92" i="17"/>
  <c r="H99" i="17"/>
  <c r="H107" i="17"/>
  <c r="G1904" i="14"/>
  <c r="H156" i="17"/>
  <c r="H146" i="17"/>
  <c r="H136" i="17"/>
  <c r="H126" i="17"/>
  <c r="H116" i="17"/>
  <c r="H106" i="17"/>
  <c r="H96" i="17"/>
  <c r="H86" i="17"/>
  <c r="H76" i="17"/>
  <c r="H66" i="17"/>
  <c r="H155" i="17"/>
  <c r="H145" i="17"/>
  <c r="H135" i="17"/>
  <c r="H125" i="17"/>
  <c r="H115" i="17"/>
  <c r="H105" i="17"/>
  <c r="H95" i="17"/>
  <c r="H85" i="17"/>
  <c r="H75" i="17"/>
  <c r="H65" i="17"/>
  <c r="H154" i="17"/>
  <c r="H144" i="17"/>
  <c r="H134" i="17"/>
  <c r="H124" i="17"/>
  <c r="H114" i="17"/>
  <c r="H104" i="17"/>
  <c r="H94" i="17"/>
  <c r="H84" i="17"/>
  <c r="H74" i="17"/>
  <c r="H64" i="17"/>
  <c r="H153" i="17"/>
  <c r="H143" i="17"/>
  <c r="H133" i="17"/>
  <c r="H123" i="17"/>
  <c r="H113" i="17"/>
  <c r="H103" i="17"/>
  <c r="H93" i="17"/>
  <c r="H83" i="17"/>
  <c r="H73" i="17"/>
  <c r="H63" i="17"/>
  <c r="H162" i="17"/>
  <c r="H129" i="17"/>
  <c r="H121" i="17"/>
  <c r="H79" i="17"/>
  <c r="H71" i="17"/>
  <c r="H51" i="17"/>
  <c r="H41" i="17"/>
  <c r="H31" i="17"/>
  <c r="H147" i="17"/>
  <c r="H138" i="17"/>
  <c r="H130" i="17"/>
  <c r="H122" i="17"/>
  <c r="H97" i="17"/>
  <c r="H88" i="17"/>
  <c r="H80" i="17"/>
  <c r="H72" i="17"/>
  <c r="H50" i="17"/>
  <c r="H40" i="17"/>
  <c r="H139" i="17"/>
  <c r="H131" i="17"/>
  <c r="H89" i="17"/>
  <c r="H81" i="17"/>
  <c r="H49" i="17"/>
  <c r="H39" i="17"/>
  <c r="H137" i="17"/>
  <c r="H128" i="17"/>
  <c r="H120" i="17"/>
  <c r="H112" i="17"/>
  <c r="H21" i="17"/>
  <c r="H22" i="17"/>
  <c r="H23" i="17"/>
  <c r="H54" i="17"/>
  <c r="H77" i="17"/>
  <c r="H110" i="17"/>
  <c r="H132" i="17"/>
  <c r="H141" i="17"/>
  <c r="H151" i="17"/>
  <c r="H161" i="17"/>
  <c r="H12" i="17"/>
  <c r="H24" i="17"/>
  <c r="H25" i="17"/>
  <c r="H26" i="17"/>
  <c r="H53" i="17"/>
  <c r="H61" i="17"/>
  <c r="H69" i="17"/>
  <c r="H91" i="17"/>
  <c r="H102" i="17"/>
  <c r="G1903" i="14"/>
  <c r="H13" i="17"/>
  <c r="H27" i="17"/>
  <c r="H32" i="17"/>
  <c r="H33" i="17"/>
  <c r="H48" i="17"/>
  <c r="H52" i="17"/>
  <c r="H109" i="17"/>
  <c r="H119" i="17"/>
  <c r="H150" i="17"/>
  <c r="H14" i="17"/>
  <c r="H28" i="17"/>
  <c r="H29" i="17"/>
  <c r="H30" i="17"/>
  <c r="H34" i="17"/>
  <c r="H35" i="17"/>
  <c r="H36" i="17"/>
  <c r="H45" i="17"/>
  <c r="H46" i="17"/>
  <c r="H47" i="17"/>
  <c r="H68" i="17"/>
  <c r="H98" i="17"/>
  <c r="H140" i="17"/>
  <c r="H157" i="17"/>
  <c r="H15" i="17"/>
  <c r="H37" i="17"/>
  <c r="H44" i="17"/>
  <c r="H60" i="17"/>
  <c r="H87" i="17"/>
  <c r="H90" i="17"/>
  <c r="H101" i="17"/>
  <c r="H108" i="17"/>
  <c r="H160" i="17"/>
  <c r="H16" i="17"/>
  <c r="H38" i="17"/>
  <c r="H43" i="17"/>
  <c r="H59" i="17"/>
  <c r="H82" i="17"/>
  <c r="H118" i="17"/>
  <c r="H149" i="17"/>
  <c r="T362" i="3" l="1"/>
  <c r="AF362" i="3"/>
  <c r="AB362" i="3"/>
  <c r="AD362" i="3" s="1"/>
  <c r="AE362" i="3" s="1"/>
  <c r="AZ372" i="1"/>
  <c r="BF372" i="1" s="1"/>
  <c r="BG372" i="1" s="1"/>
  <c r="AF319" i="3"/>
  <c r="AB319" i="3"/>
  <c r="AD319" i="3" s="1"/>
  <c r="AE319" i="3" s="1"/>
  <c r="T319" i="3"/>
  <c r="AZ329" i="1"/>
  <c r="BF329" i="1" s="1"/>
  <c r="BG329" i="1" s="1"/>
  <c r="T280" i="3"/>
  <c r="AB280" i="3"/>
  <c r="AD280" i="3" s="1"/>
  <c r="AE280" i="3" s="1"/>
  <c r="AF280" i="3"/>
  <c r="AZ290" i="1"/>
  <c r="BF290" i="1" s="1"/>
  <c r="BG290" i="1" s="1"/>
  <c r="AF165" i="3"/>
  <c r="AB165" i="3"/>
  <c r="AD165" i="3" s="1"/>
  <c r="AE165" i="3" s="1"/>
  <c r="T165" i="3"/>
  <c r="AZ175" i="1"/>
  <c r="BF175" i="1" s="1"/>
  <c r="BG175" i="1" s="1"/>
  <c r="M124" i="3"/>
  <c r="M88" i="3"/>
  <c r="M120" i="3"/>
  <c r="M84" i="3"/>
  <c r="M46" i="3"/>
  <c r="M16" i="3"/>
  <c r="AF283" i="3"/>
  <c r="T283" i="3"/>
  <c r="AB283" i="3"/>
  <c r="AD283" i="3" s="1"/>
  <c r="AE283" i="3" s="1"/>
  <c r="AZ293" i="1"/>
  <c r="BF293" i="1" s="1"/>
  <c r="BG293" i="1" s="1"/>
  <c r="AF335" i="3"/>
  <c r="AB335" i="3"/>
  <c r="AD335" i="3" s="1"/>
  <c r="AE335" i="3" s="1"/>
  <c r="T335" i="3"/>
  <c r="AZ345" i="1"/>
  <c r="BF345" i="1" s="1"/>
  <c r="BG345" i="1" s="1"/>
  <c r="T186" i="3"/>
  <c r="AB186" i="3"/>
  <c r="AD186" i="3" s="1"/>
  <c r="AE186" i="3" s="1"/>
  <c r="AF186" i="3"/>
  <c r="AZ196" i="1"/>
  <c r="BF196" i="1" s="1"/>
  <c r="BG196" i="1" s="1"/>
  <c r="G26" i="11"/>
  <c r="I26" i="11" s="1"/>
  <c r="J26" i="11" s="1"/>
  <c r="C55" i="17"/>
  <c r="AB79" i="3"/>
  <c r="AD79" i="3" s="1"/>
  <c r="AE79" i="3" s="1"/>
  <c r="AF79" i="3"/>
  <c r="T79" i="3"/>
  <c r="AZ89" i="1"/>
  <c r="BF89" i="1" s="1"/>
  <c r="BG89" i="1" s="1"/>
  <c r="E79" i="8"/>
  <c r="G79" i="8" s="1"/>
  <c r="M290" i="3"/>
  <c r="M295" i="3"/>
  <c r="M110" i="3"/>
  <c r="M74" i="3"/>
  <c r="M53" i="3"/>
  <c r="M23" i="3"/>
  <c r="M48" i="3"/>
  <c r="M18" i="3"/>
  <c r="M13" i="3"/>
  <c r="M43" i="3"/>
  <c r="C127" i="17"/>
  <c r="T257" i="3"/>
  <c r="AB257" i="3"/>
  <c r="AD257" i="3" s="1"/>
  <c r="AE257" i="3" s="1"/>
  <c r="AF257" i="3"/>
  <c r="AZ267" i="1"/>
  <c r="BF267" i="1" s="1"/>
  <c r="BG267" i="1" s="1"/>
  <c r="T401" i="3"/>
  <c r="AB401" i="3"/>
  <c r="AD401" i="3" s="1"/>
  <c r="AE401" i="3" s="1"/>
  <c r="AF401" i="3"/>
  <c r="AZ411" i="1"/>
  <c r="BF411" i="1" s="1"/>
  <c r="BG411" i="1" s="1"/>
  <c r="T408" i="3"/>
  <c r="AF408" i="3"/>
  <c r="AB408" i="3"/>
  <c r="AD408" i="3" s="1"/>
  <c r="AE408" i="3" s="1"/>
  <c r="AZ418" i="1"/>
  <c r="BF418" i="1" s="1"/>
  <c r="BG418" i="1" s="1"/>
  <c r="T356" i="3"/>
  <c r="AF356" i="3"/>
  <c r="AB356" i="3"/>
  <c r="AD356" i="3" s="1"/>
  <c r="AE356" i="3" s="1"/>
  <c r="AZ366" i="1"/>
  <c r="BF366" i="1" s="1"/>
  <c r="BG366" i="1" s="1"/>
  <c r="T300" i="3"/>
  <c r="AF300" i="3"/>
  <c r="AB300" i="3"/>
  <c r="AD300" i="3" s="1"/>
  <c r="AE300" i="3" s="1"/>
  <c r="AZ310" i="1"/>
  <c r="BF310" i="1" s="1"/>
  <c r="BG310" i="1" s="1"/>
  <c r="AF345" i="3"/>
  <c r="AB345" i="3"/>
  <c r="AD345" i="3" s="1"/>
  <c r="AE345" i="3" s="1"/>
  <c r="T345" i="3"/>
  <c r="AZ355" i="1"/>
  <c r="BF355" i="1" s="1"/>
  <c r="BG355" i="1" s="1"/>
  <c r="T245" i="3"/>
  <c r="AB245" i="3"/>
  <c r="AD245" i="3" s="1"/>
  <c r="AE245" i="3" s="1"/>
  <c r="AF245" i="3"/>
  <c r="AZ255" i="1"/>
  <c r="BF255" i="1" s="1"/>
  <c r="BG255" i="1" s="1"/>
  <c r="C54" i="17"/>
  <c r="AF78" i="3"/>
  <c r="T78" i="3"/>
  <c r="AB78" i="3"/>
  <c r="AD78" i="3" s="1"/>
  <c r="AE78" i="3" s="1"/>
  <c r="AZ88" i="1"/>
  <c r="BF88" i="1" s="1"/>
  <c r="BG88" i="1" s="1"/>
  <c r="M82" i="3"/>
  <c r="M118" i="3"/>
  <c r="T391" i="3"/>
  <c r="AB391" i="3"/>
  <c r="AD391" i="3" s="1"/>
  <c r="AE391" i="3" s="1"/>
  <c r="AF391" i="3"/>
  <c r="AZ401" i="1"/>
  <c r="BF401" i="1" s="1"/>
  <c r="BG401" i="1" s="1"/>
  <c r="T412" i="3"/>
  <c r="AF412" i="3"/>
  <c r="AB412" i="3"/>
  <c r="AD412" i="3" s="1"/>
  <c r="AE412" i="3" s="1"/>
  <c r="AZ422" i="1"/>
  <c r="BF422" i="1" s="1"/>
  <c r="BG422" i="1" s="1"/>
  <c r="C131" i="17"/>
  <c r="AF270" i="3"/>
  <c r="T270" i="3"/>
  <c r="AB270" i="3"/>
  <c r="AD270" i="3" s="1"/>
  <c r="AE270" i="3" s="1"/>
  <c r="AZ280" i="1"/>
  <c r="BF280" i="1" s="1"/>
  <c r="BG280" i="1" s="1"/>
  <c r="C137" i="17"/>
  <c r="T276" i="3"/>
  <c r="AF276" i="3"/>
  <c r="AB276" i="3"/>
  <c r="AD276" i="3" s="1"/>
  <c r="AE276" i="3" s="1"/>
  <c r="AZ286" i="1"/>
  <c r="BF286" i="1" s="1"/>
  <c r="BG286" i="1" s="1"/>
  <c r="T416" i="3"/>
  <c r="AF416" i="3"/>
  <c r="AB416" i="3"/>
  <c r="AD416" i="3" s="1"/>
  <c r="AE416" i="3" s="1"/>
  <c r="AZ426" i="1"/>
  <c r="BF426" i="1" s="1"/>
  <c r="BG426" i="1" s="1"/>
  <c r="AF282" i="3"/>
  <c r="T282" i="3"/>
  <c r="AB282" i="3"/>
  <c r="AD282" i="3" s="1"/>
  <c r="AE282" i="3" s="1"/>
  <c r="AZ292" i="1"/>
  <c r="BF292" i="1" s="1"/>
  <c r="BG292" i="1" s="1"/>
  <c r="T398" i="3"/>
  <c r="AF398" i="3"/>
  <c r="AB398" i="3"/>
  <c r="AD398" i="3" s="1"/>
  <c r="AE398" i="3" s="1"/>
  <c r="AZ408" i="1"/>
  <c r="BF408" i="1" s="1"/>
  <c r="BG408" i="1" s="1"/>
  <c r="T231" i="3"/>
  <c r="AB231" i="3"/>
  <c r="AD231" i="3" s="1"/>
  <c r="AE231" i="3" s="1"/>
  <c r="AF231" i="3"/>
  <c r="AZ241" i="1"/>
  <c r="BF241" i="1" s="1"/>
  <c r="BG241" i="1" s="1"/>
  <c r="AF325" i="3"/>
  <c r="AB325" i="3"/>
  <c r="AD325" i="3" s="1"/>
  <c r="AE325" i="3" s="1"/>
  <c r="T325" i="3"/>
  <c r="AZ335" i="1"/>
  <c r="BF335" i="1" s="1"/>
  <c r="BG335" i="1" s="1"/>
  <c r="T173" i="3"/>
  <c r="AB173" i="3"/>
  <c r="AD173" i="3" s="1"/>
  <c r="AE173" i="3" s="1"/>
  <c r="AF173" i="3"/>
  <c r="AZ183" i="1"/>
  <c r="BF183" i="1" s="1"/>
  <c r="BG183" i="1" s="1"/>
  <c r="M139" i="3"/>
  <c r="M20" i="3"/>
  <c r="M50" i="3"/>
  <c r="M25" i="3"/>
  <c r="M55" i="3"/>
  <c r="T411" i="3"/>
  <c r="AF411" i="3"/>
  <c r="AB411" i="3"/>
  <c r="AD411" i="3" s="1"/>
  <c r="AE411" i="3" s="1"/>
  <c r="AZ421" i="1"/>
  <c r="BF421" i="1" s="1"/>
  <c r="BG421" i="1" s="1"/>
  <c r="AF374" i="3"/>
  <c r="T374" i="3"/>
  <c r="AB374" i="3"/>
  <c r="AD374" i="3" s="1"/>
  <c r="AE374" i="3" s="1"/>
  <c r="AZ384" i="1"/>
  <c r="BF384" i="1" s="1"/>
  <c r="BG384" i="1" s="1"/>
  <c r="AF315" i="3"/>
  <c r="AB315" i="3"/>
  <c r="AD315" i="3" s="1"/>
  <c r="AE315" i="3" s="1"/>
  <c r="T315" i="3"/>
  <c r="AZ325" i="1"/>
  <c r="BF325" i="1" s="1"/>
  <c r="BG325" i="1" s="1"/>
  <c r="AF263" i="3"/>
  <c r="T263" i="3"/>
  <c r="AB263" i="3"/>
  <c r="AD263" i="3" s="1"/>
  <c r="AE263" i="3" s="1"/>
  <c r="AZ273" i="1"/>
  <c r="BF273" i="1" s="1"/>
  <c r="BG273" i="1" s="1"/>
  <c r="C130" i="17"/>
  <c r="AB269" i="3"/>
  <c r="AD269" i="3" s="1"/>
  <c r="AE269" i="3" s="1"/>
  <c r="AF269" i="3"/>
  <c r="T269" i="3"/>
  <c r="F85" i="4" s="1"/>
  <c r="K85" i="4" s="1"/>
  <c r="L85" i="4" s="1"/>
  <c r="N85" i="4" s="1"/>
  <c r="AZ279" i="1"/>
  <c r="BF279" i="1" s="1"/>
  <c r="BG279" i="1" s="1"/>
  <c r="T222" i="3"/>
  <c r="AB222" i="3"/>
  <c r="AD222" i="3" s="1"/>
  <c r="AE222" i="3" s="1"/>
  <c r="AF222" i="3"/>
  <c r="AZ232" i="1"/>
  <c r="BF232" i="1" s="1"/>
  <c r="BG232" i="1" s="1"/>
  <c r="AF332" i="3"/>
  <c r="AB332" i="3"/>
  <c r="AD332" i="3" s="1"/>
  <c r="AE332" i="3" s="1"/>
  <c r="T332" i="3"/>
  <c r="AZ342" i="1"/>
  <c r="BF342" i="1" s="1"/>
  <c r="BG342" i="1" s="1"/>
  <c r="C133" i="17"/>
  <c r="AB272" i="3"/>
  <c r="AD272" i="3" s="1"/>
  <c r="AE272" i="3" s="1"/>
  <c r="T272" i="3"/>
  <c r="F78" i="4" s="1"/>
  <c r="K78" i="4" s="1"/>
  <c r="L78" i="4" s="1"/>
  <c r="N78" i="4" s="1"/>
  <c r="AF272" i="3"/>
  <c r="AZ282" i="1"/>
  <c r="BF282" i="1" s="1"/>
  <c r="BG282" i="1" s="1"/>
  <c r="T320" i="3"/>
  <c r="AF320" i="3"/>
  <c r="AB320" i="3"/>
  <c r="AD320" i="3" s="1"/>
  <c r="AE320" i="3" s="1"/>
  <c r="AZ330" i="1"/>
  <c r="BF330" i="1" s="1"/>
  <c r="BG330" i="1" s="1"/>
  <c r="T235" i="3"/>
  <c r="AB235" i="3"/>
  <c r="AD235" i="3" s="1"/>
  <c r="AE235" i="3" s="1"/>
  <c r="AF235" i="3"/>
  <c r="AZ245" i="1"/>
  <c r="BF245" i="1" s="1"/>
  <c r="BG245" i="1" s="1"/>
  <c r="C124" i="17"/>
  <c r="AF254" i="3"/>
  <c r="T254" i="3"/>
  <c r="AB254" i="3"/>
  <c r="AD254" i="3" s="1"/>
  <c r="AE254" i="3" s="1"/>
  <c r="AZ264" i="1"/>
  <c r="BF264" i="1" s="1"/>
  <c r="BG264" i="1" s="1"/>
  <c r="T161" i="3"/>
  <c r="AZ171" i="1"/>
  <c r="BF171" i="1" s="1"/>
  <c r="BG171" i="1" s="1"/>
  <c r="AB161" i="3"/>
  <c r="AD161" i="3" s="1"/>
  <c r="AE161" i="3" s="1"/>
  <c r="AF161" i="3"/>
  <c r="E77" i="8"/>
  <c r="G77" i="8" s="1"/>
  <c r="L827" i="6" s="1"/>
  <c r="M827" i="6" s="1"/>
  <c r="N827" i="6" s="1"/>
  <c r="T407" i="3"/>
  <c r="AF407" i="3"/>
  <c r="AB407" i="3"/>
  <c r="AD407" i="3" s="1"/>
  <c r="AE407" i="3" s="1"/>
  <c r="AZ417" i="1"/>
  <c r="BF417" i="1" s="1"/>
  <c r="BG417" i="1" s="1"/>
  <c r="C97" i="17"/>
  <c r="T121" i="3"/>
  <c r="AB121" i="3"/>
  <c r="AD121" i="3" s="1"/>
  <c r="AE121" i="3" s="1"/>
  <c r="AF121" i="3"/>
  <c r="AZ131" i="1"/>
  <c r="BF131" i="1" s="1"/>
  <c r="BG131" i="1" s="1"/>
  <c r="AB8" i="3"/>
  <c r="AD8" i="3" s="1"/>
  <c r="AE8" i="3" s="1"/>
  <c r="T8" i="3"/>
  <c r="AF8" i="3"/>
  <c r="AZ18" i="1"/>
  <c r="BF18" i="1" s="1"/>
  <c r="BG18" i="1" s="1"/>
  <c r="N1" i="6"/>
  <c r="M42" i="3"/>
  <c r="M12" i="3"/>
  <c r="T406" i="3"/>
  <c r="AB406" i="3"/>
  <c r="AD406" i="3" s="1"/>
  <c r="AE406" i="3" s="1"/>
  <c r="AF406" i="3"/>
  <c r="AZ416" i="1"/>
  <c r="BF416" i="1" s="1"/>
  <c r="BG416" i="1" s="1"/>
  <c r="AF312" i="3"/>
  <c r="AB312" i="3"/>
  <c r="AD312" i="3" s="1"/>
  <c r="AE312" i="3" s="1"/>
  <c r="T312" i="3"/>
  <c r="AZ322" i="1"/>
  <c r="BF322" i="1" s="1"/>
  <c r="BG322" i="1" s="1"/>
  <c r="T396" i="3"/>
  <c r="AB396" i="3"/>
  <c r="AD396" i="3" s="1"/>
  <c r="AE396" i="3" s="1"/>
  <c r="AF396" i="3"/>
  <c r="AZ406" i="1"/>
  <c r="BF406" i="1" s="1"/>
  <c r="BG406" i="1" s="1"/>
  <c r="AF339" i="3"/>
  <c r="AB339" i="3"/>
  <c r="AD339" i="3" s="1"/>
  <c r="AE339" i="3" s="1"/>
  <c r="T339" i="3"/>
  <c r="AZ349" i="1"/>
  <c r="BF349" i="1" s="1"/>
  <c r="BG349" i="1" s="1"/>
  <c r="T246" i="3"/>
  <c r="AB246" i="3"/>
  <c r="AD246" i="3" s="1"/>
  <c r="AE246" i="3" s="1"/>
  <c r="AF246" i="3"/>
  <c r="AZ256" i="1"/>
  <c r="BF256" i="1" s="1"/>
  <c r="BG256" i="1" s="1"/>
  <c r="C87" i="17"/>
  <c r="AF111" i="3"/>
  <c r="AB111" i="3"/>
  <c r="AD111" i="3" s="1"/>
  <c r="AE111" i="3" s="1"/>
  <c r="T111" i="3"/>
  <c r="F92" i="4" s="1"/>
  <c r="K92" i="4" s="1"/>
  <c r="L92" i="4" s="1"/>
  <c r="N92" i="4" s="1"/>
  <c r="AZ121" i="1"/>
  <c r="BF121" i="1" s="1"/>
  <c r="BG121" i="1" s="1"/>
  <c r="J1589" i="14"/>
  <c r="K1589" i="14" s="1"/>
  <c r="J1628" i="14"/>
  <c r="K1628" i="14" s="1"/>
  <c r="J1537" i="14"/>
  <c r="K1537" i="14" s="1"/>
  <c r="J1472" i="14"/>
  <c r="K1472" i="14" s="1"/>
  <c r="J1407" i="14"/>
  <c r="K1407" i="14" s="1"/>
  <c r="J1563" i="14"/>
  <c r="K1563" i="14" s="1"/>
  <c r="J1498" i="14"/>
  <c r="K1498" i="14" s="1"/>
  <c r="J1550" i="14"/>
  <c r="K1550" i="14" s="1"/>
  <c r="J1511" i="14"/>
  <c r="K1511" i="14" s="1"/>
  <c r="J1420" i="14"/>
  <c r="K1420" i="14" s="1"/>
  <c r="J1485" i="14"/>
  <c r="K1485" i="14" s="1"/>
  <c r="J1576" i="14"/>
  <c r="K1576" i="14" s="1"/>
  <c r="J1602" i="14"/>
  <c r="K1602" i="14" s="1"/>
  <c r="J1446" i="14"/>
  <c r="K1446" i="14" s="1"/>
  <c r="J1615" i="14"/>
  <c r="K1615" i="14" s="1"/>
  <c r="J1524" i="14"/>
  <c r="K1524" i="14" s="1"/>
  <c r="J1093" i="14"/>
  <c r="K1093" i="14" s="1"/>
  <c r="J1028" i="14"/>
  <c r="K1028" i="14" s="1"/>
  <c r="J1459" i="14"/>
  <c r="K1459" i="14" s="1"/>
  <c r="J1433" i="14"/>
  <c r="K1433" i="14" s="1"/>
  <c r="J1002" i="14"/>
  <c r="K1002" i="14" s="1"/>
  <c r="J937" i="14"/>
  <c r="K937" i="14" s="1"/>
  <c r="J1080" i="14"/>
  <c r="K1080" i="14" s="1"/>
  <c r="J976" i="14"/>
  <c r="K976" i="14" s="1"/>
  <c r="J906" i="14"/>
  <c r="K906" i="14" s="1"/>
  <c r="J1106" i="14"/>
  <c r="K1106" i="14" s="1"/>
  <c r="J989" i="14"/>
  <c r="K989" i="14" s="1"/>
  <c r="J950" i="14"/>
  <c r="K950" i="14" s="1"/>
  <c r="J1015" i="14"/>
  <c r="K1015" i="14" s="1"/>
  <c r="J1041" i="14"/>
  <c r="K1041" i="14" s="1"/>
  <c r="J963" i="14"/>
  <c r="K963" i="14" s="1"/>
  <c r="J924" i="14"/>
  <c r="K924" i="14" s="1"/>
  <c r="J872" i="14"/>
  <c r="K872" i="14" s="1"/>
  <c r="J1054" i="14"/>
  <c r="K1054" i="14" s="1"/>
  <c r="J1067" i="14"/>
  <c r="K1067" i="14" s="1"/>
  <c r="J888" i="14"/>
  <c r="K888" i="14" s="1"/>
  <c r="L640" i="6"/>
  <c r="M640" i="6" s="1"/>
  <c r="N640" i="6" s="1"/>
  <c r="L687" i="6"/>
  <c r="M687" i="6" s="1"/>
  <c r="N687" i="6" s="1"/>
  <c r="L719" i="6"/>
  <c r="M719" i="6" s="1"/>
  <c r="N719" i="6" s="1"/>
  <c r="M142" i="3" s="1"/>
  <c r="L606" i="6"/>
  <c r="M606" i="6" s="1"/>
  <c r="N606" i="6" s="1"/>
  <c r="M135" i="3" s="1"/>
  <c r="L489" i="6"/>
  <c r="M489" i="6" s="1"/>
  <c r="N489" i="6" s="1"/>
  <c r="L703" i="6"/>
  <c r="M703" i="6" s="1"/>
  <c r="N703" i="6" s="1"/>
  <c r="L589" i="6"/>
  <c r="M589" i="6" s="1"/>
  <c r="N589" i="6" s="1"/>
  <c r="M98" i="3" s="1"/>
  <c r="L672" i="6"/>
  <c r="M672" i="6" s="1"/>
  <c r="N672" i="6" s="1"/>
  <c r="M103" i="3" s="1"/>
  <c r="L656" i="6"/>
  <c r="M656" i="6" s="1"/>
  <c r="N656" i="6" s="1"/>
  <c r="L571" i="6"/>
  <c r="M571" i="6" s="1"/>
  <c r="N571" i="6" s="1"/>
  <c r="L735" i="6"/>
  <c r="M735" i="6" s="1"/>
  <c r="N735" i="6" s="1"/>
  <c r="M143" i="3" s="1"/>
  <c r="L506" i="6"/>
  <c r="M506" i="6" s="1"/>
  <c r="N506" i="6" s="1"/>
  <c r="L540" i="6"/>
  <c r="M540" i="6" s="1"/>
  <c r="N540" i="6" s="1"/>
  <c r="L623" i="6"/>
  <c r="M623" i="6" s="1"/>
  <c r="N623" i="6" s="1"/>
  <c r="L460" i="6"/>
  <c r="M460" i="6" s="1"/>
  <c r="N460" i="6" s="1"/>
  <c r="M126" i="3" s="1"/>
  <c r="L474" i="6"/>
  <c r="M474" i="6" s="1"/>
  <c r="N474" i="6" s="1"/>
  <c r="L556" i="6"/>
  <c r="M556" i="6" s="1"/>
  <c r="N556" i="6" s="1"/>
  <c r="L523" i="6"/>
  <c r="M523" i="6" s="1"/>
  <c r="N523" i="6" s="1"/>
  <c r="C95" i="17"/>
  <c r="AB119" i="3"/>
  <c r="AD119" i="3" s="1"/>
  <c r="AE119" i="3" s="1"/>
  <c r="T119" i="3"/>
  <c r="AF119" i="3"/>
  <c r="AZ129" i="1"/>
  <c r="BF129" i="1" s="1"/>
  <c r="BG129" i="1" s="1"/>
  <c r="M113" i="3"/>
  <c r="M77" i="3"/>
  <c r="T392" i="3"/>
  <c r="AF392" i="3"/>
  <c r="AB392" i="3"/>
  <c r="AD392" i="3" s="1"/>
  <c r="AE392" i="3" s="1"/>
  <c r="AZ402" i="1"/>
  <c r="BF402" i="1" s="1"/>
  <c r="BG402" i="1" s="1"/>
  <c r="AF302" i="3"/>
  <c r="AB302" i="3"/>
  <c r="AD302" i="3" s="1"/>
  <c r="AE302" i="3" s="1"/>
  <c r="T302" i="3"/>
  <c r="AZ312" i="1"/>
  <c r="BF312" i="1" s="1"/>
  <c r="BG312" i="1" s="1"/>
  <c r="C146" i="17"/>
  <c r="F146" i="17" s="1"/>
  <c r="G146" i="17" s="1"/>
  <c r="T293" i="3"/>
  <c r="F113" i="4" s="1"/>
  <c r="K113" i="4" s="1"/>
  <c r="L113" i="4" s="1"/>
  <c r="N113" i="4" s="1"/>
  <c r="AB293" i="3"/>
  <c r="AD293" i="3" s="1"/>
  <c r="AE293" i="3" s="1"/>
  <c r="AF293" i="3"/>
  <c r="AZ303" i="1"/>
  <c r="BF303" i="1" s="1"/>
  <c r="BG303" i="1" s="1"/>
  <c r="AF177" i="3"/>
  <c r="AZ187" i="1"/>
  <c r="BF187" i="1" s="1"/>
  <c r="BG187" i="1" s="1"/>
  <c r="T177" i="3"/>
  <c r="AB177" i="3"/>
  <c r="AD177" i="3" s="1"/>
  <c r="AE177" i="3" s="1"/>
  <c r="T197" i="3"/>
  <c r="AF197" i="3"/>
  <c r="AZ207" i="1"/>
  <c r="BF207" i="1" s="1"/>
  <c r="BG207" i="1" s="1"/>
  <c r="AB197" i="3"/>
  <c r="AD197" i="3" s="1"/>
  <c r="AE197" i="3" s="1"/>
  <c r="K1180" i="14"/>
  <c r="K701" i="14"/>
  <c r="K1136" i="14"/>
  <c r="K1767" i="14"/>
  <c r="K1904" i="14"/>
  <c r="K739" i="14"/>
  <c r="K1728" i="14"/>
  <c r="K108" i="14"/>
  <c r="K1199" i="14"/>
  <c r="K1457" i="14"/>
  <c r="K887" i="14"/>
  <c r="K1627" i="14"/>
  <c r="K1095" i="14"/>
  <c r="K399" i="14"/>
  <c r="K1873" i="14"/>
  <c r="K1046" i="14"/>
  <c r="K1334" i="14"/>
  <c r="K1238" i="14"/>
  <c r="K1865" i="14"/>
  <c r="K665" i="14"/>
  <c r="K338" i="14"/>
  <c r="K289" i="14"/>
  <c r="K729" i="14"/>
  <c r="K1372" i="14"/>
  <c r="K1724" i="14"/>
  <c r="K648" i="14"/>
  <c r="K1131" i="14"/>
  <c r="K1291" i="14"/>
  <c r="K598" i="14"/>
  <c r="K758" i="14"/>
  <c r="K710" i="14"/>
  <c r="K774" i="14"/>
  <c r="K921" i="14"/>
  <c r="K1482" i="14"/>
  <c r="K537" i="14"/>
  <c r="K764" i="14"/>
  <c r="K780" i="14"/>
  <c r="K636" i="14"/>
  <c r="K554" i="14"/>
  <c r="K884" i="14"/>
  <c r="K1247" i="14"/>
  <c r="K1535" i="14"/>
  <c r="E87" i="8"/>
  <c r="G87" i="8" s="1"/>
  <c r="K97" i="14"/>
  <c r="K829" i="14"/>
  <c r="K458" i="14"/>
  <c r="K949" i="14"/>
  <c r="K1458" i="14"/>
  <c r="K1216" i="14"/>
  <c r="K1614" i="14"/>
  <c r="K1601" i="14"/>
  <c r="K235" i="14"/>
  <c r="K1030" i="14"/>
  <c r="K965" i="14"/>
  <c r="K1461" i="14"/>
  <c r="K1539" i="14"/>
  <c r="K174" i="14"/>
  <c r="K992" i="14"/>
  <c r="K1449" i="14"/>
  <c r="K1854" i="14"/>
  <c r="K21" i="14"/>
  <c r="K811" i="14"/>
  <c r="K1134" i="14"/>
  <c r="K880" i="14"/>
  <c r="K1342" i="14"/>
  <c r="K1905" i="14"/>
  <c r="N852" i="6"/>
  <c r="M11" i="3" s="1"/>
  <c r="K90" i="14"/>
  <c r="K638" i="14"/>
  <c r="K1329" i="14"/>
  <c r="K1153" i="14"/>
  <c r="K172" i="14"/>
  <c r="K348" i="14"/>
  <c r="K892" i="14"/>
  <c r="K1285" i="14"/>
  <c r="K1365" i="14"/>
  <c r="K265" i="14"/>
  <c r="K557" i="14"/>
  <c r="K1063" i="14"/>
  <c r="K1266" i="14"/>
  <c r="K1546" i="14"/>
  <c r="K1481" i="14"/>
  <c r="K1429" i="14"/>
  <c r="K1659" i="14"/>
  <c r="K1683" i="14"/>
  <c r="K451" i="14"/>
  <c r="K580" i="14"/>
  <c r="K788" i="14"/>
  <c r="K1086" i="14"/>
  <c r="K804" i="14"/>
  <c r="K1303" i="14"/>
  <c r="K1465" i="14"/>
  <c r="K470" i="14"/>
  <c r="K618" i="14"/>
  <c r="K778" i="14"/>
  <c r="K1293" i="14"/>
  <c r="K1389" i="14"/>
  <c r="K216" i="14"/>
  <c r="M101" i="3"/>
  <c r="M137" i="3"/>
  <c r="M104" i="3"/>
  <c r="M140" i="3"/>
  <c r="E86" i="8"/>
  <c r="G86" i="8" s="1"/>
  <c r="K839" i="14"/>
  <c r="K1386" i="14"/>
  <c r="K1675" i="14"/>
  <c r="K661" i="14"/>
  <c r="K1100" i="14"/>
  <c r="K1112" i="14"/>
  <c r="K1492" i="14"/>
  <c r="K1368" i="14"/>
  <c r="K1570" i="14"/>
  <c r="K429" i="14"/>
  <c r="M30" i="5"/>
  <c r="N30" i="5"/>
  <c r="N44" i="5"/>
  <c r="M44" i="5"/>
  <c r="AB239" i="3"/>
  <c r="AD239" i="3" s="1"/>
  <c r="AE239" i="3" s="1"/>
  <c r="AF239" i="3"/>
  <c r="T239" i="3"/>
  <c r="AZ249" i="1"/>
  <c r="BF249" i="1" s="1"/>
  <c r="BG249" i="1" s="1"/>
  <c r="AB248" i="3"/>
  <c r="AD248" i="3" s="1"/>
  <c r="AE248" i="3" s="1"/>
  <c r="AF248" i="3"/>
  <c r="T248" i="3"/>
  <c r="AZ258" i="1"/>
  <c r="BF258" i="1" s="1"/>
  <c r="BG258" i="1" s="1"/>
  <c r="F124" i="17"/>
  <c r="G124" i="17" s="1"/>
  <c r="AF214" i="3"/>
  <c r="AB214" i="3"/>
  <c r="AD214" i="3" s="1"/>
  <c r="AE214" i="3" s="1"/>
  <c r="T214" i="3"/>
  <c r="AZ224" i="1"/>
  <c r="BF224" i="1" s="1"/>
  <c r="BG224" i="1" s="1"/>
  <c r="AD258" i="3"/>
  <c r="AE258" i="3" s="1"/>
  <c r="AB179" i="3"/>
  <c r="AD179" i="3" s="1"/>
  <c r="AE179" i="3" s="1"/>
  <c r="AF179" i="3"/>
  <c r="T179" i="3"/>
  <c r="AZ189" i="1"/>
  <c r="BF189" i="1" s="1"/>
  <c r="BG189" i="1" s="1"/>
  <c r="T232" i="3"/>
  <c r="AB232" i="3"/>
  <c r="AD232" i="3" s="1"/>
  <c r="AE232" i="3" s="1"/>
  <c r="AF232" i="3"/>
  <c r="AZ242" i="1"/>
  <c r="BF242" i="1" s="1"/>
  <c r="BG242" i="1" s="1"/>
  <c r="T207" i="3"/>
  <c r="AB207" i="3"/>
  <c r="AD207" i="3" s="1"/>
  <c r="AE207" i="3" s="1"/>
  <c r="AF207" i="3"/>
  <c r="AZ217" i="1"/>
  <c r="BF217" i="1" s="1"/>
  <c r="BG217" i="1" s="1"/>
  <c r="BF309" i="1"/>
  <c r="BG309" i="1" s="1"/>
  <c r="BF272" i="1"/>
  <c r="BG272" i="1" s="1"/>
  <c r="BF434" i="1"/>
  <c r="BG434" i="1" s="1"/>
  <c r="K1417" i="14"/>
  <c r="K1891" i="14"/>
  <c r="K955" i="14"/>
  <c r="K1072" i="14"/>
  <c r="K1254" i="14"/>
  <c r="K1594" i="14"/>
  <c r="K501" i="14"/>
  <c r="K1639" i="14"/>
  <c r="K360" i="14"/>
  <c r="K411" i="14"/>
  <c r="K1147" i="14"/>
  <c r="K1307" i="14"/>
  <c r="K566" i="14"/>
  <c r="K868" i="14"/>
  <c r="K1129" i="14"/>
  <c r="K986" i="14"/>
  <c r="K1670" i="14"/>
  <c r="K948" i="14"/>
  <c r="K1263" i="14"/>
  <c r="K1039" i="14"/>
  <c r="K1899" i="14"/>
  <c r="K129" i="14"/>
  <c r="K293" i="14"/>
  <c r="K490" i="14"/>
  <c r="K1053" i="14"/>
  <c r="K1232" i="14"/>
  <c r="K817" i="14"/>
  <c r="K657" i="14"/>
  <c r="K1188" i="14"/>
  <c r="K939" i="14"/>
  <c r="K1017" i="14"/>
  <c r="K1853" i="14"/>
  <c r="K1885" i="14"/>
  <c r="K1501" i="14"/>
  <c r="K536" i="14"/>
  <c r="K635" i="14"/>
  <c r="K571" i="14"/>
  <c r="K1441" i="14"/>
  <c r="K1506" i="14"/>
  <c r="K1828" i="14"/>
  <c r="K63" i="14"/>
  <c r="K188" i="14"/>
  <c r="K770" i="14"/>
  <c r="K1333" i="14"/>
  <c r="K345" i="14"/>
  <c r="K1572" i="14"/>
  <c r="K1649" i="14"/>
  <c r="E81" i="8"/>
  <c r="G81" i="8" s="1"/>
  <c r="K320" i="14"/>
  <c r="K1159" i="14"/>
  <c r="K1491" i="14"/>
  <c r="K1770" i="14"/>
  <c r="K634" i="14"/>
  <c r="K1277" i="14"/>
  <c r="K281" i="14"/>
  <c r="K775" i="14"/>
  <c r="K1706" i="14"/>
  <c r="K1709" i="14"/>
  <c r="K271" i="14"/>
  <c r="K321" i="14"/>
  <c r="K420" i="14"/>
  <c r="K1048" i="14"/>
  <c r="K1256" i="14"/>
  <c r="K879" i="14"/>
  <c r="K1384" i="14"/>
  <c r="K1609" i="14"/>
  <c r="K1703" i="14"/>
  <c r="M141" i="3"/>
  <c r="M105" i="3"/>
  <c r="M92" i="3"/>
  <c r="M128" i="3"/>
  <c r="T410" i="3"/>
  <c r="AF410" i="3"/>
  <c r="AB410" i="3"/>
  <c r="AD410" i="3" s="1"/>
  <c r="AE410" i="3" s="1"/>
  <c r="AZ420" i="1"/>
  <c r="BF420" i="1" s="1"/>
  <c r="BG420" i="1" s="1"/>
  <c r="T351" i="3"/>
  <c r="AB351" i="3"/>
  <c r="AD351" i="3" s="1"/>
  <c r="AE351" i="3" s="1"/>
  <c r="AF351" i="3"/>
  <c r="AZ361" i="1"/>
  <c r="BF361" i="1" s="1"/>
  <c r="BG361" i="1" s="1"/>
  <c r="T386" i="3"/>
  <c r="AB386" i="3"/>
  <c r="AD386" i="3" s="1"/>
  <c r="AE386" i="3" s="1"/>
  <c r="AF386" i="3"/>
  <c r="AZ396" i="1"/>
  <c r="BF396" i="1" s="1"/>
  <c r="BG396" i="1" s="1"/>
  <c r="AF415" i="3"/>
  <c r="T415" i="3"/>
  <c r="AB415" i="3"/>
  <c r="AD415" i="3" s="1"/>
  <c r="AE415" i="3" s="1"/>
  <c r="AZ425" i="1"/>
  <c r="BF425" i="1" s="1"/>
  <c r="BG425" i="1" s="1"/>
  <c r="T369" i="3"/>
  <c r="AB369" i="3"/>
  <c r="AD369" i="3" s="1"/>
  <c r="AE369" i="3" s="1"/>
  <c r="AF369" i="3"/>
  <c r="AZ379" i="1"/>
  <c r="BF379" i="1" s="1"/>
  <c r="BG379" i="1" s="1"/>
  <c r="T330" i="3"/>
  <c r="AF330" i="3"/>
  <c r="AB330" i="3"/>
  <c r="AD330" i="3" s="1"/>
  <c r="AE330" i="3" s="1"/>
  <c r="AZ340" i="1"/>
  <c r="BF340" i="1" s="1"/>
  <c r="BG340" i="1" s="1"/>
  <c r="AB298" i="3"/>
  <c r="AD298" i="3" s="1"/>
  <c r="AE298" i="3" s="1"/>
  <c r="T298" i="3"/>
  <c r="AF298" i="3"/>
  <c r="AZ308" i="1"/>
  <c r="BF308" i="1" s="1"/>
  <c r="BG308" i="1" s="1"/>
  <c r="G127" i="17"/>
  <c r="F127" i="17"/>
  <c r="F128" i="17"/>
  <c r="G128" i="17"/>
  <c r="AD288" i="3"/>
  <c r="AE288" i="3" s="1"/>
  <c r="AB174" i="3"/>
  <c r="AD174" i="3" s="1"/>
  <c r="AE174" i="3" s="1"/>
  <c r="AF174" i="3"/>
  <c r="T174" i="3"/>
  <c r="AZ184" i="1"/>
  <c r="BF184" i="1" s="1"/>
  <c r="BG184" i="1" s="1"/>
  <c r="T221" i="3"/>
  <c r="AF221" i="3"/>
  <c r="AB221" i="3"/>
  <c r="AD221" i="3" s="1"/>
  <c r="AE221" i="3" s="1"/>
  <c r="AZ231" i="1"/>
  <c r="BF231" i="1" s="1"/>
  <c r="BG231" i="1" s="1"/>
  <c r="AB199" i="3"/>
  <c r="AD199" i="3" s="1"/>
  <c r="AE199" i="3" s="1"/>
  <c r="T199" i="3"/>
  <c r="AF199" i="3"/>
  <c r="AZ209" i="1"/>
  <c r="BF209" i="1" s="1"/>
  <c r="BG209" i="1" s="1"/>
  <c r="T168" i="3"/>
  <c r="AF168" i="3"/>
  <c r="AB168" i="3"/>
  <c r="AD168" i="3" s="1"/>
  <c r="AE168" i="3" s="1"/>
  <c r="AZ178" i="1"/>
  <c r="BF178" i="1" s="1"/>
  <c r="BG178" i="1" s="1"/>
  <c r="AF224" i="3"/>
  <c r="T224" i="3"/>
  <c r="AB224" i="3"/>
  <c r="AD224" i="3" s="1"/>
  <c r="AE224" i="3" s="1"/>
  <c r="AZ234" i="1"/>
  <c r="BF234" i="1" s="1"/>
  <c r="BG234" i="1" s="1"/>
  <c r="AF160" i="3"/>
  <c r="AB160" i="3"/>
  <c r="AD160" i="3" s="1"/>
  <c r="AE160" i="3" s="1"/>
  <c r="T160" i="3"/>
  <c r="AZ170" i="1"/>
  <c r="BF170" i="1" s="1"/>
  <c r="BG170" i="1" s="1"/>
  <c r="K17" i="1"/>
  <c r="K26" i="1"/>
  <c r="J59" i="17"/>
  <c r="K59" i="17" s="1"/>
  <c r="I59" i="17"/>
  <c r="Q115" i="3"/>
  <c r="T32" i="3"/>
  <c r="AF32" i="3"/>
  <c r="AB32" i="3"/>
  <c r="AD32" i="3" s="1"/>
  <c r="AE32" i="3" s="1"/>
  <c r="AZ42" i="1"/>
  <c r="BF42" i="1" s="1"/>
  <c r="BG42" i="1" s="1"/>
  <c r="BF291" i="1"/>
  <c r="BG291" i="1" s="1"/>
  <c r="K1894" i="14"/>
  <c r="K1462" i="14"/>
  <c r="K1345" i="14"/>
  <c r="K722" i="14"/>
  <c r="K262" i="14"/>
  <c r="K591" i="14"/>
  <c r="K751" i="14"/>
  <c r="K1442" i="14"/>
  <c r="K1559" i="14"/>
  <c r="K628" i="14"/>
  <c r="K1008" i="14"/>
  <c r="K1478" i="14"/>
  <c r="K1719" i="14"/>
  <c r="K535" i="14"/>
  <c r="K650" i="14"/>
  <c r="K1863" i="14"/>
  <c r="M94" i="3"/>
  <c r="M130" i="3"/>
  <c r="K1210" i="14"/>
  <c r="K1354" i="14"/>
  <c r="K287" i="14"/>
  <c r="K1144" i="14"/>
  <c r="K895" i="14"/>
  <c r="K1466" i="14"/>
  <c r="K1583" i="14"/>
  <c r="M24" i="5"/>
  <c r="N24" i="5"/>
  <c r="M45" i="3"/>
  <c r="M15" i="3"/>
  <c r="M26" i="3"/>
  <c r="M56" i="3"/>
  <c r="M25" i="5"/>
  <c r="N25" i="5"/>
  <c r="M287" i="3"/>
  <c r="M292" i="3"/>
  <c r="N39" i="5"/>
  <c r="M39" i="5"/>
  <c r="M72" i="3"/>
  <c r="M108" i="3"/>
  <c r="M47" i="3"/>
  <c r="M17" i="3"/>
  <c r="AF404" i="3"/>
  <c r="AB404" i="3"/>
  <c r="AD404" i="3" s="1"/>
  <c r="AE404" i="3" s="1"/>
  <c r="T404" i="3"/>
  <c r="AZ414" i="1"/>
  <c r="BF414" i="1" s="1"/>
  <c r="BG414" i="1" s="1"/>
  <c r="T350" i="3"/>
  <c r="AB350" i="3"/>
  <c r="AD350" i="3" s="1"/>
  <c r="AE350" i="3" s="1"/>
  <c r="AF350" i="3"/>
  <c r="AZ360" i="1"/>
  <c r="BF360" i="1" s="1"/>
  <c r="BG360" i="1" s="1"/>
  <c r="T402" i="3"/>
  <c r="AF402" i="3"/>
  <c r="AB402" i="3"/>
  <c r="AD402" i="3" s="1"/>
  <c r="AE402" i="3" s="1"/>
  <c r="AZ412" i="1"/>
  <c r="BF412" i="1" s="1"/>
  <c r="BG412" i="1" s="1"/>
  <c r="Q279" i="3"/>
  <c r="T367" i="3"/>
  <c r="AF367" i="3"/>
  <c r="AB367" i="3"/>
  <c r="AD367" i="3" s="1"/>
  <c r="AE367" i="3" s="1"/>
  <c r="AZ377" i="1"/>
  <c r="BF377" i="1" s="1"/>
  <c r="BG377" i="1" s="1"/>
  <c r="AB353" i="3"/>
  <c r="AD353" i="3" s="1"/>
  <c r="AE353" i="3" s="1"/>
  <c r="AF353" i="3"/>
  <c r="T353" i="3"/>
  <c r="AZ363" i="1"/>
  <c r="BF363" i="1" s="1"/>
  <c r="BG363" i="1" s="1"/>
  <c r="T218" i="3"/>
  <c r="AB218" i="3"/>
  <c r="AD218" i="3" s="1"/>
  <c r="AE218" i="3" s="1"/>
  <c r="AF218" i="3"/>
  <c r="AZ228" i="1"/>
  <c r="BF228" i="1" s="1"/>
  <c r="BG228" i="1" s="1"/>
  <c r="AF322" i="3"/>
  <c r="AB322" i="3"/>
  <c r="AD322" i="3" s="1"/>
  <c r="AE322" i="3" s="1"/>
  <c r="T322" i="3"/>
  <c r="AZ332" i="1"/>
  <c r="BF332" i="1" s="1"/>
  <c r="BG332" i="1" s="1"/>
  <c r="AF309" i="3"/>
  <c r="AB309" i="3"/>
  <c r="AD309" i="3" s="1"/>
  <c r="AE309" i="3" s="1"/>
  <c r="T309" i="3"/>
  <c r="AZ319" i="1"/>
  <c r="BF319" i="1" s="1"/>
  <c r="BG319" i="1" s="1"/>
  <c r="G134" i="17"/>
  <c r="F134" i="17"/>
  <c r="F137" i="17"/>
  <c r="G137" i="17" s="1"/>
  <c r="F138" i="17"/>
  <c r="G138" i="17" s="1"/>
  <c r="AF204" i="3"/>
  <c r="AB204" i="3"/>
  <c r="AD204" i="3" s="1"/>
  <c r="AE204" i="3" s="1"/>
  <c r="T204" i="3"/>
  <c r="AZ214" i="1"/>
  <c r="BF214" i="1" s="1"/>
  <c r="BG214" i="1" s="1"/>
  <c r="J141" i="17"/>
  <c r="K141" i="17" s="1"/>
  <c r="I141" i="17"/>
  <c r="J122" i="17"/>
  <c r="K122" i="17" s="1"/>
  <c r="I122" i="17"/>
  <c r="AB209" i="3"/>
  <c r="AD209" i="3" s="1"/>
  <c r="AE209" i="3" s="1"/>
  <c r="AF209" i="3"/>
  <c r="T209" i="3"/>
  <c r="AZ219" i="1"/>
  <c r="BF219" i="1" s="1"/>
  <c r="BG219" i="1" s="1"/>
  <c r="AF163" i="3"/>
  <c r="AB163" i="3"/>
  <c r="AD163" i="3" s="1"/>
  <c r="AE163" i="3" s="1"/>
  <c r="T163" i="3"/>
  <c r="AZ173" i="1"/>
  <c r="BF173" i="1" s="1"/>
  <c r="BG173" i="1" s="1"/>
  <c r="AB167" i="3"/>
  <c r="AD167" i="3" s="1"/>
  <c r="AE167" i="3" s="1"/>
  <c r="AF167" i="3"/>
  <c r="AZ177" i="1"/>
  <c r="BF177" i="1" s="1"/>
  <c r="BG177" i="1" s="1"/>
  <c r="T167" i="3"/>
  <c r="T212" i="3"/>
  <c r="AB212" i="3"/>
  <c r="AD212" i="3" s="1"/>
  <c r="AE212" i="3" s="1"/>
  <c r="AF212" i="3"/>
  <c r="AZ222" i="1"/>
  <c r="BF222" i="1" s="1"/>
  <c r="BG222" i="1" s="1"/>
  <c r="T154" i="3"/>
  <c r="AB154" i="3"/>
  <c r="AD154" i="3" s="1"/>
  <c r="AE154" i="3" s="1"/>
  <c r="AF154" i="3"/>
  <c r="AZ164" i="1"/>
  <c r="BF164" i="1" s="1"/>
  <c r="BG164" i="1" s="1"/>
  <c r="K66" i="1"/>
  <c r="T147" i="3"/>
  <c r="AB147" i="3"/>
  <c r="AD147" i="3" s="1"/>
  <c r="AE147" i="3" s="1"/>
  <c r="AF147" i="3"/>
  <c r="AZ157" i="1"/>
  <c r="BF157" i="1" s="1"/>
  <c r="BG157" i="1" s="1"/>
  <c r="AF155" i="3"/>
  <c r="AB155" i="3"/>
  <c r="AD155" i="3" s="1"/>
  <c r="AE155" i="3" s="1"/>
  <c r="T155" i="3"/>
  <c r="AZ165" i="1"/>
  <c r="BF165" i="1" s="1"/>
  <c r="BG165" i="1" s="1"/>
  <c r="AB63" i="3"/>
  <c r="AD63" i="3" s="1"/>
  <c r="AE63" i="3" s="1"/>
  <c r="T63" i="3"/>
  <c r="AF63" i="3"/>
  <c r="AZ73" i="1"/>
  <c r="BF73" i="1" s="1"/>
  <c r="BG73" i="1" s="1"/>
  <c r="BF327" i="1"/>
  <c r="BG327" i="1" s="1"/>
  <c r="K749" i="14"/>
  <c r="K1264" i="14"/>
  <c r="K1523" i="14"/>
  <c r="K263" i="14"/>
  <c r="K1057" i="14"/>
  <c r="K603" i="14"/>
  <c r="K1010" i="14"/>
  <c r="K1062" i="14"/>
  <c r="J21" i="11"/>
  <c r="K702" i="14"/>
  <c r="K1411" i="14"/>
  <c r="K1541" i="14"/>
  <c r="K392" i="14"/>
  <c r="K607" i="14"/>
  <c r="K767" i="14"/>
  <c r="K1624" i="14"/>
  <c r="E82" i="8"/>
  <c r="G82" i="8" s="1"/>
  <c r="K466" i="14"/>
  <c r="K1287" i="14"/>
  <c r="K1239" i="14"/>
  <c r="K791" i="14"/>
  <c r="K743" i="14"/>
  <c r="K1226" i="14"/>
  <c r="K1862" i="14"/>
  <c r="K1240" i="14"/>
  <c r="K900" i="14"/>
  <c r="M294" i="3"/>
  <c r="M289" i="3"/>
  <c r="M96" i="3"/>
  <c r="M132" i="3"/>
  <c r="M81" i="3"/>
  <c r="M117" i="3"/>
  <c r="M42" i="5"/>
  <c r="N42" i="5"/>
  <c r="AF409" i="3"/>
  <c r="AB409" i="3"/>
  <c r="AD409" i="3" s="1"/>
  <c r="AE409" i="3" s="1"/>
  <c r="T409" i="3"/>
  <c r="AZ419" i="1"/>
  <c r="BF419" i="1" s="1"/>
  <c r="BG419" i="1" s="1"/>
  <c r="T400" i="3"/>
  <c r="AF400" i="3"/>
  <c r="AB400" i="3"/>
  <c r="AD400" i="3" s="1"/>
  <c r="AE400" i="3" s="1"/>
  <c r="AZ410" i="1"/>
  <c r="BF410" i="1" s="1"/>
  <c r="BG410" i="1" s="1"/>
  <c r="AF403" i="3"/>
  <c r="AB403" i="3"/>
  <c r="AD403" i="3" s="1"/>
  <c r="AE403" i="3" s="1"/>
  <c r="T403" i="3"/>
  <c r="AZ413" i="1"/>
  <c r="BF413" i="1" s="1"/>
  <c r="BG413" i="1" s="1"/>
  <c r="AF244" i="3"/>
  <c r="T244" i="3"/>
  <c r="AB244" i="3"/>
  <c r="AD244" i="3" s="1"/>
  <c r="AE244" i="3" s="1"/>
  <c r="AZ254" i="1"/>
  <c r="BF254" i="1" s="1"/>
  <c r="BG254" i="1" s="1"/>
  <c r="T387" i="3"/>
  <c r="AF387" i="3"/>
  <c r="AB387" i="3"/>
  <c r="AD387" i="3" s="1"/>
  <c r="AE387" i="3" s="1"/>
  <c r="AZ397" i="1"/>
  <c r="BF397" i="1" s="1"/>
  <c r="BG397" i="1" s="1"/>
  <c r="AB307" i="3"/>
  <c r="AD307" i="3" s="1"/>
  <c r="AE307" i="3" s="1"/>
  <c r="T307" i="3"/>
  <c r="AF307" i="3"/>
  <c r="AZ317" i="1"/>
  <c r="BF317" i="1" s="1"/>
  <c r="BG317" i="1" s="1"/>
  <c r="T361" i="3"/>
  <c r="AF361" i="3"/>
  <c r="AB361" i="3"/>
  <c r="AD361" i="3" s="1"/>
  <c r="AE361" i="3" s="1"/>
  <c r="AZ371" i="1"/>
  <c r="BF371" i="1" s="1"/>
  <c r="BG371" i="1" s="1"/>
  <c r="T301" i="3"/>
  <c r="AB301" i="3"/>
  <c r="AD301" i="3" s="1"/>
  <c r="AE301" i="3" s="1"/>
  <c r="AF301" i="3"/>
  <c r="AZ311" i="1"/>
  <c r="BF311" i="1" s="1"/>
  <c r="BG311" i="1" s="1"/>
  <c r="T310" i="3"/>
  <c r="AF310" i="3"/>
  <c r="AB310" i="3"/>
  <c r="AD310" i="3" s="1"/>
  <c r="AE310" i="3" s="1"/>
  <c r="AZ320" i="1"/>
  <c r="BF320" i="1" s="1"/>
  <c r="BG320" i="1" s="1"/>
  <c r="G131" i="17"/>
  <c r="F131" i="17"/>
  <c r="F133" i="17"/>
  <c r="G133" i="17" s="1"/>
  <c r="F130" i="17"/>
  <c r="G130" i="17" s="1"/>
  <c r="AF150" i="3"/>
  <c r="AB150" i="3"/>
  <c r="AD150" i="3" s="1"/>
  <c r="AE150" i="3" s="1"/>
  <c r="AZ160" i="1"/>
  <c r="BF160" i="1" s="1"/>
  <c r="BG160" i="1" s="1"/>
  <c r="T150" i="3"/>
  <c r="AF200" i="3"/>
  <c r="AB200" i="3"/>
  <c r="AD200" i="3" s="1"/>
  <c r="AE200" i="3" s="1"/>
  <c r="T200" i="3"/>
  <c r="AZ210" i="1"/>
  <c r="BF210" i="1" s="1"/>
  <c r="BG210" i="1" s="1"/>
  <c r="I128" i="17"/>
  <c r="J128" i="17"/>
  <c r="K128" i="17" s="1"/>
  <c r="AB70" i="3"/>
  <c r="AD70" i="3" s="1"/>
  <c r="AE70" i="3" s="1"/>
  <c r="AF70" i="3"/>
  <c r="T70" i="3"/>
  <c r="AZ80" i="1"/>
  <c r="BF80" i="1" s="1"/>
  <c r="BG80" i="1" s="1"/>
  <c r="T151" i="3"/>
  <c r="AF151" i="3"/>
  <c r="AB151" i="3"/>
  <c r="AD151" i="3" s="1"/>
  <c r="AE151" i="3" s="1"/>
  <c r="AZ161" i="1"/>
  <c r="BF161" i="1" s="1"/>
  <c r="BG161" i="1" s="1"/>
  <c r="T69" i="3"/>
  <c r="AF69" i="3"/>
  <c r="AB69" i="3"/>
  <c r="AD69" i="3" s="1"/>
  <c r="AE69" i="3" s="1"/>
  <c r="AZ79" i="1"/>
  <c r="BF79" i="1" s="1"/>
  <c r="BG79" i="1" s="1"/>
  <c r="K135" i="1"/>
  <c r="T61" i="3"/>
  <c r="AF61" i="3"/>
  <c r="AB61" i="3"/>
  <c r="AD61" i="3" s="1"/>
  <c r="AE61" i="3" s="1"/>
  <c r="AZ71" i="1"/>
  <c r="BF71" i="1" s="1"/>
  <c r="BG71" i="1" s="1"/>
  <c r="AD116" i="3"/>
  <c r="AE116" i="3" s="1"/>
  <c r="T41" i="3"/>
  <c r="AB41" i="3"/>
  <c r="AD41" i="3" s="1"/>
  <c r="AE41" i="3" s="1"/>
  <c r="AZ51" i="1"/>
  <c r="BF51" i="1" s="1"/>
  <c r="BG51" i="1" s="1"/>
  <c r="AF41" i="3"/>
  <c r="BF186" i="1"/>
  <c r="BG186" i="1" s="1"/>
  <c r="K433" i="14"/>
  <c r="K1833" i="14"/>
  <c r="K540" i="14"/>
  <c r="K783" i="14"/>
  <c r="K959" i="14"/>
  <c r="K1378" i="14"/>
  <c r="K756" i="14"/>
  <c r="K1111" i="14"/>
  <c r="K339" i="14"/>
  <c r="K647" i="14"/>
  <c r="K1242" i="14"/>
  <c r="K1672" i="14"/>
  <c r="K1740" i="14"/>
  <c r="K1743" i="14"/>
  <c r="K484" i="14"/>
  <c r="K565" i="14"/>
  <c r="K725" i="14"/>
  <c r="K970" i="14"/>
  <c r="K1596" i="14"/>
  <c r="M44" i="3"/>
  <c r="M14" i="3"/>
  <c r="M76" i="3"/>
  <c r="M112" i="3"/>
  <c r="M19" i="3"/>
  <c r="M49" i="3"/>
  <c r="AB364" i="3"/>
  <c r="AD364" i="3" s="1"/>
  <c r="AE364" i="3" s="1"/>
  <c r="AF364" i="3"/>
  <c r="T364" i="3"/>
  <c r="AZ374" i="1"/>
  <c r="BF374" i="1" s="1"/>
  <c r="BG374" i="1" s="1"/>
  <c r="T405" i="3"/>
  <c r="AF405" i="3"/>
  <c r="AB405" i="3"/>
  <c r="AD405" i="3" s="1"/>
  <c r="AE405" i="3" s="1"/>
  <c r="AZ415" i="1"/>
  <c r="BF415" i="1" s="1"/>
  <c r="BG415" i="1" s="1"/>
  <c r="T365" i="3"/>
  <c r="AF365" i="3"/>
  <c r="AB365" i="3"/>
  <c r="AD365" i="3" s="1"/>
  <c r="AE365" i="3" s="1"/>
  <c r="AZ375" i="1"/>
  <c r="BF375" i="1" s="1"/>
  <c r="BG375" i="1" s="1"/>
  <c r="AF394" i="3"/>
  <c r="AB394" i="3"/>
  <c r="AD394" i="3" s="1"/>
  <c r="AE394" i="3" s="1"/>
  <c r="T394" i="3"/>
  <c r="AZ404" i="1"/>
  <c r="BF404" i="1" s="1"/>
  <c r="BG404" i="1" s="1"/>
  <c r="T397" i="3"/>
  <c r="AF397" i="3"/>
  <c r="AB397" i="3"/>
  <c r="AD397" i="3" s="1"/>
  <c r="AE397" i="3" s="1"/>
  <c r="AZ407" i="1"/>
  <c r="BF407" i="1" s="1"/>
  <c r="BG407" i="1" s="1"/>
  <c r="T259" i="3"/>
  <c r="AB259" i="3"/>
  <c r="AD259" i="3" s="1"/>
  <c r="AE259" i="3" s="1"/>
  <c r="AF259" i="3"/>
  <c r="AZ269" i="1"/>
  <c r="BF269" i="1" s="1"/>
  <c r="BG269" i="1" s="1"/>
  <c r="T381" i="3"/>
  <c r="AB381" i="3"/>
  <c r="AD381" i="3" s="1"/>
  <c r="AE381" i="3" s="1"/>
  <c r="AF381" i="3"/>
  <c r="AZ391" i="1"/>
  <c r="BF391" i="1" s="1"/>
  <c r="BG391" i="1" s="1"/>
  <c r="T422" i="3"/>
  <c r="AB422" i="3"/>
  <c r="AD422" i="3" s="1"/>
  <c r="AE422" i="3" s="1"/>
  <c r="AF422" i="3"/>
  <c r="AZ432" i="1"/>
  <c r="BF432" i="1" s="1"/>
  <c r="BG432" i="1" s="1"/>
  <c r="T388" i="3"/>
  <c r="AF388" i="3"/>
  <c r="AB388" i="3"/>
  <c r="AD388" i="3" s="1"/>
  <c r="AE388" i="3" s="1"/>
  <c r="AZ398" i="1"/>
  <c r="BF398" i="1" s="1"/>
  <c r="BG398" i="1" s="1"/>
  <c r="AF208" i="3"/>
  <c r="T208" i="3"/>
  <c r="AB208" i="3"/>
  <c r="AD208" i="3" s="1"/>
  <c r="AE208" i="3" s="1"/>
  <c r="AZ218" i="1"/>
  <c r="BF218" i="1" s="1"/>
  <c r="BG218" i="1" s="1"/>
  <c r="AB297" i="3"/>
  <c r="AD297" i="3" s="1"/>
  <c r="AE297" i="3" s="1"/>
  <c r="T297" i="3"/>
  <c r="AF297" i="3"/>
  <c r="AZ307" i="1"/>
  <c r="BF307" i="1" s="1"/>
  <c r="BG307" i="1" s="1"/>
  <c r="T341" i="3"/>
  <c r="AB341" i="3"/>
  <c r="AD341" i="3" s="1"/>
  <c r="AE341" i="3" s="1"/>
  <c r="AF341" i="3"/>
  <c r="AZ351" i="1"/>
  <c r="BF351" i="1" s="1"/>
  <c r="BG351" i="1" s="1"/>
  <c r="AF329" i="3"/>
  <c r="AB329" i="3"/>
  <c r="AD329" i="3" s="1"/>
  <c r="AE329" i="3" s="1"/>
  <c r="T329" i="3"/>
  <c r="AZ339" i="1"/>
  <c r="BF339" i="1" s="1"/>
  <c r="BG339" i="1" s="1"/>
  <c r="AB338" i="3"/>
  <c r="AD338" i="3" s="1"/>
  <c r="AE338" i="3" s="1"/>
  <c r="T338" i="3"/>
  <c r="AF338" i="3"/>
  <c r="AZ348" i="1"/>
  <c r="BF348" i="1" s="1"/>
  <c r="BG348" i="1" s="1"/>
  <c r="F141" i="17"/>
  <c r="G141" i="17" s="1"/>
  <c r="C136" i="17"/>
  <c r="AB275" i="3"/>
  <c r="AD275" i="3" s="1"/>
  <c r="AE275" i="3" s="1"/>
  <c r="AF275" i="3"/>
  <c r="T275" i="3"/>
  <c r="AZ285" i="1"/>
  <c r="BF285" i="1" s="1"/>
  <c r="BG285" i="1" s="1"/>
  <c r="T249" i="3"/>
  <c r="AF249" i="3"/>
  <c r="AB249" i="3"/>
  <c r="AD249" i="3" s="1"/>
  <c r="AE249" i="3" s="1"/>
  <c r="AZ259" i="1"/>
  <c r="BF259" i="1" s="1"/>
  <c r="BG259" i="1" s="1"/>
  <c r="T260" i="3"/>
  <c r="AF260" i="3"/>
  <c r="AB260" i="3"/>
  <c r="AD260" i="3" s="1"/>
  <c r="AE260" i="3" s="1"/>
  <c r="AZ270" i="1"/>
  <c r="BF270" i="1" s="1"/>
  <c r="BG270" i="1" s="1"/>
  <c r="T202" i="3"/>
  <c r="AB202" i="3"/>
  <c r="AD202" i="3" s="1"/>
  <c r="AE202" i="3" s="1"/>
  <c r="AF202" i="3"/>
  <c r="AZ212" i="1"/>
  <c r="BF212" i="1" s="1"/>
  <c r="BG212" i="1" s="1"/>
  <c r="K140" i="1"/>
  <c r="T226" i="3"/>
  <c r="AB226" i="3"/>
  <c r="AD226" i="3" s="1"/>
  <c r="AE226" i="3" s="1"/>
  <c r="AF226" i="3"/>
  <c r="AZ236" i="1"/>
  <c r="BF236" i="1" s="1"/>
  <c r="BG236" i="1" s="1"/>
  <c r="AF175" i="3"/>
  <c r="T175" i="3"/>
  <c r="AB175" i="3"/>
  <c r="AD175" i="3" s="1"/>
  <c r="AE175" i="3" s="1"/>
  <c r="AZ185" i="1"/>
  <c r="BF185" i="1" s="1"/>
  <c r="BG185" i="1" s="1"/>
  <c r="T216" i="3"/>
  <c r="AF216" i="3"/>
  <c r="AB216" i="3"/>
  <c r="AD216" i="3" s="1"/>
  <c r="AE216" i="3" s="1"/>
  <c r="AZ226" i="1"/>
  <c r="BF226" i="1" s="1"/>
  <c r="BG226" i="1" s="1"/>
  <c r="Q87" i="3"/>
  <c r="T195" i="3"/>
  <c r="AF195" i="3"/>
  <c r="AB195" i="3"/>
  <c r="AD195" i="3" s="1"/>
  <c r="AE195" i="3" s="1"/>
  <c r="AZ205" i="1"/>
  <c r="BF205" i="1" s="1"/>
  <c r="BG205" i="1" s="1"/>
  <c r="T144" i="3"/>
  <c r="AB144" i="3"/>
  <c r="AD144" i="3" s="1"/>
  <c r="AE144" i="3" s="1"/>
  <c r="AF144" i="3"/>
  <c r="AZ154" i="1"/>
  <c r="BF154" i="1" s="1"/>
  <c r="BG154" i="1" s="1"/>
  <c r="AB157" i="3"/>
  <c r="AD157" i="3" s="1"/>
  <c r="AE157" i="3" s="1"/>
  <c r="AZ167" i="1"/>
  <c r="BF167" i="1" s="1"/>
  <c r="BG167" i="1" s="1"/>
  <c r="T157" i="3"/>
  <c r="AF157" i="3"/>
  <c r="J92" i="17"/>
  <c r="K92" i="17" s="1"/>
  <c r="I92" i="17"/>
  <c r="C98" i="17"/>
  <c r="T122" i="3"/>
  <c r="AB122" i="3"/>
  <c r="AD122" i="3" s="1"/>
  <c r="AE122" i="3" s="1"/>
  <c r="AZ132" i="1"/>
  <c r="BF132" i="1" s="1"/>
  <c r="BG132" i="1" s="1"/>
  <c r="AF122" i="3"/>
  <c r="BB2" i="1"/>
  <c r="K1279" i="14"/>
  <c r="K1713" i="14"/>
  <c r="K833" i="14"/>
  <c r="K875" i="14"/>
  <c r="K1759" i="14"/>
  <c r="K750" i="14"/>
  <c r="K1205" i="14"/>
  <c r="K1463" i="14"/>
  <c r="K1855" i="14"/>
  <c r="K1869" i="14"/>
  <c r="K799" i="14"/>
  <c r="K531" i="14"/>
  <c r="K612" i="14"/>
  <c r="K1608" i="14"/>
  <c r="K1702" i="14"/>
  <c r="K354" i="14"/>
  <c r="K698" i="14"/>
  <c r="K1165" i="14"/>
  <c r="K543" i="14"/>
  <c r="J4" i="11"/>
  <c r="AG12" i="1"/>
  <c r="K1338" i="14"/>
  <c r="K1258" i="14"/>
  <c r="K1655" i="14"/>
  <c r="K864" i="14"/>
  <c r="K581" i="14"/>
  <c r="K741" i="14"/>
  <c r="K901" i="14"/>
  <c r="K1192" i="14"/>
  <c r="K1544" i="14"/>
  <c r="K1805" i="14"/>
  <c r="N607" i="6"/>
  <c r="M102" i="3"/>
  <c r="M100" i="3"/>
  <c r="M136" i="3"/>
  <c r="M93" i="3"/>
  <c r="M129" i="3"/>
  <c r="M127" i="3"/>
  <c r="M91" i="3"/>
  <c r="M10" i="5"/>
  <c r="N10" i="5"/>
  <c r="M125" i="3"/>
  <c r="M89" i="3"/>
  <c r="T360" i="3"/>
  <c r="AB360" i="3"/>
  <c r="AD360" i="3" s="1"/>
  <c r="AE360" i="3" s="1"/>
  <c r="AF360" i="3"/>
  <c r="AZ370" i="1"/>
  <c r="BF370" i="1" s="1"/>
  <c r="BG370" i="1" s="1"/>
  <c r="AF419" i="3"/>
  <c r="AB419" i="3"/>
  <c r="AD419" i="3" s="1"/>
  <c r="AE419" i="3" s="1"/>
  <c r="T419" i="3"/>
  <c r="AZ429" i="1"/>
  <c r="BF429" i="1" s="1"/>
  <c r="BG429" i="1" s="1"/>
  <c r="Q399" i="3"/>
  <c r="AB359" i="3"/>
  <c r="AD359" i="3" s="1"/>
  <c r="AE359" i="3" s="1"/>
  <c r="AF359" i="3"/>
  <c r="T359" i="3"/>
  <c r="AZ369" i="1"/>
  <c r="BF369" i="1" s="1"/>
  <c r="BG369" i="1" s="1"/>
  <c r="Q390" i="3"/>
  <c r="T421" i="3"/>
  <c r="AF421" i="3"/>
  <c r="AB421" i="3"/>
  <c r="AD421" i="3" s="1"/>
  <c r="AE421" i="3" s="1"/>
  <c r="AZ431" i="1"/>
  <c r="BF431" i="1" s="1"/>
  <c r="BG431" i="1" s="1"/>
  <c r="AB358" i="3"/>
  <c r="AD358" i="3" s="1"/>
  <c r="AE358" i="3" s="1"/>
  <c r="AF358" i="3"/>
  <c r="T358" i="3"/>
  <c r="AZ368" i="1"/>
  <c r="BF368" i="1" s="1"/>
  <c r="BG368" i="1" s="1"/>
  <c r="T382" i="3"/>
  <c r="AF382" i="3"/>
  <c r="AB382" i="3"/>
  <c r="AD382" i="3" s="1"/>
  <c r="AE382" i="3" s="1"/>
  <c r="AZ392" i="1"/>
  <c r="BF392" i="1" s="1"/>
  <c r="BG392" i="1" s="1"/>
  <c r="T340" i="3"/>
  <c r="AF340" i="3"/>
  <c r="AB340" i="3"/>
  <c r="AD340" i="3" s="1"/>
  <c r="AE340" i="3" s="1"/>
  <c r="AZ350" i="1"/>
  <c r="BF350" i="1" s="1"/>
  <c r="BG350" i="1" s="1"/>
  <c r="AB328" i="3"/>
  <c r="AD328" i="3" s="1"/>
  <c r="AE328" i="3" s="1"/>
  <c r="T328" i="3"/>
  <c r="AF328" i="3"/>
  <c r="AZ338" i="1"/>
  <c r="BF338" i="1" s="1"/>
  <c r="BG338" i="1" s="1"/>
  <c r="AF234" i="3"/>
  <c r="T234" i="3"/>
  <c r="AB234" i="3"/>
  <c r="AD234" i="3" s="1"/>
  <c r="AE234" i="3" s="1"/>
  <c r="AZ244" i="1"/>
  <c r="BF244" i="1" s="1"/>
  <c r="BG244" i="1" s="1"/>
  <c r="F59" i="17"/>
  <c r="G59" i="17" s="1"/>
  <c r="AF219" i="3"/>
  <c r="T219" i="3"/>
  <c r="AB219" i="3"/>
  <c r="AD219" i="3" s="1"/>
  <c r="AE219" i="3" s="1"/>
  <c r="AZ229" i="1"/>
  <c r="BF229" i="1" s="1"/>
  <c r="BG229" i="1" s="1"/>
  <c r="AB240" i="3"/>
  <c r="AD240" i="3" s="1"/>
  <c r="AE240" i="3" s="1"/>
  <c r="T240" i="3"/>
  <c r="AF240" i="3"/>
  <c r="AZ250" i="1"/>
  <c r="BF250" i="1" s="1"/>
  <c r="BG250" i="1" s="1"/>
  <c r="AF194" i="3"/>
  <c r="AB194" i="3"/>
  <c r="AD194" i="3" s="1"/>
  <c r="AE194" i="3" s="1"/>
  <c r="T194" i="3"/>
  <c r="AZ204" i="1"/>
  <c r="BF204" i="1" s="1"/>
  <c r="BG204" i="1" s="1"/>
  <c r="AB210" i="3"/>
  <c r="AD210" i="3" s="1"/>
  <c r="AE210" i="3" s="1"/>
  <c r="T210" i="3"/>
  <c r="AF210" i="3"/>
  <c r="AZ220" i="1"/>
  <c r="BF220" i="1" s="1"/>
  <c r="BG220" i="1" s="1"/>
  <c r="T215" i="3"/>
  <c r="AB215" i="3"/>
  <c r="AD215" i="3" s="1"/>
  <c r="AE215" i="3" s="1"/>
  <c r="AF215" i="3"/>
  <c r="AZ225" i="1"/>
  <c r="BF225" i="1" s="1"/>
  <c r="BG225" i="1" s="1"/>
  <c r="T166" i="3"/>
  <c r="AB166" i="3"/>
  <c r="AD166" i="3" s="1"/>
  <c r="AE166" i="3" s="1"/>
  <c r="AF166" i="3"/>
  <c r="AZ176" i="1"/>
  <c r="BF176" i="1" s="1"/>
  <c r="BG176" i="1" s="1"/>
  <c r="Q201" i="3"/>
  <c r="K127" i="1"/>
  <c r="K94" i="1"/>
  <c r="AB152" i="3"/>
  <c r="AD152" i="3" s="1"/>
  <c r="AE152" i="3" s="1"/>
  <c r="T152" i="3"/>
  <c r="AZ162" i="1"/>
  <c r="BF162" i="1" s="1"/>
  <c r="BG162" i="1" s="1"/>
  <c r="AF152" i="3"/>
  <c r="C99" i="17"/>
  <c r="AF123" i="3"/>
  <c r="T123" i="3"/>
  <c r="AB123" i="3"/>
  <c r="AD123" i="3" s="1"/>
  <c r="AE123" i="3" s="1"/>
  <c r="AZ133" i="1"/>
  <c r="BF133" i="1" s="1"/>
  <c r="BG133" i="1" s="1"/>
  <c r="BF424" i="1"/>
  <c r="BG424" i="1" s="1"/>
  <c r="BF331" i="1"/>
  <c r="BG331" i="1" s="1"/>
  <c r="K52" i="1"/>
  <c r="AD364" i="1"/>
  <c r="K1369" i="14"/>
  <c r="K1878" i="14"/>
  <c r="K1677" i="14"/>
  <c r="K1690" i="14"/>
  <c r="K1013" i="14"/>
  <c r="K1040" i="14"/>
  <c r="K1296" i="14"/>
  <c r="K1124" i="14"/>
  <c r="K308" i="14"/>
  <c r="K1667" i="14"/>
  <c r="K1820" i="14"/>
  <c r="K1276" i="14"/>
  <c r="K166" i="14"/>
  <c r="K824" i="14"/>
  <c r="K1371" i="14"/>
  <c r="K1227" i="14"/>
  <c r="K1756" i="14"/>
  <c r="K255" i="14"/>
  <c r="K742" i="14"/>
  <c r="K517" i="14"/>
  <c r="K1012" i="14"/>
  <c r="K1508" i="14"/>
  <c r="K828" i="14"/>
  <c r="K732" i="14"/>
  <c r="K885" i="14"/>
  <c r="K1644" i="14"/>
  <c r="K1870" i="14"/>
  <c r="K555" i="14"/>
  <c r="K1406" i="14"/>
  <c r="K1312" i="14"/>
  <c r="K1536" i="14"/>
  <c r="K1781" i="14"/>
  <c r="K1082" i="14"/>
  <c r="K891" i="14"/>
  <c r="K1018" i="14"/>
  <c r="K355" i="14"/>
  <c r="K258" i="14"/>
  <c r="K843" i="14"/>
  <c r="K932" i="14"/>
  <c r="K297" i="14"/>
  <c r="K718" i="14"/>
  <c r="K1217" i="14"/>
  <c r="K301" i="14"/>
  <c r="K204" i="14"/>
  <c r="K993" i="14"/>
  <c r="K1221" i="14"/>
  <c r="K1606" i="14"/>
  <c r="K881" i="14"/>
  <c r="K1170" i="14"/>
  <c r="K1202" i="14"/>
  <c r="K1598" i="14"/>
  <c r="K1849" i="14"/>
  <c r="K25" i="14"/>
  <c r="K820" i="14"/>
  <c r="K1400" i="14"/>
  <c r="K439" i="14"/>
  <c r="K552" i="14"/>
  <c r="K714" i="14"/>
  <c r="M250" i="3"/>
  <c r="M268" i="3"/>
  <c r="I9" i="4"/>
  <c r="AA4" i="3"/>
  <c r="K1274" i="14"/>
  <c r="K1845" i="14"/>
  <c r="K1777" i="14"/>
  <c r="K29" i="14"/>
  <c r="K76" i="14"/>
  <c r="K757" i="14"/>
  <c r="K1224" i="14"/>
  <c r="K1686" i="14"/>
  <c r="N657" i="6"/>
  <c r="M138" i="3" s="1"/>
  <c r="M95" i="3"/>
  <c r="M131" i="3"/>
  <c r="M133" i="3"/>
  <c r="M97" i="3"/>
  <c r="M4" i="5"/>
  <c r="N4" i="5"/>
  <c r="M22" i="3"/>
  <c r="M52" i="3"/>
  <c r="Q395" i="3"/>
  <c r="K365" i="1"/>
  <c r="AF384" i="3"/>
  <c r="AB384" i="3"/>
  <c r="AD384" i="3" s="1"/>
  <c r="AE384" i="3" s="1"/>
  <c r="T384" i="3"/>
  <c r="AZ394" i="1"/>
  <c r="BF394" i="1" s="1"/>
  <c r="BG394" i="1" s="1"/>
  <c r="T264" i="3"/>
  <c r="AF264" i="3"/>
  <c r="AB264" i="3"/>
  <c r="AD264" i="3" s="1"/>
  <c r="AE264" i="3" s="1"/>
  <c r="AZ274" i="1"/>
  <c r="BF274" i="1" s="1"/>
  <c r="BG274" i="1" s="1"/>
  <c r="T284" i="3"/>
  <c r="AB284" i="3"/>
  <c r="AD284" i="3" s="1"/>
  <c r="AE284" i="3" s="1"/>
  <c r="AF284" i="3"/>
  <c r="AZ294" i="1"/>
  <c r="BF294" i="1" s="1"/>
  <c r="BG294" i="1" s="1"/>
  <c r="AF342" i="3"/>
  <c r="AB342" i="3"/>
  <c r="AD342" i="3" s="1"/>
  <c r="AE342" i="3" s="1"/>
  <c r="T342" i="3"/>
  <c r="F112" i="4" s="1"/>
  <c r="K112" i="4" s="1"/>
  <c r="L112" i="4" s="1"/>
  <c r="N112" i="4" s="1"/>
  <c r="AZ352" i="1"/>
  <c r="BF352" i="1" s="1"/>
  <c r="BG352" i="1" s="1"/>
  <c r="F54" i="17"/>
  <c r="G54" i="17" s="1"/>
  <c r="F55" i="17"/>
  <c r="G55" i="17" s="1"/>
  <c r="T236" i="3"/>
  <c r="AB236" i="3"/>
  <c r="AD236" i="3" s="1"/>
  <c r="AE236" i="3" s="1"/>
  <c r="AF236" i="3"/>
  <c r="AZ246" i="1"/>
  <c r="BF246" i="1" s="1"/>
  <c r="BG246" i="1" s="1"/>
  <c r="C125" i="17"/>
  <c r="T255" i="3"/>
  <c r="AF255" i="3"/>
  <c r="AB255" i="3"/>
  <c r="AD255" i="3" s="1"/>
  <c r="AE255" i="3" s="1"/>
  <c r="AZ265" i="1"/>
  <c r="BF265" i="1" s="1"/>
  <c r="BG265" i="1" s="1"/>
  <c r="AF40" i="3"/>
  <c r="AZ50" i="1"/>
  <c r="BF50" i="1" s="1"/>
  <c r="BG50" i="1" s="1"/>
  <c r="T40" i="3"/>
  <c r="AB40" i="3"/>
  <c r="AD40" i="3" s="1"/>
  <c r="AE40" i="3" s="1"/>
  <c r="AF190" i="3"/>
  <c r="T190" i="3"/>
  <c r="AB190" i="3"/>
  <c r="AD190" i="3" s="1"/>
  <c r="AE190" i="3" s="1"/>
  <c r="AZ200" i="1"/>
  <c r="BF200" i="1" s="1"/>
  <c r="BG200" i="1" s="1"/>
  <c r="T156" i="3"/>
  <c r="AF156" i="3"/>
  <c r="AB156" i="3"/>
  <c r="AD156" i="3" s="1"/>
  <c r="AE156" i="3" s="1"/>
  <c r="AZ166" i="1"/>
  <c r="BF166" i="1" s="1"/>
  <c r="BG166" i="1" s="1"/>
  <c r="T171" i="3"/>
  <c r="AB171" i="3"/>
  <c r="AD171" i="3" s="1"/>
  <c r="AE171" i="3" s="1"/>
  <c r="AF171" i="3"/>
  <c r="AZ181" i="1"/>
  <c r="BF181" i="1" s="1"/>
  <c r="BG181" i="1" s="1"/>
  <c r="T67" i="3"/>
  <c r="AB67" i="3"/>
  <c r="AD67" i="3" s="1"/>
  <c r="AE67" i="3" s="1"/>
  <c r="AF67" i="3"/>
  <c r="AZ77" i="1"/>
  <c r="BF77" i="1" s="1"/>
  <c r="BG77" i="1" s="1"/>
  <c r="AB145" i="3"/>
  <c r="AD145" i="3" s="1"/>
  <c r="AE145" i="3" s="1"/>
  <c r="T145" i="3"/>
  <c r="AF145" i="3"/>
  <c r="AZ155" i="1"/>
  <c r="BF155" i="1" s="1"/>
  <c r="BG155" i="1" s="1"/>
  <c r="J90" i="17"/>
  <c r="K90" i="17" s="1"/>
  <c r="I90" i="17"/>
  <c r="T9" i="3"/>
  <c r="AF9" i="3"/>
  <c r="AZ19" i="1"/>
  <c r="BF19" i="1" s="1"/>
  <c r="BG19" i="1" s="1"/>
  <c r="AB9" i="3"/>
  <c r="AD9" i="3" s="1"/>
  <c r="AE9" i="3" s="1"/>
  <c r="BE2" i="1"/>
  <c r="BF295" i="1"/>
  <c r="BG295" i="1" s="1"/>
  <c r="C9" i="2"/>
  <c r="K1896" i="14"/>
  <c r="K685" i="14"/>
  <c r="K1592" i="14"/>
  <c r="K1059" i="14"/>
  <c r="K402" i="14"/>
  <c r="K1443" i="14"/>
  <c r="K668" i="14"/>
  <c r="K1831" i="14"/>
  <c r="K1476" i="14"/>
  <c r="K676" i="14"/>
  <c r="K1127" i="14"/>
  <c r="K1117" i="14"/>
  <c r="K1341" i="14"/>
  <c r="E78" i="8"/>
  <c r="G78" i="8" s="1"/>
  <c r="L787" i="6" s="1"/>
  <c r="M787" i="6" s="1"/>
  <c r="N787" i="6" s="1"/>
  <c r="K727" i="14"/>
  <c r="K599" i="14"/>
  <c r="K1290" i="14"/>
  <c r="K1826" i="14"/>
  <c r="K156" i="14"/>
  <c r="K897" i="14"/>
  <c r="K1414" i="14"/>
  <c r="K1622" i="14"/>
  <c r="K184" i="14"/>
  <c r="M291" i="3"/>
  <c r="M286" i="3"/>
  <c r="M35" i="5"/>
  <c r="N35" i="5"/>
  <c r="M24" i="3"/>
  <c r="M54" i="3"/>
  <c r="AF389" i="3"/>
  <c r="AB389" i="3"/>
  <c r="AD389" i="3" s="1"/>
  <c r="AE389" i="3" s="1"/>
  <c r="T389" i="3"/>
  <c r="AZ399" i="1"/>
  <c r="BF399" i="1" s="1"/>
  <c r="BG399" i="1" s="1"/>
  <c r="T380" i="3"/>
  <c r="AB380" i="3"/>
  <c r="AD380" i="3" s="1"/>
  <c r="AE380" i="3" s="1"/>
  <c r="AF380" i="3"/>
  <c r="AZ390" i="1"/>
  <c r="BF390" i="1" s="1"/>
  <c r="BG390" i="1" s="1"/>
  <c r="T266" i="3"/>
  <c r="AF266" i="3"/>
  <c r="AB266" i="3"/>
  <c r="AD266" i="3" s="1"/>
  <c r="AE266" i="3" s="1"/>
  <c r="AZ276" i="1"/>
  <c r="BF276" i="1" s="1"/>
  <c r="BG276" i="1" s="1"/>
  <c r="AF305" i="3"/>
  <c r="AB305" i="3"/>
  <c r="AD305" i="3" s="1"/>
  <c r="AE305" i="3" s="1"/>
  <c r="T305" i="3"/>
  <c r="AZ315" i="1"/>
  <c r="BF315" i="1" s="1"/>
  <c r="BG315" i="1" s="1"/>
  <c r="T352" i="3"/>
  <c r="AB352" i="3"/>
  <c r="AD352" i="3" s="1"/>
  <c r="AE352" i="3" s="1"/>
  <c r="AF352" i="3"/>
  <c r="AZ362" i="1"/>
  <c r="BF362" i="1" s="1"/>
  <c r="BG362" i="1" s="1"/>
  <c r="F87" i="17"/>
  <c r="G87" i="17" s="1"/>
  <c r="Q238" i="3"/>
  <c r="I138" i="17"/>
  <c r="J138" i="17"/>
  <c r="K138" i="17" s="1"/>
  <c r="Q80" i="3"/>
  <c r="AZ40" i="1"/>
  <c r="BF40" i="1" s="1"/>
  <c r="BG40" i="1" s="1"/>
  <c r="T30" i="3"/>
  <c r="AF30" i="3"/>
  <c r="AB30" i="3"/>
  <c r="AD30" i="3" s="1"/>
  <c r="AE30" i="3" s="1"/>
  <c r="Q206" i="3"/>
  <c r="AF267" i="3"/>
  <c r="AB267" i="3"/>
  <c r="AD267" i="3" s="1"/>
  <c r="AE267" i="3" s="1"/>
  <c r="T267" i="3"/>
  <c r="AZ277" i="1"/>
  <c r="BF277" i="1" s="1"/>
  <c r="BG277" i="1" s="1"/>
  <c r="AF187" i="3"/>
  <c r="AB187" i="3"/>
  <c r="AD187" i="3" s="1"/>
  <c r="AE187" i="3" s="1"/>
  <c r="AZ197" i="1"/>
  <c r="BF197" i="1" s="1"/>
  <c r="BG197" i="1" s="1"/>
  <c r="T187" i="3"/>
  <c r="T205" i="3"/>
  <c r="AB205" i="3"/>
  <c r="AD205" i="3" s="1"/>
  <c r="AE205" i="3" s="1"/>
  <c r="AF205" i="3"/>
  <c r="AZ215" i="1"/>
  <c r="BF215" i="1" s="1"/>
  <c r="BG215" i="1" s="1"/>
  <c r="AB182" i="3"/>
  <c r="AD182" i="3" s="1"/>
  <c r="AE182" i="3" s="1"/>
  <c r="AF182" i="3"/>
  <c r="AZ192" i="1"/>
  <c r="BF192" i="1" s="1"/>
  <c r="BG192" i="1" s="1"/>
  <c r="T182" i="3"/>
  <c r="T188" i="3"/>
  <c r="AB188" i="3"/>
  <c r="AD188" i="3" s="1"/>
  <c r="AE188" i="3" s="1"/>
  <c r="AF188" i="3"/>
  <c r="AZ198" i="1"/>
  <c r="BF198" i="1" s="1"/>
  <c r="BG198" i="1" s="1"/>
  <c r="AF66" i="3"/>
  <c r="AB66" i="3"/>
  <c r="AD66" i="3" s="1"/>
  <c r="AE66" i="3" s="1"/>
  <c r="T66" i="3"/>
  <c r="AZ76" i="1"/>
  <c r="BF76" i="1" s="1"/>
  <c r="BG76" i="1" s="1"/>
  <c r="BF96" i="1"/>
  <c r="BG96" i="1" s="1"/>
  <c r="BD2" i="1"/>
  <c r="BF174" i="1"/>
  <c r="BG174" i="1" s="1"/>
  <c r="K1318" i="14"/>
  <c r="K1211" i="14"/>
  <c r="K806" i="14"/>
  <c r="K1456" i="14"/>
  <c r="K1829" i="14"/>
  <c r="K761" i="14"/>
  <c r="K1340" i="14"/>
  <c r="K1861" i="14"/>
  <c r="K533" i="14"/>
  <c r="K1064" i="14"/>
  <c r="K1077" i="14"/>
  <c r="K1612" i="14"/>
  <c r="K886" i="14"/>
  <c r="K922" i="14"/>
  <c r="K1444" i="14"/>
  <c r="K1391" i="14"/>
  <c r="K328" i="14"/>
  <c r="K545" i="14"/>
  <c r="K1409" i="14"/>
  <c r="K1801" i="14"/>
  <c r="K651" i="14"/>
  <c r="K997" i="14"/>
  <c r="K290" i="14"/>
  <c r="K1893" i="14"/>
  <c r="K967" i="14"/>
  <c r="K1237" i="14"/>
  <c r="K378" i="14"/>
  <c r="K312" i="14"/>
  <c r="K671" i="14"/>
  <c r="K596" i="14"/>
  <c r="K1530" i="14"/>
  <c r="K1634" i="14"/>
  <c r="K1736" i="14"/>
  <c r="K455" i="14"/>
  <c r="K519" i="14"/>
  <c r="M253" i="3"/>
  <c r="M271" i="3"/>
  <c r="K787" i="14"/>
  <c r="K862" i="14"/>
  <c r="K835" i="14"/>
  <c r="K1412" i="14"/>
  <c r="K1206" i="14"/>
  <c r="K1839" i="14"/>
  <c r="K319" i="14"/>
  <c r="K44" i="14"/>
  <c r="K1643" i="14"/>
  <c r="K177" i="14"/>
  <c r="K825" i="14"/>
  <c r="K745" i="14"/>
  <c r="K1132" i="14"/>
  <c r="K1356" i="14"/>
  <c r="K1707" i="14"/>
  <c r="N770" i="6"/>
  <c r="K120" i="14"/>
  <c r="K680" i="14"/>
  <c r="K616" i="14"/>
  <c r="K1355" i="14"/>
  <c r="K1259" i="14"/>
  <c r="K1808" i="14"/>
  <c r="K614" i="14"/>
  <c r="K999" i="14"/>
  <c r="K1560" i="14"/>
  <c r="K1469" i="14"/>
  <c r="K1721" i="14"/>
  <c r="K620" i="14"/>
  <c r="K812" i="14"/>
  <c r="K1215" i="14"/>
  <c r="K1405" i="14"/>
  <c r="K1881" i="14"/>
  <c r="K637" i="14"/>
  <c r="K988" i="14"/>
  <c r="K1079" i="14"/>
  <c r="K1432" i="14"/>
  <c r="K1184" i="14"/>
  <c r="K1815" i="14"/>
  <c r="K753" i="14"/>
  <c r="K512" i="14"/>
  <c r="K978" i="14"/>
  <c r="K1140" i="14"/>
  <c r="K1364" i="14"/>
  <c r="K1500" i="14"/>
  <c r="K195" i="14"/>
  <c r="K34" i="14"/>
  <c r="K940" i="14"/>
  <c r="K1031" i="14"/>
  <c r="K1579" i="14"/>
  <c r="K699" i="14"/>
  <c r="K1454" i="14"/>
  <c r="K1897" i="14"/>
  <c r="N862" i="6"/>
  <c r="M5" i="3" s="1"/>
  <c r="K361" i="14"/>
  <c r="K606" i="14"/>
  <c r="K622" i="14"/>
  <c r="K268" i="14"/>
  <c r="K754" i="14"/>
  <c r="K954" i="14"/>
  <c r="K1253" i="14"/>
  <c r="K460" i="14"/>
  <c r="K687" i="14"/>
  <c r="K998" i="14"/>
  <c r="K1455" i="14"/>
  <c r="K1394" i="14"/>
  <c r="K1768" i="14"/>
  <c r="K221" i="14"/>
  <c r="K692" i="14"/>
  <c r="K1367" i="14"/>
  <c r="K1517" i="14"/>
  <c r="K225" i="14"/>
  <c r="K1197" i="14"/>
  <c r="E80" i="8"/>
  <c r="G80" i="8" s="1"/>
  <c r="K631" i="14"/>
  <c r="K679" i="14"/>
  <c r="K1306" i="14"/>
  <c r="K1774" i="14"/>
  <c r="N842" i="6"/>
  <c r="M6" i="3" s="1"/>
  <c r="K239" i="14"/>
  <c r="K368" i="14"/>
  <c r="K1427" i="14"/>
  <c r="K1336" i="14"/>
  <c r="K1440" i="14"/>
  <c r="K200" i="14"/>
  <c r="M5" i="5"/>
  <c r="N5" i="5"/>
  <c r="M29" i="5"/>
  <c r="N29" i="5"/>
  <c r="M15" i="5"/>
  <c r="N15" i="5"/>
  <c r="M20" i="5"/>
  <c r="N20" i="5"/>
  <c r="M109" i="3"/>
  <c r="M73" i="3"/>
  <c r="T425" i="3"/>
  <c r="AZ435" i="1"/>
  <c r="BF435" i="1" s="1"/>
  <c r="BG435" i="1" s="1"/>
  <c r="T385" i="3"/>
  <c r="AF385" i="3"/>
  <c r="AB385" i="3"/>
  <c r="AD385" i="3" s="1"/>
  <c r="AE385" i="3" s="1"/>
  <c r="AZ395" i="1"/>
  <c r="BF395" i="1" s="1"/>
  <c r="BG395" i="1" s="1"/>
  <c r="AF420" i="3"/>
  <c r="T420" i="3"/>
  <c r="AB420" i="3"/>
  <c r="AD420" i="3" s="1"/>
  <c r="AE420" i="3" s="1"/>
  <c r="AZ430" i="1"/>
  <c r="BF430" i="1" s="1"/>
  <c r="BG430" i="1" s="1"/>
  <c r="AD273" i="3"/>
  <c r="AE273" i="3" s="1"/>
  <c r="T229" i="3"/>
  <c r="AF229" i="3"/>
  <c r="AB229" i="3"/>
  <c r="AD229" i="3" s="1"/>
  <c r="AE229" i="3" s="1"/>
  <c r="AZ239" i="1"/>
  <c r="BF239" i="1" s="1"/>
  <c r="BG239" i="1" s="1"/>
  <c r="F62" i="17"/>
  <c r="G62" i="17" s="1"/>
  <c r="F126" i="17"/>
  <c r="G126" i="17" s="1"/>
  <c r="F95" i="17"/>
  <c r="G95" i="17" s="1"/>
  <c r="F97" i="17"/>
  <c r="G97" i="17" s="1"/>
  <c r="F98" i="17"/>
  <c r="G98" i="17"/>
  <c r="T185" i="3"/>
  <c r="AB185" i="3"/>
  <c r="AD185" i="3" s="1"/>
  <c r="AE185" i="3" s="1"/>
  <c r="AF185" i="3"/>
  <c r="AZ195" i="1"/>
  <c r="BF195" i="1" s="1"/>
  <c r="BG195" i="1" s="1"/>
  <c r="J126" i="17"/>
  <c r="K126" i="17" s="1"/>
  <c r="I126" i="17"/>
  <c r="AB71" i="3"/>
  <c r="AD71" i="3" s="1"/>
  <c r="AE71" i="3" s="1"/>
  <c r="T71" i="3"/>
  <c r="AF71" i="3"/>
  <c r="AZ81" i="1"/>
  <c r="BF81" i="1" s="1"/>
  <c r="BG81" i="1" s="1"/>
  <c r="K86" i="1"/>
  <c r="Q158" i="3"/>
  <c r="Q85" i="3"/>
  <c r="BF68" i="1"/>
  <c r="BG68" i="1" s="1"/>
  <c r="J62" i="17"/>
  <c r="K62" i="17" s="1"/>
  <c r="I62" i="17"/>
  <c r="T27" i="3"/>
  <c r="AB27" i="3"/>
  <c r="AD27" i="3" s="1"/>
  <c r="AE27" i="3" s="1"/>
  <c r="AZ37" i="1"/>
  <c r="BF37" i="1" s="1"/>
  <c r="BG37" i="1" s="1"/>
  <c r="AF27" i="3"/>
  <c r="BF221" i="1"/>
  <c r="BG221" i="1" s="1"/>
  <c r="K1789" i="14"/>
  <c r="K669" i="14"/>
  <c r="K801" i="14"/>
  <c r="K1108" i="14"/>
  <c r="K1847" i="14"/>
  <c r="K803" i="14"/>
  <c r="K1190" i="14"/>
  <c r="K1350" i="14"/>
  <c r="K1243" i="14"/>
  <c r="K347" i="14"/>
  <c r="K966" i="14"/>
  <c r="K446" i="14"/>
  <c r="K667" i="14"/>
  <c r="K1558" i="14"/>
  <c r="K1864" i="14"/>
  <c r="K150" i="14"/>
  <c r="K459" i="14"/>
  <c r="K1233" i="14"/>
  <c r="K365" i="14"/>
  <c r="K658" i="14"/>
  <c r="K643" i="14"/>
  <c r="K691" i="14"/>
  <c r="K1633" i="14"/>
  <c r="K366" i="14"/>
  <c r="K1892" i="14"/>
  <c r="K1762" i="14"/>
  <c r="K193" i="14"/>
  <c r="K569" i="14"/>
  <c r="K1308" i="14"/>
  <c r="K744" i="14"/>
  <c r="K1115" i="14"/>
  <c r="K1275" i="14"/>
  <c r="K1654" i="14"/>
  <c r="K1625" i="14"/>
  <c r="K1755" i="14"/>
  <c r="K1026" i="14"/>
  <c r="K1231" i="14"/>
  <c r="K1359" i="14"/>
  <c r="K1661" i="14"/>
  <c r="K573" i="14"/>
  <c r="K245" i="14"/>
  <c r="K797" i="14"/>
  <c r="K442" i="14"/>
  <c r="K1360" i="14"/>
  <c r="K1200" i="14"/>
  <c r="K1588" i="14"/>
  <c r="K1851" i="14"/>
  <c r="K908" i="14"/>
  <c r="K890" i="14"/>
  <c r="K1448" i="14"/>
  <c r="K1565" i="14"/>
  <c r="K1698" i="14"/>
  <c r="K927" i="14"/>
  <c r="K1514" i="14"/>
  <c r="K1665" i="14"/>
  <c r="K424" i="14"/>
  <c r="K827" i="14"/>
  <c r="K1075" i="14"/>
  <c r="K1519" i="14"/>
  <c r="K1584" i="14"/>
  <c r="K477" i="14"/>
  <c r="K539" i="14"/>
  <c r="K782" i="14"/>
  <c r="K103" i="14"/>
  <c r="K1071" i="14"/>
  <c r="K1269" i="14"/>
  <c r="K1450" i="14"/>
  <c r="K1567" i="14"/>
  <c r="K428" i="14"/>
  <c r="K376" i="14"/>
  <c r="K1102" i="14"/>
  <c r="K1050" i="14"/>
  <c r="K1403" i="14"/>
  <c r="K1611" i="14"/>
  <c r="E88" i="8"/>
  <c r="G88" i="8" s="1"/>
  <c r="K335" i="14"/>
  <c r="K435" i="14"/>
  <c r="K740" i="14"/>
  <c r="K1073" i="14"/>
  <c r="K982" i="14"/>
  <c r="K1439" i="14"/>
  <c r="K1556" i="14"/>
  <c r="K1213" i="14"/>
  <c r="K1373" i="14"/>
  <c r="K1322" i="14"/>
  <c r="K1638" i="14"/>
  <c r="K106" i="14"/>
  <c r="K645" i="14"/>
  <c r="K1035" i="14"/>
  <c r="K1505" i="14"/>
  <c r="N45" i="5"/>
  <c r="M45" i="5"/>
  <c r="M51" i="3"/>
  <c r="M21" i="3"/>
  <c r="AB363" i="3"/>
  <c r="AD363" i="3" s="1"/>
  <c r="AE363" i="3" s="1"/>
  <c r="T363" i="3"/>
  <c r="AF363" i="3"/>
  <c r="AZ373" i="1"/>
  <c r="BF373" i="1" s="1"/>
  <c r="BG373" i="1" s="1"/>
  <c r="C135" i="17"/>
  <c r="AF274" i="3"/>
  <c r="AB274" i="3"/>
  <c r="AD274" i="3" s="1"/>
  <c r="AE274" i="3" s="1"/>
  <c r="T274" i="3"/>
  <c r="AZ284" i="1"/>
  <c r="BF284" i="1" s="1"/>
  <c r="BG284" i="1" s="1"/>
  <c r="T296" i="3"/>
  <c r="AB296" i="3"/>
  <c r="AD296" i="3" s="1"/>
  <c r="AE296" i="3" s="1"/>
  <c r="AF296" i="3"/>
  <c r="AZ306" i="1"/>
  <c r="BF306" i="1" s="1"/>
  <c r="BG306" i="1" s="1"/>
  <c r="J134" i="17"/>
  <c r="K134" i="17" s="1"/>
  <c r="I134" i="17"/>
  <c r="F122" i="17"/>
  <c r="G122" i="17" s="1"/>
  <c r="F121" i="17"/>
  <c r="G121" i="17" s="1"/>
  <c r="F92" i="17"/>
  <c r="G92" i="17" s="1"/>
  <c r="F99" i="17"/>
  <c r="G99" i="17" s="1"/>
  <c r="F90" i="17"/>
  <c r="G90" i="17" s="1"/>
  <c r="J121" i="17"/>
  <c r="K121" i="17" s="1"/>
  <c r="I121" i="17"/>
  <c r="AD252" i="3"/>
  <c r="AE252" i="3" s="1"/>
  <c r="T181" i="3"/>
  <c r="AB181" i="3"/>
  <c r="AD181" i="3" s="1"/>
  <c r="AE181" i="3" s="1"/>
  <c r="AF181" i="3"/>
  <c r="AZ191" i="1"/>
  <c r="BF191" i="1" s="1"/>
  <c r="BG191" i="1" s="1"/>
  <c r="AF180" i="3"/>
  <c r="T180" i="3"/>
  <c r="AZ190" i="1"/>
  <c r="BF190" i="1" s="1"/>
  <c r="BG190" i="1" s="1"/>
  <c r="AB180" i="3"/>
  <c r="AD180" i="3" s="1"/>
  <c r="AE180" i="3" s="1"/>
  <c r="Q75" i="3"/>
  <c r="AB31" i="3"/>
  <c r="AD31" i="3" s="1"/>
  <c r="AE31" i="3" s="1"/>
  <c r="AF31" i="3"/>
  <c r="T31" i="3"/>
  <c r="AZ41" i="1"/>
  <c r="BF41" i="1" s="1"/>
  <c r="BG41" i="1" s="1"/>
  <c r="T64" i="3"/>
  <c r="AB64" i="3"/>
  <c r="AD64" i="3" s="1"/>
  <c r="AE64" i="3" s="1"/>
  <c r="AF64" i="3"/>
  <c r="AZ74" i="1"/>
  <c r="BF74" i="1" s="1"/>
  <c r="BG74" i="1" s="1"/>
  <c r="AF60" i="3"/>
  <c r="AB60" i="3"/>
  <c r="AD60" i="3" s="1"/>
  <c r="AE60" i="3" s="1"/>
  <c r="T60" i="3"/>
  <c r="AZ70" i="1"/>
  <c r="BF70" i="1" s="1"/>
  <c r="BG70" i="1" s="1"/>
  <c r="AB149" i="3"/>
  <c r="AD149" i="3" s="1"/>
  <c r="AE149" i="3" s="1"/>
  <c r="AF149" i="3"/>
  <c r="AZ159" i="1"/>
  <c r="BF159" i="1" s="1"/>
  <c r="BG159" i="1" s="1"/>
  <c r="T149" i="3"/>
  <c r="AD123" i="1"/>
  <c r="K24" i="1"/>
  <c r="BF47" i="1"/>
  <c r="BG47" i="1" s="1"/>
  <c r="BF48" i="1"/>
  <c r="BG48" i="1" s="1"/>
  <c r="K61" i="1"/>
  <c r="O98" i="3" l="1"/>
  <c r="Q98" i="3" s="1"/>
  <c r="J108" i="1"/>
  <c r="O6" i="3"/>
  <c r="Q6" i="3" s="1"/>
  <c r="W6" i="3" s="1"/>
  <c r="F16" i="1" s="1"/>
  <c r="J16" i="1"/>
  <c r="O126" i="3"/>
  <c r="Q126" i="3" s="1"/>
  <c r="W126" i="3" s="1"/>
  <c r="F136" i="1" s="1"/>
  <c r="J136" i="1"/>
  <c r="O135" i="3"/>
  <c r="Q135" i="3" s="1"/>
  <c r="W135" i="3"/>
  <c r="F145" i="1" s="1"/>
  <c r="J145" i="1"/>
  <c r="O142" i="3"/>
  <c r="Q142" i="3" s="1"/>
  <c r="J152" i="1"/>
  <c r="O143" i="3"/>
  <c r="Q143" i="3" s="1"/>
  <c r="J153" i="1"/>
  <c r="O11" i="3"/>
  <c r="Q11" i="3" s="1"/>
  <c r="J21" i="1"/>
  <c r="O5" i="3"/>
  <c r="Q5" i="3" s="1"/>
  <c r="J15" i="1"/>
  <c r="O138" i="3"/>
  <c r="Q138" i="3" s="1"/>
  <c r="J148" i="1"/>
  <c r="O103" i="3"/>
  <c r="Q103" i="3" s="1"/>
  <c r="J113" i="1"/>
  <c r="O73" i="3"/>
  <c r="Q73" i="3" s="1"/>
  <c r="J83" i="1"/>
  <c r="O286" i="3"/>
  <c r="Q286" i="3" s="1"/>
  <c r="W286" i="3"/>
  <c r="F296" i="1" s="1"/>
  <c r="J296" i="1"/>
  <c r="O136" i="3"/>
  <c r="Q136" i="3" s="1"/>
  <c r="J146" i="1"/>
  <c r="O49" i="3"/>
  <c r="Q49" i="3" s="1"/>
  <c r="J59" i="1"/>
  <c r="O117" i="3"/>
  <c r="Q117" i="3" s="1"/>
  <c r="W117" i="3" s="1"/>
  <c r="F127" i="1" s="1"/>
  <c r="J127" i="1"/>
  <c r="AF279" i="3"/>
  <c r="AB279" i="3"/>
  <c r="AD279" i="3" s="1"/>
  <c r="AE279" i="3" s="1"/>
  <c r="T279" i="3"/>
  <c r="AZ289" i="1"/>
  <c r="BF289" i="1" s="1"/>
  <c r="BG289" i="1" s="1"/>
  <c r="O287" i="3"/>
  <c r="Q287" i="3" s="1"/>
  <c r="J297" i="1"/>
  <c r="I95" i="17"/>
  <c r="J95" i="17"/>
  <c r="K95" i="17" s="1"/>
  <c r="J124" i="17"/>
  <c r="K124" i="17" s="1"/>
  <c r="I124" i="17"/>
  <c r="O139" i="3"/>
  <c r="Q139" i="3" s="1"/>
  <c r="W139" i="3"/>
  <c r="F149" i="1" s="1"/>
  <c r="J149" i="1"/>
  <c r="M106" i="3"/>
  <c r="M107" i="3"/>
  <c r="O53" i="3"/>
  <c r="Q53" i="3" s="1"/>
  <c r="J63" i="1"/>
  <c r="O84" i="3"/>
  <c r="Q84" i="3" s="1"/>
  <c r="W84" i="3"/>
  <c r="F94" i="1" s="1"/>
  <c r="J94" i="1"/>
  <c r="C51" i="17"/>
  <c r="AF75" i="3"/>
  <c r="T75" i="3"/>
  <c r="AB75" i="3"/>
  <c r="AD75" i="3" s="1"/>
  <c r="AE75" i="3" s="1"/>
  <c r="AZ85" i="1"/>
  <c r="BF85" i="1" s="1"/>
  <c r="BG85" i="1" s="1"/>
  <c r="W109" i="3"/>
  <c r="F119" i="1" s="1"/>
  <c r="O109" i="3"/>
  <c r="Q109" i="3" s="1"/>
  <c r="J119" i="1"/>
  <c r="L837" i="6"/>
  <c r="M837" i="6" s="1"/>
  <c r="N837" i="6" s="1"/>
  <c r="L826" i="6"/>
  <c r="M826" i="6" s="1"/>
  <c r="N826" i="6" s="1"/>
  <c r="W291" i="3"/>
  <c r="F301" i="1" s="1"/>
  <c r="O291" i="3"/>
  <c r="Q291" i="3" s="1"/>
  <c r="J301" i="1"/>
  <c r="I125" i="17"/>
  <c r="J125" i="17"/>
  <c r="K125" i="17" s="1"/>
  <c r="O97" i="3"/>
  <c r="Q97" i="3" s="1"/>
  <c r="J107" i="1"/>
  <c r="O100" i="3"/>
  <c r="Q100" i="3" s="1"/>
  <c r="J110" i="1"/>
  <c r="J98" i="17"/>
  <c r="K98" i="17" s="1"/>
  <c r="I98" i="17"/>
  <c r="O19" i="3"/>
  <c r="Q19" i="3" s="1"/>
  <c r="J29" i="1"/>
  <c r="O81" i="3"/>
  <c r="Q81" i="3" s="1"/>
  <c r="W81" i="3" s="1"/>
  <c r="F91" i="1" s="1"/>
  <c r="J91" i="1"/>
  <c r="C91" i="17"/>
  <c r="T115" i="3"/>
  <c r="AB115" i="3"/>
  <c r="AD115" i="3" s="1"/>
  <c r="AE115" i="3" s="1"/>
  <c r="AF115" i="3"/>
  <c r="AZ125" i="1"/>
  <c r="BF125" i="1" s="1"/>
  <c r="BG125" i="1" s="1"/>
  <c r="W128" i="3"/>
  <c r="F138" i="1" s="1"/>
  <c r="O128" i="3"/>
  <c r="Q128" i="3" s="1"/>
  <c r="J138" i="1"/>
  <c r="W74" i="3"/>
  <c r="F84" i="1" s="1"/>
  <c r="O74" i="3"/>
  <c r="Q74" i="3" s="1"/>
  <c r="J84" i="1"/>
  <c r="O120" i="3"/>
  <c r="Q120" i="3" s="1"/>
  <c r="W120" i="3"/>
  <c r="F130" i="1" s="1"/>
  <c r="J130" i="1"/>
  <c r="W89" i="3"/>
  <c r="F99" i="1" s="1"/>
  <c r="O89" i="3"/>
  <c r="Q89" i="3" s="1"/>
  <c r="J99" i="1"/>
  <c r="O102" i="3"/>
  <c r="Q102" i="3" s="1"/>
  <c r="J112" i="1"/>
  <c r="W112" i="3"/>
  <c r="F122" i="1" s="1"/>
  <c r="O112" i="3"/>
  <c r="Q112" i="3" s="1"/>
  <c r="J122" i="1"/>
  <c r="O132" i="3"/>
  <c r="Q132" i="3" s="1"/>
  <c r="W132" i="3" s="1"/>
  <c r="F142" i="1" s="1"/>
  <c r="J142" i="1"/>
  <c r="O92" i="3"/>
  <c r="Q92" i="3" s="1"/>
  <c r="W92" i="3"/>
  <c r="F102" i="1" s="1"/>
  <c r="J102" i="1"/>
  <c r="O110" i="3"/>
  <c r="Q110" i="3" s="1"/>
  <c r="J120" i="1"/>
  <c r="J55" i="17"/>
  <c r="K55" i="17" s="1"/>
  <c r="I55" i="17"/>
  <c r="O88" i="3"/>
  <c r="Q88" i="3" s="1"/>
  <c r="J98" i="1"/>
  <c r="O51" i="3"/>
  <c r="Q51" i="3" s="1"/>
  <c r="J61" i="1"/>
  <c r="T158" i="3"/>
  <c r="AB158" i="3"/>
  <c r="AD158" i="3" s="1"/>
  <c r="AE158" i="3" s="1"/>
  <c r="AF158" i="3"/>
  <c r="AZ168" i="1"/>
  <c r="BF168" i="1" s="1"/>
  <c r="BG168" i="1" s="1"/>
  <c r="C56" i="17"/>
  <c r="AB80" i="3"/>
  <c r="AD80" i="3" s="1"/>
  <c r="AE80" i="3" s="1"/>
  <c r="T80" i="3"/>
  <c r="AZ90" i="1"/>
  <c r="BF90" i="1" s="1"/>
  <c r="BG90" i="1" s="1"/>
  <c r="AF80" i="3"/>
  <c r="W133" i="3"/>
  <c r="F143" i="1" s="1"/>
  <c r="O133" i="3"/>
  <c r="Q133" i="3" s="1"/>
  <c r="J143" i="1"/>
  <c r="W131" i="3"/>
  <c r="F141" i="1" s="1"/>
  <c r="O131" i="3"/>
  <c r="Q131" i="3" s="1"/>
  <c r="J141" i="1"/>
  <c r="AF399" i="3"/>
  <c r="AB399" i="3"/>
  <c r="AD399" i="3" s="1"/>
  <c r="AE399" i="3" s="1"/>
  <c r="T399" i="3"/>
  <c r="AZ409" i="1"/>
  <c r="BF409" i="1" s="1"/>
  <c r="BG409" i="1" s="1"/>
  <c r="W125" i="3"/>
  <c r="F135" i="1" s="1"/>
  <c r="O125" i="3"/>
  <c r="Q125" i="3" s="1"/>
  <c r="J135" i="1"/>
  <c r="O76" i="3"/>
  <c r="Q76" i="3" s="1"/>
  <c r="W76" i="3" s="1"/>
  <c r="F86" i="1" s="1"/>
  <c r="J86" i="1"/>
  <c r="O96" i="3"/>
  <c r="Q96" i="3" s="1"/>
  <c r="W96" i="3" s="1"/>
  <c r="F106" i="1" s="1"/>
  <c r="J106" i="1"/>
  <c r="O17" i="3"/>
  <c r="Q17" i="3" s="1"/>
  <c r="J27" i="1"/>
  <c r="O56" i="3"/>
  <c r="Q56" i="3" s="1"/>
  <c r="J66" i="1"/>
  <c r="M4" i="3"/>
  <c r="J133" i="17"/>
  <c r="K133" i="17" s="1"/>
  <c r="I133" i="17"/>
  <c r="W55" i="3"/>
  <c r="F65" i="1" s="1"/>
  <c r="O55" i="3"/>
  <c r="Q55" i="3" s="1"/>
  <c r="J65" i="1"/>
  <c r="J137" i="17"/>
  <c r="K137" i="17" s="1"/>
  <c r="I137" i="17"/>
  <c r="M99" i="3"/>
  <c r="O295" i="3"/>
  <c r="Q295" i="3" s="1"/>
  <c r="W295" i="3" s="1"/>
  <c r="F305" i="1" s="1"/>
  <c r="J305" i="1"/>
  <c r="O124" i="3"/>
  <c r="Q124" i="3" s="1"/>
  <c r="W124" i="3"/>
  <c r="F134" i="1" s="1"/>
  <c r="J134" i="1"/>
  <c r="J99" i="17"/>
  <c r="K99" i="17" s="1"/>
  <c r="I99" i="17"/>
  <c r="C63" i="17"/>
  <c r="T87" i="3"/>
  <c r="AF87" i="3"/>
  <c r="AB87" i="3"/>
  <c r="AD87" i="3" s="1"/>
  <c r="AE87" i="3" s="1"/>
  <c r="AZ97" i="1"/>
  <c r="BF97" i="1" s="1"/>
  <c r="BG97" i="1" s="1"/>
  <c r="W14" i="3"/>
  <c r="F24" i="1" s="1"/>
  <c r="O14" i="3"/>
  <c r="Q14" i="3" s="1"/>
  <c r="J24" i="1"/>
  <c r="O289" i="3"/>
  <c r="Q289" i="3" s="1"/>
  <c r="W289" i="3"/>
  <c r="F299" i="1" s="1"/>
  <c r="J299" i="1"/>
  <c r="O47" i="3"/>
  <c r="Q47" i="3" s="1"/>
  <c r="W47" i="3" s="1"/>
  <c r="F57" i="1" s="1"/>
  <c r="J57" i="1"/>
  <c r="W26" i="3"/>
  <c r="F36" i="1" s="1"/>
  <c r="O26" i="3"/>
  <c r="Q26" i="3" s="1"/>
  <c r="J36" i="1"/>
  <c r="J1888" i="14"/>
  <c r="K1888" i="14" s="1"/>
  <c r="J1906" i="14"/>
  <c r="K1906" i="14" s="1"/>
  <c r="L814" i="6"/>
  <c r="M814" i="6" s="1"/>
  <c r="N814" i="6" s="1"/>
  <c r="L805" i="6"/>
  <c r="M805" i="6" s="1"/>
  <c r="N805" i="6" s="1"/>
  <c r="L825" i="6"/>
  <c r="M825" i="6" s="1"/>
  <c r="N825" i="6" s="1"/>
  <c r="J1895" i="14"/>
  <c r="K1895" i="14" s="1"/>
  <c r="J1877" i="14"/>
  <c r="K1877" i="14" s="1"/>
  <c r="L811" i="6"/>
  <c r="M811" i="6" s="1"/>
  <c r="N811" i="6" s="1"/>
  <c r="L793" i="6"/>
  <c r="M793" i="6" s="1"/>
  <c r="N793" i="6" s="1"/>
  <c r="L833" i="6"/>
  <c r="M833" i="6" s="1"/>
  <c r="N833" i="6" s="1"/>
  <c r="L783" i="6"/>
  <c r="M783" i="6" s="1"/>
  <c r="N783" i="6" s="1"/>
  <c r="L821" i="6"/>
  <c r="M821" i="6" s="1"/>
  <c r="N821" i="6" s="1"/>
  <c r="L775" i="6"/>
  <c r="M775" i="6" s="1"/>
  <c r="N775" i="6" s="1"/>
  <c r="M368" i="3" s="1"/>
  <c r="W77" i="3"/>
  <c r="F87" i="1" s="1"/>
  <c r="O77" i="3"/>
  <c r="Q77" i="3" s="1"/>
  <c r="J87" i="1"/>
  <c r="I97" i="17"/>
  <c r="J97" i="17"/>
  <c r="K97" i="17" s="1"/>
  <c r="O25" i="3"/>
  <c r="Q25" i="3" s="1"/>
  <c r="W25" i="3"/>
  <c r="F35" i="1" s="1"/>
  <c r="J35" i="1"/>
  <c r="J127" i="17"/>
  <c r="K127" i="17" s="1"/>
  <c r="I127" i="17"/>
  <c r="O290" i="3"/>
  <c r="Q290" i="3" s="1"/>
  <c r="J300" i="1"/>
  <c r="O253" i="3"/>
  <c r="Q253" i="3" s="1"/>
  <c r="J263" i="1"/>
  <c r="AF238" i="3"/>
  <c r="AB238" i="3"/>
  <c r="AD238" i="3" s="1"/>
  <c r="AE238" i="3" s="1"/>
  <c r="T238" i="3"/>
  <c r="AZ248" i="1"/>
  <c r="BF248" i="1" s="1"/>
  <c r="BG248" i="1" s="1"/>
  <c r="X9" i="4"/>
  <c r="J136" i="17"/>
  <c r="K136" i="17" s="1"/>
  <c r="I136" i="17"/>
  <c r="O44" i="3"/>
  <c r="Q44" i="3" s="1"/>
  <c r="W44" i="3"/>
  <c r="F54" i="1" s="1"/>
  <c r="J54" i="1"/>
  <c r="W294" i="3"/>
  <c r="F304" i="1" s="1"/>
  <c r="O294" i="3"/>
  <c r="Q294" i="3" s="1"/>
  <c r="J304" i="1"/>
  <c r="L824" i="6"/>
  <c r="M824" i="6" s="1"/>
  <c r="N824" i="6" s="1"/>
  <c r="L836" i="6"/>
  <c r="M836" i="6" s="1"/>
  <c r="N836" i="6" s="1"/>
  <c r="O108" i="3"/>
  <c r="Q108" i="3" s="1"/>
  <c r="J118" i="1"/>
  <c r="W15" i="3"/>
  <c r="F25" i="1" s="1"/>
  <c r="O15" i="3"/>
  <c r="Q15" i="3" s="1"/>
  <c r="J25" i="1"/>
  <c r="O105" i="3"/>
  <c r="Q105" i="3" s="1"/>
  <c r="W105" i="3" s="1"/>
  <c r="F115" i="1" s="1"/>
  <c r="J115" i="1"/>
  <c r="O140" i="3"/>
  <c r="Q140" i="3" s="1"/>
  <c r="J150" i="1"/>
  <c r="J146" i="17"/>
  <c r="K146" i="17" s="1"/>
  <c r="I146" i="17"/>
  <c r="W113" i="3"/>
  <c r="F123" i="1" s="1"/>
  <c r="O113" i="3"/>
  <c r="Q113" i="3" s="1"/>
  <c r="J123" i="1"/>
  <c r="O50" i="3"/>
  <c r="Q50" i="3" s="1"/>
  <c r="W50" i="3" s="1"/>
  <c r="F60" i="1" s="1"/>
  <c r="J60" i="1"/>
  <c r="M10" i="3"/>
  <c r="J54" i="17"/>
  <c r="K54" i="17" s="1"/>
  <c r="I54" i="17"/>
  <c r="O43" i="3"/>
  <c r="Q43" i="3" s="1"/>
  <c r="W43" i="3" s="1"/>
  <c r="F53" i="1" s="1"/>
  <c r="J53" i="1"/>
  <c r="O95" i="3"/>
  <c r="Q95" i="3" s="1"/>
  <c r="J105" i="1"/>
  <c r="O54" i="3"/>
  <c r="Q54" i="3" s="1"/>
  <c r="W54" i="3" s="1"/>
  <c r="F64" i="1" s="1"/>
  <c r="J64" i="1"/>
  <c r="T395" i="3"/>
  <c r="AB395" i="3"/>
  <c r="AD395" i="3" s="1"/>
  <c r="AE395" i="3" s="1"/>
  <c r="AF395" i="3"/>
  <c r="AZ405" i="1"/>
  <c r="BF405" i="1" s="1"/>
  <c r="BG405" i="1" s="1"/>
  <c r="O72" i="3"/>
  <c r="Q72" i="3" s="1"/>
  <c r="W72" i="3"/>
  <c r="F82" i="1" s="1"/>
  <c r="J82" i="1"/>
  <c r="O45" i="3"/>
  <c r="Q45" i="3" s="1"/>
  <c r="J55" i="1"/>
  <c r="W130" i="3"/>
  <c r="F140" i="1" s="1"/>
  <c r="O130" i="3"/>
  <c r="Q130" i="3" s="1"/>
  <c r="J140" i="1"/>
  <c r="W141" i="3"/>
  <c r="F151" i="1" s="1"/>
  <c r="O141" i="3"/>
  <c r="Q141" i="3" s="1"/>
  <c r="J151" i="1"/>
  <c r="L797" i="6"/>
  <c r="M797" i="6" s="1"/>
  <c r="N797" i="6" s="1"/>
  <c r="L786" i="6"/>
  <c r="M786" i="6" s="1"/>
  <c r="N786" i="6" s="1"/>
  <c r="F136" i="17"/>
  <c r="G136" i="17" s="1"/>
  <c r="W104" i="3"/>
  <c r="F114" i="1" s="1"/>
  <c r="O104" i="3"/>
  <c r="Q104" i="3" s="1"/>
  <c r="J114" i="1"/>
  <c r="I130" i="17"/>
  <c r="J130" i="17"/>
  <c r="K130" i="17" s="1"/>
  <c r="O20" i="3"/>
  <c r="Q20" i="3" s="1"/>
  <c r="W20" i="3"/>
  <c r="F30" i="1" s="1"/>
  <c r="J30" i="1"/>
  <c r="W13" i="3"/>
  <c r="F23" i="1" s="1"/>
  <c r="O13" i="3"/>
  <c r="Q13" i="3" s="1"/>
  <c r="J23" i="1"/>
  <c r="O91" i="3"/>
  <c r="Q91" i="3" s="1"/>
  <c r="W91" i="3" s="1"/>
  <c r="F101" i="1" s="1"/>
  <c r="J101" i="1"/>
  <c r="T206" i="3"/>
  <c r="AF206" i="3"/>
  <c r="AB206" i="3"/>
  <c r="AD206" i="3" s="1"/>
  <c r="AE206" i="3" s="1"/>
  <c r="AZ216" i="1"/>
  <c r="BF216" i="1" s="1"/>
  <c r="BG216" i="1" s="1"/>
  <c r="O24" i="3"/>
  <c r="Q24" i="3" s="1"/>
  <c r="J34" i="1"/>
  <c r="W52" i="3"/>
  <c r="F62" i="1" s="1"/>
  <c r="O52" i="3"/>
  <c r="Q52" i="3" s="1"/>
  <c r="J62" i="1"/>
  <c r="O250" i="3"/>
  <c r="Q250" i="3" s="1"/>
  <c r="W250" i="3"/>
  <c r="F260" i="1" s="1"/>
  <c r="J260" i="1"/>
  <c r="T201" i="3"/>
  <c r="F114" i="4" s="1"/>
  <c r="K114" i="4" s="1"/>
  <c r="L114" i="4" s="1"/>
  <c r="N114" i="4" s="1"/>
  <c r="AB201" i="3"/>
  <c r="AD201" i="3" s="1"/>
  <c r="AE201" i="3" s="1"/>
  <c r="AF201" i="3"/>
  <c r="AZ211" i="1"/>
  <c r="BF211" i="1" s="1"/>
  <c r="BG211" i="1" s="1"/>
  <c r="O127" i="3"/>
  <c r="Q127" i="3" s="1"/>
  <c r="J137" i="1"/>
  <c r="W94" i="3"/>
  <c r="F104" i="1" s="1"/>
  <c r="O94" i="3"/>
  <c r="Q94" i="3" s="1"/>
  <c r="J104" i="1"/>
  <c r="W137" i="3"/>
  <c r="F147" i="1" s="1"/>
  <c r="O137" i="3"/>
  <c r="Q137" i="3" s="1"/>
  <c r="J147" i="1"/>
  <c r="M7" i="3"/>
  <c r="M134" i="3"/>
  <c r="O118" i="3"/>
  <c r="Q118" i="3" s="1"/>
  <c r="J128" i="1"/>
  <c r="O18" i="3"/>
  <c r="Q18" i="3" s="1"/>
  <c r="W18" i="3" s="1"/>
  <c r="F28" i="1" s="1"/>
  <c r="J28" i="1"/>
  <c r="L796" i="6"/>
  <c r="M796" i="6" s="1"/>
  <c r="N796" i="6" s="1"/>
  <c r="L815" i="6"/>
  <c r="M815" i="6" s="1"/>
  <c r="N815" i="6" s="1"/>
  <c r="I135" i="17"/>
  <c r="J135" i="17"/>
  <c r="K135" i="17" s="1"/>
  <c r="O271" i="3"/>
  <c r="Q271" i="3" s="1"/>
  <c r="J281" i="1"/>
  <c r="O22" i="3"/>
  <c r="Q22" i="3" s="1"/>
  <c r="W22" i="3"/>
  <c r="F32" i="1" s="1"/>
  <c r="J32" i="1"/>
  <c r="T390" i="3"/>
  <c r="AF390" i="3"/>
  <c r="AB390" i="3"/>
  <c r="AD390" i="3" s="1"/>
  <c r="AE390" i="3" s="1"/>
  <c r="AZ400" i="1"/>
  <c r="BF400" i="1" s="1"/>
  <c r="BG400" i="1" s="1"/>
  <c r="O129" i="3"/>
  <c r="Q129" i="3" s="1"/>
  <c r="W129" i="3"/>
  <c r="F139" i="1" s="1"/>
  <c r="J139" i="1"/>
  <c r="F125" i="17"/>
  <c r="G125" i="17" s="1"/>
  <c r="F135" i="17"/>
  <c r="G135" i="17" s="1"/>
  <c r="O101" i="3"/>
  <c r="Q101" i="3" s="1"/>
  <c r="W101" i="3"/>
  <c r="F111" i="1" s="1"/>
  <c r="J111" i="1"/>
  <c r="O12" i="3"/>
  <c r="Q12" i="3" s="1"/>
  <c r="W12" i="3"/>
  <c r="F22" i="1" s="1"/>
  <c r="J22" i="1"/>
  <c r="M90" i="3"/>
  <c r="J131" i="17"/>
  <c r="K131" i="17" s="1"/>
  <c r="I131" i="17"/>
  <c r="W82" i="3"/>
  <c r="F92" i="1" s="1"/>
  <c r="O82" i="3"/>
  <c r="Q82" i="3" s="1"/>
  <c r="J92" i="1"/>
  <c r="O48" i="3"/>
  <c r="Q48" i="3" s="1"/>
  <c r="W48" i="3" s="1"/>
  <c r="F58" i="1" s="1"/>
  <c r="J58" i="1"/>
  <c r="O16" i="3"/>
  <c r="Q16" i="3" s="1"/>
  <c r="J26" i="1"/>
  <c r="W16" i="3"/>
  <c r="F26" i="1" s="1"/>
  <c r="O268" i="3"/>
  <c r="Q268" i="3" s="1"/>
  <c r="J278" i="1"/>
  <c r="O21" i="3"/>
  <c r="Q21" i="3" s="1"/>
  <c r="J31" i="1"/>
  <c r="C61" i="17"/>
  <c r="T85" i="3"/>
  <c r="AB85" i="3"/>
  <c r="AD85" i="3" s="1"/>
  <c r="AE85" i="3" s="1"/>
  <c r="AF85" i="3"/>
  <c r="AZ95" i="1"/>
  <c r="BF95" i="1" s="1"/>
  <c r="BG95" i="1" s="1"/>
  <c r="O93" i="3"/>
  <c r="Q93" i="3" s="1"/>
  <c r="W93" i="3" s="1"/>
  <c r="F103" i="1" s="1"/>
  <c r="J103" i="1"/>
  <c r="O292" i="3"/>
  <c r="Q292" i="3" s="1"/>
  <c r="J302" i="1"/>
  <c r="I87" i="17"/>
  <c r="J87" i="17"/>
  <c r="K87" i="17" s="1"/>
  <c r="O42" i="3"/>
  <c r="Q42" i="3" s="1"/>
  <c r="W42" i="3"/>
  <c r="F52" i="1" s="1"/>
  <c r="J52" i="1"/>
  <c r="W23" i="3"/>
  <c r="F33" i="1" s="1"/>
  <c r="O23" i="3"/>
  <c r="Q23" i="3" s="1"/>
  <c r="J33" i="1"/>
  <c r="O46" i="3"/>
  <c r="Q46" i="3" s="1"/>
  <c r="W46" i="3"/>
  <c r="F56" i="1" s="1"/>
  <c r="J56" i="1"/>
  <c r="O368" i="3" l="1"/>
  <c r="Q368" i="3" s="1"/>
  <c r="J378" i="1"/>
  <c r="BH136" i="1"/>
  <c r="M26" i="1"/>
  <c r="L26" i="1"/>
  <c r="N26" i="1" s="1"/>
  <c r="X26" i="1" s="1"/>
  <c r="Y26" i="1" s="1"/>
  <c r="C77" i="17"/>
  <c r="AF101" i="3"/>
  <c r="AB101" i="3"/>
  <c r="AD101" i="3" s="1"/>
  <c r="AE101" i="3" s="1"/>
  <c r="T101" i="3"/>
  <c r="AZ111" i="1"/>
  <c r="BF111" i="1" s="1"/>
  <c r="BG111" i="1" s="1"/>
  <c r="BH111" i="1" s="1"/>
  <c r="J61" i="17"/>
  <c r="K61" i="17" s="1"/>
  <c r="I61" i="17"/>
  <c r="F61" i="17"/>
  <c r="G61" i="17" s="1"/>
  <c r="C58" i="17"/>
  <c r="T82" i="3"/>
  <c r="V82" i="3" s="1"/>
  <c r="AB82" i="3"/>
  <c r="AD82" i="3" s="1"/>
  <c r="AE82" i="3" s="1"/>
  <c r="AZ92" i="1"/>
  <c r="BF92" i="1" s="1"/>
  <c r="BG92" i="1" s="1"/>
  <c r="AF82" i="3"/>
  <c r="M111" i="1"/>
  <c r="L111" i="1"/>
  <c r="N111" i="1" s="1"/>
  <c r="X111" i="1" s="1"/>
  <c r="Y111" i="1" s="1"/>
  <c r="C53" i="17"/>
  <c r="T77" i="3"/>
  <c r="V77" i="3" s="1"/>
  <c r="AB77" i="3"/>
  <c r="AD77" i="3" s="1"/>
  <c r="AE77" i="3" s="1"/>
  <c r="AF77" i="3"/>
  <c r="AZ87" i="1"/>
  <c r="BF87" i="1" s="1"/>
  <c r="BG87" i="1" s="1"/>
  <c r="M57" i="1"/>
  <c r="N57" i="1" s="1"/>
  <c r="X57" i="1" s="1"/>
  <c r="Y57" i="1" s="1"/>
  <c r="L57" i="1"/>
  <c r="M65" i="1"/>
  <c r="L65" i="1"/>
  <c r="N65" i="1" s="1"/>
  <c r="X65" i="1" s="1"/>
  <c r="Y65" i="1" s="1"/>
  <c r="C86" i="17"/>
  <c r="AB110" i="3"/>
  <c r="AD110" i="3" s="1"/>
  <c r="AE110" i="3" s="1"/>
  <c r="T110" i="3"/>
  <c r="V110" i="3" s="1"/>
  <c r="AF110" i="3"/>
  <c r="AZ120" i="1"/>
  <c r="BF120" i="1" s="1"/>
  <c r="BG120" i="1" s="1"/>
  <c r="L122" i="1"/>
  <c r="M122" i="1"/>
  <c r="N122" i="1" s="1"/>
  <c r="X122" i="1" s="1"/>
  <c r="Y122" i="1" s="1"/>
  <c r="M138" i="1"/>
  <c r="L138" i="1"/>
  <c r="N138" i="1" s="1"/>
  <c r="X138" i="1" s="1"/>
  <c r="Y138" i="1" s="1"/>
  <c r="C76" i="17"/>
  <c r="T100" i="3"/>
  <c r="AB100" i="3"/>
  <c r="AD100" i="3" s="1"/>
  <c r="AE100" i="3" s="1"/>
  <c r="AZ110" i="1"/>
  <c r="BF110" i="1" s="1"/>
  <c r="BG110" i="1" s="1"/>
  <c r="AF100" i="3"/>
  <c r="C44" i="17"/>
  <c r="AF53" i="3"/>
  <c r="AZ63" i="1"/>
  <c r="BF63" i="1" s="1"/>
  <c r="BG63" i="1" s="1"/>
  <c r="AB53" i="3"/>
  <c r="AD53" i="3" s="1"/>
  <c r="AE53" i="3" s="1"/>
  <c r="T53" i="3"/>
  <c r="M127" i="1"/>
  <c r="L127" i="1"/>
  <c r="N127" i="1" s="1"/>
  <c r="X127" i="1" s="1"/>
  <c r="Y127" i="1" s="1"/>
  <c r="C112" i="17"/>
  <c r="AB136" i="3"/>
  <c r="AD136" i="3" s="1"/>
  <c r="AE136" i="3" s="1"/>
  <c r="AF136" i="3"/>
  <c r="T136" i="3"/>
  <c r="AZ146" i="1"/>
  <c r="BF146" i="1" s="1"/>
  <c r="BG146" i="1" s="1"/>
  <c r="L113" i="1"/>
  <c r="N113" i="1"/>
  <c r="X113" i="1" s="1"/>
  <c r="Y113" i="1" s="1"/>
  <c r="M113" i="1"/>
  <c r="C13" i="17"/>
  <c r="AB5" i="3"/>
  <c r="AD5" i="3" s="1"/>
  <c r="AE5" i="3" s="1"/>
  <c r="T5" i="3"/>
  <c r="AZ15" i="1"/>
  <c r="BF15" i="1" s="1"/>
  <c r="BG15" i="1" s="1"/>
  <c r="AF5" i="3"/>
  <c r="L152" i="1"/>
  <c r="N152" i="1" s="1"/>
  <c r="X152" i="1" s="1"/>
  <c r="Y152" i="1" s="1"/>
  <c r="M152" i="1"/>
  <c r="N52" i="1"/>
  <c r="M52" i="1"/>
  <c r="L52" i="1"/>
  <c r="C132" i="17"/>
  <c r="T271" i="3"/>
  <c r="AB271" i="3"/>
  <c r="AD271" i="3" s="1"/>
  <c r="AE271" i="3" s="1"/>
  <c r="AF271" i="3"/>
  <c r="AZ281" i="1"/>
  <c r="BF281" i="1" s="1"/>
  <c r="BG281" i="1" s="1"/>
  <c r="C27" i="17"/>
  <c r="T21" i="3"/>
  <c r="AB21" i="3"/>
  <c r="AD21" i="3" s="1"/>
  <c r="AE21" i="3" s="1"/>
  <c r="AF21" i="3"/>
  <c r="AZ31" i="1"/>
  <c r="BF31" i="1" s="1"/>
  <c r="BG31" i="1" s="1"/>
  <c r="C145" i="17"/>
  <c r="AF292" i="3"/>
  <c r="AB292" i="3"/>
  <c r="AD292" i="3" s="1"/>
  <c r="AE292" i="3" s="1"/>
  <c r="T292" i="3"/>
  <c r="AZ302" i="1"/>
  <c r="BF302" i="1" s="1"/>
  <c r="BG302" i="1" s="1"/>
  <c r="M281" i="1"/>
  <c r="L281" i="1"/>
  <c r="N281" i="1" s="1"/>
  <c r="X281" i="1" s="1"/>
  <c r="Y281" i="1" s="1"/>
  <c r="L147" i="1"/>
  <c r="N147" i="1" s="1"/>
  <c r="X147" i="1" s="1"/>
  <c r="Y147" i="1" s="1"/>
  <c r="M147" i="1"/>
  <c r="C103" i="17"/>
  <c r="T127" i="3"/>
  <c r="AZ137" i="1"/>
  <c r="BF137" i="1" s="1"/>
  <c r="BG137" i="1" s="1"/>
  <c r="AB127" i="3"/>
  <c r="AD127" i="3" s="1"/>
  <c r="AE127" i="3" s="1"/>
  <c r="AF127" i="3"/>
  <c r="L62" i="1"/>
  <c r="N62" i="1" s="1"/>
  <c r="X62" i="1" s="1"/>
  <c r="Y62" i="1" s="1"/>
  <c r="M62" i="1"/>
  <c r="C71" i="17"/>
  <c r="AB95" i="3"/>
  <c r="AD95" i="3" s="1"/>
  <c r="AE95" i="3" s="1"/>
  <c r="T95" i="3"/>
  <c r="AF95" i="3"/>
  <c r="AZ105" i="1"/>
  <c r="BF105" i="1" s="1"/>
  <c r="BG105" i="1" s="1"/>
  <c r="C116" i="17"/>
  <c r="T140" i="3"/>
  <c r="AB140" i="3"/>
  <c r="AD140" i="3" s="1"/>
  <c r="AE140" i="3" s="1"/>
  <c r="AF140" i="3"/>
  <c r="AZ150" i="1"/>
  <c r="BF150" i="1" s="1"/>
  <c r="BG150" i="1" s="1"/>
  <c r="W292" i="3"/>
  <c r="F302" i="1" s="1"/>
  <c r="L31" i="1"/>
  <c r="M31" i="1"/>
  <c r="N31" i="1" s="1"/>
  <c r="X31" i="1" s="1"/>
  <c r="Y31" i="1" s="1"/>
  <c r="L28" i="1"/>
  <c r="N28" i="1" s="1"/>
  <c r="X28" i="1" s="1"/>
  <c r="Y28" i="1" s="1"/>
  <c r="M28" i="1"/>
  <c r="C113" i="17"/>
  <c r="T137" i="3"/>
  <c r="AZ147" i="1"/>
  <c r="BF147" i="1" s="1"/>
  <c r="BG147" i="1" s="1"/>
  <c r="BH147" i="1" s="1"/>
  <c r="AF137" i="3"/>
  <c r="AB137" i="3"/>
  <c r="AD137" i="3" s="1"/>
  <c r="AE137" i="3" s="1"/>
  <c r="W127" i="3"/>
  <c r="F137" i="1" s="1"/>
  <c r="BH137" i="1" s="1"/>
  <c r="C43" i="17"/>
  <c r="T52" i="3"/>
  <c r="AB52" i="3"/>
  <c r="AD52" i="3" s="1"/>
  <c r="AE52" i="3" s="1"/>
  <c r="AF52" i="3"/>
  <c r="AZ62" i="1"/>
  <c r="BF62" i="1" s="1"/>
  <c r="BG62" i="1" s="1"/>
  <c r="BH62" i="1" s="1"/>
  <c r="M30" i="1"/>
  <c r="L30" i="1"/>
  <c r="N30" i="1" s="1"/>
  <c r="X30" i="1" s="1"/>
  <c r="Y30" i="1" s="1"/>
  <c r="W140" i="3"/>
  <c r="F150" i="1" s="1"/>
  <c r="BH150" i="1" s="1"/>
  <c r="M118" i="1"/>
  <c r="L118" i="1"/>
  <c r="N118" i="1" s="1"/>
  <c r="X118" i="1" s="1"/>
  <c r="Y118" i="1" s="1"/>
  <c r="L54" i="1"/>
  <c r="N54" i="1" s="1"/>
  <c r="X54" i="1" s="1"/>
  <c r="Y54" i="1" s="1"/>
  <c r="M54" i="1"/>
  <c r="C100" i="17"/>
  <c r="AB124" i="3"/>
  <c r="AD124" i="3" s="1"/>
  <c r="AE124" i="3" s="1"/>
  <c r="T124" i="3"/>
  <c r="V124" i="3" s="1"/>
  <c r="AF124" i="3"/>
  <c r="AZ134" i="1"/>
  <c r="BF134" i="1" s="1"/>
  <c r="BG134" i="1" s="1"/>
  <c r="BH134" i="1" s="1"/>
  <c r="C46" i="17"/>
  <c r="AB55" i="3"/>
  <c r="AD55" i="3" s="1"/>
  <c r="AE55" i="3" s="1"/>
  <c r="AF55" i="3"/>
  <c r="AZ65" i="1"/>
  <c r="BF65" i="1" s="1"/>
  <c r="BG65" i="1" s="1"/>
  <c r="T55" i="3"/>
  <c r="M27" i="1"/>
  <c r="L27" i="1"/>
  <c r="N27" i="1" s="1"/>
  <c r="X27" i="1" s="1"/>
  <c r="Y27" i="1" s="1"/>
  <c r="L141" i="1"/>
  <c r="M141" i="1"/>
  <c r="N141" i="1" s="1"/>
  <c r="X141" i="1" s="1"/>
  <c r="Y141" i="1" s="1"/>
  <c r="C42" i="17"/>
  <c r="T51" i="3"/>
  <c r="AF51" i="3"/>
  <c r="AZ61" i="1"/>
  <c r="BF61" i="1" s="1"/>
  <c r="BG61" i="1" s="1"/>
  <c r="AB51" i="3"/>
  <c r="AD51" i="3" s="1"/>
  <c r="AE51" i="3" s="1"/>
  <c r="C88" i="17"/>
  <c r="T112" i="3"/>
  <c r="AZ122" i="1"/>
  <c r="BF122" i="1" s="1"/>
  <c r="BG122" i="1" s="1"/>
  <c r="BH122" i="1" s="1"/>
  <c r="AF112" i="3"/>
  <c r="AB112" i="3"/>
  <c r="AD112" i="3" s="1"/>
  <c r="AE112" i="3" s="1"/>
  <c r="C104" i="17"/>
  <c r="AB128" i="3"/>
  <c r="AD128" i="3" s="1"/>
  <c r="AE128" i="3" s="1"/>
  <c r="T128" i="3"/>
  <c r="AF128" i="3"/>
  <c r="AZ138" i="1"/>
  <c r="BF138" i="1" s="1"/>
  <c r="BG138" i="1" s="1"/>
  <c r="W100" i="3"/>
  <c r="F110" i="1" s="1"/>
  <c r="BH110" i="1" s="1"/>
  <c r="C144" i="17"/>
  <c r="T291" i="3"/>
  <c r="AB291" i="3"/>
  <c r="AD291" i="3" s="1"/>
  <c r="AE291" i="3" s="1"/>
  <c r="AF291" i="3"/>
  <c r="AZ301" i="1"/>
  <c r="BF301" i="1" s="1"/>
  <c r="BG301" i="1" s="1"/>
  <c r="W53" i="3"/>
  <c r="F63" i="1" s="1"/>
  <c r="C118" i="17"/>
  <c r="T142" i="3"/>
  <c r="AF142" i="3"/>
  <c r="AB142" i="3"/>
  <c r="AD142" i="3" s="1"/>
  <c r="AE142" i="3" s="1"/>
  <c r="AZ152" i="1"/>
  <c r="BF152" i="1" s="1"/>
  <c r="BG152" i="1" s="1"/>
  <c r="C102" i="17"/>
  <c r="AF126" i="3"/>
  <c r="AB126" i="3"/>
  <c r="AD126" i="3" s="1"/>
  <c r="AE126" i="3" s="1"/>
  <c r="T126" i="3"/>
  <c r="AZ136" i="1"/>
  <c r="BF136" i="1" s="1"/>
  <c r="BG136" i="1" s="1"/>
  <c r="M53" i="1"/>
  <c r="N53" i="1"/>
  <c r="X53" i="1" s="1"/>
  <c r="Y53" i="1" s="1"/>
  <c r="L53" i="1"/>
  <c r="C41" i="17"/>
  <c r="AF50" i="3"/>
  <c r="T50" i="3"/>
  <c r="AZ60" i="1"/>
  <c r="BF60" i="1" s="1"/>
  <c r="BG60" i="1" s="1"/>
  <c r="BH60" i="1" s="1"/>
  <c r="AB50" i="3"/>
  <c r="AD50" i="3" s="1"/>
  <c r="AE50" i="3" s="1"/>
  <c r="BH87" i="1"/>
  <c r="M348" i="3"/>
  <c r="M372" i="3"/>
  <c r="C23" i="17"/>
  <c r="T17" i="3"/>
  <c r="AF17" i="3"/>
  <c r="AZ27" i="1"/>
  <c r="BF27" i="1" s="1"/>
  <c r="BG27" i="1" s="1"/>
  <c r="AB17" i="3"/>
  <c r="AD17" i="3" s="1"/>
  <c r="AE17" i="3" s="1"/>
  <c r="C52" i="17"/>
  <c r="T76" i="3"/>
  <c r="V76" i="3" s="1"/>
  <c r="AF76" i="3"/>
  <c r="AB76" i="3"/>
  <c r="AD76" i="3" s="1"/>
  <c r="AE76" i="3" s="1"/>
  <c r="AZ86" i="1"/>
  <c r="BF86" i="1" s="1"/>
  <c r="BG86" i="1" s="1"/>
  <c r="BH86" i="1" s="1"/>
  <c r="M98" i="1"/>
  <c r="L98" i="1"/>
  <c r="N98" i="1"/>
  <c r="X98" i="1" s="1"/>
  <c r="Y98" i="1" s="1"/>
  <c r="M102" i="1"/>
  <c r="L102" i="1"/>
  <c r="N102" i="1" s="1"/>
  <c r="X102" i="1" s="1"/>
  <c r="Y102" i="1" s="1"/>
  <c r="L130" i="1"/>
  <c r="M130" i="1"/>
  <c r="N130" i="1" s="1"/>
  <c r="X130" i="1" s="1"/>
  <c r="Y130" i="1" s="1"/>
  <c r="C57" i="17"/>
  <c r="AF81" i="3"/>
  <c r="AB81" i="3"/>
  <c r="AD81" i="3" s="1"/>
  <c r="AE81" i="3" s="1"/>
  <c r="T81" i="3"/>
  <c r="V81" i="3" s="1"/>
  <c r="AZ91" i="1"/>
  <c r="BF91" i="1" s="1"/>
  <c r="BG91" i="1" s="1"/>
  <c r="BH91" i="1" s="1"/>
  <c r="BH301" i="1"/>
  <c r="O107" i="3"/>
  <c r="Q107" i="3" s="1"/>
  <c r="W107" i="3" s="1"/>
  <c r="F117" i="1" s="1"/>
  <c r="J117" i="1"/>
  <c r="M297" i="1"/>
  <c r="L297" i="1"/>
  <c r="N297" i="1" s="1"/>
  <c r="X297" i="1" s="1"/>
  <c r="Y297" i="1" s="1"/>
  <c r="M296" i="1"/>
  <c r="N296" i="1"/>
  <c r="X296" i="1" s="1"/>
  <c r="Y296" i="1" s="1"/>
  <c r="L296" i="1"/>
  <c r="C79" i="17"/>
  <c r="T103" i="3"/>
  <c r="AF103" i="3"/>
  <c r="AB103" i="3"/>
  <c r="AD103" i="3" s="1"/>
  <c r="AE103" i="3" s="1"/>
  <c r="AZ113" i="1"/>
  <c r="BF113" i="1" s="1"/>
  <c r="BG113" i="1" s="1"/>
  <c r="L21" i="1"/>
  <c r="M21" i="1"/>
  <c r="N21" i="1"/>
  <c r="X21" i="1" s="1"/>
  <c r="Y21" i="1" s="1"/>
  <c r="M16" i="1"/>
  <c r="N16" i="1" s="1"/>
  <c r="X16" i="1" s="1"/>
  <c r="Y16" i="1" s="1"/>
  <c r="L16" i="1"/>
  <c r="L115" i="1"/>
  <c r="M115" i="1"/>
  <c r="N115" i="1"/>
  <c r="X115" i="1" s="1"/>
  <c r="Y115" i="1" s="1"/>
  <c r="C84" i="17"/>
  <c r="AF108" i="3"/>
  <c r="T108" i="3"/>
  <c r="AB108" i="3"/>
  <c r="AD108" i="3" s="1"/>
  <c r="AE108" i="3" s="1"/>
  <c r="AZ118" i="1"/>
  <c r="BF118" i="1" s="1"/>
  <c r="BG118" i="1" s="1"/>
  <c r="M263" i="1"/>
  <c r="L263" i="1"/>
  <c r="N263" i="1" s="1"/>
  <c r="X263" i="1" s="1"/>
  <c r="Y263" i="1" s="1"/>
  <c r="L35" i="1"/>
  <c r="M35" i="1"/>
  <c r="N35" i="1" s="1"/>
  <c r="X35" i="1" s="1"/>
  <c r="Y35" i="1" s="1"/>
  <c r="C38" i="17"/>
  <c r="T47" i="3"/>
  <c r="AZ57" i="1"/>
  <c r="BF57" i="1" s="1"/>
  <c r="BG57" i="1" s="1"/>
  <c r="BH57" i="1" s="1"/>
  <c r="AF47" i="3"/>
  <c r="AB47" i="3"/>
  <c r="AD47" i="3" s="1"/>
  <c r="AE47" i="3" s="1"/>
  <c r="L305" i="1"/>
  <c r="N305" i="1"/>
  <c r="X305" i="1" s="1"/>
  <c r="Y305" i="1" s="1"/>
  <c r="M305" i="1"/>
  <c r="BH65" i="1"/>
  <c r="M135" i="1"/>
  <c r="L135" i="1"/>
  <c r="N135" i="1"/>
  <c r="X135" i="1" s="1"/>
  <c r="Y135" i="1" s="1"/>
  <c r="C107" i="17"/>
  <c r="AB131" i="3"/>
  <c r="AD131" i="3" s="1"/>
  <c r="AE131" i="3" s="1"/>
  <c r="AF131" i="3"/>
  <c r="T131" i="3"/>
  <c r="AZ141" i="1"/>
  <c r="BF141" i="1" s="1"/>
  <c r="BG141" i="1" s="1"/>
  <c r="J56" i="17"/>
  <c r="K56" i="17" s="1"/>
  <c r="I56" i="17"/>
  <c r="F56" i="17"/>
  <c r="G56" i="17" s="1"/>
  <c r="BH138" i="1"/>
  <c r="L29" i="1"/>
  <c r="N29" i="1"/>
  <c r="X29" i="1" s="1"/>
  <c r="Y29" i="1" s="1"/>
  <c r="M29" i="1"/>
  <c r="L107" i="1"/>
  <c r="N107" i="1" s="1"/>
  <c r="X107" i="1" s="1"/>
  <c r="Y107" i="1" s="1"/>
  <c r="M107" i="1"/>
  <c r="J51" i="17"/>
  <c r="K51" i="17" s="1"/>
  <c r="I51" i="17"/>
  <c r="F51" i="17"/>
  <c r="G51" i="17" s="1"/>
  <c r="O106" i="3"/>
  <c r="Q106" i="3" s="1"/>
  <c r="J116" i="1"/>
  <c r="C140" i="17"/>
  <c r="T287" i="3"/>
  <c r="AF287" i="3"/>
  <c r="AB287" i="3"/>
  <c r="AD287" i="3" s="1"/>
  <c r="AE287" i="3" s="1"/>
  <c r="AZ297" i="1"/>
  <c r="BF297" i="1" s="1"/>
  <c r="BG297" i="1" s="1"/>
  <c r="C93" i="17"/>
  <c r="T117" i="3"/>
  <c r="V117" i="3" s="1"/>
  <c r="AF117" i="3"/>
  <c r="AZ127" i="1"/>
  <c r="BF127" i="1" s="1"/>
  <c r="BG127" i="1" s="1"/>
  <c r="BH127" i="1" s="1"/>
  <c r="AB117" i="3"/>
  <c r="AD117" i="3" s="1"/>
  <c r="AE117" i="3" s="1"/>
  <c r="W103" i="3"/>
  <c r="F113" i="1" s="1"/>
  <c r="C17" i="17"/>
  <c r="AB11" i="3"/>
  <c r="AD11" i="3" s="1"/>
  <c r="AE11" i="3" s="1"/>
  <c r="T11" i="3"/>
  <c r="AF11" i="3"/>
  <c r="AZ21" i="1"/>
  <c r="BF21" i="1" s="1"/>
  <c r="BG21" i="1" s="1"/>
  <c r="W142" i="3"/>
  <c r="F152" i="1" s="1"/>
  <c r="BH152" i="1" s="1"/>
  <c r="N32" i="1"/>
  <c r="X32" i="1" s="1"/>
  <c r="Y32" i="1" s="1"/>
  <c r="M32" i="1"/>
  <c r="L32" i="1"/>
  <c r="L151" i="1"/>
  <c r="M151" i="1"/>
  <c r="N151" i="1"/>
  <c r="X151" i="1" s="1"/>
  <c r="Y151" i="1" s="1"/>
  <c r="C36" i="17"/>
  <c r="T45" i="3"/>
  <c r="AZ55" i="1"/>
  <c r="BF55" i="1" s="1"/>
  <c r="BG55" i="1" s="1"/>
  <c r="AF45" i="3"/>
  <c r="AB45" i="3"/>
  <c r="AD45" i="3" s="1"/>
  <c r="AE45" i="3" s="1"/>
  <c r="N299" i="1"/>
  <c r="X299" i="1" s="1"/>
  <c r="Y299" i="1" s="1"/>
  <c r="M299" i="1"/>
  <c r="L299" i="1"/>
  <c r="W17" i="3"/>
  <c r="F27" i="1" s="1"/>
  <c r="BH27" i="1" s="1"/>
  <c r="BH141" i="1"/>
  <c r="C64" i="17"/>
  <c r="AF88" i="3"/>
  <c r="AB88" i="3"/>
  <c r="AD88" i="3" s="1"/>
  <c r="AE88" i="3" s="1"/>
  <c r="T88" i="3"/>
  <c r="V88" i="3" s="1"/>
  <c r="AZ98" i="1"/>
  <c r="BF98" i="1" s="1"/>
  <c r="BG98" i="1" s="1"/>
  <c r="L112" i="1"/>
  <c r="N112" i="1" s="1"/>
  <c r="X112" i="1" s="1"/>
  <c r="Y112" i="1" s="1"/>
  <c r="M112" i="1"/>
  <c r="C25" i="17"/>
  <c r="T19" i="3"/>
  <c r="AF19" i="3"/>
  <c r="AZ29" i="1"/>
  <c r="BF29" i="1" s="1"/>
  <c r="BG29" i="1" s="1"/>
  <c r="AB19" i="3"/>
  <c r="AD19" i="3" s="1"/>
  <c r="AE19" i="3" s="1"/>
  <c r="C73" i="17"/>
  <c r="T97" i="3"/>
  <c r="AB97" i="3"/>
  <c r="AD97" i="3" s="1"/>
  <c r="AE97" i="3" s="1"/>
  <c r="AF97" i="3"/>
  <c r="AZ107" i="1"/>
  <c r="BF107" i="1" s="1"/>
  <c r="BG107" i="1" s="1"/>
  <c r="M94" i="1"/>
  <c r="L94" i="1"/>
  <c r="N94" i="1" s="1"/>
  <c r="X94" i="1" s="1"/>
  <c r="Y94" i="1" s="1"/>
  <c r="M149" i="1"/>
  <c r="N149" i="1" s="1"/>
  <c r="X149" i="1" s="1"/>
  <c r="Y149" i="1" s="1"/>
  <c r="L149" i="1"/>
  <c r="L59" i="1"/>
  <c r="M59" i="1"/>
  <c r="N59" i="1" s="1"/>
  <c r="X59" i="1" s="1"/>
  <c r="Y59" i="1" s="1"/>
  <c r="L148" i="1"/>
  <c r="M148" i="1"/>
  <c r="N148" i="1" s="1"/>
  <c r="X148" i="1" s="1"/>
  <c r="Y148" i="1" s="1"/>
  <c r="M145" i="1"/>
  <c r="L145" i="1"/>
  <c r="N145" i="1" s="1"/>
  <c r="X145" i="1" s="1"/>
  <c r="Y145" i="1" s="1"/>
  <c r="L56" i="1"/>
  <c r="N56" i="1" s="1"/>
  <c r="X56" i="1" s="1"/>
  <c r="Y56" i="1" s="1"/>
  <c r="M56" i="1"/>
  <c r="M64" i="1"/>
  <c r="L64" i="1"/>
  <c r="N64" i="1" s="1"/>
  <c r="X64" i="1" s="1"/>
  <c r="Y64" i="1" s="1"/>
  <c r="W108" i="3"/>
  <c r="F118" i="1" s="1"/>
  <c r="BH118" i="1" s="1"/>
  <c r="C35" i="17"/>
  <c r="AF44" i="3"/>
  <c r="T44" i="3"/>
  <c r="AB44" i="3"/>
  <c r="AD44" i="3" s="1"/>
  <c r="AE44" i="3" s="1"/>
  <c r="AZ54" i="1"/>
  <c r="BF54" i="1" s="1"/>
  <c r="BG54" i="1" s="1"/>
  <c r="BH54" i="1" s="1"/>
  <c r="C123" i="17"/>
  <c r="T253" i="3"/>
  <c r="AB253" i="3"/>
  <c r="AD253" i="3" s="1"/>
  <c r="AE253" i="3" s="1"/>
  <c r="AF253" i="3"/>
  <c r="AZ263" i="1"/>
  <c r="BF263" i="1" s="1"/>
  <c r="BG263" i="1" s="1"/>
  <c r="M354" i="3"/>
  <c r="M378" i="3"/>
  <c r="C33" i="17"/>
  <c r="T42" i="3"/>
  <c r="AF42" i="3"/>
  <c r="AB42" i="3"/>
  <c r="AD42" i="3" s="1"/>
  <c r="AE42" i="3" s="1"/>
  <c r="AZ52" i="1"/>
  <c r="BF52" i="1" s="1"/>
  <c r="BG52" i="1" s="1"/>
  <c r="M58" i="1"/>
  <c r="L58" i="1"/>
  <c r="N58" i="1" s="1"/>
  <c r="X58" i="1" s="1"/>
  <c r="Y58" i="1" s="1"/>
  <c r="O90" i="3"/>
  <c r="Q90" i="3" s="1"/>
  <c r="W90" i="3" s="1"/>
  <c r="F100" i="1" s="1"/>
  <c r="J100" i="1"/>
  <c r="C70" i="17"/>
  <c r="T94" i="3"/>
  <c r="AB94" i="3"/>
  <c r="AD94" i="3" s="1"/>
  <c r="AE94" i="3" s="1"/>
  <c r="AF94" i="3"/>
  <c r="AZ104" i="1"/>
  <c r="BF104" i="1" s="1"/>
  <c r="BG104" i="1" s="1"/>
  <c r="BH104" i="1" s="1"/>
  <c r="M34" i="1"/>
  <c r="L34" i="1"/>
  <c r="N34" i="1" s="1"/>
  <c r="X34" i="1" s="1"/>
  <c r="Y34" i="1" s="1"/>
  <c r="C117" i="17"/>
  <c r="T141" i="3"/>
  <c r="AF141" i="3"/>
  <c r="AB141" i="3"/>
  <c r="AD141" i="3" s="1"/>
  <c r="AE141" i="3" s="1"/>
  <c r="AZ151" i="1"/>
  <c r="BF151" i="1" s="1"/>
  <c r="BG151" i="1" s="1"/>
  <c r="BH151" i="1" s="1"/>
  <c r="W45" i="3"/>
  <c r="F55" i="1" s="1"/>
  <c r="C89" i="17"/>
  <c r="AB113" i="3"/>
  <c r="AD113" i="3" s="1"/>
  <c r="AE113" i="3" s="1"/>
  <c r="AF113" i="3"/>
  <c r="T113" i="3"/>
  <c r="V113" i="3" s="1"/>
  <c r="AZ123" i="1"/>
  <c r="BF123" i="1" s="1"/>
  <c r="BG123" i="1" s="1"/>
  <c r="M370" i="3"/>
  <c r="M346" i="3"/>
  <c r="M106" i="1"/>
  <c r="L106" i="1"/>
  <c r="N106" i="1" s="1"/>
  <c r="X106" i="1" s="1"/>
  <c r="Y106" i="1" s="1"/>
  <c r="C101" i="17"/>
  <c r="AB125" i="3"/>
  <c r="AD125" i="3" s="1"/>
  <c r="AE125" i="3" s="1"/>
  <c r="AF125" i="3"/>
  <c r="T125" i="3"/>
  <c r="V125" i="3" s="1"/>
  <c r="AZ135" i="1"/>
  <c r="BF135" i="1" s="1"/>
  <c r="BG135" i="1" s="1"/>
  <c r="M143" i="1"/>
  <c r="L143" i="1"/>
  <c r="N143" i="1"/>
  <c r="X143" i="1" s="1"/>
  <c r="Y143" i="1" s="1"/>
  <c r="W88" i="3"/>
  <c r="F98" i="1" s="1"/>
  <c r="BH98" i="1" s="1"/>
  <c r="C68" i="17"/>
  <c r="T92" i="3"/>
  <c r="AB92" i="3"/>
  <c r="AD92" i="3" s="1"/>
  <c r="AE92" i="3" s="1"/>
  <c r="AF92" i="3"/>
  <c r="AZ102" i="1"/>
  <c r="BF102" i="1" s="1"/>
  <c r="BG102" i="1" s="1"/>
  <c r="BH102" i="1" s="1"/>
  <c r="C78" i="17"/>
  <c r="T102" i="3"/>
  <c r="AF102" i="3"/>
  <c r="AB102" i="3"/>
  <c r="AD102" i="3" s="1"/>
  <c r="AE102" i="3" s="1"/>
  <c r="AZ112" i="1"/>
  <c r="BF112" i="1" s="1"/>
  <c r="BG112" i="1" s="1"/>
  <c r="C96" i="17"/>
  <c r="AF120" i="3"/>
  <c r="T120" i="3"/>
  <c r="V120" i="3" s="1"/>
  <c r="AB120" i="3"/>
  <c r="AD120" i="3" s="1"/>
  <c r="AE120" i="3" s="1"/>
  <c r="AZ130" i="1"/>
  <c r="BF130" i="1" s="1"/>
  <c r="BG130" i="1" s="1"/>
  <c r="BH130" i="1" s="1"/>
  <c r="W97" i="3"/>
  <c r="F107" i="1" s="1"/>
  <c r="BH107" i="1" s="1"/>
  <c r="M119" i="1"/>
  <c r="L119" i="1"/>
  <c r="N119" i="1" s="1"/>
  <c r="X119" i="1" s="1"/>
  <c r="Y119" i="1" s="1"/>
  <c r="W287" i="3"/>
  <c r="F297" i="1" s="1"/>
  <c r="BH297" i="1" s="1"/>
  <c r="C40" i="17"/>
  <c r="AB49" i="3"/>
  <c r="AD49" i="3" s="1"/>
  <c r="AE49" i="3" s="1"/>
  <c r="AF49" i="3"/>
  <c r="AZ59" i="1"/>
  <c r="BF59" i="1" s="1"/>
  <c r="BG59" i="1" s="1"/>
  <c r="T49" i="3"/>
  <c r="C139" i="17"/>
  <c r="T286" i="3"/>
  <c r="AF286" i="3"/>
  <c r="AB286" i="3"/>
  <c r="AD286" i="3" s="1"/>
  <c r="AE286" i="3" s="1"/>
  <c r="AZ296" i="1"/>
  <c r="BF296" i="1" s="1"/>
  <c r="BG296" i="1" s="1"/>
  <c r="BH296" i="1" s="1"/>
  <c r="W11" i="3"/>
  <c r="F21" i="1" s="1"/>
  <c r="C14" i="17"/>
  <c r="AF6" i="3"/>
  <c r="AB6" i="3"/>
  <c r="AD6" i="3" s="1"/>
  <c r="AE6" i="3" s="1"/>
  <c r="T6" i="3"/>
  <c r="AZ16" i="1"/>
  <c r="BF16" i="1" s="1"/>
  <c r="BG16" i="1" s="1"/>
  <c r="BH16" i="1" s="1"/>
  <c r="L82" i="1"/>
  <c r="N82" i="1" s="1"/>
  <c r="X82" i="1" s="1"/>
  <c r="Y82" i="1" s="1"/>
  <c r="M82" i="1"/>
  <c r="C45" i="17"/>
  <c r="AB54" i="3"/>
  <c r="AD54" i="3" s="1"/>
  <c r="AE54" i="3" s="1"/>
  <c r="AF54" i="3"/>
  <c r="AZ64" i="1"/>
  <c r="BF64" i="1" s="1"/>
  <c r="BG64" i="1" s="1"/>
  <c r="BH64" i="1" s="1"/>
  <c r="T54" i="3"/>
  <c r="BH123" i="1"/>
  <c r="C81" i="17"/>
  <c r="T105" i="3"/>
  <c r="AB105" i="3"/>
  <c r="AD105" i="3" s="1"/>
  <c r="AE105" i="3" s="1"/>
  <c r="AF105" i="3"/>
  <c r="AZ115" i="1"/>
  <c r="BF115" i="1" s="1"/>
  <c r="BG115" i="1" s="1"/>
  <c r="BH115" i="1" s="1"/>
  <c r="W253" i="3"/>
  <c r="F263" i="1" s="1"/>
  <c r="C31" i="17"/>
  <c r="T25" i="3"/>
  <c r="AF25" i="3"/>
  <c r="AB25" i="3"/>
  <c r="AD25" i="3" s="1"/>
  <c r="AE25" i="3" s="1"/>
  <c r="AZ35" i="1"/>
  <c r="BF35" i="1" s="1"/>
  <c r="BG35" i="1" s="1"/>
  <c r="BH35" i="1" s="1"/>
  <c r="M379" i="3"/>
  <c r="M355" i="3"/>
  <c r="M36" i="1"/>
  <c r="N36" i="1"/>
  <c r="X36" i="1" s="1"/>
  <c r="Y36" i="1" s="1"/>
  <c r="L36" i="1"/>
  <c r="BH299" i="1"/>
  <c r="J63" i="17"/>
  <c r="K63" i="17" s="1"/>
  <c r="I63" i="17"/>
  <c r="F63" i="17"/>
  <c r="G63" i="17" s="1"/>
  <c r="C148" i="17"/>
  <c r="AF295" i="3"/>
  <c r="AB295" i="3"/>
  <c r="AD295" i="3" s="1"/>
  <c r="AE295" i="3" s="1"/>
  <c r="T295" i="3"/>
  <c r="V295" i="3" s="1"/>
  <c r="AZ305" i="1"/>
  <c r="BF305" i="1" s="1"/>
  <c r="BG305" i="1" s="1"/>
  <c r="BH305" i="1" s="1"/>
  <c r="O4" i="3"/>
  <c r="Q4" i="3" s="1"/>
  <c r="W4" i="3"/>
  <c r="F14" i="1" s="1"/>
  <c r="J14" i="1"/>
  <c r="BH135" i="1"/>
  <c r="L142" i="1"/>
  <c r="N142" i="1" s="1"/>
  <c r="X142" i="1" s="1"/>
  <c r="Y142" i="1" s="1"/>
  <c r="M142" i="1"/>
  <c r="M84" i="1"/>
  <c r="N84" i="1"/>
  <c r="X84" i="1" s="1"/>
  <c r="Y84" i="1" s="1"/>
  <c r="L84" i="1"/>
  <c r="W19" i="3"/>
  <c r="F29" i="1" s="1"/>
  <c r="BH29" i="1" s="1"/>
  <c r="BH94" i="1"/>
  <c r="L83" i="1"/>
  <c r="N83" i="1" s="1"/>
  <c r="X83" i="1" s="1"/>
  <c r="Y83" i="1" s="1"/>
  <c r="M83" i="1"/>
  <c r="C114" i="17"/>
  <c r="AF138" i="3"/>
  <c r="T138" i="3"/>
  <c r="AZ148" i="1"/>
  <c r="BF148" i="1" s="1"/>
  <c r="BG148" i="1" s="1"/>
  <c r="AB138" i="3"/>
  <c r="AD138" i="3" s="1"/>
  <c r="AE138" i="3" s="1"/>
  <c r="M153" i="1"/>
  <c r="L153" i="1"/>
  <c r="N153" i="1" s="1"/>
  <c r="X153" i="1" s="1"/>
  <c r="Y153" i="1" s="1"/>
  <c r="M108" i="1"/>
  <c r="L108" i="1"/>
  <c r="N108" i="1"/>
  <c r="X108" i="1" s="1"/>
  <c r="Y108" i="1" s="1"/>
  <c r="M103" i="1"/>
  <c r="N103" i="1" s="1"/>
  <c r="X103" i="1" s="1"/>
  <c r="Y103" i="1" s="1"/>
  <c r="L103" i="1"/>
  <c r="C26" i="17"/>
  <c r="AB20" i="3"/>
  <c r="AD20" i="3" s="1"/>
  <c r="AE20" i="3" s="1"/>
  <c r="AZ30" i="1"/>
  <c r="BF30" i="1" s="1"/>
  <c r="BG30" i="1" s="1"/>
  <c r="BH30" i="1" s="1"/>
  <c r="T20" i="3"/>
  <c r="AF20" i="3"/>
  <c r="M123" i="1"/>
  <c r="L123" i="1"/>
  <c r="N123" i="1" s="1"/>
  <c r="X123" i="1" s="1"/>
  <c r="Y123" i="1" s="1"/>
  <c r="L104" i="1"/>
  <c r="M104" i="1"/>
  <c r="N104" i="1"/>
  <c r="X104" i="1" s="1"/>
  <c r="Y104" i="1" s="1"/>
  <c r="C67" i="17"/>
  <c r="T91" i="3"/>
  <c r="V91" i="3" s="1"/>
  <c r="AF91" i="3"/>
  <c r="AB91" i="3"/>
  <c r="AD91" i="3" s="1"/>
  <c r="AE91" i="3" s="1"/>
  <c r="AZ101" i="1"/>
  <c r="BF101" i="1" s="1"/>
  <c r="BG101" i="1" s="1"/>
  <c r="BH101" i="1" s="1"/>
  <c r="M260" i="1"/>
  <c r="L260" i="1"/>
  <c r="N260" i="1"/>
  <c r="X260" i="1" s="1"/>
  <c r="Y260" i="1" s="1"/>
  <c r="M22" i="1"/>
  <c r="N22" i="1" s="1"/>
  <c r="X22" i="1" s="1"/>
  <c r="Y22" i="1" s="1"/>
  <c r="L22" i="1"/>
  <c r="C30" i="17"/>
  <c r="AB24" i="3"/>
  <c r="AD24" i="3" s="1"/>
  <c r="AE24" i="3" s="1"/>
  <c r="AZ34" i="1"/>
  <c r="BF34" i="1" s="1"/>
  <c r="BG34" i="1" s="1"/>
  <c r="T24" i="3"/>
  <c r="AF24" i="3"/>
  <c r="M23" i="1"/>
  <c r="L23" i="1"/>
  <c r="N23" i="1" s="1"/>
  <c r="X23" i="1" s="1"/>
  <c r="Y23" i="1" s="1"/>
  <c r="L114" i="1"/>
  <c r="N114" i="1" s="1"/>
  <c r="X114" i="1" s="1"/>
  <c r="Y114" i="1" s="1"/>
  <c r="M114" i="1"/>
  <c r="BH82" i="1"/>
  <c r="L25" i="1"/>
  <c r="M25" i="1"/>
  <c r="N25" i="1"/>
  <c r="X25" i="1" s="1"/>
  <c r="Y25" i="1" s="1"/>
  <c r="M304" i="1"/>
  <c r="N304" i="1" s="1"/>
  <c r="X304" i="1" s="1"/>
  <c r="Y304" i="1" s="1"/>
  <c r="L304" i="1"/>
  <c r="M300" i="1"/>
  <c r="L300" i="1"/>
  <c r="N300" i="1" s="1"/>
  <c r="X300" i="1" s="1"/>
  <c r="Y300" i="1" s="1"/>
  <c r="M371" i="3"/>
  <c r="M347" i="3"/>
  <c r="C32" i="17"/>
  <c r="AB26" i="3"/>
  <c r="AD26" i="3" s="1"/>
  <c r="AE26" i="3" s="1"/>
  <c r="AZ36" i="1"/>
  <c r="BF36" i="1" s="1"/>
  <c r="BG36" i="1" s="1"/>
  <c r="AF26" i="3"/>
  <c r="T26" i="3"/>
  <c r="C142" i="17"/>
  <c r="AF289" i="3"/>
  <c r="AB289" i="3"/>
  <c r="AD289" i="3" s="1"/>
  <c r="AE289" i="3" s="1"/>
  <c r="T289" i="3"/>
  <c r="AZ299" i="1"/>
  <c r="BF299" i="1" s="1"/>
  <c r="BG299" i="1" s="1"/>
  <c r="O99" i="3"/>
  <c r="Q99" i="3" s="1"/>
  <c r="J109" i="1"/>
  <c r="N66" i="1"/>
  <c r="X66" i="1" s="1"/>
  <c r="Y66" i="1" s="1"/>
  <c r="L66" i="1"/>
  <c r="M66" i="1"/>
  <c r="C109" i="17"/>
  <c r="T133" i="3"/>
  <c r="AB133" i="3"/>
  <c r="AD133" i="3" s="1"/>
  <c r="AE133" i="3" s="1"/>
  <c r="AF133" i="3"/>
  <c r="AZ143" i="1"/>
  <c r="BF143" i="1" s="1"/>
  <c r="BG143" i="1" s="1"/>
  <c r="W102" i="3"/>
  <c r="F112" i="1" s="1"/>
  <c r="BH112" i="1" s="1"/>
  <c r="C50" i="17"/>
  <c r="T74" i="3"/>
  <c r="V74" i="3" s="1"/>
  <c r="AF74" i="3"/>
  <c r="AB74" i="3"/>
  <c r="AD74" i="3" s="1"/>
  <c r="AE74" i="3" s="1"/>
  <c r="AZ84" i="1"/>
  <c r="BF84" i="1" s="1"/>
  <c r="BG84" i="1" s="1"/>
  <c r="C85" i="17"/>
  <c r="T109" i="3"/>
  <c r="AB109" i="3"/>
  <c r="AD109" i="3" s="1"/>
  <c r="AE109" i="3" s="1"/>
  <c r="AF109" i="3"/>
  <c r="AZ119" i="1"/>
  <c r="BF119" i="1" s="1"/>
  <c r="BG119" i="1" s="1"/>
  <c r="BH119" i="1" s="1"/>
  <c r="C60" i="17"/>
  <c r="AF84" i="3"/>
  <c r="AB84" i="3"/>
  <c r="AD84" i="3" s="1"/>
  <c r="AE84" i="3" s="1"/>
  <c r="T84" i="3"/>
  <c r="V84" i="3" s="1"/>
  <c r="AZ94" i="1"/>
  <c r="BF94" i="1" s="1"/>
  <c r="BG94" i="1" s="1"/>
  <c r="C115" i="17"/>
  <c r="AF139" i="3"/>
  <c r="AB139" i="3"/>
  <c r="AD139" i="3" s="1"/>
  <c r="AE139" i="3" s="1"/>
  <c r="T139" i="3"/>
  <c r="AZ149" i="1"/>
  <c r="BF149" i="1" s="1"/>
  <c r="BG149" i="1" s="1"/>
  <c r="BH149" i="1" s="1"/>
  <c r="W49" i="3"/>
  <c r="F59" i="1" s="1"/>
  <c r="BH59" i="1" s="1"/>
  <c r="W138" i="3"/>
  <c r="F148" i="1" s="1"/>
  <c r="BH148" i="1" s="1"/>
  <c r="C119" i="17"/>
  <c r="AF143" i="3"/>
  <c r="AB143" i="3"/>
  <c r="AD143" i="3" s="1"/>
  <c r="AE143" i="3" s="1"/>
  <c r="T143" i="3"/>
  <c r="AZ153" i="1"/>
  <c r="BF153" i="1" s="1"/>
  <c r="BG153" i="1" s="1"/>
  <c r="C111" i="17"/>
  <c r="AF135" i="3"/>
  <c r="T135" i="3"/>
  <c r="AB135" i="3"/>
  <c r="AD135" i="3" s="1"/>
  <c r="AE135" i="3" s="1"/>
  <c r="AZ145" i="1"/>
  <c r="BF145" i="1" s="1"/>
  <c r="BG145" i="1" s="1"/>
  <c r="BH145" i="1" s="1"/>
  <c r="C34" i="17"/>
  <c r="T43" i="3"/>
  <c r="AB43" i="3"/>
  <c r="AD43" i="3" s="1"/>
  <c r="AE43" i="3" s="1"/>
  <c r="AF43" i="3"/>
  <c r="AZ53" i="1"/>
  <c r="BF53" i="1" s="1"/>
  <c r="BG53" i="1" s="1"/>
  <c r="BH53" i="1" s="1"/>
  <c r="BH52" i="1"/>
  <c r="C69" i="17"/>
  <c r="AF93" i="3"/>
  <c r="AB93" i="3"/>
  <c r="AD93" i="3" s="1"/>
  <c r="AE93" i="3" s="1"/>
  <c r="T93" i="3"/>
  <c r="AZ103" i="1"/>
  <c r="BF103" i="1" s="1"/>
  <c r="BG103" i="1" s="1"/>
  <c r="BH103" i="1" s="1"/>
  <c r="W21" i="3"/>
  <c r="F31" i="1" s="1"/>
  <c r="BH31" i="1" s="1"/>
  <c r="C22" i="17"/>
  <c r="T16" i="3"/>
  <c r="AF16" i="3"/>
  <c r="AB16" i="3"/>
  <c r="AD16" i="3" s="1"/>
  <c r="AE16" i="3" s="1"/>
  <c r="AZ26" i="1"/>
  <c r="BF26" i="1" s="1"/>
  <c r="BG26" i="1" s="1"/>
  <c r="BH26" i="1" s="1"/>
  <c r="M128" i="1"/>
  <c r="L128" i="1"/>
  <c r="N128" i="1" s="1"/>
  <c r="X128" i="1" s="1"/>
  <c r="Y128" i="1" s="1"/>
  <c r="M139" i="1"/>
  <c r="L139" i="1"/>
  <c r="N139" i="1" s="1"/>
  <c r="X139" i="1" s="1"/>
  <c r="Y139" i="1" s="1"/>
  <c r="C94" i="17"/>
  <c r="AF118" i="3"/>
  <c r="T118" i="3"/>
  <c r="V118" i="3" s="1"/>
  <c r="AB118" i="3"/>
  <c r="AD118" i="3" s="1"/>
  <c r="AE118" i="3" s="1"/>
  <c r="AZ128" i="1"/>
  <c r="BF128" i="1" s="1"/>
  <c r="BG128" i="1" s="1"/>
  <c r="N278" i="1"/>
  <c r="X278" i="1" s="1"/>
  <c r="Y278" i="1" s="1"/>
  <c r="M278" i="1"/>
  <c r="L278" i="1"/>
  <c r="M33" i="1"/>
  <c r="N33" i="1"/>
  <c r="X33" i="1" s="1"/>
  <c r="Y33" i="1" s="1"/>
  <c r="L33" i="1"/>
  <c r="M302" i="1"/>
  <c r="L302" i="1"/>
  <c r="N302" i="1" s="1"/>
  <c r="X302" i="1" s="1"/>
  <c r="Y302" i="1" s="1"/>
  <c r="C129" i="17"/>
  <c r="AB268" i="3"/>
  <c r="AD268" i="3" s="1"/>
  <c r="AE268" i="3" s="1"/>
  <c r="T268" i="3"/>
  <c r="AF268" i="3"/>
  <c r="AZ278" i="1"/>
  <c r="BF278" i="1" s="1"/>
  <c r="BG278" i="1" s="1"/>
  <c r="O134" i="3"/>
  <c r="Q134" i="3" s="1"/>
  <c r="J144" i="1"/>
  <c r="L137" i="1"/>
  <c r="N137" i="1"/>
  <c r="X137" i="1" s="1"/>
  <c r="Y137" i="1" s="1"/>
  <c r="M137" i="1"/>
  <c r="C120" i="17"/>
  <c r="AB250" i="3"/>
  <c r="AD250" i="3" s="1"/>
  <c r="AE250" i="3" s="1"/>
  <c r="AF250" i="3"/>
  <c r="T250" i="3"/>
  <c r="V250" i="3" s="1"/>
  <c r="AZ260" i="1"/>
  <c r="BF260" i="1" s="1"/>
  <c r="BG260" i="1" s="1"/>
  <c r="BH260" i="1" s="1"/>
  <c r="W24" i="3"/>
  <c r="F34" i="1" s="1"/>
  <c r="C19" i="17"/>
  <c r="AB13" i="3"/>
  <c r="AD13" i="3" s="1"/>
  <c r="AE13" i="3" s="1"/>
  <c r="AF13" i="3"/>
  <c r="T13" i="3"/>
  <c r="AZ23" i="1"/>
  <c r="BF23" i="1" s="1"/>
  <c r="BG23" i="1" s="1"/>
  <c r="BH23" i="1" s="1"/>
  <c r="M140" i="1"/>
  <c r="L140" i="1"/>
  <c r="N140" i="1" s="1"/>
  <c r="X140" i="1" s="1"/>
  <c r="Y140" i="1" s="1"/>
  <c r="L105" i="1"/>
  <c r="M105" i="1"/>
  <c r="N105" i="1"/>
  <c r="X105" i="1" s="1"/>
  <c r="Y105" i="1" s="1"/>
  <c r="O10" i="3"/>
  <c r="Q10" i="3" s="1"/>
  <c r="J20" i="1"/>
  <c r="W10" i="3"/>
  <c r="F20" i="1" s="1"/>
  <c r="C147" i="17"/>
  <c r="AB294" i="3"/>
  <c r="AD294" i="3" s="1"/>
  <c r="AE294" i="3" s="1"/>
  <c r="AF294" i="3"/>
  <c r="T294" i="3"/>
  <c r="AZ304" i="1"/>
  <c r="BF304" i="1" s="1"/>
  <c r="BG304" i="1" s="1"/>
  <c r="BH304" i="1" s="1"/>
  <c r="C143" i="17"/>
  <c r="T290" i="3"/>
  <c r="V290" i="3" s="1"/>
  <c r="AF290" i="3"/>
  <c r="AB290" i="3"/>
  <c r="AD290" i="3" s="1"/>
  <c r="AE290" i="3" s="1"/>
  <c r="AZ300" i="1"/>
  <c r="BF300" i="1" s="1"/>
  <c r="BG300" i="1" s="1"/>
  <c r="M349" i="3"/>
  <c r="M373" i="3"/>
  <c r="BH36" i="1"/>
  <c r="M24" i="1"/>
  <c r="L24" i="1"/>
  <c r="N24" i="1" s="1"/>
  <c r="X24" i="1" s="1"/>
  <c r="Y24" i="1" s="1"/>
  <c r="C47" i="17"/>
  <c r="AF56" i="3"/>
  <c r="AB56" i="3"/>
  <c r="AD56" i="3" s="1"/>
  <c r="AE56" i="3" s="1"/>
  <c r="T56" i="3"/>
  <c r="AZ66" i="1"/>
  <c r="BF66" i="1" s="1"/>
  <c r="BG66" i="1" s="1"/>
  <c r="C72" i="17"/>
  <c r="AF96" i="3"/>
  <c r="AB96" i="3"/>
  <c r="AD96" i="3" s="1"/>
  <c r="AE96" i="3" s="1"/>
  <c r="T96" i="3"/>
  <c r="AZ106" i="1"/>
  <c r="BF106" i="1" s="1"/>
  <c r="BG106" i="1" s="1"/>
  <c r="BH106" i="1" s="1"/>
  <c r="BH143" i="1"/>
  <c r="M61" i="1"/>
  <c r="L61" i="1"/>
  <c r="N61" i="1" s="1"/>
  <c r="X61" i="1" s="1"/>
  <c r="Y61" i="1" s="1"/>
  <c r="L120" i="1"/>
  <c r="N120" i="1" s="1"/>
  <c r="X120" i="1" s="1"/>
  <c r="Y120" i="1" s="1"/>
  <c r="M120" i="1"/>
  <c r="M99" i="1"/>
  <c r="L99" i="1"/>
  <c r="N99" i="1" s="1"/>
  <c r="X99" i="1" s="1"/>
  <c r="Y99" i="1" s="1"/>
  <c r="J91" i="17"/>
  <c r="K91" i="17" s="1"/>
  <c r="I91" i="17"/>
  <c r="F91" i="17"/>
  <c r="G91" i="17" s="1"/>
  <c r="M63" i="1"/>
  <c r="L63" i="1"/>
  <c r="N63" i="1" s="1"/>
  <c r="X63" i="1" s="1"/>
  <c r="Y63" i="1" s="1"/>
  <c r="L146" i="1"/>
  <c r="M146" i="1"/>
  <c r="N146" i="1" s="1"/>
  <c r="X146" i="1" s="1"/>
  <c r="Y146" i="1" s="1"/>
  <c r="C49" i="17"/>
  <c r="AF73" i="3"/>
  <c r="AB73" i="3"/>
  <c r="AD73" i="3" s="1"/>
  <c r="AE73" i="3" s="1"/>
  <c r="T73" i="3"/>
  <c r="V73" i="3" s="1"/>
  <c r="AZ83" i="1"/>
  <c r="BF83" i="1" s="1"/>
  <c r="BG83" i="1" s="1"/>
  <c r="L15" i="1"/>
  <c r="N15" i="1"/>
  <c r="X15" i="1" s="1"/>
  <c r="Y15" i="1" s="1"/>
  <c r="M15" i="1"/>
  <c r="M136" i="1"/>
  <c r="L136" i="1"/>
  <c r="N136" i="1"/>
  <c r="X136" i="1" s="1"/>
  <c r="Y136" i="1" s="1"/>
  <c r="C74" i="17"/>
  <c r="AB98" i="3"/>
  <c r="AD98" i="3" s="1"/>
  <c r="AE98" i="3" s="1"/>
  <c r="AF98" i="3"/>
  <c r="T98" i="3"/>
  <c r="AZ108" i="1"/>
  <c r="BF108" i="1" s="1"/>
  <c r="BG108" i="1" s="1"/>
  <c r="BH92" i="1"/>
  <c r="C24" i="17"/>
  <c r="AF18" i="3"/>
  <c r="AZ28" i="1"/>
  <c r="BF28" i="1" s="1"/>
  <c r="BG28" i="1" s="1"/>
  <c r="BH28" i="1" s="1"/>
  <c r="AB18" i="3"/>
  <c r="AD18" i="3" s="1"/>
  <c r="AE18" i="3" s="1"/>
  <c r="T18" i="3"/>
  <c r="N55" i="1"/>
  <c r="X55" i="1" s="1"/>
  <c r="Y55" i="1" s="1"/>
  <c r="M55" i="1"/>
  <c r="L55" i="1"/>
  <c r="W271" i="3"/>
  <c r="F281" i="1" s="1"/>
  <c r="BH281" i="1" s="1"/>
  <c r="N101" i="1"/>
  <c r="X101" i="1" s="1"/>
  <c r="Y101" i="1" s="1"/>
  <c r="L101" i="1"/>
  <c r="M101" i="1"/>
  <c r="C37" i="17"/>
  <c r="AB46" i="3"/>
  <c r="AD46" i="3" s="1"/>
  <c r="AE46" i="3" s="1"/>
  <c r="AF46" i="3"/>
  <c r="T46" i="3"/>
  <c r="AZ56" i="1"/>
  <c r="BF56" i="1" s="1"/>
  <c r="BG56" i="1" s="1"/>
  <c r="BH56" i="1" s="1"/>
  <c r="C39" i="17"/>
  <c r="AB48" i="3"/>
  <c r="AD48" i="3" s="1"/>
  <c r="AE48" i="3" s="1"/>
  <c r="AF48" i="3"/>
  <c r="T48" i="3"/>
  <c r="AZ58" i="1"/>
  <c r="BF58" i="1" s="1"/>
  <c r="BG58" i="1" s="1"/>
  <c r="BH58" i="1" s="1"/>
  <c r="C28" i="17"/>
  <c r="T22" i="3"/>
  <c r="AF22" i="3"/>
  <c r="AZ32" i="1"/>
  <c r="BF32" i="1" s="1"/>
  <c r="BG32" i="1" s="1"/>
  <c r="BH32" i="1" s="1"/>
  <c r="AB22" i="3"/>
  <c r="AD22" i="3" s="1"/>
  <c r="AE22" i="3" s="1"/>
  <c r="W118" i="3"/>
  <c r="F128" i="1" s="1"/>
  <c r="M344" i="3"/>
  <c r="C29" i="17"/>
  <c r="T23" i="3"/>
  <c r="AB23" i="3"/>
  <c r="AD23" i="3" s="1"/>
  <c r="AE23" i="3" s="1"/>
  <c r="AZ33" i="1"/>
  <c r="BF33" i="1" s="1"/>
  <c r="BG33" i="1" s="1"/>
  <c r="BH33" i="1" s="1"/>
  <c r="AF23" i="3"/>
  <c r="W268" i="3"/>
  <c r="F278" i="1" s="1"/>
  <c r="BH278" i="1" s="1"/>
  <c r="M92" i="1"/>
  <c r="L92" i="1"/>
  <c r="N92" i="1" s="1"/>
  <c r="X92" i="1" s="1"/>
  <c r="Y92" i="1" s="1"/>
  <c r="C18" i="17"/>
  <c r="T12" i="3"/>
  <c r="AZ22" i="1"/>
  <c r="BF22" i="1" s="1"/>
  <c r="BG22" i="1" s="1"/>
  <c r="BH22" i="1" s="1"/>
  <c r="AB12" i="3"/>
  <c r="AD12" i="3" s="1"/>
  <c r="AE12" i="3" s="1"/>
  <c r="AF12" i="3"/>
  <c r="C105" i="17"/>
  <c r="AB129" i="3"/>
  <c r="AD129" i="3" s="1"/>
  <c r="AE129" i="3" s="1"/>
  <c r="AF129" i="3"/>
  <c r="T129" i="3"/>
  <c r="AZ139" i="1"/>
  <c r="BF139" i="1" s="1"/>
  <c r="BG139" i="1" s="1"/>
  <c r="BH139" i="1" s="1"/>
  <c r="O7" i="3"/>
  <c r="Q7" i="3" s="1"/>
  <c r="J17" i="1"/>
  <c r="C80" i="17"/>
  <c r="AB104" i="3"/>
  <c r="AD104" i="3" s="1"/>
  <c r="AE104" i="3" s="1"/>
  <c r="T104" i="3"/>
  <c r="AF104" i="3"/>
  <c r="AZ114" i="1"/>
  <c r="BF114" i="1" s="1"/>
  <c r="BG114" i="1" s="1"/>
  <c r="BH114" i="1" s="1"/>
  <c r="C106" i="17"/>
  <c r="AB130" i="3"/>
  <c r="AD130" i="3" s="1"/>
  <c r="AE130" i="3" s="1"/>
  <c r="T130" i="3"/>
  <c r="AF130" i="3"/>
  <c r="AZ140" i="1"/>
  <c r="BF140" i="1" s="1"/>
  <c r="BG140" i="1" s="1"/>
  <c r="BH140" i="1" s="1"/>
  <c r="C48" i="17"/>
  <c r="T72" i="3"/>
  <c r="AB72" i="3"/>
  <c r="AD72" i="3" s="1"/>
  <c r="AE72" i="3" s="1"/>
  <c r="AZ82" i="1"/>
  <c r="BF82" i="1" s="1"/>
  <c r="BG82" i="1" s="1"/>
  <c r="AF72" i="3"/>
  <c r="W95" i="3"/>
  <c r="F105" i="1" s="1"/>
  <c r="BH105" i="1" s="1"/>
  <c r="L60" i="1"/>
  <c r="M60" i="1"/>
  <c r="N60" i="1" s="1"/>
  <c r="X60" i="1" s="1"/>
  <c r="Y60" i="1" s="1"/>
  <c r="N150" i="1"/>
  <c r="X150" i="1" s="1"/>
  <c r="Y150" i="1" s="1"/>
  <c r="L150" i="1"/>
  <c r="M150" i="1"/>
  <c r="C21" i="17"/>
  <c r="AF15" i="3"/>
  <c r="AB15" i="3"/>
  <c r="AD15" i="3" s="1"/>
  <c r="AE15" i="3" s="1"/>
  <c r="AZ25" i="1"/>
  <c r="BF25" i="1" s="1"/>
  <c r="BG25" i="1" s="1"/>
  <c r="BH25" i="1" s="1"/>
  <c r="T15" i="3"/>
  <c r="W290" i="3"/>
  <c r="F300" i="1" s="1"/>
  <c r="BH300" i="1" s="1"/>
  <c r="M87" i="1"/>
  <c r="L87" i="1"/>
  <c r="N87" i="1" s="1"/>
  <c r="X87" i="1" s="1"/>
  <c r="Y87" i="1" s="1"/>
  <c r="C20" i="17"/>
  <c r="T14" i="3"/>
  <c r="AF14" i="3"/>
  <c r="AZ24" i="1"/>
  <c r="BF24" i="1" s="1"/>
  <c r="BG24" i="1" s="1"/>
  <c r="BH24" i="1" s="1"/>
  <c r="AB14" i="3"/>
  <c r="AD14" i="3" s="1"/>
  <c r="AE14" i="3" s="1"/>
  <c r="M134" i="1"/>
  <c r="L134" i="1"/>
  <c r="N134" i="1" s="1"/>
  <c r="X134" i="1" s="1"/>
  <c r="Y134" i="1" s="1"/>
  <c r="W56" i="3"/>
  <c r="F66" i="1" s="1"/>
  <c r="BH66" i="1" s="1"/>
  <c r="L86" i="1"/>
  <c r="N86" i="1" s="1"/>
  <c r="X86" i="1" s="1"/>
  <c r="Y86" i="1" s="1"/>
  <c r="M86" i="1"/>
  <c r="W51" i="3"/>
  <c r="F61" i="1" s="1"/>
  <c r="BH61" i="1" s="1"/>
  <c r="W110" i="3"/>
  <c r="F120" i="1" s="1"/>
  <c r="BH120" i="1" s="1"/>
  <c r="C108" i="17"/>
  <c r="T132" i="3"/>
  <c r="AZ142" i="1"/>
  <c r="BF142" i="1" s="1"/>
  <c r="BG142" i="1" s="1"/>
  <c r="BH142" i="1" s="1"/>
  <c r="AF132" i="3"/>
  <c r="AB132" i="3"/>
  <c r="AD132" i="3" s="1"/>
  <c r="AE132" i="3" s="1"/>
  <c r="C65" i="17"/>
  <c r="AB89" i="3"/>
  <c r="AD89" i="3" s="1"/>
  <c r="AE89" i="3" s="1"/>
  <c r="T89" i="3"/>
  <c r="V89" i="3" s="1"/>
  <c r="AF89" i="3"/>
  <c r="AZ99" i="1"/>
  <c r="BF99" i="1" s="1"/>
  <c r="BG99" i="1" s="1"/>
  <c r="BH99" i="1" s="1"/>
  <c r="BH84" i="1"/>
  <c r="M91" i="1"/>
  <c r="L91" i="1"/>
  <c r="N91" i="1"/>
  <c r="X91" i="1" s="1"/>
  <c r="Y91" i="1" s="1"/>
  <c r="M110" i="1"/>
  <c r="L110" i="1"/>
  <c r="N110" i="1" s="1"/>
  <c r="X110" i="1" s="1"/>
  <c r="Y110" i="1" s="1"/>
  <c r="L301" i="1"/>
  <c r="N301" i="1" s="1"/>
  <c r="X301" i="1" s="1"/>
  <c r="Y301" i="1" s="1"/>
  <c r="M301" i="1"/>
  <c r="W136" i="3"/>
  <c r="F146" i="1" s="1"/>
  <c r="BH146" i="1" s="1"/>
  <c r="W73" i="3"/>
  <c r="F83" i="1" s="1"/>
  <c r="BH83" i="1" s="1"/>
  <c r="W5" i="3"/>
  <c r="F15" i="1" s="1"/>
  <c r="BH15" i="1" s="1"/>
  <c r="W143" i="3"/>
  <c r="F153" i="1" s="1"/>
  <c r="BH153" i="1" s="1"/>
  <c r="W98" i="3"/>
  <c r="F108" i="1" s="1"/>
  <c r="BH108" i="1" s="1"/>
  <c r="AL149" i="1" l="1"/>
  <c r="AE149" i="1"/>
  <c r="AF149" i="1" s="1"/>
  <c r="AE127" i="1"/>
  <c r="AF127" i="1" s="1"/>
  <c r="AL127" i="1"/>
  <c r="AM127" i="1" s="1"/>
  <c r="AL111" i="1"/>
  <c r="AE111" i="1"/>
  <c r="AF111" i="1" s="1"/>
  <c r="AL61" i="1"/>
  <c r="AE61" i="1"/>
  <c r="AF61" i="1" s="1"/>
  <c r="AL139" i="1"/>
  <c r="AE139" i="1"/>
  <c r="AF139" i="1" s="1"/>
  <c r="AL82" i="1"/>
  <c r="AE82" i="1"/>
  <c r="AF82" i="1" s="1"/>
  <c r="AE34" i="1"/>
  <c r="AF34" i="1" s="1"/>
  <c r="AL34" i="1"/>
  <c r="AM34" i="1" s="1"/>
  <c r="AE63" i="1"/>
  <c r="AF63" i="1" s="1"/>
  <c r="AL63" i="1"/>
  <c r="AM63" i="1" s="1"/>
  <c r="AL94" i="1"/>
  <c r="AE94" i="1"/>
  <c r="AF94" i="1" s="1"/>
  <c r="AL102" i="1"/>
  <c r="AE102" i="1"/>
  <c r="AF102" i="1" s="1"/>
  <c r="AL27" i="1"/>
  <c r="AE27" i="1"/>
  <c r="AF27" i="1" s="1"/>
  <c r="AE65" i="1"/>
  <c r="AF65" i="1" s="1"/>
  <c r="AL65" i="1"/>
  <c r="AM65" i="1" s="1"/>
  <c r="AL28" i="1"/>
  <c r="AE28" i="1"/>
  <c r="AF28" i="1" s="1"/>
  <c r="AE138" i="1"/>
  <c r="AF138" i="1" s="1"/>
  <c r="AL138" i="1"/>
  <c r="AM138" i="1" s="1"/>
  <c r="AE31" i="1"/>
  <c r="AF31" i="1" s="1"/>
  <c r="AL31" i="1"/>
  <c r="AE54" i="1"/>
  <c r="AF54" i="1" s="1"/>
  <c r="AL54" i="1"/>
  <c r="AM54" i="1" s="1"/>
  <c r="AE147" i="1"/>
  <c r="AF147" i="1" s="1"/>
  <c r="AL147" i="1"/>
  <c r="AL122" i="1"/>
  <c r="AE122" i="1"/>
  <c r="AF122" i="1" s="1"/>
  <c r="AE57" i="1"/>
  <c r="AF57" i="1" s="1"/>
  <c r="AL57" i="1"/>
  <c r="AM57" i="1" s="1"/>
  <c r="AL118" i="1"/>
  <c r="AM118" i="1" s="1"/>
  <c r="AE118" i="1"/>
  <c r="AF118" i="1" s="1"/>
  <c r="AE281" i="1"/>
  <c r="AF281" i="1" s="1"/>
  <c r="AL281" i="1"/>
  <c r="AM281" i="1" s="1"/>
  <c r="AE26" i="1"/>
  <c r="AF26" i="1" s="1"/>
  <c r="AL26" i="1"/>
  <c r="AL300" i="1"/>
  <c r="AE300" i="1"/>
  <c r="AF300" i="1" s="1"/>
  <c r="AL152" i="1"/>
  <c r="AE152" i="1"/>
  <c r="AF152" i="1" s="1"/>
  <c r="AE128" i="1"/>
  <c r="AF128" i="1" s="1"/>
  <c r="AL128" i="1"/>
  <c r="AE24" i="1"/>
  <c r="AF24" i="1" s="1"/>
  <c r="AL24" i="1"/>
  <c r="AM24" i="1" s="1"/>
  <c r="AL145" i="1"/>
  <c r="AM145" i="1" s="1"/>
  <c r="AE145" i="1"/>
  <c r="AF145" i="1" s="1"/>
  <c r="AE140" i="1"/>
  <c r="AF140" i="1" s="1"/>
  <c r="AL140" i="1"/>
  <c r="AM140" i="1" s="1"/>
  <c r="AL103" i="1"/>
  <c r="AE103" i="1"/>
  <c r="AF103" i="1" s="1"/>
  <c r="AL60" i="1"/>
  <c r="AM60" i="1" s="1"/>
  <c r="AE60" i="1"/>
  <c r="AF60" i="1" s="1"/>
  <c r="AL106" i="1"/>
  <c r="AE106" i="1"/>
  <c r="AF106" i="1" s="1"/>
  <c r="AE123" i="1"/>
  <c r="AF123" i="1" s="1"/>
  <c r="AL123" i="1"/>
  <c r="AM123" i="1" s="1"/>
  <c r="AL263" i="1"/>
  <c r="AM263" i="1" s="1"/>
  <c r="AE263" i="1"/>
  <c r="AF263" i="1" s="1"/>
  <c r="AE134" i="1"/>
  <c r="AF134" i="1" s="1"/>
  <c r="AL134" i="1"/>
  <c r="AM134" i="1" s="1"/>
  <c r="AE302" i="1"/>
  <c r="AF302" i="1" s="1"/>
  <c r="AL302" i="1"/>
  <c r="AE59" i="1"/>
  <c r="AF59" i="1" s="1"/>
  <c r="AL59" i="1"/>
  <c r="AM59" i="1" s="1"/>
  <c r="AL16" i="1"/>
  <c r="AE16" i="1"/>
  <c r="AF16" i="1" s="1"/>
  <c r="AL62" i="1"/>
  <c r="AM62" i="1" s="1"/>
  <c r="AE62" i="1"/>
  <c r="AF62" i="1" s="1"/>
  <c r="AL87" i="1"/>
  <c r="AE87" i="1"/>
  <c r="AF87" i="1" s="1"/>
  <c r="AL22" i="1"/>
  <c r="AM22" i="1" s="1"/>
  <c r="AE22" i="1"/>
  <c r="AF22" i="1" s="1"/>
  <c r="AE35" i="1"/>
  <c r="AF35" i="1" s="1"/>
  <c r="AL35" i="1"/>
  <c r="AM35" i="1" s="1"/>
  <c r="AL301" i="1"/>
  <c r="AE301" i="1"/>
  <c r="AF301" i="1" s="1"/>
  <c r="AE92" i="1"/>
  <c r="AF92" i="1" s="1"/>
  <c r="AL92" i="1"/>
  <c r="AE148" i="1"/>
  <c r="AF148" i="1" s="1"/>
  <c r="AL148" i="1"/>
  <c r="AM148" i="1" s="1"/>
  <c r="AE99" i="1"/>
  <c r="AF99" i="1" s="1"/>
  <c r="AL99" i="1"/>
  <c r="AE23" i="1"/>
  <c r="AF23" i="1" s="1"/>
  <c r="AL23" i="1"/>
  <c r="AM23" i="1" s="1"/>
  <c r="AL153" i="1"/>
  <c r="AE153" i="1"/>
  <c r="AF153" i="1" s="1"/>
  <c r="AL119" i="1"/>
  <c r="AM119" i="1" s="1"/>
  <c r="AE119" i="1"/>
  <c r="AF119" i="1" s="1"/>
  <c r="AE30" i="1"/>
  <c r="AF30" i="1" s="1"/>
  <c r="AL30" i="1"/>
  <c r="AM30" i="1" s="1"/>
  <c r="AE56" i="1"/>
  <c r="AF56" i="1" s="1"/>
  <c r="AL56" i="1"/>
  <c r="AM56" i="1" s="1"/>
  <c r="AL142" i="1"/>
  <c r="AE142" i="1"/>
  <c r="AF142" i="1" s="1"/>
  <c r="AL112" i="1"/>
  <c r="AE112" i="1"/>
  <c r="AF112" i="1" s="1"/>
  <c r="AL86" i="1"/>
  <c r="AM86" i="1" s="1"/>
  <c r="AE86" i="1"/>
  <c r="AF86" i="1" s="1"/>
  <c r="AE114" i="1"/>
  <c r="AF114" i="1" s="1"/>
  <c r="AL114" i="1"/>
  <c r="AM114" i="1" s="1"/>
  <c r="AE110" i="1"/>
  <c r="AF110" i="1" s="1"/>
  <c r="AL110" i="1"/>
  <c r="AM110" i="1" s="1"/>
  <c r="AL83" i="1"/>
  <c r="AE83" i="1"/>
  <c r="AF83" i="1" s="1"/>
  <c r="AE146" i="1"/>
  <c r="AF146" i="1" s="1"/>
  <c r="AL146" i="1"/>
  <c r="AL120" i="1"/>
  <c r="AM120" i="1" s="1"/>
  <c r="AE120" i="1"/>
  <c r="AF120" i="1" s="1"/>
  <c r="AL304" i="1"/>
  <c r="AE304" i="1"/>
  <c r="AF304" i="1" s="1"/>
  <c r="AE58" i="1"/>
  <c r="AF58" i="1" s="1"/>
  <c r="AL58" i="1"/>
  <c r="AM58" i="1" s="1"/>
  <c r="AE64" i="1"/>
  <c r="AF64" i="1" s="1"/>
  <c r="AL64" i="1"/>
  <c r="AM64" i="1" s="1"/>
  <c r="AE107" i="1"/>
  <c r="AF107" i="1" s="1"/>
  <c r="AL107" i="1"/>
  <c r="AE297" i="1"/>
  <c r="AF297" i="1" s="1"/>
  <c r="AL297" i="1"/>
  <c r="AL130" i="1"/>
  <c r="AE130" i="1"/>
  <c r="AF130" i="1" s="1"/>
  <c r="AE141" i="1"/>
  <c r="AF141" i="1" s="1"/>
  <c r="AL141" i="1"/>
  <c r="AM141" i="1" s="1"/>
  <c r="I105" i="17"/>
  <c r="J105" i="17"/>
  <c r="K105" i="17" s="1"/>
  <c r="F105" i="17"/>
  <c r="G105" i="17" s="1"/>
  <c r="F35" i="4"/>
  <c r="K35" i="4" s="1"/>
  <c r="L35" i="4" s="1"/>
  <c r="N35" i="4" s="1"/>
  <c r="V46" i="3"/>
  <c r="AL55" i="1"/>
  <c r="AE55" i="1"/>
  <c r="AF55" i="1" s="1"/>
  <c r="F22" i="4"/>
  <c r="K22" i="4" s="1"/>
  <c r="L22" i="4" s="1"/>
  <c r="N22" i="4" s="1"/>
  <c r="V13" i="3"/>
  <c r="F63" i="4"/>
  <c r="K63" i="4" s="1"/>
  <c r="L63" i="4" s="1"/>
  <c r="N63" i="4" s="1"/>
  <c r="V93" i="3"/>
  <c r="AE66" i="1"/>
  <c r="AF66" i="1" s="1"/>
  <c r="AL66" i="1"/>
  <c r="AM66" i="1" s="1"/>
  <c r="F29" i="4"/>
  <c r="K29" i="4" s="1"/>
  <c r="L29" i="4" s="1"/>
  <c r="N29" i="4" s="1"/>
  <c r="V26" i="3"/>
  <c r="F50" i="4"/>
  <c r="K50" i="4" s="1"/>
  <c r="L50" i="4" s="1"/>
  <c r="N50" i="4" s="1"/>
  <c r="V20" i="3"/>
  <c r="J148" i="17"/>
  <c r="K148" i="17" s="1"/>
  <c r="I148" i="17"/>
  <c r="F148" i="17"/>
  <c r="G148" i="17" s="1"/>
  <c r="J81" i="17"/>
  <c r="K81" i="17" s="1"/>
  <c r="I81" i="17"/>
  <c r="F81" i="17"/>
  <c r="G81" i="17" s="1"/>
  <c r="J139" i="17"/>
  <c r="K139" i="17" s="1"/>
  <c r="I139" i="17"/>
  <c r="F139" i="17"/>
  <c r="G139" i="17" s="1"/>
  <c r="J78" i="17"/>
  <c r="K78" i="17" s="1"/>
  <c r="I78" i="17"/>
  <c r="F78" i="17"/>
  <c r="G78" i="17" s="1"/>
  <c r="J117" i="17"/>
  <c r="K117" i="17" s="1"/>
  <c r="I117" i="17"/>
  <c r="F117" i="17"/>
  <c r="G117" i="17" s="1"/>
  <c r="J33" i="17"/>
  <c r="K33" i="17" s="1"/>
  <c r="I33" i="17"/>
  <c r="F33" i="17"/>
  <c r="G33" i="17" s="1"/>
  <c r="F23" i="4"/>
  <c r="K23" i="4" s="1"/>
  <c r="L23" i="4" s="1"/>
  <c r="N23" i="4" s="1"/>
  <c r="V44" i="3"/>
  <c r="J73" i="17"/>
  <c r="K73" i="17" s="1"/>
  <c r="I73" i="17"/>
  <c r="F73" i="17"/>
  <c r="G73" i="17" s="1"/>
  <c r="M116" i="1"/>
  <c r="L116" i="1"/>
  <c r="N116" i="1"/>
  <c r="X116" i="1" s="1"/>
  <c r="Y116" i="1" s="1"/>
  <c r="J52" i="17"/>
  <c r="K52" i="17" s="1"/>
  <c r="I52" i="17"/>
  <c r="F52" i="17"/>
  <c r="G52" i="17" s="1"/>
  <c r="F16" i="4"/>
  <c r="K16" i="4" s="1"/>
  <c r="L16" i="4" s="1"/>
  <c r="N16" i="4" s="1"/>
  <c r="V126" i="3"/>
  <c r="J104" i="17"/>
  <c r="K104" i="17" s="1"/>
  <c r="I104" i="17"/>
  <c r="F104" i="17"/>
  <c r="G104" i="17" s="1"/>
  <c r="F34" i="4"/>
  <c r="K34" i="4" s="1"/>
  <c r="L34" i="4" s="1"/>
  <c r="N34" i="4" s="1"/>
  <c r="V51" i="3"/>
  <c r="F90" i="4"/>
  <c r="K90" i="4" s="1"/>
  <c r="L90" i="4" s="1"/>
  <c r="N90" i="4" s="1"/>
  <c r="V140" i="3"/>
  <c r="J132" i="17"/>
  <c r="K132" i="17" s="1"/>
  <c r="I132" i="17"/>
  <c r="F132" i="17"/>
  <c r="G132" i="17" s="1"/>
  <c r="I60" i="17"/>
  <c r="J60" i="17"/>
  <c r="K60" i="17" s="1"/>
  <c r="F60" i="17"/>
  <c r="G60" i="17" s="1"/>
  <c r="I50" i="17"/>
  <c r="J50" i="17"/>
  <c r="K50" i="17" s="1"/>
  <c r="F50" i="17"/>
  <c r="G50" i="17" s="1"/>
  <c r="M109" i="1"/>
  <c r="L109" i="1"/>
  <c r="N109" i="1" s="1"/>
  <c r="X109" i="1" s="1"/>
  <c r="Y109" i="1" s="1"/>
  <c r="F15" i="4"/>
  <c r="K15" i="4" s="1"/>
  <c r="L15" i="4" s="1"/>
  <c r="N15" i="4" s="1"/>
  <c r="V6" i="3"/>
  <c r="F47" i="4"/>
  <c r="K47" i="4" s="1"/>
  <c r="L47" i="4" s="1"/>
  <c r="N47" i="4" s="1"/>
  <c r="V49" i="3"/>
  <c r="W378" i="3"/>
  <c r="F388" i="1" s="1"/>
  <c r="O378" i="3"/>
  <c r="Q378" i="3" s="1"/>
  <c r="J388" i="1"/>
  <c r="AL32" i="1"/>
  <c r="AE32" i="1"/>
  <c r="AF32" i="1" s="1"/>
  <c r="C82" i="17"/>
  <c r="AB106" i="3"/>
  <c r="AD106" i="3" s="1"/>
  <c r="AE106" i="3" s="1"/>
  <c r="AF106" i="3"/>
  <c r="T106" i="3"/>
  <c r="AZ116" i="1"/>
  <c r="BF116" i="1" s="1"/>
  <c r="BG116" i="1" s="1"/>
  <c r="AE29" i="1"/>
  <c r="AF29" i="1" s="1"/>
  <c r="AL29" i="1"/>
  <c r="AL296" i="1"/>
  <c r="AE296" i="1"/>
  <c r="AF296" i="1" s="1"/>
  <c r="J42" i="17"/>
  <c r="K42" i="17" s="1"/>
  <c r="I42" i="17"/>
  <c r="F42" i="17"/>
  <c r="G42" i="17" s="1"/>
  <c r="F41" i="4"/>
  <c r="K41" i="4" s="1"/>
  <c r="L41" i="4" s="1"/>
  <c r="N41" i="4" s="1"/>
  <c r="V52" i="3"/>
  <c r="J116" i="17"/>
  <c r="K116" i="17" s="1"/>
  <c r="I116" i="17"/>
  <c r="F116" i="17"/>
  <c r="G116" i="17" s="1"/>
  <c r="J13" i="17"/>
  <c r="K13" i="17" s="1"/>
  <c r="I13" i="17"/>
  <c r="F13" i="17"/>
  <c r="G13" i="17" s="1"/>
  <c r="F101" i="4"/>
  <c r="K101" i="4" s="1"/>
  <c r="L101" i="4" s="1"/>
  <c r="N101" i="4" s="1"/>
  <c r="V100" i="3"/>
  <c r="F60" i="4"/>
  <c r="K60" i="4" s="1"/>
  <c r="L60" i="4" s="1"/>
  <c r="N60" i="4" s="1"/>
  <c r="V101" i="3"/>
  <c r="M17" i="1"/>
  <c r="N17" i="1" s="1"/>
  <c r="X17" i="1" s="1"/>
  <c r="Y17" i="1" s="1"/>
  <c r="L17" i="1"/>
  <c r="F39" i="4"/>
  <c r="K39" i="4" s="1"/>
  <c r="L39" i="4" s="1"/>
  <c r="N39" i="4" s="1"/>
  <c r="V22" i="3"/>
  <c r="AL136" i="1"/>
  <c r="AM136" i="1" s="1"/>
  <c r="AE136" i="1"/>
  <c r="AF136" i="1" s="1"/>
  <c r="J49" i="17"/>
  <c r="K49" i="17" s="1"/>
  <c r="I49" i="17"/>
  <c r="F49" i="17"/>
  <c r="G49" i="17" s="1"/>
  <c r="J47" i="17"/>
  <c r="K47" i="17" s="1"/>
  <c r="I47" i="17"/>
  <c r="F47" i="17"/>
  <c r="G47" i="17" s="1"/>
  <c r="C16" i="17"/>
  <c r="AZ20" i="1"/>
  <c r="BF20" i="1" s="1"/>
  <c r="BG20" i="1" s="1"/>
  <c r="BH20" i="1" s="1"/>
  <c r="AF10" i="3"/>
  <c r="AB10" i="3"/>
  <c r="AD10" i="3" s="1"/>
  <c r="AE10" i="3" s="1"/>
  <c r="T10" i="3"/>
  <c r="F96" i="4"/>
  <c r="K96" i="4" s="1"/>
  <c r="L96" i="4" s="1"/>
  <c r="N96" i="4" s="1"/>
  <c r="V135" i="3"/>
  <c r="C75" i="17"/>
  <c r="AF99" i="3"/>
  <c r="AB99" i="3"/>
  <c r="AD99" i="3" s="1"/>
  <c r="AE99" i="3" s="1"/>
  <c r="T99" i="3"/>
  <c r="AZ109" i="1"/>
  <c r="BF109" i="1" s="1"/>
  <c r="BG109" i="1" s="1"/>
  <c r="J67" i="17"/>
  <c r="K67" i="17" s="1"/>
  <c r="I67" i="17"/>
  <c r="F67" i="17"/>
  <c r="G67" i="17" s="1"/>
  <c r="L14" i="1"/>
  <c r="N14" i="1" s="1"/>
  <c r="X14" i="1" s="1"/>
  <c r="Y14" i="1" s="1"/>
  <c r="M14" i="1"/>
  <c r="F46" i="4"/>
  <c r="K46" i="4" s="1"/>
  <c r="L46" i="4" s="1"/>
  <c r="N46" i="4" s="1"/>
  <c r="V54" i="3"/>
  <c r="C66" i="17"/>
  <c r="AF90" i="3"/>
  <c r="T90" i="3"/>
  <c r="AZ100" i="1"/>
  <c r="BF100" i="1" s="1"/>
  <c r="BG100" i="1" s="1"/>
  <c r="BH100" i="1" s="1"/>
  <c r="AB90" i="3"/>
  <c r="AD90" i="3" s="1"/>
  <c r="AE90" i="3" s="1"/>
  <c r="W354" i="3"/>
  <c r="F364" i="1" s="1"/>
  <c r="O354" i="3"/>
  <c r="Q354" i="3" s="1"/>
  <c r="J364" i="1"/>
  <c r="J35" i="17"/>
  <c r="K35" i="17" s="1"/>
  <c r="I35" i="17"/>
  <c r="F35" i="17"/>
  <c r="G35" i="17" s="1"/>
  <c r="J107" i="17"/>
  <c r="K107" i="17" s="1"/>
  <c r="I107" i="17"/>
  <c r="F107" i="17"/>
  <c r="G107" i="17" s="1"/>
  <c r="AE21" i="1"/>
  <c r="AF21" i="1" s="1"/>
  <c r="AL21" i="1"/>
  <c r="F61" i="4"/>
  <c r="K61" i="4" s="1"/>
  <c r="L61" i="4" s="1"/>
  <c r="N61" i="4" s="1"/>
  <c r="V50" i="3"/>
  <c r="J46" i="17"/>
  <c r="K46" i="17" s="1"/>
  <c r="I46" i="17"/>
  <c r="F46" i="17"/>
  <c r="G46" i="17" s="1"/>
  <c r="J43" i="17"/>
  <c r="K43" i="17" s="1"/>
  <c r="I43" i="17"/>
  <c r="F43" i="17"/>
  <c r="G43" i="17" s="1"/>
  <c r="J76" i="17"/>
  <c r="K76" i="17" s="1"/>
  <c r="I76" i="17"/>
  <c r="F76" i="17"/>
  <c r="G76" i="17" s="1"/>
  <c r="AL150" i="1"/>
  <c r="AM150" i="1" s="1"/>
  <c r="AE150" i="1"/>
  <c r="AF150" i="1" s="1"/>
  <c r="AL105" i="1"/>
  <c r="AE105" i="1"/>
  <c r="AF105" i="1" s="1"/>
  <c r="J19" i="17"/>
  <c r="K19" i="17" s="1"/>
  <c r="I19" i="17"/>
  <c r="F19" i="17"/>
  <c r="G19" i="17" s="1"/>
  <c r="J26" i="17"/>
  <c r="K26" i="17" s="1"/>
  <c r="I26" i="17"/>
  <c r="F26" i="17"/>
  <c r="G26" i="17" s="1"/>
  <c r="F62" i="4"/>
  <c r="K62" i="4" s="1"/>
  <c r="L62" i="4" s="1"/>
  <c r="N62" i="4" s="1"/>
  <c r="V25" i="3"/>
  <c r="W106" i="3"/>
  <c r="F116" i="1" s="1"/>
  <c r="BH116" i="1" s="1"/>
  <c r="AL135" i="1"/>
  <c r="AM135" i="1" s="1"/>
  <c r="AE135" i="1"/>
  <c r="AF135" i="1" s="1"/>
  <c r="F42" i="4"/>
  <c r="K42" i="4" s="1"/>
  <c r="L42" i="4" s="1"/>
  <c r="N42" i="4" s="1"/>
  <c r="V47" i="3"/>
  <c r="F30" i="4"/>
  <c r="K30" i="4" s="1"/>
  <c r="L30" i="4" s="1"/>
  <c r="N30" i="4" s="1"/>
  <c r="V108" i="3"/>
  <c r="AE98" i="1"/>
  <c r="AF98" i="1" s="1"/>
  <c r="AL98" i="1"/>
  <c r="J102" i="17"/>
  <c r="K102" i="17" s="1"/>
  <c r="I102" i="17"/>
  <c r="F102" i="17"/>
  <c r="G102" i="17" s="1"/>
  <c r="F31" i="4"/>
  <c r="K31" i="4" s="1"/>
  <c r="L31" i="4" s="1"/>
  <c r="N31" i="4" s="1"/>
  <c r="V291" i="3"/>
  <c r="F51" i="4"/>
  <c r="K51" i="4" s="1"/>
  <c r="L51" i="4" s="1"/>
  <c r="N51" i="4" s="1"/>
  <c r="V21" i="3"/>
  <c r="C4" i="2"/>
  <c r="X52" i="1"/>
  <c r="Y52" i="1" s="1"/>
  <c r="AL113" i="1"/>
  <c r="AM113" i="1" s="1"/>
  <c r="AE113" i="1"/>
  <c r="AF113" i="1" s="1"/>
  <c r="F27" i="4"/>
  <c r="K27" i="4" s="1"/>
  <c r="L27" i="4" s="1"/>
  <c r="N27" i="4" s="1"/>
  <c r="V53" i="3"/>
  <c r="J86" i="17"/>
  <c r="K86" i="17" s="1"/>
  <c r="I86" i="17"/>
  <c r="F86" i="17"/>
  <c r="G86" i="17" s="1"/>
  <c r="F117" i="4"/>
  <c r="K117" i="4" s="1"/>
  <c r="L117" i="4" s="1"/>
  <c r="N117" i="4" s="1"/>
  <c r="V72" i="3"/>
  <c r="J48" i="17"/>
  <c r="K48" i="17" s="1"/>
  <c r="I48" i="17"/>
  <c r="F48" i="17"/>
  <c r="G48" i="17" s="1"/>
  <c r="I80" i="17"/>
  <c r="J80" i="17"/>
  <c r="K80" i="17" s="1"/>
  <c r="F80" i="17"/>
  <c r="G80" i="17" s="1"/>
  <c r="F73" i="4"/>
  <c r="K73" i="4" s="1"/>
  <c r="L73" i="4" s="1"/>
  <c r="N73" i="4" s="1"/>
  <c r="V130" i="3"/>
  <c r="C15" i="17"/>
  <c r="T7" i="3"/>
  <c r="AB7" i="3"/>
  <c r="AD7" i="3" s="1"/>
  <c r="AE7" i="3" s="1"/>
  <c r="AZ17" i="1"/>
  <c r="BF17" i="1" s="1"/>
  <c r="BG17" i="1" s="1"/>
  <c r="AF7" i="3"/>
  <c r="F14" i="4"/>
  <c r="K14" i="4" s="1"/>
  <c r="L14" i="4" s="1"/>
  <c r="N14" i="4" s="1"/>
  <c r="V12" i="3"/>
  <c r="J29" i="17"/>
  <c r="K29" i="17" s="1"/>
  <c r="I29" i="17"/>
  <c r="F29" i="17"/>
  <c r="G29" i="17" s="1"/>
  <c r="F102" i="4"/>
  <c r="K102" i="4" s="1"/>
  <c r="L102" i="4" s="1"/>
  <c r="N102" i="4" s="1"/>
  <c r="V96" i="3"/>
  <c r="BH34" i="1"/>
  <c r="C110" i="17"/>
  <c r="T134" i="3"/>
  <c r="AB134" i="3"/>
  <c r="AD134" i="3" s="1"/>
  <c r="AE134" i="3" s="1"/>
  <c r="AF134" i="3"/>
  <c r="AZ144" i="1"/>
  <c r="BF144" i="1" s="1"/>
  <c r="BG144" i="1" s="1"/>
  <c r="J32" i="17"/>
  <c r="K32" i="17" s="1"/>
  <c r="I32" i="17"/>
  <c r="F32" i="17"/>
  <c r="G32" i="17" s="1"/>
  <c r="J31" i="17"/>
  <c r="K31" i="17" s="1"/>
  <c r="I31" i="17"/>
  <c r="F31" i="17"/>
  <c r="G31" i="17" s="1"/>
  <c r="J14" i="17"/>
  <c r="K14" i="17" s="1"/>
  <c r="I14" i="17"/>
  <c r="F14" i="17"/>
  <c r="G14" i="17" s="1"/>
  <c r="F67" i="4"/>
  <c r="K67" i="4" s="1"/>
  <c r="L67" i="4" s="1"/>
  <c r="N67" i="4" s="1"/>
  <c r="V92" i="3"/>
  <c r="J101" i="17"/>
  <c r="K101" i="17" s="1"/>
  <c r="I101" i="17"/>
  <c r="F101" i="17"/>
  <c r="G101" i="17" s="1"/>
  <c r="J89" i="17"/>
  <c r="K89" i="17" s="1"/>
  <c r="I89" i="17"/>
  <c r="F89" i="17"/>
  <c r="G89" i="17" s="1"/>
  <c r="F36" i="4"/>
  <c r="K36" i="4" s="1"/>
  <c r="L36" i="4" s="1"/>
  <c r="N36" i="4" s="1"/>
  <c r="V19" i="3"/>
  <c r="J64" i="17"/>
  <c r="K64" i="17" s="1"/>
  <c r="I64" i="17"/>
  <c r="F64" i="17"/>
  <c r="G64" i="17" s="1"/>
  <c r="F43" i="4"/>
  <c r="K43" i="4" s="1"/>
  <c r="L43" i="4" s="1"/>
  <c r="N43" i="4" s="1"/>
  <c r="V45" i="3"/>
  <c r="J93" i="17"/>
  <c r="K93" i="17" s="1"/>
  <c r="I93" i="17"/>
  <c r="F93" i="17"/>
  <c r="G93" i="17" s="1"/>
  <c r="I38" i="17"/>
  <c r="J38" i="17"/>
  <c r="K38" i="17" s="1"/>
  <c r="F38" i="17"/>
  <c r="G38" i="17" s="1"/>
  <c r="F45" i="4"/>
  <c r="K45" i="4" s="1"/>
  <c r="L45" i="4" s="1"/>
  <c r="N45" i="4" s="1"/>
  <c r="V17" i="3"/>
  <c r="J41" i="17"/>
  <c r="K41" i="17" s="1"/>
  <c r="I41" i="17"/>
  <c r="F41" i="17"/>
  <c r="G41" i="17" s="1"/>
  <c r="J144" i="17"/>
  <c r="K144" i="17" s="1"/>
  <c r="I144" i="17"/>
  <c r="F144" i="17"/>
  <c r="G144" i="17" s="1"/>
  <c r="F76" i="4"/>
  <c r="K76" i="4" s="1"/>
  <c r="L76" i="4" s="1"/>
  <c r="N76" i="4" s="1"/>
  <c r="V95" i="3"/>
  <c r="J27" i="17"/>
  <c r="K27" i="17" s="1"/>
  <c r="I27" i="17"/>
  <c r="F27" i="17"/>
  <c r="G27" i="17" s="1"/>
  <c r="J77" i="17"/>
  <c r="K77" i="17" s="1"/>
  <c r="I77" i="17"/>
  <c r="F77" i="17"/>
  <c r="G77" i="17" s="1"/>
  <c r="L378" i="1"/>
  <c r="N378" i="1"/>
  <c r="X378" i="1" s="1"/>
  <c r="Y378" i="1" s="1"/>
  <c r="M378" i="1"/>
  <c r="I37" i="17"/>
  <c r="J37" i="17"/>
  <c r="K37" i="17" s="1"/>
  <c r="F37" i="17"/>
  <c r="G37" i="17" s="1"/>
  <c r="M144" i="1"/>
  <c r="L144" i="1"/>
  <c r="N144" i="1" s="1"/>
  <c r="X144" i="1" s="1"/>
  <c r="Y144" i="1" s="1"/>
  <c r="J111" i="17"/>
  <c r="K111" i="17" s="1"/>
  <c r="I111" i="17"/>
  <c r="F111" i="17"/>
  <c r="G111" i="17" s="1"/>
  <c r="W99" i="3"/>
  <c r="F109" i="1" s="1"/>
  <c r="BH109" i="1" s="1"/>
  <c r="F109" i="4"/>
  <c r="K109" i="4" s="1"/>
  <c r="L109" i="4" s="1"/>
  <c r="N109" i="4" s="1"/>
  <c r="V132" i="3"/>
  <c r="F38" i="4"/>
  <c r="K38" i="4" s="1"/>
  <c r="L38" i="4" s="1"/>
  <c r="N38" i="4" s="1"/>
  <c r="V15" i="3"/>
  <c r="W7" i="3"/>
  <c r="F17" i="1" s="1"/>
  <c r="BH17" i="1" s="1"/>
  <c r="J18" i="17"/>
  <c r="K18" i="17" s="1"/>
  <c r="I18" i="17"/>
  <c r="F18" i="17"/>
  <c r="G18" i="17" s="1"/>
  <c r="W344" i="3"/>
  <c r="F354" i="1" s="1"/>
  <c r="O344" i="3"/>
  <c r="Q344" i="3" s="1"/>
  <c r="J354" i="1"/>
  <c r="F18" i="4"/>
  <c r="K18" i="4" s="1"/>
  <c r="L18" i="4" s="1"/>
  <c r="N18" i="4" s="1"/>
  <c r="V48" i="3"/>
  <c r="J24" i="17"/>
  <c r="K24" i="17" s="1"/>
  <c r="I24" i="17"/>
  <c r="F24" i="17"/>
  <c r="G24" i="17" s="1"/>
  <c r="F100" i="4"/>
  <c r="K100" i="4" s="1"/>
  <c r="L100" i="4" s="1"/>
  <c r="N100" i="4" s="1"/>
  <c r="V294" i="3"/>
  <c r="W134" i="3"/>
  <c r="F144" i="1" s="1"/>
  <c r="BH144" i="1" s="1"/>
  <c r="F19" i="4"/>
  <c r="K19" i="4" s="1"/>
  <c r="L19" i="4" s="1"/>
  <c r="N19" i="4" s="1"/>
  <c r="V109" i="3"/>
  <c r="W347" i="3"/>
  <c r="F357" i="1" s="1"/>
  <c r="O347" i="3"/>
  <c r="Q347" i="3" s="1"/>
  <c r="J357" i="1"/>
  <c r="F40" i="4"/>
  <c r="K40" i="4" s="1"/>
  <c r="L40" i="4" s="1"/>
  <c r="N40" i="4" s="1"/>
  <c r="V24" i="3"/>
  <c r="C12" i="17"/>
  <c r="X4" i="3"/>
  <c r="Y4" i="3" s="1"/>
  <c r="Z4" i="3" s="1"/>
  <c r="AB4" i="3"/>
  <c r="AD4" i="3" s="1"/>
  <c r="AE4" i="3" s="1"/>
  <c r="AF4" i="3"/>
  <c r="T4" i="3"/>
  <c r="AZ14" i="1"/>
  <c r="BH263" i="1"/>
  <c r="BH21" i="1"/>
  <c r="I40" i="17"/>
  <c r="J40" i="17"/>
  <c r="K40" i="17" s="1"/>
  <c r="F40" i="17"/>
  <c r="G40" i="17" s="1"/>
  <c r="J96" i="17"/>
  <c r="K96" i="17" s="1"/>
  <c r="I96" i="17"/>
  <c r="F96" i="17"/>
  <c r="G96" i="17" s="1"/>
  <c r="J68" i="17"/>
  <c r="K68" i="17" s="1"/>
  <c r="I68" i="17"/>
  <c r="F68" i="17"/>
  <c r="G68" i="17" s="1"/>
  <c r="BH55" i="1"/>
  <c r="J25" i="17"/>
  <c r="K25" i="17" s="1"/>
  <c r="I25" i="17"/>
  <c r="F25" i="17"/>
  <c r="G25" i="17" s="1"/>
  <c r="J36" i="17"/>
  <c r="K36" i="17" s="1"/>
  <c r="I36" i="17"/>
  <c r="F36" i="17"/>
  <c r="G36" i="17" s="1"/>
  <c r="F12" i="4"/>
  <c r="K12" i="4" s="1"/>
  <c r="L12" i="4" s="1"/>
  <c r="N12" i="4" s="1"/>
  <c r="V11" i="3"/>
  <c r="J84" i="17"/>
  <c r="K84" i="17" s="1"/>
  <c r="I84" i="17"/>
  <c r="F84" i="17"/>
  <c r="G84" i="17" s="1"/>
  <c r="J57" i="17"/>
  <c r="K57" i="17" s="1"/>
  <c r="I57" i="17"/>
  <c r="F57" i="17"/>
  <c r="G57" i="17" s="1"/>
  <c r="J23" i="17"/>
  <c r="K23" i="17" s="1"/>
  <c r="I23" i="17"/>
  <c r="F23" i="17"/>
  <c r="G23" i="17" s="1"/>
  <c r="F26" i="4"/>
  <c r="K26" i="4" s="1"/>
  <c r="L26" i="4" s="1"/>
  <c r="N26" i="4" s="1"/>
  <c r="V112" i="3"/>
  <c r="BH302" i="1"/>
  <c r="F66" i="4"/>
  <c r="K66" i="4" s="1"/>
  <c r="L66" i="4" s="1"/>
  <c r="N66" i="4" s="1"/>
  <c r="V292" i="3"/>
  <c r="I129" i="17"/>
  <c r="J129" i="17"/>
  <c r="K129" i="17" s="1"/>
  <c r="F129" i="17"/>
  <c r="G129" i="17" s="1"/>
  <c r="I108" i="17"/>
  <c r="J108" i="17"/>
  <c r="K108" i="17" s="1"/>
  <c r="F108" i="17"/>
  <c r="G108" i="17" s="1"/>
  <c r="AE33" i="1"/>
  <c r="AF33" i="1" s="1"/>
  <c r="AL33" i="1"/>
  <c r="J94" i="17"/>
  <c r="K94" i="17" s="1"/>
  <c r="I94" i="17"/>
  <c r="F94" i="17"/>
  <c r="G94" i="17" s="1"/>
  <c r="F32" i="4"/>
  <c r="K32" i="4" s="1"/>
  <c r="L32" i="4" s="1"/>
  <c r="N32" i="4" s="1"/>
  <c r="V16" i="3"/>
  <c r="O371" i="3"/>
  <c r="Q371" i="3" s="1"/>
  <c r="J381" i="1"/>
  <c r="AE84" i="1"/>
  <c r="AF84" i="1" s="1"/>
  <c r="AL84" i="1"/>
  <c r="J45" i="17"/>
  <c r="K45" i="17" s="1"/>
  <c r="I45" i="17"/>
  <c r="F45" i="17"/>
  <c r="G45" i="17" s="1"/>
  <c r="F110" i="4"/>
  <c r="K110" i="4" s="1"/>
  <c r="L110" i="4" s="1"/>
  <c r="N110" i="4" s="1"/>
  <c r="V253" i="3"/>
  <c r="AE151" i="1"/>
  <c r="AF151" i="1" s="1"/>
  <c r="AL151" i="1"/>
  <c r="AE115" i="1"/>
  <c r="AF115" i="1" s="1"/>
  <c r="AL115" i="1"/>
  <c r="M117" i="1"/>
  <c r="L117" i="1"/>
  <c r="N117" i="1" s="1"/>
  <c r="X117" i="1" s="1"/>
  <c r="Y117" i="1" s="1"/>
  <c r="W372" i="3"/>
  <c r="F382" i="1" s="1"/>
  <c r="O372" i="3"/>
  <c r="Q372" i="3" s="1"/>
  <c r="J382" i="1"/>
  <c r="AE53" i="1"/>
  <c r="AF53" i="1" s="1"/>
  <c r="AL53" i="1"/>
  <c r="AM53" i="1" s="1"/>
  <c r="I88" i="17"/>
  <c r="J88" i="17"/>
  <c r="K88" i="17" s="1"/>
  <c r="F88" i="17"/>
  <c r="G88" i="17" s="1"/>
  <c r="J71" i="17"/>
  <c r="K71" i="17" s="1"/>
  <c r="I71" i="17"/>
  <c r="F71" i="17"/>
  <c r="G71" i="17" s="1"/>
  <c r="F52" i="4"/>
  <c r="K52" i="4" s="1"/>
  <c r="L52" i="4" s="1"/>
  <c r="N52" i="4" s="1"/>
  <c r="V127" i="3"/>
  <c r="F106" i="4"/>
  <c r="K106" i="4" s="1"/>
  <c r="L106" i="4" s="1"/>
  <c r="N106" i="4" s="1"/>
  <c r="V136" i="3"/>
  <c r="J53" i="17"/>
  <c r="K53" i="17" s="1"/>
  <c r="I53" i="17"/>
  <c r="F53" i="17"/>
  <c r="G53" i="17" s="1"/>
  <c r="J58" i="17"/>
  <c r="K58" i="17" s="1"/>
  <c r="I58" i="17"/>
  <c r="F58" i="17"/>
  <c r="G58" i="17" s="1"/>
  <c r="C156" i="17"/>
  <c r="T368" i="3"/>
  <c r="AF368" i="3"/>
  <c r="AB368" i="3"/>
  <c r="AD368" i="3" s="1"/>
  <c r="AE368" i="3" s="1"/>
  <c r="AZ378" i="1"/>
  <c r="BF378" i="1" s="1"/>
  <c r="BG378" i="1" s="1"/>
  <c r="J20" i="17"/>
  <c r="K20" i="17" s="1"/>
  <c r="I20" i="17"/>
  <c r="F20" i="17"/>
  <c r="G20" i="17" s="1"/>
  <c r="I65" i="17"/>
  <c r="J65" i="17"/>
  <c r="K65" i="17" s="1"/>
  <c r="F65" i="17"/>
  <c r="G65" i="17" s="1"/>
  <c r="F25" i="4"/>
  <c r="K25" i="4" s="1"/>
  <c r="L25" i="4" s="1"/>
  <c r="N25" i="4" s="1"/>
  <c r="V18" i="3"/>
  <c r="J74" i="17"/>
  <c r="K74" i="17" s="1"/>
  <c r="I74" i="17"/>
  <c r="F74" i="17"/>
  <c r="G74" i="17" s="1"/>
  <c r="M20" i="1"/>
  <c r="L20" i="1"/>
  <c r="N20" i="1" s="1"/>
  <c r="X20" i="1" s="1"/>
  <c r="Y20" i="1" s="1"/>
  <c r="AL91" i="1"/>
  <c r="AE91" i="1"/>
  <c r="AF91" i="1" s="1"/>
  <c r="F28" i="4"/>
  <c r="K28" i="4" s="1"/>
  <c r="L28" i="4" s="1"/>
  <c r="N28" i="4" s="1"/>
  <c r="V23" i="3"/>
  <c r="J143" i="17"/>
  <c r="K143" i="17" s="1"/>
  <c r="I143" i="17"/>
  <c r="F143" i="17"/>
  <c r="G143" i="17" s="1"/>
  <c r="J69" i="17"/>
  <c r="K69" i="17" s="1"/>
  <c r="I69" i="17"/>
  <c r="F69" i="17"/>
  <c r="G69" i="17" s="1"/>
  <c r="F108" i="4"/>
  <c r="K108" i="4" s="1"/>
  <c r="L108" i="4" s="1"/>
  <c r="N108" i="4" s="1"/>
  <c r="V139" i="3"/>
  <c r="F111" i="4"/>
  <c r="K111" i="4" s="1"/>
  <c r="L111" i="4" s="1"/>
  <c r="N111" i="4" s="1"/>
  <c r="V138" i="3"/>
  <c r="AL36" i="1"/>
  <c r="AE36" i="1"/>
  <c r="AF36" i="1" s="1"/>
  <c r="F54" i="4"/>
  <c r="K54" i="4" s="1"/>
  <c r="L54" i="4" s="1"/>
  <c r="N54" i="4" s="1"/>
  <c r="V129" i="3"/>
  <c r="J72" i="17"/>
  <c r="K72" i="17" s="1"/>
  <c r="I72" i="17"/>
  <c r="F72" i="17"/>
  <c r="G72" i="17" s="1"/>
  <c r="O373" i="3"/>
  <c r="Q373" i="3" s="1"/>
  <c r="W373" i="3" s="1"/>
  <c r="F383" i="1" s="1"/>
  <c r="J383" i="1"/>
  <c r="J22" i="17"/>
  <c r="K22" i="17" s="1"/>
  <c r="I22" i="17"/>
  <c r="F22" i="17"/>
  <c r="G22" i="17" s="1"/>
  <c r="J109" i="17"/>
  <c r="K109" i="17" s="1"/>
  <c r="I109" i="17"/>
  <c r="F109" i="17"/>
  <c r="G109" i="17" s="1"/>
  <c r="AL108" i="1"/>
  <c r="AE108" i="1"/>
  <c r="AF108" i="1" s="1"/>
  <c r="AL143" i="1"/>
  <c r="AM143" i="1" s="1"/>
  <c r="AE143" i="1"/>
  <c r="AF143" i="1" s="1"/>
  <c r="F64" i="4"/>
  <c r="K64" i="4" s="1"/>
  <c r="L64" i="4" s="1"/>
  <c r="N64" i="4" s="1"/>
  <c r="V94" i="3"/>
  <c r="J123" i="17"/>
  <c r="K123" i="17" s="1"/>
  <c r="I123" i="17"/>
  <c r="F123" i="17"/>
  <c r="G123" i="17" s="1"/>
  <c r="J17" i="17"/>
  <c r="K17" i="17" s="1"/>
  <c r="I17" i="17"/>
  <c r="F17" i="17"/>
  <c r="G17" i="17" s="1"/>
  <c r="O348" i="3"/>
  <c r="Q348" i="3" s="1"/>
  <c r="J358" i="1"/>
  <c r="F69" i="4"/>
  <c r="K69" i="4" s="1"/>
  <c r="L69" i="4" s="1"/>
  <c r="N69" i="4" s="1"/>
  <c r="V142" i="3"/>
  <c r="J100" i="17"/>
  <c r="K100" i="17" s="1"/>
  <c r="I100" i="17"/>
  <c r="F100" i="17"/>
  <c r="G100" i="17" s="1"/>
  <c r="F72" i="4"/>
  <c r="K72" i="4" s="1"/>
  <c r="L72" i="4" s="1"/>
  <c r="N72" i="4" s="1"/>
  <c r="V137" i="3"/>
  <c r="J103" i="17"/>
  <c r="K103" i="17" s="1"/>
  <c r="I103" i="17"/>
  <c r="F103" i="17"/>
  <c r="G103" i="17" s="1"/>
  <c r="I44" i="17"/>
  <c r="J44" i="17"/>
  <c r="K44" i="17" s="1"/>
  <c r="F44" i="17"/>
  <c r="G44" i="17" s="1"/>
  <c r="W368" i="3"/>
  <c r="F378" i="1" s="1"/>
  <c r="J28" i="17"/>
  <c r="K28" i="17" s="1"/>
  <c r="I28" i="17"/>
  <c r="F28" i="17"/>
  <c r="G28" i="17" s="1"/>
  <c r="AE25" i="1"/>
  <c r="AF25" i="1" s="1"/>
  <c r="AL25" i="1"/>
  <c r="AM25" i="1" s="1"/>
  <c r="AE260" i="1"/>
  <c r="AF260" i="1" s="1"/>
  <c r="AL260" i="1"/>
  <c r="AE104" i="1"/>
  <c r="AF104" i="1" s="1"/>
  <c r="AL104" i="1"/>
  <c r="AM104" i="1" s="1"/>
  <c r="I106" i="17"/>
  <c r="J106" i="17"/>
  <c r="K106" i="17" s="1"/>
  <c r="F106" i="17"/>
  <c r="G106" i="17" s="1"/>
  <c r="AL101" i="1"/>
  <c r="AM101" i="1" s="1"/>
  <c r="AE101" i="1"/>
  <c r="AF101" i="1" s="1"/>
  <c r="AE15" i="1"/>
  <c r="AF15" i="1" s="1"/>
  <c r="AL15" i="1"/>
  <c r="F74" i="4"/>
  <c r="K74" i="4" s="1"/>
  <c r="L74" i="4" s="1"/>
  <c r="N74" i="4" s="1"/>
  <c r="V143" i="3"/>
  <c r="I115" i="17"/>
  <c r="J115" i="17"/>
  <c r="K115" i="17" s="1"/>
  <c r="F115" i="17"/>
  <c r="G115" i="17" s="1"/>
  <c r="I85" i="17"/>
  <c r="J85" i="17"/>
  <c r="K85" i="17" s="1"/>
  <c r="F85" i="17"/>
  <c r="G85" i="17" s="1"/>
  <c r="F82" i="4"/>
  <c r="K82" i="4" s="1"/>
  <c r="L82" i="4" s="1"/>
  <c r="N82" i="4" s="1"/>
  <c r="V133" i="3"/>
  <c r="F83" i="4"/>
  <c r="K83" i="4" s="1"/>
  <c r="L83" i="4" s="1"/>
  <c r="N83" i="4" s="1"/>
  <c r="V289" i="3"/>
  <c r="BH128" i="1"/>
  <c r="J39" i="17"/>
  <c r="K39" i="17" s="1"/>
  <c r="I39" i="17"/>
  <c r="F39" i="17"/>
  <c r="G39" i="17" s="1"/>
  <c r="F79" i="4"/>
  <c r="K79" i="4" s="1"/>
  <c r="L79" i="4" s="1"/>
  <c r="N79" i="4" s="1"/>
  <c r="V98" i="3"/>
  <c r="O349" i="3"/>
  <c r="Q349" i="3" s="1"/>
  <c r="W349" i="3" s="1"/>
  <c r="F359" i="1" s="1"/>
  <c r="J359" i="1"/>
  <c r="I147" i="17"/>
  <c r="J147" i="17"/>
  <c r="K147" i="17" s="1"/>
  <c r="F147" i="17"/>
  <c r="G147" i="17" s="1"/>
  <c r="F11" i="4"/>
  <c r="K11" i="4" s="1"/>
  <c r="L11" i="4" s="1"/>
  <c r="N11" i="4" s="1"/>
  <c r="V43" i="3"/>
  <c r="I30" i="17"/>
  <c r="J30" i="17"/>
  <c r="K30" i="17" s="1"/>
  <c r="F30" i="17"/>
  <c r="G30" i="17" s="1"/>
  <c r="J114" i="17"/>
  <c r="K114" i="17" s="1"/>
  <c r="I114" i="17"/>
  <c r="F114" i="17"/>
  <c r="G114" i="17" s="1"/>
  <c r="O355" i="3"/>
  <c r="Q355" i="3" s="1"/>
  <c r="W355" i="3"/>
  <c r="F365" i="1" s="1"/>
  <c r="J365" i="1"/>
  <c r="O346" i="3"/>
  <c r="Q346" i="3" s="1"/>
  <c r="J356" i="1"/>
  <c r="J70" i="17"/>
  <c r="K70" i="17" s="1"/>
  <c r="I70" i="17"/>
  <c r="F70" i="17"/>
  <c r="G70" i="17" s="1"/>
  <c r="BH113" i="1"/>
  <c r="F59" i="4"/>
  <c r="K59" i="4" s="1"/>
  <c r="L59" i="4" s="1"/>
  <c r="N59" i="4" s="1"/>
  <c r="V287" i="3"/>
  <c r="AL305" i="1"/>
  <c r="AE305" i="1"/>
  <c r="AF305" i="1" s="1"/>
  <c r="F94" i="4"/>
  <c r="K94" i="4" s="1"/>
  <c r="L94" i="4" s="1"/>
  <c r="N94" i="4" s="1"/>
  <c r="V103" i="3"/>
  <c r="C83" i="17"/>
  <c r="T107" i="3"/>
  <c r="AZ117" i="1"/>
  <c r="BF117" i="1" s="1"/>
  <c r="BG117" i="1" s="1"/>
  <c r="BH117" i="1" s="1"/>
  <c r="AB107" i="3"/>
  <c r="AD107" i="3" s="1"/>
  <c r="AE107" i="3" s="1"/>
  <c r="AF107" i="3"/>
  <c r="J118" i="17"/>
  <c r="K118" i="17" s="1"/>
  <c r="I118" i="17"/>
  <c r="F118" i="17"/>
  <c r="G118" i="17" s="1"/>
  <c r="F88" i="4"/>
  <c r="K88" i="4" s="1"/>
  <c r="L88" i="4" s="1"/>
  <c r="N88" i="4" s="1"/>
  <c r="V128" i="3"/>
  <c r="F17" i="4"/>
  <c r="K17" i="4" s="1"/>
  <c r="L17" i="4" s="1"/>
  <c r="N17" i="4" s="1"/>
  <c r="V55" i="3"/>
  <c r="J113" i="17"/>
  <c r="K113" i="17" s="1"/>
  <c r="I113" i="17"/>
  <c r="F113" i="17"/>
  <c r="G113" i="17" s="1"/>
  <c r="I145" i="17"/>
  <c r="J145" i="17"/>
  <c r="K145" i="17" s="1"/>
  <c r="F145" i="17"/>
  <c r="G145" i="17" s="1"/>
  <c r="AL137" i="1"/>
  <c r="AE137" i="1"/>
  <c r="AF137" i="1" s="1"/>
  <c r="AE278" i="1"/>
  <c r="AF278" i="1" s="1"/>
  <c r="AL278" i="1"/>
  <c r="AM278" i="1" s="1"/>
  <c r="F24" i="4"/>
  <c r="K24" i="4" s="1"/>
  <c r="L24" i="4" s="1"/>
  <c r="N24" i="4" s="1"/>
  <c r="V14" i="3"/>
  <c r="J21" i="17"/>
  <c r="K21" i="17" s="1"/>
  <c r="I21" i="17"/>
  <c r="F21" i="17"/>
  <c r="G21" i="17" s="1"/>
  <c r="F65" i="4"/>
  <c r="K65" i="4" s="1"/>
  <c r="L65" i="4" s="1"/>
  <c r="N65" i="4" s="1"/>
  <c r="V104" i="3"/>
  <c r="F33" i="4"/>
  <c r="K33" i="4" s="1"/>
  <c r="L33" i="4" s="1"/>
  <c r="N33" i="4" s="1"/>
  <c r="V56" i="3"/>
  <c r="J120" i="17"/>
  <c r="K120" i="17" s="1"/>
  <c r="I120" i="17"/>
  <c r="F120" i="17"/>
  <c r="G120" i="17" s="1"/>
  <c r="F89" i="4"/>
  <c r="K89" i="4" s="1"/>
  <c r="L89" i="4" s="1"/>
  <c r="N89" i="4" s="1"/>
  <c r="V268" i="3"/>
  <c r="J34" i="17"/>
  <c r="K34" i="17" s="1"/>
  <c r="I34" i="17"/>
  <c r="F34" i="17"/>
  <c r="G34" i="17" s="1"/>
  <c r="J119" i="17"/>
  <c r="K119" i="17" s="1"/>
  <c r="I119" i="17"/>
  <c r="F119" i="17"/>
  <c r="G119" i="17" s="1"/>
  <c r="J142" i="17"/>
  <c r="K142" i="17" s="1"/>
  <c r="I142" i="17"/>
  <c r="F142" i="17"/>
  <c r="G142" i="17" s="1"/>
  <c r="W379" i="3"/>
  <c r="F389" i="1" s="1"/>
  <c r="O379" i="3"/>
  <c r="Q379" i="3" s="1"/>
  <c r="J389" i="1"/>
  <c r="F75" i="4"/>
  <c r="K75" i="4" s="1"/>
  <c r="L75" i="4" s="1"/>
  <c r="N75" i="4" s="1"/>
  <c r="V105" i="3"/>
  <c r="F48" i="4"/>
  <c r="K48" i="4" s="1"/>
  <c r="L48" i="4" s="1"/>
  <c r="N48" i="4" s="1"/>
  <c r="V286" i="3"/>
  <c r="F93" i="4"/>
  <c r="K93" i="4" s="1"/>
  <c r="L93" i="4" s="1"/>
  <c r="N93" i="4" s="1"/>
  <c r="V102" i="3"/>
  <c r="O370" i="3"/>
  <c r="Q370" i="3" s="1"/>
  <c r="W370" i="3"/>
  <c r="F380" i="1" s="1"/>
  <c r="J380" i="1"/>
  <c r="F97" i="4"/>
  <c r="K97" i="4" s="1"/>
  <c r="L97" i="4" s="1"/>
  <c r="N97" i="4" s="1"/>
  <c r="V141" i="3"/>
  <c r="M100" i="1"/>
  <c r="L100" i="1"/>
  <c r="N100" i="1" s="1"/>
  <c r="X100" i="1" s="1"/>
  <c r="Y100" i="1" s="1"/>
  <c r="F9" i="4"/>
  <c r="K9" i="4" s="1"/>
  <c r="L9" i="4" s="1"/>
  <c r="N9" i="4" s="1"/>
  <c r="V42" i="3"/>
  <c r="F81" i="4"/>
  <c r="K81" i="4" s="1"/>
  <c r="L81" i="4" s="1"/>
  <c r="N81" i="4" s="1"/>
  <c r="V97" i="3"/>
  <c r="AE299" i="1"/>
  <c r="AF299" i="1" s="1"/>
  <c r="AL299" i="1"/>
  <c r="AM299" i="1" s="1"/>
  <c r="J140" i="17"/>
  <c r="K140" i="17" s="1"/>
  <c r="I140" i="17"/>
  <c r="F140" i="17"/>
  <c r="G140" i="17" s="1"/>
  <c r="F107" i="4"/>
  <c r="K107" i="4" s="1"/>
  <c r="L107" i="4" s="1"/>
  <c r="N107" i="4" s="1"/>
  <c r="V131" i="3"/>
  <c r="J79" i="17"/>
  <c r="K79" i="17" s="1"/>
  <c r="I79" i="17"/>
  <c r="F79" i="17"/>
  <c r="G79" i="17" s="1"/>
  <c r="BH63" i="1"/>
  <c r="F103" i="4"/>
  <c r="K103" i="4" s="1"/>
  <c r="L103" i="4" s="1"/>
  <c r="N103" i="4" s="1"/>
  <c r="V271" i="3"/>
  <c r="F10" i="4"/>
  <c r="K10" i="4" s="1"/>
  <c r="L10" i="4" s="1"/>
  <c r="N10" i="4" s="1"/>
  <c r="V5" i="3"/>
  <c r="J112" i="17"/>
  <c r="K112" i="17" s="1"/>
  <c r="I112" i="17"/>
  <c r="F112" i="17"/>
  <c r="G112" i="17" s="1"/>
  <c r="AL17" i="1" l="1"/>
  <c r="AE17" i="1"/>
  <c r="AF17" i="1" s="1"/>
  <c r="AE14" i="1"/>
  <c r="AF14" i="1" s="1"/>
  <c r="AL14" i="1"/>
  <c r="AM14" i="1" s="1"/>
  <c r="AL109" i="1"/>
  <c r="AE109" i="1"/>
  <c r="AF109" i="1" s="1"/>
  <c r="AL144" i="1"/>
  <c r="AE144" i="1"/>
  <c r="AF144" i="1" s="1"/>
  <c r="AE20" i="1"/>
  <c r="AF20" i="1" s="1"/>
  <c r="AL20" i="1"/>
  <c r="AE117" i="1"/>
  <c r="AF117" i="1" s="1"/>
  <c r="AL117" i="1"/>
  <c r="AM117" i="1" s="1"/>
  <c r="AL100" i="1"/>
  <c r="AE100" i="1"/>
  <c r="AF100" i="1" s="1"/>
  <c r="AR104" i="1"/>
  <c r="AW104" i="1"/>
  <c r="AY104" i="1" s="1"/>
  <c r="AX104" i="1" s="1"/>
  <c r="AU104" i="1"/>
  <c r="AV104" i="1" s="1"/>
  <c r="AQ104" i="1"/>
  <c r="AT104" i="1" s="1"/>
  <c r="AN104" i="1"/>
  <c r="AO104" i="1"/>
  <c r="AP104" i="1" s="1"/>
  <c r="AS104" i="1"/>
  <c r="AN135" i="1"/>
  <c r="AO135" i="1"/>
  <c r="AP135" i="1" s="1"/>
  <c r="AQ135" i="1"/>
  <c r="AU135" i="1"/>
  <c r="AV135" i="1" s="1"/>
  <c r="AS135" i="1"/>
  <c r="AR135" i="1"/>
  <c r="F21" i="4"/>
  <c r="K21" i="4" s="1"/>
  <c r="L21" i="4" s="1"/>
  <c r="N21" i="4" s="1"/>
  <c r="V90" i="3"/>
  <c r="AO136" i="1"/>
  <c r="AP136" i="1" s="1"/>
  <c r="AR136" i="1"/>
  <c r="AN136" i="1"/>
  <c r="AS136" i="1"/>
  <c r="AW136" i="1"/>
  <c r="AY136" i="1" s="1"/>
  <c r="AX136" i="1" s="1"/>
  <c r="AQ136" i="1"/>
  <c r="AT136" i="1" s="1"/>
  <c r="AU136" i="1"/>
  <c r="AV136" i="1" s="1"/>
  <c r="AR114" i="1"/>
  <c r="AS114" i="1"/>
  <c r="AU114" i="1"/>
  <c r="AV114" i="1" s="1"/>
  <c r="AO114" i="1"/>
  <c r="AP114" i="1" s="1"/>
  <c r="AW114" i="1" s="1"/>
  <c r="AY114" i="1" s="1"/>
  <c r="AX114" i="1" s="1"/>
  <c r="AN114" i="1"/>
  <c r="AQ114" i="1"/>
  <c r="AT114" i="1" s="1"/>
  <c r="AO30" i="1"/>
  <c r="AP30" i="1" s="1"/>
  <c r="AW30" i="1" s="1"/>
  <c r="AY30" i="1" s="1"/>
  <c r="AX30" i="1" s="1"/>
  <c r="AN30" i="1"/>
  <c r="AR30" i="1"/>
  <c r="AU30" i="1"/>
  <c r="AV30" i="1" s="1"/>
  <c r="AS30" i="1"/>
  <c r="AQ30" i="1"/>
  <c r="AT30" i="1" s="1"/>
  <c r="AR22" i="1"/>
  <c r="AO22" i="1"/>
  <c r="AN22" i="1"/>
  <c r="AS22" i="1"/>
  <c r="AU22" i="1"/>
  <c r="AV22" i="1" s="1"/>
  <c r="AQ22" i="1"/>
  <c r="AU60" i="1"/>
  <c r="AV60" i="1" s="1"/>
  <c r="AS60" i="1"/>
  <c r="AO60" i="1"/>
  <c r="AP60" i="1" s="1"/>
  <c r="AN60" i="1"/>
  <c r="AQ60" i="1"/>
  <c r="AR60" i="1"/>
  <c r="AQ118" i="1"/>
  <c r="AT118" i="1" s="1"/>
  <c r="AO118" i="1"/>
  <c r="AP118" i="1" s="1"/>
  <c r="AW118" i="1" s="1"/>
  <c r="AY118" i="1" s="1"/>
  <c r="AX118" i="1" s="1"/>
  <c r="AN118" i="1"/>
  <c r="AU118" i="1"/>
  <c r="AV118" i="1" s="1"/>
  <c r="AS118" i="1"/>
  <c r="AR118" i="1"/>
  <c r="M359" i="1"/>
  <c r="L359" i="1"/>
  <c r="N359" i="1" s="1"/>
  <c r="X359" i="1" s="1"/>
  <c r="Y359" i="1" s="1"/>
  <c r="AM32" i="1"/>
  <c r="AM130" i="1"/>
  <c r="AM304" i="1"/>
  <c r="AQ148" i="1"/>
  <c r="AR148" i="1"/>
  <c r="AO148" i="1"/>
  <c r="AS148" i="1"/>
  <c r="AN148" i="1"/>
  <c r="AU148" i="1"/>
  <c r="AV148" i="1" s="1"/>
  <c r="AS134" i="1"/>
  <c r="AQ134" i="1"/>
  <c r="AU134" i="1"/>
  <c r="AV134" i="1" s="1"/>
  <c r="AO134" i="1"/>
  <c r="AP134" i="1" s="1"/>
  <c r="AN134" i="1"/>
  <c r="AR134" i="1"/>
  <c r="AR57" i="1"/>
  <c r="AO57" i="1"/>
  <c r="AP57" i="1" s="1"/>
  <c r="AN57" i="1"/>
  <c r="AS57" i="1"/>
  <c r="AU57" i="1"/>
  <c r="AV57" i="1" s="1"/>
  <c r="AQ57" i="1"/>
  <c r="AQ138" i="1"/>
  <c r="AT138" i="1" s="1"/>
  <c r="AR138" i="1"/>
  <c r="AO138" i="1"/>
  <c r="AS138" i="1"/>
  <c r="AN138" i="1"/>
  <c r="AU138" i="1"/>
  <c r="AV138" i="1" s="1"/>
  <c r="AM102" i="1"/>
  <c r="AM139" i="1"/>
  <c r="AQ278" i="1"/>
  <c r="AR278" i="1"/>
  <c r="AU278" i="1"/>
  <c r="AV278" i="1" s="1"/>
  <c r="AS278" i="1"/>
  <c r="AO278" i="1"/>
  <c r="AP278" i="1" s="1"/>
  <c r="AN278" i="1"/>
  <c r="F53" i="4"/>
  <c r="K53" i="4" s="1"/>
  <c r="L53" i="4" s="1"/>
  <c r="N53" i="4" s="1"/>
  <c r="V107" i="3"/>
  <c r="J12" i="17"/>
  <c r="K12" i="17" s="1"/>
  <c r="I12" i="17"/>
  <c r="F12" i="17"/>
  <c r="G12" i="17" s="1"/>
  <c r="AS299" i="1"/>
  <c r="AQ299" i="1"/>
  <c r="AR299" i="1"/>
  <c r="AN299" i="1"/>
  <c r="AU299" i="1"/>
  <c r="AV299" i="1" s="1"/>
  <c r="AO299" i="1"/>
  <c r="M356" i="1"/>
  <c r="L356" i="1"/>
  <c r="N356" i="1" s="1"/>
  <c r="X356" i="1" s="1"/>
  <c r="Y356" i="1" s="1"/>
  <c r="AM260" i="1"/>
  <c r="F95" i="4"/>
  <c r="K95" i="4" s="1"/>
  <c r="L95" i="4" s="1"/>
  <c r="N95" i="4" s="1"/>
  <c r="V134" i="3"/>
  <c r="AM105" i="1"/>
  <c r="J66" i="17"/>
  <c r="K66" i="17" s="1"/>
  <c r="I66" i="17"/>
  <c r="F66" i="17"/>
  <c r="G66" i="17" s="1"/>
  <c r="F77" i="4"/>
  <c r="K77" i="4" s="1"/>
  <c r="L77" i="4" s="1"/>
  <c r="N77" i="4" s="1"/>
  <c r="V99" i="3"/>
  <c r="J16" i="17"/>
  <c r="K16" i="17" s="1"/>
  <c r="I16" i="17"/>
  <c r="F16" i="17"/>
  <c r="G16" i="17" s="1"/>
  <c r="AM296" i="1"/>
  <c r="M388" i="1"/>
  <c r="N388" i="1" s="1"/>
  <c r="X388" i="1" s="1"/>
  <c r="Y388" i="1" s="1"/>
  <c r="L388" i="1"/>
  <c r="AM55" i="1"/>
  <c r="AM297" i="1"/>
  <c r="AM87" i="1"/>
  <c r="AM103" i="1"/>
  <c r="AM152" i="1"/>
  <c r="J83" i="17"/>
  <c r="K83" i="17" s="1"/>
  <c r="I83" i="17"/>
  <c r="F83" i="17"/>
  <c r="G83" i="17" s="1"/>
  <c r="AL378" i="1"/>
  <c r="AM378" i="1" s="1"/>
  <c r="AE378" i="1"/>
  <c r="AF378" i="1" s="1"/>
  <c r="L380" i="1"/>
  <c r="M380" i="1"/>
  <c r="N380" i="1" s="1"/>
  <c r="X380" i="1" s="1"/>
  <c r="Y380" i="1" s="1"/>
  <c r="L389" i="1"/>
  <c r="N389" i="1" s="1"/>
  <c r="X389" i="1" s="1"/>
  <c r="Y389" i="1" s="1"/>
  <c r="M389" i="1"/>
  <c r="AM137" i="1"/>
  <c r="AM15" i="1"/>
  <c r="M358" i="1"/>
  <c r="L358" i="1"/>
  <c r="N358" i="1" s="1"/>
  <c r="X358" i="1" s="1"/>
  <c r="Y358" i="1" s="1"/>
  <c r="AM84" i="1"/>
  <c r="J110" i="17"/>
  <c r="K110" i="17" s="1"/>
  <c r="I110" i="17"/>
  <c r="F110" i="17"/>
  <c r="G110" i="17" s="1"/>
  <c r="AS113" i="1"/>
  <c r="AQ113" i="1"/>
  <c r="AT113" i="1" s="1"/>
  <c r="AN113" i="1"/>
  <c r="AR113" i="1"/>
  <c r="AO113" i="1"/>
  <c r="AU113" i="1"/>
  <c r="AV113" i="1" s="1"/>
  <c r="AM98" i="1"/>
  <c r="AM29" i="1"/>
  <c r="C161" i="17"/>
  <c r="T378" i="3"/>
  <c r="AF378" i="3"/>
  <c r="AB378" i="3"/>
  <c r="AD378" i="3" s="1"/>
  <c r="AE378" i="3" s="1"/>
  <c r="AZ388" i="1"/>
  <c r="BF388" i="1" s="1"/>
  <c r="BG388" i="1" s="1"/>
  <c r="AS120" i="1"/>
  <c r="AO120" i="1"/>
  <c r="AN120" i="1"/>
  <c r="AR120" i="1"/>
  <c r="AQ120" i="1"/>
  <c r="AT120" i="1" s="1"/>
  <c r="AU120" i="1"/>
  <c r="AV120" i="1" s="1"/>
  <c r="AQ86" i="1"/>
  <c r="AT86" i="1" s="1"/>
  <c r="AO86" i="1"/>
  <c r="AP86" i="1" s="1"/>
  <c r="AW86" i="1" s="1"/>
  <c r="AY86" i="1" s="1"/>
  <c r="AX86" i="1" s="1"/>
  <c r="AU86" i="1"/>
  <c r="AV86" i="1" s="1"/>
  <c r="AS86" i="1"/>
  <c r="AN86" i="1"/>
  <c r="AR86" i="1"/>
  <c r="AM92" i="1"/>
  <c r="AS140" i="1"/>
  <c r="AQ140" i="1"/>
  <c r="AT140" i="1" s="1"/>
  <c r="AO140" i="1"/>
  <c r="AP140" i="1" s="1"/>
  <c r="AW140" i="1" s="1"/>
  <c r="AY140" i="1" s="1"/>
  <c r="AX140" i="1" s="1"/>
  <c r="AU140" i="1"/>
  <c r="AV140" i="1" s="1"/>
  <c r="AR140" i="1"/>
  <c r="AN140" i="1"/>
  <c r="AM94" i="1"/>
  <c r="AM61" i="1"/>
  <c r="C150" i="17"/>
  <c r="T346" i="3"/>
  <c r="AF346" i="3"/>
  <c r="AB346" i="3"/>
  <c r="AD346" i="3" s="1"/>
  <c r="AE346" i="3" s="1"/>
  <c r="AZ356" i="1"/>
  <c r="BF356" i="1" s="1"/>
  <c r="BG356" i="1" s="1"/>
  <c r="C152" i="17"/>
  <c r="AB348" i="3"/>
  <c r="AD348" i="3" s="1"/>
  <c r="AE348" i="3" s="1"/>
  <c r="T348" i="3"/>
  <c r="AF348" i="3"/>
  <c r="AZ358" i="1"/>
  <c r="BF358" i="1" s="1"/>
  <c r="BG358" i="1" s="1"/>
  <c r="AM115" i="1"/>
  <c r="AM33" i="1"/>
  <c r="L357" i="1"/>
  <c r="N357" i="1" s="1"/>
  <c r="X357" i="1" s="1"/>
  <c r="Y357" i="1" s="1"/>
  <c r="M357" i="1"/>
  <c r="C13" i="2"/>
  <c r="AL52" i="1"/>
  <c r="AE52" i="1"/>
  <c r="AF52" i="1" s="1"/>
  <c r="C6" i="2" s="1"/>
  <c r="AS150" i="1"/>
  <c r="AQ150" i="1"/>
  <c r="AO150" i="1"/>
  <c r="AU150" i="1"/>
  <c r="AV150" i="1" s="1"/>
  <c r="AN150" i="1"/>
  <c r="AR150" i="1"/>
  <c r="M364" i="1"/>
  <c r="L364" i="1"/>
  <c r="N364" i="1" s="1"/>
  <c r="X364" i="1" s="1"/>
  <c r="Y364" i="1" s="1"/>
  <c r="AL116" i="1"/>
  <c r="AE116" i="1"/>
  <c r="AF116" i="1" s="1"/>
  <c r="AQ66" i="1"/>
  <c r="AO66" i="1"/>
  <c r="AP66" i="1" s="1"/>
  <c r="AU66" i="1"/>
  <c r="AV66" i="1" s="1"/>
  <c r="AS66" i="1"/>
  <c r="AR66" i="1"/>
  <c r="AN66" i="1"/>
  <c r="AM107" i="1"/>
  <c r="AM146" i="1"/>
  <c r="AR119" i="1"/>
  <c r="AN119" i="1"/>
  <c r="AO119" i="1"/>
  <c r="AS119" i="1"/>
  <c r="AU119" i="1"/>
  <c r="AV119" i="1" s="1"/>
  <c r="AQ119" i="1"/>
  <c r="AU62" i="1"/>
  <c r="AV62" i="1" s="1"/>
  <c r="AO62" i="1"/>
  <c r="AN62" i="1"/>
  <c r="AQ62" i="1"/>
  <c r="AS62" i="1"/>
  <c r="AR62" i="1"/>
  <c r="AU263" i="1"/>
  <c r="AV263" i="1" s="1"/>
  <c r="AS263" i="1"/>
  <c r="AO263" i="1"/>
  <c r="AP263" i="1" s="1"/>
  <c r="AN263" i="1"/>
  <c r="AQ263" i="1"/>
  <c r="AR263" i="1"/>
  <c r="AM300" i="1"/>
  <c r="AM122" i="1"/>
  <c r="AM28" i="1"/>
  <c r="AN63" i="1"/>
  <c r="AO63" i="1"/>
  <c r="AQ63" i="1"/>
  <c r="AT63" i="1" s="1"/>
  <c r="AU63" i="1"/>
  <c r="AV63" i="1" s="1"/>
  <c r="AS63" i="1"/>
  <c r="AR63" i="1"/>
  <c r="AU25" i="1"/>
  <c r="AV25" i="1" s="1"/>
  <c r="AS25" i="1"/>
  <c r="AR25" i="1"/>
  <c r="AQ25" i="1"/>
  <c r="AO25" i="1"/>
  <c r="AP25" i="1" s="1"/>
  <c r="AN25" i="1"/>
  <c r="C157" i="17"/>
  <c r="T370" i="3"/>
  <c r="AF370" i="3"/>
  <c r="AB370" i="3"/>
  <c r="AD370" i="3" s="1"/>
  <c r="AE370" i="3" s="1"/>
  <c r="AZ380" i="1"/>
  <c r="BF380" i="1" s="1"/>
  <c r="BG380" i="1" s="1"/>
  <c r="BH380" i="1" s="1"/>
  <c r="C162" i="17"/>
  <c r="AF379" i="3"/>
  <c r="T379" i="3"/>
  <c r="AB379" i="3"/>
  <c r="AD379" i="3" s="1"/>
  <c r="AE379" i="3" s="1"/>
  <c r="AZ389" i="1"/>
  <c r="BF389" i="1" s="1"/>
  <c r="BG389" i="1" s="1"/>
  <c r="AM305" i="1"/>
  <c r="W346" i="3"/>
  <c r="F356" i="1" s="1"/>
  <c r="BH356" i="1" s="1"/>
  <c r="L383" i="1"/>
  <c r="M383" i="1"/>
  <c r="N383" i="1"/>
  <c r="X383" i="1" s="1"/>
  <c r="Y383" i="1" s="1"/>
  <c r="AM36" i="1"/>
  <c r="AN53" i="1"/>
  <c r="AR53" i="1"/>
  <c r="AQ53" i="1"/>
  <c r="AU53" i="1"/>
  <c r="AV53" i="1" s="1"/>
  <c r="AS53" i="1"/>
  <c r="AO53" i="1"/>
  <c r="AP53" i="1" s="1"/>
  <c r="L381" i="1"/>
  <c r="M381" i="1"/>
  <c r="N381" i="1" s="1"/>
  <c r="X381" i="1" s="1"/>
  <c r="Y381" i="1" s="1"/>
  <c r="F13" i="4"/>
  <c r="K13" i="4" s="1"/>
  <c r="L13" i="4" s="1"/>
  <c r="N13" i="4" s="1"/>
  <c r="V7" i="3"/>
  <c r="I75" i="17"/>
  <c r="J75" i="17"/>
  <c r="K75" i="17" s="1"/>
  <c r="F75" i="17"/>
  <c r="G75" i="17" s="1"/>
  <c r="BH388" i="1"/>
  <c r="AM112" i="1"/>
  <c r="AQ123" i="1"/>
  <c r="AT123" i="1" s="1"/>
  <c r="AS123" i="1"/>
  <c r="AU123" i="1"/>
  <c r="AV123" i="1" s="1"/>
  <c r="AR123" i="1"/>
  <c r="AO123" i="1"/>
  <c r="AN123" i="1"/>
  <c r="AM26" i="1"/>
  <c r="AM147" i="1"/>
  <c r="AM111" i="1"/>
  <c r="BH389" i="1"/>
  <c r="AU143" i="1"/>
  <c r="AV143" i="1" s="1"/>
  <c r="AO143" i="1"/>
  <c r="AN143" i="1"/>
  <c r="AR143" i="1"/>
  <c r="AS143" i="1"/>
  <c r="AQ143" i="1"/>
  <c r="AT143" i="1" s="1"/>
  <c r="AM151" i="1"/>
  <c r="C158" i="17"/>
  <c r="T371" i="3"/>
  <c r="AF371" i="3"/>
  <c r="AB371" i="3"/>
  <c r="AD371" i="3" s="1"/>
  <c r="AE371" i="3" s="1"/>
  <c r="AZ381" i="1"/>
  <c r="BF381" i="1" s="1"/>
  <c r="BG381" i="1" s="1"/>
  <c r="BF14" i="1"/>
  <c r="C151" i="17"/>
  <c r="AF347" i="3"/>
  <c r="AB347" i="3"/>
  <c r="AD347" i="3" s="1"/>
  <c r="AE347" i="3" s="1"/>
  <c r="T347" i="3"/>
  <c r="AZ357" i="1"/>
  <c r="BF357" i="1" s="1"/>
  <c r="BG357" i="1" s="1"/>
  <c r="I15" i="17"/>
  <c r="J15" i="17"/>
  <c r="K15" i="17" s="1"/>
  <c r="F15" i="17"/>
  <c r="G15" i="17" s="1"/>
  <c r="AM21" i="1"/>
  <c r="C154" i="17"/>
  <c r="T354" i="3"/>
  <c r="AF354" i="3"/>
  <c r="AB354" i="3"/>
  <c r="AD354" i="3" s="1"/>
  <c r="AE354" i="3" s="1"/>
  <c r="AZ364" i="1"/>
  <c r="BF364" i="1" s="1"/>
  <c r="BG364" i="1" s="1"/>
  <c r="BH364" i="1" s="1"/>
  <c r="F55" i="4"/>
  <c r="K55" i="4" s="1"/>
  <c r="L55" i="4" s="1"/>
  <c r="N55" i="4" s="1"/>
  <c r="V106" i="3"/>
  <c r="AO64" i="1"/>
  <c r="AP64" i="1" s="1"/>
  <c r="AN64" i="1"/>
  <c r="AU64" i="1"/>
  <c r="AV64" i="1" s="1"/>
  <c r="AQ64" i="1"/>
  <c r="AS64" i="1"/>
  <c r="AR64" i="1"/>
  <c r="AM153" i="1"/>
  <c r="AM301" i="1"/>
  <c r="AM16" i="1"/>
  <c r="AN145" i="1"/>
  <c r="AU145" i="1"/>
  <c r="AV145" i="1" s="1"/>
  <c r="AO145" i="1"/>
  <c r="AS145" i="1"/>
  <c r="AQ145" i="1"/>
  <c r="AT145" i="1" s="1"/>
  <c r="AR145" i="1"/>
  <c r="AN65" i="1"/>
  <c r="AU65" i="1"/>
  <c r="AV65" i="1" s="1"/>
  <c r="AS65" i="1"/>
  <c r="AO65" i="1"/>
  <c r="AR65" i="1"/>
  <c r="AQ65" i="1"/>
  <c r="AN34" i="1"/>
  <c r="AO34" i="1"/>
  <c r="AP34" i="1" s="1"/>
  <c r="AR34" i="1"/>
  <c r="AU34" i="1"/>
  <c r="AV34" i="1" s="1"/>
  <c r="AS34" i="1"/>
  <c r="AQ34" i="1"/>
  <c r="AS127" i="1"/>
  <c r="AQ127" i="1"/>
  <c r="AR127" i="1"/>
  <c r="AU127" i="1"/>
  <c r="AV127" i="1" s="1"/>
  <c r="AO127" i="1"/>
  <c r="AP127" i="1" s="1"/>
  <c r="AN127" i="1"/>
  <c r="C153" i="17"/>
  <c r="AF349" i="3"/>
  <c r="AB349" i="3"/>
  <c r="AD349" i="3" s="1"/>
  <c r="AE349" i="3" s="1"/>
  <c r="T349" i="3"/>
  <c r="AZ359" i="1"/>
  <c r="BF359" i="1" s="1"/>
  <c r="BG359" i="1" s="1"/>
  <c r="BH359" i="1" s="1"/>
  <c r="M365" i="1"/>
  <c r="L365" i="1"/>
  <c r="N365" i="1" s="1"/>
  <c r="X365" i="1" s="1"/>
  <c r="Y365" i="1" s="1"/>
  <c r="F20" i="4"/>
  <c r="K20" i="4" s="1"/>
  <c r="L20" i="4" s="1"/>
  <c r="N20" i="4" s="1"/>
  <c r="V4" i="3"/>
  <c r="BH357" i="1"/>
  <c r="AM83" i="1"/>
  <c r="AM142" i="1"/>
  <c r="AS23" i="1"/>
  <c r="AU23" i="1"/>
  <c r="AV23" i="1" s="1"/>
  <c r="AO23" i="1"/>
  <c r="AN23" i="1"/>
  <c r="AQ23" i="1"/>
  <c r="AR23" i="1"/>
  <c r="AU35" i="1"/>
  <c r="AV35" i="1" s="1"/>
  <c r="AS35" i="1"/>
  <c r="AQ35" i="1"/>
  <c r="AR35" i="1"/>
  <c r="AO35" i="1"/>
  <c r="AN35" i="1"/>
  <c r="AR59" i="1"/>
  <c r="AO59" i="1"/>
  <c r="AN59" i="1"/>
  <c r="AS59" i="1"/>
  <c r="AU59" i="1"/>
  <c r="AV59" i="1" s="1"/>
  <c r="AQ59" i="1"/>
  <c r="AT59" i="1" s="1"/>
  <c r="AO24" i="1"/>
  <c r="AN24" i="1"/>
  <c r="AR24" i="1"/>
  <c r="AU24" i="1"/>
  <c r="AV24" i="1" s="1"/>
  <c r="AQ24" i="1"/>
  <c r="AT24" i="1" s="1"/>
  <c r="AS24" i="1"/>
  <c r="AR281" i="1"/>
  <c r="AS281" i="1"/>
  <c r="AQ281" i="1"/>
  <c r="AO281" i="1"/>
  <c r="AN281" i="1"/>
  <c r="AU281" i="1"/>
  <c r="AV281" i="1" s="1"/>
  <c r="AO54" i="1"/>
  <c r="AP54" i="1" s="1"/>
  <c r="AU54" i="1"/>
  <c r="AV54" i="1" s="1"/>
  <c r="AQ54" i="1"/>
  <c r="AN54" i="1"/>
  <c r="AR54" i="1"/>
  <c r="AS54" i="1"/>
  <c r="W348" i="3"/>
  <c r="F358" i="1" s="1"/>
  <c r="BH358" i="1" s="1"/>
  <c r="AM108" i="1"/>
  <c r="I156" i="17"/>
  <c r="J156" i="17"/>
  <c r="K156" i="17" s="1"/>
  <c r="F156" i="17"/>
  <c r="G156" i="17" s="1"/>
  <c r="W371" i="3"/>
  <c r="F381" i="1" s="1"/>
  <c r="BH381" i="1" s="1"/>
  <c r="M354" i="1"/>
  <c r="N354" i="1" s="1"/>
  <c r="X354" i="1" s="1"/>
  <c r="Y354" i="1" s="1"/>
  <c r="L354" i="1"/>
  <c r="F37" i="4"/>
  <c r="K37" i="4" s="1"/>
  <c r="L37" i="4" s="1"/>
  <c r="N37" i="4" s="1"/>
  <c r="V10" i="3"/>
  <c r="AU141" i="1"/>
  <c r="AV141" i="1" s="1"/>
  <c r="AN141" i="1"/>
  <c r="AO141" i="1"/>
  <c r="AP141" i="1" s="1"/>
  <c r="AS141" i="1"/>
  <c r="AQ141" i="1"/>
  <c r="AR141" i="1"/>
  <c r="AS58" i="1"/>
  <c r="AU58" i="1"/>
  <c r="AV58" i="1" s="1"/>
  <c r="AR58" i="1"/>
  <c r="AQ58" i="1"/>
  <c r="AT58" i="1" s="1"/>
  <c r="AO58" i="1"/>
  <c r="AN58" i="1"/>
  <c r="AN110" i="1"/>
  <c r="AQ110" i="1"/>
  <c r="AT110" i="1" s="1"/>
  <c r="AO110" i="1"/>
  <c r="AS110" i="1"/>
  <c r="AU110" i="1"/>
  <c r="AV110" i="1" s="1"/>
  <c r="AR110" i="1"/>
  <c r="AQ56" i="1"/>
  <c r="AU56" i="1"/>
  <c r="AV56" i="1" s="1"/>
  <c r="AO56" i="1"/>
  <c r="AP56" i="1" s="1"/>
  <c r="AN56" i="1"/>
  <c r="AS56" i="1"/>
  <c r="AR56" i="1"/>
  <c r="AM106" i="1"/>
  <c r="AQ101" i="1"/>
  <c r="AO101" i="1"/>
  <c r="AN101" i="1"/>
  <c r="AS101" i="1"/>
  <c r="AU101" i="1"/>
  <c r="AV101" i="1" s="1"/>
  <c r="AR101" i="1"/>
  <c r="C160" i="17"/>
  <c r="AB373" i="3"/>
  <c r="AD373" i="3" s="1"/>
  <c r="AE373" i="3" s="1"/>
  <c r="AF373" i="3"/>
  <c r="T373" i="3"/>
  <c r="AZ383" i="1"/>
  <c r="BF383" i="1" s="1"/>
  <c r="BG383" i="1" s="1"/>
  <c r="BH383" i="1" s="1"/>
  <c r="F44" i="4"/>
  <c r="K44" i="4" s="1"/>
  <c r="L44" i="4" s="1"/>
  <c r="N44" i="4" s="1"/>
  <c r="V368" i="3"/>
  <c r="N382" i="1"/>
  <c r="X382" i="1" s="1"/>
  <c r="Y382" i="1" s="1"/>
  <c r="M382" i="1"/>
  <c r="L382" i="1"/>
  <c r="C155" i="17"/>
  <c r="T355" i="3"/>
  <c r="AF355" i="3"/>
  <c r="AB355" i="3"/>
  <c r="AD355" i="3" s="1"/>
  <c r="AE355" i="3" s="1"/>
  <c r="AZ365" i="1"/>
  <c r="BF365" i="1" s="1"/>
  <c r="BG365" i="1" s="1"/>
  <c r="BH365" i="1" s="1"/>
  <c r="BH378" i="1"/>
  <c r="AM91" i="1"/>
  <c r="C159" i="17"/>
  <c r="T372" i="3"/>
  <c r="AF372" i="3"/>
  <c r="AB372" i="3"/>
  <c r="AD372" i="3" s="1"/>
  <c r="AE372" i="3" s="1"/>
  <c r="AZ382" i="1"/>
  <c r="BF382" i="1" s="1"/>
  <c r="BG382" i="1" s="1"/>
  <c r="BH382" i="1" s="1"/>
  <c r="C149" i="17"/>
  <c r="AB344" i="3"/>
  <c r="AD344" i="3" s="1"/>
  <c r="AE344" i="3" s="1"/>
  <c r="AF344" i="3"/>
  <c r="T344" i="3"/>
  <c r="AZ354" i="1"/>
  <c r="BF354" i="1" s="1"/>
  <c r="BG354" i="1" s="1"/>
  <c r="BH354" i="1" s="1"/>
  <c r="J82" i="17"/>
  <c r="K82" i="17" s="1"/>
  <c r="I82" i="17"/>
  <c r="F82" i="17"/>
  <c r="G82" i="17" s="1"/>
  <c r="AM99" i="1"/>
  <c r="AM302" i="1"/>
  <c r="AM128" i="1"/>
  <c r="AM31" i="1"/>
  <c r="AM27" i="1"/>
  <c r="AM82" i="1"/>
  <c r="AM149" i="1"/>
  <c r="AL357" i="1" l="1"/>
  <c r="AE357" i="1"/>
  <c r="AF357" i="1" s="1"/>
  <c r="AL388" i="1"/>
  <c r="AE388" i="1"/>
  <c r="AF388" i="1" s="1"/>
  <c r="AL358" i="1"/>
  <c r="AM358" i="1" s="1"/>
  <c r="AE358" i="1"/>
  <c r="AF358" i="1" s="1"/>
  <c r="AE359" i="1"/>
  <c r="AF359" i="1" s="1"/>
  <c r="AL359" i="1"/>
  <c r="AM359" i="1" s="1"/>
  <c r="AE356" i="1"/>
  <c r="AF356" i="1" s="1"/>
  <c r="AL356" i="1"/>
  <c r="AL381" i="1"/>
  <c r="AE381" i="1"/>
  <c r="AF381" i="1" s="1"/>
  <c r="AW53" i="1"/>
  <c r="AY53" i="1" s="1"/>
  <c r="AX53" i="1" s="1"/>
  <c r="AE365" i="1"/>
  <c r="AF365" i="1" s="1"/>
  <c r="AL365" i="1"/>
  <c r="AM365" i="1" s="1"/>
  <c r="AE389" i="1"/>
  <c r="AF389" i="1" s="1"/>
  <c r="AL389" i="1"/>
  <c r="AM389" i="1" s="1"/>
  <c r="AE354" i="1"/>
  <c r="AF354" i="1" s="1"/>
  <c r="AL354" i="1"/>
  <c r="AL380" i="1"/>
  <c r="AE380" i="1"/>
  <c r="AF380" i="1" s="1"/>
  <c r="AE364" i="1"/>
  <c r="AF364" i="1" s="1"/>
  <c r="AL364" i="1"/>
  <c r="J153" i="17"/>
  <c r="K153" i="17" s="1"/>
  <c r="I153" i="17"/>
  <c r="F153" i="17"/>
  <c r="G153" i="17" s="1"/>
  <c r="AO301" i="1"/>
  <c r="AP301" i="1" s="1"/>
  <c r="AR301" i="1"/>
  <c r="AU301" i="1"/>
  <c r="AV301" i="1" s="1"/>
  <c r="AS301" i="1"/>
  <c r="AQ301" i="1"/>
  <c r="AN301" i="1"/>
  <c r="AT53" i="1"/>
  <c r="AM52" i="1"/>
  <c r="C7" i="2"/>
  <c r="AR32" i="1"/>
  <c r="AO32" i="1"/>
  <c r="AN32" i="1"/>
  <c r="AS32" i="1"/>
  <c r="AU32" i="1"/>
  <c r="AV32" i="1" s="1"/>
  <c r="AQ32" i="1"/>
  <c r="AT32" i="1" s="1"/>
  <c r="AT22" i="1"/>
  <c r="AM20" i="1"/>
  <c r="AP58" i="1"/>
  <c r="AW58" i="1" s="1"/>
  <c r="AY58" i="1" s="1"/>
  <c r="AX58" i="1" s="1"/>
  <c r="AP59" i="1"/>
  <c r="AW59" i="1" s="1"/>
  <c r="AY59" i="1" s="1"/>
  <c r="AX59" i="1" s="1"/>
  <c r="AU153" i="1"/>
  <c r="AV153" i="1" s="1"/>
  <c r="AO153" i="1"/>
  <c r="AN153" i="1"/>
  <c r="AQ153" i="1"/>
  <c r="AT153" i="1" s="1"/>
  <c r="AS153" i="1"/>
  <c r="AR153" i="1"/>
  <c r="F70" i="4"/>
  <c r="K70" i="4" s="1"/>
  <c r="L70" i="4" s="1"/>
  <c r="N70" i="4" s="1"/>
  <c r="V372" i="3"/>
  <c r="AP110" i="1"/>
  <c r="AW110" i="1" s="1"/>
  <c r="AY110" i="1" s="1"/>
  <c r="AX110" i="1" s="1"/>
  <c r="AU142" i="1"/>
  <c r="AV142" i="1" s="1"/>
  <c r="AQ142" i="1"/>
  <c r="AO142" i="1"/>
  <c r="AN142" i="1"/>
  <c r="AS142" i="1"/>
  <c r="AR142" i="1"/>
  <c r="F91" i="4"/>
  <c r="K91" i="4" s="1"/>
  <c r="L91" i="4" s="1"/>
  <c r="N91" i="4" s="1"/>
  <c r="V349" i="3"/>
  <c r="AP65" i="1"/>
  <c r="J159" i="17"/>
  <c r="K159" i="17" s="1"/>
  <c r="I159" i="17"/>
  <c r="F159" i="17"/>
  <c r="G159" i="17" s="1"/>
  <c r="AT141" i="1"/>
  <c r="AW141" i="1" s="1"/>
  <c r="AY141" i="1" s="1"/>
  <c r="AX141" i="1" s="1"/>
  <c r="AS83" i="1"/>
  <c r="AQ83" i="1"/>
  <c r="AN83" i="1"/>
  <c r="AU83" i="1"/>
  <c r="AV83" i="1" s="1"/>
  <c r="AO83" i="1"/>
  <c r="AP83" i="1" s="1"/>
  <c r="AR83" i="1"/>
  <c r="AT34" i="1"/>
  <c r="AW34" i="1" s="1"/>
  <c r="AY34" i="1" s="1"/>
  <c r="AX34" i="1" s="1"/>
  <c r="AP143" i="1"/>
  <c r="AW143" i="1" s="1"/>
  <c r="AY143" i="1" s="1"/>
  <c r="AX143" i="1" s="1"/>
  <c r="F87" i="4"/>
  <c r="K87" i="4" s="1"/>
  <c r="L87" i="4" s="1"/>
  <c r="N87" i="4" s="1"/>
  <c r="V379" i="3"/>
  <c r="AT25" i="1"/>
  <c r="AW25" i="1" s="1"/>
  <c r="AY25" i="1" s="1"/>
  <c r="AX25" i="1" s="1"/>
  <c r="J152" i="17"/>
  <c r="K152" i="17" s="1"/>
  <c r="I152" i="17"/>
  <c r="F152" i="17"/>
  <c r="G152" i="17" s="1"/>
  <c r="AU378" i="1"/>
  <c r="AV378" i="1" s="1"/>
  <c r="AO378" i="1"/>
  <c r="AQ378" i="1"/>
  <c r="AT378" i="1" s="1"/>
  <c r="AN378" i="1"/>
  <c r="AS378" i="1"/>
  <c r="AR378" i="1"/>
  <c r="J162" i="17"/>
  <c r="K162" i="17" s="1"/>
  <c r="I162" i="17"/>
  <c r="F162" i="17"/>
  <c r="G162" i="17" s="1"/>
  <c r="AU27" i="1"/>
  <c r="AV27" i="1" s="1"/>
  <c r="AO27" i="1"/>
  <c r="AN27" i="1"/>
  <c r="AS27" i="1"/>
  <c r="AR27" i="1"/>
  <c r="AQ27" i="1"/>
  <c r="AR149" i="1"/>
  <c r="AU149" i="1"/>
  <c r="AV149" i="1" s="1"/>
  <c r="AS149" i="1"/>
  <c r="AQ149" i="1"/>
  <c r="AO149" i="1"/>
  <c r="AN149" i="1"/>
  <c r="AQ91" i="1"/>
  <c r="AO91" i="1"/>
  <c r="AN91" i="1"/>
  <c r="AU91" i="1"/>
  <c r="AV91" i="1" s="1"/>
  <c r="AS91" i="1"/>
  <c r="AR91" i="1"/>
  <c r="AE382" i="1"/>
  <c r="AF382" i="1" s="1"/>
  <c r="AL382" i="1"/>
  <c r="AM382" i="1" s="1"/>
  <c r="AT54" i="1"/>
  <c r="AW54" i="1" s="1"/>
  <c r="AY54" i="1" s="1"/>
  <c r="AX54" i="1" s="1"/>
  <c r="AU16" i="1"/>
  <c r="AV16" i="1" s="1"/>
  <c r="AS16" i="1"/>
  <c r="AR16" i="1"/>
  <c r="AQ16" i="1"/>
  <c r="AT16" i="1" s="1"/>
  <c r="AN16" i="1"/>
  <c r="AO16" i="1"/>
  <c r="AP63" i="1"/>
  <c r="AW63" i="1" s="1"/>
  <c r="AY63" i="1" s="1"/>
  <c r="AX63" i="1" s="1"/>
  <c r="AT119" i="1"/>
  <c r="AU15" i="1"/>
  <c r="AV15" i="1" s="1"/>
  <c r="AO15" i="1"/>
  <c r="AP15" i="1" s="1"/>
  <c r="AN15" i="1"/>
  <c r="AQ15" i="1"/>
  <c r="AS15" i="1"/>
  <c r="AR15" i="1"/>
  <c r="AU105" i="1"/>
  <c r="AV105" i="1" s="1"/>
  <c r="AS105" i="1"/>
  <c r="AR105" i="1"/>
  <c r="AO105" i="1"/>
  <c r="AP105" i="1" s="1"/>
  <c r="AN105" i="1"/>
  <c r="AQ105" i="1"/>
  <c r="AN137" i="1"/>
  <c r="AQ137" i="1"/>
  <c r="AT137" i="1" s="1"/>
  <c r="AR137" i="1"/>
  <c r="AO137" i="1"/>
  <c r="AU137" i="1"/>
  <c r="AV137" i="1" s="1"/>
  <c r="AS137" i="1"/>
  <c r="AO296" i="1"/>
  <c r="AU296" i="1"/>
  <c r="AV296" i="1" s="1"/>
  <c r="AQ296" i="1"/>
  <c r="AT296" i="1" s="1"/>
  <c r="AN296" i="1"/>
  <c r="AS296" i="1"/>
  <c r="AR296" i="1"/>
  <c r="AT299" i="1"/>
  <c r="AT135" i="1"/>
  <c r="AW135" i="1" s="1"/>
  <c r="AY135" i="1" s="1"/>
  <c r="AX135" i="1" s="1"/>
  <c r="AM144" i="1"/>
  <c r="F86" i="4"/>
  <c r="K86" i="4" s="1"/>
  <c r="L86" i="4" s="1"/>
  <c r="N86" i="4" s="1"/>
  <c r="V378" i="3"/>
  <c r="AP138" i="1"/>
  <c r="AW138" i="1" s="1"/>
  <c r="AY138" i="1" s="1"/>
  <c r="AX138" i="1" s="1"/>
  <c r="AT60" i="1"/>
  <c r="AW60" i="1" s="1"/>
  <c r="AY60" i="1" s="1"/>
  <c r="AX60" i="1" s="1"/>
  <c r="AP22" i="1"/>
  <c r="AW22" i="1" s="1"/>
  <c r="AY22" i="1" s="1"/>
  <c r="AX22" i="1" s="1"/>
  <c r="AT23" i="1"/>
  <c r="AU151" i="1"/>
  <c r="AV151" i="1" s="1"/>
  <c r="AS151" i="1"/>
  <c r="AQ151" i="1"/>
  <c r="AT151" i="1" s="1"/>
  <c r="AO151" i="1"/>
  <c r="AP151" i="1" s="1"/>
  <c r="AW151" i="1" s="1"/>
  <c r="AY151" i="1" s="1"/>
  <c r="AX151" i="1" s="1"/>
  <c r="AN151" i="1"/>
  <c r="AR151" i="1"/>
  <c r="AO147" i="1"/>
  <c r="AP147" i="1" s="1"/>
  <c r="AW147" i="1"/>
  <c r="AY147" i="1" s="1"/>
  <c r="AX147" i="1" s="1"/>
  <c r="AN147" i="1"/>
  <c r="AU147" i="1"/>
  <c r="AV147" i="1" s="1"/>
  <c r="AS147" i="1"/>
  <c r="AR147" i="1"/>
  <c r="AQ147" i="1"/>
  <c r="AT147" i="1" s="1"/>
  <c r="AU122" i="1"/>
  <c r="AV122" i="1" s="1"/>
  <c r="AR122" i="1"/>
  <c r="AQ122" i="1"/>
  <c r="AT122" i="1" s="1"/>
  <c r="AO122" i="1"/>
  <c r="AP122" i="1" s="1"/>
  <c r="AW122" i="1" s="1"/>
  <c r="AY122" i="1" s="1"/>
  <c r="AX122" i="1" s="1"/>
  <c r="AN122" i="1"/>
  <c r="AS122" i="1"/>
  <c r="AP119" i="1"/>
  <c r="AS33" i="1"/>
  <c r="AU33" i="1"/>
  <c r="AV33" i="1" s="1"/>
  <c r="AO33" i="1"/>
  <c r="AP33" i="1" s="1"/>
  <c r="AN33" i="1"/>
  <c r="AQ33" i="1"/>
  <c r="AR33" i="1"/>
  <c r="F80" i="4"/>
  <c r="K80" i="4" s="1"/>
  <c r="L80" i="4" s="1"/>
  <c r="N80" i="4" s="1"/>
  <c r="F49" i="4"/>
  <c r="K49" i="4" s="1"/>
  <c r="L49" i="4" s="1"/>
  <c r="N49" i="4" s="1"/>
  <c r="V346" i="3"/>
  <c r="J161" i="17"/>
  <c r="K161" i="17" s="1"/>
  <c r="I161" i="17"/>
  <c r="F161" i="17"/>
  <c r="G161" i="17" s="1"/>
  <c r="AU152" i="1"/>
  <c r="AV152" i="1" s="1"/>
  <c r="AQ152" i="1"/>
  <c r="AO152" i="1"/>
  <c r="AN152" i="1"/>
  <c r="AS152" i="1"/>
  <c r="AR152" i="1"/>
  <c r="AS260" i="1"/>
  <c r="AU260" i="1"/>
  <c r="AV260" i="1" s="1"/>
  <c r="AN260" i="1"/>
  <c r="AR260" i="1"/>
  <c r="AO260" i="1"/>
  <c r="AP260" i="1" s="1"/>
  <c r="AQ260" i="1"/>
  <c r="AT260" i="1" s="1"/>
  <c r="AW260" i="1" s="1"/>
  <c r="AY260" i="1" s="1"/>
  <c r="AX260" i="1" s="1"/>
  <c r="AP148" i="1"/>
  <c r="AM100" i="1"/>
  <c r="AM109" i="1"/>
  <c r="F99" i="4"/>
  <c r="K99" i="4" s="1"/>
  <c r="L99" i="4" s="1"/>
  <c r="N99" i="4" s="1"/>
  <c r="V347" i="3"/>
  <c r="AN28" i="1"/>
  <c r="AR28" i="1"/>
  <c r="AQ28" i="1"/>
  <c r="AO28" i="1"/>
  <c r="AU28" i="1"/>
  <c r="AV28" i="1" s="1"/>
  <c r="AS28" i="1"/>
  <c r="AQ31" i="1"/>
  <c r="AU31" i="1"/>
  <c r="AV31" i="1" s="1"/>
  <c r="AS31" i="1"/>
  <c r="AO31" i="1"/>
  <c r="AR31" i="1"/>
  <c r="AN31" i="1"/>
  <c r="AQ128" i="1"/>
  <c r="AT128" i="1" s="1"/>
  <c r="AR128" i="1"/>
  <c r="AU128" i="1"/>
  <c r="AV128" i="1" s="1"/>
  <c r="AO128" i="1"/>
  <c r="AS128" i="1"/>
  <c r="AN128" i="1"/>
  <c r="F68" i="4"/>
  <c r="K68" i="4" s="1"/>
  <c r="L68" i="4" s="1"/>
  <c r="N68" i="4" s="1"/>
  <c r="V373" i="3"/>
  <c r="AP101" i="1"/>
  <c r="AN108" i="1"/>
  <c r="AS108" i="1"/>
  <c r="AR108" i="1"/>
  <c r="AU108" i="1"/>
  <c r="AV108" i="1" s="1"/>
  <c r="AO108" i="1"/>
  <c r="AQ108" i="1"/>
  <c r="AT108" i="1" s="1"/>
  <c r="AO29" i="1"/>
  <c r="AU29" i="1"/>
  <c r="AV29" i="1" s="1"/>
  <c r="AR29" i="1"/>
  <c r="AS29" i="1"/>
  <c r="AQ29" i="1"/>
  <c r="AN29" i="1"/>
  <c r="AS103" i="1"/>
  <c r="AQ103" i="1"/>
  <c r="AO103" i="1"/>
  <c r="AR103" i="1"/>
  <c r="AN103" i="1"/>
  <c r="AU103" i="1"/>
  <c r="AV103" i="1" s="1"/>
  <c r="AU14" i="1"/>
  <c r="AV14" i="1" s="1"/>
  <c r="AS14" i="1"/>
  <c r="AR14" i="1"/>
  <c r="AN14" i="1"/>
  <c r="AO14" i="1"/>
  <c r="AQ14" i="1"/>
  <c r="F58" i="4"/>
  <c r="K58" i="4" s="1"/>
  <c r="L58" i="4" s="1"/>
  <c r="N58" i="4" s="1"/>
  <c r="N120" i="4" s="1"/>
  <c r="C5" i="4" s="1"/>
  <c r="V371" i="3"/>
  <c r="AQ36" i="1"/>
  <c r="AO36" i="1"/>
  <c r="AP36" i="1" s="1"/>
  <c r="AS36" i="1"/>
  <c r="AU36" i="1"/>
  <c r="AV36" i="1" s="1"/>
  <c r="AR36" i="1"/>
  <c r="AN36" i="1"/>
  <c r="J158" i="17"/>
  <c r="K158" i="17" s="1"/>
  <c r="I158" i="17"/>
  <c r="F158" i="17"/>
  <c r="G158" i="17" s="1"/>
  <c r="AQ111" i="1"/>
  <c r="AO111" i="1"/>
  <c r="AP111" i="1" s="1"/>
  <c r="AN111" i="1"/>
  <c r="AR111" i="1"/>
  <c r="AS111" i="1"/>
  <c r="AU111" i="1"/>
  <c r="AV111" i="1" s="1"/>
  <c r="AR112" i="1"/>
  <c r="AN112" i="1"/>
  <c r="AS112" i="1"/>
  <c r="AO112" i="1"/>
  <c r="AQ112" i="1"/>
  <c r="AU112" i="1"/>
  <c r="AV112" i="1" s="1"/>
  <c r="AL383" i="1"/>
  <c r="AE383" i="1"/>
  <c r="AF383" i="1" s="1"/>
  <c r="J149" i="17"/>
  <c r="K149" i="17" s="1"/>
  <c r="I149" i="17"/>
  <c r="F149" i="17"/>
  <c r="G149" i="17" s="1"/>
  <c r="G163" i="17" s="1"/>
  <c r="AQ26" i="1"/>
  <c r="AT26" i="1" s="1"/>
  <c r="AO26" i="1"/>
  <c r="AS26" i="1"/>
  <c r="AR26" i="1"/>
  <c r="AU26" i="1"/>
  <c r="AV26" i="1" s="1"/>
  <c r="AN26" i="1"/>
  <c r="AN300" i="1"/>
  <c r="AU300" i="1"/>
  <c r="AV300" i="1" s="1"/>
  <c r="AS300" i="1"/>
  <c r="AR300" i="1"/>
  <c r="AQ300" i="1"/>
  <c r="AO300" i="1"/>
  <c r="AP300" i="1" s="1"/>
  <c r="AR92" i="1"/>
  <c r="AU92" i="1"/>
  <c r="AV92" i="1" s="1"/>
  <c r="AS92" i="1"/>
  <c r="AN92" i="1"/>
  <c r="AO92" i="1"/>
  <c r="AP92" i="1" s="1"/>
  <c r="AW92" i="1" s="1"/>
  <c r="AY92" i="1" s="1"/>
  <c r="AX92" i="1" s="1"/>
  <c r="AQ92" i="1"/>
  <c r="AT92" i="1" s="1"/>
  <c r="AT101" i="1"/>
  <c r="AP35" i="1"/>
  <c r="AT64" i="1"/>
  <c r="AW64" i="1" s="1"/>
  <c r="AY64" i="1" s="1"/>
  <c r="AX64" i="1" s="1"/>
  <c r="F105" i="4"/>
  <c r="K105" i="4" s="1"/>
  <c r="L105" i="4" s="1"/>
  <c r="N105" i="4" s="1"/>
  <c r="V354" i="3"/>
  <c r="J151" i="17"/>
  <c r="K151" i="17" s="1"/>
  <c r="K163" i="17" s="1"/>
  <c r="I151" i="17"/>
  <c r="F151" i="17"/>
  <c r="G151" i="17" s="1"/>
  <c r="F84" i="4"/>
  <c r="K84" i="4" s="1"/>
  <c r="L84" i="4" s="1"/>
  <c r="N84" i="4" s="1"/>
  <c r="V370" i="3"/>
  <c r="AT150" i="1"/>
  <c r="AO61" i="1"/>
  <c r="AP61" i="1" s="1"/>
  <c r="AN61" i="1"/>
  <c r="AQ61" i="1"/>
  <c r="AR61" i="1"/>
  <c r="AU61" i="1"/>
  <c r="AV61" i="1" s="1"/>
  <c r="AS61" i="1"/>
  <c r="AN98" i="1"/>
  <c r="AU98" i="1"/>
  <c r="AV98" i="1" s="1"/>
  <c r="AS98" i="1"/>
  <c r="AO98" i="1"/>
  <c r="AR98" i="1"/>
  <c r="AQ98" i="1"/>
  <c r="AR87" i="1"/>
  <c r="AS87" i="1"/>
  <c r="AQ87" i="1"/>
  <c r="AO87" i="1"/>
  <c r="AP87" i="1" s="1"/>
  <c r="AU87" i="1"/>
  <c r="AV87" i="1" s="1"/>
  <c r="AN87" i="1"/>
  <c r="AT278" i="1"/>
  <c r="AW278" i="1" s="1"/>
  <c r="AY278" i="1" s="1"/>
  <c r="AX278" i="1" s="1"/>
  <c r="AT57" i="1"/>
  <c r="AW57" i="1" s="1"/>
  <c r="AY57" i="1" s="1"/>
  <c r="AX57" i="1" s="1"/>
  <c r="AT148" i="1"/>
  <c r="AO117" i="1"/>
  <c r="AP117" i="1" s="1"/>
  <c r="AU117" i="1"/>
  <c r="AV117" i="1" s="1"/>
  <c r="AS117" i="1"/>
  <c r="AR117" i="1"/>
  <c r="AQ117" i="1"/>
  <c r="AN117" i="1"/>
  <c r="F57" i="4"/>
  <c r="K57" i="4" s="1"/>
  <c r="L57" i="4" s="1"/>
  <c r="N57" i="4" s="1"/>
  <c r="V344" i="3"/>
  <c r="AT62" i="1"/>
  <c r="AP150" i="1"/>
  <c r="AW150" i="1" s="1"/>
  <c r="AY150" i="1" s="1"/>
  <c r="AX150" i="1" s="1"/>
  <c r="AU115" i="1"/>
  <c r="AV115" i="1" s="1"/>
  <c r="AS115" i="1"/>
  <c r="AR115" i="1"/>
  <c r="AQ115" i="1"/>
  <c r="AT115" i="1" s="1"/>
  <c r="AW115" i="1" s="1"/>
  <c r="AY115" i="1" s="1"/>
  <c r="AX115" i="1" s="1"/>
  <c r="AO115" i="1"/>
  <c r="AP115" i="1" s="1"/>
  <c r="AN115" i="1"/>
  <c r="J150" i="17"/>
  <c r="K150" i="17" s="1"/>
  <c r="I150" i="17"/>
  <c r="F150" i="17"/>
  <c r="G150" i="17" s="1"/>
  <c r="F98" i="4"/>
  <c r="K98" i="4" s="1"/>
  <c r="L98" i="4" s="1"/>
  <c r="N98" i="4" s="1"/>
  <c r="V355" i="3"/>
  <c r="AP23" i="1"/>
  <c r="AW23" i="1" s="1"/>
  <c r="AY23" i="1" s="1"/>
  <c r="AX23" i="1" s="1"/>
  <c r="AO99" i="1"/>
  <c r="AP99" i="1" s="1"/>
  <c r="AW99" i="1" s="1"/>
  <c r="AY99" i="1" s="1"/>
  <c r="AX99" i="1" s="1"/>
  <c r="AS99" i="1"/>
  <c r="AR99" i="1"/>
  <c r="AN99" i="1"/>
  <c r="AQ99" i="1"/>
  <c r="AT99" i="1" s="1"/>
  <c r="AU99" i="1"/>
  <c r="AV99" i="1" s="1"/>
  <c r="AU106" i="1"/>
  <c r="AV106" i="1" s="1"/>
  <c r="AS106" i="1"/>
  <c r="AR106" i="1"/>
  <c r="AQ106" i="1"/>
  <c r="AT106" i="1" s="1"/>
  <c r="AO106" i="1"/>
  <c r="AP106" i="1" s="1"/>
  <c r="AW106" i="1" s="1"/>
  <c r="AY106" i="1" s="1"/>
  <c r="AX106" i="1" s="1"/>
  <c r="AN106" i="1"/>
  <c r="AP145" i="1"/>
  <c r="AW145" i="1" s="1"/>
  <c r="AY145" i="1" s="1"/>
  <c r="AX145" i="1" s="1"/>
  <c r="AZ2" i="1"/>
  <c r="AP123" i="1"/>
  <c r="AW123" i="1" s="1"/>
  <c r="AY123" i="1" s="1"/>
  <c r="AX123" i="1" s="1"/>
  <c r="AN305" i="1"/>
  <c r="AR305" i="1"/>
  <c r="AO305" i="1"/>
  <c r="AP305" i="1" s="1"/>
  <c r="AS305" i="1"/>
  <c r="AU305" i="1"/>
  <c r="AV305" i="1" s="1"/>
  <c r="AQ305" i="1"/>
  <c r="J157" i="17"/>
  <c r="K157" i="17" s="1"/>
  <c r="I157" i="17"/>
  <c r="F157" i="17"/>
  <c r="G157" i="17" s="1"/>
  <c r="AT263" i="1"/>
  <c r="AW263" i="1" s="1"/>
  <c r="AY263" i="1" s="1"/>
  <c r="AX263" i="1" s="1"/>
  <c r="AP62" i="1"/>
  <c r="AW62" i="1" s="1"/>
  <c r="AY62" i="1" s="1"/>
  <c r="AX62" i="1" s="1"/>
  <c r="AO146" i="1"/>
  <c r="AP146" i="1" s="1"/>
  <c r="AR146" i="1"/>
  <c r="AS146" i="1"/>
  <c r="AN146" i="1"/>
  <c r="AQ146" i="1"/>
  <c r="AU146" i="1"/>
  <c r="AV146" i="1" s="1"/>
  <c r="AM116" i="1"/>
  <c r="AO94" i="1"/>
  <c r="AS94" i="1"/>
  <c r="AR94" i="1"/>
  <c r="AQ94" i="1"/>
  <c r="AU94" i="1"/>
  <c r="AV94" i="1" s="1"/>
  <c r="AN94" i="1"/>
  <c r="AR84" i="1"/>
  <c r="AN84" i="1"/>
  <c r="AU84" i="1"/>
  <c r="AV84" i="1" s="1"/>
  <c r="AS84" i="1"/>
  <c r="AQ84" i="1"/>
  <c r="AT84" i="1" s="1"/>
  <c r="AO84" i="1"/>
  <c r="AP84" i="1" s="1"/>
  <c r="AW84" i="1" s="1"/>
  <c r="AY84" i="1" s="1"/>
  <c r="AX84" i="1" s="1"/>
  <c r="AQ297" i="1"/>
  <c r="AN297" i="1"/>
  <c r="AS297" i="1"/>
  <c r="AR297" i="1"/>
  <c r="AO297" i="1"/>
  <c r="AP297" i="1" s="1"/>
  <c r="AU297" i="1"/>
  <c r="AV297" i="1" s="1"/>
  <c r="AR139" i="1"/>
  <c r="AU139" i="1"/>
  <c r="AV139" i="1" s="1"/>
  <c r="AS139" i="1"/>
  <c r="AQ139" i="1"/>
  <c r="AO139" i="1"/>
  <c r="AP139" i="1" s="1"/>
  <c r="AN139" i="1"/>
  <c r="AT134" i="1"/>
  <c r="AW134" i="1" s="1"/>
  <c r="AY134" i="1" s="1"/>
  <c r="AX134" i="1" s="1"/>
  <c r="AO304" i="1"/>
  <c r="AN304" i="1"/>
  <c r="AR304" i="1"/>
  <c r="AU304" i="1"/>
  <c r="AV304" i="1" s="1"/>
  <c r="AS304" i="1"/>
  <c r="AQ304" i="1"/>
  <c r="AR82" i="1"/>
  <c r="AN82" i="1"/>
  <c r="AQ82" i="1"/>
  <c r="AU82" i="1"/>
  <c r="AV82" i="1" s="1"/>
  <c r="AS82" i="1"/>
  <c r="AO82" i="1"/>
  <c r="AP82" i="1" s="1"/>
  <c r="AT56" i="1"/>
  <c r="AW56" i="1" s="1"/>
  <c r="AY56" i="1" s="1"/>
  <c r="AX56" i="1" s="1"/>
  <c r="AT66" i="1"/>
  <c r="AW66" i="1" s="1"/>
  <c r="AY66" i="1" s="1"/>
  <c r="AX66" i="1" s="1"/>
  <c r="AU302" i="1"/>
  <c r="AV302" i="1" s="1"/>
  <c r="AQ302" i="1"/>
  <c r="AR302" i="1"/>
  <c r="AS302" i="1"/>
  <c r="AO302" i="1"/>
  <c r="AN302" i="1"/>
  <c r="I155" i="17"/>
  <c r="J155" i="17"/>
  <c r="K155" i="17" s="1"/>
  <c r="F155" i="17"/>
  <c r="G155" i="17" s="1"/>
  <c r="AP281" i="1"/>
  <c r="AP24" i="1"/>
  <c r="AW24" i="1" s="1"/>
  <c r="AY24" i="1" s="1"/>
  <c r="AX24" i="1" s="1"/>
  <c r="AT65" i="1"/>
  <c r="J154" i="17"/>
  <c r="K154" i="17" s="1"/>
  <c r="I154" i="17"/>
  <c r="F154" i="17"/>
  <c r="G154" i="17" s="1"/>
  <c r="I160" i="17"/>
  <c r="J160" i="17"/>
  <c r="K160" i="17" s="1"/>
  <c r="F160" i="17"/>
  <c r="G160" i="17" s="1"/>
  <c r="AT281" i="1"/>
  <c r="AT35" i="1"/>
  <c r="AT127" i="1"/>
  <c r="AW127" i="1" s="1"/>
  <c r="AY127" i="1" s="1"/>
  <c r="AX127" i="1" s="1"/>
  <c r="AQ21" i="1"/>
  <c r="AU21" i="1"/>
  <c r="AV21" i="1" s="1"/>
  <c r="AS21" i="1"/>
  <c r="AO21" i="1"/>
  <c r="AP21" i="1" s="1"/>
  <c r="AR21" i="1"/>
  <c r="AN21" i="1"/>
  <c r="BF2" i="1"/>
  <c r="BG14" i="1"/>
  <c r="AU107" i="1"/>
  <c r="AV107" i="1" s="1"/>
  <c r="AS107" i="1"/>
  <c r="AR107" i="1"/>
  <c r="AN107" i="1"/>
  <c r="AQ107" i="1"/>
  <c r="AT107" i="1" s="1"/>
  <c r="AO107" i="1"/>
  <c r="AP107" i="1" s="1"/>
  <c r="AW107" i="1" s="1"/>
  <c r="AY107" i="1" s="1"/>
  <c r="AX107" i="1" s="1"/>
  <c r="F71" i="4"/>
  <c r="K71" i="4" s="1"/>
  <c r="L71" i="4" s="1"/>
  <c r="N71" i="4" s="1"/>
  <c r="V348" i="3"/>
  <c r="AP120" i="1"/>
  <c r="AW120" i="1" s="1"/>
  <c r="AY120" i="1" s="1"/>
  <c r="AX120" i="1" s="1"/>
  <c r="AP113" i="1"/>
  <c r="AW113" i="1" s="1"/>
  <c r="AY113" i="1" s="1"/>
  <c r="AX113" i="1" s="1"/>
  <c r="AO55" i="1"/>
  <c r="AP55" i="1" s="1"/>
  <c r="AN55" i="1"/>
  <c r="AR55" i="1"/>
  <c r="AQ55" i="1"/>
  <c r="AT55" i="1" s="1"/>
  <c r="AW55" i="1"/>
  <c r="AY55" i="1" s="1"/>
  <c r="AX55" i="1" s="1"/>
  <c r="AS55" i="1"/>
  <c r="AU55" i="1"/>
  <c r="AV55" i="1" s="1"/>
  <c r="AP299" i="1"/>
  <c r="AW299" i="1" s="1"/>
  <c r="AY299" i="1" s="1"/>
  <c r="AX299" i="1" s="1"/>
  <c r="AR102" i="1"/>
  <c r="AO102" i="1"/>
  <c r="AQ102" i="1"/>
  <c r="AN102" i="1"/>
  <c r="AS102" i="1"/>
  <c r="AU102" i="1"/>
  <c r="AV102" i="1" s="1"/>
  <c r="AN130" i="1"/>
  <c r="AU130" i="1"/>
  <c r="AV130" i="1" s="1"/>
  <c r="AS130" i="1"/>
  <c r="AR130" i="1"/>
  <c r="AQ130" i="1"/>
  <c r="AO130" i="1"/>
  <c r="AP130" i="1" s="1"/>
  <c r="AM17" i="1"/>
  <c r="AC118" i="4" l="1"/>
  <c r="AC99" i="4"/>
  <c r="AC96" i="4"/>
  <c r="AC93" i="4"/>
  <c r="AC90" i="4"/>
  <c r="AC87" i="4"/>
  <c r="AC49" i="4"/>
  <c r="AC46" i="4"/>
  <c r="AC43" i="4"/>
  <c r="AC40" i="4"/>
  <c r="AC37" i="4"/>
  <c r="AC27" i="4"/>
  <c r="AC22" i="4"/>
  <c r="AC17" i="4"/>
  <c r="AC12" i="4"/>
  <c r="AC114" i="4"/>
  <c r="AC111" i="4"/>
  <c r="AC108" i="4"/>
  <c r="AC105" i="4"/>
  <c r="AC102" i="4"/>
  <c r="AC64" i="4"/>
  <c r="AC61" i="4"/>
  <c r="AC58" i="4"/>
  <c r="AC55" i="4"/>
  <c r="AC52" i="4"/>
  <c r="AC117" i="4"/>
  <c r="AC79" i="4"/>
  <c r="AC76" i="4"/>
  <c r="AC73" i="4"/>
  <c r="AC70" i="4"/>
  <c r="AC67" i="4"/>
  <c r="AC28" i="4"/>
  <c r="AC23" i="4"/>
  <c r="AC18" i="4"/>
  <c r="AC13" i="4"/>
  <c r="AC94" i="4"/>
  <c r="AC91" i="4"/>
  <c r="AC88" i="4"/>
  <c r="AC85" i="4"/>
  <c r="AC82" i="4"/>
  <c r="AC44" i="4"/>
  <c r="AC41" i="4"/>
  <c r="AC109" i="4"/>
  <c r="AC106" i="4"/>
  <c r="AC103" i="4"/>
  <c r="AC100" i="4"/>
  <c r="AC97" i="4"/>
  <c r="AC59" i="4"/>
  <c r="AC56" i="4"/>
  <c r="AC53" i="4"/>
  <c r="AC50" i="4"/>
  <c r="AC47" i="4"/>
  <c r="AC115" i="4"/>
  <c r="AC112" i="4"/>
  <c r="Q120" i="4"/>
  <c r="AC89" i="4"/>
  <c r="AC86" i="4"/>
  <c r="AC83" i="4"/>
  <c r="AC80" i="4"/>
  <c r="AC77" i="4"/>
  <c r="AC104" i="4"/>
  <c r="AC101" i="4"/>
  <c r="AC98" i="4"/>
  <c r="AC95" i="4"/>
  <c r="AC92" i="4"/>
  <c r="AC116" i="4"/>
  <c r="AC113" i="4"/>
  <c r="AC110" i="4"/>
  <c r="AC107" i="4"/>
  <c r="AC69" i="4"/>
  <c r="AC66" i="4"/>
  <c r="AC63" i="4"/>
  <c r="AC60" i="4"/>
  <c r="AC57" i="4"/>
  <c r="AC26" i="4"/>
  <c r="AC21" i="4"/>
  <c r="AC16" i="4"/>
  <c r="AC11" i="4"/>
  <c r="AC51" i="4"/>
  <c r="AC36" i="4"/>
  <c r="AC31" i="4"/>
  <c r="AC68" i="4"/>
  <c r="AC54" i="4"/>
  <c r="AC35" i="4"/>
  <c r="AC25" i="4"/>
  <c r="AC19" i="4"/>
  <c r="AC34" i="4"/>
  <c r="AC30" i="4"/>
  <c r="AC24" i="4"/>
  <c r="AC84" i="4"/>
  <c r="AC75" i="4"/>
  <c r="AC74" i="4"/>
  <c r="AC72" i="4"/>
  <c r="AC71" i="4"/>
  <c r="AC45" i="4"/>
  <c r="AC42" i="4"/>
  <c r="AC33" i="4"/>
  <c r="AC29" i="4"/>
  <c r="AC10" i="4"/>
  <c r="AC81" i="4"/>
  <c r="AC39" i="4"/>
  <c r="AC48" i="4"/>
  <c r="AC38" i="4"/>
  <c r="AC32" i="4"/>
  <c r="AC15" i="4"/>
  <c r="AC9" i="4"/>
  <c r="AC78" i="4"/>
  <c r="AC62" i="4"/>
  <c r="AC65" i="4"/>
  <c r="AC20" i="4"/>
  <c r="AC14" i="4"/>
  <c r="AW21" i="1"/>
  <c r="AY21" i="1" s="1"/>
  <c r="AX21" i="1" s="1"/>
  <c r="AP296" i="1"/>
  <c r="AW296" i="1" s="1"/>
  <c r="AY296" i="1" s="1"/>
  <c r="AX296" i="1" s="1"/>
  <c r="AT91" i="1"/>
  <c r="AT301" i="1"/>
  <c r="AW301" i="1" s="1"/>
  <c r="AY301" i="1" s="1"/>
  <c r="AX301" i="1" s="1"/>
  <c r="AT130" i="1"/>
  <c r="AW130" i="1" s="1"/>
  <c r="AY130" i="1" s="1"/>
  <c r="AX130" i="1" s="1"/>
  <c r="AT21" i="1"/>
  <c r="AT302" i="1"/>
  <c r="AT98" i="1"/>
  <c r="AM383" i="1"/>
  <c r="AT103" i="1"/>
  <c r="AP108" i="1"/>
  <c r="AW108" i="1" s="1"/>
  <c r="AY108" i="1" s="1"/>
  <c r="AX108" i="1" s="1"/>
  <c r="AS144" i="1"/>
  <c r="AQ144" i="1"/>
  <c r="AR144" i="1"/>
  <c r="AU144" i="1"/>
  <c r="AV144" i="1" s="1"/>
  <c r="AO144" i="1"/>
  <c r="AP144" i="1" s="1"/>
  <c r="AN144" i="1"/>
  <c r="AQ389" i="1"/>
  <c r="AT389" i="1" s="1"/>
  <c r="AU389" i="1"/>
  <c r="AV389" i="1" s="1"/>
  <c r="AN389" i="1"/>
  <c r="AS389" i="1"/>
  <c r="AR389" i="1"/>
  <c r="AO389" i="1"/>
  <c r="AQ17" i="1"/>
  <c r="AO17" i="1"/>
  <c r="AP17" i="1" s="1"/>
  <c r="AS17" i="1"/>
  <c r="AU17" i="1"/>
  <c r="AV17" i="1" s="1"/>
  <c r="AR17" i="1"/>
  <c r="AN17" i="1"/>
  <c r="AP302" i="1"/>
  <c r="AT61" i="1"/>
  <c r="AW61" i="1" s="1"/>
  <c r="AY61" i="1" s="1"/>
  <c r="AX61" i="1" s="1"/>
  <c r="AP128" i="1"/>
  <c r="AW128" i="1" s="1"/>
  <c r="AY128" i="1" s="1"/>
  <c r="AX128" i="1" s="1"/>
  <c r="AQ382" i="1"/>
  <c r="AR382" i="1"/>
  <c r="AO382" i="1"/>
  <c r="AN382" i="1"/>
  <c r="AU382" i="1"/>
  <c r="AV382" i="1" s="1"/>
  <c r="AS382" i="1"/>
  <c r="AP149" i="1"/>
  <c r="AP27" i="1"/>
  <c r="AP142" i="1"/>
  <c r="AW142" i="1" s="1"/>
  <c r="AY142" i="1" s="1"/>
  <c r="AX142" i="1" s="1"/>
  <c r="AQ359" i="1"/>
  <c r="AO359" i="1"/>
  <c r="AP359" i="1" s="1"/>
  <c r="AU359" i="1"/>
  <c r="AV359" i="1" s="1"/>
  <c r="AN359" i="1"/>
  <c r="AS359" i="1"/>
  <c r="AR359" i="1"/>
  <c r="BG2" i="1"/>
  <c r="BH2" i="1" s="1"/>
  <c r="BH14" i="1"/>
  <c r="AW281" i="1"/>
  <c r="AY281" i="1" s="1"/>
  <c r="AX281" i="1" s="1"/>
  <c r="AT304" i="1"/>
  <c r="AT139" i="1"/>
  <c r="AW139" i="1" s="1"/>
  <c r="AY139" i="1" s="1"/>
  <c r="AX139" i="1" s="1"/>
  <c r="AT305" i="1"/>
  <c r="AW305" i="1" s="1"/>
  <c r="AY305" i="1" s="1"/>
  <c r="AX305" i="1" s="1"/>
  <c r="AP98" i="1"/>
  <c r="AW98" i="1" s="1"/>
  <c r="AY98" i="1" s="1"/>
  <c r="AX98" i="1" s="1"/>
  <c r="AT112" i="1"/>
  <c r="AT31" i="1"/>
  <c r="AO109" i="1"/>
  <c r="AS109" i="1"/>
  <c r="AR109" i="1"/>
  <c r="AQ109" i="1"/>
  <c r="AT109" i="1" s="1"/>
  <c r="AU109" i="1"/>
  <c r="AV109" i="1" s="1"/>
  <c r="AN109" i="1"/>
  <c r="AW119" i="1"/>
  <c r="AY119" i="1" s="1"/>
  <c r="AX119" i="1" s="1"/>
  <c r="AT149" i="1"/>
  <c r="AP378" i="1"/>
  <c r="AW378" i="1" s="1"/>
  <c r="AY378" i="1" s="1"/>
  <c r="AX378" i="1" s="1"/>
  <c r="AT142" i="1"/>
  <c r="AP153" i="1"/>
  <c r="AW153" i="1" s="1"/>
  <c r="AY153" i="1" s="1"/>
  <c r="AX153" i="1" s="1"/>
  <c r="AS365" i="1"/>
  <c r="AO365" i="1"/>
  <c r="AP365" i="1" s="1"/>
  <c r="AR365" i="1"/>
  <c r="AQ365" i="1"/>
  <c r="AT365" i="1" s="1"/>
  <c r="AW365" i="1" s="1"/>
  <c r="AY365" i="1" s="1"/>
  <c r="AX365" i="1" s="1"/>
  <c r="AU365" i="1"/>
  <c r="AV365" i="1" s="1"/>
  <c r="AN365" i="1"/>
  <c r="AP304" i="1"/>
  <c r="AW304" i="1" s="1"/>
  <c r="AY304" i="1" s="1"/>
  <c r="AX304" i="1" s="1"/>
  <c r="AP102" i="1"/>
  <c r="AW35" i="1"/>
  <c r="AY35" i="1" s="1"/>
  <c r="AX35" i="1" s="1"/>
  <c r="AT300" i="1"/>
  <c r="AW300" i="1" s="1"/>
  <c r="AY300" i="1" s="1"/>
  <c r="AX300" i="1" s="1"/>
  <c r="AP112" i="1"/>
  <c r="AW112" i="1" s="1"/>
  <c r="AY112" i="1" s="1"/>
  <c r="AX112" i="1" s="1"/>
  <c r="AT29" i="1"/>
  <c r="AN100" i="1"/>
  <c r="AR100" i="1"/>
  <c r="AQ100" i="1"/>
  <c r="AT100" i="1" s="1"/>
  <c r="AO100" i="1"/>
  <c r="AU100" i="1"/>
  <c r="AV100" i="1" s="1"/>
  <c r="AS100" i="1"/>
  <c r="AP137" i="1"/>
  <c r="AW137" i="1" s="1"/>
  <c r="AY137" i="1" s="1"/>
  <c r="AX137" i="1" s="1"/>
  <c r="AP16" i="1"/>
  <c r="AW16" i="1" s="1"/>
  <c r="AY16" i="1" s="1"/>
  <c r="AX16" i="1" s="1"/>
  <c r="AP32" i="1"/>
  <c r="AW32" i="1" s="1"/>
  <c r="AY32" i="1" s="1"/>
  <c r="AX32" i="1" s="1"/>
  <c r="AM364" i="1"/>
  <c r="AT82" i="1"/>
  <c r="AW82" i="1" s="1"/>
  <c r="AY82" i="1" s="1"/>
  <c r="AX82" i="1" s="1"/>
  <c r="AS116" i="1"/>
  <c r="AR116" i="1"/>
  <c r="AQ116" i="1"/>
  <c r="AU116" i="1"/>
  <c r="AV116" i="1" s="1"/>
  <c r="AN116" i="1"/>
  <c r="AO116" i="1"/>
  <c r="AP116" i="1" s="1"/>
  <c r="AT146" i="1"/>
  <c r="AW146" i="1" s="1"/>
  <c r="AY146" i="1" s="1"/>
  <c r="AX146" i="1" s="1"/>
  <c r="AT297" i="1"/>
  <c r="AW297" i="1" s="1"/>
  <c r="AY297" i="1" s="1"/>
  <c r="AX297" i="1" s="1"/>
  <c r="AT94" i="1"/>
  <c r="AT117" i="1"/>
  <c r="AW117" i="1" s="1"/>
  <c r="AY117" i="1" s="1"/>
  <c r="AX117" i="1" s="1"/>
  <c r="AP26" i="1"/>
  <c r="AW26" i="1" s="1"/>
  <c r="AY26" i="1" s="1"/>
  <c r="AX26" i="1" s="1"/>
  <c r="AT111" i="1"/>
  <c r="AW111" i="1" s="1"/>
  <c r="AY111" i="1" s="1"/>
  <c r="AX111" i="1" s="1"/>
  <c r="AT36" i="1"/>
  <c r="AW36" i="1" s="1"/>
  <c r="AY36" i="1" s="1"/>
  <c r="AX36" i="1" s="1"/>
  <c r="AW148" i="1"/>
  <c r="AY148" i="1" s="1"/>
  <c r="AX148" i="1" s="1"/>
  <c r="AW65" i="1"/>
  <c r="AY65" i="1" s="1"/>
  <c r="AX65" i="1" s="1"/>
  <c r="AU358" i="1"/>
  <c r="AV358" i="1" s="1"/>
  <c r="AS358" i="1"/>
  <c r="AQ358" i="1"/>
  <c r="AO358" i="1"/>
  <c r="AR358" i="1"/>
  <c r="AN358" i="1"/>
  <c r="AP28" i="1"/>
  <c r="AW101" i="1"/>
  <c r="AY101" i="1" s="1"/>
  <c r="AX101" i="1" s="1"/>
  <c r="AP152" i="1"/>
  <c r="AW152" i="1" s="1"/>
  <c r="AY152" i="1" s="1"/>
  <c r="AX152" i="1" s="1"/>
  <c r="AO20" i="1"/>
  <c r="AN20" i="1"/>
  <c r="AR20" i="1"/>
  <c r="AU20" i="1"/>
  <c r="AV20" i="1" s="1"/>
  <c r="AQ20" i="1"/>
  <c r="AS20" i="1"/>
  <c r="AU52" i="1"/>
  <c r="AV52" i="1" s="1"/>
  <c r="C11" i="2" s="1"/>
  <c r="AO52" i="1"/>
  <c r="AN52" i="1"/>
  <c r="AR52" i="1"/>
  <c r="AQ52" i="1"/>
  <c r="AT52" i="1" s="1"/>
  <c r="C8" i="2" s="1"/>
  <c r="AS52" i="1"/>
  <c r="AM381" i="1"/>
  <c r="AM388" i="1"/>
  <c r="AT14" i="1"/>
  <c r="AT28" i="1"/>
  <c r="AT152" i="1"/>
  <c r="AT33" i="1"/>
  <c r="AW33" i="1" s="1"/>
  <c r="AY33" i="1" s="1"/>
  <c r="AX33" i="1" s="1"/>
  <c r="AT15" i="1"/>
  <c r="AW15" i="1" s="1"/>
  <c r="AY15" i="1" s="1"/>
  <c r="AX15" i="1" s="1"/>
  <c r="AT27" i="1"/>
  <c r="AM380" i="1"/>
  <c r="AT87" i="1"/>
  <c r="AW87" i="1" s="1"/>
  <c r="AY87" i="1" s="1"/>
  <c r="AX87" i="1" s="1"/>
  <c r="AT102" i="1"/>
  <c r="AP94" i="1"/>
  <c r="AP14" i="1"/>
  <c r="AP103" i="1"/>
  <c r="AP29" i="1"/>
  <c r="AP31" i="1"/>
  <c r="AT105" i="1"/>
  <c r="AW105" i="1" s="1"/>
  <c r="AY105" i="1" s="1"/>
  <c r="AX105" i="1" s="1"/>
  <c r="AP91" i="1"/>
  <c r="AW91" i="1" s="1"/>
  <c r="AY91" i="1" s="1"/>
  <c r="AX91" i="1" s="1"/>
  <c r="AT83" i="1"/>
  <c r="AW83" i="1" s="1"/>
  <c r="AY83" i="1" s="1"/>
  <c r="AX83" i="1" s="1"/>
  <c r="AM354" i="1"/>
  <c r="AM356" i="1"/>
  <c r="AM357" i="1"/>
  <c r="AW116" i="1" l="1"/>
  <c r="AY116" i="1" s="1"/>
  <c r="AX116" i="1" s="1"/>
  <c r="AU356" i="1"/>
  <c r="AV356" i="1" s="1"/>
  <c r="AR356" i="1"/>
  <c r="AN356" i="1"/>
  <c r="AS356" i="1"/>
  <c r="AQ356" i="1"/>
  <c r="AT356" i="1" s="1"/>
  <c r="AO356" i="1"/>
  <c r="AP356" i="1" s="1"/>
  <c r="AW356" i="1" s="1"/>
  <c r="AY356" i="1" s="1"/>
  <c r="AX356" i="1" s="1"/>
  <c r="AT116" i="1"/>
  <c r="AR354" i="1"/>
  <c r="AU354" i="1"/>
  <c r="AV354" i="1" s="1"/>
  <c r="AQ354" i="1"/>
  <c r="AS354" i="1"/>
  <c r="AO354" i="1"/>
  <c r="AN354" i="1"/>
  <c r="AP100" i="1"/>
  <c r="AW100" i="1" s="1"/>
  <c r="AY100" i="1" s="1"/>
  <c r="AX100" i="1" s="1"/>
  <c r="AU383" i="1"/>
  <c r="AV383" i="1" s="1"/>
  <c r="AN383" i="1"/>
  <c r="AS383" i="1"/>
  <c r="AR383" i="1"/>
  <c r="AQ383" i="1"/>
  <c r="AT383" i="1" s="1"/>
  <c r="AO383" i="1"/>
  <c r="AP383" i="1" s="1"/>
  <c r="AW383" i="1" s="1"/>
  <c r="AY383" i="1" s="1"/>
  <c r="AX383" i="1" s="1"/>
  <c r="AP358" i="1"/>
  <c r="AP382" i="1"/>
  <c r="AW382" i="1" s="1"/>
  <c r="AY382" i="1" s="1"/>
  <c r="AX382" i="1" s="1"/>
  <c r="AT358" i="1"/>
  <c r="AT359" i="1"/>
  <c r="AW359" i="1" s="1"/>
  <c r="AY359" i="1" s="1"/>
  <c r="AX359" i="1" s="1"/>
  <c r="AT17" i="1"/>
  <c r="AW17" i="1" s="1"/>
  <c r="AY17" i="1" s="1"/>
  <c r="AX17" i="1" s="1"/>
  <c r="AR380" i="1"/>
  <c r="AQ380" i="1"/>
  <c r="AU380" i="1"/>
  <c r="AV380" i="1" s="1"/>
  <c r="AO380" i="1"/>
  <c r="AN380" i="1"/>
  <c r="AS380" i="1"/>
  <c r="AP20" i="1"/>
  <c r="AW20" i="1" s="1"/>
  <c r="AY20" i="1" s="1"/>
  <c r="AX20" i="1" s="1"/>
  <c r="AW31" i="1"/>
  <c r="AY31" i="1" s="1"/>
  <c r="AX31" i="1" s="1"/>
  <c r="AP52" i="1"/>
  <c r="AT382" i="1"/>
  <c r="AS381" i="1"/>
  <c r="AQ381" i="1"/>
  <c r="AU381" i="1"/>
  <c r="AV381" i="1" s="1"/>
  <c r="AN381" i="1"/>
  <c r="AR381" i="1"/>
  <c r="AO381" i="1"/>
  <c r="AP381" i="1" s="1"/>
  <c r="AR364" i="1"/>
  <c r="AU364" i="1"/>
  <c r="AV364" i="1" s="1"/>
  <c r="AS364" i="1"/>
  <c r="AO364" i="1"/>
  <c r="AN364" i="1"/>
  <c r="AQ364" i="1"/>
  <c r="AW29" i="1"/>
  <c r="AY29" i="1" s="1"/>
  <c r="AX29" i="1" s="1"/>
  <c r="AP389" i="1"/>
  <c r="AW389" i="1" s="1"/>
  <c r="AY389" i="1" s="1"/>
  <c r="AX389" i="1" s="1"/>
  <c r="AW103" i="1"/>
  <c r="AY103" i="1" s="1"/>
  <c r="AX103" i="1" s="1"/>
  <c r="AW27" i="1"/>
  <c r="AY27" i="1" s="1"/>
  <c r="AX27" i="1" s="1"/>
  <c r="AT144" i="1"/>
  <c r="AW144" i="1" s="1"/>
  <c r="AY144" i="1" s="1"/>
  <c r="AX144" i="1" s="1"/>
  <c r="Q114" i="4"/>
  <c r="Q109" i="4"/>
  <c r="Q104" i="4"/>
  <c r="Q99" i="4"/>
  <c r="Q94" i="4"/>
  <c r="Q89" i="4"/>
  <c r="Q84" i="4"/>
  <c r="Q79" i="4"/>
  <c r="Q74" i="4"/>
  <c r="Q69" i="4"/>
  <c r="Q64" i="4"/>
  <c r="Q59" i="4"/>
  <c r="Q54" i="4"/>
  <c r="Q49" i="4"/>
  <c r="Q44" i="4"/>
  <c r="Q39" i="4"/>
  <c r="Q34" i="4"/>
  <c r="Q106" i="4"/>
  <c r="Q100" i="4"/>
  <c r="Q97" i="4"/>
  <c r="Q88" i="4"/>
  <c r="Q56" i="4"/>
  <c r="Q50" i="4"/>
  <c r="Q47" i="4"/>
  <c r="Q38" i="4"/>
  <c r="Q115" i="4"/>
  <c r="Q112" i="4"/>
  <c r="Q103" i="4"/>
  <c r="Q71" i="4"/>
  <c r="Q65" i="4"/>
  <c r="Q62" i="4"/>
  <c r="Q53" i="4"/>
  <c r="Q29" i="4"/>
  <c r="Q24" i="4"/>
  <c r="Q19" i="4"/>
  <c r="Q14" i="4"/>
  <c r="Q118" i="4"/>
  <c r="Q86" i="4"/>
  <c r="Q80" i="4"/>
  <c r="Q77" i="4"/>
  <c r="Q68" i="4"/>
  <c r="Q36" i="4"/>
  <c r="Q101" i="4"/>
  <c r="Q95" i="4"/>
  <c r="Q92" i="4"/>
  <c r="Q83" i="4"/>
  <c r="Q51" i="4"/>
  <c r="Q45" i="4"/>
  <c r="Q42" i="4"/>
  <c r="Q116" i="4"/>
  <c r="Q110" i="4"/>
  <c r="Q107" i="4"/>
  <c r="Q98" i="4"/>
  <c r="Q66" i="4"/>
  <c r="Q60" i="4"/>
  <c r="Q57" i="4"/>
  <c r="Q48" i="4"/>
  <c r="Q113" i="4"/>
  <c r="Q81" i="4"/>
  <c r="Q96" i="4"/>
  <c r="Q90" i="4"/>
  <c r="Q87" i="4"/>
  <c r="Q78" i="4"/>
  <c r="Q111" i="4"/>
  <c r="Q105" i="4"/>
  <c r="Q102" i="4"/>
  <c r="Q93" i="4"/>
  <c r="Q117" i="4"/>
  <c r="Q108" i="4"/>
  <c r="Q76" i="4"/>
  <c r="Q70" i="4"/>
  <c r="Q67" i="4"/>
  <c r="Q58" i="4"/>
  <c r="Q63" i="4"/>
  <c r="Q15" i="4"/>
  <c r="Q32" i="4"/>
  <c r="Q26" i="4"/>
  <c r="Q18" i="4"/>
  <c r="Q52" i="4"/>
  <c r="Q37" i="4"/>
  <c r="Q20" i="4"/>
  <c r="Q9" i="4"/>
  <c r="Q55" i="4"/>
  <c r="Q31" i="4"/>
  <c r="Q23" i="4"/>
  <c r="Q12" i="4"/>
  <c r="Q25" i="4"/>
  <c r="Q75" i="4"/>
  <c r="Q72" i="4"/>
  <c r="Q35" i="4"/>
  <c r="Q28" i="4"/>
  <c r="Q17" i="4"/>
  <c r="Q11" i="4"/>
  <c r="Q30" i="4"/>
  <c r="Q91" i="4"/>
  <c r="Q85" i="4"/>
  <c r="Q73" i="4"/>
  <c r="Q22" i="4"/>
  <c r="Q16" i="4"/>
  <c r="Q46" i="4"/>
  <c r="Q43" i="4"/>
  <c r="Q41" i="4"/>
  <c r="Q33" i="4"/>
  <c r="Q10" i="4"/>
  <c r="Q82" i="4"/>
  <c r="Q61" i="4"/>
  <c r="Q40" i="4"/>
  <c r="Q27" i="4"/>
  <c r="Q21" i="4"/>
  <c r="Q13" i="4"/>
  <c r="AW14" i="1"/>
  <c r="AY14" i="1" s="1"/>
  <c r="AX14" i="1" s="1"/>
  <c r="AW149" i="1"/>
  <c r="AY149" i="1" s="1"/>
  <c r="AX149" i="1" s="1"/>
  <c r="AW302" i="1"/>
  <c r="AY302" i="1" s="1"/>
  <c r="AX302" i="1" s="1"/>
  <c r="AU357" i="1"/>
  <c r="AV357" i="1" s="1"/>
  <c r="AO357" i="1"/>
  <c r="AP357" i="1" s="1"/>
  <c r="AN357" i="1"/>
  <c r="AR357" i="1"/>
  <c r="AQ357" i="1"/>
  <c r="AS357" i="1"/>
  <c r="AW94" i="1"/>
  <c r="AY94" i="1" s="1"/>
  <c r="AX94" i="1" s="1"/>
  <c r="AN388" i="1"/>
  <c r="AQ388" i="1"/>
  <c r="AO388" i="1"/>
  <c r="AP388" i="1" s="1"/>
  <c r="AS388" i="1"/>
  <c r="AR388" i="1"/>
  <c r="AU388" i="1"/>
  <c r="AV388" i="1" s="1"/>
  <c r="AT20" i="1"/>
  <c r="AW28" i="1"/>
  <c r="AY28" i="1" s="1"/>
  <c r="AX28" i="1" s="1"/>
  <c r="AW102" i="1"/>
  <c r="AY102" i="1" s="1"/>
  <c r="AX102" i="1" s="1"/>
  <c r="AP109" i="1"/>
  <c r="AW109" i="1" s="1"/>
  <c r="AY109" i="1" s="1"/>
  <c r="AX109" i="1" s="1"/>
  <c r="V27" i="4" l="1"/>
  <c r="U27" i="4"/>
  <c r="R27" i="4"/>
  <c r="V22" i="4"/>
  <c r="U22" i="4"/>
  <c r="R22" i="4"/>
  <c r="R18" i="4"/>
  <c r="V18" i="4"/>
  <c r="U18" i="4"/>
  <c r="V117" i="4"/>
  <c r="U117" i="4"/>
  <c r="R117" i="4"/>
  <c r="V113" i="4"/>
  <c r="U113" i="4"/>
  <c r="R113" i="4"/>
  <c r="U45" i="4"/>
  <c r="R45" i="4"/>
  <c r="V45" i="4"/>
  <c r="R103" i="4"/>
  <c r="V103" i="4"/>
  <c r="U103" i="4"/>
  <c r="U106" i="4"/>
  <c r="V106" i="4"/>
  <c r="R106" i="4"/>
  <c r="V79" i="4"/>
  <c r="R79" i="4"/>
  <c r="U79" i="4"/>
  <c r="R112" i="4"/>
  <c r="V112" i="4"/>
  <c r="U112" i="4"/>
  <c r="V85" i="4"/>
  <c r="U85" i="4"/>
  <c r="R85" i="4"/>
  <c r="V32" i="4"/>
  <c r="R32" i="4"/>
  <c r="U32" i="4"/>
  <c r="V102" i="4"/>
  <c r="U102" i="4"/>
  <c r="R102" i="4"/>
  <c r="R14" i="4"/>
  <c r="V14" i="4"/>
  <c r="U14" i="4"/>
  <c r="R115" i="4"/>
  <c r="V115" i="4"/>
  <c r="U115" i="4"/>
  <c r="R39" i="4"/>
  <c r="V39" i="4"/>
  <c r="U39" i="4"/>
  <c r="R89" i="4"/>
  <c r="V89" i="4"/>
  <c r="U89" i="4"/>
  <c r="U91" i="4"/>
  <c r="V91" i="4"/>
  <c r="R91" i="4"/>
  <c r="AP354" i="1"/>
  <c r="U111" i="4"/>
  <c r="V111" i="4"/>
  <c r="R111" i="4"/>
  <c r="U86" i="4"/>
  <c r="R86" i="4"/>
  <c r="V86" i="4"/>
  <c r="U54" i="4"/>
  <c r="R54" i="4"/>
  <c r="V54" i="4"/>
  <c r="AT354" i="1"/>
  <c r="U56" i="4"/>
  <c r="V56" i="4"/>
  <c r="R56" i="4"/>
  <c r="R68" i="4"/>
  <c r="U68" i="4"/>
  <c r="V68" i="4"/>
  <c r="V64" i="4"/>
  <c r="U64" i="4"/>
  <c r="R64" i="4"/>
  <c r="AP364" i="1"/>
  <c r="AT380" i="1"/>
  <c r="V12" i="4"/>
  <c r="R12" i="4"/>
  <c r="U12" i="4"/>
  <c r="R83" i="4"/>
  <c r="V83" i="4"/>
  <c r="U83" i="4"/>
  <c r="R23" i="4"/>
  <c r="U23" i="4"/>
  <c r="V23" i="4"/>
  <c r="V105" i="4"/>
  <c r="U105" i="4"/>
  <c r="R105" i="4"/>
  <c r="R92" i="4"/>
  <c r="V92" i="4"/>
  <c r="U92" i="4"/>
  <c r="V44" i="4"/>
  <c r="U44" i="4"/>
  <c r="R44" i="4"/>
  <c r="R30" i="4"/>
  <c r="V30" i="4"/>
  <c r="U30" i="4"/>
  <c r="U31" i="4"/>
  <c r="V31" i="4"/>
  <c r="R31" i="4"/>
  <c r="U66" i="4"/>
  <c r="V66" i="4"/>
  <c r="R66" i="4"/>
  <c r="U95" i="4"/>
  <c r="R95" i="4"/>
  <c r="V95" i="4"/>
  <c r="R24" i="4"/>
  <c r="V24" i="4"/>
  <c r="U24" i="4"/>
  <c r="V47" i="4"/>
  <c r="U47" i="4"/>
  <c r="R47" i="4"/>
  <c r="V49" i="4"/>
  <c r="U49" i="4"/>
  <c r="R49" i="4"/>
  <c r="V99" i="4"/>
  <c r="U99" i="4"/>
  <c r="R99" i="4"/>
  <c r="AP380" i="1"/>
  <c r="AW380" i="1" s="1"/>
  <c r="AY380" i="1" s="1"/>
  <c r="AX380" i="1" s="1"/>
  <c r="R33" i="4"/>
  <c r="V33" i="4"/>
  <c r="U33" i="4"/>
  <c r="V11" i="4"/>
  <c r="U11" i="4"/>
  <c r="R11" i="4"/>
  <c r="V55" i="4"/>
  <c r="U55" i="4"/>
  <c r="R55" i="4"/>
  <c r="V58" i="4"/>
  <c r="U58" i="4"/>
  <c r="R58" i="4"/>
  <c r="V78" i="4"/>
  <c r="U78" i="4"/>
  <c r="R78" i="4"/>
  <c r="U98" i="4"/>
  <c r="R98" i="4"/>
  <c r="V98" i="4"/>
  <c r="U101" i="4"/>
  <c r="R101" i="4"/>
  <c r="V101" i="4"/>
  <c r="R29" i="4"/>
  <c r="V29" i="4"/>
  <c r="U29" i="4"/>
  <c r="U104" i="4"/>
  <c r="R104" i="4"/>
  <c r="V104" i="4"/>
  <c r="R59" i="4"/>
  <c r="V59" i="4"/>
  <c r="U59" i="4"/>
  <c r="V43" i="4"/>
  <c r="U43" i="4"/>
  <c r="R43" i="4"/>
  <c r="V90" i="4"/>
  <c r="U90" i="4"/>
  <c r="R90" i="4"/>
  <c r="V37" i="4"/>
  <c r="U37" i="4"/>
  <c r="R37" i="4"/>
  <c r="U96" i="4"/>
  <c r="V96" i="4"/>
  <c r="R96" i="4"/>
  <c r="R77" i="4"/>
  <c r="U77" i="4"/>
  <c r="V77" i="4"/>
  <c r="R65" i="4"/>
  <c r="U65" i="4"/>
  <c r="V65" i="4"/>
  <c r="V97" i="4"/>
  <c r="U97" i="4"/>
  <c r="R97" i="4"/>
  <c r="V69" i="4"/>
  <c r="U69" i="4"/>
  <c r="R69" i="4"/>
  <c r="V75" i="4"/>
  <c r="U75" i="4"/>
  <c r="R75" i="4"/>
  <c r="V40" i="4"/>
  <c r="U40" i="4"/>
  <c r="R40" i="4"/>
  <c r="V73" i="4"/>
  <c r="R73" i="4"/>
  <c r="U73" i="4"/>
  <c r="R25" i="4"/>
  <c r="V25" i="4"/>
  <c r="U25" i="4"/>
  <c r="V26" i="4"/>
  <c r="U26" i="4"/>
  <c r="R26" i="4"/>
  <c r="V93" i="4"/>
  <c r="U93" i="4"/>
  <c r="R93" i="4"/>
  <c r="U48" i="4"/>
  <c r="R48" i="4"/>
  <c r="V48" i="4"/>
  <c r="U51" i="4"/>
  <c r="R51" i="4"/>
  <c r="V51" i="4"/>
  <c r="R118" i="4"/>
  <c r="V118" i="4"/>
  <c r="U118" i="4"/>
  <c r="V34" i="4"/>
  <c r="U34" i="4"/>
  <c r="R34" i="4"/>
  <c r="V84" i="4"/>
  <c r="U84" i="4"/>
  <c r="R84" i="4"/>
  <c r="U61" i="4"/>
  <c r="V61" i="4"/>
  <c r="R61" i="4"/>
  <c r="U57" i="4"/>
  <c r="R57" i="4"/>
  <c r="V57" i="4"/>
  <c r="V82" i="4"/>
  <c r="U82" i="4"/>
  <c r="R82" i="4"/>
  <c r="R15" i="4"/>
  <c r="V15" i="4"/>
  <c r="U15" i="4"/>
  <c r="V60" i="4"/>
  <c r="U60" i="4"/>
  <c r="R60" i="4"/>
  <c r="R19" i="4"/>
  <c r="V19" i="4"/>
  <c r="U19" i="4"/>
  <c r="R38" i="4"/>
  <c r="V38" i="4"/>
  <c r="U38" i="4"/>
  <c r="V94" i="4"/>
  <c r="U94" i="4"/>
  <c r="R94" i="4"/>
  <c r="AW358" i="1"/>
  <c r="AY358" i="1" s="1"/>
  <c r="AX358" i="1" s="1"/>
  <c r="AT388" i="1"/>
  <c r="AW388" i="1" s="1"/>
  <c r="AY388" i="1" s="1"/>
  <c r="AX388" i="1" s="1"/>
  <c r="R10" i="4"/>
  <c r="V10" i="4"/>
  <c r="U10" i="4"/>
  <c r="V63" i="4"/>
  <c r="U63" i="4"/>
  <c r="R63" i="4"/>
  <c r="V50" i="4"/>
  <c r="U50" i="4"/>
  <c r="R50" i="4"/>
  <c r="AT364" i="1"/>
  <c r="AT381" i="1"/>
  <c r="AW381" i="1" s="1"/>
  <c r="AY381" i="1" s="1"/>
  <c r="AX381" i="1" s="1"/>
  <c r="U41" i="4"/>
  <c r="R41" i="4"/>
  <c r="V41" i="4"/>
  <c r="V17" i="4"/>
  <c r="U17" i="4"/>
  <c r="R17" i="4"/>
  <c r="R9" i="4"/>
  <c r="V9" i="4"/>
  <c r="U9" i="4"/>
  <c r="V67" i="4"/>
  <c r="U67" i="4"/>
  <c r="R67" i="4"/>
  <c r="V87" i="4"/>
  <c r="U87" i="4"/>
  <c r="R87" i="4"/>
  <c r="U107" i="4"/>
  <c r="R107" i="4"/>
  <c r="V107" i="4"/>
  <c r="U36" i="4"/>
  <c r="R36" i="4"/>
  <c r="V36" i="4"/>
  <c r="R53" i="4"/>
  <c r="V53" i="4"/>
  <c r="U53" i="4"/>
  <c r="R109" i="4"/>
  <c r="V109" i="4"/>
  <c r="U109" i="4"/>
  <c r="R28" i="4"/>
  <c r="V28" i="4"/>
  <c r="U28" i="4"/>
  <c r="R20" i="4"/>
  <c r="V20" i="4"/>
  <c r="U20" i="4"/>
  <c r="V70" i="4"/>
  <c r="U70" i="4"/>
  <c r="R70" i="4"/>
  <c r="V110" i="4"/>
  <c r="U110" i="4"/>
  <c r="R110" i="4"/>
  <c r="R62" i="4"/>
  <c r="V62" i="4"/>
  <c r="U62" i="4"/>
  <c r="V88" i="4"/>
  <c r="U88" i="4"/>
  <c r="R88" i="4"/>
  <c r="V114" i="4"/>
  <c r="U114" i="4"/>
  <c r="R114" i="4"/>
  <c r="R13" i="4"/>
  <c r="V13" i="4"/>
  <c r="U13" i="4"/>
  <c r="U46" i="4"/>
  <c r="V46" i="4"/>
  <c r="R46" i="4"/>
  <c r="R35" i="4"/>
  <c r="V35" i="4"/>
  <c r="U35" i="4"/>
  <c r="U76" i="4"/>
  <c r="V76" i="4"/>
  <c r="R76" i="4"/>
  <c r="U116" i="4"/>
  <c r="V116" i="4"/>
  <c r="R116" i="4"/>
  <c r="AT357" i="1"/>
  <c r="AW357" i="1" s="1"/>
  <c r="AY357" i="1" s="1"/>
  <c r="AX357" i="1" s="1"/>
  <c r="V21" i="4"/>
  <c r="U21" i="4"/>
  <c r="R21" i="4"/>
  <c r="V16" i="4"/>
  <c r="U16" i="4"/>
  <c r="R16" i="4"/>
  <c r="V72" i="4"/>
  <c r="U72" i="4"/>
  <c r="R72" i="4"/>
  <c r="V52" i="4"/>
  <c r="U52" i="4"/>
  <c r="R52" i="4"/>
  <c r="V108" i="4"/>
  <c r="U108" i="4"/>
  <c r="R108" i="4"/>
  <c r="U81" i="4"/>
  <c r="V81" i="4"/>
  <c r="R81" i="4"/>
  <c r="R42" i="4"/>
  <c r="V42" i="4"/>
  <c r="U42" i="4"/>
  <c r="R80" i="4"/>
  <c r="V80" i="4"/>
  <c r="U80" i="4"/>
  <c r="U71" i="4"/>
  <c r="R71" i="4"/>
  <c r="V71" i="4"/>
  <c r="V100" i="4"/>
  <c r="U100" i="4"/>
  <c r="R100" i="4"/>
  <c r="R74" i="4"/>
  <c r="U74" i="4"/>
  <c r="V74" i="4"/>
  <c r="C12" i="2"/>
  <c r="AW52" i="1"/>
  <c r="AY52" i="1" s="1"/>
  <c r="AX52" i="1" s="1"/>
  <c r="T108" i="4" l="1"/>
  <c r="W108" i="4" s="1"/>
  <c r="S108" i="4"/>
  <c r="T114" i="4"/>
  <c r="W114" i="4" s="1"/>
  <c r="S114" i="4"/>
  <c r="T109" i="4"/>
  <c r="W109" i="4" s="1"/>
  <c r="S109" i="4"/>
  <c r="T107" i="4"/>
  <c r="W107" i="4" s="1"/>
  <c r="S107" i="4"/>
  <c r="T72" i="4"/>
  <c r="W72" i="4" s="1"/>
  <c r="S72" i="4"/>
  <c r="T28" i="4"/>
  <c r="W28" i="4" s="1"/>
  <c r="S28" i="4"/>
  <c r="T10" i="4"/>
  <c r="W10" i="4" s="1"/>
  <c r="S10" i="4"/>
  <c r="T26" i="4"/>
  <c r="W26" i="4" s="1"/>
  <c r="S26" i="4"/>
  <c r="T69" i="4"/>
  <c r="W69" i="4" s="1"/>
  <c r="S69" i="4"/>
  <c r="S65" i="4"/>
  <c r="T65" i="4"/>
  <c r="W65" i="4" s="1"/>
  <c r="T33" i="4"/>
  <c r="W33" i="4" s="1"/>
  <c r="S33" i="4"/>
  <c r="S47" i="4"/>
  <c r="T47" i="4"/>
  <c r="W47" i="4" s="1"/>
  <c r="S95" i="4"/>
  <c r="T95" i="4"/>
  <c r="W95" i="4" s="1"/>
  <c r="T92" i="4"/>
  <c r="W92" i="4" s="1"/>
  <c r="S92" i="4"/>
  <c r="S64" i="4"/>
  <c r="T64" i="4"/>
  <c r="W64" i="4" s="1"/>
  <c r="T112" i="4"/>
  <c r="W112" i="4" s="1"/>
  <c r="S112" i="4"/>
  <c r="T22" i="4"/>
  <c r="W22" i="4" s="1"/>
  <c r="S22" i="4"/>
  <c r="S74" i="4"/>
  <c r="T74" i="4"/>
  <c r="W74" i="4" s="1"/>
  <c r="S36" i="4"/>
  <c r="T36" i="4"/>
  <c r="W36" i="4" s="1"/>
  <c r="S67" i="4"/>
  <c r="T67" i="4"/>
  <c r="W67" i="4" s="1"/>
  <c r="T61" i="4"/>
  <c r="W61" i="4" s="1"/>
  <c r="S61" i="4"/>
  <c r="S40" i="4"/>
  <c r="T40" i="4"/>
  <c r="W40" i="4" s="1"/>
  <c r="T78" i="4"/>
  <c r="W78" i="4" s="1"/>
  <c r="S78" i="4"/>
  <c r="T111" i="4"/>
  <c r="W111" i="4" s="1"/>
  <c r="S111" i="4"/>
  <c r="S115" i="4"/>
  <c r="T115" i="4"/>
  <c r="W115" i="4" s="1"/>
  <c r="S32" i="4"/>
  <c r="T32" i="4"/>
  <c r="W32" i="4" s="1"/>
  <c r="S105" i="4"/>
  <c r="T105" i="4"/>
  <c r="W105" i="4" s="1"/>
  <c r="T117" i="4"/>
  <c r="W117" i="4" s="1"/>
  <c r="S117" i="4"/>
  <c r="T13" i="4"/>
  <c r="W13" i="4" s="1"/>
  <c r="S13" i="4"/>
  <c r="T94" i="4"/>
  <c r="W94" i="4" s="1"/>
  <c r="S94" i="4"/>
  <c r="T82" i="4"/>
  <c r="W82" i="4" s="1"/>
  <c r="S82" i="4"/>
  <c r="T48" i="4"/>
  <c r="W48" i="4" s="1"/>
  <c r="S48" i="4"/>
  <c r="T97" i="4"/>
  <c r="W97" i="4" s="1"/>
  <c r="S97" i="4"/>
  <c r="S77" i="4"/>
  <c r="T77" i="4"/>
  <c r="W77" i="4" s="1"/>
  <c r="S90" i="4"/>
  <c r="T90" i="4"/>
  <c r="W90" i="4" s="1"/>
  <c r="T11" i="4"/>
  <c r="W11" i="4" s="1"/>
  <c r="S11" i="4"/>
  <c r="T66" i="4"/>
  <c r="W66" i="4" s="1"/>
  <c r="S66" i="4"/>
  <c r="T30" i="4"/>
  <c r="W30" i="4" s="1"/>
  <c r="S30" i="4"/>
  <c r="T83" i="4"/>
  <c r="W83" i="4" s="1"/>
  <c r="S83" i="4"/>
  <c r="T89" i="4"/>
  <c r="W89" i="4" s="1"/>
  <c r="S89" i="4"/>
  <c r="T79" i="4"/>
  <c r="W79" i="4" s="1"/>
  <c r="S79" i="4"/>
  <c r="T103" i="4"/>
  <c r="W103" i="4" s="1"/>
  <c r="S103" i="4"/>
  <c r="T29" i="4"/>
  <c r="W29" i="4" s="1"/>
  <c r="S29" i="4"/>
  <c r="T63" i="4"/>
  <c r="W63" i="4" s="1"/>
  <c r="S63" i="4"/>
  <c r="T19" i="4"/>
  <c r="W19" i="4" s="1"/>
  <c r="S19" i="4"/>
  <c r="T59" i="4"/>
  <c r="W59" i="4" s="1"/>
  <c r="S59" i="4"/>
  <c r="S44" i="4"/>
  <c r="T44" i="4"/>
  <c r="W44" i="4" s="1"/>
  <c r="S85" i="4"/>
  <c r="T85" i="4"/>
  <c r="W85" i="4" s="1"/>
  <c r="T27" i="4"/>
  <c r="W27" i="4" s="1"/>
  <c r="S27" i="4"/>
  <c r="S100" i="4"/>
  <c r="T100" i="4"/>
  <c r="W100" i="4" s="1"/>
  <c r="T84" i="4"/>
  <c r="W84" i="4" s="1"/>
  <c r="S84" i="4"/>
  <c r="S75" i="4"/>
  <c r="T75" i="4"/>
  <c r="W75" i="4" s="1"/>
  <c r="S58" i="4"/>
  <c r="T58" i="4"/>
  <c r="W58" i="4" s="1"/>
  <c r="T12" i="4"/>
  <c r="W12" i="4" s="1"/>
  <c r="S12" i="4"/>
  <c r="T54" i="4"/>
  <c r="W54" i="4" s="1"/>
  <c r="S54" i="4"/>
  <c r="AW354" i="1"/>
  <c r="AY354" i="1" s="1"/>
  <c r="AX354" i="1" s="1"/>
  <c r="T14" i="4"/>
  <c r="W14" i="4" s="1"/>
  <c r="S14" i="4"/>
  <c r="T15" i="4"/>
  <c r="W15" i="4" s="1"/>
  <c r="S15" i="4"/>
  <c r="T106" i="4"/>
  <c r="W106" i="4" s="1"/>
  <c r="S106" i="4"/>
  <c r="S45" i="4"/>
  <c r="T45" i="4"/>
  <c r="W45" i="4" s="1"/>
  <c r="T99" i="4"/>
  <c r="W99" i="4" s="1"/>
  <c r="S99" i="4"/>
  <c r="T62" i="4"/>
  <c r="W62" i="4" s="1"/>
  <c r="S62" i="4"/>
  <c r="T116" i="4"/>
  <c r="W116" i="4" s="1"/>
  <c r="S116" i="4"/>
  <c r="T43" i="4"/>
  <c r="W43" i="4" s="1"/>
  <c r="S43" i="4"/>
  <c r="T104" i="4"/>
  <c r="W104" i="4" s="1"/>
  <c r="S104" i="4"/>
  <c r="T24" i="4"/>
  <c r="W24" i="4" s="1"/>
  <c r="S24" i="4"/>
  <c r="S68" i="4"/>
  <c r="T68" i="4"/>
  <c r="W68" i="4" s="1"/>
  <c r="T39" i="4"/>
  <c r="W39" i="4" s="1"/>
  <c r="S39" i="4"/>
  <c r="T52" i="4"/>
  <c r="W52" i="4" s="1"/>
  <c r="S52" i="4"/>
  <c r="T20" i="4"/>
  <c r="W20" i="4" s="1"/>
  <c r="S20" i="4"/>
  <c r="S60" i="4"/>
  <c r="T60" i="4"/>
  <c r="W60" i="4" s="1"/>
  <c r="T118" i="4"/>
  <c r="W118" i="4" s="1"/>
  <c r="S118" i="4"/>
  <c r="T49" i="4"/>
  <c r="W49" i="4" s="1"/>
  <c r="S49" i="4"/>
  <c r="T31" i="4"/>
  <c r="W31" i="4" s="1"/>
  <c r="S31" i="4"/>
  <c r="T102" i="4"/>
  <c r="W102" i="4" s="1"/>
  <c r="S102" i="4"/>
  <c r="T57" i="4"/>
  <c r="W57" i="4" s="1"/>
  <c r="S57" i="4"/>
  <c r="T73" i="4"/>
  <c r="W73" i="4" s="1"/>
  <c r="S73" i="4"/>
  <c r="S56" i="4"/>
  <c r="T56" i="4"/>
  <c r="W56" i="4" s="1"/>
  <c r="S80" i="4"/>
  <c r="T80" i="4"/>
  <c r="W80" i="4" s="1"/>
  <c r="S35" i="4"/>
  <c r="T35" i="4"/>
  <c r="W35" i="4" s="1"/>
  <c r="T16" i="4"/>
  <c r="W16" i="4" s="1"/>
  <c r="S16" i="4"/>
  <c r="T41" i="4"/>
  <c r="W41" i="4" s="1"/>
  <c r="S41" i="4"/>
  <c r="T46" i="4"/>
  <c r="W46" i="4" s="1"/>
  <c r="S46" i="4"/>
  <c r="U120" i="4"/>
  <c r="T93" i="4"/>
  <c r="W93" i="4" s="1"/>
  <c r="S93" i="4"/>
  <c r="T96" i="4"/>
  <c r="W96" i="4" s="1"/>
  <c r="S96" i="4"/>
  <c r="T101" i="4"/>
  <c r="W101" i="4" s="1"/>
  <c r="S101" i="4"/>
  <c r="T42" i="4"/>
  <c r="W42" i="4" s="1"/>
  <c r="S42" i="4"/>
  <c r="S110" i="4"/>
  <c r="T110" i="4"/>
  <c r="W110" i="4" s="1"/>
  <c r="T25" i="4"/>
  <c r="W25" i="4" s="1"/>
  <c r="S25" i="4"/>
  <c r="T91" i="4"/>
  <c r="W91" i="4" s="1"/>
  <c r="S91" i="4"/>
  <c r="C2" i="2"/>
  <c r="S76" i="4"/>
  <c r="T76" i="4"/>
  <c r="W76" i="4" s="1"/>
  <c r="T88" i="4"/>
  <c r="W88" i="4" s="1"/>
  <c r="S88" i="4"/>
  <c r="T87" i="4"/>
  <c r="W87" i="4" s="1"/>
  <c r="S87" i="4"/>
  <c r="V120" i="4"/>
  <c r="T71" i="4"/>
  <c r="W71" i="4" s="1"/>
  <c r="S71" i="4"/>
  <c r="T81" i="4"/>
  <c r="W81" i="4" s="1"/>
  <c r="S81" i="4"/>
  <c r="T21" i="4"/>
  <c r="W21" i="4" s="1"/>
  <c r="S21" i="4"/>
  <c r="T53" i="4"/>
  <c r="W53" i="4" s="1"/>
  <c r="S53" i="4"/>
  <c r="R120" i="4"/>
  <c r="T9" i="4"/>
  <c r="S9" i="4"/>
  <c r="S70" i="4"/>
  <c r="T70" i="4"/>
  <c r="W70" i="4" s="1"/>
  <c r="T17" i="4"/>
  <c r="W17" i="4" s="1"/>
  <c r="S17" i="4"/>
  <c r="S50" i="4"/>
  <c r="T50" i="4"/>
  <c r="W50" i="4" s="1"/>
  <c r="S38" i="4"/>
  <c r="T38" i="4"/>
  <c r="W38" i="4" s="1"/>
  <c r="S34" i="4"/>
  <c r="T34" i="4"/>
  <c r="W34" i="4" s="1"/>
  <c r="T51" i="4"/>
  <c r="W51" i="4" s="1"/>
  <c r="S51" i="4"/>
  <c r="S37" i="4"/>
  <c r="T37" i="4"/>
  <c r="W37" i="4" s="1"/>
  <c r="T98" i="4"/>
  <c r="W98" i="4" s="1"/>
  <c r="S98" i="4"/>
  <c r="S55" i="4"/>
  <c r="T55" i="4"/>
  <c r="W55" i="4" s="1"/>
  <c r="T23" i="4"/>
  <c r="W23" i="4" s="1"/>
  <c r="S23" i="4"/>
  <c r="AW364" i="1"/>
  <c r="AY364" i="1" s="1"/>
  <c r="AX364" i="1" s="1"/>
  <c r="S86" i="4"/>
  <c r="T86" i="4"/>
  <c r="W86" i="4" s="1"/>
  <c r="T113" i="4"/>
  <c r="W113" i="4" s="1"/>
  <c r="S113" i="4"/>
  <c r="S18" i="4"/>
  <c r="T18" i="4"/>
  <c r="W18" i="4" s="1"/>
  <c r="S120" i="4" l="1"/>
  <c r="T120" i="4"/>
  <c r="W9" i="4"/>
  <c r="W120" i="4" s="1"/>
  <c r="Y9" i="4" s="1"/>
  <c r="D10" i="2"/>
  <c r="D5" i="2"/>
  <c r="D9" i="2"/>
  <c r="D4" i="2"/>
  <c r="D13" i="2"/>
  <c r="D6" i="2"/>
  <c r="D7" i="2"/>
  <c r="D8" i="2"/>
  <c r="D11" i="2"/>
  <c r="D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7" authorId="0" shapeId="0" xr:uid="{00000000-0006-0000-0000-000001000000}">
      <text>
        <r>
          <rPr>
            <sz val="10"/>
            <rFont val="Arial"/>
            <family val="2"/>
          </rPr>
          <t>Quantidade de Galao por pallet.</t>
        </r>
      </text>
    </comment>
    <comment ref="T8" authorId="0" shapeId="0" xr:uid="{00000000-0006-0000-0000-000002000000}">
      <text>
        <r>
          <rPr>
            <sz val="10"/>
            <rFont val="Arial"/>
            <family val="2"/>
          </rPr>
          <t>Quantidade de Balde por pallet.</t>
        </r>
      </text>
    </comment>
    <comment ref="T9" authorId="0" shapeId="0" xr:uid="{00000000-0006-0000-0000-000003000000}">
      <text>
        <r>
          <rPr>
            <sz val="10"/>
            <rFont val="Arial"/>
            <family val="2"/>
          </rPr>
          <t>Quantidade de LATA por pallet.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X3" authorId="0" shapeId="0" xr:uid="{00000000-0006-0000-0200-000001000000}">
      <text>
        <r>
          <rPr>
            <sz val="10"/>
            <rFont val="Arial"/>
            <family val="2"/>
          </rPr>
          <t>O custo variável unitário (CVu) representa quanto a empresa gasta para produzir e vender uma unidade adicional do produto.
Ele inclui somente custos que variam diretamente com o volume produzido ou vendido.
Ou seja:
Se a empresa produzir ou vender uma unidade a mais, esse custo aumenta exatamente nesse valor.</t>
        </r>
      </text>
    </comment>
    <comment ref="Y3" authorId="0" shapeId="0" xr:uid="{00000000-0006-0000-0200-000002000000}">
      <text>
        <r>
          <rPr>
            <sz val="10"/>
            <rFont val="Arial"/>
            <family val="2"/>
          </rPr>
          <t>A margem de contribuição unitária (MCu) representa quanto cada unidade vendida contribui para pagar os custos fixos da empresa e gerar lucro.
Ela é chamada de “contribuição” justamente porque mostra quanto cada produto contribui para sustentar a estrutura da empresa.</t>
        </r>
      </text>
    </comment>
    <comment ref="Z3" authorId="0" shapeId="0" xr:uid="{00000000-0006-0000-0200-000003000000}">
      <text>
        <r>
          <rPr>
            <sz val="10"/>
            <rFont val="Arial"/>
            <family val="2"/>
          </rPr>
          <t>A margem de contribuição percentual mostra qual porcentagem da receita de venda sobra após o pagamento dos custos variáveis.
Ela indica a eficiência econômica do produto.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1" authorId="0" shapeId="0" xr:uid="{00000000-0006-0000-0A00-000002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Combustível + Alimentação + Plano de Saúde + Insalubridade</t>
        </r>
      </text>
    </comment>
    <comment ref="F24" authorId="0" shapeId="0" xr:uid="{00000000-0006-0000-0A00-000001000000}">
      <text>
        <r>
          <rPr>
            <sz val="10"/>
            <rFont val="Arial"/>
            <family val="2"/>
          </rPr>
          <t>Mitsuo Matsui:
Falta cal</t>
        </r>
      </text>
    </comment>
    <comment ref="H25" authorId="0" shapeId="0" xr:uid="{00000000-0006-0000-0A00-000003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Combustível + Alimentação + Plano de Saúde</t>
        </r>
      </text>
    </comment>
    <comment ref="H26" authorId="0" shapeId="0" xr:uid="{00000000-0006-0000-0A00-000004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Combustível + Alimentação + Plano de Saúde</t>
        </r>
      </text>
    </comment>
    <comment ref="H27" authorId="0" shapeId="0" xr:uid="{00000000-0006-0000-0A00-000005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Combustível + Alimentação + Plano de Saúde</t>
        </r>
      </text>
    </comment>
    <comment ref="H28" authorId="0" shapeId="0" xr:uid="{00000000-0006-0000-0A00-000006000000}">
      <text>
        <r>
          <rPr>
            <sz val="10"/>
            <rFont val="Arial"/>
            <family val="2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Combustível + Alimentação + Plano de Saúde</t>
        </r>
      </text>
    </comment>
  </commentList>
</comments>
</file>

<file path=xl/sharedStrings.xml><?xml version="1.0" encoding="utf-8"?>
<sst xmlns="http://schemas.openxmlformats.org/spreadsheetml/2006/main" count="14745" uniqueCount="1776">
  <si>
    <t>Preencher</t>
  </si>
  <si>
    <t>Fórmula</t>
  </si>
  <si>
    <t>Código</t>
  </si>
  <si>
    <t>Descrição do Produto</t>
  </si>
  <si>
    <t>Tipo</t>
  </si>
  <si>
    <t>Tempo
 de 
ciclo
(Qtd Hora)</t>
  </si>
  <si>
    <t xml:space="preserve">Preço de </t>
  </si>
  <si>
    <t>Preço</t>
  </si>
  <si>
    <t>Qtd</t>
  </si>
  <si>
    <t>Faturamento</t>
  </si>
  <si>
    <t>Decomposição do Preço Calculado</t>
  </si>
  <si>
    <t xml:space="preserve">1. Materia prima </t>
  </si>
  <si>
    <t>TTL (1)</t>
  </si>
  <si>
    <t>2.Processo</t>
  </si>
  <si>
    <t>TTL (2)</t>
  </si>
  <si>
    <t xml:space="preserve">3.Embalagem </t>
  </si>
  <si>
    <t>TTL (3)</t>
  </si>
  <si>
    <t xml:space="preserve">4.Refugo </t>
  </si>
  <si>
    <t>TTL (4)</t>
  </si>
  <si>
    <t>5.Outras custos Industriais</t>
  </si>
  <si>
    <t>TTL (5)</t>
  </si>
  <si>
    <t xml:space="preserve">6.Mark up </t>
  </si>
  <si>
    <t>TTL (6)</t>
  </si>
  <si>
    <t>7.Outros Despesas (Indireto) - 15%</t>
  </si>
  <si>
    <t>TTL (7)</t>
  </si>
  <si>
    <t>8.Impostos(Fora)</t>
  </si>
  <si>
    <t>TTL (8)</t>
  </si>
  <si>
    <t>9.Impostos(Dentro)</t>
  </si>
  <si>
    <t>TTL (9)</t>
  </si>
  <si>
    <t>10.Comissao</t>
  </si>
  <si>
    <t>TTL (10)</t>
  </si>
  <si>
    <t>TTL (11)
PRECO MINIMO SUGERIDO</t>
  </si>
  <si>
    <t>Impostos</t>
  </si>
  <si>
    <t>Venda Mínimo</t>
  </si>
  <si>
    <t>Praticado</t>
  </si>
  <si>
    <t>Insumo</t>
  </si>
  <si>
    <t>Frete</t>
  </si>
  <si>
    <t>TCIF</t>
  </si>
  <si>
    <t>FTI</t>
  </si>
  <si>
    <t>Mao de obra direta
 (Hora/homem)</t>
  </si>
  <si>
    <t>Balde</t>
  </si>
  <si>
    <t>Pallet</t>
  </si>
  <si>
    <t>Filme</t>
  </si>
  <si>
    <t>Chapa tex</t>
  </si>
  <si>
    <t>Perda no 
processo</t>
  </si>
  <si>
    <t>Energia</t>
  </si>
  <si>
    <t>Agua</t>
  </si>
  <si>
    <t>Equipamento
Maquina</t>
  </si>
  <si>
    <t>Mao de obra Ind</t>
  </si>
  <si>
    <t>Frete Expedicao</t>
  </si>
  <si>
    <t>Aluguel 2</t>
  </si>
  <si>
    <t>IPTU</t>
  </si>
  <si>
    <t>Comunicacao</t>
  </si>
  <si>
    <t>CUSTO LIQUIDO TOTAL</t>
  </si>
  <si>
    <t>IRPJ</t>
  </si>
  <si>
    <t>CSLL</t>
  </si>
  <si>
    <t>ICMS
(FMPES+UEA)</t>
  </si>
  <si>
    <t>PIS</t>
  </si>
  <si>
    <t>COFINS</t>
  </si>
  <si>
    <t>DIFERENCA</t>
  </si>
  <si>
    <t>IPI</t>
  </si>
  <si>
    <t>ICMS</t>
  </si>
  <si>
    <t>Comissão</t>
  </si>
  <si>
    <t>Custos  Total</t>
  </si>
  <si>
    <t>R$ Lucro</t>
  </si>
  <si>
    <t>% Lucro Efetivo</t>
  </si>
  <si>
    <t>Galao</t>
  </si>
  <si>
    <t>Custo mês</t>
  </si>
  <si>
    <t>CUSTO TOTAL</t>
  </si>
  <si>
    <t>Custos  Diretos</t>
  </si>
  <si>
    <t>VS</t>
  </si>
  <si>
    <t>Latao</t>
  </si>
  <si>
    <t>Qtd hora mês</t>
  </si>
  <si>
    <t>PRECO PRATICADO</t>
  </si>
  <si>
    <t>Lata</t>
  </si>
  <si>
    <t xml:space="preserve">Operador </t>
  </si>
  <si>
    <t>Lider</t>
  </si>
  <si>
    <t>Logistica</t>
  </si>
  <si>
    <t>Latinha</t>
  </si>
  <si>
    <t>KWH</t>
  </si>
  <si>
    <t>C/ Hora</t>
  </si>
  <si>
    <t>PRD00001</t>
  </si>
  <si>
    <t>PRD00002</t>
  </si>
  <si>
    <t>PRD00003</t>
  </si>
  <si>
    <t>PRD00004</t>
  </si>
  <si>
    <t>PRD00005</t>
  </si>
  <si>
    <t>PRD00006</t>
  </si>
  <si>
    <t>PRD00007</t>
  </si>
  <si>
    <t>PRD00008</t>
  </si>
  <si>
    <t>PRD00009</t>
  </si>
  <si>
    <t>PRD00010</t>
  </si>
  <si>
    <t>PRD00011</t>
  </si>
  <si>
    <t>PRD00012</t>
  </si>
  <si>
    <t>PRD00013</t>
  </si>
  <si>
    <t>PRD00014</t>
  </si>
  <si>
    <t>PRD00015</t>
  </si>
  <si>
    <t>PRD00016</t>
  </si>
  <si>
    <t>PRD00017</t>
  </si>
  <si>
    <t>PRD00018</t>
  </si>
  <si>
    <t>PRD00019</t>
  </si>
  <si>
    <t>PRD00020</t>
  </si>
  <si>
    <t>PRD00021</t>
  </si>
  <si>
    <t>PRD00022</t>
  </si>
  <si>
    <t>PRD00023</t>
  </si>
  <si>
    <t>PRD00024</t>
  </si>
  <si>
    <t>PRD00025</t>
  </si>
  <si>
    <t>PRD00026</t>
  </si>
  <si>
    <t>PRD00027</t>
  </si>
  <si>
    <t>PRD00028</t>
  </si>
  <si>
    <t>PRD00029</t>
  </si>
  <si>
    <t>PRD00030</t>
  </si>
  <si>
    <t>PRD00031</t>
  </si>
  <si>
    <t>PRD00032</t>
  </si>
  <si>
    <t>PRD00033</t>
  </si>
  <si>
    <t>PRD00034</t>
  </si>
  <si>
    <t>PRD00035</t>
  </si>
  <si>
    <t>PRD00036</t>
  </si>
  <si>
    <t>PRD00037</t>
  </si>
  <si>
    <t>PRD00038</t>
  </si>
  <si>
    <t>PRD00039</t>
  </si>
  <si>
    <t>PRD00040</t>
  </si>
  <si>
    <t>PRD00041</t>
  </si>
  <si>
    <t>PRD00042</t>
  </si>
  <si>
    <t>PRD00043</t>
  </si>
  <si>
    <t>PRD00044</t>
  </si>
  <si>
    <t>PRD00045</t>
  </si>
  <si>
    <t>PRD00046</t>
  </si>
  <si>
    <t>PRD00047</t>
  </si>
  <si>
    <t>PRD00048</t>
  </si>
  <si>
    <t>PRD00049</t>
  </si>
  <si>
    <t>PRD00050</t>
  </si>
  <si>
    <t>PRD00051</t>
  </si>
  <si>
    <t>PRD00052</t>
  </si>
  <si>
    <t>PRD00053</t>
  </si>
  <si>
    <t>PRD00054</t>
  </si>
  <si>
    <t>PRD00055</t>
  </si>
  <si>
    <t>PRD00056</t>
  </si>
  <si>
    <t>PRD00057</t>
  </si>
  <si>
    <t>PRD00058</t>
  </si>
  <si>
    <t>PRD00059</t>
  </si>
  <si>
    <t>PRD00060</t>
  </si>
  <si>
    <t>PRD00061</t>
  </si>
  <si>
    <t>PRD00062</t>
  </si>
  <si>
    <t>PRD00063</t>
  </si>
  <si>
    <t>PRD00064</t>
  </si>
  <si>
    <t>PRD00065</t>
  </si>
  <si>
    <t>PRD00066</t>
  </si>
  <si>
    <t>PRD00067</t>
  </si>
  <si>
    <t>PRD00068</t>
  </si>
  <si>
    <t>PRD00069</t>
  </si>
  <si>
    <t>PRD00070</t>
  </si>
  <si>
    <t>PRD00071</t>
  </si>
  <si>
    <t>PRD00072</t>
  </si>
  <si>
    <t>PRD00073</t>
  </si>
  <si>
    <t>PRD00074</t>
  </si>
  <si>
    <t>PRD00075</t>
  </si>
  <si>
    <t>PRD00076</t>
  </si>
  <si>
    <t>PRD00077</t>
  </si>
  <si>
    <t>PRD00078</t>
  </si>
  <si>
    <t>PRD00079</t>
  </si>
  <si>
    <t>PRD00080</t>
  </si>
  <si>
    <t>PRD00081</t>
  </si>
  <si>
    <t>PRD00082</t>
  </si>
  <si>
    <t>PRD00083</t>
  </si>
  <si>
    <t>PRD00084</t>
  </si>
  <si>
    <t>PRD00085</t>
  </si>
  <si>
    <t>PRD00086</t>
  </si>
  <si>
    <t>PRD00087</t>
  </si>
  <si>
    <t>PRD00088</t>
  </si>
  <si>
    <t>PRD00089</t>
  </si>
  <si>
    <t>PRD00090</t>
  </si>
  <si>
    <t>PRD00091</t>
  </si>
  <si>
    <t>PRD00092</t>
  </si>
  <si>
    <t>PRD00093</t>
  </si>
  <si>
    <t>PRD00094</t>
  </si>
  <si>
    <t>PRD00095</t>
  </si>
  <si>
    <t>PRD00096</t>
  </si>
  <si>
    <t>PRD00097</t>
  </si>
  <si>
    <t>PRD00098</t>
  </si>
  <si>
    <t>PRD00099</t>
  </si>
  <si>
    <t>PRD00100</t>
  </si>
  <si>
    <t>PRD00101</t>
  </si>
  <si>
    <t>PRD00102</t>
  </si>
  <si>
    <t>PRD00103</t>
  </si>
  <si>
    <t>PRD00104</t>
  </si>
  <si>
    <t>PRD00105</t>
  </si>
  <si>
    <t>PRD00106</t>
  </si>
  <si>
    <t>PRD00107</t>
  </si>
  <si>
    <t>PRD00108</t>
  </si>
  <si>
    <t>PRD00109</t>
  </si>
  <si>
    <t>PRD00110</t>
  </si>
  <si>
    <t>PRD00111</t>
  </si>
  <si>
    <t>PRD00112</t>
  </si>
  <si>
    <t>PRD00113</t>
  </si>
  <si>
    <t>PRD00114</t>
  </si>
  <si>
    <t>PRD00115</t>
  </si>
  <si>
    <t>PRD00116</t>
  </si>
  <si>
    <t>PRD00117</t>
  </si>
  <si>
    <t>PRD00118</t>
  </si>
  <si>
    <t>PRD00119</t>
  </si>
  <si>
    <t>PRD00120</t>
  </si>
  <si>
    <t>PRD00121</t>
  </si>
  <si>
    <t>PRD00122</t>
  </si>
  <si>
    <t>PRD00123</t>
  </si>
  <si>
    <t>PRD00124</t>
  </si>
  <si>
    <t>PRD00125</t>
  </si>
  <si>
    <t>PRD00126</t>
  </si>
  <si>
    <t>PRD00127</t>
  </si>
  <si>
    <t>PRD00128</t>
  </si>
  <si>
    <t>PRD00129</t>
  </si>
  <si>
    <t>PRD00130</t>
  </si>
  <si>
    <t>PRD00131</t>
  </si>
  <si>
    <t>PRD00132</t>
  </si>
  <si>
    <t>PRD00133</t>
  </si>
  <si>
    <t>PRD00134</t>
  </si>
  <si>
    <t>PRD00135</t>
  </si>
  <si>
    <t>PRD00136</t>
  </si>
  <si>
    <t>PRD00137</t>
  </si>
  <si>
    <t>PRD00138</t>
  </si>
  <si>
    <t>PRD00139</t>
  </si>
  <si>
    <t>PRD00140</t>
  </si>
  <si>
    <t>PRD00141</t>
  </si>
  <si>
    <t>PRD00142</t>
  </si>
  <si>
    <t>PRD00143</t>
  </si>
  <si>
    <t>PRD00144</t>
  </si>
  <si>
    <t>PRD00145</t>
  </si>
  <si>
    <t>PRD00146</t>
  </si>
  <si>
    <t>PRD00147</t>
  </si>
  <si>
    <t>PRD00148</t>
  </si>
  <si>
    <t>PRD00149</t>
  </si>
  <si>
    <t>PRD00150</t>
  </si>
  <si>
    <t>PRD00151</t>
  </si>
  <si>
    <t>PRD00152</t>
  </si>
  <si>
    <t>PRD00153</t>
  </si>
  <si>
    <t>PRD00154</t>
  </si>
  <si>
    <t>PRD00155</t>
  </si>
  <si>
    <t>PRD00156</t>
  </si>
  <si>
    <t>PRD00157</t>
  </si>
  <si>
    <t>PRD00158</t>
  </si>
  <si>
    <t>PRD00159</t>
  </si>
  <si>
    <t>PRD00160</t>
  </si>
  <si>
    <t>PRD00161</t>
  </si>
  <si>
    <t>PRD00162</t>
  </si>
  <si>
    <t>PRD00163</t>
  </si>
  <si>
    <t>PRD00164</t>
  </si>
  <si>
    <t>PRD00165</t>
  </si>
  <si>
    <t>PRD00166</t>
  </si>
  <si>
    <t>PRD00167</t>
  </si>
  <si>
    <t>PRD00168</t>
  </si>
  <si>
    <t>PRD00169</t>
  </si>
  <si>
    <t>PRD00170</t>
  </si>
  <si>
    <t>PRD00171</t>
  </si>
  <si>
    <t>PRD00172</t>
  </si>
  <si>
    <t>PRD00173</t>
  </si>
  <si>
    <t>PRD00174</t>
  </si>
  <si>
    <t>PRD00175</t>
  </si>
  <si>
    <t>PRD00176</t>
  </si>
  <si>
    <t>PRD00177</t>
  </si>
  <si>
    <t>PRD00178</t>
  </si>
  <si>
    <t>PRD00179</t>
  </si>
  <si>
    <t>PRD00180</t>
  </si>
  <si>
    <t>PRD00181</t>
  </si>
  <si>
    <t>PRD00183</t>
  </si>
  <si>
    <t>PRD00184</t>
  </si>
  <si>
    <t>PRD00185</t>
  </si>
  <si>
    <t>PRD00186</t>
  </si>
  <si>
    <t>PRD00187</t>
  </si>
  <si>
    <t>PRD00188</t>
  </si>
  <si>
    <t>PRD00189</t>
  </si>
  <si>
    <t>PRD00190</t>
  </si>
  <si>
    <t>PRD00191</t>
  </si>
  <si>
    <t>PRD00192</t>
  </si>
  <si>
    <t>PRD00193</t>
  </si>
  <si>
    <t>PRD00194</t>
  </si>
  <si>
    <t>PRD00195</t>
  </si>
  <si>
    <t>PRD00196</t>
  </si>
  <si>
    <t>PRD00197</t>
  </si>
  <si>
    <t>PRD00198</t>
  </si>
  <si>
    <t>PRD00199</t>
  </si>
  <si>
    <t>PRD00200</t>
  </si>
  <si>
    <t>PRD00201</t>
  </si>
  <si>
    <t>PRD00202</t>
  </si>
  <si>
    <t>PRD00203</t>
  </si>
  <si>
    <t>PRD00204</t>
  </si>
  <si>
    <t>PRD00205</t>
  </si>
  <si>
    <t>PRD00206</t>
  </si>
  <si>
    <t>PRD00207</t>
  </si>
  <si>
    <t>PRD00208</t>
  </si>
  <si>
    <t>PRD00209</t>
  </si>
  <si>
    <t>PRD00210</t>
  </si>
  <si>
    <t>PRD00211</t>
  </si>
  <si>
    <t>PRD00212</t>
  </si>
  <si>
    <t>PRD00213</t>
  </si>
  <si>
    <t>PRD00214</t>
  </si>
  <si>
    <t>PRD00215</t>
  </si>
  <si>
    <t>PRD00216</t>
  </si>
  <si>
    <t>PRD00217</t>
  </si>
  <si>
    <t>PRD00218</t>
  </si>
  <si>
    <t>PRD00219</t>
  </si>
  <si>
    <t>PRD00220</t>
  </si>
  <si>
    <t>PRD00221</t>
  </si>
  <si>
    <t>PRD00222</t>
  </si>
  <si>
    <t>PRD00223</t>
  </si>
  <si>
    <t>PRD00224</t>
  </si>
  <si>
    <t>PRD00225</t>
  </si>
  <si>
    <t>PRD00226</t>
  </si>
  <si>
    <t>PRD00227</t>
  </si>
  <si>
    <t>PRD00228</t>
  </si>
  <si>
    <t>PRD00229</t>
  </si>
  <si>
    <t>PRD00230</t>
  </si>
  <si>
    <t>PRD00231</t>
  </si>
  <si>
    <t>PRD00232</t>
  </si>
  <si>
    <t>PRD00233</t>
  </si>
  <si>
    <t>PRD00234</t>
  </si>
  <si>
    <t>PRD00235</t>
  </si>
  <si>
    <t>PRD00237</t>
  </si>
  <si>
    <t>PRD00238</t>
  </si>
  <si>
    <t>PRD00239</t>
  </si>
  <si>
    <t>PRD00240</t>
  </si>
  <si>
    <t>PRD00241</t>
  </si>
  <si>
    <t>PRD00242</t>
  </si>
  <si>
    <t>PRD00243</t>
  </si>
  <si>
    <t>PRD00244</t>
  </si>
  <si>
    <t>PRD00245</t>
  </si>
  <si>
    <t>PRD00246</t>
  </si>
  <si>
    <t>PRD00247</t>
  </si>
  <si>
    <t>PRD00248</t>
  </si>
  <si>
    <t>PRD00249</t>
  </si>
  <si>
    <t>PRD00250</t>
  </si>
  <si>
    <t>PRD00251</t>
  </si>
  <si>
    <t>PRD00252</t>
  </si>
  <si>
    <t>PRD00253</t>
  </si>
  <si>
    <t>PRD00254</t>
  </si>
  <si>
    <t>PRD00255</t>
  </si>
  <si>
    <t>PRD00256</t>
  </si>
  <si>
    <t>PRD00257</t>
  </si>
  <si>
    <t>PRD00258</t>
  </si>
  <si>
    <t>PRD00259</t>
  </si>
  <si>
    <t>PRD00260</t>
  </si>
  <si>
    <t>PRD00261</t>
  </si>
  <si>
    <t>PRD00262</t>
  </si>
  <si>
    <t>PRD00263</t>
  </si>
  <si>
    <t>PRD00264</t>
  </si>
  <si>
    <t>PRD00265</t>
  </si>
  <si>
    <t>PRD00266</t>
  </si>
  <si>
    <t>PRD00267</t>
  </si>
  <si>
    <t>PRD00268</t>
  </si>
  <si>
    <t>PRD00269</t>
  </si>
  <si>
    <t>PRD00270</t>
  </si>
  <si>
    <t>PRD00271</t>
  </si>
  <si>
    <t>PRD00272</t>
  </si>
  <si>
    <t>PRD00273</t>
  </si>
  <si>
    <t>PRD00274</t>
  </si>
  <si>
    <t>PRD00275</t>
  </si>
  <si>
    <t>PRD00276</t>
  </si>
  <si>
    <t>PRD00277</t>
  </si>
  <si>
    <t>PRD00278</t>
  </si>
  <si>
    <t>PRD00279</t>
  </si>
  <si>
    <t>PRD00280</t>
  </si>
  <si>
    <t>PRD00281</t>
  </si>
  <si>
    <t>PRD00282</t>
  </si>
  <si>
    <t>PRD00283</t>
  </si>
  <si>
    <t>PRD00284</t>
  </si>
  <si>
    <t>PRD00285</t>
  </si>
  <si>
    <t>PRD00286</t>
  </si>
  <si>
    <t>PRD00287</t>
  </si>
  <si>
    <t>PRD00288</t>
  </si>
  <si>
    <t>PRD00289</t>
  </si>
  <si>
    <t>PRD00290</t>
  </si>
  <si>
    <t>PRD00291</t>
  </si>
  <si>
    <t>PRD00292</t>
  </si>
  <si>
    <t>PRD00293</t>
  </si>
  <si>
    <t>PRD00294</t>
  </si>
  <si>
    <t>PRD00295</t>
  </si>
  <si>
    <t>PRD00296</t>
  </si>
  <si>
    <t>PRD00297</t>
  </si>
  <si>
    <t>PRD00298</t>
  </si>
  <si>
    <t>PRD00299</t>
  </si>
  <si>
    <t>PRD00300</t>
  </si>
  <si>
    <t>PRD00301</t>
  </si>
  <si>
    <t>PRD00302</t>
  </si>
  <si>
    <t>PRD00303</t>
  </si>
  <si>
    <t>PRD00304</t>
  </si>
  <si>
    <t>PRD00305</t>
  </si>
  <si>
    <t>PRD00306</t>
  </si>
  <si>
    <t>PRD00307</t>
  </si>
  <si>
    <t>PRD00308</t>
  </si>
  <si>
    <t>PRD00309</t>
  </si>
  <si>
    <t>PRD00310</t>
  </si>
  <si>
    <t>PRD00311</t>
  </si>
  <si>
    <t>PRD00312</t>
  </si>
  <si>
    <t>PRD00313</t>
  </si>
  <si>
    <t>PRD00314</t>
  </si>
  <si>
    <t>PRD00315</t>
  </si>
  <si>
    <t>PRD00316</t>
  </si>
  <si>
    <t>PRD00317</t>
  </si>
  <si>
    <t>PRD00318</t>
  </si>
  <si>
    <t>PRD00319</t>
  </si>
  <si>
    <t>PRD00320</t>
  </si>
  <si>
    <t>PRD00321</t>
  </si>
  <si>
    <t>PRD00322</t>
  </si>
  <si>
    <t>PRD00323</t>
  </si>
  <si>
    <t>PRD00324</t>
  </si>
  <si>
    <t>PRD00325</t>
  </si>
  <si>
    <t>PRD00326</t>
  </si>
  <si>
    <t>PRD00327</t>
  </si>
  <si>
    <t>PRD00328</t>
  </si>
  <si>
    <t>PRD00329</t>
  </si>
  <si>
    <t>PRD00330</t>
  </si>
  <si>
    <t>PRD00331</t>
  </si>
  <si>
    <t>PRD00332</t>
  </si>
  <si>
    <t>PRD00333</t>
  </si>
  <si>
    <t>PRD00334</t>
  </si>
  <si>
    <t>PRD00335</t>
  </si>
  <si>
    <t>PRD00336</t>
  </si>
  <si>
    <t>PRD00337</t>
  </si>
  <si>
    <t>PRD00338</t>
  </si>
  <si>
    <t>PRD00339</t>
  </si>
  <si>
    <t>PRD00340</t>
  </si>
  <si>
    <t>PRD00341</t>
  </si>
  <si>
    <t>PRD00342</t>
  </si>
  <si>
    <t>PRD00343</t>
  </si>
  <si>
    <t>PRD00344</t>
  </si>
  <si>
    <t>PRD00345</t>
  </si>
  <si>
    <t>PRD00346</t>
  </si>
  <si>
    <t>PRD00347</t>
  </si>
  <si>
    <t>PRD00348</t>
  </si>
  <si>
    <t>PRD00349</t>
  </si>
  <si>
    <t>PRD00350</t>
  </si>
  <si>
    <t>PRD00351</t>
  </si>
  <si>
    <t>PRD00352</t>
  </si>
  <si>
    <t>PRD00353</t>
  </si>
  <si>
    <t>PRD00354</t>
  </si>
  <si>
    <t>PRD00355</t>
  </si>
  <si>
    <t>PRD00356</t>
  </si>
  <si>
    <t>PRD00357</t>
  </si>
  <si>
    <t>PRD00358</t>
  </si>
  <si>
    <t>PRD00359</t>
  </si>
  <si>
    <t>PRD00360</t>
  </si>
  <si>
    <t>PRD00361</t>
  </si>
  <si>
    <t>PRD00362</t>
  </si>
  <si>
    <t>PRD00363</t>
  </si>
  <si>
    <t>PRD00364</t>
  </si>
  <si>
    <t>PRD00365</t>
  </si>
  <si>
    <t>PRD00366</t>
  </si>
  <si>
    <t>PRD00367</t>
  </si>
  <si>
    <t>PRD00368</t>
  </si>
  <si>
    <t>PRD00369</t>
  </si>
  <si>
    <t>PRD00370</t>
  </si>
  <si>
    <t>PRD00371</t>
  </si>
  <si>
    <t>PRD00372</t>
  </si>
  <si>
    <t>PRD00373</t>
  </si>
  <si>
    <t>PRD00374</t>
  </si>
  <si>
    <t>PRD00375</t>
  </si>
  <si>
    <t>PRD00376</t>
  </si>
  <si>
    <t>PRD00377</t>
  </si>
  <si>
    <t>PRD00378</t>
  </si>
  <si>
    <t>PRD00379</t>
  </si>
  <si>
    <t>PRD00380</t>
  </si>
  <si>
    <t>PRD00381</t>
  </si>
  <si>
    <t>PRD00382</t>
  </si>
  <si>
    <t>PRD00383</t>
  </si>
  <si>
    <t>PRD00384</t>
  </si>
  <si>
    <t>PRD00385</t>
  </si>
  <si>
    <t>PRD00386</t>
  </si>
  <si>
    <t>PRD00387</t>
  </si>
  <si>
    <t>PRD00388</t>
  </si>
  <si>
    <t>PRD00389</t>
  </si>
  <si>
    <t>PRD00390</t>
  </si>
  <si>
    <t>PRD00391</t>
  </si>
  <si>
    <t>PRD00392</t>
  </si>
  <si>
    <t>PRD00393</t>
  </si>
  <si>
    <t>PRD00394</t>
  </si>
  <si>
    <t>PRD00395</t>
  </si>
  <si>
    <t>PRD00396</t>
  </si>
  <si>
    <t>PRD00397</t>
  </si>
  <si>
    <t>PRD00398</t>
  </si>
  <si>
    <t>PRD00399</t>
  </si>
  <si>
    <t>PRD00400</t>
  </si>
  <si>
    <t>PRD00401</t>
  </si>
  <si>
    <t>PRD00402</t>
  </si>
  <si>
    <t>PRD00403</t>
  </si>
  <si>
    <t>PRD00404</t>
  </si>
  <si>
    <t>PRD00405</t>
  </si>
  <si>
    <t>PRD00406</t>
  </si>
  <si>
    <t>PRD00407</t>
  </si>
  <si>
    <t>PRD00408</t>
  </si>
  <si>
    <t>PRD00409</t>
  </si>
  <si>
    <t>PRD00410</t>
  </si>
  <si>
    <t>PRD00411</t>
  </si>
  <si>
    <t>PRD00412</t>
  </si>
  <si>
    <t>PRD00413</t>
  </si>
  <si>
    <t>PRD00414</t>
  </si>
  <si>
    <t>PRD00415</t>
  </si>
  <si>
    <t>PRD00416</t>
  </si>
  <si>
    <t>PRD00417</t>
  </si>
  <si>
    <t>PRD00418</t>
  </si>
  <si>
    <t>PRD00419</t>
  </si>
  <si>
    <t>PRD00420</t>
  </si>
  <si>
    <t>PRD00421</t>
  </si>
  <si>
    <t>PRD00422</t>
  </si>
  <si>
    <t>PRD00423</t>
  </si>
  <si>
    <t>PRD00424</t>
  </si>
  <si>
    <t>TOTAL</t>
  </si>
  <si>
    <t>BRAZIMIL LÁTEX ECONÔMICO INT FOSCO 15L BRANCO NEVE</t>
  </si>
  <si>
    <t>Custo</t>
  </si>
  <si>
    <t>⚠️  CORREÇÃO METODOLÓGICA — Custeio Variável
MC Correta = PLV − CV (I+E+F)  |  PLV = Preço × (1 − Comissão − Imposto)
Comissão e Imposto são deduções do preço — NÃO fazem parte do custo variável do produto</t>
  </si>
  <si>
    <t>🟢 MC ≥ 35% = Saudável  |  🟡 MC 20–35% = Atenção  |  🔴 MC &lt; 20% = Crítico  |  ⬛ MC &lt; 0% = Prejuízo</t>
  </si>
  <si>
    <t>CÓDIGO</t>
  </si>
  <si>
    <t>DESCRIÇÃO</t>
  </si>
  <si>
    <t>GRUPO</t>
  </si>
  <si>
    <t>PROD. INTERM.</t>
  </si>
  <si>
    <t>ACABAMENTO</t>
  </si>
  <si>
    <t>COR</t>
  </si>
  <si>
    <t>EM PRODUÇÃO?</t>
  </si>
  <si>
    <t>EMBALAGEM</t>
  </si>
  <si>
    <t>MEDIDA</t>
  </si>
  <si>
    <t>FATOR CONV DENS</t>
  </si>
  <si>
    <t>Status Insumo</t>
  </si>
  <si>
    <t>Status Embalagem</t>
  </si>
  <si>
    <t>CUSTO INSUMOS
(I)</t>
  </si>
  <si>
    <t>CUSTO EMBAL.
(E)</t>
  </si>
  <si>
    <t>CUSTO
(I+E)
←</t>
  </si>
  <si>
    <t>FRETE
(F)</t>
  </si>
  <si>
    <t>(I+E+F+CP)
←</t>
  </si>
  <si>
    <t>COMISSÃO FINAL</t>
  </si>
  <si>
    <t>IMPOSTO FINAL</t>
  </si>
  <si>
    <t>CUSTO TT FINAL</t>
  </si>
  <si>
    <t>PREÇO FINAL</t>
  </si>
  <si>
    <t>MARGEM FINAL</t>
  </si>
  <si>
    <t>PREÇO MÍNIMO</t>
  </si>
  <si>
    <t>CUSTO VARIÁVEL
(método antigo)
[inclui comissão+imposto]</t>
  </si>
  <si>
    <t>MC UNITÁRIA
(método antigo)
[Preço − Custo TT]</t>
  </si>
  <si>
    <t>MC %
(método antigo)
[MC / Preço Bruto]</t>
  </si>
  <si>
    <t>CUSTOS FIXOS TOTAIS</t>
  </si>
  <si>
    <t>CV UNITÁRIO
CORRETO
(I+E+F apenas)</t>
  </si>
  <si>
    <t>PLV
(Preço Líq.
de Venda)</t>
  </si>
  <si>
    <t>MC UNITÁRIA
CORRETA
(PLV − CV)</t>
  </si>
  <si>
    <t>MC %
CORRETA
(MC/PLV)</t>
  </si>
  <si>
    <t>PREÇO
SUSTENTÁVEL
(cobre CF também)</t>
  </si>
  <si>
    <t>BRAZIMIL MASSA CORRIDA 4,0KG</t>
  </si>
  <si>
    <t>MASSA CORRIDA</t>
  </si>
  <si>
    <t>PI00001</t>
  </si>
  <si>
    <t>N/A</t>
  </si>
  <si>
    <t>SIM</t>
  </si>
  <si>
    <t>KG</t>
  </si>
  <si>
    <t>BRAZIMIL MASSA CORRIDA 20,0 KG</t>
  </si>
  <si>
    <t>BRAZIMIL SELADOR ACRILICO 3L</t>
  </si>
  <si>
    <t>SELADOR</t>
  </si>
  <si>
    <t>PI00002</t>
  </si>
  <si>
    <t>ACRÍLICO</t>
  </si>
  <si>
    <t>L</t>
  </si>
  <si>
    <t>BRAZIMIL SELADOR ACRILICO 15L</t>
  </si>
  <si>
    <t>BRAZIMIL SELADORA PARA MADEIRA 0,75L INCOLOR</t>
  </si>
  <si>
    <t>PARA MADEIRA</t>
  </si>
  <si>
    <t>INCOLOR</t>
  </si>
  <si>
    <t>NÃO</t>
  </si>
  <si>
    <t>BRAZIMIL SELADORA PARA MADEIRA 3L INCOLOR</t>
  </si>
  <si>
    <t>BRAZIMIL MASSA ACRÍLICA 4KG</t>
  </si>
  <si>
    <t>MASSA ACRÍLICA</t>
  </si>
  <si>
    <t>PI00004</t>
  </si>
  <si>
    <t>BRAZIMIL MASSA ACRÍLICA 20KG</t>
  </si>
  <si>
    <t>BRAZIMIL LÁTEX ECONÔMICO INT FOSCO 3L BRANCO NEVE</t>
  </si>
  <si>
    <t>LATEX</t>
  </si>
  <si>
    <t>PI00005</t>
  </si>
  <si>
    <t>FOSCO</t>
  </si>
  <si>
    <t>BRANCO NEVE</t>
  </si>
  <si>
    <t>BRAZIMIL LÁTEX ECONÔMICO INT FOSCO 3L BRANCO GELO</t>
  </si>
  <si>
    <t>PI00006</t>
  </si>
  <si>
    <t>BRANCO GELO</t>
  </si>
  <si>
    <t>BRAZIMIL LÁTEX ECONÔMICO INT FOSCO 3L AREIA</t>
  </si>
  <si>
    <t>PI00007</t>
  </si>
  <si>
    <t>AREIA</t>
  </si>
  <si>
    <t>BRAZIMIL LÁTEX ECONÔMICO INT FOSCO 3L PALHA</t>
  </si>
  <si>
    <t>PI00008</t>
  </si>
  <si>
    <t>PALHA</t>
  </si>
  <si>
    <t>BRAZIMIL LÁTEX ECONÔMICO INT FOSCO 3L VERDE PRIMAVERA</t>
  </si>
  <si>
    <t>PI00009</t>
  </si>
  <si>
    <t>VERDE PRIMAVERA</t>
  </si>
  <si>
    <t>BRAZIMIL LÁTEX ECONÔMICO INT FOSCO 3L VERDE FOLHA</t>
  </si>
  <si>
    <t>PI00010</t>
  </si>
  <si>
    <t>VERDE FOLHA</t>
  </si>
  <si>
    <t>BRAZIMIL LÁTEX ECONÔMICO INT FOSCO 3L AZUL CEU</t>
  </si>
  <si>
    <t>PI00011</t>
  </si>
  <si>
    <t>AZUL CEU</t>
  </si>
  <si>
    <t>BRAZIMIL LÁTEX ECONÔMICO INT FOSCO 3L AZUL OCEANO</t>
  </si>
  <si>
    <t>PI00012</t>
  </si>
  <si>
    <t>AZUL OCEANO</t>
  </si>
  <si>
    <t>BRAZIMIL LÁTEX ECONÔMICO INT FOSCO 3L AMARELO CANARIO</t>
  </si>
  <si>
    <t>PI00013</t>
  </si>
  <si>
    <t>AMARELO CANARIO</t>
  </si>
  <si>
    <t>BRAZIMIL LÁTEX ECONÔMICO INT FOSCO 3L CROMO SUAVE</t>
  </si>
  <si>
    <t>PI00014</t>
  </si>
  <si>
    <t>CROMO SUAVE</t>
  </si>
  <si>
    <t>BRAZIMIL LÁTEX ECONÔMICO INT FOSCO 3L ROSA BEBE</t>
  </si>
  <si>
    <t>PI00015</t>
  </si>
  <si>
    <t>ROSA BEBE</t>
  </si>
  <si>
    <t>BRAZIMIL LÁTEX ECONÔMICO INT FOSCO 3L MARFIM</t>
  </si>
  <si>
    <t>PI00016</t>
  </si>
  <si>
    <t>MARFIM</t>
  </si>
  <si>
    <t>BRAZIMIL LÁTEX ECONÔMICO INT FOSCO 3L AMARELO IPE</t>
  </si>
  <si>
    <t>PI00017</t>
  </si>
  <si>
    <t>AMARELO IPE</t>
  </si>
  <si>
    <t>BRAZIMIL LÁTEX ECONÔMICO INT FOSCO 3L DAMASCO</t>
  </si>
  <si>
    <t>PI00018</t>
  </si>
  <si>
    <t>DAMASCO</t>
  </si>
  <si>
    <t>BRAZIMIL LÁTEX ECONÔMICO INT FOSCO 3L PEROLA</t>
  </si>
  <si>
    <t>PI00019</t>
  </si>
  <si>
    <t>PEROLA</t>
  </si>
  <si>
    <t>BRAZIMIL LÁTEX ECONÔMICO INT/EXT SEMIBRILHO 3L BRANCO NEVE</t>
  </si>
  <si>
    <t>SEMIBRILHO</t>
  </si>
  <si>
    <t>BRAZIMIL LÁTEX ECONÔMICO INT/EXT SEMIBRILHO 3L BRANCO GELO</t>
  </si>
  <si>
    <t>BRAZIMIL LÁTEX ECONÔMICO INT/EXT SEMIBRILHO 3L AREIA</t>
  </si>
  <si>
    <t>BRAZIMIL LÁTEX ECONÔMICO INT/EXT SEMIBRILHO 3L PALHA</t>
  </si>
  <si>
    <t>BRAZIMIL LÁTEX ECONÔMICO INT/EXT SEMIBRILHO 3L VERDE PRIMAVERA</t>
  </si>
  <si>
    <t>BRAZIMIL LÁTEX ECONÔMICO INT/EXT SEMIBRILHO 3L VERDE FOLHA</t>
  </si>
  <si>
    <t>BRAZIMIL LÁTEX ECONÔMICO INT/EXT SEMIBRILHO 3L AZUL CEU</t>
  </si>
  <si>
    <t>BRAZIMIL LÁTEX ECONÔMICO INT/EXT SEMIBRILHO 3L AZUL OCEANO</t>
  </si>
  <si>
    <t>BRAZIMIL LÁTEX ECONÔMICO INT/EXT SEMIBRILHO 3L AMARELO CANARIO</t>
  </si>
  <si>
    <t>BRAZIMIL LÁTEX ECONÔMICO INT/EXT SEMIBRILHO 3L CROMO SUAVE</t>
  </si>
  <si>
    <t>BRAZIMIL LÁTEX ECONÔMICO INT/EXT SEMIBRILHO 3L ROSA BEBE</t>
  </si>
  <si>
    <t>BRAZIMIL LÁTEX ECONÔMICO INT/EXT SEMIBRILHO 3L MARFIM</t>
  </si>
  <si>
    <t>BRAZIMIL LÁTEX ECONÔMICO INT/EXT SEMIBRILHO 3L AMARELO IPE</t>
  </si>
  <si>
    <t>BRAZIMIL LÁTEX ECONÔMICO INT/EXT SEMIBRILHO 3L DAMASCO</t>
  </si>
  <si>
    <t>BRAZIMIL LÁTEX ECONÔMICO INT/EXT SEMIBRILHO 3L PEROLA</t>
  </si>
  <si>
    <t>BRAZIMIL LÁTEX ECONÔMICO INT FOSCO 15L BRANCO GELO</t>
  </si>
  <si>
    <t>BRAZIMIL LÁTEX ECONÔMICO INT FOSCO 15L AREIA</t>
  </si>
  <si>
    <t>BRAZIMIL LÁTEX ECONÔMICO INT FOSCO 15L PALHA</t>
  </si>
  <si>
    <t>BRAZIMIL LÁTEX ECONÔMICO INT FOSCO 15L VERDE PRIMAVERA</t>
  </si>
  <si>
    <t>BRAZIMIL LÁTEX ECONÔMICO INT FOSCO 15L VERDE FOLHA</t>
  </si>
  <si>
    <t>BRAZIMIL LÁTEX ECONÔMICO INT FOSCO 15L AZUL CEU</t>
  </si>
  <si>
    <t>BRAZIMIL LÁTEX ECONÔMICO INT FOSCO 15L AZUL OCEANO</t>
  </si>
  <si>
    <t>BRAZIMIL LÁTEX ECONÔMICO INT FOSCO 15L AMARELO CANARIO</t>
  </si>
  <si>
    <t>BRAZIMIL LÁTEX ECONÔMICO INT FOSCO 15L CROMO SUAVE</t>
  </si>
  <si>
    <t>BRAZIMIL LÁTEX ECONÔMICO INT FOSCO 15L ROSA BEBE</t>
  </si>
  <si>
    <t>BRAZIMIL LÁTEX ECONÔMICO INT FOSCO 15L MARFIM</t>
  </si>
  <si>
    <t>BRAZIMIL LÁTEX ECONÔMICO INT FOSCO 15L AMARELO IPE</t>
  </si>
  <si>
    <t>BRAZIMIL LÁTEX ECONÔMICO INT FOSCO 15L DAMASCO</t>
  </si>
  <si>
    <t>BRAZIMIL LÁTEX ECONÔMICO INT FOSCO 15L PEROLA</t>
  </si>
  <si>
    <t>BRAZIMIL LÁTEX ECONÔMICO INT/EXT SEMIBRILHO 15L BRANCO NEVE</t>
  </si>
  <si>
    <t>BRAZIMIL LÁTEX ECONÔMICO INT/EXT SEMIBRILHO 15L BRANCO GELO</t>
  </si>
  <si>
    <t>BRAZIMIL LÁTEX ECONÔMICO INT/EXT SEMIBRILHO 15L AREIA</t>
  </si>
  <si>
    <t>BRAZIMIL LÁTEX ECONÔMICO INT/EXT SEMIBRILHO 15L PALHA</t>
  </si>
  <si>
    <t>BRAZIMIL LÁTEX ECONÔMICO INT/EXT SEMIBRILHO 15L VERDE PRIMAVERA</t>
  </si>
  <si>
    <t>BRAZIMIL LÁTEX ECONÔMICO INT/EXT SEMIBRILHO 15L VERDE FOLHA</t>
  </si>
  <si>
    <t>BRAZIMIL LÁTEX ECONÔMICO INT/EXT SEMIBRILHO 15L AZUL CEU</t>
  </si>
  <si>
    <t>BRAZIMIL LÁTEX ECONÔMICO INT/EXT SEMIBRILHO 15L AZUL OCEANO</t>
  </si>
  <si>
    <t>BRAZIMIL LÁTEX ECONÔMICO INT/EXT SEMIBRILHO 15L AMARELO CANARIO</t>
  </si>
  <si>
    <t>BRAZIMIL LÁTEX ECONÔMICO INT/EXT SEMIBRILHO 15L CROMO SUAVE</t>
  </si>
  <si>
    <t>BRAZIMIL LÁTEX ECONÔMICO INT/EXT SEMIBRILHO 15L ROSA BEBE</t>
  </si>
  <si>
    <t>BRAZIMIL LÁTEX ECONÔMICO INT/EXT SEMIBRILHO 15L MARFIM</t>
  </si>
  <si>
    <t>BRAZIMIL LÁTEX ECONÔMICO INT/EXT SEMIBRILHO 15L AMARELO IPE</t>
  </si>
  <si>
    <t>BRAZIMIL LÁTEX ECONÔMICO INT/EXT SEMIBRILHO 15L DAMASCO</t>
  </si>
  <si>
    <t>BRAZIMIL LÁTEX ECONÔMICO INT/EXT SEMIBRILHO 15L PEROLA</t>
  </si>
  <si>
    <t>BRAZIMIL LÁTEX STANDARD INT/EXT FOSCO 3L BRANCO NEVE</t>
  </si>
  <si>
    <t>PI00035</t>
  </si>
  <si>
    <t>BRAZIMIL LÁTEX STANDARD INT/EXT FOSCO 3L BRANCO GELO</t>
  </si>
  <si>
    <t>PI00036</t>
  </si>
  <si>
    <t>BRAZIMIL LÁTEX STANDARD INT/EXT FOSCO 3L FLAMINGO</t>
  </si>
  <si>
    <t>PI00037</t>
  </si>
  <si>
    <t>FLAMINGO</t>
  </si>
  <si>
    <t>BRAZIMIL LÁTEX STANDARD INT/EXT FOSCO 3L AREIA</t>
  </si>
  <si>
    <t>PI00038</t>
  </si>
  <si>
    <t>BRAZIMIL LÁTEX STANDARD INT/EXT FOSCO 3L MARFIM</t>
  </si>
  <si>
    <t>PI00039</t>
  </si>
  <si>
    <t>BRAZIMIL LÁTEX STANDARD INT/EXT FOSCO 3L ROSA PETALA</t>
  </si>
  <si>
    <t>PI00040</t>
  </si>
  <si>
    <t>ROSA PETALA</t>
  </si>
  <si>
    <t>BRAZIMIL LÁTEX STANDARD INT/EXT FOSCO 3L ACAI AMAZONICO</t>
  </si>
  <si>
    <t>PI00041</t>
  </si>
  <si>
    <t>ACAI AMAZONICO</t>
  </si>
  <si>
    <t>BRAZIMIL LÁTEX STANDARD INT/EXT FOSCO 3L VERDE FOLHA</t>
  </si>
  <si>
    <t>PI00042</t>
  </si>
  <si>
    <t>BRAZIMIL LÁTEX STANDARD INT/EXT FOSCO 3L LARANJA</t>
  </si>
  <si>
    <t>PI00043</t>
  </si>
  <si>
    <t>LARANJA</t>
  </si>
  <si>
    <t>BRAZIMIL LÁTEX STANDARD INT/EXT FOSCO 3L AZUL CARIBE</t>
  </si>
  <si>
    <t>PI00044</t>
  </si>
  <si>
    <t>AZUL CARIBE</t>
  </si>
  <si>
    <t>BRAZIMIL LÁTEX STANDARD INT/EXT FOSCO 3L VERDE LIMA</t>
  </si>
  <si>
    <t>PI00045</t>
  </si>
  <si>
    <t>VERDE LIMA</t>
  </si>
  <si>
    <t>BRAZIMIL LÁTEX STANDARD INT/EXT FOSCO 3L PEROLA</t>
  </si>
  <si>
    <t>PI00046</t>
  </si>
  <si>
    <t>BRAZIMIL LÁTEX STANDARD INT/EXT FOSCO 3L AZUL INTENSO</t>
  </si>
  <si>
    <t>PI00047</t>
  </si>
  <si>
    <t>AZUL INTENSO</t>
  </si>
  <si>
    <t>BRAZIMIL LÁTEX STANDARD INT/EXT FOSCO 3L LILAS</t>
  </si>
  <si>
    <t>PI00048</t>
  </si>
  <si>
    <t>LILAS</t>
  </si>
  <si>
    <t>BRAZIMIL LÁTEX STANDARD INT/EXT FOSCO 3L VERMELHO GARANTIDO</t>
  </si>
  <si>
    <t>PI00049</t>
  </si>
  <si>
    <t>VERMELHO GARANTIDO</t>
  </si>
  <si>
    <t>BRAZIMIL LÁTEX STANDARD INT/EXT FOSCO 3L AZUL CAPRICHOSO</t>
  </si>
  <si>
    <t>PI00050</t>
  </si>
  <si>
    <t>AZUL CAPRICHOSO</t>
  </si>
  <si>
    <t>BRAZIMIL LÁTEX STANDARD INT/EXT FOSCO 3L CINZA MEDIO</t>
  </si>
  <si>
    <t>PI00051</t>
  </si>
  <si>
    <t>CINZA MEDIO</t>
  </si>
  <si>
    <t>BRAZIMIL LÁTEX STANDARD INT/EXT FOSCO 3L CINZA INTENSO</t>
  </si>
  <si>
    <t>PI00052</t>
  </si>
  <si>
    <t>CINZA INTENSO</t>
  </si>
  <si>
    <t>BRAZIMIL LÁTEX STANDARD INT/EXT SEMIBRILHO 3L BRANCO NEVE</t>
  </si>
  <si>
    <t>PI00053</t>
  </si>
  <si>
    <t>BRANCO</t>
  </si>
  <si>
    <t>BRAZIMIL LÁTEX STANDARD INT/EXT SEMIBRILHO 3L BRANCO GELO</t>
  </si>
  <si>
    <t>PI00054</t>
  </si>
  <si>
    <t>BRAZIMIL LÁTEX STANDARD INT/EXT SEMIBRILHO 3L FLAMINGO</t>
  </si>
  <si>
    <t>PI00055</t>
  </si>
  <si>
    <t>BRAZIMIL LÁTEX STANDARD INT/EXT SEMIBRILHO 3L AREIA</t>
  </si>
  <si>
    <t>PI00056</t>
  </si>
  <si>
    <t>BRAZIMIL LÁTEX STANDARD INT/EXT SEMIBRILHO 3L MARFIM</t>
  </si>
  <si>
    <t>PI00057</t>
  </si>
  <si>
    <t>BRAZIMIL LÁTEX STANDARD INT/EXT SEMIBRILHO 3L ROSA PETALA</t>
  </si>
  <si>
    <t>PI00058</t>
  </si>
  <si>
    <t>BRAZIMIL LÁTEX STANDARD INT/EXT SEMIBRILHO 3L ACAI AMAZONICO</t>
  </si>
  <si>
    <t>PI00059</t>
  </si>
  <si>
    <t>BRAZIMIL LÁTEX STANDARD INT/EXT SEMIBRILHO 3L VERDE FOLHA</t>
  </si>
  <si>
    <t>PI00060</t>
  </si>
  <si>
    <t>BRAZIMIL LÁTEX STANDARD INT/EXT SEMIBRILHO 3L LARANJA</t>
  </si>
  <si>
    <t>PI00061</t>
  </si>
  <si>
    <t>BRAZIMIL LÁTEX STANDARD INT/EXT SEMIBRILHO 3L AZUL CARIBE</t>
  </si>
  <si>
    <t>PI00062</t>
  </si>
  <si>
    <t>BRAZIMIL LÁTEX STANDARD INT/EXT SEMIBRILHO 3L VERDE LIMA</t>
  </si>
  <si>
    <t>PI00063</t>
  </si>
  <si>
    <t>BRAZIMIL LÁTEX STANDARD INT/EXT SEMIBRILHO 3L PEROLA</t>
  </si>
  <si>
    <t>PI00064</t>
  </si>
  <si>
    <t>BRAZIMIL LÁTEX STANDARD INT/EXT SEMIBRILHO 3L AZUL INTENSO</t>
  </si>
  <si>
    <t>PI00065</t>
  </si>
  <si>
    <t>BRAZIMIL LÁTEX STANDARD INT/EXT SEMIBRILHO 3L LILAS</t>
  </si>
  <si>
    <t>PI00066</t>
  </si>
  <si>
    <t>BRAZIMIL LÁTEX STANDARD INT/EXT SEMIBRILHO 3L VERMELHO GARANTIDO</t>
  </si>
  <si>
    <t>PI00067</t>
  </si>
  <si>
    <t>BRAZIMIL LÁTEX STANDARD INT/EXT SEMIBRILHO 3L AZUL CAPRICHOSO</t>
  </si>
  <si>
    <t>PI00068</t>
  </si>
  <si>
    <t>BRAZIMIL LÁTEX STANDARD INT/EXT SEMIBRILHO 3L CINZA MEDIO</t>
  </si>
  <si>
    <t>PI00069</t>
  </si>
  <si>
    <t>BRAZIMIL LÁTEX STANDARD INT/EXT SEMIBRILHO 3L CINZA INTENSO</t>
  </si>
  <si>
    <t>PI00070</t>
  </si>
  <si>
    <t>BRAZIMIL LÁTEX STANDARD INT/EXT FOSCO 15L BRANCO NEVE</t>
  </si>
  <si>
    <t>BRAZIMIL LÁTEX STANDARD INT/EXT FOSCO 15L BRANCO GELO</t>
  </si>
  <si>
    <t>BRAZIMIL LÁTEX STANDARD INT/EXT FOSCO 15L FLAMINGO</t>
  </si>
  <si>
    <t>BRAZIMIL LÁTEX STANDARD INT/EXT FOSCO 15L AREIA</t>
  </si>
  <si>
    <t>BRAZIMIL LÁTEX STANDARD INT/EXT FOSCO 15L MARFIM</t>
  </si>
  <si>
    <t>BRAZIMIL LÁTEX STANDARD INT/EXT FOSCO 15L ROSA PETALA</t>
  </si>
  <si>
    <t>BRAZIMIL LÁTEX STANDARD INT/EXT FOSCO 15L ACAI AMAZONICO</t>
  </si>
  <si>
    <t>BRAZIMIL LÁTEX STANDARD INT/EXT FOSCO 15L VERDE FOLHA</t>
  </si>
  <si>
    <t>BRAZIMIL LÁTEX STANDARD INT/EXT FOSCO 15L LARANJA</t>
  </si>
  <si>
    <t>BRAZIMIL LÁTEX STANDARD INT/EXT FOSCO 15L AZUL CARIBE</t>
  </si>
  <si>
    <t>BRAZIMIL LÁTEX STANDARD INT/EXT FOSCO 15L VERDE LIMA</t>
  </si>
  <si>
    <t>BRAZIMIL LÁTEX STANDARD INT/EXT FOSCO 15L PEROLA</t>
  </si>
  <si>
    <t>BRAZIMIL LÁTEX STANDARD INT/EXT FOSCO 15L AZUL INTENSO</t>
  </si>
  <si>
    <t>BRAZIMIL LÁTEX STANDARD INT/EXT FOSCO 15L LILAS</t>
  </si>
  <si>
    <t>BRAZIMIL LÁTEX STANDARD INT/EXT FOSCO 15L VERMELHO GARANTIDO</t>
  </si>
  <si>
    <t>BRAZIMIL LÁTEX STANDARD INT/EXT FOSCO 15L AZUL CAPRICHOSO</t>
  </si>
  <si>
    <t>BRAZIMIL LÁTEX STANDARD INT/EXT FOSCO 15L CINZA MEDIO</t>
  </si>
  <si>
    <t>BRAZIMIL LÁTEX STANDARD INT/EXT FOSCO 15L CINZA INTENSO</t>
  </si>
  <si>
    <t>BRAZIMIL LÁTEX STANDARD INT/EXT SEMIBRILHO 15L BRANCO NEVE</t>
  </si>
  <si>
    <t>BRAZIMIL LÁTEX STANDARD INT/EXT SEMIBRILHO 15L BRANCO GELO</t>
  </si>
  <si>
    <t>BRAZIMIL LÁTEX STANDARD INT/EXT SEMIBRILHO 15L FLAMINGO</t>
  </si>
  <si>
    <t>BRAZIMIL LÁTEX STANDARD INT/EXT SEMIBRILHO 15L AREIA</t>
  </si>
  <si>
    <t>BRAZIMIL LÁTEX STANDARD INT/EXT SEMIBRILHO 15L MARFIM</t>
  </si>
  <si>
    <t>BRAZIMIL LÁTEX STANDARD INT/EXT SEMIBRILHO 15L ROSA PETALA</t>
  </si>
  <si>
    <t>BRAZIMIL LÁTEX STANDARD INT/EXT SEMIBRILHO 15L ACAI AMAZONICO</t>
  </si>
  <si>
    <t>BRAZIMIL LÁTEX STANDARD INT/EXT SEMIBRILHO 15L VERDE FOLHA</t>
  </si>
  <si>
    <t>BRAZIMIL LÁTEX STANDARD INT/EXT SEMIBRILHO 15L LARANJA</t>
  </si>
  <si>
    <t>BRAZIMIL LÁTEX STANDARD INT/EXT SEMIBRILHO 15L AZUL CARIBE</t>
  </si>
  <si>
    <t>BRAZIMIL LÁTEX STANDARD INT/EXT SEMIBRILHO 15L VERDE LIMA</t>
  </si>
  <si>
    <t>BRAZIMIL LÁTEX STANDARD INT/EXT SEMIBRILHO 15L PEROLA</t>
  </si>
  <si>
    <t>BRAZIMIL LÁTEX STANDARD INT/EXT SEMIBRILHO 15L AZUL INTENSO</t>
  </si>
  <si>
    <t>BRAZIMIL LÁTEX STANDARD INT/EXT SEMIBRILHO 15L LILAS</t>
  </si>
  <si>
    <t>BRAZIMIL LÁTEX STANDARD INT/EXT SEMIBRILHO 15L VERMELHO GARANTIDO</t>
  </si>
  <si>
    <t>BRAZIMIL LÁTEX STANDARD INT/EXT SEMIBRILHO 15L AZUL CAPRICHOSO</t>
  </si>
  <si>
    <t>BRAZIMIL LÁTEX STANDARD INT/EXT SEMIBRILHO 15L CINZA MEDIO</t>
  </si>
  <si>
    <t>BRAZIMIL LÁTEX STANDARD INT/EXT SEMIBRILHO 15L CINZA INTENSO</t>
  </si>
  <si>
    <t>BRAZIMIL TINTA ACRILICA PREM INT/EXT FOSCO 3L BRANCO</t>
  </si>
  <si>
    <t>TINTA ACRÍLICA</t>
  </si>
  <si>
    <t>BRAZIMIL TINTA ACRILICA PREM INT/EXT FOSCO 3L BRANCO GELO</t>
  </si>
  <si>
    <t>TINTA</t>
  </si>
  <si>
    <t>BRAZIMIL TINTA ACRILICA PREM INT/EXT FOSCO 3L DIMANTE</t>
  </si>
  <si>
    <t>DIMANTE</t>
  </si>
  <si>
    <t>BRAZIMIL TINTA ACRILICA PREM INT/EXT FOSCO 3L CINZA PLATINA</t>
  </si>
  <si>
    <t>CINZA PLATINA</t>
  </si>
  <si>
    <t>BRAZIMIL TINTA ACRILICA PREM INT/EXT FOSCO 3L CINZA INTENSO</t>
  </si>
  <si>
    <t>BRAZIMIL TINTA ACRILICA PREM INT/EXT FOSCO 3L EGIPCIO</t>
  </si>
  <si>
    <t>EGIPCIO</t>
  </si>
  <si>
    <t>BRAZIMIL TINTA ACRILICA PREM INT/EXT FOSCO 3L MARROM GRADIENTE</t>
  </si>
  <si>
    <t>MARROM GRADIENTE</t>
  </si>
  <si>
    <t>BRAZIMIL TINTA ACRILICA PREM INT/EXT FOSCO 3L AVELA</t>
  </si>
  <si>
    <t>AVELA</t>
  </si>
  <si>
    <t>BRAZIMIL TINTA ACRILICA PREM INT/EXT FOSCO 3L CARAMELO</t>
  </si>
  <si>
    <t>CARAMELO</t>
  </si>
  <si>
    <t>BRAZIMIL TINTA ACRILICA PREM INT/EXT FOSCO 3L CAFÉ</t>
  </si>
  <si>
    <t>CAFÉ</t>
  </si>
  <si>
    <t>BRAZIMIL TINTA ACRILICA PREM INT/EXT FOSCO 3L NUDE</t>
  </si>
  <si>
    <t>NUDE</t>
  </si>
  <si>
    <t>BRAZIMIL TINTA ACRILICA PREM INT/EXT FOSCO 3L MARFIM REAL</t>
  </si>
  <si>
    <t>MARFIM REAL</t>
  </si>
  <si>
    <t>BRAZIMIL TINTA ACRILICA PREM INT/EXT FOSCO 3L CAMURCA</t>
  </si>
  <si>
    <t>CAMURCA</t>
  </si>
  <si>
    <t>BRAZIMIL TINTA ACRILICA PREM INT/EXT FOSCO 3L AZUL ANIL</t>
  </si>
  <si>
    <t>AZUL ANIL</t>
  </si>
  <si>
    <t>BRAZIMIL TINTA ACRILICA PREM INT/EXT FOSCO 3L CARDINAL</t>
  </si>
  <si>
    <t>CARDINAL</t>
  </si>
  <si>
    <t>BRAZIMIL TINTA ACRILICA PREM INT/EXT FOSCO 3L PRAIA</t>
  </si>
  <si>
    <t>PRAIA</t>
  </si>
  <si>
    <t>BRAZIMIL TINTA ACRILICA PREM INT/EXT FOSCO 3L AMARELO SOL</t>
  </si>
  <si>
    <t>AMARELO SOL</t>
  </si>
  <si>
    <t>BRAZIMIL TINTA ACRILICA PREM INT/EXT FOSCO 3L JASMIM AMARELO</t>
  </si>
  <si>
    <t>JASMIM AMARELO</t>
  </si>
  <si>
    <t>BRAZIMIL TINTA ACRILICA PREM INT/EXT SEMIBRILHO 3L CINZA INTENSO</t>
  </si>
  <si>
    <t>BRAZIMIL TINTA ACRILICA PREM INT/EXT SEMIBRILHO 3L BRANCO</t>
  </si>
  <si>
    <t>BRAZIMIL TINTA ACRILICA PREM INT/EXT SEMIBRILHO 3L BRANCO GELO</t>
  </si>
  <si>
    <t>BRAZIMIL TINTA ACRILICA PREM INT/EXT  SEMIBRILHO 3L DIMANTE</t>
  </si>
  <si>
    <t>BRAZIMIL TINTA ACRILICA PREM INT/EXT SEMIBRILHO 3L CINZA PLATINA</t>
  </si>
  <si>
    <t>BRAZIMIL TINTA ACRILICA PREM INT/EXT  SEMIBRILHO 3L CINZA INTENSO</t>
  </si>
  <si>
    <t>BRAZIMIL TINTA ACRILICA PREM INT/EXT SEMIBRILHO 3L EGIPCIO</t>
  </si>
  <si>
    <t>BRAZIMIL TINTA ACRILICA PREM INT/EXT SEMIBRILHO 3L MARROM GRADIENTE</t>
  </si>
  <si>
    <t>BRAZIMIL TINTA ACRILICA PREM INT/EXT SEMIBRILHO 3L AVELA</t>
  </si>
  <si>
    <t>BRAZIMIL TINTA ACRILICA PREM INT/EXT SEMIBRILHO 3L CARAMELO</t>
  </si>
  <si>
    <t>BRAZIMIL TINTA ACRILICA PREM INT/EXT SEMIBRILHO 3L CAFÉ</t>
  </si>
  <si>
    <t>BRAZIMIL TINTA ACRILICA PREM INT/EXT SEMIBRILHO 3L NUDE</t>
  </si>
  <si>
    <t>BRAZIMIL TINTA ACRILICA PREM INT/EXT  SEMIBRILHO 3L MARFIM REAL</t>
  </si>
  <si>
    <t>BRAZIMIL TINTA ACRILICA PREM INT/EXT SEMIBRILHO 3L CAMURCA</t>
  </si>
  <si>
    <t>BRAZIMIL TINTA ACRILICA PREM INT/EXT SEMIBRILHO 3L AZUL ANIL</t>
  </si>
  <si>
    <t>BRAZIMIL TINTA ACRILICA PREM INT/EXT  SEMIBRILHO 3L CARDINAL</t>
  </si>
  <si>
    <t>BRAZIMIL TINTA ACRILICA PREM INT/EXT SEMIBRILHO 3L PRAIA</t>
  </si>
  <si>
    <t>BRAZIMIL TINTA ACRILICA PREM INT/EXT SEMIBRILHO 3L AMARELO SOL</t>
  </si>
  <si>
    <t>BRAZIMIL TINTA ACRILICA PREM INT/EXT ACET 3L CINZA INTENSO</t>
  </si>
  <si>
    <t>ACRÍLICO/ACET</t>
  </si>
  <si>
    <t>BRAZIMIL TINTA ACRILICA PREM INT/EXT ACET 3L BRANCO</t>
  </si>
  <si>
    <t>BRAZIMIL TINTA ACRILICA PREM INT/EXT ACET 3L BRANCO GELO</t>
  </si>
  <si>
    <t>BRAZIMIL TINTA ACRILICA PREM INT/EXT ACET 3L DIMANTE</t>
  </si>
  <si>
    <t>BRAZIMIL TINTA ACRILICA PREM INT/EXT ACET 3L CINZA PLATINA</t>
  </si>
  <si>
    <t>BRAZIMIL TINTA ACRILICA PREM INT/EXT ACET 3L EGIPCIO</t>
  </si>
  <si>
    <t>BRAZIMIL TINTA ACRILICA PREM INT/EXT  ACET 3L MARROM GRADIENTE</t>
  </si>
  <si>
    <t>BRAZIMIL TINTA ACRILICA PREM INT/EXT  ACET 3L AVELA</t>
  </si>
  <si>
    <t>BRAZIMIL TINTA ACRILICA PREM INT/EXT ACET 3L CARAMELO</t>
  </si>
  <si>
    <t>BRAZIMIL TINTA ACRILICA PREM INT/EXT ACET 3L CAFÉ</t>
  </si>
  <si>
    <t>BRAZIMIL TINTA ACRILICA PREM INT/EXT ACET 3L NUDE</t>
  </si>
  <si>
    <t>BRAZIMIL TINTA ACRILICA PREM INT/EXT ACET 3L MARFIM REAL</t>
  </si>
  <si>
    <t>ACETINADO</t>
  </si>
  <si>
    <t>BRAZIMIL TINTA ACRILICA PREM INT/EXT ACET 3L CAMURCA</t>
  </si>
  <si>
    <t>BRAZIMIL TINTA ACRILICA PREM INT/EXT ACET 3L AZUL ANIL</t>
  </si>
  <si>
    <t>BRAZIMIL TINTA ACRILICA PREM INT/EXT ACET 3L CARDINAL</t>
  </si>
  <si>
    <t>BRAZIMIL TINTA ACRILICA PREM INT/EXT  ACET 3L PRAIA</t>
  </si>
  <si>
    <t>BRAZIMIL TINTA ACRILICA PREM INT/EXT ACET 3L AMARELO SOL</t>
  </si>
  <si>
    <t>BRAZIMIL TINTA ACRILICA PREM INT/EXT  FOSCO 15L BRANCO</t>
  </si>
  <si>
    <t>BRAZIMIL TINTA ACRILICA PREM INT/EXT  FOSCO 15L BRANCO GELO</t>
  </si>
  <si>
    <t>BRAZIMIL TINTA ACRILICA PREM INT/EXT FOSCO 15L DIMANTE</t>
  </si>
  <si>
    <t>BRAZIMIL TINTA ACRILICA PREM INT/EXT  FOSCO 15L CINZA PLATINA</t>
  </si>
  <si>
    <t>BRAZIMIL TINTA ACRILICA PREM INT/EXT FOSCO 15L CINZA INTENSO</t>
  </si>
  <si>
    <t>BRAZIMIL TINTA ACRILICA PREM INT/EXT  FOSCO 15L EGIPCIO</t>
  </si>
  <si>
    <t>BRAZIMIL TINTA ACRILICA PREM INT/EXT  FOSCO 15L MARROM GRADIENTE</t>
  </si>
  <si>
    <t>BRAZIMIL TINTA ACRILICA PREM INT/EXT  FOSCO 15L AVELA</t>
  </si>
  <si>
    <t>BRAZIMIL TINTA ACRILICA PREM INT/EXT FOSCO 15L CARAMELO</t>
  </si>
  <si>
    <t>BRAZIMIL TINTA ACRILICA PREM INT/EXT FOSCO 15L CAFÉ</t>
  </si>
  <si>
    <t>BRAZIMIL TINTA ACRILICA PREM INT/EXT  FOSCO 15L NUDE</t>
  </si>
  <si>
    <t>BRAZIMIL TINTA ACRILICA PREM INT/EXT FOSCO 15L MARFIM REAL</t>
  </si>
  <si>
    <t>BRAZIMIL TINTA ACRILICA PREM INT/EXT  FOSCO 15L CAMURCA</t>
  </si>
  <si>
    <t>BRAZIMIL TINTA ACRILICA PREM INT/EXT  FOSCO 15L AZUL ANIL</t>
  </si>
  <si>
    <t>BRAZIMIL TINTA ACRILICA PREM INT/EXT  FOSCO 15L CARDINAL</t>
  </si>
  <si>
    <t>BRAZIMIL TINTA ACRILICA PREM INT/EXT  FOSCO 15L PRAIA</t>
  </si>
  <si>
    <t>BRAZIMIL TINTA ACRILICA PREM INT/EXT  FOSCO 15L AMARELO SOL</t>
  </si>
  <si>
    <t>BRAZIMIL TINTA ACRILICA PREM INT/EXT  FOSCO 15L JASMIM AMARELO</t>
  </si>
  <si>
    <t>BRAZIMIL TINTA ACRILICA PREM INT/EXT  SEMIBRILHO 15L CINZA INTENSO</t>
  </si>
  <si>
    <t>BRAZIMIL TINTA ACRILICA PREM INT/EXT SEMIBRILHO 15L BRANCO</t>
  </si>
  <si>
    <t>BRAZIMIL TINTA ACRILICA PREM INT/EXT  SEMIBRILHO 15L BRANCO GELO</t>
  </si>
  <si>
    <t>BRAZIMIL TINTA ACRILICA PREM INT/EXT SEMIBRILHO 15L DIMANTE</t>
  </si>
  <si>
    <t>BRAZIMIL TINTA ACRILICA PREM INT/EXT  SEMIBRILHO 15L CINZA PLATINA</t>
  </si>
  <si>
    <t>BRAZIMIL TINTA ACRILICA PREM INT/EXT SEMIBRILHO 15L CINZA INTENSO</t>
  </si>
  <si>
    <t>BRAZIMIL TINTA ACRILICA PREM INT/EXT  SEMIBRILHO 15L EGIPCIO</t>
  </si>
  <si>
    <t>BRAZIMIL TINTA ACRILICA PREM INT/EXT  SEMIBRILHO 15L MARROM GRADIENTE</t>
  </si>
  <si>
    <t>BRAZIMIL TINTA ACRILICA PREM INT/EXT  SEMIBRILHO 15L AVELA</t>
  </si>
  <si>
    <t>BRAZIMIL TINTA ACRILICA PREM INT/EXT  SEMIBRILHO 15L CARAMELO</t>
  </si>
  <si>
    <t>BRAZIMIL TINTA ACRILICA PREM INT/EXT  SEMIBRILHO 15L CAFÉ</t>
  </si>
  <si>
    <t>BRAZIMIL TINTA ACRILICA PREM INT/EXT  SEMIBRILHO 15L NUDE</t>
  </si>
  <si>
    <t>BRAZIMIL TINTA ACRILICA PREM INT/EXT  SEMIBRILHO 15L MARFIM REAL</t>
  </si>
  <si>
    <t>BRAZIMIL TINTA ACRILICA PREM INT/EXT  SEMIBRILHO 15L CAMURCA</t>
  </si>
  <si>
    <t>BRAZIMIL TINTA ACRILICA PREM INT/EXT  SEMIBRILHO 15L AZUL ANIL</t>
  </si>
  <si>
    <t>BRAZIMIL TINTA ACRILICA PREM INT/EXT SEMIBRILHO 15L CARDINAL</t>
  </si>
  <si>
    <t>BRAZIMIL TINTA ACRILICA PREM INT/EXT  SEMIBRILHO 15L PRAIA</t>
  </si>
  <si>
    <t>BRAZIMIL TINTA ACRILICA PREM INT/EXT SEMIBRILHO 15L AMARELO SOL</t>
  </si>
  <si>
    <t>BRAZIMIL TINTA ACRILICA PREM INT/EXT ACET 15L CINZA INTENSO</t>
  </si>
  <si>
    <t>BRAZIMIL TINTA ACRILICA PREM INT/EXT ACET 15L BRANCO</t>
  </si>
  <si>
    <t>BRAZIMIL TINTA ACRILICA PREM INT/EXT ACET 15L BRANCO GELO</t>
  </si>
  <si>
    <t>BRAZIMIL TINTA ACRILICA PREM INT/EXT ACET 15L DIMANTE</t>
  </si>
  <si>
    <t>BRAZIMIL TINTA ACRILICA PREM INT/EXT ACET 15L CINZA PLATINA</t>
  </si>
  <si>
    <t>BRAZIMIL TINTA ACRILICA PREM INT/EXT ACET 15L EGIPCIO</t>
  </si>
  <si>
    <t>BRAZIMIL TINTA ACRILICA PREM INT/EXT ACET 15L MARROM GRADIENTE</t>
  </si>
  <si>
    <t>BRAZIMIL TINTA ACRILICA PREM INT/EXT ACET 15L AVELA</t>
  </si>
  <si>
    <t>BRAZIMIL TINTA ACRILICA PREM INT/EXT ACET 15L CARAMELO</t>
  </si>
  <si>
    <t>BRAZIMIL TINTA ACRILICA PREM INT/EXT ACET 15L CAFÉ</t>
  </si>
  <si>
    <t>BRAZIMIL TINTA ACRILICA PREM INT/EXT ACET 15L NUDE</t>
  </si>
  <si>
    <t>BRAZIMIL TINTA ACRILICA PREM INT/EXT ACET 15L MARFIM REAL</t>
  </si>
  <si>
    <t>BRAZIMIL TINTA ACRILICA PREM INT/EXT ACET 15L CAMURCA</t>
  </si>
  <si>
    <t>BRAZIMIL TINTA ACRILICA PREM INT/EXT ACET 15L AZUL ANIL</t>
  </si>
  <si>
    <t>BRAZIMIL TINTA ACRILICA PREM INT/EXT ACET 15L CARDINAL</t>
  </si>
  <si>
    <t>BRAZIMIL TINTA ACRILICA PREM INT/EXT ACET 15L PRAIA</t>
  </si>
  <si>
    <t>BRAZIMIL TINTA ACRILICA PREM INT/EXT ACET 15L AMARELO SOL</t>
  </si>
  <si>
    <t>BRAZIMIL TINTA PISO PREMIUM  INT/EXT FOSCO 3L BRANCO NEVE</t>
  </si>
  <si>
    <t>PI00125</t>
  </si>
  <si>
    <t>BRAZIMIL TINTA PISO PREMIUM  INT/EXT FOSCO 3L CONCRETO</t>
  </si>
  <si>
    <t>PI00126</t>
  </si>
  <si>
    <t>CONCRETO</t>
  </si>
  <si>
    <t>BRAZIMIL TINTA PISO PREMIUM  INT/EXT FOSCO 3L PRETO</t>
  </si>
  <si>
    <t>PI00127</t>
  </si>
  <si>
    <t>PRETO</t>
  </si>
  <si>
    <t>BRAZIMIL TINTA PISO PREMIUM  INT/EXT FOSCO 3L CINZA MEDIO</t>
  </si>
  <si>
    <t>PI00128</t>
  </si>
  <si>
    <t>BRAZIMIL TINTA PISO PREMIUM  INT/EXT FOSCO 3L CINZA INTENSO</t>
  </si>
  <si>
    <t>PI00129</t>
  </si>
  <si>
    <t>BRAZIMIL TINTA PISO PREMIUM  INT/EXT FOSCO 3L AZUL PROFUNDO</t>
  </si>
  <si>
    <t>PI00130</t>
  </si>
  <si>
    <t>AZUL PROFUNDO</t>
  </si>
  <si>
    <t>BRAZIMIL TINTA PISO PREMIUM  INT/EXT FOSCO 3L AMARELO DEMARCACAO</t>
  </si>
  <si>
    <t>PI00131</t>
  </si>
  <si>
    <t>AMARELO DEMARCACAO</t>
  </si>
  <si>
    <t>BRAZIMIL TINTA PISO PREMIUM  INT/EXT FOSCO 3L VERMELHO</t>
  </si>
  <si>
    <t>PI00132</t>
  </si>
  <si>
    <t>VERMELHO</t>
  </si>
  <si>
    <t>BRAZIMIL TINTA PISO PREMIUM  INT/EXT FOSCO 3L VERDE FOLHA</t>
  </si>
  <si>
    <t>PI00133</t>
  </si>
  <si>
    <t>BRAZIMIL TINTA PISO PREMIUM  INT/EXT SEMIBRILHO 3L BRANCO NEVE</t>
  </si>
  <si>
    <t>BRAZIMIL TINTA PISO PREMIUM  INT/EXT SEMIBRILHO 3L CONCRETO</t>
  </si>
  <si>
    <t>BRAZIMIL TINTA PISO PREMIUM  INT/EXT SEMIBRILHO 3L PRETO</t>
  </si>
  <si>
    <t>BRAZIMIL TINTA PISO PREMIUM  INT/EXT SEMIBRILHO 3L CINZA MEDIO</t>
  </si>
  <si>
    <t>BRAZIMIL TINTA PISO PREMIUM  INT/EXT SEMIBRILHO 3L CINZA INTENSO</t>
  </si>
  <si>
    <t>BRAZIMIL TINTA PISO PREMIUM  INT/EXT SEMIBRILHO 3L AZUL PROFUNDO</t>
  </si>
  <si>
    <t>BRAZIMIL TINTA PISO PREMIUM  INT/EXT SEMIBRILHO 3L AMARELO DEMARCACAO</t>
  </si>
  <si>
    <t>BRAZIMIL TINTA PISO PREMIUM  INT/EXT SEMIBRILHO 3L VERMELHO</t>
  </si>
  <si>
    <t>BRAZIMIL TINTA PISO PREMIUM  INT/EXT SEMIBRILHO 3L VERDE FOLHA</t>
  </si>
  <si>
    <t>BRAZIMIL TINTA PISO PREMIUM  INT/EXT FOSCO 15L BRANCO NEVE</t>
  </si>
  <si>
    <t>BRAZIMIL TINTA PISO PREMIUM  INT/EXT FOSCO 15L CONCRETO</t>
  </si>
  <si>
    <t>BRAZIMIL TINTA PISO PREMIUM  INT/EXT FOSCO 15L PRETO</t>
  </si>
  <si>
    <t>BRAZIMIL TINTA PISO PREMIUM  INT/EXT FOSCO 15L CINZA MEDIO</t>
  </si>
  <si>
    <t>BRAZIMIL TINTA PISO PREMIUM  INT/EXT FOSCO 15L CINZA INTENSO</t>
  </si>
  <si>
    <t>BRAZIMIL TINTA PISO PREMIUM  INT/EXT FOSCO 15L AZUL PROFUNDO</t>
  </si>
  <si>
    <t>BRAZIMIL TINTA PISO PREMIUM  INT/EXT FOSCO 15L AMARELO DEMARCACAO</t>
  </si>
  <si>
    <t>BRAZIMIL TINTA PISO PREMIUM  INT/EXT FOSCO 15L VERMELHO</t>
  </si>
  <si>
    <t>BRAZIMIL TINTA PISO PREMIUM  INT/EXT FOSCO 15L VERDE FOLHA</t>
  </si>
  <si>
    <t>BRAZIMIL TINTA PISO PREMIUM  INT/EXT SEMIBRILHO 15L BRANCO NEVE</t>
  </si>
  <si>
    <t>BRAZIMIL TINTA PISO PREMIUM  INT/EXT SEMIBRILHO 15L CONCRETO</t>
  </si>
  <si>
    <t>BRAZIMIL TINTA PISO PREMIUM  INT/EXT SEMIBRILHO 15L PRETO</t>
  </si>
  <si>
    <t>BRAZIMIL TINTA PISO PREMIUM  INT/EXT SEMIBRILHO 15L CINZA MEDIO</t>
  </si>
  <si>
    <t>BRAZIMIL TINTA PISO PREMIUM  INT/EXT SEMIBRILHO 15L CINZA INTENSO</t>
  </si>
  <si>
    <t>BRAZIMIL TINTA PISO PREMIUM  INT/EXT SEMIBRILHO 15L AZUL PROFUNDO</t>
  </si>
  <si>
    <t>BRAZIMIL TINTA PISO PREMIUM  INT/EXT SEMIBRILHO 15L AMARELO DEMARCACAO</t>
  </si>
  <si>
    <t>BRAZIMIL TINTA PISO PREMIUM  INT/EXT SEMIBRILHO 15L VERMELHO</t>
  </si>
  <si>
    <t>BRAZIMIL TINTA PISO PREMIUM  INT/EXT SEMIBRILHO 15L VERDE FOLHA</t>
  </si>
  <si>
    <t>BRAZIMIL BORRACHA LIQUIDA MULTIFUNÇÃO 3,6KG BRANCO NEVE</t>
  </si>
  <si>
    <t>BORRACHA LÍQUIDA</t>
  </si>
  <si>
    <t>PI00152</t>
  </si>
  <si>
    <t>BRAZIMIL BORRACHA LIQUIDA MULTIFUNÇÃO 3,6KG CINZA MEDIO</t>
  </si>
  <si>
    <t>PI00153</t>
  </si>
  <si>
    <t>BRAZIMIL BORRACHA LIQUIDA MULTIFUNÇÃO 3,6KG CINZA PLATINA</t>
  </si>
  <si>
    <t>PI00154</t>
  </si>
  <si>
    <t>BRAZIMIL BORRACHA LIQUIDA MULTIFUNÇÃO 3,6KG CERAMICA</t>
  </si>
  <si>
    <t>PI00155</t>
  </si>
  <si>
    <t>CERAMICA</t>
  </si>
  <si>
    <t>BRAZIMIL BORRACHA LIQUIDA MULTIFUNÇÃO 3,6KG BEGE</t>
  </si>
  <si>
    <t>PI00156</t>
  </si>
  <si>
    <t>BEGE</t>
  </si>
  <si>
    <t>BRAZIMIL BORRACHA LIQUIDA MULTIFUNÇÃO 14KG BRANCO NEVE</t>
  </si>
  <si>
    <t>BRAZIMIL BORRACHA LIQUIDA MULTIFUNÇÃO 14KG CINZA MEDIO</t>
  </si>
  <si>
    <t>BRAZIMIL BORRACHA LIQUIDA MULTIFUNÇÃO 14KG CINZA PLATINA</t>
  </si>
  <si>
    <t>BRAZIMIL BORRACHA LIQUIDA MULTIFUNÇÃO 14KG CERAMICA</t>
  </si>
  <si>
    <t>BRAZIMIL BORRACHA LIQUIDA MULTIFUNÇÃO 14KG BEGE</t>
  </si>
  <si>
    <t>BRAZIMIL BORRACHA LIQUIDA IND MULTISUPERFÍCIES 3,6KG BRANCO NEVE</t>
  </si>
  <si>
    <t>BRAZIMIL BORRACHA LIQUIDA IND MULTISUPERFÍCIES 3,6KG CINZA CHUMBO</t>
  </si>
  <si>
    <t>CINZA CHUMBO</t>
  </si>
  <si>
    <t>BRAZIMIL BORRACHA LIQUIDA IND MULTISUPERFÍCIES 3,6KG CINZA MEDIO</t>
  </si>
  <si>
    <t>BRAZIMIL BORRACHA LIQUIDA IND MULTISUPERFÍCIES 3,6KG AMARELO DEMARCACAO</t>
  </si>
  <si>
    <t>BRAZIMIL BORRACHA LIQUIDA IND MULTISUPERFÍCIES 3,6KG VERMELHO</t>
  </si>
  <si>
    <t>BRAZIMIL BORRACHA LIQUIDA IND MULTISUPERFÍCIES 3,6KG PRETO GRAFITE</t>
  </si>
  <si>
    <t>PRETO GRAFITE</t>
  </si>
  <si>
    <t>BRAZIMIL BORRACHA LIQUIDA ND MULTISUPERFÍCIES 14KG BRANCO NEVE</t>
  </si>
  <si>
    <t>BRAZIMIL BORRACHA LIQUIDA ND MULTISUPERFÍCIES 14KG CINZA CHUMBO</t>
  </si>
  <si>
    <t>BRAZIMIL BORRACHA LIQUIDA ND MULTISUPERFÍCIES 14KG CINZA MEDIO</t>
  </si>
  <si>
    <t>BRAZIMIL BORRACHA LIQUIDA ND MULTISUPERFÍCIES 14KG AMARELO DEMARCACAO</t>
  </si>
  <si>
    <t>BRAZIMIL BORRACHA LIQUIDA ND MULTISUPERFÍCIES 14KG VERMELHO</t>
  </si>
  <si>
    <t>BRAZIMIL BORRACHA LIQUIDA ND MULTISUPERFÍCIES 14KG PRETO GRAFITE</t>
  </si>
  <si>
    <t>BRAZIMIL ESMALTE BASE D'ÁGUA 0,75L BRANCO</t>
  </si>
  <si>
    <t>ESMALTE BASE D'AGUA</t>
  </si>
  <si>
    <t>BRAZIMIL ESMALTE BASE D'ÁGUA 0,75L BRANCO GELO</t>
  </si>
  <si>
    <t>BRAZIMIL ESMALTE BASE D'ÁGUA 0,75L VERMELHO FERRARI</t>
  </si>
  <si>
    <t>VERMELHO FERRARI</t>
  </si>
  <si>
    <t>BRAZIMIL ESMALTE BASE D'ÁGUA 0,75L AZUL DEL REY</t>
  </si>
  <si>
    <t>AZUL DEL REY</t>
  </si>
  <si>
    <t>BRAZIMIL ESMALTE BASE D'ÁGUA 0,75L PRETO</t>
  </si>
  <si>
    <t>BRAZIMIL ESMALTE BASE D'ÁGUA 0,75L CINZA</t>
  </si>
  <si>
    <t>CINZA</t>
  </si>
  <si>
    <t>BRAZIMIL ESMALTE BASE D'ÁGUA 0,75L LARANJA</t>
  </si>
  <si>
    <t>BRAZIMIL ESMALTE BASE D'ÁGUA 0,75L AZUL CEU</t>
  </si>
  <si>
    <t>BRAZIMIL ESMALTE BASE D'ÁGUA 0,75L LILAS</t>
  </si>
  <si>
    <t>BRAZIMIL ESMALTE BASE D'ÁGUA 0,75L VERDE NILO</t>
  </si>
  <si>
    <t>VERDE NILO</t>
  </si>
  <si>
    <t>BRAZIMIL ESMALTE BASE D'ÁGUA 0,75L VERDE FOLHA</t>
  </si>
  <si>
    <t>BRAZIMIL ESMALTE BASE D'ÁGUA 0,75L AMARELO OURO</t>
  </si>
  <si>
    <t>AMARELO OURO</t>
  </si>
  <si>
    <t>BRAZIMIL ESMALTE BASE D'ÁGUA 3L BRANCO</t>
  </si>
  <si>
    <t>BRAZIMIL ESMALTE BASE D'ÁGUA 3L BRANCO GELO</t>
  </si>
  <si>
    <t>BRAZIMIL ESMALTE BASE D'ÁGUA 3L VERMELHO FERRARI</t>
  </si>
  <si>
    <t>BRAZIMIL ESMALTE BASE D'ÁGUA 3L AZUL DEL REY</t>
  </si>
  <si>
    <t>BRAZIMIL ESMALTE BASE D'ÁGUA 3L PRETO</t>
  </si>
  <si>
    <t>BRAZIMIL ESMALTE BASE D'ÁGUA 3L CINZA</t>
  </si>
  <si>
    <t>BRAZIMIL ESMALTE BASE D'ÁGUA 3L LARANJA</t>
  </si>
  <si>
    <t>BRAZIMIL ESMALTE BASE D'ÁGUA 3L AZUL CEU</t>
  </si>
  <si>
    <t>BRAZIMIL ESMALTE BASE D'ÁGUA 3L LILAS</t>
  </si>
  <si>
    <t>BRAZIMIL ESMALTE BASE D'ÁGUA 3L VERDE NILO</t>
  </si>
  <si>
    <t>BRAZIMIL ESMALTE BASE D'ÁGUA 3L VERDE FOLHA</t>
  </si>
  <si>
    <t>BRAZIMIL ESMALTE BASE D'ÁGUA 3L AMARELO OURO</t>
  </si>
  <si>
    <t>BRAZIMIL ESMALTE SINTETICO MADEIRAS E METAIS  FOSCO 0,75L BRANCO</t>
  </si>
  <si>
    <t>ESMALTE SINTETICO</t>
  </si>
  <si>
    <t>BRAZIMIL ESMALTE SINTETICO MADEIRAS E METAIS  FOSCO 0,75L BRANCO GELO</t>
  </si>
  <si>
    <t>BRAZIMIL ESMALTE SINTETICO MADEIRAS E METAIS  FOSCO 0,75L VERMELHO FERRARI</t>
  </si>
  <si>
    <t>BRAZIMIL ESMALTE SINTETICO MADEIRAS E METAIS  FOSCO 0,75L AZUL DEL REY</t>
  </si>
  <si>
    <t>BRAZIMIL ESMALTE SINTETICO MADEIRAS E METAIS  FOSCO 0,75L PRETO</t>
  </si>
  <si>
    <t>BRAZIMIL ESMALTE SINTETICO MADEIRAS E METAIS  FOSCO 0,75L CINZA</t>
  </si>
  <si>
    <t>BRAZIMIL ESMALTE SINTETICO MADEIRAS E METAIS FOSCO 0,75L LARANJA</t>
  </si>
  <si>
    <t>BRAZIMIL ESMALTE SINTETICO MADEIRAS E METAIS FOSCO 0,75L AZUL CEU</t>
  </si>
  <si>
    <t>BRAZIMIL ESMALTE SINTETICO MADEIRAS E METAIS FOSCO 0,75L LILAS</t>
  </si>
  <si>
    <t>BRAZIMIL ESMALTE SINTETICO MADEIRAS E METAIS FOSCO 0,75L VERDE NILO</t>
  </si>
  <si>
    <t>BRAZIMIL ESMALTE SINTETICO MADEIRAS E METAIS  FOSCO 0,75L VERDE FOLHA</t>
  </si>
  <si>
    <t>BRAZIMIL ESMALTE SINTETICO MADEIRAS E METAIS FOSCO 0,75L AMARELO OURO</t>
  </si>
  <si>
    <t>BRAZIMIL ESMALTE SINTETICO BRILHANTE MADEIRAS E METAIS 0,75L BRANCO</t>
  </si>
  <si>
    <t>PI00187</t>
  </si>
  <si>
    <t>BRAZIMIL ESMALTE SINTETICO BRILHANTE MADEIRAS E METAIS 0,75L BRANCO GELO</t>
  </si>
  <si>
    <t>PI00188</t>
  </si>
  <si>
    <t>BRAZIMIL ESMALTE SINTETICO BRILHANTE MADEIRAS E METAIS 0,75L VERMELHO FERRARI</t>
  </si>
  <si>
    <t>PI00189</t>
  </si>
  <si>
    <t>BRAZIMIL ESMALTE SINTETICO BRILHANTE MADEIRAS E METAIS 0,75L AZUL DEL REY</t>
  </si>
  <si>
    <t>PI00190</t>
  </si>
  <si>
    <t>BRAZIMIL ESMALTE SINTETICO BRILHANTE MADEIRAS E METAIS 0,75L PRETO</t>
  </si>
  <si>
    <t>PI00191</t>
  </si>
  <si>
    <t>BRAZIMIL ESMALTE SINTETICO BRILHANTE MADEIRAS E METAIS 0,75L CINZA</t>
  </si>
  <si>
    <t>PI00192</t>
  </si>
  <si>
    <t>BRAZIMIL ESMALTE SINTETICO BRILHANTE MADEIRAS E METAIS 0,75L LARANJA</t>
  </si>
  <si>
    <t>PI00193</t>
  </si>
  <si>
    <t>BRAZIMIL ESMALTE SINTETICO BRILHANTE MADEIRAS E METAIS 0,75L AZUL CEU</t>
  </si>
  <si>
    <t>PI00194</t>
  </si>
  <si>
    <t>BRAZIMIL ESMALTE SINTETICO BRILHANTE MADEIRAS E METAIS 0,75L LILAS</t>
  </si>
  <si>
    <t>PI00195</t>
  </si>
  <si>
    <t>BRAZIMIL ESMALTE SINTETICO BRILHANTE MADEIRAS E METAIS 0,75L VERDE NILO</t>
  </si>
  <si>
    <t>PI00196</t>
  </si>
  <si>
    <t>BRAZIMIL ESMALTE SINTETICO BRILHANTE MADEIRAS E METAIS 0,75L VERDE FOLHA</t>
  </si>
  <si>
    <t>PI00197</t>
  </si>
  <si>
    <t>BRAZIMIL ESMALTE SINTETICO BRILHANTE MADEIRAS E METAIS 0,75L AMARELO OURO</t>
  </si>
  <si>
    <t>PI00198</t>
  </si>
  <si>
    <t>BRAZIMIL ESMALTE SINTETICO MADEIRAS E METAIS FOSCO 3L BRANCO</t>
  </si>
  <si>
    <t>BRAZIMIL ESMALTE SINTETICO MADEIRAS E METAIS FOSCO 3L BRANCO GELO</t>
  </si>
  <si>
    <t>BRAZIMIL ESMALTE SINTETICO MADEIRAS E METAIS FOSCO 3L VERMELHO FERRARI</t>
  </si>
  <si>
    <t>BRAZIMIL ESMALTE SINTETICO MADEIRAS E METAIS FOSCO 3L AZUL DEL REY</t>
  </si>
  <si>
    <t>BRAZIMIL ESMALTE SINTETICO MADEIRAS E METAIS FOSCO 3L PRETO</t>
  </si>
  <si>
    <t>BRAZIMIL ESMALTE SINTETICO MADEIRAS E METAIS FOSCO 3L CINZA</t>
  </si>
  <si>
    <t>BRAZIMIL ESMALTE SINTETICO MADEIRAS E METAIS FOSCO 3L LARANJA</t>
  </si>
  <si>
    <t>BRAZIMIL ESMALTE SINTETICO MADEIRAS E METAIS FOSCO 3L AZUL CEU</t>
  </si>
  <si>
    <t>BRAZIMIL ESMALTE SINTETICO MADEIRAS E METAIS FOSCO 3L LILAS</t>
  </si>
  <si>
    <t>BRAZIMIL ESMALTE SINTETICO MADEIRAS E METAIS FOSCO 3L VERDE NILO</t>
  </si>
  <si>
    <t>BRAZIMIL ESMALTE SINTETICO MADEIRAS E METAIS FOSCO 3L VERDE FOLHA</t>
  </si>
  <si>
    <t>BRAZIMIL ESMALTE SINTETICO MADEIRAS E METAIS FOSCO 3L AMARELO OURO</t>
  </si>
  <si>
    <t>BRAZIMIL ESMALTE SINTETICO BRILHANTE MADEIRAS E METAIS 3L BRANCO</t>
  </si>
  <si>
    <t>BRAZIMIL ESMALTE SINTETICO BRILHANTE MADEIRAS E METAIS 3L BRANCO GELO</t>
  </si>
  <si>
    <t>BRAZIMIL ESMALTE SINTETICO BRILHANTE MADEIRAS E METAIS 3L VERMELHO FERRARI</t>
  </si>
  <si>
    <t>BRAZIMIL ESMALTE SINTETICO BRILHANTE MADEIRAS E METAIS 3L AZUL DEL REY</t>
  </si>
  <si>
    <t>BRAZIMIL ESMALTE SINTETICO BRILHANTE MADEIRAS E METAIS 3L PRETO</t>
  </si>
  <si>
    <t>BRAZIMIL ESMALTE SINTETICO BRILHANTE MADEIRAS E METAIS 3L CINZA</t>
  </si>
  <si>
    <t>BRAZIMIL ESMALTE SINTETICO BRILHANTE MADEIRAS E METAIS 3L LARANJA</t>
  </si>
  <si>
    <t>BRAZIMIL ESMALTE SINTETICO BRILHANTE MADEIRAS E METAIS 3L AZUL CEU</t>
  </si>
  <si>
    <t>BRAZIMIL ESMALTE SINTETICO BRILHANTE MADEIRAS E METAIS 3L LILAS</t>
  </si>
  <si>
    <t>BRAZIMIL ESMALTE SINTETICO BRILHANTE MADEIRAS E METAIS 3L VERDE NILO</t>
  </si>
  <si>
    <t>BRAZIMIL ESMALTE SINTETICO BRILHANTE MADEIRAS E METAIS 3L VERDE FOLHA</t>
  </si>
  <si>
    <t>BRAZIMIL ESMALTE SINTETICO BRILHANTE MADEIRAS E METAIS 3L AMARELO OURO</t>
  </si>
  <si>
    <t>BRAZIMIL TEXTURA RÚSTICA 4KG BRANCO BASE</t>
  </si>
  <si>
    <t>TEXTURA</t>
  </si>
  <si>
    <t>RÚSTICA</t>
  </si>
  <si>
    <t>BRAZIMIL TEXTURA RÚSTICA 20KG BRANCO BASE</t>
  </si>
  <si>
    <t>BRAZIMIL TEXTURA LISA 4KG BRANCO NEVE</t>
  </si>
  <si>
    <t>LISA</t>
  </si>
  <si>
    <t>BRAZIMIL TEXTURA LISA 4KG AMARELO</t>
  </si>
  <si>
    <t>AMARELO</t>
  </si>
  <si>
    <t>BRAZIMIL TEXTURA LISA 4KG VERMELHO</t>
  </si>
  <si>
    <t>BRAZIMIL TEXTURA LISA 4KG CINZA</t>
  </si>
  <si>
    <t>BRAZIMIL TEXTURA LISA 4KG VERDE</t>
  </si>
  <si>
    <t>VERDE</t>
  </si>
  <si>
    <t>BRAZIMIL TEXTURA LISA 4KG AZUL</t>
  </si>
  <si>
    <t>AZUL</t>
  </si>
  <si>
    <t>BRAZIMIL TEXTURA LISA 20KG BRANCO NEVE</t>
  </si>
  <si>
    <t>BRAZIMIL TEXTURA LISA 20KG AMARELO</t>
  </si>
  <si>
    <t>BRAZIMIL TEXTURA LISA 20KG VERMELHO</t>
  </si>
  <si>
    <t>BRAZIMIL TEXTURA LISA 20KG CINZA</t>
  </si>
  <si>
    <t>BRAZIMIL TEXTURA LISA 20KG VERDE</t>
  </si>
  <si>
    <t>BRAZIMIL TEXTURA LISA 20KG AZUL</t>
  </si>
  <si>
    <t>BRAZIMIL VERNIZ MADEIRA INT/EXT 3L INCOLOR</t>
  </si>
  <si>
    <t>VERNIZ</t>
  </si>
  <si>
    <t>BRAZIMIL VERNIZ MADEIRA INT/EXT 3L IMBUIA</t>
  </si>
  <si>
    <t>IMBUIA</t>
  </si>
  <si>
    <t>BRAZIMIL VERNIZ MADEIRA INT/EXT 3L MOGNO</t>
  </si>
  <si>
    <t>MOGNO</t>
  </si>
  <si>
    <t>BRAZIMIL VERNIZ MADEIRA INT/EXT 3L CEREJEIRA</t>
  </si>
  <si>
    <t>CEREJEIRA</t>
  </si>
  <si>
    <t>BRAZIMIL VERNIZ MADEIRA INT/EXT 3 LCEDRO</t>
  </si>
  <si>
    <t>CEDRO</t>
  </si>
  <si>
    <t>BRAZIMIL VERNIZ MADEIRA INT/EXT 3L COLORADO</t>
  </si>
  <si>
    <t>COLORADO</t>
  </si>
  <si>
    <t>BRAZIMIL VERNIZ MADEIRA INT/EXT 3L NOGUEIRA</t>
  </si>
  <si>
    <t>NOGUEIRA</t>
  </si>
  <si>
    <t>BRAZIMIL VERNIZ MADEIRA INT/EXT 3L IPE</t>
  </si>
  <si>
    <t>IPE</t>
  </si>
  <si>
    <t>BRAZIMIL VERNIZ MADEIRA INT/EXT 0,75L INCOLOR</t>
  </si>
  <si>
    <t>BRAZIMIL VERNIZ MADEIRA INT/EXT 0,75L IMBUIA</t>
  </si>
  <si>
    <t>BRAZIMIL VERNIZ MADEIRA INT/EXT 0,75L MOGNO</t>
  </si>
  <si>
    <t>BRAZIMIL VERNIZ MADEIRA INT/EXT 0,75L CEREJEIRA</t>
  </si>
  <si>
    <t>BRAZIMIL VERNIZ MADEIRA INT/EXT 0,75L CEDRO</t>
  </si>
  <si>
    <t>BRAZIMIL VERNIZ MADEIRA INT/EXT 0,75L COLORADO</t>
  </si>
  <si>
    <t>BRAZIMIL VERNIZ MADEIRA INT/EXT 0,75L NOGUEIRA</t>
  </si>
  <si>
    <t>BRAZIMIL VERNIZ MADEIRA INT/EXT 0,75L IPE</t>
  </si>
  <si>
    <t>BRAZIMIL LIQUIBRILHO 3L INCOLOR</t>
  </si>
  <si>
    <t>LIQUIBRILHO</t>
  </si>
  <si>
    <t>BRAZIMIL LIQUIBRILHO 15L  INCOLOR</t>
  </si>
  <si>
    <t>BRAZIMIL MANTA LÍQUIDA 4KG INCOLOR</t>
  </si>
  <si>
    <t>MANTA</t>
  </si>
  <si>
    <t>LÍQUIDA</t>
  </si>
  <si>
    <t>BRAZIMIL MANTA LÍQUIDA 20KG INCOLOR</t>
  </si>
  <si>
    <t>BRAZIMIL TINTA PARA GESSO 3L</t>
  </si>
  <si>
    <t>BRAZIMIL TINTA PARA GESSO 15L</t>
  </si>
  <si>
    <t>BRAZIMIL TINTA PARA TELHA 3L</t>
  </si>
  <si>
    <t>BRAZIMIL TINTA PARA TELHA 15L</t>
  </si>
  <si>
    <t>BRAZIMIL CIMENTO QUEIMADO 4KG</t>
  </si>
  <si>
    <t>CIMENTO QUEIMADO</t>
  </si>
  <si>
    <t>BRAZIMIL CIMENTO QUEIMADO 20KG</t>
  </si>
  <si>
    <t>BRAZIMIL ZARCÃO 0,75L BRANCO</t>
  </si>
  <si>
    <t>ZARCÃO</t>
  </si>
  <si>
    <t>BRAZIMIL ZARCÃO 0,75L CINZA</t>
  </si>
  <si>
    <t>BRAZIMIL ZARCÃO 0,75L LARANJA</t>
  </si>
  <si>
    <t>BRAZIMIL ZARCÃO  3L  BRANCO</t>
  </si>
  <si>
    <t>BRAZIMIL ZARCÃO 3L  CINZA</t>
  </si>
  <si>
    <t>BRAZIMIL ZARCÃO 3L  LARANJA</t>
  </si>
  <si>
    <t>Projeção de Resultados</t>
  </si>
  <si>
    <t>Lucro Desejado:</t>
  </si>
  <si>
    <t>Faturamento Meta:</t>
  </si>
  <si>
    <t>Margens</t>
  </si>
  <si>
    <t>Simulador de Qtd Necessária</t>
  </si>
  <si>
    <t>Cod.</t>
  </si>
  <si>
    <t>Produto</t>
  </si>
  <si>
    <t>Planejado</t>
  </si>
  <si>
    <t>Preço Unit Padrão</t>
  </si>
  <si>
    <t>Preço Ajustado</t>
  </si>
  <si>
    <t>Custo 
Prod. Unit</t>
  </si>
  <si>
    <t>Outras Despesas</t>
  </si>
  <si>
    <t>MC R$ Unit</t>
  </si>
  <si>
    <t>MC % Unit</t>
  </si>
  <si>
    <t>% part Mix</t>
  </si>
  <si>
    <t>MC % Ponderada</t>
  </si>
  <si>
    <t>MC Prod</t>
  </si>
  <si>
    <t>Δ Planejado</t>
  </si>
  <si>
    <t>Var. Total</t>
  </si>
  <si>
    <t>Marg. Total</t>
  </si>
  <si>
    <t>Gastos Fixos</t>
  </si>
  <si>
    <t>Resultado</t>
  </si>
  <si>
    <t>% Curva ABC</t>
  </si>
  <si>
    <t>Qtd Necessária</t>
  </si>
  <si>
    <t>Total</t>
  </si>
  <si>
    <t>LOJISTA</t>
  </si>
  <si>
    <t>CONSTRUTOR</t>
  </si>
  <si>
    <t>COD PROD</t>
  </si>
  <si>
    <t>PRODUTO</t>
  </si>
  <si>
    <t>PREÇO</t>
  </si>
  <si>
    <t>QTD</t>
  </si>
  <si>
    <t>MARGEM UNITÁRIA</t>
  </si>
  <si>
    <t>PREÇO MARGEM 0%</t>
  </si>
  <si>
    <t>CONCORRÊNCIA</t>
  </si>
  <si>
    <t>Δ Concorrência</t>
  </si>
  <si>
    <t>ALIQ</t>
  </si>
  <si>
    <t>MARGEM UNIT</t>
  </si>
  <si>
    <t>BRAZIMIL BORRACHA LIQUIDA MULTIFUNÇÃO 3KG BRANCO NEVE</t>
  </si>
  <si>
    <t>BRAZIMIL BORRACHA LIQUIDA MULTIFUNÇÃO 3KG CINZA MEDIO</t>
  </si>
  <si>
    <t>BRAZIMIL BORRACHA LIQUIDA MULTIFUNÇÃO 3KG CINZA PLATINA</t>
  </si>
  <si>
    <t>BRAZIMIL BORRACHA LIQUIDA MULTIFUNÇÃO 3KG CERAMICA</t>
  </si>
  <si>
    <t>BRAZIMIL BORRACHA LIQUIDA MULTIFUNÇÃO 3KG BEGE</t>
  </si>
  <si>
    <t>Subtotal:</t>
  </si>
  <si>
    <t>Linha/Aba</t>
  </si>
  <si>
    <t>Categoria</t>
  </si>
  <si>
    <t>Código Produto</t>
  </si>
  <si>
    <t>Cor</t>
  </si>
  <si>
    <t>Código MP</t>
  </si>
  <si>
    <t>Nome do Insumo</t>
  </si>
  <si>
    <t>Fórmula Base em Kg</t>
  </si>
  <si>
    <t>Peso Final (Kg)</t>
  </si>
  <si>
    <t>Fórmula Base em Litros</t>
  </si>
  <si>
    <t>Litragem Final (Litros)</t>
  </si>
  <si>
    <t>Proporção</t>
  </si>
  <si>
    <t>Custo Unitário do Insumo</t>
  </si>
  <si>
    <t>Custo Batida Fórmula</t>
  </si>
  <si>
    <t>Custo Produtivo Por Litro</t>
  </si>
  <si>
    <t>Látex Econ. Interior - Fosco</t>
  </si>
  <si>
    <t>LINHA ECONÔMICA INTERIOR FOSCO</t>
  </si>
  <si>
    <t>MP00001</t>
  </si>
  <si>
    <t>AGUA</t>
  </si>
  <si>
    <t>MP00047</t>
  </si>
  <si>
    <t>HEXAMETAFOSFATO SODIO</t>
  </si>
  <si>
    <t>MP00007</t>
  </si>
  <si>
    <t>ANTI ESPUMA LATEX</t>
  </si>
  <si>
    <t>MP00010</t>
  </si>
  <si>
    <t>BACTERICIDA</t>
  </si>
  <si>
    <t>MP00034</t>
  </si>
  <si>
    <t>UMECTANTE</t>
  </si>
  <si>
    <t>MP00019</t>
  </si>
  <si>
    <t>DISPERSANTE LATEX</t>
  </si>
  <si>
    <t>MP00023</t>
  </si>
  <si>
    <t>FUNGICIDA</t>
  </si>
  <si>
    <t>MP00038</t>
  </si>
  <si>
    <t>WHITE PLUS</t>
  </si>
  <si>
    <t>MP00033</t>
  </si>
  <si>
    <t>TITANIO</t>
  </si>
  <si>
    <t>MP00014</t>
  </si>
  <si>
    <t>CARBONATO # 500</t>
  </si>
  <si>
    <t>MP00028</t>
  </si>
  <si>
    <t>RESINA ACRILICA ESTIRENADA</t>
  </si>
  <si>
    <t>MP00003</t>
  </si>
  <si>
    <t>ALCALINIZANTE</t>
  </si>
  <si>
    <t>MP00021</t>
  </si>
  <si>
    <t>ESPESSANTE DE MEDIA</t>
  </si>
  <si>
    <t>MP00027</t>
  </si>
  <si>
    <t>PROMOTOR DE LAVABILIDADE</t>
  </si>
  <si>
    <t>MP00012</t>
  </si>
  <si>
    <t>CARBONATO # 325</t>
  </si>
  <si>
    <t>MP00015</t>
  </si>
  <si>
    <t>CAULIM</t>
  </si>
  <si>
    <t>MP00016</t>
  </si>
  <si>
    <t>COALESCENTE</t>
  </si>
  <si>
    <t>MP00026</t>
  </si>
  <si>
    <t>PRETO SPECTRAPRINT SFF</t>
  </si>
  <si>
    <t>MP00040</t>
  </si>
  <si>
    <t>AMARELO PASTA RO</t>
  </si>
  <si>
    <t>MP00041</t>
  </si>
  <si>
    <t>VERMELHO PASTA RO</t>
  </si>
  <si>
    <t>MP00035</t>
  </si>
  <si>
    <t>VERDE SPECTRAPERSE BLS</t>
  </si>
  <si>
    <t>MP00005</t>
  </si>
  <si>
    <t>AMARELO SPECTRAPRINT 2GXH</t>
  </si>
  <si>
    <t>MP00009</t>
  </si>
  <si>
    <t>AZUL SPECTRAPRINT SRH</t>
  </si>
  <si>
    <t>AZUL CÉU</t>
  </si>
  <si>
    <t>MP00037</t>
  </si>
  <si>
    <t>VERMELHO SPECTRAPRINT GR</t>
  </si>
  <si>
    <t>AMARELO CANÁRIO</t>
  </si>
  <si>
    <t>AMARELO SPECTRAPRINT 2XGH</t>
  </si>
  <si>
    <t>ROSA BEBÊ</t>
  </si>
  <si>
    <t>AMARELO IPÊ</t>
  </si>
  <si>
    <t>PÉROLA</t>
  </si>
  <si>
    <t>Látex Standard Externo - Fosco</t>
  </si>
  <si>
    <t>LINHA STANDARD EXTERNO FOSCO</t>
  </si>
  <si>
    <t>ROSA PÉTALA</t>
  </si>
  <si>
    <t>CINZA MÉDIO</t>
  </si>
  <si>
    <t xml:space="preserve">Borracha Líq - Multifun </t>
  </si>
  <si>
    <t>BORRACHA LÍQUIDA MULTIFUNÇÃO</t>
  </si>
  <si>
    <t>MP00006</t>
  </si>
  <si>
    <t>ANTI ESPUMA ESM BASE AGUA</t>
  </si>
  <si>
    <t>MP00029</t>
  </si>
  <si>
    <t>RESINA ELASTOMERICA</t>
  </si>
  <si>
    <t>MP00024</t>
  </si>
  <si>
    <t>HIDROREPELENTE BASE AGUA</t>
  </si>
  <si>
    <t>CERÂMICA</t>
  </si>
  <si>
    <t>MP00025</t>
  </si>
  <si>
    <t>LARANJA SPECTRAPERSE GGR</t>
  </si>
  <si>
    <t>Látex Standard Ext S Brilho</t>
  </si>
  <si>
    <t>LATEX LINHA STANDARD SEMI BRILHO</t>
  </si>
  <si>
    <t>MP00022</t>
  </si>
  <si>
    <t>ESPESSANTE URETANICO</t>
  </si>
  <si>
    <t>MP00057</t>
  </si>
  <si>
    <t>CONCENTRADO SEMI BRILHO</t>
  </si>
  <si>
    <t>CONCENTRADO SEMI BRILHO AP 6000</t>
  </si>
  <si>
    <t>MP00004</t>
  </si>
  <si>
    <t>AÇAÍ AMAZÔNICO</t>
  </si>
  <si>
    <t>VIOLETA</t>
  </si>
  <si>
    <t>LILÁS</t>
  </si>
  <si>
    <t>Piso Premium</t>
  </si>
  <si>
    <t>LÁTEX PISO PREMIUM EXTERIOR/INTERIOR</t>
  </si>
  <si>
    <t>MP00058</t>
  </si>
  <si>
    <t>CARBONATO #200</t>
  </si>
  <si>
    <t>Esmalte Sintético</t>
  </si>
  <si>
    <t>ESMALTE SINTÉTICO MADEIRAS E METAIS</t>
  </si>
  <si>
    <t>MP00031</t>
  </si>
  <si>
    <t>RESINA MÉDIA</t>
  </si>
  <si>
    <t>MP00030</t>
  </si>
  <si>
    <t>RESINA FENOLADA</t>
  </si>
  <si>
    <t>MP00002</t>
  </si>
  <si>
    <t>AGUARRAS</t>
  </si>
  <si>
    <t>MP00017</t>
  </si>
  <si>
    <t>DISASTAB</t>
  </si>
  <si>
    <t>MP00060</t>
  </si>
  <si>
    <t>PASTA BRANCA ESMALTE</t>
  </si>
  <si>
    <t>MP00032</t>
  </si>
  <si>
    <t>SOLUÇÃO SECANTE</t>
  </si>
  <si>
    <t>MP00008</t>
  </si>
  <si>
    <t>ANTIPELE</t>
  </si>
  <si>
    <t>RESINA MÉDIA - 170</t>
  </si>
  <si>
    <t>RESINA FENOLADA - 970</t>
  </si>
  <si>
    <t>AGUARRAS - BANRAS</t>
  </si>
  <si>
    <t>SOLUÇÃO SECANTE - COMBO 4455</t>
  </si>
  <si>
    <t>ANTIPELE - SCINEX</t>
  </si>
  <si>
    <t>MP00054</t>
  </si>
  <si>
    <t>PASTA VERMELHO ESCARLATE ESMALTE</t>
  </si>
  <si>
    <t>MP00051</t>
  </si>
  <si>
    <t>PASTA VERMELHO ÓXIDO ESMALTE</t>
  </si>
  <si>
    <t>MP00052</t>
  </si>
  <si>
    <t>PASTA AZUL</t>
  </si>
  <si>
    <t>PASTA VERMELHO ESCARLATE</t>
  </si>
  <si>
    <t>MP00059</t>
  </si>
  <si>
    <t>PASTA PRETO ESMALTE</t>
  </si>
  <si>
    <t>PASTA AZUL ESMALTE</t>
  </si>
  <si>
    <t>MP00055</t>
  </si>
  <si>
    <t>PASTA AMARELO ÓXIDO ESMALTE</t>
  </si>
  <si>
    <t>MP00053</t>
  </si>
  <si>
    <t>PASTA AMARELO LIMPO ESMALTE</t>
  </si>
  <si>
    <t>MP00050</t>
  </si>
  <si>
    <t>PASTA VERDE ESMALTE</t>
  </si>
  <si>
    <t>PASTA AMARELO OXIDO ESMALTE</t>
  </si>
  <si>
    <t>PASTA AMARELO LIMPO (2GX)</t>
  </si>
  <si>
    <t>Complementos</t>
  </si>
  <si>
    <t>COMPLEMENTOS</t>
  </si>
  <si>
    <t>carbonato # 325</t>
  </si>
  <si>
    <t>MP00039</t>
  </si>
  <si>
    <t>SUPRAWAN RA 7</t>
  </si>
  <si>
    <t>MP00020</t>
  </si>
  <si>
    <t>ESPESSANTE DE ALTA</t>
  </si>
  <si>
    <t>MP00011</t>
  </si>
  <si>
    <t>BENTONITA</t>
  </si>
  <si>
    <t>Pasta de Pigmentos Esm Sint</t>
  </si>
  <si>
    <t>PASTA DE PIGMENTO</t>
  </si>
  <si>
    <t>MP00044</t>
  </si>
  <si>
    <t>DISPERBYK 108 BD25KG</t>
  </si>
  <si>
    <t>PASTA DE PIGMENTO PRETO ESMALTE</t>
  </si>
  <si>
    <t>PRETO SPECTRA PR</t>
  </si>
  <si>
    <t>PASTA DE PIGMENTO AMARELO OXIDO ESMALTE</t>
  </si>
  <si>
    <t>AMARELO SPECTRA RO</t>
  </si>
  <si>
    <t>PASTA DE PIGMENTO AZUL ESMALTE</t>
  </si>
  <si>
    <t>AZUL SPECTRA BETA</t>
  </si>
  <si>
    <t>PASTA DE PIGMENTO VERMELHO ESCARLATE ESMALTE</t>
  </si>
  <si>
    <t>MP00046</t>
  </si>
  <si>
    <t>VERMELHO TRANSCOR</t>
  </si>
  <si>
    <t>PASTA DE PIGMENTO VERDE ESMALTE</t>
  </si>
  <si>
    <t>MP00042</t>
  </si>
  <si>
    <t>VERDE SPECTRA B</t>
  </si>
  <si>
    <t>MP00061</t>
  </si>
  <si>
    <t>PASTA DE PIGMENTO LARANJA ESMALTE</t>
  </si>
  <si>
    <t>MP00043</t>
  </si>
  <si>
    <t>LARANJA SPECTRA GG</t>
  </si>
  <si>
    <t>PASTA DE PIGMENTOS AMARELO LIMPO ESMALTE</t>
  </si>
  <si>
    <t>MP00045</t>
  </si>
  <si>
    <t>AMARELO TRANSCOR</t>
  </si>
  <si>
    <t>PASTA DE PIGMENTO VERMELHO ÓXIDO ESMALTE</t>
  </si>
  <si>
    <t>MP00036</t>
  </si>
  <si>
    <t>VERMELHO SPECTRA RO</t>
  </si>
  <si>
    <t>CONCENTRADO</t>
  </si>
  <si>
    <t>MP00056</t>
  </si>
  <si>
    <t>EXTENDER SEMI BRILHO</t>
  </si>
  <si>
    <t>COD</t>
  </si>
  <si>
    <t>DESCRIÇÃO TÉCNICA</t>
  </si>
  <si>
    <t>NOME</t>
  </si>
  <si>
    <t>CUSTO
UNT</t>
  </si>
  <si>
    <t>Última Atualização</t>
  </si>
  <si>
    <t>EMB0020</t>
  </si>
  <si>
    <t>EMB0026</t>
  </si>
  <si>
    <t>EMB0024</t>
  </si>
  <si>
    <t>EMB0025</t>
  </si>
  <si>
    <t>BRAZIMIL LÁTEX STANDARD INT/EXT FOSCO 3L BRANCO</t>
  </si>
  <si>
    <t>EMB0021</t>
  </si>
  <si>
    <t>BRAZIMIL LÁTEX STANDARD INT/EXT SEMIBRILHO 3L BRANCO</t>
  </si>
  <si>
    <t>BRAZIMIL LÁTEX STANDARD INT/EXT FOSCO 15L BRANCO</t>
  </si>
  <si>
    <t>EMB0022</t>
  </si>
  <si>
    <t>BRAZIMIL LÁTEX STANDARD INT/EXT SEMIBRILHO 15L BRANCO</t>
  </si>
  <si>
    <t>EMB0018</t>
  </si>
  <si>
    <t>EMB0016</t>
  </si>
  <si>
    <t>EMB0019</t>
  </si>
  <si>
    <t>EMB0017</t>
  </si>
  <si>
    <t>Statua</t>
  </si>
  <si>
    <t>Cód</t>
  </si>
  <si>
    <t>Descrição Técnica</t>
  </si>
  <si>
    <t>Nome</t>
  </si>
  <si>
    <t>Preço 
Unitário Final</t>
  </si>
  <si>
    <t>Frete Final</t>
  </si>
  <si>
    <t>Preço total</t>
  </si>
  <si>
    <t xml:space="preserve">Estoque </t>
  </si>
  <si>
    <t>Unidade</t>
  </si>
  <si>
    <t>Ativo</t>
  </si>
  <si>
    <t>EMB0001</t>
  </si>
  <si>
    <t>BALDE PP 15 S A BRANCO 03.20 ALCA LEITOSA (PALETIZADO) - FD 40</t>
  </si>
  <si>
    <t>BALDE BRANCO 15 L</t>
  </si>
  <si>
    <t>Unidade (UN)</t>
  </si>
  <si>
    <t>EMB0002</t>
  </si>
  <si>
    <t>BALDE PP 3,6 N BRANCO 03.20 ALCA LEITOSA (PALETIZADO) - FD 40 B36A00569</t>
  </si>
  <si>
    <t>BALDE BRANCO 3,6 L</t>
  </si>
  <si>
    <t>EMB0003</t>
  </si>
  <si>
    <t>ROT IMP PIC 41,3X20,7X0,013 BRAZIMIL 15L PICOTADA</t>
  </si>
  <si>
    <t>ROTULO 15 L</t>
  </si>
  <si>
    <t>EMB0004</t>
  </si>
  <si>
    <t>ROT IMP PIC 24,7X13,2X0,013 BRAZIMIL 3,6 PICOTADA</t>
  </si>
  <si>
    <t>ROTULO 3,6 L</t>
  </si>
  <si>
    <t>EMB0005</t>
  </si>
  <si>
    <t>TAMPA PP TX 18 B AMARELO 01.65 - FD 42 PL/SC T18A00123</t>
  </si>
  <si>
    <t>TAMPA AMARELA BD</t>
  </si>
  <si>
    <t>EMB0006</t>
  </si>
  <si>
    <t>TAMPA PP 3,6 N II AMARELO 01.65 - FD 80 PL/SC</t>
  </si>
  <si>
    <t>TAMPA AMARELA GL</t>
  </si>
  <si>
    <t>EMB0007</t>
  </si>
  <si>
    <t>TAMPA PP TX 18 B AZUL 02.38 RC - FD 42 PL/SC T18A00008</t>
  </si>
  <si>
    <t>TAMPA AZUL BD</t>
  </si>
  <si>
    <t>EMB0008</t>
  </si>
  <si>
    <t>TAMPA PP 3,6 N II AZUL 02.38 - FD 80 PL/SC</t>
  </si>
  <si>
    <t>TAMPA AZUL GL</t>
  </si>
  <si>
    <t>EMB0009</t>
  </si>
  <si>
    <t>TAMPA PP TX 18 B BRANCO 03.20 - FD 42 PL/SC</t>
  </si>
  <si>
    <t>TAMPA BRANCA BD</t>
  </si>
  <si>
    <t>EMB0010</t>
  </si>
  <si>
    <t>TAMPA PP 3,6 N II BRANCO 03.20 - FD 80 PL/SC</t>
  </si>
  <si>
    <t>TAMPA BRANCA GL</t>
  </si>
  <si>
    <t>EMB0011</t>
  </si>
  <si>
    <t>LT 016 TINTAS BRAZIMIL BORRACHA LIQUIDA</t>
  </si>
  <si>
    <t>Não encontrado</t>
  </si>
  <si>
    <t>EMB0012</t>
  </si>
  <si>
    <t>LT 001S 3L LAM TINTAS BRAZIMIL ESM SINT EP/GF PLUS</t>
  </si>
  <si>
    <t>EMB0013</t>
  </si>
  <si>
    <t>LT 001S 3L LAM TINTAS BRAZIMIL BORRACHA LIQUIDA EP/GF PLUS OC</t>
  </si>
  <si>
    <t>EMB0014</t>
  </si>
  <si>
    <t>LT 004S LAM TINTAS BRAZIMIL ESMALTE SINT. EP/GF PLUS 750ML OC</t>
  </si>
  <si>
    <t>EMB0015</t>
  </si>
  <si>
    <t>CLICHE OS 8150 BRAZIMIL CORINGA 15L OS 188617</t>
  </si>
  <si>
    <t>LATA T 016 TINTAS BORRACHA LIQUIDA</t>
  </si>
  <si>
    <t>LATA 001S 3L LAM TINTAS BRAZIMIL ESM SINT EP/GF PLUS</t>
  </si>
  <si>
    <t>LATA 001S 3L LAM TINTAS BORRACHA LIQUIDA EP/GF PLUS</t>
  </si>
  <si>
    <t>LATA 004S LAM TINTAS ESMALTE SINT. EP/GF PLUS 750ML</t>
  </si>
  <si>
    <t>BALDE BRANCO COM TAMPA BRANCA 3 L HTD</t>
  </si>
  <si>
    <t>Cj Balde para Complementos</t>
  </si>
  <si>
    <t>BALDE BRANCO COM TAMPA AZUL 3,6 L HTD</t>
  </si>
  <si>
    <t>Cj Balde para Standard/Semibrilho e Fosca</t>
  </si>
  <si>
    <t>BALDE BRANCO COM TAMPA AZUL 15 L HTD</t>
  </si>
  <si>
    <t>EMB0023</t>
  </si>
  <si>
    <t>BALDE BRANCO COM TAMPA BANCA 3,6 L HTD</t>
  </si>
  <si>
    <t>Cj Balde para Complementos Inativo</t>
  </si>
  <si>
    <t>BALDE BRANCO COM TAMPA AMARELA 3,6 L HTD</t>
  </si>
  <si>
    <t>Cj Balde para Econômica</t>
  </si>
  <si>
    <t>BALDE BRANCO COM TAMPA AMARELA 15 L HTD</t>
  </si>
  <si>
    <t>BALDE BRANCO COM TAMPA BRANCA 15 L HTD</t>
  </si>
  <si>
    <t>Litro (L)</t>
  </si>
  <si>
    <t>(**) BAN RAS TBN200L</t>
  </si>
  <si>
    <t>WANALK 70 CE (BH-200)</t>
  </si>
  <si>
    <t>Quilograma (KG)</t>
  </si>
  <si>
    <t>WANCOAT 520 (BR-45)</t>
  </si>
  <si>
    <t>WANFOAM 528 CE (BB-190)</t>
  </si>
  <si>
    <t>SCINEX</t>
  </si>
  <si>
    <t>WANBAC WBT CE (BH-200)</t>
  </si>
  <si>
    <t>REOGEL 400 (SC-25)</t>
  </si>
  <si>
    <t>CALCARIO DOLOMITICO #325 ( SACOS 25 KG)</t>
  </si>
  <si>
    <t>CARBONATO #325</t>
  </si>
  <si>
    <t>MP00013</t>
  </si>
  <si>
    <t>DCG77 (SACO 40 KG)</t>
  </si>
  <si>
    <t>CARBONATO #40</t>
  </si>
  <si>
    <t>CALCARIO DOLOMITICO #500 ( SACOS 25 KG)</t>
  </si>
  <si>
    <t>CARBONATO #500</t>
  </si>
  <si>
    <t>CAULIM MALHA 325</t>
  </si>
  <si>
    <t>caulim</t>
  </si>
  <si>
    <t>WANSOL 340 CE (BB-200)</t>
  </si>
  <si>
    <t>Disastab Gat (Bb 220 Kg)</t>
  </si>
  <si>
    <t>MP00018</t>
  </si>
  <si>
    <t>LIOSPERSE 657</t>
  </si>
  <si>
    <t>DISPERSANTE ESMALTE</t>
  </si>
  <si>
    <t>WANPEX 1510 (BB-200)</t>
  </si>
  <si>
    <t>WANESP 450 CE (CT-1000P)</t>
  </si>
  <si>
    <t>MODIWAN 105H CE (CT-1000P)</t>
  </si>
  <si>
    <t>UREWAN 361 (BB-200)</t>
  </si>
  <si>
    <t>WANFUNG WFT CE (BH-200)</t>
  </si>
  <si>
    <t>WANCOAT PA70 (BR-45)</t>
  </si>
  <si>
    <t>TURBOWAN H CE (BH-200)</t>
  </si>
  <si>
    <t>WANCRIL W 51 CE (CT-1000P)</t>
  </si>
  <si>
    <t>WANCRIL IMP 09 (BB-200)</t>
  </si>
  <si>
    <t>RESINA ALQUIDICA 970</t>
  </si>
  <si>
    <t>RESINA ALQUIDICA 170</t>
  </si>
  <si>
    <t>LIOPLEX COMBO 4455</t>
  </si>
  <si>
    <t>DIOXIDO DE TITANIO RUTILO R-996</t>
  </si>
  <si>
    <t>WANSUR 840 CE (BB-200)01</t>
  </si>
  <si>
    <t>WHITE PLUS PB (SC-25) (Em negociação)</t>
  </si>
  <si>
    <t>SUPRAWAN RA 7 (SC-25)</t>
  </si>
  <si>
    <t>AMARELO TRANSCOR GXTO</t>
  </si>
  <si>
    <t>VERMELHO TRANSCOR RLM</t>
  </si>
  <si>
    <t>HEXAMETAFOSFATO DE SODIO</t>
  </si>
  <si>
    <t>MP00048</t>
  </si>
  <si>
    <t>ROSA SPECTRAPRINT FS</t>
  </si>
  <si>
    <t>MP00049</t>
  </si>
  <si>
    <t>VIOLETA SPECTRAPRINT RL</t>
  </si>
  <si>
    <t>PASTA DE PIGMENTO AMARELO LIMPO ESMALTE</t>
  </si>
  <si>
    <t>PASTA DE PIGMENTO AMARELO ÓXIDO ESMALTE</t>
  </si>
  <si>
    <t>MISTURA CONCENTRADO SEMI BRILHO</t>
  </si>
  <si>
    <t>PASTA LARANJA ESMALTE</t>
  </si>
  <si>
    <t>Mapeamento de Custos e Despesas</t>
  </si>
  <si>
    <t>Obs.: Despesas Fixas Administrativas</t>
  </si>
  <si>
    <t>Obs.: Despesas Ligadas ao CMV:</t>
  </si>
  <si>
    <t>Descrição</t>
  </si>
  <si>
    <t>Composição</t>
  </si>
  <si>
    <t>Custo Efetivo Mensal</t>
  </si>
  <si>
    <t>Imóveis</t>
  </si>
  <si>
    <t>Aluguéis</t>
  </si>
  <si>
    <t>Aluguel Galpão 1 15.000</t>
  </si>
  <si>
    <t>Galpão 2 1.980</t>
  </si>
  <si>
    <t>Manutenção Predial</t>
  </si>
  <si>
    <t>Condomínios</t>
  </si>
  <si>
    <t xml:space="preserve">Manutenção e Conservação de Instalações Própria </t>
  </si>
  <si>
    <t>Impostos, Taxas e Seguros</t>
  </si>
  <si>
    <t>Anuidades</t>
  </si>
  <si>
    <t>Sindical e Confederativa</t>
  </si>
  <si>
    <t>Cartórios e Registros</t>
  </si>
  <si>
    <t>Contribuições e Associações de Classe</t>
  </si>
  <si>
    <t xml:space="preserve">IPTU Galpão 1 + IPTU Galpão 2 </t>
  </si>
  <si>
    <t>Alvará</t>
  </si>
  <si>
    <t>Impostos/Taxas e Emolumentos</t>
  </si>
  <si>
    <t>Seguros</t>
  </si>
  <si>
    <t>Informática</t>
  </si>
  <si>
    <t>Telefone e Internet</t>
  </si>
  <si>
    <t>Internet galpão 127,27 + escritório 222 + vivo 49,99</t>
  </si>
  <si>
    <t>Manutenção e Locação de programas</t>
  </si>
  <si>
    <t xml:space="preserve">Sistema OMIEXPERIENCE </t>
  </si>
  <si>
    <t>Impressos e Gráficos</t>
  </si>
  <si>
    <t xml:space="preserve">Materiais de Informática </t>
  </si>
  <si>
    <t>Assessoria em Informática</t>
  </si>
  <si>
    <t>Institucional</t>
  </si>
  <si>
    <t>Eventos e comemorações</t>
  </si>
  <si>
    <t>Lanches, Refeições e Conduções</t>
  </si>
  <si>
    <t>Brindes</t>
  </si>
  <si>
    <t>Jurídico</t>
  </si>
  <si>
    <t>Assessoria Jurídica</t>
  </si>
  <si>
    <t>Veículos e Máquinas de Apoio</t>
  </si>
  <si>
    <t>Combustíveis, Lubrificantes e Gás</t>
  </si>
  <si>
    <t>Licenciamentos</t>
  </si>
  <si>
    <t>Manutenção de Veículos</t>
  </si>
  <si>
    <t>Manutenção de Máquinas e Equipamentos de Apoio</t>
  </si>
  <si>
    <t>Projeção Mensal</t>
  </si>
  <si>
    <t>Locação de Veículos Indiretos</t>
  </si>
  <si>
    <t>Locação de equipamentos Indiretos</t>
  </si>
  <si>
    <t>Terceiros</t>
  </si>
  <si>
    <t>Limpeza e Conservação</t>
  </si>
  <si>
    <t>Material de Higiene e Limpeza</t>
  </si>
  <si>
    <t>Assessoria Empresarial</t>
  </si>
  <si>
    <t>Assessoria Contábil</t>
  </si>
  <si>
    <t>Martins Consultoria</t>
  </si>
  <si>
    <t>Assessoria em Engenharia</t>
  </si>
  <si>
    <t>Serviços Prestados Pessoa Jurídica</t>
  </si>
  <si>
    <t>Assesoria Química</t>
  </si>
  <si>
    <t>Assesoria Financeira</t>
  </si>
  <si>
    <t>Assesoria Fiscal</t>
  </si>
  <si>
    <t>Serviços Prestados Pessoa Física</t>
  </si>
  <si>
    <t>Segurança Patrimonial</t>
  </si>
  <si>
    <t>Utilidades</t>
  </si>
  <si>
    <t>Energia Elétrica</t>
  </si>
  <si>
    <t>Considerar Flat</t>
  </si>
  <si>
    <t>Água e Esgoto</t>
  </si>
  <si>
    <t>Coleta de Resíduos</t>
  </si>
  <si>
    <t>Livros, Jornais e Periódicos</t>
  </si>
  <si>
    <t>Material de Expediente</t>
  </si>
  <si>
    <t>Bens de Pequeno Valor</t>
  </si>
  <si>
    <t xml:space="preserve">Utensílios Diversos </t>
  </si>
  <si>
    <t>Material de Uso e Consumo</t>
  </si>
  <si>
    <t xml:space="preserve">Suprimentos de Copa </t>
  </si>
  <si>
    <t>Viagens</t>
  </si>
  <si>
    <t>Despesas com Viagens</t>
  </si>
  <si>
    <t>Orientações: Incluir os materiais consumíveis usados no processo produtivo, mas que não entram na composição da tinta.</t>
  </si>
  <si>
    <t>Obs.1: Não é necessário preencher as células em cinza.</t>
  </si>
  <si>
    <t>Materiais auxiliares de produção</t>
  </si>
  <si>
    <t>Unid. De Medida</t>
  </si>
  <si>
    <t>Preço
(Sem IPI)</t>
  </si>
  <si>
    <t>IPI
%</t>
  </si>
  <si>
    <t>ICMS
%</t>
  </si>
  <si>
    <t>Frete
R$</t>
  </si>
  <si>
    <t>ICMS 
Frt. %</t>
  </si>
  <si>
    <t>Perda
%</t>
  </si>
  <si>
    <t>Custo Efetivo</t>
  </si>
  <si>
    <t>Filme Stretch</t>
  </si>
  <si>
    <t>un</t>
  </si>
  <si>
    <t>Material de Limpeza industrial</t>
  </si>
  <si>
    <t>Luvas e EPIs descartáveis</t>
  </si>
  <si>
    <t>Embalagens intermediárias para manipulação interna (bombonas, baldes reutilizáveis)</t>
  </si>
  <si>
    <t>Outros (descrever)</t>
  </si>
  <si>
    <t>Materiais de manutenção da planta fabril (produção)</t>
  </si>
  <si>
    <t>Solventes de limpeza das máquinas</t>
  </si>
  <si>
    <t>Filtros industriais</t>
  </si>
  <si>
    <t>Óleos lubrificantes e graxas para máquinas</t>
  </si>
  <si>
    <t>Peças de reposição de uso rotineiro para reatores, bombas, agitadores etc.</t>
  </si>
  <si>
    <t>Ferramentas de uso interno da produção (chaves, alicates, mangueiras)</t>
  </si>
  <si>
    <t>Energia e utilidades (se forem rateados por produto)</t>
  </si>
  <si>
    <t>Gás para empilhadeira (20kg)</t>
  </si>
  <si>
    <t>Ferramentas e utensílios de produção</t>
  </si>
  <si>
    <t>Porta Palets</t>
  </si>
  <si>
    <t>Componentes de controle de qualidade (se aplicados à produção em linha)</t>
  </si>
  <si>
    <t>Solventes e reagentes para testes de viscosidade, pH, aderência etc. (se usados em inspeção contínua na linha)</t>
  </si>
  <si>
    <t>Serviços de Terceiros (Industriais) (se houver)</t>
  </si>
  <si>
    <t>Imposto Incidente</t>
  </si>
  <si>
    <t>Alíquota</t>
  </si>
  <si>
    <t>Manutenção, limpeza industrial, apoio à produção</t>
  </si>
  <si>
    <t>Locação de Containers</t>
  </si>
  <si>
    <t>Locação de Máquinas e Equipamentos</t>
  </si>
  <si>
    <t>Locação de Veículos</t>
  </si>
  <si>
    <t>Locação de Ferramentas</t>
  </si>
  <si>
    <t>Locação de Terrenos e Imóveis</t>
  </si>
  <si>
    <t>Salários Ligados à Produção</t>
  </si>
  <si>
    <t>Setor</t>
  </si>
  <si>
    <t>Função</t>
  </si>
  <si>
    <t>Remuneração Total (Mensal)</t>
  </si>
  <si>
    <t>PROVISÃO</t>
  </si>
  <si>
    <t>ENCARGO MENSAL</t>
  </si>
  <si>
    <t>Ordenados</t>
  </si>
  <si>
    <t>Encargos</t>
  </si>
  <si>
    <t>Provisões</t>
  </si>
  <si>
    <t>Benefícios</t>
  </si>
  <si>
    <t>TT</t>
  </si>
  <si>
    <t>13ª</t>
  </si>
  <si>
    <t>1 mês de férias</t>
  </si>
  <si>
    <t>1/3 das férias</t>
  </si>
  <si>
    <t>FGTS Mensal</t>
  </si>
  <si>
    <t>FGTS do 13º</t>
  </si>
  <si>
    <t>FGTS das férias</t>
  </si>
  <si>
    <t>INSS Patronal</t>
  </si>
  <si>
    <t>FGTS</t>
  </si>
  <si>
    <t>Produção</t>
  </si>
  <si>
    <t>Auxiliar de Produção</t>
  </si>
  <si>
    <t>Líder de Produção</t>
  </si>
  <si>
    <t>Salários Não Ligados à Produção</t>
  </si>
  <si>
    <t>Administrativo</t>
  </si>
  <si>
    <t>Analista Administrativo</t>
  </si>
  <si>
    <t>Analista Compras</t>
  </si>
  <si>
    <t>Logística</t>
  </si>
  <si>
    <t>Analista de Logística</t>
  </si>
  <si>
    <t>Serviços Gerais</t>
  </si>
  <si>
    <t>ASG</t>
  </si>
  <si>
    <t>Orientações: Incluir as despesas que se aplicam ao custo da mercadoria vendida</t>
  </si>
  <si>
    <t>Logística de distribuição</t>
  </si>
  <si>
    <t>Frete Incluso no Preço</t>
  </si>
  <si>
    <t>Diária</t>
  </si>
  <si>
    <t>,</t>
  </si>
  <si>
    <t>Comercial</t>
  </si>
  <si>
    <t>Propaganda, feiras, amostras, marketing</t>
  </si>
  <si>
    <t>Orientações: Mapear os bens/ativos da empresa</t>
  </si>
  <si>
    <t>Depreciação Ligada à Produção</t>
  </si>
  <si>
    <t>Descrição do Bem</t>
  </si>
  <si>
    <t>Setor Localização</t>
  </si>
  <si>
    <t>Cálculo da Depreciação</t>
  </si>
  <si>
    <t>Depreciação Mensal</t>
  </si>
  <si>
    <t>Valor de Aquisição</t>
  </si>
  <si>
    <t>Vida Útil (Anos)</t>
  </si>
  <si>
    <t>%
Depreciado</t>
  </si>
  <si>
    <t>Valor Depreciado</t>
  </si>
  <si>
    <t>% Residual</t>
  </si>
  <si>
    <t>Valor Residual</t>
  </si>
  <si>
    <t>Exemplo</t>
  </si>
  <si>
    <t>Misturador</t>
  </si>
  <si>
    <t>Galpão 1</t>
  </si>
  <si>
    <t>Depreciação Não Ligada à Produção</t>
  </si>
  <si>
    <t>%
Residual</t>
  </si>
  <si>
    <t>% Depreciado</t>
  </si>
  <si>
    <t>Caminhão</t>
  </si>
  <si>
    <t>Computador</t>
  </si>
  <si>
    <t>NOME COMUM</t>
  </si>
  <si>
    <t>FÓRMULA BASE</t>
  </si>
  <si>
    <t>PROPORÇÃO</t>
  </si>
  <si>
    <t>PESO FÓRMULA</t>
  </si>
  <si>
    <t>PESO/LITRAGEM FINAL</t>
  </si>
  <si>
    <t>CUSTO FÓRMULA</t>
  </si>
  <si>
    <t>x</t>
  </si>
  <si>
    <t>Fator de Conversão/Densidade</t>
  </si>
  <si>
    <t>UN</t>
  </si>
  <si>
    <t>Qtde.</t>
  </si>
  <si>
    <t>Vir.Unit.</t>
  </si>
  <si>
    <t>Desc (%)</t>
  </si>
  <si>
    <t>Vir.Unit.Liq</t>
  </si>
  <si>
    <t>Vir.Total</t>
  </si>
  <si>
    <t>BELLA SELADOR ACRILICO 15L</t>
  </si>
  <si>
    <t>LT</t>
  </si>
  <si>
    <t>BELLA SELADOR ACRILICO 3,0L</t>
  </si>
  <si>
    <t>GL</t>
  </si>
  <si>
    <t>BELLA SEMIBRILHO BRANCO NEVE 3,0L</t>
  </si>
  <si>
    <t>BELLA SEMIBRILHO BRANCO GELO 3,0L</t>
  </si>
  <si>
    <t>BELLA SEMIBRILHO PEROLA 3,0L</t>
  </si>
  <si>
    <t>SEMI BRILHO BELLA CROMO SUAVE 3,0L</t>
  </si>
  <si>
    <t>SEMI BRILHO BELLA AZUL SERENO 3,0L</t>
  </si>
  <si>
    <t>BELLA SEMIBRILHO VERM. GARANTIDO 3,0L</t>
  </si>
  <si>
    <t>BELLA SEMIBRILHO AZUL CAPRICHOSO 3,0L</t>
  </si>
  <si>
    <t>BELLA SEMIBRILHO VERDE FOLHA 3,0L</t>
  </si>
  <si>
    <t>BELLA SEMIBRILHO MENTA 3,0L</t>
  </si>
  <si>
    <t>BELLA SEMIBRILHO AMARELO CANÁRIO 3,0L</t>
  </si>
  <si>
    <t>BELLA INT. BRANCO GELO 3,0L</t>
  </si>
  <si>
    <t>BELLA INT. MARFIM 3,0L</t>
  </si>
  <si>
    <t>BELLA INT. BRANCO NEVE 3,0L</t>
  </si>
  <si>
    <t>BELLA INT. AMARELO MILHO 3,0L</t>
  </si>
  <si>
    <t>BELLA INT. AREIA 3,0L</t>
  </si>
  <si>
    <t>BELLA INT. AZUL CELESTE 3,0L</t>
  </si>
  <si>
    <t>BELLA INT. PALHA 3,0L</t>
  </si>
  <si>
    <t>BELLA INT. PEROLA 3,0L</t>
  </si>
  <si>
    <t>BELLA INT. VERDE AMAZONAS 3,0L</t>
  </si>
  <si>
    <t>BELLA MASSA CORRIDA 20 KG</t>
  </si>
  <si>
    <t>BELLA MASSA ACRILICA 20 KG</t>
  </si>
  <si>
    <t>BELLA INT. BRANCO NEVE 15L</t>
  </si>
  <si>
    <t>BELLA INT. AMARELO MILHO 15L</t>
  </si>
  <si>
    <t>BELLA INT. AZUL CELESTE 15L</t>
  </si>
  <si>
    <t>BELLA INT. VERDE AMAZONAS 15L</t>
  </si>
  <si>
    <t>BELLA INT. AREIA 15L</t>
  </si>
  <si>
    <t>BELLA INT. BRANCO GELO 15L</t>
  </si>
  <si>
    <t>BELLA SELADORA PI MAD. INCOLOR 3,6L</t>
  </si>
  <si>
    <t>BELLA SEMIBRILHO AÇAI 3,0L</t>
  </si>
  <si>
    <t>BELLA SEMIBRILHO AREIA 3,0L</t>
  </si>
  <si>
    <t>SEMI BRILHO BELLA AZUL TURQUESA 3,0L</t>
  </si>
  <si>
    <t>BELLA INT. AZUL NETUNO 3,0L</t>
  </si>
  <si>
    <t>BELLA INT. AZUL NETUNO 15L</t>
  </si>
  <si>
    <t>BELLA SEMIBRILHO VERDE LIMÃO 15L</t>
  </si>
  <si>
    <t>BELLA SEMIBRILHO AÇAI 15L</t>
  </si>
  <si>
    <t>BELLA SEMIBRILHO AMARELO CANÁRIO 15L</t>
  </si>
  <si>
    <t>BELLA SEMIBRILHO AREIA 15L</t>
  </si>
  <si>
    <t>SEMI BRILHO BELLA AZUL BEBÊ 15L</t>
  </si>
  <si>
    <t>BELLA SEMIBRILHO AZUL CAPRICHOSO 15L</t>
  </si>
  <si>
    <t>SEMI BRILHO BELLA AZUL TURQUESA 15L</t>
  </si>
  <si>
    <t>BELLA SEMIBRILHO BRANCO GELO 15L</t>
  </si>
  <si>
    <t>BELLA SEMIBRILHO BRANCO NEVE 15L</t>
  </si>
  <si>
    <t>BELLA SEMIBRILHO CAMURÇA 15L</t>
  </si>
  <si>
    <t>BELLA SEMIBRILHO MARFIM 15L</t>
  </si>
  <si>
    <t>BELLA SEMIBRILHO MENTA 15L</t>
  </si>
  <si>
    <t>BELLA SEMIBRILHO PÉROLA 15L</t>
  </si>
  <si>
    <t>BELLA SEMIBRILHO VERDE FOLHA 15L</t>
  </si>
  <si>
    <t>BELLA SEMIBRILHO VERM. GARANTIDO 15L</t>
  </si>
  <si>
    <t>BELLA ZARCAO LARANJA 3,0L</t>
  </si>
  <si>
    <t>BELLA ZARCAO CINZA 3,0L</t>
  </si>
  <si>
    <t>BELLA ZARCAO PRETO 3,0L</t>
  </si>
  <si>
    <t>BELLA ZARCAO VERMELHO OXIDO 3,0L</t>
  </si>
  <si>
    <t>BELLA INT. AMARELO CANÁRIO 15L</t>
  </si>
  <si>
    <t>BELLA INT. NEBLINA PERENE 15L</t>
  </si>
  <si>
    <t>BELLA INT. VERDE FLORESTA 15L</t>
  </si>
  <si>
    <t>BELLA INT. NEBLINA PERENE 3,0L</t>
  </si>
  <si>
    <t>BELLA INT. AMARELO CANÁRIO 3,0L</t>
  </si>
  <si>
    <t>BELLA INT. VERDE FLORESTA 3,0L</t>
  </si>
  <si>
    <t>BELLA VERNIZ INCOLOR 3,0L</t>
  </si>
  <si>
    <t>BELLA VERNIZ CEREJEIRA 3,0L</t>
  </si>
  <si>
    <t>BELLA VERNIZ MOGNO 3,0L</t>
  </si>
  <si>
    <t>BELLA ZARCAO CINZA 0,75L</t>
  </si>
  <si>
    <t>BELLA ZARCAO VERMELHO ÓXIDO 0,75L</t>
  </si>
  <si>
    <t>BELLA VERNIZ NOGUEIRA 3,0L</t>
  </si>
  <si>
    <t>BELLA VERNIZ IMBUIA 3,0L</t>
  </si>
  <si>
    <t>BELLA ZARCAO PRETO 0,75L</t>
  </si>
  <si>
    <t>BELLA ZARCAO LARANJA 0,75L</t>
  </si>
  <si>
    <t>BELLA MASSA CORRIDA 4,0 KG</t>
  </si>
  <si>
    <t>BELLA MASSA ACRILICA 4,0 KG</t>
  </si>
  <si>
    <t>BELLA VERNIZ CEREJEIRA 0,75L</t>
  </si>
  <si>
    <t>BELLA VERNIZ IMBUIA 0,75L</t>
  </si>
  <si>
    <t>BELLA VERNIZ INCOLOR 0,75L</t>
  </si>
  <si>
    <t>BELLA VERNIZ MOGNO 0,75L</t>
  </si>
  <si>
    <t>BELLA VERNIZ NOGUEIRA 0,75L</t>
  </si>
  <si>
    <t>ANÁLISE DE CUSTOS FIXOS E PISOS DE PREÇO — METODOLOGIA CORRIGIDA</t>
  </si>
  <si>
    <t>PREMISSAS DO MODELO</t>
  </si>
  <si>
    <t>CF Total Mapeado (Despesas Fixas)</t>
  </si>
  <si>
    <t>R$ 95.154/mês — total real</t>
  </si>
  <si>
    <t>CF Ligados ao CMV (embutidos)</t>
  </si>
  <si>
    <t>Parcela alocada à produção</t>
  </si>
  <si>
    <t>CF Administrativos</t>
  </si>
  <si>
    <t>Despesas de estrutura</t>
  </si>
  <si>
    <t>Volume médio mensal (unidades)</t>
  </si>
  <si>
    <t>Estimativa base — ajustar conforme real</t>
  </si>
  <si>
    <t>Comissão (%)</t>
  </si>
  <si>
    <t>Parâmetro da planilha</t>
  </si>
  <si>
    <t>Carga tributária ZFM CE 55% (%)</t>
  </si>
  <si>
    <t>11,55% = carga correta ZFM Bens Finais</t>
  </si>
  <si>
    <t>CV Puro
(I+E+F)</t>
  </si>
  <si>
    <t>PLV
(Preço Líq.)</t>
  </si>
  <si>
    <t>Preço
Praticado</t>
  </si>
  <si>
    <t>MC Correta
R$/un</t>
  </si>
  <si>
    <t>MC %
Correta</t>
  </si>
  <si>
    <t>CF Unitário
(CF/vol)</t>
  </si>
  <si>
    <t>Preço Mínimo
CP (var.)</t>
  </si>
  <si>
    <t>Preço
Sustentável</t>
  </si>
  <si>
    <t>Gap
(Praticado vs Sust.)</t>
  </si>
  <si>
    <t>MÉDIAS DO PORTFÓLIO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</si>
</sst>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#,##0.00_ ;\-#,##0.00\ "/>
    <numFmt numFmtId="165" formatCode="&quot;R$ &quot;#,##0.00"/>
    <numFmt numFmtId="166" formatCode="&quot;R$ &quot;#,##0;[Red]&quot;-R$ &quot;#,##0"/>
    <numFmt numFmtId="167" formatCode="_-&quot;R$ &quot;* #,##0.00_-;&quot;-R$ &quot;* #,##0.00_-;_-&quot;R$ &quot;* \-??_-;_-@"/>
    <numFmt numFmtId="168" formatCode="_-* #,##0.00_-;\-* #,##0.00_-;_-* \-??_-;_-@"/>
    <numFmt numFmtId="169" formatCode="_(\$* #,##0.00_);_(\$* \(#,##0.00\);_(\$* \-??_);_(@_)"/>
    <numFmt numFmtId="170" formatCode="_-&quot;R$ &quot;* #,##0.00_-;&quot;-R$ &quot;* #,##0.00_-;_-&quot;R$ &quot;* \-??_-;_-@_-"/>
    <numFmt numFmtId="171" formatCode="0.0%"/>
    <numFmt numFmtId="172" formatCode="_(* #,##0.00_);_(* \(#,##0.00\);_(* \-??_);_(@_)"/>
    <numFmt numFmtId="173" formatCode="_-* #,##0.00_-;\-* #,##0.00_-;_-* \-??_-;_-@_-"/>
    <numFmt numFmtId="174" formatCode="_-&quot;R$ &quot;* #,##0_-;&quot;-R$ &quot;* #,##0_-;_-&quot;R$ &quot;* \-??_-;_-@"/>
    <numFmt numFmtId="175" formatCode="&quot;R$ &quot;#,##0.00;[Red]&quot;-R$ &quot;#,##0.00"/>
    <numFmt numFmtId="176" formatCode="#,##0_ ;[Red]\-#,##0\ "/>
    <numFmt numFmtId="177" formatCode="_-* #,##0_-;\-* #,##0_-;_-* \-??_-;_-@"/>
    <numFmt numFmtId="178" formatCode="m/d/yyyy"/>
    <numFmt numFmtId="179" formatCode="#,##0.00;[Red]\(#,##0.00\)"/>
    <numFmt numFmtId="180" formatCode="#,##0.00;[Red]#,##0.00"/>
    <numFmt numFmtId="181" formatCode="#,##0.0000;[Red]#,##0.0000"/>
    <numFmt numFmtId="182" formatCode="0.000"/>
    <numFmt numFmtId="183" formatCode="#,##0.00;\(#,##0.00\)"/>
  </numFmts>
  <fonts count="47">
    <font>
      <sz val="11"/>
      <color theme="1"/>
      <name val="Aptos Narrow"/>
      <charset val="1"/>
    </font>
    <font>
      <sz val="11"/>
      <color theme="1"/>
      <name val="Aptos Narrow"/>
      <family val="2"/>
      <charset val="1"/>
    </font>
    <font>
      <sz val="10"/>
      <color theme="1"/>
      <name val="Tahoma"/>
      <family val="2"/>
      <charset val="1"/>
    </font>
    <font>
      <b/>
      <sz val="9"/>
      <color rgb="FF005795"/>
      <name val="Calibri"/>
      <family val="2"/>
      <charset val="1"/>
    </font>
    <font>
      <b/>
      <sz val="9"/>
      <color theme="1"/>
      <name val="Calibri"/>
      <family val="2"/>
      <charset val="1"/>
    </font>
    <font>
      <i/>
      <sz val="9"/>
      <color rgb="FF7F7F7F"/>
      <name val="Calibri"/>
      <family val="2"/>
      <charset val="1"/>
    </font>
    <font>
      <b/>
      <sz val="9"/>
      <color theme="0"/>
      <name val="Calibri"/>
      <family val="2"/>
      <charset val="1"/>
    </font>
    <font>
      <sz val="11"/>
      <name val="Aptos Narrow"/>
      <family val="2"/>
      <charset val="1"/>
    </font>
    <font>
      <sz val="8"/>
      <name val="Aptos Narrow"/>
      <family val="2"/>
      <charset val="1"/>
    </font>
    <font>
      <sz val="9"/>
      <name val="Aptos Narrow"/>
      <family val="2"/>
      <charset val="1"/>
    </font>
    <font>
      <sz val="9"/>
      <color theme="1"/>
      <name val="Aptos Narrow"/>
      <family val="2"/>
      <charset val="1"/>
    </font>
    <font>
      <sz val="9"/>
      <color theme="1"/>
      <name val="Calibri"/>
      <family val="2"/>
      <charset val="1"/>
    </font>
    <font>
      <sz val="10"/>
      <name val="Arial"/>
      <family val="2"/>
    </font>
    <font>
      <b/>
      <sz val="9"/>
      <color rgb="FF7F3F00"/>
      <name val="Arial"/>
      <charset val="1"/>
    </font>
    <font>
      <sz val="8"/>
      <color rgb="FF1F3864"/>
      <name val="Arial"/>
      <charset val="1"/>
    </font>
    <font>
      <b/>
      <sz val="14"/>
      <color rgb="FF005795"/>
      <name val="Calibri"/>
      <family val="2"/>
      <charset val="1"/>
    </font>
    <font>
      <b/>
      <i/>
      <sz val="14"/>
      <color rgb="FF005795"/>
      <name val="Calibri"/>
      <family val="2"/>
      <charset val="1"/>
    </font>
    <font>
      <b/>
      <sz val="8"/>
      <color rgb="FF7F3F00"/>
      <name val="Arial"/>
      <charset val="1"/>
    </font>
    <font>
      <b/>
      <sz val="8"/>
      <color rgb="FFFFFFFF"/>
      <name val="Arial"/>
      <charset val="1"/>
    </font>
    <font>
      <b/>
      <sz val="11"/>
      <color theme="1"/>
      <name val="Aptos Narrow"/>
      <family val="2"/>
      <charset val="1"/>
    </font>
    <font>
      <sz val="9"/>
      <color rgb="FF000000"/>
      <name val="Arial"/>
      <charset val="1"/>
    </font>
    <font>
      <b/>
      <sz val="11"/>
      <color theme="1"/>
      <name val="Arial"/>
      <family val="2"/>
      <charset val="1"/>
    </font>
    <font>
      <b/>
      <sz val="18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b/>
      <sz val="12"/>
      <color rgb="FF005795"/>
      <name val="Calibri"/>
      <family val="2"/>
      <charset val="1"/>
    </font>
    <font>
      <b/>
      <i/>
      <sz val="12"/>
      <color rgb="FF005795"/>
      <name val="Calibri"/>
      <family val="2"/>
      <charset val="1"/>
    </font>
    <font>
      <sz val="12"/>
      <color theme="1"/>
      <name val="Aptos Narrow"/>
      <family val="2"/>
      <charset val="1"/>
    </font>
    <font>
      <b/>
      <sz val="11"/>
      <color rgb="FF005795"/>
      <name val="Calibri"/>
      <family val="2"/>
      <charset val="1"/>
    </font>
    <font>
      <b/>
      <sz val="26"/>
      <color theme="1"/>
      <name val="Aptos Narrow"/>
      <family val="2"/>
      <charset val="1"/>
    </font>
    <font>
      <b/>
      <sz val="16"/>
      <color theme="1"/>
      <name val="Aptos Narrow"/>
      <family val="2"/>
      <charset val="1"/>
    </font>
    <font>
      <sz val="8"/>
      <color rgb="FF7F7F7F"/>
      <name val="Aptos Narrow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u/>
      <sz val="11"/>
      <color theme="1"/>
      <name val="Quattrocento Sans"/>
      <family val="2"/>
      <charset val="1"/>
    </font>
    <font>
      <sz val="10"/>
      <color theme="1"/>
      <name val="Aptos Narrow"/>
      <family val="2"/>
      <charset val="1"/>
    </font>
    <font>
      <i/>
      <sz val="10"/>
      <color theme="1"/>
      <name val="Aptos Narrow"/>
      <family val="2"/>
      <charset val="1"/>
    </font>
    <font>
      <b/>
      <sz val="10"/>
      <color rgb="FF005795"/>
      <name val="Calibri"/>
      <family val="2"/>
      <charset val="1"/>
    </font>
    <font>
      <b/>
      <sz val="8"/>
      <color rgb="FF005795"/>
      <name val="Calibri"/>
      <family val="2"/>
      <charset val="1"/>
    </font>
    <font>
      <sz val="11"/>
      <color rgb="FF000000"/>
      <name val="&quot;Aptos Narrow&quot;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i/>
      <sz val="8"/>
      <color rgb="FF595959"/>
      <name val="Arial"/>
      <charset val="1"/>
    </font>
    <font>
      <b/>
      <sz val="10"/>
      <color rgb="FF0000FF"/>
      <name val="Arial"/>
      <charset val="1"/>
    </font>
    <font>
      <sz val="9"/>
      <name val="Arial"/>
      <charset val="1"/>
    </font>
    <font>
      <sz val="11"/>
      <color theme="1"/>
      <name val="Aptos Narrow"/>
      <charset val="1"/>
    </font>
  </fonts>
  <fills count="23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rgb="FFECECA0"/>
        <bgColor rgb="FFFFFF99"/>
      </patternFill>
    </fill>
    <fill>
      <patternFill patternType="solid">
        <fgColor rgb="FFFFFF00"/>
        <bgColor rgb="FFFFC000"/>
      </patternFill>
    </fill>
    <fill>
      <patternFill patternType="solid">
        <fgColor theme="0" tint="-0.499984740745262"/>
        <bgColor rgb="FF7F7F7F"/>
      </patternFill>
    </fill>
    <fill>
      <patternFill patternType="solid">
        <fgColor rgb="FFFFFFFF"/>
        <bgColor rgb="FFF2F2F2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rgb="FFFFF2CC"/>
        <bgColor rgb="FFEAF3DE"/>
      </patternFill>
    </fill>
    <fill>
      <patternFill patternType="solid">
        <fgColor rgb="FFDDEEFF"/>
        <bgColor rgb="FFE6F0FF"/>
      </patternFill>
    </fill>
    <fill>
      <patternFill patternType="solid">
        <fgColor theme="4" tint="0.79989013336588644"/>
        <bgColor rgb="FFC1E4F5"/>
      </patternFill>
    </fill>
    <fill>
      <patternFill patternType="solid">
        <fgColor rgb="FF1E5631"/>
        <bgColor rgb="FF275317"/>
      </patternFill>
    </fill>
    <fill>
      <patternFill patternType="solid">
        <fgColor rgb="FF7030A0"/>
        <bgColor rgb="FF993366"/>
      </patternFill>
    </fill>
    <fill>
      <patternFill patternType="solid">
        <fgColor rgb="FFD8D8D8"/>
        <bgColor rgb="FFD9D9D9"/>
      </patternFill>
    </fill>
    <fill>
      <patternFill patternType="solid">
        <fgColor rgb="FFFFC000"/>
        <bgColor rgb="FFFFFF00"/>
      </patternFill>
    </fill>
    <fill>
      <patternFill patternType="solid">
        <fgColor rgb="FFE6F0FF"/>
        <bgColor rgb="FFDDEEFF"/>
      </patternFill>
    </fill>
    <fill>
      <patternFill patternType="solid">
        <fgColor rgb="FFEAF3DE"/>
        <bgColor rgb="FFF2F2F2"/>
      </patternFill>
    </fill>
    <fill>
      <patternFill patternType="solid">
        <fgColor rgb="FFF1CEEE"/>
        <bgColor rgb="FFD9D9D9"/>
      </patternFill>
    </fill>
    <fill>
      <patternFill patternType="solid">
        <fgColor rgb="FFB3E5A1"/>
        <bgColor rgb="FFC6EFCE"/>
      </patternFill>
    </fill>
    <fill>
      <patternFill patternType="solid">
        <fgColor rgb="FFF2F2F2"/>
        <bgColor rgb="FFEAF3DE"/>
      </patternFill>
    </fill>
    <fill>
      <patternFill patternType="solid">
        <fgColor theme="9"/>
        <bgColor rgb="FF7F7F7F"/>
      </patternFill>
    </fill>
    <fill>
      <patternFill patternType="solid">
        <fgColor rgb="FF1F3864"/>
        <bgColor rgb="FF333399"/>
      </patternFill>
    </fill>
    <fill>
      <patternFill patternType="solid">
        <fgColor rgb="FFC55A11"/>
        <bgColor rgb="FF7F3F00"/>
      </patternFill>
    </fill>
  </fills>
  <borders count="45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C1E4F5"/>
      </left>
      <right style="thin">
        <color rgb="FFC1E4F5"/>
      </right>
      <top style="thin">
        <color rgb="FFC1E4F5"/>
      </top>
      <bottom style="thin">
        <color rgb="FFC1E4F5"/>
      </bottom>
      <diagonal/>
    </border>
    <border>
      <left/>
      <right style="thin">
        <color rgb="FF215E99"/>
      </right>
      <top style="thin">
        <color rgb="FFC1E4F5"/>
      </top>
      <bottom/>
      <diagonal/>
    </border>
    <border>
      <left style="thin">
        <color rgb="FF215E99"/>
      </left>
      <right style="thin">
        <color rgb="FF215E99"/>
      </right>
      <top style="thin">
        <color rgb="FFC1E4F5"/>
      </top>
      <bottom style="thin">
        <color rgb="FFC1E4F5"/>
      </bottom>
      <diagonal/>
    </border>
    <border>
      <left style="thin">
        <color rgb="FF215E99"/>
      </left>
      <right style="thin">
        <color rgb="FF215E99"/>
      </right>
      <top style="thin">
        <color rgb="FFC1E4F5"/>
      </top>
      <bottom/>
      <diagonal/>
    </border>
    <border>
      <left/>
      <right/>
      <top/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/>
      <bottom style="thin">
        <color rgb="FFC1E4F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C1E4F5"/>
      </bottom>
      <diagonal/>
    </border>
    <border>
      <left/>
      <right/>
      <top/>
      <bottom style="thin">
        <color rgb="FFC1E4F5"/>
      </bottom>
      <diagonal/>
    </border>
    <border>
      <left style="thin">
        <color rgb="FF215E99"/>
      </left>
      <right style="thin">
        <color rgb="FF215E99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C1E4F5"/>
      </right>
      <top style="thin">
        <color rgb="FFC1E4F5"/>
      </top>
      <bottom style="thin">
        <color rgb="FFC1E4F5"/>
      </bottom>
      <diagonal/>
    </border>
    <border>
      <left style="thin">
        <color rgb="FFC1E4F5"/>
      </left>
      <right style="thin">
        <color rgb="FFC1E4F5"/>
      </right>
      <top/>
      <bottom style="thin">
        <color rgb="FFC1E4F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999999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/>
      <right style="hair">
        <color rgb="FF7F7F7F"/>
      </right>
      <top style="thin">
        <color rgb="FF999999"/>
      </top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 style="hair">
        <color rgb="FF7F7F7F"/>
      </bottom>
      <diagonal/>
    </border>
  </borders>
  <cellStyleXfs count="6">
    <xf numFmtId="0" fontId="0" fillId="0" borderId="0"/>
    <xf numFmtId="172" fontId="1" fillId="0" borderId="0"/>
    <xf numFmtId="169" fontId="1" fillId="0" borderId="0"/>
    <xf numFmtId="9" fontId="46" fillId="0" borderId="0"/>
    <xf numFmtId="0" fontId="1" fillId="0" borderId="0"/>
    <xf numFmtId="9" fontId="1" fillId="0" borderId="0"/>
  </cellStyleXfs>
  <cellXfs count="311">
    <xf numFmtId="0" fontId="0" fillId="0" borderId="0" xfId="0"/>
    <xf numFmtId="0" fontId="11" fillId="7" borderId="2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7" fillId="4" borderId="8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/>
    </xf>
    <xf numFmtId="0" fontId="5" fillId="0" borderId="0" xfId="0" applyFont="1"/>
    <xf numFmtId="0" fontId="5" fillId="2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7" xfId="0" applyFont="1" applyBorder="1"/>
    <xf numFmtId="0" fontId="3" fillId="4" borderId="8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center" vertical="center"/>
    </xf>
    <xf numFmtId="0" fontId="1" fillId="0" borderId="0" xfId="0" applyFont="1"/>
    <xf numFmtId="165" fontId="9" fillId="4" borderId="8" xfId="0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3" fontId="9" fillId="4" borderId="8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9" fontId="9" fillId="4" borderId="8" xfId="0" applyNumberFormat="1" applyFont="1" applyFill="1" applyBorder="1" applyAlignment="1">
      <alignment horizontal="center" vertical="center"/>
    </xf>
    <xf numFmtId="9" fontId="9" fillId="4" borderId="8" xfId="0" applyNumberFormat="1" applyFont="1" applyFill="1" applyBorder="1" applyAlignment="1">
      <alignment horizontal="center" vertical="center" wrapText="1"/>
    </xf>
    <xf numFmtId="166" fontId="9" fillId="4" borderId="8" xfId="0" applyNumberFormat="1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vertical="center" wrapText="1"/>
    </xf>
    <xf numFmtId="0" fontId="6" fillId="5" borderId="22" xfId="0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/>
    </xf>
    <xf numFmtId="10" fontId="3" fillId="0" borderId="18" xfId="0" applyNumberFormat="1" applyFont="1" applyBorder="1" applyAlignment="1">
      <alignment horizontal="center" vertical="center" wrapText="1"/>
    </xf>
    <xf numFmtId="9" fontId="3" fillId="0" borderId="14" xfId="0" applyNumberFormat="1" applyFont="1" applyBorder="1" applyAlignment="1">
      <alignment horizontal="center" vertical="center" wrapText="1"/>
    </xf>
    <xf numFmtId="0" fontId="10" fillId="0" borderId="0" xfId="0" applyFont="1"/>
    <xf numFmtId="0" fontId="1" fillId="0" borderId="18" xfId="0" applyFont="1" applyBorder="1"/>
    <xf numFmtId="0" fontId="1" fillId="2" borderId="18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3" fillId="0" borderId="18" xfId="0" applyNumberFormat="1" applyFont="1" applyBorder="1" applyAlignment="1">
      <alignment horizontal="center" vertical="center" wrapText="1"/>
    </xf>
    <xf numFmtId="1" fontId="11" fillId="6" borderId="2" xfId="0" applyNumberFormat="1" applyFont="1" applyFill="1" applyBorder="1" applyAlignment="1">
      <alignment horizontal="center" vertical="center" wrapText="1"/>
    </xf>
    <xf numFmtId="0" fontId="7" fillId="0" borderId="23" xfId="0" applyFont="1" applyBorder="1"/>
    <xf numFmtId="4" fontId="4" fillId="0" borderId="2" xfId="0" applyNumberFormat="1" applyFont="1" applyBorder="1" applyAlignment="1">
      <alignment horizontal="center" vertical="center"/>
    </xf>
    <xf numFmtId="4" fontId="4" fillId="2" borderId="2" xfId="0" applyNumberFormat="1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165" fontId="4" fillId="0" borderId="24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5" fontId="4" fillId="0" borderId="2" xfId="0" applyNumberFormat="1" applyFont="1" applyBorder="1" applyAlignment="1">
      <alignment horizontal="center" vertical="center"/>
    </xf>
    <xf numFmtId="1" fontId="11" fillId="7" borderId="2" xfId="0" applyNumberFormat="1" applyFont="1" applyFill="1" applyBorder="1" applyAlignment="1">
      <alignment horizontal="center" vertical="center" wrapText="1"/>
    </xf>
    <xf numFmtId="0" fontId="7" fillId="7" borderId="23" xfId="0" applyFont="1" applyFill="1" applyBorder="1"/>
    <xf numFmtId="4" fontId="4" fillId="7" borderId="2" xfId="0" applyNumberFormat="1" applyFont="1" applyFill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/>
    </xf>
    <xf numFmtId="4" fontId="4" fillId="7" borderId="24" xfId="0" applyNumberFormat="1" applyFont="1" applyFill="1" applyBorder="1" applyAlignment="1">
      <alignment horizontal="center" vertical="center"/>
    </xf>
    <xf numFmtId="165" fontId="4" fillId="7" borderId="24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 wrapText="1"/>
    </xf>
    <xf numFmtId="9" fontId="4" fillId="7" borderId="2" xfId="0" applyNumberFormat="1" applyFont="1" applyFill="1" applyBorder="1" applyAlignment="1">
      <alignment horizontal="center" vertical="center"/>
    </xf>
    <xf numFmtId="0" fontId="0" fillId="7" borderId="0" xfId="0" applyFill="1"/>
    <xf numFmtId="0" fontId="7" fillId="2" borderId="23" xfId="0" applyFont="1" applyFill="1" applyBorder="1"/>
    <xf numFmtId="164" fontId="1" fillId="0" borderId="0" xfId="0" applyNumberFormat="1" applyFont="1"/>
    <xf numFmtId="165" fontId="0" fillId="0" borderId="0" xfId="0" applyNumberFormat="1"/>
    <xf numFmtId="2" fontId="0" fillId="0" borderId="0" xfId="0" applyNumberFormat="1"/>
    <xf numFmtId="165" fontId="1" fillId="0" borderId="0" xfId="0" applyNumberFormat="1" applyFont="1"/>
    <xf numFmtId="0" fontId="1" fillId="0" borderId="0" xfId="0" applyFont="1" applyAlignment="1">
      <alignment horizontal="center"/>
    </xf>
    <xf numFmtId="167" fontId="1" fillId="0" borderId="0" xfId="0" applyNumberFormat="1" applyFont="1"/>
    <xf numFmtId="167" fontId="1" fillId="0" borderId="0" xfId="0" applyNumberFormat="1" applyFont="1" applyAlignment="1">
      <alignment wrapText="1"/>
    </xf>
    <xf numFmtId="167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8" fontId="1" fillId="0" borderId="0" xfId="0" applyNumberFormat="1" applyFont="1" applyAlignment="1">
      <alignment wrapText="1"/>
    </xf>
    <xf numFmtId="170" fontId="1" fillId="0" borderId="0" xfId="2" applyNumberFormat="1" applyAlignment="1">
      <alignment wrapText="1"/>
    </xf>
    <xf numFmtId="0" fontId="1" fillId="0" borderId="0" xfId="0" applyFont="1" applyAlignment="1">
      <alignment wrapText="1"/>
    </xf>
    <xf numFmtId="9" fontId="1" fillId="0" borderId="0" xfId="0" applyNumberFormat="1" applyFont="1" applyAlignment="1">
      <alignment horizontal="center" wrapText="1"/>
    </xf>
    <xf numFmtId="10" fontId="1" fillId="0" borderId="0" xfId="0" applyNumberFormat="1" applyFont="1" applyAlignment="1">
      <alignment horizont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11" borderId="25" xfId="0" applyFont="1" applyFill="1" applyBorder="1" applyAlignment="1">
      <alignment horizontal="center" vertical="center" wrapText="1"/>
    </xf>
    <xf numFmtId="0" fontId="18" fillId="12" borderId="2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  <xf numFmtId="167" fontId="1" fillId="0" borderId="0" xfId="0" applyNumberFormat="1" applyFont="1" applyAlignment="1">
      <alignment horizontal="center"/>
    </xf>
    <xf numFmtId="167" fontId="1" fillId="13" borderId="0" xfId="0" applyNumberFormat="1" applyFont="1" applyFill="1"/>
    <xf numFmtId="167" fontId="19" fillId="14" borderId="0" xfId="0" applyNumberFormat="1" applyFont="1" applyFill="1"/>
    <xf numFmtId="9" fontId="1" fillId="0" borderId="0" xfId="0" applyNumberFormat="1" applyFont="1" applyAlignment="1">
      <alignment horizontal="center"/>
    </xf>
    <xf numFmtId="170" fontId="0" fillId="0" borderId="0" xfId="0" applyNumberFormat="1"/>
    <xf numFmtId="167" fontId="0" fillId="0" borderId="0" xfId="0" applyNumberFormat="1"/>
    <xf numFmtId="9" fontId="46" fillId="0" borderId="0" xfId="3"/>
    <xf numFmtId="170" fontId="0" fillId="0" borderId="0" xfId="2" applyNumberFormat="1" applyFont="1"/>
    <xf numFmtId="4" fontId="20" fillId="15" borderId="25" xfId="0" applyNumberFormat="1" applyFont="1" applyFill="1" applyBorder="1" applyAlignment="1">
      <alignment horizontal="right" vertical="center"/>
    </xf>
    <xf numFmtId="4" fontId="20" fillId="16" borderId="25" xfId="0" applyNumberFormat="1" applyFont="1" applyFill="1" applyBorder="1" applyAlignment="1">
      <alignment horizontal="right" vertical="center"/>
    </xf>
    <xf numFmtId="171" fontId="20" fillId="16" borderId="25" xfId="0" applyNumberFormat="1" applyFont="1" applyFill="1" applyBorder="1" applyAlignment="1">
      <alignment horizontal="right" vertical="center"/>
    </xf>
    <xf numFmtId="4" fontId="20" fillId="8" borderId="25" xfId="0" applyNumberFormat="1" applyFont="1" applyFill="1" applyBorder="1" applyAlignment="1">
      <alignment horizontal="right" vertical="center"/>
    </xf>
    <xf numFmtId="0" fontId="1" fillId="0" borderId="26" xfId="4" applyBorder="1"/>
    <xf numFmtId="167" fontId="21" fillId="14" borderId="0" xfId="0" applyNumberFormat="1" applyFont="1" applyFill="1"/>
    <xf numFmtId="173" fontId="0" fillId="0" borderId="0" xfId="1" applyNumberFormat="1" applyFont="1"/>
    <xf numFmtId="0" fontId="19" fillId="0" borderId="0" xfId="0" applyFont="1" applyAlignment="1">
      <alignment horizontal="center" vertical="center"/>
    </xf>
    <xf numFmtId="173" fontId="19" fillId="0" borderId="0" xfId="0" applyNumberFormat="1" applyFont="1" applyAlignment="1">
      <alignment horizontal="center" vertical="center"/>
    </xf>
    <xf numFmtId="174" fontId="15" fillId="0" borderId="1" xfId="0" applyNumberFormat="1" applyFont="1" applyBorder="1" applyAlignment="1">
      <alignment horizontal="center" vertical="center" wrapText="1"/>
    </xf>
    <xf numFmtId="174" fontId="15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173" fontId="0" fillId="0" borderId="0" xfId="0" applyNumberFormat="1"/>
    <xf numFmtId="0" fontId="23" fillId="17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75" fontId="26" fillId="0" borderId="0" xfId="0" applyNumberFormat="1" applyFont="1" applyAlignment="1">
      <alignment horizontal="center" vertical="center" wrapText="1"/>
    </xf>
    <xf numFmtId="175" fontId="1" fillId="0" borderId="0" xfId="0" applyNumberFormat="1" applyFont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center"/>
    </xf>
    <xf numFmtId="168" fontId="1" fillId="0" borderId="0" xfId="0" applyNumberFormat="1" applyFont="1"/>
    <xf numFmtId="10" fontId="1" fillId="0" borderId="0" xfId="0" applyNumberFormat="1" applyFont="1" applyAlignment="1">
      <alignment horizontal="center"/>
    </xf>
    <xf numFmtId="175" fontId="1" fillId="0" borderId="0" xfId="0" applyNumberFormat="1" applyFont="1"/>
    <xf numFmtId="168" fontId="1" fillId="0" borderId="0" xfId="0" applyNumberFormat="1" applyFont="1" applyAlignment="1">
      <alignment horizontal="center"/>
    </xf>
    <xf numFmtId="177" fontId="1" fillId="0" borderId="0" xfId="0" applyNumberFormat="1" applyFont="1"/>
    <xf numFmtId="177" fontId="19" fillId="3" borderId="0" xfId="0" applyNumberFormat="1" applyFont="1" applyFill="1" applyAlignment="1">
      <alignment horizontal="center"/>
    </xf>
    <xf numFmtId="177" fontId="1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5" fontId="1" fillId="0" borderId="0" xfId="0" applyNumberFormat="1" applyFont="1" applyAlignment="1">
      <alignment vertical="center"/>
    </xf>
    <xf numFmtId="9" fontId="15" fillId="0" borderId="1" xfId="0" applyNumberFormat="1" applyFont="1" applyBorder="1" applyAlignment="1">
      <alignment horizontal="center" vertical="center" wrapText="1"/>
    </xf>
    <xf numFmtId="10" fontId="15" fillId="0" borderId="1" xfId="0" applyNumberFormat="1" applyFont="1" applyBorder="1" applyAlignment="1">
      <alignment horizontal="center" vertical="center" wrapText="1"/>
    </xf>
    <xf numFmtId="9" fontId="15" fillId="0" borderId="0" xfId="0" applyNumberFormat="1" applyFont="1" applyAlignment="1">
      <alignment horizontal="center" vertical="center" wrapText="1"/>
    </xf>
    <xf numFmtId="177" fontId="27" fillId="0" borderId="1" xfId="0" applyNumberFormat="1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167" fontId="19" fillId="0" borderId="30" xfId="0" applyNumberFormat="1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7" fontId="19" fillId="0" borderId="31" xfId="0" applyNumberFormat="1" applyFont="1" applyBorder="1" applyAlignment="1">
      <alignment horizontal="center" vertical="center" wrapText="1"/>
    </xf>
    <xf numFmtId="171" fontId="19" fillId="0" borderId="32" xfId="0" applyNumberFormat="1" applyFont="1" applyBorder="1" applyAlignment="1">
      <alignment horizontal="center" vertical="center" wrapText="1"/>
    </xf>
    <xf numFmtId="167" fontId="19" fillId="0" borderId="33" xfId="0" applyNumberFormat="1" applyFont="1" applyBorder="1" applyAlignment="1">
      <alignment horizontal="center" vertical="center" wrapText="1"/>
    </xf>
    <xf numFmtId="167" fontId="19" fillId="0" borderId="29" xfId="0" applyNumberFormat="1" applyFont="1" applyBorder="1" applyAlignment="1">
      <alignment horizontal="center" vertical="center" wrapText="1"/>
    </xf>
    <xf numFmtId="0" fontId="30" fillId="0" borderId="34" xfId="0" applyFont="1" applyBorder="1" applyAlignment="1">
      <alignment vertical="center"/>
    </xf>
    <xf numFmtId="0" fontId="1" fillId="0" borderId="26" xfId="0" applyFont="1" applyBorder="1"/>
    <xf numFmtId="167" fontId="1" fillId="0" borderId="26" xfId="0" applyNumberFormat="1" applyFont="1" applyBorder="1"/>
    <xf numFmtId="0" fontId="1" fillId="0" borderId="26" xfId="0" applyFont="1" applyBorder="1" applyAlignment="1">
      <alignment horizontal="center"/>
    </xf>
    <xf numFmtId="9" fontId="1" fillId="0" borderId="26" xfId="0" applyNumberFormat="1" applyFont="1" applyBorder="1" applyAlignment="1">
      <alignment horizontal="center"/>
    </xf>
    <xf numFmtId="167" fontId="1" fillId="0" borderId="35" xfId="0" applyNumberFormat="1" applyFont="1" applyBorder="1"/>
    <xf numFmtId="167" fontId="1" fillId="0" borderId="34" xfId="0" applyNumberFormat="1" applyFont="1" applyBorder="1"/>
    <xf numFmtId="9" fontId="1" fillId="0" borderId="34" xfId="0" applyNumberFormat="1" applyFont="1" applyBorder="1" applyAlignment="1">
      <alignment horizontal="center"/>
    </xf>
    <xf numFmtId="9" fontId="1" fillId="0" borderId="35" xfId="0" applyNumberFormat="1" applyFont="1" applyBorder="1" applyAlignment="1">
      <alignment horizontal="center"/>
    </xf>
    <xf numFmtId="167" fontId="1" fillId="0" borderId="26" xfId="0" applyNumberFormat="1" applyFont="1" applyBorder="1" applyAlignment="1">
      <alignment horizontal="center"/>
    </xf>
    <xf numFmtId="9" fontId="31" fillId="0" borderId="26" xfId="0" applyNumberFormat="1" applyFont="1" applyBorder="1" applyAlignment="1">
      <alignment horizontal="center" vertical="center"/>
    </xf>
    <xf numFmtId="0" fontId="30" fillId="0" borderId="36" xfId="0" applyFont="1" applyBorder="1" applyAlignment="1">
      <alignment vertical="center"/>
    </xf>
    <xf numFmtId="0" fontId="1" fillId="0" borderId="37" xfId="0" applyFont="1" applyBorder="1"/>
    <xf numFmtId="167" fontId="1" fillId="0" borderId="37" xfId="0" applyNumberFormat="1" applyFont="1" applyBorder="1"/>
    <xf numFmtId="0" fontId="1" fillId="0" borderId="37" xfId="0" applyFont="1" applyBorder="1" applyAlignment="1">
      <alignment horizontal="center"/>
    </xf>
    <xf numFmtId="9" fontId="1" fillId="0" borderId="37" xfId="0" applyNumberFormat="1" applyFont="1" applyBorder="1" applyAlignment="1">
      <alignment horizontal="center"/>
    </xf>
    <xf numFmtId="167" fontId="1" fillId="0" borderId="38" xfId="0" applyNumberFormat="1" applyFont="1" applyBorder="1"/>
    <xf numFmtId="167" fontId="1" fillId="0" borderId="36" xfId="0" applyNumberFormat="1" applyFont="1" applyBorder="1"/>
    <xf numFmtId="9" fontId="1" fillId="0" borderId="36" xfId="0" applyNumberFormat="1" applyFont="1" applyBorder="1" applyAlignment="1">
      <alignment horizontal="center"/>
    </xf>
    <xf numFmtId="167" fontId="1" fillId="0" borderId="37" xfId="0" applyNumberFormat="1" applyFont="1" applyBorder="1" applyAlignment="1">
      <alignment horizontal="center"/>
    </xf>
    <xf numFmtId="9" fontId="1" fillId="0" borderId="38" xfId="0" applyNumberFormat="1" applyFont="1" applyBorder="1" applyAlignment="1">
      <alignment horizontal="center"/>
    </xf>
    <xf numFmtId="0" fontId="19" fillId="13" borderId="20" xfId="0" applyFont="1" applyFill="1" applyBorder="1"/>
    <xf numFmtId="167" fontId="19" fillId="13" borderId="20" xfId="0" applyNumberFormat="1" applyFont="1" applyFill="1" applyBorder="1"/>
    <xf numFmtId="0" fontId="19" fillId="13" borderId="20" xfId="0" applyFont="1" applyFill="1" applyBorder="1" applyAlignment="1">
      <alignment horizontal="center"/>
    </xf>
    <xf numFmtId="171" fontId="19" fillId="13" borderId="20" xfId="0" applyNumberFormat="1" applyFont="1" applyFill="1" applyBorder="1" applyAlignment="1">
      <alignment horizontal="center"/>
    </xf>
    <xf numFmtId="9" fontId="19" fillId="13" borderId="20" xfId="0" applyNumberFormat="1" applyFont="1" applyFill="1" applyBorder="1" applyAlignment="1">
      <alignment horizontal="center"/>
    </xf>
    <xf numFmtId="0" fontId="1" fillId="0" borderId="0" xfId="4"/>
    <xf numFmtId="2" fontId="1" fillId="0" borderId="0" xfId="4" applyNumberFormat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0" xfId="4" applyNumberFormat="1" applyAlignment="1">
      <alignment horizontal="center"/>
    </xf>
    <xf numFmtId="0" fontId="1" fillId="0" borderId="0" xfId="4" applyAlignment="1">
      <alignment horizontal="center"/>
    </xf>
    <xf numFmtId="173" fontId="1" fillId="0" borderId="0" xfId="1" applyNumberFormat="1"/>
    <xf numFmtId="0" fontId="27" fillId="0" borderId="26" xfId="0" applyFont="1" applyBorder="1" applyAlignment="1">
      <alignment horizontal="center" vertical="top" wrapText="1"/>
    </xf>
    <xf numFmtId="173" fontId="19" fillId="0" borderId="39" xfId="1" applyNumberFormat="1" applyFont="1" applyBorder="1"/>
    <xf numFmtId="173" fontId="1" fillId="0" borderId="0" xfId="4" applyNumberFormat="1"/>
    <xf numFmtId="0" fontId="27" fillId="0" borderId="26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center" vertical="center" wrapText="1"/>
    </xf>
    <xf numFmtId="0" fontId="1" fillId="0" borderId="0" xfId="4" applyAlignment="1">
      <alignment vertical="center"/>
    </xf>
    <xf numFmtId="0" fontId="1" fillId="0" borderId="39" xfId="4" applyBorder="1"/>
    <xf numFmtId="2" fontId="1" fillId="0" borderId="39" xfId="4" applyNumberFormat="1" applyBorder="1" applyAlignment="1">
      <alignment horizontal="center"/>
    </xf>
    <xf numFmtId="2" fontId="1" fillId="0" borderId="39" xfId="1" applyNumberFormat="1" applyBorder="1" applyAlignment="1">
      <alignment horizontal="center"/>
    </xf>
    <xf numFmtId="10" fontId="0" fillId="0" borderId="39" xfId="5" applyNumberFormat="1" applyFont="1" applyBorder="1" applyAlignment="1">
      <alignment horizontal="center"/>
    </xf>
    <xf numFmtId="173" fontId="1" fillId="0" borderId="39" xfId="1" applyNumberFormat="1" applyBorder="1"/>
    <xf numFmtId="2" fontId="1" fillId="0" borderId="26" xfId="4" applyNumberFormat="1" applyBorder="1" applyAlignment="1">
      <alignment horizontal="center"/>
    </xf>
    <xf numFmtId="2" fontId="1" fillId="0" borderId="26" xfId="1" applyNumberFormat="1" applyBorder="1" applyAlignment="1">
      <alignment horizontal="center"/>
    </xf>
    <xf numFmtId="10" fontId="0" fillId="0" borderId="26" xfId="5" applyNumberFormat="1" applyFont="1" applyBorder="1" applyAlignment="1">
      <alignment horizontal="center"/>
    </xf>
    <xf numFmtId="2" fontId="1" fillId="0" borderId="0" xfId="4" applyNumberFormat="1"/>
    <xf numFmtId="0" fontId="23" fillId="0" borderId="0" xfId="0" applyFont="1"/>
    <xf numFmtId="168" fontId="23" fillId="0" borderId="0" xfId="0" applyNumberFormat="1" applyFont="1"/>
    <xf numFmtId="178" fontId="1" fillId="0" borderId="0" xfId="0" applyNumberFormat="1" applyFont="1"/>
    <xf numFmtId="0" fontId="27" fillId="0" borderId="1" xfId="0" applyFont="1" applyBorder="1" applyAlignment="1">
      <alignment horizontal="left" vertical="top"/>
    </xf>
    <xf numFmtId="168" fontId="27" fillId="0" borderId="1" xfId="0" applyNumberFormat="1" applyFont="1" applyBorder="1" applyAlignment="1">
      <alignment horizontal="left" vertical="top" wrapText="1"/>
    </xf>
    <xf numFmtId="178" fontId="15" fillId="0" borderId="1" xfId="0" applyNumberFormat="1" applyFont="1" applyBorder="1" applyAlignment="1">
      <alignment horizontal="left" vertical="top"/>
    </xf>
    <xf numFmtId="0" fontId="32" fillId="0" borderId="0" xfId="0" applyFont="1"/>
    <xf numFmtId="0" fontId="15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/>
    </xf>
    <xf numFmtId="1" fontId="32" fillId="0" borderId="0" xfId="0" applyNumberFormat="1" applyFont="1" applyAlignment="1">
      <alignment horizontal="left" vertical="top"/>
    </xf>
    <xf numFmtId="179" fontId="32" fillId="14" borderId="0" xfId="0" applyNumberFormat="1" applyFont="1" applyFill="1" applyAlignment="1">
      <alignment horizontal="center" vertical="top"/>
    </xf>
    <xf numFmtId="180" fontId="32" fillId="14" borderId="0" xfId="0" applyNumberFormat="1" applyFont="1" applyFill="1" applyAlignment="1">
      <alignment horizontal="center"/>
    </xf>
    <xf numFmtId="179" fontId="32" fillId="0" borderId="0" xfId="0" applyNumberFormat="1" applyFont="1" applyAlignment="1">
      <alignment horizontal="right" vertical="top"/>
    </xf>
    <xf numFmtId="181" fontId="32" fillId="14" borderId="0" xfId="0" applyNumberFormat="1" applyFont="1" applyFill="1" applyAlignment="1">
      <alignment horizontal="center"/>
    </xf>
    <xf numFmtId="179" fontId="32" fillId="14" borderId="0" xfId="0" applyNumberFormat="1" applyFont="1" applyFill="1" applyAlignment="1">
      <alignment horizontal="right" vertical="top"/>
    </xf>
    <xf numFmtId="174" fontId="1" fillId="0" borderId="0" xfId="0" applyNumberFormat="1" applyFont="1" applyAlignment="1">
      <alignment horizontal="center"/>
    </xf>
    <xf numFmtId="174" fontId="19" fillId="0" borderId="0" xfId="0" applyNumberFormat="1" applyFont="1" applyAlignment="1">
      <alignment horizontal="center"/>
    </xf>
    <xf numFmtId="0" fontId="23" fillId="0" borderId="0" xfId="0" applyFont="1" applyAlignment="1">
      <alignment horizontal="right"/>
    </xf>
    <xf numFmtId="174" fontId="1" fillId="0" borderId="0" xfId="0" applyNumberFormat="1" applyFont="1"/>
    <xf numFmtId="0" fontId="19" fillId="19" borderId="41" xfId="0" applyFont="1" applyFill="1" applyBorder="1" applyAlignment="1">
      <alignment horizontal="left"/>
    </xf>
    <xf numFmtId="174" fontId="19" fillId="19" borderId="41" xfId="0" applyNumberFormat="1" applyFont="1" applyFill="1" applyBorder="1" applyAlignment="1">
      <alignment horizontal="left"/>
    </xf>
    <xf numFmtId="0" fontId="19" fillId="19" borderId="41" xfId="0" applyFont="1" applyFill="1" applyBorder="1" applyAlignment="1">
      <alignment horizontal="center"/>
    </xf>
    <xf numFmtId="174" fontId="1" fillId="13" borderId="0" xfId="0" applyNumberFormat="1" applyFont="1" applyFill="1"/>
    <xf numFmtId="0" fontId="1" fillId="0" borderId="41" xfId="0" applyFont="1" applyBorder="1" applyAlignment="1">
      <alignment horizontal="left"/>
    </xf>
    <xf numFmtId="174" fontId="1" fillId="20" borderId="41" xfId="0" applyNumberFormat="1" applyFont="1" applyFill="1" applyBorder="1" applyAlignment="1">
      <alignment horizontal="left"/>
    </xf>
    <xf numFmtId="0" fontId="1" fillId="0" borderId="41" xfId="0" applyFont="1" applyBorder="1" applyAlignment="1">
      <alignment horizontal="center"/>
    </xf>
    <xf numFmtId="174" fontId="1" fillId="0" borderId="41" xfId="0" applyNumberFormat="1" applyFont="1" applyBorder="1" applyAlignment="1">
      <alignment horizontal="left"/>
    </xf>
    <xf numFmtId="167" fontId="15" fillId="0" borderId="1" xfId="0" applyNumberFormat="1" applyFont="1" applyBorder="1" applyAlignment="1">
      <alignment horizontal="center" vertical="center" wrapText="1"/>
    </xf>
    <xf numFmtId="0" fontId="34" fillId="0" borderId="0" xfId="0" applyFont="1"/>
    <xf numFmtId="0" fontId="35" fillId="0" borderId="0" xfId="0" applyFont="1"/>
    <xf numFmtId="0" fontId="1" fillId="13" borderId="0" xfId="0" applyFont="1" applyFill="1"/>
    <xf numFmtId="167" fontId="27" fillId="0" borderId="1" xfId="0" applyNumberFormat="1" applyFont="1" applyBorder="1" applyAlignment="1">
      <alignment horizontal="center" vertical="center" wrapText="1"/>
    </xf>
    <xf numFmtId="9" fontId="27" fillId="0" borderId="1" xfId="0" applyNumberFormat="1" applyFont="1" applyBorder="1" applyAlignment="1">
      <alignment horizontal="center" vertical="center" wrapText="1"/>
    </xf>
    <xf numFmtId="0" fontId="23" fillId="13" borderId="0" xfId="0" applyFont="1" applyFill="1"/>
    <xf numFmtId="3" fontId="1" fillId="0" borderId="0" xfId="0" applyNumberFormat="1" applyFont="1"/>
    <xf numFmtId="167" fontId="19" fillId="0" borderId="0" xfId="0" applyNumberFormat="1" applyFont="1" applyAlignment="1">
      <alignment horizontal="center"/>
    </xf>
    <xf numFmtId="3" fontId="36" fillId="0" borderId="43" xfId="0" applyNumberFormat="1" applyFont="1" applyBorder="1" applyAlignment="1">
      <alignment horizontal="center" vertical="center" wrapText="1"/>
    </xf>
    <xf numFmtId="3" fontId="36" fillId="6" borderId="8" xfId="0" applyNumberFormat="1" applyFont="1" applyFill="1" applyBorder="1" applyAlignment="1">
      <alignment horizontal="center" vertical="center" wrapText="1"/>
    </xf>
    <xf numFmtId="0" fontId="0" fillId="6" borderId="8" xfId="0" applyFill="1" applyBorder="1"/>
    <xf numFmtId="2" fontId="0" fillId="6" borderId="8" xfId="0" applyNumberFormat="1" applyFill="1" applyBorder="1"/>
    <xf numFmtId="167" fontId="23" fillId="13" borderId="0" xfId="0" applyNumberFormat="1" applyFont="1" applyFill="1"/>
    <xf numFmtId="3" fontId="1" fillId="0" borderId="0" xfId="0" applyNumberFormat="1" applyFont="1" applyAlignment="1">
      <alignment horizontal="center"/>
    </xf>
    <xf numFmtId="9" fontId="1" fillId="0" borderId="0" xfId="0" applyNumberFormat="1" applyFont="1"/>
    <xf numFmtId="3" fontId="37" fillId="0" borderId="43" xfId="0" applyNumberFormat="1" applyFont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 wrapText="1"/>
    </xf>
    <xf numFmtId="9" fontId="37" fillId="0" borderId="43" xfId="0" applyNumberFormat="1" applyFont="1" applyBorder="1" applyAlignment="1">
      <alignment horizontal="center" vertical="center" wrapText="1"/>
    </xf>
    <xf numFmtId="3" fontId="1" fillId="13" borderId="0" xfId="0" applyNumberFormat="1" applyFont="1" applyFill="1"/>
    <xf numFmtId="0" fontId="27" fillId="0" borderId="1" xfId="0" applyFont="1" applyBorder="1" applyAlignment="1">
      <alignment horizontal="center" vertical="top" wrapText="1"/>
    </xf>
    <xf numFmtId="10" fontId="27" fillId="0" borderId="1" xfId="0" applyNumberFormat="1" applyFont="1" applyBorder="1" applyAlignment="1">
      <alignment horizontal="center" vertical="top"/>
    </xf>
    <xf numFmtId="167" fontId="27" fillId="0" borderId="1" xfId="0" applyNumberFormat="1" applyFont="1" applyBorder="1" applyAlignment="1">
      <alignment horizontal="center" vertical="top" wrapText="1"/>
    </xf>
    <xf numFmtId="0" fontId="27" fillId="0" borderId="0" xfId="0" applyFont="1" applyAlignment="1">
      <alignment horizontal="left" vertical="top"/>
    </xf>
    <xf numFmtId="0" fontId="27" fillId="0" borderId="0" xfId="0" applyFont="1" applyAlignment="1">
      <alignment horizontal="center" vertical="top" wrapText="1"/>
    </xf>
    <xf numFmtId="10" fontId="27" fillId="0" borderId="0" xfId="0" applyNumberFormat="1" applyFont="1" applyAlignment="1">
      <alignment horizontal="center" vertical="top"/>
    </xf>
    <xf numFmtId="167" fontId="27" fillId="0" borderId="0" xfId="0" applyNumberFormat="1" applyFont="1" applyAlignment="1">
      <alignment horizontal="center" vertical="top" wrapText="1"/>
    </xf>
    <xf numFmtId="178" fontId="15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horizontal="center" vertical="top"/>
    </xf>
    <xf numFmtId="182" fontId="38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0" fontId="1" fillId="0" borderId="0" xfId="0" applyNumberFormat="1" applyFont="1"/>
    <xf numFmtId="18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4" fontId="1" fillId="0" borderId="0" xfId="0" applyNumberFormat="1" applyFont="1"/>
    <xf numFmtId="0" fontId="41" fillId="0" borderId="25" xfId="0" applyFont="1" applyBorder="1"/>
    <xf numFmtId="4" fontId="42" fillId="0" borderId="25" xfId="0" applyNumberFormat="1" applyFont="1" applyBorder="1"/>
    <xf numFmtId="0" fontId="43" fillId="0" borderId="25" xfId="0" applyFont="1" applyBorder="1"/>
    <xf numFmtId="4" fontId="44" fillId="8" borderId="25" xfId="0" applyNumberFormat="1" applyFont="1" applyFill="1" applyBorder="1"/>
    <xf numFmtId="0" fontId="18" fillId="21" borderId="25" xfId="0" applyFont="1" applyFill="1" applyBorder="1" applyAlignment="1">
      <alignment horizontal="center" vertical="center" wrapText="1"/>
    </xf>
    <xf numFmtId="0" fontId="18" fillId="22" borderId="25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49" fontId="45" fillId="0" borderId="25" xfId="0" applyNumberFormat="1" applyFont="1" applyBorder="1"/>
    <xf numFmtId="4" fontId="45" fillId="0" borderId="25" xfId="0" applyNumberFormat="1" applyFont="1" applyBorder="1"/>
    <xf numFmtId="4" fontId="45" fillId="16" borderId="25" xfId="0" applyNumberFormat="1" applyFont="1" applyFill="1" applyBorder="1"/>
    <xf numFmtId="171" fontId="45" fillId="16" borderId="25" xfId="0" applyNumberFormat="1" applyFont="1" applyFill="1" applyBorder="1"/>
    <xf numFmtId="4" fontId="45" fillId="8" borderId="25" xfId="0" applyNumberFormat="1" applyFont="1" applyFill="1" applyBorder="1"/>
    <xf numFmtId="183" fontId="45" fillId="15" borderId="25" xfId="0" applyNumberFormat="1" applyFont="1" applyFill="1" applyBorder="1"/>
    <xf numFmtId="10" fontId="40" fillId="21" borderId="25" xfId="0" applyNumberFormat="1" applyFont="1" applyFill="1" applyBorder="1"/>
    <xf numFmtId="0" fontId="40" fillId="21" borderId="25" xfId="0" applyFont="1" applyFill="1" applyBorder="1"/>
    <xf numFmtId="0" fontId="13" fillId="8" borderId="25" xfId="0" applyFont="1" applyFill="1" applyBorder="1" applyAlignment="1">
      <alignment horizontal="left" vertical="center" wrapText="1"/>
    </xf>
    <xf numFmtId="0" fontId="14" fillId="9" borderId="25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8" fontId="1" fillId="13" borderId="27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/>
    </xf>
    <xf numFmtId="177" fontId="1" fillId="18" borderId="0" xfId="0" applyNumberFormat="1" applyFont="1" applyFill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19" fillId="14" borderId="0" xfId="0" applyFont="1" applyFill="1" applyAlignment="1">
      <alignment horizontal="center"/>
    </xf>
    <xf numFmtId="3" fontId="15" fillId="0" borderId="42" xfId="0" applyNumberFormat="1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 wrapText="1"/>
    </xf>
    <xf numFmtId="0" fontId="0" fillId="6" borderId="8" xfId="0" applyFill="1" applyBorder="1" applyAlignment="1">
      <alignment horizontal="center"/>
    </xf>
    <xf numFmtId="0" fontId="15" fillId="0" borderId="44" xfId="0" applyFont="1" applyBorder="1" applyAlignment="1">
      <alignment horizontal="center" vertical="center" wrapText="1"/>
    </xf>
    <xf numFmtId="0" fontId="39" fillId="21" borderId="0" xfId="0" applyFont="1" applyFill="1" applyAlignment="1">
      <alignment horizontal="center" vertical="center"/>
    </xf>
    <xf numFmtId="0" fontId="40" fillId="11" borderId="0" xfId="0" applyFont="1" applyFill="1" applyAlignment="1">
      <alignment horizontal="center"/>
    </xf>
    <xf numFmtId="0" fontId="40" fillId="21" borderId="0" xfId="0" applyFont="1" applyFill="1"/>
  </cellXfs>
  <cellStyles count="6">
    <cellStyle name="Moeda" xfId="2" builtinId="4"/>
    <cellStyle name="Normal" xfId="0" builtinId="0"/>
    <cellStyle name="Normal 2" xfId="4" xr:uid="{00000000-0005-0000-0000-000006000000}"/>
    <cellStyle name="Porcentagem" xfId="3" builtinId="5"/>
    <cellStyle name="Porcentagem 2" xfId="5" xr:uid="{00000000-0005-0000-0000-000007000000}"/>
    <cellStyle name="Vírgula" xfId="1" builtinId="3"/>
  </cellStyles>
  <dxfs count="21"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196B24"/>
      </font>
      <fill>
        <patternFill>
          <bgColor rgb="FFB3E5A1"/>
        </patternFill>
      </fill>
    </dxf>
    <dxf>
      <font>
        <b/>
        <color rgb="FF275317"/>
      </font>
      <fill>
        <patternFill>
          <bgColor rgb="FF84E291"/>
        </patternFill>
      </fill>
    </dxf>
    <dxf>
      <font>
        <b/>
        <color rgb="FFFF0000"/>
      </font>
      <fill>
        <patternFill>
          <bgColor rgb="FFF6C6A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196B24"/>
      </font>
      <fill>
        <patternFill>
          <bgColor rgb="FFB3E5A1"/>
        </patternFill>
      </fill>
    </dxf>
    <dxf>
      <font>
        <b/>
        <color rgb="FFFF0000"/>
      </font>
      <fill>
        <patternFill>
          <bgColor theme="5" tint="0.59987182226020086"/>
        </patternFill>
      </fill>
    </dxf>
    <dxf>
      <font>
        <b/>
        <color rgb="FF000000"/>
      </font>
      <fill>
        <patternFill>
          <bgColor rgb="FFFFFF99"/>
        </patternFill>
      </fill>
    </dxf>
    <dxf>
      <font>
        <b/>
        <color rgb="FF12501B"/>
      </font>
      <fill>
        <patternFill>
          <bgColor rgb="FF84E291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196B24"/>
      </font>
      <fill>
        <patternFill>
          <bgColor rgb="FFB3E5A1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196B24"/>
      </font>
      <fill>
        <patternFill>
          <bgColor rgb="FFB3E5A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2F2F2"/>
      <rgbColor rgb="FFC00000"/>
      <rgbColor rgb="FF006100"/>
      <rgbColor rgb="FF000080"/>
      <rgbColor rgb="FF7F7F7F"/>
      <rgbColor rgb="FF800080"/>
      <rgbColor rgb="FF215E99"/>
      <rgbColor rgb="FFBFBFBF"/>
      <rgbColor rgb="FF808080"/>
      <rgbColor rgb="FFD9D9D9"/>
      <rgbColor rgb="FF7030A0"/>
      <rgbColor rgb="FFFFF2CC"/>
      <rgbColor rgb="FFDDEEFF"/>
      <rgbColor rgb="FF660066"/>
      <rgbColor rgb="FFB3E5A1"/>
      <rgbColor rgb="FF005795"/>
      <rgbColor rgb="FFD8D8D8"/>
      <rgbColor rgb="FF000080"/>
      <rgbColor rgb="FFFF00FF"/>
      <rgbColor rgb="FFECECA0"/>
      <rgbColor rgb="FF00FFFF"/>
      <rgbColor rgb="FF800080"/>
      <rgbColor rgb="FF800000"/>
      <rgbColor rgb="FF196B24"/>
      <rgbColor rgb="FF0000FF"/>
      <rgbColor rgb="FFC1E5F5"/>
      <rgbColor rgb="FFE6F0FF"/>
      <rgbColor rgb="FFC6EFCE"/>
      <rgbColor rgb="FFFFFF99"/>
      <rgbColor rgb="FFC1E4F5"/>
      <rgbColor rgb="FFF6C6AD"/>
      <rgbColor rgb="FFF1CEEE"/>
      <rgbColor rgb="FFF6C6AC"/>
      <rgbColor rgb="FF3366FF"/>
      <rgbColor rgb="FF46B1E1"/>
      <rgbColor rgb="FF84E291"/>
      <rgbColor rgb="FFFFC000"/>
      <rgbColor rgb="FFEAF3DE"/>
      <rgbColor rgb="FFC55A11"/>
      <rgbColor rgb="FF595959"/>
      <rgbColor rgb="FF999999"/>
      <rgbColor rgb="FF1F3864"/>
      <rgbColor rgb="FF4EA72E"/>
      <rgbColor rgb="FF12501B"/>
      <rgbColor rgb="FF275317"/>
      <rgbColor rgb="FF7F3F00"/>
      <rgbColor rgb="FF993366"/>
      <rgbColor rgb="FF333399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3793320</xdr:colOff>
      <xdr:row>0</xdr:row>
      <xdr:rowOff>504360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499356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390600</xdr:colOff>
      <xdr:row>0</xdr:row>
      <xdr:rowOff>76320</xdr:rowOff>
    </xdr:from>
    <xdr:to>
      <xdr:col>1</xdr:col>
      <xdr:colOff>1241280</xdr:colOff>
      <xdr:row>1</xdr:row>
      <xdr:rowOff>399960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90600" y="76320"/>
          <a:ext cx="142848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850680</xdr:colOff>
      <xdr:row>1</xdr:row>
      <xdr:rowOff>504360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044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850680</xdr:colOff>
      <xdr:row>1</xdr:row>
      <xdr:rowOff>504360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044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850680</xdr:colOff>
      <xdr:row>1</xdr:row>
      <xdr:rowOff>504360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044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850680</xdr:colOff>
      <xdr:row>1</xdr:row>
      <xdr:rowOff>504360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90440"/>
          <a:ext cx="1428480" cy="504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M435"/>
  <sheetViews>
    <sheetView showGridLines="0" tabSelected="1" zoomScale="89" zoomScaleNormal="89" workbookViewId="0">
      <pane xSplit="3" ySplit="13" topLeftCell="AA14" activePane="bottomRight" state="frozen"/>
      <selection pane="topRight" activeCell="AA1" sqref="AA1"/>
      <selection pane="bottomLeft" activeCell="A14" sqref="A14"/>
      <selection pane="bottomRight" activeCell="AL7" sqref="AL7"/>
    </sheetView>
  </sheetViews>
  <sheetFormatPr baseColWidth="10" defaultColWidth="12.5" defaultRowHeight="15"/>
  <cols>
    <col min="1" max="1" width="8.5" customWidth="1"/>
    <col min="2" max="2" width="49.83203125" customWidth="1"/>
    <col min="3" max="3" width="12.1640625" hidden="1" customWidth="1"/>
    <col min="4" max="4" width="7.1640625" customWidth="1"/>
    <col min="5" max="5" width="8.1640625" customWidth="1"/>
    <col min="7" max="7" width="8" style="15" customWidth="1"/>
    <col min="8" max="8" width="8" customWidth="1"/>
    <col min="9" max="9" width="9.83203125" customWidth="1"/>
    <col min="10" max="10" width="6.83203125" style="16" customWidth="1"/>
    <col min="11" max="11" width="5.1640625" style="16" customWidth="1"/>
    <col min="12" max="12" width="4.5" style="16" customWidth="1"/>
    <col min="13" max="13" width="3.83203125" style="16" customWidth="1"/>
    <col min="14" max="14" width="7.6640625" style="16" customWidth="1"/>
    <col min="15" max="15" width="7.33203125" style="16" customWidth="1"/>
    <col min="16" max="17" width="6.83203125" style="16" customWidth="1"/>
    <col min="18" max="18" width="6" style="16" customWidth="1"/>
    <col min="19" max="19" width="6.83203125" style="16" customWidth="1"/>
    <col min="20" max="21" width="6.6640625" style="16" customWidth="1"/>
    <col min="22" max="22" width="9" style="16" customWidth="1"/>
    <col min="23" max="23" width="6.83203125" style="16" customWidth="1"/>
    <col min="24" max="24" width="8.5" style="16" customWidth="1"/>
    <col min="25" max="25" width="5.33203125" style="16" customWidth="1"/>
    <col min="26" max="26" width="7" style="16" customWidth="1"/>
    <col min="27" max="27" width="8.83203125" style="16" customWidth="1"/>
    <col min="28" max="28" width="11.5" style="16" customWidth="1"/>
    <col min="29" max="29" width="9.6640625" style="16" customWidth="1"/>
    <col min="30" max="30" width="5.33203125" style="16" customWidth="1"/>
    <col min="31" max="31" width="7.6640625" style="16" customWidth="1"/>
    <col min="32" max="32" width="5.33203125" style="16" customWidth="1"/>
    <col min="33" max="33" width="13.6640625" style="16" customWidth="1"/>
    <col min="34" max="34" width="14" style="16" customWidth="1"/>
    <col min="35" max="35" width="8.1640625" style="16" customWidth="1"/>
    <col min="36" max="36" width="6.6640625" style="16" customWidth="1"/>
    <col min="37" max="37" width="12.1640625" style="16" customWidth="1"/>
    <col min="38" max="38" width="5.33203125" style="16" customWidth="1"/>
    <col min="39" max="39" width="11.33203125" style="16" customWidth="1"/>
    <col min="40" max="41" width="5.1640625" style="16" customWidth="1"/>
    <col min="42" max="42" width="5.33203125" style="16" customWidth="1"/>
    <col min="43" max="43" width="11.5" style="16" customWidth="1"/>
    <col min="44" max="44" width="5.1640625" style="16" customWidth="1"/>
    <col min="45" max="45" width="7.33203125" style="16" customWidth="1"/>
    <col min="46" max="46" width="5.33203125" style="16" customWidth="1"/>
    <col min="47" max="47" width="9.33203125" style="16" customWidth="1"/>
    <col min="48" max="48" width="6.1640625" style="16" customWidth="1"/>
    <col min="49" max="49" width="8" style="16" customWidth="1"/>
    <col min="50" max="51" width="10" style="16" customWidth="1"/>
    <col min="52" max="52" width="7.5" customWidth="1"/>
    <col min="53" max="58" width="10.5" customWidth="1"/>
    <col min="59" max="62" width="8.5" customWidth="1"/>
    <col min="63" max="63" width="10.5" customWidth="1"/>
    <col min="64" max="70" width="8.5" customWidth="1"/>
  </cols>
  <sheetData>
    <row r="2" spans="1:61" ht="14.25" customHeight="1">
      <c r="A2" s="17"/>
      <c r="B2" s="17"/>
      <c r="C2" s="17"/>
      <c r="D2" s="17"/>
      <c r="E2" s="17"/>
      <c r="F2" s="17"/>
      <c r="H2" s="1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>
        <f t="shared" ref="AZ2:BG2" si="0">SUM(AZ14:AZ455)</f>
        <v>5867.170000000001</v>
      </c>
      <c r="BA2" s="19">
        <f t="shared" si="0"/>
        <v>0</v>
      </c>
      <c r="BB2" s="19">
        <f t="shared" si="0"/>
        <v>0</v>
      </c>
      <c r="BC2" s="19">
        <f t="shared" si="0"/>
        <v>0</v>
      </c>
      <c r="BD2" s="19">
        <f t="shared" si="0"/>
        <v>910.33669999999961</v>
      </c>
      <c r="BE2" s="19">
        <f t="shared" si="0"/>
        <v>650.24050000000022</v>
      </c>
      <c r="BF2" s="19">
        <f t="shared" si="0"/>
        <v>7427.747199999998</v>
      </c>
      <c r="BG2" s="20">
        <f t="shared" si="0"/>
        <v>5577.0627999999988</v>
      </c>
      <c r="BH2" s="21" t="e">
        <f>BG2/I2</f>
        <v>#DIV/0!</v>
      </c>
    </row>
    <row r="3" spans="1:61" ht="14.25" customHeight="1">
      <c r="A3" s="22" t="s">
        <v>0</v>
      </c>
      <c r="B3" s="22" t="s">
        <v>1</v>
      </c>
      <c r="C3" s="17"/>
      <c r="D3" s="17"/>
      <c r="E3" s="17"/>
      <c r="F3" s="22" t="s">
        <v>1</v>
      </c>
      <c r="G3" s="23" t="s">
        <v>0</v>
      </c>
      <c r="H3" s="22" t="s">
        <v>0</v>
      </c>
      <c r="I3" s="22" t="s">
        <v>1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5" t="s">
        <v>1</v>
      </c>
      <c r="BA3" s="22" t="s">
        <v>1</v>
      </c>
      <c r="BB3" s="22"/>
      <c r="BC3" s="22"/>
      <c r="BD3" s="22"/>
      <c r="BE3" s="22" t="s">
        <v>1</v>
      </c>
      <c r="BF3" s="22"/>
      <c r="BG3" s="22" t="s">
        <v>1</v>
      </c>
      <c r="BH3" s="22" t="s">
        <v>1</v>
      </c>
    </row>
    <row r="4" spans="1:61" ht="14.25" customHeight="1">
      <c r="A4" s="14" t="s">
        <v>2</v>
      </c>
      <c r="B4" s="13" t="s">
        <v>3</v>
      </c>
      <c r="C4" s="13"/>
      <c r="D4" s="13" t="s">
        <v>4</v>
      </c>
      <c r="E4" s="13" t="s">
        <v>5</v>
      </c>
      <c r="F4" s="12" t="s">
        <v>6</v>
      </c>
      <c r="G4" s="11" t="s">
        <v>7</v>
      </c>
      <c r="H4" s="13" t="s">
        <v>8</v>
      </c>
      <c r="I4" s="13" t="s">
        <v>9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10" t="s">
        <v>10</v>
      </c>
      <c r="BA4" s="10"/>
      <c r="BB4" s="10"/>
      <c r="BC4" s="10"/>
      <c r="BD4" s="10"/>
      <c r="BE4" s="10"/>
      <c r="BF4" s="10"/>
      <c r="BG4" s="10"/>
      <c r="BH4" s="10"/>
      <c r="BI4" s="27"/>
    </row>
    <row r="5" spans="1:61" ht="14.25" customHeight="1">
      <c r="A5" s="14"/>
      <c r="B5" s="13"/>
      <c r="C5" s="13"/>
      <c r="D5" s="13"/>
      <c r="E5" s="13"/>
      <c r="F5" s="13"/>
      <c r="G5" s="13"/>
      <c r="H5" s="13"/>
      <c r="I5" s="13"/>
      <c r="J5" s="9" t="s">
        <v>11</v>
      </c>
      <c r="K5" s="9"/>
      <c r="L5" s="9"/>
      <c r="M5" s="9"/>
      <c r="N5" s="8" t="s">
        <v>12</v>
      </c>
      <c r="O5" s="9" t="s">
        <v>13</v>
      </c>
      <c r="P5" s="9"/>
      <c r="Q5" s="9"/>
      <c r="R5" s="8" t="s">
        <v>14</v>
      </c>
      <c r="S5" s="9" t="s">
        <v>15</v>
      </c>
      <c r="T5" s="9"/>
      <c r="U5" s="9"/>
      <c r="V5" s="9"/>
      <c r="W5" s="8" t="s">
        <v>16</v>
      </c>
      <c r="X5" s="28" t="s">
        <v>17</v>
      </c>
      <c r="Y5" s="8" t="s">
        <v>18</v>
      </c>
      <c r="Z5" s="7" t="s">
        <v>19</v>
      </c>
      <c r="AA5" s="7"/>
      <c r="AB5" s="7"/>
      <c r="AC5" s="7"/>
      <c r="AD5" s="8" t="s">
        <v>20</v>
      </c>
      <c r="AE5" s="28" t="s">
        <v>21</v>
      </c>
      <c r="AF5" s="8" t="s">
        <v>22</v>
      </c>
      <c r="AG5" s="7" t="s">
        <v>23</v>
      </c>
      <c r="AH5" s="7"/>
      <c r="AI5" s="7"/>
      <c r="AJ5" s="7"/>
      <c r="AK5" s="7"/>
      <c r="AL5" s="29" t="s">
        <v>24</v>
      </c>
      <c r="AM5" s="30"/>
      <c r="AN5" s="9" t="s">
        <v>25</v>
      </c>
      <c r="AO5" s="9"/>
      <c r="AP5" s="8" t="s">
        <v>26</v>
      </c>
      <c r="AQ5" s="9" t="s">
        <v>27</v>
      </c>
      <c r="AR5" s="9"/>
      <c r="AS5" s="9"/>
      <c r="AT5" s="8" t="s">
        <v>28</v>
      </c>
      <c r="AU5" s="28" t="s">
        <v>29</v>
      </c>
      <c r="AV5" s="8" t="s">
        <v>30</v>
      </c>
      <c r="AW5" s="8" t="s">
        <v>31</v>
      </c>
      <c r="AX5" s="31"/>
      <c r="AY5" s="31"/>
      <c r="AZ5" s="32"/>
      <c r="BA5" s="6" t="s">
        <v>32</v>
      </c>
      <c r="BB5" s="6"/>
      <c r="BC5" s="6"/>
      <c r="BD5" s="6"/>
      <c r="BE5" s="32"/>
      <c r="BF5" s="32"/>
      <c r="BG5" s="32"/>
      <c r="BH5" s="32"/>
      <c r="BI5" s="27"/>
    </row>
    <row r="6" spans="1:61" ht="42.75" customHeight="1">
      <c r="A6" s="14"/>
      <c r="B6" s="13"/>
      <c r="C6" s="13"/>
      <c r="D6" s="13"/>
      <c r="E6" s="13"/>
      <c r="F6" s="5" t="s">
        <v>33</v>
      </c>
      <c r="G6" s="4" t="s">
        <v>34</v>
      </c>
      <c r="H6" s="13"/>
      <c r="I6" s="13"/>
      <c r="J6" s="34" t="s">
        <v>35</v>
      </c>
      <c r="K6" s="34" t="s">
        <v>36</v>
      </c>
      <c r="L6" s="34" t="s">
        <v>37</v>
      </c>
      <c r="M6" s="34" t="s">
        <v>38</v>
      </c>
      <c r="N6" s="8"/>
      <c r="O6" s="3" t="s">
        <v>39</v>
      </c>
      <c r="P6" s="3"/>
      <c r="Q6" s="3"/>
      <c r="R6" s="8"/>
      <c r="S6" s="34" t="s">
        <v>40</v>
      </c>
      <c r="T6" s="34" t="s">
        <v>41</v>
      </c>
      <c r="U6" s="34" t="s">
        <v>42</v>
      </c>
      <c r="V6" s="34" t="s">
        <v>43</v>
      </c>
      <c r="W6" s="8"/>
      <c r="X6" s="35" t="s">
        <v>44</v>
      </c>
      <c r="Y6" s="8"/>
      <c r="Z6" s="34" t="s">
        <v>45</v>
      </c>
      <c r="AA6" s="34" t="s">
        <v>46</v>
      </c>
      <c r="AB6" s="35" t="s">
        <v>47</v>
      </c>
      <c r="AC6" s="34">
        <v>0</v>
      </c>
      <c r="AD6" s="8"/>
      <c r="AE6" s="36">
        <v>0.25</v>
      </c>
      <c r="AF6" s="8"/>
      <c r="AG6" s="34" t="s">
        <v>48</v>
      </c>
      <c r="AH6" s="34" t="s">
        <v>49</v>
      </c>
      <c r="AI6" s="34" t="s">
        <v>50</v>
      </c>
      <c r="AJ6" s="34" t="s">
        <v>51</v>
      </c>
      <c r="AK6" s="34" t="s">
        <v>52</v>
      </c>
      <c r="AL6" s="36">
        <v>0.15</v>
      </c>
      <c r="AM6" s="37" t="s">
        <v>53</v>
      </c>
      <c r="AN6" s="34" t="s">
        <v>54</v>
      </c>
      <c r="AO6" s="34" t="s">
        <v>55</v>
      </c>
      <c r="AP6" s="8"/>
      <c r="AQ6" s="35" t="s">
        <v>56</v>
      </c>
      <c r="AR6" s="34" t="s">
        <v>57</v>
      </c>
      <c r="AS6" s="34" t="s">
        <v>58</v>
      </c>
      <c r="AT6" s="8"/>
      <c r="AU6" s="34"/>
      <c r="AV6" s="8"/>
      <c r="AW6" s="8"/>
      <c r="AX6" s="31"/>
      <c r="AY6" s="31" t="s">
        <v>59</v>
      </c>
      <c r="AZ6" s="38"/>
      <c r="BA6" s="39" t="s">
        <v>57</v>
      </c>
      <c r="BB6" s="40" t="s">
        <v>58</v>
      </c>
      <c r="BC6" s="40" t="s">
        <v>60</v>
      </c>
      <c r="BD6" s="40" t="s">
        <v>61</v>
      </c>
      <c r="BE6" s="41" t="s">
        <v>62</v>
      </c>
      <c r="BF6" s="41" t="s">
        <v>63</v>
      </c>
      <c r="BG6" s="41" t="s">
        <v>64</v>
      </c>
      <c r="BH6" s="42" t="s">
        <v>65</v>
      </c>
      <c r="BI6" s="27"/>
    </row>
    <row r="7" spans="1:61" ht="24" customHeight="1">
      <c r="A7" s="14"/>
      <c r="B7" s="13"/>
      <c r="C7" s="13"/>
      <c r="D7" s="13"/>
      <c r="E7" s="13"/>
      <c r="F7" s="13"/>
      <c r="G7" s="13"/>
      <c r="H7" s="13"/>
      <c r="I7" s="13"/>
      <c r="J7" s="34"/>
      <c r="K7" s="34"/>
      <c r="L7" s="34"/>
      <c r="M7" s="34"/>
      <c r="N7" s="8"/>
      <c r="O7" s="43"/>
      <c r="P7" s="44"/>
      <c r="Q7" s="45"/>
      <c r="R7" s="8"/>
      <c r="S7" s="46" t="s">
        <v>66</v>
      </c>
      <c r="T7" s="34">
        <v>110</v>
      </c>
      <c r="U7" s="34">
        <v>110</v>
      </c>
      <c r="V7" s="34">
        <v>110</v>
      </c>
      <c r="W7" s="8"/>
      <c r="X7" s="34"/>
      <c r="Y7" s="8"/>
      <c r="Z7" s="34"/>
      <c r="AA7" s="47" t="s">
        <v>67</v>
      </c>
      <c r="AB7" s="47" t="s">
        <v>67</v>
      </c>
      <c r="AC7" s="47">
        <v>0</v>
      </c>
      <c r="AD7" s="8"/>
      <c r="AE7" s="34">
        <v>0.25</v>
      </c>
      <c r="AF7" s="8"/>
      <c r="AG7" s="34"/>
      <c r="AH7" s="34"/>
      <c r="AI7" s="34"/>
      <c r="AJ7" s="34"/>
      <c r="AK7" s="34"/>
      <c r="AL7" s="34">
        <v>0</v>
      </c>
      <c r="AM7" s="37"/>
      <c r="AN7" s="34"/>
      <c r="AO7" s="34"/>
      <c r="AP7" s="8"/>
      <c r="AQ7" s="35"/>
      <c r="AR7" s="34"/>
      <c r="AS7" s="34"/>
      <c r="AT7" s="8"/>
      <c r="AU7" s="34"/>
      <c r="AV7" s="8"/>
      <c r="AW7" s="8"/>
      <c r="AX7" s="31"/>
      <c r="AY7" s="31" t="s">
        <v>68</v>
      </c>
      <c r="AZ7" s="41" t="s">
        <v>69</v>
      </c>
      <c r="BA7" s="40"/>
      <c r="BB7" s="40"/>
      <c r="BC7" s="40"/>
      <c r="BD7" s="40"/>
      <c r="BE7" s="41"/>
      <c r="BF7" s="41"/>
      <c r="BG7" s="41"/>
      <c r="BH7" s="42"/>
      <c r="BI7" s="48"/>
    </row>
    <row r="8" spans="1:61" ht="14.25" customHeight="1">
      <c r="A8" s="14"/>
      <c r="B8" s="13"/>
      <c r="C8" s="13"/>
      <c r="D8" s="13"/>
      <c r="E8" s="13"/>
      <c r="F8" s="13"/>
      <c r="G8" s="13"/>
      <c r="H8" s="13"/>
      <c r="I8" s="13"/>
      <c r="J8" s="34"/>
      <c r="K8" s="34"/>
      <c r="L8" s="34"/>
      <c r="M8" s="34"/>
      <c r="N8" s="8"/>
      <c r="O8" s="43"/>
      <c r="P8" s="44"/>
      <c r="Q8" s="45"/>
      <c r="R8" s="8"/>
      <c r="S8" s="46" t="s">
        <v>40</v>
      </c>
      <c r="T8" s="34">
        <v>36</v>
      </c>
      <c r="U8" s="34">
        <v>36</v>
      </c>
      <c r="V8" s="34">
        <v>36</v>
      </c>
      <c r="W8" s="8"/>
      <c r="X8" s="34"/>
      <c r="Y8" s="8"/>
      <c r="Z8" s="34"/>
      <c r="AA8" s="49">
        <v>4000</v>
      </c>
      <c r="AB8" s="49">
        <v>3800</v>
      </c>
      <c r="AC8" s="49">
        <v>0</v>
      </c>
      <c r="AD8" s="8"/>
      <c r="AE8" s="34"/>
      <c r="AF8" s="8"/>
      <c r="AG8" s="34"/>
      <c r="AH8" s="34"/>
      <c r="AI8" s="34"/>
      <c r="AJ8" s="34"/>
      <c r="AK8" s="34"/>
      <c r="AL8" s="50"/>
      <c r="AM8" s="37"/>
      <c r="AN8" s="34"/>
      <c r="AO8" s="34"/>
      <c r="AP8" s="8"/>
      <c r="AQ8" s="35"/>
      <c r="AR8" s="34"/>
      <c r="AS8" s="34"/>
      <c r="AT8" s="8"/>
      <c r="AU8" s="34"/>
      <c r="AV8" s="8"/>
      <c r="AW8" s="8"/>
      <c r="AX8" s="31"/>
      <c r="AY8" s="31" t="s">
        <v>70</v>
      </c>
      <c r="AZ8" s="33"/>
      <c r="BA8" s="40"/>
      <c r="BB8" s="40"/>
      <c r="BC8" s="40"/>
      <c r="BD8" s="40"/>
      <c r="BE8" s="41"/>
      <c r="BF8" s="41"/>
      <c r="BG8" s="41"/>
      <c r="BH8" s="42"/>
      <c r="BI8" s="48"/>
    </row>
    <row r="9" spans="1:61" ht="24" customHeight="1">
      <c r="A9" s="14"/>
      <c r="B9" s="13"/>
      <c r="C9" s="13"/>
      <c r="D9" s="13"/>
      <c r="E9" s="13"/>
      <c r="F9" s="13"/>
      <c r="G9" s="13"/>
      <c r="H9" s="13"/>
      <c r="I9" s="13"/>
      <c r="J9" s="34"/>
      <c r="K9" s="34"/>
      <c r="L9" s="34"/>
      <c r="M9" s="34"/>
      <c r="N9" s="8"/>
      <c r="O9" s="51"/>
      <c r="P9" s="52"/>
      <c r="Q9" s="53"/>
      <c r="R9" s="8"/>
      <c r="S9" s="54" t="s">
        <v>71</v>
      </c>
      <c r="T9" s="55">
        <v>40</v>
      </c>
      <c r="U9" s="55">
        <v>40</v>
      </c>
      <c r="V9" s="55">
        <v>36</v>
      </c>
      <c r="W9" s="8"/>
      <c r="X9" s="34"/>
      <c r="Y9" s="8"/>
      <c r="Z9" s="34"/>
      <c r="AA9" s="47" t="s">
        <v>72</v>
      </c>
      <c r="AB9" s="47" t="s">
        <v>72</v>
      </c>
      <c r="AC9" s="47" t="s">
        <v>72</v>
      </c>
      <c r="AD9" s="8"/>
      <c r="AE9" s="34"/>
      <c r="AF9" s="8"/>
      <c r="AG9" s="34"/>
      <c r="AH9" s="34"/>
      <c r="AI9" s="34"/>
      <c r="AJ9" s="34"/>
      <c r="AK9" s="34"/>
      <c r="AL9" s="50"/>
      <c r="AM9" s="37"/>
      <c r="AN9" s="34"/>
      <c r="AO9" s="34"/>
      <c r="AP9" s="8"/>
      <c r="AQ9" s="35"/>
      <c r="AR9" s="34"/>
      <c r="AS9" s="34"/>
      <c r="AT9" s="8"/>
      <c r="AU9" s="34"/>
      <c r="AV9" s="8"/>
      <c r="AW9" s="8"/>
      <c r="AX9" s="31"/>
      <c r="AY9" s="31" t="s">
        <v>73</v>
      </c>
      <c r="AZ9" s="41"/>
      <c r="BA9" s="40"/>
      <c r="BB9" s="40"/>
      <c r="BC9" s="40"/>
      <c r="BD9" s="40"/>
      <c r="BE9" s="41"/>
      <c r="BF9" s="41"/>
      <c r="BG9" s="41"/>
      <c r="BH9" s="42"/>
      <c r="BI9" s="48"/>
    </row>
    <row r="10" spans="1:61" ht="14.25" customHeight="1">
      <c r="A10" s="14"/>
      <c r="B10" s="13"/>
      <c r="C10" s="13"/>
      <c r="D10" s="13"/>
      <c r="E10" s="13"/>
      <c r="F10" s="13"/>
      <c r="G10" s="13"/>
      <c r="H10" s="13"/>
      <c r="I10" s="13"/>
      <c r="J10" s="34"/>
      <c r="K10" s="34"/>
      <c r="L10" s="34"/>
      <c r="M10" s="34"/>
      <c r="N10" s="8"/>
      <c r="O10" s="51"/>
      <c r="P10" s="52"/>
      <c r="Q10" s="53"/>
      <c r="R10" s="8"/>
      <c r="S10" s="54" t="s">
        <v>74</v>
      </c>
      <c r="T10" s="55">
        <v>36</v>
      </c>
      <c r="U10" s="55">
        <v>36</v>
      </c>
      <c r="V10" s="55">
        <v>36</v>
      </c>
      <c r="W10" s="8"/>
      <c r="X10" s="34"/>
      <c r="Y10" s="8"/>
      <c r="Z10" s="34"/>
      <c r="AA10" s="56">
        <v>192</v>
      </c>
      <c r="AB10" s="56">
        <v>192</v>
      </c>
      <c r="AC10" s="56">
        <v>192</v>
      </c>
      <c r="AD10" s="8"/>
      <c r="AE10" s="34"/>
      <c r="AF10" s="8"/>
      <c r="AG10" s="34"/>
      <c r="AH10" s="34"/>
      <c r="AI10" s="34"/>
      <c r="AJ10" s="34"/>
      <c r="AK10" s="34"/>
      <c r="AL10" s="50"/>
      <c r="AM10" s="37"/>
      <c r="AN10" s="34"/>
      <c r="AO10" s="34"/>
      <c r="AP10" s="8"/>
      <c r="AQ10" s="35"/>
      <c r="AR10" s="34"/>
      <c r="AS10" s="34"/>
      <c r="AT10" s="8"/>
      <c r="AU10" s="34"/>
      <c r="AV10" s="8"/>
      <c r="AW10" s="8"/>
      <c r="AX10" s="31"/>
      <c r="AY10" s="31"/>
      <c r="AZ10" s="41"/>
      <c r="BA10" s="40"/>
      <c r="BB10" s="40"/>
      <c r="BC10" s="40"/>
      <c r="BD10" s="40"/>
      <c r="BE10" s="41"/>
      <c r="BF10" s="41"/>
      <c r="BG10" s="41"/>
      <c r="BH10" s="42"/>
      <c r="BI10" s="48"/>
    </row>
    <row r="11" spans="1:61" ht="14.25" customHeight="1">
      <c r="A11" s="14"/>
      <c r="B11" s="13"/>
      <c r="C11" s="13"/>
      <c r="D11" s="13"/>
      <c r="E11" s="13"/>
      <c r="F11" s="13"/>
      <c r="G11" s="13"/>
      <c r="H11" s="13"/>
      <c r="I11" s="13"/>
      <c r="J11" s="34"/>
      <c r="K11" s="34"/>
      <c r="L11" s="34"/>
      <c r="M11" s="34"/>
      <c r="N11" s="8"/>
      <c r="O11" s="51" t="s">
        <v>75</v>
      </c>
      <c r="P11" s="52" t="s">
        <v>76</v>
      </c>
      <c r="Q11" s="53" t="s">
        <v>77</v>
      </c>
      <c r="R11" s="8"/>
      <c r="S11" s="55" t="s">
        <v>78</v>
      </c>
      <c r="T11" s="55">
        <v>240</v>
      </c>
      <c r="U11" s="55">
        <v>110</v>
      </c>
      <c r="V11" s="55">
        <v>110</v>
      </c>
      <c r="W11" s="8"/>
      <c r="X11" s="47"/>
      <c r="Y11" s="8"/>
      <c r="Z11" s="34" t="s">
        <v>79</v>
      </c>
      <c r="AA11" s="34" t="s">
        <v>80</v>
      </c>
      <c r="AB11" s="34" t="s">
        <v>80</v>
      </c>
      <c r="AC11" s="34" t="s">
        <v>80</v>
      </c>
      <c r="AD11" s="8"/>
      <c r="AE11" s="34"/>
      <c r="AF11" s="8"/>
      <c r="AG11" s="34"/>
      <c r="AH11" s="34"/>
      <c r="AI11" s="34"/>
      <c r="AJ11" s="34"/>
      <c r="AK11" s="34"/>
      <c r="AL11" s="50"/>
      <c r="AM11" s="37"/>
      <c r="AN11" s="34"/>
      <c r="AO11" s="34"/>
      <c r="AP11" s="8"/>
      <c r="AQ11" s="35"/>
      <c r="AR11" s="34"/>
      <c r="AS11" s="34"/>
      <c r="AT11" s="8"/>
      <c r="AU11" s="34"/>
      <c r="AV11" s="8"/>
      <c r="AW11" s="8"/>
      <c r="AX11" s="31"/>
      <c r="AY11" s="31"/>
      <c r="AZ11" s="41"/>
      <c r="BA11" s="40"/>
      <c r="BB11" s="40"/>
      <c r="BC11" s="40"/>
      <c r="BD11" s="40"/>
      <c r="BE11" s="41"/>
      <c r="BF11" s="41"/>
      <c r="BG11" s="41"/>
      <c r="BH11" s="42"/>
      <c r="BI11" s="48"/>
    </row>
    <row r="12" spans="1:61" s="66" customFormat="1" ht="12" customHeight="1">
      <c r="A12" s="14"/>
      <c r="B12" s="13"/>
      <c r="C12" s="13"/>
      <c r="D12" s="13"/>
      <c r="E12" s="13"/>
      <c r="F12" s="13"/>
      <c r="G12" s="13"/>
      <c r="H12" s="13"/>
      <c r="I12" s="13"/>
      <c r="J12" s="57"/>
      <c r="K12" s="57"/>
      <c r="L12" s="58">
        <v>0.01</v>
      </c>
      <c r="M12" s="58">
        <v>0.01</v>
      </c>
      <c r="N12" s="8"/>
      <c r="O12" s="49">
        <v>18.100000000000001</v>
      </c>
      <c r="P12" s="49">
        <v>28.29</v>
      </c>
      <c r="Q12" s="49">
        <v>28.29</v>
      </c>
      <c r="R12" s="8"/>
      <c r="S12" s="49"/>
      <c r="T12" s="49">
        <v>25</v>
      </c>
      <c r="U12" s="49">
        <v>43</v>
      </c>
      <c r="V12" s="49">
        <v>12</v>
      </c>
      <c r="W12" s="8"/>
      <c r="X12" s="59">
        <v>0.01</v>
      </c>
      <c r="Y12" s="8"/>
      <c r="Z12" s="49">
        <v>0.83</v>
      </c>
      <c r="AA12" s="49">
        <f>AA8/AA10</f>
        <v>20.833333333333332</v>
      </c>
      <c r="AB12" s="49">
        <f>AB8/AB10</f>
        <v>19.791666666666668</v>
      </c>
      <c r="AC12" s="49">
        <f>AC8/AC10</f>
        <v>0</v>
      </c>
      <c r="AD12" s="8"/>
      <c r="AE12" s="57"/>
      <c r="AF12" s="8"/>
      <c r="AG12" s="60">
        <f>SUM('Despesas Fixas'!F46:F50,Salários!J7,Salários!J21)</f>
        <v>65735.040000000008</v>
      </c>
      <c r="AH12" s="60">
        <f>1740+800</f>
        <v>2540</v>
      </c>
      <c r="AI12" s="60">
        <f>'Despesas Fixas'!F9+'Despesas Fixas'!F10</f>
        <v>16980</v>
      </c>
      <c r="AJ12" s="60">
        <f>1410</f>
        <v>1410</v>
      </c>
      <c r="AK12" s="60">
        <f>388+61.61+15000+3212</f>
        <v>18661.61</v>
      </c>
      <c r="AL12" s="61"/>
      <c r="AM12" s="62"/>
      <c r="AN12" s="63">
        <v>1.2E-2</v>
      </c>
      <c r="AO12" s="63">
        <v>1.0800000000000001E-2</v>
      </c>
      <c r="AP12" s="8"/>
      <c r="AQ12" s="63">
        <v>8.3500000000000005E-2</v>
      </c>
      <c r="AR12" s="63">
        <v>0</v>
      </c>
      <c r="AS12" s="58">
        <v>0</v>
      </c>
      <c r="AT12" s="8"/>
      <c r="AU12" s="58">
        <v>0.05</v>
      </c>
      <c r="AV12" s="8"/>
      <c r="AW12" s="8"/>
      <c r="AX12" s="31"/>
      <c r="AY12" s="31"/>
      <c r="AZ12" s="33"/>
      <c r="BA12" s="64">
        <v>0</v>
      </c>
      <c r="BB12" s="64">
        <v>0</v>
      </c>
      <c r="BC12" s="64">
        <v>0</v>
      </c>
      <c r="BD12" s="64">
        <v>7.0000000000000007E-2</v>
      </c>
      <c r="BE12" s="65">
        <v>0.05</v>
      </c>
      <c r="BF12" s="33"/>
      <c r="BG12" s="33"/>
      <c r="BH12" s="33"/>
    </row>
    <row r="13" spans="1:61" ht="13.5" customHeight="1">
      <c r="A13" s="48"/>
      <c r="B13" s="67"/>
      <c r="C13" s="67"/>
      <c r="D13" s="67"/>
      <c r="E13" s="67"/>
      <c r="F13" s="67"/>
      <c r="G13" s="68"/>
      <c r="H13" s="67"/>
      <c r="I13" s="67"/>
      <c r="J13" s="69"/>
      <c r="K13" s="69"/>
      <c r="L13" s="69"/>
      <c r="M13" s="69"/>
      <c r="N13" s="69"/>
      <c r="O13" s="69">
        <v>2</v>
      </c>
      <c r="P13" s="69">
        <v>1</v>
      </c>
      <c r="Q13" s="69">
        <v>1</v>
      </c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70"/>
      <c r="AU13" s="70"/>
      <c r="AV13" s="70"/>
      <c r="AW13" s="70"/>
      <c r="AX13" s="70"/>
      <c r="AY13" s="70"/>
      <c r="AZ13" s="40"/>
      <c r="BA13" s="64"/>
      <c r="BB13" s="64"/>
      <c r="BC13" s="64"/>
      <c r="BD13" s="64"/>
      <c r="BE13" s="71"/>
      <c r="BF13" s="40"/>
      <c r="BG13" s="40"/>
      <c r="BH13" s="40"/>
    </row>
    <row r="14" spans="1:61" ht="14.25" customHeight="1">
      <c r="A14" s="72" t="s">
        <v>81</v>
      </c>
      <c r="B14" s="2" t="str">
        <f>IFERROR(VLOOKUP(A14,'Tabela de Produtos'!A:B,2,0),"Preencher Cód. Produto")</f>
        <v>BRAZIMIL MASSA CORRIDA 4,0KG</v>
      </c>
      <c r="C14" s="2"/>
      <c r="D14" s="73" t="s">
        <v>66</v>
      </c>
      <c r="E14" s="73">
        <v>100</v>
      </c>
      <c r="F14" s="74">
        <f>IF(A14=0,0,VLOOKUP(A14,'Tabela de Produtos'!A:W,23,0))</f>
        <v>8.2999999999999989</v>
      </c>
      <c r="G14" s="75">
        <v>15.99</v>
      </c>
      <c r="H14" s="76">
        <v>1</v>
      </c>
      <c r="I14" s="74">
        <f t="shared" ref="I14:I77" si="1">G14*H14</f>
        <v>15.99</v>
      </c>
      <c r="J14" s="77">
        <f>VLOOKUP(B14,'Tabela de Produtos'!B:M,12,FALSE())</f>
        <v>3</v>
      </c>
      <c r="K14" s="77">
        <f>VLOOKUP(B14,'Tabela de Produtos'!B:P,15,FALSE())</f>
        <v>1.24</v>
      </c>
      <c r="L14" s="77">
        <f>J14*1%</f>
        <v>0.03</v>
      </c>
      <c r="M14" s="77">
        <f>J14*1%</f>
        <v>0.03</v>
      </c>
      <c r="N14" s="78">
        <f>J14+K14+L14+M14</f>
        <v>4.3000000000000007</v>
      </c>
      <c r="O14" s="77">
        <f>($O$12/E14)*$O$13</f>
        <v>0.36200000000000004</v>
      </c>
      <c r="P14" s="77">
        <f>($P$12/E14)*$P$13</f>
        <v>0.28289999999999998</v>
      </c>
      <c r="Q14" s="77">
        <f>($Q$12/E14)*$Q$13</f>
        <v>0.28289999999999998</v>
      </c>
      <c r="R14" s="78">
        <f>O14+P14+Q14</f>
        <v>0.92779999999999996</v>
      </c>
      <c r="S14" s="77">
        <f>VLOOKUP(B14,'Tabela de Produtos'!B:N,13,FALSE())</f>
        <v>3.06</v>
      </c>
      <c r="T14" s="77">
        <f>$T$12/$T$7</f>
        <v>0.22727272727272727</v>
      </c>
      <c r="U14" s="77">
        <f>$U$12/$U$7</f>
        <v>0.39090909090909093</v>
      </c>
      <c r="V14" s="77">
        <f>$V$12/$V$7</f>
        <v>0.10909090909090909</v>
      </c>
      <c r="W14" s="78">
        <f>S14+T14+U14+V14</f>
        <v>3.7872727272727271</v>
      </c>
      <c r="X14" s="77">
        <f>(N14+R14+W14)*1%</f>
        <v>9.0150727272727271E-2</v>
      </c>
      <c r="Y14" s="77">
        <f>X14</f>
        <v>9.0150727272727271E-2</v>
      </c>
      <c r="Z14" s="77">
        <f>$Z$12/E14</f>
        <v>8.3000000000000001E-3</v>
      </c>
      <c r="AA14" s="77">
        <f>$AA$12/E14</f>
        <v>0.20833333333333331</v>
      </c>
      <c r="AB14" s="77">
        <f>$AB$12/E14</f>
        <v>0.19791666666666669</v>
      </c>
      <c r="AC14" s="77">
        <f>$AC$12/E14</f>
        <v>0</v>
      </c>
      <c r="AD14" s="77">
        <f>Z14+AA14+AB14+AC14</f>
        <v>0.41454999999999997</v>
      </c>
      <c r="AE14" s="77">
        <f>(AD14+Y14+W14+R14+N14)*$AE$7</f>
        <v>2.3799433636363636</v>
      </c>
      <c r="AF14" s="77">
        <f>AE14</f>
        <v>2.3799433636363636</v>
      </c>
      <c r="AG14" s="77"/>
      <c r="AH14" s="77"/>
      <c r="AI14" s="77"/>
      <c r="AJ14" s="77"/>
      <c r="AK14" s="77"/>
      <c r="AL14" s="77">
        <f>(AD14+Y14+W14+R14+N14)*$AL$7</f>
        <v>0</v>
      </c>
      <c r="AM14" s="77">
        <f>AL14+AF14+AD14+Y14+W14+R14+N14</f>
        <v>11.899716818181819</v>
      </c>
      <c r="AN14" s="77">
        <f>AM14*$AN$12</f>
        <v>0.14279660181818182</v>
      </c>
      <c r="AO14" s="77">
        <f>AM14*$AO$12</f>
        <v>0.12851694163636365</v>
      </c>
      <c r="AP14" s="77">
        <f>AO14+AN14</f>
        <v>0.2713135434545455</v>
      </c>
      <c r="AQ14" s="77">
        <f>AM14*$AQ$12</f>
        <v>0.99362635431818191</v>
      </c>
      <c r="AR14" s="77">
        <f>AM14*$AR$12</f>
        <v>0</v>
      </c>
      <c r="AS14" s="77">
        <f>AM14*$AS$12</f>
        <v>0</v>
      </c>
      <c r="AT14" s="77">
        <f>AQ14+AR14+AS14</f>
        <v>0.99362635431818191</v>
      </c>
      <c r="AU14" s="77">
        <f>AM14*$AU$12</f>
        <v>0.59498584090909101</v>
      </c>
      <c r="AV14" s="77">
        <f>AU14</f>
        <v>0.59498584090909101</v>
      </c>
      <c r="AW14" s="77">
        <f>AM14+AP14+AT14+AV14</f>
        <v>13.759642556863639</v>
      </c>
      <c r="AX14" s="21">
        <f>AY14/AW14</f>
        <v>0.16209414117547738</v>
      </c>
      <c r="AY14" s="77">
        <f t="shared" ref="AY14:AY77" si="2">I14-AW14</f>
        <v>2.2303574431363611</v>
      </c>
      <c r="AZ14" s="79">
        <f>IFERROR(H14*VLOOKUP(A14,'Tabela de Produtos'!A:Q,17,0),0)</f>
        <v>7.3000000000000007</v>
      </c>
      <c r="BA14" s="74">
        <f t="shared" ref="BA14:BD33" si="3">$I14*BA$12</f>
        <v>0</v>
      </c>
      <c r="BB14" s="74">
        <f t="shared" si="3"/>
        <v>0</v>
      </c>
      <c r="BC14" s="74">
        <f t="shared" si="3"/>
        <v>0</v>
      </c>
      <c r="BD14" s="74">
        <f t="shared" si="3"/>
        <v>1.1193000000000002</v>
      </c>
      <c r="BE14" s="74">
        <f t="shared" ref="BE14:BE77" si="4">I14*$BE$12</f>
        <v>0.7995000000000001</v>
      </c>
      <c r="BF14" s="74">
        <f t="shared" ref="BF14:BF77" si="5">SUM(AZ14:BE14)</f>
        <v>9.2188000000000017</v>
      </c>
      <c r="BG14" s="74">
        <f t="shared" ref="BG14:BG77" si="6">I14-BF14</f>
        <v>6.7711999999999986</v>
      </c>
      <c r="BH14" s="21">
        <f t="shared" ref="BH14:BH77" si="7">IF(F14="Cadastrar Ficha de Produção",0,IFERROR(BG14/I14,0))</f>
        <v>0.42346466541588484</v>
      </c>
      <c r="BI14" s="80"/>
    </row>
    <row r="15" spans="1:61" ht="14.25" customHeight="1">
      <c r="A15" s="72" t="s">
        <v>82</v>
      </c>
      <c r="B15" s="2" t="str">
        <f>IFERROR(VLOOKUP(A15,'Tabela de Produtos'!A:B,2,0),"Preencher Cód. Produto")</f>
        <v>BRAZIMIL MASSA CORRIDA 20,0 KG</v>
      </c>
      <c r="C15" s="2"/>
      <c r="D15" s="73" t="s">
        <v>40</v>
      </c>
      <c r="E15" s="73">
        <v>33</v>
      </c>
      <c r="F15" s="74">
        <f>IF(A15=0,0,VLOOKUP(A15,'Tabela de Produtos'!A:W,23,0))</f>
        <v>33.879999999999995</v>
      </c>
      <c r="G15" s="75">
        <v>37.5</v>
      </c>
      <c r="H15" s="76">
        <v>1</v>
      </c>
      <c r="I15" s="74">
        <f t="shared" si="1"/>
        <v>37.5</v>
      </c>
      <c r="J15" s="77">
        <f>VLOOKUP(B15,'Tabela de Produtos'!B:M,12,FALSE())</f>
        <v>15</v>
      </c>
      <c r="K15" s="77">
        <f>VLOOKUP(B15,'Tabela de Produtos'!B:P,15,FALSE())</f>
        <v>6.2</v>
      </c>
      <c r="L15" s="77">
        <f>J15*1%</f>
        <v>0.15</v>
      </c>
      <c r="M15" s="77">
        <f>J15*1%</f>
        <v>0.15</v>
      </c>
      <c r="N15" s="78">
        <f>J15+K15+L15+M15</f>
        <v>21.499999999999996</v>
      </c>
      <c r="O15" s="77">
        <f>0.54*$O$13</f>
        <v>1.08</v>
      </c>
      <c r="P15" s="77">
        <f>0.85*$P$13</f>
        <v>0.85</v>
      </c>
      <c r="Q15" s="77">
        <f>0.85*$Q$13</f>
        <v>0.85</v>
      </c>
      <c r="R15" s="78">
        <f>O15+P15+Q15</f>
        <v>2.7800000000000002</v>
      </c>
      <c r="S15" s="77">
        <f>VLOOKUP(B15,'Tabela de Produtos'!B:N,13,FALSE())</f>
        <v>8.61</v>
      </c>
      <c r="T15" s="74">
        <f>$T$12/$T$8</f>
        <v>0.69444444444444442</v>
      </c>
      <c r="U15" s="77">
        <f>$U$12/$U$8</f>
        <v>1.1944444444444444</v>
      </c>
      <c r="V15" s="74">
        <f>$V$12/$V$8</f>
        <v>0.33333333333333331</v>
      </c>
      <c r="W15" s="78">
        <f>S15+T15+U15+V15</f>
        <v>10.832222222222223</v>
      </c>
      <c r="X15" s="77">
        <f>(N15+R15+W15)*1%</f>
        <v>0.35112222222222222</v>
      </c>
      <c r="Y15" s="77">
        <f>X15</f>
        <v>0.35112222222222222</v>
      </c>
      <c r="Z15" s="77">
        <f>$Z$12/E15</f>
        <v>2.515151515151515E-2</v>
      </c>
      <c r="AA15" s="77">
        <f>$AA$12/E15</f>
        <v>0.63131313131313127</v>
      </c>
      <c r="AB15" s="77">
        <f>$AB$12/E15</f>
        <v>0.59974747474747481</v>
      </c>
      <c r="AC15" s="77">
        <f>$AC$12/E15</f>
        <v>0</v>
      </c>
      <c r="AD15" s="77">
        <f>Z15+AA15+AB15+AC15</f>
        <v>1.2562121212121213</v>
      </c>
      <c r="AE15" s="77">
        <f>(AD15+Y15+W15+R15+N15)*$AE$7</f>
        <v>9.1798891414141401</v>
      </c>
      <c r="AF15" s="77">
        <f>AE15</f>
        <v>9.1798891414141401</v>
      </c>
      <c r="AG15" s="74"/>
      <c r="AH15" s="74"/>
      <c r="AI15" s="74"/>
      <c r="AJ15" s="74"/>
      <c r="AK15" s="74"/>
      <c r="AL15" s="77">
        <f>(AD15+Y15+W15+R15+N15)*$AL$7</f>
        <v>0</v>
      </c>
      <c r="AM15" s="77">
        <f>AL15+AF15+AD15+Y15+W15+R15+N15</f>
        <v>45.899445707070704</v>
      </c>
      <c r="AN15" s="77">
        <f>AM15*$AN$12</f>
        <v>0.55079334848484851</v>
      </c>
      <c r="AO15" s="77">
        <f>AM15*$AO$12</f>
        <v>0.49571401363636364</v>
      </c>
      <c r="AP15" s="77">
        <f>AO15+AN15</f>
        <v>1.0465073621212122</v>
      </c>
      <c r="AQ15" s="77">
        <f>AM15*$AQ$12</f>
        <v>3.8326037165404041</v>
      </c>
      <c r="AR15" s="77">
        <f>AM15*$AR$12</f>
        <v>0</v>
      </c>
      <c r="AS15" s="77">
        <f>AM15*$AS$12</f>
        <v>0</v>
      </c>
      <c r="AT15" s="77">
        <f>AQ15+AR15+AS15</f>
        <v>3.8326037165404041</v>
      </c>
      <c r="AU15" s="77">
        <f>AM15*$AU$12</f>
        <v>2.2949722853535355</v>
      </c>
      <c r="AV15" s="77">
        <f>AU15</f>
        <v>2.2949722853535355</v>
      </c>
      <c r="AW15" s="77">
        <f>AM15+AP15+AT15+AV15</f>
        <v>53.073529071085858</v>
      </c>
      <c r="AX15" s="21">
        <f>AY15/AW15</f>
        <v>-0.29343307942132352</v>
      </c>
      <c r="AY15" s="77">
        <f t="shared" si="2"/>
        <v>-15.573529071085858</v>
      </c>
      <c r="AZ15" s="79">
        <f>IFERROR(H15*VLOOKUP(A15,'Tabela de Produtos'!A:Q,17,0),0)</f>
        <v>29.81</v>
      </c>
      <c r="BA15" s="74">
        <f t="shared" si="3"/>
        <v>0</v>
      </c>
      <c r="BB15" s="74">
        <f t="shared" si="3"/>
        <v>0</v>
      </c>
      <c r="BC15" s="74">
        <f t="shared" si="3"/>
        <v>0</v>
      </c>
      <c r="BD15" s="74">
        <f t="shared" si="3"/>
        <v>2.6250000000000004</v>
      </c>
      <c r="BE15" s="74">
        <f t="shared" si="4"/>
        <v>1.875</v>
      </c>
      <c r="BF15" s="74">
        <f t="shared" si="5"/>
        <v>34.31</v>
      </c>
      <c r="BG15" s="74">
        <f t="shared" si="6"/>
        <v>3.1899999999999977</v>
      </c>
      <c r="BH15" s="21">
        <f t="shared" si="7"/>
        <v>8.506666666666661E-2</v>
      </c>
      <c r="BI15" s="80"/>
    </row>
    <row r="16" spans="1:61" ht="14.25" customHeight="1">
      <c r="A16" s="72" t="s">
        <v>83</v>
      </c>
      <c r="B16" s="2" t="str">
        <f>IFERROR(VLOOKUP(A16,'Tabela de Produtos'!A:B,2,0),"Preencher Cód. Produto")</f>
        <v>BRAZIMIL SELADOR ACRILICO 3L</v>
      </c>
      <c r="C16" s="2"/>
      <c r="D16" s="73" t="s">
        <v>66</v>
      </c>
      <c r="E16" s="73">
        <v>100</v>
      </c>
      <c r="F16" s="74">
        <f>IF(A16=0,0,VLOOKUP(A16,'Tabela de Produtos'!A:W,23,0))</f>
        <v>7.54</v>
      </c>
      <c r="G16" s="75">
        <v>17.989999999999998</v>
      </c>
      <c r="H16" s="76">
        <v>1</v>
      </c>
      <c r="I16" s="74">
        <f t="shared" si="1"/>
        <v>17.989999999999998</v>
      </c>
      <c r="J16" s="77">
        <f>VLOOKUP(B16,'Tabela de Produtos'!B:M,12,FALSE())</f>
        <v>2.64</v>
      </c>
      <c r="K16" s="77">
        <f>VLOOKUP(B16,'Tabela de Produtos'!B:P,15,FALSE())</f>
        <v>0.92999999999999994</v>
      </c>
      <c r="L16" s="77">
        <f>J16*1%</f>
        <v>2.6400000000000003E-2</v>
      </c>
      <c r="M16" s="77">
        <f>J16*1%</f>
        <v>2.6400000000000003E-2</v>
      </c>
      <c r="N16" s="78">
        <f>J16+K16+L16+M16</f>
        <v>3.6228000000000007</v>
      </c>
      <c r="O16" s="77">
        <f>($O$12/E16)*$O$13</f>
        <v>0.36200000000000004</v>
      </c>
      <c r="P16" s="77">
        <f>($P$12/E16)*$P$13</f>
        <v>0.28289999999999998</v>
      </c>
      <c r="Q16" s="77">
        <f>($Q$12/E16)*$Q$13</f>
        <v>0.28289999999999998</v>
      </c>
      <c r="R16" s="78">
        <f>O16+P16+Q16</f>
        <v>0.92779999999999996</v>
      </c>
      <c r="S16" s="77">
        <f>VLOOKUP(B16,'Tabela de Produtos'!B:N,13,FALSE())</f>
        <v>3.06</v>
      </c>
      <c r="T16" s="77">
        <f>$T$12/$T$7</f>
        <v>0.22727272727272727</v>
      </c>
      <c r="U16" s="77">
        <f>$U$12/$U$7</f>
        <v>0.39090909090909093</v>
      </c>
      <c r="V16" s="77">
        <f>$V$12/$V$7</f>
        <v>0.10909090909090909</v>
      </c>
      <c r="W16" s="78">
        <f>S16+T16+U16+V16</f>
        <v>3.7872727272727271</v>
      </c>
      <c r="X16" s="77">
        <f>(N16+R16+W16)*1%</f>
        <v>8.3378727272727285E-2</v>
      </c>
      <c r="Y16" s="77">
        <f>X16</f>
        <v>8.3378727272727285E-2</v>
      </c>
      <c r="Z16" s="77">
        <f>$Z$12/E16</f>
        <v>8.3000000000000001E-3</v>
      </c>
      <c r="AA16" s="77">
        <f>$AA$12/E16</f>
        <v>0.20833333333333331</v>
      </c>
      <c r="AB16" s="77">
        <f>$AB$12/E16</f>
        <v>0.19791666666666669</v>
      </c>
      <c r="AC16" s="77">
        <f>$AC$12/E16</f>
        <v>0</v>
      </c>
      <c r="AD16" s="77">
        <f>Z16+AA16+AB16+AC16</f>
        <v>0.41454999999999997</v>
      </c>
      <c r="AE16" s="77">
        <f>(AD16+Y16+W16+R16+N16)*$AE$7</f>
        <v>2.2089503636363634</v>
      </c>
      <c r="AF16" s="77">
        <f>AE16</f>
        <v>2.2089503636363634</v>
      </c>
      <c r="AG16" s="74"/>
      <c r="AH16" s="74"/>
      <c r="AI16" s="74"/>
      <c r="AJ16" s="74"/>
      <c r="AK16" s="74"/>
      <c r="AL16" s="77">
        <f>(AD16+Y16+W16+R16+N16)*$AL$7</f>
        <v>0</v>
      </c>
      <c r="AM16" s="77">
        <f>AL16+AF16+AD16+Y16+W16+R16+N16</f>
        <v>11.044751818181819</v>
      </c>
      <c r="AN16" s="77">
        <f>AM16*$AN$12</f>
        <v>0.13253702181818183</v>
      </c>
      <c r="AO16" s="77">
        <f>AM16*$AO$12</f>
        <v>0.11928331963636365</v>
      </c>
      <c r="AP16" s="77">
        <f>AO16+AN16</f>
        <v>0.25182034145454546</v>
      </c>
      <c r="AQ16" s="77">
        <f>AM16*$AQ$12</f>
        <v>0.92223677681818195</v>
      </c>
      <c r="AR16" s="77">
        <f>AM16*$AR$12</f>
        <v>0</v>
      </c>
      <c r="AS16" s="77">
        <f>AM16*$AS$12</f>
        <v>0</v>
      </c>
      <c r="AT16" s="77">
        <f>AQ16+AR16+AS16</f>
        <v>0.92223677681818195</v>
      </c>
      <c r="AU16" s="77">
        <f>AM16*$AU$12</f>
        <v>0.55223759090909097</v>
      </c>
      <c r="AV16" s="77">
        <f>AU16</f>
        <v>0.55223759090909097</v>
      </c>
      <c r="AW16" s="77">
        <f>AM16+AP16+AT16+AV16</f>
        <v>12.771046527363636</v>
      </c>
      <c r="AX16" s="21">
        <f>AY16/AW16</f>
        <v>0.40865511385101239</v>
      </c>
      <c r="AY16" s="77">
        <f t="shared" si="2"/>
        <v>5.2189534726363629</v>
      </c>
      <c r="AZ16" s="79">
        <f>IFERROR(H16*VLOOKUP(A16,'Tabela de Produtos'!A:Q,17,0),0)</f>
        <v>6.63</v>
      </c>
      <c r="BA16" s="74">
        <f t="shared" si="3"/>
        <v>0</v>
      </c>
      <c r="BB16" s="74">
        <f t="shared" si="3"/>
        <v>0</v>
      </c>
      <c r="BC16" s="74">
        <f t="shared" si="3"/>
        <v>0</v>
      </c>
      <c r="BD16" s="74">
        <f t="shared" si="3"/>
        <v>1.2593000000000001</v>
      </c>
      <c r="BE16" s="74">
        <f t="shared" si="4"/>
        <v>0.89949999999999997</v>
      </c>
      <c r="BF16" s="74">
        <f t="shared" si="5"/>
        <v>8.7888000000000002</v>
      </c>
      <c r="BG16" s="74">
        <f t="shared" si="6"/>
        <v>9.2011999999999983</v>
      </c>
      <c r="BH16" s="21">
        <f t="shared" si="7"/>
        <v>0.51146192329071705</v>
      </c>
      <c r="BI16" s="80"/>
    </row>
    <row r="17" spans="1:61" ht="14.25" customHeight="1">
      <c r="A17" s="72" t="s">
        <v>84</v>
      </c>
      <c r="B17" s="2" t="str">
        <f>IFERROR(VLOOKUP(A17,'Tabela de Produtos'!A:B,2,0),"Preencher Cód. Produto")</f>
        <v>BRAZIMIL SELADOR ACRILICO 15L</v>
      </c>
      <c r="C17" s="2"/>
      <c r="D17" s="73" t="s">
        <v>40</v>
      </c>
      <c r="E17" s="73">
        <v>28</v>
      </c>
      <c r="F17" s="74">
        <f>IF(A17=0,0,VLOOKUP(A17,'Tabela de Produtos'!A:W,23,0))</f>
        <v>30.07</v>
      </c>
      <c r="G17" s="75">
        <v>66.489999999999995</v>
      </c>
      <c r="H17" s="76">
        <v>1</v>
      </c>
      <c r="I17" s="74">
        <f t="shared" si="1"/>
        <v>66.489999999999995</v>
      </c>
      <c r="J17" s="77">
        <f>VLOOKUP(B17,'Tabela de Produtos'!B:M,12,FALSE())</f>
        <v>13.2</v>
      </c>
      <c r="K17" s="77">
        <f>VLOOKUP(B17,'Tabela de Produtos'!B:P,15,FALSE())</f>
        <v>4.6500000000000004</v>
      </c>
      <c r="L17" s="77">
        <f>J17*1%</f>
        <v>0.13200000000000001</v>
      </c>
      <c r="M17" s="77">
        <f>J17*1%</f>
        <v>0.13200000000000001</v>
      </c>
      <c r="N17" s="78">
        <f>J17+K17+L17+M17</f>
        <v>18.114000000000004</v>
      </c>
      <c r="O17" s="77">
        <f>($O$12/E17)*$O$13</f>
        <v>1.2928571428571429</v>
      </c>
      <c r="P17" s="77">
        <f>($P$12/E17)*$P$13</f>
        <v>1.0103571428571427</v>
      </c>
      <c r="Q17" s="77">
        <f>($Q$12/E17)*$Q$13</f>
        <v>1.0103571428571427</v>
      </c>
      <c r="R17" s="78">
        <f>O17+P17+Q17</f>
        <v>3.3135714285714286</v>
      </c>
      <c r="S17" s="77">
        <f>VLOOKUP(B17,'Tabela de Produtos'!B:N,13,FALSE())</f>
        <v>8.61</v>
      </c>
      <c r="T17" s="74">
        <f>$T$12/$T$8</f>
        <v>0.69444444444444442</v>
      </c>
      <c r="U17" s="77">
        <f>$U$12/$U$8</f>
        <v>1.1944444444444444</v>
      </c>
      <c r="V17" s="74">
        <f>$V$12/$V$8</f>
        <v>0.33333333333333331</v>
      </c>
      <c r="W17" s="78">
        <f>S17+T17+U17+V17</f>
        <v>10.832222222222223</v>
      </c>
      <c r="X17" s="77">
        <f>(N17+R17+W17)*1%</f>
        <v>0.32259793650793656</v>
      </c>
      <c r="Y17" s="77">
        <f>X17</f>
        <v>0.32259793650793656</v>
      </c>
      <c r="Z17" s="77">
        <f>$Z$12/E17</f>
        <v>2.9642857142857141E-2</v>
      </c>
      <c r="AA17" s="77">
        <f>$AA$12/E17</f>
        <v>0.74404761904761896</v>
      </c>
      <c r="AB17" s="77">
        <f>$AB$12/E17</f>
        <v>0.70684523809523814</v>
      </c>
      <c r="AC17" s="77">
        <f>$AC$12/E17</f>
        <v>0</v>
      </c>
      <c r="AD17" s="77">
        <f>Z17+AA17+AB17+AC17</f>
        <v>1.4805357142857143</v>
      </c>
      <c r="AE17" s="77">
        <f>(AD17+Y17+W17+R17+N17)*$AE$7</f>
        <v>8.515731825396827</v>
      </c>
      <c r="AF17" s="77">
        <f>AE17</f>
        <v>8.515731825396827</v>
      </c>
      <c r="AG17" s="74"/>
      <c r="AH17" s="74"/>
      <c r="AI17" s="74"/>
      <c r="AJ17" s="74"/>
      <c r="AK17" s="74"/>
      <c r="AL17" s="77">
        <f>(AD17+Y17+W17+R17+N17)*$AL$7</f>
        <v>0</v>
      </c>
      <c r="AM17" s="77">
        <f>AL17+AF17+AD17+Y17+W17+R17+N17</f>
        <v>42.578659126984135</v>
      </c>
      <c r="AN17" s="77">
        <f>AM17*$AN$12</f>
        <v>0.51094390952380964</v>
      </c>
      <c r="AO17" s="77">
        <f>AM17*$AO$12</f>
        <v>0.45984951857142869</v>
      </c>
      <c r="AP17" s="77">
        <f>AO17+AN17</f>
        <v>0.97079342809523839</v>
      </c>
      <c r="AQ17" s="77">
        <f>AM17*$AQ$12</f>
        <v>3.5553180371031754</v>
      </c>
      <c r="AR17" s="77">
        <f>AM17*$AR$12</f>
        <v>0</v>
      </c>
      <c r="AS17" s="77">
        <f>AM17*$AS$12</f>
        <v>0</v>
      </c>
      <c r="AT17" s="77">
        <f>AQ17+AR17+AS17</f>
        <v>3.5553180371031754</v>
      </c>
      <c r="AU17" s="77">
        <f>AM17*$AU$12</f>
        <v>2.1289329563492068</v>
      </c>
      <c r="AV17" s="77">
        <f>AU17</f>
        <v>2.1289329563492068</v>
      </c>
      <c r="AW17" s="77">
        <f>AM17+AP17+AT17+AV17</f>
        <v>49.233703548531764</v>
      </c>
      <c r="AX17" s="21">
        <f>AY17/AW17</f>
        <v>0.35049763084465019</v>
      </c>
      <c r="AY17" s="77">
        <f t="shared" si="2"/>
        <v>17.256296451468231</v>
      </c>
      <c r="AZ17" s="79">
        <f>IFERROR(H17*VLOOKUP(A17,'Tabela de Produtos'!A:Q,17,0),0)</f>
        <v>26.46</v>
      </c>
      <c r="BA17" s="74">
        <f t="shared" si="3"/>
        <v>0</v>
      </c>
      <c r="BB17" s="74">
        <f t="shared" si="3"/>
        <v>0</v>
      </c>
      <c r="BC17" s="74">
        <f t="shared" si="3"/>
        <v>0</v>
      </c>
      <c r="BD17" s="74">
        <f t="shared" si="3"/>
        <v>4.6543000000000001</v>
      </c>
      <c r="BE17" s="74">
        <f t="shared" si="4"/>
        <v>3.3245</v>
      </c>
      <c r="BF17" s="74">
        <f t="shared" si="5"/>
        <v>34.438800000000001</v>
      </c>
      <c r="BG17" s="74">
        <f t="shared" si="6"/>
        <v>32.051199999999994</v>
      </c>
      <c r="BH17" s="21">
        <f t="shared" si="7"/>
        <v>0.48204542036396447</v>
      </c>
      <c r="BI17" s="80"/>
    </row>
    <row r="18" spans="1:61" ht="14.25" customHeight="1">
      <c r="A18" s="72" t="s">
        <v>85</v>
      </c>
      <c r="B18" s="2" t="str">
        <f>IFERROR(VLOOKUP(A18,'Tabela de Produtos'!A:B,2,0),"Preencher Cód. Produto")</f>
        <v>BRAZIMIL SELADORA PARA MADEIRA 0,75L INCOLOR</v>
      </c>
      <c r="C18" s="2"/>
      <c r="D18" s="73"/>
      <c r="E18" s="73"/>
      <c r="F18" s="74" t="str">
        <f>IF(A18=0,0,VLOOKUP(A18,'Tabela de Produtos'!A:W,23,0))</f>
        <v>Cadastrar Ficha de Produção</v>
      </c>
      <c r="G18" s="74">
        <v>0</v>
      </c>
      <c r="H18" s="76">
        <v>1</v>
      </c>
      <c r="I18" s="74">
        <f t="shared" si="1"/>
        <v>0</v>
      </c>
      <c r="J18" s="77">
        <f>VLOOKUP(B18,'Tabela de Produtos'!B:M,12,FALSE())</f>
        <v>0</v>
      </c>
      <c r="K18" s="74"/>
      <c r="L18" s="74"/>
      <c r="M18" s="74"/>
      <c r="N18" s="81"/>
      <c r="O18" s="74"/>
      <c r="P18" s="74"/>
      <c r="Q18" s="74"/>
      <c r="R18" s="81"/>
      <c r="S18" s="74"/>
      <c r="T18" s="74"/>
      <c r="U18" s="74"/>
      <c r="V18" s="74"/>
      <c r="W18" s="81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7"/>
      <c r="AY18" s="77">
        <f t="shared" si="2"/>
        <v>0</v>
      </c>
      <c r="AZ18" s="79">
        <f>IFERROR(H18*VLOOKUP(A18,'Tabela de Produtos'!A:Q,17,0),0)</f>
        <v>0</v>
      </c>
      <c r="BA18" s="74">
        <f t="shared" si="3"/>
        <v>0</v>
      </c>
      <c r="BB18" s="74">
        <f t="shared" si="3"/>
        <v>0</v>
      </c>
      <c r="BC18" s="74">
        <f t="shared" si="3"/>
        <v>0</v>
      </c>
      <c r="BD18" s="74">
        <f t="shared" si="3"/>
        <v>0</v>
      </c>
      <c r="BE18" s="74">
        <f t="shared" si="4"/>
        <v>0</v>
      </c>
      <c r="BF18" s="74">
        <f t="shared" si="5"/>
        <v>0</v>
      </c>
      <c r="BG18" s="74">
        <f t="shared" si="6"/>
        <v>0</v>
      </c>
      <c r="BH18" s="21">
        <f t="shared" si="7"/>
        <v>0</v>
      </c>
      <c r="BI18" s="80"/>
    </row>
    <row r="19" spans="1:61" ht="14.25" customHeight="1">
      <c r="A19" s="72" t="s">
        <v>86</v>
      </c>
      <c r="B19" s="2" t="str">
        <f>IFERROR(VLOOKUP(A19,'Tabela de Produtos'!A:B,2,0),"Preencher Cód. Produto")</f>
        <v>BRAZIMIL SELADORA PARA MADEIRA 3L INCOLOR</v>
      </c>
      <c r="C19" s="2"/>
      <c r="D19" s="73" t="s">
        <v>66</v>
      </c>
      <c r="E19" s="73"/>
      <c r="F19" s="74" t="str">
        <f>IF(A19=0,0,VLOOKUP(A19,'Tabela de Produtos'!A:W,23,0))</f>
        <v>Cadastrar Ficha de Produção</v>
      </c>
      <c r="G19" s="74">
        <v>0</v>
      </c>
      <c r="H19" s="76">
        <v>1</v>
      </c>
      <c r="I19" s="74">
        <f t="shared" si="1"/>
        <v>0</v>
      </c>
      <c r="J19" s="77">
        <f>VLOOKUP(B19,'Tabela de Produtos'!B:M,12,FALSE())</f>
        <v>0</v>
      </c>
      <c r="K19" s="74"/>
      <c r="L19" s="74"/>
      <c r="M19" s="74"/>
      <c r="N19" s="81"/>
      <c r="O19" s="74"/>
      <c r="P19" s="74"/>
      <c r="Q19" s="74"/>
      <c r="R19" s="81"/>
      <c r="S19" s="74"/>
      <c r="T19" s="74"/>
      <c r="U19" s="74"/>
      <c r="V19" s="74"/>
      <c r="W19" s="81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7"/>
      <c r="AY19" s="77">
        <f t="shared" si="2"/>
        <v>0</v>
      </c>
      <c r="AZ19" s="79">
        <f>IFERROR(H19*VLOOKUP(A19,'Tabela de Produtos'!A:Q,17,0),0)</f>
        <v>0</v>
      </c>
      <c r="BA19" s="74">
        <f t="shared" si="3"/>
        <v>0</v>
      </c>
      <c r="BB19" s="74">
        <f t="shared" si="3"/>
        <v>0</v>
      </c>
      <c r="BC19" s="74">
        <f t="shared" si="3"/>
        <v>0</v>
      </c>
      <c r="BD19" s="74">
        <f t="shared" si="3"/>
        <v>0</v>
      </c>
      <c r="BE19" s="74">
        <f t="shared" si="4"/>
        <v>0</v>
      </c>
      <c r="BF19" s="74">
        <f t="shared" si="5"/>
        <v>0</v>
      </c>
      <c r="BG19" s="74">
        <f t="shared" si="6"/>
        <v>0</v>
      </c>
      <c r="BH19" s="21">
        <f t="shared" si="7"/>
        <v>0</v>
      </c>
      <c r="BI19" s="80"/>
    </row>
    <row r="20" spans="1:61" ht="14.25" customHeight="1">
      <c r="A20" s="72" t="s">
        <v>87</v>
      </c>
      <c r="B20" s="2" t="str">
        <f>IFERROR(VLOOKUP(A20,'Tabela de Produtos'!A:B,2,0),"Preencher Cód. Produto")</f>
        <v>BRAZIMIL MASSA ACRÍLICA 4KG</v>
      </c>
      <c r="C20" s="2"/>
      <c r="D20" s="73" t="s">
        <v>66</v>
      </c>
      <c r="E20" s="73">
        <v>100</v>
      </c>
      <c r="F20" s="74">
        <f>IF(A20=0,0,VLOOKUP(A20,'Tabela de Produtos'!A:W,23,0))</f>
        <v>12.209999999999999</v>
      </c>
      <c r="G20" s="75">
        <v>19.989999999999998</v>
      </c>
      <c r="H20" s="76">
        <v>1</v>
      </c>
      <c r="I20" s="74">
        <f t="shared" si="1"/>
        <v>19.989999999999998</v>
      </c>
      <c r="J20" s="77">
        <f>VLOOKUP(B20,'Tabela de Produtos'!B:M,12,FALSE())</f>
        <v>6.4399999999999995</v>
      </c>
      <c r="K20" s="77">
        <f>VLOOKUP(B20,'Tabela de Produtos'!B:P,15,FALSE())</f>
        <v>1.24</v>
      </c>
      <c r="L20" s="77">
        <f t="shared" ref="L20:L36" si="8">J20*1%</f>
        <v>6.4399999999999999E-2</v>
      </c>
      <c r="M20" s="77">
        <f t="shared" ref="M20:M36" si="9">J20*1%</f>
        <v>6.4399999999999999E-2</v>
      </c>
      <c r="N20" s="78">
        <f t="shared" ref="N20:N36" si="10">J20+K20+L20+M20</f>
        <v>7.8087999999999997</v>
      </c>
      <c r="O20" s="77">
        <f>($O$12/E20)*$O$13</f>
        <v>0.36200000000000004</v>
      </c>
      <c r="P20" s="77">
        <f>($P$12/E20)*$P$13</f>
        <v>0.28289999999999998</v>
      </c>
      <c r="Q20" s="77">
        <f>($Q$12/E20)*$Q$13</f>
        <v>0.28289999999999998</v>
      </c>
      <c r="R20" s="78">
        <f t="shared" ref="R20:R36" si="11">O20+P20+Q20</f>
        <v>0.92779999999999996</v>
      </c>
      <c r="S20" s="77">
        <f>VLOOKUP(B20,'Tabela de Produtos'!B:N,13,FALSE())</f>
        <v>3.06</v>
      </c>
      <c r="T20" s="77">
        <f>$T$12/$T$7</f>
        <v>0.22727272727272727</v>
      </c>
      <c r="U20" s="77">
        <f>$U$12/$U$7</f>
        <v>0.39090909090909093</v>
      </c>
      <c r="V20" s="77">
        <f>$V$12/$V$7</f>
        <v>0.10909090909090909</v>
      </c>
      <c r="W20" s="78">
        <f t="shared" ref="W20:W36" si="12">S20+T20+U20+V20</f>
        <v>3.7872727272727271</v>
      </c>
      <c r="X20" s="77">
        <f t="shared" ref="X20:X36" si="13">(N20+R20+W20)*1%</f>
        <v>0.12523872727272728</v>
      </c>
      <c r="Y20" s="77">
        <f t="shared" ref="Y20:Y36" si="14">X20</f>
        <v>0.12523872727272728</v>
      </c>
      <c r="Z20" s="77">
        <f t="shared" ref="Z20:Z36" si="15">$Z$12/E20</f>
        <v>8.3000000000000001E-3</v>
      </c>
      <c r="AA20" s="77">
        <f t="shared" ref="AA20:AA36" si="16">$AA$12/E20</f>
        <v>0.20833333333333331</v>
      </c>
      <c r="AB20" s="77">
        <f t="shared" ref="AB20:AB36" si="17">$AB$12/E20</f>
        <v>0.19791666666666669</v>
      </c>
      <c r="AC20" s="77">
        <f t="shared" ref="AC20:AC36" si="18">$AC$12/E20</f>
        <v>0</v>
      </c>
      <c r="AD20" s="77">
        <f t="shared" ref="AD20:AD36" si="19">Z20+AA20+AB20+AC20</f>
        <v>0.41454999999999997</v>
      </c>
      <c r="AE20" s="77">
        <f t="shared" ref="AE20:AE36" si="20">(AD20+Y20+W20+R20+N20)*$AE$7</f>
        <v>3.2659153636363634</v>
      </c>
      <c r="AF20" s="77">
        <f t="shared" ref="AF20:AF36" si="21">AE20</f>
        <v>3.2659153636363634</v>
      </c>
      <c r="AG20" s="77"/>
      <c r="AH20" s="74"/>
      <c r="AI20" s="74"/>
      <c r="AJ20" s="74"/>
      <c r="AK20" s="74"/>
      <c r="AL20" s="77">
        <f t="shared" ref="AL20:AL36" si="22">(AD20+Y20+W20+R20+N20)*$AL$7</f>
        <v>0</v>
      </c>
      <c r="AM20" s="77">
        <f t="shared" ref="AM20:AM36" si="23">AL20+AF20+AD20+Y20+W20+R20+N20</f>
        <v>16.329576818181817</v>
      </c>
      <c r="AN20" s="77">
        <f t="shared" ref="AN20:AN36" si="24">AM20*$AN$12</f>
        <v>0.1959549218181818</v>
      </c>
      <c r="AO20" s="77">
        <f t="shared" ref="AO20:AO36" si="25">AM20*$AO$12</f>
        <v>0.17635942963636364</v>
      </c>
      <c r="AP20" s="77">
        <f t="shared" ref="AP20:AP36" si="26">AO20+AN20</f>
        <v>0.37231435145454544</v>
      </c>
      <c r="AQ20" s="77">
        <f t="shared" ref="AQ20:AQ36" si="27">AM20*$AQ$12</f>
        <v>1.3635196643181817</v>
      </c>
      <c r="AR20" s="77">
        <f t="shared" ref="AR20:AR36" si="28">AM20*$AR$12</f>
        <v>0</v>
      </c>
      <c r="AS20" s="77">
        <f t="shared" ref="AS20:AS36" si="29">AM20*$AS$12</f>
        <v>0</v>
      </c>
      <c r="AT20" s="77">
        <f t="shared" ref="AT20:AT36" si="30">AQ20+AR20+AS20</f>
        <v>1.3635196643181817</v>
      </c>
      <c r="AU20" s="77">
        <f t="shared" ref="AU20:AU36" si="31">AM20*$AU$12</f>
        <v>0.81647884090909084</v>
      </c>
      <c r="AV20" s="77">
        <f t="shared" ref="AV20:AV36" si="32">AU20</f>
        <v>0.81647884090909084</v>
      </c>
      <c r="AW20" s="77">
        <f t="shared" ref="AW20:AW36" si="33">AM20+AP20+AT20+AV20</f>
        <v>18.881889674863636</v>
      </c>
      <c r="AX20" s="21">
        <f t="shared" ref="AX20:AX36" si="34">AY20/AW20</f>
        <v>5.868641032319584E-2</v>
      </c>
      <c r="AY20" s="77">
        <f t="shared" si="2"/>
        <v>1.1081103251363622</v>
      </c>
      <c r="AZ20" s="79">
        <f>IFERROR(H20*VLOOKUP(A20,'Tabela de Produtos'!A:Q,17,0),0)</f>
        <v>10.74</v>
      </c>
      <c r="BA20" s="74">
        <f t="shared" si="3"/>
        <v>0</v>
      </c>
      <c r="BB20" s="74">
        <f t="shared" si="3"/>
        <v>0</v>
      </c>
      <c r="BC20" s="74">
        <f t="shared" si="3"/>
        <v>0</v>
      </c>
      <c r="BD20" s="74">
        <f t="shared" si="3"/>
        <v>1.3993</v>
      </c>
      <c r="BE20" s="74">
        <f t="shared" si="4"/>
        <v>0.99949999999999994</v>
      </c>
      <c r="BF20" s="74">
        <f t="shared" si="5"/>
        <v>13.1388</v>
      </c>
      <c r="BG20" s="74">
        <f t="shared" si="6"/>
        <v>6.8511999999999986</v>
      </c>
      <c r="BH20" s="21">
        <f t="shared" si="7"/>
        <v>0.3427313656828414</v>
      </c>
      <c r="BI20" s="80"/>
    </row>
    <row r="21" spans="1:61" ht="14.25" customHeight="1">
      <c r="A21" s="72" t="s">
        <v>88</v>
      </c>
      <c r="B21" s="2" t="str">
        <f>IFERROR(VLOOKUP(A21,'Tabela de Produtos'!A:B,2,0),"Preencher Cód. Produto")</f>
        <v>BRAZIMIL MASSA ACRÍLICA 20KG</v>
      </c>
      <c r="C21" s="2"/>
      <c r="D21" s="73" t="s">
        <v>40</v>
      </c>
      <c r="E21" s="73">
        <v>33</v>
      </c>
      <c r="F21" s="74">
        <f>IF(A21=0,0,VLOOKUP(A21,'Tabela de Produtos'!A:W,23,0))</f>
        <v>53.43</v>
      </c>
      <c r="G21" s="75">
        <v>72.900000000000006</v>
      </c>
      <c r="H21" s="76">
        <v>1</v>
      </c>
      <c r="I21" s="74">
        <f t="shared" si="1"/>
        <v>72.900000000000006</v>
      </c>
      <c r="J21" s="77">
        <f>VLOOKUP(B21,'Tabela de Produtos'!B:M,12,FALSE())</f>
        <v>32.199999999999996</v>
      </c>
      <c r="K21" s="77">
        <f>VLOOKUP(B21,'Tabela de Produtos'!B:P,15,FALSE())</f>
        <v>6.2</v>
      </c>
      <c r="L21" s="77">
        <f t="shared" si="8"/>
        <v>0.32199999999999995</v>
      </c>
      <c r="M21" s="77">
        <f t="shared" si="9"/>
        <v>0.32199999999999995</v>
      </c>
      <c r="N21" s="78">
        <f t="shared" si="10"/>
        <v>39.044000000000004</v>
      </c>
      <c r="O21" s="77">
        <f>0.54*$O$13</f>
        <v>1.08</v>
      </c>
      <c r="P21" s="77">
        <f>0.85*$P$13</f>
        <v>0.85</v>
      </c>
      <c r="Q21" s="77">
        <f>0.85*$Q$13</f>
        <v>0.85</v>
      </c>
      <c r="R21" s="78">
        <f t="shared" si="11"/>
        <v>2.7800000000000002</v>
      </c>
      <c r="S21" s="77">
        <f>VLOOKUP(B21,'Tabela de Produtos'!B:N,13,FALSE())</f>
        <v>8.61</v>
      </c>
      <c r="T21" s="74">
        <f>$T$12/$T$8</f>
        <v>0.69444444444444442</v>
      </c>
      <c r="U21" s="77">
        <f>$U$12/$U$8</f>
        <v>1.1944444444444444</v>
      </c>
      <c r="V21" s="74">
        <f>$V$12/$V$8</f>
        <v>0.33333333333333331</v>
      </c>
      <c r="W21" s="78">
        <f t="shared" si="12"/>
        <v>10.832222222222223</v>
      </c>
      <c r="X21" s="77">
        <f t="shared" si="13"/>
        <v>0.52656222222222226</v>
      </c>
      <c r="Y21" s="77">
        <f t="shared" si="14"/>
        <v>0.52656222222222226</v>
      </c>
      <c r="Z21" s="77">
        <f t="shared" si="15"/>
        <v>2.515151515151515E-2</v>
      </c>
      <c r="AA21" s="77">
        <f t="shared" si="16"/>
        <v>0.63131313131313127</v>
      </c>
      <c r="AB21" s="77">
        <f t="shared" si="17"/>
        <v>0.59974747474747481</v>
      </c>
      <c r="AC21" s="77">
        <f t="shared" si="18"/>
        <v>0</v>
      </c>
      <c r="AD21" s="77">
        <f t="shared" si="19"/>
        <v>1.2562121212121213</v>
      </c>
      <c r="AE21" s="77">
        <f t="shared" si="20"/>
        <v>13.609749141414142</v>
      </c>
      <c r="AF21" s="77">
        <f t="shared" si="21"/>
        <v>13.609749141414142</v>
      </c>
      <c r="AG21" s="74"/>
      <c r="AH21" s="74"/>
      <c r="AI21" s="74"/>
      <c r="AJ21" s="74"/>
      <c r="AK21" s="74"/>
      <c r="AL21" s="77">
        <f t="shared" si="22"/>
        <v>0</v>
      </c>
      <c r="AM21" s="77">
        <f t="shared" si="23"/>
        <v>68.048745707070708</v>
      </c>
      <c r="AN21" s="77">
        <f t="shared" si="24"/>
        <v>0.81658494848484853</v>
      </c>
      <c r="AO21" s="77">
        <f t="shared" si="25"/>
        <v>0.73492645363636366</v>
      </c>
      <c r="AP21" s="77">
        <f t="shared" si="26"/>
        <v>1.5515114021212122</v>
      </c>
      <c r="AQ21" s="77">
        <f t="shared" si="27"/>
        <v>5.6820702665404044</v>
      </c>
      <c r="AR21" s="77">
        <f t="shared" si="28"/>
        <v>0</v>
      </c>
      <c r="AS21" s="77">
        <f t="shared" si="29"/>
        <v>0</v>
      </c>
      <c r="AT21" s="77">
        <f t="shared" si="30"/>
        <v>5.6820702665404044</v>
      </c>
      <c r="AU21" s="77">
        <f t="shared" si="31"/>
        <v>3.4024372853535354</v>
      </c>
      <c r="AV21" s="77">
        <f t="shared" si="32"/>
        <v>3.4024372853535354</v>
      </c>
      <c r="AW21" s="77">
        <f t="shared" si="33"/>
        <v>78.684764661085865</v>
      </c>
      <c r="AX21" s="21">
        <f t="shared" si="34"/>
        <v>-7.3518230447815747E-2</v>
      </c>
      <c r="AY21" s="77">
        <f t="shared" si="2"/>
        <v>-5.784764661085859</v>
      </c>
      <c r="AZ21" s="79">
        <f>IFERROR(H21*VLOOKUP(A21,'Tabela de Produtos'!A:Q,17,0),0)</f>
        <v>47.01</v>
      </c>
      <c r="BA21" s="74">
        <f t="shared" si="3"/>
        <v>0</v>
      </c>
      <c r="BB21" s="74">
        <f t="shared" si="3"/>
        <v>0</v>
      </c>
      <c r="BC21" s="74">
        <f t="shared" si="3"/>
        <v>0</v>
      </c>
      <c r="BD21" s="74">
        <f t="shared" si="3"/>
        <v>5.1030000000000006</v>
      </c>
      <c r="BE21" s="74">
        <f t="shared" si="4"/>
        <v>3.6450000000000005</v>
      </c>
      <c r="BF21" s="74">
        <f t="shared" si="5"/>
        <v>55.758000000000003</v>
      </c>
      <c r="BG21" s="74">
        <f t="shared" si="6"/>
        <v>17.142000000000003</v>
      </c>
      <c r="BH21" s="21">
        <f t="shared" si="7"/>
        <v>0.23514403292181071</v>
      </c>
      <c r="BI21" s="80"/>
    </row>
    <row r="22" spans="1:61" ht="14.25" customHeight="1">
      <c r="A22" s="72" t="s">
        <v>89</v>
      </c>
      <c r="B22" s="2" t="str">
        <f>IFERROR(VLOOKUP(A22,'Tabela de Produtos'!A:B,2,0),"Preencher Cód. Produto")</f>
        <v>BRAZIMIL LÁTEX ECONÔMICO INT FOSCO 3L BRANCO NEVE</v>
      </c>
      <c r="C22" s="2"/>
      <c r="D22" s="73" t="s">
        <v>66</v>
      </c>
      <c r="E22" s="73">
        <v>100</v>
      </c>
      <c r="F22" s="74">
        <f>IF(A22=0,0,VLOOKUP(A22,'Tabela de Produtos'!A:W,23,0))</f>
        <v>9.1</v>
      </c>
      <c r="G22" s="75">
        <v>17.989999999999998</v>
      </c>
      <c r="H22" s="76">
        <v>1</v>
      </c>
      <c r="I22" s="74">
        <f t="shared" si="1"/>
        <v>17.989999999999998</v>
      </c>
      <c r="J22" s="77">
        <f>VLOOKUP(B22,'Tabela de Produtos'!B:M,12,FALSE())</f>
        <v>3.6300000000000008</v>
      </c>
      <c r="K22" s="77">
        <f>VLOOKUP(B22,'Tabela de Produtos'!B:P,15,FALSE())</f>
        <v>0.92999999999999994</v>
      </c>
      <c r="L22" s="77">
        <f t="shared" si="8"/>
        <v>3.6300000000000006E-2</v>
      </c>
      <c r="M22" s="77">
        <f t="shared" si="9"/>
        <v>3.6300000000000006E-2</v>
      </c>
      <c r="N22" s="78">
        <f t="shared" si="10"/>
        <v>4.6326000000000001</v>
      </c>
      <c r="O22" s="77">
        <f t="shared" ref="O22:O36" si="35">($O$12/E22)*$O$13</f>
        <v>0.36200000000000004</v>
      </c>
      <c r="P22" s="77">
        <f t="shared" ref="P22:P36" si="36">($P$12/E22)*$P$13</f>
        <v>0.28289999999999998</v>
      </c>
      <c r="Q22" s="77">
        <f t="shared" ref="Q22:Q36" si="37">($Q$12/E22)*$Q$13</f>
        <v>0.28289999999999998</v>
      </c>
      <c r="R22" s="78">
        <f t="shared" si="11"/>
        <v>0.92779999999999996</v>
      </c>
      <c r="S22" s="77">
        <f>VLOOKUP(B22,'Tabela de Produtos'!B:N,13,FALSE())</f>
        <v>3.44</v>
      </c>
      <c r="T22" s="77">
        <f t="shared" ref="T22:T36" si="38">$T$12/$T$7</f>
        <v>0.22727272727272727</v>
      </c>
      <c r="U22" s="77">
        <f t="shared" ref="U22:U36" si="39">$U$12/$U$7</f>
        <v>0.39090909090909093</v>
      </c>
      <c r="V22" s="77">
        <f t="shared" ref="V22:V36" si="40">$V$12/$V$7</f>
        <v>0.10909090909090909</v>
      </c>
      <c r="W22" s="78">
        <f t="shared" si="12"/>
        <v>4.167272727272727</v>
      </c>
      <c r="X22" s="77">
        <f t="shared" si="13"/>
        <v>9.7276727272727265E-2</v>
      </c>
      <c r="Y22" s="77">
        <f t="shared" si="14"/>
        <v>9.7276727272727265E-2</v>
      </c>
      <c r="Z22" s="77">
        <f t="shared" si="15"/>
        <v>8.3000000000000001E-3</v>
      </c>
      <c r="AA22" s="77">
        <f t="shared" si="16"/>
        <v>0.20833333333333331</v>
      </c>
      <c r="AB22" s="77">
        <f t="shared" si="17"/>
        <v>0.19791666666666669</v>
      </c>
      <c r="AC22" s="77">
        <f t="shared" si="18"/>
        <v>0</v>
      </c>
      <c r="AD22" s="77">
        <f t="shared" si="19"/>
        <v>0.41454999999999997</v>
      </c>
      <c r="AE22" s="77">
        <f t="shared" si="20"/>
        <v>2.5598748636363635</v>
      </c>
      <c r="AF22" s="77">
        <f t="shared" si="21"/>
        <v>2.5598748636363635</v>
      </c>
      <c r="AG22" s="74"/>
      <c r="AH22" s="74"/>
      <c r="AI22" s="74"/>
      <c r="AJ22" s="74"/>
      <c r="AK22" s="74"/>
      <c r="AL22" s="77">
        <f t="shared" si="22"/>
        <v>0</v>
      </c>
      <c r="AM22" s="77">
        <f t="shared" si="23"/>
        <v>12.799374318181817</v>
      </c>
      <c r="AN22" s="77">
        <f t="shared" si="24"/>
        <v>0.1535924918181818</v>
      </c>
      <c r="AO22" s="77">
        <f t="shared" si="25"/>
        <v>0.13823324263636363</v>
      </c>
      <c r="AP22" s="77">
        <f t="shared" si="26"/>
        <v>0.2918257344545454</v>
      </c>
      <c r="AQ22" s="77">
        <f t="shared" si="27"/>
        <v>1.0687477555681817</v>
      </c>
      <c r="AR22" s="77">
        <f t="shared" si="28"/>
        <v>0</v>
      </c>
      <c r="AS22" s="77">
        <f t="shared" si="29"/>
        <v>0</v>
      </c>
      <c r="AT22" s="77">
        <f t="shared" si="30"/>
        <v>1.0687477555681817</v>
      </c>
      <c r="AU22" s="77">
        <f t="shared" si="31"/>
        <v>0.63996871590909088</v>
      </c>
      <c r="AV22" s="77">
        <f t="shared" si="32"/>
        <v>0.63996871590909088</v>
      </c>
      <c r="AW22" s="77">
        <f t="shared" si="33"/>
        <v>14.799916524113637</v>
      </c>
      <c r="AX22" s="21">
        <f t="shared" si="34"/>
        <v>0.21554739654705005</v>
      </c>
      <c r="AY22" s="77">
        <f t="shared" si="2"/>
        <v>3.190083475886361</v>
      </c>
      <c r="AZ22" s="79">
        <f>IFERROR(H22*VLOOKUP(A22,'Tabela de Produtos'!A:Q,17,0),0)</f>
        <v>8</v>
      </c>
      <c r="BA22" s="74">
        <f t="shared" si="3"/>
        <v>0</v>
      </c>
      <c r="BB22" s="74">
        <f t="shared" si="3"/>
        <v>0</v>
      </c>
      <c r="BC22" s="74">
        <f t="shared" si="3"/>
        <v>0</v>
      </c>
      <c r="BD22" s="74">
        <f t="shared" si="3"/>
        <v>1.2593000000000001</v>
      </c>
      <c r="BE22" s="74">
        <f t="shared" si="4"/>
        <v>0.89949999999999997</v>
      </c>
      <c r="BF22" s="74">
        <f t="shared" si="5"/>
        <v>10.158799999999999</v>
      </c>
      <c r="BG22" s="74">
        <f t="shared" si="6"/>
        <v>7.8311999999999991</v>
      </c>
      <c r="BH22" s="21">
        <f t="shared" si="7"/>
        <v>0.43530850472484711</v>
      </c>
      <c r="BI22" s="80"/>
    </row>
    <row r="23" spans="1:61" ht="14.25" customHeight="1">
      <c r="A23" s="72" t="s">
        <v>90</v>
      </c>
      <c r="B23" s="2" t="str">
        <f>IFERROR(VLOOKUP(A23,'Tabela de Produtos'!A:B,2,0),"Preencher Cód. Produto")</f>
        <v>BRAZIMIL LÁTEX ECONÔMICO INT FOSCO 3L BRANCO GELO</v>
      </c>
      <c r="C23" s="2"/>
      <c r="D23" s="73" t="s">
        <v>66</v>
      </c>
      <c r="E23" s="73">
        <v>100</v>
      </c>
      <c r="F23" s="74">
        <f>IF(A23=0,0,VLOOKUP(A23,'Tabela de Produtos'!A:W,23,0))</f>
        <v>10.39</v>
      </c>
      <c r="G23" s="75">
        <v>17.989999999999998</v>
      </c>
      <c r="H23" s="76">
        <v>1</v>
      </c>
      <c r="I23" s="74">
        <f t="shared" si="1"/>
        <v>17.989999999999998</v>
      </c>
      <c r="J23" s="77">
        <f>VLOOKUP(B23,'Tabela de Produtos'!B:M,12,FALSE())</f>
        <v>4.7699999999999996</v>
      </c>
      <c r="K23" s="77">
        <f>VLOOKUP(B23,'Tabela de Produtos'!B:P,15,FALSE())</f>
        <v>0.92999999999999994</v>
      </c>
      <c r="L23" s="77">
        <f t="shared" si="8"/>
        <v>4.7699999999999999E-2</v>
      </c>
      <c r="M23" s="77">
        <f t="shared" si="9"/>
        <v>4.7699999999999999E-2</v>
      </c>
      <c r="N23" s="78">
        <f t="shared" si="10"/>
        <v>5.795399999999999</v>
      </c>
      <c r="O23" s="77">
        <f t="shared" si="35"/>
        <v>0.36200000000000004</v>
      </c>
      <c r="P23" s="77">
        <f t="shared" si="36"/>
        <v>0.28289999999999998</v>
      </c>
      <c r="Q23" s="77">
        <f t="shared" si="37"/>
        <v>0.28289999999999998</v>
      </c>
      <c r="R23" s="78">
        <f t="shared" si="11"/>
        <v>0.92779999999999996</v>
      </c>
      <c r="S23" s="77">
        <f>VLOOKUP(B23,'Tabela de Produtos'!B:N,13,FALSE())</f>
        <v>3.44</v>
      </c>
      <c r="T23" s="77">
        <f t="shared" si="38"/>
        <v>0.22727272727272727</v>
      </c>
      <c r="U23" s="77">
        <f t="shared" si="39"/>
        <v>0.39090909090909093</v>
      </c>
      <c r="V23" s="77">
        <f t="shared" si="40"/>
        <v>0.10909090909090909</v>
      </c>
      <c r="W23" s="78">
        <f t="shared" si="12"/>
        <v>4.167272727272727</v>
      </c>
      <c r="X23" s="77">
        <f t="shared" si="13"/>
        <v>0.10890472727272726</v>
      </c>
      <c r="Y23" s="77">
        <f t="shared" si="14"/>
        <v>0.10890472727272726</v>
      </c>
      <c r="Z23" s="77">
        <f t="shared" si="15"/>
        <v>8.3000000000000001E-3</v>
      </c>
      <c r="AA23" s="77">
        <f t="shared" si="16"/>
        <v>0.20833333333333331</v>
      </c>
      <c r="AB23" s="77">
        <f t="shared" si="17"/>
        <v>0.19791666666666669</v>
      </c>
      <c r="AC23" s="77">
        <f t="shared" si="18"/>
        <v>0</v>
      </c>
      <c r="AD23" s="77">
        <f t="shared" si="19"/>
        <v>0.41454999999999997</v>
      </c>
      <c r="AE23" s="77">
        <f t="shared" si="20"/>
        <v>2.8534818636363632</v>
      </c>
      <c r="AF23" s="77">
        <f t="shared" si="21"/>
        <v>2.8534818636363632</v>
      </c>
      <c r="AG23" s="74"/>
      <c r="AH23" s="74"/>
      <c r="AI23" s="74"/>
      <c r="AJ23" s="74"/>
      <c r="AK23" s="74"/>
      <c r="AL23" s="77">
        <f t="shared" si="22"/>
        <v>0</v>
      </c>
      <c r="AM23" s="77">
        <f t="shared" si="23"/>
        <v>14.267409318181816</v>
      </c>
      <c r="AN23" s="77">
        <f t="shared" si="24"/>
        <v>0.17120891181818179</v>
      </c>
      <c r="AO23" s="77">
        <f t="shared" si="25"/>
        <v>0.15408802063636362</v>
      </c>
      <c r="AP23" s="77">
        <f t="shared" si="26"/>
        <v>0.32529693245454538</v>
      </c>
      <c r="AQ23" s="77">
        <f t="shared" si="27"/>
        <v>1.1913286780681818</v>
      </c>
      <c r="AR23" s="77">
        <f t="shared" si="28"/>
        <v>0</v>
      </c>
      <c r="AS23" s="77">
        <f t="shared" si="29"/>
        <v>0</v>
      </c>
      <c r="AT23" s="77">
        <f t="shared" si="30"/>
        <v>1.1913286780681818</v>
      </c>
      <c r="AU23" s="77">
        <f t="shared" si="31"/>
        <v>0.71337046590909081</v>
      </c>
      <c r="AV23" s="77">
        <f t="shared" si="32"/>
        <v>0.71337046590909081</v>
      </c>
      <c r="AW23" s="77">
        <f t="shared" si="33"/>
        <v>16.497405394613633</v>
      </c>
      <c r="AX23" s="21">
        <f t="shared" si="34"/>
        <v>9.0474506122865506E-2</v>
      </c>
      <c r="AY23" s="77">
        <f t="shared" si="2"/>
        <v>1.4925946053863655</v>
      </c>
      <c r="AZ23" s="79">
        <f>IFERROR(H23*VLOOKUP(A23,'Tabela de Produtos'!A:Q,17,0),0)</f>
        <v>9.1399999999999988</v>
      </c>
      <c r="BA23" s="74">
        <f t="shared" si="3"/>
        <v>0</v>
      </c>
      <c r="BB23" s="74">
        <f t="shared" si="3"/>
        <v>0</v>
      </c>
      <c r="BC23" s="74">
        <f t="shared" si="3"/>
        <v>0</v>
      </c>
      <c r="BD23" s="74">
        <f t="shared" si="3"/>
        <v>1.2593000000000001</v>
      </c>
      <c r="BE23" s="74">
        <f t="shared" si="4"/>
        <v>0.89949999999999997</v>
      </c>
      <c r="BF23" s="74">
        <f t="shared" si="5"/>
        <v>11.298799999999998</v>
      </c>
      <c r="BG23" s="74">
        <f t="shared" si="6"/>
        <v>6.6912000000000003</v>
      </c>
      <c r="BH23" s="21">
        <f t="shared" si="7"/>
        <v>0.37193996664813789</v>
      </c>
      <c r="BI23" s="80"/>
    </row>
    <row r="24" spans="1:61" ht="14.25" customHeight="1">
      <c r="A24" s="72" t="s">
        <v>91</v>
      </c>
      <c r="B24" s="2" t="str">
        <f>IFERROR(VLOOKUP(A24,'Tabela de Produtos'!A:B,2,0),"Preencher Cód. Produto")</f>
        <v>BRAZIMIL LÁTEX ECONÔMICO INT FOSCO 3L AREIA</v>
      </c>
      <c r="C24" s="2"/>
      <c r="D24" s="73" t="s">
        <v>66</v>
      </c>
      <c r="E24" s="73">
        <v>100</v>
      </c>
      <c r="F24" s="74">
        <f>IF(A24=0,0,VLOOKUP(A24,'Tabela de Produtos'!A:W,23,0))</f>
        <v>10.87</v>
      </c>
      <c r="G24" s="75">
        <v>17.989999999999998</v>
      </c>
      <c r="H24" s="76">
        <v>1</v>
      </c>
      <c r="I24" s="74">
        <f t="shared" si="1"/>
        <v>17.989999999999998</v>
      </c>
      <c r="J24" s="77">
        <f>VLOOKUP(B24,'Tabela de Produtos'!B:M,12,FALSE())</f>
        <v>5.19</v>
      </c>
      <c r="K24" s="77">
        <f>VLOOKUP(B24,'Tabela de Produtos'!B:P,15,FALSE())</f>
        <v>0.92999999999999994</v>
      </c>
      <c r="L24" s="77">
        <f t="shared" si="8"/>
        <v>5.1900000000000002E-2</v>
      </c>
      <c r="M24" s="77">
        <f t="shared" si="9"/>
        <v>5.1900000000000002E-2</v>
      </c>
      <c r="N24" s="78">
        <f t="shared" si="10"/>
        <v>6.2237999999999998</v>
      </c>
      <c r="O24" s="77">
        <f t="shared" si="35"/>
        <v>0.36200000000000004</v>
      </c>
      <c r="P24" s="77">
        <f t="shared" si="36"/>
        <v>0.28289999999999998</v>
      </c>
      <c r="Q24" s="77">
        <f t="shared" si="37"/>
        <v>0.28289999999999998</v>
      </c>
      <c r="R24" s="78">
        <f t="shared" si="11"/>
        <v>0.92779999999999996</v>
      </c>
      <c r="S24" s="77">
        <f>VLOOKUP(B24,'Tabela de Produtos'!B:N,13,FALSE())</f>
        <v>3.44</v>
      </c>
      <c r="T24" s="77">
        <f t="shared" si="38"/>
        <v>0.22727272727272727</v>
      </c>
      <c r="U24" s="77">
        <f t="shared" si="39"/>
        <v>0.39090909090909093</v>
      </c>
      <c r="V24" s="77">
        <f t="shared" si="40"/>
        <v>0.10909090909090909</v>
      </c>
      <c r="W24" s="78">
        <f t="shared" si="12"/>
        <v>4.167272727272727</v>
      </c>
      <c r="X24" s="77">
        <f t="shared" si="13"/>
        <v>0.11318872727272726</v>
      </c>
      <c r="Y24" s="77">
        <f t="shared" si="14"/>
        <v>0.11318872727272726</v>
      </c>
      <c r="Z24" s="77">
        <f t="shared" si="15"/>
        <v>8.3000000000000001E-3</v>
      </c>
      <c r="AA24" s="77">
        <f t="shared" si="16"/>
        <v>0.20833333333333331</v>
      </c>
      <c r="AB24" s="77">
        <f t="shared" si="17"/>
        <v>0.19791666666666669</v>
      </c>
      <c r="AC24" s="77">
        <f t="shared" si="18"/>
        <v>0</v>
      </c>
      <c r="AD24" s="77">
        <f t="shared" si="19"/>
        <v>0.41454999999999997</v>
      </c>
      <c r="AE24" s="77">
        <f t="shared" si="20"/>
        <v>2.9616528636363633</v>
      </c>
      <c r="AF24" s="77">
        <f t="shared" si="21"/>
        <v>2.9616528636363633</v>
      </c>
      <c r="AG24" s="74"/>
      <c r="AH24" s="74"/>
      <c r="AI24" s="74"/>
      <c r="AJ24" s="74"/>
      <c r="AK24" s="74"/>
      <c r="AL24" s="77">
        <f t="shared" si="22"/>
        <v>0</v>
      </c>
      <c r="AM24" s="77">
        <f t="shared" si="23"/>
        <v>14.808264318181816</v>
      </c>
      <c r="AN24" s="77">
        <f t="shared" si="24"/>
        <v>0.17769917181818179</v>
      </c>
      <c r="AO24" s="77">
        <f t="shared" si="25"/>
        <v>0.15992925463636362</v>
      </c>
      <c r="AP24" s="77">
        <f t="shared" si="26"/>
        <v>0.33762842645454538</v>
      </c>
      <c r="AQ24" s="77">
        <f t="shared" si="27"/>
        <v>1.2364900705681818</v>
      </c>
      <c r="AR24" s="77">
        <f t="shared" si="28"/>
        <v>0</v>
      </c>
      <c r="AS24" s="77">
        <f t="shared" si="29"/>
        <v>0</v>
      </c>
      <c r="AT24" s="77">
        <f t="shared" si="30"/>
        <v>1.2364900705681818</v>
      </c>
      <c r="AU24" s="77">
        <f t="shared" si="31"/>
        <v>0.74041321590909082</v>
      </c>
      <c r="AV24" s="77">
        <f t="shared" si="32"/>
        <v>0.74041321590909082</v>
      </c>
      <c r="AW24" s="77">
        <f t="shared" si="33"/>
        <v>17.122796031113634</v>
      </c>
      <c r="AX24" s="21">
        <f t="shared" si="34"/>
        <v>5.0646165924687687E-2</v>
      </c>
      <c r="AY24" s="77">
        <f t="shared" si="2"/>
        <v>0.86720396888636486</v>
      </c>
      <c r="AZ24" s="79">
        <f>IFERROR(H24*VLOOKUP(A24,'Tabela de Produtos'!A:Q,17,0),0)</f>
        <v>9.56</v>
      </c>
      <c r="BA24" s="74">
        <f t="shared" si="3"/>
        <v>0</v>
      </c>
      <c r="BB24" s="74">
        <f t="shared" si="3"/>
        <v>0</v>
      </c>
      <c r="BC24" s="74">
        <f t="shared" si="3"/>
        <v>0</v>
      </c>
      <c r="BD24" s="74">
        <f t="shared" si="3"/>
        <v>1.2593000000000001</v>
      </c>
      <c r="BE24" s="74">
        <f t="shared" si="4"/>
        <v>0.89949999999999997</v>
      </c>
      <c r="BF24" s="74">
        <f t="shared" si="5"/>
        <v>11.7188</v>
      </c>
      <c r="BG24" s="74">
        <f t="shared" si="6"/>
        <v>6.2711999999999986</v>
      </c>
      <c r="BH24" s="21">
        <f t="shared" si="7"/>
        <v>0.34859366314619228</v>
      </c>
      <c r="BI24" s="80"/>
    </row>
    <row r="25" spans="1:61" ht="14.25" customHeight="1">
      <c r="A25" s="72" t="s">
        <v>92</v>
      </c>
      <c r="B25" s="2" t="str">
        <f>IFERROR(VLOOKUP(A25,'Tabela de Produtos'!A:B,2,0),"Preencher Cód. Produto")</f>
        <v>BRAZIMIL LÁTEX ECONÔMICO INT FOSCO 3L PALHA</v>
      </c>
      <c r="C25" s="2"/>
      <c r="D25" s="73" t="s">
        <v>66</v>
      </c>
      <c r="E25" s="73">
        <v>100</v>
      </c>
      <c r="F25" s="74">
        <f>IF(A25=0,0,VLOOKUP(A25,'Tabela de Produtos'!A:W,23,0))</f>
        <v>10.56</v>
      </c>
      <c r="G25" s="75">
        <v>17.989999999999998</v>
      </c>
      <c r="H25" s="76">
        <v>1</v>
      </c>
      <c r="I25" s="74">
        <f t="shared" si="1"/>
        <v>17.989999999999998</v>
      </c>
      <c r="J25" s="77">
        <f>VLOOKUP(B25,'Tabela de Produtos'!B:M,12,FALSE())</f>
        <v>4.92</v>
      </c>
      <c r="K25" s="77">
        <f>VLOOKUP(B25,'Tabela de Produtos'!B:P,15,FALSE())</f>
        <v>0.92999999999999994</v>
      </c>
      <c r="L25" s="77">
        <f t="shared" si="8"/>
        <v>4.9200000000000001E-2</v>
      </c>
      <c r="M25" s="77">
        <f t="shared" si="9"/>
        <v>4.9200000000000001E-2</v>
      </c>
      <c r="N25" s="78">
        <f t="shared" si="10"/>
        <v>5.9483999999999995</v>
      </c>
      <c r="O25" s="77">
        <f t="shared" si="35"/>
        <v>0.36200000000000004</v>
      </c>
      <c r="P25" s="77">
        <f t="shared" si="36"/>
        <v>0.28289999999999998</v>
      </c>
      <c r="Q25" s="77">
        <f t="shared" si="37"/>
        <v>0.28289999999999998</v>
      </c>
      <c r="R25" s="78">
        <f t="shared" si="11"/>
        <v>0.92779999999999996</v>
      </c>
      <c r="S25" s="77">
        <f>VLOOKUP(B25,'Tabela de Produtos'!B:N,13,FALSE())</f>
        <v>3.44</v>
      </c>
      <c r="T25" s="77">
        <f t="shared" si="38"/>
        <v>0.22727272727272727</v>
      </c>
      <c r="U25" s="77">
        <f t="shared" si="39"/>
        <v>0.39090909090909093</v>
      </c>
      <c r="V25" s="77">
        <f t="shared" si="40"/>
        <v>0.10909090909090909</v>
      </c>
      <c r="W25" s="78">
        <f t="shared" si="12"/>
        <v>4.167272727272727</v>
      </c>
      <c r="X25" s="77">
        <f t="shared" si="13"/>
        <v>0.11043472727272725</v>
      </c>
      <c r="Y25" s="77">
        <f t="shared" si="14"/>
        <v>0.11043472727272725</v>
      </c>
      <c r="Z25" s="77">
        <f t="shared" si="15"/>
        <v>8.3000000000000001E-3</v>
      </c>
      <c r="AA25" s="77">
        <f t="shared" si="16"/>
        <v>0.20833333333333331</v>
      </c>
      <c r="AB25" s="77">
        <f t="shared" si="17"/>
        <v>0.19791666666666669</v>
      </c>
      <c r="AC25" s="77">
        <f t="shared" si="18"/>
        <v>0</v>
      </c>
      <c r="AD25" s="77">
        <f t="shared" si="19"/>
        <v>0.41454999999999997</v>
      </c>
      <c r="AE25" s="77">
        <f t="shared" si="20"/>
        <v>2.8921143636363635</v>
      </c>
      <c r="AF25" s="77">
        <f t="shared" si="21"/>
        <v>2.8921143636363635</v>
      </c>
      <c r="AG25" s="74"/>
      <c r="AH25" s="74"/>
      <c r="AI25" s="74"/>
      <c r="AJ25" s="74"/>
      <c r="AK25" s="74"/>
      <c r="AL25" s="77">
        <f t="shared" si="22"/>
        <v>0</v>
      </c>
      <c r="AM25" s="77">
        <f t="shared" si="23"/>
        <v>14.460571818181817</v>
      </c>
      <c r="AN25" s="77">
        <f t="shared" si="24"/>
        <v>0.1735268618181818</v>
      </c>
      <c r="AO25" s="77">
        <f t="shared" si="25"/>
        <v>0.15617417563636363</v>
      </c>
      <c r="AP25" s="77">
        <f t="shared" si="26"/>
        <v>0.32970103745454543</v>
      </c>
      <c r="AQ25" s="77">
        <f t="shared" si="27"/>
        <v>1.2074577468181817</v>
      </c>
      <c r="AR25" s="77">
        <f t="shared" si="28"/>
        <v>0</v>
      </c>
      <c r="AS25" s="77">
        <f t="shared" si="29"/>
        <v>0</v>
      </c>
      <c r="AT25" s="77">
        <f t="shared" si="30"/>
        <v>1.2074577468181817</v>
      </c>
      <c r="AU25" s="77">
        <f t="shared" si="31"/>
        <v>0.72302859090909088</v>
      </c>
      <c r="AV25" s="77">
        <f t="shared" si="32"/>
        <v>0.72302859090909088</v>
      </c>
      <c r="AW25" s="77">
        <f t="shared" si="33"/>
        <v>16.720759193363637</v>
      </c>
      <c r="AX25" s="21">
        <f t="shared" si="34"/>
        <v>7.5908084791994054E-2</v>
      </c>
      <c r="AY25" s="77">
        <f t="shared" si="2"/>
        <v>1.2692408066363612</v>
      </c>
      <c r="AZ25" s="79">
        <f>IFERROR(H25*VLOOKUP(A25,'Tabela de Produtos'!A:Q,17,0),0)</f>
        <v>9.2899999999999991</v>
      </c>
      <c r="BA25" s="74">
        <f t="shared" si="3"/>
        <v>0</v>
      </c>
      <c r="BB25" s="74">
        <f t="shared" si="3"/>
        <v>0</v>
      </c>
      <c r="BC25" s="74">
        <f t="shared" si="3"/>
        <v>0</v>
      </c>
      <c r="BD25" s="74">
        <f t="shared" si="3"/>
        <v>1.2593000000000001</v>
      </c>
      <c r="BE25" s="74">
        <f t="shared" si="4"/>
        <v>0.89949999999999997</v>
      </c>
      <c r="BF25" s="74">
        <f t="shared" si="5"/>
        <v>11.448799999999999</v>
      </c>
      <c r="BG25" s="74">
        <f t="shared" si="6"/>
        <v>6.5411999999999999</v>
      </c>
      <c r="BH25" s="21">
        <f t="shared" si="7"/>
        <v>0.36360200111172875</v>
      </c>
      <c r="BI25" s="80"/>
    </row>
    <row r="26" spans="1:61" ht="14.25" customHeight="1">
      <c r="A26" s="72" t="s">
        <v>93</v>
      </c>
      <c r="B26" s="2" t="str">
        <f>IFERROR(VLOOKUP(A26,'Tabela de Produtos'!A:B,2,0),"Preencher Cód. Produto")</f>
        <v>BRAZIMIL LÁTEX ECONÔMICO INT FOSCO 3L VERDE PRIMAVERA</v>
      </c>
      <c r="C26" s="2"/>
      <c r="D26" s="73" t="s">
        <v>66</v>
      </c>
      <c r="E26" s="73">
        <v>100</v>
      </c>
      <c r="F26" s="74">
        <f>IF(A26=0,0,VLOOKUP(A26,'Tabela de Produtos'!A:W,23,0))</f>
        <v>11.52</v>
      </c>
      <c r="G26" s="75">
        <v>17.989999999999998</v>
      </c>
      <c r="H26" s="76">
        <v>1</v>
      </c>
      <c r="I26" s="74">
        <f t="shared" si="1"/>
        <v>17.989999999999998</v>
      </c>
      <c r="J26" s="77">
        <f>VLOOKUP(B26,'Tabela de Produtos'!B:M,12,FALSE())</f>
        <v>5.7600000000000016</v>
      </c>
      <c r="K26" s="77">
        <f>VLOOKUP(B26,'Tabela de Produtos'!B:P,15,FALSE())</f>
        <v>0.92999999999999994</v>
      </c>
      <c r="L26" s="77">
        <f t="shared" si="8"/>
        <v>5.7600000000000019E-2</v>
      </c>
      <c r="M26" s="77">
        <f t="shared" si="9"/>
        <v>5.7600000000000019E-2</v>
      </c>
      <c r="N26" s="78">
        <f t="shared" si="10"/>
        <v>6.805200000000001</v>
      </c>
      <c r="O26" s="77">
        <f t="shared" si="35"/>
        <v>0.36200000000000004</v>
      </c>
      <c r="P26" s="77">
        <f t="shared" si="36"/>
        <v>0.28289999999999998</v>
      </c>
      <c r="Q26" s="77">
        <f t="shared" si="37"/>
        <v>0.28289999999999998</v>
      </c>
      <c r="R26" s="78">
        <f t="shared" si="11"/>
        <v>0.92779999999999996</v>
      </c>
      <c r="S26" s="77">
        <f>VLOOKUP(B26,'Tabela de Produtos'!B:N,13,FALSE())</f>
        <v>3.44</v>
      </c>
      <c r="T26" s="77">
        <f t="shared" si="38"/>
        <v>0.22727272727272727</v>
      </c>
      <c r="U26" s="77">
        <f t="shared" si="39"/>
        <v>0.39090909090909093</v>
      </c>
      <c r="V26" s="77">
        <f t="shared" si="40"/>
        <v>0.10909090909090909</v>
      </c>
      <c r="W26" s="78">
        <f t="shared" si="12"/>
        <v>4.167272727272727</v>
      </c>
      <c r="X26" s="77">
        <f t="shared" si="13"/>
        <v>0.11900272727272729</v>
      </c>
      <c r="Y26" s="77">
        <f t="shared" si="14"/>
        <v>0.11900272727272729</v>
      </c>
      <c r="Z26" s="77">
        <f t="shared" si="15"/>
        <v>8.3000000000000001E-3</v>
      </c>
      <c r="AA26" s="77">
        <f t="shared" si="16"/>
        <v>0.20833333333333331</v>
      </c>
      <c r="AB26" s="77">
        <f t="shared" si="17"/>
        <v>0.19791666666666669</v>
      </c>
      <c r="AC26" s="77">
        <f t="shared" si="18"/>
        <v>0</v>
      </c>
      <c r="AD26" s="77">
        <f t="shared" si="19"/>
        <v>0.41454999999999997</v>
      </c>
      <c r="AE26" s="77">
        <f t="shared" si="20"/>
        <v>3.108456363636364</v>
      </c>
      <c r="AF26" s="77">
        <f t="shared" si="21"/>
        <v>3.108456363636364</v>
      </c>
      <c r="AG26" s="74"/>
      <c r="AH26" s="74"/>
      <c r="AI26" s="74"/>
      <c r="AJ26" s="74"/>
      <c r="AK26" s="74"/>
      <c r="AL26" s="77">
        <f t="shared" si="22"/>
        <v>0</v>
      </c>
      <c r="AM26" s="77">
        <f t="shared" si="23"/>
        <v>15.54228181818182</v>
      </c>
      <c r="AN26" s="77">
        <f t="shared" si="24"/>
        <v>0.18650738181818186</v>
      </c>
      <c r="AO26" s="77">
        <f t="shared" si="25"/>
        <v>0.16785664363636366</v>
      </c>
      <c r="AP26" s="77">
        <f t="shared" si="26"/>
        <v>0.35436402545454548</v>
      </c>
      <c r="AQ26" s="77">
        <f t="shared" si="27"/>
        <v>1.2977805318181821</v>
      </c>
      <c r="AR26" s="77">
        <f t="shared" si="28"/>
        <v>0</v>
      </c>
      <c r="AS26" s="77">
        <f t="shared" si="29"/>
        <v>0</v>
      </c>
      <c r="AT26" s="77">
        <f t="shared" si="30"/>
        <v>1.2977805318181821</v>
      </c>
      <c r="AU26" s="77">
        <f t="shared" si="31"/>
        <v>0.777114090909091</v>
      </c>
      <c r="AV26" s="77">
        <f t="shared" si="32"/>
        <v>0.777114090909091</v>
      </c>
      <c r="AW26" s="77">
        <f t="shared" si="33"/>
        <v>17.971540466363638</v>
      </c>
      <c r="AX26" s="21">
        <f t="shared" si="34"/>
        <v>1.027153663922673E-3</v>
      </c>
      <c r="AY26" s="77">
        <f t="shared" si="2"/>
        <v>1.8459533636359993E-2</v>
      </c>
      <c r="AZ26" s="79">
        <f>IFERROR(H26*VLOOKUP(A26,'Tabela de Produtos'!A:Q,17,0),0)</f>
        <v>10.130000000000001</v>
      </c>
      <c r="BA26" s="74">
        <f t="shared" si="3"/>
        <v>0</v>
      </c>
      <c r="BB26" s="74">
        <f t="shared" si="3"/>
        <v>0</v>
      </c>
      <c r="BC26" s="74">
        <f t="shared" si="3"/>
        <v>0</v>
      </c>
      <c r="BD26" s="74">
        <f t="shared" si="3"/>
        <v>1.2593000000000001</v>
      </c>
      <c r="BE26" s="74">
        <f t="shared" si="4"/>
        <v>0.89949999999999997</v>
      </c>
      <c r="BF26" s="74">
        <f t="shared" si="5"/>
        <v>12.2888</v>
      </c>
      <c r="BG26" s="74">
        <f t="shared" si="6"/>
        <v>5.7011999999999983</v>
      </c>
      <c r="BH26" s="21">
        <f t="shared" si="7"/>
        <v>0.31690939410783764</v>
      </c>
      <c r="BI26" s="80"/>
    </row>
    <row r="27" spans="1:61" ht="14.25" customHeight="1">
      <c r="A27" s="72" t="s">
        <v>94</v>
      </c>
      <c r="B27" s="2" t="str">
        <f>IFERROR(VLOOKUP(A27,'Tabela de Produtos'!A:B,2,0),"Preencher Cód. Produto")</f>
        <v>BRAZIMIL LÁTEX ECONÔMICO INT FOSCO 3L VERDE FOLHA</v>
      </c>
      <c r="C27" s="2"/>
      <c r="D27" s="73" t="s">
        <v>66</v>
      </c>
      <c r="E27" s="73">
        <v>100</v>
      </c>
      <c r="F27" s="74">
        <f>IF(A27=0,0,VLOOKUP(A27,'Tabela de Produtos'!A:W,23,0))</f>
        <v>12.78</v>
      </c>
      <c r="G27" s="75">
        <v>17.989999999999998</v>
      </c>
      <c r="H27" s="76">
        <v>1</v>
      </c>
      <c r="I27" s="74">
        <f t="shared" si="1"/>
        <v>17.989999999999998</v>
      </c>
      <c r="J27" s="77">
        <f>VLOOKUP(B27,'Tabela de Produtos'!B:M,12,FALSE())</f>
        <v>6.87</v>
      </c>
      <c r="K27" s="77">
        <f>VLOOKUP(B27,'Tabela de Produtos'!B:P,15,FALSE())</f>
        <v>0.92999999999999994</v>
      </c>
      <c r="L27" s="77">
        <f t="shared" si="8"/>
        <v>6.8699999999999997E-2</v>
      </c>
      <c r="M27" s="77">
        <f t="shared" si="9"/>
        <v>6.8699999999999997E-2</v>
      </c>
      <c r="N27" s="78">
        <f t="shared" si="10"/>
        <v>7.9373999999999993</v>
      </c>
      <c r="O27" s="77">
        <f t="shared" si="35"/>
        <v>0.36200000000000004</v>
      </c>
      <c r="P27" s="77">
        <f t="shared" si="36"/>
        <v>0.28289999999999998</v>
      </c>
      <c r="Q27" s="77">
        <f t="shared" si="37"/>
        <v>0.28289999999999998</v>
      </c>
      <c r="R27" s="78">
        <f t="shared" si="11"/>
        <v>0.92779999999999996</v>
      </c>
      <c r="S27" s="77">
        <f>VLOOKUP(B27,'Tabela de Produtos'!B:N,13,FALSE())</f>
        <v>3.44</v>
      </c>
      <c r="T27" s="77">
        <f t="shared" si="38"/>
        <v>0.22727272727272727</v>
      </c>
      <c r="U27" s="77">
        <f t="shared" si="39"/>
        <v>0.39090909090909093</v>
      </c>
      <c r="V27" s="77">
        <f t="shared" si="40"/>
        <v>0.10909090909090909</v>
      </c>
      <c r="W27" s="78">
        <f t="shared" si="12"/>
        <v>4.167272727272727</v>
      </c>
      <c r="X27" s="77">
        <f t="shared" si="13"/>
        <v>0.13032472727272726</v>
      </c>
      <c r="Y27" s="77">
        <f t="shared" si="14"/>
        <v>0.13032472727272726</v>
      </c>
      <c r="Z27" s="77">
        <f t="shared" si="15"/>
        <v>8.3000000000000001E-3</v>
      </c>
      <c r="AA27" s="77">
        <f t="shared" si="16"/>
        <v>0.20833333333333331</v>
      </c>
      <c r="AB27" s="77">
        <f t="shared" si="17"/>
        <v>0.19791666666666669</v>
      </c>
      <c r="AC27" s="77">
        <f t="shared" si="18"/>
        <v>0</v>
      </c>
      <c r="AD27" s="77">
        <f t="shared" si="19"/>
        <v>0.41454999999999997</v>
      </c>
      <c r="AE27" s="77">
        <f t="shared" si="20"/>
        <v>3.3943368636363633</v>
      </c>
      <c r="AF27" s="77">
        <f t="shared" si="21"/>
        <v>3.3943368636363633</v>
      </c>
      <c r="AG27" s="74"/>
      <c r="AH27" s="74"/>
      <c r="AI27" s="74"/>
      <c r="AJ27" s="74"/>
      <c r="AK27" s="74"/>
      <c r="AL27" s="77">
        <f t="shared" si="22"/>
        <v>0</v>
      </c>
      <c r="AM27" s="77">
        <f t="shared" si="23"/>
        <v>16.971684318181815</v>
      </c>
      <c r="AN27" s="77">
        <f t="shared" si="24"/>
        <v>0.20366021181818178</v>
      </c>
      <c r="AO27" s="77">
        <f t="shared" si="25"/>
        <v>0.18329419063636362</v>
      </c>
      <c r="AP27" s="77">
        <f t="shared" si="26"/>
        <v>0.38695440245454538</v>
      </c>
      <c r="AQ27" s="77">
        <f t="shared" si="27"/>
        <v>1.4171356405681816</v>
      </c>
      <c r="AR27" s="77">
        <f t="shared" si="28"/>
        <v>0</v>
      </c>
      <c r="AS27" s="77">
        <f t="shared" si="29"/>
        <v>0</v>
      </c>
      <c r="AT27" s="77">
        <f t="shared" si="30"/>
        <v>1.4171356405681816</v>
      </c>
      <c r="AU27" s="77">
        <f t="shared" si="31"/>
        <v>0.84858421590909083</v>
      </c>
      <c r="AV27" s="77">
        <f t="shared" si="32"/>
        <v>0.84858421590909083</v>
      </c>
      <c r="AW27" s="77">
        <f t="shared" si="33"/>
        <v>19.624358577113632</v>
      </c>
      <c r="AX27" s="21">
        <f t="shared" si="34"/>
        <v>-8.3282139932953511E-2</v>
      </c>
      <c r="AY27" s="77">
        <f t="shared" si="2"/>
        <v>-1.634358577113634</v>
      </c>
      <c r="AZ27" s="79">
        <f>IFERROR(H27*VLOOKUP(A27,'Tabela de Produtos'!A:Q,17,0),0)</f>
        <v>11.24</v>
      </c>
      <c r="BA27" s="74">
        <f t="shared" si="3"/>
        <v>0</v>
      </c>
      <c r="BB27" s="74">
        <f t="shared" si="3"/>
        <v>0</v>
      </c>
      <c r="BC27" s="74">
        <f t="shared" si="3"/>
        <v>0</v>
      </c>
      <c r="BD27" s="74">
        <f t="shared" si="3"/>
        <v>1.2593000000000001</v>
      </c>
      <c r="BE27" s="74">
        <f t="shared" si="4"/>
        <v>0.89949999999999997</v>
      </c>
      <c r="BF27" s="74">
        <f t="shared" si="5"/>
        <v>13.3988</v>
      </c>
      <c r="BG27" s="74">
        <f t="shared" si="6"/>
        <v>4.5911999999999988</v>
      </c>
      <c r="BH27" s="21">
        <f t="shared" si="7"/>
        <v>0.25520844913841018</v>
      </c>
      <c r="BI27" s="80"/>
    </row>
    <row r="28" spans="1:61" ht="14.25" customHeight="1">
      <c r="A28" s="72" t="s">
        <v>95</v>
      </c>
      <c r="B28" s="2" t="str">
        <f>IFERROR(VLOOKUP(A28,'Tabela de Produtos'!A:B,2,0),"Preencher Cód. Produto")</f>
        <v>BRAZIMIL LÁTEX ECONÔMICO INT FOSCO 3L AZUL CEU</v>
      </c>
      <c r="C28" s="2"/>
      <c r="D28" s="73" t="s">
        <v>66</v>
      </c>
      <c r="E28" s="73">
        <v>100</v>
      </c>
      <c r="F28" s="74">
        <f>IF(A28=0,0,VLOOKUP(A28,'Tabela de Produtos'!A:W,23,0))</f>
        <v>10.49</v>
      </c>
      <c r="G28" s="75">
        <v>17.989999999999998</v>
      </c>
      <c r="H28" s="76">
        <v>1</v>
      </c>
      <c r="I28" s="74">
        <f t="shared" si="1"/>
        <v>17.989999999999998</v>
      </c>
      <c r="J28" s="77">
        <f>VLOOKUP(B28,'Tabela de Produtos'!B:M,12,FALSE())</f>
        <v>4.8599999999999994</v>
      </c>
      <c r="K28" s="77">
        <f>VLOOKUP(B28,'Tabela de Produtos'!B:P,15,FALSE())</f>
        <v>0.92999999999999994</v>
      </c>
      <c r="L28" s="77">
        <f t="shared" si="8"/>
        <v>4.8599999999999997E-2</v>
      </c>
      <c r="M28" s="77">
        <f t="shared" si="9"/>
        <v>4.8599999999999997E-2</v>
      </c>
      <c r="N28" s="78">
        <f t="shared" si="10"/>
        <v>5.8872</v>
      </c>
      <c r="O28" s="77">
        <f t="shared" si="35"/>
        <v>0.36200000000000004</v>
      </c>
      <c r="P28" s="77">
        <f t="shared" si="36"/>
        <v>0.28289999999999998</v>
      </c>
      <c r="Q28" s="77">
        <f t="shared" si="37"/>
        <v>0.28289999999999998</v>
      </c>
      <c r="R28" s="78">
        <f t="shared" si="11"/>
        <v>0.92779999999999996</v>
      </c>
      <c r="S28" s="77">
        <f>VLOOKUP(B28,'Tabela de Produtos'!B:N,13,FALSE())</f>
        <v>3.44</v>
      </c>
      <c r="T28" s="77">
        <f t="shared" si="38"/>
        <v>0.22727272727272727</v>
      </c>
      <c r="U28" s="77">
        <f t="shared" si="39"/>
        <v>0.39090909090909093</v>
      </c>
      <c r="V28" s="77">
        <f t="shared" si="40"/>
        <v>0.10909090909090909</v>
      </c>
      <c r="W28" s="78">
        <f t="shared" si="12"/>
        <v>4.167272727272727</v>
      </c>
      <c r="X28" s="77">
        <f t="shared" si="13"/>
        <v>0.10982272727272725</v>
      </c>
      <c r="Y28" s="77">
        <f t="shared" si="14"/>
        <v>0.10982272727272725</v>
      </c>
      <c r="Z28" s="77">
        <f t="shared" si="15"/>
        <v>8.3000000000000001E-3</v>
      </c>
      <c r="AA28" s="77">
        <f t="shared" si="16"/>
        <v>0.20833333333333331</v>
      </c>
      <c r="AB28" s="77">
        <f t="shared" si="17"/>
        <v>0.19791666666666669</v>
      </c>
      <c r="AC28" s="77">
        <f t="shared" si="18"/>
        <v>0</v>
      </c>
      <c r="AD28" s="77">
        <f t="shared" si="19"/>
        <v>0.41454999999999997</v>
      </c>
      <c r="AE28" s="77">
        <f t="shared" si="20"/>
        <v>2.8766613636363636</v>
      </c>
      <c r="AF28" s="77">
        <f t="shared" si="21"/>
        <v>2.8766613636363636</v>
      </c>
      <c r="AG28" s="74"/>
      <c r="AH28" s="74"/>
      <c r="AI28" s="74"/>
      <c r="AJ28" s="74"/>
      <c r="AK28" s="74"/>
      <c r="AL28" s="77">
        <f t="shared" si="22"/>
        <v>0</v>
      </c>
      <c r="AM28" s="77">
        <f t="shared" si="23"/>
        <v>14.383306818181817</v>
      </c>
      <c r="AN28" s="77">
        <f t="shared" si="24"/>
        <v>0.1725996818181818</v>
      </c>
      <c r="AO28" s="77">
        <f t="shared" si="25"/>
        <v>0.15533971363636362</v>
      </c>
      <c r="AP28" s="77">
        <f t="shared" si="26"/>
        <v>0.32793939545454542</v>
      </c>
      <c r="AQ28" s="77">
        <f t="shared" si="27"/>
        <v>1.2010061193181818</v>
      </c>
      <c r="AR28" s="77">
        <f t="shared" si="28"/>
        <v>0</v>
      </c>
      <c r="AS28" s="77">
        <f t="shared" si="29"/>
        <v>0</v>
      </c>
      <c r="AT28" s="77">
        <f t="shared" si="30"/>
        <v>1.2010061193181818</v>
      </c>
      <c r="AU28" s="77">
        <f t="shared" si="31"/>
        <v>0.7191653409090909</v>
      </c>
      <c r="AV28" s="77">
        <f t="shared" si="32"/>
        <v>0.7191653409090909</v>
      </c>
      <c r="AW28" s="77">
        <f t="shared" si="33"/>
        <v>16.631417673863634</v>
      </c>
      <c r="AX28" s="21">
        <f t="shared" si="34"/>
        <v>8.1687704125871605E-2</v>
      </c>
      <c r="AY28" s="77">
        <f t="shared" si="2"/>
        <v>1.3585823261363643</v>
      </c>
      <c r="AZ28" s="79">
        <f>IFERROR(H28*VLOOKUP(A28,'Tabela de Produtos'!A:Q,17,0),0)</f>
        <v>9.2299999999999986</v>
      </c>
      <c r="BA28" s="74">
        <f t="shared" si="3"/>
        <v>0</v>
      </c>
      <c r="BB28" s="74">
        <f t="shared" si="3"/>
        <v>0</v>
      </c>
      <c r="BC28" s="74">
        <f t="shared" si="3"/>
        <v>0</v>
      </c>
      <c r="BD28" s="74">
        <f t="shared" si="3"/>
        <v>1.2593000000000001</v>
      </c>
      <c r="BE28" s="74">
        <f t="shared" si="4"/>
        <v>0.89949999999999997</v>
      </c>
      <c r="BF28" s="74">
        <f t="shared" si="5"/>
        <v>11.388799999999998</v>
      </c>
      <c r="BG28" s="74">
        <f t="shared" si="6"/>
        <v>6.6012000000000004</v>
      </c>
      <c r="BH28" s="21">
        <f t="shared" si="7"/>
        <v>0.36693718732629244</v>
      </c>
      <c r="BI28" s="80"/>
    </row>
    <row r="29" spans="1:61" ht="14.25" customHeight="1">
      <c r="A29" s="72" t="s">
        <v>96</v>
      </c>
      <c r="B29" s="2" t="str">
        <f>IFERROR(VLOOKUP(A29,'Tabela de Produtos'!A:B,2,0),"Preencher Cód. Produto")</f>
        <v>BRAZIMIL LÁTEX ECONÔMICO INT FOSCO 3L AZUL OCEANO</v>
      </c>
      <c r="C29" s="2"/>
      <c r="D29" s="73" t="s">
        <v>66</v>
      </c>
      <c r="E29" s="73">
        <v>100</v>
      </c>
      <c r="F29" s="74">
        <f>IF(A29=0,0,VLOOKUP(A29,'Tabela de Produtos'!A:W,23,0))</f>
        <v>11.82</v>
      </c>
      <c r="G29" s="75">
        <v>17.989999999999998</v>
      </c>
      <c r="H29" s="76">
        <v>1</v>
      </c>
      <c r="I29" s="74">
        <f t="shared" si="1"/>
        <v>17.989999999999998</v>
      </c>
      <c r="J29" s="77">
        <f>VLOOKUP(B29,'Tabela de Produtos'!B:M,12,FALSE())</f>
        <v>6.0299999999999994</v>
      </c>
      <c r="K29" s="77">
        <f>VLOOKUP(B29,'Tabela de Produtos'!B:P,15,FALSE())</f>
        <v>0.92999999999999994</v>
      </c>
      <c r="L29" s="77">
        <f t="shared" si="8"/>
        <v>6.0299999999999992E-2</v>
      </c>
      <c r="M29" s="77">
        <f t="shared" si="9"/>
        <v>6.0299999999999992E-2</v>
      </c>
      <c r="N29" s="78">
        <f t="shared" si="10"/>
        <v>7.0805999999999987</v>
      </c>
      <c r="O29" s="77">
        <f t="shared" si="35"/>
        <v>0.36200000000000004</v>
      </c>
      <c r="P29" s="77">
        <f t="shared" si="36"/>
        <v>0.28289999999999998</v>
      </c>
      <c r="Q29" s="77">
        <f t="shared" si="37"/>
        <v>0.28289999999999998</v>
      </c>
      <c r="R29" s="78">
        <f t="shared" si="11"/>
        <v>0.92779999999999996</v>
      </c>
      <c r="S29" s="77">
        <f>VLOOKUP(B29,'Tabela de Produtos'!B:N,13,FALSE())</f>
        <v>3.44</v>
      </c>
      <c r="T29" s="77">
        <f t="shared" si="38"/>
        <v>0.22727272727272727</v>
      </c>
      <c r="U29" s="77">
        <f t="shared" si="39"/>
        <v>0.39090909090909093</v>
      </c>
      <c r="V29" s="77">
        <f t="shared" si="40"/>
        <v>0.10909090909090909</v>
      </c>
      <c r="W29" s="78">
        <f t="shared" si="12"/>
        <v>4.167272727272727</v>
      </c>
      <c r="X29" s="77">
        <f t="shared" si="13"/>
        <v>0.12175672727272727</v>
      </c>
      <c r="Y29" s="77">
        <f t="shared" si="14"/>
        <v>0.12175672727272727</v>
      </c>
      <c r="Z29" s="77">
        <f t="shared" si="15"/>
        <v>8.3000000000000001E-3</v>
      </c>
      <c r="AA29" s="77">
        <f t="shared" si="16"/>
        <v>0.20833333333333331</v>
      </c>
      <c r="AB29" s="77">
        <f t="shared" si="17"/>
        <v>0.19791666666666669</v>
      </c>
      <c r="AC29" s="77">
        <f t="shared" si="18"/>
        <v>0</v>
      </c>
      <c r="AD29" s="77">
        <f t="shared" si="19"/>
        <v>0.41454999999999997</v>
      </c>
      <c r="AE29" s="77">
        <f t="shared" si="20"/>
        <v>3.1779948636363633</v>
      </c>
      <c r="AF29" s="77">
        <f t="shared" si="21"/>
        <v>3.1779948636363633</v>
      </c>
      <c r="AG29" s="74"/>
      <c r="AH29" s="74"/>
      <c r="AI29" s="74"/>
      <c r="AJ29" s="74"/>
      <c r="AK29" s="74"/>
      <c r="AL29" s="77">
        <f t="shared" si="22"/>
        <v>0</v>
      </c>
      <c r="AM29" s="77">
        <f t="shared" si="23"/>
        <v>15.889974318181816</v>
      </c>
      <c r="AN29" s="77">
        <f t="shared" si="24"/>
        <v>0.19067969181818178</v>
      </c>
      <c r="AO29" s="77">
        <f t="shared" si="25"/>
        <v>0.17161172263636362</v>
      </c>
      <c r="AP29" s="77">
        <f t="shared" si="26"/>
        <v>0.36229141445454538</v>
      </c>
      <c r="AQ29" s="77">
        <f t="shared" si="27"/>
        <v>1.3268128555681817</v>
      </c>
      <c r="AR29" s="77">
        <f t="shared" si="28"/>
        <v>0</v>
      </c>
      <c r="AS29" s="77">
        <f t="shared" si="29"/>
        <v>0</v>
      </c>
      <c r="AT29" s="77">
        <f t="shared" si="30"/>
        <v>1.3268128555681817</v>
      </c>
      <c r="AU29" s="77">
        <f t="shared" si="31"/>
        <v>0.79449871590909082</v>
      </c>
      <c r="AV29" s="77">
        <f t="shared" si="32"/>
        <v>0.79449871590909082</v>
      </c>
      <c r="AW29" s="77">
        <f t="shared" si="33"/>
        <v>18.373577304113631</v>
      </c>
      <c r="AX29" s="21">
        <f t="shared" si="34"/>
        <v>-2.0876571707554973E-2</v>
      </c>
      <c r="AY29" s="77">
        <f t="shared" si="2"/>
        <v>-0.38357730411363278</v>
      </c>
      <c r="AZ29" s="79">
        <f>IFERROR(H29*VLOOKUP(A29,'Tabela de Produtos'!A:Q,17,0),0)</f>
        <v>10.399999999999999</v>
      </c>
      <c r="BA29" s="74">
        <f t="shared" si="3"/>
        <v>0</v>
      </c>
      <c r="BB29" s="74">
        <f t="shared" si="3"/>
        <v>0</v>
      </c>
      <c r="BC29" s="74">
        <f t="shared" si="3"/>
        <v>0</v>
      </c>
      <c r="BD29" s="74">
        <f t="shared" si="3"/>
        <v>1.2593000000000001</v>
      </c>
      <c r="BE29" s="74">
        <f t="shared" si="4"/>
        <v>0.89949999999999997</v>
      </c>
      <c r="BF29" s="74">
        <f t="shared" si="5"/>
        <v>12.558799999999998</v>
      </c>
      <c r="BG29" s="74">
        <f t="shared" si="6"/>
        <v>5.4312000000000005</v>
      </c>
      <c r="BH29" s="21">
        <f t="shared" si="7"/>
        <v>0.30190105614230134</v>
      </c>
      <c r="BI29" s="80"/>
    </row>
    <row r="30" spans="1:61" ht="14.25" customHeight="1">
      <c r="A30" s="72" t="s">
        <v>97</v>
      </c>
      <c r="B30" s="2" t="str">
        <f>IFERROR(VLOOKUP(A30,'Tabela de Produtos'!A:B,2,0),"Preencher Cód. Produto")</f>
        <v>BRAZIMIL LÁTEX ECONÔMICO INT FOSCO 3L AMARELO CANARIO</v>
      </c>
      <c r="C30" s="2"/>
      <c r="D30" s="73" t="s">
        <v>66</v>
      </c>
      <c r="E30" s="73">
        <v>100</v>
      </c>
      <c r="F30" s="74">
        <f>IF(A30=0,0,VLOOKUP(A30,'Tabela de Produtos'!A:W,23,0))</f>
        <v>10.799999999999999</v>
      </c>
      <c r="G30" s="75">
        <v>17.989999999999998</v>
      </c>
      <c r="H30" s="76">
        <v>1</v>
      </c>
      <c r="I30" s="74">
        <f t="shared" si="1"/>
        <v>17.989999999999998</v>
      </c>
      <c r="J30" s="77">
        <f>VLOOKUP(B30,'Tabela de Produtos'!B:M,12,FALSE())</f>
        <v>5.13</v>
      </c>
      <c r="K30" s="77">
        <f>VLOOKUP(B30,'Tabela de Produtos'!B:P,15,FALSE())</f>
        <v>0.92999999999999994</v>
      </c>
      <c r="L30" s="77">
        <f t="shared" si="8"/>
        <v>5.1299999999999998E-2</v>
      </c>
      <c r="M30" s="77">
        <f t="shared" si="9"/>
        <v>5.1299999999999998E-2</v>
      </c>
      <c r="N30" s="78">
        <f t="shared" si="10"/>
        <v>6.1626000000000003</v>
      </c>
      <c r="O30" s="77">
        <f t="shared" si="35"/>
        <v>0.36200000000000004</v>
      </c>
      <c r="P30" s="77">
        <f t="shared" si="36"/>
        <v>0.28289999999999998</v>
      </c>
      <c r="Q30" s="77">
        <f t="shared" si="37"/>
        <v>0.28289999999999998</v>
      </c>
      <c r="R30" s="78">
        <f t="shared" si="11"/>
        <v>0.92779999999999996</v>
      </c>
      <c r="S30" s="77">
        <f>VLOOKUP(B30,'Tabela de Produtos'!B:N,13,FALSE())</f>
        <v>3.44</v>
      </c>
      <c r="T30" s="77">
        <f t="shared" si="38"/>
        <v>0.22727272727272727</v>
      </c>
      <c r="U30" s="77">
        <f t="shared" si="39"/>
        <v>0.39090909090909093</v>
      </c>
      <c r="V30" s="77">
        <f t="shared" si="40"/>
        <v>0.10909090909090909</v>
      </c>
      <c r="W30" s="78">
        <f t="shared" si="12"/>
        <v>4.167272727272727</v>
      </c>
      <c r="X30" s="77">
        <f t="shared" si="13"/>
        <v>0.11257672727272727</v>
      </c>
      <c r="Y30" s="77">
        <f t="shared" si="14"/>
        <v>0.11257672727272727</v>
      </c>
      <c r="Z30" s="77">
        <f t="shared" si="15"/>
        <v>8.3000000000000001E-3</v>
      </c>
      <c r="AA30" s="77">
        <f t="shared" si="16"/>
        <v>0.20833333333333331</v>
      </c>
      <c r="AB30" s="77">
        <f t="shared" si="17"/>
        <v>0.19791666666666669</v>
      </c>
      <c r="AC30" s="77">
        <f t="shared" si="18"/>
        <v>0</v>
      </c>
      <c r="AD30" s="77">
        <f t="shared" si="19"/>
        <v>0.41454999999999997</v>
      </c>
      <c r="AE30" s="77">
        <f t="shared" si="20"/>
        <v>2.9461998636363633</v>
      </c>
      <c r="AF30" s="77">
        <f t="shared" si="21"/>
        <v>2.9461998636363633</v>
      </c>
      <c r="AG30" s="74"/>
      <c r="AH30" s="74"/>
      <c r="AI30" s="74"/>
      <c r="AJ30" s="74"/>
      <c r="AK30" s="74"/>
      <c r="AL30" s="77">
        <f t="shared" si="22"/>
        <v>0</v>
      </c>
      <c r="AM30" s="77">
        <f t="shared" si="23"/>
        <v>14.730999318181819</v>
      </c>
      <c r="AN30" s="77">
        <f t="shared" si="24"/>
        <v>0.17677199181818185</v>
      </c>
      <c r="AO30" s="77">
        <f t="shared" si="25"/>
        <v>0.15909479263636367</v>
      </c>
      <c r="AP30" s="77">
        <f t="shared" si="26"/>
        <v>0.33586678445454554</v>
      </c>
      <c r="AQ30" s="77">
        <f t="shared" si="27"/>
        <v>1.2300384430681819</v>
      </c>
      <c r="AR30" s="77">
        <f t="shared" si="28"/>
        <v>0</v>
      </c>
      <c r="AS30" s="77">
        <f t="shared" si="29"/>
        <v>0</v>
      </c>
      <c r="AT30" s="77">
        <f t="shared" si="30"/>
        <v>1.2300384430681819</v>
      </c>
      <c r="AU30" s="77">
        <f t="shared" si="31"/>
        <v>0.73654996590909105</v>
      </c>
      <c r="AV30" s="77">
        <f t="shared" si="32"/>
        <v>0.73654996590909105</v>
      </c>
      <c r="AW30" s="77">
        <f t="shared" si="33"/>
        <v>17.033454511613638</v>
      </c>
      <c r="AX30" s="21">
        <f t="shared" si="34"/>
        <v>5.6156869866542655E-2</v>
      </c>
      <c r="AY30" s="77">
        <f t="shared" si="2"/>
        <v>0.95654548838636089</v>
      </c>
      <c r="AZ30" s="79">
        <f>IFERROR(H30*VLOOKUP(A30,'Tabela de Produtos'!A:Q,17,0),0)</f>
        <v>9.5</v>
      </c>
      <c r="BA30" s="74">
        <f t="shared" si="3"/>
        <v>0</v>
      </c>
      <c r="BB30" s="74">
        <f t="shared" si="3"/>
        <v>0</v>
      </c>
      <c r="BC30" s="74">
        <f t="shared" si="3"/>
        <v>0</v>
      </c>
      <c r="BD30" s="74">
        <f t="shared" si="3"/>
        <v>1.2593000000000001</v>
      </c>
      <c r="BE30" s="74">
        <f t="shared" si="4"/>
        <v>0.89949999999999997</v>
      </c>
      <c r="BF30" s="74">
        <f t="shared" si="5"/>
        <v>11.658799999999999</v>
      </c>
      <c r="BG30" s="74">
        <f t="shared" si="6"/>
        <v>6.3311999999999991</v>
      </c>
      <c r="BH30" s="21">
        <f t="shared" si="7"/>
        <v>0.35192884936075597</v>
      </c>
      <c r="BI30" s="80"/>
    </row>
    <row r="31" spans="1:61" ht="14.25" customHeight="1">
      <c r="A31" s="72" t="s">
        <v>98</v>
      </c>
      <c r="B31" s="2" t="str">
        <f>IFERROR(VLOOKUP(A31,'Tabela de Produtos'!A:B,2,0),"Preencher Cód. Produto")</f>
        <v>BRAZIMIL LÁTEX ECONÔMICO INT FOSCO 3L CROMO SUAVE</v>
      </c>
      <c r="C31" s="2"/>
      <c r="D31" s="73" t="s">
        <v>66</v>
      </c>
      <c r="E31" s="73">
        <v>100</v>
      </c>
      <c r="F31" s="74">
        <f>IF(A31=0,0,VLOOKUP(A31,'Tabela de Produtos'!A:W,23,0))</f>
        <v>11.62</v>
      </c>
      <c r="G31" s="75">
        <v>17.989999999999998</v>
      </c>
      <c r="H31" s="76">
        <v>1</v>
      </c>
      <c r="I31" s="74">
        <f t="shared" si="1"/>
        <v>17.989999999999998</v>
      </c>
      <c r="J31" s="77">
        <f>VLOOKUP(B31,'Tabela de Produtos'!B:M,12,FALSE())</f>
        <v>5.8500000000000014</v>
      </c>
      <c r="K31" s="77">
        <f>VLOOKUP(B31,'Tabela de Produtos'!B:P,15,FALSE())</f>
        <v>0.92999999999999994</v>
      </c>
      <c r="L31" s="77">
        <f t="shared" si="8"/>
        <v>5.8500000000000017E-2</v>
      </c>
      <c r="M31" s="77">
        <f t="shared" si="9"/>
        <v>5.8500000000000017E-2</v>
      </c>
      <c r="N31" s="78">
        <f t="shared" si="10"/>
        <v>6.897000000000002</v>
      </c>
      <c r="O31" s="77">
        <f t="shared" si="35"/>
        <v>0.36200000000000004</v>
      </c>
      <c r="P31" s="77">
        <f t="shared" si="36"/>
        <v>0.28289999999999998</v>
      </c>
      <c r="Q31" s="77">
        <f t="shared" si="37"/>
        <v>0.28289999999999998</v>
      </c>
      <c r="R31" s="78">
        <f t="shared" si="11"/>
        <v>0.92779999999999996</v>
      </c>
      <c r="S31" s="77">
        <f>VLOOKUP(B31,'Tabela de Produtos'!B:N,13,FALSE())</f>
        <v>3.44</v>
      </c>
      <c r="T31" s="77">
        <f t="shared" si="38"/>
        <v>0.22727272727272727</v>
      </c>
      <c r="U31" s="77">
        <f t="shared" si="39"/>
        <v>0.39090909090909093</v>
      </c>
      <c r="V31" s="77">
        <f t="shared" si="40"/>
        <v>0.10909090909090909</v>
      </c>
      <c r="W31" s="78">
        <f t="shared" si="12"/>
        <v>4.167272727272727</v>
      </c>
      <c r="X31" s="77">
        <f t="shared" si="13"/>
        <v>0.11992072727272728</v>
      </c>
      <c r="Y31" s="77">
        <f t="shared" si="14"/>
        <v>0.11992072727272728</v>
      </c>
      <c r="Z31" s="77">
        <f t="shared" si="15"/>
        <v>8.3000000000000001E-3</v>
      </c>
      <c r="AA31" s="77">
        <f t="shared" si="16"/>
        <v>0.20833333333333331</v>
      </c>
      <c r="AB31" s="77">
        <f t="shared" si="17"/>
        <v>0.19791666666666669</v>
      </c>
      <c r="AC31" s="77">
        <f t="shared" si="18"/>
        <v>0</v>
      </c>
      <c r="AD31" s="77">
        <f t="shared" si="19"/>
        <v>0.41454999999999997</v>
      </c>
      <c r="AE31" s="77">
        <f t="shared" si="20"/>
        <v>3.1316358636363639</v>
      </c>
      <c r="AF31" s="77">
        <f t="shared" si="21"/>
        <v>3.1316358636363639</v>
      </c>
      <c r="AG31" s="74"/>
      <c r="AH31" s="74"/>
      <c r="AI31" s="74"/>
      <c r="AJ31" s="74"/>
      <c r="AK31" s="74"/>
      <c r="AL31" s="77">
        <f t="shared" si="22"/>
        <v>0</v>
      </c>
      <c r="AM31" s="77">
        <f t="shared" si="23"/>
        <v>15.658179318181819</v>
      </c>
      <c r="AN31" s="77">
        <f t="shared" si="24"/>
        <v>0.18789815181818184</v>
      </c>
      <c r="AO31" s="77">
        <f t="shared" si="25"/>
        <v>0.16910833663636365</v>
      </c>
      <c r="AP31" s="77">
        <f t="shared" si="26"/>
        <v>0.35700648845454552</v>
      </c>
      <c r="AQ31" s="77">
        <f t="shared" si="27"/>
        <v>1.3074579730681819</v>
      </c>
      <c r="AR31" s="77">
        <f t="shared" si="28"/>
        <v>0</v>
      </c>
      <c r="AS31" s="77">
        <f t="shared" si="29"/>
        <v>0</v>
      </c>
      <c r="AT31" s="77">
        <f t="shared" si="30"/>
        <v>1.3074579730681819</v>
      </c>
      <c r="AU31" s="77">
        <f t="shared" si="31"/>
        <v>0.78290896590909098</v>
      </c>
      <c r="AV31" s="77">
        <f t="shared" si="32"/>
        <v>0.78290896590909098</v>
      </c>
      <c r="AW31" s="77">
        <f t="shared" si="33"/>
        <v>18.105552745613636</v>
      </c>
      <c r="AX31" s="21">
        <f t="shared" si="34"/>
        <v>-6.3821716595552228E-3</v>
      </c>
      <c r="AY31" s="77">
        <f t="shared" si="2"/>
        <v>-0.1155527456136376</v>
      </c>
      <c r="AZ31" s="79">
        <f>IFERROR(H31*VLOOKUP(A31,'Tabela de Produtos'!A:Q,17,0),0)</f>
        <v>10.220000000000001</v>
      </c>
      <c r="BA31" s="74">
        <f t="shared" si="3"/>
        <v>0</v>
      </c>
      <c r="BB31" s="74">
        <f t="shared" si="3"/>
        <v>0</v>
      </c>
      <c r="BC31" s="74">
        <f t="shared" si="3"/>
        <v>0</v>
      </c>
      <c r="BD31" s="74">
        <f t="shared" si="3"/>
        <v>1.2593000000000001</v>
      </c>
      <c r="BE31" s="74">
        <f t="shared" si="4"/>
        <v>0.89949999999999997</v>
      </c>
      <c r="BF31" s="74">
        <f t="shared" si="5"/>
        <v>12.3788</v>
      </c>
      <c r="BG31" s="74">
        <f t="shared" si="6"/>
        <v>5.6111999999999984</v>
      </c>
      <c r="BH31" s="21">
        <f t="shared" si="7"/>
        <v>0.31190661478599213</v>
      </c>
      <c r="BI31" s="80"/>
    </row>
    <row r="32" spans="1:61" ht="14.25" customHeight="1">
      <c r="A32" s="72" t="s">
        <v>99</v>
      </c>
      <c r="B32" s="2" t="str">
        <f>IFERROR(VLOOKUP(A32,'Tabela de Produtos'!A:B,2,0),"Preencher Cód. Produto")</f>
        <v>BRAZIMIL LÁTEX ECONÔMICO INT FOSCO 3L ROSA BEBE</v>
      </c>
      <c r="C32" s="2"/>
      <c r="D32" s="73" t="s">
        <v>66</v>
      </c>
      <c r="E32" s="73">
        <v>100</v>
      </c>
      <c r="F32" s="74">
        <f>IF(A32=0,0,VLOOKUP(A32,'Tabela de Produtos'!A:W,23,0))</f>
        <v>10.6</v>
      </c>
      <c r="G32" s="75">
        <v>17.989999999999998</v>
      </c>
      <c r="H32" s="76">
        <v>1</v>
      </c>
      <c r="I32" s="74">
        <f t="shared" si="1"/>
        <v>17.989999999999998</v>
      </c>
      <c r="J32" s="77">
        <f>VLOOKUP(B32,'Tabela de Produtos'!B:M,12,FALSE())</f>
        <v>4.9499999999999993</v>
      </c>
      <c r="K32" s="77">
        <f>VLOOKUP(B32,'Tabela de Produtos'!B:P,15,FALSE())</f>
        <v>0.92999999999999994</v>
      </c>
      <c r="L32" s="77">
        <f t="shared" si="8"/>
        <v>4.9499999999999995E-2</v>
      </c>
      <c r="M32" s="77">
        <f t="shared" si="9"/>
        <v>4.9499999999999995E-2</v>
      </c>
      <c r="N32" s="78">
        <f t="shared" si="10"/>
        <v>5.9789999999999992</v>
      </c>
      <c r="O32" s="77">
        <f t="shared" si="35"/>
        <v>0.36200000000000004</v>
      </c>
      <c r="P32" s="77">
        <f t="shared" si="36"/>
        <v>0.28289999999999998</v>
      </c>
      <c r="Q32" s="77">
        <f t="shared" si="37"/>
        <v>0.28289999999999998</v>
      </c>
      <c r="R32" s="78">
        <f t="shared" si="11"/>
        <v>0.92779999999999996</v>
      </c>
      <c r="S32" s="77">
        <f>VLOOKUP(B32,'Tabela de Produtos'!B:N,13,FALSE())</f>
        <v>3.44</v>
      </c>
      <c r="T32" s="77">
        <f t="shared" si="38"/>
        <v>0.22727272727272727</v>
      </c>
      <c r="U32" s="77">
        <f t="shared" si="39"/>
        <v>0.39090909090909093</v>
      </c>
      <c r="V32" s="77">
        <f t="shared" si="40"/>
        <v>0.10909090909090909</v>
      </c>
      <c r="W32" s="78">
        <f t="shared" si="12"/>
        <v>4.167272727272727</v>
      </c>
      <c r="X32" s="77">
        <f t="shared" si="13"/>
        <v>0.11074072727272725</v>
      </c>
      <c r="Y32" s="77">
        <f t="shared" si="14"/>
        <v>0.11074072727272725</v>
      </c>
      <c r="Z32" s="77">
        <f t="shared" si="15"/>
        <v>8.3000000000000001E-3</v>
      </c>
      <c r="AA32" s="77">
        <f t="shared" si="16"/>
        <v>0.20833333333333331</v>
      </c>
      <c r="AB32" s="77">
        <f t="shared" si="17"/>
        <v>0.19791666666666669</v>
      </c>
      <c r="AC32" s="77">
        <f t="shared" si="18"/>
        <v>0</v>
      </c>
      <c r="AD32" s="77">
        <f t="shared" si="19"/>
        <v>0.41454999999999997</v>
      </c>
      <c r="AE32" s="77">
        <f t="shared" si="20"/>
        <v>2.8998408636363635</v>
      </c>
      <c r="AF32" s="77">
        <f t="shared" si="21"/>
        <v>2.8998408636363635</v>
      </c>
      <c r="AG32" s="74"/>
      <c r="AH32" s="74"/>
      <c r="AI32" s="74"/>
      <c r="AJ32" s="74"/>
      <c r="AK32" s="74"/>
      <c r="AL32" s="77">
        <f t="shared" si="22"/>
        <v>0</v>
      </c>
      <c r="AM32" s="77">
        <f t="shared" si="23"/>
        <v>14.499204318181818</v>
      </c>
      <c r="AN32" s="77">
        <f t="shared" si="24"/>
        <v>0.17399045181818182</v>
      </c>
      <c r="AO32" s="77">
        <f t="shared" si="25"/>
        <v>0.15659140663636364</v>
      </c>
      <c r="AP32" s="77">
        <f t="shared" si="26"/>
        <v>0.33058185845454546</v>
      </c>
      <c r="AQ32" s="77">
        <f t="shared" si="27"/>
        <v>1.2106835605681818</v>
      </c>
      <c r="AR32" s="77">
        <f t="shared" si="28"/>
        <v>0</v>
      </c>
      <c r="AS32" s="77">
        <f t="shared" si="29"/>
        <v>0</v>
      </c>
      <c r="AT32" s="77">
        <f t="shared" si="30"/>
        <v>1.2106835605681818</v>
      </c>
      <c r="AU32" s="77">
        <f t="shared" si="31"/>
        <v>0.72496021590909088</v>
      </c>
      <c r="AV32" s="77">
        <f t="shared" si="32"/>
        <v>0.72496021590909088</v>
      </c>
      <c r="AW32" s="77">
        <f t="shared" si="33"/>
        <v>16.765429953113639</v>
      </c>
      <c r="AX32" s="21">
        <f t="shared" si="34"/>
        <v>7.304137444199188E-2</v>
      </c>
      <c r="AY32" s="77">
        <f t="shared" si="2"/>
        <v>1.2245700468863596</v>
      </c>
      <c r="AZ32" s="79">
        <f>IFERROR(H32*VLOOKUP(A32,'Tabela de Produtos'!A:Q,17,0),0)</f>
        <v>9.3199999999999985</v>
      </c>
      <c r="BA32" s="74">
        <f t="shared" si="3"/>
        <v>0</v>
      </c>
      <c r="BB32" s="74">
        <f t="shared" si="3"/>
        <v>0</v>
      </c>
      <c r="BC32" s="74">
        <f t="shared" si="3"/>
        <v>0</v>
      </c>
      <c r="BD32" s="74">
        <f t="shared" si="3"/>
        <v>1.2593000000000001</v>
      </c>
      <c r="BE32" s="74">
        <f t="shared" si="4"/>
        <v>0.89949999999999997</v>
      </c>
      <c r="BF32" s="74">
        <f t="shared" si="5"/>
        <v>11.478799999999998</v>
      </c>
      <c r="BG32" s="74">
        <f t="shared" si="6"/>
        <v>6.5112000000000005</v>
      </c>
      <c r="BH32" s="21">
        <f t="shared" si="7"/>
        <v>0.36193440800444698</v>
      </c>
      <c r="BI32" s="80"/>
    </row>
    <row r="33" spans="1:61" ht="14.25" customHeight="1">
      <c r="A33" s="72" t="s">
        <v>100</v>
      </c>
      <c r="B33" s="2" t="str">
        <f>IFERROR(VLOOKUP(A33,'Tabela de Produtos'!A:B,2,0),"Preencher Cód. Produto")</f>
        <v>BRAZIMIL LÁTEX ECONÔMICO INT FOSCO 3L MARFIM</v>
      </c>
      <c r="C33" s="2"/>
      <c r="D33" s="73" t="s">
        <v>66</v>
      </c>
      <c r="E33" s="73">
        <v>100</v>
      </c>
      <c r="F33" s="74">
        <f>IF(A33=0,0,VLOOKUP(A33,'Tabela de Produtos'!A:W,23,0))</f>
        <v>10.629999999999999</v>
      </c>
      <c r="G33" s="75">
        <v>17.989999999999998</v>
      </c>
      <c r="H33" s="76">
        <v>1</v>
      </c>
      <c r="I33" s="74">
        <f t="shared" si="1"/>
        <v>17.989999999999998</v>
      </c>
      <c r="J33" s="77">
        <f>VLOOKUP(B33,'Tabela de Produtos'!B:M,12,FALSE())</f>
        <v>4.9799999999999995</v>
      </c>
      <c r="K33" s="77">
        <f>VLOOKUP(B33,'Tabela de Produtos'!B:P,15,FALSE())</f>
        <v>0.92999999999999994</v>
      </c>
      <c r="L33" s="77">
        <f t="shared" si="8"/>
        <v>4.9799999999999997E-2</v>
      </c>
      <c r="M33" s="77">
        <f t="shared" si="9"/>
        <v>4.9799999999999997E-2</v>
      </c>
      <c r="N33" s="78">
        <f t="shared" si="10"/>
        <v>6.0095999999999998</v>
      </c>
      <c r="O33" s="77">
        <f t="shared" si="35"/>
        <v>0.36200000000000004</v>
      </c>
      <c r="P33" s="77">
        <f t="shared" si="36"/>
        <v>0.28289999999999998</v>
      </c>
      <c r="Q33" s="77">
        <f t="shared" si="37"/>
        <v>0.28289999999999998</v>
      </c>
      <c r="R33" s="78">
        <f t="shared" si="11"/>
        <v>0.92779999999999996</v>
      </c>
      <c r="S33" s="77">
        <f>VLOOKUP(B33,'Tabela de Produtos'!B:N,13,FALSE())</f>
        <v>3.44</v>
      </c>
      <c r="T33" s="77">
        <f t="shared" si="38"/>
        <v>0.22727272727272727</v>
      </c>
      <c r="U33" s="77">
        <f t="shared" si="39"/>
        <v>0.39090909090909093</v>
      </c>
      <c r="V33" s="77">
        <f t="shared" si="40"/>
        <v>0.10909090909090909</v>
      </c>
      <c r="W33" s="78">
        <f t="shared" si="12"/>
        <v>4.167272727272727</v>
      </c>
      <c r="X33" s="77">
        <f t="shared" si="13"/>
        <v>0.11104672727272728</v>
      </c>
      <c r="Y33" s="77">
        <f t="shared" si="14"/>
        <v>0.11104672727272728</v>
      </c>
      <c r="Z33" s="77">
        <f t="shared" si="15"/>
        <v>8.3000000000000001E-3</v>
      </c>
      <c r="AA33" s="77">
        <f t="shared" si="16"/>
        <v>0.20833333333333331</v>
      </c>
      <c r="AB33" s="77">
        <f t="shared" si="17"/>
        <v>0.19791666666666669</v>
      </c>
      <c r="AC33" s="77">
        <f t="shared" si="18"/>
        <v>0</v>
      </c>
      <c r="AD33" s="77">
        <f t="shared" si="19"/>
        <v>0.41454999999999997</v>
      </c>
      <c r="AE33" s="77">
        <f t="shared" si="20"/>
        <v>2.9075673636363639</v>
      </c>
      <c r="AF33" s="77">
        <f t="shared" si="21"/>
        <v>2.9075673636363639</v>
      </c>
      <c r="AG33" s="74"/>
      <c r="AH33" s="74"/>
      <c r="AI33" s="74"/>
      <c r="AJ33" s="74"/>
      <c r="AK33" s="74"/>
      <c r="AL33" s="77">
        <f t="shared" si="22"/>
        <v>0</v>
      </c>
      <c r="AM33" s="77">
        <f t="shared" si="23"/>
        <v>14.53783681818182</v>
      </c>
      <c r="AN33" s="77">
        <f t="shared" si="24"/>
        <v>0.17445404181818183</v>
      </c>
      <c r="AO33" s="77">
        <f t="shared" si="25"/>
        <v>0.15700863763636366</v>
      </c>
      <c r="AP33" s="77">
        <f t="shared" si="26"/>
        <v>0.33146267945454549</v>
      </c>
      <c r="AQ33" s="77">
        <f t="shared" si="27"/>
        <v>1.2139093743181819</v>
      </c>
      <c r="AR33" s="77">
        <f t="shared" si="28"/>
        <v>0</v>
      </c>
      <c r="AS33" s="77">
        <f t="shared" si="29"/>
        <v>0</v>
      </c>
      <c r="AT33" s="77">
        <f t="shared" si="30"/>
        <v>1.2139093743181819</v>
      </c>
      <c r="AU33" s="77">
        <f t="shared" si="31"/>
        <v>0.72689184090909098</v>
      </c>
      <c r="AV33" s="77">
        <f t="shared" si="32"/>
        <v>0.72689184090909098</v>
      </c>
      <c r="AW33" s="77">
        <f t="shared" si="33"/>
        <v>16.810100712863637</v>
      </c>
      <c r="AX33" s="21">
        <f t="shared" si="34"/>
        <v>7.0189899947087422E-2</v>
      </c>
      <c r="AY33" s="77">
        <f t="shared" si="2"/>
        <v>1.1798992871363616</v>
      </c>
      <c r="AZ33" s="79">
        <f>IFERROR(H33*VLOOKUP(A33,'Tabela de Produtos'!A:Q,17,0),0)</f>
        <v>9.35</v>
      </c>
      <c r="BA33" s="74">
        <f t="shared" si="3"/>
        <v>0</v>
      </c>
      <c r="BB33" s="74">
        <f t="shared" si="3"/>
        <v>0</v>
      </c>
      <c r="BC33" s="74">
        <f t="shared" si="3"/>
        <v>0</v>
      </c>
      <c r="BD33" s="74">
        <f t="shared" si="3"/>
        <v>1.2593000000000001</v>
      </c>
      <c r="BE33" s="74">
        <f t="shared" si="4"/>
        <v>0.89949999999999997</v>
      </c>
      <c r="BF33" s="74">
        <f t="shared" si="5"/>
        <v>11.508799999999999</v>
      </c>
      <c r="BG33" s="74">
        <f t="shared" si="6"/>
        <v>6.4811999999999994</v>
      </c>
      <c r="BH33" s="21">
        <f t="shared" si="7"/>
        <v>0.36026681489716511</v>
      </c>
      <c r="BI33" s="80"/>
    </row>
    <row r="34" spans="1:61" ht="14.25" customHeight="1">
      <c r="A34" s="72" t="s">
        <v>101</v>
      </c>
      <c r="B34" s="2" t="str">
        <f>IFERROR(VLOOKUP(A34,'Tabela de Produtos'!A:B,2,0),"Preencher Cód. Produto")</f>
        <v>BRAZIMIL LÁTEX ECONÔMICO INT FOSCO 3L AMARELO IPE</v>
      </c>
      <c r="C34" s="2"/>
      <c r="D34" s="73" t="s">
        <v>66</v>
      </c>
      <c r="E34" s="73">
        <v>100</v>
      </c>
      <c r="F34" s="74">
        <f>IF(A34=0,0,VLOOKUP(A34,'Tabela de Produtos'!A:W,23,0))</f>
        <v>11.62</v>
      </c>
      <c r="G34" s="75">
        <v>17.989999999999998</v>
      </c>
      <c r="H34" s="76">
        <v>1</v>
      </c>
      <c r="I34" s="74">
        <f t="shared" si="1"/>
        <v>17.989999999999998</v>
      </c>
      <c r="J34" s="77">
        <f>VLOOKUP(B34,'Tabela de Produtos'!B:M,12,FALSE())</f>
        <v>5.8500000000000014</v>
      </c>
      <c r="K34" s="77">
        <f>VLOOKUP(B34,'Tabela de Produtos'!B:P,15,FALSE())</f>
        <v>0.92999999999999994</v>
      </c>
      <c r="L34" s="77">
        <f t="shared" si="8"/>
        <v>5.8500000000000017E-2</v>
      </c>
      <c r="M34" s="77">
        <f t="shared" si="9"/>
        <v>5.8500000000000017E-2</v>
      </c>
      <c r="N34" s="78">
        <f t="shared" si="10"/>
        <v>6.897000000000002</v>
      </c>
      <c r="O34" s="77">
        <f t="shared" si="35"/>
        <v>0.36200000000000004</v>
      </c>
      <c r="P34" s="77">
        <f t="shared" si="36"/>
        <v>0.28289999999999998</v>
      </c>
      <c r="Q34" s="77">
        <f t="shared" si="37"/>
        <v>0.28289999999999998</v>
      </c>
      <c r="R34" s="78">
        <f t="shared" si="11"/>
        <v>0.92779999999999996</v>
      </c>
      <c r="S34" s="77">
        <f>VLOOKUP(B34,'Tabela de Produtos'!B:N,13,FALSE())</f>
        <v>3.44</v>
      </c>
      <c r="T34" s="77">
        <f t="shared" si="38"/>
        <v>0.22727272727272727</v>
      </c>
      <c r="U34" s="77">
        <f t="shared" si="39"/>
        <v>0.39090909090909093</v>
      </c>
      <c r="V34" s="77">
        <f t="shared" si="40"/>
        <v>0.10909090909090909</v>
      </c>
      <c r="W34" s="78">
        <f t="shared" si="12"/>
        <v>4.167272727272727</v>
      </c>
      <c r="X34" s="77">
        <f t="shared" si="13"/>
        <v>0.11992072727272728</v>
      </c>
      <c r="Y34" s="77">
        <f t="shared" si="14"/>
        <v>0.11992072727272728</v>
      </c>
      <c r="Z34" s="77">
        <f t="shared" si="15"/>
        <v>8.3000000000000001E-3</v>
      </c>
      <c r="AA34" s="77">
        <f t="shared" si="16"/>
        <v>0.20833333333333331</v>
      </c>
      <c r="AB34" s="77">
        <f t="shared" si="17"/>
        <v>0.19791666666666669</v>
      </c>
      <c r="AC34" s="77">
        <f t="shared" si="18"/>
        <v>0</v>
      </c>
      <c r="AD34" s="77">
        <f t="shared" si="19"/>
        <v>0.41454999999999997</v>
      </c>
      <c r="AE34" s="77">
        <f t="shared" si="20"/>
        <v>3.1316358636363639</v>
      </c>
      <c r="AF34" s="77">
        <f t="shared" si="21"/>
        <v>3.1316358636363639</v>
      </c>
      <c r="AG34" s="74"/>
      <c r="AH34" s="74"/>
      <c r="AI34" s="74"/>
      <c r="AJ34" s="74"/>
      <c r="AK34" s="74"/>
      <c r="AL34" s="77">
        <f t="shared" si="22"/>
        <v>0</v>
      </c>
      <c r="AM34" s="77">
        <f t="shared" si="23"/>
        <v>15.658179318181819</v>
      </c>
      <c r="AN34" s="77">
        <f t="shared" si="24"/>
        <v>0.18789815181818184</v>
      </c>
      <c r="AO34" s="77">
        <f t="shared" si="25"/>
        <v>0.16910833663636365</v>
      </c>
      <c r="AP34" s="77">
        <f t="shared" si="26"/>
        <v>0.35700648845454552</v>
      </c>
      <c r="AQ34" s="77">
        <f t="shared" si="27"/>
        <v>1.3074579730681819</v>
      </c>
      <c r="AR34" s="77">
        <f t="shared" si="28"/>
        <v>0</v>
      </c>
      <c r="AS34" s="77">
        <f t="shared" si="29"/>
        <v>0</v>
      </c>
      <c r="AT34" s="77">
        <f t="shared" si="30"/>
        <v>1.3074579730681819</v>
      </c>
      <c r="AU34" s="77">
        <f t="shared" si="31"/>
        <v>0.78290896590909098</v>
      </c>
      <c r="AV34" s="77">
        <f t="shared" si="32"/>
        <v>0.78290896590909098</v>
      </c>
      <c r="AW34" s="77">
        <f t="shared" si="33"/>
        <v>18.105552745613636</v>
      </c>
      <c r="AX34" s="21">
        <f t="shared" si="34"/>
        <v>-6.3821716595552228E-3</v>
      </c>
      <c r="AY34" s="77">
        <f t="shared" si="2"/>
        <v>-0.1155527456136376</v>
      </c>
      <c r="AZ34" s="79">
        <f>IFERROR(H34*VLOOKUP(A34,'Tabela de Produtos'!A:Q,17,0),0)</f>
        <v>10.220000000000001</v>
      </c>
      <c r="BA34" s="74">
        <f t="shared" ref="BA34:BD53" si="41">$I34*BA$12</f>
        <v>0</v>
      </c>
      <c r="BB34" s="74">
        <f t="shared" si="41"/>
        <v>0</v>
      </c>
      <c r="BC34" s="74">
        <f t="shared" si="41"/>
        <v>0</v>
      </c>
      <c r="BD34" s="74">
        <f t="shared" si="41"/>
        <v>1.2593000000000001</v>
      </c>
      <c r="BE34" s="74">
        <f t="shared" si="4"/>
        <v>0.89949999999999997</v>
      </c>
      <c r="BF34" s="74">
        <f t="shared" si="5"/>
        <v>12.3788</v>
      </c>
      <c r="BG34" s="74">
        <f t="shared" si="6"/>
        <v>5.6111999999999984</v>
      </c>
      <c r="BH34" s="21">
        <f t="shared" si="7"/>
        <v>0.31190661478599213</v>
      </c>
      <c r="BI34" s="80"/>
    </row>
    <row r="35" spans="1:61" ht="14.25" customHeight="1">
      <c r="A35" s="72" t="s">
        <v>102</v>
      </c>
      <c r="B35" s="2" t="str">
        <f>IFERROR(VLOOKUP(A35,'Tabela de Produtos'!A:B,2,0),"Preencher Cód. Produto")</f>
        <v>BRAZIMIL LÁTEX ECONÔMICO INT FOSCO 3L DAMASCO</v>
      </c>
      <c r="C35" s="2"/>
      <c r="D35" s="73" t="s">
        <v>66</v>
      </c>
      <c r="E35" s="73">
        <v>100</v>
      </c>
      <c r="F35" s="74">
        <f>IF(A35=0,0,VLOOKUP(A35,'Tabela de Produtos'!A:W,23,0))</f>
        <v>11.82</v>
      </c>
      <c r="G35" s="75">
        <v>17.989999999999998</v>
      </c>
      <c r="H35" s="76">
        <v>1</v>
      </c>
      <c r="I35" s="74">
        <f t="shared" si="1"/>
        <v>17.989999999999998</v>
      </c>
      <c r="J35" s="77">
        <f>VLOOKUP(B35,'Tabela de Produtos'!B:M,12,FALSE())</f>
        <v>6.0300000000000011</v>
      </c>
      <c r="K35" s="77">
        <f>VLOOKUP(B35,'Tabela de Produtos'!B:P,15,FALSE())</f>
        <v>0.92999999999999994</v>
      </c>
      <c r="L35" s="77">
        <f t="shared" si="8"/>
        <v>6.0300000000000013E-2</v>
      </c>
      <c r="M35" s="77">
        <f t="shared" si="9"/>
        <v>6.0300000000000013E-2</v>
      </c>
      <c r="N35" s="78">
        <f t="shared" si="10"/>
        <v>7.0806000000000004</v>
      </c>
      <c r="O35" s="77">
        <f t="shared" si="35"/>
        <v>0.36200000000000004</v>
      </c>
      <c r="P35" s="77">
        <f t="shared" si="36"/>
        <v>0.28289999999999998</v>
      </c>
      <c r="Q35" s="77">
        <f t="shared" si="37"/>
        <v>0.28289999999999998</v>
      </c>
      <c r="R35" s="78">
        <f t="shared" si="11"/>
        <v>0.92779999999999996</v>
      </c>
      <c r="S35" s="77">
        <f>VLOOKUP(B35,'Tabela de Produtos'!B:N,13,FALSE())</f>
        <v>3.44</v>
      </c>
      <c r="T35" s="77">
        <f t="shared" si="38"/>
        <v>0.22727272727272727</v>
      </c>
      <c r="U35" s="77">
        <f t="shared" si="39"/>
        <v>0.39090909090909093</v>
      </c>
      <c r="V35" s="77">
        <f t="shared" si="40"/>
        <v>0.10909090909090909</v>
      </c>
      <c r="W35" s="78">
        <f t="shared" si="12"/>
        <v>4.167272727272727</v>
      </c>
      <c r="X35" s="77">
        <f t="shared" si="13"/>
        <v>0.12175672727272727</v>
      </c>
      <c r="Y35" s="77">
        <f t="shared" si="14"/>
        <v>0.12175672727272727</v>
      </c>
      <c r="Z35" s="77">
        <f t="shared" si="15"/>
        <v>8.3000000000000001E-3</v>
      </c>
      <c r="AA35" s="77">
        <f t="shared" si="16"/>
        <v>0.20833333333333331</v>
      </c>
      <c r="AB35" s="77">
        <f t="shared" si="17"/>
        <v>0.19791666666666669</v>
      </c>
      <c r="AC35" s="77">
        <f t="shared" si="18"/>
        <v>0</v>
      </c>
      <c r="AD35" s="77">
        <f t="shared" si="19"/>
        <v>0.41454999999999997</v>
      </c>
      <c r="AE35" s="77">
        <f t="shared" si="20"/>
        <v>3.1779948636363637</v>
      </c>
      <c r="AF35" s="77">
        <f t="shared" si="21"/>
        <v>3.1779948636363637</v>
      </c>
      <c r="AG35" s="74"/>
      <c r="AH35" s="74"/>
      <c r="AI35" s="74"/>
      <c r="AJ35" s="74"/>
      <c r="AK35" s="74"/>
      <c r="AL35" s="77">
        <f t="shared" si="22"/>
        <v>0</v>
      </c>
      <c r="AM35" s="77">
        <f t="shared" si="23"/>
        <v>15.889974318181817</v>
      </c>
      <c r="AN35" s="77">
        <f t="shared" si="24"/>
        <v>0.19067969181818181</v>
      </c>
      <c r="AO35" s="77">
        <f t="shared" si="25"/>
        <v>0.17161172263636365</v>
      </c>
      <c r="AP35" s="77">
        <f t="shared" si="26"/>
        <v>0.36229141445454549</v>
      </c>
      <c r="AQ35" s="77">
        <f t="shared" si="27"/>
        <v>1.3268128555681817</v>
      </c>
      <c r="AR35" s="77">
        <f t="shared" si="28"/>
        <v>0</v>
      </c>
      <c r="AS35" s="77">
        <f t="shared" si="29"/>
        <v>0</v>
      </c>
      <c r="AT35" s="77">
        <f t="shared" si="30"/>
        <v>1.3268128555681817</v>
      </c>
      <c r="AU35" s="77">
        <f t="shared" si="31"/>
        <v>0.79449871590909094</v>
      </c>
      <c r="AV35" s="77">
        <f t="shared" si="32"/>
        <v>0.79449871590909094</v>
      </c>
      <c r="AW35" s="77">
        <f t="shared" si="33"/>
        <v>18.373577304113635</v>
      </c>
      <c r="AX35" s="21">
        <f t="shared" si="34"/>
        <v>-2.087657170755516E-2</v>
      </c>
      <c r="AY35" s="77">
        <f t="shared" si="2"/>
        <v>-0.38357730411363633</v>
      </c>
      <c r="AZ35" s="79">
        <f>IFERROR(H35*VLOOKUP(A35,'Tabela de Produtos'!A:Q,17,0),0)</f>
        <v>10.4</v>
      </c>
      <c r="BA35" s="74">
        <f t="shared" si="41"/>
        <v>0</v>
      </c>
      <c r="BB35" s="74">
        <f t="shared" si="41"/>
        <v>0</v>
      </c>
      <c r="BC35" s="74">
        <f t="shared" si="41"/>
        <v>0</v>
      </c>
      <c r="BD35" s="74">
        <f t="shared" si="41"/>
        <v>1.2593000000000001</v>
      </c>
      <c r="BE35" s="74">
        <f t="shared" si="4"/>
        <v>0.89949999999999997</v>
      </c>
      <c r="BF35" s="74">
        <f t="shared" si="5"/>
        <v>12.5588</v>
      </c>
      <c r="BG35" s="74">
        <f t="shared" si="6"/>
        <v>5.4311999999999987</v>
      </c>
      <c r="BH35" s="21">
        <f t="shared" si="7"/>
        <v>0.30190105614230123</v>
      </c>
      <c r="BI35" s="80"/>
    </row>
    <row r="36" spans="1:61" ht="14.25" customHeight="1">
      <c r="A36" s="72" t="s">
        <v>103</v>
      </c>
      <c r="B36" s="2" t="str">
        <f>IFERROR(VLOOKUP(A36,'Tabela de Produtos'!A:B,2,0),"Preencher Cód. Produto")</f>
        <v>BRAZIMIL LÁTEX ECONÔMICO INT FOSCO 3L PEROLA</v>
      </c>
      <c r="C36" s="2"/>
      <c r="D36" s="73" t="s">
        <v>66</v>
      </c>
      <c r="E36" s="73">
        <v>100</v>
      </c>
      <c r="F36" s="74">
        <f>IF(A36=0,0,VLOOKUP(A36,'Tabela de Produtos'!A:W,23,0))</f>
        <v>10.56</v>
      </c>
      <c r="G36" s="75">
        <v>17.989999999999998</v>
      </c>
      <c r="H36" s="76">
        <v>1</v>
      </c>
      <c r="I36" s="74">
        <f t="shared" si="1"/>
        <v>17.989999999999998</v>
      </c>
      <c r="J36" s="77">
        <f>VLOOKUP(B36,'Tabela de Produtos'!B:M,12,FALSE())</f>
        <v>4.92</v>
      </c>
      <c r="K36" s="77">
        <f>VLOOKUP(B36,'Tabela de Produtos'!B:P,15,FALSE())</f>
        <v>0.92999999999999994</v>
      </c>
      <c r="L36" s="77">
        <f t="shared" si="8"/>
        <v>4.9200000000000001E-2</v>
      </c>
      <c r="M36" s="77">
        <f t="shared" si="9"/>
        <v>4.9200000000000001E-2</v>
      </c>
      <c r="N36" s="78">
        <f t="shared" si="10"/>
        <v>5.9483999999999995</v>
      </c>
      <c r="O36" s="77">
        <f t="shared" si="35"/>
        <v>0.36200000000000004</v>
      </c>
      <c r="P36" s="77">
        <f t="shared" si="36"/>
        <v>0.28289999999999998</v>
      </c>
      <c r="Q36" s="77">
        <f t="shared" si="37"/>
        <v>0.28289999999999998</v>
      </c>
      <c r="R36" s="78">
        <f t="shared" si="11"/>
        <v>0.92779999999999996</v>
      </c>
      <c r="S36" s="77">
        <f>VLOOKUP(B36,'Tabela de Produtos'!B:N,13,FALSE())</f>
        <v>3.44</v>
      </c>
      <c r="T36" s="77">
        <f t="shared" si="38"/>
        <v>0.22727272727272727</v>
      </c>
      <c r="U36" s="77">
        <f t="shared" si="39"/>
        <v>0.39090909090909093</v>
      </c>
      <c r="V36" s="77">
        <f t="shared" si="40"/>
        <v>0.10909090909090909</v>
      </c>
      <c r="W36" s="78">
        <f t="shared" si="12"/>
        <v>4.167272727272727</v>
      </c>
      <c r="X36" s="77">
        <f t="shared" si="13"/>
        <v>0.11043472727272725</v>
      </c>
      <c r="Y36" s="77">
        <f t="shared" si="14"/>
        <v>0.11043472727272725</v>
      </c>
      <c r="Z36" s="77">
        <f t="shared" si="15"/>
        <v>8.3000000000000001E-3</v>
      </c>
      <c r="AA36" s="77">
        <f t="shared" si="16"/>
        <v>0.20833333333333331</v>
      </c>
      <c r="AB36" s="77">
        <f t="shared" si="17"/>
        <v>0.19791666666666669</v>
      </c>
      <c r="AC36" s="77">
        <f t="shared" si="18"/>
        <v>0</v>
      </c>
      <c r="AD36" s="77">
        <f t="shared" si="19"/>
        <v>0.41454999999999997</v>
      </c>
      <c r="AE36" s="77">
        <f t="shared" si="20"/>
        <v>2.8921143636363635</v>
      </c>
      <c r="AF36" s="77">
        <f t="shared" si="21"/>
        <v>2.8921143636363635</v>
      </c>
      <c r="AG36" s="74"/>
      <c r="AH36" s="74"/>
      <c r="AI36" s="74"/>
      <c r="AJ36" s="74"/>
      <c r="AK36" s="74"/>
      <c r="AL36" s="77">
        <f t="shared" si="22"/>
        <v>0</v>
      </c>
      <c r="AM36" s="77">
        <f t="shared" si="23"/>
        <v>14.460571818181817</v>
      </c>
      <c r="AN36" s="77">
        <f t="shared" si="24"/>
        <v>0.1735268618181818</v>
      </c>
      <c r="AO36" s="77">
        <f t="shared" si="25"/>
        <v>0.15617417563636363</v>
      </c>
      <c r="AP36" s="77">
        <f t="shared" si="26"/>
        <v>0.32970103745454543</v>
      </c>
      <c r="AQ36" s="77">
        <f t="shared" si="27"/>
        <v>1.2074577468181817</v>
      </c>
      <c r="AR36" s="77">
        <f t="shared" si="28"/>
        <v>0</v>
      </c>
      <c r="AS36" s="77">
        <f t="shared" si="29"/>
        <v>0</v>
      </c>
      <c r="AT36" s="77">
        <f t="shared" si="30"/>
        <v>1.2074577468181817</v>
      </c>
      <c r="AU36" s="77">
        <f t="shared" si="31"/>
        <v>0.72302859090909088</v>
      </c>
      <c r="AV36" s="77">
        <f t="shared" si="32"/>
        <v>0.72302859090909088</v>
      </c>
      <c r="AW36" s="77">
        <f t="shared" si="33"/>
        <v>16.720759193363637</v>
      </c>
      <c r="AX36" s="21">
        <f t="shared" si="34"/>
        <v>7.5908084791994054E-2</v>
      </c>
      <c r="AY36" s="77">
        <f t="shared" si="2"/>
        <v>1.2692408066363612</v>
      </c>
      <c r="AZ36" s="79">
        <f>IFERROR(H36*VLOOKUP(A36,'Tabela de Produtos'!A:Q,17,0),0)</f>
        <v>9.2899999999999991</v>
      </c>
      <c r="BA36" s="74">
        <f t="shared" si="41"/>
        <v>0</v>
      </c>
      <c r="BB36" s="74">
        <f t="shared" si="41"/>
        <v>0</v>
      </c>
      <c r="BC36" s="74">
        <f t="shared" si="41"/>
        <v>0</v>
      </c>
      <c r="BD36" s="74">
        <f t="shared" si="41"/>
        <v>1.2593000000000001</v>
      </c>
      <c r="BE36" s="74">
        <f t="shared" si="4"/>
        <v>0.89949999999999997</v>
      </c>
      <c r="BF36" s="74">
        <f t="shared" si="5"/>
        <v>11.448799999999999</v>
      </c>
      <c r="BG36" s="74">
        <f t="shared" si="6"/>
        <v>6.5411999999999999</v>
      </c>
      <c r="BH36" s="21">
        <f t="shared" si="7"/>
        <v>0.36360200111172875</v>
      </c>
      <c r="BI36" s="80"/>
    </row>
    <row r="37" spans="1:61" ht="14.25" customHeight="1">
      <c r="A37" s="72" t="s">
        <v>104</v>
      </c>
      <c r="B37" s="2" t="str">
        <f>IFERROR(VLOOKUP(A37,'Tabela de Produtos'!A:B,2,0),"Preencher Cód. Produto")</f>
        <v>BRAZIMIL LÁTEX ECONÔMICO INT/EXT SEMIBRILHO 3L BRANCO NEVE</v>
      </c>
      <c r="C37" s="2"/>
      <c r="D37" s="73" t="s">
        <v>66</v>
      </c>
      <c r="E37" s="73"/>
      <c r="F37" s="74" t="str">
        <f>IF(A37=0,0,VLOOKUP(A37,'Tabela de Produtos'!A:W,23,0))</f>
        <v>Cadastrar Ficha de Produção</v>
      </c>
      <c r="G37" s="74">
        <v>0</v>
      </c>
      <c r="H37" s="76">
        <v>1</v>
      </c>
      <c r="I37" s="74">
        <f t="shared" si="1"/>
        <v>0</v>
      </c>
      <c r="J37" s="77">
        <f>VLOOKUP(B37,'Tabela de Produtos'!B:M,12,FALSE())</f>
        <v>0</v>
      </c>
      <c r="K37" s="74"/>
      <c r="L37" s="74"/>
      <c r="M37" s="74"/>
      <c r="N37" s="81"/>
      <c r="O37" s="74"/>
      <c r="P37" s="74"/>
      <c r="Q37" s="74"/>
      <c r="R37" s="81"/>
      <c r="S37" s="74"/>
      <c r="T37" s="74"/>
      <c r="U37" s="74"/>
      <c r="V37" s="74"/>
      <c r="W37" s="81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7"/>
      <c r="AY37" s="77">
        <f t="shared" si="2"/>
        <v>0</v>
      </c>
      <c r="AZ37" s="79">
        <f>IFERROR(H37*VLOOKUP(A37,'Tabela de Produtos'!A:Q,17,0),0)</f>
        <v>0</v>
      </c>
      <c r="BA37" s="74">
        <f t="shared" si="41"/>
        <v>0</v>
      </c>
      <c r="BB37" s="74">
        <f t="shared" si="41"/>
        <v>0</v>
      </c>
      <c r="BC37" s="74">
        <f t="shared" si="41"/>
        <v>0</v>
      </c>
      <c r="BD37" s="74">
        <f t="shared" si="41"/>
        <v>0</v>
      </c>
      <c r="BE37" s="74">
        <f t="shared" si="4"/>
        <v>0</v>
      </c>
      <c r="BF37" s="74">
        <f t="shared" si="5"/>
        <v>0</v>
      </c>
      <c r="BG37" s="74">
        <f t="shared" si="6"/>
        <v>0</v>
      </c>
      <c r="BH37" s="21">
        <f t="shared" si="7"/>
        <v>0</v>
      </c>
      <c r="BI37" s="80"/>
    </row>
    <row r="38" spans="1:61" ht="14.25" customHeight="1">
      <c r="A38" s="72" t="s">
        <v>105</v>
      </c>
      <c r="B38" s="2" t="str">
        <f>IFERROR(VLOOKUP(A38,'Tabela de Produtos'!A:B,2,0),"Preencher Cód. Produto")</f>
        <v>BRAZIMIL LÁTEX ECONÔMICO INT/EXT SEMIBRILHO 3L BRANCO GELO</v>
      </c>
      <c r="C38" s="2"/>
      <c r="D38" s="73" t="s">
        <v>66</v>
      </c>
      <c r="E38" s="73"/>
      <c r="F38" s="74" t="str">
        <f>IF(A38=0,0,VLOOKUP(A38,'Tabela de Produtos'!A:W,23,0))</f>
        <v>Cadastrar Ficha de Produção</v>
      </c>
      <c r="G38" s="74">
        <v>0</v>
      </c>
      <c r="H38" s="76">
        <v>1</v>
      </c>
      <c r="I38" s="74">
        <f t="shared" si="1"/>
        <v>0</v>
      </c>
      <c r="J38" s="77">
        <f>VLOOKUP(B38,'Tabela de Produtos'!B:M,12,FALSE())</f>
        <v>0</v>
      </c>
      <c r="K38" s="74"/>
      <c r="L38" s="74"/>
      <c r="M38" s="74"/>
      <c r="N38" s="81"/>
      <c r="O38" s="74"/>
      <c r="P38" s="74"/>
      <c r="Q38" s="74"/>
      <c r="R38" s="81"/>
      <c r="S38" s="74"/>
      <c r="T38" s="74"/>
      <c r="U38" s="74"/>
      <c r="V38" s="74"/>
      <c r="W38" s="81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7"/>
      <c r="AY38" s="77">
        <f t="shared" si="2"/>
        <v>0</v>
      </c>
      <c r="AZ38" s="79">
        <f>IFERROR(H38*VLOOKUP(A38,'Tabela de Produtos'!A:Q,17,0),0)</f>
        <v>0</v>
      </c>
      <c r="BA38" s="74">
        <f t="shared" si="41"/>
        <v>0</v>
      </c>
      <c r="BB38" s="74">
        <f t="shared" si="41"/>
        <v>0</v>
      </c>
      <c r="BC38" s="74">
        <f t="shared" si="41"/>
        <v>0</v>
      </c>
      <c r="BD38" s="74">
        <f t="shared" si="41"/>
        <v>0</v>
      </c>
      <c r="BE38" s="74">
        <f t="shared" si="4"/>
        <v>0</v>
      </c>
      <c r="BF38" s="74">
        <f t="shared" si="5"/>
        <v>0</v>
      </c>
      <c r="BG38" s="74">
        <f t="shared" si="6"/>
        <v>0</v>
      </c>
      <c r="BH38" s="21">
        <f t="shared" si="7"/>
        <v>0</v>
      </c>
      <c r="BI38" s="80"/>
    </row>
    <row r="39" spans="1:61" ht="14.25" customHeight="1">
      <c r="A39" s="72" t="s">
        <v>106</v>
      </c>
      <c r="B39" s="2" t="str">
        <f>IFERROR(VLOOKUP(A39,'Tabela de Produtos'!A:B,2,0),"Preencher Cód. Produto")</f>
        <v>BRAZIMIL LÁTEX ECONÔMICO INT/EXT SEMIBRILHO 3L AREIA</v>
      </c>
      <c r="C39" s="2"/>
      <c r="D39" s="73" t="s">
        <v>66</v>
      </c>
      <c r="E39" s="73"/>
      <c r="F39" s="74" t="str">
        <f>IF(A39=0,0,VLOOKUP(A39,'Tabela de Produtos'!A:W,23,0))</f>
        <v>Cadastrar Ficha de Produção</v>
      </c>
      <c r="G39" s="74">
        <v>0</v>
      </c>
      <c r="H39" s="76">
        <v>1</v>
      </c>
      <c r="I39" s="74">
        <f t="shared" si="1"/>
        <v>0</v>
      </c>
      <c r="J39" s="77">
        <f>VLOOKUP(B39,'Tabela de Produtos'!B:M,12,FALSE())</f>
        <v>0</v>
      </c>
      <c r="K39" s="74"/>
      <c r="L39" s="74"/>
      <c r="M39" s="74"/>
      <c r="N39" s="81"/>
      <c r="O39" s="74"/>
      <c r="P39" s="74"/>
      <c r="Q39" s="74"/>
      <c r="R39" s="81"/>
      <c r="S39" s="74"/>
      <c r="T39" s="74"/>
      <c r="U39" s="74"/>
      <c r="V39" s="74"/>
      <c r="W39" s="81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7"/>
      <c r="AY39" s="77">
        <f t="shared" si="2"/>
        <v>0</v>
      </c>
      <c r="AZ39" s="79">
        <f>IFERROR(H39*VLOOKUP(A39,'Tabela de Produtos'!A:Q,17,0),0)</f>
        <v>0</v>
      </c>
      <c r="BA39" s="74">
        <f t="shared" si="41"/>
        <v>0</v>
      </c>
      <c r="BB39" s="74">
        <f t="shared" si="41"/>
        <v>0</v>
      </c>
      <c r="BC39" s="74">
        <f t="shared" si="41"/>
        <v>0</v>
      </c>
      <c r="BD39" s="74">
        <f t="shared" si="41"/>
        <v>0</v>
      </c>
      <c r="BE39" s="74">
        <f t="shared" si="4"/>
        <v>0</v>
      </c>
      <c r="BF39" s="74">
        <f t="shared" si="5"/>
        <v>0</v>
      </c>
      <c r="BG39" s="74">
        <f t="shared" si="6"/>
        <v>0</v>
      </c>
      <c r="BH39" s="21">
        <f t="shared" si="7"/>
        <v>0</v>
      </c>
      <c r="BI39" s="80"/>
    </row>
    <row r="40" spans="1:61" ht="14.25" customHeight="1">
      <c r="A40" s="72" t="s">
        <v>107</v>
      </c>
      <c r="B40" s="2" t="str">
        <f>IFERROR(VLOOKUP(A40,'Tabela de Produtos'!A:B,2,0),"Preencher Cód. Produto")</f>
        <v>BRAZIMIL LÁTEX ECONÔMICO INT/EXT SEMIBRILHO 3L PALHA</v>
      </c>
      <c r="C40" s="2"/>
      <c r="D40" s="73" t="s">
        <v>66</v>
      </c>
      <c r="E40" s="73"/>
      <c r="F40" s="74" t="str">
        <f>IF(A40=0,0,VLOOKUP(A40,'Tabela de Produtos'!A:W,23,0))</f>
        <v>Cadastrar Ficha de Produção</v>
      </c>
      <c r="G40" s="74">
        <v>0</v>
      </c>
      <c r="H40" s="76">
        <v>1</v>
      </c>
      <c r="I40" s="74">
        <f t="shared" si="1"/>
        <v>0</v>
      </c>
      <c r="J40" s="77">
        <f>VLOOKUP(B40,'Tabela de Produtos'!B:M,12,FALSE())</f>
        <v>0</v>
      </c>
      <c r="K40" s="74"/>
      <c r="L40" s="74"/>
      <c r="M40" s="74"/>
      <c r="N40" s="81"/>
      <c r="O40" s="74"/>
      <c r="P40" s="74"/>
      <c r="Q40" s="74"/>
      <c r="R40" s="81"/>
      <c r="S40" s="74"/>
      <c r="T40" s="74"/>
      <c r="U40" s="74"/>
      <c r="V40" s="74"/>
      <c r="W40" s="81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7"/>
      <c r="AY40" s="77">
        <f t="shared" si="2"/>
        <v>0</v>
      </c>
      <c r="AZ40" s="79">
        <f>IFERROR(H40*VLOOKUP(A40,'Tabela de Produtos'!A:Q,17,0),0)</f>
        <v>0</v>
      </c>
      <c r="BA40" s="74">
        <f t="shared" si="41"/>
        <v>0</v>
      </c>
      <c r="BB40" s="74">
        <f t="shared" si="41"/>
        <v>0</v>
      </c>
      <c r="BC40" s="74">
        <f t="shared" si="41"/>
        <v>0</v>
      </c>
      <c r="BD40" s="74">
        <f t="shared" si="41"/>
        <v>0</v>
      </c>
      <c r="BE40" s="74">
        <f t="shared" si="4"/>
        <v>0</v>
      </c>
      <c r="BF40" s="74">
        <f t="shared" si="5"/>
        <v>0</v>
      </c>
      <c r="BG40" s="74">
        <f t="shared" si="6"/>
        <v>0</v>
      </c>
      <c r="BH40" s="21">
        <f t="shared" si="7"/>
        <v>0</v>
      </c>
      <c r="BI40" s="80"/>
    </row>
    <row r="41" spans="1:61" ht="14.25" customHeight="1">
      <c r="A41" s="72" t="s">
        <v>108</v>
      </c>
      <c r="B41" s="2" t="str">
        <f>IFERROR(VLOOKUP(A41,'Tabela de Produtos'!A:B,2,0),"Preencher Cód. Produto")</f>
        <v>BRAZIMIL LÁTEX ECONÔMICO INT/EXT SEMIBRILHO 3L VERDE PRIMAVERA</v>
      </c>
      <c r="C41" s="2"/>
      <c r="D41" s="73" t="s">
        <v>66</v>
      </c>
      <c r="E41" s="73"/>
      <c r="F41" s="74" t="str">
        <f>IF(A41=0,0,VLOOKUP(A41,'Tabela de Produtos'!A:W,23,0))</f>
        <v>Cadastrar Ficha de Produção</v>
      </c>
      <c r="G41" s="74">
        <v>0</v>
      </c>
      <c r="H41" s="76">
        <v>1</v>
      </c>
      <c r="I41" s="74">
        <f t="shared" si="1"/>
        <v>0</v>
      </c>
      <c r="J41" s="77">
        <f>VLOOKUP(B41,'Tabela de Produtos'!B:M,12,FALSE())</f>
        <v>0</v>
      </c>
      <c r="K41" s="74"/>
      <c r="L41" s="74"/>
      <c r="M41" s="74"/>
      <c r="N41" s="81"/>
      <c r="O41" s="74"/>
      <c r="P41" s="74"/>
      <c r="Q41" s="74"/>
      <c r="R41" s="81"/>
      <c r="S41" s="74"/>
      <c r="T41" s="74"/>
      <c r="U41" s="74"/>
      <c r="V41" s="74"/>
      <c r="W41" s="81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7"/>
      <c r="AY41" s="77">
        <f t="shared" si="2"/>
        <v>0</v>
      </c>
      <c r="AZ41" s="79">
        <f>IFERROR(H41*VLOOKUP(A41,'Tabela de Produtos'!A:Q,17,0),0)</f>
        <v>0</v>
      </c>
      <c r="BA41" s="74">
        <f t="shared" si="41"/>
        <v>0</v>
      </c>
      <c r="BB41" s="74">
        <f t="shared" si="41"/>
        <v>0</v>
      </c>
      <c r="BC41" s="74">
        <f t="shared" si="41"/>
        <v>0</v>
      </c>
      <c r="BD41" s="74">
        <f t="shared" si="41"/>
        <v>0</v>
      </c>
      <c r="BE41" s="74">
        <f t="shared" si="4"/>
        <v>0</v>
      </c>
      <c r="BF41" s="74">
        <f t="shared" si="5"/>
        <v>0</v>
      </c>
      <c r="BG41" s="74">
        <f t="shared" si="6"/>
        <v>0</v>
      </c>
      <c r="BH41" s="21">
        <f t="shared" si="7"/>
        <v>0</v>
      </c>
      <c r="BI41" s="80"/>
    </row>
    <row r="42" spans="1:61" ht="14.25" customHeight="1">
      <c r="A42" s="72" t="s">
        <v>109</v>
      </c>
      <c r="B42" s="2" t="str">
        <f>IFERROR(VLOOKUP(A42,'Tabela de Produtos'!A:B,2,0),"Preencher Cód. Produto")</f>
        <v>BRAZIMIL LÁTEX ECONÔMICO INT/EXT SEMIBRILHO 3L VERDE FOLHA</v>
      </c>
      <c r="C42" s="2"/>
      <c r="D42" s="73" t="s">
        <v>66</v>
      </c>
      <c r="E42" s="73"/>
      <c r="F42" s="74" t="str">
        <f>IF(A42=0,0,VLOOKUP(A42,'Tabela de Produtos'!A:W,23,0))</f>
        <v>Cadastrar Ficha de Produção</v>
      </c>
      <c r="G42" s="74">
        <v>0</v>
      </c>
      <c r="H42" s="76">
        <v>1</v>
      </c>
      <c r="I42" s="74">
        <f t="shared" si="1"/>
        <v>0</v>
      </c>
      <c r="J42" s="77">
        <f>VLOOKUP(B42,'Tabela de Produtos'!B:M,12,FALSE())</f>
        <v>0</v>
      </c>
      <c r="K42" s="74"/>
      <c r="L42" s="74"/>
      <c r="M42" s="74"/>
      <c r="N42" s="81"/>
      <c r="O42" s="74"/>
      <c r="P42" s="74"/>
      <c r="Q42" s="74"/>
      <c r="R42" s="81"/>
      <c r="S42" s="74"/>
      <c r="T42" s="74"/>
      <c r="U42" s="74"/>
      <c r="V42" s="74"/>
      <c r="W42" s="81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7"/>
      <c r="AY42" s="77">
        <f t="shared" si="2"/>
        <v>0</v>
      </c>
      <c r="AZ42" s="79">
        <f>IFERROR(H42*VLOOKUP(A42,'Tabela de Produtos'!A:Q,17,0),0)</f>
        <v>0</v>
      </c>
      <c r="BA42" s="74">
        <f t="shared" si="41"/>
        <v>0</v>
      </c>
      <c r="BB42" s="74">
        <f t="shared" si="41"/>
        <v>0</v>
      </c>
      <c r="BC42" s="74">
        <f t="shared" si="41"/>
        <v>0</v>
      </c>
      <c r="BD42" s="74">
        <f t="shared" si="41"/>
        <v>0</v>
      </c>
      <c r="BE42" s="74">
        <f t="shared" si="4"/>
        <v>0</v>
      </c>
      <c r="BF42" s="74">
        <f t="shared" si="5"/>
        <v>0</v>
      </c>
      <c r="BG42" s="74">
        <f t="shared" si="6"/>
        <v>0</v>
      </c>
      <c r="BH42" s="21">
        <f t="shared" si="7"/>
        <v>0</v>
      </c>
      <c r="BI42" s="80"/>
    </row>
    <row r="43" spans="1:61" ht="14.25" customHeight="1">
      <c r="A43" s="72" t="s">
        <v>110</v>
      </c>
      <c r="B43" s="2" t="str">
        <f>IFERROR(VLOOKUP(A43,'Tabela de Produtos'!A:B,2,0),"Preencher Cód. Produto")</f>
        <v>BRAZIMIL LÁTEX ECONÔMICO INT/EXT SEMIBRILHO 3L AZUL CEU</v>
      </c>
      <c r="C43" s="2"/>
      <c r="D43" s="73" t="s">
        <v>66</v>
      </c>
      <c r="E43" s="73"/>
      <c r="F43" s="74" t="str">
        <f>IF(A43=0,0,VLOOKUP(A43,'Tabela de Produtos'!A:W,23,0))</f>
        <v>Cadastrar Ficha de Produção</v>
      </c>
      <c r="G43" s="74">
        <v>0</v>
      </c>
      <c r="H43" s="76">
        <v>1</v>
      </c>
      <c r="I43" s="74">
        <f t="shared" si="1"/>
        <v>0</v>
      </c>
      <c r="J43" s="77">
        <f>VLOOKUP(B43,'Tabela de Produtos'!B:M,12,FALSE())</f>
        <v>0</v>
      </c>
      <c r="K43" s="74"/>
      <c r="L43" s="74"/>
      <c r="M43" s="74"/>
      <c r="N43" s="81"/>
      <c r="O43" s="74"/>
      <c r="P43" s="74"/>
      <c r="Q43" s="74"/>
      <c r="R43" s="81"/>
      <c r="S43" s="74"/>
      <c r="T43" s="74"/>
      <c r="U43" s="74"/>
      <c r="V43" s="74"/>
      <c r="W43" s="81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7"/>
      <c r="AY43" s="77">
        <f t="shared" si="2"/>
        <v>0</v>
      </c>
      <c r="AZ43" s="79">
        <f>IFERROR(H43*VLOOKUP(A43,'Tabela de Produtos'!A:Q,17,0),0)</f>
        <v>0</v>
      </c>
      <c r="BA43" s="74">
        <f t="shared" si="41"/>
        <v>0</v>
      </c>
      <c r="BB43" s="74">
        <f t="shared" si="41"/>
        <v>0</v>
      </c>
      <c r="BC43" s="74">
        <f t="shared" si="41"/>
        <v>0</v>
      </c>
      <c r="BD43" s="74">
        <f t="shared" si="41"/>
        <v>0</v>
      </c>
      <c r="BE43" s="74">
        <f t="shared" si="4"/>
        <v>0</v>
      </c>
      <c r="BF43" s="74">
        <f t="shared" si="5"/>
        <v>0</v>
      </c>
      <c r="BG43" s="74">
        <f t="shared" si="6"/>
        <v>0</v>
      </c>
      <c r="BH43" s="21">
        <f t="shared" si="7"/>
        <v>0</v>
      </c>
      <c r="BI43" s="80"/>
    </row>
    <row r="44" spans="1:61" ht="14.25" customHeight="1">
      <c r="A44" s="72" t="s">
        <v>111</v>
      </c>
      <c r="B44" s="2" t="str">
        <f>IFERROR(VLOOKUP(A44,'Tabela de Produtos'!A:B,2,0),"Preencher Cód. Produto")</f>
        <v>BRAZIMIL LÁTEX ECONÔMICO INT/EXT SEMIBRILHO 3L AZUL OCEANO</v>
      </c>
      <c r="C44" s="2"/>
      <c r="D44" s="73" t="s">
        <v>66</v>
      </c>
      <c r="E44" s="73"/>
      <c r="F44" s="74" t="str">
        <f>IF(A44=0,0,VLOOKUP(A44,'Tabela de Produtos'!A:W,23,0))</f>
        <v>Cadastrar Ficha de Produção</v>
      </c>
      <c r="G44" s="74">
        <v>0</v>
      </c>
      <c r="H44" s="76">
        <v>1</v>
      </c>
      <c r="I44" s="74">
        <f t="shared" si="1"/>
        <v>0</v>
      </c>
      <c r="J44" s="77">
        <f>VLOOKUP(B44,'Tabela de Produtos'!B:M,12,FALSE())</f>
        <v>0</v>
      </c>
      <c r="K44" s="74"/>
      <c r="L44" s="74"/>
      <c r="M44" s="74"/>
      <c r="N44" s="81"/>
      <c r="O44" s="74"/>
      <c r="P44" s="74"/>
      <c r="Q44" s="74"/>
      <c r="R44" s="81"/>
      <c r="S44" s="74"/>
      <c r="T44" s="74"/>
      <c r="U44" s="74"/>
      <c r="V44" s="74"/>
      <c r="W44" s="81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7"/>
      <c r="AY44" s="77">
        <f t="shared" si="2"/>
        <v>0</v>
      </c>
      <c r="AZ44" s="79">
        <f>IFERROR(H44*VLOOKUP(A44,'Tabela de Produtos'!A:Q,17,0),0)</f>
        <v>0</v>
      </c>
      <c r="BA44" s="74">
        <f t="shared" si="41"/>
        <v>0</v>
      </c>
      <c r="BB44" s="74">
        <f t="shared" si="41"/>
        <v>0</v>
      </c>
      <c r="BC44" s="74">
        <f t="shared" si="41"/>
        <v>0</v>
      </c>
      <c r="BD44" s="74">
        <f t="shared" si="41"/>
        <v>0</v>
      </c>
      <c r="BE44" s="74">
        <f t="shared" si="4"/>
        <v>0</v>
      </c>
      <c r="BF44" s="74">
        <f t="shared" si="5"/>
        <v>0</v>
      </c>
      <c r="BG44" s="74">
        <f t="shared" si="6"/>
        <v>0</v>
      </c>
      <c r="BH44" s="21">
        <f t="shared" si="7"/>
        <v>0</v>
      </c>
      <c r="BI44" s="80"/>
    </row>
    <row r="45" spans="1:61" ht="14.25" customHeight="1">
      <c r="A45" s="72" t="s">
        <v>112</v>
      </c>
      <c r="B45" s="2" t="str">
        <f>IFERROR(VLOOKUP(A45,'Tabela de Produtos'!A:B,2,0),"Preencher Cód. Produto")</f>
        <v>BRAZIMIL LÁTEX ECONÔMICO INT/EXT SEMIBRILHO 3L AMARELO CANARIO</v>
      </c>
      <c r="C45" s="2"/>
      <c r="D45" s="73" t="s">
        <v>66</v>
      </c>
      <c r="E45" s="73"/>
      <c r="F45" s="74" t="str">
        <f>IF(A45=0,0,VLOOKUP(A45,'Tabela de Produtos'!A:W,23,0))</f>
        <v>Cadastrar Ficha de Produção</v>
      </c>
      <c r="G45" s="74">
        <v>0</v>
      </c>
      <c r="H45" s="76">
        <v>1</v>
      </c>
      <c r="I45" s="74">
        <f t="shared" si="1"/>
        <v>0</v>
      </c>
      <c r="J45" s="77">
        <f>VLOOKUP(B45,'Tabela de Produtos'!B:M,12,FALSE())</f>
        <v>0</v>
      </c>
      <c r="K45" s="74"/>
      <c r="L45" s="74"/>
      <c r="M45" s="74"/>
      <c r="N45" s="81"/>
      <c r="O45" s="74"/>
      <c r="P45" s="74"/>
      <c r="Q45" s="74"/>
      <c r="R45" s="81"/>
      <c r="S45" s="74"/>
      <c r="T45" s="74"/>
      <c r="U45" s="74"/>
      <c r="V45" s="74"/>
      <c r="W45" s="81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7"/>
      <c r="AY45" s="77">
        <f t="shared" si="2"/>
        <v>0</v>
      </c>
      <c r="AZ45" s="79">
        <f>IFERROR(H45*VLOOKUP(A45,'Tabela de Produtos'!A:Q,17,0),0)</f>
        <v>0</v>
      </c>
      <c r="BA45" s="74">
        <f t="shared" si="41"/>
        <v>0</v>
      </c>
      <c r="BB45" s="74">
        <f t="shared" si="41"/>
        <v>0</v>
      </c>
      <c r="BC45" s="74">
        <f t="shared" si="41"/>
        <v>0</v>
      </c>
      <c r="BD45" s="74">
        <f t="shared" si="41"/>
        <v>0</v>
      </c>
      <c r="BE45" s="74">
        <f t="shared" si="4"/>
        <v>0</v>
      </c>
      <c r="BF45" s="74">
        <f t="shared" si="5"/>
        <v>0</v>
      </c>
      <c r="BG45" s="74">
        <f t="shared" si="6"/>
        <v>0</v>
      </c>
      <c r="BH45" s="21">
        <f t="shared" si="7"/>
        <v>0</v>
      </c>
      <c r="BI45" s="80"/>
    </row>
    <row r="46" spans="1:61" ht="14.25" customHeight="1">
      <c r="A46" s="72" t="s">
        <v>113</v>
      </c>
      <c r="B46" s="2" t="str">
        <f>IFERROR(VLOOKUP(A46,'Tabela de Produtos'!A:B,2,0),"Preencher Cód. Produto")</f>
        <v>BRAZIMIL LÁTEX ECONÔMICO INT/EXT SEMIBRILHO 3L CROMO SUAVE</v>
      </c>
      <c r="C46" s="2"/>
      <c r="D46" s="73" t="s">
        <v>66</v>
      </c>
      <c r="E46" s="73"/>
      <c r="F46" s="74" t="str">
        <f>IF(A46=0,0,VLOOKUP(A46,'Tabela de Produtos'!A:W,23,0))</f>
        <v>Cadastrar Ficha de Produção</v>
      </c>
      <c r="G46" s="74">
        <v>0</v>
      </c>
      <c r="H46" s="76">
        <v>1</v>
      </c>
      <c r="I46" s="74">
        <f t="shared" si="1"/>
        <v>0</v>
      </c>
      <c r="J46" s="77">
        <f>VLOOKUP(B46,'Tabela de Produtos'!B:M,12,FALSE())</f>
        <v>0</v>
      </c>
      <c r="K46" s="74"/>
      <c r="L46" s="74"/>
      <c r="M46" s="74"/>
      <c r="N46" s="81"/>
      <c r="O46" s="74"/>
      <c r="P46" s="74"/>
      <c r="Q46" s="74"/>
      <c r="R46" s="81"/>
      <c r="S46" s="74"/>
      <c r="T46" s="74"/>
      <c r="U46" s="74"/>
      <c r="V46" s="74"/>
      <c r="W46" s="81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7"/>
      <c r="AY46" s="77">
        <f t="shared" si="2"/>
        <v>0</v>
      </c>
      <c r="AZ46" s="79">
        <f>IFERROR(H46*VLOOKUP(A46,'Tabela de Produtos'!A:Q,17,0),0)</f>
        <v>0</v>
      </c>
      <c r="BA46" s="74">
        <f t="shared" si="41"/>
        <v>0</v>
      </c>
      <c r="BB46" s="74">
        <f t="shared" si="41"/>
        <v>0</v>
      </c>
      <c r="BC46" s="74">
        <f t="shared" si="41"/>
        <v>0</v>
      </c>
      <c r="BD46" s="74">
        <f t="shared" si="41"/>
        <v>0</v>
      </c>
      <c r="BE46" s="74">
        <f t="shared" si="4"/>
        <v>0</v>
      </c>
      <c r="BF46" s="74">
        <f t="shared" si="5"/>
        <v>0</v>
      </c>
      <c r="BG46" s="74">
        <f t="shared" si="6"/>
        <v>0</v>
      </c>
      <c r="BH46" s="21">
        <f t="shared" si="7"/>
        <v>0</v>
      </c>
      <c r="BI46" s="80"/>
    </row>
    <row r="47" spans="1:61" ht="14.25" customHeight="1">
      <c r="A47" s="72" t="s">
        <v>114</v>
      </c>
      <c r="B47" s="2" t="str">
        <f>IFERROR(VLOOKUP(A47,'Tabela de Produtos'!A:B,2,0),"Preencher Cód. Produto")</f>
        <v>BRAZIMIL LÁTEX ECONÔMICO INT/EXT SEMIBRILHO 3L ROSA BEBE</v>
      </c>
      <c r="C47" s="2"/>
      <c r="D47" s="73" t="s">
        <v>66</v>
      </c>
      <c r="E47" s="73"/>
      <c r="F47" s="74" t="str">
        <f>IF(A47=0,0,VLOOKUP(A47,'Tabela de Produtos'!A:W,23,0))</f>
        <v>Cadastrar Ficha de Produção</v>
      </c>
      <c r="G47" s="74">
        <v>0</v>
      </c>
      <c r="H47" s="76">
        <v>1</v>
      </c>
      <c r="I47" s="74">
        <f t="shared" si="1"/>
        <v>0</v>
      </c>
      <c r="J47" s="77">
        <f>VLOOKUP(B47,'Tabela de Produtos'!B:M,12,FALSE())</f>
        <v>0</v>
      </c>
      <c r="K47" s="74"/>
      <c r="L47" s="74"/>
      <c r="M47" s="74"/>
      <c r="N47" s="81"/>
      <c r="O47" s="74"/>
      <c r="P47" s="74"/>
      <c r="Q47" s="74"/>
      <c r="R47" s="81"/>
      <c r="S47" s="74"/>
      <c r="T47" s="74"/>
      <c r="U47" s="74"/>
      <c r="V47" s="74"/>
      <c r="W47" s="81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7"/>
      <c r="AY47" s="77">
        <f t="shared" si="2"/>
        <v>0</v>
      </c>
      <c r="AZ47" s="79">
        <f>IFERROR(H47*VLOOKUP(A47,'Tabela de Produtos'!A:Q,17,0),0)</f>
        <v>0</v>
      </c>
      <c r="BA47" s="74">
        <f t="shared" si="41"/>
        <v>0</v>
      </c>
      <c r="BB47" s="74">
        <f t="shared" si="41"/>
        <v>0</v>
      </c>
      <c r="BC47" s="74">
        <f t="shared" si="41"/>
        <v>0</v>
      </c>
      <c r="BD47" s="74">
        <f t="shared" si="41"/>
        <v>0</v>
      </c>
      <c r="BE47" s="74">
        <f t="shared" si="4"/>
        <v>0</v>
      </c>
      <c r="BF47" s="74">
        <f t="shared" si="5"/>
        <v>0</v>
      </c>
      <c r="BG47" s="74">
        <f t="shared" si="6"/>
        <v>0</v>
      </c>
      <c r="BH47" s="21">
        <f t="shared" si="7"/>
        <v>0</v>
      </c>
      <c r="BI47" s="80"/>
    </row>
    <row r="48" spans="1:61" ht="14.25" customHeight="1">
      <c r="A48" s="72" t="s">
        <v>115</v>
      </c>
      <c r="B48" s="2" t="str">
        <f>IFERROR(VLOOKUP(A48,'Tabela de Produtos'!A:B,2,0),"Preencher Cód. Produto")</f>
        <v>BRAZIMIL LÁTEX ECONÔMICO INT/EXT SEMIBRILHO 3L MARFIM</v>
      </c>
      <c r="C48" s="2"/>
      <c r="D48" s="73" t="s">
        <v>66</v>
      </c>
      <c r="E48" s="73"/>
      <c r="F48" s="74" t="str">
        <f>IF(A48=0,0,VLOOKUP(A48,'Tabela de Produtos'!A:W,23,0))</f>
        <v>Cadastrar Ficha de Produção</v>
      </c>
      <c r="G48" s="74">
        <v>0</v>
      </c>
      <c r="H48" s="76">
        <v>1</v>
      </c>
      <c r="I48" s="74">
        <f t="shared" si="1"/>
        <v>0</v>
      </c>
      <c r="J48" s="77">
        <f>VLOOKUP(B48,'Tabela de Produtos'!B:M,12,FALSE())</f>
        <v>0</v>
      </c>
      <c r="K48" s="74"/>
      <c r="L48" s="74"/>
      <c r="M48" s="74"/>
      <c r="N48" s="81"/>
      <c r="O48" s="74"/>
      <c r="P48" s="74"/>
      <c r="Q48" s="74"/>
      <c r="R48" s="81"/>
      <c r="S48" s="74"/>
      <c r="T48" s="74"/>
      <c r="U48" s="74"/>
      <c r="V48" s="74"/>
      <c r="W48" s="81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7"/>
      <c r="AY48" s="77">
        <f t="shared" si="2"/>
        <v>0</v>
      </c>
      <c r="AZ48" s="79">
        <f>IFERROR(H48*VLOOKUP(A48,'Tabela de Produtos'!A:Q,17,0),0)</f>
        <v>0</v>
      </c>
      <c r="BA48" s="74">
        <f t="shared" si="41"/>
        <v>0</v>
      </c>
      <c r="BB48" s="74">
        <f t="shared" si="41"/>
        <v>0</v>
      </c>
      <c r="BC48" s="74">
        <f t="shared" si="41"/>
        <v>0</v>
      </c>
      <c r="BD48" s="74">
        <f t="shared" si="41"/>
        <v>0</v>
      </c>
      <c r="BE48" s="74">
        <f t="shared" si="4"/>
        <v>0</v>
      </c>
      <c r="BF48" s="74">
        <f t="shared" si="5"/>
        <v>0</v>
      </c>
      <c r="BG48" s="74">
        <f t="shared" si="6"/>
        <v>0</v>
      </c>
      <c r="BH48" s="21">
        <f t="shared" si="7"/>
        <v>0</v>
      </c>
      <c r="BI48" s="80"/>
    </row>
    <row r="49" spans="1:61" ht="14.25" customHeight="1">
      <c r="A49" s="72" t="s">
        <v>116</v>
      </c>
      <c r="B49" s="2" t="str">
        <f>IFERROR(VLOOKUP(A49,'Tabela de Produtos'!A:B,2,0),"Preencher Cód. Produto")</f>
        <v>BRAZIMIL LÁTEX ECONÔMICO INT/EXT SEMIBRILHO 3L AMARELO IPE</v>
      </c>
      <c r="C49" s="2"/>
      <c r="D49" s="73" t="s">
        <v>66</v>
      </c>
      <c r="E49" s="73"/>
      <c r="F49" s="74" t="str">
        <f>IF(A49=0,0,VLOOKUP(A49,'Tabela de Produtos'!A:W,23,0))</f>
        <v>Cadastrar Ficha de Produção</v>
      </c>
      <c r="G49" s="74">
        <v>0</v>
      </c>
      <c r="H49" s="76">
        <v>1</v>
      </c>
      <c r="I49" s="74">
        <f t="shared" si="1"/>
        <v>0</v>
      </c>
      <c r="J49" s="77">
        <f>VLOOKUP(B49,'Tabela de Produtos'!B:M,12,FALSE())</f>
        <v>0</v>
      </c>
      <c r="K49" s="74"/>
      <c r="L49" s="74"/>
      <c r="M49" s="74"/>
      <c r="N49" s="81"/>
      <c r="O49" s="74"/>
      <c r="P49" s="74"/>
      <c r="Q49" s="74"/>
      <c r="R49" s="81"/>
      <c r="S49" s="74"/>
      <c r="T49" s="74"/>
      <c r="U49" s="74"/>
      <c r="V49" s="74"/>
      <c r="W49" s="81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7"/>
      <c r="AY49" s="77">
        <f t="shared" si="2"/>
        <v>0</v>
      </c>
      <c r="AZ49" s="79">
        <f>IFERROR(H49*VLOOKUP(A49,'Tabela de Produtos'!A:Q,17,0),0)</f>
        <v>0</v>
      </c>
      <c r="BA49" s="74">
        <f t="shared" si="41"/>
        <v>0</v>
      </c>
      <c r="BB49" s="74">
        <f t="shared" si="41"/>
        <v>0</v>
      </c>
      <c r="BC49" s="74">
        <f t="shared" si="41"/>
        <v>0</v>
      </c>
      <c r="BD49" s="74">
        <f t="shared" si="41"/>
        <v>0</v>
      </c>
      <c r="BE49" s="74">
        <f t="shared" si="4"/>
        <v>0</v>
      </c>
      <c r="BF49" s="74">
        <f t="shared" si="5"/>
        <v>0</v>
      </c>
      <c r="BG49" s="74">
        <f t="shared" si="6"/>
        <v>0</v>
      </c>
      <c r="BH49" s="21">
        <f t="shared" si="7"/>
        <v>0</v>
      </c>
      <c r="BI49" s="80"/>
    </row>
    <row r="50" spans="1:61" ht="14.25" customHeight="1">
      <c r="A50" s="72" t="s">
        <v>117</v>
      </c>
      <c r="B50" s="2" t="str">
        <f>IFERROR(VLOOKUP(A50,'Tabela de Produtos'!A:B,2,0),"Preencher Cód. Produto")</f>
        <v>BRAZIMIL LÁTEX ECONÔMICO INT/EXT SEMIBRILHO 3L DAMASCO</v>
      </c>
      <c r="C50" s="2"/>
      <c r="D50" s="73" t="s">
        <v>66</v>
      </c>
      <c r="E50" s="73"/>
      <c r="F50" s="74" t="str">
        <f>IF(A50=0,0,VLOOKUP(A50,'Tabela de Produtos'!A:W,23,0))</f>
        <v>Cadastrar Ficha de Produção</v>
      </c>
      <c r="G50" s="74">
        <v>0</v>
      </c>
      <c r="H50" s="76">
        <v>1</v>
      </c>
      <c r="I50" s="74">
        <f t="shared" si="1"/>
        <v>0</v>
      </c>
      <c r="J50" s="77">
        <f>VLOOKUP(B50,'Tabela de Produtos'!B:M,12,FALSE())</f>
        <v>0</v>
      </c>
      <c r="K50" s="74"/>
      <c r="L50" s="74"/>
      <c r="M50" s="74"/>
      <c r="N50" s="81"/>
      <c r="O50" s="74"/>
      <c r="P50" s="74"/>
      <c r="Q50" s="74"/>
      <c r="R50" s="81"/>
      <c r="S50" s="74"/>
      <c r="T50" s="74"/>
      <c r="U50" s="74"/>
      <c r="V50" s="74"/>
      <c r="W50" s="81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7"/>
      <c r="AY50" s="77">
        <f t="shared" si="2"/>
        <v>0</v>
      </c>
      <c r="AZ50" s="79">
        <f>IFERROR(H50*VLOOKUP(A50,'Tabela de Produtos'!A:Q,17,0),0)</f>
        <v>0</v>
      </c>
      <c r="BA50" s="74">
        <f t="shared" si="41"/>
        <v>0</v>
      </c>
      <c r="BB50" s="74">
        <f t="shared" si="41"/>
        <v>0</v>
      </c>
      <c r="BC50" s="74">
        <f t="shared" si="41"/>
        <v>0</v>
      </c>
      <c r="BD50" s="74">
        <f t="shared" si="41"/>
        <v>0</v>
      </c>
      <c r="BE50" s="74">
        <f t="shared" si="4"/>
        <v>0</v>
      </c>
      <c r="BF50" s="74">
        <f t="shared" si="5"/>
        <v>0</v>
      </c>
      <c r="BG50" s="74">
        <f t="shared" si="6"/>
        <v>0</v>
      </c>
      <c r="BH50" s="21">
        <f t="shared" si="7"/>
        <v>0</v>
      </c>
      <c r="BI50" s="80"/>
    </row>
    <row r="51" spans="1:61" ht="14.25" customHeight="1">
      <c r="A51" s="72" t="s">
        <v>118</v>
      </c>
      <c r="B51" s="2" t="str">
        <f>IFERROR(VLOOKUP(A51,'Tabela de Produtos'!A:B,2,0),"Preencher Cód. Produto")</f>
        <v>BRAZIMIL LÁTEX ECONÔMICO INT/EXT SEMIBRILHO 3L PEROLA</v>
      </c>
      <c r="C51" s="2"/>
      <c r="D51" s="73" t="s">
        <v>66</v>
      </c>
      <c r="E51" s="73"/>
      <c r="F51" s="74" t="str">
        <f>IF(A51=0,0,VLOOKUP(A51,'Tabela de Produtos'!A:W,23,0))</f>
        <v>Cadastrar Ficha de Produção</v>
      </c>
      <c r="G51" s="74">
        <v>0</v>
      </c>
      <c r="H51" s="76">
        <v>1</v>
      </c>
      <c r="I51" s="74">
        <f t="shared" si="1"/>
        <v>0</v>
      </c>
      <c r="J51" s="77">
        <f>VLOOKUP(B51,'Tabela de Produtos'!B:M,12,FALSE())</f>
        <v>0</v>
      </c>
      <c r="K51" s="74"/>
      <c r="L51" s="74"/>
      <c r="M51" s="74"/>
      <c r="N51" s="81"/>
      <c r="O51" s="74"/>
      <c r="P51" s="74"/>
      <c r="Q51" s="74"/>
      <c r="R51" s="81"/>
      <c r="S51" s="74"/>
      <c r="T51" s="74"/>
      <c r="U51" s="74"/>
      <c r="V51" s="74"/>
      <c r="W51" s="81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7"/>
      <c r="AY51" s="77">
        <f t="shared" si="2"/>
        <v>0</v>
      </c>
      <c r="AZ51" s="79">
        <f>IFERROR(H51*VLOOKUP(A51,'Tabela de Produtos'!A:Q,17,0),0)</f>
        <v>0</v>
      </c>
      <c r="BA51" s="74">
        <f t="shared" si="41"/>
        <v>0</v>
      </c>
      <c r="BB51" s="74">
        <f t="shared" si="41"/>
        <v>0</v>
      </c>
      <c r="BC51" s="74">
        <f t="shared" si="41"/>
        <v>0</v>
      </c>
      <c r="BD51" s="74">
        <f t="shared" si="41"/>
        <v>0</v>
      </c>
      <c r="BE51" s="74">
        <f t="shared" si="4"/>
        <v>0</v>
      </c>
      <c r="BF51" s="74">
        <f t="shared" si="5"/>
        <v>0</v>
      </c>
      <c r="BG51" s="74">
        <f t="shared" si="6"/>
        <v>0</v>
      </c>
      <c r="BH51" s="21">
        <f t="shared" si="7"/>
        <v>0</v>
      </c>
      <c r="BI51" s="80"/>
    </row>
    <row r="52" spans="1:61" ht="14.25" customHeight="1">
      <c r="A52" s="72" t="s">
        <v>119</v>
      </c>
      <c r="B52" s="2" t="str">
        <f>IFERROR(VLOOKUP(A52,'Tabela de Produtos'!A:B,2,0),"Preencher Cód. Produto")</f>
        <v>BRAZIMIL LÁTEX ECONÔMICO INT FOSCO 15L BRANCO NEVE</v>
      </c>
      <c r="C52" s="2"/>
      <c r="D52" s="73" t="s">
        <v>40</v>
      </c>
      <c r="E52" s="73">
        <v>28</v>
      </c>
      <c r="F52" s="74">
        <f>IF(A52=0,0,VLOOKUP(A52,'Tabela de Produtos'!A:W,23,0))</f>
        <v>35.699999999999996</v>
      </c>
      <c r="G52" s="75">
        <v>60</v>
      </c>
      <c r="H52" s="76">
        <v>1</v>
      </c>
      <c r="I52" s="74">
        <f t="shared" si="1"/>
        <v>60</v>
      </c>
      <c r="J52" s="77">
        <f>VLOOKUP(B52,'Tabela de Produtos'!B:M,12,FALSE())</f>
        <v>18.150000000000002</v>
      </c>
      <c r="K52" s="77">
        <f>VLOOKUP(B52,'Tabela de Produtos'!B:P,15,FALSE())</f>
        <v>4.6500000000000004</v>
      </c>
      <c r="L52" s="77">
        <f t="shared" ref="L52:L66" si="42">J52*1%</f>
        <v>0.18150000000000002</v>
      </c>
      <c r="M52" s="77">
        <f t="shared" ref="M52:M66" si="43">J52*1%</f>
        <v>0.18150000000000002</v>
      </c>
      <c r="N52" s="78">
        <f t="shared" ref="N52:N66" si="44">J52+K52+L52+M52</f>
        <v>23.163000000000004</v>
      </c>
      <c r="O52" s="77">
        <f t="shared" ref="O52:O66" si="45">($O$12/E52)*$O$13</f>
        <v>1.2928571428571429</v>
      </c>
      <c r="P52" s="77">
        <f t="shared" ref="P52:P66" si="46">($P$12/E52)*$P$13</f>
        <v>1.0103571428571427</v>
      </c>
      <c r="Q52" s="77">
        <f t="shared" ref="Q52:Q66" si="47">($Q$12/E52)*$Q$13</f>
        <v>1.0103571428571427</v>
      </c>
      <c r="R52" s="78">
        <f t="shared" ref="R52:R66" si="48">O52+P52+Q52</f>
        <v>3.3135714285714286</v>
      </c>
      <c r="S52" s="77">
        <f>VLOOKUP(B52,'Tabela de Produtos'!B:N,13,FALSE())</f>
        <v>8.61</v>
      </c>
      <c r="T52" s="74">
        <f t="shared" ref="T52:T66" si="49">$T$12/$T$8</f>
        <v>0.69444444444444442</v>
      </c>
      <c r="U52" s="77">
        <f t="shared" ref="U52:U66" si="50">$U$12/$U$8</f>
        <v>1.1944444444444444</v>
      </c>
      <c r="V52" s="74">
        <f t="shared" ref="V52:V66" si="51">$V$12/$V$8</f>
        <v>0.33333333333333331</v>
      </c>
      <c r="W52" s="78">
        <f t="shared" ref="W52:W66" si="52">S52+T52+U52+V52</f>
        <v>10.832222222222223</v>
      </c>
      <c r="X52" s="77">
        <f t="shared" ref="X52:X66" si="53">(N52+R52+W52)*1%</f>
        <v>0.37308793650793654</v>
      </c>
      <c r="Y52" s="77">
        <f t="shared" ref="Y52:Y66" si="54">X52</f>
        <v>0.37308793650793654</v>
      </c>
      <c r="Z52" s="77">
        <f t="shared" ref="Z52:Z66" si="55">$Z$12/E52</f>
        <v>2.9642857142857141E-2</v>
      </c>
      <c r="AA52" s="77">
        <f t="shared" ref="AA52:AA66" si="56">$AA$12/E52</f>
        <v>0.74404761904761896</v>
      </c>
      <c r="AB52" s="77">
        <f t="shared" ref="AB52:AB66" si="57">$AB$12/E52</f>
        <v>0.70684523809523814</v>
      </c>
      <c r="AC52" s="77">
        <f t="shared" ref="AC52:AC66" si="58">$AC$12/E52</f>
        <v>0</v>
      </c>
      <c r="AD52" s="77">
        <f t="shared" ref="AD52:AD66" si="59">Z52+AA52+AB52+AC52</f>
        <v>1.4805357142857143</v>
      </c>
      <c r="AE52" s="77">
        <f t="shared" ref="AE52:AE66" si="60">(AD52+Y52+W52+R52+N52)*$AE$7</f>
        <v>9.790604325396826</v>
      </c>
      <c r="AF52" s="77">
        <f t="shared" ref="AF52:AF66" si="61">AE52</f>
        <v>9.790604325396826</v>
      </c>
      <c r="AG52" s="74"/>
      <c r="AH52" s="74"/>
      <c r="AI52" s="74"/>
      <c r="AJ52" s="74"/>
      <c r="AK52" s="74"/>
      <c r="AL52" s="77">
        <f t="shared" ref="AL52:AL66" si="62">(AD52+Y52+W52+R52+N52)*$AL$7</f>
        <v>0</v>
      </c>
      <c r="AM52" s="77">
        <f t="shared" ref="AM52:AM66" si="63">AL52+AF52+AD52+Y52+W52+R52+N52</f>
        <v>48.953021626984132</v>
      </c>
      <c r="AN52" s="77">
        <f t="shared" ref="AN52:AN66" si="64">AM52*$AN$12</f>
        <v>0.58743625952380962</v>
      </c>
      <c r="AO52" s="77">
        <f t="shared" ref="AO52:AO66" si="65">AM52*$AO$12</f>
        <v>0.52869263357142871</v>
      </c>
      <c r="AP52" s="77">
        <f t="shared" ref="AP52:AP66" si="66">AO52+AN52</f>
        <v>1.1161288930952384</v>
      </c>
      <c r="AQ52" s="77">
        <f t="shared" ref="AQ52:AQ66" si="67">AM52*$AQ$12</f>
        <v>4.0875773058531752</v>
      </c>
      <c r="AR52" s="77">
        <f t="shared" ref="AR52:AR66" si="68">AM52*$AR$12</f>
        <v>0</v>
      </c>
      <c r="AS52" s="77">
        <f t="shared" ref="AS52:AS66" si="69">AM52*$AS$12</f>
        <v>0</v>
      </c>
      <c r="AT52" s="77">
        <f t="shared" ref="AT52:AT66" si="70">AQ52+AR52+AS52</f>
        <v>4.0875773058531752</v>
      </c>
      <c r="AU52" s="77">
        <f t="shared" ref="AU52:AU66" si="71">AM52*$AU$12</f>
        <v>2.4476510813492069</v>
      </c>
      <c r="AV52" s="77">
        <f t="shared" ref="AV52:AV66" si="72">AU52</f>
        <v>2.4476510813492069</v>
      </c>
      <c r="AW52" s="77">
        <f t="shared" ref="AW52:AW66" si="73">AM52+AP52+AT52+AV52</f>
        <v>56.604378907281749</v>
      </c>
      <c r="AX52" s="21">
        <f t="shared" ref="AX52:AX66" si="74">AY52/AW52</f>
        <v>5.9988664450859805E-2</v>
      </c>
      <c r="AY52" s="77">
        <f t="shared" si="2"/>
        <v>3.3956210927182511</v>
      </c>
      <c r="AZ52" s="79">
        <f>IFERROR(H52*VLOOKUP(A52,'Tabela de Produtos'!A:Q,17,0),0)</f>
        <v>31.410000000000004</v>
      </c>
      <c r="BA52" s="74">
        <f t="shared" si="41"/>
        <v>0</v>
      </c>
      <c r="BB52" s="74">
        <f t="shared" si="41"/>
        <v>0</v>
      </c>
      <c r="BC52" s="74">
        <f t="shared" si="41"/>
        <v>0</v>
      </c>
      <c r="BD52" s="74">
        <f t="shared" si="41"/>
        <v>4.2</v>
      </c>
      <c r="BE52" s="74">
        <f t="shared" si="4"/>
        <v>3</v>
      </c>
      <c r="BF52" s="74">
        <f t="shared" si="5"/>
        <v>38.610000000000007</v>
      </c>
      <c r="BG52" s="74">
        <f t="shared" si="6"/>
        <v>21.389999999999993</v>
      </c>
      <c r="BH52" s="21">
        <f t="shared" si="7"/>
        <v>0.35649999999999987</v>
      </c>
      <c r="BI52" s="80"/>
    </row>
    <row r="53" spans="1:61" ht="14.25" customHeight="1">
      <c r="A53" s="72" t="s">
        <v>120</v>
      </c>
      <c r="B53" s="2" t="str">
        <f>IFERROR(VLOOKUP(A53,'Tabela de Produtos'!A:B,2,0),"Preencher Cód. Produto")</f>
        <v>BRAZIMIL LÁTEX ECONÔMICO INT FOSCO 15L BRANCO GELO</v>
      </c>
      <c r="C53" s="2"/>
      <c r="D53" s="73" t="s">
        <v>40</v>
      </c>
      <c r="E53" s="73">
        <v>28</v>
      </c>
      <c r="F53" s="74">
        <f>IF(A53=0,0,VLOOKUP(A53,'Tabela de Produtos'!A:W,23,0))</f>
        <v>42.18</v>
      </c>
      <c r="G53" s="75">
        <v>60</v>
      </c>
      <c r="H53" s="76">
        <v>1</v>
      </c>
      <c r="I53" s="74">
        <f t="shared" si="1"/>
        <v>60</v>
      </c>
      <c r="J53" s="77">
        <f>VLOOKUP(B53,'Tabela de Produtos'!B:M,12,FALSE())</f>
        <v>23.849999999999998</v>
      </c>
      <c r="K53" s="77">
        <f>VLOOKUP(B53,'Tabela de Produtos'!B:P,15,FALSE())</f>
        <v>4.6500000000000004</v>
      </c>
      <c r="L53" s="77">
        <f t="shared" si="42"/>
        <v>0.23849999999999999</v>
      </c>
      <c r="M53" s="77">
        <f t="shared" si="43"/>
        <v>0.23849999999999999</v>
      </c>
      <c r="N53" s="78">
        <f t="shared" si="44"/>
        <v>28.976999999999997</v>
      </c>
      <c r="O53" s="77">
        <f t="shared" si="45"/>
        <v>1.2928571428571429</v>
      </c>
      <c r="P53" s="77">
        <f t="shared" si="46"/>
        <v>1.0103571428571427</v>
      </c>
      <c r="Q53" s="77">
        <f t="shared" si="47"/>
        <v>1.0103571428571427</v>
      </c>
      <c r="R53" s="78">
        <f t="shared" si="48"/>
        <v>3.3135714285714286</v>
      </c>
      <c r="S53" s="77">
        <f>VLOOKUP(B53,'Tabela de Produtos'!B:N,13,FALSE())</f>
        <v>8.61</v>
      </c>
      <c r="T53" s="74">
        <f t="shared" si="49"/>
        <v>0.69444444444444442</v>
      </c>
      <c r="U53" s="77">
        <f t="shared" si="50"/>
        <v>1.1944444444444444</v>
      </c>
      <c r="V53" s="74">
        <f t="shared" si="51"/>
        <v>0.33333333333333331</v>
      </c>
      <c r="W53" s="78">
        <f t="shared" si="52"/>
        <v>10.832222222222223</v>
      </c>
      <c r="X53" s="77">
        <f t="shared" si="53"/>
        <v>0.43122793650793645</v>
      </c>
      <c r="Y53" s="77">
        <f t="shared" si="54"/>
        <v>0.43122793650793645</v>
      </c>
      <c r="Z53" s="77">
        <f t="shared" si="55"/>
        <v>2.9642857142857141E-2</v>
      </c>
      <c r="AA53" s="77">
        <f t="shared" si="56"/>
        <v>0.74404761904761896</v>
      </c>
      <c r="AB53" s="77">
        <f t="shared" si="57"/>
        <v>0.70684523809523814</v>
      </c>
      <c r="AC53" s="77">
        <f t="shared" si="58"/>
        <v>0</v>
      </c>
      <c r="AD53" s="77">
        <f t="shared" si="59"/>
        <v>1.4805357142857143</v>
      </c>
      <c r="AE53" s="77">
        <f t="shared" si="60"/>
        <v>11.258639325396825</v>
      </c>
      <c r="AF53" s="77">
        <f t="shared" si="61"/>
        <v>11.258639325396825</v>
      </c>
      <c r="AG53" s="74"/>
      <c r="AH53" s="74"/>
      <c r="AI53" s="74"/>
      <c r="AJ53" s="74"/>
      <c r="AK53" s="74"/>
      <c r="AL53" s="77">
        <f t="shared" si="62"/>
        <v>0</v>
      </c>
      <c r="AM53" s="77">
        <f t="shared" si="63"/>
        <v>56.293196626984127</v>
      </c>
      <c r="AN53" s="77">
        <f t="shared" si="64"/>
        <v>0.67551835952380956</v>
      </c>
      <c r="AO53" s="77">
        <f t="shared" si="65"/>
        <v>0.60796652357142855</v>
      </c>
      <c r="AP53" s="77">
        <f t="shared" si="66"/>
        <v>1.2834848830952381</v>
      </c>
      <c r="AQ53" s="77">
        <f t="shared" si="67"/>
        <v>4.7004819183531747</v>
      </c>
      <c r="AR53" s="77">
        <f t="shared" si="68"/>
        <v>0</v>
      </c>
      <c r="AS53" s="77">
        <f t="shared" si="69"/>
        <v>0</v>
      </c>
      <c r="AT53" s="77">
        <f t="shared" si="70"/>
        <v>4.7004819183531747</v>
      </c>
      <c r="AU53" s="77">
        <f t="shared" si="71"/>
        <v>2.8146598313492066</v>
      </c>
      <c r="AV53" s="77">
        <f t="shared" si="72"/>
        <v>2.8146598313492066</v>
      </c>
      <c r="AW53" s="77">
        <f t="shared" si="73"/>
        <v>65.091823259781748</v>
      </c>
      <c r="AX53" s="21">
        <f t="shared" si="74"/>
        <v>-7.8225236362795672E-2</v>
      </c>
      <c r="AY53" s="77">
        <f t="shared" si="2"/>
        <v>-5.0918232597817479</v>
      </c>
      <c r="AZ53" s="79">
        <f>IFERROR(H53*VLOOKUP(A53,'Tabela de Produtos'!A:Q,17,0),0)</f>
        <v>37.109999999999992</v>
      </c>
      <c r="BA53" s="74">
        <f t="shared" si="41"/>
        <v>0</v>
      </c>
      <c r="BB53" s="74">
        <f t="shared" si="41"/>
        <v>0</v>
      </c>
      <c r="BC53" s="74">
        <f t="shared" si="41"/>
        <v>0</v>
      </c>
      <c r="BD53" s="74">
        <f t="shared" si="41"/>
        <v>4.2</v>
      </c>
      <c r="BE53" s="74">
        <f t="shared" si="4"/>
        <v>3</v>
      </c>
      <c r="BF53" s="74">
        <f t="shared" si="5"/>
        <v>44.309999999999995</v>
      </c>
      <c r="BG53" s="74">
        <f t="shared" si="6"/>
        <v>15.690000000000005</v>
      </c>
      <c r="BH53" s="21">
        <f t="shared" si="7"/>
        <v>0.26150000000000007</v>
      </c>
      <c r="BI53" s="80"/>
    </row>
    <row r="54" spans="1:61" ht="14.25" customHeight="1">
      <c r="A54" s="72" t="s">
        <v>121</v>
      </c>
      <c r="B54" s="2" t="str">
        <f>IFERROR(VLOOKUP(A54,'Tabela de Produtos'!A:B,2,0),"Preencher Cód. Produto")</f>
        <v>BRAZIMIL LÁTEX ECONÔMICO INT FOSCO 15L AREIA</v>
      </c>
      <c r="C54" s="2"/>
      <c r="D54" s="73" t="s">
        <v>40</v>
      </c>
      <c r="E54" s="73">
        <v>28</v>
      </c>
      <c r="F54" s="74">
        <f>IF(A54=0,0,VLOOKUP(A54,'Tabela de Produtos'!A:W,23,0))</f>
        <v>44.559999999999995</v>
      </c>
      <c r="G54" s="75">
        <v>60</v>
      </c>
      <c r="H54" s="76">
        <v>1</v>
      </c>
      <c r="I54" s="74">
        <f t="shared" si="1"/>
        <v>60</v>
      </c>
      <c r="J54" s="77">
        <f>VLOOKUP(B54,'Tabela de Produtos'!B:M,12,FALSE())</f>
        <v>25.950000000000003</v>
      </c>
      <c r="K54" s="77">
        <f>VLOOKUP(B54,'Tabela de Produtos'!B:P,15,FALSE())</f>
        <v>4.6500000000000004</v>
      </c>
      <c r="L54" s="77">
        <f t="shared" si="42"/>
        <v>0.25950000000000001</v>
      </c>
      <c r="M54" s="77">
        <f t="shared" si="43"/>
        <v>0.25950000000000001</v>
      </c>
      <c r="N54" s="78">
        <f t="shared" si="44"/>
        <v>31.119</v>
      </c>
      <c r="O54" s="77">
        <f t="shared" si="45"/>
        <v>1.2928571428571429</v>
      </c>
      <c r="P54" s="77">
        <f t="shared" si="46"/>
        <v>1.0103571428571427</v>
      </c>
      <c r="Q54" s="77">
        <f t="shared" si="47"/>
        <v>1.0103571428571427</v>
      </c>
      <c r="R54" s="78">
        <f t="shared" si="48"/>
        <v>3.3135714285714286</v>
      </c>
      <c r="S54" s="77">
        <f>VLOOKUP(B54,'Tabela de Produtos'!B:N,13,FALSE())</f>
        <v>8.61</v>
      </c>
      <c r="T54" s="74">
        <f t="shared" si="49"/>
        <v>0.69444444444444442</v>
      </c>
      <c r="U54" s="77">
        <f t="shared" si="50"/>
        <v>1.1944444444444444</v>
      </c>
      <c r="V54" s="74">
        <f t="shared" si="51"/>
        <v>0.33333333333333331</v>
      </c>
      <c r="W54" s="78">
        <f t="shared" si="52"/>
        <v>10.832222222222223</v>
      </c>
      <c r="X54" s="77">
        <f t="shared" si="53"/>
        <v>0.4526479365079365</v>
      </c>
      <c r="Y54" s="77">
        <f t="shared" si="54"/>
        <v>0.4526479365079365</v>
      </c>
      <c r="Z54" s="77">
        <f t="shared" si="55"/>
        <v>2.9642857142857141E-2</v>
      </c>
      <c r="AA54" s="77">
        <f t="shared" si="56"/>
        <v>0.74404761904761896</v>
      </c>
      <c r="AB54" s="77">
        <f t="shared" si="57"/>
        <v>0.70684523809523814</v>
      </c>
      <c r="AC54" s="77">
        <f t="shared" si="58"/>
        <v>0</v>
      </c>
      <c r="AD54" s="77">
        <f t="shared" si="59"/>
        <v>1.4805357142857143</v>
      </c>
      <c r="AE54" s="77">
        <f t="shared" si="60"/>
        <v>11.799494325396825</v>
      </c>
      <c r="AF54" s="77">
        <f t="shared" si="61"/>
        <v>11.799494325396825</v>
      </c>
      <c r="AG54" s="74"/>
      <c r="AH54" s="74"/>
      <c r="AI54" s="74"/>
      <c r="AJ54" s="74"/>
      <c r="AK54" s="74"/>
      <c r="AL54" s="77">
        <f t="shared" si="62"/>
        <v>0</v>
      </c>
      <c r="AM54" s="77">
        <f t="shared" si="63"/>
        <v>58.99747162698413</v>
      </c>
      <c r="AN54" s="77">
        <f t="shared" si="64"/>
        <v>0.70796965952380952</v>
      </c>
      <c r="AO54" s="77">
        <f t="shared" si="65"/>
        <v>0.63717269357142858</v>
      </c>
      <c r="AP54" s="77">
        <f t="shared" si="66"/>
        <v>1.345142353095238</v>
      </c>
      <c r="AQ54" s="77">
        <f t="shared" si="67"/>
        <v>4.9262888808531748</v>
      </c>
      <c r="AR54" s="77">
        <f t="shared" si="68"/>
        <v>0</v>
      </c>
      <c r="AS54" s="77">
        <f t="shared" si="69"/>
        <v>0</v>
      </c>
      <c r="AT54" s="77">
        <f t="shared" si="70"/>
        <v>4.9262888808531748</v>
      </c>
      <c r="AU54" s="77">
        <f t="shared" si="71"/>
        <v>2.9498735813492067</v>
      </c>
      <c r="AV54" s="77">
        <f t="shared" si="72"/>
        <v>2.9498735813492067</v>
      </c>
      <c r="AW54" s="77">
        <f t="shared" si="73"/>
        <v>68.218776442281751</v>
      </c>
      <c r="AX54" s="21">
        <f t="shared" si="74"/>
        <v>-0.12047674952416448</v>
      </c>
      <c r="AY54" s="77">
        <f t="shared" si="2"/>
        <v>-8.2187764422817509</v>
      </c>
      <c r="AZ54" s="79">
        <f>IFERROR(H54*VLOOKUP(A54,'Tabela de Produtos'!A:Q,17,0),0)</f>
        <v>39.21</v>
      </c>
      <c r="BA54" s="74">
        <f t="shared" ref="BA54:BD73" si="75">$I54*BA$12</f>
        <v>0</v>
      </c>
      <c r="BB54" s="74">
        <f t="shared" si="75"/>
        <v>0</v>
      </c>
      <c r="BC54" s="74">
        <f t="shared" si="75"/>
        <v>0</v>
      </c>
      <c r="BD54" s="74">
        <f t="shared" si="75"/>
        <v>4.2</v>
      </c>
      <c r="BE54" s="74">
        <f t="shared" si="4"/>
        <v>3</v>
      </c>
      <c r="BF54" s="74">
        <f t="shared" si="5"/>
        <v>46.410000000000004</v>
      </c>
      <c r="BG54" s="74">
        <f t="shared" si="6"/>
        <v>13.589999999999996</v>
      </c>
      <c r="BH54" s="21">
        <f t="shared" si="7"/>
        <v>0.22649999999999995</v>
      </c>
      <c r="BI54" s="80"/>
    </row>
    <row r="55" spans="1:61" ht="14.25" customHeight="1">
      <c r="A55" s="72" t="s">
        <v>122</v>
      </c>
      <c r="B55" s="2" t="str">
        <f>IFERROR(VLOOKUP(A55,'Tabela de Produtos'!A:B,2,0),"Preencher Cód. Produto")</f>
        <v>BRAZIMIL LÁTEX ECONÔMICO INT FOSCO 15L PALHA</v>
      </c>
      <c r="C55" s="2"/>
      <c r="D55" s="73" t="s">
        <v>40</v>
      </c>
      <c r="E55" s="73">
        <v>28</v>
      </c>
      <c r="F55" s="74">
        <f>IF(A55=0,0,VLOOKUP(A55,'Tabela de Produtos'!A:W,23,0))</f>
        <v>43.03</v>
      </c>
      <c r="G55" s="75">
        <v>60</v>
      </c>
      <c r="H55" s="76">
        <v>1</v>
      </c>
      <c r="I55" s="74">
        <f t="shared" si="1"/>
        <v>60</v>
      </c>
      <c r="J55" s="77">
        <f>VLOOKUP(B55,'Tabela de Produtos'!B:M,12,FALSE())</f>
        <v>24.599999999999998</v>
      </c>
      <c r="K55" s="77">
        <f>VLOOKUP(B55,'Tabela de Produtos'!B:P,15,FALSE())</f>
        <v>4.6500000000000004</v>
      </c>
      <c r="L55" s="77">
        <f t="shared" si="42"/>
        <v>0.246</v>
      </c>
      <c r="M55" s="77">
        <f t="shared" si="43"/>
        <v>0.246</v>
      </c>
      <c r="N55" s="78">
        <f t="shared" si="44"/>
        <v>29.741999999999997</v>
      </c>
      <c r="O55" s="77">
        <f t="shared" si="45"/>
        <v>1.2928571428571429</v>
      </c>
      <c r="P55" s="77">
        <f t="shared" si="46"/>
        <v>1.0103571428571427</v>
      </c>
      <c r="Q55" s="77">
        <f t="shared" si="47"/>
        <v>1.0103571428571427</v>
      </c>
      <c r="R55" s="78">
        <f t="shared" si="48"/>
        <v>3.3135714285714286</v>
      </c>
      <c r="S55" s="77">
        <f>VLOOKUP(B55,'Tabela de Produtos'!B:N,13,FALSE())</f>
        <v>8.61</v>
      </c>
      <c r="T55" s="74">
        <f t="shared" si="49"/>
        <v>0.69444444444444442</v>
      </c>
      <c r="U55" s="77">
        <f t="shared" si="50"/>
        <v>1.1944444444444444</v>
      </c>
      <c r="V55" s="74">
        <f t="shared" si="51"/>
        <v>0.33333333333333331</v>
      </c>
      <c r="W55" s="78">
        <f t="shared" si="52"/>
        <v>10.832222222222223</v>
      </c>
      <c r="X55" s="77">
        <f t="shared" si="53"/>
        <v>0.43887793650793649</v>
      </c>
      <c r="Y55" s="77">
        <f t="shared" si="54"/>
        <v>0.43887793650793649</v>
      </c>
      <c r="Z55" s="77">
        <f t="shared" si="55"/>
        <v>2.9642857142857141E-2</v>
      </c>
      <c r="AA55" s="77">
        <f t="shared" si="56"/>
        <v>0.74404761904761896</v>
      </c>
      <c r="AB55" s="77">
        <f t="shared" si="57"/>
        <v>0.70684523809523814</v>
      </c>
      <c r="AC55" s="77">
        <f t="shared" si="58"/>
        <v>0</v>
      </c>
      <c r="AD55" s="77">
        <f t="shared" si="59"/>
        <v>1.4805357142857143</v>
      </c>
      <c r="AE55" s="77">
        <f t="shared" si="60"/>
        <v>11.451801825396824</v>
      </c>
      <c r="AF55" s="77">
        <f t="shared" si="61"/>
        <v>11.451801825396824</v>
      </c>
      <c r="AG55" s="74"/>
      <c r="AH55" s="74"/>
      <c r="AI55" s="74"/>
      <c r="AJ55" s="74"/>
      <c r="AK55" s="74"/>
      <c r="AL55" s="77">
        <f t="shared" si="62"/>
        <v>0</v>
      </c>
      <c r="AM55" s="77">
        <f t="shared" si="63"/>
        <v>57.259009126984125</v>
      </c>
      <c r="AN55" s="77">
        <f t="shared" si="64"/>
        <v>0.68710810952380952</v>
      </c>
      <c r="AO55" s="77">
        <f t="shared" si="65"/>
        <v>0.61839729857142856</v>
      </c>
      <c r="AP55" s="77">
        <f t="shared" si="66"/>
        <v>1.3055054080952382</v>
      </c>
      <c r="AQ55" s="77">
        <f t="shared" si="67"/>
        <v>4.7811272621031744</v>
      </c>
      <c r="AR55" s="77">
        <f t="shared" si="68"/>
        <v>0</v>
      </c>
      <c r="AS55" s="77">
        <f t="shared" si="69"/>
        <v>0</v>
      </c>
      <c r="AT55" s="77">
        <f t="shared" si="70"/>
        <v>4.7811272621031744</v>
      </c>
      <c r="AU55" s="77">
        <f t="shared" si="71"/>
        <v>2.8629504563492065</v>
      </c>
      <c r="AV55" s="77">
        <f t="shared" si="72"/>
        <v>2.8629504563492065</v>
      </c>
      <c r="AW55" s="77">
        <f t="shared" si="73"/>
        <v>66.208592253531748</v>
      </c>
      <c r="AX55" s="21">
        <f t="shared" si="74"/>
        <v>-9.3773210427994941E-2</v>
      </c>
      <c r="AY55" s="77">
        <f t="shared" si="2"/>
        <v>-6.2085922535317479</v>
      </c>
      <c r="AZ55" s="79">
        <f>IFERROR(H55*VLOOKUP(A55,'Tabela de Produtos'!A:Q,17,0),0)</f>
        <v>37.859999999999992</v>
      </c>
      <c r="BA55" s="74">
        <f t="shared" si="75"/>
        <v>0</v>
      </c>
      <c r="BB55" s="74">
        <f t="shared" si="75"/>
        <v>0</v>
      </c>
      <c r="BC55" s="74">
        <f t="shared" si="75"/>
        <v>0</v>
      </c>
      <c r="BD55" s="74">
        <f t="shared" si="75"/>
        <v>4.2</v>
      </c>
      <c r="BE55" s="74">
        <f t="shared" si="4"/>
        <v>3</v>
      </c>
      <c r="BF55" s="74">
        <f t="shared" si="5"/>
        <v>45.059999999999995</v>
      </c>
      <c r="BG55" s="74">
        <f t="shared" si="6"/>
        <v>14.940000000000005</v>
      </c>
      <c r="BH55" s="21">
        <f t="shared" si="7"/>
        <v>0.24900000000000008</v>
      </c>
      <c r="BI55" s="80"/>
    </row>
    <row r="56" spans="1:61" ht="14.25" customHeight="1">
      <c r="A56" s="72" t="s">
        <v>123</v>
      </c>
      <c r="B56" s="2" t="str">
        <f>IFERROR(VLOOKUP(A56,'Tabela de Produtos'!A:B,2,0),"Preencher Cód. Produto")</f>
        <v>BRAZIMIL LÁTEX ECONÔMICO INT FOSCO 15L VERDE PRIMAVERA</v>
      </c>
      <c r="C56" s="2"/>
      <c r="D56" s="73" t="s">
        <v>40</v>
      </c>
      <c r="E56" s="73">
        <v>28</v>
      </c>
      <c r="F56" s="74">
        <f>IF(A56=0,0,VLOOKUP(A56,'Tabela de Produtos'!A:W,23,0))</f>
        <v>47.8</v>
      </c>
      <c r="G56" s="75">
        <v>60</v>
      </c>
      <c r="H56" s="76">
        <v>1</v>
      </c>
      <c r="I56" s="74">
        <f t="shared" si="1"/>
        <v>60</v>
      </c>
      <c r="J56" s="77">
        <f>VLOOKUP(B56,'Tabela de Produtos'!B:M,12,FALSE())</f>
        <v>28.800000000000004</v>
      </c>
      <c r="K56" s="77">
        <f>VLOOKUP(B56,'Tabela de Produtos'!B:P,15,FALSE())</f>
        <v>4.6500000000000004</v>
      </c>
      <c r="L56" s="77">
        <f t="shared" si="42"/>
        <v>0.28800000000000003</v>
      </c>
      <c r="M56" s="77">
        <f t="shared" si="43"/>
        <v>0.28800000000000003</v>
      </c>
      <c r="N56" s="78">
        <f t="shared" si="44"/>
        <v>34.025999999999996</v>
      </c>
      <c r="O56" s="77">
        <f t="shared" si="45"/>
        <v>1.2928571428571429</v>
      </c>
      <c r="P56" s="77">
        <f t="shared" si="46"/>
        <v>1.0103571428571427</v>
      </c>
      <c r="Q56" s="77">
        <f t="shared" si="47"/>
        <v>1.0103571428571427</v>
      </c>
      <c r="R56" s="78">
        <f t="shared" si="48"/>
        <v>3.3135714285714286</v>
      </c>
      <c r="S56" s="77">
        <f>VLOOKUP(B56,'Tabela de Produtos'!B:N,13,FALSE())</f>
        <v>8.61</v>
      </c>
      <c r="T56" s="74">
        <f t="shared" si="49"/>
        <v>0.69444444444444442</v>
      </c>
      <c r="U56" s="77">
        <f t="shared" si="50"/>
        <v>1.1944444444444444</v>
      </c>
      <c r="V56" s="74">
        <f t="shared" si="51"/>
        <v>0.33333333333333331</v>
      </c>
      <c r="W56" s="78">
        <f t="shared" si="52"/>
        <v>10.832222222222223</v>
      </c>
      <c r="X56" s="77">
        <f t="shared" si="53"/>
        <v>0.48171793650793648</v>
      </c>
      <c r="Y56" s="77">
        <f t="shared" si="54"/>
        <v>0.48171793650793648</v>
      </c>
      <c r="Z56" s="77">
        <f t="shared" si="55"/>
        <v>2.9642857142857141E-2</v>
      </c>
      <c r="AA56" s="77">
        <f t="shared" si="56"/>
        <v>0.74404761904761896</v>
      </c>
      <c r="AB56" s="77">
        <f t="shared" si="57"/>
        <v>0.70684523809523814</v>
      </c>
      <c r="AC56" s="77">
        <f t="shared" si="58"/>
        <v>0</v>
      </c>
      <c r="AD56" s="77">
        <f t="shared" si="59"/>
        <v>1.4805357142857143</v>
      </c>
      <c r="AE56" s="77">
        <f t="shared" si="60"/>
        <v>12.533511825396825</v>
      </c>
      <c r="AF56" s="77">
        <f t="shared" si="61"/>
        <v>12.533511825396825</v>
      </c>
      <c r="AG56" s="74"/>
      <c r="AH56" s="74"/>
      <c r="AI56" s="74"/>
      <c r="AJ56" s="74"/>
      <c r="AK56" s="74"/>
      <c r="AL56" s="77">
        <f t="shared" si="62"/>
        <v>0</v>
      </c>
      <c r="AM56" s="77">
        <f t="shared" si="63"/>
        <v>62.667559126984123</v>
      </c>
      <c r="AN56" s="77">
        <f t="shared" si="64"/>
        <v>0.75201070952380955</v>
      </c>
      <c r="AO56" s="77">
        <f t="shared" si="65"/>
        <v>0.67680963857142862</v>
      </c>
      <c r="AP56" s="77">
        <f t="shared" si="66"/>
        <v>1.4288203480952382</v>
      </c>
      <c r="AQ56" s="77">
        <f t="shared" si="67"/>
        <v>5.2327411871031746</v>
      </c>
      <c r="AR56" s="77">
        <f t="shared" si="68"/>
        <v>0</v>
      </c>
      <c r="AS56" s="77">
        <f t="shared" si="69"/>
        <v>0</v>
      </c>
      <c r="AT56" s="77">
        <f t="shared" si="70"/>
        <v>5.2327411871031746</v>
      </c>
      <c r="AU56" s="77">
        <f t="shared" si="71"/>
        <v>3.1333779563492064</v>
      </c>
      <c r="AV56" s="77">
        <f t="shared" si="72"/>
        <v>3.1333779563492064</v>
      </c>
      <c r="AW56" s="77">
        <f t="shared" si="73"/>
        <v>72.46249861853174</v>
      </c>
      <c r="AX56" s="21">
        <f t="shared" si="74"/>
        <v>-0.17198549396065885</v>
      </c>
      <c r="AY56" s="77">
        <f t="shared" si="2"/>
        <v>-12.46249861853174</v>
      </c>
      <c r="AZ56" s="79">
        <f>IFERROR(H56*VLOOKUP(A56,'Tabela de Produtos'!A:Q,17,0),0)</f>
        <v>42.06</v>
      </c>
      <c r="BA56" s="74">
        <f t="shared" si="75"/>
        <v>0</v>
      </c>
      <c r="BB56" s="74">
        <f t="shared" si="75"/>
        <v>0</v>
      </c>
      <c r="BC56" s="74">
        <f t="shared" si="75"/>
        <v>0</v>
      </c>
      <c r="BD56" s="74">
        <f t="shared" si="75"/>
        <v>4.2</v>
      </c>
      <c r="BE56" s="74">
        <f t="shared" si="4"/>
        <v>3</v>
      </c>
      <c r="BF56" s="74">
        <f t="shared" si="5"/>
        <v>49.260000000000005</v>
      </c>
      <c r="BG56" s="74">
        <f t="shared" si="6"/>
        <v>10.739999999999995</v>
      </c>
      <c r="BH56" s="21">
        <f t="shared" si="7"/>
        <v>0.17899999999999991</v>
      </c>
      <c r="BI56" s="80"/>
    </row>
    <row r="57" spans="1:61" ht="14.25" customHeight="1">
      <c r="A57" s="72" t="s">
        <v>124</v>
      </c>
      <c r="B57" s="2" t="str">
        <f>IFERROR(VLOOKUP(A57,'Tabela de Produtos'!A:B,2,0),"Preencher Cód. Produto")</f>
        <v>BRAZIMIL LÁTEX ECONÔMICO INT FOSCO 15L VERDE FOLHA</v>
      </c>
      <c r="C57" s="2"/>
      <c r="D57" s="73" t="s">
        <v>40</v>
      </c>
      <c r="E57" s="73">
        <v>28</v>
      </c>
      <c r="F57" s="74">
        <f>IF(A57=0,0,VLOOKUP(A57,'Tabela de Produtos'!A:W,23,0))</f>
        <v>54.11</v>
      </c>
      <c r="G57" s="75">
        <v>60</v>
      </c>
      <c r="H57" s="76">
        <v>1</v>
      </c>
      <c r="I57" s="74">
        <f t="shared" si="1"/>
        <v>60</v>
      </c>
      <c r="J57" s="77">
        <f>VLOOKUP(B57,'Tabela de Produtos'!B:M,12,FALSE())</f>
        <v>34.35</v>
      </c>
      <c r="K57" s="77">
        <f>VLOOKUP(B57,'Tabela de Produtos'!B:P,15,FALSE())</f>
        <v>4.6500000000000004</v>
      </c>
      <c r="L57" s="77">
        <f t="shared" si="42"/>
        <v>0.34350000000000003</v>
      </c>
      <c r="M57" s="77">
        <f t="shared" si="43"/>
        <v>0.34350000000000003</v>
      </c>
      <c r="N57" s="78">
        <f t="shared" si="44"/>
        <v>39.686999999999998</v>
      </c>
      <c r="O57" s="77">
        <f t="shared" si="45"/>
        <v>1.2928571428571429</v>
      </c>
      <c r="P57" s="77">
        <f t="shared" si="46"/>
        <v>1.0103571428571427</v>
      </c>
      <c r="Q57" s="77">
        <f t="shared" si="47"/>
        <v>1.0103571428571427</v>
      </c>
      <c r="R57" s="78">
        <f t="shared" si="48"/>
        <v>3.3135714285714286</v>
      </c>
      <c r="S57" s="77">
        <f>VLOOKUP(B57,'Tabela de Produtos'!B:N,13,FALSE())</f>
        <v>8.61</v>
      </c>
      <c r="T57" s="74">
        <f t="shared" si="49"/>
        <v>0.69444444444444442</v>
      </c>
      <c r="U57" s="77">
        <f t="shared" si="50"/>
        <v>1.1944444444444444</v>
      </c>
      <c r="V57" s="74">
        <f t="shared" si="51"/>
        <v>0.33333333333333331</v>
      </c>
      <c r="W57" s="78">
        <f t="shared" si="52"/>
        <v>10.832222222222223</v>
      </c>
      <c r="X57" s="77">
        <f t="shared" si="53"/>
        <v>0.53832793650793653</v>
      </c>
      <c r="Y57" s="77">
        <f t="shared" si="54"/>
        <v>0.53832793650793653</v>
      </c>
      <c r="Z57" s="77">
        <f t="shared" si="55"/>
        <v>2.9642857142857141E-2</v>
      </c>
      <c r="AA57" s="77">
        <f t="shared" si="56"/>
        <v>0.74404761904761896</v>
      </c>
      <c r="AB57" s="77">
        <f t="shared" si="57"/>
        <v>0.70684523809523814</v>
      </c>
      <c r="AC57" s="77">
        <f t="shared" si="58"/>
        <v>0</v>
      </c>
      <c r="AD57" s="77">
        <f t="shared" si="59"/>
        <v>1.4805357142857143</v>
      </c>
      <c r="AE57" s="77">
        <f t="shared" si="60"/>
        <v>13.962914325396824</v>
      </c>
      <c r="AF57" s="77">
        <f t="shared" si="61"/>
        <v>13.962914325396824</v>
      </c>
      <c r="AG57" s="74"/>
      <c r="AH57" s="74"/>
      <c r="AI57" s="74"/>
      <c r="AJ57" s="74"/>
      <c r="AK57" s="74"/>
      <c r="AL57" s="77">
        <f t="shared" si="62"/>
        <v>0</v>
      </c>
      <c r="AM57" s="77">
        <f t="shared" si="63"/>
        <v>69.814571626984133</v>
      </c>
      <c r="AN57" s="77">
        <f t="shared" si="64"/>
        <v>0.83777485952380959</v>
      </c>
      <c r="AO57" s="77">
        <f t="shared" si="65"/>
        <v>0.75399737357142871</v>
      </c>
      <c r="AP57" s="77">
        <f t="shared" si="66"/>
        <v>1.5917722330952384</v>
      </c>
      <c r="AQ57" s="77">
        <f t="shared" si="67"/>
        <v>5.8295167308531752</v>
      </c>
      <c r="AR57" s="77">
        <f t="shared" si="68"/>
        <v>0</v>
      </c>
      <c r="AS57" s="77">
        <f t="shared" si="69"/>
        <v>0</v>
      </c>
      <c r="AT57" s="77">
        <f t="shared" si="70"/>
        <v>5.8295167308531752</v>
      </c>
      <c r="AU57" s="77">
        <f t="shared" si="71"/>
        <v>3.4907285813492068</v>
      </c>
      <c r="AV57" s="77">
        <f t="shared" si="72"/>
        <v>3.4907285813492068</v>
      </c>
      <c r="AW57" s="77">
        <f t="shared" si="73"/>
        <v>80.726589172281749</v>
      </c>
      <c r="AX57" s="21">
        <f t="shared" si="74"/>
        <v>-0.25675046332068274</v>
      </c>
      <c r="AY57" s="77">
        <f t="shared" si="2"/>
        <v>-20.726589172281749</v>
      </c>
      <c r="AZ57" s="79">
        <f>IFERROR(H57*VLOOKUP(A57,'Tabela de Produtos'!A:Q,17,0),0)</f>
        <v>47.61</v>
      </c>
      <c r="BA57" s="74">
        <f t="shared" si="75"/>
        <v>0</v>
      </c>
      <c r="BB57" s="74">
        <f t="shared" si="75"/>
        <v>0</v>
      </c>
      <c r="BC57" s="74">
        <f t="shared" si="75"/>
        <v>0</v>
      </c>
      <c r="BD57" s="74">
        <f t="shared" si="75"/>
        <v>4.2</v>
      </c>
      <c r="BE57" s="74">
        <f t="shared" si="4"/>
        <v>3</v>
      </c>
      <c r="BF57" s="74">
        <f t="shared" si="5"/>
        <v>54.81</v>
      </c>
      <c r="BG57" s="74">
        <f t="shared" si="6"/>
        <v>5.1899999999999977</v>
      </c>
      <c r="BH57" s="21">
        <f t="shared" si="7"/>
        <v>8.6499999999999966E-2</v>
      </c>
      <c r="BI57" s="80"/>
    </row>
    <row r="58" spans="1:61" ht="14.25" customHeight="1">
      <c r="A58" s="72" t="s">
        <v>125</v>
      </c>
      <c r="B58" s="2" t="str">
        <f>IFERROR(VLOOKUP(A58,'Tabela de Produtos'!A:B,2,0),"Preencher Cód. Produto")</f>
        <v>BRAZIMIL LÁTEX ECONÔMICO INT FOSCO 15L AZUL CEU</v>
      </c>
      <c r="C58" s="2"/>
      <c r="D58" s="73" t="s">
        <v>40</v>
      </c>
      <c r="E58" s="73">
        <v>28</v>
      </c>
      <c r="F58" s="74">
        <f>IF(A58=0,0,VLOOKUP(A58,'Tabela de Produtos'!A:W,23,0))</f>
        <v>42.69</v>
      </c>
      <c r="G58" s="75">
        <v>60</v>
      </c>
      <c r="H58" s="76">
        <v>1</v>
      </c>
      <c r="I58" s="74">
        <f t="shared" si="1"/>
        <v>60</v>
      </c>
      <c r="J58" s="77">
        <f>VLOOKUP(B58,'Tabela de Produtos'!B:M,12,FALSE())</f>
        <v>24.299999999999997</v>
      </c>
      <c r="K58" s="77">
        <f>VLOOKUP(B58,'Tabela de Produtos'!B:P,15,FALSE())</f>
        <v>4.6500000000000004</v>
      </c>
      <c r="L58" s="77">
        <f t="shared" si="42"/>
        <v>0.24299999999999997</v>
      </c>
      <c r="M58" s="77">
        <f t="shared" si="43"/>
        <v>0.24299999999999997</v>
      </c>
      <c r="N58" s="78">
        <f t="shared" si="44"/>
        <v>29.435999999999993</v>
      </c>
      <c r="O58" s="77">
        <f t="shared" si="45"/>
        <v>1.2928571428571429</v>
      </c>
      <c r="P58" s="77">
        <f t="shared" si="46"/>
        <v>1.0103571428571427</v>
      </c>
      <c r="Q58" s="77">
        <f t="shared" si="47"/>
        <v>1.0103571428571427</v>
      </c>
      <c r="R58" s="78">
        <f t="shared" si="48"/>
        <v>3.3135714285714286</v>
      </c>
      <c r="S58" s="77">
        <f>VLOOKUP(B58,'Tabela de Produtos'!B:N,13,FALSE())</f>
        <v>8.61</v>
      </c>
      <c r="T58" s="74">
        <f t="shared" si="49"/>
        <v>0.69444444444444442</v>
      </c>
      <c r="U58" s="77">
        <f t="shared" si="50"/>
        <v>1.1944444444444444</v>
      </c>
      <c r="V58" s="74">
        <f t="shared" si="51"/>
        <v>0.33333333333333331</v>
      </c>
      <c r="W58" s="78">
        <f t="shared" si="52"/>
        <v>10.832222222222223</v>
      </c>
      <c r="X58" s="77">
        <f t="shared" si="53"/>
        <v>0.43581793650793643</v>
      </c>
      <c r="Y58" s="77">
        <f t="shared" si="54"/>
        <v>0.43581793650793643</v>
      </c>
      <c r="Z58" s="77">
        <f t="shared" si="55"/>
        <v>2.9642857142857141E-2</v>
      </c>
      <c r="AA58" s="77">
        <f t="shared" si="56"/>
        <v>0.74404761904761896</v>
      </c>
      <c r="AB58" s="77">
        <f t="shared" si="57"/>
        <v>0.70684523809523814</v>
      </c>
      <c r="AC58" s="77">
        <f t="shared" si="58"/>
        <v>0</v>
      </c>
      <c r="AD58" s="77">
        <f t="shared" si="59"/>
        <v>1.4805357142857143</v>
      </c>
      <c r="AE58" s="77">
        <f t="shared" si="60"/>
        <v>11.374536825396824</v>
      </c>
      <c r="AF58" s="77">
        <f t="shared" si="61"/>
        <v>11.374536825396824</v>
      </c>
      <c r="AG58" s="74"/>
      <c r="AH58" s="74"/>
      <c r="AI58" s="74"/>
      <c r="AJ58" s="74"/>
      <c r="AK58" s="74"/>
      <c r="AL58" s="77">
        <f t="shared" si="62"/>
        <v>0</v>
      </c>
      <c r="AM58" s="77">
        <f t="shared" si="63"/>
        <v>56.872684126984119</v>
      </c>
      <c r="AN58" s="77">
        <f t="shared" si="64"/>
        <v>0.68247220952380949</v>
      </c>
      <c r="AO58" s="77">
        <f t="shared" si="65"/>
        <v>0.61422498857142849</v>
      </c>
      <c r="AP58" s="77">
        <f t="shared" si="66"/>
        <v>1.296697198095238</v>
      </c>
      <c r="AQ58" s="77">
        <f t="shared" si="67"/>
        <v>4.748869124603174</v>
      </c>
      <c r="AR58" s="77">
        <f t="shared" si="68"/>
        <v>0</v>
      </c>
      <c r="AS58" s="77">
        <f t="shared" si="69"/>
        <v>0</v>
      </c>
      <c r="AT58" s="77">
        <f t="shared" si="70"/>
        <v>4.748869124603174</v>
      </c>
      <c r="AU58" s="77">
        <f t="shared" si="71"/>
        <v>2.8436342063492059</v>
      </c>
      <c r="AV58" s="77">
        <f t="shared" si="72"/>
        <v>2.8436342063492059</v>
      </c>
      <c r="AW58" s="77">
        <f t="shared" si="73"/>
        <v>65.761884656031739</v>
      </c>
      <c r="AX58" s="21">
        <f t="shared" si="74"/>
        <v>-8.7617389406786927E-2</v>
      </c>
      <c r="AY58" s="77">
        <f t="shared" si="2"/>
        <v>-5.7618846560317394</v>
      </c>
      <c r="AZ58" s="79">
        <f>IFERROR(H58*VLOOKUP(A58,'Tabela de Produtos'!A:Q,17,0),0)</f>
        <v>37.559999999999995</v>
      </c>
      <c r="BA58" s="74">
        <f t="shared" si="75"/>
        <v>0</v>
      </c>
      <c r="BB58" s="74">
        <f t="shared" si="75"/>
        <v>0</v>
      </c>
      <c r="BC58" s="74">
        <f t="shared" si="75"/>
        <v>0</v>
      </c>
      <c r="BD58" s="74">
        <f t="shared" si="75"/>
        <v>4.2</v>
      </c>
      <c r="BE58" s="74">
        <f t="shared" si="4"/>
        <v>3</v>
      </c>
      <c r="BF58" s="74">
        <f t="shared" si="5"/>
        <v>44.76</v>
      </c>
      <c r="BG58" s="74">
        <f t="shared" si="6"/>
        <v>15.240000000000002</v>
      </c>
      <c r="BH58" s="21">
        <f t="shared" si="7"/>
        <v>0.25400000000000006</v>
      </c>
      <c r="BI58" s="80"/>
    </row>
    <row r="59" spans="1:61" ht="14.25" customHeight="1">
      <c r="A59" s="72" t="s">
        <v>126</v>
      </c>
      <c r="B59" s="2" t="str">
        <f>IFERROR(VLOOKUP(A59,'Tabela de Produtos'!A:B,2,0),"Preencher Cód. Produto")</f>
        <v>BRAZIMIL LÁTEX ECONÔMICO INT FOSCO 15L AZUL OCEANO</v>
      </c>
      <c r="C59" s="2"/>
      <c r="D59" s="73" t="s">
        <v>40</v>
      </c>
      <c r="E59" s="73">
        <v>28</v>
      </c>
      <c r="F59" s="74">
        <f>IF(A59=0,0,VLOOKUP(A59,'Tabela de Produtos'!A:W,23,0))</f>
        <v>49.33</v>
      </c>
      <c r="G59" s="75">
        <v>60</v>
      </c>
      <c r="H59" s="76">
        <v>1</v>
      </c>
      <c r="I59" s="74">
        <f t="shared" si="1"/>
        <v>60</v>
      </c>
      <c r="J59" s="77">
        <f>VLOOKUP(B59,'Tabela de Produtos'!B:M,12,FALSE())</f>
        <v>30.15</v>
      </c>
      <c r="K59" s="77">
        <f>VLOOKUP(B59,'Tabela de Produtos'!B:P,15,FALSE())</f>
        <v>4.6500000000000004</v>
      </c>
      <c r="L59" s="77">
        <f t="shared" si="42"/>
        <v>0.30149999999999999</v>
      </c>
      <c r="M59" s="77">
        <f t="shared" si="43"/>
        <v>0.30149999999999999</v>
      </c>
      <c r="N59" s="78">
        <f t="shared" si="44"/>
        <v>35.402999999999992</v>
      </c>
      <c r="O59" s="77">
        <f t="shared" si="45"/>
        <v>1.2928571428571429</v>
      </c>
      <c r="P59" s="77">
        <f t="shared" si="46"/>
        <v>1.0103571428571427</v>
      </c>
      <c r="Q59" s="77">
        <f t="shared" si="47"/>
        <v>1.0103571428571427</v>
      </c>
      <c r="R59" s="78">
        <f t="shared" si="48"/>
        <v>3.3135714285714286</v>
      </c>
      <c r="S59" s="77">
        <f>VLOOKUP(B59,'Tabela de Produtos'!B:N,13,FALSE())</f>
        <v>8.61</v>
      </c>
      <c r="T59" s="74">
        <f t="shared" si="49"/>
        <v>0.69444444444444442</v>
      </c>
      <c r="U59" s="77">
        <f t="shared" si="50"/>
        <v>1.1944444444444444</v>
      </c>
      <c r="V59" s="74">
        <f t="shared" si="51"/>
        <v>0.33333333333333331</v>
      </c>
      <c r="W59" s="78">
        <f t="shared" si="52"/>
        <v>10.832222222222223</v>
      </c>
      <c r="X59" s="77">
        <f t="shared" si="53"/>
        <v>0.49548793650793643</v>
      </c>
      <c r="Y59" s="77">
        <f t="shared" si="54"/>
        <v>0.49548793650793643</v>
      </c>
      <c r="Z59" s="77">
        <f t="shared" si="55"/>
        <v>2.9642857142857141E-2</v>
      </c>
      <c r="AA59" s="77">
        <f t="shared" si="56"/>
        <v>0.74404761904761896</v>
      </c>
      <c r="AB59" s="77">
        <f t="shared" si="57"/>
        <v>0.70684523809523814</v>
      </c>
      <c r="AC59" s="77">
        <f t="shared" si="58"/>
        <v>0</v>
      </c>
      <c r="AD59" s="77">
        <f t="shared" si="59"/>
        <v>1.4805357142857143</v>
      </c>
      <c r="AE59" s="77">
        <f t="shared" si="60"/>
        <v>12.881204325396823</v>
      </c>
      <c r="AF59" s="77">
        <f t="shared" si="61"/>
        <v>12.881204325396823</v>
      </c>
      <c r="AG59" s="74"/>
      <c r="AH59" s="74"/>
      <c r="AI59" s="74"/>
      <c r="AJ59" s="74"/>
      <c r="AK59" s="74"/>
      <c r="AL59" s="77">
        <f t="shared" si="62"/>
        <v>0</v>
      </c>
      <c r="AM59" s="77">
        <f t="shared" si="63"/>
        <v>64.406021626984113</v>
      </c>
      <c r="AN59" s="77">
        <f t="shared" si="64"/>
        <v>0.77287225952380934</v>
      </c>
      <c r="AO59" s="77">
        <f t="shared" si="65"/>
        <v>0.69558503357142842</v>
      </c>
      <c r="AP59" s="77">
        <f t="shared" si="66"/>
        <v>1.4684572930952378</v>
      </c>
      <c r="AQ59" s="77">
        <f t="shared" si="67"/>
        <v>5.3779028058531742</v>
      </c>
      <c r="AR59" s="77">
        <f t="shared" si="68"/>
        <v>0</v>
      </c>
      <c r="AS59" s="77">
        <f t="shared" si="69"/>
        <v>0</v>
      </c>
      <c r="AT59" s="77">
        <f t="shared" si="70"/>
        <v>5.3779028058531742</v>
      </c>
      <c r="AU59" s="77">
        <f t="shared" si="71"/>
        <v>3.2203010813492057</v>
      </c>
      <c r="AV59" s="77">
        <f t="shared" si="72"/>
        <v>3.2203010813492057</v>
      </c>
      <c r="AW59" s="77">
        <f t="shared" si="73"/>
        <v>74.472682807281728</v>
      </c>
      <c r="AX59" s="21">
        <f t="shared" si="74"/>
        <v>-0.1943354564617166</v>
      </c>
      <c r="AY59" s="77">
        <f t="shared" si="2"/>
        <v>-14.472682807281728</v>
      </c>
      <c r="AZ59" s="79">
        <f>IFERROR(H59*VLOOKUP(A59,'Tabela de Produtos'!A:Q,17,0),0)</f>
        <v>43.41</v>
      </c>
      <c r="BA59" s="74">
        <f t="shared" si="75"/>
        <v>0</v>
      </c>
      <c r="BB59" s="74">
        <f t="shared" si="75"/>
        <v>0</v>
      </c>
      <c r="BC59" s="74">
        <f t="shared" si="75"/>
        <v>0</v>
      </c>
      <c r="BD59" s="74">
        <f t="shared" si="75"/>
        <v>4.2</v>
      </c>
      <c r="BE59" s="74">
        <f t="shared" si="4"/>
        <v>3</v>
      </c>
      <c r="BF59" s="74">
        <f t="shared" si="5"/>
        <v>50.61</v>
      </c>
      <c r="BG59" s="74">
        <f t="shared" si="6"/>
        <v>9.39</v>
      </c>
      <c r="BH59" s="21">
        <f t="shared" si="7"/>
        <v>0.1565</v>
      </c>
      <c r="BI59" s="80"/>
    </row>
    <row r="60" spans="1:61" ht="14.25" customHeight="1">
      <c r="A60" s="72" t="s">
        <v>127</v>
      </c>
      <c r="B60" s="2" t="str">
        <f>IFERROR(VLOOKUP(A60,'Tabela de Produtos'!A:B,2,0),"Preencher Cód. Produto")</f>
        <v>BRAZIMIL LÁTEX ECONÔMICO INT FOSCO 15L AMARELO CANARIO</v>
      </c>
      <c r="C60" s="2"/>
      <c r="D60" s="73" t="s">
        <v>40</v>
      </c>
      <c r="E60" s="73">
        <v>28</v>
      </c>
      <c r="F60" s="74">
        <f>IF(A60=0,0,VLOOKUP(A60,'Tabela de Produtos'!A:W,23,0))</f>
        <v>44.22</v>
      </c>
      <c r="G60" s="75">
        <v>60</v>
      </c>
      <c r="H60" s="76">
        <v>1</v>
      </c>
      <c r="I60" s="74">
        <f t="shared" si="1"/>
        <v>60</v>
      </c>
      <c r="J60" s="77">
        <f>VLOOKUP(B60,'Tabela de Produtos'!B:M,12,FALSE())</f>
        <v>25.65</v>
      </c>
      <c r="K60" s="77">
        <f>VLOOKUP(B60,'Tabela de Produtos'!B:P,15,FALSE())</f>
        <v>4.6500000000000004</v>
      </c>
      <c r="L60" s="77">
        <f t="shared" si="42"/>
        <v>0.25650000000000001</v>
      </c>
      <c r="M60" s="77">
        <f t="shared" si="43"/>
        <v>0.25650000000000001</v>
      </c>
      <c r="N60" s="78">
        <f t="shared" si="44"/>
        <v>30.812999999999995</v>
      </c>
      <c r="O60" s="77">
        <f t="shared" si="45"/>
        <v>1.2928571428571429</v>
      </c>
      <c r="P60" s="77">
        <f t="shared" si="46"/>
        <v>1.0103571428571427</v>
      </c>
      <c r="Q60" s="77">
        <f t="shared" si="47"/>
        <v>1.0103571428571427</v>
      </c>
      <c r="R60" s="78">
        <f t="shared" si="48"/>
        <v>3.3135714285714286</v>
      </c>
      <c r="S60" s="77">
        <f>VLOOKUP(B60,'Tabela de Produtos'!B:N,13,FALSE())</f>
        <v>8.61</v>
      </c>
      <c r="T60" s="74">
        <f t="shared" si="49"/>
        <v>0.69444444444444442</v>
      </c>
      <c r="U60" s="77">
        <f t="shared" si="50"/>
        <v>1.1944444444444444</v>
      </c>
      <c r="V60" s="74">
        <f t="shared" si="51"/>
        <v>0.33333333333333331</v>
      </c>
      <c r="W60" s="78">
        <f t="shared" si="52"/>
        <v>10.832222222222223</v>
      </c>
      <c r="X60" s="77">
        <f t="shared" si="53"/>
        <v>0.44958793650793644</v>
      </c>
      <c r="Y60" s="77">
        <f t="shared" si="54"/>
        <v>0.44958793650793644</v>
      </c>
      <c r="Z60" s="77">
        <f t="shared" si="55"/>
        <v>2.9642857142857141E-2</v>
      </c>
      <c r="AA60" s="77">
        <f t="shared" si="56"/>
        <v>0.74404761904761896</v>
      </c>
      <c r="AB60" s="77">
        <f t="shared" si="57"/>
        <v>0.70684523809523814</v>
      </c>
      <c r="AC60" s="77">
        <f t="shared" si="58"/>
        <v>0</v>
      </c>
      <c r="AD60" s="77">
        <f t="shared" si="59"/>
        <v>1.4805357142857143</v>
      </c>
      <c r="AE60" s="77">
        <f t="shared" si="60"/>
        <v>11.722229325396825</v>
      </c>
      <c r="AF60" s="77">
        <f t="shared" si="61"/>
        <v>11.722229325396825</v>
      </c>
      <c r="AG60" s="74"/>
      <c r="AH60" s="74"/>
      <c r="AI60" s="74"/>
      <c r="AJ60" s="74"/>
      <c r="AK60" s="74"/>
      <c r="AL60" s="77">
        <f t="shared" si="62"/>
        <v>0</v>
      </c>
      <c r="AM60" s="77">
        <f t="shared" si="63"/>
        <v>58.611146626984123</v>
      </c>
      <c r="AN60" s="77">
        <f t="shared" si="64"/>
        <v>0.7033337595238095</v>
      </c>
      <c r="AO60" s="77">
        <f t="shared" si="65"/>
        <v>0.63300038357142852</v>
      </c>
      <c r="AP60" s="77">
        <f t="shared" si="66"/>
        <v>1.336334143095238</v>
      </c>
      <c r="AQ60" s="77">
        <f t="shared" si="67"/>
        <v>4.8940307433531745</v>
      </c>
      <c r="AR60" s="77">
        <f t="shared" si="68"/>
        <v>0</v>
      </c>
      <c r="AS60" s="77">
        <f t="shared" si="69"/>
        <v>0</v>
      </c>
      <c r="AT60" s="77">
        <f t="shared" si="70"/>
        <v>4.8940307433531745</v>
      </c>
      <c r="AU60" s="77">
        <f t="shared" si="71"/>
        <v>2.9305573313492062</v>
      </c>
      <c r="AV60" s="77">
        <f t="shared" si="72"/>
        <v>2.9305573313492062</v>
      </c>
      <c r="AW60" s="77">
        <f t="shared" si="73"/>
        <v>67.772068844781742</v>
      </c>
      <c r="AX60" s="21">
        <f t="shared" si="74"/>
        <v>-0.11467952767654326</v>
      </c>
      <c r="AY60" s="77">
        <f t="shared" si="2"/>
        <v>-7.7720688447817423</v>
      </c>
      <c r="AZ60" s="79">
        <f>IFERROR(H60*VLOOKUP(A60,'Tabela de Produtos'!A:Q,17,0),0)</f>
        <v>38.909999999999997</v>
      </c>
      <c r="BA60" s="74">
        <f t="shared" si="75"/>
        <v>0</v>
      </c>
      <c r="BB60" s="74">
        <f t="shared" si="75"/>
        <v>0</v>
      </c>
      <c r="BC60" s="74">
        <f t="shared" si="75"/>
        <v>0</v>
      </c>
      <c r="BD60" s="74">
        <f t="shared" si="75"/>
        <v>4.2</v>
      </c>
      <c r="BE60" s="74">
        <f t="shared" si="4"/>
        <v>3</v>
      </c>
      <c r="BF60" s="74">
        <f t="shared" si="5"/>
        <v>46.11</v>
      </c>
      <c r="BG60" s="74">
        <f t="shared" si="6"/>
        <v>13.89</v>
      </c>
      <c r="BH60" s="21">
        <f t="shared" si="7"/>
        <v>0.23150000000000001</v>
      </c>
      <c r="BI60" s="80"/>
    </row>
    <row r="61" spans="1:61" ht="14.25" customHeight="1">
      <c r="A61" s="72" t="s">
        <v>128</v>
      </c>
      <c r="B61" s="2" t="str">
        <f>IFERROR(VLOOKUP(A61,'Tabela de Produtos'!A:B,2,0),"Preencher Cód. Produto")</f>
        <v>BRAZIMIL LÁTEX ECONÔMICO INT FOSCO 15L CROMO SUAVE</v>
      </c>
      <c r="C61" s="2"/>
      <c r="D61" s="73" t="s">
        <v>40</v>
      </c>
      <c r="E61" s="73">
        <v>28</v>
      </c>
      <c r="F61" s="74">
        <f>IF(A61=0,0,VLOOKUP(A61,'Tabela de Produtos'!A:W,23,0))</f>
        <v>48.309999999999995</v>
      </c>
      <c r="G61" s="75">
        <v>60</v>
      </c>
      <c r="H61" s="76">
        <v>1</v>
      </c>
      <c r="I61" s="74">
        <f t="shared" si="1"/>
        <v>60</v>
      </c>
      <c r="J61" s="77">
        <f>VLOOKUP(B61,'Tabela de Produtos'!B:M,12,FALSE())</f>
        <v>29.250000000000007</v>
      </c>
      <c r="K61" s="77">
        <f>VLOOKUP(B61,'Tabela de Produtos'!B:P,15,FALSE())</f>
        <v>4.6500000000000004</v>
      </c>
      <c r="L61" s="77">
        <f t="shared" si="42"/>
        <v>0.29250000000000009</v>
      </c>
      <c r="M61" s="77">
        <f t="shared" si="43"/>
        <v>0.29250000000000009</v>
      </c>
      <c r="N61" s="78">
        <f t="shared" si="44"/>
        <v>34.484999999999999</v>
      </c>
      <c r="O61" s="77">
        <f t="shared" si="45"/>
        <v>1.2928571428571429</v>
      </c>
      <c r="P61" s="77">
        <f t="shared" si="46"/>
        <v>1.0103571428571427</v>
      </c>
      <c r="Q61" s="77">
        <f t="shared" si="47"/>
        <v>1.0103571428571427</v>
      </c>
      <c r="R61" s="78">
        <f t="shared" si="48"/>
        <v>3.3135714285714286</v>
      </c>
      <c r="S61" s="77">
        <f>VLOOKUP(B61,'Tabela de Produtos'!B:N,13,FALSE())</f>
        <v>8.61</v>
      </c>
      <c r="T61" s="74">
        <f t="shared" si="49"/>
        <v>0.69444444444444442</v>
      </c>
      <c r="U61" s="77">
        <f t="shared" si="50"/>
        <v>1.1944444444444444</v>
      </c>
      <c r="V61" s="74">
        <f t="shared" si="51"/>
        <v>0.33333333333333331</v>
      </c>
      <c r="W61" s="78">
        <f t="shared" si="52"/>
        <v>10.832222222222223</v>
      </c>
      <c r="X61" s="77">
        <f t="shared" si="53"/>
        <v>0.48630793650793652</v>
      </c>
      <c r="Y61" s="77">
        <f t="shared" si="54"/>
        <v>0.48630793650793652</v>
      </c>
      <c r="Z61" s="77">
        <f t="shared" si="55"/>
        <v>2.9642857142857141E-2</v>
      </c>
      <c r="AA61" s="77">
        <f t="shared" si="56"/>
        <v>0.74404761904761896</v>
      </c>
      <c r="AB61" s="77">
        <f t="shared" si="57"/>
        <v>0.70684523809523814</v>
      </c>
      <c r="AC61" s="77">
        <f t="shared" si="58"/>
        <v>0</v>
      </c>
      <c r="AD61" s="77">
        <f t="shared" si="59"/>
        <v>1.4805357142857143</v>
      </c>
      <c r="AE61" s="77">
        <f t="shared" si="60"/>
        <v>12.649409325396824</v>
      </c>
      <c r="AF61" s="77">
        <f t="shared" si="61"/>
        <v>12.649409325396824</v>
      </c>
      <c r="AG61" s="74"/>
      <c r="AH61" s="74"/>
      <c r="AI61" s="74"/>
      <c r="AJ61" s="74"/>
      <c r="AK61" s="74"/>
      <c r="AL61" s="77">
        <f t="shared" si="62"/>
        <v>0</v>
      </c>
      <c r="AM61" s="77">
        <f t="shared" si="63"/>
        <v>63.24704662698413</v>
      </c>
      <c r="AN61" s="77">
        <f t="shared" si="64"/>
        <v>0.75896455952380959</v>
      </c>
      <c r="AO61" s="77">
        <f t="shared" si="65"/>
        <v>0.68306810357142866</v>
      </c>
      <c r="AP61" s="77">
        <f t="shared" si="66"/>
        <v>1.4420326630952383</v>
      </c>
      <c r="AQ61" s="77">
        <f t="shared" si="67"/>
        <v>5.2811283933531747</v>
      </c>
      <c r="AR61" s="77">
        <f t="shared" si="68"/>
        <v>0</v>
      </c>
      <c r="AS61" s="77">
        <f t="shared" si="69"/>
        <v>0</v>
      </c>
      <c r="AT61" s="77">
        <f t="shared" si="70"/>
        <v>5.2811283933531747</v>
      </c>
      <c r="AU61" s="77">
        <f t="shared" si="71"/>
        <v>3.1623523313492066</v>
      </c>
      <c r="AV61" s="77">
        <f t="shared" si="72"/>
        <v>3.1623523313492066</v>
      </c>
      <c r="AW61" s="77">
        <f t="shared" si="73"/>
        <v>73.132560014781745</v>
      </c>
      <c r="AX61" s="21">
        <f t="shared" si="74"/>
        <v>-0.17957199928632825</v>
      </c>
      <c r="AY61" s="77">
        <f t="shared" si="2"/>
        <v>-13.132560014781745</v>
      </c>
      <c r="AZ61" s="79">
        <f>IFERROR(H61*VLOOKUP(A61,'Tabela de Produtos'!A:Q,17,0),0)</f>
        <v>42.510000000000005</v>
      </c>
      <c r="BA61" s="74">
        <f t="shared" si="75"/>
        <v>0</v>
      </c>
      <c r="BB61" s="74">
        <f t="shared" si="75"/>
        <v>0</v>
      </c>
      <c r="BC61" s="74">
        <f t="shared" si="75"/>
        <v>0</v>
      </c>
      <c r="BD61" s="74">
        <f t="shared" si="75"/>
        <v>4.2</v>
      </c>
      <c r="BE61" s="74">
        <f t="shared" si="4"/>
        <v>3</v>
      </c>
      <c r="BF61" s="74">
        <f t="shared" si="5"/>
        <v>49.710000000000008</v>
      </c>
      <c r="BG61" s="74">
        <f t="shared" si="6"/>
        <v>10.289999999999992</v>
      </c>
      <c r="BH61" s="21">
        <f t="shared" si="7"/>
        <v>0.17149999999999987</v>
      </c>
      <c r="BI61" s="80"/>
    </row>
    <row r="62" spans="1:61" ht="14.25" customHeight="1">
      <c r="A62" s="72" t="s">
        <v>129</v>
      </c>
      <c r="B62" s="2" t="str">
        <f>IFERROR(VLOOKUP(A62,'Tabela de Produtos'!A:B,2,0),"Preencher Cód. Produto")</f>
        <v>BRAZIMIL LÁTEX ECONÔMICO INT FOSCO 15L ROSA BEBE</v>
      </c>
      <c r="C62" s="2"/>
      <c r="D62" s="73" t="s">
        <v>40</v>
      </c>
      <c r="E62" s="73">
        <v>28</v>
      </c>
      <c r="F62" s="74">
        <f>IF(A62=0,0,VLOOKUP(A62,'Tabela de Produtos'!A:W,23,0))</f>
        <v>43.199999999999996</v>
      </c>
      <c r="G62" s="75">
        <v>60</v>
      </c>
      <c r="H62" s="76">
        <v>1</v>
      </c>
      <c r="I62" s="74">
        <f t="shared" si="1"/>
        <v>60</v>
      </c>
      <c r="J62" s="77">
        <f>VLOOKUP(B62,'Tabela de Produtos'!B:M,12,FALSE())</f>
        <v>24.75</v>
      </c>
      <c r="K62" s="77">
        <f>VLOOKUP(B62,'Tabela de Produtos'!B:P,15,FALSE())</f>
        <v>4.6500000000000004</v>
      </c>
      <c r="L62" s="77">
        <f t="shared" si="42"/>
        <v>0.2475</v>
      </c>
      <c r="M62" s="77">
        <f t="shared" si="43"/>
        <v>0.2475</v>
      </c>
      <c r="N62" s="78">
        <f t="shared" si="44"/>
        <v>29.894999999999996</v>
      </c>
      <c r="O62" s="77">
        <f t="shared" si="45"/>
        <v>1.2928571428571429</v>
      </c>
      <c r="P62" s="77">
        <f t="shared" si="46"/>
        <v>1.0103571428571427</v>
      </c>
      <c r="Q62" s="77">
        <f t="shared" si="47"/>
        <v>1.0103571428571427</v>
      </c>
      <c r="R62" s="78">
        <f t="shared" si="48"/>
        <v>3.3135714285714286</v>
      </c>
      <c r="S62" s="77">
        <f>VLOOKUP(B62,'Tabela de Produtos'!B:N,13,FALSE())</f>
        <v>8.61</v>
      </c>
      <c r="T62" s="74">
        <f t="shared" si="49"/>
        <v>0.69444444444444442</v>
      </c>
      <c r="U62" s="77">
        <f t="shared" si="50"/>
        <v>1.1944444444444444</v>
      </c>
      <c r="V62" s="74">
        <f t="shared" si="51"/>
        <v>0.33333333333333331</v>
      </c>
      <c r="W62" s="78">
        <f t="shared" si="52"/>
        <v>10.832222222222223</v>
      </c>
      <c r="X62" s="77">
        <f t="shared" si="53"/>
        <v>0.44040793650793647</v>
      </c>
      <c r="Y62" s="77">
        <f t="shared" si="54"/>
        <v>0.44040793650793647</v>
      </c>
      <c r="Z62" s="77">
        <f t="shared" si="55"/>
        <v>2.9642857142857141E-2</v>
      </c>
      <c r="AA62" s="77">
        <f t="shared" si="56"/>
        <v>0.74404761904761896</v>
      </c>
      <c r="AB62" s="77">
        <f t="shared" si="57"/>
        <v>0.70684523809523814</v>
      </c>
      <c r="AC62" s="77">
        <f t="shared" si="58"/>
        <v>0</v>
      </c>
      <c r="AD62" s="77">
        <f t="shared" si="59"/>
        <v>1.4805357142857143</v>
      </c>
      <c r="AE62" s="77">
        <f t="shared" si="60"/>
        <v>11.490434325396825</v>
      </c>
      <c r="AF62" s="77">
        <f t="shared" si="61"/>
        <v>11.490434325396825</v>
      </c>
      <c r="AG62" s="74"/>
      <c r="AH62" s="74"/>
      <c r="AI62" s="74"/>
      <c r="AJ62" s="74"/>
      <c r="AK62" s="74"/>
      <c r="AL62" s="77">
        <f t="shared" si="62"/>
        <v>0</v>
      </c>
      <c r="AM62" s="77">
        <f t="shared" si="63"/>
        <v>57.452171626984125</v>
      </c>
      <c r="AN62" s="77">
        <f t="shared" si="64"/>
        <v>0.68942605952380953</v>
      </c>
      <c r="AO62" s="77">
        <f t="shared" si="65"/>
        <v>0.62048345357142853</v>
      </c>
      <c r="AP62" s="77">
        <f t="shared" si="66"/>
        <v>1.3099095130952381</v>
      </c>
      <c r="AQ62" s="77">
        <f t="shared" si="67"/>
        <v>4.797256330853175</v>
      </c>
      <c r="AR62" s="77">
        <f t="shared" si="68"/>
        <v>0</v>
      </c>
      <c r="AS62" s="77">
        <f t="shared" si="69"/>
        <v>0</v>
      </c>
      <c r="AT62" s="77">
        <f t="shared" si="70"/>
        <v>4.797256330853175</v>
      </c>
      <c r="AU62" s="77">
        <f t="shared" si="71"/>
        <v>2.8726085813492066</v>
      </c>
      <c r="AV62" s="77">
        <f t="shared" si="72"/>
        <v>2.8726085813492066</v>
      </c>
      <c r="AW62" s="77">
        <f t="shared" si="73"/>
        <v>66.431946052281745</v>
      </c>
      <c r="AX62" s="21">
        <f t="shared" si="74"/>
        <v>-9.6820075799372532E-2</v>
      </c>
      <c r="AY62" s="77">
        <f t="shared" si="2"/>
        <v>-6.4319460522817451</v>
      </c>
      <c r="AZ62" s="79">
        <f>IFERROR(H62*VLOOKUP(A62,'Tabela de Produtos'!A:Q,17,0),0)</f>
        <v>38.01</v>
      </c>
      <c r="BA62" s="74">
        <f t="shared" si="75"/>
        <v>0</v>
      </c>
      <c r="BB62" s="74">
        <f t="shared" si="75"/>
        <v>0</v>
      </c>
      <c r="BC62" s="74">
        <f t="shared" si="75"/>
        <v>0</v>
      </c>
      <c r="BD62" s="74">
        <f t="shared" si="75"/>
        <v>4.2</v>
      </c>
      <c r="BE62" s="74">
        <f t="shared" si="4"/>
        <v>3</v>
      </c>
      <c r="BF62" s="74">
        <f t="shared" si="5"/>
        <v>45.21</v>
      </c>
      <c r="BG62" s="74">
        <f t="shared" si="6"/>
        <v>14.79</v>
      </c>
      <c r="BH62" s="21">
        <f t="shared" si="7"/>
        <v>0.2465</v>
      </c>
      <c r="BI62" s="80"/>
    </row>
    <row r="63" spans="1:61" ht="14.25" customHeight="1">
      <c r="A63" s="72" t="s">
        <v>130</v>
      </c>
      <c r="B63" s="2" t="str">
        <f>IFERROR(VLOOKUP(A63,'Tabela de Produtos'!A:B,2,0),"Preencher Cód. Produto")</f>
        <v>BRAZIMIL LÁTEX ECONÔMICO INT FOSCO 15L MARFIM</v>
      </c>
      <c r="C63" s="2"/>
      <c r="D63" s="73" t="s">
        <v>40</v>
      </c>
      <c r="E63" s="73">
        <v>28</v>
      </c>
      <c r="F63" s="74">
        <f>IF(A63=0,0,VLOOKUP(A63,'Tabela de Produtos'!A:W,23,0))</f>
        <v>43.37</v>
      </c>
      <c r="G63" s="75">
        <v>60</v>
      </c>
      <c r="H63" s="76">
        <v>1</v>
      </c>
      <c r="I63" s="74">
        <f t="shared" si="1"/>
        <v>60</v>
      </c>
      <c r="J63" s="77">
        <f>VLOOKUP(B63,'Tabela de Produtos'!B:M,12,FALSE())</f>
        <v>24.9</v>
      </c>
      <c r="K63" s="77">
        <f>VLOOKUP(B63,'Tabela de Produtos'!B:P,15,FALSE())</f>
        <v>4.6500000000000004</v>
      </c>
      <c r="L63" s="77">
        <f t="shared" si="42"/>
        <v>0.249</v>
      </c>
      <c r="M63" s="77">
        <f t="shared" si="43"/>
        <v>0.249</v>
      </c>
      <c r="N63" s="78">
        <f t="shared" si="44"/>
        <v>30.047999999999995</v>
      </c>
      <c r="O63" s="77">
        <f t="shared" si="45"/>
        <v>1.2928571428571429</v>
      </c>
      <c r="P63" s="77">
        <f t="shared" si="46"/>
        <v>1.0103571428571427</v>
      </c>
      <c r="Q63" s="77">
        <f t="shared" si="47"/>
        <v>1.0103571428571427</v>
      </c>
      <c r="R63" s="78">
        <f t="shared" si="48"/>
        <v>3.3135714285714286</v>
      </c>
      <c r="S63" s="77">
        <f>VLOOKUP(B63,'Tabela de Produtos'!B:N,13,FALSE())</f>
        <v>8.61</v>
      </c>
      <c r="T63" s="74">
        <f t="shared" si="49"/>
        <v>0.69444444444444442</v>
      </c>
      <c r="U63" s="77">
        <f t="shared" si="50"/>
        <v>1.1944444444444444</v>
      </c>
      <c r="V63" s="74">
        <f t="shared" si="51"/>
        <v>0.33333333333333331</v>
      </c>
      <c r="W63" s="78">
        <f t="shared" si="52"/>
        <v>10.832222222222223</v>
      </c>
      <c r="X63" s="77">
        <f t="shared" si="53"/>
        <v>0.44193793650793645</v>
      </c>
      <c r="Y63" s="77">
        <f t="shared" si="54"/>
        <v>0.44193793650793645</v>
      </c>
      <c r="Z63" s="77">
        <f t="shared" si="55"/>
        <v>2.9642857142857141E-2</v>
      </c>
      <c r="AA63" s="77">
        <f t="shared" si="56"/>
        <v>0.74404761904761896</v>
      </c>
      <c r="AB63" s="77">
        <f t="shared" si="57"/>
        <v>0.70684523809523814</v>
      </c>
      <c r="AC63" s="77">
        <f t="shared" si="58"/>
        <v>0</v>
      </c>
      <c r="AD63" s="77">
        <f t="shared" si="59"/>
        <v>1.4805357142857143</v>
      </c>
      <c r="AE63" s="77">
        <f t="shared" si="60"/>
        <v>11.529066825396825</v>
      </c>
      <c r="AF63" s="77">
        <f t="shared" si="61"/>
        <v>11.529066825396825</v>
      </c>
      <c r="AG63" s="74"/>
      <c r="AH63" s="74"/>
      <c r="AI63" s="74"/>
      <c r="AJ63" s="74"/>
      <c r="AK63" s="74"/>
      <c r="AL63" s="77">
        <f t="shared" si="62"/>
        <v>0</v>
      </c>
      <c r="AM63" s="77">
        <f t="shared" si="63"/>
        <v>57.645334126984125</v>
      </c>
      <c r="AN63" s="77">
        <f t="shared" si="64"/>
        <v>0.69174400952380954</v>
      </c>
      <c r="AO63" s="77">
        <f t="shared" si="65"/>
        <v>0.62256960857142862</v>
      </c>
      <c r="AP63" s="77">
        <f t="shared" si="66"/>
        <v>1.3143136180952382</v>
      </c>
      <c r="AQ63" s="77">
        <f t="shared" si="67"/>
        <v>4.8133853996031748</v>
      </c>
      <c r="AR63" s="77">
        <f t="shared" si="68"/>
        <v>0</v>
      </c>
      <c r="AS63" s="77">
        <f t="shared" si="69"/>
        <v>0</v>
      </c>
      <c r="AT63" s="77">
        <f t="shared" si="70"/>
        <v>4.8133853996031748</v>
      </c>
      <c r="AU63" s="77">
        <f t="shared" si="71"/>
        <v>2.8822667063492062</v>
      </c>
      <c r="AV63" s="77">
        <f t="shared" si="72"/>
        <v>2.8822667063492062</v>
      </c>
      <c r="AW63" s="77">
        <f t="shared" si="73"/>
        <v>66.655299851031742</v>
      </c>
      <c r="AX63" s="21">
        <f t="shared" si="74"/>
        <v>-9.9846521820555978E-2</v>
      </c>
      <c r="AY63" s="77">
        <f t="shared" si="2"/>
        <v>-6.6552998510317423</v>
      </c>
      <c r="AZ63" s="79">
        <f>IFERROR(H63*VLOOKUP(A63,'Tabela de Produtos'!A:Q,17,0),0)</f>
        <v>38.159999999999997</v>
      </c>
      <c r="BA63" s="74">
        <f t="shared" si="75"/>
        <v>0</v>
      </c>
      <c r="BB63" s="74">
        <f t="shared" si="75"/>
        <v>0</v>
      </c>
      <c r="BC63" s="74">
        <f t="shared" si="75"/>
        <v>0</v>
      </c>
      <c r="BD63" s="74">
        <f t="shared" si="75"/>
        <v>4.2</v>
      </c>
      <c r="BE63" s="74">
        <f t="shared" si="4"/>
        <v>3</v>
      </c>
      <c r="BF63" s="74">
        <f t="shared" si="5"/>
        <v>45.36</v>
      </c>
      <c r="BG63" s="74">
        <f t="shared" si="6"/>
        <v>14.64</v>
      </c>
      <c r="BH63" s="21">
        <f t="shared" si="7"/>
        <v>0.24400000000000002</v>
      </c>
      <c r="BI63" s="80"/>
    </row>
    <row r="64" spans="1:61" ht="14.25" customHeight="1">
      <c r="A64" s="72" t="s">
        <v>131</v>
      </c>
      <c r="B64" s="2" t="str">
        <f>IFERROR(VLOOKUP(A64,'Tabela de Produtos'!A:B,2,0),"Preencher Cód. Produto")</f>
        <v>BRAZIMIL LÁTEX ECONÔMICO INT FOSCO 15L AMARELO IPE</v>
      </c>
      <c r="C64" s="2"/>
      <c r="D64" s="73" t="s">
        <v>40</v>
      </c>
      <c r="E64" s="73">
        <v>28</v>
      </c>
      <c r="F64" s="74">
        <f>IF(A64=0,0,VLOOKUP(A64,'Tabela de Produtos'!A:W,23,0))</f>
        <v>48.309999999999995</v>
      </c>
      <c r="G64" s="75">
        <v>60</v>
      </c>
      <c r="H64" s="76">
        <v>1</v>
      </c>
      <c r="I64" s="74">
        <f t="shared" si="1"/>
        <v>60</v>
      </c>
      <c r="J64" s="77">
        <f>VLOOKUP(B64,'Tabela de Produtos'!B:M,12,FALSE())</f>
        <v>29.250000000000007</v>
      </c>
      <c r="K64" s="77">
        <f>VLOOKUP(B64,'Tabela de Produtos'!B:P,15,FALSE())</f>
        <v>4.6500000000000004</v>
      </c>
      <c r="L64" s="77">
        <f t="shared" si="42"/>
        <v>0.29250000000000009</v>
      </c>
      <c r="M64" s="77">
        <f t="shared" si="43"/>
        <v>0.29250000000000009</v>
      </c>
      <c r="N64" s="78">
        <f t="shared" si="44"/>
        <v>34.484999999999999</v>
      </c>
      <c r="O64" s="77">
        <f t="shared" si="45"/>
        <v>1.2928571428571429</v>
      </c>
      <c r="P64" s="77">
        <f t="shared" si="46"/>
        <v>1.0103571428571427</v>
      </c>
      <c r="Q64" s="77">
        <f t="shared" si="47"/>
        <v>1.0103571428571427</v>
      </c>
      <c r="R64" s="78">
        <f t="shared" si="48"/>
        <v>3.3135714285714286</v>
      </c>
      <c r="S64" s="77">
        <f>VLOOKUP(B64,'Tabela de Produtos'!B:N,13,FALSE())</f>
        <v>8.61</v>
      </c>
      <c r="T64" s="74">
        <f t="shared" si="49"/>
        <v>0.69444444444444442</v>
      </c>
      <c r="U64" s="77">
        <f t="shared" si="50"/>
        <v>1.1944444444444444</v>
      </c>
      <c r="V64" s="74">
        <f t="shared" si="51"/>
        <v>0.33333333333333331</v>
      </c>
      <c r="W64" s="78">
        <f t="shared" si="52"/>
        <v>10.832222222222223</v>
      </c>
      <c r="X64" s="77">
        <f t="shared" si="53"/>
        <v>0.48630793650793652</v>
      </c>
      <c r="Y64" s="77">
        <f t="shared" si="54"/>
        <v>0.48630793650793652</v>
      </c>
      <c r="Z64" s="77">
        <f t="shared" si="55"/>
        <v>2.9642857142857141E-2</v>
      </c>
      <c r="AA64" s="77">
        <f t="shared" si="56"/>
        <v>0.74404761904761896</v>
      </c>
      <c r="AB64" s="77">
        <f t="shared" si="57"/>
        <v>0.70684523809523814</v>
      </c>
      <c r="AC64" s="77">
        <f t="shared" si="58"/>
        <v>0</v>
      </c>
      <c r="AD64" s="77">
        <f t="shared" si="59"/>
        <v>1.4805357142857143</v>
      </c>
      <c r="AE64" s="77">
        <f t="shared" si="60"/>
        <v>12.649409325396824</v>
      </c>
      <c r="AF64" s="77">
        <f t="shared" si="61"/>
        <v>12.649409325396824</v>
      </c>
      <c r="AG64" s="74"/>
      <c r="AH64" s="74"/>
      <c r="AI64" s="74"/>
      <c r="AJ64" s="74"/>
      <c r="AK64" s="74"/>
      <c r="AL64" s="77">
        <f t="shared" si="62"/>
        <v>0</v>
      </c>
      <c r="AM64" s="77">
        <f t="shared" si="63"/>
        <v>63.24704662698413</v>
      </c>
      <c r="AN64" s="77">
        <f t="shared" si="64"/>
        <v>0.75896455952380959</v>
      </c>
      <c r="AO64" s="77">
        <f t="shared" si="65"/>
        <v>0.68306810357142866</v>
      </c>
      <c r="AP64" s="77">
        <f t="shared" si="66"/>
        <v>1.4420326630952383</v>
      </c>
      <c r="AQ64" s="77">
        <f t="shared" si="67"/>
        <v>5.2811283933531747</v>
      </c>
      <c r="AR64" s="77">
        <f t="shared" si="68"/>
        <v>0</v>
      </c>
      <c r="AS64" s="77">
        <f t="shared" si="69"/>
        <v>0</v>
      </c>
      <c r="AT64" s="77">
        <f t="shared" si="70"/>
        <v>5.2811283933531747</v>
      </c>
      <c r="AU64" s="77">
        <f t="shared" si="71"/>
        <v>3.1623523313492066</v>
      </c>
      <c r="AV64" s="77">
        <f t="shared" si="72"/>
        <v>3.1623523313492066</v>
      </c>
      <c r="AW64" s="77">
        <f t="shared" si="73"/>
        <v>73.132560014781745</v>
      </c>
      <c r="AX64" s="21">
        <f t="shared" si="74"/>
        <v>-0.17957199928632825</v>
      </c>
      <c r="AY64" s="77">
        <f t="shared" si="2"/>
        <v>-13.132560014781745</v>
      </c>
      <c r="AZ64" s="79">
        <f>IFERROR(H64*VLOOKUP(A64,'Tabela de Produtos'!A:Q,17,0),0)</f>
        <v>42.510000000000005</v>
      </c>
      <c r="BA64" s="74">
        <f t="shared" si="75"/>
        <v>0</v>
      </c>
      <c r="BB64" s="74">
        <f t="shared" si="75"/>
        <v>0</v>
      </c>
      <c r="BC64" s="74">
        <f t="shared" si="75"/>
        <v>0</v>
      </c>
      <c r="BD64" s="74">
        <f t="shared" si="75"/>
        <v>4.2</v>
      </c>
      <c r="BE64" s="74">
        <f t="shared" si="4"/>
        <v>3</v>
      </c>
      <c r="BF64" s="74">
        <f t="shared" si="5"/>
        <v>49.710000000000008</v>
      </c>
      <c r="BG64" s="74">
        <f t="shared" si="6"/>
        <v>10.289999999999992</v>
      </c>
      <c r="BH64" s="21">
        <f t="shared" si="7"/>
        <v>0.17149999999999987</v>
      </c>
      <c r="BI64" s="80"/>
    </row>
    <row r="65" spans="1:61" ht="14.25" customHeight="1">
      <c r="A65" s="72" t="s">
        <v>132</v>
      </c>
      <c r="B65" s="2" t="str">
        <f>IFERROR(VLOOKUP(A65,'Tabela de Produtos'!A:B,2,0),"Preencher Cód. Produto")</f>
        <v>BRAZIMIL LÁTEX ECONÔMICO INT FOSCO 15L DAMASCO</v>
      </c>
      <c r="C65" s="2"/>
      <c r="D65" s="73" t="s">
        <v>40</v>
      </c>
      <c r="E65" s="73">
        <v>28</v>
      </c>
      <c r="F65" s="74">
        <f>IF(A65=0,0,VLOOKUP(A65,'Tabela de Produtos'!A:W,23,0))</f>
        <v>49.33</v>
      </c>
      <c r="G65" s="75">
        <v>60</v>
      </c>
      <c r="H65" s="76">
        <v>1</v>
      </c>
      <c r="I65" s="74">
        <f t="shared" si="1"/>
        <v>60</v>
      </c>
      <c r="J65" s="77">
        <f>VLOOKUP(B65,'Tabela de Produtos'!B:M,12,FALSE())</f>
        <v>30.150000000000002</v>
      </c>
      <c r="K65" s="77">
        <f>VLOOKUP(B65,'Tabela de Produtos'!B:P,15,FALSE())</f>
        <v>4.6500000000000004</v>
      </c>
      <c r="L65" s="77">
        <f t="shared" si="42"/>
        <v>0.30150000000000005</v>
      </c>
      <c r="M65" s="77">
        <f t="shared" si="43"/>
        <v>0.30150000000000005</v>
      </c>
      <c r="N65" s="78">
        <f t="shared" si="44"/>
        <v>35.402999999999999</v>
      </c>
      <c r="O65" s="77">
        <f t="shared" si="45"/>
        <v>1.2928571428571429</v>
      </c>
      <c r="P65" s="77">
        <f t="shared" si="46"/>
        <v>1.0103571428571427</v>
      </c>
      <c r="Q65" s="77">
        <f t="shared" si="47"/>
        <v>1.0103571428571427</v>
      </c>
      <c r="R65" s="78">
        <f t="shared" si="48"/>
        <v>3.3135714285714286</v>
      </c>
      <c r="S65" s="77">
        <f>VLOOKUP(B65,'Tabela de Produtos'!B:N,13,FALSE())</f>
        <v>8.61</v>
      </c>
      <c r="T65" s="74">
        <f t="shared" si="49"/>
        <v>0.69444444444444442</v>
      </c>
      <c r="U65" s="77">
        <f t="shared" si="50"/>
        <v>1.1944444444444444</v>
      </c>
      <c r="V65" s="74">
        <f t="shared" si="51"/>
        <v>0.33333333333333331</v>
      </c>
      <c r="W65" s="78">
        <f t="shared" si="52"/>
        <v>10.832222222222223</v>
      </c>
      <c r="X65" s="77">
        <f t="shared" si="53"/>
        <v>0.49548793650793649</v>
      </c>
      <c r="Y65" s="77">
        <f t="shared" si="54"/>
        <v>0.49548793650793649</v>
      </c>
      <c r="Z65" s="77">
        <f t="shared" si="55"/>
        <v>2.9642857142857141E-2</v>
      </c>
      <c r="AA65" s="77">
        <f t="shared" si="56"/>
        <v>0.74404761904761896</v>
      </c>
      <c r="AB65" s="77">
        <f t="shared" si="57"/>
        <v>0.70684523809523814</v>
      </c>
      <c r="AC65" s="77">
        <f t="shared" si="58"/>
        <v>0</v>
      </c>
      <c r="AD65" s="77">
        <f t="shared" si="59"/>
        <v>1.4805357142857143</v>
      </c>
      <c r="AE65" s="77">
        <f t="shared" si="60"/>
        <v>12.881204325396826</v>
      </c>
      <c r="AF65" s="77">
        <f t="shared" si="61"/>
        <v>12.881204325396826</v>
      </c>
      <c r="AG65" s="74"/>
      <c r="AH65" s="74"/>
      <c r="AI65" s="74"/>
      <c r="AJ65" s="74"/>
      <c r="AK65" s="74"/>
      <c r="AL65" s="77">
        <f t="shared" si="62"/>
        <v>0</v>
      </c>
      <c r="AM65" s="77">
        <f t="shared" si="63"/>
        <v>64.406021626984128</v>
      </c>
      <c r="AN65" s="77">
        <f t="shared" si="64"/>
        <v>0.77287225952380956</v>
      </c>
      <c r="AO65" s="77">
        <f t="shared" si="65"/>
        <v>0.69558503357142865</v>
      </c>
      <c r="AP65" s="77">
        <f t="shared" si="66"/>
        <v>1.4684572930952382</v>
      </c>
      <c r="AQ65" s="77">
        <f t="shared" si="67"/>
        <v>5.377902805853175</v>
      </c>
      <c r="AR65" s="77">
        <f t="shared" si="68"/>
        <v>0</v>
      </c>
      <c r="AS65" s="77">
        <f t="shared" si="69"/>
        <v>0</v>
      </c>
      <c r="AT65" s="77">
        <f t="shared" si="70"/>
        <v>5.377902805853175</v>
      </c>
      <c r="AU65" s="77">
        <f t="shared" si="71"/>
        <v>3.2203010813492066</v>
      </c>
      <c r="AV65" s="77">
        <f t="shared" si="72"/>
        <v>3.2203010813492066</v>
      </c>
      <c r="AW65" s="77">
        <f t="shared" si="73"/>
        <v>74.472682807281743</v>
      </c>
      <c r="AX65" s="21">
        <f t="shared" si="74"/>
        <v>-0.19433545646171674</v>
      </c>
      <c r="AY65" s="77">
        <f t="shared" si="2"/>
        <v>-14.472682807281743</v>
      </c>
      <c r="AZ65" s="79">
        <f>IFERROR(H65*VLOOKUP(A65,'Tabela de Produtos'!A:Q,17,0),0)</f>
        <v>43.410000000000004</v>
      </c>
      <c r="BA65" s="74">
        <f t="shared" si="75"/>
        <v>0</v>
      </c>
      <c r="BB65" s="74">
        <f t="shared" si="75"/>
        <v>0</v>
      </c>
      <c r="BC65" s="74">
        <f t="shared" si="75"/>
        <v>0</v>
      </c>
      <c r="BD65" s="74">
        <f t="shared" si="75"/>
        <v>4.2</v>
      </c>
      <c r="BE65" s="74">
        <f t="shared" si="4"/>
        <v>3</v>
      </c>
      <c r="BF65" s="74">
        <f t="shared" si="5"/>
        <v>50.610000000000007</v>
      </c>
      <c r="BG65" s="74">
        <f t="shared" si="6"/>
        <v>9.3899999999999935</v>
      </c>
      <c r="BH65" s="21">
        <f t="shared" si="7"/>
        <v>0.15649999999999989</v>
      </c>
      <c r="BI65" s="80"/>
    </row>
    <row r="66" spans="1:61" ht="14.25" customHeight="1">
      <c r="A66" s="72" t="s">
        <v>133</v>
      </c>
      <c r="B66" s="2" t="str">
        <f>IFERROR(VLOOKUP(A66,'Tabela de Produtos'!A:B,2,0),"Preencher Cód. Produto")</f>
        <v>BRAZIMIL LÁTEX ECONÔMICO INT FOSCO 15L PEROLA</v>
      </c>
      <c r="C66" s="2"/>
      <c r="D66" s="73" t="s">
        <v>40</v>
      </c>
      <c r="E66" s="73">
        <v>28</v>
      </c>
      <c r="F66" s="74">
        <f>IF(A66=0,0,VLOOKUP(A66,'Tabela de Produtos'!A:W,23,0))</f>
        <v>43.03</v>
      </c>
      <c r="G66" s="75">
        <v>60</v>
      </c>
      <c r="H66" s="76">
        <v>1</v>
      </c>
      <c r="I66" s="74">
        <f t="shared" si="1"/>
        <v>60</v>
      </c>
      <c r="J66" s="77">
        <f>VLOOKUP(B66,'Tabela de Produtos'!B:M,12,FALSE())</f>
        <v>24.599999999999998</v>
      </c>
      <c r="K66" s="77">
        <f>VLOOKUP(B66,'Tabela de Produtos'!B:P,15,FALSE())</f>
        <v>4.6500000000000004</v>
      </c>
      <c r="L66" s="77">
        <f t="shared" si="42"/>
        <v>0.246</v>
      </c>
      <c r="M66" s="77">
        <f t="shared" si="43"/>
        <v>0.246</v>
      </c>
      <c r="N66" s="78">
        <f t="shared" si="44"/>
        <v>29.741999999999997</v>
      </c>
      <c r="O66" s="77">
        <f t="shared" si="45"/>
        <v>1.2928571428571429</v>
      </c>
      <c r="P66" s="77">
        <f t="shared" si="46"/>
        <v>1.0103571428571427</v>
      </c>
      <c r="Q66" s="77">
        <f t="shared" si="47"/>
        <v>1.0103571428571427</v>
      </c>
      <c r="R66" s="78">
        <f t="shared" si="48"/>
        <v>3.3135714285714286</v>
      </c>
      <c r="S66" s="77">
        <f>VLOOKUP(B66,'Tabela de Produtos'!B:N,13,FALSE())</f>
        <v>8.61</v>
      </c>
      <c r="T66" s="74">
        <f t="shared" si="49"/>
        <v>0.69444444444444442</v>
      </c>
      <c r="U66" s="77">
        <f t="shared" si="50"/>
        <v>1.1944444444444444</v>
      </c>
      <c r="V66" s="74">
        <f t="shared" si="51"/>
        <v>0.33333333333333331</v>
      </c>
      <c r="W66" s="78">
        <f t="shared" si="52"/>
        <v>10.832222222222223</v>
      </c>
      <c r="X66" s="77">
        <f t="shared" si="53"/>
        <v>0.43887793650793649</v>
      </c>
      <c r="Y66" s="77">
        <f t="shared" si="54"/>
        <v>0.43887793650793649</v>
      </c>
      <c r="Z66" s="77">
        <f t="shared" si="55"/>
        <v>2.9642857142857141E-2</v>
      </c>
      <c r="AA66" s="77">
        <f t="shared" si="56"/>
        <v>0.74404761904761896</v>
      </c>
      <c r="AB66" s="77">
        <f t="shared" si="57"/>
        <v>0.70684523809523814</v>
      </c>
      <c r="AC66" s="77">
        <f t="shared" si="58"/>
        <v>0</v>
      </c>
      <c r="AD66" s="77">
        <f t="shared" si="59"/>
        <v>1.4805357142857143</v>
      </c>
      <c r="AE66" s="77">
        <f t="shared" si="60"/>
        <v>11.451801825396824</v>
      </c>
      <c r="AF66" s="77">
        <f t="shared" si="61"/>
        <v>11.451801825396824</v>
      </c>
      <c r="AG66" s="74"/>
      <c r="AH66" s="74"/>
      <c r="AI66" s="74"/>
      <c r="AJ66" s="74"/>
      <c r="AK66" s="74"/>
      <c r="AL66" s="77">
        <f t="shared" si="62"/>
        <v>0</v>
      </c>
      <c r="AM66" s="77">
        <f t="shared" si="63"/>
        <v>57.259009126984125</v>
      </c>
      <c r="AN66" s="77">
        <f t="shared" si="64"/>
        <v>0.68710810952380952</v>
      </c>
      <c r="AO66" s="77">
        <f t="shared" si="65"/>
        <v>0.61839729857142856</v>
      </c>
      <c r="AP66" s="77">
        <f t="shared" si="66"/>
        <v>1.3055054080952382</v>
      </c>
      <c r="AQ66" s="77">
        <f t="shared" si="67"/>
        <v>4.7811272621031744</v>
      </c>
      <c r="AR66" s="77">
        <f t="shared" si="68"/>
        <v>0</v>
      </c>
      <c r="AS66" s="77">
        <f t="shared" si="69"/>
        <v>0</v>
      </c>
      <c r="AT66" s="77">
        <f t="shared" si="70"/>
        <v>4.7811272621031744</v>
      </c>
      <c r="AU66" s="77">
        <f t="shared" si="71"/>
        <v>2.8629504563492065</v>
      </c>
      <c r="AV66" s="77">
        <f t="shared" si="72"/>
        <v>2.8629504563492065</v>
      </c>
      <c r="AW66" s="77">
        <f t="shared" si="73"/>
        <v>66.208592253531748</v>
      </c>
      <c r="AX66" s="21">
        <f t="shared" si="74"/>
        <v>-9.3773210427994941E-2</v>
      </c>
      <c r="AY66" s="77">
        <f t="shared" si="2"/>
        <v>-6.2085922535317479</v>
      </c>
      <c r="AZ66" s="79">
        <f>IFERROR(H66*VLOOKUP(A66,'Tabela de Produtos'!A:Q,17,0),0)</f>
        <v>37.859999999999992</v>
      </c>
      <c r="BA66" s="74">
        <f t="shared" si="75"/>
        <v>0</v>
      </c>
      <c r="BB66" s="74">
        <f t="shared" si="75"/>
        <v>0</v>
      </c>
      <c r="BC66" s="74">
        <f t="shared" si="75"/>
        <v>0</v>
      </c>
      <c r="BD66" s="74">
        <f t="shared" si="75"/>
        <v>4.2</v>
      </c>
      <c r="BE66" s="74">
        <f t="shared" si="4"/>
        <v>3</v>
      </c>
      <c r="BF66" s="74">
        <f t="shared" si="5"/>
        <v>45.059999999999995</v>
      </c>
      <c r="BG66" s="74">
        <f t="shared" si="6"/>
        <v>14.940000000000005</v>
      </c>
      <c r="BH66" s="21">
        <f t="shared" si="7"/>
        <v>0.24900000000000008</v>
      </c>
      <c r="BI66" s="80"/>
    </row>
    <row r="67" spans="1:61" ht="14.25" customHeight="1">
      <c r="A67" s="72" t="s">
        <v>134</v>
      </c>
      <c r="B67" s="2" t="str">
        <f>IFERROR(VLOOKUP(A67,'Tabela de Produtos'!A:B,2,0),"Preencher Cód. Produto")</f>
        <v>BRAZIMIL LÁTEX ECONÔMICO INT/EXT SEMIBRILHO 15L BRANCO NEVE</v>
      </c>
      <c r="C67" s="2"/>
      <c r="D67" s="73" t="s">
        <v>40</v>
      </c>
      <c r="E67" s="73"/>
      <c r="F67" s="74" t="str">
        <f>IF(A67=0,0,VLOOKUP(A67,'Tabela de Produtos'!A:W,23,0))</f>
        <v>Cadastrar Ficha de Produção</v>
      </c>
      <c r="G67" s="74">
        <v>0</v>
      </c>
      <c r="H67" s="76">
        <v>1</v>
      </c>
      <c r="I67" s="74">
        <f t="shared" si="1"/>
        <v>0</v>
      </c>
      <c r="J67" s="77">
        <f>VLOOKUP(B67,'Tabela de Produtos'!B:M,12,FALSE())</f>
        <v>0</v>
      </c>
      <c r="K67" s="74"/>
      <c r="L67" s="74"/>
      <c r="M67" s="74"/>
      <c r="N67" s="81"/>
      <c r="O67" s="74"/>
      <c r="P67" s="74"/>
      <c r="Q67" s="74"/>
      <c r="R67" s="81"/>
      <c r="S67" s="74"/>
      <c r="T67" s="74"/>
      <c r="U67" s="74"/>
      <c r="V67" s="74"/>
      <c r="W67" s="81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7"/>
      <c r="AY67" s="77">
        <f t="shared" si="2"/>
        <v>0</v>
      </c>
      <c r="AZ67" s="79">
        <f>IFERROR(H67*VLOOKUP(A67,'Tabela de Produtos'!A:Q,17,0),0)</f>
        <v>0</v>
      </c>
      <c r="BA67" s="74">
        <f t="shared" si="75"/>
        <v>0</v>
      </c>
      <c r="BB67" s="74">
        <f t="shared" si="75"/>
        <v>0</v>
      </c>
      <c r="BC67" s="74">
        <f t="shared" si="75"/>
        <v>0</v>
      </c>
      <c r="BD67" s="74">
        <f t="shared" si="75"/>
        <v>0</v>
      </c>
      <c r="BE67" s="74">
        <f t="shared" si="4"/>
        <v>0</v>
      </c>
      <c r="BF67" s="74">
        <f t="shared" si="5"/>
        <v>0</v>
      </c>
      <c r="BG67" s="74">
        <f t="shared" si="6"/>
        <v>0</v>
      </c>
      <c r="BH67" s="21">
        <f t="shared" si="7"/>
        <v>0</v>
      </c>
      <c r="BI67" s="80"/>
    </row>
    <row r="68" spans="1:61" ht="14.25" customHeight="1">
      <c r="A68" s="72" t="s">
        <v>135</v>
      </c>
      <c r="B68" s="2" t="str">
        <f>IFERROR(VLOOKUP(A68,'Tabela de Produtos'!A:B,2,0),"Preencher Cód. Produto")</f>
        <v>BRAZIMIL LÁTEX ECONÔMICO INT/EXT SEMIBRILHO 15L BRANCO GELO</v>
      </c>
      <c r="C68" s="2"/>
      <c r="D68" s="73" t="s">
        <v>40</v>
      </c>
      <c r="E68" s="73"/>
      <c r="F68" s="74" t="str">
        <f>IF(A68=0,0,VLOOKUP(A68,'Tabela de Produtos'!A:W,23,0))</f>
        <v>Cadastrar Ficha de Produção</v>
      </c>
      <c r="G68" s="74">
        <v>0</v>
      </c>
      <c r="H68" s="76">
        <v>1</v>
      </c>
      <c r="I68" s="74">
        <f t="shared" si="1"/>
        <v>0</v>
      </c>
      <c r="J68" s="77">
        <f>VLOOKUP(B68,'Tabela de Produtos'!B:M,12,FALSE())</f>
        <v>0</v>
      </c>
      <c r="K68" s="74"/>
      <c r="L68" s="74"/>
      <c r="M68" s="74"/>
      <c r="N68" s="81"/>
      <c r="O68" s="74"/>
      <c r="P68" s="74"/>
      <c r="Q68" s="74"/>
      <c r="R68" s="81"/>
      <c r="S68" s="74"/>
      <c r="T68" s="74"/>
      <c r="U68" s="74"/>
      <c r="V68" s="74"/>
      <c r="W68" s="81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7"/>
      <c r="AY68" s="77">
        <f t="shared" si="2"/>
        <v>0</v>
      </c>
      <c r="AZ68" s="79">
        <f>IFERROR(H68*VLOOKUP(A68,'Tabela de Produtos'!A:Q,17,0),0)</f>
        <v>0</v>
      </c>
      <c r="BA68" s="74">
        <f t="shared" si="75"/>
        <v>0</v>
      </c>
      <c r="BB68" s="74">
        <f t="shared" si="75"/>
        <v>0</v>
      </c>
      <c r="BC68" s="74">
        <f t="shared" si="75"/>
        <v>0</v>
      </c>
      <c r="BD68" s="74">
        <f t="shared" si="75"/>
        <v>0</v>
      </c>
      <c r="BE68" s="74">
        <f t="shared" si="4"/>
        <v>0</v>
      </c>
      <c r="BF68" s="74">
        <f t="shared" si="5"/>
        <v>0</v>
      </c>
      <c r="BG68" s="74">
        <f t="shared" si="6"/>
        <v>0</v>
      </c>
      <c r="BH68" s="21">
        <f t="shared" si="7"/>
        <v>0</v>
      </c>
      <c r="BI68" s="80"/>
    </row>
    <row r="69" spans="1:61" ht="14.25" customHeight="1">
      <c r="A69" s="72" t="s">
        <v>136</v>
      </c>
      <c r="B69" s="2" t="str">
        <f>IFERROR(VLOOKUP(A69,'Tabela de Produtos'!A:B,2,0),"Preencher Cód. Produto")</f>
        <v>BRAZIMIL LÁTEX ECONÔMICO INT/EXT SEMIBRILHO 15L AREIA</v>
      </c>
      <c r="C69" s="2"/>
      <c r="D69" s="73" t="s">
        <v>40</v>
      </c>
      <c r="E69" s="73"/>
      <c r="F69" s="74" t="str">
        <f>IF(A69=0,0,VLOOKUP(A69,'Tabela de Produtos'!A:W,23,0))</f>
        <v>Cadastrar Ficha de Produção</v>
      </c>
      <c r="G69" s="74">
        <v>0</v>
      </c>
      <c r="H69" s="76">
        <v>1</v>
      </c>
      <c r="I69" s="74">
        <f t="shared" si="1"/>
        <v>0</v>
      </c>
      <c r="J69" s="77">
        <f>VLOOKUP(B69,'Tabela de Produtos'!B:M,12,FALSE())</f>
        <v>0</v>
      </c>
      <c r="K69" s="74"/>
      <c r="L69" s="74"/>
      <c r="M69" s="74"/>
      <c r="N69" s="81"/>
      <c r="O69" s="74"/>
      <c r="P69" s="74"/>
      <c r="Q69" s="74"/>
      <c r="R69" s="81"/>
      <c r="S69" s="74"/>
      <c r="T69" s="74"/>
      <c r="U69" s="74"/>
      <c r="V69" s="74"/>
      <c r="W69" s="81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7"/>
      <c r="AY69" s="77">
        <f t="shared" si="2"/>
        <v>0</v>
      </c>
      <c r="AZ69" s="79">
        <f>IFERROR(H69*VLOOKUP(A69,'Tabela de Produtos'!A:Q,17,0),0)</f>
        <v>0</v>
      </c>
      <c r="BA69" s="74">
        <f t="shared" si="75"/>
        <v>0</v>
      </c>
      <c r="BB69" s="74">
        <f t="shared" si="75"/>
        <v>0</v>
      </c>
      <c r="BC69" s="74">
        <f t="shared" si="75"/>
        <v>0</v>
      </c>
      <c r="BD69" s="74">
        <f t="shared" si="75"/>
        <v>0</v>
      </c>
      <c r="BE69" s="74">
        <f t="shared" si="4"/>
        <v>0</v>
      </c>
      <c r="BF69" s="74">
        <f t="shared" si="5"/>
        <v>0</v>
      </c>
      <c r="BG69" s="74">
        <f t="shared" si="6"/>
        <v>0</v>
      </c>
      <c r="BH69" s="21">
        <f t="shared" si="7"/>
        <v>0</v>
      </c>
      <c r="BI69" s="80"/>
    </row>
    <row r="70" spans="1:61" ht="14.25" customHeight="1">
      <c r="A70" s="72" t="s">
        <v>137</v>
      </c>
      <c r="B70" s="2" t="str">
        <f>IFERROR(VLOOKUP(A70,'Tabela de Produtos'!A:B,2,0),"Preencher Cód. Produto")</f>
        <v>BRAZIMIL LÁTEX ECONÔMICO INT/EXT SEMIBRILHO 15L PALHA</v>
      </c>
      <c r="C70" s="2"/>
      <c r="D70" s="73" t="s">
        <v>40</v>
      </c>
      <c r="E70" s="73"/>
      <c r="F70" s="74" t="str">
        <f>IF(A70=0,0,VLOOKUP(A70,'Tabela de Produtos'!A:W,23,0))</f>
        <v>Cadastrar Ficha de Produção</v>
      </c>
      <c r="G70" s="74">
        <v>0</v>
      </c>
      <c r="H70" s="76">
        <v>1</v>
      </c>
      <c r="I70" s="74">
        <f t="shared" si="1"/>
        <v>0</v>
      </c>
      <c r="J70" s="77">
        <f>VLOOKUP(B70,'Tabela de Produtos'!B:M,12,FALSE())</f>
        <v>0</v>
      </c>
      <c r="K70" s="74"/>
      <c r="L70" s="74"/>
      <c r="M70" s="74"/>
      <c r="N70" s="81"/>
      <c r="O70" s="74"/>
      <c r="P70" s="74"/>
      <c r="Q70" s="74"/>
      <c r="R70" s="81"/>
      <c r="S70" s="74"/>
      <c r="T70" s="74"/>
      <c r="U70" s="74"/>
      <c r="V70" s="74"/>
      <c r="W70" s="81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7"/>
      <c r="AY70" s="77">
        <f t="shared" si="2"/>
        <v>0</v>
      </c>
      <c r="AZ70" s="79">
        <f>IFERROR(H70*VLOOKUP(A70,'Tabela de Produtos'!A:Q,17,0),0)</f>
        <v>0</v>
      </c>
      <c r="BA70" s="74">
        <f t="shared" si="75"/>
        <v>0</v>
      </c>
      <c r="BB70" s="74">
        <f t="shared" si="75"/>
        <v>0</v>
      </c>
      <c r="BC70" s="74">
        <f t="shared" si="75"/>
        <v>0</v>
      </c>
      <c r="BD70" s="74">
        <f t="shared" si="75"/>
        <v>0</v>
      </c>
      <c r="BE70" s="74">
        <f t="shared" si="4"/>
        <v>0</v>
      </c>
      <c r="BF70" s="74">
        <f t="shared" si="5"/>
        <v>0</v>
      </c>
      <c r="BG70" s="74">
        <f t="shared" si="6"/>
        <v>0</v>
      </c>
      <c r="BH70" s="21">
        <f t="shared" si="7"/>
        <v>0</v>
      </c>
      <c r="BI70" s="80"/>
    </row>
    <row r="71" spans="1:61" ht="14.25" customHeight="1">
      <c r="A71" s="72" t="s">
        <v>138</v>
      </c>
      <c r="B71" s="2" t="str">
        <f>IFERROR(VLOOKUP(A71,'Tabela de Produtos'!A:B,2,0),"Preencher Cód. Produto")</f>
        <v>BRAZIMIL LÁTEX ECONÔMICO INT/EXT SEMIBRILHO 15L VERDE PRIMAVERA</v>
      </c>
      <c r="C71" s="2"/>
      <c r="D71" s="73" t="s">
        <v>40</v>
      </c>
      <c r="E71" s="73"/>
      <c r="F71" s="74" t="str">
        <f>IF(A71=0,0,VLOOKUP(A71,'Tabela de Produtos'!A:W,23,0))</f>
        <v>Cadastrar Ficha de Produção</v>
      </c>
      <c r="G71" s="74">
        <v>0</v>
      </c>
      <c r="H71" s="76">
        <v>1</v>
      </c>
      <c r="I71" s="74">
        <f t="shared" si="1"/>
        <v>0</v>
      </c>
      <c r="J71" s="77">
        <f>VLOOKUP(B71,'Tabela de Produtos'!B:M,12,FALSE())</f>
        <v>0</v>
      </c>
      <c r="K71" s="74"/>
      <c r="L71" s="74"/>
      <c r="M71" s="74"/>
      <c r="N71" s="81"/>
      <c r="O71" s="74"/>
      <c r="P71" s="74"/>
      <c r="Q71" s="74"/>
      <c r="R71" s="81"/>
      <c r="S71" s="74"/>
      <c r="T71" s="74"/>
      <c r="U71" s="74"/>
      <c r="V71" s="74"/>
      <c r="W71" s="81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7"/>
      <c r="AY71" s="77">
        <f t="shared" si="2"/>
        <v>0</v>
      </c>
      <c r="AZ71" s="79">
        <f>IFERROR(H71*VLOOKUP(A71,'Tabela de Produtos'!A:Q,17,0),0)</f>
        <v>0</v>
      </c>
      <c r="BA71" s="74">
        <f t="shared" si="75"/>
        <v>0</v>
      </c>
      <c r="BB71" s="74">
        <f t="shared" si="75"/>
        <v>0</v>
      </c>
      <c r="BC71" s="74">
        <f t="shared" si="75"/>
        <v>0</v>
      </c>
      <c r="BD71" s="74">
        <f t="shared" si="75"/>
        <v>0</v>
      </c>
      <c r="BE71" s="74">
        <f t="shared" si="4"/>
        <v>0</v>
      </c>
      <c r="BF71" s="74">
        <f t="shared" si="5"/>
        <v>0</v>
      </c>
      <c r="BG71" s="74">
        <f t="shared" si="6"/>
        <v>0</v>
      </c>
      <c r="BH71" s="21">
        <f t="shared" si="7"/>
        <v>0</v>
      </c>
      <c r="BI71" s="80"/>
    </row>
    <row r="72" spans="1:61" ht="14.25" customHeight="1">
      <c r="A72" s="72" t="s">
        <v>139</v>
      </c>
      <c r="B72" s="2" t="str">
        <f>IFERROR(VLOOKUP(A72,'Tabela de Produtos'!A:B,2,0),"Preencher Cód. Produto")</f>
        <v>BRAZIMIL LÁTEX ECONÔMICO INT/EXT SEMIBRILHO 15L VERDE FOLHA</v>
      </c>
      <c r="C72" s="2"/>
      <c r="D72" s="73" t="s">
        <v>40</v>
      </c>
      <c r="E72" s="73"/>
      <c r="F72" s="74" t="str">
        <f>IF(A72=0,0,VLOOKUP(A72,'Tabela de Produtos'!A:W,23,0))</f>
        <v>Cadastrar Ficha de Produção</v>
      </c>
      <c r="G72" s="74">
        <v>0</v>
      </c>
      <c r="H72" s="76">
        <v>1</v>
      </c>
      <c r="I72" s="74">
        <f t="shared" si="1"/>
        <v>0</v>
      </c>
      <c r="J72" s="77">
        <f>VLOOKUP(B72,'Tabela de Produtos'!B:M,12,FALSE())</f>
        <v>0</v>
      </c>
      <c r="K72" s="74"/>
      <c r="L72" s="74"/>
      <c r="M72" s="74"/>
      <c r="N72" s="81"/>
      <c r="O72" s="74"/>
      <c r="P72" s="74"/>
      <c r="Q72" s="74"/>
      <c r="R72" s="81"/>
      <c r="S72" s="74"/>
      <c r="T72" s="74"/>
      <c r="U72" s="74"/>
      <c r="V72" s="74"/>
      <c r="W72" s="81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7"/>
      <c r="AY72" s="77">
        <f t="shared" si="2"/>
        <v>0</v>
      </c>
      <c r="AZ72" s="79">
        <f>IFERROR(H72*VLOOKUP(A72,'Tabela de Produtos'!A:Q,17,0),0)</f>
        <v>0</v>
      </c>
      <c r="BA72" s="74">
        <f t="shared" si="75"/>
        <v>0</v>
      </c>
      <c r="BB72" s="74">
        <f t="shared" si="75"/>
        <v>0</v>
      </c>
      <c r="BC72" s="74">
        <f t="shared" si="75"/>
        <v>0</v>
      </c>
      <c r="BD72" s="74">
        <f t="shared" si="75"/>
        <v>0</v>
      </c>
      <c r="BE72" s="74">
        <f t="shared" si="4"/>
        <v>0</v>
      </c>
      <c r="BF72" s="74">
        <f t="shared" si="5"/>
        <v>0</v>
      </c>
      <c r="BG72" s="74">
        <f t="shared" si="6"/>
        <v>0</v>
      </c>
      <c r="BH72" s="21">
        <f t="shared" si="7"/>
        <v>0</v>
      </c>
      <c r="BI72" s="80"/>
    </row>
    <row r="73" spans="1:61" ht="14.25" customHeight="1">
      <c r="A73" s="72" t="s">
        <v>140</v>
      </c>
      <c r="B73" s="2" t="str">
        <f>IFERROR(VLOOKUP(A73,'Tabela de Produtos'!A:B,2,0),"Preencher Cód. Produto")</f>
        <v>BRAZIMIL LÁTEX ECONÔMICO INT/EXT SEMIBRILHO 15L AZUL CEU</v>
      </c>
      <c r="C73" s="2"/>
      <c r="D73" s="73" t="s">
        <v>40</v>
      </c>
      <c r="E73" s="73"/>
      <c r="F73" s="74" t="str">
        <f>IF(A73=0,0,VLOOKUP(A73,'Tabela de Produtos'!A:W,23,0))</f>
        <v>Cadastrar Ficha de Produção</v>
      </c>
      <c r="G73" s="74">
        <v>0</v>
      </c>
      <c r="H73" s="76">
        <v>1</v>
      </c>
      <c r="I73" s="74">
        <f t="shared" si="1"/>
        <v>0</v>
      </c>
      <c r="J73" s="77">
        <f>VLOOKUP(B73,'Tabela de Produtos'!B:M,12,FALSE())</f>
        <v>0</v>
      </c>
      <c r="K73" s="74"/>
      <c r="L73" s="74"/>
      <c r="M73" s="74"/>
      <c r="N73" s="81"/>
      <c r="O73" s="74"/>
      <c r="P73" s="74"/>
      <c r="Q73" s="74"/>
      <c r="R73" s="81"/>
      <c r="S73" s="74"/>
      <c r="T73" s="74"/>
      <c r="U73" s="74"/>
      <c r="V73" s="74"/>
      <c r="W73" s="81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7"/>
      <c r="AY73" s="77">
        <f t="shared" si="2"/>
        <v>0</v>
      </c>
      <c r="AZ73" s="79">
        <f>IFERROR(H73*VLOOKUP(A73,'Tabela de Produtos'!A:Q,17,0),0)</f>
        <v>0</v>
      </c>
      <c r="BA73" s="74">
        <f t="shared" si="75"/>
        <v>0</v>
      </c>
      <c r="BB73" s="74">
        <f t="shared" si="75"/>
        <v>0</v>
      </c>
      <c r="BC73" s="74">
        <f t="shared" si="75"/>
        <v>0</v>
      </c>
      <c r="BD73" s="74">
        <f t="shared" si="75"/>
        <v>0</v>
      </c>
      <c r="BE73" s="74">
        <f t="shared" si="4"/>
        <v>0</v>
      </c>
      <c r="BF73" s="74">
        <f t="shared" si="5"/>
        <v>0</v>
      </c>
      <c r="BG73" s="74">
        <f t="shared" si="6"/>
        <v>0</v>
      </c>
      <c r="BH73" s="21">
        <f t="shared" si="7"/>
        <v>0</v>
      </c>
      <c r="BI73" s="80"/>
    </row>
    <row r="74" spans="1:61" ht="14.25" customHeight="1">
      <c r="A74" s="72" t="s">
        <v>141</v>
      </c>
      <c r="B74" s="2" t="str">
        <f>IFERROR(VLOOKUP(A74,'Tabela de Produtos'!A:B,2,0),"Preencher Cód. Produto")</f>
        <v>BRAZIMIL LÁTEX ECONÔMICO INT/EXT SEMIBRILHO 15L AZUL OCEANO</v>
      </c>
      <c r="C74" s="2"/>
      <c r="D74" s="73" t="s">
        <v>40</v>
      </c>
      <c r="E74" s="73"/>
      <c r="F74" s="74" t="str">
        <f>IF(A74=0,0,VLOOKUP(A74,'Tabela de Produtos'!A:W,23,0))</f>
        <v>Cadastrar Ficha de Produção</v>
      </c>
      <c r="G74" s="74">
        <v>0</v>
      </c>
      <c r="H74" s="76">
        <v>1</v>
      </c>
      <c r="I74" s="74">
        <f t="shared" si="1"/>
        <v>0</v>
      </c>
      <c r="J74" s="77">
        <f>VLOOKUP(B74,'Tabela de Produtos'!B:M,12,FALSE())</f>
        <v>0</v>
      </c>
      <c r="K74" s="74"/>
      <c r="L74" s="74"/>
      <c r="M74" s="74"/>
      <c r="N74" s="81"/>
      <c r="O74" s="74"/>
      <c r="P74" s="74"/>
      <c r="Q74" s="74"/>
      <c r="R74" s="81"/>
      <c r="S74" s="74"/>
      <c r="T74" s="74"/>
      <c r="U74" s="74"/>
      <c r="V74" s="74"/>
      <c r="W74" s="81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7"/>
      <c r="AY74" s="77">
        <f t="shared" si="2"/>
        <v>0</v>
      </c>
      <c r="AZ74" s="79">
        <f>IFERROR(H74*VLOOKUP(A74,'Tabela de Produtos'!A:Q,17,0),0)</f>
        <v>0</v>
      </c>
      <c r="BA74" s="74">
        <f t="shared" ref="BA74:BD93" si="76">$I74*BA$12</f>
        <v>0</v>
      </c>
      <c r="BB74" s="74">
        <f t="shared" si="76"/>
        <v>0</v>
      </c>
      <c r="BC74" s="74">
        <f t="shared" si="76"/>
        <v>0</v>
      </c>
      <c r="BD74" s="74">
        <f t="shared" si="76"/>
        <v>0</v>
      </c>
      <c r="BE74" s="74">
        <f t="shared" si="4"/>
        <v>0</v>
      </c>
      <c r="BF74" s="74">
        <f t="shared" si="5"/>
        <v>0</v>
      </c>
      <c r="BG74" s="74">
        <f t="shared" si="6"/>
        <v>0</v>
      </c>
      <c r="BH74" s="21">
        <f t="shared" si="7"/>
        <v>0</v>
      </c>
      <c r="BI74" s="80"/>
    </row>
    <row r="75" spans="1:61" ht="14.25" customHeight="1">
      <c r="A75" s="72" t="s">
        <v>142</v>
      </c>
      <c r="B75" s="2" t="str">
        <f>IFERROR(VLOOKUP(A75,'Tabela de Produtos'!A:B,2,0),"Preencher Cód. Produto")</f>
        <v>BRAZIMIL LÁTEX ECONÔMICO INT/EXT SEMIBRILHO 15L AMARELO CANARIO</v>
      </c>
      <c r="C75" s="2"/>
      <c r="D75" s="73" t="s">
        <v>40</v>
      </c>
      <c r="E75" s="73"/>
      <c r="F75" s="74" t="str">
        <f>IF(A75=0,0,VLOOKUP(A75,'Tabela de Produtos'!A:W,23,0))</f>
        <v>Cadastrar Ficha de Produção</v>
      </c>
      <c r="G75" s="74">
        <v>0</v>
      </c>
      <c r="H75" s="76">
        <v>1</v>
      </c>
      <c r="I75" s="74">
        <f t="shared" si="1"/>
        <v>0</v>
      </c>
      <c r="J75" s="77">
        <f>VLOOKUP(B75,'Tabela de Produtos'!B:M,12,FALSE())</f>
        <v>0</v>
      </c>
      <c r="K75" s="74"/>
      <c r="L75" s="74"/>
      <c r="M75" s="74"/>
      <c r="N75" s="81"/>
      <c r="O75" s="74"/>
      <c r="P75" s="74"/>
      <c r="Q75" s="74"/>
      <c r="R75" s="81"/>
      <c r="S75" s="74"/>
      <c r="T75" s="74"/>
      <c r="U75" s="74"/>
      <c r="V75" s="74"/>
      <c r="W75" s="81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7"/>
      <c r="AY75" s="77">
        <f t="shared" si="2"/>
        <v>0</v>
      </c>
      <c r="AZ75" s="79">
        <f>IFERROR(H75*VLOOKUP(A75,'Tabela de Produtos'!A:Q,17,0),0)</f>
        <v>0</v>
      </c>
      <c r="BA75" s="74">
        <f t="shared" si="76"/>
        <v>0</v>
      </c>
      <c r="BB75" s="74">
        <f t="shared" si="76"/>
        <v>0</v>
      </c>
      <c r="BC75" s="74">
        <f t="shared" si="76"/>
        <v>0</v>
      </c>
      <c r="BD75" s="74">
        <f t="shared" si="76"/>
        <v>0</v>
      </c>
      <c r="BE75" s="74">
        <f t="shared" si="4"/>
        <v>0</v>
      </c>
      <c r="BF75" s="74">
        <f t="shared" si="5"/>
        <v>0</v>
      </c>
      <c r="BG75" s="74">
        <f t="shared" si="6"/>
        <v>0</v>
      </c>
      <c r="BH75" s="21">
        <f t="shared" si="7"/>
        <v>0</v>
      </c>
      <c r="BI75" s="80"/>
    </row>
    <row r="76" spans="1:61" ht="14.25" customHeight="1">
      <c r="A76" s="72" t="s">
        <v>143</v>
      </c>
      <c r="B76" s="2" t="str">
        <f>IFERROR(VLOOKUP(A76,'Tabela de Produtos'!A:B,2,0),"Preencher Cód. Produto")</f>
        <v>BRAZIMIL LÁTEX ECONÔMICO INT/EXT SEMIBRILHO 15L CROMO SUAVE</v>
      </c>
      <c r="C76" s="2"/>
      <c r="D76" s="73" t="s">
        <v>40</v>
      </c>
      <c r="E76" s="73"/>
      <c r="F76" s="74" t="str">
        <f>IF(A76=0,0,VLOOKUP(A76,'Tabela de Produtos'!A:W,23,0))</f>
        <v>Cadastrar Ficha de Produção</v>
      </c>
      <c r="G76" s="74">
        <v>0</v>
      </c>
      <c r="H76" s="76">
        <v>1</v>
      </c>
      <c r="I76" s="74">
        <f t="shared" si="1"/>
        <v>0</v>
      </c>
      <c r="J76" s="77">
        <f>VLOOKUP(B76,'Tabela de Produtos'!B:M,12,FALSE())</f>
        <v>0</v>
      </c>
      <c r="K76" s="74"/>
      <c r="L76" s="74"/>
      <c r="M76" s="74"/>
      <c r="N76" s="81"/>
      <c r="O76" s="74"/>
      <c r="P76" s="74"/>
      <c r="Q76" s="74"/>
      <c r="R76" s="81"/>
      <c r="S76" s="74"/>
      <c r="T76" s="74"/>
      <c r="U76" s="74"/>
      <c r="V76" s="74"/>
      <c r="W76" s="81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7"/>
      <c r="AY76" s="77">
        <f t="shared" si="2"/>
        <v>0</v>
      </c>
      <c r="AZ76" s="79">
        <f>IFERROR(H76*VLOOKUP(A76,'Tabela de Produtos'!A:Q,17,0),0)</f>
        <v>0</v>
      </c>
      <c r="BA76" s="74">
        <f t="shared" si="76"/>
        <v>0</v>
      </c>
      <c r="BB76" s="74">
        <f t="shared" si="76"/>
        <v>0</v>
      </c>
      <c r="BC76" s="74">
        <f t="shared" si="76"/>
        <v>0</v>
      </c>
      <c r="BD76" s="74">
        <f t="shared" si="76"/>
        <v>0</v>
      </c>
      <c r="BE76" s="74">
        <f t="shared" si="4"/>
        <v>0</v>
      </c>
      <c r="BF76" s="74">
        <f t="shared" si="5"/>
        <v>0</v>
      </c>
      <c r="BG76" s="74">
        <f t="shared" si="6"/>
        <v>0</v>
      </c>
      <c r="BH76" s="21">
        <f t="shared" si="7"/>
        <v>0</v>
      </c>
      <c r="BI76" s="80"/>
    </row>
    <row r="77" spans="1:61" ht="14.25" customHeight="1">
      <c r="A77" s="72" t="s">
        <v>144</v>
      </c>
      <c r="B77" s="2" t="str">
        <f>IFERROR(VLOOKUP(A77,'Tabela de Produtos'!A:B,2,0),"Preencher Cód. Produto")</f>
        <v>BRAZIMIL LÁTEX ECONÔMICO INT/EXT SEMIBRILHO 15L ROSA BEBE</v>
      </c>
      <c r="C77" s="2"/>
      <c r="D77" s="73" t="s">
        <v>40</v>
      </c>
      <c r="E77" s="73"/>
      <c r="F77" s="74" t="str">
        <f>IF(A77=0,0,VLOOKUP(A77,'Tabela de Produtos'!A:W,23,0))</f>
        <v>Cadastrar Ficha de Produção</v>
      </c>
      <c r="G77" s="74">
        <v>0</v>
      </c>
      <c r="H77" s="76">
        <v>1</v>
      </c>
      <c r="I77" s="74">
        <f t="shared" si="1"/>
        <v>0</v>
      </c>
      <c r="J77" s="77">
        <f>VLOOKUP(B77,'Tabela de Produtos'!B:M,12,FALSE())</f>
        <v>0</v>
      </c>
      <c r="K77" s="74"/>
      <c r="L77" s="74"/>
      <c r="M77" s="74"/>
      <c r="N77" s="81"/>
      <c r="O77" s="74"/>
      <c r="P77" s="74"/>
      <c r="Q77" s="74"/>
      <c r="R77" s="81"/>
      <c r="S77" s="74"/>
      <c r="T77" s="74"/>
      <c r="U77" s="74"/>
      <c r="V77" s="74"/>
      <c r="W77" s="81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7"/>
      <c r="AY77" s="77">
        <f t="shared" si="2"/>
        <v>0</v>
      </c>
      <c r="AZ77" s="79">
        <f>IFERROR(H77*VLOOKUP(A77,'Tabela de Produtos'!A:Q,17,0),0)</f>
        <v>0</v>
      </c>
      <c r="BA77" s="74">
        <f t="shared" si="76"/>
        <v>0</v>
      </c>
      <c r="BB77" s="74">
        <f t="shared" si="76"/>
        <v>0</v>
      </c>
      <c r="BC77" s="74">
        <f t="shared" si="76"/>
        <v>0</v>
      </c>
      <c r="BD77" s="74">
        <f t="shared" si="76"/>
        <v>0</v>
      </c>
      <c r="BE77" s="74">
        <f t="shared" si="4"/>
        <v>0</v>
      </c>
      <c r="BF77" s="74">
        <f t="shared" si="5"/>
        <v>0</v>
      </c>
      <c r="BG77" s="74">
        <f t="shared" si="6"/>
        <v>0</v>
      </c>
      <c r="BH77" s="21">
        <f t="shared" si="7"/>
        <v>0</v>
      </c>
      <c r="BI77" s="80"/>
    </row>
    <row r="78" spans="1:61" ht="14.25" customHeight="1">
      <c r="A78" s="72" t="s">
        <v>145</v>
      </c>
      <c r="B78" s="2" t="str">
        <f>IFERROR(VLOOKUP(A78,'Tabela de Produtos'!A:B,2,0),"Preencher Cód. Produto")</f>
        <v>BRAZIMIL LÁTEX ECONÔMICO INT/EXT SEMIBRILHO 15L MARFIM</v>
      </c>
      <c r="C78" s="2"/>
      <c r="D78" s="73" t="s">
        <v>40</v>
      </c>
      <c r="E78" s="73"/>
      <c r="F78" s="74" t="str">
        <f>IF(A78=0,0,VLOOKUP(A78,'Tabela de Produtos'!A:W,23,0))</f>
        <v>Cadastrar Ficha de Produção</v>
      </c>
      <c r="G78" s="74">
        <v>0</v>
      </c>
      <c r="H78" s="76">
        <v>1</v>
      </c>
      <c r="I78" s="74">
        <f t="shared" ref="I78:I141" si="77">G78*H78</f>
        <v>0</v>
      </c>
      <c r="J78" s="77">
        <f>VLOOKUP(B78,'Tabela de Produtos'!B:M,12,FALSE())</f>
        <v>0</v>
      </c>
      <c r="K78" s="74"/>
      <c r="L78" s="74"/>
      <c r="M78" s="74"/>
      <c r="N78" s="81"/>
      <c r="O78" s="74"/>
      <c r="P78" s="74"/>
      <c r="Q78" s="74"/>
      <c r="R78" s="81"/>
      <c r="S78" s="74"/>
      <c r="T78" s="74"/>
      <c r="U78" s="74"/>
      <c r="V78" s="74"/>
      <c r="W78" s="81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7"/>
      <c r="AY78" s="77">
        <f t="shared" ref="AY78:AY141" si="78">I78-AW78</f>
        <v>0</v>
      </c>
      <c r="AZ78" s="79">
        <f>IFERROR(H78*VLOOKUP(A78,'Tabela de Produtos'!A:Q,17,0),0)</f>
        <v>0</v>
      </c>
      <c r="BA78" s="74">
        <f t="shared" si="76"/>
        <v>0</v>
      </c>
      <c r="BB78" s="74">
        <f t="shared" si="76"/>
        <v>0</v>
      </c>
      <c r="BC78" s="74">
        <f t="shared" si="76"/>
        <v>0</v>
      </c>
      <c r="BD78" s="74">
        <f t="shared" si="76"/>
        <v>0</v>
      </c>
      <c r="BE78" s="74">
        <f t="shared" ref="BE78:BE141" si="79">I78*$BE$12</f>
        <v>0</v>
      </c>
      <c r="BF78" s="74">
        <f t="shared" ref="BF78:BF141" si="80">SUM(AZ78:BE78)</f>
        <v>0</v>
      </c>
      <c r="BG78" s="74">
        <f t="shared" ref="BG78:BG141" si="81">I78-BF78</f>
        <v>0</v>
      </c>
      <c r="BH78" s="21">
        <f t="shared" ref="BH78:BH141" si="82">IF(F78="Cadastrar Ficha de Produção",0,IFERROR(BG78/I78,0))</f>
        <v>0</v>
      </c>
      <c r="BI78" s="80"/>
    </row>
    <row r="79" spans="1:61" ht="14.25" customHeight="1">
      <c r="A79" s="72" t="s">
        <v>146</v>
      </c>
      <c r="B79" s="2" t="str">
        <f>IFERROR(VLOOKUP(A79,'Tabela de Produtos'!A:B,2,0),"Preencher Cód. Produto")</f>
        <v>BRAZIMIL LÁTEX ECONÔMICO INT/EXT SEMIBRILHO 15L AMARELO IPE</v>
      </c>
      <c r="C79" s="2"/>
      <c r="D79" s="73" t="s">
        <v>40</v>
      </c>
      <c r="E79" s="73"/>
      <c r="F79" s="74" t="str">
        <f>IF(A79=0,0,VLOOKUP(A79,'Tabela de Produtos'!A:W,23,0))</f>
        <v>Cadastrar Ficha de Produção</v>
      </c>
      <c r="G79" s="74">
        <v>0</v>
      </c>
      <c r="H79" s="76">
        <v>1</v>
      </c>
      <c r="I79" s="74">
        <f t="shared" si="77"/>
        <v>0</v>
      </c>
      <c r="J79" s="77">
        <f>VLOOKUP(B79,'Tabela de Produtos'!B:M,12,FALSE())</f>
        <v>0</v>
      </c>
      <c r="K79" s="74"/>
      <c r="L79" s="74"/>
      <c r="M79" s="74"/>
      <c r="N79" s="81"/>
      <c r="O79" s="74"/>
      <c r="P79" s="74"/>
      <c r="Q79" s="74"/>
      <c r="R79" s="81"/>
      <c r="S79" s="74"/>
      <c r="T79" s="74"/>
      <c r="U79" s="74"/>
      <c r="V79" s="74"/>
      <c r="W79" s="81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7"/>
      <c r="AY79" s="77">
        <f t="shared" si="78"/>
        <v>0</v>
      </c>
      <c r="AZ79" s="79">
        <f>IFERROR(H79*VLOOKUP(A79,'Tabela de Produtos'!A:Q,17,0),0)</f>
        <v>0</v>
      </c>
      <c r="BA79" s="74">
        <f t="shared" si="76"/>
        <v>0</v>
      </c>
      <c r="BB79" s="74">
        <f t="shared" si="76"/>
        <v>0</v>
      </c>
      <c r="BC79" s="74">
        <f t="shared" si="76"/>
        <v>0</v>
      </c>
      <c r="BD79" s="74">
        <f t="shared" si="76"/>
        <v>0</v>
      </c>
      <c r="BE79" s="74">
        <f t="shared" si="79"/>
        <v>0</v>
      </c>
      <c r="BF79" s="74">
        <f t="shared" si="80"/>
        <v>0</v>
      </c>
      <c r="BG79" s="74">
        <f t="shared" si="81"/>
        <v>0</v>
      </c>
      <c r="BH79" s="21">
        <f t="shared" si="82"/>
        <v>0</v>
      </c>
      <c r="BI79" s="80"/>
    </row>
    <row r="80" spans="1:61" ht="14.25" customHeight="1">
      <c r="A80" s="72" t="s">
        <v>147</v>
      </c>
      <c r="B80" s="2" t="str">
        <f>IFERROR(VLOOKUP(A80,'Tabela de Produtos'!A:B,2,0),"Preencher Cód. Produto")</f>
        <v>BRAZIMIL LÁTEX ECONÔMICO INT/EXT SEMIBRILHO 15L DAMASCO</v>
      </c>
      <c r="C80" s="2"/>
      <c r="D80" s="73" t="s">
        <v>40</v>
      </c>
      <c r="E80" s="73"/>
      <c r="F80" s="74" t="str">
        <f>IF(A80=0,0,VLOOKUP(A80,'Tabela de Produtos'!A:W,23,0))</f>
        <v>Cadastrar Ficha de Produção</v>
      </c>
      <c r="G80" s="74">
        <v>0</v>
      </c>
      <c r="H80" s="76">
        <v>1</v>
      </c>
      <c r="I80" s="74">
        <f t="shared" si="77"/>
        <v>0</v>
      </c>
      <c r="J80" s="77">
        <f>VLOOKUP(B80,'Tabela de Produtos'!B:M,12,FALSE())</f>
        <v>0</v>
      </c>
      <c r="K80" s="74"/>
      <c r="L80" s="74"/>
      <c r="M80" s="74"/>
      <c r="N80" s="81"/>
      <c r="O80" s="74"/>
      <c r="P80" s="74"/>
      <c r="Q80" s="74"/>
      <c r="R80" s="81"/>
      <c r="S80" s="74"/>
      <c r="T80" s="74"/>
      <c r="U80" s="74"/>
      <c r="V80" s="74"/>
      <c r="W80" s="81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7"/>
      <c r="AY80" s="77">
        <f t="shared" si="78"/>
        <v>0</v>
      </c>
      <c r="AZ80" s="79">
        <f>IFERROR(H80*VLOOKUP(A80,'Tabela de Produtos'!A:Q,17,0),0)</f>
        <v>0</v>
      </c>
      <c r="BA80" s="74">
        <f t="shared" si="76"/>
        <v>0</v>
      </c>
      <c r="BB80" s="74">
        <f t="shared" si="76"/>
        <v>0</v>
      </c>
      <c r="BC80" s="74">
        <f t="shared" si="76"/>
        <v>0</v>
      </c>
      <c r="BD80" s="74">
        <f t="shared" si="76"/>
        <v>0</v>
      </c>
      <c r="BE80" s="74">
        <f t="shared" si="79"/>
        <v>0</v>
      </c>
      <c r="BF80" s="74">
        <f t="shared" si="80"/>
        <v>0</v>
      </c>
      <c r="BG80" s="74">
        <f t="shared" si="81"/>
        <v>0</v>
      </c>
      <c r="BH80" s="21">
        <f t="shared" si="82"/>
        <v>0</v>
      </c>
      <c r="BI80" s="80"/>
    </row>
    <row r="81" spans="1:61" ht="14.25" customHeight="1">
      <c r="A81" s="72" t="s">
        <v>148</v>
      </c>
      <c r="B81" s="2" t="str">
        <f>IFERROR(VLOOKUP(A81,'Tabela de Produtos'!A:B,2,0),"Preencher Cód. Produto")</f>
        <v>BRAZIMIL LÁTEX ECONÔMICO INT/EXT SEMIBRILHO 15L PEROLA</v>
      </c>
      <c r="C81" s="2"/>
      <c r="D81" s="73" t="s">
        <v>40</v>
      </c>
      <c r="E81" s="73"/>
      <c r="F81" s="74" t="str">
        <f>IF(A81=0,0,VLOOKUP(A81,'Tabela de Produtos'!A:W,23,0))</f>
        <v>Cadastrar Ficha de Produção</v>
      </c>
      <c r="G81" s="74">
        <v>0</v>
      </c>
      <c r="H81" s="76">
        <v>1</v>
      </c>
      <c r="I81" s="74">
        <f t="shared" si="77"/>
        <v>0</v>
      </c>
      <c r="J81" s="77">
        <f>VLOOKUP(B81,'Tabela de Produtos'!B:M,12,FALSE())</f>
        <v>0</v>
      </c>
      <c r="K81" s="74"/>
      <c r="L81" s="74"/>
      <c r="M81" s="74"/>
      <c r="N81" s="81"/>
      <c r="O81" s="74"/>
      <c r="P81" s="74"/>
      <c r="Q81" s="74"/>
      <c r="R81" s="81"/>
      <c r="S81" s="74"/>
      <c r="T81" s="74"/>
      <c r="U81" s="74"/>
      <c r="V81" s="74"/>
      <c r="W81" s="81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7"/>
      <c r="AY81" s="77">
        <f t="shared" si="78"/>
        <v>0</v>
      </c>
      <c r="AZ81" s="79">
        <f>IFERROR(H81*VLOOKUP(A81,'Tabela de Produtos'!A:Q,17,0),0)</f>
        <v>0</v>
      </c>
      <c r="BA81" s="74">
        <f t="shared" si="76"/>
        <v>0</v>
      </c>
      <c r="BB81" s="74">
        <f t="shared" si="76"/>
        <v>0</v>
      </c>
      <c r="BC81" s="74">
        <f t="shared" si="76"/>
        <v>0</v>
      </c>
      <c r="BD81" s="74">
        <f t="shared" si="76"/>
        <v>0</v>
      </c>
      <c r="BE81" s="74">
        <f t="shared" si="79"/>
        <v>0</v>
      </c>
      <c r="BF81" s="74">
        <f t="shared" si="80"/>
        <v>0</v>
      </c>
      <c r="BG81" s="74">
        <f t="shared" si="81"/>
        <v>0</v>
      </c>
      <c r="BH81" s="21">
        <f t="shared" si="82"/>
        <v>0</v>
      </c>
      <c r="BI81" s="80"/>
    </row>
    <row r="82" spans="1:61" ht="14.25" customHeight="1">
      <c r="A82" s="72" t="s">
        <v>149</v>
      </c>
      <c r="B82" s="2" t="str">
        <f>IFERROR(VLOOKUP(A82,'Tabela de Produtos'!A:B,2,0),"Preencher Cód. Produto")</f>
        <v>BRAZIMIL LÁTEX STANDARD INT/EXT FOSCO 3L BRANCO NEVE</v>
      </c>
      <c r="C82" s="2"/>
      <c r="D82" s="73" t="s">
        <v>66</v>
      </c>
      <c r="E82" s="73">
        <v>100</v>
      </c>
      <c r="F82" s="74">
        <f>IF(A82=0,0,VLOOKUP(A82,'Tabela de Produtos'!A:W,23,0))</f>
        <v>16.12</v>
      </c>
      <c r="G82" s="75">
        <v>41.9</v>
      </c>
      <c r="H82" s="76">
        <v>1</v>
      </c>
      <c r="I82" s="74">
        <f t="shared" si="77"/>
        <v>41.9</v>
      </c>
      <c r="J82" s="77">
        <f>VLOOKUP(B82,'Tabela de Produtos'!B:M,12,FALSE())</f>
        <v>9.81</v>
      </c>
      <c r="K82" s="77">
        <f>VLOOKUP(B82,'Tabela de Produtos'!B:P,15,FALSE())</f>
        <v>0.92999999999999994</v>
      </c>
      <c r="L82" s="77">
        <f>J82*1%</f>
        <v>9.8100000000000007E-2</v>
      </c>
      <c r="M82" s="77">
        <f>J82*1%</f>
        <v>9.8100000000000007E-2</v>
      </c>
      <c r="N82" s="78">
        <f>J82+K82+L82+M82</f>
        <v>10.936200000000001</v>
      </c>
      <c r="O82" s="77">
        <f>($O$12/E82)*$O$13</f>
        <v>0.36200000000000004</v>
      </c>
      <c r="P82" s="77">
        <f>($P$12/E82)*$P$13</f>
        <v>0.28289999999999998</v>
      </c>
      <c r="Q82" s="77">
        <f>($Q$12/E82)*$Q$13</f>
        <v>0.28289999999999998</v>
      </c>
      <c r="R82" s="78">
        <f>O82+P82+Q82</f>
        <v>0.92779999999999996</v>
      </c>
      <c r="S82" s="77">
        <f>VLOOKUP(B82,'Tabela de Produtos'!B:N,13,FALSE())</f>
        <v>3.44</v>
      </c>
      <c r="T82" s="77">
        <f>$T$12/$T$7</f>
        <v>0.22727272727272727</v>
      </c>
      <c r="U82" s="77">
        <f>$U$12/$U$7</f>
        <v>0.39090909090909093</v>
      </c>
      <c r="V82" s="77">
        <f>$V$12/$V$7</f>
        <v>0.10909090909090909</v>
      </c>
      <c r="W82" s="78">
        <f>S82+T82+U82+V82</f>
        <v>4.167272727272727</v>
      </c>
      <c r="X82" s="77">
        <f>(N82+R82+W82)*1%</f>
        <v>0.1603127272727273</v>
      </c>
      <c r="Y82" s="77">
        <f>X82</f>
        <v>0.1603127272727273</v>
      </c>
      <c r="Z82" s="77">
        <f>$Z$12/E82</f>
        <v>8.3000000000000001E-3</v>
      </c>
      <c r="AA82" s="77">
        <f>$AA$12/E82</f>
        <v>0.20833333333333331</v>
      </c>
      <c r="AB82" s="77">
        <f>$AB$12/E82</f>
        <v>0.19791666666666669</v>
      </c>
      <c r="AC82" s="77">
        <f>$AC$12/E82</f>
        <v>0</v>
      </c>
      <c r="AD82" s="77">
        <f>Z82+AA82+AB82+AC82</f>
        <v>0.41454999999999997</v>
      </c>
      <c r="AE82" s="77">
        <f>(AD82+Y82+W82+R82+N82)*$AE$7</f>
        <v>4.1515338636363639</v>
      </c>
      <c r="AF82" s="77">
        <f>AE82</f>
        <v>4.1515338636363639</v>
      </c>
      <c r="AG82" s="74"/>
      <c r="AH82" s="74"/>
      <c r="AI82" s="74"/>
      <c r="AJ82" s="74"/>
      <c r="AK82" s="74"/>
      <c r="AL82" s="77">
        <f>(AD82+Y82+W82+R82+N82)*$AL$7</f>
        <v>0</v>
      </c>
      <c r="AM82" s="77">
        <f>AL82+AF82+AD82+Y82+W82+R82+N82</f>
        <v>20.757669318181819</v>
      </c>
      <c r="AN82" s="77">
        <f>AM82*$AN$12</f>
        <v>0.24909203181818182</v>
      </c>
      <c r="AO82" s="77">
        <f>AM82*$AO$12</f>
        <v>0.22418282863636366</v>
      </c>
      <c r="AP82" s="77">
        <f>AO82+AN82</f>
        <v>0.47327486045454548</v>
      </c>
      <c r="AQ82" s="77">
        <f>AM82*$AQ$12</f>
        <v>1.7332653880681819</v>
      </c>
      <c r="AR82" s="77">
        <f>AM82*$AR$12</f>
        <v>0</v>
      </c>
      <c r="AS82" s="77">
        <f>AM82*$AS$12</f>
        <v>0</v>
      </c>
      <c r="AT82" s="77">
        <f>AQ82+AR82+AS82</f>
        <v>1.7332653880681819</v>
      </c>
      <c r="AU82" s="77">
        <f>AM82*$AU$12</f>
        <v>1.037883465909091</v>
      </c>
      <c r="AV82" s="77">
        <f>AU82</f>
        <v>1.037883465909091</v>
      </c>
      <c r="AW82" s="77">
        <f>AM82+AP82+AT82+AV82</f>
        <v>24.002093032613637</v>
      </c>
      <c r="AX82" s="21">
        <f>AY82/AW82</f>
        <v>0.74568109302247054</v>
      </c>
      <c r="AY82" s="77">
        <f t="shared" si="78"/>
        <v>17.897906967386362</v>
      </c>
      <c r="AZ82" s="79">
        <f>IFERROR(H82*VLOOKUP(A82,'Tabela de Produtos'!A:Q,17,0),0)</f>
        <v>14.18</v>
      </c>
      <c r="BA82" s="74">
        <f t="shared" si="76"/>
        <v>0</v>
      </c>
      <c r="BB82" s="74">
        <f t="shared" si="76"/>
        <v>0</v>
      </c>
      <c r="BC82" s="74">
        <f t="shared" si="76"/>
        <v>0</v>
      </c>
      <c r="BD82" s="74">
        <f t="shared" si="76"/>
        <v>2.9330000000000003</v>
      </c>
      <c r="BE82" s="74">
        <f t="shared" si="79"/>
        <v>2.0950000000000002</v>
      </c>
      <c r="BF82" s="74">
        <f t="shared" si="80"/>
        <v>19.207999999999998</v>
      </c>
      <c r="BG82" s="74">
        <f t="shared" si="81"/>
        <v>22.692</v>
      </c>
      <c r="BH82" s="21">
        <f t="shared" si="82"/>
        <v>0.54157517899761343</v>
      </c>
      <c r="BI82" s="80"/>
    </row>
    <row r="83" spans="1:61" ht="14.25" customHeight="1">
      <c r="A83" s="72" t="s">
        <v>150</v>
      </c>
      <c r="B83" s="2" t="str">
        <f>IFERROR(VLOOKUP(A83,'Tabela de Produtos'!A:B,2,0),"Preencher Cód. Produto")</f>
        <v>BRAZIMIL LÁTEX STANDARD INT/EXT FOSCO 3L BRANCO GELO</v>
      </c>
      <c r="C83" s="2"/>
      <c r="D83" s="73" t="s">
        <v>66</v>
      </c>
      <c r="E83" s="73">
        <v>100</v>
      </c>
      <c r="F83" s="74">
        <f>IF(A83=0,0,VLOOKUP(A83,'Tabela de Produtos'!A:W,23,0))</f>
        <v>13.66</v>
      </c>
      <c r="G83" s="75">
        <v>41.9</v>
      </c>
      <c r="H83" s="76">
        <v>1</v>
      </c>
      <c r="I83" s="74">
        <f t="shared" si="77"/>
        <v>41.9</v>
      </c>
      <c r="J83" s="77">
        <f>VLOOKUP(B83,'Tabela de Produtos'!B:M,12,FALSE())</f>
        <v>7.6499999999999995</v>
      </c>
      <c r="K83" s="77">
        <f>VLOOKUP(B83,'Tabela de Produtos'!B:P,15,FALSE())</f>
        <v>0.92999999999999994</v>
      </c>
      <c r="L83" s="77">
        <f>J83*1%</f>
        <v>7.6499999999999999E-2</v>
      </c>
      <c r="M83" s="77">
        <f>J83*1%</f>
        <v>7.6499999999999999E-2</v>
      </c>
      <c r="N83" s="78">
        <f>J83+K83+L83+M83</f>
        <v>8.7329999999999988</v>
      </c>
      <c r="O83" s="77">
        <f>($O$12/E83)*$O$13</f>
        <v>0.36200000000000004</v>
      </c>
      <c r="P83" s="77">
        <f>($P$12/E83)*$P$13</f>
        <v>0.28289999999999998</v>
      </c>
      <c r="Q83" s="77">
        <f>($Q$12/E83)*$Q$13</f>
        <v>0.28289999999999998</v>
      </c>
      <c r="R83" s="78">
        <f>O83+P83+Q83</f>
        <v>0.92779999999999996</v>
      </c>
      <c r="S83" s="77">
        <f>VLOOKUP(B83,'Tabela de Produtos'!B:N,13,FALSE())</f>
        <v>3.44</v>
      </c>
      <c r="T83" s="77">
        <f>$T$12/$T$7</f>
        <v>0.22727272727272727</v>
      </c>
      <c r="U83" s="77">
        <f>$U$12/$U$7</f>
        <v>0.39090909090909093</v>
      </c>
      <c r="V83" s="77">
        <f>$V$12/$V$7</f>
        <v>0.10909090909090909</v>
      </c>
      <c r="W83" s="78">
        <f>S83+T83+U83+V83</f>
        <v>4.167272727272727</v>
      </c>
      <c r="X83" s="77">
        <f>(N83+R83+W83)*1%</f>
        <v>0.13828072727272728</v>
      </c>
      <c r="Y83" s="77">
        <f>X83</f>
        <v>0.13828072727272728</v>
      </c>
      <c r="Z83" s="77">
        <f>$Z$12/E83</f>
        <v>8.3000000000000001E-3</v>
      </c>
      <c r="AA83" s="77">
        <f>$AA$12/E83</f>
        <v>0.20833333333333331</v>
      </c>
      <c r="AB83" s="77">
        <f>$AB$12/E83</f>
        <v>0.19791666666666669</v>
      </c>
      <c r="AC83" s="77">
        <f>$AC$12/E83</f>
        <v>0</v>
      </c>
      <c r="AD83" s="77">
        <f>Z83+AA83+AB83+AC83</f>
        <v>0.41454999999999997</v>
      </c>
      <c r="AE83" s="77">
        <f>(AD83+Y83+W83+R83+N83)*$AE$7</f>
        <v>3.5952258636363634</v>
      </c>
      <c r="AF83" s="77">
        <f>AE83</f>
        <v>3.5952258636363634</v>
      </c>
      <c r="AG83" s="74"/>
      <c r="AH83" s="74"/>
      <c r="AI83" s="74"/>
      <c r="AJ83" s="74"/>
      <c r="AK83" s="74"/>
      <c r="AL83" s="77">
        <f>(AD83+Y83+W83+R83+N83)*$AL$7</f>
        <v>0</v>
      </c>
      <c r="AM83" s="77">
        <f>AL83+AF83+AD83+Y83+W83+R83+N83</f>
        <v>17.976129318181815</v>
      </c>
      <c r="AN83" s="77">
        <f>AM83*$AN$12</f>
        <v>0.21571355181818178</v>
      </c>
      <c r="AO83" s="77">
        <f>AM83*$AO$12</f>
        <v>0.19414219663636362</v>
      </c>
      <c r="AP83" s="77">
        <f>AO83+AN83</f>
        <v>0.40985574845454542</v>
      </c>
      <c r="AQ83" s="77">
        <f>AM83*$AQ$12</f>
        <v>1.5010067980681816</v>
      </c>
      <c r="AR83" s="77">
        <f>AM83*$AR$12</f>
        <v>0</v>
      </c>
      <c r="AS83" s="77">
        <f>AM83*$AS$12</f>
        <v>0</v>
      </c>
      <c r="AT83" s="77">
        <f>AQ83+AR83+AS83</f>
        <v>1.5010067980681816</v>
      </c>
      <c r="AU83" s="77">
        <f>AM83*$AU$12</f>
        <v>0.89880646590909086</v>
      </c>
      <c r="AV83" s="77">
        <f>AU83</f>
        <v>0.89880646590909086</v>
      </c>
      <c r="AW83" s="77">
        <f>AM83+AP83+AT83+AV83</f>
        <v>20.785798330613634</v>
      </c>
      <c r="AX83" s="21">
        <f>AY83/AW83</f>
        <v>1.0157994094597296</v>
      </c>
      <c r="AY83" s="77">
        <f t="shared" si="78"/>
        <v>21.114201669386365</v>
      </c>
      <c r="AZ83" s="79">
        <f>IFERROR(H83*VLOOKUP(A83,'Tabela de Produtos'!A:Q,17,0),0)</f>
        <v>12.02</v>
      </c>
      <c r="BA83" s="74">
        <f t="shared" si="76"/>
        <v>0</v>
      </c>
      <c r="BB83" s="74">
        <f t="shared" si="76"/>
        <v>0</v>
      </c>
      <c r="BC83" s="74">
        <f t="shared" si="76"/>
        <v>0</v>
      </c>
      <c r="BD83" s="74">
        <f t="shared" si="76"/>
        <v>2.9330000000000003</v>
      </c>
      <c r="BE83" s="74">
        <f t="shared" si="79"/>
        <v>2.0950000000000002</v>
      </c>
      <c r="BF83" s="74">
        <f t="shared" si="80"/>
        <v>17.047999999999998</v>
      </c>
      <c r="BG83" s="74">
        <f t="shared" si="81"/>
        <v>24.852</v>
      </c>
      <c r="BH83" s="21">
        <f t="shared" si="82"/>
        <v>0.59312649164677811</v>
      </c>
      <c r="BI83" s="80"/>
    </row>
    <row r="84" spans="1:61" ht="14.25" customHeight="1">
      <c r="A84" s="72" t="s">
        <v>151</v>
      </c>
      <c r="B84" s="2" t="str">
        <f>IFERROR(VLOOKUP(A84,'Tabela de Produtos'!A:B,2,0),"Preencher Cód. Produto")</f>
        <v>BRAZIMIL LÁTEX STANDARD INT/EXT FOSCO 3L FLAMINGO</v>
      </c>
      <c r="C84" s="2"/>
      <c r="D84" s="73" t="s">
        <v>66</v>
      </c>
      <c r="E84" s="73">
        <v>100</v>
      </c>
      <c r="F84" s="74">
        <f>IF(A84=0,0,VLOOKUP(A84,'Tabela de Produtos'!A:W,23,0))</f>
        <v>15.27</v>
      </c>
      <c r="G84" s="75">
        <v>41.9</v>
      </c>
      <c r="H84" s="76">
        <v>1</v>
      </c>
      <c r="I84" s="74">
        <f t="shared" si="77"/>
        <v>41.9</v>
      </c>
      <c r="J84" s="77">
        <f>VLOOKUP(B84,'Tabela de Produtos'!B:M,12,FALSE())</f>
        <v>9.0599999999999987</v>
      </c>
      <c r="K84" s="77">
        <f>VLOOKUP(B84,'Tabela de Produtos'!B:P,15,FALSE())</f>
        <v>0.92999999999999994</v>
      </c>
      <c r="L84" s="77">
        <f>J84*1%</f>
        <v>9.0599999999999986E-2</v>
      </c>
      <c r="M84" s="77">
        <f>J84*1%</f>
        <v>9.0599999999999986E-2</v>
      </c>
      <c r="N84" s="78">
        <f>J84+K84+L84+M84</f>
        <v>10.171199999999999</v>
      </c>
      <c r="O84" s="77">
        <f>($O$12/E84)*$O$13</f>
        <v>0.36200000000000004</v>
      </c>
      <c r="P84" s="77">
        <f>($P$12/E84)*$P$13</f>
        <v>0.28289999999999998</v>
      </c>
      <c r="Q84" s="77">
        <f>($Q$12/E84)*$Q$13</f>
        <v>0.28289999999999998</v>
      </c>
      <c r="R84" s="78">
        <f>O84+P84+Q84</f>
        <v>0.92779999999999996</v>
      </c>
      <c r="S84" s="77">
        <f>VLOOKUP(B84,'Tabela de Produtos'!B:N,13,FALSE())</f>
        <v>3.44</v>
      </c>
      <c r="T84" s="77">
        <f>$T$12/$T$7</f>
        <v>0.22727272727272727</v>
      </c>
      <c r="U84" s="77">
        <f>$U$12/$U$7</f>
        <v>0.39090909090909093</v>
      </c>
      <c r="V84" s="77">
        <f>$V$12/$V$7</f>
        <v>0.10909090909090909</v>
      </c>
      <c r="W84" s="78">
        <f>S84+T84+U84+V84</f>
        <v>4.167272727272727</v>
      </c>
      <c r="X84" s="77">
        <f>(N84+R84+W84)*1%</f>
        <v>0.15266272727272726</v>
      </c>
      <c r="Y84" s="77">
        <f>X84</f>
        <v>0.15266272727272726</v>
      </c>
      <c r="Z84" s="77">
        <f>$Z$12/E84</f>
        <v>8.3000000000000001E-3</v>
      </c>
      <c r="AA84" s="77">
        <f>$AA$12/E84</f>
        <v>0.20833333333333331</v>
      </c>
      <c r="AB84" s="77">
        <f>$AB$12/E84</f>
        <v>0.19791666666666669</v>
      </c>
      <c r="AC84" s="77">
        <f>$AC$12/E84</f>
        <v>0</v>
      </c>
      <c r="AD84" s="77">
        <f>Z84+AA84+AB84+AC84</f>
        <v>0.41454999999999997</v>
      </c>
      <c r="AE84" s="77">
        <f>(AD84+Y84+W84+R84+N84)*$AE$7</f>
        <v>3.9583713636363633</v>
      </c>
      <c r="AF84" s="77">
        <f>AE84</f>
        <v>3.9583713636363633</v>
      </c>
      <c r="AG84" s="74"/>
      <c r="AH84" s="74"/>
      <c r="AI84" s="74"/>
      <c r="AJ84" s="74"/>
      <c r="AK84" s="74"/>
      <c r="AL84" s="77">
        <f>(AD84+Y84+W84+R84+N84)*$AL$7</f>
        <v>0</v>
      </c>
      <c r="AM84" s="77">
        <f>AL84+AF84+AD84+Y84+W84+R84+N84</f>
        <v>19.791856818181817</v>
      </c>
      <c r="AN84" s="77">
        <f>AM84*$AN$12</f>
        <v>0.23750228181818181</v>
      </c>
      <c r="AO84" s="77">
        <f>AM84*$AO$12</f>
        <v>0.21375205363636363</v>
      </c>
      <c r="AP84" s="77">
        <f>AO84+AN84</f>
        <v>0.45125433545454541</v>
      </c>
      <c r="AQ84" s="77">
        <f>AM84*$AQ$12</f>
        <v>1.6526200443181818</v>
      </c>
      <c r="AR84" s="77">
        <f>AM84*$AR$12</f>
        <v>0</v>
      </c>
      <c r="AS84" s="77">
        <f>AM84*$AS$12</f>
        <v>0</v>
      </c>
      <c r="AT84" s="77">
        <f>AQ84+AR84+AS84</f>
        <v>1.6526200443181818</v>
      </c>
      <c r="AU84" s="77">
        <f>AM84*$AU$12</f>
        <v>0.98959284090909083</v>
      </c>
      <c r="AV84" s="77">
        <f>AU84</f>
        <v>0.98959284090909083</v>
      </c>
      <c r="AW84" s="77">
        <f>AM84+AP84+AT84+AV84</f>
        <v>22.885324038863637</v>
      </c>
      <c r="AX84" s="21">
        <f>AY84/AW84</f>
        <v>0.83086767435959497</v>
      </c>
      <c r="AY84" s="77">
        <f t="shared" si="78"/>
        <v>19.014675961136362</v>
      </c>
      <c r="AZ84" s="79">
        <f>IFERROR(H84*VLOOKUP(A84,'Tabela de Produtos'!A:Q,17,0),0)</f>
        <v>13.429999999999998</v>
      </c>
      <c r="BA84" s="74">
        <f t="shared" si="76"/>
        <v>0</v>
      </c>
      <c r="BB84" s="74">
        <f t="shared" si="76"/>
        <v>0</v>
      </c>
      <c r="BC84" s="74">
        <f t="shared" si="76"/>
        <v>0</v>
      </c>
      <c r="BD84" s="74">
        <f t="shared" si="76"/>
        <v>2.9330000000000003</v>
      </c>
      <c r="BE84" s="74">
        <f t="shared" si="79"/>
        <v>2.0950000000000002</v>
      </c>
      <c r="BF84" s="74">
        <f t="shared" si="80"/>
        <v>18.457999999999998</v>
      </c>
      <c r="BG84" s="74">
        <f t="shared" si="81"/>
        <v>23.442</v>
      </c>
      <c r="BH84" s="21">
        <f t="shared" si="82"/>
        <v>0.55947494033412892</v>
      </c>
      <c r="BI84" s="80"/>
    </row>
    <row r="85" spans="1:61" ht="14.25" customHeight="1">
      <c r="A85" s="72" t="s">
        <v>152</v>
      </c>
      <c r="B85" s="2" t="str">
        <f>IFERROR(VLOOKUP(A85,'Tabela de Produtos'!A:B,2,0),"Preencher Cód. Produto")</f>
        <v>BRAZIMIL LÁTEX STANDARD INT/EXT FOSCO 3L AREIA</v>
      </c>
      <c r="C85" s="2"/>
      <c r="D85" s="73" t="s">
        <v>66</v>
      </c>
      <c r="E85" s="73"/>
      <c r="F85" s="74" t="str">
        <f>IF(A85=0,0,VLOOKUP(A85,'Tabela de Produtos'!A:W,23,0))</f>
        <v>Cadastrar Ficha de Produção</v>
      </c>
      <c r="G85" s="74">
        <v>25</v>
      </c>
      <c r="H85" s="76">
        <v>1</v>
      </c>
      <c r="I85" s="74">
        <f t="shared" si="77"/>
        <v>25</v>
      </c>
      <c r="J85" s="77">
        <f>VLOOKUP(B85,'Tabela de Produtos'!B:M,12,FALSE())</f>
        <v>0</v>
      </c>
      <c r="K85" s="74"/>
      <c r="L85" s="74"/>
      <c r="M85" s="74"/>
      <c r="N85" s="81"/>
      <c r="O85" s="74"/>
      <c r="P85" s="74"/>
      <c r="Q85" s="74"/>
      <c r="R85" s="81"/>
      <c r="S85" s="74"/>
      <c r="T85" s="74"/>
      <c r="U85" s="74"/>
      <c r="V85" s="74"/>
      <c r="W85" s="81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7"/>
      <c r="AY85" s="77">
        <f t="shared" si="78"/>
        <v>25</v>
      </c>
      <c r="AZ85" s="79">
        <f>IFERROR(H85*VLOOKUP(A85,'Tabela de Produtos'!A:Q,17,0),0)</f>
        <v>3.44</v>
      </c>
      <c r="BA85" s="74">
        <f t="shared" si="76"/>
        <v>0</v>
      </c>
      <c r="BB85" s="74">
        <f t="shared" si="76"/>
        <v>0</v>
      </c>
      <c r="BC85" s="74">
        <f t="shared" si="76"/>
        <v>0</v>
      </c>
      <c r="BD85" s="74">
        <f t="shared" si="76"/>
        <v>1.7500000000000002</v>
      </c>
      <c r="BE85" s="74">
        <f t="shared" si="79"/>
        <v>1.25</v>
      </c>
      <c r="BF85" s="74">
        <f t="shared" si="80"/>
        <v>6.44</v>
      </c>
      <c r="BG85" s="74">
        <f t="shared" si="81"/>
        <v>18.559999999999999</v>
      </c>
      <c r="BH85" s="21">
        <f t="shared" si="82"/>
        <v>0</v>
      </c>
      <c r="BI85" s="80"/>
    </row>
    <row r="86" spans="1:61" ht="14.25" customHeight="1">
      <c r="A86" s="72" t="s">
        <v>153</v>
      </c>
      <c r="B86" s="2" t="str">
        <f>IFERROR(VLOOKUP(A86,'Tabela de Produtos'!A:B,2,0),"Preencher Cód. Produto")</f>
        <v>BRAZIMIL LÁTEX STANDARD INT/EXT FOSCO 3L MARFIM</v>
      </c>
      <c r="C86" s="2"/>
      <c r="D86" s="73" t="s">
        <v>66</v>
      </c>
      <c r="E86" s="73">
        <v>100</v>
      </c>
      <c r="F86" s="74">
        <f>IF(A86=0,0,VLOOKUP(A86,'Tabela de Produtos'!A:W,23,0))</f>
        <v>13.9</v>
      </c>
      <c r="G86" s="75">
        <v>41.9</v>
      </c>
      <c r="H86" s="76">
        <v>1</v>
      </c>
      <c r="I86" s="74">
        <f t="shared" si="77"/>
        <v>41.9</v>
      </c>
      <c r="J86" s="77">
        <f>VLOOKUP(B86,'Tabela de Produtos'!B:M,12,FALSE())</f>
        <v>7.8599999999999994</v>
      </c>
      <c r="K86" s="77">
        <f>VLOOKUP(B86,'Tabela de Produtos'!B:P,15,FALSE())</f>
        <v>0.92999999999999994</v>
      </c>
      <c r="L86" s="77">
        <f>J86*1%</f>
        <v>7.8599999999999989E-2</v>
      </c>
      <c r="M86" s="77">
        <f>J86*1%</f>
        <v>7.8599999999999989E-2</v>
      </c>
      <c r="N86" s="78">
        <f>J86+K86+L86+M86</f>
        <v>8.9471999999999987</v>
      </c>
      <c r="O86" s="77">
        <f>($O$12/E86)*$O$13</f>
        <v>0.36200000000000004</v>
      </c>
      <c r="P86" s="77">
        <f>($P$12/E86)*$P$13</f>
        <v>0.28289999999999998</v>
      </c>
      <c r="Q86" s="77">
        <f>($Q$12/E86)*$Q$13</f>
        <v>0.28289999999999998</v>
      </c>
      <c r="R86" s="78">
        <f>O86+P86+Q86</f>
        <v>0.92779999999999996</v>
      </c>
      <c r="S86" s="77">
        <f>VLOOKUP(B86,'Tabela de Produtos'!B:N,13,FALSE())</f>
        <v>3.44</v>
      </c>
      <c r="T86" s="77">
        <f>$T$12/$T$7</f>
        <v>0.22727272727272727</v>
      </c>
      <c r="U86" s="77">
        <f>$U$12/$U$7</f>
        <v>0.39090909090909093</v>
      </c>
      <c r="V86" s="77">
        <f>$V$12/$V$7</f>
        <v>0.10909090909090909</v>
      </c>
      <c r="W86" s="78">
        <f>S86+T86+U86+V86</f>
        <v>4.167272727272727</v>
      </c>
      <c r="X86" s="77">
        <f>(N86+R86+W86)*1%</f>
        <v>0.14042272727272725</v>
      </c>
      <c r="Y86" s="77">
        <f>X86</f>
        <v>0.14042272727272725</v>
      </c>
      <c r="Z86" s="77">
        <f>$Z$12/E86</f>
        <v>8.3000000000000001E-3</v>
      </c>
      <c r="AA86" s="77">
        <f>$AA$12/E86</f>
        <v>0.20833333333333331</v>
      </c>
      <c r="AB86" s="77">
        <f>$AB$12/E86</f>
        <v>0.19791666666666669</v>
      </c>
      <c r="AC86" s="77">
        <f>$AC$12/E86</f>
        <v>0</v>
      </c>
      <c r="AD86" s="77">
        <f>Z86+AA86+AB86+AC86</f>
        <v>0.41454999999999997</v>
      </c>
      <c r="AE86" s="77">
        <f>(AD86+Y86+W86+R86+N86)*$AE$7</f>
        <v>3.6493113636363632</v>
      </c>
      <c r="AF86" s="77">
        <f>AE86</f>
        <v>3.6493113636363632</v>
      </c>
      <c r="AG86" s="74"/>
      <c r="AH86" s="74"/>
      <c r="AI86" s="74"/>
      <c r="AJ86" s="74"/>
      <c r="AK86" s="74"/>
      <c r="AL86" s="77">
        <f>(AD86+Y86+W86+R86+N86)*$AL$7</f>
        <v>0</v>
      </c>
      <c r="AM86" s="77">
        <f>AL86+AF86+AD86+Y86+W86+R86+N86</f>
        <v>18.246556818181816</v>
      </c>
      <c r="AN86" s="77">
        <f>AM86*$AN$12</f>
        <v>0.21895868181818179</v>
      </c>
      <c r="AO86" s="77">
        <f>AM86*$AO$12</f>
        <v>0.19706281363636363</v>
      </c>
      <c r="AP86" s="77">
        <f>AO86+AN86</f>
        <v>0.41602149545454542</v>
      </c>
      <c r="AQ86" s="77">
        <f>AM86*$AQ$12</f>
        <v>1.5235874943181817</v>
      </c>
      <c r="AR86" s="77">
        <f>AM86*$AR$12</f>
        <v>0</v>
      </c>
      <c r="AS86" s="77">
        <f>AM86*$AS$12</f>
        <v>0</v>
      </c>
      <c r="AT86" s="77">
        <f>AQ86+AR86+AS86</f>
        <v>1.5235874943181817</v>
      </c>
      <c r="AU86" s="77">
        <f>AM86*$AU$12</f>
        <v>0.9123278409090908</v>
      </c>
      <c r="AV86" s="77">
        <f>AU86</f>
        <v>0.9123278409090908</v>
      </c>
      <c r="AW86" s="77">
        <f>AM86+AP86+AT86+AV86</f>
        <v>21.098493648863631</v>
      </c>
      <c r="AX86" s="21">
        <f>AY86/AW86</f>
        <v>0.98592376770256962</v>
      </c>
      <c r="AY86" s="77">
        <f t="shared" si="78"/>
        <v>20.801506351136368</v>
      </c>
      <c r="AZ86" s="79">
        <f>IFERROR(H86*VLOOKUP(A86,'Tabela de Produtos'!A:Q,17,0),0)</f>
        <v>12.229999999999999</v>
      </c>
      <c r="BA86" s="74">
        <f t="shared" si="76"/>
        <v>0</v>
      </c>
      <c r="BB86" s="74">
        <f t="shared" si="76"/>
        <v>0</v>
      </c>
      <c r="BC86" s="74">
        <f t="shared" si="76"/>
        <v>0</v>
      </c>
      <c r="BD86" s="74">
        <f t="shared" si="76"/>
        <v>2.9330000000000003</v>
      </c>
      <c r="BE86" s="74">
        <f t="shared" si="79"/>
        <v>2.0950000000000002</v>
      </c>
      <c r="BF86" s="74">
        <f t="shared" si="80"/>
        <v>17.257999999999999</v>
      </c>
      <c r="BG86" s="74">
        <f t="shared" si="81"/>
        <v>24.641999999999999</v>
      </c>
      <c r="BH86" s="21">
        <f t="shared" si="82"/>
        <v>0.58811455847255367</v>
      </c>
      <c r="BI86" s="80"/>
    </row>
    <row r="87" spans="1:61" ht="14.25" customHeight="1">
      <c r="A87" s="72" t="s">
        <v>154</v>
      </c>
      <c r="B87" s="2" t="str">
        <f>IFERROR(VLOOKUP(A87,'Tabela de Produtos'!A:B,2,0),"Preencher Cód. Produto")</f>
        <v>BRAZIMIL LÁTEX STANDARD INT/EXT FOSCO 3L ROSA PETALA</v>
      </c>
      <c r="C87" s="2"/>
      <c r="D87" s="73" t="s">
        <v>66</v>
      </c>
      <c r="E87" s="73">
        <v>100</v>
      </c>
      <c r="F87" s="74">
        <f>IF(A87=0,0,VLOOKUP(A87,'Tabela de Produtos'!A:W,23,0))</f>
        <v>13.94</v>
      </c>
      <c r="G87" s="75">
        <v>41.9</v>
      </c>
      <c r="H87" s="76">
        <v>1</v>
      </c>
      <c r="I87" s="74">
        <f t="shared" si="77"/>
        <v>41.9</v>
      </c>
      <c r="J87" s="77">
        <f>VLOOKUP(B87,'Tabela de Produtos'!B:M,12,FALSE())</f>
        <v>7.89</v>
      </c>
      <c r="K87" s="77">
        <f>VLOOKUP(B87,'Tabela de Produtos'!B:P,15,FALSE())</f>
        <v>0.92999999999999994</v>
      </c>
      <c r="L87" s="77">
        <f>J87*1%</f>
        <v>7.8899999999999998E-2</v>
      </c>
      <c r="M87" s="77">
        <f>J87*1%</f>
        <v>7.8899999999999998E-2</v>
      </c>
      <c r="N87" s="78">
        <f>J87+K87+L87+M87</f>
        <v>8.977800000000002</v>
      </c>
      <c r="O87" s="77">
        <f>($O$12/E87)*$O$13</f>
        <v>0.36200000000000004</v>
      </c>
      <c r="P87" s="77">
        <f>($P$12/E87)*$P$13</f>
        <v>0.28289999999999998</v>
      </c>
      <c r="Q87" s="77">
        <f>($Q$12/E87)*$Q$13</f>
        <v>0.28289999999999998</v>
      </c>
      <c r="R87" s="78">
        <f>O87+P87+Q87</f>
        <v>0.92779999999999996</v>
      </c>
      <c r="S87" s="77">
        <f>VLOOKUP(B87,'Tabela de Produtos'!B:N,13,FALSE())</f>
        <v>3.44</v>
      </c>
      <c r="T87" s="77">
        <f>$T$12/$T$7</f>
        <v>0.22727272727272727</v>
      </c>
      <c r="U87" s="77">
        <f>$U$12/$U$7</f>
        <v>0.39090909090909093</v>
      </c>
      <c r="V87" s="77">
        <f>$V$12/$V$7</f>
        <v>0.10909090909090909</v>
      </c>
      <c r="W87" s="78">
        <f>S87+T87+U87+V87</f>
        <v>4.167272727272727</v>
      </c>
      <c r="X87" s="77">
        <f>(N87+R87+W87)*1%</f>
        <v>0.14072872727272728</v>
      </c>
      <c r="Y87" s="77">
        <f>X87</f>
        <v>0.14072872727272728</v>
      </c>
      <c r="Z87" s="77">
        <f>$Z$12/E87</f>
        <v>8.3000000000000001E-3</v>
      </c>
      <c r="AA87" s="77">
        <f>$AA$12/E87</f>
        <v>0.20833333333333331</v>
      </c>
      <c r="AB87" s="77">
        <f>$AB$12/E87</f>
        <v>0.19791666666666669</v>
      </c>
      <c r="AC87" s="77">
        <f>$AC$12/E87</f>
        <v>0</v>
      </c>
      <c r="AD87" s="77">
        <f>Z87+AA87+AB87+AC87</f>
        <v>0.41454999999999997</v>
      </c>
      <c r="AE87" s="77">
        <f>(AD87+Y87+W87+R87+N87)*$AE$7</f>
        <v>3.6570378636363641</v>
      </c>
      <c r="AF87" s="77">
        <f>AE87</f>
        <v>3.6570378636363641</v>
      </c>
      <c r="AG87" s="74"/>
      <c r="AH87" s="74"/>
      <c r="AI87" s="74"/>
      <c r="AJ87" s="74"/>
      <c r="AK87" s="74"/>
      <c r="AL87" s="77">
        <f>(AD87+Y87+W87+R87+N87)*$AL$7</f>
        <v>0</v>
      </c>
      <c r="AM87" s="77">
        <f>AL87+AF87+AD87+Y87+W87+R87+N87</f>
        <v>18.285189318181821</v>
      </c>
      <c r="AN87" s="77">
        <f>AM87*$AN$12</f>
        <v>0.21942227181818186</v>
      </c>
      <c r="AO87" s="77">
        <f>AM87*$AO$12</f>
        <v>0.19748004463636368</v>
      </c>
      <c r="AP87" s="77">
        <f>AO87+AN87</f>
        <v>0.41690231645454556</v>
      </c>
      <c r="AQ87" s="77">
        <f>AM87*$AQ$12</f>
        <v>1.5268133080681821</v>
      </c>
      <c r="AR87" s="77">
        <f>AM87*$AR$12</f>
        <v>0</v>
      </c>
      <c r="AS87" s="77">
        <f>AM87*$AS$12</f>
        <v>0</v>
      </c>
      <c r="AT87" s="77">
        <f>AQ87+AR87+AS87</f>
        <v>1.5268133080681821</v>
      </c>
      <c r="AU87" s="77">
        <f>AM87*$AU$12</f>
        <v>0.91425946590909113</v>
      </c>
      <c r="AV87" s="77">
        <f>AU87</f>
        <v>0.91425946590909113</v>
      </c>
      <c r="AW87" s="77">
        <f>AM87+AP87+AT87+AV87</f>
        <v>21.143164408613639</v>
      </c>
      <c r="AX87" s="21">
        <f>AY87/AW87</f>
        <v>0.98172795662176793</v>
      </c>
      <c r="AY87" s="77">
        <f t="shared" si="78"/>
        <v>20.756835591386359</v>
      </c>
      <c r="AZ87" s="79">
        <f>IFERROR(H87*VLOOKUP(A87,'Tabela de Produtos'!A:Q,17,0),0)</f>
        <v>12.26</v>
      </c>
      <c r="BA87" s="74">
        <f t="shared" si="76"/>
        <v>0</v>
      </c>
      <c r="BB87" s="74">
        <f t="shared" si="76"/>
        <v>0</v>
      </c>
      <c r="BC87" s="74">
        <f t="shared" si="76"/>
        <v>0</v>
      </c>
      <c r="BD87" s="74">
        <f t="shared" si="76"/>
        <v>2.9330000000000003</v>
      </c>
      <c r="BE87" s="74">
        <f t="shared" si="79"/>
        <v>2.0950000000000002</v>
      </c>
      <c r="BF87" s="74">
        <f t="shared" si="80"/>
        <v>17.288</v>
      </c>
      <c r="BG87" s="74">
        <f t="shared" si="81"/>
        <v>24.611999999999998</v>
      </c>
      <c r="BH87" s="21">
        <f t="shared" si="82"/>
        <v>0.58739856801909307</v>
      </c>
      <c r="BI87" s="80"/>
    </row>
    <row r="88" spans="1:61" ht="14.25" customHeight="1">
      <c r="A88" s="72" t="s">
        <v>155</v>
      </c>
      <c r="B88" s="2" t="str">
        <f>IFERROR(VLOOKUP(A88,'Tabela de Produtos'!A:B,2,0),"Preencher Cód. Produto")</f>
        <v>BRAZIMIL LÁTEX STANDARD INT/EXT FOSCO 3L ACAI AMAZONICO</v>
      </c>
      <c r="C88" s="2"/>
      <c r="D88" s="73" t="s">
        <v>66</v>
      </c>
      <c r="E88" s="73"/>
      <c r="F88" s="74" t="str">
        <f>IF(A88=0,0,VLOOKUP(A88,'Tabela de Produtos'!A:W,23,0))</f>
        <v>Cadastrar Ficha de Produção</v>
      </c>
      <c r="G88" s="74">
        <v>25</v>
      </c>
      <c r="H88" s="76">
        <v>1</v>
      </c>
      <c r="I88" s="74">
        <f t="shared" si="77"/>
        <v>25</v>
      </c>
      <c r="J88" s="77">
        <f>VLOOKUP(B88,'Tabela de Produtos'!B:M,12,FALSE())</f>
        <v>0</v>
      </c>
      <c r="K88" s="74"/>
      <c r="L88" s="74"/>
      <c r="M88" s="74"/>
      <c r="N88" s="81"/>
      <c r="O88" s="74"/>
      <c r="P88" s="74"/>
      <c r="Q88" s="74"/>
      <c r="R88" s="81"/>
      <c r="S88" s="74"/>
      <c r="T88" s="74"/>
      <c r="U88" s="74"/>
      <c r="V88" s="74"/>
      <c r="W88" s="81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7"/>
      <c r="AY88" s="77">
        <f t="shared" si="78"/>
        <v>25</v>
      </c>
      <c r="AZ88" s="79">
        <f>IFERROR(H88*VLOOKUP(A88,'Tabela de Produtos'!A:Q,17,0),0)</f>
        <v>3.44</v>
      </c>
      <c r="BA88" s="74">
        <f t="shared" si="76"/>
        <v>0</v>
      </c>
      <c r="BB88" s="74">
        <f t="shared" si="76"/>
        <v>0</v>
      </c>
      <c r="BC88" s="74">
        <f t="shared" si="76"/>
        <v>0</v>
      </c>
      <c r="BD88" s="74">
        <f t="shared" si="76"/>
        <v>1.7500000000000002</v>
      </c>
      <c r="BE88" s="74">
        <f t="shared" si="79"/>
        <v>1.25</v>
      </c>
      <c r="BF88" s="74">
        <f t="shared" si="80"/>
        <v>6.44</v>
      </c>
      <c r="BG88" s="74">
        <f t="shared" si="81"/>
        <v>18.559999999999999</v>
      </c>
      <c r="BH88" s="21">
        <f t="shared" si="82"/>
        <v>0</v>
      </c>
      <c r="BI88" s="80"/>
    </row>
    <row r="89" spans="1:61" ht="14.25" customHeight="1">
      <c r="A89" s="72" t="s">
        <v>156</v>
      </c>
      <c r="B89" s="2" t="str">
        <f>IFERROR(VLOOKUP(A89,'Tabela de Produtos'!A:B,2,0),"Preencher Cód. Produto")</f>
        <v>BRAZIMIL LÁTEX STANDARD INT/EXT FOSCO 3L VERDE FOLHA</v>
      </c>
      <c r="C89" s="2"/>
      <c r="D89" s="73" t="s">
        <v>66</v>
      </c>
      <c r="E89" s="73"/>
      <c r="F89" s="74" t="str">
        <f>IF(A89=0,0,VLOOKUP(A89,'Tabela de Produtos'!A:W,23,0))</f>
        <v>Cadastrar Ficha de Produção</v>
      </c>
      <c r="G89" s="74">
        <v>25</v>
      </c>
      <c r="H89" s="76">
        <v>1</v>
      </c>
      <c r="I89" s="74">
        <f t="shared" si="77"/>
        <v>25</v>
      </c>
      <c r="J89" s="77">
        <f>VLOOKUP(B89,'Tabela de Produtos'!B:M,12,FALSE())</f>
        <v>0</v>
      </c>
      <c r="K89" s="74"/>
      <c r="L89" s="74"/>
      <c r="M89" s="74"/>
      <c r="N89" s="81"/>
      <c r="O89" s="74"/>
      <c r="P89" s="74"/>
      <c r="Q89" s="74"/>
      <c r="R89" s="81"/>
      <c r="S89" s="74"/>
      <c r="T89" s="74"/>
      <c r="U89" s="74"/>
      <c r="V89" s="74"/>
      <c r="W89" s="81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7"/>
      <c r="AY89" s="77">
        <f t="shared" si="78"/>
        <v>25</v>
      </c>
      <c r="AZ89" s="79">
        <f>IFERROR(H89*VLOOKUP(A89,'Tabela de Produtos'!A:Q,17,0),0)</f>
        <v>3.44</v>
      </c>
      <c r="BA89" s="74">
        <f t="shared" si="76"/>
        <v>0</v>
      </c>
      <c r="BB89" s="74">
        <f t="shared" si="76"/>
        <v>0</v>
      </c>
      <c r="BC89" s="74">
        <f t="shared" si="76"/>
        <v>0</v>
      </c>
      <c r="BD89" s="74">
        <f t="shared" si="76"/>
        <v>1.7500000000000002</v>
      </c>
      <c r="BE89" s="74">
        <f t="shared" si="79"/>
        <v>1.25</v>
      </c>
      <c r="BF89" s="74">
        <f t="shared" si="80"/>
        <v>6.44</v>
      </c>
      <c r="BG89" s="74">
        <f t="shared" si="81"/>
        <v>18.559999999999999</v>
      </c>
      <c r="BH89" s="21">
        <f t="shared" si="82"/>
        <v>0</v>
      </c>
      <c r="BI89" s="80"/>
    </row>
    <row r="90" spans="1:61" ht="14.25" customHeight="1">
      <c r="A90" s="72" t="s">
        <v>157</v>
      </c>
      <c r="B90" s="2" t="str">
        <f>IFERROR(VLOOKUP(A90,'Tabela de Produtos'!A:B,2,0),"Preencher Cód. Produto")</f>
        <v>BRAZIMIL LÁTEX STANDARD INT/EXT FOSCO 3L LARANJA</v>
      </c>
      <c r="C90" s="2"/>
      <c r="D90" s="73" t="s">
        <v>66</v>
      </c>
      <c r="E90" s="73"/>
      <c r="F90" s="74" t="str">
        <f>IF(A90=0,0,VLOOKUP(A90,'Tabela de Produtos'!A:W,23,0))</f>
        <v>Cadastrar Ficha de Produção</v>
      </c>
      <c r="G90" s="74">
        <v>25</v>
      </c>
      <c r="H90" s="76">
        <v>1</v>
      </c>
      <c r="I90" s="74">
        <f t="shared" si="77"/>
        <v>25</v>
      </c>
      <c r="J90" s="77">
        <f>VLOOKUP(B90,'Tabela de Produtos'!B:M,12,FALSE())</f>
        <v>0</v>
      </c>
      <c r="K90" s="74"/>
      <c r="L90" s="74"/>
      <c r="M90" s="74"/>
      <c r="N90" s="81"/>
      <c r="O90" s="74"/>
      <c r="P90" s="74"/>
      <c r="Q90" s="74"/>
      <c r="R90" s="81"/>
      <c r="S90" s="74"/>
      <c r="T90" s="74"/>
      <c r="U90" s="74"/>
      <c r="V90" s="74"/>
      <c r="W90" s="81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7"/>
      <c r="AY90" s="77">
        <f t="shared" si="78"/>
        <v>25</v>
      </c>
      <c r="AZ90" s="79">
        <f>IFERROR(H90*VLOOKUP(A90,'Tabela de Produtos'!A:Q,17,0),0)</f>
        <v>3.44</v>
      </c>
      <c r="BA90" s="74">
        <f t="shared" si="76"/>
        <v>0</v>
      </c>
      <c r="BB90" s="74">
        <f t="shared" si="76"/>
        <v>0</v>
      </c>
      <c r="BC90" s="74">
        <f t="shared" si="76"/>
        <v>0</v>
      </c>
      <c r="BD90" s="74">
        <f t="shared" si="76"/>
        <v>1.7500000000000002</v>
      </c>
      <c r="BE90" s="74">
        <f t="shared" si="79"/>
        <v>1.25</v>
      </c>
      <c r="BF90" s="74">
        <f t="shared" si="80"/>
        <v>6.44</v>
      </c>
      <c r="BG90" s="74">
        <f t="shared" si="81"/>
        <v>18.559999999999999</v>
      </c>
      <c r="BH90" s="21">
        <f t="shared" si="82"/>
        <v>0</v>
      </c>
      <c r="BI90" s="80"/>
    </row>
    <row r="91" spans="1:61" ht="14.25" customHeight="1">
      <c r="A91" s="72" t="s">
        <v>158</v>
      </c>
      <c r="B91" s="2" t="str">
        <f>IFERROR(VLOOKUP(A91,'Tabela de Produtos'!A:B,2,0),"Preencher Cód. Produto")</f>
        <v>BRAZIMIL LÁTEX STANDARD INT/EXT FOSCO 3L AZUL CARIBE</v>
      </c>
      <c r="C91" s="2"/>
      <c r="D91" s="73" t="s">
        <v>66</v>
      </c>
      <c r="E91" s="73">
        <v>100</v>
      </c>
      <c r="F91" s="74">
        <f>IF(A91=0,0,VLOOKUP(A91,'Tabela de Produtos'!A:W,23,0))</f>
        <v>13.9</v>
      </c>
      <c r="G91" s="75">
        <v>41.9</v>
      </c>
      <c r="H91" s="76">
        <v>1</v>
      </c>
      <c r="I91" s="74">
        <f t="shared" si="77"/>
        <v>41.9</v>
      </c>
      <c r="J91" s="77">
        <f>VLOOKUP(B91,'Tabela de Produtos'!B:M,12,FALSE())</f>
        <v>7.8599999999999994</v>
      </c>
      <c r="K91" s="77">
        <f>VLOOKUP(B91,'Tabela de Produtos'!B:P,15,FALSE())</f>
        <v>0.92999999999999994</v>
      </c>
      <c r="L91" s="77">
        <f>J91*1%</f>
        <v>7.8599999999999989E-2</v>
      </c>
      <c r="M91" s="77">
        <f>J91*1%</f>
        <v>7.8599999999999989E-2</v>
      </c>
      <c r="N91" s="78">
        <f>J91+K91+L91+M91</f>
        <v>8.9471999999999987</v>
      </c>
      <c r="O91" s="77">
        <f>($O$12/E91)*$O$13</f>
        <v>0.36200000000000004</v>
      </c>
      <c r="P91" s="77">
        <f>($P$12/E91)*$P$13</f>
        <v>0.28289999999999998</v>
      </c>
      <c r="Q91" s="77">
        <f>($Q$12/E91)*$Q$13</f>
        <v>0.28289999999999998</v>
      </c>
      <c r="R91" s="78">
        <f>O91+P91+Q91</f>
        <v>0.92779999999999996</v>
      </c>
      <c r="S91" s="77">
        <f>VLOOKUP(B91,'Tabela de Produtos'!B:N,13,FALSE())</f>
        <v>3.44</v>
      </c>
      <c r="T91" s="77">
        <f>$T$12/$T$7</f>
        <v>0.22727272727272727</v>
      </c>
      <c r="U91" s="77">
        <f>$U$12/$U$7</f>
        <v>0.39090909090909093</v>
      </c>
      <c r="V91" s="77">
        <f>$V$12/$V$7</f>
        <v>0.10909090909090909</v>
      </c>
      <c r="W91" s="78">
        <f>S91+T91+U91+V91</f>
        <v>4.167272727272727</v>
      </c>
      <c r="X91" s="77">
        <f>(N91+R91+W91)*1%</f>
        <v>0.14042272727272725</v>
      </c>
      <c r="Y91" s="77">
        <f>X91</f>
        <v>0.14042272727272725</v>
      </c>
      <c r="Z91" s="77">
        <f>$Z$12/E91</f>
        <v>8.3000000000000001E-3</v>
      </c>
      <c r="AA91" s="77">
        <f>$AA$12/E91</f>
        <v>0.20833333333333331</v>
      </c>
      <c r="AB91" s="77">
        <f>$AB$12/E91</f>
        <v>0.19791666666666669</v>
      </c>
      <c r="AC91" s="77">
        <f>$AC$12/E91</f>
        <v>0</v>
      </c>
      <c r="AD91" s="77">
        <f>Z91+AA91+AB91+AC91</f>
        <v>0.41454999999999997</v>
      </c>
      <c r="AE91" s="77">
        <f>(AD91+Y91+W91+R91+N91)*$AE$7</f>
        <v>3.6493113636363632</v>
      </c>
      <c r="AF91" s="77">
        <f>AE91</f>
        <v>3.6493113636363632</v>
      </c>
      <c r="AG91" s="74"/>
      <c r="AH91" s="74"/>
      <c r="AI91" s="74"/>
      <c r="AJ91" s="74"/>
      <c r="AK91" s="74"/>
      <c r="AL91" s="77">
        <f>(AD91+Y91+W91+R91+N91)*$AL$7</f>
        <v>0</v>
      </c>
      <c r="AM91" s="77">
        <f>AL91+AF91+AD91+Y91+W91+R91+N91</f>
        <v>18.246556818181816</v>
      </c>
      <c r="AN91" s="77">
        <f>AM91*$AN$12</f>
        <v>0.21895868181818179</v>
      </c>
      <c r="AO91" s="77">
        <f>AM91*$AO$12</f>
        <v>0.19706281363636363</v>
      </c>
      <c r="AP91" s="77">
        <f>AO91+AN91</f>
        <v>0.41602149545454542</v>
      </c>
      <c r="AQ91" s="77">
        <f>AM91*$AQ$12</f>
        <v>1.5235874943181817</v>
      </c>
      <c r="AR91" s="77">
        <f>AM91*$AR$12</f>
        <v>0</v>
      </c>
      <c r="AS91" s="77">
        <f>AM91*$AS$12</f>
        <v>0</v>
      </c>
      <c r="AT91" s="77">
        <f>AQ91+AR91+AS91</f>
        <v>1.5235874943181817</v>
      </c>
      <c r="AU91" s="77">
        <f>AM91*$AU$12</f>
        <v>0.9123278409090908</v>
      </c>
      <c r="AV91" s="77">
        <f>AU91</f>
        <v>0.9123278409090908</v>
      </c>
      <c r="AW91" s="77">
        <f>AM91+AP91+AT91+AV91</f>
        <v>21.098493648863631</v>
      </c>
      <c r="AX91" s="21">
        <f>AY91/AW91</f>
        <v>0.98592376770256962</v>
      </c>
      <c r="AY91" s="77">
        <f t="shared" si="78"/>
        <v>20.801506351136368</v>
      </c>
      <c r="AZ91" s="79">
        <f>IFERROR(H91*VLOOKUP(A91,'Tabela de Produtos'!A:Q,17,0),0)</f>
        <v>12.229999999999999</v>
      </c>
      <c r="BA91" s="74">
        <f t="shared" si="76"/>
        <v>0</v>
      </c>
      <c r="BB91" s="74">
        <f t="shared" si="76"/>
        <v>0</v>
      </c>
      <c r="BC91" s="74">
        <f t="shared" si="76"/>
        <v>0</v>
      </c>
      <c r="BD91" s="74">
        <f t="shared" si="76"/>
        <v>2.9330000000000003</v>
      </c>
      <c r="BE91" s="74">
        <f t="shared" si="79"/>
        <v>2.0950000000000002</v>
      </c>
      <c r="BF91" s="74">
        <f t="shared" si="80"/>
        <v>17.257999999999999</v>
      </c>
      <c r="BG91" s="74">
        <f t="shared" si="81"/>
        <v>24.641999999999999</v>
      </c>
      <c r="BH91" s="21">
        <f t="shared" si="82"/>
        <v>0.58811455847255367</v>
      </c>
      <c r="BI91" s="80"/>
    </row>
    <row r="92" spans="1:61" ht="14.25" customHeight="1">
      <c r="A92" s="72" t="s">
        <v>159</v>
      </c>
      <c r="B92" s="2" t="str">
        <f>IFERROR(VLOOKUP(A92,'Tabela de Produtos'!A:B,2,0),"Preencher Cód. Produto")</f>
        <v>BRAZIMIL LÁTEX STANDARD INT/EXT FOSCO 3L VERDE LIMA</v>
      </c>
      <c r="C92" s="2"/>
      <c r="D92" s="73" t="s">
        <v>66</v>
      </c>
      <c r="E92" s="73">
        <v>100</v>
      </c>
      <c r="F92" s="74">
        <f>IF(A92=0,0,VLOOKUP(A92,'Tabela de Produtos'!A:W,23,0))</f>
        <v>14.48</v>
      </c>
      <c r="G92" s="75">
        <v>41.9</v>
      </c>
      <c r="H92" s="76">
        <v>1</v>
      </c>
      <c r="I92" s="74">
        <f t="shared" si="77"/>
        <v>41.9</v>
      </c>
      <c r="J92" s="77">
        <f>VLOOKUP(B92,'Tabela de Produtos'!B:M,12,FALSE())</f>
        <v>8.370000000000001</v>
      </c>
      <c r="K92" s="77">
        <f>VLOOKUP(B92,'Tabela de Produtos'!B:P,15,FALSE())</f>
        <v>0.92999999999999994</v>
      </c>
      <c r="L92" s="77">
        <f>J92*1%</f>
        <v>8.3700000000000011E-2</v>
      </c>
      <c r="M92" s="77">
        <f>J92*1%</f>
        <v>8.3700000000000011E-2</v>
      </c>
      <c r="N92" s="78">
        <f>J92+K92+L92+M92</f>
        <v>9.4674000000000014</v>
      </c>
      <c r="O92" s="77">
        <f>($O$12/E92)*$O$13</f>
        <v>0.36200000000000004</v>
      </c>
      <c r="P92" s="77">
        <f>($P$12/E92)*$P$13</f>
        <v>0.28289999999999998</v>
      </c>
      <c r="Q92" s="77">
        <f>($Q$12/E92)*$Q$13</f>
        <v>0.28289999999999998</v>
      </c>
      <c r="R92" s="78">
        <f>O92+P92+Q92</f>
        <v>0.92779999999999996</v>
      </c>
      <c r="S92" s="77">
        <f>VLOOKUP(B92,'Tabela de Produtos'!B:N,13,FALSE())</f>
        <v>3.44</v>
      </c>
      <c r="T92" s="77">
        <f>$T$12/$T$7</f>
        <v>0.22727272727272727</v>
      </c>
      <c r="U92" s="77">
        <f>$U$12/$U$7</f>
        <v>0.39090909090909093</v>
      </c>
      <c r="V92" s="77">
        <f>$V$12/$V$7</f>
        <v>0.10909090909090909</v>
      </c>
      <c r="W92" s="78">
        <f>S92+T92+U92+V92</f>
        <v>4.167272727272727</v>
      </c>
      <c r="X92" s="77">
        <f>(N92+R92+W92)*1%</f>
        <v>0.14562472727272727</v>
      </c>
      <c r="Y92" s="77">
        <f>X92</f>
        <v>0.14562472727272727</v>
      </c>
      <c r="Z92" s="77">
        <f>$Z$12/E92</f>
        <v>8.3000000000000001E-3</v>
      </c>
      <c r="AA92" s="77">
        <f>$AA$12/E92</f>
        <v>0.20833333333333331</v>
      </c>
      <c r="AB92" s="77">
        <f>$AB$12/E92</f>
        <v>0.19791666666666669</v>
      </c>
      <c r="AC92" s="77">
        <f>$AC$12/E92</f>
        <v>0</v>
      </c>
      <c r="AD92" s="77">
        <f>Z92+AA92+AB92+AC92</f>
        <v>0.41454999999999997</v>
      </c>
      <c r="AE92" s="77">
        <f>(AD92+Y92+W92+R92+N92)*$AE$7</f>
        <v>3.780661863636364</v>
      </c>
      <c r="AF92" s="77">
        <f>AE92</f>
        <v>3.780661863636364</v>
      </c>
      <c r="AG92" s="74"/>
      <c r="AH92" s="74"/>
      <c r="AI92" s="74"/>
      <c r="AJ92" s="74"/>
      <c r="AK92" s="74"/>
      <c r="AL92" s="77">
        <f>(AD92+Y92+W92+R92+N92)*$AL$7</f>
        <v>0</v>
      </c>
      <c r="AM92" s="77">
        <f>AL92+AF92+AD92+Y92+W92+R92+N92</f>
        <v>18.903309318181819</v>
      </c>
      <c r="AN92" s="77">
        <f>AM92*$AN$12</f>
        <v>0.22683971181818183</v>
      </c>
      <c r="AO92" s="77">
        <f>AM92*$AO$12</f>
        <v>0.20415574063636366</v>
      </c>
      <c r="AP92" s="77">
        <f>AO92+AN92</f>
        <v>0.43099545245454551</v>
      </c>
      <c r="AQ92" s="77">
        <f>AM92*$AQ$12</f>
        <v>1.5784263280681821</v>
      </c>
      <c r="AR92" s="77">
        <f>AM92*$AR$12</f>
        <v>0</v>
      </c>
      <c r="AS92" s="77">
        <f>AM92*$AS$12</f>
        <v>0</v>
      </c>
      <c r="AT92" s="77">
        <f>AQ92+AR92+AS92</f>
        <v>1.5784263280681821</v>
      </c>
      <c r="AU92" s="77">
        <f>AM92*$AU$12</f>
        <v>0.94516546590909101</v>
      </c>
      <c r="AV92" s="77">
        <f>AU92</f>
        <v>0.94516546590909101</v>
      </c>
      <c r="AW92" s="77">
        <f>AM92+AP92+AT92+AV92</f>
        <v>21.85789656461364</v>
      </c>
      <c r="AX92" s="21">
        <f>AY92/AW92</f>
        <v>0.91692736197832869</v>
      </c>
      <c r="AY92" s="77">
        <f t="shared" si="78"/>
        <v>20.042103435386359</v>
      </c>
      <c r="AZ92" s="79">
        <f>IFERROR(H92*VLOOKUP(A92,'Tabela de Produtos'!A:Q,17,0),0)</f>
        <v>12.74</v>
      </c>
      <c r="BA92" s="74">
        <f t="shared" si="76"/>
        <v>0</v>
      </c>
      <c r="BB92" s="74">
        <f t="shared" si="76"/>
        <v>0</v>
      </c>
      <c r="BC92" s="74">
        <f t="shared" si="76"/>
        <v>0</v>
      </c>
      <c r="BD92" s="74">
        <f t="shared" si="76"/>
        <v>2.9330000000000003</v>
      </c>
      <c r="BE92" s="74">
        <f t="shared" si="79"/>
        <v>2.0950000000000002</v>
      </c>
      <c r="BF92" s="74">
        <f t="shared" si="80"/>
        <v>17.768000000000001</v>
      </c>
      <c r="BG92" s="74">
        <f t="shared" si="81"/>
        <v>24.131999999999998</v>
      </c>
      <c r="BH92" s="21">
        <f t="shared" si="82"/>
        <v>0.5759427207637231</v>
      </c>
      <c r="BI92" s="80"/>
    </row>
    <row r="93" spans="1:61" ht="14.25" customHeight="1">
      <c r="A93" s="72" t="s">
        <v>160</v>
      </c>
      <c r="B93" s="2" t="str">
        <f>IFERROR(VLOOKUP(A93,'Tabela de Produtos'!A:B,2,0),"Preencher Cód. Produto")</f>
        <v>BRAZIMIL LÁTEX STANDARD INT/EXT FOSCO 3L PEROLA</v>
      </c>
      <c r="C93" s="2"/>
      <c r="D93" s="73" t="s">
        <v>66</v>
      </c>
      <c r="E93" s="73"/>
      <c r="F93" s="74" t="str">
        <f>IF(A93=0,0,VLOOKUP(A93,'Tabela de Produtos'!A:W,23,0))</f>
        <v>Cadastrar Ficha de Produção</v>
      </c>
      <c r="G93" s="74">
        <v>25</v>
      </c>
      <c r="H93" s="76">
        <v>1</v>
      </c>
      <c r="I93" s="74">
        <f t="shared" si="77"/>
        <v>25</v>
      </c>
      <c r="J93" s="77">
        <f>VLOOKUP(B93,'Tabela de Produtos'!B:M,12,FALSE())</f>
        <v>0</v>
      </c>
      <c r="K93" s="74"/>
      <c r="L93" s="74"/>
      <c r="M93" s="74"/>
      <c r="N93" s="81"/>
      <c r="O93" s="74"/>
      <c r="P93" s="74"/>
      <c r="Q93" s="74"/>
      <c r="R93" s="81"/>
      <c r="S93" s="74"/>
      <c r="T93" s="74"/>
      <c r="U93" s="74"/>
      <c r="V93" s="74"/>
      <c r="W93" s="81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7"/>
      <c r="AY93" s="77">
        <f t="shared" si="78"/>
        <v>25</v>
      </c>
      <c r="AZ93" s="79">
        <f>IFERROR(H93*VLOOKUP(A93,'Tabela de Produtos'!A:Q,17,0),0)</f>
        <v>3.44</v>
      </c>
      <c r="BA93" s="74">
        <f t="shared" si="76"/>
        <v>0</v>
      </c>
      <c r="BB93" s="74">
        <f t="shared" si="76"/>
        <v>0</v>
      </c>
      <c r="BC93" s="74">
        <f t="shared" si="76"/>
        <v>0</v>
      </c>
      <c r="BD93" s="74">
        <f t="shared" si="76"/>
        <v>1.7500000000000002</v>
      </c>
      <c r="BE93" s="74">
        <f t="shared" si="79"/>
        <v>1.25</v>
      </c>
      <c r="BF93" s="74">
        <f t="shared" si="80"/>
        <v>6.44</v>
      </c>
      <c r="BG93" s="74">
        <f t="shared" si="81"/>
        <v>18.559999999999999</v>
      </c>
      <c r="BH93" s="21">
        <f t="shared" si="82"/>
        <v>0</v>
      </c>
      <c r="BI93" s="80"/>
    </row>
    <row r="94" spans="1:61" ht="14.25" customHeight="1">
      <c r="A94" s="72" t="s">
        <v>161</v>
      </c>
      <c r="B94" s="2" t="str">
        <f>IFERROR(VLOOKUP(A94,'Tabela de Produtos'!A:B,2,0),"Preencher Cód. Produto")</f>
        <v>BRAZIMIL LÁTEX STANDARD INT/EXT FOSCO 3L AZUL INTENSO</v>
      </c>
      <c r="C94" s="2"/>
      <c r="D94" s="73" t="s">
        <v>66</v>
      </c>
      <c r="E94" s="73">
        <v>100</v>
      </c>
      <c r="F94" s="74">
        <f>IF(A94=0,0,VLOOKUP(A94,'Tabela de Produtos'!A:W,23,0))</f>
        <v>15.64</v>
      </c>
      <c r="G94" s="75">
        <v>41.9</v>
      </c>
      <c r="H94" s="76">
        <v>1</v>
      </c>
      <c r="I94" s="74">
        <f t="shared" si="77"/>
        <v>41.9</v>
      </c>
      <c r="J94" s="77">
        <f>VLOOKUP(B94,'Tabela de Produtos'!B:M,12,FALSE())</f>
        <v>9.3899999999999988</v>
      </c>
      <c r="K94" s="77">
        <f>VLOOKUP(B94,'Tabela de Produtos'!B:P,15,FALSE())</f>
        <v>0.92999999999999994</v>
      </c>
      <c r="L94" s="77">
        <f>J94*1%</f>
        <v>9.3899999999999983E-2</v>
      </c>
      <c r="M94" s="77">
        <f>J94*1%</f>
        <v>9.3899999999999983E-2</v>
      </c>
      <c r="N94" s="78">
        <f>J94+K94+L94+M94</f>
        <v>10.507799999999998</v>
      </c>
      <c r="O94" s="77">
        <f>($O$12/E94)*$O$13</f>
        <v>0.36200000000000004</v>
      </c>
      <c r="P94" s="77">
        <f>($P$12/E94)*$P$13</f>
        <v>0.28289999999999998</v>
      </c>
      <c r="Q94" s="77">
        <f>($Q$12/E94)*$Q$13</f>
        <v>0.28289999999999998</v>
      </c>
      <c r="R94" s="78">
        <f>O94+P94+Q94</f>
        <v>0.92779999999999996</v>
      </c>
      <c r="S94" s="77">
        <f>VLOOKUP(B94,'Tabela de Produtos'!B:N,13,FALSE())</f>
        <v>3.44</v>
      </c>
      <c r="T94" s="77">
        <f>$T$12/$T$7</f>
        <v>0.22727272727272727</v>
      </c>
      <c r="U94" s="77">
        <f>$U$12/$U$7</f>
        <v>0.39090909090909093</v>
      </c>
      <c r="V94" s="77">
        <f>$V$12/$V$7</f>
        <v>0.10909090909090909</v>
      </c>
      <c r="W94" s="78">
        <f>S94+T94+U94+V94</f>
        <v>4.167272727272727</v>
      </c>
      <c r="X94" s="77">
        <f>(N94+R94+W94)*1%</f>
        <v>0.15602872727272726</v>
      </c>
      <c r="Y94" s="77">
        <f>X94</f>
        <v>0.15602872727272726</v>
      </c>
      <c r="Z94" s="77">
        <f>$Z$12/E94</f>
        <v>8.3000000000000001E-3</v>
      </c>
      <c r="AA94" s="77">
        <f>$AA$12/E94</f>
        <v>0.20833333333333331</v>
      </c>
      <c r="AB94" s="77">
        <f>$AB$12/E94</f>
        <v>0.19791666666666669</v>
      </c>
      <c r="AC94" s="77">
        <f>$AC$12/E94</f>
        <v>0</v>
      </c>
      <c r="AD94" s="77">
        <f>Z94+AA94+AB94+AC94</f>
        <v>0.41454999999999997</v>
      </c>
      <c r="AE94" s="77">
        <f>(AD94+Y94+W94+R94+N94)*$AE$7</f>
        <v>4.0433628636363625</v>
      </c>
      <c r="AF94" s="77">
        <f>AE94</f>
        <v>4.0433628636363625</v>
      </c>
      <c r="AG94" s="74"/>
      <c r="AH94" s="74"/>
      <c r="AI94" s="74"/>
      <c r="AJ94" s="74"/>
      <c r="AK94" s="74"/>
      <c r="AL94" s="77">
        <f>(AD94+Y94+W94+R94+N94)*$AL$7</f>
        <v>0</v>
      </c>
      <c r="AM94" s="77">
        <f>AL94+AF94+AD94+Y94+W94+R94+N94</f>
        <v>20.216814318181815</v>
      </c>
      <c r="AN94" s="77">
        <f>AM94*$AN$12</f>
        <v>0.24260177181818177</v>
      </c>
      <c r="AO94" s="77">
        <f>AM94*$AO$12</f>
        <v>0.2183415946363636</v>
      </c>
      <c r="AP94" s="77">
        <f>AO94+AN94</f>
        <v>0.46094336645454537</v>
      </c>
      <c r="AQ94" s="77">
        <f>AM94*$AQ$12</f>
        <v>1.6881039955681816</v>
      </c>
      <c r="AR94" s="77">
        <f>AM94*$AR$12</f>
        <v>0</v>
      </c>
      <c r="AS94" s="77">
        <f>AM94*$AS$12</f>
        <v>0</v>
      </c>
      <c r="AT94" s="77">
        <f>AQ94+AR94+AS94</f>
        <v>1.6881039955681816</v>
      </c>
      <c r="AU94" s="77">
        <f>AM94*$AU$12</f>
        <v>1.0108407159090909</v>
      </c>
      <c r="AV94" s="77">
        <f>AU94</f>
        <v>1.0108407159090909</v>
      </c>
      <c r="AW94" s="77">
        <f>AM94+AP94+AT94+AV94</f>
        <v>23.376702396113632</v>
      </c>
      <c r="AX94" s="21">
        <f>AY94/AW94</f>
        <v>0.79238283013629229</v>
      </c>
      <c r="AY94" s="77">
        <f t="shared" si="78"/>
        <v>18.523297603886366</v>
      </c>
      <c r="AZ94" s="79">
        <f>IFERROR(H94*VLOOKUP(A94,'Tabela de Produtos'!A:Q,17,0),0)</f>
        <v>13.759999999999998</v>
      </c>
      <c r="BA94" s="74">
        <f t="shared" ref="BA94:BD113" si="83">$I94*BA$12</f>
        <v>0</v>
      </c>
      <c r="BB94" s="74">
        <f t="shared" si="83"/>
        <v>0</v>
      </c>
      <c r="BC94" s="74">
        <f t="shared" si="83"/>
        <v>0</v>
      </c>
      <c r="BD94" s="74">
        <f t="shared" si="83"/>
        <v>2.9330000000000003</v>
      </c>
      <c r="BE94" s="74">
        <f t="shared" si="79"/>
        <v>2.0950000000000002</v>
      </c>
      <c r="BF94" s="74">
        <f t="shared" si="80"/>
        <v>18.787999999999997</v>
      </c>
      <c r="BG94" s="74">
        <f t="shared" si="81"/>
        <v>23.112000000000002</v>
      </c>
      <c r="BH94" s="21">
        <f t="shared" si="82"/>
        <v>0.55159904534606208</v>
      </c>
      <c r="BI94" s="80"/>
    </row>
    <row r="95" spans="1:61" ht="14.25" customHeight="1">
      <c r="A95" s="72" t="s">
        <v>162</v>
      </c>
      <c r="B95" s="2" t="str">
        <f>IFERROR(VLOOKUP(A95,'Tabela de Produtos'!A:B,2,0),"Preencher Cód. Produto")</f>
        <v>BRAZIMIL LÁTEX STANDARD INT/EXT FOSCO 3L LILAS</v>
      </c>
      <c r="C95" s="2"/>
      <c r="D95" s="73" t="s">
        <v>66</v>
      </c>
      <c r="E95" s="73"/>
      <c r="F95" s="74" t="str">
        <f>IF(A95=0,0,VLOOKUP(A95,'Tabela de Produtos'!A:W,23,0))</f>
        <v>Cadastrar Ficha de Produção</v>
      </c>
      <c r="G95" s="74">
        <v>25</v>
      </c>
      <c r="H95" s="76">
        <v>1</v>
      </c>
      <c r="I95" s="74">
        <f t="shared" si="77"/>
        <v>25</v>
      </c>
      <c r="J95" s="77">
        <f>VLOOKUP(B95,'Tabela de Produtos'!B:M,12,FALSE())</f>
        <v>0</v>
      </c>
      <c r="K95" s="74"/>
      <c r="L95" s="74"/>
      <c r="M95" s="74"/>
      <c r="N95" s="81"/>
      <c r="O95" s="74"/>
      <c r="P95" s="74"/>
      <c r="Q95" s="74"/>
      <c r="R95" s="81"/>
      <c r="S95" s="74"/>
      <c r="T95" s="74"/>
      <c r="U95" s="74"/>
      <c r="V95" s="74"/>
      <c r="W95" s="81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7"/>
      <c r="AY95" s="77">
        <f t="shared" si="78"/>
        <v>25</v>
      </c>
      <c r="AZ95" s="79">
        <f>IFERROR(H95*VLOOKUP(A95,'Tabela de Produtos'!A:Q,17,0),0)</f>
        <v>3.44</v>
      </c>
      <c r="BA95" s="74">
        <f t="shared" si="83"/>
        <v>0</v>
      </c>
      <c r="BB95" s="74">
        <f t="shared" si="83"/>
        <v>0</v>
      </c>
      <c r="BC95" s="74">
        <f t="shared" si="83"/>
        <v>0</v>
      </c>
      <c r="BD95" s="74">
        <f t="shared" si="83"/>
        <v>1.7500000000000002</v>
      </c>
      <c r="BE95" s="74">
        <f t="shared" si="79"/>
        <v>1.25</v>
      </c>
      <c r="BF95" s="74">
        <f t="shared" si="80"/>
        <v>6.44</v>
      </c>
      <c r="BG95" s="74">
        <f t="shared" si="81"/>
        <v>18.559999999999999</v>
      </c>
      <c r="BH95" s="21">
        <f t="shared" si="82"/>
        <v>0</v>
      </c>
      <c r="BI95" s="80"/>
    </row>
    <row r="96" spans="1:61" ht="14.25" customHeight="1">
      <c r="A96" s="72" t="s">
        <v>163</v>
      </c>
      <c r="B96" s="2" t="str">
        <f>IFERROR(VLOOKUP(A96,'Tabela de Produtos'!A:B,2,0),"Preencher Cód. Produto")</f>
        <v>BRAZIMIL LÁTEX STANDARD INT/EXT FOSCO 3L VERMELHO GARANTIDO</v>
      </c>
      <c r="C96" s="2"/>
      <c r="D96" s="73" t="s">
        <v>66</v>
      </c>
      <c r="E96" s="73"/>
      <c r="F96" s="74" t="str">
        <f>IF(A96=0,0,VLOOKUP(A96,'Tabela de Produtos'!A:W,23,0))</f>
        <v>Cadastrar Ficha de Produção</v>
      </c>
      <c r="G96" s="74">
        <v>25</v>
      </c>
      <c r="H96" s="76">
        <v>1</v>
      </c>
      <c r="I96" s="74">
        <f t="shared" si="77"/>
        <v>25</v>
      </c>
      <c r="J96" s="77">
        <f>VLOOKUP(B96,'Tabela de Produtos'!B:M,12,FALSE())</f>
        <v>0</v>
      </c>
      <c r="K96" s="74"/>
      <c r="L96" s="74"/>
      <c r="M96" s="74"/>
      <c r="N96" s="81"/>
      <c r="O96" s="74"/>
      <c r="P96" s="74"/>
      <c r="Q96" s="74"/>
      <c r="R96" s="81"/>
      <c r="S96" s="74"/>
      <c r="T96" s="74"/>
      <c r="U96" s="74"/>
      <c r="V96" s="74"/>
      <c r="W96" s="81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7"/>
      <c r="AY96" s="77">
        <f t="shared" si="78"/>
        <v>25</v>
      </c>
      <c r="AZ96" s="79">
        <f>IFERROR(H96*VLOOKUP(A96,'Tabela de Produtos'!A:Q,17,0),0)</f>
        <v>3.44</v>
      </c>
      <c r="BA96" s="74">
        <f t="shared" si="83"/>
        <v>0</v>
      </c>
      <c r="BB96" s="74">
        <f t="shared" si="83"/>
        <v>0</v>
      </c>
      <c r="BC96" s="74">
        <f t="shared" si="83"/>
        <v>0</v>
      </c>
      <c r="BD96" s="74">
        <f t="shared" si="83"/>
        <v>1.7500000000000002</v>
      </c>
      <c r="BE96" s="74">
        <f t="shared" si="79"/>
        <v>1.25</v>
      </c>
      <c r="BF96" s="74">
        <f t="shared" si="80"/>
        <v>6.44</v>
      </c>
      <c r="BG96" s="74">
        <f t="shared" si="81"/>
        <v>18.559999999999999</v>
      </c>
      <c r="BH96" s="21">
        <f t="shared" si="82"/>
        <v>0</v>
      </c>
      <c r="BI96" s="80"/>
    </row>
    <row r="97" spans="1:61" ht="14.25" customHeight="1">
      <c r="A97" s="72" t="s">
        <v>164</v>
      </c>
      <c r="B97" s="2" t="str">
        <f>IFERROR(VLOOKUP(A97,'Tabela de Produtos'!A:B,2,0),"Preencher Cód. Produto")</f>
        <v>BRAZIMIL LÁTEX STANDARD INT/EXT FOSCO 3L AZUL CAPRICHOSO</v>
      </c>
      <c r="C97" s="2"/>
      <c r="D97" s="73" t="s">
        <v>66</v>
      </c>
      <c r="E97" s="73"/>
      <c r="F97" s="74" t="str">
        <f>IF(A97=0,0,VLOOKUP(A97,'Tabela de Produtos'!A:W,23,0))</f>
        <v>Cadastrar Ficha de Produção</v>
      </c>
      <c r="G97" s="74">
        <v>25</v>
      </c>
      <c r="H97" s="76">
        <v>1</v>
      </c>
      <c r="I97" s="74">
        <f t="shared" si="77"/>
        <v>25</v>
      </c>
      <c r="J97" s="77">
        <f>VLOOKUP(B97,'Tabela de Produtos'!B:M,12,FALSE())</f>
        <v>0</v>
      </c>
      <c r="K97" s="74"/>
      <c r="L97" s="74"/>
      <c r="M97" s="74"/>
      <c r="N97" s="81"/>
      <c r="O97" s="74"/>
      <c r="P97" s="74"/>
      <c r="Q97" s="74"/>
      <c r="R97" s="81"/>
      <c r="S97" s="74"/>
      <c r="T97" s="74"/>
      <c r="U97" s="74"/>
      <c r="V97" s="74"/>
      <c r="W97" s="81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7"/>
      <c r="AY97" s="77">
        <f t="shared" si="78"/>
        <v>25</v>
      </c>
      <c r="AZ97" s="79">
        <f>IFERROR(H97*VLOOKUP(A97,'Tabela de Produtos'!A:Q,17,0),0)</f>
        <v>3.44</v>
      </c>
      <c r="BA97" s="74">
        <f t="shared" si="83"/>
        <v>0</v>
      </c>
      <c r="BB97" s="74">
        <f t="shared" si="83"/>
        <v>0</v>
      </c>
      <c r="BC97" s="74">
        <f t="shared" si="83"/>
        <v>0</v>
      </c>
      <c r="BD97" s="74">
        <f t="shared" si="83"/>
        <v>1.7500000000000002</v>
      </c>
      <c r="BE97" s="74">
        <f t="shared" si="79"/>
        <v>1.25</v>
      </c>
      <c r="BF97" s="74">
        <f t="shared" si="80"/>
        <v>6.44</v>
      </c>
      <c r="BG97" s="74">
        <f t="shared" si="81"/>
        <v>18.559999999999999</v>
      </c>
      <c r="BH97" s="21">
        <f t="shared" si="82"/>
        <v>0</v>
      </c>
      <c r="BI97" s="80"/>
    </row>
    <row r="98" spans="1:61" ht="14.25" customHeight="1">
      <c r="A98" s="72" t="s">
        <v>165</v>
      </c>
      <c r="B98" s="2" t="str">
        <f>IFERROR(VLOOKUP(A98,'Tabela de Produtos'!A:B,2,0),"Preencher Cód. Produto")</f>
        <v>BRAZIMIL LÁTEX STANDARD INT/EXT FOSCO 3L CINZA MEDIO</v>
      </c>
      <c r="C98" s="2"/>
      <c r="D98" s="73" t="s">
        <v>66</v>
      </c>
      <c r="E98" s="73">
        <v>100</v>
      </c>
      <c r="F98" s="74">
        <f>IF(A98=0,0,VLOOKUP(A98,'Tabela de Produtos'!A:W,23,0))</f>
        <v>13.7</v>
      </c>
      <c r="G98" s="75">
        <v>41.9</v>
      </c>
      <c r="H98" s="76">
        <v>1</v>
      </c>
      <c r="I98" s="74">
        <f t="shared" si="77"/>
        <v>41.9</v>
      </c>
      <c r="J98" s="77">
        <f>VLOOKUP(B98,'Tabela de Produtos'!B:M,12,FALSE())</f>
        <v>7.6799999999999988</v>
      </c>
      <c r="K98" s="77">
        <f>VLOOKUP(B98,'Tabela de Produtos'!B:P,15,FALSE())</f>
        <v>0.92999999999999994</v>
      </c>
      <c r="L98" s="77">
        <f t="shared" ref="L98:L120" si="84">J98*1%</f>
        <v>7.6799999999999993E-2</v>
      </c>
      <c r="M98" s="77">
        <f t="shared" ref="M98:M120" si="85">J98*1%</f>
        <v>7.6799999999999993E-2</v>
      </c>
      <c r="N98" s="78">
        <f t="shared" ref="N98:N120" si="86">J98+K98+L98+M98</f>
        <v>8.7636000000000003</v>
      </c>
      <c r="O98" s="77">
        <f t="shared" ref="O98:O120" si="87">($O$12/E98)*$O$13</f>
        <v>0.36200000000000004</v>
      </c>
      <c r="P98" s="77">
        <f t="shared" ref="P98:P120" si="88">($P$12/E98)*$P$13</f>
        <v>0.28289999999999998</v>
      </c>
      <c r="Q98" s="77">
        <f t="shared" ref="Q98:Q120" si="89">($Q$12/E98)*$Q$13</f>
        <v>0.28289999999999998</v>
      </c>
      <c r="R98" s="78">
        <f t="shared" ref="R98:R120" si="90">O98+P98+Q98</f>
        <v>0.92779999999999996</v>
      </c>
      <c r="S98" s="77">
        <f>VLOOKUP(B98,'Tabela de Produtos'!B:N,13,FALSE())</f>
        <v>3.44</v>
      </c>
      <c r="T98" s="77">
        <f t="shared" ref="T98:T117" si="91">$T$12/$T$7</f>
        <v>0.22727272727272727</v>
      </c>
      <c r="U98" s="77">
        <f t="shared" ref="U98:U117" si="92">$U$12/$U$7</f>
        <v>0.39090909090909093</v>
      </c>
      <c r="V98" s="77">
        <f t="shared" ref="V98:V117" si="93">$V$12/$V$7</f>
        <v>0.10909090909090909</v>
      </c>
      <c r="W98" s="78">
        <f t="shared" ref="W98:W120" si="94">S98+T98+U98+V98</f>
        <v>4.167272727272727</v>
      </c>
      <c r="X98" s="77">
        <f t="shared" ref="X98:X120" si="95">(N98+R98+W98)*1%</f>
        <v>0.13858672727272725</v>
      </c>
      <c r="Y98" s="77">
        <f t="shared" ref="Y98:Y120" si="96">X98</f>
        <v>0.13858672727272725</v>
      </c>
      <c r="Z98" s="77">
        <f t="shared" ref="Z98:Z120" si="97">$Z$12/E98</f>
        <v>8.3000000000000001E-3</v>
      </c>
      <c r="AA98" s="77">
        <f t="shared" ref="AA98:AA120" si="98">$AA$12/E98</f>
        <v>0.20833333333333331</v>
      </c>
      <c r="AB98" s="77">
        <f t="shared" ref="AB98:AB120" si="99">$AB$12/E98</f>
        <v>0.19791666666666669</v>
      </c>
      <c r="AC98" s="77">
        <f t="shared" ref="AC98:AC120" si="100">$AC$12/E98</f>
        <v>0</v>
      </c>
      <c r="AD98" s="77">
        <f t="shared" ref="AD98:AD120" si="101">Z98+AA98+AB98+AC98</f>
        <v>0.41454999999999997</v>
      </c>
      <c r="AE98" s="77">
        <f t="shared" ref="AE98:AE120" si="102">(AD98+Y98+W98+R98+N98)*$AE$7</f>
        <v>3.6029523636363634</v>
      </c>
      <c r="AF98" s="77">
        <f t="shared" ref="AF98:AF120" si="103">AE98</f>
        <v>3.6029523636363634</v>
      </c>
      <c r="AG98" s="74"/>
      <c r="AH98" s="74"/>
      <c r="AI98" s="74"/>
      <c r="AJ98" s="74"/>
      <c r="AK98" s="74"/>
      <c r="AL98" s="77">
        <f t="shared" ref="AL98:AL120" si="104">(AD98+Y98+W98+R98+N98)*$AL$7</f>
        <v>0</v>
      </c>
      <c r="AM98" s="77">
        <f t="shared" ref="AM98:AM120" si="105">AL98+AF98+AD98+Y98+W98+R98+N98</f>
        <v>18.014761818181817</v>
      </c>
      <c r="AN98" s="77">
        <f t="shared" ref="AN98:AN120" si="106">AM98*$AN$12</f>
        <v>0.21617714181818182</v>
      </c>
      <c r="AO98" s="77">
        <f t="shared" ref="AO98:AO120" si="107">AM98*$AO$12</f>
        <v>0.19455942763636364</v>
      </c>
      <c r="AP98" s="77">
        <f t="shared" ref="AP98:AP120" si="108">AO98+AN98</f>
        <v>0.41073656945454545</v>
      </c>
      <c r="AQ98" s="77">
        <f t="shared" ref="AQ98:AQ120" si="109">AM98*$AQ$12</f>
        <v>1.5042326118181819</v>
      </c>
      <c r="AR98" s="77">
        <f t="shared" ref="AR98:AR120" si="110">AM98*$AR$12</f>
        <v>0</v>
      </c>
      <c r="AS98" s="77">
        <f t="shared" ref="AS98:AS120" si="111">AM98*$AS$12</f>
        <v>0</v>
      </c>
      <c r="AT98" s="77">
        <f t="shared" ref="AT98:AT120" si="112">AQ98+AR98+AS98</f>
        <v>1.5042326118181819</v>
      </c>
      <c r="AU98" s="77">
        <f t="shared" ref="AU98:AU120" si="113">AM98*$AU$12</f>
        <v>0.90073809090909096</v>
      </c>
      <c r="AV98" s="77">
        <f t="shared" ref="AV98:AV120" si="114">AU98</f>
        <v>0.90073809090909096</v>
      </c>
      <c r="AW98" s="77">
        <f t="shared" ref="AW98:AW120" si="115">AM98+AP98+AT98+AV98</f>
        <v>20.830469090363636</v>
      </c>
      <c r="AX98" s="21">
        <f t="shared" ref="AX98:AX120" si="116">AY98/AW98</f>
        <v>1.0114765451625531</v>
      </c>
      <c r="AY98" s="77">
        <f t="shared" si="78"/>
        <v>21.069530909636363</v>
      </c>
      <c r="AZ98" s="79">
        <f>IFERROR(H98*VLOOKUP(A98,'Tabela de Produtos'!A:Q,17,0),0)</f>
        <v>12.049999999999999</v>
      </c>
      <c r="BA98" s="74">
        <f t="shared" si="83"/>
        <v>0</v>
      </c>
      <c r="BB98" s="74">
        <f t="shared" si="83"/>
        <v>0</v>
      </c>
      <c r="BC98" s="74">
        <f t="shared" si="83"/>
        <v>0</v>
      </c>
      <c r="BD98" s="74">
        <f t="shared" si="83"/>
        <v>2.9330000000000003</v>
      </c>
      <c r="BE98" s="74">
        <f t="shared" si="79"/>
        <v>2.0950000000000002</v>
      </c>
      <c r="BF98" s="74">
        <f t="shared" si="80"/>
        <v>17.077999999999999</v>
      </c>
      <c r="BG98" s="74">
        <f t="shared" si="81"/>
        <v>24.821999999999999</v>
      </c>
      <c r="BH98" s="21">
        <f t="shared" si="82"/>
        <v>0.5924105011933174</v>
      </c>
      <c r="BI98" s="80"/>
    </row>
    <row r="99" spans="1:61" ht="14.25" customHeight="1">
      <c r="A99" s="72" t="s">
        <v>166</v>
      </c>
      <c r="B99" s="2" t="str">
        <f>IFERROR(VLOOKUP(A99,'Tabela de Produtos'!A:B,2,0),"Preencher Cód. Produto")</f>
        <v>BRAZIMIL LÁTEX STANDARD INT/EXT FOSCO 3L CINZA INTENSO</v>
      </c>
      <c r="C99" s="2"/>
      <c r="D99" s="73" t="s">
        <v>66</v>
      </c>
      <c r="E99" s="73">
        <v>100</v>
      </c>
      <c r="F99" s="74">
        <f>IF(A99=0,0,VLOOKUP(A99,'Tabela de Produtos'!A:W,23,0))</f>
        <v>13.77</v>
      </c>
      <c r="G99" s="75">
        <v>41.9</v>
      </c>
      <c r="H99" s="76">
        <v>1</v>
      </c>
      <c r="I99" s="74">
        <f t="shared" si="77"/>
        <v>41.9</v>
      </c>
      <c r="J99" s="77">
        <f>VLOOKUP(B99,'Tabela de Produtos'!B:M,12,FALSE())</f>
        <v>7.7399999999999984</v>
      </c>
      <c r="K99" s="77">
        <f>VLOOKUP(B99,'Tabela de Produtos'!B:P,15,FALSE())</f>
        <v>0.92999999999999994</v>
      </c>
      <c r="L99" s="77">
        <f t="shared" si="84"/>
        <v>7.7399999999999983E-2</v>
      </c>
      <c r="M99" s="77">
        <f t="shared" si="85"/>
        <v>7.7399999999999983E-2</v>
      </c>
      <c r="N99" s="78">
        <f t="shared" si="86"/>
        <v>8.8247999999999998</v>
      </c>
      <c r="O99" s="77">
        <f t="shared" si="87"/>
        <v>0.36200000000000004</v>
      </c>
      <c r="P99" s="77">
        <f t="shared" si="88"/>
        <v>0.28289999999999998</v>
      </c>
      <c r="Q99" s="77">
        <f t="shared" si="89"/>
        <v>0.28289999999999998</v>
      </c>
      <c r="R99" s="78">
        <f t="shared" si="90"/>
        <v>0.92779999999999996</v>
      </c>
      <c r="S99" s="77">
        <f>VLOOKUP(B99,'Tabela de Produtos'!B:N,13,FALSE())</f>
        <v>3.44</v>
      </c>
      <c r="T99" s="77">
        <f t="shared" si="91"/>
        <v>0.22727272727272727</v>
      </c>
      <c r="U99" s="77">
        <f t="shared" si="92"/>
        <v>0.39090909090909093</v>
      </c>
      <c r="V99" s="77">
        <f t="shared" si="93"/>
        <v>0.10909090909090909</v>
      </c>
      <c r="W99" s="78">
        <f t="shared" si="94"/>
        <v>4.167272727272727</v>
      </c>
      <c r="X99" s="77">
        <f t="shared" si="95"/>
        <v>0.13919872727272725</v>
      </c>
      <c r="Y99" s="77">
        <f t="shared" si="96"/>
        <v>0.13919872727272725</v>
      </c>
      <c r="Z99" s="77">
        <f t="shared" si="97"/>
        <v>8.3000000000000001E-3</v>
      </c>
      <c r="AA99" s="77">
        <f t="shared" si="98"/>
        <v>0.20833333333333331</v>
      </c>
      <c r="AB99" s="77">
        <f t="shared" si="99"/>
        <v>0.19791666666666669</v>
      </c>
      <c r="AC99" s="77">
        <f t="shared" si="100"/>
        <v>0</v>
      </c>
      <c r="AD99" s="77">
        <f t="shared" si="101"/>
        <v>0.41454999999999997</v>
      </c>
      <c r="AE99" s="77">
        <f t="shared" si="102"/>
        <v>3.6184053636363633</v>
      </c>
      <c r="AF99" s="77">
        <f t="shared" si="103"/>
        <v>3.6184053636363633</v>
      </c>
      <c r="AG99" s="74"/>
      <c r="AH99" s="74"/>
      <c r="AI99" s="74"/>
      <c r="AJ99" s="74"/>
      <c r="AK99" s="74"/>
      <c r="AL99" s="77">
        <f t="shared" si="104"/>
        <v>0</v>
      </c>
      <c r="AM99" s="77">
        <f t="shared" si="105"/>
        <v>18.092026818181814</v>
      </c>
      <c r="AN99" s="77">
        <f t="shared" si="106"/>
        <v>0.21710432181818179</v>
      </c>
      <c r="AO99" s="77">
        <f t="shared" si="107"/>
        <v>0.19539388963636362</v>
      </c>
      <c r="AP99" s="77">
        <f t="shared" si="108"/>
        <v>0.4124982114545454</v>
      </c>
      <c r="AQ99" s="77">
        <f t="shared" si="109"/>
        <v>1.5106842393181816</v>
      </c>
      <c r="AR99" s="77">
        <f t="shared" si="110"/>
        <v>0</v>
      </c>
      <c r="AS99" s="77">
        <f t="shared" si="111"/>
        <v>0</v>
      </c>
      <c r="AT99" s="77">
        <f t="shared" si="112"/>
        <v>1.5106842393181816</v>
      </c>
      <c r="AU99" s="77">
        <f t="shared" si="113"/>
        <v>0.90460134090909072</v>
      </c>
      <c r="AV99" s="77">
        <f t="shared" si="114"/>
        <v>0.90460134090909072</v>
      </c>
      <c r="AW99" s="77">
        <f t="shared" si="115"/>
        <v>20.919810609863632</v>
      </c>
      <c r="AX99" s="21">
        <f t="shared" si="116"/>
        <v>1.0028862010942043</v>
      </c>
      <c r="AY99" s="77">
        <f t="shared" si="78"/>
        <v>20.980189390136367</v>
      </c>
      <c r="AZ99" s="79">
        <f>IFERROR(H99*VLOOKUP(A99,'Tabela de Produtos'!A:Q,17,0),0)</f>
        <v>12.109999999999998</v>
      </c>
      <c r="BA99" s="74">
        <f t="shared" si="83"/>
        <v>0</v>
      </c>
      <c r="BB99" s="74">
        <f t="shared" si="83"/>
        <v>0</v>
      </c>
      <c r="BC99" s="74">
        <f t="shared" si="83"/>
        <v>0</v>
      </c>
      <c r="BD99" s="74">
        <f t="shared" si="83"/>
        <v>2.9330000000000003</v>
      </c>
      <c r="BE99" s="74">
        <f t="shared" si="79"/>
        <v>2.0950000000000002</v>
      </c>
      <c r="BF99" s="74">
        <f t="shared" si="80"/>
        <v>17.137999999999998</v>
      </c>
      <c r="BG99" s="74">
        <f t="shared" si="81"/>
        <v>24.762</v>
      </c>
      <c r="BH99" s="21">
        <f t="shared" si="82"/>
        <v>0.59097852028639619</v>
      </c>
      <c r="BI99" s="80"/>
    </row>
    <row r="100" spans="1:61" ht="14.25" customHeight="1">
      <c r="A100" s="72" t="s">
        <v>167</v>
      </c>
      <c r="B100" s="2" t="str">
        <f>IFERROR(VLOOKUP(A100,'Tabela de Produtos'!A:B,2,0),"Preencher Cód. Produto")</f>
        <v>BRAZIMIL LÁTEX STANDARD INT/EXT SEMIBRILHO 3L BRANCO NEVE</v>
      </c>
      <c r="C100" s="2"/>
      <c r="D100" s="73" t="s">
        <v>66</v>
      </c>
      <c r="E100" s="73">
        <v>100</v>
      </c>
      <c r="F100" s="74">
        <f>IF(A100=0,0,VLOOKUP(A100,'Tabela de Produtos'!A:W,23,0))</f>
        <v>29.82</v>
      </c>
      <c r="G100" s="75">
        <v>46.9</v>
      </c>
      <c r="H100" s="76">
        <v>1</v>
      </c>
      <c r="I100" s="74">
        <f t="shared" si="77"/>
        <v>46.9</v>
      </c>
      <c r="J100" s="77">
        <f>VLOOKUP(B100,'Tabela de Produtos'!B:M,12,FALSE())</f>
        <v>21.869999999999997</v>
      </c>
      <c r="K100" s="77">
        <f>VLOOKUP(B100,'Tabela de Produtos'!B:P,15,FALSE())</f>
        <v>0.92999999999999994</v>
      </c>
      <c r="L100" s="77">
        <f t="shared" si="84"/>
        <v>0.21869999999999998</v>
      </c>
      <c r="M100" s="77">
        <f t="shared" si="85"/>
        <v>0.21869999999999998</v>
      </c>
      <c r="N100" s="78">
        <f t="shared" si="86"/>
        <v>23.237399999999994</v>
      </c>
      <c r="O100" s="77">
        <f t="shared" si="87"/>
        <v>0.36200000000000004</v>
      </c>
      <c r="P100" s="77">
        <f t="shared" si="88"/>
        <v>0.28289999999999998</v>
      </c>
      <c r="Q100" s="77">
        <f t="shared" si="89"/>
        <v>0.28289999999999998</v>
      </c>
      <c r="R100" s="78">
        <f t="shared" si="90"/>
        <v>0.92779999999999996</v>
      </c>
      <c r="S100" s="77">
        <f>VLOOKUP(B100,'Tabela de Produtos'!B:N,13,FALSE())</f>
        <v>3.44</v>
      </c>
      <c r="T100" s="77">
        <f t="shared" si="91"/>
        <v>0.22727272727272727</v>
      </c>
      <c r="U100" s="77">
        <f t="shared" si="92"/>
        <v>0.39090909090909093</v>
      </c>
      <c r="V100" s="77">
        <f t="shared" si="93"/>
        <v>0.10909090909090909</v>
      </c>
      <c r="W100" s="78">
        <f t="shared" si="94"/>
        <v>4.167272727272727</v>
      </c>
      <c r="X100" s="77">
        <f t="shared" si="95"/>
        <v>0.28332472727272723</v>
      </c>
      <c r="Y100" s="77">
        <f t="shared" si="96"/>
        <v>0.28332472727272723</v>
      </c>
      <c r="Z100" s="77">
        <f t="shared" si="97"/>
        <v>8.3000000000000001E-3</v>
      </c>
      <c r="AA100" s="77">
        <f t="shared" si="98"/>
        <v>0.20833333333333331</v>
      </c>
      <c r="AB100" s="77">
        <f t="shared" si="99"/>
        <v>0.19791666666666669</v>
      </c>
      <c r="AC100" s="77">
        <f t="shared" si="100"/>
        <v>0</v>
      </c>
      <c r="AD100" s="77">
        <f t="shared" si="101"/>
        <v>0.41454999999999997</v>
      </c>
      <c r="AE100" s="77">
        <f t="shared" si="102"/>
        <v>7.2575868636363623</v>
      </c>
      <c r="AF100" s="77">
        <f t="shared" si="103"/>
        <v>7.2575868636363623</v>
      </c>
      <c r="AG100" s="74"/>
      <c r="AH100" s="74"/>
      <c r="AI100" s="74"/>
      <c r="AJ100" s="74"/>
      <c r="AK100" s="74"/>
      <c r="AL100" s="77">
        <f t="shared" si="104"/>
        <v>0</v>
      </c>
      <c r="AM100" s="77">
        <f t="shared" si="105"/>
        <v>36.287934318181811</v>
      </c>
      <c r="AN100" s="77">
        <f t="shared" si="106"/>
        <v>0.43545521181818175</v>
      </c>
      <c r="AO100" s="77">
        <f t="shared" si="107"/>
        <v>0.39190969063636361</v>
      </c>
      <c r="AP100" s="77">
        <f t="shared" si="108"/>
        <v>0.8273649024545453</v>
      </c>
      <c r="AQ100" s="77">
        <f t="shared" si="109"/>
        <v>3.0300425155681814</v>
      </c>
      <c r="AR100" s="77">
        <f t="shared" si="110"/>
        <v>0</v>
      </c>
      <c r="AS100" s="77">
        <f t="shared" si="111"/>
        <v>0</v>
      </c>
      <c r="AT100" s="77">
        <f t="shared" si="112"/>
        <v>3.0300425155681814</v>
      </c>
      <c r="AU100" s="77">
        <f t="shared" si="113"/>
        <v>1.8143967159090906</v>
      </c>
      <c r="AV100" s="77">
        <f t="shared" si="114"/>
        <v>1.8143967159090906</v>
      </c>
      <c r="AW100" s="77">
        <f t="shared" si="115"/>
        <v>41.959738452113633</v>
      </c>
      <c r="AX100" s="21">
        <f t="shared" si="116"/>
        <v>0.1177381397056232</v>
      </c>
      <c r="AY100" s="77">
        <f t="shared" si="78"/>
        <v>4.9402615478863652</v>
      </c>
      <c r="AZ100" s="79">
        <f>IFERROR(H100*VLOOKUP(A100,'Tabela de Produtos'!A:Q,17,0),0)</f>
        <v>26.24</v>
      </c>
      <c r="BA100" s="74">
        <f t="shared" si="83"/>
        <v>0</v>
      </c>
      <c r="BB100" s="74">
        <f t="shared" si="83"/>
        <v>0</v>
      </c>
      <c r="BC100" s="74">
        <f t="shared" si="83"/>
        <v>0</v>
      </c>
      <c r="BD100" s="74">
        <f t="shared" si="83"/>
        <v>3.2830000000000004</v>
      </c>
      <c r="BE100" s="74">
        <f t="shared" si="79"/>
        <v>2.3450000000000002</v>
      </c>
      <c r="BF100" s="74">
        <f t="shared" si="80"/>
        <v>31.867999999999999</v>
      </c>
      <c r="BG100" s="74">
        <f t="shared" si="81"/>
        <v>15.032</v>
      </c>
      <c r="BH100" s="21">
        <f t="shared" si="82"/>
        <v>0.32051172707889125</v>
      </c>
      <c r="BI100" s="80"/>
    </row>
    <row r="101" spans="1:61" ht="14.25" customHeight="1">
      <c r="A101" s="72" t="s">
        <v>168</v>
      </c>
      <c r="B101" s="2" t="str">
        <f>IFERROR(VLOOKUP(A101,'Tabela de Produtos'!A:B,2,0),"Preencher Cód. Produto")</f>
        <v>BRAZIMIL LÁTEX STANDARD INT/EXT SEMIBRILHO 3L BRANCO GELO</v>
      </c>
      <c r="C101" s="2"/>
      <c r="D101" s="73" t="s">
        <v>66</v>
      </c>
      <c r="E101" s="73">
        <v>100</v>
      </c>
      <c r="F101" s="74">
        <f>IF(A101=0,0,VLOOKUP(A101,'Tabela de Produtos'!A:W,23,0))</f>
        <v>33.879999999999995</v>
      </c>
      <c r="G101" s="75">
        <v>46.9</v>
      </c>
      <c r="H101" s="76">
        <v>1</v>
      </c>
      <c r="I101" s="74">
        <f t="shared" si="77"/>
        <v>46.9</v>
      </c>
      <c r="J101" s="77">
        <f>VLOOKUP(B101,'Tabela de Produtos'!B:M,12,FALSE())</f>
        <v>25.439999999999998</v>
      </c>
      <c r="K101" s="77">
        <f>VLOOKUP(B101,'Tabela de Produtos'!B:P,15,FALSE())</f>
        <v>0.92999999999999994</v>
      </c>
      <c r="L101" s="77">
        <f t="shared" si="84"/>
        <v>0.25439999999999996</v>
      </c>
      <c r="M101" s="77">
        <f t="shared" si="85"/>
        <v>0.25439999999999996</v>
      </c>
      <c r="N101" s="78">
        <f t="shared" si="86"/>
        <v>26.878799999999998</v>
      </c>
      <c r="O101" s="77">
        <f t="shared" si="87"/>
        <v>0.36200000000000004</v>
      </c>
      <c r="P101" s="77">
        <f t="shared" si="88"/>
        <v>0.28289999999999998</v>
      </c>
      <c r="Q101" s="77">
        <f t="shared" si="89"/>
        <v>0.28289999999999998</v>
      </c>
      <c r="R101" s="78">
        <f t="shared" si="90"/>
        <v>0.92779999999999996</v>
      </c>
      <c r="S101" s="77">
        <f>VLOOKUP(B101,'Tabela de Produtos'!B:N,13,FALSE())</f>
        <v>3.44</v>
      </c>
      <c r="T101" s="77">
        <f t="shared" si="91"/>
        <v>0.22727272727272727</v>
      </c>
      <c r="U101" s="77">
        <f t="shared" si="92"/>
        <v>0.39090909090909093</v>
      </c>
      <c r="V101" s="77">
        <f t="shared" si="93"/>
        <v>0.10909090909090909</v>
      </c>
      <c r="W101" s="78">
        <f t="shared" si="94"/>
        <v>4.167272727272727</v>
      </c>
      <c r="X101" s="77">
        <f t="shared" si="95"/>
        <v>0.31973872727272729</v>
      </c>
      <c r="Y101" s="77">
        <f t="shared" si="96"/>
        <v>0.31973872727272729</v>
      </c>
      <c r="Z101" s="77">
        <f t="shared" si="97"/>
        <v>8.3000000000000001E-3</v>
      </c>
      <c r="AA101" s="77">
        <f t="shared" si="98"/>
        <v>0.20833333333333331</v>
      </c>
      <c r="AB101" s="77">
        <f t="shared" si="99"/>
        <v>0.19791666666666669</v>
      </c>
      <c r="AC101" s="77">
        <f t="shared" si="100"/>
        <v>0</v>
      </c>
      <c r="AD101" s="77">
        <f t="shared" si="101"/>
        <v>0.41454999999999997</v>
      </c>
      <c r="AE101" s="77">
        <f t="shared" si="102"/>
        <v>8.1770403636363636</v>
      </c>
      <c r="AF101" s="77">
        <f t="shared" si="103"/>
        <v>8.1770403636363636</v>
      </c>
      <c r="AG101" s="74"/>
      <c r="AH101" s="74"/>
      <c r="AI101" s="74"/>
      <c r="AJ101" s="74"/>
      <c r="AK101" s="74"/>
      <c r="AL101" s="77">
        <f t="shared" si="104"/>
        <v>0</v>
      </c>
      <c r="AM101" s="77">
        <f t="shared" si="105"/>
        <v>40.885201818181812</v>
      </c>
      <c r="AN101" s="77">
        <f t="shared" si="106"/>
        <v>0.49062242181818178</v>
      </c>
      <c r="AO101" s="77">
        <f t="shared" si="107"/>
        <v>0.44156017963636357</v>
      </c>
      <c r="AP101" s="77">
        <f t="shared" si="108"/>
        <v>0.93218260145454535</v>
      </c>
      <c r="AQ101" s="77">
        <f t="shared" si="109"/>
        <v>3.4139143518181814</v>
      </c>
      <c r="AR101" s="77">
        <f t="shared" si="110"/>
        <v>0</v>
      </c>
      <c r="AS101" s="77">
        <f t="shared" si="111"/>
        <v>0</v>
      </c>
      <c r="AT101" s="77">
        <f t="shared" si="112"/>
        <v>3.4139143518181814</v>
      </c>
      <c r="AU101" s="77">
        <f t="shared" si="113"/>
        <v>2.0442600909090909</v>
      </c>
      <c r="AV101" s="77">
        <f t="shared" si="114"/>
        <v>2.0442600909090909</v>
      </c>
      <c r="AW101" s="77">
        <f t="shared" si="115"/>
        <v>47.275558862363624</v>
      </c>
      <c r="AX101" s="21">
        <f t="shared" si="116"/>
        <v>-7.9440385560964888E-3</v>
      </c>
      <c r="AY101" s="77">
        <f t="shared" si="78"/>
        <v>-0.37555886236362568</v>
      </c>
      <c r="AZ101" s="79">
        <f>IFERROR(H101*VLOOKUP(A101,'Tabela de Produtos'!A:Q,17,0),0)</f>
        <v>29.81</v>
      </c>
      <c r="BA101" s="74">
        <f t="shared" si="83"/>
        <v>0</v>
      </c>
      <c r="BB101" s="74">
        <f t="shared" si="83"/>
        <v>0</v>
      </c>
      <c r="BC101" s="74">
        <f t="shared" si="83"/>
        <v>0</v>
      </c>
      <c r="BD101" s="74">
        <f t="shared" si="83"/>
        <v>3.2830000000000004</v>
      </c>
      <c r="BE101" s="74">
        <f t="shared" si="79"/>
        <v>2.3450000000000002</v>
      </c>
      <c r="BF101" s="74">
        <f t="shared" si="80"/>
        <v>35.437999999999995</v>
      </c>
      <c r="BG101" s="74">
        <f t="shared" si="81"/>
        <v>11.462000000000003</v>
      </c>
      <c r="BH101" s="21">
        <f t="shared" si="82"/>
        <v>0.2443923240938167</v>
      </c>
      <c r="BI101" s="80"/>
    </row>
    <row r="102" spans="1:61" ht="14.25" customHeight="1">
      <c r="A102" s="72" t="s">
        <v>169</v>
      </c>
      <c r="B102" s="2" t="str">
        <f>IFERROR(VLOOKUP(A102,'Tabela de Produtos'!A:B,2,0),"Preencher Cód. Produto")</f>
        <v>BRAZIMIL LÁTEX STANDARD INT/EXT SEMIBRILHO 3L FLAMINGO</v>
      </c>
      <c r="C102" s="2"/>
      <c r="D102" s="73" t="s">
        <v>66</v>
      </c>
      <c r="E102" s="73">
        <v>100</v>
      </c>
      <c r="F102" s="74">
        <f>IF(A102=0,0,VLOOKUP(A102,'Tabela de Produtos'!A:W,23,0))</f>
        <v>33.909999999999997</v>
      </c>
      <c r="G102" s="75">
        <v>46.9</v>
      </c>
      <c r="H102" s="76">
        <v>1</v>
      </c>
      <c r="I102" s="74">
        <f t="shared" si="77"/>
        <v>46.9</v>
      </c>
      <c r="J102" s="77">
        <f>VLOOKUP(B102,'Tabela de Produtos'!B:M,12,FALSE())</f>
        <v>25.47</v>
      </c>
      <c r="K102" s="77">
        <f>VLOOKUP(B102,'Tabela de Produtos'!B:P,15,FALSE())</f>
        <v>0.92999999999999994</v>
      </c>
      <c r="L102" s="77">
        <f t="shared" si="84"/>
        <v>0.25469999999999998</v>
      </c>
      <c r="M102" s="77">
        <f t="shared" si="85"/>
        <v>0.25469999999999998</v>
      </c>
      <c r="N102" s="78">
        <f t="shared" si="86"/>
        <v>26.909399999999998</v>
      </c>
      <c r="O102" s="77">
        <f t="shared" si="87"/>
        <v>0.36200000000000004</v>
      </c>
      <c r="P102" s="77">
        <f t="shared" si="88"/>
        <v>0.28289999999999998</v>
      </c>
      <c r="Q102" s="77">
        <f t="shared" si="89"/>
        <v>0.28289999999999998</v>
      </c>
      <c r="R102" s="78">
        <f t="shared" si="90"/>
        <v>0.92779999999999996</v>
      </c>
      <c r="S102" s="77">
        <f>VLOOKUP(B102,'Tabela de Produtos'!B:N,13,FALSE())</f>
        <v>3.44</v>
      </c>
      <c r="T102" s="77">
        <f t="shared" si="91"/>
        <v>0.22727272727272727</v>
      </c>
      <c r="U102" s="77">
        <f t="shared" si="92"/>
        <v>0.39090909090909093</v>
      </c>
      <c r="V102" s="77">
        <f t="shared" si="93"/>
        <v>0.10909090909090909</v>
      </c>
      <c r="W102" s="78">
        <f t="shared" si="94"/>
        <v>4.167272727272727</v>
      </c>
      <c r="X102" s="77">
        <f t="shared" si="95"/>
        <v>0.32004472727272726</v>
      </c>
      <c r="Y102" s="77">
        <f t="shared" si="96"/>
        <v>0.32004472727272726</v>
      </c>
      <c r="Z102" s="77">
        <f t="shared" si="97"/>
        <v>8.3000000000000001E-3</v>
      </c>
      <c r="AA102" s="77">
        <f t="shared" si="98"/>
        <v>0.20833333333333331</v>
      </c>
      <c r="AB102" s="77">
        <f t="shared" si="99"/>
        <v>0.19791666666666669</v>
      </c>
      <c r="AC102" s="77">
        <f t="shared" si="100"/>
        <v>0</v>
      </c>
      <c r="AD102" s="77">
        <f t="shared" si="101"/>
        <v>0.41454999999999997</v>
      </c>
      <c r="AE102" s="77">
        <f t="shared" si="102"/>
        <v>8.1847668636363622</v>
      </c>
      <c r="AF102" s="77">
        <f t="shared" si="103"/>
        <v>8.1847668636363622</v>
      </c>
      <c r="AG102" s="74"/>
      <c r="AH102" s="74"/>
      <c r="AI102" s="74"/>
      <c r="AJ102" s="74"/>
      <c r="AK102" s="74"/>
      <c r="AL102" s="77">
        <f t="shared" si="104"/>
        <v>0</v>
      </c>
      <c r="AM102" s="77">
        <f t="shared" si="105"/>
        <v>40.923834318181811</v>
      </c>
      <c r="AN102" s="77">
        <f t="shared" si="106"/>
        <v>0.49108601181818173</v>
      </c>
      <c r="AO102" s="77">
        <f t="shared" si="107"/>
        <v>0.44197741063636359</v>
      </c>
      <c r="AP102" s="77">
        <f t="shared" si="108"/>
        <v>0.93306342245454532</v>
      </c>
      <c r="AQ102" s="77">
        <f t="shared" si="109"/>
        <v>3.4171401655681812</v>
      </c>
      <c r="AR102" s="77">
        <f t="shared" si="110"/>
        <v>0</v>
      </c>
      <c r="AS102" s="77">
        <f t="shared" si="111"/>
        <v>0</v>
      </c>
      <c r="AT102" s="77">
        <f t="shared" si="112"/>
        <v>3.4171401655681812</v>
      </c>
      <c r="AU102" s="77">
        <f t="shared" si="113"/>
        <v>2.0461917159090905</v>
      </c>
      <c r="AV102" s="77">
        <f t="shared" si="114"/>
        <v>2.0461917159090905</v>
      </c>
      <c r="AW102" s="77">
        <f t="shared" si="115"/>
        <v>47.320229622113629</v>
      </c>
      <c r="AX102" s="21">
        <f t="shared" si="116"/>
        <v>-8.8805490900925304E-3</v>
      </c>
      <c r="AY102" s="77">
        <f t="shared" si="78"/>
        <v>-0.4202296221136308</v>
      </c>
      <c r="AZ102" s="79">
        <f>IFERROR(H102*VLOOKUP(A102,'Tabela de Produtos'!A:Q,17,0),0)</f>
        <v>29.84</v>
      </c>
      <c r="BA102" s="74">
        <f t="shared" si="83"/>
        <v>0</v>
      </c>
      <c r="BB102" s="74">
        <f t="shared" si="83"/>
        <v>0</v>
      </c>
      <c r="BC102" s="74">
        <f t="shared" si="83"/>
        <v>0</v>
      </c>
      <c r="BD102" s="74">
        <f t="shared" si="83"/>
        <v>3.2830000000000004</v>
      </c>
      <c r="BE102" s="74">
        <f t="shared" si="79"/>
        <v>2.3450000000000002</v>
      </c>
      <c r="BF102" s="74">
        <f t="shared" si="80"/>
        <v>35.467999999999996</v>
      </c>
      <c r="BG102" s="74">
        <f t="shared" si="81"/>
        <v>11.432000000000002</v>
      </c>
      <c r="BH102" s="21">
        <f t="shared" si="82"/>
        <v>0.24375266524520262</v>
      </c>
      <c r="BI102" s="80"/>
    </row>
    <row r="103" spans="1:61" ht="14.25" customHeight="1">
      <c r="A103" s="72" t="s">
        <v>170</v>
      </c>
      <c r="B103" s="2" t="str">
        <f>IFERROR(VLOOKUP(A103,'Tabela de Produtos'!A:B,2,0),"Preencher Cód. Produto")</f>
        <v>BRAZIMIL LÁTEX STANDARD INT/EXT SEMIBRILHO 3L AREIA</v>
      </c>
      <c r="C103" s="2"/>
      <c r="D103" s="73" t="s">
        <v>66</v>
      </c>
      <c r="E103" s="73">
        <v>100</v>
      </c>
      <c r="F103" s="74">
        <f>IF(A103=0,0,VLOOKUP(A103,'Tabela de Produtos'!A:W,23,0))</f>
        <v>32.479999999999997</v>
      </c>
      <c r="G103" s="75">
        <v>46.9</v>
      </c>
      <c r="H103" s="76">
        <v>1</v>
      </c>
      <c r="I103" s="74">
        <f t="shared" si="77"/>
        <v>46.9</v>
      </c>
      <c r="J103" s="77">
        <f>VLOOKUP(B103,'Tabela de Produtos'!B:M,12,FALSE())</f>
        <v>24.21</v>
      </c>
      <c r="K103" s="77">
        <f>VLOOKUP(B103,'Tabela de Produtos'!B:P,15,FALSE())</f>
        <v>0.92999999999999994</v>
      </c>
      <c r="L103" s="77">
        <f t="shared" si="84"/>
        <v>0.24210000000000001</v>
      </c>
      <c r="M103" s="77">
        <f t="shared" si="85"/>
        <v>0.24210000000000001</v>
      </c>
      <c r="N103" s="78">
        <f t="shared" si="86"/>
        <v>25.624200000000002</v>
      </c>
      <c r="O103" s="77">
        <f t="shared" si="87"/>
        <v>0.36200000000000004</v>
      </c>
      <c r="P103" s="77">
        <f t="shared" si="88"/>
        <v>0.28289999999999998</v>
      </c>
      <c r="Q103" s="77">
        <f t="shared" si="89"/>
        <v>0.28289999999999998</v>
      </c>
      <c r="R103" s="78">
        <f t="shared" si="90"/>
        <v>0.92779999999999996</v>
      </c>
      <c r="S103" s="77">
        <f>VLOOKUP(B103,'Tabela de Produtos'!B:N,13,FALSE())</f>
        <v>3.44</v>
      </c>
      <c r="T103" s="77">
        <f t="shared" si="91"/>
        <v>0.22727272727272727</v>
      </c>
      <c r="U103" s="77">
        <f t="shared" si="92"/>
        <v>0.39090909090909093</v>
      </c>
      <c r="V103" s="77">
        <f t="shared" si="93"/>
        <v>0.10909090909090909</v>
      </c>
      <c r="W103" s="78">
        <f t="shared" si="94"/>
        <v>4.167272727272727</v>
      </c>
      <c r="X103" s="77">
        <f t="shared" si="95"/>
        <v>0.30719272727272734</v>
      </c>
      <c r="Y103" s="77">
        <f t="shared" si="96"/>
        <v>0.30719272727272734</v>
      </c>
      <c r="Z103" s="77">
        <f t="shared" si="97"/>
        <v>8.3000000000000001E-3</v>
      </c>
      <c r="AA103" s="77">
        <f t="shared" si="98"/>
        <v>0.20833333333333331</v>
      </c>
      <c r="AB103" s="77">
        <f t="shared" si="99"/>
        <v>0.19791666666666669</v>
      </c>
      <c r="AC103" s="77">
        <f t="shared" si="100"/>
        <v>0</v>
      </c>
      <c r="AD103" s="77">
        <f t="shared" si="101"/>
        <v>0.41454999999999997</v>
      </c>
      <c r="AE103" s="77">
        <f t="shared" si="102"/>
        <v>7.8602538636363644</v>
      </c>
      <c r="AF103" s="77">
        <f t="shared" si="103"/>
        <v>7.8602538636363644</v>
      </c>
      <c r="AG103" s="74"/>
      <c r="AH103" s="74"/>
      <c r="AI103" s="74"/>
      <c r="AJ103" s="74"/>
      <c r="AK103" s="74"/>
      <c r="AL103" s="77">
        <f t="shared" si="104"/>
        <v>0</v>
      </c>
      <c r="AM103" s="77">
        <f t="shared" si="105"/>
        <v>39.301269318181824</v>
      </c>
      <c r="AN103" s="77">
        <f t="shared" si="106"/>
        <v>0.47161523181818188</v>
      </c>
      <c r="AO103" s="77">
        <f t="shared" si="107"/>
        <v>0.42445370863636372</v>
      </c>
      <c r="AP103" s="77">
        <f t="shared" si="108"/>
        <v>0.89606894045454566</v>
      </c>
      <c r="AQ103" s="77">
        <f t="shared" si="109"/>
        <v>3.2816559880681826</v>
      </c>
      <c r="AR103" s="77">
        <f t="shared" si="110"/>
        <v>0</v>
      </c>
      <c r="AS103" s="77">
        <f t="shared" si="111"/>
        <v>0</v>
      </c>
      <c r="AT103" s="77">
        <f t="shared" si="112"/>
        <v>3.2816559880681826</v>
      </c>
      <c r="AU103" s="77">
        <f t="shared" si="113"/>
        <v>1.9650634659090913</v>
      </c>
      <c r="AV103" s="77">
        <f t="shared" si="114"/>
        <v>1.9650634659090913</v>
      </c>
      <c r="AW103" s="77">
        <f t="shared" si="115"/>
        <v>45.444057712613642</v>
      </c>
      <c r="AX103" s="21">
        <f t="shared" si="116"/>
        <v>3.2038122488833989E-2</v>
      </c>
      <c r="AY103" s="77">
        <f t="shared" si="78"/>
        <v>1.4559422873863568</v>
      </c>
      <c r="AZ103" s="79">
        <f>IFERROR(H103*VLOOKUP(A103,'Tabela de Produtos'!A:Q,17,0),0)</f>
        <v>28.580000000000002</v>
      </c>
      <c r="BA103" s="74">
        <f t="shared" si="83"/>
        <v>0</v>
      </c>
      <c r="BB103" s="74">
        <f t="shared" si="83"/>
        <v>0</v>
      </c>
      <c r="BC103" s="74">
        <f t="shared" si="83"/>
        <v>0</v>
      </c>
      <c r="BD103" s="74">
        <f t="shared" si="83"/>
        <v>3.2830000000000004</v>
      </c>
      <c r="BE103" s="74">
        <f t="shared" si="79"/>
        <v>2.3450000000000002</v>
      </c>
      <c r="BF103" s="74">
        <f t="shared" si="80"/>
        <v>34.208000000000006</v>
      </c>
      <c r="BG103" s="74">
        <f t="shared" si="81"/>
        <v>12.691999999999993</v>
      </c>
      <c r="BH103" s="21">
        <f t="shared" si="82"/>
        <v>0.27061833688699344</v>
      </c>
      <c r="BI103" s="80"/>
    </row>
    <row r="104" spans="1:61" ht="14.25" customHeight="1">
      <c r="A104" s="72" t="s">
        <v>171</v>
      </c>
      <c r="B104" s="2" t="str">
        <f>IFERROR(VLOOKUP(A104,'Tabela de Produtos'!A:B,2,0),"Preencher Cód. Produto")</f>
        <v>BRAZIMIL LÁTEX STANDARD INT/EXT SEMIBRILHO 3L MARFIM</v>
      </c>
      <c r="C104" s="2"/>
      <c r="D104" s="73" t="s">
        <v>66</v>
      </c>
      <c r="E104" s="73">
        <v>100</v>
      </c>
      <c r="F104" s="74">
        <f>IF(A104=0,0,VLOOKUP(A104,'Tabela de Produtos'!A:W,23,0))</f>
        <v>34.019999999999996</v>
      </c>
      <c r="G104" s="75">
        <v>46.9</v>
      </c>
      <c r="H104" s="76">
        <v>1</v>
      </c>
      <c r="I104" s="74">
        <f t="shared" si="77"/>
        <v>46.9</v>
      </c>
      <c r="J104" s="77">
        <f>VLOOKUP(B104,'Tabela de Produtos'!B:M,12,FALSE())</f>
        <v>25.559999999999995</v>
      </c>
      <c r="K104" s="77">
        <f>VLOOKUP(B104,'Tabela de Produtos'!B:P,15,FALSE())</f>
        <v>0.92999999999999994</v>
      </c>
      <c r="L104" s="77">
        <f t="shared" si="84"/>
        <v>0.25559999999999994</v>
      </c>
      <c r="M104" s="77">
        <f t="shared" si="85"/>
        <v>0.25559999999999994</v>
      </c>
      <c r="N104" s="78">
        <f t="shared" si="86"/>
        <v>27.001199999999997</v>
      </c>
      <c r="O104" s="77">
        <f t="shared" si="87"/>
        <v>0.36200000000000004</v>
      </c>
      <c r="P104" s="77">
        <f t="shared" si="88"/>
        <v>0.28289999999999998</v>
      </c>
      <c r="Q104" s="77">
        <f t="shared" si="89"/>
        <v>0.28289999999999998</v>
      </c>
      <c r="R104" s="78">
        <f t="shared" si="90"/>
        <v>0.92779999999999996</v>
      </c>
      <c r="S104" s="77">
        <f>VLOOKUP(B104,'Tabela de Produtos'!B:N,13,FALSE())</f>
        <v>3.44</v>
      </c>
      <c r="T104" s="77">
        <f t="shared" si="91"/>
        <v>0.22727272727272727</v>
      </c>
      <c r="U104" s="77">
        <f t="shared" si="92"/>
        <v>0.39090909090909093</v>
      </c>
      <c r="V104" s="77">
        <f t="shared" si="93"/>
        <v>0.10909090909090909</v>
      </c>
      <c r="W104" s="78">
        <f t="shared" si="94"/>
        <v>4.167272727272727</v>
      </c>
      <c r="X104" s="77">
        <f t="shared" si="95"/>
        <v>0.32096272727272729</v>
      </c>
      <c r="Y104" s="77">
        <f t="shared" si="96"/>
        <v>0.32096272727272729</v>
      </c>
      <c r="Z104" s="77">
        <f t="shared" si="97"/>
        <v>8.3000000000000001E-3</v>
      </c>
      <c r="AA104" s="77">
        <f t="shared" si="98"/>
        <v>0.20833333333333331</v>
      </c>
      <c r="AB104" s="77">
        <f t="shared" si="99"/>
        <v>0.19791666666666669</v>
      </c>
      <c r="AC104" s="77">
        <f t="shared" si="100"/>
        <v>0</v>
      </c>
      <c r="AD104" s="77">
        <f t="shared" si="101"/>
        <v>0.41454999999999997</v>
      </c>
      <c r="AE104" s="77">
        <f t="shared" si="102"/>
        <v>8.2079463636363634</v>
      </c>
      <c r="AF104" s="77">
        <f t="shared" si="103"/>
        <v>8.2079463636363634</v>
      </c>
      <c r="AG104" s="74"/>
      <c r="AH104" s="74"/>
      <c r="AI104" s="74"/>
      <c r="AJ104" s="74"/>
      <c r="AK104" s="74"/>
      <c r="AL104" s="77">
        <f t="shared" si="104"/>
        <v>0</v>
      </c>
      <c r="AM104" s="77">
        <f t="shared" si="105"/>
        <v>41.039731818181814</v>
      </c>
      <c r="AN104" s="77">
        <f t="shared" si="106"/>
        <v>0.49247678181818177</v>
      </c>
      <c r="AO104" s="77">
        <f t="shared" si="107"/>
        <v>0.44322910363636359</v>
      </c>
      <c r="AP104" s="77">
        <f t="shared" si="108"/>
        <v>0.93570588545454536</v>
      </c>
      <c r="AQ104" s="77">
        <f t="shared" si="109"/>
        <v>3.4268176068181817</v>
      </c>
      <c r="AR104" s="77">
        <f t="shared" si="110"/>
        <v>0</v>
      </c>
      <c r="AS104" s="77">
        <f t="shared" si="111"/>
        <v>0</v>
      </c>
      <c r="AT104" s="77">
        <f t="shared" si="112"/>
        <v>3.4268176068181817</v>
      </c>
      <c r="AU104" s="77">
        <f t="shared" si="113"/>
        <v>2.0519865909090909</v>
      </c>
      <c r="AV104" s="77">
        <f t="shared" si="114"/>
        <v>2.0519865909090909</v>
      </c>
      <c r="AW104" s="77">
        <f t="shared" si="115"/>
        <v>47.454241901363631</v>
      </c>
      <c r="AX104" s="21">
        <f t="shared" si="116"/>
        <v>-1.1679501750668689E-2</v>
      </c>
      <c r="AY104" s="77">
        <f t="shared" si="78"/>
        <v>-0.55424190136363194</v>
      </c>
      <c r="AZ104" s="79">
        <f>IFERROR(H104*VLOOKUP(A104,'Tabela de Produtos'!A:Q,17,0),0)</f>
        <v>29.929999999999996</v>
      </c>
      <c r="BA104" s="74">
        <f t="shared" si="83"/>
        <v>0</v>
      </c>
      <c r="BB104" s="74">
        <f t="shared" si="83"/>
        <v>0</v>
      </c>
      <c r="BC104" s="74">
        <f t="shared" si="83"/>
        <v>0</v>
      </c>
      <c r="BD104" s="74">
        <f t="shared" si="83"/>
        <v>3.2830000000000004</v>
      </c>
      <c r="BE104" s="74">
        <f t="shared" si="79"/>
        <v>2.3450000000000002</v>
      </c>
      <c r="BF104" s="74">
        <f t="shared" si="80"/>
        <v>35.557999999999993</v>
      </c>
      <c r="BG104" s="74">
        <f t="shared" si="81"/>
        <v>11.342000000000006</v>
      </c>
      <c r="BH104" s="21">
        <f t="shared" si="82"/>
        <v>0.24183368869936048</v>
      </c>
      <c r="BI104" s="80"/>
    </row>
    <row r="105" spans="1:61" ht="14.25" customHeight="1">
      <c r="A105" s="72" t="s">
        <v>172</v>
      </c>
      <c r="B105" s="2" t="str">
        <f>IFERROR(VLOOKUP(A105,'Tabela de Produtos'!A:B,2,0),"Preencher Cód. Produto")</f>
        <v>BRAZIMIL LÁTEX STANDARD INT/EXT SEMIBRILHO 3L ROSA PETALA</v>
      </c>
      <c r="C105" s="2"/>
      <c r="D105" s="73" t="s">
        <v>66</v>
      </c>
      <c r="E105" s="73">
        <v>100</v>
      </c>
      <c r="F105" s="74">
        <f>IF(A105=0,0,VLOOKUP(A105,'Tabela de Produtos'!A:W,23,0))</f>
        <v>32.239999999999995</v>
      </c>
      <c r="G105" s="75">
        <v>46.9</v>
      </c>
      <c r="H105" s="76">
        <v>1</v>
      </c>
      <c r="I105" s="74">
        <f t="shared" si="77"/>
        <v>46.9</v>
      </c>
      <c r="J105" s="77">
        <f>VLOOKUP(B105,'Tabela de Produtos'!B:M,12,FALSE())</f>
        <v>23.999999999999996</v>
      </c>
      <c r="K105" s="77">
        <f>VLOOKUP(B105,'Tabela de Produtos'!B:P,15,FALSE())</f>
        <v>0.92999999999999994</v>
      </c>
      <c r="L105" s="77">
        <f t="shared" si="84"/>
        <v>0.23999999999999996</v>
      </c>
      <c r="M105" s="77">
        <f t="shared" si="85"/>
        <v>0.23999999999999996</v>
      </c>
      <c r="N105" s="78">
        <f t="shared" si="86"/>
        <v>25.409999999999993</v>
      </c>
      <c r="O105" s="77">
        <f t="shared" si="87"/>
        <v>0.36200000000000004</v>
      </c>
      <c r="P105" s="77">
        <f t="shared" si="88"/>
        <v>0.28289999999999998</v>
      </c>
      <c r="Q105" s="77">
        <f t="shared" si="89"/>
        <v>0.28289999999999998</v>
      </c>
      <c r="R105" s="78">
        <f t="shared" si="90"/>
        <v>0.92779999999999996</v>
      </c>
      <c r="S105" s="77">
        <f>VLOOKUP(B105,'Tabela de Produtos'!B:N,13,FALSE())</f>
        <v>3.44</v>
      </c>
      <c r="T105" s="77">
        <f t="shared" si="91"/>
        <v>0.22727272727272727</v>
      </c>
      <c r="U105" s="77">
        <f t="shared" si="92"/>
        <v>0.39090909090909093</v>
      </c>
      <c r="V105" s="77">
        <f t="shared" si="93"/>
        <v>0.10909090909090909</v>
      </c>
      <c r="W105" s="78">
        <f t="shared" si="94"/>
        <v>4.167272727272727</v>
      </c>
      <c r="X105" s="77">
        <f t="shared" si="95"/>
        <v>0.30505072727272725</v>
      </c>
      <c r="Y105" s="77">
        <f t="shared" si="96"/>
        <v>0.30505072727272725</v>
      </c>
      <c r="Z105" s="77">
        <f t="shared" si="97"/>
        <v>8.3000000000000001E-3</v>
      </c>
      <c r="AA105" s="77">
        <f t="shared" si="98"/>
        <v>0.20833333333333331</v>
      </c>
      <c r="AB105" s="77">
        <f t="shared" si="99"/>
        <v>0.19791666666666669</v>
      </c>
      <c r="AC105" s="77">
        <f t="shared" si="100"/>
        <v>0</v>
      </c>
      <c r="AD105" s="77">
        <f t="shared" si="101"/>
        <v>0.41454999999999997</v>
      </c>
      <c r="AE105" s="77">
        <f t="shared" si="102"/>
        <v>7.8061683636363615</v>
      </c>
      <c r="AF105" s="77">
        <f t="shared" si="103"/>
        <v>7.8061683636363615</v>
      </c>
      <c r="AG105" s="74"/>
      <c r="AH105" s="74"/>
      <c r="AI105" s="74"/>
      <c r="AJ105" s="74"/>
      <c r="AK105" s="74"/>
      <c r="AL105" s="77">
        <f t="shared" si="104"/>
        <v>0</v>
      </c>
      <c r="AM105" s="77">
        <f t="shared" si="105"/>
        <v>39.030841818181806</v>
      </c>
      <c r="AN105" s="77">
        <f t="shared" si="106"/>
        <v>0.46837010181818167</v>
      </c>
      <c r="AO105" s="77">
        <f t="shared" si="107"/>
        <v>0.42153309163636354</v>
      </c>
      <c r="AP105" s="77">
        <f t="shared" si="108"/>
        <v>0.88990319345454516</v>
      </c>
      <c r="AQ105" s="77">
        <f t="shared" si="109"/>
        <v>3.2590752918181809</v>
      </c>
      <c r="AR105" s="77">
        <f t="shared" si="110"/>
        <v>0</v>
      </c>
      <c r="AS105" s="77">
        <f t="shared" si="111"/>
        <v>0</v>
      </c>
      <c r="AT105" s="77">
        <f t="shared" si="112"/>
        <v>3.2590752918181809</v>
      </c>
      <c r="AU105" s="77">
        <f t="shared" si="113"/>
        <v>1.9515420909090904</v>
      </c>
      <c r="AV105" s="77">
        <f t="shared" si="114"/>
        <v>1.9515420909090904</v>
      </c>
      <c r="AW105" s="77">
        <f t="shared" si="115"/>
        <v>45.13136239436362</v>
      </c>
      <c r="AX105" s="21">
        <f t="shared" si="116"/>
        <v>3.9188659765725588E-2</v>
      </c>
      <c r="AY105" s="77">
        <f t="shared" si="78"/>
        <v>1.7686376056363784</v>
      </c>
      <c r="AZ105" s="79">
        <f>IFERROR(H105*VLOOKUP(A105,'Tabela de Produtos'!A:Q,17,0),0)</f>
        <v>28.369999999999997</v>
      </c>
      <c r="BA105" s="74">
        <f t="shared" si="83"/>
        <v>0</v>
      </c>
      <c r="BB105" s="74">
        <f t="shared" si="83"/>
        <v>0</v>
      </c>
      <c r="BC105" s="74">
        <f t="shared" si="83"/>
        <v>0</v>
      </c>
      <c r="BD105" s="74">
        <f t="shared" si="83"/>
        <v>3.2830000000000004</v>
      </c>
      <c r="BE105" s="74">
        <f t="shared" si="79"/>
        <v>2.3450000000000002</v>
      </c>
      <c r="BF105" s="74">
        <f t="shared" si="80"/>
        <v>33.997999999999998</v>
      </c>
      <c r="BG105" s="74">
        <f t="shared" si="81"/>
        <v>12.902000000000001</v>
      </c>
      <c r="BH105" s="21">
        <f t="shared" si="82"/>
        <v>0.27509594882729216</v>
      </c>
      <c r="BI105" s="80"/>
    </row>
    <row r="106" spans="1:61" ht="14.25" customHeight="1">
      <c r="A106" s="72" t="s">
        <v>173</v>
      </c>
      <c r="B106" s="2" t="str">
        <f>IFERROR(VLOOKUP(A106,'Tabela de Produtos'!A:B,2,0),"Preencher Cód. Produto")</f>
        <v>BRAZIMIL LÁTEX STANDARD INT/EXT SEMIBRILHO 3L ACAI AMAZONICO</v>
      </c>
      <c r="C106" s="2"/>
      <c r="D106" s="73" t="s">
        <v>66</v>
      </c>
      <c r="E106" s="73">
        <v>100</v>
      </c>
      <c r="F106" s="74">
        <f>IF(A106=0,0,VLOOKUP(A106,'Tabela de Produtos'!A:W,23,0))</f>
        <v>29.650000000000002</v>
      </c>
      <c r="G106" s="75">
        <v>46.9</v>
      </c>
      <c r="H106" s="76">
        <v>1</v>
      </c>
      <c r="I106" s="74">
        <f t="shared" si="77"/>
        <v>46.9</v>
      </c>
      <c r="J106" s="77">
        <f>VLOOKUP(B106,'Tabela de Produtos'!B:M,12,FALSE())</f>
        <v>21.72</v>
      </c>
      <c r="K106" s="77">
        <f>VLOOKUP(B106,'Tabela de Produtos'!B:P,15,FALSE())</f>
        <v>0.92999999999999994</v>
      </c>
      <c r="L106" s="77">
        <f t="shared" si="84"/>
        <v>0.2172</v>
      </c>
      <c r="M106" s="77">
        <f t="shared" si="85"/>
        <v>0.2172</v>
      </c>
      <c r="N106" s="78">
        <f t="shared" si="86"/>
        <v>23.084399999999995</v>
      </c>
      <c r="O106" s="77">
        <f t="shared" si="87"/>
        <v>0.36200000000000004</v>
      </c>
      <c r="P106" s="77">
        <f t="shared" si="88"/>
        <v>0.28289999999999998</v>
      </c>
      <c r="Q106" s="77">
        <f t="shared" si="89"/>
        <v>0.28289999999999998</v>
      </c>
      <c r="R106" s="78">
        <f t="shared" si="90"/>
        <v>0.92779999999999996</v>
      </c>
      <c r="S106" s="77">
        <f>VLOOKUP(B106,'Tabela de Produtos'!B:N,13,FALSE())</f>
        <v>3.44</v>
      </c>
      <c r="T106" s="77">
        <f t="shared" si="91"/>
        <v>0.22727272727272727</v>
      </c>
      <c r="U106" s="77">
        <f t="shared" si="92"/>
        <v>0.39090909090909093</v>
      </c>
      <c r="V106" s="77">
        <f t="shared" si="93"/>
        <v>0.10909090909090909</v>
      </c>
      <c r="W106" s="78">
        <f t="shared" si="94"/>
        <v>4.167272727272727</v>
      </c>
      <c r="X106" s="77">
        <f t="shared" si="95"/>
        <v>0.28179472727272725</v>
      </c>
      <c r="Y106" s="77">
        <f t="shared" si="96"/>
        <v>0.28179472727272725</v>
      </c>
      <c r="Z106" s="77">
        <f t="shared" si="97"/>
        <v>8.3000000000000001E-3</v>
      </c>
      <c r="AA106" s="77">
        <f t="shared" si="98"/>
        <v>0.20833333333333331</v>
      </c>
      <c r="AB106" s="77">
        <f t="shared" si="99"/>
        <v>0.19791666666666669</v>
      </c>
      <c r="AC106" s="77">
        <f t="shared" si="100"/>
        <v>0</v>
      </c>
      <c r="AD106" s="77">
        <f t="shared" si="101"/>
        <v>0.41454999999999997</v>
      </c>
      <c r="AE106" s="77">
        <f t="shared" si="102"/>
        <v>7.218954363636362</v>
      </c>
      <c r="AF106" s="77">
        <f t="shared" si="103"/>
        <v>7.218954363636362</v>
      </c>
      <c r="AG106" s="74"/>
      <c r="AH106" s="74"/>
      <c r="AI106" s="74"/>
      <c r="AJ106" s="74"/>
      <c r="AK106" s="74"/>
      <c r="AL106" s="77">
        <f t="shared" si="104"/>
        <v>0</v>
      </c>
      <c r="AM106" s="77">
        <f t="shared" si="105"/>
        <v>36.094771818181812</v>
      </c>
      <c r="AN106" s="77">
        <f t="shared" si="106"/>
        <v>0.43313726181818174</v>
      </c>
      <c r="AO106" s="77">
        <f t="shared" si="107"/>
        <v>0.38982353563636357</v>
      </c>
      <c r="AP106" s="77">
        <f t="shared" si="108"/>
        <v>0.82296079745454531</v>
      </c>
      <c r="AQ106" s="77">
        <f t="shared" si="109"/>
        <v>3.0139134468181816</v>
      </c>
      <c r="AR106" s="77">
        <f t="shared" si="110"/>
        <v>0</v>
      </c>
      <c r="AS106" s="77">
        <f t="shared" si="111"/>
        <v>0</v>
      </c>
      <c r="AT106" s="77">
        <f t="shared" si="112"/>
        <v>3.0139134468181816</v>
      </c>
      <c r="AU106" s="77">
        <f t="shared" si="113"/>
        <v>1.8047385909090907</v>
      </c>
      <c r="AV106" s="77">
        <f t="shared" si="114"/>
        <v>1.8047385909090907</v>
      </c>
      <c r="AW106" s="77">
        <f t="shared" si="115"/>
        <v>41.736384653363629</v>
      </c>
      <c r="AX106" s="21">
        <f t="shared" si="116"/>
        <v>0.12371975650315993</v>
      </c>
      <c r="AY106" s="77">
        <f t="shared" si="78"/>
        <v>5.1636153466363695</v>
      </c>
      <c r="AZ106" s="79">
        <f>IFERROR(H106*VLOOKUP(A106,'Tabela de Produtos'!A:Q,17,0),0)</f>
        <v>26.09</v>
      </c>
      <c r="BA106" s="74">
        <f t="shared" si="83"/>
        <v>0</v>
      </c>
      <c r="BB106" s="74">
        <f t="shared" si="83"/>
        <v>0</v>
      </c>
      <c r="BC106" s="74">
        <f t="shared" si="83"/>
        <v>0</v>
      </c>
      <c r="BD106" s="74">
        <f t="shared" si="83"/>
        <v>3.2830000000000004</v>
      </c>
      <c r="BE106" s="74">
        <f t="shared" si="79"/>
        <v>2.3450000000000002</v>
      </c>
      <c r="BF106" s="74">
        <f t="shared" si="80"/>
        <v>31.718</v>
      </c>
      <c r="BG106" s="74">
        <f t="shared" si="81"/>
        <v>15.181999999999999</v>
      </c>
      <c r="BH106" s="21">
        <f t="shared" si="82"/>
        <v>0.32371002132196158</v>
      </c>
      <c r="BI106" s="80"/>
    </row>
    <row r="107" spans="1:61" ht="14.25" customHeight="1">
      <c r="A107" s="72" t="s">
        <v>174</v>
      </c>
      <c r="B107" s="2" t="str">
        <f>IFERROR(VLOOKUP(A107,'Tabela de Produtos'!A:B,2,0),"Preencher Cód. Produto")</f>
        <v>BRAZIMIL LÁTEX STANDARD INT/EXT SEMIBRILHO 3L VERDE FOLHA</v>
      </c>
      <c r="C107" s="2"/>
      <c r="D107" s="73" t="s">
        <v>66</v>
      </c>
      <c r="E107" s="73">
        <v>100</v>
      </c>
      <c r="F107" s="74">
        <f>IF(A107=0,0,VLOOKUP(A107,'Tabela de Produtos'!A:W,23,0))</f>
        <v>32</v>
      </c>
      <c r="G107" s="75">
        <v>46.9</v>
      </c>
      <c r="H107" s="76">
        <v>1</v>
      </c>
      <c r="I107" s="74">
        <f t="shared" si="77"/>
        <v>46.9</v>
      </c>
      <c r="J107" s="77">
        <f>VLOOKUP(B107,'Tabela de Produtos'!B:M,12,FALSE())</f>
        <v>23.79</v>
      </c>
      <c r="K107" s="77">
        <f>VLOOKUP(B107,'Tabela de Produtos'!B:P,15,FALSE())</f>
        <v>0.92999999999999994</v>
      </c>
      <c r="L107" s="77">
        <f t="shared" si="84"/>
        <v>0.2379</v>
      </c>
      <c r="M107" s="77">
        <f t="shared" si="85"/>
        <v>0.2379</v>
      </c>
      <c r="N107" s="78">
        <f t="shared" si="86"/>
        <v>25.195799999999998</v>
      </c>
      <c r="O107" s="77">
        <f t="shared" si="87"/>
        <v>0.36200000000000004</v>
      </c>
      <c r="P107" s="77">
        <f t="shared" si="88"/>
        <v>0.28289999999999998</v>
      </c>
      <c r="Q107" s="77">
        <f t="shared" si="89"/>
        <v>0.28289999999999998</v>
      </c>
      <c r="R107" s="78">
        <f t="shared" si="90"/>
        <v>0.92779999999999996</v>
      </c>
      <c r="S107" s="77">
        <f>VLOOKUP(B107,'Tabela de Produtos'!B:N,13,FALSE())</f>
        <v>3.44</v>
      </c>
      <c r="T107" s="77">
        <f t="shared" si="91"/>
        <v>0.22727272727272727</v>
      </c>
      <c r="U107" s="77">
        <f t="shared" si="92"/>
        <v>0.39090909090909093</v>
      </c>
      <c r="V107" s="77">
        <f t="shared" si="93"/>
        <v>0.10909090909090909</v>
      </c>
      <c r="W107" s="78">
        <f t="shared" si="94"/>
        <v>4.167272727272727</v>
      </c>
      <c r="X107" s="77">
        <f t="shared" si="95"/>
        <v>0.30290872727272727</v>
      </c>
      <c r="Y107" s="77">
        <f t="shared" si="96"/>
        <v>0.30290872727272727</v>
      </c>
      <c r="Z107" s="77">
        <f t="shared" si="97"/>
        <v>8.3000000000000001E-3</v>
      </c>
      <c r="AA107" s="77">
        <f t="shared" si="98"/>
        <v>0.20833333333333331</v>
      </c>
      <c r="AB107" s="77">
        <f t="shared" si="99"/>
        <v>0.19791666666666669</v>
      </c>
      <c r="AC107" s="77">
        <f t="shared" si="100"/>
        <v>0</v>
      </c>
      <c r="AD107" s="77">
        <f t="shared" si="101"/>
        <v>0.41454999999999997</v>
      </c>
      <c r="AE107" s="77">
        <f t="shared" si="102"/>
        <v>7.752082863636363</v>
      </c>
      <c r="AF107" s="77">
        <f t="shared" si="103"/>
        <v>7.752082863636363</v>
      </c>
      <c r="AG107" s="74"/>
      <c r="AH107" s="74"/>
      <c r="AI107" s="74"/>
      <c r="AJ107" s="74"/>
      <c r="AK107" s="74"/>
      <c r="AL107" s="77">
        <f t="shared" si="104"/>
        <v>0</v>
      </c>
      <c r="AM107" s="77">
        <f t="shared" si="105"/>
        <v>38.760414318181816</v>
      </c>
      <c r="AN107" s="77">
        <f t="shared" si="106"/>
        <v>0.4651249718181818</v>
      </c>
      <c r="AO107" s="77">
        <f t="shared" si="107"/>
        <v>0.41861247463636364</v>
      </c>
      <c r="AP107" s="77">
        <f t="shared" si="108"/>
        <v>0.88373744645454544</v>
      </c>
      <c r="AQ107" s="77">
        <f t="shared" si="109"/>
        <v>3.2364945955681819</v>
      </c>
      <c r="AR107" s="77">
        <f t="shared" si="110"/>
        <v>0</v>
      </c>
      <c r="AS107" s="77">
        <f t="shared" si="111"/>
        <v>0</v>
      </c>
      <c r="AT107" s="77">
        <f t="shared" si="112"/>
        <v>3.2364945955681819</v>
      </c>
      <c r="AU107" s="77">
        <f t="shared" si="113"/>
        <v>1.938020715909091</v>
      </c>
      <c r="AV107" s="77">
        <f t="shared" si="114"/>
        <v>1.938020715909091</v>
      </c>
      <c r="AW107" s="77">
        <f t="shared" si="115"/>
        <v>44.818667076113634</v>
      </c>
      <c r="AX107" s="21">
        <f t="shared" si="116"/>
        <v>4.6438974196883753E-2</v>
      </c>
      <c r="AY107" s="77">
        <f t="shared" si="78"/>
        <v>2.0813329238863645</v>
      </c>
      <c r="AZ107" s="79">
        <f>IFERROR(H107*VLOOKUP(A107,'Tabela de Produtos'!A:Q,17,0),0)</f>
        <v>28.16</v>
      </c>
      <c r="BA107" s="74">
        <f t="shared" si="83"/>
        <v>0</v>
      </c>
      <c r="BB107" s="74">
        <f t="shared" si="83"/>
        <v>0</v>
      </c>
      <c r="BC107" s="74">
        <f t="shared" si="83"/>
        <v>0</v>
      </c>
      <c r="BD107" s="74">
        <f t="shared" si="83"/>
        <v>3.2830000000000004</v>
      </c>
      <c r="BE107" s="74">
        <f t="shared" si="79"/>
        <v>2.3450000000000002</v>
      </c>
      <c r="BF107" s="74">
        <f t="shared" si="80"/>
        <v>33.788000000000004</v>
      </c>
      <c r="BG107" s="74">
        <f t="shared" si="81"/>
        <v>13.111999999999995</v>
      </c>
      <c r="BH107" s="21">
        <f t="shared" si="82"/>
        <v>0.27957356076759049</v>
      </c>
      <c r="BI107" s="80"/>
    </row>
    <row r="108" spans="1:61" ht="14.25" customHeight="1">
      <c r="A108" s="72" t="s">
        <v>175</v>
      </c>
      <c r="B108" s="2" t="str">
        <f>IFERROR(VLOOKUP(A108,'Tabela de Produtos'!A:B,2,0),"Preencher Cód. Produto")</f>
        <v>BRAZIMIL LÁTEX STANDARD INT/EXT SEMIBRILHO 3L LARANJA</v>
      </c>
      <c r="C108" s="2"/>
      <c r="D108" s="73" t="s">
        <v>66</v>
      </c>
      <c r="E108" s="73">
        <v>100</v>
      </c>
      <c r="F108" s="74">
        <f>IF(A108=0,0,VLOOKUP(A108,'Tabela de Produtos'!A:W,23,0))</f>
        <v>31.430000000000003</v>
      </c>
      <c r="G108" s="75">
        <v>46.9</v>
      </c>
      <c r="H108" s="76">
        <v>1</v>
      </c>
      <c r="I108" s="74">
        <f t="shared" si="77"/>
        <v>46.9</v>
      </c>
      <c r="J108" s="77">
        <f>VLOOKUP(B108,'Tabela de Produtos'!B:M,12,FALSE())</f>
        <v>23.279999999999998</v>
      </c>
      <c r="K108" s="77">
        <f>VLOOKUP(B108,'Tabela de Produtos'!B:P,15,FALSE())</f>
        <v>0.92999999999999994</v>
      </c>
      <c r="L108" s="77">
        <f t="shared" si="84"/>
        <v>0.23279999999999998</v>
      </c>
      <c r="M108" s="77">
        <f t="shared" si="85"/>
        <v>0.23279999999999998</v>
      </c>
      <c r="N108" s="78">
        <f t="shared" si="86"/>
        <v>24.675599999999999</v>
      </c>
      <c r="O108" s="77">
        <f t="shared" si="87"/>
        <v>0.36200000000000004</v>
      </c>
      <c r="P108" s="77">
        <f t="shared" si="88"/>
        <v>0.28289999999999998</v>
      </c>
      <c r="Q108" s="77">
        <f t="shared" si="89"/>
        <v>0.28289999999999998</v>
      </c>
      <c r="R108" s="78">
        <f t="shared" si="90"/>
        <v>0.92779999999999996</v>
      </c>
      <c r="S108" s="77">
        <f>VLOOKUP(B108,'Tabela de Produtos'!B:N,13,FALSE())</f>
        <v>3.44</v>
      </c>
      <c r="T108" s="77">
        <f t="shared" si="91"/>
        <v>0.22727272727272727</v>
      </c>
      <c r="U108" s="77">
        <f t="shared" si="92"/>
        <v>0.39090909090909093</v>
      </c>
      <c r="V108" s="77">
        <f t="shared" si="93"/>
        <v>0.10909090909090909</v>
      </c>
      <c r="W108" s="78">
        <f t="shared" si="94"/>
        <v>4.167272727272727</v>
      </c>
      <c r="X108" s="77">
        <f t="shared" si="95"/>
        <v>0.29770672727272729</v>
      </c>
      <c r="Y108" s="77">
        <f t="shared" si="96"/>
        <v>0.29770672727272729</v>
      </c>
      <c r="Z108" s="77">
        <f t="shared" si="97"/>
        <v>8.3000000000000001E-3</v>
      </c>
      <c r="AA108" s="77">
        <f t="shared" si="98"/>
        <v>0.20833333333333331</v>
      </c>
      <c r="AB108" s="77">
        <f t="shared" si="99"/>
        <v>0.19791666666666669</v>
      </c>
      <c r="AC108" s="77">
        <f t="shared" si="100"/>
        <v>0</v>
      </c>
      <c r="AD108" s="77">
        <f t="shared" si="101"/>
        <v>0.41454999999999997</v>
      </c>
      <c r="AE108" s="77">
        <f t="shared" si="102"/>
        <v>7.620732363636364</v>
      </c>
      <c r="AF108" s="77">
        <f t="shared" si="103"/>
        <v>7.620732363636364</v>
      </c>
      <c r="AG108" s="74"/>
      <c r="AH108" s="74"/>
      <c r="AI108" s="74"/>
      <c r="AJ108" s="74"/>
      <c r="AK108" s="74"/>
      <c r="AL108" s="77">
        <f t="shared" si="104"/>
        <v>0</v>
      </c>
      <c r="AM108" s="77">
        <f t="shared" si="105"/>
        <v>38.10366181818182</v>
      </c>
      <c r="AN108" s="77">
        <f t="shared" si="106"/>
        <v>0.45724394181818184</v>
      </c>
      <c r="AO108" s="77">
        <f t="shared" si="107"/>
        <v>0.41151954763636367</v>
      </c>
      <c r="AP108" s="77">
        <f t="shared" si="108"/>
        <v>0.86876348945454551</v>
      </c>
      <c r="AQ108" s="77">
        <f t="shared" si="109"/>
        <v>3.181655761818182</v>
      </c>
      <c r="AR108" s="77">
        <f t="shared" si="110"/>
        <v>0</v>
      </c>
      <c r="AS108" s="77">
        <f t="shared" si="111"/>
        <v>0</v>
      </c>
      <c r="AT108" s="77">
        <f t="shared" si="112"/>
        <v>3.181655761818182</v>
      </c>
      <c r="AU108" s="77">
        <f t="shared" si="113"/>
        <v>1.905183090909091</v>
      </c>
      <c r="AV108" s="77">
        <f t="shared" si="114"/>
        <v>1.905183090909091</v>
      </c>
      <c r="AW108" s="77">
        <f t="shared" si="115"/>
        <v>44.059264160363639</v>
      </c>
      <c r="AX108" s="21">
        <f t="shared" si="116"/>
        <v>6.447533552300963E-2</v>
      </c>
      <c r="AY108" s="77">
        <f t="shared" si="78"/>
        <v>2.8407358396363591</v>
      </c>
      <c r="AZ108" s="79">
        <f>IFERROR(H108*VLOOKUP(A108,'Tabela de Produtos'!A:Q,17,0),0)</f>
        <v>27.65</v>
      </c>
      <c r="BA108" s="74">
        <f t="shared" si="83"/>
        <v>0</v>
      </c>
      <c r="BB108" s="74">
        <f t="shared" si="83"/>
        <v>0</v>
      </c>
      <c r="BC108" s="74">
        <f t="shared" si="83"/>
        <v>0</v>
      </c>
      <c r="BD108" s="74">
        <f t="shared" si="83"/>
        <v>3.2830000000000004</v>
      </c>
      <c r="BE108" s="74">
        <f t="shared" si="79"/>
        <v>2.3450000000000002</v>
      </c>
      <c r="BF108" s="74">
        <f t="shared" si="80"/>
        <v>33.277999999999999</v>
      </c>
      <c r="BG108" s="74">
        <f t="shared" si="81"/>
        <v>13.622</v>
      </c>
      <c r="BH108" s="21">
        <f t="shared" si="82"/>
        <v>0.29044776119402987</v>
      </c>
      <c r="BI108" s="80"/>
    </row>
    <row r="109" spans="1:61" ht="14.25" customHeight="1">
      <c r="A109" s="72" t="s">
        <v>176</v>
      </c>
      <c r="B109" s="2" t="str">
        <f>IFERROR(VLOOKUP(A109,'Tabela de Produtos'!A:B,2,0),"Preencher Cód. Produto")</f>
        <v>BRAZIMIL LÁTEX STANDARD INT/EXT SEMIBRILHO 3L AZUL CARIBE</v>
      </c>
      <c r="C109" s="2"/>
      <c r="D109" s="73" t="s">
        <v>66</v>
      </c>
      <c r="E109" s="73">
        <v>100</v>
      </c>
      <c r="F109" s="74">
        <f>IF(A109=0,0,VLOOKUP(A109,'Tabela de Produtos'!A:W,23,0))</f>
        <v>32.549999999999997</v>
      </c>
      <c r="G109" s="75">
        <v>46.9</v>
      </c>
      <c r="H109" s="76">
        <v>1</v>
      </c>
      <c r="I109" s="74">
        <f t="shared" si="77"/>
        <v>46.9</v>
      </c>
      <c r="J109" s="77">
        <f>VLOOKUP(B109,'Tabela de Produtos'!B:M,12,FALSE())</f>
        <v>24.27</v>
      </c>
      <c r="K109" s="77">
        <f>VLOOKUP(B109,'Tabela de Produtos'!B:P,15,FALSE())</f>
        <v>0.92999999999999994</v>
      </c>
      <c r="L109" s="77">
        <f t="shared" si="84"/>
        <v>0.2427</v>
      </c>
      <c r="M109" s="77">
        <f t="shared" si="85"/>
        <v>0.2427</v>
      </c>
      <c r="N109" s="78">
        <f t="shared" si="86"/>
        <v>25.685399999999998</v>
      </c>
      <c r="O109" s="77">
        <f t="shared" si="87"/>
        <v>0.36200000000000004</v>
      </c>
      <c r="P109" s="77">
        <f t="shared" si="88"/>
        <v>0.28289999999999998</v>
      </c>
      <c r="Q109" s="77">
        <f t="shared" si="89"/>
        <v>0.28289999999999998</v>
      </c>
      <c r="R109" s="78">
        <f t="shared" si="90"/>
        <v>0.92779999999999996</v>
      </c>
      <c r="S109" s="77">
        <f>VLOOKUP(B109,'Tabela de Produtos'!B:N,13,FALSE())</f>
        <v>3.44</v>
      </c>
      <c r="T109" s="77">
        <f t="shared" si="91"/>
        <v>0.22727272727272727</v>
      </c>
      <c r="U109" s="77">
        <f t="shared" si="92"/>
        <v>0.39090909090909093</v>
      </c>
      <c r="V109" s="77">
        <f t="shared" si="93"/>
        <v>0.10909090909090909</v>
      </c>
      <c r="W109" s="78">
        <f t="shared" si="94"/>
        <v>4.167272727272727</v>
      </c>
      <c r="X109" s="77">
        <f t="shared" si="95"/>
        <v>0.30780472727272729</v>
      </c>
      <c r="Y109" s="77">
        <f t="shared" si="96"/>
        <v>0.30780472727272729</v>
      </c>
      <c r="Z109" s="77">
        <f t="shared" si="97"/>
        <v>8.3000000000000001E-3</v>
      </c>
      <c r="AA109" s="77">
        <f t="shared" si="98"/>
        <v>0.20833333333333331</v>
      </c>
      <c r="AB109" s="77">
        <f t="shared" si="99"/>
        <v>0.19791666666666669</v>
      </c>
      <c r="AC109" s="77">
        <f t="shared" si="100"/>
        <v>0</v>
      </c>
      <c r="AD109" s="77">
        <f t="shared" si="101"/>
        <v>0.41454999999999997</v>
      </c>
      <c r="AE109" s="77">
        <f t="shared" si="102"/>
        <v>7.8757068636363634</v>
      </c>
      <c r="AF109" s="77">
        <f t="shared" si="103"/>
        <v>7.8757068636363634</v>
      </c>
      <c r="AG109" s="74"/>
      <c r="AH109" s="74"/>
      <c r="AI109" s="74"/>
      <c r="AJ109" s="74"/>
      <c r="AK109" s="74"/>
      <c r="AL109" s="77">
        <f t="shared" si="104"/>
        <v>0</v>
      </c>
      <c r="AM109" s="77">
        <f t="shared" si="105"/>
        <v>39.378534318181813</v>
      </c>
      <c r="AN109" s="77">
        <f t="shared" si="106"/>
        <v>0.4725424118181818</v>
      </c>
      <c r="AO109" s="77">
        <f t="shared" si="107"/>
        <v>0.42528817063636359</v>
      </c>
      <c r="AP109" s="77">
        <f t="shared" si="108"/>
        <v>0.89783058245454539</v>
      </c>
      <c r="AQ109" s="77">
        <f t="shared" si="109"/>
        <v>3.2881076155681814</v>
      </c>
      <c r="AR109" s="77">
        <f t="shared" si="110"/>
        <v>0</v>
      </c>
      <c r="AS109" s="77">
        <f t="shared" si="111"/>
        <v>0</v>
      </c>
      <c r="AT109" s="77">
        <f t="shared" si="112"/>
        <v>3.2881076155681814</v>
      </c>
      <c r="AU109" s="77">
        <f t="shared" si="113"/>
        <v>1.9689267159090909</v>
      </c>
      <c r="AV109" s="77">
        <f t="shared" si="114"/>
        <v>1.9689267159090909</v>
      </c>
      <c r="AW109" s="77">
        <f t="shared" si="115"/>
        <v>45.533399232113631</v>
      </c>
      <c r="AX109" s="21">
        <f t="shared" si="116"/>
        <v>3.0013150586889119E-2</v>
      </c>
      <c r="AY109" s="77">
        <f t="shared" si="78"/>
        <v>1.3666007678863679</v>
      </c>
      <c r="AZ109" s="79">
        <f>IFERROR(H109*VLOOKUP(A109,'Tabela de Produtos'!A:Q,17,0),0)</f>
        <v>28.64</v>
      </c>
      <c r="BA109" s="74">
        <f t="shared" si="83"/>
        <v>0</v>
      </c>
      <c r="BB109" s="74">
        <f t="shared" si="83"/>
        <v>0</v>
      </c>
      <c r="BC109" s="74">
        <f t="shared" si="83"/>
        <v>0</v>
      </c>
      <c r="BD109" s="74">
        <f t="shared" si="83"/>
        <v>3.2830000000000004</v>
      </c>
      <c r="BE109" s="74">
        <f t="shared" si="79"/>
        <v>2.3450000000000002</v>
      </c>
      <c r="BF109" s="74">
        <f t="shared" si="80"/>
        <v>34.268000000000001</v>
      </c>
      <c r="BG109" s="74">
        <f t="shared" si="81"/>
        <v>12.631999999999998</v>
      </c>
      <c r="BH109" s="21">
        <f t="shared" si="82"/>
        <v>0.26933901918976544</v>
      </c>
      <c r="BI109" s="80"/>
    </row>
    <row r="110" spans="1:61" ht="14.25" customHeight="1">
      <c r="A110" s="72" t="s">
        <v>177</v>
      </c>
      <c r="B110" s="2" t="str">
        <f>IFERROR(VLOOKUP(A110,'Tabela de Produtos'!A:B,2,0),"Preencher Cód. Produto")</f>
        <v>BRAZIMIL LÁTEX STANDARD INT/EXT SEMIBRILHO 3L VERDE LIMA</v>
      </c>
      <c r="C110" s="2"/>
      <c r="D110" s="73" t="s">
        <v>66</v>
      </c>
      <c r="E110" s="73">
        <v>100</v>
      </c>
      <c r="F110" s="74">
        <f>IF(A110=0,0,VLOOKUP(A110,'Tabela de Produtos'!A:W,23,0))</f>
        <v>32.549999999999997</v>
      </c>
      <c r="G110" s="75">
        <v>46.9</v>
      </c>
      <c r="H110" s="76">
        <v>1</v>
      </c>
      <c r="I110" s="74">
        <f t="shared" si="77"/>
        <v>46.9</v>
      </c>
      <c r="J110" s="77">
        <f>VLOOKUP(B110,'Tabela de Produtos'!B:M,12,FALSE())</f>
        <v>24.27</v>
      </c>
      <c r="K110" s="77">
        <f>VLOOKUP(B110,'Tabela de Produtos'!B:P,15,FALSE())</f>
        <v>0.92999999999999994</v>
      </c>
      <c r="L110" s="77">
        <f t="shared" si="84"/>
        <v>0.2427</v>
      </c>
      <c r="M110" s="77">
        <f t="shared" si="85"/>
        <v>0.2427</v>
      </c>
      <c r="N110" s="78">
        <f t="shared" si="86"/>
        <v>25.685399999999998</v>
      </c>
      <c r="O110" s="77">
        <f t="shared" si="87"/>
        <v>0.36200000000000004</v>
      </c>
      <c r="P110" s="77">
        <f t="shared" si="88"/>
        <v>0.28289999999999998</v>
      </c>
      <c r="Q110" s="77">
        <f t="shared" si="89"/>
        <v>0.28289999999999998</v>
      </c>
      <c r="R110" s="78">
        <f t="shared" si="90"/>
        <v>0.92779999999999996</v>
      </c>
      <c r="S110" s="77">
        <f>VLOOKUP(B110,'Tabela de Produtos'!B:N,13,FALSE())</f>
        <v>3.44</v>
      </c>
      <c r="T110" s="77">
        <f t="shared" si="91"/>
        <v>0.22727272727272727</v>
      </c>
      <c r="U110" s="77">
        <f t="shared" si="92"/>
        <v>0.39090909090909093</v>
      </c>
      <c r="V110" s="77">
        <f t="shared" si="93"/>
        <v>0.10909090909090909</v>
      </c>
      <c r="W110" s="78">
        <f t="shared" si="94"/>
        <v>4.167272727272727</v>
      </c>
      <c r="X110" s="77">
        <f t="shared" si="95"/>
        <v>0.30780472727272729</v>
      </c>
      <c r="Y110" s="77">
        <f t="shared" si="96"/>
        <v>0.30780472727272729</v>
      </c>
      <c r="Z110" s="77">
        <f t="shared" si="97"/>
        <v>8.3000000000000001E-3</v>
      </c>
      <c r="AA110" s="77">
        <f t="shared" si="98"/>
        <v>0.20833333333333331</v>
      </c>
      <c r="AB110" s="77">
        <f t="shared" si="99"/>
        <v>0.19791666666666669</v>
      </c>
      <c r="AC110" s="77">
        <f t="shared" si="100"/>
        <v>0</v>
      </c>
      <c r="AD110" s="77">
        <f t="shared" si="101"/>
        <v>0.41454999999999997</v>
      </c>
      <c r="AE110" s="77">
        <f t="shared" si="102"/>
        <v>7.8757068636363634</v>
      </c>
      <c r="AF110" s="77">
        <f t="shared" si="103"/>
        <v>7.8757068636363634</v>
      </c>
      <c r="AG110" s="74"/>
      <c r="AH110" s="74"/>
      <c r="AI110" s="74"/>
      <c r="AJ110" s="74"/>
      <c r="AK110" s="74"/>
      <c r="AL110" s="77">
        <f t="shared" si="104"/>
        <v>0</v>
      </c>
      <c r="AM110" s="77">
        <f t="shared" si="105"/>
        <v>39.378534318181813</v>
      </c>
      <c r="AN110" s="77">
        <f t="shared" si="106"/>
        <v>0.4725424118181818</v>
      </c>
      <c r="AO110" s="77">
        <f t="shared" si="107"/>
        <v>0.42528817063636359</v>
      </c>
      <c r="AP110" s="77">
        <f t="shared" si="108"/>
        <v>0.89783058245454539</v>
      </c>
      <c r="AQ110" s="77">
        <f t="shared" si="109"/>
        <v>3.2881076155681814</v>
      </c>
      <c r="AR110" s="77">
        <f t="shared" si="110"/>
        <v>0</v>
      </c>
      <c r="AS110" s="77">
        <f t="shared" si="111"/>
        <v>0</v>
      </c>
      <c r="AT110" s="77">
        <f t="shared" si="112"/>
        <v>3.2881076155681814</v>
      </c>
      <c r="AU110" s="77">
        <f t="shared" si="113"/>
        <v>1.9689267159090909</v>
      </c>
      <c r="AV110" s="77">
        <f t="shared" si="114"/>
        <v>1.9689267159090909</v>
      </c>
      <c r="AW110" s="77">
        <f t="shared" si="115"/>
        <v>45.533399232113631</v>
      </c>
      <c r="AX110" s="21">
        <f t="shared" si="116"/>
        <v>3.0013150586889119E-2</v>
      </c>
      <c r="AY110" s="77">
        <f t="shared" si="78"/>
        <v>1.3666007678863679</v>
      </c>
      <c r="AZ110" s="79">
        <f>IFERROR(H110*VLOOKUP(A110,'Tabela de Produtos'!A:Q,17,0),0)</f>
        <v>28.64</v>
      </c>
      <c r="BA110" s="74">
        <f t="shared" si="83"/>
        <v>0</v>
      </c>
      <c r="BB110" s="74">
        <f t="shared" si="83"/>
        <v>0</v>
      </c>
      <c r="BC110" s="74">
        <f t="shared" si="83"/>
        <v>0</v>
      </c>
      <c r="BD110" s="74">
        <f t="shared" si="83"/>
        <v>3.2830000000000004</v>
      </c>
      <c r="BE110" s="74">
        <f t="shared" si="79"/>
        <v>2.3450000000000002</v>
      </c>
      <c r="BF110" s="74">
        <f t="shared" si="80"/>
        <v>34.268000000000001</v>
      </c>
      <c r="BG110" s="74">
        <f t="shared" si="81"/>
        <v>12.631999999999998</v>
      </c>
      <c r="BH110" s="21">
        <f t="shared" si="82"/>
        <v>0.26933901918976544</v>
      </c>
      <c r="BI110" s="80"/>
    </row>
    <row r="111" spans="1:61" ht="14.25" customHeight="1">
      <c r="A111" s="72" t="s">
        <v>178</v>
      </c>
      <c r="B111" s="2" t="str">
        <f>IFERROR(VLOOKUP(A111,'Tabela de Produtos'!A:B,2,0),"Preencher Cód. Produto")</f>
        <v>BRAZIMIL LÁTEX STANDARD INT/EXT SEMIBRILHO 3L PEROLA</v>
      </c>
      <c r="C111" s="2"/>
      <c r="D111" s="73" t="s">
        <v>66</v>
      </c>
      <c r="E111" s="73">
        <v>100</v>
      </c>
      <c r="F111" s="74">
        <f>IF(A111=0,0,VLOOKUP(A111,'Tabela de Produtos'!A:W,23,0))</f>
        <v>33.949999999999996</v>
      </c>
      <c r="G111" s="75">
        <v>46.9</v>
      </c>
      <c r="H111" s="76">
        <v>1</v>
      </c>
      <c r="I111" s="74">
        <f t="shared" si="77"/>
        <v>46.9</v>
      </c>
      <c r="J111" s="77">
        <f>VLOOKUP(B111,'Tabela de Produtos'!B:M,12,FALSE())</f>
        <v>25.5</v>
      </c>
      <c r="K111" s="77">
        <f>VLOOKUP(B111,'Tabela de Produtos'!B:P,15,FALSE())</f>
        <v>0.92999999999999994</v>
      </c>
      <c r="L111" s="77">
        <f t="shared" si="84"/>
        <v>0.255</v>
      </c>
      <c r="M111" s="77">
        <f t="shared" si="85"/>
        <v>0.255</v>
      </c>
      <c r="N111" s="78">
        <f t="shared" si="86"/>
        <v>26.939999999999998</v>
      </c>
      <c r="O111" s="77">
        <f t="shared" si="87"/>
        <v>0.36200000000000004</v>
      </c>
      <c r="P111" s="77">
        <f t="shared" si="88"/>
        <v>0.28289999999999998</v>
      </c>
      <c r="Q111" s="77">
        <f t="shared" si="89"/>
        <v>0.28289999999999998</v>
      </c>
      <c r="R111" s="78">
        <f t="shared" si="90"/>
        <v>0.92779999999999996</v>
      </c>
      <c r="S111" s="77">
        <f>VLOOKUP(B111,'Tabela de Produtos'!B:N,13,FALSE())</f>
        <v>3.44</v>
      </c>
      <c r="T111" s="77">
        <f t="shared" si="91"/>
        <v>0.22727272727272727</v>
      </c>
      <c r="U111" s="77">
        <f t="shared" si="92"/>
        <v>0.39090909090909093</v>
      </c>
      <c r="V111" s="77">
        <f t="shared" si="93"/>
        <v>0.10909090909090909</v>
      </c>
      <c r="W111" s="78">
        <f t="shared" si="94"/>
        <v>4.167272727272727</v>
      </c>
      <c r="X111" s="77">
        <f t="shared" si="95"/>
        <v>0.32035072727272729</v>
      </c>
      <c r="Y111" s="77">
        <f t="shared" si="96"/>
        <v>0.32035072727272729</v>
      </c>
      <c r="Z111" s="77">
        <f t="shared" si="97"/>
        <v>8.3000000000000001E-3</v>
      </c>
      <c r="AA111" s="77">
        <f t="shared" si="98"/>
        <v>0.20833333333333331</v>
      </c>
      <c r="AB111" s="77">
        <f t="shared" si="99"/>
        <v>0.19791666666666669</v>
      </c>
      <c r="AC111" s="77">
        <f t="shared" si="100"/>
        <v>0</v>
      </c>
      <c r="AD111" s="77">
        <f t="shared" si="101"/>
        <v>0.41454999999999997</v>
      </c>
      <c r="AE111" s="77">
        <f t="shared" si="102"/>
        <v>8.1924933636363626</v>
      </c>
      <c r="AF111" s="77">
        <f t="shared" si="103"/>
        <v>8.1924933636363626</v>
      </c>
      <c r="AG111" s="74"/>
      <c r="AH111" s="74"/>
      <c r="AI111" s="74"/>
      <c r="AJ111" s="74"/>
      <c r="AK111" s="74"/>
      <c r="AL111" s="77">
        <f t="shared" si="104"/>
        <v>0</v>
      </c>
      <c r="AM111" s="77">
        <f t="shared" si="105"/>
        <v>40.962466818181817</v>
      </c>
      <c r="AN111" s="77">
        <f t="shared" si="106"/>
        <v>0.4915496018181818</v>
      </c>
      <c r="AO111" s="77">
        <f t="shared" si="107"/>
        <v>0.44239464163636366</v>
      </c>
      <c r="AP111" s="77">
        <f t="shared" si="108"/>
        <v>0.93394424345454552</v>
      </c>
      <c r="AQ111" s="77">
        <f t="shared" si="109"/>
        <v>3.420365979318182</v>
      </c>
      <c r="AR111" s="77">
        <f t="shared" si="110"/>
        <v>0</v>
      </c>
      <c r="AS111" s="77">
        <f t="shared" si="111"/>
        <v>0</v>
      </c>
      <c r="AT111" s="77">
        <f t="shared" si="112"/>
        <v>3.420365979318182</v>
      </c>
      <c r="AU111" s="77">
        <f t="shared" si="113"/>
        <v>2.0481233409090911</v>
      </c>
      <c r="AV111" s="77">
        <f t="shared" si="114"/>
        <v>2.0481233409090911</v>
      </c>
      <c r="AW111" s="77">
        <f t="shared" si="115"/>
        <v>47.364900381863642</v>
      </c>
      <c r="AX111" s="21">
        <f t="shared" si="116"/>
        <v>-9.8152931414515702E-3</v>
      </c>
      <c r="AY111" s="77">
        <f t="shared" si="78"/>
        <v>-0.46490038186364302</v>
      </c>
      <c r="AZ111" s="79">
        <f>IFERROR(H111*VLOOKUP(A111,'Tabela de Produtos'!A:Q,17,0),0)</f>
        <v>29.87</v>
      </c>
      <c r="BA111" s="74">
        <f t="shared" si="83"/>
        <v>0</v>
      </c>
      <c r="BB111" s="74">
        <f t="shared" si="83"/>
        <v>0</v>
      </c>
      <c r="BC111" s="74">
        <f t="shared" si="83"/>
        <v>0</v>
      </c>
      <c r="BD111" s="74">
        <f t="shared" si="83"/>
        <v>3.2830000000000004</v>
      </c>
      <c r="BE111" s="74">
        <f t="shared" si="79"/>
        <v>2.3450000000000002</v>
      </c>
      <c r="BF111" s="74">
        <f t="shared" si="80"/>
        <v>35.497999999999998</v>
      </c>
      <c r="BG111" s="74">
        <f t="shared" si="81"/>
        <v>11.402000000000001</v>
      </c>
      <c r="BH111" s="21">
        <f t="shared" si="82"/>
        <v>0.2431130063965885</v>
      </c>
    </row>
    <row r="112" spans="1:61" ht="14.25" customHeight="1">
      <c r="A112" s="72" t="s">
        <v>179</v>
      </c>
      <c r="B112" s="2" t="str">
        <f>IFERROR(VLOOKUP(A112,'Tabela de Produtos'!A:B,2,0),"Preencher Cód. Produto")</f>
        <v>BRAZIMIL LÁTEX STANDARD INT/EXT SEMIBRILHO 3L AZUL INTENSO</v>
      </c>
      <c r="C112" s="2"/>
      <c r="D112" s="73" t="s">
        <v>66</v>
      </c>
      <c r="E112" s="73">
        <v>100</v>
      </c>
      <c r="F112" s="74">
        <f>IF(A112=0,0,VLOOKUP(A112,'Tabela de Produtos'!A:W,23,0))</f>
        <v>30.64</v>
      </c>
      <c r="G112" s="75">
        <v>46.9</v>
      </c>
      <c r="H112" s="76">
        <v>1</v>
      </c>
      <c r="I112" s="74">
        <f t="shared" si="77"/>
        <v>46.9</v>
      </c>
      <c r="J112" s="77">
        <f>VLOOKUP(B112,'Tabela de Produtos'!B:M,12,FALSE())</f>
        <v>22.59</v>
      </c>
      <c r="K112" s="77">
        <f>VLOOKUP(B112,'Tabela de Produtos'!B:P,15,FALSE())</f>
        <v>0.92999999999999994</v>
      </c>
      <c r="L112" s="77">
        <f t="shared" si="84"/>
        <v>0.22589999999999999</v>
      </c>
      <c r="M112" s="77">
        <f t="shared" si="85"/>
        <v>0.22589999999999999</v>
      </c>
      <c r="N112" s="78">
        <f t="shared" si="86"/>
        <v>23.971799999999998</v>
      </c>
      <c r="O112" s="77">
        <f t="shared" si="87"/>
        <v>0.36200000000000004</v>
      </c>
      <c r="P112" s="77">
        <f t="shared" si="88"/>
        <v>0.28289999999999998</v>
      </c>
      <c r="Q112" s="77">
        <f t="shared" si="89"/>
        <v>0.28289999999999998</v>
      </c>
      <c r="R112" s="78">
        <f t="shared" si="90"/>
        <v>0.92779999999999996</v>
      </c>
      <c r="S112" s="77">
        <f>VLOOKUP(B112,'Tabela de Produtos'!B:N,13,FALSE())</f>
        <v>3.44</v>
      </c>
      <c r="T112" s="77">
        <f t="shared" si="91"/>
        <v>0.22727272727272727</v>
      </c>
      <c r="U112" s="77">
        <f t="shared" si="92"/>
        <v>0.39090909090909093</v>
      </c>
      <c r="V112" s="77">
        <f t="shared" si="93"/>
        <v>0.10909090909090909</v>
      </c>
      <c r="W112" s="78">
        <f t="shared" si="94"/>
        <v>4.167272727272727</v>
      </c>
      <c r="X112" s="77">
        <f t="shared" si="95"/>
        <v>0.2906687272727273</v>
      </c>
      <c r="Y112" s="77">
        <f t="shared" si="96"/>
        <v>0.2906687272727273</v>
      </c>
      <c r="Z112" s="77">
        <f t="shared" si="97"/>
        <v>8.3000000000000001E-3</v>
      </c>
      <c r="AA112" s="77">
        <f t="shared" si="98"/>
        <v>0.20833333333333331</v>
      </c>
      <c r="AB112" s="77">
        <f t="shared" si="99"/>
        <v>0.19791666666666669</v>
      </c>
      <c r="AC112" s="77">
        <f t="shared" si="100"/>
        <v>0</v>
      </c>
      <c r="AD112" s="77">
        <f t="shared" si="101"/>
        <v>0.41454999999999997</v>
      </c>
      <c r="AE112" s="77">
        <f t="shared" si="102"/>
        <v>7.4430228636363633</v>
      </c>
      <c r="AF112" s="77">
        <f t="shared" si="103"/>
        <v>7.4430228636363633</v>
      </c>
      <c r="AG112" s="74"/>
      <c r="AH112" s="74"/>
      <c r="AI112" s="74"/>
      <c r="AJ112" s="74"/>
      <c r="AK112" s="74"/>
      <c r="AL112" s="77">
        <f t="shared" si="104"/>
        <v>0</v>
      </c>
      <c r="AM112" s="77">
        <f t="shared" si="105"/>
        <v>37.215114318181818</v>
      </c>
      <c r="AN112" s="77">
        <f t="shared" si="106"/>
        <v>0.4465813718181818</v>
      </c>
      <c r="AO112" s="77">
        <f t="shared" si="107"/>
        <v>0.40192323463636365</v>
      </c>
      <c r="AP112" s="77">
        <f t="shared" si="108"/>
        <v>0.8485046064545454</v>
      </c>
      <c r="AQ112" s="77">
        <f t="shared" si="109"/>
        <v>3.1074620455681821</v>
      </c>
      <c r="AR112" s="77">
        <f t="shared" si="110"/>
        <v>0</v>
      </c>
      <c r="AS112" s="77">
        <f t="shared" si="111"/>
        <v>0</v>
      </c>
      <c r="AT112" s="77">
        <f t="shared" si="112"/>
        <v>3.1074620455681821</v>
      </c>
      <c r="AU112" s="77">
        <f t="shared" si="113"/>
        <v>1.8607557159090911</v>
      </c>
      <c r="AV112" s="77">
        <f t="shared" si="114"/>
        <v>1.8607557159090911</v>
      </c>
      <c r="AW112" s="77">
        <f t="shared" si="115"/>
        <v>43.031836686113643</v>
      </c>
      <c r="AX112" s="21">
        <f t="shared" si="116"/>
        <v>8.9890732345491789E-2</v>
      </c>
      <c r="AY112" s="77">
        <f t="shared" si="78"/>
        <v>3.868163313886356</v>
      </c>
      <c r="AZ112" s="79">
        <f>IFERROR(H112*VLOOKUP(A112,'Tabela de Produtos'!A:Q,17,0),0)</f>
        <v>26.96</v>
      </c>
      <c r="BA112" s="74">
        <f t="shared" si="83"/>
        <v>0</v>
      </c>
      <c r="BB112" s="74">
        <f t="shared" si="83"/>
        <v>0</v>
      </c>
      <c r="BC112" s="74">
        <f t="shared" si="83"/>
        <v>0</v>
      </c>
      <c r="BD112" s="74">
        <f t="shared" si="83"/>
        <v>3.2830000000000004</v>
      </c>
      <c r="BE112" s="74">
        <f t="shared" si="79"/>
        <v>2.3450000000000002</v>
      </c>
      <c r="BF112" s="74">
        <f t="shared" si="80"/>
        <v>32.588000000000001</v>
      </c>
      <c r="BG112" s="74">
        <f t="shared" si="81"/>
        <v>14.311999999999998</v>
      </c>
      <c r="BH112" s="21">
        <f t="shared" si="82"/>
        <v>0.30515991471215348</v>
      </c>
    </row>
    <row r="113" spans="1:60" ht="14.25" customHeight="1">
      <c r="A113" s="72" t="s">
        <v>180</v>
      </c>
      <c r="B113" s="2" t="str">
        <f>IFERROR(VLOOKUP(A113,'Tabela de Produtos'!A:B,2,0),"Preencher Cód. Produto")</f>
        <v>BRAZIMIL LÁTEX STANDARD INT/EXT SEMIBRILHO 3L LILAS</v>
      </c>
      <c r="C113" s="2"/>
      <c r="D113" s="73" t="s">
        <v>66</v>
      </c>
      <c r="E113" s="73">
        <v>100</v>
      </c>
      <c r="F113" s="74">
        <f>IF(A113=0,0,VLOOKUP(A113,'Tabela de Produtos'!A:W,23,0))</f>
        <v>29.14</v>
      </c>
      <c r="G113" s="75">
        <v>46.9</v>
      </c>
      <c r="H113" s="76">
        <v>1</v>
      </c>
      <c r="I113" s="74">
        <f t="shared" si="77"/>
        <v>46.9</v>
      </c>
      <c r="J113" s="77">
        <f>VLOOKUP(B113,'Tabela de Produtos'!B:M,12,FALSE())</f>
        <v>21.270000000000003</v>
      </c>
      <c r="K113" s="77">
        <f>VLOOKUP(B113,'Tabela de Produtos'!B:P,15,FALSE())</f>
        <v>0.92999999999999994</v>
      </c>
      <c r="L113" s="77">
        <f t="shared" si="84"/>
        <v>0.21270000000000003</v>
      </c>
      <c r="M113" s="77">
        <f t="shared" si="85"/>
        <v>0.21270000000000003</v>
      </c>
      <c r="N113" s="78">
        <f t="shared" si="86"/>
        <v>22.625400000000006</v>
      </c>
      <c r="O113" s="77">
        <f t="shared" si="87"/>
        <v>0.36200000000000004</v>
      </c>
      <c r="P113" s="77">
        <f t="shared" si="88"/>
        <v>0.28289999999999998</v>
      </c>
      <c r="Q113" s="77">
        <f t="shared" si="89"/>
        <v>0.28289999999999998</v>
      </c>
      <c r="R113" s="78">
        <f t="shared" si="90"/>
        <v>0.92779999999999996</v>
      </c>
      <c r="S113" s="77">
        <f>VLOOKUP(B113,'Tabela de Produtos'!B:N,13,FALSE())</f>
        <v>3.44</v>
      </c>
      <c r="T113" s="77">
        <f t="shared" si="91"/>
        <v>0.22727272727272727</v>
      </c>
      <c r="U113" s="77">
        <f t="shared" si="92"/>
        <v>0.39090909090909093</v>
      </c>
      <c r="V113" s="77">
        <f t="shared" si="93"/>
        <v>0.10909090909090909</v>
      </c>
      <c r="W113" s="78">
        <f t="shared" si="94"/>
        <v>4.167272727272727</v>
      </c>
      <c r="X113" s="77">
        <f t="shared" si="95"/>
        <v>0.27720472727272738</v>
      </c>
      <c r="Y113" s="77">
        <f t="shared" si="96"/>
        <v>0.27720472727272738</v>
      </c>
      <c r="Z113" s="77">
        <f t="shared" si="97"/>
        <v>8.3000000000000001E-3</v>
      </c>
      <c r="AA113" s="77">
        <f t="shared" si="98"/>
        <v>0.20833333333333331</v>
      </c>
      <c r="AB113" s="77">
        <f t="shared" si="99"/>
        <v>0.19791666666666669</v>
      </c>
      <c r="AC113" s="77">
        <f t="shared" si="100"/>
        <v>0</v>
      </c>
      <c r="AD113" s="77">
        <f t="shared" si="101"/>
        <v>0.41454999999999997</v>
      </c>
      <c r="AE113" s="77">
        <f t="shared" si="102"/>
        <v>7.1030568636363647</v>
      </c>
      <c r="AF113" s="77">
        <f t="shared" si="103"/>
        <v>7.1030568636363647</v>
      </c>
      <c r="AG113" s="74"/>
      <c r="AH113" s="74"/>
      <c r="AI113" s="74"/>
      <c r="AJ113" s="74"/>
      <c r="AK113" s="74"/>
      <c r="AL113" s="77">
        <f t="shared" si="104"/>
        <v>0</v>
      </c>
      <c r="AM113" s="77">
        <f t="shared" si="105"/>
        <v>35.515284318181827</v>
      </c>
      <c r="AN113" s="77">
        <f t="shared" si="106"/>
        <v>0.42618341181818192</v>
      </c>
      <c r="AO113" s="77">
        <f t="shared" si="107"/>
        <v>0.38356507063636375</v>
      </c>
      <c r="AP113" s="77">
        <f t="shared" si="108"/>
        <v>0.80974848245454567</v>
      </c>
      <c r="AQ113" s="77">
        <f t="shared" si="109"/>
        <v>2.9655262405681828</v>
      </c>
      <c r="AR113" s="77">
        <f t="shared" si="110"/>
        <v>0</v>
      </c>
      <c r="AS113" s="77">
        <f t="shared" si="111"/>
        <v>0</v>
      </c>
      <c r="AT113" s="77">
        <f t="shared" si="112"/>
        <v>2.9655262405681828</v>
      </c>
      <c r="AU113" s="77">
        <f t="shared" si="113"/>
        <v>1.7757642159090914</v>
      </c>
      <c r="AV113" s="77">
        <f t="shared" si="114"/>
        <v>1.7757642159090914</v>
      </c>
      <c r="AW113" s="77">
        <f t="shared" si="115"/>
        <v>41.066323257113645</v>
      </c>
      <c r="AX113" s="21">
        <f t="shared" si="116"/>
        <v>0.14205500468990306</v>
      </c>
      <c r="AY113" s="77">
        <f t="shared" si="78"/>
        <v>5.8336767428863538</v>
      </c>
      <c r="AZ113" s="79">
        <f>IFERROR(H113*VLOOKUP(A113,'Tabela de Produtos'!A:Q,17,0),0)</f>
        <v>25.640000000000004</v>
      </c>
      <c r="BA113" s="74">
        <f t="shared" si="83"/>
        <v>0</v>
      </c>
      <c r="BB113" s="74">
        <f t="shared" si="83"/>
        <v>0</v>
      </c>
      <c r="BC113" s="74">
        <f t="shared" si="83"/>
        <v>0</v>
      </c>
      <c r="BD113" s="74">
        <f t="shared" si="83"/>
        <v>3.2830000000000004</v>
      </c>
      <c r="BE113" s="74">
        <f t="shared" si="79"/>
        <v>2.3450000000000002</v>
      </c>
      <c r="BF113" s="74">
        <f t="shared" si="80"/>
        <v>31.268000000000004</v>
      </c>
      <c r="BG113" s="74">
        <f t="shared" si="81"/>
        <v>15.631999999999994</v>
      </c>
      <c r="BH113" s="21">
        <f t="shared" si="82"/>
        <v>0.33330490405117258</v>
      </c>
    </row>
    <row r="114" spans="1:60" ht="14.25" customHeight="1">
      <c r="A114" s="72" t="s">
        <v>181</v>
      </c>
      <c r="B114" s="2" t="str">
        <f>IFERROR(VLOOKUP(A114,'Tabela de Produtos'!A:B,2,0),"Preencher Cód. Produto")</f>
        <v>BRAZIMIL LÁTEX STANDARD INT/EXT SEMIBRILHO 3L VERMELHO GARANTIDO</v>
      </c>
      <c r="C114" s="2"/>
      <c r="D114" s="73" t="s">
        <v>66</v>
      </c>
      <c r="E114" s="73">
        <v>100</v>
      </c>
      <c r="F114" s="74">
        <f>IF(A114=0,0,VLOOKUP(A114,'Tabela de Produtos'!A:W,23,0))</f>
        <v>35.69</v>
      </c>
      <c r="G114" s="75">
        <v>46.9</v>
      </c>
      <c r="H114" s="76">
        <v>1</v>
      </c>
      <c r="I114" s="74">
        <f t="shared" si="77"/>
        <v>46.9</v>
      </c>
      <c r="J114" s="77">
        <f>VLOOKUP(B114,'Tabela de Produtos'!B:M,12,FALSE())</f>
        <v>27.029999999999994</v>
      </c>
      <c r="K114" s="77">
        <f>VLOOKUP(B114,'Tabela de Produtos'!B:P,15,FALSE())</f>
        <v>0.92999999999999994</v>
      </c>
      <c r="L114" s="77">
        <f t="shared" si="84"/>
        <v>0.27029999999999993</v>
      </c>
      <c r="M114" s="77">
        <f t="shared" si="85"/>
        <v>0.27029999999999993</v>
      </c>
      <c r="N114" s="78">
        <f t="shared" si="86"/>
        <v>28.500599999999991</v>
      </c>
      <c r="O114" s="77">
        <f t="shared" si="87"/>
        <v>0.36200000000000004</v>
      </c>
      <c r="P114" s="77">
        <f t="shared" si="88"/>
        <v>0.28289999999999998</v>
      </c>
      <c r="Q114" s="77">
        <f t="shared" si="89"/>
        <v>0.28289999999999998</v>
      </c>
      <c r="R114" s="78">
        <f t="shared" si="90"/>
        <v>0.92779999999999996</v>
      </c>
      <c r="S114" s="77">
        <f>VLOOKUP(B114,'Tabela de Produtos'!B:N,13,FALSE())</f>
        <v>3.44</v>
      </c>
      <c r="T114" s="77">
        <f t="shared" si="91"/>
        <v>0.22727272727272727</v>
      </c>
      <c r="U114" s="77">
        <f t="shared" si="92"/>
        <v>0.39090909090909093</v>
      </c>
      <c r="V114" s="77">
        <f t="shared" si="93"/>
        <v>0.10909090909090909</v>
      </c>
      <c r="W114" s="78">
        <f t="shared" si="94"/>
        <v>4.167272727272727</v>
      </c>
      <c r="X114" s="77">
        <f t="shared" si="95"/>
        <v>0.33595672727272724</v>
      </c>
      <c r="Y114" s="77">
        <f t="shared" si="96"/>
        <v>0.33595672727272724</v>
      </c>
      <c r="Z114" s="77">
        <f t="shared" si="97"/>
        <v>8.3000000000000001E-3</v>
      </c>
      <c r="AA114" s="77">
        <f t="shared" si="98"/>
        <v>0.20833333333333331</v>
      </c>
      <c r="AB114" s="77">
        <f t="shared" si="99"/>
        <v>0.19791666666666669</v>
      </c>
      <c r="AC114" s="77">
        <f t="shared" si="100"/>
        <v>0</v>
      </c>
      <c r="AD114" s="77">
        <f t="shared" si="101"/>
        <v>0.41454999999999997</v>
      </c>
      <c r="AE114" s="77">
        <f t="shared" si="102"/>
        <v>8.5865448636363624</v>
      </c>
      <c r="AF114" s="77">
        <f t="shared" si="103"/>
        <v>8.5865448636363624</v>
      </c>
      <c r="AG114" s="74"/>
      <c r="AH114" s="74"/>
      <c r="AI114" s="74"/>
      <c r="AJ114" s="74"/>
      <c r="AK114" s="74"/>
      <c r="AL114" s="77">
        <f t="shared" si="104"/>
        <v>0</v>
      </c>
      <c r="AM114" s="77">
        <f t="shared" si="105"/>
        <v>42.932724318181805</v>
      </c>
      <c r="AN114" s="77">
        <f t="shared" si="106"/>
        <v>0.51519269181818161</v>
      </c>
      <c r="AO114" s="77">
        <f t="shared" si="107"/>
        <v>0.46367342263636352</v>
      </c>
      <c r="AP114" s="77">
        <f t="shared" si="108"/>
        <v>0.97886611445454519</v>
      </c>
      <c r="AQ114" s="77">
        <f t="shared" si="109"/>
        <v>3.5848824805681807</v>
      </c>
      <c r="AR114" s="77">
        <f t="shared" si="110"/>
        <v>0</v>
      </c>
      <c r="AS114" s="77">
        <f t="shared" si="111"/>
        <v>0</v>
      </c>
      <c r="AT114" s="77">
        <f t="shared" si="112"/>
        <v>3.5848824805681807</v>
      </c>
      <c r="AU114" s="77">
        <f t="shared" si="113"/>
        <v>2.1466362159090902</v>
      </c>
      <c r="AV114" s="77">
        <f t="shared" si="114"/>
        <v>2.1466362159090902</v>
      </c>
      <c r="AW114" s="77">
        <f t="shared" si="115"/>
        <v>49.643109129113625</v>
      </c>
      <c r="AX114" s="21">
        <f t="shared" si="116"/>
        <v>-5.5256594061811229E-2</v>
      </c>
      <c r="AY114" s="77">
        <f t="shared" si="78"/>
        <v>-2.7431091291136269</v>
      </c>
      <c r="AZ114" s="79">
        <f>IFERROR(H114*VLOOKUP(A114,'Tabela de Produtos'!A:Q,17,0),0)</f>
        <v>31.399999999999995</v>
      </c>
      <c r="BA114" s="74">
        <f t="shared" ref="BA114:BD133" si="117">$I114*BA$12</f>
        <v>0</v>
      </c>
      <c r="BB114" s="74">
        <f t="shared" si="117"/>
        <v>0</v>
      </c>
      <c r="BC114" s="74">
        <f t="shared" si="117"/>
        <v>0</v>
      </c>
      <c r="BD114" s="74">
        <f t="shared" si="117"/>
        <v>3.2830000000000004</v>
      </c>
      <c r="BE114" s="74">
        <f t="shared" si="79"/>
        <v>2.3450000000000002</v>
      </c>
      <c r="BF114" s="74">
        <f t="shared" si="80"/>
        <v>37.027999999999992</v>
      </c>
      <c r="BG114" s="74">
        <f t="shared" si="81"/>
        <v>9.872000000000007</v>
      </c>
      <c r="BH114" s="21">
        <f t="shared" si="82"/>
        <v>0.21049040511727093</v>
      </c>
    </row>
    <row r="115" spans="1:60" ht="14.25" customHeight="1">
      <c r="A115" s="72" t="s">
        <v>182</v>
      </c>
      <c r="B115" s="2" t="str">
        <f>IFERROR(VLOOKUP(A115,'Tabela de Produtos'!A:B,2,0),"Preencher Cód. Produto")</f>
        <v>BRAZIMIL LÁTEX STANDARD INT/EXT SEMIBRILHO 3L AZUL CAPRICHOSO</v>
      </c>
      <c r="C115" s="2"/>
      <c r="D115" s="73" t="s">
        <v>66</v>
      </c>
      <c r="E115" s="73">
        <v>100</v>
      </c>
      <c r="F115" s="74">
        <f>IF(A115=0,0,VLOOKUP(A115,'Tabela de Produtos'!A:W,23,0))</f>
        <v>30.64</v>
      </c>
      <c r="G115" s="75">
        <v>46.9</v>
      </c>
      <c r="H115" s="76">
        <v>1</v>
      </c>
      <c r="I115" s="74">
        <f t="shared" si="77"/>
        <v>46.9</v>
      </c>
      <c r="J115" s="77">
        <f>VLOOKUP(B115,'Tabela de Produtos'!B:M,12,FALSE())</f>
        <v>22.59</v>
      </c>
      <c r="K115" s="77">
        <f>VLOOKUP(B115,'Tabela de Produtos'!B:P,15,FALSE())</f>
        <v>0.92999999999999994</v>
      </c>
      <c r="L115" s="77">
        <f t="shared" si="84"/>
        <v>0.22589999999999999</v>
      </c>
      <c r="M115" s="77">
        <f t="shared" si="85"/>
        <v>0.22589999999999999</v>
      </c>
      <c r="N115" s="78">
        <f t="shared" si="86"/>
        <v>23.971799999999998</v>
      </c>
      <c r="O115" s="77">
        <f t="shared" si="87"/>
        <v>0.36200000000000004</v>
      </c>
      <c r="P115" s="77">
        <f t="shared" si="88"/>
        <v>0.28289999999999998</v>
      </c>
      <c r="Q115" s="77">
        <f t="shared" si="89"/>
        <v>0.28289999999999998</v>
      </c>
      <c r="R115" s="78">
        <f t="shared" si="90"/>
        <v>0.92779999999999996</v>
      </c>
      <c r="S115" s="77">
        <f>VLOOKUP(B115,'Tabela de Produtos'!B:N,13,FALSE())</f>
        <v>3.44</v>
      </c>
      <c r="T115" s="77">
        <f t="shared" si="91"/>
        <v>0.22727272727272727</v>
      </c>
      <c r="U115" s="77">
        <f t="shared" si="92"/>
        <v>0.39090909090909093</v>
      </c>
      <c r="V115" s="77">
        <f t="shared" si="93"/>
        <v>0.10909090909090909</v>
      </c>
      <c r="W115" s="78">
        <f t="shared" si="94"/>
        <v>4.167272727272727</v>
      </c>
      <c r="X115" s="77">
        <f t="shared" si="95"/>
        <v>0.2906687272727273</v>
      </c>
      <c r="Y115" s="77">
        <f t="shared" si="96"/>
        <v>0.2906687272727273</v>
      </c>
      <c r="Z115" s="77">
        <f t="shared" si="97"/>
        <v>8.3000000000000001E-3</v>
      </c>
      <c r="AA115" s="77">
        <f t="shared" si="98"/>
        <v>0.20833333333333331</v>
      </c>
      <c r="AB115" s="77">
        <f t="shared" si="99"/>
        <v>0.19791666666666669</v>
      </c>
      <c r="AC115" s="77">
        <f t="shared" si="100"/>
        <v>0</v>
      </c>
      <c r="AD115" s="77">
        <f t="shared" si="101"/>
        <v>0.41454999999999997</v>
      </c>
      <c r="AE115" s="77">
        <f t="shared" si="102"/>
        <v>7.4430228636363633</v>
      </c>
      <c r="AF115" s="77">
        <f t="shared" si="103"/>
        <v>7.4430228636363633</v>
      </c>
      <c r="AG115" s="74"/>
      <c r="AH115" s="74"/>
      <c r="AI115" s="74"/>
      <c r="AJ115" s="74"/>
      <c r="AK115" s="74"/>
      <c r="AL115" s="77">
        <f t="shared" si="104"/>
        <v>0</v>
      </c>
      <c r="AM115" s="77">
        <f t="shared" si="105"/>
        <v>37.215114318181818</v>
      </c>
      <c r="AN115" s="77">
        <f t="shared" si="106"/>
        <v>0.4465813718181818</v>
      </c>
      <c r="AO115" s="77">
        <f t="shared" si="107"/>
        <v>0.40192323463636365</v>
      </c>
      <c r="AP115" s="77">
        <f t="shared" si="108"/>
        <v>0.8485046064545454</v>
      </c>
      <c r="AQ115" s="77">
        <f t="shared" si="109"/>
        <v>3.1074620455681821</v>
      </c>
      <c r="AR115" s="77">
        <f t="shared" si="110"/>
        <v>0</v>
      </c>
      <c r="AS115" s="77">
        <f t="shared" si="111"/>
        <v>0</v>
      </c>
      <c r="AT115" s="77">
        <f t="shared" si="112"/>
        <v>3.1074620455681821</v>
      </c>
      <c r="AU115" s="77">
        <f t="shared" si="113"/>
        <v>1.8607557159090911</v>
      </c>
      <c r="AV115" s="77">
        <f t="shared" si="114"/>
        <v>1.8607557159090911</v>
      </c>
      <c r="AW115" s="77">
        <f t="shared" si="115"/>
        <v>43.031836686113643</v>
      </c>
      <c r="AX115" s="21">
        <f t="shared" si="116"/>
        <v>8.9890732345491789E-2</v>
      </c>
      <c r="AY115" s="77">
        <f t="shared" si="78"/>
        <v>3.868163313886356</v>
      </c>
      <c r="AZ115" s="79">
        <f>IFERROR(H115*VLOOKUP(A115,'Tabela de Produtos'!A:Q,17,0),0)</f>
        <v>26.96</v>
      </c>
      <c r="BA115" s="74">
        <f t="shared" si="117"/>
        <v>0</v>
      </c>
      <c r="BB115" s="74">
        <f t="shared" si="117"/>
        <v>0</v>
      </c>
      <c r="BC115" s="74">
        <f t="shared" si="117"/>
        <v>0</v>
      </c>
      <c r="BD115" s="74">
        <f t="shared" si="117"/>
        <v>3.2830000000000004</v>
      </c>
      <c r="BE115" s="74">
        <f t="shared" si="79"/>
        <v>2.3450000000000002</v>
      </c>
      <c r="BF115" s="74">
        <f t="shared" si="80"/>
        <v>32.588000000000001</v>
      </c>
      <c r="BG115" s="74">
        <f t="shared" si="81"/>
        <v>14.311999999999998</v>
      </c>
      <c r="BH115" s="21">
        <f t="shared" si="82"/>
        <v>0.30515991471215348</v>
      </c>
    </row>
    <row r="116" spans="1:60" ht="14.25" customHeight="1">
      <c r="A116" s="72" t="s">
        <v>183</v>
      </c>
      <c r="B116" s="2" t="str">
        <f>IFERROR(VLOOKUP(A116,'Tabela de Produtos'!A:B,2,0),"Preencher Cód. Produto")</f>
        <v>BRAZIMIL LÁTEX STANDARD INT/EXT SEMIBRILHO 3L CINZA MEDIO</v>
      </c>
      <c r="C116" s="2"/>
      <c r="D116" s="73" t="s">
        <v>66</v>
      </c>
      <c r="E116" s="73">
        <v>100</v>
      </c>
      <c r="F116" s="74">
        <f>IF(A116=0,0,VLOOKUP(A116,'Tabela de Produtos'!A:W,23,0))</f>
        <v>31.970000000000002</v>
      </c>
      <c r="G116" s="75">
        <v>46.9</v>
      </c>
      <c r="H116" s="76">
        <v>1</v>
      </c>
      <c r="I116" s="74">
        <f t="shared" si="77"/>
        <v>46.9</v>
      </c>
      <c r="J116" s="77">
        <f>VLOOKUP(B116,'Tabela de Produtos'!B:M,12,FALSE())</f>
        <v>23.759999999999998</v>
      </c>
      <c r="K116" s="77">
        <f>VLOOKUP(B116,'Tabela de Produtos'!B:P,15,FALSE())</f>
        <v>0.92999999999999994</v>
      </c>
      <c r="L116" s="77">
        <f t="shared" si="84"/>
        <v>0.23759999999999998</v>
      </c>
      <c r="M116" s="77">
        <f t="shared" si="85"/>
        <v>0.23759999999999998</v>
      </c>
      <c r="N116" s="78">
        <f t="shared" si="86"/>
        <v>25.165199999999999</v>
      </c>
      <c r="O116" s="77">
        <f t="shared" si="87"/>
        <v>0.36200000000000004</v>
      </c>
      <c r="P116" s="77">
        <f t="shared" si="88"/>
        <v>0.28289999999999998</v>
      </c>
      <c r="Q116" s="77">
        <f t="shared" si="89"/>
        <v>0.28289999999999998</v>
      </c>
      <c r="R116" s="78">
        <f t="shared" si="90"/>
        <v>0.92779999999999996</v>
      </c>
      <c r="S116" s="77">
        <f>VLOOKUP(B116,'Tabela de Produtos'!B:N,13,FALSE())</f>
        <v>3.44</v>
      </c>
      <c r="T116" s="77">
        <f t="shared" si="91"/>
        <v>0.22727272727272727</v>
      </c>
      <c r="U116" s="77">
        <f t="shared" si="92"/>
        <v>0.39090909090909093</v>
      </c>
      <c r="V116" s="77">
        <f t="shared" si="93"/>
        <v>0.10909090909090909</v>
      </c>
      <c r="W116" s="78">
        <f t="shared" si="94"/>
        <v>4.167272727272727</v>
      </c>
      <c r="X116" s="77">
        <f t="shared" si="95"/>
        <v>0.3026027272727273</v>
      </c>
      <c r="Y116" s="77">
        <f t="shared" si="96"/>
        <v>0.3026027272727273</v>
      </c>
      <c r="Z116" s="77">
        <f t="shared" si="97"/>
        <v>8.3000000000000001E-3</v>
      </c>
      <c r="AA116" s="77">
        <f t="shared" si="98"/>
        <v>0.20833333333333331</v>
      </c>
      <c r="AB116" s="77">
        <f t="shared" si="99"/>
        <v>0.19791666666666669</v>
      </c>
      <c r="AC116" s="77">
        <f t="shared" si="100"/>
        <v>0</v>
      </c>
      <c r="AD116" s="77">
        <f t="shared" si="101"/>
        <v>0.41454999999999997</v>
      </c>
      <c r="AE116" s="77">
        <f t="shared" si="102"/>
        <v>7.7443563636363635</v>
      </c>
      <c r="AF116" s="77">
        <f t="shared" si="103"/>
        <v>7.7443563636363635</v>
      </c>
      <c r="AG116" s="74"/>
      <c r="AH116" s="74"/>
      <c r="AI116" s="74"/>
      <c r="AJ116" s="74"/>
      <c r="AK116" s="74"/>
      <c r="AL116" s="77">
        <f t="shared" si="104"/>
        <v>0</v>
      </c>
      <c r="AM116" s="77">
        <f t="shared" si="105"/>
        <v>38.721781818181817</v>
      </c>
      <c r="AN116" s="77">
        <f t="shared" si="106"/>
        <v>0.46466138181818184</v>
      </c>
      <c r="AO116" s="77">
        <f t="shared" si="107"/>
        <v>0.41819524363636362</v>
      </c>
      <c r="AP116" s="77">
        <f t="shared" si="108"/>
        <v>0.88285662545454546</v>
      </c>
      <c r="AQ116" s="77">
        <f t="shared" si="109"/>
        <v>3.233268781818182</v>
      </c>
      <c r="AR116" s="77">
        <f t="shared" si="110"/>
        <v>0</v>
      </c>
      <c r="AS116" s="77">
        <f t="shared" si="111"/>
        <v>0</v>
      </c>
      <c r="AT116" s="77">
        <f t="shared" si="112"/>
        <v>3.233268781818182</v>
      </c>
      <c r="AU116" s="77">
        <f t="shared" si="113"/>
        <v>1.9360890909090909</v>
      </c>
      <c r="AV116" s="77">
        <f t="shared" si="114"/>
        <v>1.9360890909090909</v>
      </c>
      <c r="AW116" s="77">
        <f t="shared" si="115"/>
        <v>44.773996316363636</v>
      </c>
      <c r="AX116" s="21">
        <f t="shared" si="116"/>
        <v>4.7483000369555307E-2</v>
      </c>
      <c r="AY116" s="77">
        <f t="shared" si="78"/>
        <v>2.1260036836363625</v>
      </c>
      <c r="AZ116" s="79">
        <f>IFERROR(H116*VLOOKUP(A116,'Tabela de Produtos'!A:Q,17,0),0)</f>
        <v>28.13</v>
      </c>
      <c r="BA116" s="74">
        <f t="shared" si="117"/>
        <v>0</v>
      </c>
      <c r="BB116" s="74">
        <f t="shared" si="117"/>
        <v>0</v>
      </c>
      <c r="BC116" s="74">
        <f t="shared" si="117"/>
        <v>0</v>
      </c>
      <c r="BD116" s="74">
        <f t="shared" si="117"/>
        <v>3.2830000000000004</v>
      </c>
      <c r="BE116" s="74">
        <f t="shared" si="79"/>
        <v>2.3450000000000002</v>
      </c>
      <c r="BF116" s="74">
        <f t="shared" si="80"/>
        <v>33.758000000000003</v>
      </c>
      <c r="BG116" s="74">
        <f t="shared" si="81"/>
        <v>13.141999999999996</v>
      </c>
      <c r="BH116" s="21">
        <f t="shared" si="82"/>
        <v>0.2802132196162046</v>
      </c>
    </row>
    <row r="117" spans="1:60" ht="14.25" customHeight="1">
      <c r="A117" s="72" t="s">
        <v>184</v>
      </c>
      <c r="B117" s="2" t="str">
        <f>IFERROR(VLOOKUP(A117,'Tabela de Produtos'!A:B,2,0),"Preencher Cód. Produto")</f>
        <v>BRAZIMIL LÁTEX STANDARD INT/EXT SEMIBRILHO 3L CINZA INTENSO</v>
      </c>
      <c r="C117" s="2"/>
      <c r="D117" s="73" t="s">
        <v>66</v>
      </c>
      <c r="E117" s="73">
        <v>100</v>
      </c>
      <c r="F117" s="74">
        <f>IF(A117=0,0,VLOOKUP(A117,'Tabela de Produtos'!A:W,23,0))</f>
        <v>32</v>
      </c>
      <c r="G117" s="75">
        <v>46.9</v>
      </c>
      <c r="H117" s="76">
        <v>1</v>
      </c>
      <c r="I117" s="74">
        <f t="shared" si="77"/>
        <v>46.9</v>
      </c>
      <c r="J117" s="77">
        <f>VLOOKUP(B117,'Tabela de Produtos'!B:M,12,FALSE())</f>
        <v>23.789999999999996</v>
      </c>
      <c r="K117" s="77">
        <f>VLOOKUP(B117,'Tabela de Produtos'!B:P,15,FALSE())</f>
        <v>0.92999999999999994</v>
      </c>
      <c r="L117" s="77">
        <f t="shared" si="84"/>
        <v>0.23789999999999997</v>
      </c>
      <c r="M117" s="77">
        <f t="shared" si="85"/>
        <v>0.23789999999999997</v>
      </c>
      <c r="N117" s="78">
        <f t="shared" si="86"/>
        <v>25.195799999999995</v>
      </c>
      <c r="O117" s="77">
        <f t="shared" si="87"/>
        <v>0.36200000000000004</v>
      </c>
      <c r="P117" s="77">
        <f t="shared" si="88"/>
        <v>0.28289999999999998</v>
      </c>
      <c r="Q117" s="77">
        <f t="shared" si="89"/>
        <v>0.28289999999999998</v>
      </c>
      <c r="R117" s="78">
        <f t="shared" si="90"/>
        <v>0.92779999999999996</v>
      </c>
      <c r="S117" s="77">
        <f>VLOOKUP(B117,'Tabela de Produtos'!B:N,13,FALSE())</f>
        <v>3.44</v>
      </c>
      <c r="T117" s="77">
        <f t="shared" si="91"/>
        <v>0.22727272727272727</v>
      </c>
      <c r="U117" s="77">
        <f t="shared" si="92"/>
        <v>0.39090909090909093</v>
      </c>
      <c r="V117" s="77">
        <f t="shared" si="93"/>
        <v>0.10909090909090909</v>
      </c>
      <c r="W117" s="78">
        <f t="shared" si="94"/>
        <v>4.167272727272727</v>
      </c>
      <c r="X117" s="77">
        <f t="shared" si="95"/>
        <v>0.30290872727272727</v>
      </c>
      <c r="Y117" s="77">
        <f t="shared" si="96"/>
        <v>0.30290872727272727</v>
      </c>
      <c r="Z117" s="77">
        <f t="shared" si="97"/>
        <v>8.3000000000000001E-3</v>
      </c>
      <c r="AA117" s="77">
        <f t="shared" si="98"/>
        <v>0.20833333333333331</v>
      </c>
      <c r="AB117" s="77">
        <f t="shared" si="99"/>
        <v>0.19791666666666669</v>
      </c>
      <c r="AC117" s="77">
        <f t="shared" si="100"/>
        <v>0</v>
      </c>
      <c r="AD117" s="77">
        <f t="shared" si="101"/>
        <v>0.41454999999999997</v>
      </c>
      <c r="AE117" s="77">
        <f t="shared" si="102"/>
        <v>7.7520828636363621</v>
      </c>
      <c r="AF117" s="77">
        <f t="shared" si="103"/>
        <v>7.7520828636363621</v>
      </c>
      <c r="AG117" s="74"/>
      <c r="AH117" s="74"/>
      <c r="AI117" s="74"/>
      <c r="AJ117" s="74"/>
      <c r="AK117" s="74"/>
      <c r="AL117" s="77">
        <f t="shared" si="104"/>
        <v>0</v>
      </c>
      <c r="AM117" s="77">
        <f t="shared" si="105"/>
        <v>38.760414318181809</v>
      </c>
      <c r="AN117" s="77">
        <f t="shared" si="106"/>
        <v>0.46512497181818174</v>
      </c>
      <c r="AO117" s="77">
        <f t="shared" si="107"/>
        <v>0.41861247463636359</v>
      </c>
      <c r="AP117" s="77">
        <f t="shared" si="108"/>
        <v>0.88373744645454533</v>
      </c>
      <c r="AQ117" s="77">
        <f t="shared" si="109"/>
        <v>3.2364945955681814</v>
      </c>
      <c r="AR117" s="77">
        <f t="shared" si="110"/>
        <v>0</v>
      </c>
      <c r="AS117" s="77">
        <f t="shared" si="111"/>
        <v>0</v>
      </c>
      <c r="AT117" s="77">
        <f t="shared" si="112"/>
        <v>3.2364945955681814</v>
      </c>
      <c r="AU117" s="77">
        <f t="shared" si="113"/>
        <v>1.9380207159090905</v>
      </c>
      <c r="AV117" s="77">
        <f t="shared" si="114"/>
        <v>1.9380207159090905</v>
      </c>
      <c r="AW117" s="77">
        <f t="shared" si="115"/>
        <v>44.818667076113627</v>
      </c>
      <c r="AX117" s="21">
        <f t="shared" si="116"/>
        <v>4.643897419688392E-2</v>
      </c>
      <c r="AY117" s="77">
        <f t="shared" si="78"/>
        <v>2.0813329238863716</v>
      </c>
      <c r="AZ117" s="79">
        <f>IFERROR(H117*VLOOKUP(A117,'Tabela de Produtos'!A:Q,17,0),0)</f>
        <v>28.159999999999997</v>
      </c>
      <c r="BA117" s="74">
        <f t="shared" si="117"/>
        <v>0</v>
      </c>
      <c r="BB117" s="74">
        <f t="shared" si="117"/>
        <v>0</v>
      </c>
      <c r="BC117" s="74">
        <f t="shared" si="117"/>
        <v>0</v>
      </c>
      <c r="BD117" s="74">
        <f t="shared" si="117"/>
        <v>3.2830000000000004</v>
      </c>
      <c r="BE117" s="74">
        <f t="shared" si="79"/>
        <v>2.3450000000000002</v>
      </c>
      <c r="BF117" s="74">
        <f t="shared" si="80"/>
        <v>33.787999999999997</v>
      </c>
      <c r="BG117" s="74">
        <f t="shared" si="81"/>
        <v>13.112000000000002</v>
      </c>
      <c r="BH117" s="21">
        <f t="shared" si="82"/>
        <v>0.27957356076759066</v>
      </c>
    </row>
    <row r="118" spans="1:60" ht="14.25" customHeight="1">
      <c r="A118" s="72" t="s">
        <v>185</v>
      </c>
      <c r="B118" s="2" t="str">
        <f>IFERROR(VLOOKUP(A118,'Tabela de Produtos'!A:B,2,0),"Preencher Cód. Produto")</f>
        <v>BRAZIMIL LÁTEX STANDARD INT/EXT FOSCO 15L BRANCO NEVE</v>
      </c>
      <c r="C118" s="2"/>
      <c r="D118" s="73" t="s">
        <v>40</v>
      </c>
      <c r="E118" s="73">
        <v>28</v>
      </c>
      <c r="F118" s="74">
        <f>IF(A118=0,0,VLOOKUP(A118,'Tabela de Produtos'!A:W,23,0))</f>
        <v>70.81</v>
      </c>
      <c r="G118" s="75">
        <v>165.9</v>
      </c>
      <c r="H118" s="76">
        <v>1</v>
      </c>
      <c r="I118" s="74">
        <f t="shared" si="77"/>
        <v>165.9</v>
      </c>
      <c r="J118" s="77">
        <f>VLOOKUP(B118,'Tabela de Produtos'!B:M,12,FALSE())</f>
        <v>49.05</v>
      </c>
      <c r="K118" s="77">
        <f>VLOOKUP(B118,'Tabela de Produtos'!B:P,15,FALSE())</f>
        <v>4.6500000000000004</v>
      </c>
      <c r="L118" s="77">
        <f t="shared" si="84"/>
        <v>0.49049999999999999</v>
      </c>
      <c r="M118" s="77">
        <f t="shared" si="85"/>
        <v>0.49049999999999999</v>
      </c>
      <c r="N118" s="78">
        <f t="shared" si="86"/>
        <v>54.68099999999999</v>
      </c>
      <c r="O118" s="77">
        <f t="shared" si="87"/>
        <v>1.2928571428571429</v>
      </c>
      <c r="P118" s="77">
        <f t="shared" si="88"/>
        <v>1.0103571428571427</v>
      </c>
      <c r="Q118" s="77">
        <f t="shared" si="89"/>
        <v>1.0103571428571427</v>
      </c>
      <c r="R118" s="78">
        <f t="shared" si="90"/>
        <v>3.3135714285714286</v>
      </c>
      <c r="S118" s="77">
        <f>VLOOKUP(B118,'Tabela de Produtos'!B:N,13,FALSE())</f>
        <v>8.61</v>
      </c>
      <c r="T118" s="74">
        <f>$T$12/$T$8</f>
        <v>0.69444444444444442</v>
      </c>
      <c r="U118" s="77">
        <f>$U$12/$U$8</f>
        <v>1.1944444444444444</v>
      </c>
      <c r="V118" s="74">
        <f>$V$12/$V$8</f>
        <v>0.33333333333333331</v>
      </c>
      <c r="W118" s="78">
        <f t="shared" si="94"/>
        <v>10.832222222222223</v>
      </c>
      <c r="X118" s="77">
        <f t="shared" si="95"/>
        <v>0.6882679365079365</v>
      </c>
      <c r="Y118" s="77">
        <f t="shared" si="96"/>
        <v>0.6882679365079365</v>
      </c>
      <c r="Z118" s="77">
        <f t="shared" si="97"/>
        <v>2.9642857142857141E-2</v>
      </c>
      <c r="AA118" s="77">
        <f t="shared" si="98"/>
        <v>0.74404761904761896</v>
      </c>
      <c r="AB118" s="77">
        <f t="shared" si="99"/>
        <v>0.70684523809523814</v>
      </c>
      <c r="AC118" s="77">
        <f t="shared" si="100"/>
        <v>0</v>
      </c>
      <c r="AD118" s="77">
        <f t="shared" si="101"/>
        <v>1.4805357142857143</v>
      </c>
      <c r="AE118" s="77">
        <f t="shared" si="102"/>
        <v>17.748899325396824</v>
      </c>
      <c r="AF118" s="77">
        <f t="shared" si="103"/>
        <v>17.748899325396824</v>
      </c>
      <c r="AG118" s="74"/>
      <c r="AH118" s="74"/>
      <c r="AI118" s="74"/>
      <c r="AJ118" s="74"/>
      <c r="AK118" s="74"/>
      <c r="AL118" s="77">
        <f t="shared" si="104"/>
        <v>0</v>
      </c>
      <c r="AM118" s="77">
        <f t="shared" si="105"/>
        <v>88.744496626984116</v>
      </c>
      <c r="AN118" s="77">
        <f t="shared" si="106"/>
        <v>1.0649339595238094</v>
      </c>
      <c r="AO118" s="77">
        <f t="shared" si="107"/>
        <v>0.95844056357142848</v>
      </c>
      <c r="AP118" s="77">
        <f t="shared" si="108"/>
        <v>2.0233745230952378</v>
      </c>
      <c r="AQ118" s="77">
        <f t="shared" si="109"/>
        <v>7.4101654683531741</v>
      </c>
      <c r="AR118" s="77">
        <f t="shared" si="110"/>
        <v>0</v>
      </c>
      <c r="AS118" s="77">
        <f t="shared" si="111"/>
        <v>0</v>
      </c>
      <c r="AT118" s="77">
        <f t="shared" si="112"/>
        <v>7.4101654683531741</v>
      </c>
      <c r="AU118" s="77">
        <f t="shared" si="113"/>
        <v>4.437224831349206</v>
      </c>
      <c r="AV118" s="77">
        <f t="shared" si="114"/>
        <v>4.437224831349206</v>
      </c>
      <c r="AW118" s="77">
        <f t="shared" si="115"/>
        <v>102.61526144978174</v>
      </c>
      <c r="AX118" s="21">
        <f t="shared" si="116"/>
        <v>0.61671858216907427</v>
      </c>
      <c r="AY118" s="77">
        <f t="shared" si="78"/>
        <v>63.284738550218265</v>
      </c>
      <c r="AZ118" s="79">
        <f>IFERROR(H118*VLOOKUP(A118,'Tabela de Produtos'!A:Q,17,0),0)</f>
        <v>62.309999999999995</v>
      </c>
      <c r="BA118" s="74">
        <f t="shared" si="117"/>
        <v>0</v>
      </c>
      <c r="BB118" s="74">
        <f t="shared" si="117"/>
        <v>0</v>
      </c>
      <c r="BC118" s="74">
        <f t="shared" si="117"/>
        <v>0</v>
      </c>
      <c r="BD118" s="74">
        <f t="shared" si="117"/>
        <v>11.613000000000001</v>
      </c>
      <c r="BE118" s="74">
        <f t="shared" si="79"/>
        <v>8.2949999999999999</v>
      </c>
      <c r="BF118" s="74">
        <f t="shared" si="80"/>
        <v>82.218000000000004</v>
      </c>
      <c r="BG118" s="74">
        <f t="shared" si="81"/>
        <v>83.682000000000002</v>
      </c>
      <c r="BH118" s="21">
        <f t="shared" si="82"/>
        <v>0.50441229656419528</v>
      </c>
    </row>
    <row r="119" spans="1:60" ht="14.25" customHeight="1">
      <c r="A119" s="72" t="s">
        <v>186</v>
      </c>
      <c r="B119" s="2" t="str">
        <f>IFERROR(VLOOKUP(A119,'Tabela de Produtos'!A:B,2,0),"Preencher Cód. Produto")</f>
        <v>BRAZIMIL LÁTEX STANDARD INT/EXT FOSCO 15L BRANCO GELO</v>
      </c>
      <c r="C119" s="2"/>
      <c r="D119" s="73" t="s">
        <v>40</v>
      </c>
      <c r="E119" s="73">
        <v>28</v>
      </c>
      <c r="F119" s="74">
        <f>IF(A119=0,0,VLOOKUP(A119,'Tabela de Produtos'!A:W,23,0))</f>
        <v>58.54</v>
      </c>
      <c r="G119" s="75">
        <v>165.9</v>
      </c>
      <c r="H119" s="76">
        <v>1</v>
      </c>
      <c r="I119" s="74">
        <f t="shared" si="77"/>
        <v>165.9</v>
      </c>
      <c r="J119" s="77">
        <f>VLOOKUP(B119,'Tabela de Produtos'!B:M,12,FALSE())</f>
        <v>38.25</v>
      </c>
      <c r="K119" s="77">
        <f>VLOOKUP(B119,'Tabela de Produtos'!B:P,15,FALSE())</f>
        <v>4.6500000000000004</v>
      </c>
      <c r="L119" s="77">
        <f t="shared" si="84"/>
        <v>0.38250000000000001</v>
      </c>
      <c r="M119" s="77">
        <f t="shared" si="85"/>
        <v>0.38250000000000001</v>
      </c>
      <c r="N119" s="78">
        <f t="shared" si="86"/>
        <v>43.664999999999999</v>
      </c>
      <c r="O119" s="77">
        <f t="shared" si="87"/>
        <v>1.2928571428571429</v>
      </c>
      <c r="P119" s="77">
        <f t="shared" si="88"/>
        <v>1.0103571428571427</v>
      </c>
      <c r="Q119" s="77">
        <f t="shared" si="89"/>
        <v>1.0103571428571427</v>
      </c>
      <c r="R119" s="78">
        <f t="shared" si="90"/>
        <v>3.3135714285714286</v>
      </c>
      <c r="S119" s="77">
        <f>VLOOKUP(B119,'Tabela de Produtos'!B:N,13,FALSE())</f>
        <v>8.61</v>
      </c>
      <c r="T119" s="74">
        <f>$T$12/$T$8</f>
        <v>0.69444444444444442</v>
      </c>
      <c r="U119" s="77">
        <f>$U$12/$U$8</f>
        <v>1.1944444444444444</v>
      </c>
      <c r="V119" s="74">
        <f>$V$12/$V$8</f>
        <v>0.33333333333333331</v>
      </c>
      <c r="W119" s="78">
        <f t="shared" si="94"/>
        <v>10.832222222222223</v>
      </c>
      <c r="X119" s="77">
        <f t="shared" si="95"/>
        <v>0.57810793650793646</v>
      </c>
      <c r="Y119" s="77">
        <f t="shared" si="96"/>
        <v>0.57810793650793646</v>
      </c>
      <c r="Z119" s="77">
        <f t="shared" si="97"/>
        <v>2.9642857142857141E-2</v>
      </c>
      <c r="AA119" s="77">
        <f t="shared" si="98"/>
        <v>0.74404761904761896</v>
      </c>
      <c r="AB119" s="77">
        <f t="shared" si="99"/>
        <v>0.70684523809523814</v>
      </c>
      <c r="AC119" s="77">
        <f t="shared" si="100"/>
        <v>0</v>
      </c>
      <c r="AD119" s="77">
        <f t="shared" si="101"/>
        <v>1.4805357142857143</v>
      </c>
      <c r="AE119" s="77">
        <f t="shared" si="102"/>
        <v>14.967359325396824</v>
      </c>
      <c r="AF119" s="77">
        <f t="shared" si="103"/>
        <v>14.967359325396824</v>
      </c>
      <c r="AG119" s="74"/>
      <c r="AH119" s="74"/>
      <c r="AI119" s="74"/>
      <c r="AJ119" s="74"/>
      <c r="AK119" s="74"/>
      <c r="AL119" s="77">
        <f t="shared" si="104"/>
        <v>0</v>
      </c>
      <c r="AM119" s="77">
        <f t="shared" si="105"/>
        <v>74.836796626984125</v>
      </c>
      <c r="AN119" s="77">
        <f t="shared" si="106"/>
        <v>0.89804155952380949</v>
      </c>
      <c r="AO119" s="77">
        <f t="shared" si="107"/>
        <v>0.80823740357142859</v>
      </c>
      <c r="AP119" s="77">
        <f t="shared" si="108"/>
        <v>1.706278963095238</v>
      </c>
      <c r="AQ119" s="77">
        <f t="shared" si="109"/>
        <v>6.248872518353175</v>
      </c>
      <c r="AR119" s="77">
        <f t="shared" si="110"/>
        <v>0</v>
      </c>
      <c r="AS119" s="77">
        <f t="shared" si="111"/>
        <v>0</v>
      </c>
      <c r="AT119" s="77">
        <f t="shared" si="112"/>
        <v>6.248872518353175</v>
      </c>
      <c r="AU119" s="77">
        <f t="shared" si="113"/>
        <v>3.7418398313492065</v>
      </c>
      <c r="AV119" s="77">
        <f t="shared" si="114"/>
        <v>3.7418398313492065</v>
      </c>
      <c r="AW119" s="77">
        <f t="shared" si="115"/>
        <v>86.53378793978176</v>
      </c>
      <c r="AX119" s="21">
        <f t="shared" si="116"/>
        <v>0.91717020541673988</v>
      </c>
      <c r="AY119" s="77">
        <f t="shared" si="78"/>
        <v>79.366212060218245</v>
      </c>
      <c r="AZ119" s="79">
        <f>IFERROR(H119*VLOOKUP(A119,'Tabela de Produtos'!A:Q,17,0),0)</f>
        <v>51.51</v>
      </c>
      <c r="BA119" s="74">
        <f t="shared" si="117"/>
        <v>0</v>
      </c>
      <c r="BB119" s="74">
        <f t="shared" si="117"/>
        <v>0</v>
      </c>
      <c r="BC119" s="74">
        <f t="shared" si="117"/>
        <v>0</v>
      </c>
      <c r="BD119" s="74">
        <f t="shared" si="117"/>
        <v>11.613000000000001</v>
      </c>
      <c r="BE119" s="74">
        <f t="shared" si="79"/>
        <v>8.2949999999999999</v>
      </c>
      <c r="BF119" s="74">
        <f t="shared" si="80"/>
        <v>71.417999999999992</v>
      </c>
      <c r="BG119" s="74">
        <f t="shared" si="81"/>
        <v>94.482000000000014</v>
      </c>
      <c r="BH119" s="21">
        <f t="shared" si="82"/>
        <v>0.56951175406871613</v>
      </c>
    </row>
    <row r="120" spans="1:60" ht="14.25" customHeight="1">
      <c r="A120" s="72" t="s">
        <v>187</v>
      </c>
      <c r="B120" s="2" t="str">
        <f>IFERROR(VLOOKUP(A120,'Tabela de Produtos'!A:B,2,0),"Preencher Cód. Produto")</f>
        <v>BRAZIMIL LÁTEX STANDARD INT/EXT FOSCO 15L FLAMINGO</v>
      </c>
      <c r="C120" s="2"/>
      <c r="D120" s="73" t="s">
        <v>40</v>
      </c>
      <c r="E120" s="73">
        <v>28</v>
      </c>
      <c r="F120" s="74">
        <f>IF(A120=0,0,VLOOKUP(A120,'Tabela de Produtos'!A:W,23,0))</f>
        <v>66.550000000000011</v>
      </c>
      <c r="G120" s="75">
        <v>165.9</v>
      </c>
      <c r="H120" s="76">
        <v>1</v>
      </c>
      <c r="I120" s="74">
        <f t="shared" si="77"/>
        <v>165.9</v>
      </c>
      <c r="J120" s="77">
        <f>VLOOKUP(B120,'Tabela de Produtos'!B:M,12,FALSE())</f>
        <v>45.3</v>
      </c>
      <c r="K120" s="77">
        <f>VLOOKUP(B120,'Tabela de Produtos'!B:P,15,FALSE())</f>
        <v>4.6500000000000004</v>
      </c>
      <c r="L120" s="77">
        <f t="shared" si="84"/>
        <v>0.45299999999999996</v>
      </c>
      <c r="M120" s="77">
        <f t="shared" si="85"/>
        <v>0.45299999999999996</v>
      </c>
      <c r="N120" s="78">
        <f t="shared" si="86"/>
        <v>50.856000000000002</v>
      </c>
      <c r="O120" s="77">
        <f t="shared" si="87"/>
        <v>1.2928571428571429</v>
      </c>
      <c r="P120" s="77">
        <f t="shared" si="88"/>
        <v>1.0103571428571427</v>
      </c>
      <c r="Q120" s="77">
        <f t="shared" si="89"/>
        <v>1.0103571428571427</v>
      </c>
      <c r="R120" s="78">
        <f t="shared" si="90"/>
        <v>3.3135714285714286</v>
      </c>
      <c r="S120" s="77">
        <f>VLOOKUP(B120,'Tabela de Produtos'!B:N,13,FALSE())</f>
        <v>8.61</v>
      </c>
      <c r="T120" s="74">
        <f>$T$12/$T$8</f>
        <v>0.69444444444444442</v>
      </c>
      <c r="U120" s="77">
        <f>$U$12/$U$8</f>
        <v>1.1944444444444444</v>
      </c>
      <c r="V120" s="74">
        <f>$V$12/$V$8</f>
        <v>0.33333333333333331</v>
      </c>
      <c r="W120" s="78">
        <f t="shared" si="94"/>
        <v>10.832222222222223</v>
      </c>
      <c r="X120" s="77">
        <f t="shared" si="95"/>
        <v>0.6500179365079366</v>
      </c>
      <c r="Y120" s="77">
        <f t="shared" si="96"/>
        <v>0.6500179365079366</v>
      </c>
      <c r="Z120" s="77">
        <f t="shared" si="97"/>
        <v>2.9642857142857141E-2</v>
      </c>
      <c r="AA120" s="77">
        <f t="shared" si="98"/>
        <v>0.74404761904761896</v>
      </c>
      <c r="AB120" s="77">
        <f t="shared" si="99"/>
        <v>0.70684523809523814</v>
      </c>
      <c r="AC120" s="77">
        <f t="shared" si="100"/>
        <v>0</v>
      </c>
      <c r="AD120" s="77">
        <f t="shared" si="101"/>
        <v>1.4805357142857143</v>
      </c>
      <c r="AE120" s="77">
        <f t="shared" si="102"/>
        <v>16.783086825396826</v>
      </c>
      <c r="AF120" s="77">
        <f t="shared" si="103"/>
        <v>16.783086825396826</v>
      </c>
      <c r="AG120" s="74"/>
      <c r="AH120" s="74"/>
      <c r="AI120" s="74"/>
      <c r="AJ120" s="74"/>
      <c r="AK120" s="74"/>
      <c r="AL120" s="77">
        <f t="shared" si="104"/>
        <v>0</v>
      </c>
      <c r="AM120" s="77">
        <f t="shared" si="105"/>
        <v>83.915434126984138</v>
      </c>
      <c r="AN120" s="77">
        <f t="shared" si="106"/>
        <v>1.0069852095238097</v>
      </c>
      <c r="AO120" s="77">
        <f t="shared" si="107"/>
        <v>0.90628668857142869</v>
      </c>
      <c r="AP120" s="77">
        <f t="shared" si="108"/>
        <v>1.9132718980952383</v>
      </c>
      <c r="AQ120" s="77">
        <f t="shared" si="109"/>
        <v>7.0069387496031759</v>
      </c>
      <c r="AR120" s="77">
        <f t="shared" si="110"/>
        <v>0</v>
      </c>
      <c r="AS120" s="77">
        <f t="shared" si="111"/>
        <v>0</v>
      </c>
      <c r="AT120" s="77">
        <f t="shared" si="112"/>
        <v>7.0069387496031759</v>
      </c>
      <c r="AU120" s="77">
        <f t="shared" si="113"/>
        <v>4.1957717063492073</v>
      </c>
      <c r="AV120" s="77">
        <f t="shared" si="114"/>
        <v>4.1957717063492073</v>
      </c>
      <c r="AW120" s="77">
        <f t="shared" si="115"/>
        <v>97.031416481031755</v>
      </c>
      <c r="AX120" s="21">
        <f t="shared" si="116"/>
        <v>0.70975552059915636</v>
      </c>
      <c r="AY120" s="77">
        <f t="shared" si="78"/>
        <v>68.868583518968251</v>
      </c>
      <c r="AZ120" s="79">
        <f>IFERROR(H120*VLOOKUP(A120,'Tabela de Produtos'!A:Q,17,0),0)</f>
        <v>58.559999999999995</v>
      </c>
      <c r="BA120" s="74">
        <f t="shared" si="117"/>
        <v>0</v>
      </c>
      <c r="BB120" s="74">
        <f t="shared" si="117"/>
        <v>0</v>
      </c>
      <c r="BC120" s="74">
        <f t="shared" si="117"/>
        <v>0</v>
      </c>
      <c r="BD120" s="74">
        <f t="shared" si="117"/>
        <v>11.613000000000001</v>
      </c>
      <c r="BE120" s="74">
        <f t="shared" si="79"/>
        <v>8.2949999999999999</v>
      </c>
      <c r="BF120" s="74">
        <f t="shared" si="80"/>
        <v>78.468000000000004</v>
      </c>
      <c r="BG120" s="74">
        <f t="shared" si="81"/>
        <v>87.432000000000002</v>
      </c>
      <c r="BH120" s="21">
        <f t="shared" si="82"/>
        <v>0.52701627486437608</v>
      </c>
    </row>
    <row r="121" spans="1:60" ht="14.25" customHeight="1">
      <c r="A121" s="72" t="s">
        <v>188</v>
      </c>
      <c r="B121" s="2" t="str">
        <f>IFERROR(VLOOKUP(A121,'Tabela de Produtos'!A:B,2,0),"Preencher Cód. Produto")</f>
        <v>BRAZIMIL LÁTEX STANDARD INT/EXT FOSCO 15L AREIA</v>
      </c>
      <c r="C121" s="2"/>
      <c r="D121" s="73" t="s">
        <v>40</v>
      </c>
      <c r="E121" s="73"/>
      <c r="F121" s="74" t="str">
        <f>IF(A121=0,0,VLOOKUP(A121,'Tabela de Produtos'!A:W,23,0))</f>
        <v>Cadastrar Ficha de Produção</v>
      </c>
      <c r="G121" s="74">
        <v>60</v>
      </c>
      <c r="H121" s="76">
        <v>1</v>
      </c>
      <c r="I121" s="74">
        <f t="shared" si="77"/>
        <v>60</v>
      </c>
      <c r="J121" s="77">
        <f>VLOOKUP(B121,'Tabela de Produtos'!B:M,12,FALSE())</f>
        <v>0</v>
      </c>
      <c r="K121" s="74"/>
      <c r="L121" s="74"/>
      <c r="M121" s="74"/>
      <c r="N121" s="81"/>
      <c r="O121" s="74"/>
      <c r="P121" s="74"/>
      <c r="Q121" s="74"/>
      <c r="R121" s="81"/>
      <c r="S121" s="74"/>
      <c r="T121" s="74"/>
      <c r="U121" s="74"/>
      <c r="V121" s="74"/>
      <c r="W121" s="81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7"/>
      <c r="AY121" s="77">
        <f t="shared" si="78"/>
        <v>60</v>
      </c>
      <c r="AZ121" s="79">
        <f>IFERROR(H121*VLOOKUP(A121,'Tabela de Produtos'!A:Q,17,0),0)</f>
        <v>8.61</v>
      </c>
      <c r="BA121" s="74">
        <f t="shared" si="117"/>
        <v>0</v>
      </c>
      <c r="BB121" s="74">
        <f t="shared" si="117"/>
        <v>0</v>
      </c>
      <c r="BC121" s="74">
        <f t="shared" si="117"/>
        <v>0</v>
      </c>
      <c r="BD121" s="74">
        <f t="shared" si="117"/>
        <v>4.2</v>
      </c>
      <c r="BE121" s="74">
        <f t="shared" si="79"/>
        <v>3</v>
      </c>
      <c r="BF121" s="74">
        <f t="shared" si="80"/>
        <v>15.809999999999999</v>
      </c>
      <c r="BG121" s="74">
        <f t="shared" si="81"/>
        <v>44.19</v>
      </c>
      <c r="BH121" s="21">
        <f t="shared" si="82"/>
        <v>0</v>
      </c>
    </row>
    <row r="122" spans="1:60" ht="14.25" customHeight="1">
      <c r="A122" s="72" t="s">
        <v>189</v>
      </c>
      <c r="B122" s="2" t="str">
        <f>IFERROR(VLOOKUP(A122,'Tabela de Produtos'!A:B,2,0),"Preencher Cód. Produto")</f>
        <v>BRAZIMIL LÁTEX STANDARD INT/EXT FOSCO 15L MARFIM</v>
      </c>
      <c r="C122" s="2"/>
      <c r="D122" s="73" t="s">
        <v>40</v>
      </c>
      <c r="E122" s="73">
        <v>28</v>
      </c>
      <c r="F122" s="74">
        <f>IF(A122=0,0,VLOOKUP(A122,'Tabela de Produtos'!A:W,23,0))</f>
        <v>59.73</v>
      </c>
      <c r="G122" s="75">
        <v>165.9</v>
      </c>
      <c r="H122" s="76">
        <v>1</v>
      </c>
      <c r="I122" s="74">
        <f t="shared" si="77"/>
        <v>165.9</v>
      </c>
      <c r="J122" s="77">
        <f>VLOOKUP(B122,'Tabela de Produtos'!B:M,12,FALSE())</f>
        <v>39.299999999999997</v>
      </c>
      <c r="K122" s="77">
        <f>VLOOKUP(B122,'Tabela de Produtos'!B:P,15,FALSE())</f>
        <v>4.6500000000000004</v>
      </c>
      <c r="L122" s="77">
        <f>J122*1%</f>
        <v>0.39299999999999996</v>
      </c>
      <c r="M122" s="77">
        <f>J122*1%</f>
        <v>0.39299999999999996</v>
      </c>
      <c r="N122" s="78">
        <f>J122+K122+L122+M122</f>
        <v>44.735999999999997</v>
      </c>
      <c r="O122" s="77">
        <f>($O$12/E122)*$O$13</f>
        <v>1.2928571428571429</v>
      </c>
      <c r="P122" s="77">
        <f>($P$12/E122)*$P$13</f>
        <v>1.0103571428571427</v>
      </c>
      <c r="Q122" s="77">
        <f>($Q$12/E122)*$Q$13</f>
        <v>1.0103571428571427</v>
      </c>
      <c r="R122" s="78">
        <f>O122+P122+Q122</f>
        <v>3.3135714285714286</v>
      </c>
      <c r="S122" s="77">
        <f>VLOOKUP(B122,'Tabela de Produtos'!B:N,13,FALSE())</f>
        <v>8.61</v>
      </c>
      <c r="T122" s="74">
        <f>$T$12/$T$8</f>
        <v>0.69444444444444442</v>
      </c>
      <c r="U122" s="77">
        <f>$U$12/$U$8</f>
        <v>1.1944444444444444</v>
      </c>
      <c r="V122" s="74">
        <f>$V$12/$V$8</f>
        <v>0.33333333333333331</v>
      </c>
      <c r="W122" s="78">
        <f>S122+T122+U122+V122</f>
        <v>10.832222222222223</v>
      </c>
      <c r="X122" s="77">
        <f>(N122+R122+W122)*1%</f>
        <v>0.58881793650793646</v>
      </c>
      <c r="Y122" s="77">
        <f>X122</f>
        <v>0.58881793650793646</v>
      </c>
      <c r="Z122" s="77">
        <f>$Z$12/E122</f>
        <v>2.9642857142857141E-2</v>
      </c>
      <c r="AA122" s="77">
        <f>$AA$12/E122</f>
        <v>0.74404761904761896</v>
      </c>
      <c r="AB122" s="77">
        <f>$AB$12/E122</f>
        <v>0.70684523809523814</v>
      </c>
      <c r="AC122" s="77">
        <f>$AC$12/E122</f>
        <v>0</v>
      </c>
      <c r="AD122" s="77">
        <f>Z122+AA122+AB122+AC122</f>
        <v>1.4805357142857143</v>
      </c>
      <c r="AE122" s="77">
        <f>(AD122+Y122+W122+R122+N122)*$AE$7</f>
        <v>15.237786825396824</v>
      </c>
      <c r="AF122" s="77">
        <f>AE122</f>
        <v>15.237786825396824</v>
      </c>
      <c r="AG122" s="74"/>
      <c r="AH122" s="74"/>
      <c r="AI122" s="74"/>
      <c r="AJ122" s="74"/>
      <c r="AK122" s="74"/>
      <c r="AL122" s="77">
        <f>(AD122+Y122+W122+R122+N122)*$AL$7</f>
        <v>0</v>
      </c>
      <c r="AM122" s="77">
        <f>AL122+AF122+AD122+Y122+W122+R122+N122</f>
        <v>76.188934126984122</v>
      </c>
      <c r="AN122" s="77">
        <f>AM122*$AN$12</f>
        <v>0.91426720952380947</v>
      </c>
      <c r="AO122" s="77">
        <f>AM122*$AO$12</f>
        <v>0.82284048857142855</v>
      </c>
      <c r="AP122" s="77">
        <f>AO122+AN122</f>
        <v>1.737107698095238</v>
      </c>
      <c r="AQ122" s="77">
        <f>AM122*$AQ$12</f>
        <v>6.3617759996031742</v>
      </c>
      <c r="AR122" s="77">
        <f>AM122*$AR$12</f>
        <v>0</v>
      </c>
      <c r="AS122" s="77">
        <f>AM122*$AS$12</f>
        <v>0</v>
      </c>
      <c r="AT122" s="77">
        <f>AQ122+AR122+AS122</f>
        <v>6.3617759996031742</v>
      </c>
      <c r="AU122" s="77">
        <f>AM122*$AU$12</f>
        <v>3.8094467063492061</v>
      </c>
      <c r="AV122" s="77">
        <f>AU122</f>
        <v>3.8094467063492061</v>
      </c>
      <c r="AW122" s="77">
        <f>AM122+AP122+AT122+AV122</f>
        <v>88.09726453103174</v>
      </c>
      <c r="AX122" s="21">
        <f>AY122/AW122</f>
        <v>0.88314587159017532</v>
      </c>
      <c r="AY122" s="77">
        <f t="shared" si="78"/>
        <v>77.802735468968265</v>
      </c>
      <c r="AZ122" s="79">
        <f>IFERROR(H122*VLOOKUP(A122,'Tabela de Produtos'!A:Q,17,0),0)</f>
        <v>52.559999999999995</v>
      </c>
      <c r="BA122" s="74">
        <f t="shared" si="117"/>
        <v>0</v>
      </c>
      <c r="BB122" s="74">
        <f t="shared" si="117"/>
        <v>0</v>
      </c>
      <c r="BC122" s="74">
        <f t="shared" si="117"/>
        <v>0</v>
      </c>
      <c r="BD122" s="74">
        <f t="shared" si="117"/>
        <v>11.613000000000001</v>
      </c>
      <c r="BE122" s="74">
        <f t="shared" si="79"/>
        <v>8.2949999999999999</v>
      </c>
      <c r="BF122" s="74">
        <f t="shared" si="80"/>
        <v>72.468000000000004</v>
      </c>
      <c r="BG122" s="74">
        <f t="shared" si="81"/>
        <v>93.432000000000002</v>
      </c>
      <c r="BH122" s="21">
        <f t="shared" si="82"/>
        <v>0.56318264014466546</v>
      </c>
    </row>
    <row r="123" spans="1:60" ht="15.75" customHeight="1">
      <c r="A123" s="72" t="s">
        <v>190</v>
      </c>
      <c r="B123" s="2" t="str">
        <f>IFERROR(VLOOKUP(A123,'Tabela de Produtos'!A:B,2,0),"Preencher Cód. Produto")</f>
        <v>BRAZIMIL LÁTEX STANDARD INT/EXT FOSCO 15L ROSA PETALA</v>
      </c>
      <c r="C123" s="2"/>
      <c r="D123" s="73" t="s">
        <v>40</v>
      </c>
      <c r="E123" s="73">
        <v>28</v>
      </c>
      <c r="F123" s="74">
        <f>IF(A123=0,0,VLOOKUP(A123,'Tabela de Produtos'!A:W,23,0))</f>
        <v>59.9</v>
      </c>
      <c r="G123" s="75">
        <v>165.9</v>
      </c>
      <c r="H123" s="76">
        <v>1</v>
      </c>
      <c r="I123" s="74">
        <f t="shared" si="77"/>
        <v>165.9</v>
      </c>
      <c r="J123" s="77">
        <f>VLOOKUP(B123,'Tabela de Produtos'!B:M,12,FALSE())</f>
        <v>39.449999999999996</v>
      </c>
      <c r="K123" s="77">
        <f>VLOOKUP(B123,'Tabela de Produtos'!B:P,15,FALSE())</f>
        <v>4.6500000000000004</v>
      </c>
      <c r="L123" s="77">
        <f>J123*1%</f>
        <v>0.39449999999999996</v>
      </c>
      <c r="M123" s="77">
        <f>J123*1%</f>
        <v>0.39449999999999996</v>
      </c>
      <c r="N123" s="78">
        <f>J123+K123+L123+M123</f>
        <v>44.888999999999996</v>
      </c>
      <c r="O123" s="77">
        <f>($O$12/E123)*$O$13</f>
        <v>1.2928571428571429</v>
      </c>
      <c r="P123" s="77">
        <f>($P$12/E123)*$P$13</f>
        <v>1.0103571428571427</v>
      </c>
      <c r="Q123" s="77">
        <f>($Q$12/E123)*$Q$13</f>
        <v>1.0103571428571427</v>
      </c>
      <c r="R123" s="78">
        <f>O123+P123+Q123</f>
        <v>3.3135714285714286</v>
      </c>
      <c r="S123" s="77">
        <f>VLOOKUP(B123,'Tabela de Produtos'!B:N,13,FALSE())</f>
        <v>8.61</v>
      </c>
      <c r="T123" s="74">
        <f>$T$12/$T$8</f>
        <v>0.69444444444444442</v>
      </c>
      <c r="U123" s="77">
        <f>$U$12/$U$8</f>
        <v>1.1944444444444444</v>
      </c>
      <c r="V123" s="74">
        <f>$V$12/$V$8</f>
        <v>0.33333333333333331</v>
      </c>
      <c r="W123" s="78">
        <f>S123+T123+U123+V123</f>
        <v>10.832222222222223</v>
      </c>
      <c r="X123" s="77">
        <f>(N123+R123+W123)*1%</f>
        <v>0.59034793650793649</v>
      </c>
      <c r="Y123" s="77">
        <f>X123</f>
        <v>0.59034793650793649</v>
      </c>
      <c r="Z123" s="77">
        <f>$Z$12/E123</f>
        <v>2.9642857142857141E-2</v>
      </c>
      <c r="AA123" s="77">
        <f>$AA$12/E123</f>
        <v>0.74404761904761896</v>
      </c>
      <c r="AB123" s="77">
        <f>$AB$12/E123</f>
        <v>0.70684523809523814</v>
      </c>
      <c r="AC123" s="77">
        <f>$AC$12/E123</f>
        <v>0</v>
      </c>
      <c r="AD123" s="77">
        <f>Z123+AA123+AB123+AC123</f>
        <v>1.4805357142857143</v>
      </c>
      <c r="AE123" s="77">
        <f>(AD123+Y123+W123+R123+N123)*$AE$7</f>
        <v>15.276419325396825</v>
      </c>
      <c r="AF123" s="77">
        <f>AE123</f>
        <v>15.276419325396825</v>
      </c>
      <c r="AG123" s="74"/>
      <c r="AH123" s="74"/>
      <c r="AI123" s="74"/>
      <c r="AJ123" s="74"/>
      <c r="AK123" s="74"/>
      <c r="AL123" s="77">
        <f>(AD123+Y123+W123+R123+N123)*$AL$7</f>
        <v>0</v>
      </c>
      <c r="AM123" s="77">
        <f>AL123+AF123+AD123+Y123+W123+R123+N123</f>
        <v>76.382096626984122</v>
      </c>
      <c r="AN123" s="77">
        <f>AM123*$AN$12</f>
        <v>0.91658515952380948</v>
      </c>
      <c r="AO123" s="77">
        <f>AM123*$AO$12</f>
        <v>0.82492664357142853</v>
      </c>
      <c r="AP123" s="77">
        <f>AO123+AN123</f>
        <v>1.7415118030952379</v>
      </c>
      <c r="AQ123" s="77">
        <f>AM123*$AQ$12</f>
        <v>6.3779050683531748</v>
      </c>
      <c r="AR123" s="77">
        <f>AM123*$AR$12</f>
        <v>0</v>
      </c>
      <c r="AS123" s="77">
        <f>AM123*$AS$12</f>
        <v>0</v>
      </c>
      <c r="AT123" s="77">
        <f>AQ123+AR123+AS123</f>
        <v>6.3779050683531748</v>
      </c>
      <c r="AU123" s="77">
        <f>AM123*$AU$12</f>
        <v>3.8191048313492062</v>
      </c>
      <c r="AV123" s="77">
        <f>AU123</f>
        <v>3.8191048313492062</v>
      </c>
      <c r="AW123" s="77">
        <f>AM123+AP123+AT123+AV123</f>
        <v>88.320618329781738</v>
      </c>
      <c r="AX123" s="21">
        <f>AY123/AW123</f>
        <v>0.87838358853584342</v>
      </c>
      <c r="AY123" s="77">
        <f t="shared" si="78"/>
        <v>77.579381670218268</v>
      </c>
      <c r="AZ123" s="79">
        <f>IFERROR(H123*VLOOKUP(A123,'Tabela de Produtos'!A:Q,17,0),0)</f>
        <v>52.709999999999994</v>
      </c>
      <c r="BA123" s="74">
        <f t="shared" si="117"/>
        <v>0</v>
      </c>
      <c r="BB123" s="74">
        <f t="shared" si="117"/>
        <v>0</v>
      </c>
      <c r="BC123" s="74">
        <f t="shared" si="117"/>
        <v>0</v>
      </c>
      <c r="BD123" s="74">
        <f t="shared" si="117"/>
        <v>11.613000000000001</v>
      </c>
      <c r="BE123" s="74">
        <f t="shared" si="79"/>
        <v>8.2949999999999999</v>
      </c>
      <c r="BF123" s="74">
        <f t="shared" si="80"/>
        <v>72.617999999999995</v>
      </c>
      <c r="BG123" s="74">
        <f t="shared" si="81"/>
        <v>93.282000000000011</v>
      </c>
      <c r="BH123" s="21">
        <f t="shared" si="82"/>
        <v>0.56227848101265832</v>
      </c>
    </row>
    <row r="124" spans="1:60" ht="15.75" customHeight="1">
      <c r="A124" s="72" t="s">
        <v>191</v>
      </c>
      <c r="B124" s="2" t="str">
        <f>IFERROR(VLOOKUP(A124,'Tabela de Produtos'!A:B,2,0),"Preencher Cód. Produto")</f>
        <v>BRAZIMIL LÁTEX STANDARD INT/EXT FOSCO 15L ACAI AMAZONICO</v>
      </c>
      <c r="C124" s="2"/>
      <c r="D124" s="73" t="s">
        <v>40</v>
      </c>
      <c r="E124" s="73"/>
      <c r="F124" s="74" t="str">
        <f>IF(A124=0,0,VLOOKUP(A124,'Tabela de Produtos'!A:W,23,0))</f>
        <v>Cadastrar Ficha de Produção</v>
      </c>
      <c r="G124" s="74">
        <v>60</v>
      </c>
      <c r="H124" s="76">
        <v>1</v>
      </c>
      <c r="I124" s="74">
        <f t="shared" si="77"/>
        <v>60</v>
      </c>
      <c r="J124" s="77">
        <f>VLOOKUP(B124,'Tabela de Produtos'!B:M,12,FALSE())</f>
        <v>0</v>
      </c>
      <c r="K124" s="74"/>
      <c r="L124" s="74"/>
      <c r="M124" s="74"/>
      <c r="N124" s="81"/>
      <c r="O124" s="74"/>
      <c r="P124" s="74"/>
      <c r="Q124" s="74"/>
      <c r="R124" s="81"/>
      <c r="S124" s="74"/>
      <c r="T124" s="74"/>
      <c r="U124" s="74"/>
      <c r="V124" s="74"/>
      <c r="W124" s="81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7"/>
      <c r="AY124" s="77">
        <f t="shared" si="78"/>
        <v>60</v>
      </c>
      <c r="AZ124" s="79">
        <f>IFERROR(H124*VLOOKUP(A124,'Tabela de Produtos'!A:Q,17,0),0)</f>
        <v>8.61</v>
      </c>
      <c r="BA124" s="74">
        <f t="shared" si="117"/>
        <v>0</v>
      </c>
      <c r="BB124" s="74">
        <f t="shared" si="117"/>
        <v>0</v>
      </c>
      <c r="BC124" s="74">
        <f t="shared" si="117"/>
        <v>0</v>
      </c>
      <c r="BD124" s="74">
        <f t="shared" si="117"/>
        <v>4.2</v>
      </c>
      <c r="BE124" s="74">
        <f t="shared" si="79"/>
        <v>3</v>
      </c>
      <c r="BF124" s="74">
        <f t="shared" si="80"/>
        <v>15.809999999999999</v>
      </c>
      <c r="BG124" s="74">
        <f t="shared" si="81"/>
        <v>44.19</v>
      </c>
      <c r="BH124" s="21">
        <f t="shared" si="82"/>
        <v>0</v>
      </c>
    </row>
    <row r="125" spans="1:60" ht="15.75" customHeight="1">
      <c r="A125" s="72" t="s">
        <v>192</v>
      </c>
      <c r="B125" s="2" t="str">
        <f>IFERROR(VLOOKUP(A125,'Tabela de Produtos'!A:B,2,0),"Preencher Cód. Produto")</f>
        <v>BRAZIMIL LÁTEX STANDARD INT/EXT FOSCO 15L VERDE FOLHA</v>
      </c>
      <c r="C125" s="2"/>
      <c r="D125" s="73" t="s">
        <v>40</v>
      </c>
      <c r="E125" s="73"/>
      <c r="F125" s="74" t="str">
        <f>IF(A125=0,0,VLOOKUP(A125,'Tabela de Produtos'!A:W,23,0))</f>
        <v>Cadastrar Ficha de Produção</v>
      </c>
      <c r="G125" s="74">
        <v>60</v>
      </c>
      <c r="H125" s="76">
        <v>1</v>
      </c>
      <c r="I125" s="74">
        <f t="shared" si="77"/>
        <v>60</v>
      </c>
      <c r="J125" s="77">
        <f>VLOOKUP(B125,'Tabela de Produtos'!B:M,12,FALSE())</f>
        <v>0</v>
      </c>
      <c r="K125" s="74"/>
      <c r="L125" s="74"/>
      <c r="M125" s="74"/>
      <c r="N125" s="81"/>
      <c r="O125" s="74"/>
      <c r="P125" s="74"/>
      <c r="Q125" s="74"/>
      <c r="R125" s="81"/>
      <c r="S125" s="74"/>
      <c r="T125" s="74"/>
      <c r="U125" s="74"/>
      <c r="V125" s="74"/>
      <c r="W125" s="81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7"/>
      <c r="AY125" s="77">
        <f t="shared" si="78"/>
        <v>60</v>
      </c>
      <c r="AZ125" s="79">
        <f>IFERROR(H125*VLOOKUP(A125,'Tabela de Produtos'!A:Q,17,0),0)</f>
        <v>8.61</v>
      </c>
      <c r="BA125" s="74">
        <f t="shared" si="117"/>
        <v>0</v>
      </c>
      <c r="BB125" s="74">
        <f t="shared" si="117"/>
        <v>0</v>
      </c>
      <c r="BC125" s="74">
        <f t="shared" si="117"/>
        <v>0</v>
      </c>
      <c r="BD125" s="74">
        <f t="shared" si="117"/>
        <v>4.2</v>
      </c>
      <c r="BE125" s="74">
        <f t="shared" si="79"/>
        <v>3</v>
      </c>
      <c r="BF125" s="74">
        <f t="shared" si="80"/>
        <v>15.809999999999999</v>
      </c>
      <c r="BG125" s="74">
        <f t="shared" si="81"/>
        <v>44.19</v>
      </c>
      <c r="BH125" s="21">
        <f t="shared" si="82"/>
        <v>0</v>
      </c>
    </row>
    <row r="126" spans="1:60" ht="15.75" customHeight="1">
      <c r="A126" s="72" t="s">
        <v>193</v>
      </c>
      <c r="B126" s="2" t="str">
        <f>IFERROR(VLOOKUP(A126,'Tabela de Produtos'!A:B,2,0),"Preencher Cód. Produto")</f>
        <v>BRAZIMIL LÁTEX STANDARD INT/EXT FOSCO 15L LARANJA</v>
      </c>
      <c r="C126" s="2"/>
      <c r="D126" s="73" t="s">
        <v>40</v>
      </c>
      <c r="E126" s="73"/>
      <c r="F126" s="74" t="str">
        <f>IF(A126=0,0,VLOOKUP(A126,'Tabela de Produtos'!A:W,23,0))</f>
        <v>Cadastrar Ficha de Produção</v>
      </c>
      <c r="G126" s="74">
        <v>60</v>
      </c>
      <c r="H126" s="76">
        <v>1</v>
      </c>
      <c r="I126" s="74">
        <f t="shared" si="77"/>
        <v>60</v>
      </c>
      <c r="J126" s="77">
        <f>VLOOKUP(B126,'Tabela de Produtos'!B:M,12,FALSE())</f>
        <v>0</v>
      </c>
      <c r="K126" s="74"/>
      <c r="L126" s="74"/>
      <c r="M126" s="74"/>
      <c r="N126" s="81"/>
      <c r="O126" s="74"/>
      <c r="P126" s="74"/>
      <c r="Q126" s="74"/>
      <c r="R126" s="81"/>
      <c r="S126" s="74"/>
      <c r="T126" s="74"/>
      <c r="U126" s="74"/>
      <c r="V126" s="74"/>
      <c r="W126" s="81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7"/>
      <c r="AY126" s="77">
        <f t="shared" si="78"/>
        <v>60</v>
      </c>
      <c r="AZ126" s="79">
        <f>IFERROR(H126*VLOOKUP(A126,'Tabela de Produtos'!A:Q,17,0),0)</f>
        <v>8.61</v>
      </c>
      <c r="BA126" s="74">
        <f t="shared" si="117"/>
        <v>0</v>
      </c>
      <c r="BB126" s="74">
        <f t="shared" si="117"/>
        <v>0</v>
      </c>
      <c r="BC126" s="74">
        <f t="shared" si="117"/>
        <v>0</v>
      </c>
      <c r="BD126" s="74">
        <f t="shared" si="117"/>
        <v>4.2</v>
      </c>
      <c r="BE126" s="74">
        <f t="shared" si="79"/>
        <v>3</v>
      </c>
      <c r="BF126" s="74">
        <f t="shared" si="80"/>
        <v>15.809999999999999</v>
      </c>
      <c r="BG126" s="74">
        <f t="shared" si="81"/>
        <v>44.19</v>
      </c>
      <c r="BH126" s="21">
        <f t="shared" si="82"/>
        <v>0</v>
      </c>
    </row>
    <row r="127" spans="1:60" ht="15.75" customHeight="1">
      <c r="A127" s="72" t="s">
        <v>194</v>
      </c>
      <c r="B127" s="2" t="str">
        <f>IFERROR(VLOOKUP(A127,'Tabela de Produtos'!A:B,2,0),"Preencher Cód. Produto")</f>
        <v>BRAZIMIL LÁTEX STANDARD INT/EXT FOSCO 15L AZUL CARIBE</v>
      </c>
      <c r="C127" s="2"/>
      <c r="D127" s="73" t="s">
        <v>40</v>
      </c>
      <c r="E127" s="73">
        <v>28</v>
      </c>
      <c r="F127" s="74">
        <f>IF(A127=0,0,VLOOKUP(A127,'Tabela de Produtos'!A:W,23,0))</f>
        <v>59.73</v>
      </c>
      <c r="G127" s="75">
        <v>165.9</v>
      </c>
      <c r="H127" s="76">
        <v>1</v>
      </c>
      <c r="I127" s="74">
        <f t="shared" si="77"/>
        <v>165.9</v>
      </c>
      <c r="J127" s="77">
        <f>VLOOKUP(B127,'Tabela de Produtos'!B:M,12,FALSE())</f>
        <v>39.299999999999997</v>
      </c>
      <c r="K127" s="77">
        <f>VLOOKUP(B127,'Tabela de Produtos'!B:P,15,FALSE())</f>
        <v>4.6500000000000004</v>
      </c>
      <c r="L127" s="77">
        <f>J127*1%</f>
        <v>0.39299999999999996</v>
      </c>
      <c r="M127" s="77">
        <f>J127*1%</f>
        <v>0.39299999999999996</v>
      </c>
      <c r="N127" s="78">
        <f>J127+K127+L127+M127</f>
        <v>44.735999999999997</v>
      </c>
      <c r="O127" s="77">
        <f>($O$12/E127)*$O$13</f>
        <v>1.2928571428571429</v>
      </c>
      <c r="P127" s="77">
        <f>($P$12/E127)*$P$13</f>
        <v>1.0103571428571427</v>
      </c>
      <c r="Q127" s="77">
        <f>($Q$12/E127)*$Q$13</f>
        <v>1.0103571428571427</v>
      </c>
      <c r="R127" s="78">
        <f>O127+P127+Q127</f>
        <v>3.3135714285714286</v>
      </c>
      <c r="S127" s="77">
        <f>VLOOKUP(B127,'Tabela de Produtos'!B:N,13,FALSE())</f>
        <v>8.61</v>
      </c>
      <c r="T127" s="74">
        <f>$T$12/$T$8</f>
        <v>0.69444444444444442</v>
      </c>
      <c r="U127" s="77">
        <f>$U$12/$U$8</f>
        <v>1.1944444444444444</v>
      </c>
      <c r="V127" s="74">
        <f>$V$12/$V$8</f>
        <v>0.33333333333333331</v>
      </c>
      <c r="W127" s="78">
        <f>S127+T127+U127+V127</f>
        <v>10.832222222222223</v>
      </c>
      <c r="X127" s="77">
        <f>(N127+R127+W127)*1%</f>
        <v>0.58881793650793646</v>
      </c>
      <c r="Y127" s="77">
        <f>X127</f>
        <v>0.58881793650793646</v>
      </c>
      <c r="Z127" s="77">
        <f>$Z$12/E127</f>
        <v>2.9642857142857141E-2</v>
      </c>
      <c r="AA127" s="77">
        <f>$AA$12/E127</f>
        <v>0.74404761904761896</v>
      </c>
      <c r="AB127" s="77">
        <f>$AB$12/E127</f>
        <v>0.70684523809523814</v>
      </c>
      <c r="AC127" s="77">
        <f>$AC$12/E127</f>
        <v>0</v>
      </c>
      <c r="AD127" s="77">
        <f>Z127+AA127+AB127+AC127</f>
        <v>1.4805357142857143</v>
      </c>
      <c r="AE127" s="77">
        <f>(AD127+Y127+W127+R127+N127)*$AE$7</f>
        <v>15.237786825396824</v>
      </c>
      <c r="AF127" s="77">
        <f>AE127</f>
        <v>15.237786825396824</v>
      </c>
      <c r="AG127" s="74"/>
      <c r="AH127" s="74"/>
      <c r="AI127" s="74"/>
      <c r="AJ127" s="74"/>
      <c r="AK127" s="74"/>
      <c r="AL127" s="77">
        <f>(AD127+Y127+W127+R127+N127)*$AL$7</f>
        <v>0</v>
      </c>
      <c r="AM127" s="77">
        <f>AL127+AF127+AD127+Y127+W127+R127+N127</f>
        <v>76.188934126984122</v>
      </c>
      <c r="AN127" s="77">
        <f>AM127*$AN$12</f>
        <v>0.91426720952380947</v>
      </c>
      <c r="AO127" s="77">
        <f>AM127*$AO$12</f>
        <v>0.82284048857142855</v>
      </c>
      <c r="AP127" s="77">
        <f>AO127+AN127</f>
        <v>1.737107698095238</v>
      </c>
      <c r="AQ127" s="77">
        <f>AM127*$AQ$12</f>
        <v>6.3617759996031742</v>
      </c>
      <c r="AR127" s="77">
        <f>AM127*$AR$12</f>
        <v>0</v>
      </c>
      <c r="AS127" s="77">
        <f>AM127*$AS$12</f>
        <v>0</v>
      </c>
      <c r="AT127" s="77">
        <f>AQ127+AR127+AS127</f>
        <v>6.3617759996031742</v>
      </c>
      <c r="AU127" s="77">
        <f>AM127*$AU$12</f>
        <v>3.8094467063492061</v>
      </c>
      <c r="AV127" s="77">
        <f>AU127</f>
        <v>3.8094467063492061</v>
      </c>
      <c r="AW127" s="77">
        <f>AM127+AP127+AT127+AV127</f>
        <v>88.09726453103174</v>
      </c>
      <c r="AX127" s="21">
        <f>AY127/AW127</f>
        <v>0.88314587159017532</v>
      </c>
      <c r="AY127" s="77">
        <f t="shared" si="78"/>
        <v>77.802735468968265</v>
      </c>
      <c r="AZ127" s="79">
        <f>IFERROR(H127*VLOOKUP(A127,'Tabela de Produtos'!A:Q,17,0),0)</f>
        <v>52.559999999999995</v>
      </c>
      <c r="BA127" s="74">
        <f t="shared" si="117"/>
        <v>0</v>
      </c>
      <c r="BB127" s="74">
        <f t="shared" si="117"/>
        <v>0</v>
      </c>
      <c r="BC127" s="74">
        <f t="shared" si="117"/>
        <v>0</v>
      </c>
      <c r="BD127" s="74">
        <f t="shared" si="117"/>
        <v>11.613000000000001</v>
      </c>
      <c r="BE127" s="74">
        <f t="shared" si="79"/>
        <v>8.2949999999999999</v>
      </c>
      <c r="BF127" s="74">
        <f t="shared" si="80"/>
        <v>72.468000000000004</v>
      </c>
      <c r="BG127" s="74">
        <f t="shared" si="81"/>
        <v>93.432000000000002</v>
      </c>
      <c r="BH127" s="21">
        <f t="shared" si="82"/>
        <v>0.56318264014466546</v>
      </c>
    </row>
    <row r="128" spans="1:60" ht="15.75" customHeight="1">
      <c r="A128" s="72" t="s">
        <v>195</v>
      </c>
      <c r="B128" s="2" t="str">
        <f>IFERROR(VLOOKUP(A128,'Tabela de Produtos'!A:B,2,0),"Preencher Cód. Produto")</f>
        <v>BRAZIMIL LÁTEX STANDARD INT/EXT FOSCO 15L VERDE LIMA</v>
      </c>
      <c r="C128" s="2"/>
      <c r="D128" s="73" t="s">
        <v>40</v>
      </c>
      <c r="E128" s="73">
        <v>28</v>
      </c>
      <c r="F128" s="74">
        <f>IF(A128=0,0,VLOOKUP(A128,'Tabela de Produtos'!A:W,23,0))</f>
        <v>62.629999999999995</v>
      </c>
      <c r="G128" s="75">
        <v>165.9</v>
      </c>
      <c r="H128" s="76">
        <v>1</v>
      </c>
      <c r="I128" s="74">
        <f t="shared" si="77"/>
        <v>165.9</v>
      </c>
      <c r="J128" s="77">
        <f>VLOOKUP(B128,'Tabela de Produtos'!B:M,12,FALSE())</f>
        <v>41.85</v>
      </c>
      <c r="K128" s="77">
        <f>VLOOKUP(B128,'Tabela de Produtos'!B:P,15,FALSE())</f>
        <v>4.6500000000000004</v>
      </c>
      <c r="L128" s="77">
        <f>J128*1%</f>
        <v>0.41850000000000004</v>
      </c>
      <c r="M128" s="77">
        <f>J128*1%</f>
        <v>0.41850000000000004</v>
      </c>
      <c r="N128" s="78">
        <f>J128+K128+L128+M128</f>
        <v>47.337000000000003</v>
      </c>
      <c r="O128" s="77">
        <f>($O$12/E128)*$O$13</f>
        <v>1.2928571428571429</v>
      </c>
      <c r="P128" s="77">
        <f>($P$12/E128)*$P$13</f>
        <v>1.0103571428571427</v>
      </c>
      <c r="Q128" s="77">
        <f>($Q$12/E128)*$Q$13</f>
        <v>1.0103571428571427</v>
      </c>
      <c r="R128" s="78">
        <f>O128+P128+Q128</f>
        <v>3.3135714285714286</v>
      </c>
      <c r="S128" s="77">
        <f>VLOOKUP(B128,'Tabela de Produtos'!B:N,13,FALSE())</f>
        <v>8.61</v>
      </c>
      <c r="T128" s="74">
        <f>$T$12/$T$8</f>
        <v>0.69444444444444442</v>
      </c>
      <c r="U128" s="77">
        <f>$U$12/$U$8</f>
        <v>1.1944444444444444</v>
      </c>
      <c r="V128" s="74">
        <f>$V$12/$V$8</f>
        <v>0.33333333333333331</v>
      </c>
      <c r="W128" s="78">
        <f>S128+T128+U128+V128</f>
        <v>10.832222222222223</v>
      </c>
      <c r="X128" s="77">
        <f>(N128+R128+W128)*1%</f>
        <v>0.61482793650793655</v>
      </c>
      <c r="Y128" s="77">
        <f>X128</f>
        <v>0.61482793650793655</v>
      </c>
      <c r="Z128" s="77">
        <f>$Z$12/E128</f>
        <v>2.9642857142857141E-2</v>
      </c>
      <c r="AA128" s="77">
        <f>$AA$12/E128</f>
        <v>0.74404761904761896</v>
      </c>
      <c r="AB128" s="77">
        <f>$AB$12/E128</f>
        <v>0.70684523809523814</v>
      </c>
      <c r="AC128" s="77">
        <f>$AC$12/E128</f>
        <v>0</v>
      </c>
      <c r="AD128" s="77">
        <f>Z128+AA128+AB128+AC128</f>
        <v>1.4805357142857143</v>
      </c>
      <c r="AE128" s="77">
        <f>(AD128+Y128+W128+R128+N128)*$AE$7</f>
        <v>15.894539325396826</v>
      </c>
      <c r="AF128" s="77">
        <f>AE128</f>
        <v>15.894539325396826</v>
      </c>
      <c r="AG128" s="74"/>
      <c r="AH128" s="74"/>
      <c r="AI128" s="74"/>
      <c r="AJ128" s="74"/>
      <c r="AK128" s="74"/>
      <c r="AL128" s="77">
        <f>(AD128+Y128+W128+R128+N128)*$AL$7</f>
        <v>0</v>
      </c>
      <c r="AM128" s="77">
        <f>AL128+AF128+AD128+Y128+W128+R128+N128</f>
        <v>79.472696626984131</v>
      </c>
      <c r="AN128" s="77">
        <f>AM128*$AN$12</f>
        <v>0.95367235952380958</v>
      </c>
      <c r="AO128" s="77">
        <f>AM128*$AO$12</f>
        <v>0.85830512357142863</v>
      </c>
      <c r="AP128" s="77">
        <f>AO128+AN128</f>
        <v>1.8119774830952382</v>
      </c>
      <c r="AQ128" s="77">
        <f>AM128*$AQ$12</f>
        <v>6.6359701683531753</v>
      </c>
      <c r="AR128" s="77">
        <f>AM128*$AR$12</f>
        <v>0</v>
      </c>
      <c r="AS128" s="77">
        <f>AM128*$AS$12</f>
        <v>0</v>
      </c>
      <c r="AT128" s="77">
        <f>AQ128+AR128+AS128</f>
        <v>6.6359701683531753</v>
      </c>
      <c r="AU128" s="77">
        <f>AM128*$AU$12</f>
        <v>3.9736348313492069</v>
      </c>
      <c r="AV128" s="77">
        <f>AU128</f>
        <v>3.9736348313492069</v>
      </c>
      <c r="AW128" s="77">
        <f>AM128+AP128+AT128+AV128</f>
        <v>91.894279109781749</v>
      </c>
      <c r="AX128" s="21">
        <f>AY128/AW128</f>
        <v>0.80533545294813313</v>
      </c>
      <c r="AY128" s="77">
        <f t="shared" si="78"/>
        <v>74.005720890218257</v>
      </c>
      <c r="AZ128" s="79">
        <f>IFERROR(H128*VLOOKUP(A128,'Tabela de Produtos'!A:Q,17,0),0)</f>
        <v>55.11</v>
      </c>
      <c r="BA128" s="74">
        <f t="shared" si="117"/>
        <v>0</v>
      </c>
      <c r="BB128" s="74">
        <f t="shared" si="117"/>
        <v>0</v>
      </c>
      <c r="BC128" s="74">
        <f t="shared" si="117"/>
        <v>0</v>
      </c>
      <c r="BD128" s="74">
        <f t="shared" si="117"/>
        <v>11.613000000000001</v>
      </c>
      <c r="BE128" s="74">
        <f t="shared" si="79"/>
        <v>8.2949999999999999</v>
      </c>
      <c r="BF128" s="74">
        <f t="shared" si="80"/>
        <v>75.018000000000001</v>
      </c>
      <c r="BG128" s="74">
        <f t="shared" si="81"/>
        <v>90.882000000000005</v>
      </c>
      <c r="BH128" s="21">
        <f t="shared" si="82"/>
        <v>0.54781193490054247</v>
      </c>
    </row>
    <row r="129" spans="1:60" ht="15.75" customHeight="1">
      <c r="A129" s="72" t="s">
        <v>196</v>
      </c>
      <c r="B129" s="2" t="str">
        <f>IFERROR(VLOOKUP(A129,'Tabela de Produtos'!A:B,2,0),"Preencher Cód. Produto")</f>
        <v>BRAZIMIL LÁTEX STANDARD INT/EXT FOSCO 15L PEROLA</v>
      </c>
      <c r="C129" s="2"/>
      <c r="D129" s="73" t="s">
        <v>40</v>
      </c>
      <c r="E129" s="73"/>
      <c r="F129" s="74" t="str">
        <f>IF(A129=0,0,VLOOKUP(A129,'Tabela de Produtos'!A:W,23,0))</f>
        <v>Cadastrar Ficha de Produção</v>
      </c>
      <c r="G129" s="74">
        <v>60</v>
      </c>
      <c r="H129" s="76">
        <v>1</v>
      </c>
      <c r="I129" s="74">
        <f t="shared" si="77"/>
        <v>60</v>
      </c>
      <c r="J129" s="77">
        <f>VLOOKUP(B129,'Tabela de Produtos'!B:M,12,FALSE())</f>
        <v>0</v>
      </c>
      <c r="K129" s="74"/>
      <c r="L129" s="74"/>
      <c r="M129" s="74"/>
      <c r="N129" s="81"/>
      <c r="O129" s="74"/>
      <c r="P129" s="74"/>
      <c r="Q129" s="74"/>
      <c r="R129" s="81"/>
      <c r="S129" s="74"/>
      <c r="T129" s="74"/>
      <c r="U129" s="74"/>
      <c r="V129" s="74"/>
      <c r="W129" s="81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7"/>
      <c r="AY129" s="77">
        <f t="shared" si="78"/>
        <v>60</v>
      </c>
      <c r="AZ129" s="79">
        <f>IFERROR(H129*VLOOKUP(A129,'Tabela de Produtos'!A:Q,17,0),0)</f>
        <v>8.61</v>
      </c>
      <c r="BA129" s="74">
        <f t="shared" si="117"/>
        <v>0</v>
      </c>
      <c r="BB129" s="74">
        <f t="shared" si="117"/>
        <v>0</v>
      </c>
      <c r="BC129" s="74">
        <f t="shared" si="117"/>
        <v>0</v>
      </c>
      <c r="BD129" s="74">
        <f t="shared" si="117"/>
        <v>4.2</v>
      </c>
      <c r="BE129" s="74">
        <f t="shared" si="79"/>
        <v>3</v>
      </c>
      <c r="BF129" s="74">
        <f t="shared" si="80"/>
        <v>15.809999999999999</v>
      </c>
      <c r="BG129" s="74">
        <f t="shared" si="81"/>
        <v>44.19</v>
      </c>
      <c r="BH129" s="21">
        <f t="shared" si="82"/>
        <v>0</v>
      </c>
    </row>
    <row r="130" spans="1:60" ht="15.75" customHeight="1">
      <c r="A130" s="72" t="s">
        <v>197</v>
      </c>
      <c r="B130" s="2" t="str">
        <f>IFERROR(VLOOKUP(A130,'Tabela de Produtos'!A:B,2,0),"Preencher Cód. Produto")</f>
        <v>BRAZIMIL LÁTEX STANDARD INT/EXT FOSCO 15L AZUL INTENSO</v>
      </c>
      <c r="C130" s="2"/>
      <c r="D130" s="73" t="s">
        <v>40</v>
      </c>
      <c r="E130" s="73">
        <v>28</v>
      </c>
      <c r="F130" s="74">
        <f>IF(A130=0,0,VLOOKUP(A130,'Tabela de Produtos'!A:W,23,0))</f>
        <v>68.430000000000007</v>
      </c>
      <c r="G130" s="75">
        <v>165.9</v>
      </c>
      <c r="H130" s="76">
        <v>1</v>
      </c>
      <c r="I130" s="74">
        <f t="shared" si="77"/>
        <v>165.9</v>
      </c>
      <c r="J130" s="77">
        <f>VLOOKUP(B130,'Tabela de Produtos'!B:M,12,FALSE())</f>
        <v>46.949999999999989</v>
      </c>
      <c r="K130" s="77">
        <f>VLOOKUP(B130,'Tabela de Produtos'!B:P,15,FALSE())</f>
        <v>4.6500000000000004</v>
      </c>
      <c r="L130" s="77">
        <f>J130*1%</f>
        <v>0.46949999999999992</v>
      </c>
      <c r="M130" s="77">
        <f>J130*1%</f>
        <v>0.46949999999999992</v>
      </c>
      <c r="N130" s="78">
        <f>J130+K130+L130+M130</f>
        <v>52.53899999999998</v>
      </c>
      <c r="O130" s="77">
        <f>($O$12/E130)*$O$13</f>
        <v>1.2928571428571429</v>
      </c>
      <c r="P130" s="77">
        <f>($P$12/E130)*$P$13</f>
        <v>1.0103571428571427</v>
      </c>
      <c r="Q130" s="77">
        <f>($Q$12/E130)*$Q$13</f>
        <v>1.0103571428571427</v>
      </c>
      <c r="R130" s="78">
        <f>O130+P130+Q130</f>
        <v>3.3135714285714286</v>
      </c>
      <c r="S130" s="77">
        <f>VLOOKUP(B130,'Tabela de Produtos'!B:N,13,FALSE())</f>
        <v>8.61</v>
      </c>
      <c r="T130" s="74">
        <f>$T$12/$T$8</f>
        <v>0.69444444444444442</v>
      </c>
      <c r="U130" s="77">
        <f>$U$12/$U$8</f>
        <v>1.1944444444444444</v>
      </c>
      <c r="V130" s="74">
        <f>$V$12/$V$8</f>
        <v>0.33333333333333331</v>
      </c>
      <c r="W130" s="78">
        <f>S130+T130+U130+V130</f>
        <v>10.832222222222223</v>
      </c>
      <c r="X130" s="77">
        <f>(N130+R130+W130)*1%</f>
        <v>0.66684793650793639</v>
      </c>
      <c r="Y130" s="77">
        <f>X130</f>
        <v>0.66684793650793639</v>
      </c>
      <c r="Z130" s="77">
        <f>$Z$12/E130</f>
        <v>2.9642857142857141E-2</v>
      </c>
      <c r="AA130" s="77">
        <f>$AA$12/E130</f>
        <v>0.74404761904761896</v>
      </c>
      <c r="AB130" s="77">
        <f>$AB$12/E130</f>
        <v>0.70684523809523814</v>
      </c>
      <c r="AC130" s="77">
        <f>$AC$12/E130</f>
        <v>0</v>
      </c>
      <c r="AD130" s="77">
        <f>Z130+AA130+AB130+AC130</f>
        <v>1.4805357142857143</v>
      </c>
      <c r="AE130" s="77">
        <f>(AD130+Y130+W130+R130+N130)*$AE$7</f>
        <v>17.20804432539682</v>
      </c>
      <c r="AF130" s="77">
        <f>AE130</f>
        <v>17.20804432539682</v>
      </c>
      <c r="AG130" s="74"/>
      <c r="AH130" s="74"/>
      <c r="AI130" s="74"/>
      <c r="AJ130" s="74"/>
      <c r="AK130" s="74"/>
      <c r="AL130" s="77">
        <f>(AD130+Y130+W130+R130+N130)*$AL$7</f>
        <v>0</v>
      </c>
      <c r="AM130" s="77">
        <f>AL130+AF130+AD130+Y130+W130+R130+N130</f>
        <v>86.040221626984106</v>
      </c>
      <c r="AN130" s="77">
        <f>AM130*$AN$12</f>
        <v>1.0324826595238092</v>
      </c>
      <c r="AO130" s="77">
        <f>AM130*$AO$12</f>
        <v>0.92923439357142845</v>
      </c>
      <c r="AP130" s="77">
        <f>AO130+AN130</f>
        <v>1.9617170530952377</v>
      </c>
      <c r="AQ130" s="77">
        <f>AM130*$AQ$12</f>
        <v>7.1843585058531731</v>
      </c>
      <c r="AR130" s="77">
        <f>AM130*$AR$12</f>
        <v>0</v>
      </c>
      <c r="AS130" s="77">
        <f>AM130*$AS$12</f>
        <v>0</v>
      </c>
      <c r="AT130" s="77">
        <f>AQ130+AR130+AS130</f>
        <v>7.1843585058531731</v>
      </c>
      <c r="AU130" s="77">
        <f>AM130*$AU$12</f>
        <v>4.3020110813492058</v>
      </c>
      <c r="AV130" s="77">
        <f>AU130</f>
        <v>4.3020110813492058</v>
      </c>
      <c r="AW130" s="77">
        <f>AM130+AP130+AT130+AV130</f>
        <v>99.488308267281724</v>
      </c>
      <c r="AX130" s="21">
        <f>AY130/AW130</f>
        <v>0.66753262659064427</v>
      </c>
      <c r="AY130" s="77">
        <f t="shared" si="78"/>
        <v>66.411691732718282</v>
      </c>
      <c r="AZ130" s="79">
        <f>IFERROR(H130*VLOOKUP(A130,'Tabela de Produtos'!A:Q,17,0),0)</f>
        <v>60.209999999999987</v>
      </c>
      <c r="BA130" s="74">
        <f t="shared" si="117"/>
        <v>0</v>
      </c>
      <c r="BB130" s="74">
        <f t="shared" si="117"/>
        <v>0</v>
      </c>
      <c r="BC130" s="74">
        <f t="shared" si="117"/>
        <v>0</v>
      </c>
      <c r="BD130" s="74">
        <f t="shared" si="117"/>
        <v>11.613000000000001</v>
      </c>
      <c r="BE130" s="74">
        <f t="shared" si="79"/>
        <v>8.2949999999999999</v>
      </c>
      <c r="BF130" s="74">
        <f t="shared" si="80"/>
        <v>80.117999999999995</v>
      </c>
      <c r="BG130" s="74">
        <f t="shared" si="81"/>
        <v>85.782000000000011</v>
      </c>
      <c r="BH130" s="21">
        <f t="shared" si="82"/>
        <v>0.51707052441229662</v>
      </c>
    </row>
    <row r="131" spans="1:60" ht="15.75" customHeight="1">
      <c r="A131" s="72" t="s">
        <v>198</v>
      </c>
      <c r="B131" s="2" t="str">
        <f>IFERROR(VLOOKUP(A131,'Tabela de Produtos'!A:B,2,0),"Preencher Cód. Produto")</f>
        <v>BRAZIMIL LÁTEX STANDARD INT/EXT FOSCO 15L LILAS</v>
      </c>
      <c r="C131" s="2"/>
      <c r="D131" s="73" t="s">
        <v>40</v>
      </c>
      <c r="E131" s="73"/>
      <c r="F131" s="74" t="str">
        <f>IF(A131=0,0,VLOOKUP(A131,'Tabela de Produtos'!A:W,23,0))</f>
        <v>Cadastrar Ficha de Produção</v>
      </c>
      <c r="G131" s="74">
        <v>60</v>
      </c>
      <c r="H131" s="76">
        <v>1</v>
      </c>
      <c r="I131" s="74">
        <f t="shared" si="77"/>
        <v>60</v>
      </c>
      <c r="J131" s="77">
        <f>VLOOKUP(B131,'Tabela de Produtos'!B:M,12,FALSE())</f>
        <v>0</v>
      </c>
      <c r="K131" s="74"/>
      <c r="L131" s="74"/>
      <c r="M131" s="74"/>
      <c r="N131" s="81"/>
      <c r="O131" s="74"/>
      <c r="P131" s="74"/>
      <c r="Q131" s="74"/>
      <c r="R131" s="81"/>
      <c r="S131" s="74"/>
      <c r="T131" s="74"/>
      <c r="U131" s="74"/>
      <c r="V131" s="74"/>
      <c r="W131" s="81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7"/>
      <c r="AY131" s="77">
        <f t="shared" si="78"/>
        <v>60</v>
      </c>
      <c r="AZ131" s="79">
        <f>IFERROR(H131*VLOOKUP(A131,'Tabela de Produtos'!A:Q,17,0),0)</f>
        <v>8.61</v>
      </c>
      <c r="BA131" s="74">
        <f t="shared" si="117"/>
        <v>0</v>
      </c>
      <c r="BB131" s="74">
        <f t="shared" si="117"/>
        <v>0</v>
      </c>
      <c r="BC131" s="74">
        <f t="shared" si="117"/>
        <v>0</v>
      </c>
      <c r="BD131" s="74">
        <f t="shared" si="117"/>
        <v>4.2</v>
      </c>
      <c r="BE131" s="74">
        <f t="shared" si="79"/>
        <v>3</v>
      </c>
      <c r="BF131" s="74">
        <f t="shared" si="80"/>
        <v>15.809999999999999</v>
      </c>
      <c r="BG131" s="74">
        <f t="shared" si="81"/>
        <v>44.19</v>
      </c>
      <c r="BH131" s="21">
        <f t="shared" si="82"/>
        <v>0</v>
      </c>
    </row>
    <row r="132" spans="1:60" ht="15.75" customHeight="1">
      <c r="A132" s="72" t="s">
        <v>199</v>
      </c>
      <c r="B132" s="2" t="str">
        <f>IFERROR(VLOOKUP(A132,'Tabela de Produtos'!A:B,2,0),"Preencher Cód. Produto")</f>
        <v>BRAZIMIL LÁTEX STANDARD INT/EXT FOSCO 15L VERMELHO GARANTIDO</v>
      </c>
      <c r="C132" s="2"/>
      <c r="D132" s="73" t="s">
        <v>40</v>
      </c>
      <c r="E132" s="73"/>
      <c r="F132" s="74" t="str">
        <f>IF(A132=0,0,VLOOKUP(A132,'Tabela de Produtos'!A:W,23,0))</f>
        <v>Cadastrar Ficha de Produção</v>
      </c>
      <c r="G132" s="74">
        <v>60</v>
      </c>
      <c r="H132" s="76">
        <v>1</v>
      </c>
      <c r="I132" s="74">
        <f t="shared" si="77"/>
        <v>60</v>
      </c>
      <c r="J132" s="77">
        <f>VLOOKUP(B132,'Tabela de Produtos'!B:M,12,FALSE())</f>
        <v>0</v>
      </c>
      <c r="K132" s="74"/>
      <c r="L132" s="74"/>
      <c r="M132" s="74"/>
      <c r="N132" s="81"/>
      <c r="O132" s="74"/>
      <c r="P132" s="74"/>
      <c r="Q132" s="74"/>
      <c r="R132" s="81"/>
      <c r="S132" s="74"/>
      <c r="T132" s="74"/>
      <c r="U132" s="74"/>
      <c r="V132" s="74"/>
      <c r="W132" s="81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7"/>
      <c r="AY132" s="77">
        <f t="shared" si="78"/>
        <v>60</v>
      </c>
      <c r="AZ132" s="79">
        <f>IFERROR(H132*VLOOKUP(A132,'Tabela de Produtos'!A:Q,17,0),0)</f>
        <v>8.61</v>
      </c>
      <c r="BA132" s="74">
        <f t="shared" si="117"/>
        <v>0</v>
      </c>
      <c r="BB132" s="74">
        <f t="shared" si="117"/>
        <v>0</v>
      </c>
      <c r="BC132" s="74">
        <f t="shared" si="117"/>
        <v>0</v>
      </c>
      <c r="BD132" s="74">
        <f t="shared" si="117"/>
        <v>4.2</v>
      </c>
      <c r="BE132" s="74">
        <f t="shared" si="79"/>
        <v>3</v>
      </c>
      <c r="BF132" s="74">
        <f t="shared" si="80"/>
        <v>15.809999999999999</v>
      </c>
      <c r="BG132" s="74">
        <f t="shared" si="81"/>
        <v>44.19</v>
      </c>
      <c r="BH132" s="21">
        <f t="shared" si="82"/>
        <v>0</v>
      </c>
    </row>
    <row r="133" spans="1:60" ht="15.75" customHeight="1">
      <c r="A133" s="72" t="s">
        <v>200</v>
      </c>
      <c r="B133" s="2" t="str">
        <f>IFERROR(VLOOKUP(A133,'Tabela de Produtos'!A:B,2,0),"Preencher Cód. Produto")</f>
        <v>BRAZIMIL LÁTEX STANDARD INT/EXT FOSCO 15L AZUL CAPRICHOSO</v>
      </c>
      <c r="C133" s="2"/>
      <c r="D133" s="73" t="s">
        <v>40</v>
      </c>
      <c r="E133" s="73"/>
      <c r="F133" s="74" t="str">
        <f>IF(A133=0,0,VLOOKUP(A133,'Tabela de Produtos'!A:W,23,0))</f>
        <v>Cadastrar Ficha de Produção</v>
      </c>
      <c r="G133" s="74">
        <v>60</v>
      </c>
      <c r="H133" s="76">
        <v>1</v>
      </c>
      <c r="I133" s="74">
        <f t="shared" si="77"/>
        <v>60</v>
      </c>
      <c r="J133" s="77">
        <f>VLOOKUP(B133,'Tabela de Produtos'!B:M,12,FALSE())</f>
        <v>0</v>
      </c>
      <c r="K133" s="74"/>
      <c r="L133" s="74"/>
      <c r="M133" s="74"/>
      <c r="N133" s="81"/>
      <c r="O133" s="74"/>
      <c r="P133" s="74"/>
      <c r="Q133" s="74"/>
      <c r="R133" s="81"/>
      <c r="S133" s="74"/>
      <c r="T133" s="74"/>
      <c r="U133" s="74"/>
      <c r="V133" s="74"/>
      <c r="W133" s="81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7"/>
      <c r="AY133" s="77">
        <f t="shared" si="78"/>
        <v>60</v>
      </c>
      <c r="AZ133" s="79">
        <f>IFERROR(H133*VLOOKUP(A133,'Tabela de Produtos'!A:Q,17,0),0)</f>
        <v>8.61</v>
      </c>
      <c r="BA133" s="74">
        <f t="shared" si="117"/>
        <v>0</v>
      </c>
      <c r="BB133" s="74">
        <f t="shared" si="117"/>
        <v>0</v>
      </c>
      <c r="BC133" s="74">
        <f t="shared" si="117"/>
        <v>0</v>
      </c>
      <c r="BD133" s="74">
        <f t="shared" si="117"/>
        <v>4.2</v>
      </c>
      <c r="BE133" s="74">
        <f t="shared" si="79"/>
        <v>3</v>
      </c>
      <c r="BF133" s="74">
        <f t="shared" si="80"/>
        <v>15.809999999999999</v>
      </c>
      <c r="BG133" s="74">
        <f t="shared" si="81"/>
        <v>44.19</v>
      </c>
      <c r="BH133" s="21">
        <f t="shared" si="82"/>
        <v>0</v>
      </c>
    </row>
    <row r="134" spans="1:60" ht="15.75" customHeight="1">
      <c r="A134" s="72" t="s">
        <v>201</v>
      </c>
      <c r="B134" s="2" t="str">
        <f>IFERROR(VLOOKUP(A134,'Tabela de Produtos'!A:B,2,0),"Preencher Cód. Produto")</f>
        <v>BRAZIMIL LÁTEX STANDARD INT/EXT FOSCO 15L CINZA MEDIO</v>
      </c>
      <c r="C134" s="2"/>
      <c r="D134" s="73" t="s">
        <v>40</v>
      </c>
      <c r="E134" s="73">
        <v>28</v>
      </c>
      <c r="F134" s="74">
        <f>IF(A134=0,0,VLOOKUP(A134,'Tabela de Produtos'!A:W,23,0))</f>
        <v>58.71</v>
      </c>
      <c r="G134" s="75">
        <v>165.9</v>
      </c>
      <c r="H134" s="76">
        <v>1</v>
      </c>
      <c r="I134" s="74">
        <f t="shared" si="77"/>
        <v>165.9</v>
      </c>
      <c r="J134" s="77">
        <f>VLOOKUP(B134,'Tabela de Produtos'!B:M,12,FALSE())</f>
        <v>38.399999999999991</v>
      </c>
      <c r="K134" s="77">
        <f>VLOOKUP(B134,'Tabela de Produtos'!B:P,15,FALSE())</f>
        <v>4.6500000000000004</v>
      </c>
      <c r="L134" s="77">
        <f t="shared" ref="L134:L153" si="118">J134*1%</f>
        <v>0.3839999999999999</v>
      </c>
      <c r="M134" s="77">
        <f t="shared" ref="M134:M153" si="119">J134*1%</f>
        <v>0.3839999999999999</v>
      </c>
      <c r="N134" s="78">
        <f t="shared" ref="N134:N153" si="120">J134+K134+L134+M134</f>
        <v>43.817999999999991</v>
      </c>
      <c r="O134" s="77">
        <f t="shared" ref="O134:O153" si="121">($O$12/E134)*$O$13</f>
        <v>1.2928571428571429</v>
      </c>
      <c r="P134" s="77">
        <f t="shared" ref="P134:P153" si="122">($P$12/E134)*$P$13</f>
        <v>1.0103571428571427</v>
      </c>
      <c r="Q134" s="77">
        <f t="shared" ref="Q134:Q153" si="123">($Q$12/E134)*$Q$13</f>
        <v>1.0103571428571427</v>
      </c>
      <c r="R134" s="78">
        <f t="shared" ref="R134:R153" si="124">O134+P134+Q134</f>
        <v>3.3135714285714286</v>
      </c>
      <c r="S134" s="77">
        <f>VLOOKUP(B134,'Tabela de Produtos'!B:N,13,FALSE())</f>
        <v>8.61</v>
      </c>
      <c r="T134" s="74">
        <f t="shared" ref="T134:T153" si="125">$T$12/$T$8</f>
        <v>0.69444444444444442</v>
      </c>
      <c r="U134" s="77">
        <f t="shared" ref="U134:U153" si="126">$U$12/$U$8</f>
        <v>1.1944444444444444</v>
      </c>
      <c r="V134" s="74">
        <f t="shared" ref="V134:V153" si="127">$V$12/$V$8</f>
        <v>0.33333333333333331</v>
      </c>
      <c r="W134" s="78">
        <f t="shared" ref="W134:W153" si="128">S134+T134+U134+V134</f>
        <v>10.832222222222223</v>
      </c>
      <c r="X134" s="77">
        <f t="shared" ref="X134:X153" si="129">(N134+R134+W134)*1%</f>
        <v>0.57963793650793638</v>
      </c>
      <c r="Y134" s="77">
        <f t="shared" ref="Y134:Y153" si="130">X134</f>
        <v>0.57963793650793638</v>
      </c>
      <c r="Z134" s="77">
        <f t="shared" ref="Z134:Z153" si="131">$Z$12/E134</f>
        <v>2.9642857142857141E-2</v>
      </c>
      <c r="AA134" s="77">
        <f t="shared" ref="AA134:AA153" si="132">$AA$12/E134</f>
        <v>0.74404761904761896</v>
      </c>
      <c r="AB134" s="77">
        <f t="shared" ref="AB134:AB153" si="133">$AB$12/E134</f>
        <v>0.70684523809523814</v>
      </c>
      <c r="AC134" s="77">
        <f t="shared" ref="AC134:AC153" si="134">$AC$12/E134</f>
        <v>0</v>
      </c>
      <c r="AD134" s="77">
        <f t="shared" ref="AD134:AD153" si="135">Z134+AA134+AB134+AC134</f>
        <v>1.4805357142857143</v>
      </c>
      <c r="AE134" s="77">
        <f t="shared" ref="AE134:AE153" si="136">(AD134+Y134+W134+R134+N134)*$AE$7</f>
        <v>15.005991825396823</v>
      </c>
      <c r="AF134" s="77">
        <f t="shared" ref="AF134:AF153" si="137">AE134</f>
        <v>15.005991825396823</v>
      </c>
      <c r="AG134" s="74"/>
      <c r="AH134" s="74"/>
      <c r="AI134" s="74"/>
      <c r="AJ134" s="74"/>
      <c r="AK134" s="74"/>
      <c r="AL134" s="77">
        <f t="shared" ref="AL134:AL153" si="138">(AD134+Y134+W134+R134+N134)*$AL$7</f>
        <v>0</v>
      </c>
      <c r="AM134" s="77">
        <f t="shared" ref="AM134:AM153" si="139">AL134+AF134+AD134+Y134+W134+R134+N134</f>
        <v>75.029959126984124</v>
      </c>
      <c r="AN134" s="77">
        <f t="shared" ref="AN134:AN153" si="140">AM134*$AN$12</f>
        <v>0.9003595095238095</v>
      </c>
      <c r="AO134" s="77">
        <f t="shared" ref="AO134:AO153" si="141">AM134*$AO$12</f>
        <v>0.81032355857142857</v>
      </c>
      <c r="AP134" s="77">
        <f t="shared" ref="AP134:AP153" si="142">AO134+AN134</f>
        <v>1.7106830680952381</v>
      </c>
      <c r="AQ134" s="77">
        <f t="shared" ref="AQ134:AQ153" si="143">AM134*$AQ$12</f>
        <v>6.2650015871031748</v>
      </c>
      <c r="AR134" s="77">
        <f t="shared" ref="AR134:AR153" si="144">AM134*$AR$12</f>
        <v>0</v>
      </c>
      <c r="AS134" s="77">
        <f t="shared" ref="AS134:AS153" si="145">AM134*$AS$12</f>
        <v>0</v>
      </c>
      <c r="AT134" s="77">
        <f t="shared" ref="AT134:AT153" si="146">AQ134+AR134+AS134</f>
        <v>6.2650015871031748</v>
      </c>
      <c r="AU134" s="77">
        <f t="shared" ref="AU134:AU153" si="147">AM134*$AU$12</f>
        <v>3.7514979563492066</v>
      </c>
      <c r="AV134" s="77">
        <f t="shared" ref="AV134:AV153" si="148">AU134</f>
        <v>3.7514979563492066</v>
      </c>
      <c r="AW134" s="77">
        <f t="shared" ref="AW134:AW153" si="149">AM134+AP134+AT134+AV134</f>
        <v>86.757141738531743</v>
      </c>
      <c r="AX134" s="21">
        <f t="shared" ref="AX134:AX153" si="150">AY134/AW134</f>
        <v>0.91223450514297288</v>
      </c>
      <c r="AY134" s="77">
        <f t="shared" si="78"/>
        <v>79.142858261468263</v>
      </c>
      <c r="AZ134" s="79">
        <f>IFERROR(H134*VLOOKUP(A134,'Tabela de Produtos'!A:Q,17,0),0)</f>
        <v>51.659999999999989</v>
      </c>
      <c r="BA134" s="74">
        <f t="shared" ref="BA134:BD153" si="151">$I134*BA$12</f>
        <v>0</v>
      </c>
      <c r="BB134" s="74">
        <f t="shared" si="151"/>
        <v>0</v>
      </c>
      <c r="BC134" s="74">
        <f t="shared" si="151"/>
        <v>0</v>
      </c>
      <c r="BD134" s="74">
        <f t="shared" si="151"/>
        <v>11.613000000000001</v>
      </c>
      <c r="BE134" s="74">
        <f t="shared" si="79"/>
        <v>8.2949999999999999</v>
      </c>
      <c r="BF134" s="74">
        <f t="shared" si="80"/>
        <v>71.567999999999984</v>
      </c>
      <c r="BG134" s="74">
        <f t="shared" si="81"/>
        <v>94.332000000000022</v>
      </c>
      <c r="BH134" s="21">
        <f t="shared" si="82"/>
        <v>0.56860759493670898</v>
      </c>
    </row>
    <row r="135" spans="1:60" ht="15.75" customHeight="1">
      <c r="A135" s="72" t="s">
        <v>202</v>
      </c>
      <c r="B135" s="2" t="str">
        <f>IFERROR(VLOOKUP(A135,'Tabela de Produtos'!A:B,2,0),"Preencher Cód. Produto")</f>
        <v>BRAZIMIL LÁTEX STANDARD INT/EXT FOSCO 15L CINZA INTENSO</v>
      </c>
      <c r="C135" s="2"/>
      <c r="D135" s="73" t="s">
        <v>40</v>
      </c>
      <c r="E135" s="73">
        <v>28</v>
      </c>
      <c r="F135" s="74">
        <f>IF(A135=0,0,VLOOKUP(A135,'Tabela de Produtos'!A:W,23,0))</f>
        <v>59.05</v>
      </c>
      <c r="G135" s="75">
        <v>165.9</v>
      </c>
      <c r="H135" s="76">
        <v>1</v>
      </c>
      <c r="I135" s="74">
        <f t="shared" si="77"/>
        <v>165.9</v>
      </c>
      <c r="J135" s="77">
        <f>VLOOKUP(B135,'Tabela de Produtos'!B:M,12,FALSE())</f>
        <v>38.699999999999996</v>
      </c>
      <c r="K135" s="77">
        <f>VLOOKUP(B135,'Tabela de Produtos'!B:P,15,FALSE())</f>
        <v>4.6500000000000004</v>
      </c>
      <c r="L135" s="77">
        <f t="shared" si="118"/>
        <v>0.38699999999999996</v>
      </c>
      <c r="M135" s="77">
        <f t="shared" si="119"/>
        <v>0.38699999999999996</v>
      </c>
      <c r="N135" s="78">
        <f t="shared" si="120"/>
        <v>44.123999999999995</v>
      </c>
      <c r="O135" s="77">
        <f t="shared" si="121"/>
        <v>1.2928571428571429</v>
      </c>
      <c r="P135" s="77">
        <f t="shared" si="122"/>
        <v>1.0103571428571427</v>
      </c>
      <c r="Q135" s="77">
        <f t="shared" si="123"/>
        <v>1.0103571428571427</v>
      </c>
      <c r="R135" s="78">
        <f t="shared" si="124"/>
        <v>3.3135714285714286</v>
      </c>
      <c r="S135" s="77">
        <f>VLOOKUP(B135,'Tabela de Produtos'!B:N,13,FALSE())</f>
        <v>8.61</v>
      </c>
      <c r="T135" s="74">
        <f t="shared" si="125"/>
        <v>0.69444444444444442</v>
      </c>
      <c r="U135" s="77">
        <f t="shared" si="126"/>
        <v>1.1944444444444444</v>
      </c>
      <c r="V135" s="74">
        <f t="shared" si="127"/>
        <v>0.33333333333333331</v>
      </c>
      <c r="W135" s="78">
        <f t="shared" si="128"/>
        <v>10.832222222222223</v>
      </c>
      <c r="X135" s="77">
        <f t="shared" si="129"/>
        <v>0.58269793650793644</v>
      </c>
      <c r="Y135" s="77">
        <f t="shared" si="130"/>
        <v>0.58269793650793644</v>
      </c>
      <c r="Z135" s="77">
        <f t="shared" si="131"/>
        <v>2.9642857142857141E-2</v>
      </c>
      <c r="AA135" s="77">
        <f t="shared" si="132"/>
        <v>0.74404761904761896</v>
      </c>
      <c r="AB135" s="77">
        <f t="shared" si="133"/>
        <v>0.70684523809523814</v>
      </c>
      <c r="AC135" s="77">
        <f t="shared" si="134"/>
        <v>0</v>
      </c>
      <c r="AD135" s="77">
        <f t="shared" si="135"/>
        <v>1.4805357142857143</v>
      </c>
      <c r="AE135" s="77">
        <f t="shared" si="136"/>
        <v>15.083256825396823</v>
      </c>
      <c r="AF135" s="77">
        <f t="shared" si="137"/>
        <v>15.083256825396823</v>
      </c>
      <c r="AG135" s="74"/>
      <c r="AH135" s="74"/>
      <c r="AI135" s="74"/>
      <c r="AJ135" s="74"/>
      <c r="AK135" s="74"/>
      <c r="AL135" s="77">
        <f t="shared" si="138"/>
        <v>0</v>
      </c>
      <c r="AM135" s="77">
        <f t="shared" si="139"/>
        <v>75.416284126984124</v>
      </c>
      <c r="AN135" s="77">
        <f t="shared" si="140"/>
        <v>0.90499540952380952</v>
      </c>
      <c r="AO135" s="77">
        <f t="shared" si="141"/>
        <v>0.81449586857142853</v>
      </c>
      <c r="AP135" s="77">
        <f t="shared" si="142"/>
        <v>1.7194912780952381</v>
      </c>
      <c r="AQ135" s="77">
        <f t="shared" si="143"/>
        <v>6.2972597246031743</v>
      </c>
      <c r="AR135" s="77">
        <f t="shared" si="144"/>
        <v>0</v>
      </c>
      <c r="AS135" s="77">
        <f t="shared" si="145"/>
        <v>0</v>
      </c>
      <c r="AT135" s="77">
        <f t="shared" si="146"/>
        <v>6.2972597246031743</v>
      </c>
      <c r="AU135" s="77">
        <f t="shared" si="147"/>
        <v>3.7708142063492063</v>
      </c>
      <c r="AV135" s="77">
        <f t="shared" si="148"/>
        <v>3.7708142063492063</v>
      </c>
      <c r="AW135" s="77">
        <f t="shared" si="149"/>
        <v>87.203849336031737</v>
      </c>
      <c r="AX135" s="21">
        <f t="shared" si="150"/>
        <v>0.90243895496768889</v>
      </c>
      <c r="AY135" s="77">
        <f t="shared" si="78"/>
        <v>78.696150663968268</v>
      </c>
      <c r="AZ135" s="79">
        <f>IFERROR(H135*VLOOKUP(A135,'Tabela de Produtos'!A:Q,17,0),0)</f>
        <v>51.959999999999994</v>
      </c>
      <c r="BA135" s="74">
        <f t="shared" si="151"/>
        <v>0</v>
      </c>
      <c r="BB135" s="74">
        <f t="shared" si="151"/>
        <v>0</v>
      </c>
      <c r="BC135" s="74">
        <f t="shared" si="151"/>
        <v>0</v>
      </c>
      <c r="BD135" s="74">
        <f t="shared" si="151"/>
        <v>11.613000000000001</v>
      </c>
      <c r="BE135" s="74">
        <f t="shared" si="79"/>
        <v>8.2949999999999999</v>
      </c>
      <c r="BF135" s="74">
        <f t="shared" si="80"/>
        <v>71.867999999999995</v>
      </c>
      <c r="BG135" s="74">
        <f t="shared" si="81"/>
        <v>94.032000000000011</v>
      </c>
      <c r="BH135" s="21">
        <f t="shared" si="82"/>
        <v>0.56679927667269447</v>
      </c>
    </row>
    <row r="136" spans="1:60" ht="15.75" customHeight="1">
      <c r="A136" s="72" t="s">
        <v>203</v>
      </c>
      <c r="B136" s="2" t="str">
        <f>IFERROR(VLOOKUP(A136,'Tabela de Produtos'!A:B,2,0),"Preencher Cód. Produto")</f>
        <v>BRAZIMIL LÁTEX STANDARD INT/EXT SEMIBRILHO 15L BRANCO NEVE</v>
      </c>
      <c r="C136" s="2"/>
      <c r="D136" s="73" t="s">
        <v>40</v>
      </c>
      <c r="E136" s="73">
        <v>28</v>
      </c>
      <c r="F136" s="74">
        <f>IF(A136=0,0,VLOOKUP(A136,'Tabela de Produtos'!A:W,23,0))</f>
        <v>139.32999999999998</v>
      </c>
      <c r="G136" s="75">
        <v>175.9</v>
      </c>
      <c r="H136" s="76">
        <v>1</v>
      </c>
      <c r="I136" s="74">
        <f t="shared" si="77"/>
        <v>175.9</v>
      </c>
      <c r="J136" s="77">
        <f>VLOOKUP(B136,'Tabela de Produtos'!B:M,12,FALSE())</f>
        <v>109.35</v>
      </c>
      <c r="K136" s="77">
        <f>VLOOKUP(B136,'Tabela de Produtos'!B:P,15,FALSE())</f>
        <v>4.6500000000000004</v>
      </c>
      <c r="L136" s="77">
        <f t="shared" si="118"/>
        <v>1.0934999999999999</v>
      </c>
      <c r="M136" s="77">
        <f t="shared" si="119"/>
        <v>1.0934999999999999</v>
      </c>
      <c r="N136" s="78">
        <f t="shared" si="120"/>
        <v>116.18700000000001</v>
      </c>
      <c r="O136" s="77">
        <f t="shared" si="121"/>
        <v>1.2928571428571429</v>
      </c>
      <c r="P136" s="77">
        <f t="shared" si="122"/>
        <v>1.0103571428571427</v>
      </c>
      <c r="Q136" s="77">
        <f t="shared" si="123"/>
        <v>1.0103571428571427</v>
      </c>
      <c r="R136" s="78">
        <f t="shared" si="124"/>
        <v>3.3135714285714286</v>
      </c>
      <c r="S136" s="77">
        <f>VLOOKUP(B136,'Tabela de Produtos'!B:N,13,FALSE())</f>
        <v>8.61</v>
      </c>
      <c r="T136" s="74">
        <f t="shared" si="125"/>
        <v>0.69444444444444442</v>
      </c>
      <c r="U136" s="77">
        <f t="shared" si="126"/>
        <v>1.1944444444444444</v>
      </c>
      <c r="V136" s="74">
        <f t="shared" si="127"/>
        <v>0.33333333333333331</v>
      </c>
      <c r="W136" s="78">
        <f t="shared" si="128"/>
        <v>10.832222222222223</v>
      </c>
      <c r="X136" s="77">
        <f t="shared" si="129"/>
        <v>1.3033279365079367</v>
      </c>
      <c r="Y136" s="77">
        <f t="shared" si="130"/>
        <v>1.3033279365079367</v>
      </c>
      <c r="Z136" s="77">
        <f t="shared" si="131"/>
        <v>2.9642857142857141E-2</v>
      </c>
      <c r="AA136" s="77">
        <f t="shared" si="132"/>
        <v>0.74404761904761896</v>
      </c>
      <c r="AB136" s="77">
        <f t="shared" si="133"/>
        <v>0.70684523809523814</v>
      </c>
      <c r="AC136" s="77">
        <f t="shared" si="134"/>
        <v>0</v>
      </c>
      <c r="AD136" s="77">
        <f t="shared" si="135"/>
        <v>1.4805357142857143</v>
      </c>
      <c r="AE136" s="77">
        <f t="shared" si="136"/>
        <v>33.279164325396827</v>
      </c>
      <c r="AF136" s="77">
        <f t="shared" si="137"/>
        <v>33.279164325396827</v>
      </c>
      <c r="AG136" s="74"/>
      <c r="AH136" s="74"/>
      <c r="AI136" s="74"/>
      <c r="AJ136" s="74"/>
      <c r="AK136" s="74"/>
      <c r="AL136" s="77">
        <f t="shared" si="138"/>
        <v>0</v>
      </c>
      <c r="AM136" s="77">
        <f t="shared" si="139"/>
        <v>166.39582162698414</v>
      </c>
      <c r="AN136" s="77">
        <f t="shared" si="140"/>
        <v>1.9967498595238098</v>
      </c>
      <c r="AO136" s="77">
        <f t="shared" si="141"/>
        <v>1.7970748735714288</v>
      </c>
      <c r="AP136" s="77">
        <f t="shared" si="142"/>
        <v>3.7938247330952386</v>
      </c>
      <c r="AQ136" s="77">
        <f t="shared" si="143"/>
        <v>13.894051105853176</v>
      </c>
      <c r="AR136" s="77">
        <f t="shared" si="144"/>
        <v>0</v>
      </c>
      <c r="AS136" s="77">
        <f t="shared" si="145"/>
        <v>0</v>
      </c>
      <c r="AT136" s="77">
        <f t="shared" si="146"/>
        <v>13.894051105853176</v>
      </c>
      <c r="AU136" s="77">
        <f t="shared" si="147"/>
        <v>8.3197910813492069</v>
      </c>
      <c r="AV136" s="77">
        <f t="shared" si="148"/>
        <v>8.3197910813492069</v>
      </c>
      <c r="AW136" s="77">
        <f t="shared" si="149"/>
        <v>192.40348854728177</v>
      </c>
      <c r="AX136" s="21">
        <f t="shared" si="150"/>
        <v>-8.5775412243765781E-2</v>
      </c>
      <c r="AY136" s="77">
        <f t="shared" si="78"/>
        <v>-16.503488547281762</v>
      </c>
      <c r="AZ136" s="79">
        <f>IFERROR(H136*VLOOKUP(A136,'Tabela de Produtos'!A:Q,17,0),0)</f>
        <v>122.61</v>
      </c>
      <c r="BA136" s="74">
        <f t="shared" si="151"/>
        <v>0</v>
      </c>
      <c r="BB136" s="74">
        <f t="shared" si="151"/>
        <v>0</v>
      </c>
      <c r="BC136" s="74">
        <f t="shared" si="151"/>
        <v>0</v>
      </c>
      <c r="BD136" s="74">
        <f t="shared" si="151"/>
        <v>12.313000000000002</v>
      </c>
      <c r="BE136" s="74">
        <f t="shared" si="79"/>
        <v>8.7949999999999999</v>
      </c>
      <c r="BF136" s="74">
        <f t="shared" si="80"/>
        <v>143.71799999999999</v>
      </c>
      <c r="BG136" s="74">
        <f t="shared" si="81"/>
        <v>32.182000000000016</v>
      </c>
      <c r="BH136" s="21">
        <f t="shared" si="82"/>
        <v>0.18295622512791368</v>
      </c>
    </row>
    <row r="137" spans="1:60" ht="15.75" customHeight="1">
      <c r="A137" s="72" t="s">
        <v>204</v>
      </c>
      <c r="B137" s="2" t="str">
        <f>IFERROR(VLOOKUP(A137,'Tabela de Produtos'!A:B,2,0),"Preencher Cód. Produto")</f>
        <v>BRAZIMIL LÁTEX STANDARD INT/EXT SEMIBRILHO 15L BRANCO GELO</v>
      </c>
      <c r="C137" s="2"/>
      <c r="D137" s="73" t="s">
        <v>40</v>
      </c>
      <c r="E137" s="73">
        <v>28</v>
      </c>
      <c r="F137" s="74">
        <f>IF(A137=0,0,VLOOKUP(A137,'Tabela de Produtos'!A:W,23,0))</f>
        <v>159.62</v>
      </c>
      <c r="G137" s="75">
        <v>175.9</v>
      </c>
      <c r="H137" s="76">
        <v>1</v>
      </c>
      <c r="I137" s="74">
        <f t="shared" si="77"/>
        <v>175.9</v>
      </c>
      <c r="J137" s="77">
        <f>VLOOKUP(B137,'Tabela de Produtos'!B:M,12,FALSE())</f>
        <v>127.19999999999997</v>
      </c>
      <c r="K137" s="77">
        <f>VLOOKUP(B137,'Tabela de Produtos'!B:P,15,FALSE())</f>
        <v>4.6500000000000004</v>
      </c>
      <c r="L137" s="77">
        <f t="shared" si="118"/>
        <v>1.2719999999999998</v>
      </c>
      <c r="M137" s="77">
        <f t="shared" si="119"/>
        <v>1.2719999999999998</v>
      </c>
      <c r="N137" s="78">
        <f t="shared" si="120"/>
        <v>134.39399999999995</v>
      </c>
      <c r="O137" s="77">
        <f t="shared" si="121"/>
        <v>1.2928571428571429</v>
      </c>
      <c r="P137" s="77">
        <f t="shared" si="122"/>
        <v>1.0103571428571427</v>
      </c>
      <c r="Q137" s="77">
        <f t="shared" si="123"/>
        <v>1.0103571428571427</v>
      </c>
      <c r="R137" s="78">
        <f t="shared" si="124"/>
        <v>3.3135714285714286</v>
      </c>
      <c r="S137" s="77">
        <f>VLOOKUP(B137,'Tabela de Produtos'!B:N,13,FALSE())</f>
        <v>8.61</v>
      </c>
      <c r="T137" s="74">
        <f t="shared" si="125"/>
        <v>0.69444444444444442</v>
      </c>
      <c r="U137" s="77">
        <f t="shared" si="126"/>
        <v>1.1944444444444444</v>
      </c>
      <c r="V137" s="74">
        <f t="shared" si="127"/>
        <v>0.33333333333333331</v>
      </c>
      <c r="W137" s="78">
        <f t="shared" si="128"/>
        <v>10.832222222222223</v>
      </c>
      <c r="X137" s="77">
        <f t="shared" si="129"/>
        <v>1.4853979365079359</v>
      </c>
      <c r="Y137" s="77">
        <f t="shared" si="130"/>
        <v>1.4853979365079359</v>
      </c>
      <c r="Z137" s="77">
        <f t="shared" si="131"/>
        <v>2.9642857142857141E-2</v>
      </c>
      <c r="AA137" s="77">
        <f t="shared" si="132"/>
        <v>0.74404761904761896</v>
      </c>
      <c r="AB137" s="77">
        <f t="shared" si="133"/>
        <v>0.70684523809523814</v>
      </c>
      <c r="AC137" s="77">
        <f t="shared" si="134"/>
        <v>0</v>
      </c>
      <c r="AD137" s="77">
        <f t="shared" si="135"/>
        <v>1.4805357142857143</v>
      </c>
      <c r="AE137" s="77">
        <f t="shared" si="136"/>
        <v>37.876431825396814</v>
      </c>
      <c r="AF137" s="77">
        <f t="shared" si="137"/>
        <v>37.876431825396814</v>
      </c>
      <c r="AG137" s="74"/>
      <c r="AH137" s="74"/>
      <c r="AI137" s="74"/>
      <c r="AJ137" s="74"/>
      <c r="AK137" s="74"/>
      <c r="AL137" s="77">
        <f t="shared" si="138"/>
        <v>0</v>
      </c>
      <c r="AM137" s="77">
        <f t="shared" si="139"/>
        <v>189.38215912698405</v>
      </c>
      <c r="AN137" s="77">
        <f t="shared" si="140"/>
        <v>2.2725859095238086</v>
      </c>
      <c r="AO137" s="77">
        <f t="shared" si="141"/>
        <v>2.0453273185714278</v>
      </c>
      <c r="AP137" s="77">
        <f t="shared" si="142"/>
        <v>4.3179132280952359</v>
      </c>
      <c r="AQ137" s="77">
        <f t="shared" si="143"/>
        <v>15.813410287103169</v>
      </c>
      <c r="AR137" s="77">
        <f t="shared" si="144"/>
        <v>0</v>
      </c>
      <c r="AS137" s="77">
        <f t="shared" si="145"/>
        <v>0</v>
      </c>
      <c r="AT137" s="77">
        <f t="shared" si="146"/>
        <v>15.813410287103169</v>
      </c>
      <c r="AU137" s="77">
        <f t="shared" si="147"/>
        <v>9.4691079563492035</v>
      </c>
      <c r="AV137" s="77">
        <f t="shared" si="148"/>
        <v>9.4691079563492035</v>
      </c>
      <c r="AW137" s="77">
        <f t="shared" si="149"/>
        <v>218.98259059853166</v>
      </c>
      <c r="AX137" s="21">
        <f t="shared" si="150"/>
        <v>-0.19673979781121712</v>
      </c>
      <c r="AY137" s="77">
        <f t="shared" si="78"/>
        <v>-43.082590598531652</v>
      </c>
      <c r="AZ137" s="79">
        <f>IFERROR(H137*VLOOKUP(A137,'Tabela de Produtos'!A:Q,17,0),0)</f>
        <v>140.45999999999998</v>
      </c>
      <c r="BA137" s="74">
        <f t="shared" si="151"/>
        <v>0</v>
      </c>
      <c r="BB137" s="74">
        <f t="shared" si="151"/>
        <v>0</v>
      </c>
      <c r="BC137" s="74">
        <f t="shared" si="151"/>
        <v>0</v>
      </c>
      <c r="BD137" s="74">
        <f t="shared" si="151"/>
        <v>12.313000000000002</v>
      </c>
      <c r="BE137" s="74">
        <f t="shared" si="79"/>
        <v>8.7949999999999999</v>
      </c>
      <c r="BF137" s="74">
        <f t="shared" si="80"/>
        <v>161.56799999999996</v>
      </c>
      <c r="BG137" s="74">
        <f t="shared" si="81"/>
        <v>14.33200000000005</v>
      </c>
      <c r="BH137" s="21">
        <f t="shared" si="82"/>
        <v>8.1478112563957081E-2</v>
      </c>
    </row>
    <row r="138" spans="1:60" ht="15.75" customHeight="1">
      <c r="A138" s="72" t="s">
        <v>205</v>
      </c>
      <c r="B138" s="2" t="str">
        <f>IFERROR(VLOOKUP(A138,'Tabela de Produtos'!A:B,2,0),"Preencher Cód. Produto")</f>
        <v>BRAZIMIL LÁTEX STANDARD INT/EXT SEMIBRILHO 15L FLAMINGO</v>
      </c>
      <c r="C138" s="2"/>
      <c r="D138" s="73" t="s">
        <v>40</v>
      </c>
      <c r="E138" s="73">
        <v>28</v>
      </c>
      <c r="F138" s="74">
        <f>IF(A138=0,0,VLOOKUP(A138,'Tabela de Produtos'!A:W,23,0))</f>
        <v>159.79</v>
      </c>
      <c r="G138" s="75">
        <v>175.9</v>
      </c>
      <c r="H138" s="76">
        <v>1</v>
      </c>
      <c r="I138" s="74">
        <f t="shared" si="77"/>
        <v>175.9</v>
      </c>
      <c r="J138" s="77">
        <f>VLOOKUP(B138,'Tabela de Produtos'!B:M,12,FALSE())</f>
        <v>127.35000000000001</v>
      </c>
      <c r="K138" s="77">
        <f>VLOOKUP(B138,'Tabela de Produtos'!B:P,15,FALSE())</f>
        <v>4.6500000000000004</v>
      </c>
      <c r="L138" s="77">
        <f t="shared" si="118"/>
        <v>1.2735000000000001</v>
      </c>
      <c r="M138" s="77">
        <f t="shared" si="119"/>
        <v>1.2735000000000001</v>
      </c>
      <c r="N138" s="78">
        <f t="shared" si="120"/>
        <v>134.54700000000003</v>
      </c>
      <c r="O138" s="77">
        <f t="shared" si="121"/>
        <v>1.2928571428571429</v>
      </c>
      <c r="P138" s="77">
        <f t="shared" si="122"/>
        <v>1.0103571428571427</v>
      </c>
      <c r="Q138" s="77">
        <f t="shared" si="123"/>
        <v>1.0103571428571427</v>
      </c>
      <c r="R138" s="78">
        <f t="shared" si="124"/>
        <v>3.3135714285714286</v>
      </c>
      <c r="S138" s="77">
        <f>VLOOKUP(B138,'Tabela de Produtos'!B:N,13,FALSE())</f>
        <v>8.61</v>
      </c>
      <c r="T138" s="74">
        <f t="shared" si="125"/>
        <v>0.69444444444444442</v>
      </c>
      <c r="U138" s="77">
        <f t="shared" si="126"/>
        <v>1.1944444444444444</v>
      </c>
      <c r="V138" s="74">
        <f t="shared" si="127"/>
        <v>0.33333333333333331</v>
      </c>
      <c r="W138" s="78">
        <f t="shared" si="128"/>
        <v>10.832222222222223</v>
      </c>
      <c r="X138" s="77">
        <f t="shared" si="129"/>
        <v>1.4869279365079369</v>
      </c>
      <c r="Y138" s="77">
        <f t="shared" si="130"/>
        <v>1.4869279365079369</v>
      </c>
      <c r="Z138" s="77">
        <f t="shared" si="131"/>
        <v>2.9642857142857141E-2</v>
      </c>
      <c r="AA138" s="77">
        <f t="shared" si="132"/>
        <v>0.74404761904761896</v>
      </c>
      <c r="AB138" s="77">
        <f t="shared" si="133"/>
        <v>0.70684523809523814</v>
      </c>
      <c r="AC138" s="77">
        <f t="shared" si="134"/>
        <v>0</v>
      </c>
      <c r="AD138" s="77">
        <f t="shared" si="135"/>
        <v>1.4805357142857143</v>
      </c>
      <c r="AE138" s="77">
        <f t="shared" si="136"/>
        <v>37.915064325396834</v>
      </c>
      <c r="AF138" s="77">
        <f t="shared" si="137"/>
        <v>37.915064325396834</v>
      </c>
      <c r="AG138" s="74"/>
      <c r="AH138" s="74"/>
      <c r="AI138" s="74"/>
      <c r="AJ138" s="74"/>
      <c r="AK138" s="74"/>
      <c r="AL138" s="77">
        <f t="shared" si="138"/>
        <v>0</v>
      </c>
      <c r="AM138" s="77">
        <f t="shared" si="139"/>
        <v>189.57532162698416</v>
      </c>
      <c r="AN138" s="77">
        <f t="shared" si="140"/>
        <v>2.27490385952381</v>
      </c>
      <c r="AO138" s="77">
        <f t="shared" si="141"/>
        <v>2.0474134735714289</v>
      </c>
      <c r="AP138" s="77">
        <f t="shared" si="142"/>
        <v>4.3223173330952385</v>
      </c>
      <c r="AQ138" s="77">
        <f t="shared" si="143"/>
        <v>15.829539355853179</v>
      </c>
      <c r="AR138" s="77">
        <f t="shared" si="144"/>
        <v>0</v>
      </c>
      <c r="AS138" s="77">
        <f t="shared" si="145"/>
        <v>0</v>
      </c>
      <c r="AT138" s="77">
        <f t="shared" si="146"/>
        <v>15.829539355853179</v>
      </c>
      <c r="AU138" s="77">
        <f t="shared" si="147"/>
        <v>9.4787660813492085</v>
      </c>
      <c r="AV138" s="77">
        <f t="shared" si="148"/>
        <v>9.4787660813492085</v>
      </c>
      <c r="AW138" s="77">
        <f t="shared" si="149"/>
        <v>219.2059443972818</v>
      </c>
      <c r="AX138" s="21">
        <f t="shared" si="150"/>
        <v>-0.19755825744759684</v>
      </c>
      <c r="AY138" s="77">
        <f t="shared" si="78"/>
        <v>-43.305944397281792</v>
      </c>
      <c r="AZ138" s="79">
        <f>IFERROR(H138*VLOOKUP(A138,'Tabela de Produtos'!A:Q,17,0),0)</f>
        <v>140.61000000000001</v>
      </c>
      <c r="BA138" s="74">
        <f t="shared" si="151"/>
        <v>0</v>
      </c>
      <c r="BB138" s="74">
        <f t="shared" si="151"/>
        <v>0</v>
      </c>
      <c r="BC138" s="74">
        <f t="shared" si="151"/>
        <v>0</v>
      </c>
      <c r="BD138" s="74">
        <f t="shared" si="151"/>
        <v>12.313000000000002</v>
      </c>
      <c r="BE138" s="74">
        <f t="shared" si="79"/>
        <v>8.7949999999999999</v>
      </c>
      <c r="BF138" s="74">
        <f t="shared" si="80"/>
        <v>161.71799999999999</v>
      </c>
      <c r="BG138" s="74">
        <f t="shared" si="81"/>
        <v>14.182000000000016</v>
      </c>
      <c r="BH138" s="21">
        <f t="shared" si="82"/>
        <v>8.0625355315520272E-2</v>
      </c>
    </row>
    <row r="139" spans="1:60" ht="15.75" customHeight="1">
      <c r="A139" s="72" t="s">
        <v>206</v>
      </c>
      <c r="B139" s="2" t="str">
        <f>IFERROR(VLOOKUP(A139,'Tabela de Produtos'!A:B,2,0),"Preencher Cód. Produto")</f>
        <v>BRAZIMIL LÁTEX STANDARD INT/EXT SEMIBRILHO 15L AREIA</v>
      </c>
      <c r="C139" s="2"/>
      <c r="D139" s="73" t="s">
        <v>40</v>
      </c>
      <c r="E139" s="73">
        <v>28</v>
      </c>
      <c r="F139" s="74">
        <f>IF(A139=0,0,VLOOKUP(A139,'Tabela de Produtos'!A:W,23,0))</f>
        <v>152.63</v>
      </c>
      <c r="G139" s="75">
        <v>175.9</v>
      </c>
      <c r="H139" s="76">
        <v>1</v>
      </c>
      <c r="I139" s="74">
        <f t="shared" si="77"/>
        <v>175.9</v>
      </c>
      <c r="J139" s="77">
        <f>VLOOKUP(B139,'Tabela de Produtos'!B:M,12,FALSE())</f>
        <v>121.05000000000001</v>
      </c>
      <c r="K139" s="77">
        <f>VLOOKUP(B139,'Tabela de Produtos'!B:P,15,FALSE())</f>
        <v>4.6500000000000004</v>
      </c>
      <c r="L139" s="77">
        <f t="shared" si="118"/>
        <v>1.2105000000000001</v>
      </c>
      <c r="M139" s="77">
        <f t="shared" si="119"/>
        <v>1.2105000000000001</v>
      </c>
      <c r="N139" s="78">
        <f t="shared" si="120"/>
        <v>128.12100000000001</v>
      </c>
      <c r="O139" s="77">
        <f t="shared" si="121"/>
        <v>1.2928571428571429</v>
      </c>
      <c r="P139" s="77">
        <f t="shared" si="122"/>
        <v>1.0103571428571427</v>
      </c>
      <c r="Q139" s="77">
        <f t="shared" si="123"/>
        <v>1.0103571428571427</v>
      </c>
      <c r="R139" s="78">
        <f t="shared" si="124"/>
        <v>3.3135714285714286</v>
      </c>
      <c r="S139" s="77">
        <f>VLOOKUP(B139,'Tabela de Produtos'!B:N,13,FALSE())</f>
        <v>8.61</v>
      </c>
      <c r="T139" s="74">
        <f t="shared" si="125"/>
        <v>0.69444444444444442</v>
      </c>
      <c r="U139" s="77">
        <f t="shared" si="126"/>
        <v>1.1944444444444444</v>
      </c>
      <c r="V139" s="74">
        <f t="shared" si="127"/>
        <v>0.33333333333333331</v>
      </c>
      <c r="W139" s="78">
        <f t="shared" si="128"/>
        <v>10.832222222222223</v>
      </c>
      <c r="X139" s="77">
        <f t="shared" si="129"/>
        <v>1.4226679365079367</v>
      </c>
      <c r="Y139" s="77">
        <f t="shared" si="130"/>
        <v>1.4226679365079367</v>
      </c>
      <c r="Z139" s="77">
        <f t="shared" si="131"/>
        <v>2.9642857142857141E-2</v>
      </c>
      <c r="AA139" s="77">
        <f t="shared" si="132"/>
        <v>0.74404761904761896</v>
      </c>
      <c r="AB139" s="77">
        <f t="shared" si="133"/>
        <v>0.70684523809523814</v>
      </c>
      <c r="AC139" s="77">
        <f t="shared" si="134"/>
        <v>0</v>
      </c>
      <c r="AD139" s="77">
        <f t="shared" si="135"/>
        <v>1.4805357142857143</v>
      </c>
      <c r="AE139" s="77">
        <f t="shared" si="136"/>
        <v>36.292499325396825</v>
      </c>
      <c r="AF139" s="77">
        <f t="shared" si="137"/>
        <v>36.292499325396825</v>
      </c>
      <c r="AG139" s="74"/>
      <c r="AH139" s="74"/>
      <c r="AI139" s="74"/>
      <c r="AJ139" s="74"/>
      <c r="AK139" s="74"/>
      <c r="AL139" s="77">
        <f t="shared" si="138"/>
        <v>0</v>
      </c>
      <c r="AM139" s="77">
        <f t="shared" si="139"/>
        <v>181.46249662698415</v>
      </c>
      <c r="AN139" s="77">
        <f t="shared" si="140"/>
        <v>2.1775499595238097</v>
      </c>
      <c r="AO139" s="77">
        <f t="shared" si="141"/>
        <v>1.9597949635714289</v>
      </c>
      <c r="AP139" s="77">
        <f t="shared" si="142"/>
        <v>4.1373449230952382</v>
      </c>
      <c r="AQ139" s="77">
        <f t="shared" si="143"/>
        <v>15.152118468353176</v>
      </c>
      <c r="AR139" s="77">
        <f t="shared" si="144"/>
        <v>0</v>
      </c>
      <c r="AS139" s="77">
        <f t="shared" si="145"/>
        <v>0</v>
      </c>
      <c r="AT139" s="77">
        <f t="shared" si="146"/>
        <v>15.152118468353176</v>
      </c>
      <c r="AU139" s="77">
        <f t="shared" si="147"/>
        <v>9.0731248313492081</v>
      </c>
      <c r="AV139" s="77">
        <f t="shared" si="148"/>
        <v>9.0731248313492081</v>
      </c>
      <c r="AW139" s="77">
        <f t="shared" si="149"/>
        <v>209.82508484978177</v>
      </c>
      <c r="AX139" s="21">
        <f t="shared" si="150"/>
        <v>-0.16168269334464683</v>
      </c>
      <c r="AY139" s="77">
        <f t="shared" si="78"/>
        <v>-33.925084849781769</v>
      </c>
      <c r="AZ139" s="79">
        <f>IFERROR(H139*VLOOKUP(A139,'Tabela de Produtos'!A:Q,17,0),0)</f>
        <v>134.31000000000003</v>
      </c>
      <c r="BA139" s="74">
        <f t="shared" si="151"/>
        <v>0</v>
      </c>
      <c r="BB139" s="74">
        <f t="shared" si="151"/>
        <v>0</v>
      </c>
      <c r="BC139" s="74">
        <f t="shared" si="151"/>
        <v>0</v>
      </c>
      <c r="BD139" s="74">
        <f t="shared" si="151"/>
        <v>12.313000000000002</v>
      </c>
      <c r="BE139" s="74">
        <f t="shared" si="79"/>
        <v>8.7949999999999999</v>
      </c>
      <c r="BF139" s="74">
        <f t="shared" si="80"/>
        <v>155.41800000000003</v>
      </c>
      <c r="BG139" s="74">
        <f t="shared" si="81"/>
        <v>20.481999999999971</v>
      </c>
      <c r="BH139" s="21">
        <f t="shared" si="82"/>
        <v>0.11644115974985771</v>
      </c>
    </row>
    <row r="140" spans="1:60" ht="15.75" customHeight="1">
      <c r="A140" s="72" t="s">
        <v>207</v>
      </c>
      <c r="B140" s="2" t="str">
        <f>IFERROR(VLOOKUP(A140,'Tabela de Produtos'!A:B,2,0),"Preencher Cód. Produto")</f>
        <v>BRAZIMIL LÁTEX STANDARD INT/EXT SEMIBRILHO 15L MARFIM</v>
      </c>
      <c r="C140" s="2"/>
      <c r="D140" s="73" t="s">
        <v>40</v>
      </c>
      <c r="E140" s="73">
        <v>28</v>
      </c>
      <c r="F140" s="74">
        <f>IF(A140=0,0,VLOOKUP(A140,'Tabela de Produtos'!A:W,23,0))</f>
        <v>160.29999999999998</v>
      </c>
      <c r="G140" s="75">
        <v>175.9</v>
      </c>
      <c r="H140" s="76">
        <v>1</v>
      </c>
      <c r="I140" s="74">
        <f t="shared" si="77"/>
        <v>175.9</v>
      </c>
      <c r="J140" s="77">
        <f>VLOOKUP(B140,'Tabela de Produtos'!B:M,12,FALSE())</f>
        <v>127.79999999999997</v>
      </c>
      <c r="K140" s="77">
        <f>VLOOKUP(B140,'Tabela de Produtos'!B:P,15,FALSE())</f>
        <v>4.6500000000000004</v>
      </c>
      <c r="L140" s="77">
        <f t="shared" si="118"/>
        <v>1.2779999999999998</v>
      </c>
      <c r="M140" s="77">
        <f t="shared" si="119"/>
        <v>1.2779999999999998</v>
      </c>
      <c r="N140" s="78">
        <f t="shared" si="120"/>
        <v>135.00599999999994</v>
      </c>
      <c r="O140" s="77">
        <f t="shared" si="121"/>
        <v>1.2928571428571429</v>
      </c>
      <c r="P140" s="77">
        <f t="shared" si="122"/>
        <v>1.0103571428571427</v>
      </c>
      <c r="Q140" s="77">
        <f t="shared" si="123"/>
        <v>1.0103571428571427</v>
      </c>
      <c r="R140" s="78">
        <f t="shared" si="124"/>
        <v>3.3135714285714286</v>
      </c>
      <c r="S140" s="77">
        <f>VLOOKUP(B140,'Tabela de Produtos'!B:N,13,FALSE())</f>
        <v>8.61</v>
      </c>
      <c r="T140" s="74">
        <f t="shared" si="125"/>
        <v>0.69444444444444442</v>
      </c>
      <c r="U140" s="77">
        <f t="shared" si="126"/>
        <v>1.1944444444444444</v>
      </c>
      <c r="V140" s="74">
        <f t="shared" si="127"/>
        <v>0.33333333333333331</v>
      </c>
      <c r="W140" s="78">
        <f t="shared" si="128"/>
        <v>10.832222222222223</v>
      </c>
      <c r="X140" s="77">
        <f t="shared" si="129"/>
        <v>1.4915179365079358</v>
      </c>
      <c r="Y140" s="77">
        <f t="shared" si="130"/>
        <v>1.4915179365079358</v>
      </c>
      <c r="Z140" s="77">
        <f t="shared" si="131"/>
        <v>2.9642857142857141E-2</v>
      </c>
      <c r="AA140" s="77">
        <f t="shared" si="132"/>
        <v>0.74404761904761896</v>
      </c>
      <c r="AB140" s="77">
        <f t="shared" si="133"/>
        <v>0.70684523809523814</v>
      </c>
      <c r="AC140" s="77">
        <f t="shared" si="134"/>
        <v>0</v>
      </c>
      <c r="AD140" s="77">
        <f t="shared" si="135"/>
        <v>1.4805357142857143</v>
      </c>
      <c r="AE140" s="77">
        <f t="shared" si="136"/>
        <v>38.030961825396808</v>
      </c>
      <c r="AF140" s="77">
        <f t="shared" si="137"/>
        <v>38.030961825396808</v>
      </c>
      <c r="AG140" s="74"/>
      <c r="AH140" s="74"/>
      <c r="AI140" s="74"/>
      <c r="AJ140" s="74"/>
      <c r="AK140" s="74"/>
      <c r="AL140" s="77">
        <f t="shared" si="138"/>
        <v>0</v>
      </c>
      <c r="AM140" s="77">
        <f t="shared" si="139"/>
        <v>190.15480912698405</v>
      </c>
      <c r="AN140" s="77">
        <f t="shared" si="140"/>
        <v>2.2818577095238086</v>
      </c>
      <c r="AO140" s="77">
        <f t="shared" si="141"/>
        <v>2.0536719385714277</v>
      </c>
      <c r="AP140" s="77">
        <f t="shared" si="142"/>
        <v>4.3355296480952363</v>
      </c>
      <c r="AQ140" s="77">
        <f t="shared" si="143"/>
        <v>15.87792656210317</v>
      </c>
      <c r="AR140" s="77">
        <f t="shared" si="144"/>
        <v>0</v>
      </c>
      <c r="AS140" s="77">
        <f t="shared" si="145"/>
        <v>0</v>
      </c>
      <c r="AT140" s="77">
        <f t="shared" si="146"/>
        <v>15.87792656210317</v>
      </c>
      <c r="AU140" s="77">
        <f t="shared" si="147"/>
        <v>9.5077404563492021</v>
      </c>
      <c r="AV140" s="77">
        <f t="shared" si="148"/>
        <v>9.5077404563492021</v>
      </c>
      <c r="AW140" s="77">
        <f t="shared" si="149"/>
        <v>219.87600579353168</v>
      </c>
      <c r="AX140" s="21">
        <f t="shared" si="150"/>
        <v>-0.20000365949355151</v>
      </c>
      <c r="AY140" s="77">
        <f t="shared" si="78"/>
        <v>-43.976005793531669</v>
      </c>
      <c r="AZ140" s="79">
        <f>IFERROR(H140*VLOOKUP(A140,'Tabela de Produtos'!A:Q,17,0),0)</f>
        <v>141.05999999999997</v>
      </c>
      <c r="BA140" s="74">
        <f t="shared" si="151"/>
        <v>0</v>
      </c>
      <c r="BB140" s="74">
        <f t="shared" si="151"/>
        <v>0</v>
      </c>
      <c r="BC140" s="74">
        <f t="shared" si="151"/>
        <v>0</v>
      </c>
      <c r="BD140" s="74">
        <f t="shared" si="151"/>
        <v>12.313000000000002</v>
      </c>
      <c r="BE140" s="74">
        <f t="shared" si="79"/>
        <v>8.7949999999999999</v>
      </c>
      <c r="BF140" s="74">
        <f t="shared" si="80"/>
        <v>162.16799999999998</v>
      </c>
      <c r="BG140" s="74">
        <f t="shared" si="81"/>
        <v>13.732000000000028</v>
      </c>
      <c r="BH140" s="21">
        <f t="shared" si="82"/>
        <v>7.8067083570210499E-2</v>
      </c>
    </row>
    <row r="141" spans="1:60" ht="15.75" customHeight="1">
      <c r="A141" s="72" t="s">
        <v>208</v>
      </c>
      <c r="B141" s="2" t="str">
        <f>IFERROR(VLOOKUP(A141,'Tabela de Produtos'!A:B,2,0),"Preencher Cód. Produto")</f>
        <v>BRAZIMIL LÁTEX STANDARD INT/EXT SEMIBRILHO 15L ROSA PETALA</v>
      </c>
      <c r="C141" s="2"/>
      <c r="D141" s="73" t="s">
        <v>40</v>
      </c>
      <c r="E141" s="73">
        <v>28</v>
      </c>
      <c r="F141" s="74">
        <f>IF(A141=0,0,VLOOKUP(A141,'Tabela de Produtos'!A:W,23,0))</f>
        <v>151.44</v>
      </c>
      <c r="G141" s="75">
        <v>175.9</v>
      </c>
      <c r="H141" s="76">
        <v>1</v>
      </c>
      <c r="I141" s="74">
        <f t="shared" si="77"/>
        <v>175.9</v>
      </c>
      <c r="J141" s="77">
        <f>VLOOKUP(B141,'Tabela de Produtos'!B:M,12,FALSE())</f>
        <v>119.99999999999999</v>
      </c>
      <c r="K141" s="77">
        <f>VLOOKUP(B141,'Tabela de Produtos'!B:P,15,FALSE())</f>
        <v>4.6500000000000004</v>
      </c>
      <c r="L141" s="77">
        <f t="shared" si="118"/>
        <v>1.2</v>
      </c>
      <c r="M141" s="77">
        <f t="shared" si="119"/>
        <v>1.2</v>
      </c>
      <c r="N141" s="78">
        <f t="shared" si="120"/>
        <v>127.05</v>
      </c>
      <c r="O141" s="77">
        <f t="shared" si="121"/>
        <v>1.2928571428571429</v>
      </c>
      <c r="P141" s="77">
        <f t="shared" si="122"/>
        <v>1.0103571428571427</v>
      </c>
      <c r="Q141" s="77">
        <f t="shared" si="123"/>
        <v>1.0103571428571427</v>
      </c>
      <c r="R141" s="78">
        <f t="shared" si="124"/>
        <v>3.3135714285714286</v>
      </c>
      <c r="S141" s="77">
        <f>VLOOKUP(B141,'Tabela de Produtos'!B:N,13,FALSE())</f>
        <v>8.61</v>
      </c>
      <c r="T141" s="74">
        <f t="shared" si="125"/>
        <v>0.69444444444444442</v>
      </c>
      <c r="U141" s="77">
        <f t="shared" si="126"/>
        <v>1.1944444444444444</v>
      </c>
      <c r="V141" s="74">
        <f t="shared" si="127"/>
        <v>0.33333333333333331</v>
      </c>
      <c r="W141" s="78">
        <f t="shared" si="128"/>
        <v>10.832222222222223</v>
      </c>
      <c r="X141" s="77">
        <f t="shared" si="129"/>
        <v>1.4119579365079364</v>
      </c>
      <c r="Y141" s="77">
        <f t="shared" si="130"/>
        <v>1.4119579365079364</v>
      </c>
      <c r="Z141" s="77">
        <f t="shared" si="131"/>
        <v>2.9642857142857141E-2</v>
      </c>
      <c r="AA141" s="77">
        <f t="shared" si="132"/>
        <v>0.74404761904761896</v>
      </c>
      <c r="AB141" s="77">
        <f t="shared" si="133"/>
        <v>0.70684523809523814</v>
      </c>
      <c r="AC141" s="77">
        <f t="shared" si="134"/>
        <v>0</v>
      </c>
      <c r="AD141" s="77">
        <f t="shared" si="135"/>
        <v>1.4805357142857143</v>
      </c>
      <c r="AE141" s="77">
        <f t="shared" si="136"/>
        <v>36.022071825396822</v>
      </c>
      <c r="AF141" s="77">
        <f t="shared" si="137"/>
        <v>36.022071825396822</v>
      </c>
      <c r="AG141" s="74"/>
      <c r="AH141" s="74"/>
      <c r="AI141" s="74"/>
      <c r="AJ141" s="74"/>
      <c r="AK141" s="74"/>
      <c r="AL141" s="77">
        <f t="shared" si="138"/>
        <v>0</v>
      </c>
      <c r="AM141" s="77">
        <f t="shared" si="139"/>
        <v>180.11035912698412</v>
      </c>
      <c r="AN141" s="77">
        <f t="shared" si="140"/>
        <v>2.1613243095238097</v>
      </c>
      <c r="AO141" s="77">
        <f t="shared" si="141"/>
        <v>1.9451918785714286</v>
      </c>
      <c r="AP141" s="77">
        <f t="shared" si="142"/>
        <v>4.1065161880952381</v>
      </c>
      <c r="AQ141" s="77">
        <f t="shared" si="143"/>
        <v>15.039214987103176</v>
      </c>
      <c r="AR141" s="77">
        <f t="shared" si="144"/>
        <v>0</v>
      </c>
      <c r="AS141" s="77">
        <f t="shared" si="145"/>
        <v>0</v>
      </c>
      <c r="AT141" s="77">
        <f t="shared" si="146"/>
        <v>15.039214987103176</v>
      </c>
      <c r="AU141" s="77">
        <f t="shared" si="147"/>
        <v>9.0055179563492072</v>
      </c>
      <c r="AV141" s="77">
        <f t="shared" si="148"/>
        <v>9.0055179563492072</v>
      </c>
      <c r="AW141" s="77">
        <f t="shared" si="149"/>
        <v>208.26160825853174</v>
      </c>
      <c r="AX141" s="21">
        <f t="shared" si="150"/>
        <v>-0.15538921709640641</v>
      </c>
      <c r="AY141" s="77">
        <f t="shared" si="78"/>
        <v>-32.361608258531732</v>
      </c>
      <c r="AZ141" s="79">
        <f>IFERROR(H141*VLOOKUP(A141,'Tabela de Produtos'!A:Q,17,0),0)</f>
        <v>133.26</v>
      </c>
      <c r="BA141" s="74">
        <f t="shared" si="151"/>
        <v>0</v>
      </c>
      <c r="BB141" s="74">
        <f t="shared" si="151"/>
        <v>0</v>
      </c>
      <c r="BC141" s="74">
        <f t="shared" si="151"/>
        <v>0</v>
      </c>
      <c r="BD141" s="74">
        <f t="shared" si="151"/>
        <v>12.313000000000002</v>
      </c>
      <c r="BE141" s="74">
        <f t="shared" si="79"/>
        <v>8.7949999999999999</v>
      </c>
      <c r="BF141" s="74">
        <f t="shared" si="80"/>
        <v>154.36799999999997</v>
      </c>
      <c r="BG141" s="74">
        <f t="shared" si="81"/>
        <v>21.532000000000039</v>
      </c>
      <c r="BH141" s="21">
        <f t="shared" si="82"/>
        <v>0.12241046048891438</v>
      </c>
    </row>
    <row r="142" spans="1:60" ht="15.75" customHeight="1">
      <c r="A142" s="72" t="s">
        <v>209</v>
      </c>
      <c r="B142" s="2" t="str">
        <f>IFERROR(VLOOKUP(A142,'Tabela de Produtos'!A:B,2,0),"Preencher Cód. Produto")</f>
        <v>BRAZIMIL LÁTEX STANDARD INT/EXT SEMIBRILHO 15L ACAI AMAZONICO</v>
      </c>
      <c r="C142" s="2"/>
      <c r="D142" s="73" t="s">
        <v>40</v>
      </c>
      <c r="E142" s="73">
        <v>28</v>
      </c>
      <c r="F142" s="74">
        <f>IF(A142=0,0,VLOOKUP(A142,'Tabela de Produtos'!A:W,23,0))</f>
        <v>138.47999999999999</v>
      </c>
      <c r="G142" s="75">
        <v>175.9</v>
      </c>
      <c r="H142" s="76">
        <v>1</v>
      </c>
      <c r="I142" s="74">
        <f t="shared" ref="I142:I205" si="152">G142*H142</f>
        <v>175.9</v>
      </c>
      <c r="J142" s="77">
        <f>VLOOKUP(B142,'Tabela de Produtos'!B:M,12,FALSE())</f>
        <v>108.60000000000001</v>
      </c>
      <c r="K142" s="77">
        <f>VLOOKUP(B142,'Tabela de Produtos'!B:P,15,FALSE())</f>
        <v>4.6500000000000004</v>
      </c>
      <c r="L142" s="77">
        <f t="shared" si="118"/>
        <v>1.0860000000000001</v>
      </c>
      <c r="M142" s="77">
        <f t="shared" si="119"/>
        <v>1.0860000000000001</v>
      </c>
      <c r="N142" s="78">
        <f t="shared" si="120"/>
        <v>115.42200000000001</v>
      </c>
      <c r="O142" s="77">
        <f t="shared" si="121"/>
        <v>1.2928571428571429</v>
      </c>
      <c r="P142" s="77">
        <f t="shared" si="122"/>
        <v>1.0103571428571427</v>
      </c>
      <c r="Q142" s="77">
        <f t="shared" si="123"/>
        <v>1.0103571428571427</v>
      </c>
      <c r="R142" s="78">
        <f t="shared" si="124"/>
        <v>3.3135714285714286</v>
      </c>
      <c r="S142" s="77">
        <f>VLOOKUP(B142,'Tabela de Produtos'!B:N,13,FALSE())</f>
        <v>8.61</v>
      </c>
      <c r="T142" s="74">
        <f t="shared" si="125"/>
        <v>0.69444444444444442</v>
      </c>
      <c r="U142" s="77">
        <f t="shared" si="126"/>
        <v>1.1944444444444444</v>
      </c>
      <c r="V142" s="74">
        <f t="shared" si="127"/>
        <v>0.33333333333333331</v>
      </c>
      <c r="W142" s="78">
        <f t="shared" si="128"/>
        <v>10.832222222222223</v>
      </c>
      <c r="X142" s="77">
        <f t="shared" si="129"/>
        <v>1.2956779365079365</v>
      </c>
      <c r="Y142" s="77">
        <f t="shared" si="130"/>
        <v>1.2956779365079365</v>
      </c>
      <c r="Z142" s="77">
        <f t="shared" si="131"/>
        <v>2.9642857142857141E-2</v>
      </c>
      <c r="AA142" s="77">
        <f t="shared" si="132"/>
        <v>0.74404761904761896</v>
      </c>
      <c r="AB142" s="77">
        <f t="shared" si="133"/>
        <v>0.70684523809523814</v>
      </c>
      <c r="AC142" s="77">
        <f t="shared" si="134"/>
        <v>0</v>
      </c>
      <c r="AD142" s="77">
        <f t="shared" si="135"/>
        <v>1.4805357142857143</v>
      </c>
      <c r="AE142" s="77">
        <f t="shared" si="136"/>
        <v>33.086001825396828</v>
      </c>
      <c r="AF142" s="77">
        <f t="shared" si="137"/>
        <v>33.086001825396828</v>
      </c>
      <c r="AG142" s="74"/>
      <c r="AH142" s="74"/>
      <c r="AI142" s="74"/>
      <c r="AJ142" s="74"/>
      <c r="AK142" s="74"/>
      <c r="AL142" s="77">
        <f t="shared" si="138"/>
        <v>0</v>
      </c>
      <c r="AM142" s="77">
        <f t="shared" si="139"/>
        <v>165.43000912698415</v>
      </c>
      <c r="AN142" s="77">
        <f t="shared" si="140"/>
        <v>1.9851601095238098</v>
      </c>
      <c r="AO142" s="77">
        <f t="shared" si="141"/>
        <v>1.7866440985714289</v>
      </c>
      <c r="AP142" s="77">
        <f t="shared" si="142"/>
        <v>3.7718042080952388</v>
      </c>
      <c r="AQ142" s="77">
        <f t="shared" si="143"/>
        <v>13.813405762103176</v>
      </c>
      <c r="AR142" s="77">
        <f t="shared" si="144"/>
        <v>0</v>
      </c>
      <c r="AS142" s="77">
        <f t="shared" si="145"/>
        <v>0</v>
      </c>
      <c r="AT142" s="77">
        <f t="shared" si="146"/>
        <v>13.813405762103176</v>
      </c>
      <c r="AU142" s="77">
        <f t="shared" si="147"/>
        <v>8.2715004563492069</v>
      </c>
      <c r="AV142" s="77">
        <f t="shared" si="148"/>
        <v>8.2715004563492069</v>
      </c>
      <c r="AW142" s="77">
        <f t="shared" si="149"/>
        <v>191.28671955353175</v>
      </c>
      <c r="AX142" s="21">
        <f t="shared" si="150"/>
        <v>-8.0437991667402509E-2</v>
      </c>
      <c r="AY142" s="77">
        <f t="shared" ref="AY142:AY205" si="153">I142-AW142</f>
        <v>-15.386719553531748</v>
      </c>
      <c r="AZ142" s="79">
        <f>IFERROR(H142*VLOOKUP(A142,'Tabela de Produtos'!A:Q,17,0),0)</f>
        <v>121.86000000000001</v>
      </c>
      <c r="BA142" s="74">
        <f t="shared" si="151"/>
        <v>0</v>
      </c>
      <c r="BB142" s="74">
        <f t="shared" si="151"/>
        <v>0</v>
      </c>
      <c r="BC142" s="74">
        <f t="shared" si="151"/>
        <v>0</v>
      </c>
      <c r="BD142" s="74">
        <f t="shared" si="151"/>
        <v>12.313000000000002</v>
      </c>
      <c r="BE142" s="74">
        <f t="shared" ref="BE142:BE205" si="154">I142*$BE$12</f>
        <v>8.7949999999999999</v>
      </c>
      <c r="BF142" s="74">
        <f t="shared" ref="BF142:BF205" si="155">SUM(AZ142:BE142)</f>
        <v>142.96799999999999</v>
      </c>
      <c r="BG142" s="74">
        <f t="shared" ref="BG142:BG205" si="156">I142-BF142</f>
        <v>32.932000000000016</v>
      </c>
      <c r="BH142" s="21">
        <f t="shared" ref="BH142:BH205" si="157">IF(F142="Cadastrar Ficha de Produção",0,IFERROR(BG142/I142,0))</f>
        <v>0.18722001137009672</v>
      </c>
    </row>
    <row r="143" spans="1:60" ht="15.75" customHeight="1">
      <c r="A143" s="72" t="s">
        <v>210</v>
      </c>
      <c r="B143" s="2" t="str">
        <f>IFERROR(VLOOKUP(A143,'Tabela de Produtos'!A:B,2,0),"Preencher Cód. Produto")</f>
        <v>BRAZIMIL LÁTEX STANDARD INT/EXT SEMIBRILHO 15L VERDE FOLHA</v>
      </c>
      <c r="C143" s="2"/>
      <c r="D143" s="73" t="s">
        <v>40</v>
      </c>
      <c r="E143" s="73">
        <v>28</v>
      </c>
      <c r="F143" s="74">
        <f>IF(A143=0,0,VLOOKUP(A143,'Tabela de Produtos'!A:W,23,0))</f>
        <v>150.23999999999998</v>
      </c>
      <c r="G143" s="75">
        <v>175.9</v>
      </c>
      <c r="H143" s="76">
        <v>1</v>
      </c>
      <c r="I143" s="74">
        <f t="shared" si="152"/>
        <v>175.9</v>
      </c>
      <c r="J143" s="77">
        <f>VLOOKUP(B143,'Tabela de Produtos'!B:M,12,FALSE())</f>
        <v>118.94999999999999</v>
      </c>
      <c r="K143" s="77">
        <f>VLOOKUP(B143,'Tabela de Produtos'!B:P,15,FALSE())</f>
        <v>4.6500000000000004</v>
      </c>
      <c r="L143" s="77">
        <f t="shared" si="118"/>
        <v>1.1895</v>
      </c>
      <c r="M143" s="77">
        <f t="shared" si="119"/>
        <v>1.1895</v>
      </c>
      <c r="N143" s="78">
        <f t="shared" si="120"/>
        <v>125.97899999999998</v>
      </c>
      <c r="O143" s="77">
        <f t="shared" si="121"/>
        <v>1.2928571428571429</v>
      </c>
      <c r="P143" s="77">
        <f t="shared" si="122"/>
        <v>1.0103571428571427</v>
      </c>
      <c r="Q143" s="77">
        <f t="shared" si="123"/>
        <v>1.0103571428571427</v>
      </c>
      <c r="R143" s="78">
        <f t="shared" si="124"/>
        <v>3.3135714285714286</v>
      </c>
      <c r="S143" s="77">
        <f>VLOOKUP(B143,'Tabela de Produtos'!B:N,13,FALSE())</f>
        <v>8.61</v>
      </c>
      <c r="T143" s="74">
        <f t="shared" si="125"/>
        <v>0.69444444444444442</v>
      </c>
      <c r="U143" s="77">
        <f t="shared" si="126"/>
        <v>1.1944444444444444</v>
      </c>
      <c r="V143" s="74">
        <f t="shared" si="127"/>
        <v>0.33333333333333331</v>
      </c>
      <c r="W143" s="78">
        <f t="shared" si="128"/>
        <v>10.832222222222223</v>
      </c>
      <c r="X143" s="77">
        <f t="shared" si="129"/>
        <v>1.4012479365079364</v>
      </c>
      <c r="Y143" s="77">
        <f t="shared" si="130"/>
        <v>1.4012479365079364</v>
      </c>
      <c r="Z143" s="77">
        <f t="shared" si="131"/>
        <v>2.9642857142857141E-2</v>
      </c>
      <c r="AA143" s="77">
        <f t="shared" si="132"/>
        <v>0.74404761904761896</v>
      </c>
      <c r="AB143" s="77">
        <f t="shared" si="133"/>
        <v>0.70684523809523814</v>
      </c>
      <c r="AC143" s="77">
        <f t="shared" si="134"/>
        <v>0</v>
      </c>
      <c r="AD143" s="77">
        <f t="shared" si="135"/>
        <v>1.4805357142857143</v>
      </c>
      <c r="AE143" s="77">
        <f t="shared" si="136"/>
        <v>35.751644325396825</v>
      </c>
      <c r="AF143" s="77">
        <f t="shared" si="137"/>
        <v>35.751644325396825</v>
      </c>
      <c r="AG143" s="74"/>
      <c r="AH143" s="74"/>
      <c r="AI143" s="74"/>
      <c r="AJ143" s="74"/>
      <c r="AK143" s="74"/>
      <c r="AL143" s="77">
        <f t="shared" si="138"/>
        <v>0</v>
      </c>
      <c r="AM143" s="77">
        <f t="shared" si="139"/>
        <v>178.7582216269841</v>
      </c>
      <c r="AN143" s="77">
        <f t="shared" si="140"/>
        <v>2.1450986595238093</v>
      </c>
      <c r="AO143" s="77">
        <f t="shared" si="141"/>
        <v>1.9305887935714283</v>
      </c>
      <c r="AP143" s="77">
        <f t="shared" si="142"/>
        <v>4.0756874530952381</v>
      </c>
      <c r="AQ143" s="77">
        <f t="shared" si="143"/>
        <v>14.926311505853173</v>
      </c>
      <c r="AR143" s="77">
        <f t="shared" si="144"/>
        <v>0</v>
      </c>
      <c r="AS143" s="77">
        <f t="shared" si="145"/>
        <v>0</v>
      </c>
      <c r="AT143" s="77">
        <f t="shared" si="146"/>
        <v>14.926311505853173</v>
      </c>
      <c r="AU143" s="77">
        <f t="shared" si="147"/>
        <v>8.9379110813492044</v>
      </c>
      <c r="AV143" s="77">
        <f t="shared" si="148"/>
        <v>8.9379110813492044</v>
      </c>
      <c r="AW143" s="77">
        <f t="shared" si="149"/>
        <v>206.6981316672817</v>
      </c>
      <c r="AX143" s="21">
        <f t="shared" si="150"/>
        <v>-0.14900053241340805</v>
      </c>
      <c r="AY143" s="77">
        <f t="shared" si="153"/>
        <v>-30.798131667281694</v>
      </c>
      <c r="AZ143" s="79">
        <f>IFERROR(H143*VLOOKUP(A143,'Tabela de Produtos'!A:Q,17,0),0)</f>
        <v>132.20999999999998</v>
      </c>
      <c r="BA143" s="74">
        <f t="shared" si="151"/>
        <v>0</v>
      </c>
      <c r="BB143" s="74">
        <f t="shared" si="151"/>
        <v>0</v>
      </c>
      <c r="BC143" s="74">
        <f t="shared" si="151"/>
        <v>0</v>
      </c>
      <c r="BD143" s="74">
        <f t="shared" si="151"/>
        <v>12.313000000000002</v>
      </c>
      <c r="BE143" s="74">
        <f t="shared" si="154"/>
        <v>8.7949999999999999</v>
      </c>
      <c r="BF143" s="74">
        <f t="shared" si="155"/>
        <v>153.31799999999996</v>
      </c>
      <c r="BG143" s="74">
        <f t="shared" si="156"/>
        <v>22.58200000000005</v>
      </c>
      <c r="BH143" s="21">
        <f t="shared" si="157"/>
        <v>0.12837976122797071</v>
      </c>
    </row>
    <row r="144" spans="1:60" ht="15.75" customHeight="1">
      <c r="A144" s="72" t="s">
        <v>211</v>
      </c>
      <c r="B144" s="2" t="str">
        <f>IFERROR(VLOOKUP(A144,'Tabela de Produtos'!A:B,2,0),"Preencher Cód. Produto")</f>
        <v>BRAZIMIL LÁTEX STANDARD INT/EXT SEMIBRILHO 15L LARANJA</v>
      </c>
      <c r="C144" s="2"/>
      <c r="D144" s="73" t="s">
        <v>40</v>
      </c>
      <c r="E144" s="73">
        <v>28</v>
      </c>
      <c r="F144" s="74">
        <f>IF(A144=0,0,VLOOKUP(A144,'Tabela de Produtos'!A:W,23,0))</f>
        <v>147.35</v>
      </c>
      <c r="G144" s="75">
        <v>175.9</v>
      </c>
      <c r="H144" s="76">
        <v>1</v>
      </c>
      <c r="I144" s="74">
        <f t="shared" si="152"/>
        <v>175.9</v>
      </c>
      <c r="J144" s="77">
        <f>VLOOKUP(B144,'Tabela de Produtos'!B:M,12,FALSE())</f>
        <v>116.39999999999998</v>
      </c>
      <c r="K144" s="77">
        <f>VLOOKUP(B144,'Tabela de Produtos'!B:P,15,FALSE())</f>
        <v>4.6500000000000004</v>
      </c>
      <c r="L144" s="77">
        <f t="shared" si="118"/>
        <v>1.1639999999999997</v>
      </c>
      <c r="M144" s="77">
        <f t="shared" si="119"/>
        <v>1.1639999999999997</v>
      </c>
      <c r="N144" s="78">
        <f t="shared" si="120"/>
        <v>123.37799999999999</v>
      </c>
      <c r="O144" s="77">
        <f t="shared" si="121"/>
        <v>1.2928571428571429</v>
      </c>
      <c r="P144" s="77">
        <f t="shared" si="122"/>
        <v>1.0103571428571427</v>
      </c>
      <c r="Q144" s="77">
        <f t="shared" si="123"/>
        <v>1.0103571428571427</v>
      </c>
      <c r="R144" s="78">
        <f t="shared" si="124"/>
        <v>3.3135714285714286</v>
      </c>
      <c r="S144" s="77">
        <f>VLOOKUP(B144,'Tabela de Produtos'!B:N,13,FALSE())</f>
        <v>8.61</v>
      </c>
      <c r="T144" s="74">
        <f t="shared" si="125"/>
        <v>0.69444444444444442</v>
      </c>
      <c r="U144" s="77">
        <f t="shared" si="126"/>
        <v>1.1944444444444444</v>
      </c>
      <c r="V144" s="74">
        <f t="shared" si="127"/>
        <v>0.33333333333333331</v>
      </c>
      <c r="W144" s="78">
        <f t="shared" si="128"/>
        <v>10.832222222222223</v>
      </c>
      <c r="X144" s="77">
        <f t="shared" si="129"/>
        <v>1.3752379365079364</v>
      </c>
      <c r="Y144" s="77">
        <f t="shared" si="130"/>
        <v>1.3752379365079364</v>
      </c>
      <c r="Z144" s="77">
        <f t="shared" si="131"/>
        <v>2.9642857142857141E-2</v>
      </c>
      <c r="AA144" s="77">
        <f t="shared" si="132"/>
        <v>0.74404761904761896</v>
      </c>
      <c r="AB144" s="77">
        <f t="shared" si="133"/>
        <v>0.70684523809523814</v>
      </c>
      <c r="AC144" s="77">
        <f t="shared" si="134"/>
        <v>0</v>
      </c>
      <c r="AD144" s="77">
        <f t="shared" si="135"/>
        <v>1.4805357142857143</v>
      </c>
      <c r="AE144" s="77">
        <f t="shared" si="136"/>
        <v>35.094891825396822</v>
      </c>
      <c r="AF144" s="77">
        <f t="shared" si="137"/>
        <v>35.094891825396822</v>
      </c>
      <c r="AG144" s="74"/>
      <c r="AH144" s="74"/>
      <c r="AI144" s="74"/>
      <c r="AJ144" s="74"/>
      <c r="AK144" s="74"/>
      <c r="AL144" s="77">
        <f t="shared" si="138"/>
        <v>0</v>
      </c>
      <c r="AM144" s="77">
        <f t="shared" si="139"/>
        <v>175.4744591269841</v>
      </c>
      <c r="AN144" s="77">
        <f t="shared" si="140"/>
        <v>2.1056935095238094</v>
      </c>
      <c r="AO144" s="77">
        <f t="shared" si="141"/>
        <v>1.8951241585714285</v>
      </c>
      <c r="AP144" s="77">
        <f t="shared" si="142"/>
        <v>4.0008176680952374</v>
      </c>
      <c r="AQ144" s="77">
        <f t="shared" si="143"/>
        <v>14.652117337103173</v>
      </c>
      <c r="AR144" s="77">
        <f t="shared" si="144"/>
        <v>0</v>
      </c>
      <c r="AS144" s="77">
        <f t="shared" si="145"/>
        <v>0</v>
      </c>
      <c r="AT144" s="77">
        <f t="shared" si="146"/>
        <v>14.652117337103173</v>
      </c>
      <c r="AU144" s="77">
        <f t="shared" si="147"/>
        <v>8.7737229563492054</v>
      </c>
      <c r="AV144" s="77">
        <f t="shared" si="148"/>
        <v>8.7737229563492054</v>
      </c>
      <c r="AW144" s="77">
        <f t="shared" si="149"/>
        <v>202.90111708853172</v>
      </c>
      <c r="AX144" s="21">
        <f t="shared" si="150"/>
        <v>-0.13307525101870352</v>
      </c>
      <c r="AY144" s="77">
        <f t="shared" si="153"/>
        <v>-27.001117088531714</v>
      </c>
      <c r="AZ144" s="79">
        <f>IFERROR(H144*VLOOKUP(A144,'Tabela de Produtos'!A:Q,17,0),0)</f>
        <v>129.65999999999997</v>
      </c>
      <c r="BA144" s="74">
        <f t="shared" si="151"/>
        <v>0</v>
      </c>
      <c r="BB144" s="74">
        <f t="shared" si="151"/>
        <v>0</v>
      </c>
      <c r="BC144" s="74">
        <f t="shared" si="151"/>
        <v>0</v>
      </c>
      <c r="BD144" s="74">
        <f t="shared" si="151"/>
        <v>12.313000000000002</v>
      </c>
      <c r="BE144" s="74">
        <f t="shared" si="154"/>
        <v>8.7949999999999999</v>
      </c>
      <c r="BF144" s="74">
        <f t="shared" si="155"/>
        <v>150.76799999999994</v>
      </c>
      <c r="BG144" s="74">
        <f t="shared" si="156"/>
        <v>25.132000000000062</v>
      </c>
      <c r="BH144" s="21">
        <f t="shared" si="157"/>
        <v>0.14287663445139318</v>
      </c>
    </row>
    <row r="145" spans="1:60" ht="15.75" customHeight="1">
      <c r="A145" s="72" t="s">
        <v>212</v>
      </c>
      <c r="B145" s="2" t="str">
        <f>IFERROR(VLOOKUP(A145,'Tabela de Produtos'!A:B,2,0),"Preencher Cód. Produto")</f>
        <v>BRAZIMIL LÁTEX STANDARD INT/EXT SEMIBRILHO 15L AZUL CARIBE</v>
      </c>
      <c r="C145" s="2"/>
      <c r="D145" s="73" t="s">
        <v>40</v>
      </c>
      <c r="E145" s="73">
        <v>28</v>
      </c>
      <c r="F145" s="74">
        <f>IF(A145=0,0,VLOOKUP(A145,'Tabela de Produtos'!A:W,23,0))</f>
        <v>152.97</v>
      </c>
      <c r="G145" s="75">
        <v>175.9</v>
      </c>
      <c r="H145" s="76">
        <v>1</v>
      </c>
      <c r="I145" s="74">
        <f t="shared" si="152"/>
        <v>175.9</v>
      </c>
      <c r="J145" s="77">
        <f>VLOOKUP(B145,'Tabela de Produtos'!B:M,12,FALSE())</f>
        <v>121.35</v>
      </c>
      <c r="K145" s="77">
        <f>VLOOKUP(B145,'Tabela de Produtos'!B:P,15,FALSE())</f>
        <v>4.6500000000000004</v>
      </c>
      <c r="L145" s="77">
        <f t="shared" si="118"/>
        <v>1.2135</v>
      </c>
      <c r="M145" s="77">
        <f t="shared" si="119"/>
        <v>1.2135</v>
      </c>
      <c r="N145" s="78">
        <f t="shared" si="120"/>
        <v>128.42699999999999</v>
      </c>
      <c r="O145" s="77">
        <f t="shared" si="121"/>
        <v>1.2928571428571429</v>
      </c>
      <c r="P145" s="77">
        <f t="shared" si="122"/>
        <v>1.0103571428571427</v>
      </c>
      <c r="Q145" s="77">
        <f t="shared" si="123"/>
        <v>1.0103571428571427</v>
      </c>
      <c r="R145" s="78">
        <f t="shared" si="124"/>
        <v>3.3135714285714286</v>
      </c>
      <c r="S145" s="77">
        <f>VLOOKUP(B145,'Tabela de Produtos'!B:N,13,FALSE())</f>
        <v>8.61</v>
      </c>
      <c r="T145" s="74">
        <f t="shared" si="125"/>
        <v>0.69444444444444442</v>
      </c>
      <c r="U145" s="77">
        <f t="shared" si="126"/>
        <v>1.1944444444444444</v>
      </c>
      <c r="V145" s="74">
        <f t="shared" si="127"/>
        <v>0.33333333333333331</v>
      </c>
      <c r="W145" s="78">
        <f t="shared" si="128"/>
        <v>10.832222222222223</v>
      </c>
      <c r="X145" s="77">
        <f t="shared" si="129"/>
        <v>1.4257279365079365</v>
      </c>
      <c r="Y145" s="77">
        <f t="shared" si="130"/>
        <v>1.4257279365079365</v>
      </c>
      <c r="Z145" s="77">
        <f t="shared" si="131"/>
        <v>2.9642857142857141E-2</v>
      </c>
      <c r="AA145" s="77">
        <f t="shared" si="132"/>
        <v>0.74404761904761896</v>
      </c>
      <c r="AB145" s="77">
        <f t="shared" si="133"/>
        <v>0.70684523809523814</v>
      </c>
      <c r="AC145" s="77">
        <f t="shared" si="134"/>
        <v>0</v>
      </c>
      <c r="AD145" s="77">
        <f t="shared" si="135"/>
        <v>1.4805357142857143</v>
      </c>
      <c r="AE145" s="77">
        <f t="shared" si="136"/>
        <v>36.369764325396822</v>
      </c>
      <c r="AF145" s="77">
        <f t="shared" si="137"/>
        <v>36.369764325396822</v>
      </c>
      <c r="AG145" s="74"/>
      <c r="AH145" s="74"/>
      <c r="AI145" s="74"/>
      <c r="AJ145" s="74"/>
      <c r="AK145" s="74"/>
      <c r="AL145" s="77">
        <f t="shared" si="138"/>
        <v>0</v>
      </c>
      <c r="AM145" s="77">
        <f t="shared" si="139"/>
        <v>181.84882162698412</v>
      </c>
      <c r="AN145" s="77">
        <f t="shared" si="140"/>
        <v>2.1821858595238095</v>
      </c>
      <c r="AO145" s="77">
        <f t="shared" si="141"/>
        <v>1.9639672735714286</v>
      </c>
      <c r="AP145" s="77">
        <f t="shared" si="142"/>
        <v>4.1461531330952379</v>
      </c>
      <c r="AQ145" s="77">
        <f t="shared" si="143"/>
        <v>15.184376605853174</v>
      </c>
      <c r="AR145" s="77">
        <f t="shared" si="144"/>
        <v>0</v>
      </c>
      <c r="AS145" s="77">
        <f t="shared" si="145"/>
        <v>0</v>
      </c>
      <c r="AT145" s="77">
        <f t="shared" si="146"/>
        <v>15.184376605853174</v>
      </c>
      <c r="AU145" s="77">
        <f t="shared" si="147"/>
        <v>9.0924410813492056</v>
      </c>
      <c r="AV145" s="77">
        <f t="shared" si="148"/>
        <v>9.0924410813492056</v>
      </c>
      <c r="AW145" s="77">
        <f t="shared" si="149"/>
        <v>210.27179244728171</v>
      </c>
      <c r="AX145" s="21">
        <f t="shared" si="150"/>
        <v>-0.16346363935571259</v>
      </c>
      <c r="AY145" s="77">
        <f t="shared" si="153"/>
        <v>-34.371792447281706</v>
      </c>
      <c r="AZ145" s="79">
        <f>IFERROR(H145*VLOOKUP(A145,'Tabela de Produtos'!A:Q,17,0),0)</f>
        <v>134.60999999999999</v>
      </c>
      <c r="BA145" s="74">
        <f t="shared" si="151"/>
        <v>0</v>
      </c>
      <c r="BB145" s="74">
        <f t="shared" si="151"/>
        <v>0</v>
      </c>
      <c r="BC145" s="74">
        <f t="shared" si="151"/>
        <v>0</v>
      </c>
      <c r="BD145" s="74">
        <f t="shared" si="151"/>
        <v>12.313000000000002</v>
      </c>
      <c r="BE145" s="74">
        <f t="shared" si="154"/>
        <v>8.7949999999999999</v>
      </c>
      <c r="BF145" s="74">
        <f t="shared" si="155"/>
        <v>155.71799999999999</v>
      </c>
      <c r="BG145" s="74">
        <f t="shared" si="156"/>
        <v>20.182000000000016</v>
      </c>
      <c r="BH145" s="21">
        <f t="shared" si="157"/>
        <v>0.11473564525298474</v>
      </c>
    </row>
    <row r="146" spans="1:60" ht="15.75" customHeight="1">
      <c r="A146" s="72" t="s">
        <v>213</v>
      </c>
      <c r="B146" s="2" t="str">
        <f>IFERROR(VLOOKUP(A146,'Tabela de Produtos'!A:B,2,0),"Preencher Cód. Produto")</f>
        <v>BRAZIMIL LÁTEX STANDARD INT/EXT SEMIBRILHO 15L VERDE LIMA</v>
      </c>
      <c r="C146" s="2"/>
      <c r="D146" s="73" t="s">
        <v>40</v>
      </c>
      <c r="E146" s="73">
        <v>28</v>
      </c>
      <c r="F146" s="74">
        <f>IF(A146=0,0,VLOOKUP(A146,'Tabela de Produtos'!A:W,23,0))</f>
        <v>152.97</v>
      </c>
      <c r="G146" s="75">
        <v>175.9</v>
      </c>
      <c r="H146" s="76">
        <v>1</v>
      </c>
      <c r="I146" s="74">
        <f t="shared" si="152"/>
        <v>175.9</v>
      </c>
      <c r="J146" s="77">
        <f>VLOOKUP(B146,'Tabela de Produtos'!B:M,12,FALSE())</f>
        <v>121.35</v>
      </c>
      <c r="K146" s="77">
        <f>VLOOKUP(B146,'Tabela de Produtos'!B:P,15,FALSE())</f>
        <v>4.6500000000000004</v>
      </c>
      <c r="L146" s="77">
        <f t="shared" si="118"/>
        <v>1.2135</v>
      </c>
      <c r="M146" s="77">
        <f t="shared" si="119"/>
        <v>1.2135</v>
      </c>
      <c r="N146" s="78">
        <f t="shared" si="120"/>
        <v>128.42699999999999</v>
      </c>
      <c r="O146" s="77">
        <f t="shared" si="121"/>
        <v>1.2928571428571429</v>
      </c>
      <c r="P146" s="77">
        <f t="shared" si="122"/>
        <v>1.0103571428571427</v>
      </c>
      <c r="Q146" s="77">
        <f t="shared" si="123"/>
        <v>1.0103571428571427</v>
      </c>
      <c r="R146" s="78">
        <f t="shared" si="124"/>
        <v>3.3135714285714286</v>
      </c>
      <c r="S146" s="77">
        <f>VLOOKUP(B146,'Tabela de Produtos'!B:N,13,FALSE())</f>
        <v>8.61</v>
      </c>
      <c r="T146" s="74">
        <f t="shared" si="125"/>
        <v>0.69444444444444442</v>
      </c>
      <c r="U146" s="77">
        <f t="shared" si="126"/>
        <v>1.1944444444444444</v>
      </c>
      <c r="V146" s="74">
        <f t="shared" si="127"/>
        <v>0.33333333333333331</v>
      </c>
      <c r="W146" s="78">
        <f t="shared" si="128"/>
        <v>10.832222222222223</v>
      </c>
      <c r="X146" s="77">
        <f t="shared" si="129"/>
        <v>1.4257279365079365</v>
      </c>
      <c r="Y146" s="77">
        <f t="shared" si="130"/>
        <v>1.4257279365079365</v>
      </c>
      <c r="Z146" s="77">
        <f t="shared" si="131"/>
        <v>2.9642857142857141E-2</v>
      </c>
      <c r="AA146" s="77">
        <f t="shared" si="132"/>
        <v>0.74404761904761896</v>
      </c>
      <c r="AB146" s="77">
        <f t="shared" si="133"/>
        <v>0.70684523809523814</v>
      </c>
      <c r="AC146" s="77">
        <f t="shared" si="134"/>
        <v>0</v>
      </c>
      <c r="AD146" s="77">
        <f t="shared" si="135"/>
        <v>1.4805357142857143</v>
      </c>
      <c r="AE146" s="77">
        <f t="shared" si="136"/>
        <v>36.369764325396822</v>
      </c>
      <c r="AF146" s="77">
        <f t="shared" si="137"/>
        <v>36.369764325396822</v>
      </c>
      <c r="AG146" s="74"/>
      <c r="AH146" s="74"/>
      <c r="AI146" s="74"/>
      <c r="AJ146" s="74"/>
      <c r="AK146" s="74"/>
      <c r="AL146" s="77">
        <f t="shared" si="138"/>
        <v>0</v>
      </c>
      <c r="AM146" s="77">
        <f t="shared" si="139"/>
        <v>181.84882162698412</v>
      </c>
      <c r="AN146" s="77">
        <f t="shared" si="140"/>
        <v>2.1821858595238095</v>
      </c>
      <c r="AO146" s="77">
        <f t="shared" si="141"/>
        <v>1.9639672735714286</v>
      </c>
      <c r="AP146" s="77">
        <f t="shared" si="142"/>
        <v>4.1461531330952379</v>
      </c>
      <c r="AQ146" s="77">
        <f t="shared" si="143"/>
        <v>15.184376605853174</v>
      </c>
      <c r="AR146" s="77">
        <f t="shared" si="144"/>
        <v>0</v>
      </c>
      <c r="AS146" s="77">
        <f t="shared" si="145"/>
        <v>0</v>
      </c>
      <c r="AT146" s="77">
        <f t="shared" si="146"/>
        <v>15.184376605853174</v>
      </c>
      <c r="AU146" s="77">
        <f t="shared" si="147"/>
        <v>9.0924410813492056</v>
      </c>
      <c r="AV146" s="77">
        <f t="shared" si="148"/>
        <v>9.0924410813492056</v>
      </c>
      <c r="AW146" s="77">
        <f t="shared" si="149"/>
        <v>210.27179244728171</v>
      </c>
      <c r="AX146" s="21">
        <f t="shared" si="150"/>
        <v>-0.16346363935571259</v>
      </c>
      <c r="AY146" s="77">
        <f t="shared" si="153"/>
        <v>-34.371792447281706</v>
      </c>
      <c r="AZ146" s="79">
        <f>IFERROR(H146*VLOOKUP(A146,'Tabela de Produtos'!A:Q,17,0),0)</f>
        <v>134.60999999999999</v>
      </c>
      <c r="BA146" s="74">
        <f t="shared" si="151"/>
        <v>0</v>
      </c>
      <c r="BB146" s="74">
        <f t="shared" si="151"/>
        <v>0</v>
      </c>
      <c r="BC146" s="74">
        <f t="shared" si="151"/>
        <v>0</v>
      </c>
      <c r="BD146" s="74">
        <f t="shared" si="151"/>
        <v>12.313000000000002</v>
      </c>
      <c r="BE146" s="74">
        <f t="shared" si="154"/>
        <v>8.7949999999999999</v>
      </c>
      <c r="BF146" s="74">
        <f t="shared" si="155"/>
        <v>155.71799999999999</v>
      </c>
      <c r="BG146" s="74">
        <f t="shared" si="156"/>
        <v>20.182000000000016</v>
      </c>
      <c r="BH146" s="21">
        <f t="shared" si="157"/>
        <v>0.11473564525298474</v>
      </c>
    </row>
    <row r="147" spans="1:60" ht="15.75" customHeight="1">
      <c r="A147" s="72" t="s">
        <v>214</v>
      </c>
      <c r="B147" s="2" t="str">
        <f>IFERROR(VLOOKUP(A147,'Tabela de Produtos'!A:B,2,0),"Preencher Cód. Produto")</f>
        <v>BRAZIMIL LÁTEX STANDARD INT/EXT SEMIBRILHO 15L PEROLA</v>
      </c>
      <c r="C147" s="2"/>
      <c r="D147" s="73" t="s">
        <v>40</v>
      </c>
      <c r="E147" s="73">
        <v>28</v>
      </c>
      <c r="F147" s="74">
        <f>IF(A147=0,0,VLOOKUP(A147,'Tabela de Produtos'!A:W,23,0))</f>
        <v>159.95999999999998</v>
      </c>
      <c r="G147" s="75">
        <v>175.9</v>
      </c>
      <c r="H147" s="76">
        <v>1</v>
      </c>
      <c r="I147" s="74">
        <f t="shared" si="152"/>
        <v>175.9</v>
      </c>
      <c r="J147" s="77">
        <f>VLOOKUP(B147,'Tabela de Produtos'!B:M,12,FALSE())</f>
        <v>127.5</v>
      </c>
      <c r="K147" s="77">
        <f>VLOOKUP(B147,'Tabela de Produtos'!B:P,15,FALSE())</f>
        <v>4.6500000000000004</v>
      </c>
      <c r="L147" s="77">
        <f t="shared" si="118"/>
        <v>1.2750000000000001</v>
      </c>
      <c r="M147" s="77">
        <f t="shared" si="119"/>
        <v>1.2750000000000001</v>
      </c>
      <c r="N147" s="78">
        <f t="shared" si="120"/>
        <v>134.70000000000002</v>
      </c>
      <c r="O147" s="77">
        <f t="shared" si="121"/>
        <v>1.2928571428571429</v>
      </c>
      <c r="P147" s="77">
        <f t="shared" si="122"/>
        <v>1.0103571428571427</v>
      </c>
      <c r="Q147" s="77">
        <f t="shared" si="123"/>
        <v>1.0103571428571427</v>
      </c>
      <c r="R147" s="78">
        <f t="shared" si="124"/>
        <v>3.3135714285714286</v>
      </c>
      <c r="S147" s="77">
        <f>VLOOKUP(B147,'Tabela de Produtos'!B:N,13,FALSE())</f>
        <v>8.61</v>
      </c>
      <c r="T147" s="74">
        <f t="shared" si="125"/>
        <v>0.69444444444444442</v>
      </c>
      <c r="U147" s="77">
        <f t="shared" si="126"/>
        <v>1.1944444444444444</v>
      </c>
      <c r="V147" s="74">
        <f t="shared" si="127"/>
        <v>0.33333333333333331</v>
      </c>
      <c r="W147" s="78">
        <f t="shared" si="128"/>
        <v>10.832222222222223</v>
      </c>
      <c r="X147" s="77">
        <f t="shared" si="129"/>
        <v>1.4884579365079367</v>
      </c>
      <c r="Y147" s="77">
        <f t="shared" si="130"/>
        <v>1.4884579365079367</v>
      </c>
      <c r="Z147" s="77">
        <f t="shared" si="131"/>
        <v>2.9642857142857141E-2</v>
      </c>
      <c r="AA147" s="77">
        <f t="shared" si="132"/>
        <v>0.74404761904761896</v>
      </c>
      <c r="AB147" s="77">
        <f t="shared" si="133"/>
        <v>0.70684523809523814</v>
      </c>
      <c r="AC147" s="77">
        <f t="shared" si="134"/>
        <v>0</v>
      </c>
      <c r="AD147" s="77">
        <f t="shared" si="135"/>
        <v>1.4805357142857143</v>
      </c>
      <c r="AE147" s="77">
        <f t="shared" si="136"/>
        <v>37.953696825396833</v>
      </c>
      <c r="AF147" s="77">
        <f t="shared" si="137"/>
        <v>37.953696825396833</v>
      </c>
      <c r="AG147" s="74"/>
      <c r="AH147" s="74"/>
      <c r="AI147" s="74"/>
      <c r="AJ147" s="74"/>
      <c r="AK147" s="74"/>
      <c r="AL147" s="77">
        <f t="shared" si="138"/>
        <v>0</v>
      </c>
      <c r="AM147" s="77">
        <f t="shared" si="139"/>
        <v>189.76848412698416</v>
      </c>
      <c r="AN147" s="77">
        <f t="shared" si="140"/>
        <v>2.2772218095238101</v>
      </c>
      <c r="AO147" s="77">
        <f t="shared" si="141"/>
        <v>2.0494996285714291</v>
      </c>
      <c r="AP147" s="77">
        <f t="shared" si="142"/>
        <v>4.3267214380952392</v>
      </c>
      <c r="AQ147" s="77">
        <f t="shared" si="143"/>
        <v>15.845668424603179</v>
      </c>
      <c r="AR147" s="77">
        <f t="shared" si="144"/>
        <v>0</v>
      </c>
      <c r="AS147" s="77">
        <f t="shared" si="145"/>
        <v>0</v>
      </c>
      <c r="AT147" s="77">
        <f t="shared" si="146"/>
        <v>15.845668424603179</v>
      </c>
      <c r="AU147" s="77">
        <f t="shared" si="147"/>
        <v>9.4884242063492081</v>
      </c>
      <c r="AV147" s="77">
        <f t="shared" si="148"/>
        <v>9.4884242063492081</v>
      </c>
      <c r="AW147" s="77">
        <f t="shared" si="149"/>
        <v>219.42929819603179</v>
      </c>
      <c r="AX147" s="21">
        <f t="shared" si="150"/>
        <v>-0.1983750508883457</v>
      </c>
      <c r="AY147" s="77">
        <f t="shared" si="153"/>
        <v>-43.529298196031789</v>
      </c>
      <c r="AZ147" s="79">
        <f>IFERROR(H147*VLOOKUP(A147,'Tabela de Produtos'!A:Q,17,0),0)</f>
        <v>140.76000000000002</v>
      </c>
      <c r="BA147" s="74">
        <f t="shared" si="151"/>
        <v>0</v>
      </c>
      <c r="BB147" s="74">
        <f t="shared" si="151"/>
        <v>0</v>
      </c>
      <c r="BC147" s="74">
        <f t="shared" si="151"/>
        <v>0</v>
      </c>
      <c r="BD147" s="74">
        <f t="shared" si="151"/>
        <v>12.313000000000002</v>
      </c>
      <c r="BE147" s="74">
        <f t="shared" si="154"/>
        <v>8.7949999999999999</v>
      </c>
      <c r="BF147" s="74">
        <f t="shared" si="155"/>
        <v>161.86800000000002</v>
      </c>
      <c r="BG147" s="74">
        <f t="shared" si="156"/>
        <v>14.031999999999982</v>
      </c>
      <c r="BH147" s="21">
        <f t="shared" si="157"/>
        <v>7.9772598067083464E-2</v>
      </c>
    </row>
    <row r="148" spans="1:60" ht="15.75" customHeight="1">
      <c r="A148" s="72" t="s">
        <v>215</v>
      </c>
      <c r="B148" s="2" t="str">
        <f>IFERROR(VLOOKUP(A148,'Tabela de Produtos'!A:B,2,0),"Preencher Cód. Produto")</f>
        <v>BRAZIMIL LÁTEX STANDARD INT/EXT SEMIBRILHO 15L AZUL INTENSO</v>
      </c>
      <c r="C148" s="2"/>
      <c r="D148" s="73" t="s">
        <v>40</v>
      </c>
      <c r="E148" s="73">
        <v>28</v>
      </c>
      <c r="F148" s="74">
        <f>IF(A148=0,0,VLOOKUP(A148,'Tabela de Produtos'!A:W,23,0))</f>
        <v>143.42999999999998</v>
      </c>
      <c r="G148" s="75">
        <v>175.9</v>
      </c>
      <c r="H148" s="76">
        <v>1</v>
      </c>
      <c r="I148" s="74">
        <f t="shared" si="152"/>
        <v>175.9</v>
      </c>
      <c r="J148" s="77">
        <f>VLOOKUP(B148,'Tabela de Produtos'!B:M,12,FALSE())</f>
        <v>112.95</v>
      </c>
      <c r="K148" s="77">
        <f>VLOOKUP(B148,'Tabela de Produtos'!B:P,15,FALSE())</f>
        <v>4.6500000000000004</v>
      </c>
      <c r="L148" s="77">
        <f t="shared" si="118"/>
        <v>1.1294999999999999</v>
      </c>
      <c r="M148" s="77">
        <f t="shared" si="119"/>
        <v>1.1294999999999999</v>
      </c>
      <c r="N148" s="78">
        <f t="shared" si="120"/>
        <v>119.85899999999999</v>
      </c>
      <c r="O148" s="77">
        <f t="shared" si="121"/>
        <v>1.2928571428571429</v>
      </c>
      <c r="P148" s="77">
        <f t="shared" si="122"/>
        <v>1.0103571428571427</v>
      </c>
      <c r="Q148" s="77">
        <f t="shared" si="123"/>
        <v>1.0103571428571427</v>
      </c>
      <c r="R148" s="78">
        <f t="shared" si="124"/>
        <v>3.3135714285714286</v>
      </c>
      <c r="S148" s="77">
        <f>VLOOKUP(B148,'Tabela de Produtos'!B:N,13,FALSE())</f>
        <v>8.61</v>
      </c>
      <c r="T148" s="74">
        <f t="shared" si="125"/>
        <v>0.69444444444444442</v>
      </c>
      <c r="U148" s="77">
        <f t="shared" si="126"/>
        <v>1.1944444444444444</v>
      </c>
      <c r="V148" s="74">
        <f t="shared" si="127"/>
        <v>0.33333333333333331</v>
      </c>
      <c r="W148" s="78">
        <f t="shared" si="128"/>
        <v>10.832222222222223</v>
      </c>
      <c r="X148" s="77">
        <f t="shared" si="129"/>
        <v>1.3400479365079363</v>
      </c>
      <c r="Y148" s="77">
        <f t="shared" si="130"/>
        <v>1.3400479365079363</v>
      </c>
      <c r="Z148" s="77">
        <f t="shared" si="131"/>
        <v>2.9642857142857141E-2</v>
      </c>
      <c r="AA148" s="77">
        <f t="shared" si="132"/>
        <v>0.74404761904761896</v>
      </c>
      <c r="AB148" s="77">
        <f t="shared" si="133"/>
        <v>0.70684523809523814</v>
      </c>
      <c r="AC148" s="77">
        <f t="shared" si="134"/>
        <v>0</v>
      </c>
      <c r="AD148" s="77">
        <f t="shared" si="135"/>
        <v>1.4805357142857143</v>
      </c>
      <c r="AE148" s="77">
        <f t="shared" si="136"/>
        <v>34.206344325396827</v>
      </c>
      <c r="AF148" s="77">
        <f t="shared" si="137"/>
        <v>34.206344325396827</v>
      </c>
      <c r="AG148" s="74"/>
      <c r="AH148" s="74"/>
      <c r="AI148" s="74"/>
      <c r="AJ148" s="74"/>
      <c r="AK148" s="74"/>
      <c r="AL148" s="77">
        <f t="shared" si="138"/>
        <v>0</v>
      </c>
      <c r="AM148" s="77">
        <f t="shared" si="139"/>
        <v>171.03172162698411</v>
      </c>
      <c r="AN148" s="77">
        <f t="shared" si="140"/>
        <v>2.0523806595238092</v>
      </c>
      <c r="AO148" s="77">
        <f t="shared" si="141"/>
        <v>1.8471425935714285</v>
      </c>
      <c r="AP148" s="77">
        <f t="shared" si="142"/>
        <v>3.8995232530952375</v>
      </c>
      <c r="AQ148" s="77">
        <f t="shared" si="143"/>
        <v>14.281148755853174</v>
      </c>
      <c r="AR148" s="77">
        <f t="shared" si="144"/>
        <v>0</v>
      </c>
      <c r="AS148" s="77">
        <f t="shared" si="145"/>
        <v>0</v>
      </c>
      <c r="AT148" s="77">
        <f t="shared" si="146"/>
        <v>14.281148755853174</v>
      </c>
      <c r="AU148" s="77">
        <f t="shared" si="147"/>
        <v>8.5515860813492051</v>
      </c>
      <c r="AV148" s="77">
        <f t="shared" si="148"/>
        <v>8.5515860813492051</v>
      </c>
      <c r="AW148" s="77">
        <f t="shared" si="149"/>
        <v>197.7639797172817</v>
      </c>
      <c r="AX148" s="21">
        <f t="shared" si="150"/>
        <v>-0.11055592504023168</v>
      </c>
      <c r="AY148" s="77">
        <f t="shared" si="153"/>
        <v>-21.863979717281694</v>
      </c>
      <c r="AZ148" s="79">
        <f>IFERROR(H148*VLOOKUP(A148,'Tabela de Produtos'!A:Q,17,0),0)</f>
        <v>126.21000000000001</v>
      </c>
      <c r="BA148" s="74">
        <f t="shared" si="151"/>
        <v>0</v>
      </c>
      <c r="BB148" s="74">
        <f t="shared" si="151"/>
        <v>0</v>
      </c>
      <c r="BC148" s="74">
        <f t="shared" si="151"/>
        <v>0</v>
      </c>
      <c r="BD148" s="74">
        <f t="shared" si="151"/>
        <v>12.313000000000002</v>
      </c>
      <c r="BE148" s="74">
        <f t="shared" si="154"/>
        <v>8.7949999999999999</v>
      </c>
      <c r="BF148" s="74">
        <f t="shared" si="155"/>
        <v>147.31800000000001</v>
      </c>
      <c r="BG148" s="74">
        <f t="shared" si="156"/>
        <v>28.581999999999994</v>
      </c>
      <c r="BH148" s="21">
        <f t="shared" si="157"/>
        <v>0.16249005116543486</v>
      </c>
    </row>
    <row r="149" spans="1:60" s="90" customFormat="1" ht="15.75" customHeight="1">
      <c r="A149" s="82" t="s">
        <v>216</v>
      </c>
      <c r="B149" s="1" t="str">
        <f>IFERROR(VLOOKUP(A149,'Tabela de Produtos'!A:B,2,0),"Preencher Cód. Produto")</f>
        <v>BRAZIMIL LÁTEX STANDARD INT/EXT SEMIBRILHO 15L LILAS</v>
      </c>
      <c r="C149" s="1"/>
      <c r="D149" s="83" t="s">
        <v>40</v>
      </c>
      <c r="E149" s="83">
        <v>28</v>
      </c>
      <c r="F149" s="84">
        <f>IF(A149=0,0,VLOOKUP(A149,'Tabela de Produtos'!A:W,23,0))</f>
        <v>135.92999999999998</v>
      </c>
      <c r="G149" s="75">
        <v>175.9</v>
      </c>
      <c r="H149" s="85">
        <v>1</v>
      </c>
      <c r="I149" s="84">
        <f t="shared" si="152"/>
        <v>175.9</v>
      </c>
      <c r="J149" s="86">
        <f>VLOOKUP(B149,'Tabela de Produtos'!B:M,12,FALSE())</f>
        <v>106.35000000000001</v>
      </c>
      <c r="K149" s="86">
        <f>VLOOKUP(B149,'Tabela de Produtos'!B:P,15,FALSE())</f>
        <v>4.6500000000000004</v>
      </c>
      <c r="L149" s="86">
        <f t="shared" si="118"/>
        <v>1.0635000000000001</v>
      </c>
      <c r="M149" s="86">
        <f t="shared" si="119"/>
        <v>1.0635000000000001</v>
      </c>
      <c r="N149" s="87">
        <f t="shared" si="120"/>
        <v>113.12700000000002</v>
      </c>
      <c r="O149" s="86">
        <f t="shared" si="121"/>
        <v>1.2928571428571429</v>
      </c>
      <c r="P149" s="86">
        <f t="shared" si="122"/>
        <v>1.0103571428571427</v>
      </c>
      <c r="Q149" s="86">
        <f t="shared" si="123"/>
        <v>1.0103571428571427</v>
      </c>
      <c r="R149" s="87">
        <f t="shared" si="124"/>
        <v>3.3135714285714286</v>
      </c>
      <c r="S149" s="86">
        <f>VLOOKUP(B149,'Tabela de Produtos'!B:N,13,FALSE())</f>
        <v>8.61</v>
      </c>
      <c r="T149" s="84">
        <f t="shared" si="125"/>
        <v>0.69444444444444442</v>
      </c>
      <c r="U149" s="86">
        <f t="shared" si="126"/>
        <v>1.1944444444444444</v>
      </c>
      <c r="V149" s="84">
        <f t="shared" si="127"/>
        <v>0.33333333333333331</v>
      </c>
      <c r="W149" s="87">
        <f t="shared" si="128"/>
        <v>10.832222222222223</v>
      </c>
      <c r="X149" s="86">
        <f t="shared" si="129"/>
        <v>1.2727279365079367</v>
      </c>
      <c r="Y149" s="86">
        <f t="shared" si="130"/>
        <v>1.2727279365079367</v>
      </c>
      <c r="Z149" s="86">
        <f t="shared" si="131"/>
        <v>2.9642857142857141E-2</v>
      </c>
      <c r="AA149" s="86">
        <f t="shared" si="132"/>
        <v>0.74404761904761896</v>
      </c>
      <c r="AB149" s="86">
        <f t="shared" si="133"/>
        <v>0.70684523809523814</v>
      </c>
      <c r="AC149" s="86">
        <f t="shared" si="134"/>
        <v>0</v>
      </c>
      <c r="AD149" s="86">
        <f t="shared" si="135"/>
        <v>1.4805357142857143</v>
      </c>
      <c r="AE149" s="86">
        <f t="shared" si="136"/>
        <v>32.506514325396829</v>
      </c>
      <c r="AF149" s="86">
        <f t="shared" si="137"/>
        <v>32.506514325396829</v>
      </c>
      <c r="AG149" s="84"/>
      <c r="AH149" s="84"/>
      <c r="AI149" s="84"/>
      <c r="AJ149" s="84"/>
      <c r="AK149" s="84"/>
      <c r="AL149" s="86">
        <f t="shared" si="138"/>
        <v>0</v>
      </c>
      <c r="AM149" s="86">
        <f t="shared" si="139"/>
        <v>162.53257162698415</v>
      </c>
      <c r="AN149" s="86">
        <f t="shared" si="140"/>
        <v>1.9503908595238098</v>
      </c>
      <c r="AO149" s="86">
        <f t="shared" si="141"/>
        <v>1.755351773571429</v>
      </c>
      <c r="AP149" s="86">
        <f t="shared" si="142"/>
        <v>3.7057426330952388</v>
      </c>
      <c r="AQ149" s="86">
        <f t="shared" si="143"/>
        <v>13.571469730853178</v>
      </c>
      <c r="AR149" s="86">
        <f t="shared" si="144"/>
        <v>0</v>
      </c>
      <c r="AS149" s="86">
        <f t="shared" si="145"/>
        <v>0</v>
      </c>
      <c r="AT149" s="86">
        <f t="shared" si="146"/>
        <v>13.571469730853178</v>
      </c>
      <c r="AU149" s="86">
        <f t="shared" si="147"/>
        <v>8.1266285813492072</v>
      </c>
      <c r="AV149" s="77">
        <f t="shared" si="148"/>
        <v>8.1266285813492072</v>
      </c>
      <c r="AW149" s="77">
        <f t="shared" si="149"/>
        <v>187.93641257228177</v>
      </c>
      <c r="AX149" s="21">
        <f t="shared" si="150"/>
        <v>-6.4045133178502411E-2</v>
      </c>
      <c r="AY149" s="77">
        <f t="shared" si="153"/>
        <v>-12.036412572281762</v>
      </c>
      <c r="AZ149" s="88">
        <f>IFERROR(H149*VLOOKUP(A149,'Tabela de Produtos'!A:Q,17,0),0)</f>
        <v>119.61000000000001</v>
      </c>
      <c r="BA149" s="84">
        <f t="shared" si="151"/>
        <v>0</v>
      </c>
      <c r="BB149" s="84">
        <f t="shared" si="151"/>
        <v>0</v>
      </c>
      <c r="BC149" s="84">
        <f t="shared" si="151"/>
        <v>0</v>
      </c>
      <c r="BD149" s="84">
        <f t="shared" si="151"/>
        <v>12.313000000000002</v>
      </c>
      <c r="BE149" s="84">
        <f t="shared" si="154"/>
        <v>8.7949999999999999</v>
      </c>
      <c r="BF149" s="84">
        <f t="shared" si="155"/>
        <v>140.71799999999999</v>
      </c>
      <c r="BG149" s="84">
        <f t="shared" si="156"/>
        <v>35.182000000000016</v>
      </c>
      <c r="BH149" s="89">
        <f t="shared" si="157"/>
        <v>0.20001137009664591</v>
      </c>
    </row>
    <row r="150" spans="1:60" ht="15.75" customHeight="1">
      <c r="A150" s="72" t="s">
        <v>217</v>
      </c>
      <c r="B150" s="2" t="str">
        <f>IFERROR(VLOOKUP(A150,'Tabela de Produtos'!A:B,2,0),"Preencher Cód. Produto")</f>
        <v>BRAZIMIL LÁTEX STANDARD INT/EXT SEMIBRILHO 15L VERMELHO GARANTIDO</v>
      </c>
      <c r="C150" s="2"/>
      <c r="D150" s="73" t="s">
        <v>40</v>
      </c>
      <c r="E150" s="73">
        <v>28</v>
      </c>
      <c r="F150" s="74">
        <f>IF(A150=0,0,VLOOKUP(A150,'Tabela de Produtos'!A:W,23,0))</f>
        <v>168.64999999999998</v>
      </c>
      <c r="G150" s="75">
        <v>175.9</v>
      </c>
      <c r="H150" s="76">
        <v>1</v>
      </c>
      <c r="I150" s="74">
        <f t="shared" si="152"/>
        <v>175.9</v>
      </c>
      <c r="J150" s="77">
        <f>VLOOKUP(B150,'Tabela de Produtos'!B:M,12,FALSE())</f>
        <v>135.14999999999998</v>
      </c>
      <c r="K150" s="77">
        <f>VLOOKUP(B150,'Tabela de Produtos'!B:P,15,FALSE())</f>
        <v>4.6500000000000004</v>
      </c>
      <c r="L150" s="77">
        <f t="shared" si="118"/>
        <v>1.3514999999999997</v>
      </c>
      <c r="M150" s="77">
        <f t="shared" si="119"/>
        <v>1.3514999999999997</v>
      </c>
      <c r="N150" s="78">
        <f t="shared" si="120"/>
        <v>142.50299999999996</v>
      </c>
      <c r="O150" s="77">
        <f t="shared" si="121"/>
        <v>1.2928571428571429</v>
      </c>
      <c r="P150" s="77">
        <f t="shared" si="122"/>
        <v>1.0103571428571427</v>
      </c>
      <c r="Q150" s="77">
        <f t="shared" si="123"/>
        <v>1.0103571428571427</v>
      </c>
      <c r="R150" s="78">
        <f t="shared" si="124"/>
        <v>3.3135714285714286</v>
      </c>
      <c r="S150" s="77">
        <f>VLOOKUP(B150,'Tabela de Produtos'!B:N,13,FALSE())</f>
        <v>8.61</v>
      </c>
      <c r="T150" s="74">
        <f t="shared" si="125"/>
        <v>0.69444444444444442</v>
      </c>
      <c r="U150" s="77">
        <f t="shared" si="126"/>
        <v>1.1944444444444444</v>
      </c>
      <c r="V150" s="74">
        <f t="shared" si="127"/>
        <v>0.33333333333333331</v>
      </c>
      <c r="W150" s="78">
        <f t="shared" si="128"/>
        <v>10.832222222222223</v>
      </c>
      <c r="X150" s="77">
        <f t="shared" si="129"/>
        <v>1.5664879365079361</v>
      </c>
      <c r="Y150" s="77">
        <f t="shared" si="130"/>
        <v>1.5664879365079361</v>
      </c>
      <c r="Z150" s="77">
        <f t="shared" si="131"/>
        <v>2.9642857142857141E-2</v>
      </c>
      <c r="AA150" s="77">
        <f t="shared" si="132"/>
        <v>0.74404761904761896</v>
      </c>
      <c r="AB150" s="77">
        <f t="shared" si="133"/>
        <v>0.70684523809523814</v>
      </c>
      <c r="AC150" s="77">
        <f t="shared" si="134"/>
        <v>0</v>
      </c>
      <c r="AD150" s="77">
        <f t="shared" si="135"/>
        <v>1.4805357142857143</v>
      </c>
      <c r="AE150" s="77">
        <f t="shared" si="136"/>
        <v>39.923954325396814</v>
      </c>
      <c r="AF150" s="77">
        <f t="shared" si="137"/>
        <v>39.923954325396814</v>
      </c>
      <c r="AG150" s="74"/>
      <c r="AH150" s="74"/>
      <c r="AI150" s="74"/>
      <c r="AJ150" s="74"/>
      <c r="AK150" s="74"/>
      <c r="AL150" s="77">
        <f t="shared" si="138"/>
        <v>0</v>
      </c>
      <c r="AM150" s="77">
        <f t="shared" si="139"/>
        <v>199.61977162698406</v>
      </c>
      <c r="AN150" s="77">
        <f t="shared" si="140"/>
        <v>2.3954372595238089</v>
      </c>
      <c r="AO150" s="77">
        <f t="shared" si="141"/>
        <v>2.1558935335714278</v>
      </c>
      <c r="AP150" s="77">
        <f t="shared" si="142"/>
        <v>4.5513307930952367</v>
      </c>
      <c r="AQ150" s="77">
        <f t="shared" si="143"/>
        <v>16.668250930853169</v>
      </c>
      <c r="AR150" s="77">
        <f t="shared" si="144"/>
        <v>0</v>
      </c>
      <c r="AS150" s="77">
        <f t="shared" si="145"/>
        <v>0</v>
      </c>
      <c r="AT150" s="77">
        <f t="shared" si="146"/>
        <v>16.668250930853169</v>
      </c>
      <c r="AU150" s="77">
        <f t="shared" si="147"/>
        <v>9.9809885813492034</v>
      </c>
      <c r="AV150" s="77">
        <f t="shared" si="148"/>
        <v>9.9809885813492034</v>
      </c>
      <c r="AW150" s="77">
        <f t="shared" si="149"/>
        <v>230.82034193228168</v>
      </c>
      <c r="AX150" s="21">
        <f t="shared" si="150"/>
        <v>-0.23793545002369965</v>
      </c>
      <c r="AY150" s="77">
        <f t="shared" si="153"/>
        <v>-54.920341932281673</v>
      </c>
      <c r="AZ150" s="79">
        <f>IFERROR(H150*VLOOKUP(A150,'Tabela de Produtos'!A:Q,17,0),0)</f>
        <v>148.41</v>
      </c>
      <c r="BA150" s="74">
        <f t="shared" si="151"/>
        <v>0</v>
      </c>
      <c r="BB150" s="74">
        <f t="shared" si="151"/>
        <v>0</v>
      </c>
      <c r="BC150" s="74">
        <f t="shared" si="151"/>
        <v>0</v>
      </c>
      <c r="BD150" s="74">
        <f t="shared" si="151"/>
        <v>12.313000000000002</v>
      </c>
      <c r="BE150" s="74">
        <f t="shared" si="154"/>
        <v>8.7949999999999999</v>
      </c>
      <c r="BF150" s="74">
        <f t="shared" si="155"/>
        <v>169.518</v>
      </c>
      <c r="BG150" s="74">
        <f t="shared" si="156"/>
        <v>6.382000000000005</v>
      </c>
      <c r="BH150" s="21">
        <f t="shared" si="157"/>
        <v>3.6281978396816399E-2</v>
      </c>
    </row>
    <row r="151" spans="1:60" ht="15.75" customHeight="1">
      <c r="A151" s="72" t="s">
        <v>218</v>
      </c>
      <c r="B151" s="2" t="str">
        <f>IFERROR(VLOOKUP(A151,'Tabela de Produtos'!A:B,2,0),"Preencher Cód. Produto")</f>
        <v>BRAZIMIL LÁTEX STANDARD INT/EXT SEMIBRILHO 15L AZUL CAPRICHOSO</v>
      </c>
      <c r="C151" s="2"/>
      <c r="D151" s="73" t="s">
        <v>40</v>
      </c>
      <c r="E151" s="73">
        <v>28</v>
      </c>
      <c r="F151" s="74">
        <f>IF(A151=0,0,VLOOKUP(A151,'Tabela de Produtos'!A:W,23,0))</f>
        <v>143.42999999999998</v>
      </c>
      <c r="G151" s="75">
        <v>175.9</v>
      </c>
      <c r="H151" s="76">
        <v>1</v>
      </c>
      <c r="I151" s="74">
        <f t="shared" si="152"/>
        <v>175.9</v>
      </c>
      <c r="J151" s="77">
        <f>VLOOKUP(B151,'Tabela de Produtos'!B:M,12,FALSE())</f>
        <v>112.95</v>
      </c>
      <c r="K151" s="77">
        <f>VLOOKUP(B151,'Tabela de Produtos'!B:P,15,FALSE())</f>
        <v>4.6500000000000004</v>
      </c>
      <c r="L151" s="77">
        <f t="shared" si="118"/>
        <v>1.1294999999999999</v>
      </c>
      <c r="M151" s="77">
        <f t="shared" si="119"/>
        <v>1.1294999999999999</v>
      </c>
      <c r="N151" s="78">
        <f t="shared" si="120"/>
        <v>119.85899999999999</v>
      </c>
      <c r="O151" s="77">
        <f t="shared" si="121"/>
        <v>1.2928571428571429</v>
      </c>
      <c r="P151" s="77">
        <f t="shared" si="122"/>
        <v>1.0103571428571427</v>
      </c>
      <c r="Q151" s="77">
        <f t="shared" si="123"/>
        <v>1.0103571428571427</v>
      </c>
      <c r="R151" s="78">
        <f t="shared" si="124"/>
        <v>3.3135714285714286</v>
      </c>
      <c r="S151" s="77">
        <f>VLOOKUP(B151,'Tabela de Produtos'!B:N,13,FALSE())</f>
        <v>8.61</v>
      </c>
      <c r="T151" s="74">
        <f t="shared" si="125"/>
        <v>0.69444444444444442</v>
      </c>
      <c r="U151" s="77">
        <f t="shared" si="126"/>
        <v>1.1944444444444444</v>
      </c>
      <c r="V151" s="74">
        <f t="shared" si="127"/>
        <v>0.33333333333333331</v>
      </c>
      <c r="W151" s="78">
        <f t="shared" si="128"/>
        <v>10.832222222222223</v>
      </c>
      <c r="X151" s="77">
        <f t="shared" si="129"/>
        <v>1.3400479365079363</v>
      </c>
      <c r="Y151" s="77">
        <f t="shared" si="130"/>
        <v>1.3400479365079363</v>
      </c>
      <c r="Z151" s="77">
        <f t="shared" si="131"/>
        <v>2.9642857142857141E-2</v>
      </c>
      <c r="AA151" s="77">
        <f t="shared" si="132"/>
        <v>0.74404761904761896</v>
      </c>
      <c r="AB151" s="77">
        <f t="shared" si="133"/>
        <v>0.70684523809523814</v>
      </c>
      <c r="AC151" s="77">
        <f t="shared" si="134"/>
        <v>0</v>
      </c>
      <c r="AD151" s="77">
        <f t="shared" si="135"/>
        <v>1.4805357142857143</v>
      </c>
      <c r="AE151" s="77">
        <f t="shared" si="136"/>
        <v>34.206344325396827</v>
      </c>
      <c r="AF151" s="77">
        <f t="shared" si="137"/>
        <v>34.206344325396827</v>
      </c>
      <c r="AG151" s="74"/>
      <c r="AH151" s="74"/>
      <c r="AI151" s="74"/>
      <c r="AJ151" s="74"/>
      <c r="AK151" s="74"/>
      <c r="AL151" s="77">
        <f t="shared" si="138"/>
        <v>0</v>
      </c>
      <c r="AM151" s="77">
        <f t="shared" si="139"/>
        <v>171.03172162698411</v>
      </c>
      <c r="AN151" s="77">
        <f t="shared" si="140"/>
        <v>2.0523806595238092</v>
      </c>
      <c r="AO151" s="77">
        <f t="shared" si="141"/>
        <v>1.8471425935714285</v>
      </c>
      <c r="AP151" s="77">
        <f t="shared" si="142"/>
        <v>3.8995232530952375</v>
      </c>
      <c r="AQ151" s="77">
        <f t="shared" si="143"/>
        <v>14.281148755853174</v>
      </c>
      <c r="AR151" s="77">
        <f t="shared" si="144"/>
        <v>0</v>
      </c>
      <c r="AS151" s="77">
        <f t="shared" si="145"/>
        <v>0</v>
      </c>
      <c r="AT151" s="77">
        <f t="shared" si="146"/>
        <v>14.281148755853174</v>
      </c>
      <c r="AU151" s="77">
        <f t="shared" si="147"/>
        <v>8.5515860813492051</v>
      </c>
      <c r="AV151" s="77">
        <f t="shared" si="148"/>
        <v>8.5515860813492051</v>
      </c>
      <c r="AW151" s="77">
        <f t="shared" si="149"/>
        <v>197.7639797172817</v>
      </c>
      <c r="AX151" s="21">
        <f t="shared" si="150"/>
        <v>-0.11055592504023168</v>
      </c>
      <c r="AY151" s="77">
        <f t="shared" si="153"/>
        <v>-21.863979717281694</v>
      </c>
      <c r="AZ151" s="79">
        <f>IFERROR(H151*VLOOKUP(A151,'Tabela de Produtos'!A:Q,17,0),0)</f>
        <v>126.21000000000001</v>
      </c>
      <c r="BA151" s="74">
        <f t="shared" si="151"/>
        <v>0</v>
      </c>
      <c r="BB151" s="74">
        <f t="shared" si="151"/>
        <v>0</v>
      </c>
      <c r="BC151" s="74">
        <f t="shared" si="151"/>
        <v>0</v>
      </c>
      <c r="BD151" s="74">
        <f t="shared" si="151"/>
        <v>12.313000000000002</v>
      </c>
      <c r="BE151" s="74">
        <f t="shared" si="154"/>
        <v>8.7949999999999999</v>
      </c>
      <c r="BF151" s="74">
        <f t="shared" si="155"/>
        <v>147.31800000000001</v>
      </c>
      <c r="BG151" s="74">
        <f t="shared" si="156"/>
        <v>28.581999999999994</v>
      </c>
      <c r="BH151" s="21">
        <f t="shared" si="157"/>
        <v>0.16249005116543486</v>
      </c>
    </row>
    <row r="152" spans="1:60" ht="15.75" customHeight="1">
      <c r="A152" s="72" t="s">
        <v>219</v>
      </c>
      <c r="B152" s="2" t="str">
        <f>IFERROR(VLOOKUP(A152,'Tabela de Produtos'!A:B,2,0),"Preencher Cód. Produto")</f>
        <v>BRAZIMIL LÁTEX STANDARD INT/EXT SEMIBRILHO 15L CINZA MEDIO</v>
      </c>
      <c r="C152" s="2"/>
      <c r="D152" s="73" t="s">
        <v>40</v>
      </c>
      <c r="E152" s="73">
        <v>28</v>
      </c>
      <c r="F152" s="74">
        <f>IF(A152=0,0,VLOOKUP(A152,'Tabela de Produtos'!A:W,23,0))</f>
        <v>150.07</v>
      </c>
      <c r="G152" s="75">
        <v>175.9</v>
      </c>
      <c r="H152" s="76">
        <v>1</v>
      </c>
      <c r="I152" s="74">
        <f t="shared" si="152"/>
        <v>175.9</v>
      </c>
      <c r="J152" s="77">
        <f>VLOOKUP(B152,'Tabela de Produtos'!B:M,12,FALSE())</f>
        <v>118.79999999999998</v>
      </c>
      <c r="K152" s="77">
        <f>VLOOKUP(B152,'Tabela de Produtos'!B:P,15,FALSE())</f>
        <v>4.6500000000000004</v>
      </c>
      <c r="L152" s="77">
        <f t="shared" si="118"/>
        <v>1.1879999999999999</v>
      </c>
      <c r="M152" s="77">
        <f t="shared" si="119"/>
        <v>1.1879999999999999</v>
      </c>
      <c r="N152" s="78">
        <f t="shared" si="120"/>
        <v>125.82599999999999</v>
      </c>
      <c r="O152" s="77">
        <f t="shared" si="121"/>
        <v>1.2928571428571429</v>
      </c>
      <c r="P152" s="77">
        <f t="shared" si="122"/>
        <v>1.0103571428571427</v>
      </c>
      <c r="Q152" s="77">
        <f t="shared" si="123"/>
        <v>1.0103571428571427</v>
      </c>
      <c r="R152" s="78">
        <f t="shared" si="124"/>
        <v>3.3135714285714286</v>
      </c>
      <c r="S152" s="77">
        <f>VLOOKUP(B152,'Tabela de Produtos'!B:N,13,FALSE())</f>
        <v>8.61</v>
      </c>
      <c r="T152" s="74">
        <f t="shared" si="125"/>
        <v>0.69444444444444442</v>
      </c>
      <c r="U152" s="77">
        <f t="shared" si="126"/>
        <v>1.1944444444444444</v>
      </c>
      <c r="V152" s="74">
        <f t="shared" si="127"/>
        <v>0.33333333333333331</v>
      </c>
      <c r="W152" s="78">
        <f t="shared" si="128"/>
        <v>10.832222222222223</v>
      </c>
      <c r="X152" s="77">
        <f t="shared" si="129"/>
        <v>1.3997179365079364</v>
      </c>
      <c r="Y152" s="77">
        <f t="shared" si="130"/>
        <v>1.3997179365079364</v>
      </c>
      <c r="Z152" s="77">
        <f t="shared" si="131"/>
        <v>2.9642857142857141E-2</v>
      </c>
      <c r="AA152" s="77">
        <f t="shared" si="132"/>
        <v>0.74404761904761896</v>
      </c>
      <c r="AB152" s="77">
        <f t="shared" si="133"/>
        <v>0.70684523809523814</v>
      </c>
      <c r="AC152" s="77">
        <f t="shared" si="134"/>
        <v>0</v>
      </c>
      <c r="AD152" s="77">
        <f t="shared" si="135"/>
        <v>1.4805357142857143</v>
      </c>
      <c r="AE152" s="77">
        <f t="shared" si="136"/>
        <v>35.713011825396826</v>
      </c>
      <c r="AF152" s="77">
        <f t="shared" si="137"/>
        <v>35.713011825396826</v>
      </c>
      <c r="AG152" s="74"/>
      <c r="AH152" s="74"/>
      <c r="AI152" s="74"/>
      <c r="AJ152" s="74"/>
      <c r="AK152" s="74"/>
      <c r="AL152" s="77">
        <f t="shared" si="138"/>
        <v>0</v>
      </c>
      <c r="AM152" s="77">
        <f t="shared" si="139"/>
        <v>178.56505912698412</v>
      </c>
      <c r="AN152" s="77">
        <f t="shared" si="140"/>
        <v>2.1427807095238096</v>
      </c>
      <c r="AO152" s="77">
        <f t="shared" si="141"/>
        <v>1.9285026385714286</v>
      </c>
      <c r="AP152" s="77">
        <f t="shared" si="142"/>
        <v>4.0712833480952382</v>
      </c>
      <c r="AQ152" s="77">
        <f t="shared" si="143"/>
        <v>14.910182437103176</v>
      </c>
      <c r="AR152" s="77">
        <f t="shared" si="144"/>
        <v>0</v>
      </c>
      <c r="AS152" s="77">
        <f t="shared" si="145"/>
        <v>0</v>
      </c>
      <c r="AT152" s="77">
        <f t="shared" si="146"/>
        <v>14.910182437103176</v>
      </c>
      <c r="AU152" s="77">
        <f t="shared" si="147"/>
        <v>8.9282529563492066</v>
      </c>
      <c r="AV152" s="77">
        <f t="shared" si="148"/>
        <v>8.9282529563492066</v>
      </c>
      <c r="AW152" s="77">
        <f t="shared" si="149"/>
        <v>206.47477786853176</v>
      </c>
      <c r="AX152" s="21">
        <f t="shared" si="150"/>
        <v>-0.14807996494370643</v>
      </c>
      <c r="AY152" s="77">
        <f t="shared" si="153"/>
        <v>-30.574777868531754</v>
      </c>
      <c r="AZ152" s="79">
        <f>IFERROR(H152*VLOOKUP(A152,'Tabela de Produtos'!A:Q,17,0),0)</f>
        <v>132.05999999999997</v>
      </c>
      <c r="BA152" s="74">
        <f t="shared" si="151"/>
        <v>0</v>
      </c>
      <c r="BB152" s="74">
        <f t="shared" si="151"/>
        <v>0</v>
      </c>
      <c r="BC152" s="74">
        <f t="shared" si="151"/>
        <v>0</v>
      </c>
      <c r="BD152" s="74">
        <f t="shared" si="151"/>
        <v>12.313000000000002</v>
      </c>
      <c r="BE152" s="74">
        <f t="shared" si="154"/>
        <v>8.7949999999999999</v>
      </c>
      <c r="BF152" s="74">
        <f t="shared" si="155"/>
        <v>153.16799999999998</v>
      </c>
      <c r="BG152" s="74">
        <f t="shared" si="156"/>
        <v>22.732000000000028</v>
      </c>
      <c r="BH152" s="21">
        <f t="shared" si="157"/>
        <v>0.12923251847640721</v>
      </c>
    </row>
    <row r="153" spans="1:60" ht="15.75" customHeight="1">
      <c r="A153" s="72" t="s">
        <v>220</v>
      </c>
      <c r="B153" s="2" t="str">
        <f>IFERROR(VLOOKUP(A153,'Tabela de Produtos'!A:B,2,0),"Preencher Cód. Produto")</f>
        <v>BRAZIMIL LÁTEX STANDARD INT/EXT SEMIBRILHO 15L CINZA INTENSO</v>
      </c>
      <c r="C153" s="2"/>
      <c r="D153" s="73" t="s">
        <v>40</v>
      </c>
      <c r="E153" s="73">
        <v>28</v>
      </c>
      <c r="F153" s="74">
        <f>IF(A153=0,0,VLOOKUP(A153,'Tabela de Produtos'!A:W,23,0))</f>
        <v>150.23999999999998</v>
      </c>
      <c r="G153" s="75">
        <v>175.9</v>
      </c>
      <c r="H153" s="76">
        <v>1</v>
      </c>
      <c r="I153" s="74">
        <f t="shared" si="152"/>
        <v>175.9</v>
      </c>
      <c r="J153" s="77">
        <f>VLOOKUP(B153,'Tabela de Produtos'!B:M,12,FALSE())</f>
        <v>118.94999999999999</v>
      </c>
      <c r="K153" s="77">
        <f>VLOOKUP(B153,'Tabela de Produtos'!B:P,15,FALSE())</f>
        <v>4.6500000000000004</v>
      </c>
      <c r="L153" s="77">
        <f t="shared" si="118"/>
        <v>1.1895</v>
      </c>
      <c r="M153" s="77">
        <f t="shared" si="119"/>
        <v>1.1895</v>
      </c>
      <c r="N153" s="78">
        <f t="shared" si="120"/>
        <v>125.97899999999998</v>
      </c>
      <c r="O153" s="77">
        <f t="shared" si="121"/>
        <v>1.2928571428571429</v>
      </c>
      <c r="P153" s="77">
        <f t="shared" si="122"/>
        <v>1.0103571428571427</v>
      </c>
      <c r="Q153" s="77">
        <f t="shared" si="123"/>
        <v>1.0103571428571427</v>
      </c>
      <c r="R153" s="78">
        <f t="shared" si="124"/>
        <v>3.3135714285714286</v>
      </c>
      <c r="S153" s="77">
        <f>VLOOKUP(B153,'Tabela de Produtos'!B:N,13,FALSE())</f>
        <v>8.61</v>
      </c>
      <c r="T153" s="74">
        <f t="shared" si="125"/>
        <v>0.69444444444444442</v>
      </c>
      <c r="U153" s="77">
        <f t="shared" si="126"/>
        <v>1.1944444444444444</v>
      </c>
      <c r="V153" s="74">
        <f t="shared" si="127"/>
        <v>0.33333333333333331</v>
      </c>
      <c r="W153" s="78">
        <f t="shared" si="128"/>
        <v>10.832222222222223</v>
      </c>
      <c r="X153" s="77">
        <f t="shared" si="129"/>
        <v>1.4012479365079364</v>
      </c>
      <c r="Y153" s="77">
        <f t="shared" si="130"/>
        <v>1.4012479365079364</v>
      </c>
      <c r="Z153" s="77">
        <f t="shared" si="131"/>
        <v>2.9642857142857141E-2</v>
      </c>
      <c r="AA153" s="77">
        <f t="shared" si="132"/>
        <v>0.74404761904761896</v>
      </c>
      <c r="AB153" s="77">
        <f t="shared" si="133"/>
        <v>0.70684523809523814</v>
      </c>
      <c r="AC153" s="77">
        <f t="shared" si="134"/>
        <v>0</v>
      </c>
      <c r="AD153" s="77">
        <f t="shared" si="135"/>
        <v>1.4805357142857143</v>
      </c>
      <c r="AE153" s="77">
        <f t="shared" si="136"/>
        <v>35.751644325396825</v>
      </c>
      <c r="AF153" s="77">
        <f t="shared" si="137"/>
        <v>35.751644325396825</v>
      </c>
      <c r="AG153" s="74"/>
      <c r="AH153" s="74"/>
      <c r="AI153" s="74"/>
      <c r="AJ153" s="74"/>
      <c r="AK153" s="74"/>
      <c r="AL153" s="77">
        <f t="shared" si="138"/>
        <v>0</v>
      </c>
      <c r="AM153" s="77">
        <f t="shared" si="139"/>
        <v>178.7582216269841</v>
      </c>
      <c r="AN153" s="77">
        <f t="shared" si="140"/>
        <v>2.1450986595238093</v>
      </c>
      <c r="AO153" s="77">
        <f t="shared" si="141"/>
        <v>1.9305887935714283</v>
      </c>
      <c r="AP153" s="77">
        <f t="shared" si="142"/>
        <v>4.0756874530952381</v>
      </c>
      <c r="AQ153" s="77">
        <f t="shared" si="143"/>
        <v>14.926311505853173</v>
      </c>
      <c r="AR153" s="77">
        <f t="shared" si="144"/>
        <v>0</v>
      </c>
      <c r="AS153" s="77">
        <f t="shared" si="145"/>
        <v>0</v>
      </c>
      <c r="AT153" s="77">
        <f t="shared" si="146"/>
        <v>14.926311505853173</v>
      </c>
      <c r="AU153" s="77">
        <f t="shared" si="147"/>
        <v>8.9379110813492044</v>
      </c>
      <c r="AV153" s="77">
        <f t="shared" si="148"/>
        <v>8.9379110813492044</v>
      </c>
      <c r="AW153" s="77">
        <f t="shared" si="149"/>
        <v>206.6981316672817</v>
      </c>
      <c r="AX153" s="21">
        <f t="shared" si="150"/>
        <v>-0.14900053241340805</v>
      </c>
      <c r="AY153" s="77">
        <f t="shared" si="153"/>
        <v>-30.798131667281694</v>
      </c>
      <c r="AZ153" s="79">
        <f>IFERROR(H153*VLOOKUP(A153,'Tabela de Produtos'!A:Q,17,0),0)</f>
        <v>132.20999999999998</v>
      </c>
      <c r="BA153" s="74">
        <f t="shared" si="151"/>
        <v>0</v>
      </c>
      <c r="BB153" s="74">
        <f t="shared" si="151"/>
        <v>0</v>
      </c>
      <c r="BC153" s="74">
        <f t="shared" si="151"/>
        <v>0</v>
      </c>
      <c r="BD153" s="74">
        <f t="shared" si="151"/>
        <v>12.313000000000002</v>
      </c>
      <c r="BE153" s="74">
        <f t="shared" si="154"/>
        <v>8.7949999999999999</v>
      </c>
      <c r="BF153" s="74">
        <f t="shared" si="155"/>
        <v>153.31799999999996</v>
      </c>
      <c r="BG153" s="74">
        <f t="shared" si="156"/>
        <v>22.58200000000005</v>
      </c>
      <c r="BH153" s="21">
        <f t="shared" si="157"/>
        <v>0.12837976122797071</v>
      </c>
    </row>
    <row r="154" spans="1:60" ht="15.75" customHeight="1">
      <c r="A154" s="72" t="s">
        <v>221</v>
      </c>
      <c r="B154" s="2" t="str">
        <f>IFERROR(VLOOKUP(A154,'Tabela de Produtos'!A:B,2,0),"Preencher Cód. Produto")</f>
        <v>BRAZIMIL TINTA ACRILICA PREM INT/EXT FOSCO 3L BRANCO</v>
      </c>
      <c r="C154" s="2"/>
      <c r="D154" s="73" t="s">
        <v>66</v>
      </c>
      <c r="E154" s="73"/>
      <c r="F154" s="74" t="str">
        <f>IF(A154=0,0,VLOOKUP(A154,'Tabela de Produtos'!A:W,23,0))</f>
        <v>Cadastrar Ficha de Produção</v>
      </c>
      <c r="G154" s="74">
        <v>0</v>
      </c>
      <c r="H154" s="76">
        <v>1</v>
      </c>
      <c r="I154" s="74">
        <f t="shared" si="152"/>
        <v>0</v>
      </c>
      <c r="J154" s="77">
        <f>VLOOKUP(B154,'Tabela de Produtos'!B:M,12,FALSE())</f>
        <v>0</v>
      </c>
      <c r="K154" s="74"/>
      <c r="L154" s="74"/>
      <c r="M154" s="74"/>
      <c r="N154" s="81"/>
      <c r="O154" s="74"/>
      <c r="P154" s="74"/>
      <c r="Q154" s="74"/>
      <c r="R154" s="81"/>
      <c r="S154" s="74"/>
      <c r="T154" s="74"/>
      <c r="U154" s="74"/>
      <c r="V154" s="74"/>
      <c r="W154" s="81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7"/>
      <c r="AY154" s="77">
        <f t="shared" si="153"/>
        <v>0</v>
      </c>
      <c r="AZ154" s="79">
        <f>IFERROR(H154*VLOOKUP(A154,'Tabela de Produtos'!A:Q,17,0),0)</f>
        <v>0</v>
      </c>
      <c r="BA154" s="74">
        <f t="shared" ref="BA154:BD173" si="158">$I154*BA$12</f>
        <v>0</v>
      </c>
      <c r="BB154" s="74">
        <f t="shared" si="158"/>
        <v>0</v>
      </c>
      <c r="BC154" s="74">
        <f t="shared" si="158"/>
        <v>0</v>
      </c>
      <c r="BD154" s="74">
        <f t="shared" si="158"/>
        <v>0</v>
      </c>
      <c r="BE154" s="74">
        <f t="shared" si="154"/>
        <v>0</v>
      </c>
      <c r="BF154" s="74">
        <f t="shared" si="155"/>
        <v>0</v>
      </c>
      <c r="BG154" s="74">
        <f t="shared" si="156"/>
        <v>0</v>
      </c>
      <c r="BH154" s="21">
        <f t="shared" si="157"/>
        <v>0</v>
      </c>
    </row>
    <row r="155" spans="1:60" ht="15.75" customHeight="1">
      <c r="A155" s="72" t="s">
        <v>222</v>
      </c>
      <c r="B155" s="2" t="str">
        <f>IFERROR(VLOOKUP(A155,'Tabela de Produtos'!A:B,2,0),"Preencher Cód. Produto")</f>
        <v>BRAZIMIL TINTA ACRILICA PREM INT/EXT FOSCO 3L BRANCO GELO</v>
      </c>
      <c r="C155" s="2"/>
      <c r="D155" s="73" t="s">
        <v>66</v>
      </c>
      <c r="E155" s="73"/>
      <c r="F155" s="74" t="str">
        <f>IF(A155=0,0,VLOOKUP(A155,'Tabela de Produtos'!A:W,23,0))</f>
        <v>Cadastrar Ficha de Produção</v>
      </c>
      <c r="G155" s="74">
        <v>0</v>
      </c>
      <c r="H155" s="76">
        <v>1</v>
      </c>
      <c r="I155" s="74">
        <f t="shared" si="152"/>
        <v>0</v>
      </c>
      <c r="J155" s="77">
        <f>VLOOKUP(B155,'Tabela de Produtos'!B:M,12,FALSE())</f>
        <v>0</v>
      </c>
      <c r="K155" s="74"/>
      <c r="L155" s="74"/>
      <c r="M155" s="74"/>
      <c r="N155" s="81"/>
      <c r="O155" s="74"/>
      <c r="P155" s="74"/>
      <c r="Q155" s="74"/>
      <c r="R155" s="81"/>
      <c r="S155" s="74"/>
      <c r="T155" s="74"/>
      <c r="U155" s="74"/>
      <c r="V155" s="74"/>
      <c r="W155" s="81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7"/>
      <c r="AY155" s="77">
        <f t="shared" si="153"/>
        <v>0</v>
      </c>
      <c r="AZ155" s="79">
        <f>IFERROR(H155*VLOOKUP(A155,'Tabela de Produtos'!A:Q,17,0),0)</f>
        <v>0</v>
      </c>
      <c r="BA155" s="74">
        <f t="shared" si="158"/>
        <v>0</v>
      </c>
      <c r="BB155" s="74">
        <f t="shared" si="158"/>
        <v>0</v>
      </c>
      <c r="BC155" s="74">
        <f t="shared" si="158"/>
        <v>0</v>
      </c>
      <c r="BD155" s="74">
        <f t="shared" si="158"/>
        <v>0</v>
      </c>
      <c r="BE155" s="74">
        <f t="shared" si="154"/>
        <v>0</v>
      </c>
      <c r="BF155" s="74">
        <f t="shared" si="155"/>
        <v>0</v>
      </c>
      <c r="BG155" s="74">
        <f t="shared" si="156"/>
        <v>0</v>
      </c>
      <c r="BH155" s="21">
        <f t="shared" si="157"/>
        <v>0</v>
      </c>
    </row>
    <row r="156" spans="1:60" ht="15.75" customHeight="1">
      <c r="A156" s="72" t="s">
        <v>223</v>
      </c>
      <c r="B156" s="2" t="str">
        <f>IFERROR(VLOOKUP(A156,'Tabela de Produtos'!A:B,2,0),"Preencher Cód. Produto")</f>
        <v>BRAZIMIL TINTA ACRILICA PREM INT/EXT FOSCO 3L DIMANTE</v>
      </c>
      <c r="C156" s="2"/>
      <c r="D156" s="73" t="s">
        <v>66</v>
      </c>
      <c r="E156" s="73"/>
      <c r="F156" s="74" t="str">
        <f>IF(A156=0,0,VLOOKUP(A156,'Tabela de Produtos'!A:W,23,0))</f>
        <v>Cadastrar Ficha de Produção</v>
      </c>
      <c r="G156" s="74">
        <v>0</v>
      </c>
      <c r="H156" s="76">
        <v>1</v>
      </c>
      <c r="I156" s="74">
        <f t="shared" si="152"/>
        <v>0</v>
      </c>
      <c r="J156" s="77">
        <f>VLOOKUP(B156,'Tabela de Produtos'!B:M,12,FALSE())</f>
        <v>0</v>
      </c>
      <c r="K156" s="74"/>
      <c r="L156" s="74"/>
      <c r="M156" s="74"/>
      <c r="N156" s="81"/>
      <c r="O156" s="74"/>
      <c r="P156" s="74"/>
      <c r="Q156" s="74"/>
      <c r="R156" s="81"/>
      <c r="S156" s="74"/>
      <c r="T156" s="74"/>
      <c r="U156" s="74"/>
      <c r="V156" s="74"/>
      <c r="W156" s="81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7"/>
      <c r="AY156" s="77">
        <f t="shared" si="153"/>
        <v>0</v>
      </c>
      <c r="AZ156" s="79">
        <f>IFERROR(H156*VLOOKUP(A156,'Tabela de Produtos'!A:Q,17,0),0)</f>
        <v>0</v>
      </c>
      <c r="BA156" s="74">
        <f t="shared" si="158"/>
        <v>0</v>
      </c>
      <c r="BB156" s="74">
        <f t="shared" si="158"/>
        <v>0</v>
      </c>
      <c r="BC156" s="74">
        <f t="shared" si="158"/>
        <v>0</v>
      </c>
      <c r="BD156" s="74">
        <f t="shared" si="158"/>
        <v>0</v>
      </c>
      <c r="BE156" s="74">
        <f t="shared" si="154"/>
        <v>0</v>
      </c>
      <c r="BF156" s="74">
        <f t="shared" si="155"/>
        <v>0</v>
      </c>
      <c r="BG156" s="74">
        <f t="shared" si="156"/>
        <v>0</v>
      </c>
      <c r="BH156" s="21">
        <f t="shared" si="157"/>
        <v>0</v>
      </c>
    </row>
    <row r="157" spans="1:60" ht="15.75" customHeight="1">
      <c r="A157" s="72" t="s">
        <v>224</v>
      </c>
      <c r="B157" s="2" t="str">
        <f>IFERROR(VLOOKUP(A157,'Tabela de Produtos'!A:B,2,0),"Preencher Cód. Produto")</f>
        <v>BRAZIMIL TINTA ACRILICA PREM INT/EXT FOSCO 3L CINZA PLATINA</v>
      </c>
      <c r="C157" s="2"/>
      <c r="D157" s="73" t="s">
        <v>66</v>
      </c>
      <c r="E157" s="73"/>
      <c r="F157" s="74" t="str">
        <f>IF(A157=0,0,VLOOKUP(A157,'Tabela de Produtos'!A:W,23,0))</f>
        <v>Cadastrar Ficha de Produção</v>
      </c>
      <c r="G157" s="74">
        <v>0</v>
      </c>
      <c r="H157" s="76">
        <v>1</v>
      </c>
      <c r="I157" s="74">
        <f t="shared" si="152"/>
        <v>0</v>
      </c>
      <c r="J157" s="77">
        <f>VLOOKUP(B157,'Tabela de Produtos'!B:M,12,FALSE())</f>
        <v>0</v>
      </c>
      <c r="K157" s="74"/>
      <c r="L157" s="74"/>
      <c r="M157" s="74"/>
      <c r="N157" s="81"/>
      <c r="O157" s="74"/>
      <c r="P157" s="74"/>
      <c r="Q157" s="74"/>
      <c r="R157" s="81"/>
      <c r="S157" s="74"/>
      <c r="T157" s="74"/>
      <c r="U157" s="74"/>
      <c r="V157" s="74"/>
      <c r="W157" s="81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7"/>
      <c r="AY157" s="77">
        <f t="shared" si="153"/>
        <v>0</v>
      </c>
      <c r="AZ157" s="79">
        <f>IFERROR(H157*VLOOKUP(A157,'Tabela de Produtos'!A:Q,17,0),0)</f>
        <v>0</v>
      </c>
      <c r="BA157" s="74">
        <f t="shared" si="158"/>
        <v>0</v>
      </c>
      <c r="BB157" s="74">
        <f t="shared" si="158"/>
        <v>0</v>
      </c>
      <c r="BC157" s="74">
        <f t="shared" si="158"/>
        <v>0</v>
      </c>
      <c r="BD157" s="74">
        <f t="shared" si="158"/>
        <v>0</v>
      </c>
      <c r="BE157" s="74">
        <f t="shared" si="154"/>
        <v>0</v>
      </c>
      <c r="BF157" s="74">
        <f t="shared" si="155"/>
        <v>0</v>
      </c>
      <c r="BG157" s="74">
        <f t="shared" si="156"/>
        <v>0</v>
      </c>
      <c r="BH157" s="21">
        <f t="shared" si="157"/>
        <v>0</v>
      </c>
    </row>
    <row r="158" spans="1:60" ht="15.75" customHeight="1">
      <c r="A158" s="72" t="s">
        <v>225</v>
      </c>
      <c r="B158" s="2" t="str">
        <f>IFERROR(VLOOKUP(A158,'Tabela de Produtos'!A:B,2,0),"Preencher Cód. Produto")</f>
        <v>BRAZIMIL TINTA ACRILICA PREM INT/EXT FOSCO 3L CINZA INTENSO</v>
      </c>
      <c r="C158" s="2"/>
      <c r="D158" s="73" t="s">
        <v>66</v>
      </c>
      <c r="E158" s="73"/>
      <c r="F158" s="74" t="str">
        <f>IF(A158=0,0,VLOOKUP(A158,'Tabela de Produtos'!A:W,23,0))</f>
        <v>Cadastrar Ficha de Produção</v>
      </c>
      <c r="G158" s="74">
        <v>0</v>
      </c>
      <c r="H158" s="76">
        <v>1</v>
      </c>
      <c r="I158" s="74">
        <f t="shared" si="152"/>
        <v>0</v>
      </c>
      <c r="J158" s="77">
        <f>VLOOKUP(B158,'Tabela de Produtos'!B:M,12,FALSE())</f>
        <v>0</v>
      </c>
      <c r="K158" s="74"/>
      <c r="L158" s="74"/>
      <c r="M158" s="74"/>
      <c r="N158" s="81"/>
      <c r="O158" s="74"/>
      <c r="P158" s="74"/>
      <c r="Q158" s="74"/>
      <c r="R158" s="81"/>
      <c r="S158" s="74"/>
      <c r="T158" s="74"/>
      <c r="U158" s="74"/>
      <c r="V158" s="74"/>
      <c r="W158" s="81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7"/>
      <c r="AY158" s="77">
        <f t="shared" si="153"/>
        <v>0</v>
      </c>
      <c r="AZ158" s="79">
        <f>IFERROR(H158*VLOOKUP(A158,'Tabela de Produtos'!A:Q,17,0),0)</f>
        <v>0</v>
      </c>
      <c r="BA158" s="74">
        <f t="shared" si="158"/>
        <v>0</v>
      </c>
      <c r="BB158" s="74">
        <f t="shared" si="158"/>
        <v>0</v>
      </c>
      <c r="BC158" s="74">
        <f t="shared" si="158"/>
        <v>0</v>
      </c>
      <c r="BD158" s="74">
        <f t="shared" si="158"/>
        <v>0</v>
      </c>
      <c r="BE158" s="74">
        <f t="shared" si="154"/>
        <v>0</v>
      </c>
      <c r="BF158" s="74">
        <f t="shared" si="155"/>
        <v>0</v>
      </c>
      <c r="BG158" s="74">
        <f t="shared" si="156"/>
        <v>0</v>
      </c>
      <c r="BH158" s="21">
        <f t="shared" si="157"/>
        <v>0</v>
      </c>
    </row>
    <row r="159" spans="1:60" ht="15.75" customHeight="1">
      <c r="A159" s="72" t="s">
        <v>226</v>
      </c>
      <c r="B159" s="2" t="str">
        <f>IFERROR(VLOOKUP(A159,'Tabela de Produtos'!A:B,2,0),"Preencher Cód. Produto")</f>
        <v>BRAZIMIL TINTA ACRILICA PREM INT/EXT FOSCO 3L EGIPCIO</v>
      </c>
      <c r="C159" s="2"/>
      <c r="D159" s="73" t="s">
        <v>66</v>
      </c>
      <c r="E159" s="73"/>
      <c r="F159" s="74" t="str">
        <f>IF(A159=0,0,VLOOKUP(A159,'Tabela de Produtos'!A:W,23,0))</f>
        <v>Cadastrar Ficha de Produção</v>
      </c>
      <c r="G159" s="74">
        <v>0</v>
      </c>
      <c r="H159" s="76">
        <v>1</v>
      </c>
      <c r="I159" s="74">
        <f t="shared" si="152"/>
        <v>0</v>
      </c>
      <c r="J159" s="77">
        <f>VLOOKUP(B159,'Tabela de Produtos'!B:M,12,FALSE())</f>
        <v>0</v>
      </c>
      <c r="K159" s="74"/>
      <c r="L159" s="74"/>
      <c r="M159" s="74"/>
      <c r="N159" s="81"/>
      <c r="O159" s="74"/>
      <c r="P159" s="74"/>
      <c r="Q159" s="74"/>
      <c r="R159" s="81"/>
      <c r="S159" s="74"/>
      <c r="T159" s="74"/>
      <c r="U159" s="74"/>
      <c r="V159" s="74"/>
      <c r="W159" s="81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7"/>
      <c r="AY159" s="77">
        <f t="shared" si="153"/>
        <v>0</v>
      </c>
      <c r="AZ159" s="79">
        <f>IFERROR(H159*VLOOKUP(A159,'Tabela de Produtos'!A:Q,17,0),0)</f>
        <v>0</v>
      </c>
      <c r="BA159" s="74">
        <f t="shared" si="158"/>
        <v>0</v>
      </c>
      <c r="BB159" s="74">
        <f t="shared" si="158"/>
        <v>0</v>
      </c>
      <c r="BC159" s="74">
        <f t="shared" si="158"/>
        <v>0</v>
      </c>
      <c r="BD159" s="74">
        <f t="shared" si="158"/>
        <v>0</v>
      </c>
      <c r="BE159" s="74">
        <f t="shared" si="154"/>
        <v>0</v>
      </c>
      <c r="BF159" s="74">
        <f t="shared" si="155"/>
        <v>0</v>
      </c>
      <c r="BG159" s="74">
        <f t="shared" si="156"/>
        <v>0</v>
      </c>
      <c r="BH159" s="21">
        <f t="shared" si="157"/>
        <v>0</v>
      </c>
    </row>
    <row r="160" spans="1:60" ht="15.75" customHeight="1">
      <c r="A160" s="72" t="s">
        <v>227</v>
      </c>
      <c r="B160" s="2" t="str">
        <f>IFERROR(VLOOKUP(A160,'Tabela de Produtos'!A:B,2,0),"Preencher Cód. Produto")</f>
        <v>BRAZIMIL TINTA ACRILICA PREM INT/EXT FOSCO 3L MARROM GRADIENTE</v>
      </c>
      <c r="C160" s="2"/>
      <c r="D160" s="73" t="s">
        <v>66</v>
      </c>
      <c r="E160" s="73"/>
      <c r="F160" s="74" t="str">
        <f>IF(A160=0,0,VLOOKUP(A160,'Tabela de Produtos'!A:W,23,0))</f>
        <v>Cadastrar Ficha de Produção</v>
      </c>
      <c r="G160" s="74">
        <v>0</v>
      </c>
      <c r="H160" s="76">
        <v>1</v>
      </c>
      <c r="I160" s="74">
        <f t="shared" si="152"/>
        <v>0</v>
      </c>
      <c r="J160" s="77">
        <f>VLOOKUP(B160,'Tabela de Produtos'!B:M,12,FALSE())</f>
        <v>0</v>
      </c>
      <c r="K160" s="74"/>
      <c r="L160" s="74"/>
      <c r="M160" s="74"/>
      <c r="N160" s="81"/>
      <c r="O160" s="74"/>
      <c r="P160" s="74"/>
      <c r="Q160" s="74"/>
      <c r="R160" s="81"/>
      <c r="S160" s="74"/>
      <c r="T160" s="74"/>
      <c r="U160" s="74"/>
      <c r="V160" s="74"/>
      <c r="W160" s="81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7"/>
      <c r="AY160" s="77">
        <f t="shared" si="153"/>
        <v>0</v>
      </c>
      <c r="AZ160" s="79">
        <f>IFERROR(H160*VLOOKUP(A160,'Tabela de Produtos'!A:Q,17,0),0)</f>
        <v>0</v>
      </c>
      <c r="BA160" s="74">
        <f t="shared" si="158"/>
        <v>0</v>
      </c>
      <c r="BB160" s="74">
        <f t="shared" si="158"/>
        <v>0</v>
      </c>
      <c r="BC160" s="74">
        <f t="shared" si="158"/>
        <v>0</v>
      </c>
      <c r="BD160" s="74">
        <f t="shared" si="158"/>
        <v>0</v>
      </c>
      <c r="BE160" s="74">
        <f t="shared" si="154"/>
        <v>0</v>
      </c>
      <c r="BF160" s="74">
        <f t="shared" si="155"/>
        <v>0</v>
      </c>
      <c r="BG160" s="74">
        <f t="shared" si="156"/>
        <v>0</v>
      </c>
      <c r="BH160" s="21">
        <f t="shared" si="157"/>
        <v>0</v>
      </c>
    </row>
    <row r="161" spans="1:60" ht="15.75" customHeight="1">
      <c r="A161" s="72" t="s">
        <v>228</v>
      </c>
      <c r="B161" s="2" t="str">
        <f>IFERROR(VLOOKUP(A161,'Tabela de Produtos'!A:B,2,0),"Preencher Cód. Produto")</f>
        <v>BRAZIMIL TINTA ACRILICA PREM INT/EXT FOSCO 3L AVELA</v>
      </c>
      <c r="C161" s="2"/>
      <c r="D161" s="73" t="s">
        <v>66</v>
      </c>
      <c r="E161" s="73"/>
      <c r="F161" s="74" t="str">
        <f>IF(A161=0,0,VLOOKUP(A161,'Tabela de Produtos'!A:W,23,0))</f>
        <v>Cadastrar Ficha de Produção</v>
      </c>
      <c r="G161" s="74">
        <v>0</v>
      </c>
      <c r="H161" s="76">
        <v>1</v>
      </c>
      <c r="I161" s="74">
        <f t="shared" si="152"/>
        <v>0</v>
      </c>
      <c r="J161" s="77">
        <f>VLOOKUP(B161,'Tabela de Produtos'!B:M,12,FALSE())</f>
        <v>0</v>
      </c>
      <c r="K161" s="74"/>
      <c r="L161" s="74"/>
      <c r="M161" s="74"/>
      <c r="N161" s="81"/>
      <c r="O161" s="74"/>
      <c r="P161" s="74"/>
      <c r="Q161" s="74"/>
      <c r="R161" s="81"/>
      <c r="S161" s="74"/>
      <c r="T161" s="74"/>
      <c r="U161" s="74"/>
      <c r="V161" s="74"/>
      <c r="W161" s="81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7"/>
      <c r="AY161" s="77">
        <f t="shared" si="153"/>
        <v>0</v>
      </c>
      <c r="AZ161" s="79">
        <f>IFERROR(H161*VLOOKUP(A161,'Tabela de Produtos'!A:Q,17,0),0)</f>
        <v>0</v>
      </c>
      <c r="BA161" s="74">
        <f t="shared" si="158"/>
        <v>0</v>
      </c>
      <c r="BB161" s="74">
        <f t="shared" si="158"/>
        <v>0</v>
      </c>
      <c r="BC161" s="74">
        <f t="shared" si="158"/>
        <v>0</v>
      </c>
      <c r="BD161" s="74">
        <f t="shared" si="158"/>
        <v>0</v>
      </c>
      <c r="BE161" s="74">
        <f t="shared" si="154"/>
        <v>0</v>
      </c>
      <c r="BF161" s="74">
        <f t="shared" si="155"/>
        <v>0</v>
      </c>
      <c r="BG161" s="74">
        <f t="shared" si="156"/>
        <v>0</v>
      </c>
      <c r="BH161" s="21">
        <f t="shared" si="157"/>
        <v>0</v>
      </c>
    </row>
    <row r="162" spans="1:60" ht="15.75" customHeight="1">
      <c r="A162" s="72" t="s">
        <v>229</v>
      </c>
      <c r="B162" s="2" t="str">
        <f>IFERROR(VLOOKUP(A162,'Tabela de Produtos'!A:B,2,0),"Preencher Cód. Produto")</f>
        <v>BRAZIMIL TINTA ACRILICA PREM INT/EXT FOSCO 3L CARAMELO</v>
      </c>
      <c r="C162" s="2"/>
      <c r="D162" s="73" t="s">
        <v>66</v>
      </c>
      <c r="E162" s="73"/>
      <c r="F162" s="74" t="str">
        <f>IF(A162=0,0,VLOOKUP(A162,'Tabela de Produtos'!A:W,23,0))</f>
        <v>Cadastrar Ficha de Produção</v>
      </c>
      <c r="G162" s="74">
        <v>0</v>
      </c>
      <c r="H162" s="76">
        <v>1</v>
      </c>
      <c r="I162" s="74">
        <f t="shared" si="152"/>
        <v>0</v>
      </c>
      <c r="J162" s="77">
        <f>VLOOKUP(B162,'Tabela de Produtos'!B:M,12,FALSE())</f>
        <v>0</v>
      </c>
      <c r="K162" s="74"/>
      <c r="L162" s="74"/>
      <c r="M162" s="74"/>
      <c r="N162" s="81"/>
      <c r="O162" s="74"/>
      <c r="P162" s="74"/>
      <c r="Q162" s="74"/>
      <c r="R162" s="81"/>
      <c r="S162" s="74"/>
      <c r="T162" s="74"/>
      <c r="U162" s="74"/>
      <c r="V162" s="74"/>
      <c r="W162" s="81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7"/>
      <c r="AY162" s="77">
        <f t="shared" si="153"/>
        <v>0</v>
      </c>
      <c r="AZ162" s="79">
        <f>IFERROR(H162*VLOOKUP(A162,'Tabela de Produtos'!A:Q,17,0),0)</f>
        <v>0</v>
      </c>
      <c r="BA162" s="74">
        <f t="shared" si="158"/>
        <v>0</v>
      </c>
      <c r="BB162" s="74">
        <f t="shared" si="158"/>
        <v>0</v>
      </c>
      <c r="BC162" s="74">
        <f t="shared" si="158"/>
        <v>0</v>
      </c>
      <c r="BD162" s="74">
        <f t="shared" si="158"/>
        <v>0</v>
      </c>
      <c r="BE162" s="74">
        <f t="shared" si="154"/>
        <v>0</v>
      </c>
      <c r="BF162" s="74">
        <f t="shared" si="155"/>
        <v>0</v>
      </c>
      <c r="BG162" s="74">
        <f t="shared" si="156"/>
        <v>0</v>
      </c>
      <c r="BH162" s="21">
        <f t="shared" si="157"/>
        <v>0</v>
      </c>
    </row>
    <row r="163" spans="1:60" ht="15.75" customHeight="1">
      <c r="A163" s="72" t="s">
        <v>230</v>
      </c>
      <c r="B163" s="2" t="str">
        <f>IFERROR(VLOOKUP(A163,'Tabela de Produtos'!A:B,2,0),"Preencher Cód. Produto")</f>
        <v>BRAZIMIL TINTA ACRILICA PREM INT/EXT FOSCO 3L CAFÉ</v>
      </c>
      <c r="C163" s="2"/>
      <c r="D163" s="73" t="s">
        <v>66</v>
      </c>
      <c r="E163" s="73"/>
      <c r="F163" s="74" t="str">
        <f>IF(A163=0,0,VLOOKUP(A163,'Tabela de Produtos'!A:W,23,0))</f>
        <v>Cadastrar Ficha de Produção</v>
      </c>
      <c r="G163" s="74">
        <v>0</v>
      </c>
      <c r="H163" s="76">
        <v>1</v>
      </c>
      <c r="I163" s="74">
        <f t="shared" si="152"/>
        <v>0</v>
      </c>
      <c r="J163" s="77">
        <f>VLOOKUP(B163,'Tabela de Produtos'!B:M,12,FALSE())</f>
        <v>0</v>
      </c>
      <c r="K163" s="74"/>
      <c r="L163" s="74"/>
      <c r="M163" s="74"/>
      <c r="N163" s="81"/>
      <c r="O163" s="74"/>
      <c r="P163" s="74"/>
      <c r="Q163" s="74"/>
      <c r="R163" s="81"/>
      <c r="S163" s="74"/>
      <c r="T163" s="74"/>
      <c r="U163" s="74"/>
      <c r="V163" s="74"/>
      <c r="W163" s="81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7"/>
      <c r="AY163" s="77">
        <f t="shared" si="153"/>
        <v>0</v>
      </c>
      <c r="AZ163" s="79">
        <f>IFERROR(H163*VLOOKUP(A163,'Tabela de Produtos'!A:Q,17,0),0)</f>
        <v>0</v>
      </c>
      <c r="BA163" s="74">
        <f t="shared" si="158"/>
        <v>0</v>
      </c>
      <c r="BB163" s="74">
        <f t="shared" si="158"/>
        <v>0</v>
      </c>
      <c r="BC163" s="74">
        <f t="shared" si="158"/>
        <v>0</v>
      </c>
      <c r="BD163" s="74">
        <f t="shared" si="158"/>
        <v>0</v>
      </c>
      <c r="BE163" s="74">
        <f t="shared" si="154"/>
        <v>0</v>
      </c>
      <c r="BF163" s="74">
        <f t="shared" si="155"/>
        <v>0</v>
      </c>
      <c r="BG163" s="74">
        <f t="shared" si="156"/>
        <v>0</v>
      </c>
      <c r="BH163" s="21">
        <f t="shared" si="157"/>
        <v>0</v>
      </c>
    </row>
    <row r="164" spans="1:60" ht="15.75" customHeight="1">
      <c r="A164" s="72" t="s">
        <v>231</v>
      </c>
      <c r="B164" s="2" t="str">
        <f>IFERROR(VLOOKUP(A164,'Tabela de Produtos'!A:B,2,0),"Preencher Cód. Produto")</f>
        <v>BRAZIMIL TINTA ACRILICA PREM INT/EXT FOSCO 3L NUDE</v>
      </c>
      <c r="C164" s="2"/>
      <c r="D164" s="73" t="s">
        <v>66</v>
      </c>
      <c r="E164" s="73"/>
      <c r="F164" s="74" t="str">
        <f>IF(A164=0,0,VLOOKUP(A164,'Tabela de Produtos'!A:W,23,0))</f>
        <v>Cadastrar Ficha de Produção</v>
      </c>
      <c r="G164" s="74">
        <v>0</v>
      </c>
      <c r="H164" s="76">
        <v>1</v>
      </c>
      <c r="I164" s="74">
        <f t="shared" si="152"/>
        <v>0</v>
      </c>
      <c r="J164" s="77">
        <f>VLOOKUP(B164,'Tabela de Produtos'!B:M,12,FALSE())</f>
        <v>0</v>
      </c>
      <c r="K164" s="74"/>
      <c r="L164" s="74"/>
      <c r="M164" s="74"/>
      <c r="N164" s="81"/>
      <c r="O164" s="74"/>
      <c r="P164" s="74"/>
      <c r="Q164" s="74"/>
      <c r="R164" s="81"/>
      <c r="S164" s="74"/>
      <c r="T164" s="74"/>
      <c r="U164" s="74"/>
      <c r="V164" s="74"/>
      <c r="W164" s="81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7"/>
      <c r="AY164" s="77">
        <f t="shared" si="153"/>
        <v>0</v>
      </c>
      <c r="AZ164" s="79">
        <f>IFERROR(H164*VLOOKUP(A164,'Tabela de Produtos'!A:Q,17,0),0)</f>
        <v>0</v>
      </c>
      <c r="BA164" s="74">
        <f t="shared" si="158"/>
        <v>0</v>
      </c>
      <c r="BB164" s="74">
        <f t="shared" si="158"/>
        <v>0</v>
      </c>
      <c r="BC164" s="74">
        <f t="shared" si="158"/>
        <v>0</v>
      </c>
      <c r="BD164" s="74">
        <f t="shared" si="158"/>
        <v>0</v>
      </c>
      <c r="BE164" s="74">
        <f t="shared" si="154"/>
        <v>0</v>
      </c>
      <c r="BF164" s="74">
        <f t="shared" si="155"/>
        <v>0</v>
      </c>
      <c r="BG164" s="74">
        <f t="shared" si="156"/>
        <v>0</v>
      </c>
      <c r="BH164" s="21">
        <f t="shared" si="157"/>
        <v>0</v>
      </c>
    </row>
    <row r="165" spans="1:60" ht="15.75" customHeight="1">
      <c r="A165" s="72" t="s">
        <v>232</v>
      </c>
      <c r="B165" s="2" t="str">
        <f>IFERROR(VLOOKUP(A165,'Tabela de Produtos'!A:B,2,0),"Preencher Cód. Produto")</f>
        <v>BRAZIMIL TINTA ACRILICA PREM INT/EXT FOSCO 3L MARFIM REAL</v>
      </c>
      <c r="C165" s="2"/>
      <c r="D165" s="73" t="s">
        <v>66</v>
      </c>
      <c r="E165" s="73"/>
      <c r="F165" s="74" t="str">
        <f>IF(A165=0,0,VLOOKUP(A165,'Tabela de Produtos'!A:W,23,0))</f>
        <v>Cadastrar Ficha de Produção</v>
      </c>
      <c r="G165" s="74">
        <v>0</v>
      </c>
      <c r="H165" s="76">
        <v>1</v>
      </c>
      <c r="I165" s="74">
        <f t="shared" si="152"/>
        <v>0</v>
      </c>
      <c r="J165" s="77">
        <f>VLOOKUP(B165,'Tabela de Produtos'!B:M,12,FALSE())</f>
        <v>0</v>
      </c>
      <c r="K165" s="74"/>
      <c r="L165" s="74"/>
      <c r="M165" s="74"/>
      <c r="N165" s="81"/>
      <c r="O165" s="74"/>
      <c r="P165" s="74"/>
      <c r="Q165" s="74"/>
      <c r="R165" s="81"/>
      <c r="S165" s="74"/>
      <c r="T165" s="74"/>
      <c r="U165" s="74"/>
      <c r="V165" s="74"/>
      <c r="W165" s="81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7"/>
      <c r="AY165" s="77">
        <f t="shared" si="153"/>
        <v>0</v>
      </c>
      <c r="AZ165" s="79">
        <f>IFERROR(H165*VLOOKUP(A165,'Tabela de Produtos'!A:Q,17,0),0)</f>
        <v>0</v>
      </c>
      <c r="BA165" s="74">
        <f t="shared" si="158"/>
        <v>0</v>
      </c>
      <c r="BB165" s="74">
        <f t="shared" si="158"/>
        <v>0</v>
      </c>
      <c r="BC165" s="74">
        <f t="shared" si="158"/>
        <v>0</v>
      </c>
      <c r="BD165" s="74">
        <f t="shared" si="158"/>
        <v>0</v>
      </c>
      <c r="BE165" s="74">
        <f t="shared" si="154"/>
        <v>0</v>
      </c>
      <c r="BF165" s="74">
        <f t="shared" si="155"/>
        <v>0</v>
      </c>
      <c r="BG165" s="74">
        <f t="shared" si="156"/>
        <v>0</v>
      </c>
      <c r="BH165" s="21">
        <f t="shared" si="157"/>
        <v>0</v>
      </c>
    </row>
    <row r="166" spans="1:60" ht="15.75" customHeight="1">
      <c r="A166" s="72" t="s">
        <v>233</v>
      </c>
      <c r="B166" s="2" t="str">
        <f>IFERROR(VLOOKUP(A166,'Tabela de Produtos'!A:B,2,0),"Preencher Cód. Produto")</f>
        <v>BRAZIMIL TINTA ACRILICA PREM INT/EXT FOSCO 3L CAMURCA</v>
      </c>
      <c r="C166" s="2"/>
      <c r="D166" s="73" t="s">
        <v>66</v>
      </c>
      <c r="E166" s="73"/>
      <c r="F166" s="74" t="str">
        <f>IF(A166=0,0,VLOOKUP(A166,'Tabela de Produtos'!A:W,23,0))</f>
        <v>Cadastrar Ficha de Produção</v>
      </c>
      <c r="G166" s="74">
        <v>0</v>
      </c>
      <c r="H166" s="76">
        <v>1</v>
      </c>
      <c r="I166" s="74">
        <f t="shared" si="152"/>
        <v>0</v>
      </c>
      <c r="J166" s="77">
        <f>VLOOKUP(B166,'Tabela de Produtos'!B:M,12,FALSE())</f>
        <v>0</v>
      </c>
      <c r="K166" s="74"/>
      <c r="L166" s="74"/>
      <c r="M166" s="74"/>
      <c r="N166" s="81"/>
      <c r="O166" s="74"/>
      <c r="P166" s="74"/>
      <c r="Q166" s="74"/>
      <c r="R166" s="81"/>
      <c r="S166" s="74"/>
      <c r="T166" s="74"/>
      <c r="U166" s="74"/>
      <c r="V166" s="74"/>
      <c r="W166" s="81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7"/>
      <c r="AY166" s="77">
        <f t="shared" si="153"/>
        <v>0</v>
      </c>
      <c r="AZ166" s="79">
        <f>IFERROR(H166*VLOOKUP(A166,'Tabela de Produtos'!A:Q,17,0),0)</f>
        <v>0</v>
      </c>
      <c r="BA166" s="74">
        <f t="shared" si="158"/>
        <v>0</v>
      </c>
      <c r="BB166" s="74">
        <f t="shared" si="158"/>
        <v>0</v>
      </c>
      <c r="BC166" s="74">
        <f t="shared" si="158"/>
        <v>0</v>
      </c>
      <c r="BD166" s="74">
        <f t="shared" si="158"/>
        <v>0</v>
      </c>
      <c r="BE166" s="74">
        <f t="shared" si="154"/>
        <v>0</v>
      </c>
      <c r="BF166" s="74">
        <f t="shared" si="155"/>
        <v>0</v>
      </c>
      <c r="BG166" s="74">
        <f t="shared" si="156"/>
        <v>0</v>
      </c>
      <c r="BH166" s="21">
        <f t="shared" si="157"/>
        <v>0</v>
      </c>
    </row>
    <row r="167" spans="1:60" ht="15.75" customHeight="1">
      <c r="A167" s="72" t="s">
        <v>234</v>
      </c>
      <c r="B167" s="2" t="str">
        <f>IFERROR(VLOOKUP(A167,'Tabela de Produtos'!A:B,2,0),"Preencher Cód. Produto")</f>
        <v>BRAZIMIL TINTA ACRILICA PREM INT/EXT FOSCO 3L AZUL ANIL</v>
      </c>
      <c r="C167" s="2"/>
      <c r="D167" s="73" t="s">
        <v>66</v>
      </c>
      <c r="E167" s="73"/>
      <c r="F167" s="74" t="str">
        <f>IF(A167=0,0,VLOOKUP(A167,'Tabela de Produtos'!A:W,23,0))</f>
        <v>Cadastrar Ficha de Produção</v>
      </c>
      <c r="G167" s="74">
        <v>0</v>
      </c>
      <c r="H167" s="76">
        <v>1</v>
      </c>
      <c r="I167" s="74">
        <f t="shared" si="152"/>
        <v>0</v>
      </c>
      <c r="J167" s="77">
        <f>VLOOKUP(B167,'Tabela de Produtos'!B:M,12,FALSE())</f>
        <v>0</v>
      </c>
      <c r="K167" s="74"/>
      <c r="L167" s="74"/>
      <c r="M167" s="74"/>
      <c r="N167" s="81"/>
      <c r="O167" s="74"/>
      <c r="P167" s="74"/>
      <c r="Q167" s="74"/>
      <c r="R167" s="81"/>
      <c r="S167" s="74"/>
      <c r="T167" s="74"/>
      <c r="U167" s="74"/>
      <c r="V167" s="74"/>
      <c r="W167" s="81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7"/>
      <c r="AY167" s="77">
        <f t="shared" si="153"/>
        <v>0</v>
      </c>
      <c r="AZ167" s="79">
        <f>IFERROR(H167*VLOOKUP(A167,'Tabela de Produtos'!A:Q,17,0),0)</f>
        <v>0</v>
      </c>
      <c r="BA167" s="74">
        <f t="shared" si="158"/>
        <v>0</v>
      </c>
      <c r="BB167" s="74">
        <f t="shared" si="158"/>
        <v>0</v>
      </c>
      <c r="BC167" s="74">
        <f t="shared" si="158"/>
        <v>0</v>
      </c>
      <c r="BD167" s="74">
        <f t="shared" si="158"/>
        <v>0</v>
      </c>
      <c r="BE167" s="74">
        <f t="shared" si="154"/>
        <v>0</v>
      </c>
      <c r="BF167" s="74">
        <f t="shared" si="155"/>
        <v>0</v>
      </c>
      <c r="BG167" s="74">
        <f t="shared" si="156"/>
        <v>0</v>
      </c>
      <c r="BH167" s="21">
        <f t="shared" si="157"/>
        <v>0</v>
      </c>
    </row>
    <row r="168" spans="1:60" ht="15.75" customHeight="1">
      <c r="A168" s="72" t="s">
        <v>235</v>
      </c>
      <c r="B168" s="2" t="str">
        <f>IFERROR(VLOOKUP(A168,'Tabela de Produtos'!A:B,2,0),"Preencher Cód. Produto")</f>
        <v>BRAZIMIL TINTA ACRILICA PREM INT/EXT FOSCO 3L CARDINAL</v>
      </c>
      <c r="C168" s="2"/>
      <c r="D168" s="73" t="s">
        <v>66</v>
      </c>
      <c r="E168" s="73"/>
      <c r="F168" s="74" t="str">
        <f>IF(A168=0,0,VLOOKUP(A168,'Tabela de Produtos'!A:W,23,0))</f>
        <v>Cadastrar Ficha de Produção</v>
      </c>
      <c r="G168" s="74">
        <v>0</v>
      </c>
      <c r="H168" s="76">
        <v>1</v>
      </c>
      <c r="I168" s="74">
        <f t="shared" si="152"/>
        <v>0</v>
      </c>
      <c r="J168" s="77">
        <f>VLOOKUP(B168,'Tabela de Produtos'!B:M,12,FALSE())</f>
        <v>0</v>
      </c>
      <c r="K168" s="74"/>
      <c r="L168" s="74"/>
      <c r="M168" s="74"/>
      <c r="N168" s="81"/>
      <c r="O168" s="74"/>
      <c r="P168" s="74"/>
      <c r="Q168" s="74"/>
      <c r="R168" s="81"/>
      <c r="S168" s="74"/>
      <c r="T168" s="74"/>
      <c r="U168" s="74"/>
      <c r="V168" s="74"/>
      <c r="W168" s="81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7"/>
      <c r="AY168" s="77">
        <f t="shared" si="153"/>
        <v>0</v>
      </c>
      <c r="AZ168" s="79">
        <f>IFERROR(H168*VLOOKUP(A168,'Tabela de Produtos'!A:Q,17,0),0)</f>
        <v>0</v>
      </c>
      <c r="BA168" s="74">
        <f t="shared" si="158"/>
        <v>0</v>
      </c>
      <c r="BB168" s="74">
        <f t="shared" si="158"/>
        <v>0</v>
      </c>
      <c r="BC168" s="74">
        <f t="shared" si="158"/>
        <v>0</v>
      </c>
      <c r="BD168" s="74">
        <f t="shared" si="158"/>
        <v>0</v>
      </c>
      <c r="BE168" s="74">
        <f t="shared" si="154"/>
        <v>0</v>
      </c>
      <c r="BF168" s="74">
        <f t="shared" si="155"/>
        <v>0</v>
      </c>
      <c r="BG168" s="74">
        <f t="shared" si="156"/>
        <v>0</v>
      </c>
      <c r="BH168" s="21">
        <f t="shared" si="157"/>
        <v>0</v>
      </c>
    </row>
    <row r="169" spans="1:60" ht="15.75" customHeight="1">
      <c r="A169" s="72" t="s">
        <v>236</v>
      </c>
      <c r="B169" s="2" t="str">
        <f>IFERROR(VLOOKUP(A169,'Tabela de Produtos'!A:B,2,0),"Preencher Cód. Produto")</f>
        <v>BRAZIMIL TINTA ACRILICA PREM INT/EXT FOSCO 3L PRAIA</v>
      </c>
      <c r="C169" s="2"/>
      <c r="D169" s="73" t="s">
        <v>66</v>
      </c>
      <c r="E169" s="73"/>
      <c r="F169" s="74" t="str">
        <f>IF(A169=0,0,VLOOKUP(A169,'Tabela de Produtos'!A:W,23,0))</f>
        <v>Cadastrar Ficha de Produção</v>
      </c>
      <c r="G169" s="74">
        <v>0</v>
      </c>
      <c r="H169" s="76">
        <v>1</v>
      </c>
      <c r="I169" s="74">
        <f t="shared" si="152"/>
        <v>0</v>
      </c>
      <c r="J169" s="77">
        <f>VLOOKUP(B169,'Tabela de Produtos'!B:M,12,FALSE())</f>
        <v>0</v>
      </c>
      <c r="K169" s="74"/>
      <c r="L169" s="74"/>
      <c r="M169" s="74"/>
      <c r="N169" s="81"/>
      <c r="O169" s="74"/>
      <c r="P169" s="74"/>
      <c r="Q169" s="74"/>
      <c r="R169" s="81"/>
      <c r="S169" s="74"/>
      <c r="T169" s="74"/>
      <c r="U169" s="74"/>
      <c r="V169" s="74"/>
      <c r="W169" s="81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7"/>
      <c r="AY169" s="77">
        <f t="shared" si="153"/>
        <v>0</v>
      </c>
      <c r="AZ169" s="79">
        <f>IFERROR(H169*VLOOKUP(A169,'Tabela de Produtos'!A:Q,17,0),0)</f>
        <v>0</v>
      </c>
      <c r="BA169" s="74">
        <f t="shared" si="158"/>
        <v>0</v>
      </c>
      <c r="BB169" s="74">
        <f t="shared" si="158"/>
        <v>0</v>
      </c>
      <c r="BC169" s="74">
        <f t="shared" si="158"/>
        <v>0</v>
      </c>
      <c r="BD169" s="74">
        <f t="shared" si="158"/>
        <v>0</v>
      </c>
      <c r="BE169" s="74">
        <f t="shared" si="154"/>
        <v>0</v>
      </c>
      <c r="BF169" s="74">
        <f t="shared" si="155"/>
        <v>0</v>
      </c>
      <c r="BG169" s="74">
        <f t="shared" si="156"/>
        <v>0</v>
      </c>
      <c r="BH169" s="21">
        <f t="shared" si="157"/>
        <v>0</v>
      </c>
    </row>
    <row r="170" spans="1:60" ht="15.75" customHeight="1">
      <c r="A170" s="72" t="s">
        <v>237</v>
      </c>
      <c r="B170" s="2" t="str">
        <f>IFERROR(VLOOKUP(A170,'Tabela de Produtos'!A:B,2,0),"Preencher Cód. Produto")</f>
        <v>BRAZIMIL TINTA ACRILICA PREM INT/EXT FOSCO 3L AMARELO SOL</v>
      </c>
      <c r="C170" s="2"/>
      <c r="D170" s="73" t="s">
        <v>66</v>
      </c>
      <c r="E170" s="73"/>
      <c r="F170" s="74" t="str">
        <f>IF(A170=0,0,VLOOKUP(A170,'Tabela de Produtos'!A:W,23,0))</f>
        <v>Cadastrar Ficha de Produção</v>
      </c>
      <c r="G170" s="74">
        <v>0</v>
      </c>
      <c r="H170" s="76">
        <v>1</v>
      </c>
      <c r="I170" s="74">
        <f t="shared" si="152"/>
        <v>0</v>
      </c>
      <c r="J170" s="77">
        <f>VLOOKUP(B170,'Tabela de Produtos'!B:M,12,FALSE())</f>
        <v>0</v>
      </c>
      <c r="K170" s="74"/>
      <c r="L170" s="74"/>
      <c r="M170" s="74"/>
      <c r="N170" s="81"/>
      <c r="O170" s="74"/>
      <c r="P170" s="74"/>
      <c r="Q170" s="74"/>
      <c r="R170" s="81"/>
      <c r="S170" s="74"/>
      <c r="T170" s="74"/>
      <c r="U170" s="74"/>
      <c r="V170" s="74"/>
      <c r="W170" s="81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7"/>
      <c r="AY170" s="77">
        <f t="shared" si="153"/>
        <v>0</v>
      </c>
      <c r="AZ170" s="79">
        <f>IFERROR(H170*VLOOKUP(A170,'Tabela de Produtos'!A:Q,17,0),0)</f>
        <v>0</v>
      </c>
      <c r="BA170" s="74">
        <f t="shared" si="158"/>
        <v>0</v>
      </c>
      <c r="BB170" s="74">
        <f t="shared" si="158"/>
        <v>0</v>
      </c>
      <c r="BC170" s="74">
        <f t="shared" si="158"/>
        <v>0</v>
      </c>
      <c r="BD170" s="74">
        <f t="shared" si="158"/>
        <v>0</v>
      </c>
      <c r="BE170" s="74">
        <f t="shared" si="154"/>
        <v>0</v>
      </c>
      <c r="BF170" s="74">
        <f t="shared" si="155"/>
        <v>0</v>
      </c>
      <c r="BG170" s="74">
        <f t="shared" si="156"/>
        <v>0</v>
      </c>
      <c r="BH170" s="21">
        <f t="shared" si="157"/>
        <v>0</v>
      </c>
    </row>
    <row r="171" spans="1:60" ht="15.75" customHeight="1">
      <c r="A171" s="72" t="s">
        <v>238</v>
      </c>
      <c r="B171" s="2" t="str">
        <f>IFERROR(VLOOKUP(A171,'Tabela de Produtos'!A:B,2,0),"Preencher Cód. Produto")</f>
        <v>BRAZIMIL TINTA ACRILICA PREM INT/EXT FOSCO 3L JASMIM AMARELO</v>
      </c>
      <c r="C171" s="2"/>
      <c r="D171" s="73" t="s">
        <v>66</v>
      </c>
      <c r="E171" s="73"/>
      <c r="F171" s="74" t="str">
        <f>IF(A171=0,0,VLOOKUP(A171,'Tabela de Produtos'!A:W,23,0))</f>
        <v>Cadastrar Ficha de Produção</v>
      </c>
      <c r="G171" s="74">
        <v>0</v>
      </c>
      <c r="H171" s="76">
        <v>1</v>
      </c>
      <c r="I171" s="74">
        <f t="shared" si="152"/>
        <v>0</v>
      </c>
      <c r="J171" s="77">
        <f>VLOOKUP(B171,'Tabela de Produtos'!B:M,12,FALSE())</f>
        <v>0</v>
      </c>
      <c r="K171" s="74"/>
      <c r="L171" s="74"/>
      <c r="M171" s="74"/>
      <c r="N171" s="81"/>
      <c r="O171" s="74"/>
      <c r="P171" s="74"/>
      <c r="Q171" s="74"/>
      <c r="R171" s="81"/>
      <c r="S171" s="74"/>
      <c r="T171" s="74"/>
      <c r="U171" s="74"/>
      <c r="V171" s="74"/>
      <c r="W171" s="81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7"/>
      <c r="AY171" s="77">
        <f t="shared" si="153"/>
        <v>0</v>
      </c>
      <c r="AZ171" s="79">
        <f>IFERROR(H171*VLOOKUP(A171,'Tabela de Produtos'!A:Q,17,0),0)</f>
        <v>0</v>
      </c>
      <c r="BA171" s="74">
        <f t="shared" si="158"/>
        <v>0</v>
      </c>
      <c r="BB171" s="74">
        <f t="shared" si="158"/>
        <v>0</v>
      </c>
      <c r="BC171" s="74">
        <f t="shared" si="158"/>
        <v>0</v>
      </c>
      <c r="BD171" s="74">
        <f t="shared" si="158"/>
        <v>0</v>
      </c>
      <c r="BE171" s="74">
        <f t="shared" si="154"/>
        <v>0</v>
      </c>
      <c r="BF171" s="74">
        <f t="shared" si="155"/>
        <v>0</v>
      </c>
      <c r="BG171" s="74">
        <f t="shared" si="156"/>
        <v>0</v>
      </c>
      <c r="BH171" s="21">
        <f t="shared" si="157"/>
        <v>0</v>
      </c>
    </row>
    <row r="172" spans="1:60" ht="15.75" customHeight="1">
      <c r="A172" s="72" t="s">
        <v>239</v>
      </c>
      <c r="B172" s="2" t="str">
        <f>IFERROR(VLOOKUP(A172,'Tabela de Produtos'!A:B,2,0),"Preencher Cód. Produto")</f>
        <v>BRAZIMIL TINTA ACRILICA PREM INT/EXT SEMIBRILHO 3L CINZA INTENSO</v>
      </c>
      <c r="C172" s="2"/>
      <c r="D172" s="73" t="s">
        <v>66</v>
      </c>
      <c r="E172" s="73"/>
      <c r="F172" s="74" t="str">
        <f>IF(A172=0,0,VLOOKUP(A172,'Tabela de Produtos'!A:W,23,0))</f>
        <v>Cadastrar Ficha de Produção</v>
      </c>
      <c r="G172" s="74">
        <v>0</v>
      </c>
      <c r="H172" s="76">
        <v>1</v>
      </c>
      <c r="I172" s="74">
        <f t="shared" si="152"/>
        <v>0</v>
      </c>
      <c r="J172" s="77">
        <f>VLOOKUP(B172,'Tabela de Produtos'!B:M,12,FALSE())</f>
        <v>0</v>
      </c>
      <c r="K172" s="74"/>
      <c r="L172" s="74"/>
      <c r="M172" s="74"/>
      <c r="N172" s="81"/>
      <c r="O172" s="74"/>
      <c r="P172" s="74"/>
      <c r="Q172" s="74"/>
      <c r="R172" s="81"/>
      <c r="S172" s="74"/>
      <c r="T172" s="74"/>
      <c r="U172" s="74"/>
      <c r="V172" s="74"/>
      <c r="W172" s="81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7"/>
      <c r="AY172" s="77">
        <f t="shared" si="153"/>
        <v>0</v>
      </c>
      <c r="AZ172" s="79">
        <f>IFERROR(H172*VLOOKUP(A172,'Tabela de Produtos'!A:Q,17,0),0)</f>
        <v>0</v>
      </c>
      <c r="BA172" s="74">
        <f t="shared" si="158"/>
        <v>0</v>
      </c>
      <c r="BB172" s="74">
        <f t="shared" si="158"/>
        <v>0</v>
      </c>
      <c r="BC172" s="74">
        <f t="shared" si="158"/>
        <v>0</v>
      </c>
      <c r="BD172" s="74">
        <f t="shared" si="158"/>
        <v>0</v>
      </c>
      <c r="BE172" s="74">
        <f t="shared" si="154"/>
        <v>0</v>
      </c>
      <c r="BF172" s="74">
        <f t="shared" si="155"/>
        <v>0</v>
      </c>
      <c r="BG172" s="74">
        <f t="shared" si="156"/>
        <v>0</v>
      </c>
      <c r="BH172" s="21">
        <f t="shared" si="157"/>
        <v>0</v>
      </c>
    </row>
    <row r="173" spans="1:60" ht="15.75" customHeight="1">
      <c r="A173" s="72" t="s">
        <v>240</v>
      </c>
      <c r="B173" s="2" t="str">
        <f>IFERROR(VLOOKUP(A173,'Tabela de Produtos'!A:B,2,0),"Preencher Cód. Produto")</f>
        <v>BRAZIMIL TINTA ACRILICA PREM INT/EXT SEMIBRILHO 3L BRANCO</v>
      </c>
      <c r="C173" s="2"/>
      <c r="D173" s="73" t="s">
        <v>66</v>
      </c>
      <c r="E173" s="73"/>
      <c r="F173" s="74" t="str">
        <f>IF(A173=0,0,VLOOKUP(A173,'Tabela de Produtos'!A:W,23,0))</f>
        <v>Cadastrar Ficha de Produção</v>
      </c>
      <c r="G173" s="74">
        <v>0</v>
      </c>
      <c r="H173" s="76">
        <v>1</v>
      </c>
      <c r="I173" s="74">
        <f t="shared" si="152"/>
        <v>0</v>
      </c>
      <c r="J173" s="77">
        <f>VLOOKUP(B173,'Tabela de Produtos'!B:M,12,FALSE())</f>
        <v>0</v>
      </c>
      <c r="K173" s="74"/>
      <c r="L173" s="74"/>
      <c r="M173" s="74"/>
      <c r="N173" s="81"/>
      <c r="O173" s="74"/>
      <c r="P173" s="74"/>
      <c r="Q173" s="74"/>
      <c r="R173" s="81"/>
      <c r="S173" s="74"/>
      <c r="T173" s="74"/>
      <c r="U173" s="74"/>
      <c r="V173" s="74"/>
      <c r="W173" s="81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7"/>
      <c r="AY173" s="77">
        <f t="shared" si="153"/>
        <v>0</v>
      </c>
      <c r="AZ173" s="79">
        <f>IFERROR(H173*VLOOKUP(A173,'Tabela de Produtos'!A:Q,17,0),0)</f>
        <v>0</v>
      </c>
      <c r="BA173" s="74">
        <f t="shared" si="158"/>
        <v>0</v>
      </c>
      <c r="BB173" s="74">
        <f t="shared" si="158"/>
        <v>0</v>
      </c>
      <c r="BC173" s="74">
        <f t="shared" si="158"/>
        <v>0</v>
      </c>
      <c r="BD173" s="74">
        <f t="shared" si="158"/>
        <v>0</v>
      </c>
      <c r="BE173" s="74">
        <f t="shared" si="154"/>
        <v>0</v>
      </c>
      <c r="BF173" s="74">
        <f t="shared" si="155"/>
        <v>0</v>
      </c>
      <c r="BG173" s="74">
        <f t="shared" si="156"/>
        <v>0</v>
      </c>
      <c r="BH173" s="21">
        <f t="shared" si="157"/>
        <v>0</v>
      </c>
    </row>
    <row r="174" spans="1:60" ht="15.75" customHeight="1">
      <c r="A174" s="72" t="s">
        <v>241</v>
      </c>
      <c r="B174" s="2" t="str">
        <f>IFERROR(VLOOKUP(A174,'Tabela de Produtos'!A:B,2,0),"Preencher Cód. Produto")</f>
        <v>BRAZIMIL TINTA ACRILICA PREM INT/EXT SEMIBRILHO 3L BRANCO GELO</v>
      </c>
      <c r="C174" s="2"/>
      <c r="D174" s="73" t="s">
        <v>66</v>
      </c>
      <c r="E174" s="73"/>
      <c r="F174" s="74" t="str">
        <f>IF(A174=0,0,VLOOKUP(A174,'Tabela de Produtos'!A:W,23,0))</f>
        <v>Cadastrar Ficha de Produção</v>
      </c>
      <c r="G174" s="74">
        <v>0</v>
      </c>
      <c r="H174" s="76">
        <v>1</v>
      </c>
      <c r="I174" s="74">
        <f t="shared" si="152"/>
        <v>0</v>
      </c>
      <c r="J174" s="77">
        <f>VLOOKUP(B174,'Tabela de Produtos'!B:M,12,FALSE())</f>
        <v>0</v>
      </c>
      <c r="K174" s="74"/>
      <c r="L174" s="74"/>
      <c r="M174" s="74"/>
      <c r="N174" s="81"/>
      <c r="O174" s="74"/>
      <c r="P174" s="74"/>
      <c r="Q174" s="74"/>
      <c r="R174" s="81"/>
      <c r="S174" s="74"/>
      <c r="T174" s="74"/>
      <c r="U174" s="74"/>
      <c r="V174" s="74"/>
      <c r="W174" s="81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7"/>
      <c r="AY174" s="77">
        <f t="shared" si="153"/>
        <v>0</v>
      </c>
      <c r="AZ174" s="79">
        <f>IFERROR(H174*VLOOKUP(A174,'Tabela de Produtos'!A:Q,17,0),0)</f>
        <v>0</v>
      </c>
      <c r="BA174" s="74">
        <f t="shared" ref="BA174:BD193" si="159">$I174*BA$12</f>
        <v>0</v>
      </c>
      <c r="BB174" s="74">
        <f t="shared" si="159"/>
        <v>0</v>
      </c>
      <c r="BC174" s="74">
        <f t="shared" si="159"/>
        <v>0</v>
      </c>
      <c r="BD174" s="74">
        <f t="shared" si="159"/>
        <v>0</v>
      </c>
      <c r="BE174" s="74">
        <f t="shared" si="154"/>
        <v>0</v>
      </c>
      <c r="BF174" s="74">
        <f t="shared" si="155"/>
        <v>0</v>
      </c>
      <c r="BG174" s="74">
        <f t="shared" si="156"/>
        <v>0</v>
      </c>
      <c r="BH174" s="21">
        <f t="shared" si="157"/>
        <v>0</v>
      </c>
    </row>
    <row r="175" spans="1:60" ht="15.75" customHeight="1">
      <c r="A175" s="72" t="s">
        <v>242</v>
      </c>
      <c r="B175" s="2" t="str">
        <f>IFERROR(VLOOKUP(A175,'Tabela de Produtos'!A:B,2,0),"Preencher Cód. Produto")</f>
        <v>BRAZIMIL TINTA ACRILICA PREM INT/EXT  SEMIBRILHO 3L DIMANTE</v>
      </c>
      <c r="C175" s="2"/>
      <c r="D175" s="73" t="s">
        <v>66</v>
      </c>
      <c r="E175" s="73"/>
      <c r="F175" s="74" t="str">
        <f>IF(A175=0,0,VLOOKUP(A175,'Tabela de Produtos'!A:W,23,0))</f>
        <v>Cadastrar Ficha de Produção</v>
      </c>
      <c r="G175" s="74">
        <v>0</v>
      </c>
      <c r="H175" s="76">
        <v>1</v>
      </c>
      <c r="I175" s="74">
        <f t="shared" si="152"/>
        <v>0</v>
      </c>
      <c r="J175" s="77">
        <f>VLOOKUP(B175,'Tabela de Produtos'!B:M,12,FALSE())</f>
        <v>0</v>
      </c>
      <c r="K175" s="74"/>
      <c r="L175" s="74"/>
      <c r="M175" s="74"/>
      <c r="N175" s="81"/>
      <c r="O175" s="74"/>
      <c r="P175" s="74"/>
      <c r="Q175" s="74"/>
      <c r="R175" s="81"/>
      <c r="S175" s="74"/>
      <c r="T175" s="74"/>
      <c r="U175" s="74"/>
      <c r="V175" s="74"/>
      <c r="W175" s="81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7"/>
      <c r="AY175" s="77">
        <f t="shared" si="153"/>
        <v>0</v>
      </c>
      <c r="AZ175" s="79">
        <f>IFERROR(H175*VLOOKUP(A175,'Tabela de Produtos'!A:Q,17,0),0)</f>
        <v>0</v>
      </c>
      <c r="BA175" s="74">
        <f t="shared" si="159"/>
        <v>0</v>
      </c>
      <c r="BB175" s="74">
        <f t="shared" si="159"/>
        <v>0</v>
      </c>
      <c r="BC175" s="74">
        <f t="shared" si="159"/>
        <v>0</v>
      </c>
      <c r="BD175" s="74">
        <f t="shared" si="159"/>
        <v>0</v>
      </c>
      <c r="BE175" s="74">
        <f t="shared" si="154"/>
        <v>0</v>
      </c>
      <c r="BF175" s="74">
        <f t="shared" si="155"/>
        <v>0</v>
      </c>
      <c r="BG175" s="74">
        <f t="shared" si="156"/>
        <v>0</v>
      </c>
      <c r="BH175" s="21">
        <f t="shared" si="157"/>
        <v>0</v>
      </c>
    </row>
    <row r="176" spans="1:60" ht="15.75" customHeight="1">
      <c r="A176" s="72" t="s">
        <v>243</v>
      </c>
      <c r="B176" s="2" t="str">
        <f>IFERROR(VLOOKUP(A176,'Tabela de Produtos'!A:B,2,0),"Preencher Cód. Produto")</f>
        <v>BRAZIMIL TINTA ACRILICA PREM INT/EXT SEMIBRILHO 3L CINZA PLATINA</v>
      </c>
      <c r="C176" s="2"/>
      <c r="D176" s="73" t="s">
        <v>66</v>
      </c>
      <c r="E176" s="73"/>
      <c r="F176" s="74" t="str">
        <f>IF(A176=0,0,VLOOKUP(A176,'Tabela de Produtos'!A:W,23,0))</f>
        <v>Cadastrar Ficha de Produção</v>
      </c>
      <c r="G176" s="74">
        <v>0</v>
      </c>
      <c r="H176" s="76">
        <v>1</v>
      </c>
      <c r="I176" s="74">
        <f t="shared" si="152"/>
        <v>0</v>
      </c>
      <c r="J176" s="77">
        <f>VLOOKUP(B176,'Tabela de Produtos'!B:M,12,FALSE())</f>
        <v>0</v>
      </c>
      <c r="K176" s="74"/>
      <c r="L176" s="74"/>
      <c r="M176" s="74"/>
      <c r="N176" s="81"/>
      <c r="O176" s="74"/>
      <c r="P176" s="74"/>
      <c r="Q176" s="74"/>
      <c r="R176" s="81"/>
      <c r="S176" s="74"/>
      <c r="T176" s="74"/>
      <c r="U176" s="74"/>
      <c r="V176" s="74"/>
      <c r="W176" s="81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7"/>
      <c r="AY176" s="77">
        <f t="shared" si="153"/>
        <v>0</v>
      </c>
      <c r="AZ176" s="79">
        <f>IFERROR(H176*VLOOKUP(A176,'Tabela de Produtos'!A:Q,17,0),0)</f>
        <v>0</v>
      </c>
      <c r="BA176" s="74">
        <f t="shared" si="159"/>
        <v>0</v>
      </c>
      <c r="BB176" s="74">
        <f t="shared" si="159"/>
        <v>0</v>
      </c>
      <c r="BC176" s="74">
        <f t="shared" si="159"/>
        <v>0</v>
      </c>
      <c r="BD176" s="74">
        <f t="shared" si="159"/>
        <v>0</v>
      </c>
      <c r="BE176" s="74">
        <f t="shared" si="154"/>
        <v>0</v>
      </c>
      <c r="BF176" s="74">
        <f t="shared" si="155"/>
        <v>0</v>
      </c>
      <c r="BG176" s="74">
        <f t="shared" si="156"/>
        <v>0</v>
      </c>
      <c r="BH176" s="21">
        <f t="shared" si="157"/>
        <v>0</v>
      </c>
    </row>
    <row r="177" spans="1:60" ht="15.75" customHeight="1">
      <c r="A177" s="72" t="s">
        <v>244</v>
      </c>
      <c r="B177" s="2" t="str">
        <f>IFERROR(VLOOKUP(A177,'Tabela de Produtos'!A:B,2,0),"Preencher Cód. Produto")</f>
        <v>BRAZIMIL TINTA ACRILICA PREM INT/EXT  SEMIBRILHO 3L CINZA INTENSO</v>
      </c>
      <c r="C177" s="2"/>
      <c r="D177" s="73" t="s">
        <v>66</v>
      </c>
      <c r="E177" s="73"/>
      <c r="F177" s="74" t="str">
        <f>IF(A177=0,0,VLOOKUP(A177,'Tabela de Produtos'!A:W,23,0))</f>
        <v>Cadastrar Ficha de Produção</v>
      </c>
      <c r="G177" s="74">
        <v>0</v>
      </c>
      <c r="H177" s="76">
        <v>1</v>
      </c>
      <c r="I177" s="74">
        <f t="shared" si="152"/>
        <v>0</v>
      </c>
      <c r="J177" s="77">
        <f>VLOOKUP(B177,'Tabela de Produtos'!B:M,12,FALSE())</f>
        <v>0</v>
      </c>
      <c r="K177" s="74"/>
      <c r="L177" s="74"/>
      <c r="M177" s="74"/>
      <c r="N177" s="81"/>
      <c r="O177" s="74"/>
      <c r="P177" s="74"/>
      <c r="Q177" s="74"/>
      <c r="R177" s="81"/>
      <c r="S177" s="74"/>
      <c r="T177" s="74"/>
      <c r="U177" s="74"/>
      <c r="V177" s="74"/>
      <c r="W177" s="81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7"/>
      <c r="AY177" s="77">
        <f t="shared" si="153"/>
        <v>0</v>
      </c>
      <c r="AZ177" s="79">
        <f>IFERROR(H177*VLOOKUP(A177,'Tabela de Produtos'!A:Q,17,0),0)</f>
        <v>0</v>
      </c>
      <c r="BA177" s="74">
        <f t="shared" si="159"/>
        <v>0</v>
      </c>
      <c r="BB177" s="74">
        <f t="shared" si="159"/>
        <v>0</v>
      </c>
      <c r="BC177" s="74">
        <f t="shared" si="159"/>
        <v>0</v>
      </c>
      <c r="BD177" s="74">
        <f t="shared" si="159"/>
        <v>0</v>
      </c>
      <c r="BE177" s="74">
        <f t="shared" si="154"/>
        <v>0</v>
      </c>
      <c r="BF177" s="74">
        <f t="shared" si="155"/>
        <v>0</v>
      </c>
      <c r="BG177" s="74">
        <f t="shared" si="156"/>
        <v>0</v>
      </c>
      <c r="BH177" s="21">
        <f t="shared" si="157"/>
        <v>0</v>
      </c>
    </row>
    <row r="178" spans="1:60" ht="15.75" customHeight="1">
      <c r="A178" s="72" t="s">
        <v>245</v>
      </c>
      <c r="B178" s="2" t="str">
        <f>IFERROR(VLOOKUP(A178,'Tabela de Produtos'!A:B,2,0),"Preencher Cód. Produto")</f>
        <v>BRAZIMIL TINTA ACRILICA PREM INT/EXT SEMIBRILHO 3L EGIPCIO</v>
      </c>
      <c r="C178" s="2"/>
      <c r="D178" s="73" t="s">
        <v>66</v>
      </c>
      <c r="E178" s="73"/>
      <c r="F178" s="74" t="str">
        <f>IF(A178=0,0,VLOOKUP(A178,'Tabela de Produtos'!A:W,23,0))</f>
        <v>Cadastrar Ficha de Produção</v>
      </c>
      <c r="G178" s="74">
        <v>0</v>
      </c>
      <c r="H178" s="76">
        <v>1</v>
      </c>
      <c r="I178" s="74">
        <f t="shared" si="152"/>
        <v>0</v>
      </c>
      <c r="J178" s="77">
        <f>VLOOKUP(B178,'Tabela de Produtos'!B:M,12,FALSE())</f>
        <v>0</v>
      </c>
      <c r="K178" s="74"/>
      <c r="L178" s="74"/>
      <c r="M178" s="74"/>
      <c r="N178" s="81"/>
      <c r="O178" s="74"/>
      <c r="P178" s="74"/>
      <c r="Q178" s="74"/>
      <c r="R178" s="81"/>
      <c r="S178" s="74"/>
      <c r="T178" s="74"/>
      <c r="U178" s="74"/>
      <c r="V178" s="74"/>
      <c r="W178" s="81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7"/>
      <c r="AY178" s="77">
        <f t="shared" si="153"/>
        <v>0</v>
      </c>
      <c r="AZ178" s="79">
        <f>IFERROR(H178*VLOOKUP(A178,'Tabela de Produtos'!A:Q,17,0),0)</f>
        <v>0</v>
      </c>
      <c r="BA178" s="74">
        <f t="shared" si="159"/>
        <v>0</v>
      </c>
      <c r="BB178" s="74">
        <f t="shared" si="159"/>
        <v>0</v>
      </c>
      <c r="BC178" s="74">
        <f t="shared" si="159"/>
        <v>0</v>
      </c>
      <c r="BD178" s="74">
        <f t="shared" si="159"/>
        <v>0</v>
      </c>
      <c r="BE178" s="74">
        <f t="shared" si="154"/>
        <v>0</v>
      </c>
      <c r="BF178" s="74">
        <f t="shared" si="155"/>
        <v>0</v>
      </c>
      <c r="BG178" s="74">
        <f t="shared" si="156"/>
        <v>0</v>
      </c>
      <c r="BH178" s="21">
        <f t="shared" si="157"/>
        <v>0</v>
      </c>
    </row>
    <row r="179" spans="1:60" ht="15.75" customHeight="1">
      <c r="A179" s="72" t="s">
        <v>246</v>
      </c>
      <c r="B179" s="2" t="str">
        <f>IFERROR(VLOOKUP(A179,'Tabela de Produtos'!A:B,2,0),"Preencher Cód. Produto")</f>
        <v>BRAZIMIL TINTA ACRILICA PREM INT/EXT SEMIBRILHO 3L MARROM GRADIENTE</v>
      </c>
      <c r="C179" s="2"/>
      <c r="D179" s="73" t="s">
        <v>66</v>
      </c>
      <c r="E179" s="73"/>
      <c r="F179" s="74" t="str">
        <f>IF(A179=0,0,VLOOKUP(A179,'Tabela de Produtos'!A:W,23,0))</f>
        <v>Cadastrar Ficha de Produção</v>
      </c>
      <c r="G179" s="74">
        <v>0</v>
      </c>
      <c r="H179" s="76">
        <v>1</v>
      </c>
      <c r="I179" s="74">
        <f t="shared" si="152"/>
        <v>0</v>
      </c>
      <c r="J179" s="77">
        <f>VLOOKUP(B179,'Tabela de Produtos'!B:M,12,FALSE())</f>
        <v>0</v>
      </c>
      <c r="K179" s="74"/>
      <c r="L179" s="74"/>
      <c r="M179" s="74"/>
      <c r="N179" s="81"/>
      <c r="O179" s="74"/>
      <c r="P179" s="74"/>
      <c r="Q179" s="74"/>
      <c r="R179" s="81"/>
      <c r="S179" s="74"/>
      <c r="T179" s="74"/>
      <c r="U179" s="74"/>
      <c r="V179" s="74"/>
      <c r="W179" s="81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7"/>
      <c r="AY179" s="77">
        <f t="shared" si="153"/>
        <v>0</v>
      </c>
      <c r="AZ179" s="79">
        <f>IFERROR(H179*VLOOKUP(A179,'Tabela de Produtos'!A:Q,17,0),0)</f>
        <v>0</v>
      </c>
      <c r="BA179" s="74">
        <f t="shared" si="159"/>
        <v>0</v>
      </c>
      <c r="BB179" s="74">
        <f t="shared" si="159"/>
        <v>0</v>
      </c>
      <c r="BC179" s="74">
        <f t="shared" si="159"/>
        <v>0</v>
      </c>
      <c r="BD179" s="74">
        <f t="shared" si="159"/>
        <v>0</v>
      </c>
      <c r="BE179" s="74">
        <f t="shared" si="154"/>
        <v>0</v>
      </c>
      <c r="BF179" s="74">
        <f t="shared" si="155"/>
        <v>0</v>
      </c>
      <c r="BG179" s="74">
        <f t="shared" si="156"/>
        <v>0</v>
      </c>
      <c r="BH179" s="21">
        <f t="shared" si="157"/>
        <v>0</v>
      </c>
    </row>
    <row r="180" spans="1:60" ht="15.75" customHeight="1">
      <c r="A180" s="72" t="s">
        <v>247</v>
      </c>
      <c r="B180" s="2" t="str">
        <f>IFERROR(VLOOKUP(A180,'Tabela de Produtos'!A:B,2,0),"Preencher Cód. Produto")</f>
        <v>BRAZIMIL TINTA ACRILICA PREM INT/EXT SEMIBRILHO 3L AVELA</v>
      </c>
      <c r="C180" s="2"/>
      <c r="D180" s="73" t="s">
        <v>66</v>
      </c>
      <c r="E180" s="73"/>
      <c r="F180" s="74" t="str">
        <f>IF(A180=0,0,VLOOKUP(A180,'Tabela de Produtos'!A:W,23,0))</f>
        <v>Cadastrar Ficha de Produção</v>
      </c>
      <c r="G180" s="74">
        <v>0</v>
      </c>
      <c r="H180" s="76">
        <v>1</v>
      </c>
      <c r="I180" s="74">
        <f t="shared" si="152"/>
        <v>0</v>
      </c>
      <c r="J180" s="77">
        <f>VLOOKUP(B180,'Tabela de Produtos'!B:M,12,FALSE())</f>
        <v>0</v>
      </c>
      <c r="K180" s="74"/>
      <c r="L180" s="74"/>
      <c r="M180" s="74"/>
      <c r="N180" s="81"/>
      <c r="O180" s="74"/>
      <c r="P180" s="74"/>
      <c r="Q180" s="74"/>
      <c r="R180" s="81"/>
      <c r="S180" s="74"/>
      <c r="T180" s="74"/>
      <c r="U180" s="74"/>
      <c r="V180" s="74"/>
      <c r="W180" s="81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7"/>
      <c r="AY180" s="77">
        <f t="shared" si="153"/>
        <v>0</v>
      </c>
      <c r="AZ180" s="79">
        <f>IFERROR(H180*VLOOKUP(A180,'Tabela de Produtos'!A:Q,17,0),0)</f>
        <v>0</v>
      </c>
      <c r="BA180" s="74">
        <f t="shared" si="159"/>
        <v>0</v>
      </c>
      <c r="BB180" s="74">
        <f t="shared" si="159"/>
        <v>0</v>
      </c>
      <c r="BC180" s="74">
        <f t="shared" si="159"/>
        <v>0</v>
      </c>
      <c r="BD180" s="74">
        <f t="shared" si="159"/>
        <v>0</v>
      </c>
      <c r="BE180" s="74">
        <f t="shared" si="154"/>
        <v>0</v>
      </c>
      <c r="BF180" s="74">
        <f t="shared" si="155"/>
        <v>0</v>
      </c>
      <c r="BG180" s="74">
        <f t="shared" si="156"/>
        <v>0</v>
      </c>
      <c r="BH180" s="21">
        <f t="shared" si="157"/>
        <v>0</v>
      </c>
    </row>
    <row r="181" spans="1:60" ht="15.75" customHeight="1">
      <c r="A181" s="72" t="s">
        <v>248</v>
      </c>
      <c r="B181" s="2" t="str">
        <f>IFERROR(VLOOKUP(A181,'Tabela de Produtos'!A:B,2,0),"Preencher Cód. Produto")</f>
        <v>BRAZIMIL TINTA ACRILICA PREM INT/EXT SEMIBRILHO 3L CARAMELO</v>
      </c>
      <c r="C181" s="2"/>
      <c r="D181" s="73" t="s">
        <v>66</v>
      </c>
      <c r="E181" s="73"/>
      <c r="F181" s="74" t="str">
        <f>IF(A181=0,0,VLOOKUP(A181,'Tabela de Produtos'!A:W,23,0))</f>
        <v>Cadastrar Ficha de Produção</v>
      </c>
      <c r="G181" s="74">
        <v>0</v>
      </c>
      <c r="H181" s="76">
        <v>1</v>
      </c>
      <c r="I181" s="74">
        <f t="shared" si="152"/>
        <v>0</v>
      </c>
      <c r="J181" s="77">
        <f>VLOOKUP(B181,'Tabela de Produtos'!B:M,12,FALSE())</f>
        <v>0</v>
      </c>
      <c r="K181" s="74"/>
      <c r="L181" s="74"/>
      <c r="M181" s="74"/>
      <c r="N181" s="81"/>
      <c r="O181" s="74"/>
      <c r="P181" s="74"/>
      <c r="Q181" s="74"/>
      <c r="R181" s="81"/>
      <c r="S181" s="74"/>
      <c r="T181" s="74"/>
      <c r="U181" s="74"/>
      <c r="V181" s="74"/>
      <c r="W181" s="81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7"/>
      <c r="AY181" s="77">
        <f t="shared" si="153"/>
        <v>0</v>
      </c>
      <c r="AZ181" s="79">
        <f>IFERROR(H181*VLOOKUP(A181,'Tabela de Produtos'!A:Q,17,0),0)</f>
        <v>0</v>
      </c>
      <c r="BA181" s="74">
        <f t="shared" si="159"/>
        <v>0</v>
      </c>
      <c r="BB181" s="74">
        <f t="shared" si="159"/>
        <v>0</v>
      </c>
      <c r="BC181" s="74">
        <f t="shared" si="159"/>
        <v>0</v>
      </c>
      <c r="BD181" s="74">
        <f t="shared" si="159"/>
        <v>0</v>
      </c>
      <c r="BE181" s="74">
        <f t="shared" si="154"/>
        <v>0</v>
      </c>
      <c r="BF181" s="74">
        <f t="shared" si="155"/>
        <v>0</v>
      </c>
      <c r="BG181" s="74">
        <f t="shared" si="156"/>
        <v>0</v>
      </c>
      <c r="BH181" s="21">
        <f t="shared" si="157"/>
        <v>0</v>
      </c>
    </row>
    <row r="182" spans="1:60" ht="15.75" customHeight="1">
      <c r="A182" s="72" t="s">
        <v>249</v>
      </c>
      <c r="B182" s="2" t="str">
        <f>IFERROR(VLOOKUP(A182,'Tabela de Produtos'!A:B,2,0),"Preencher Cód. Produto")</f>
        <v>BRAZIMIL TINTA ACRILICA PREM INT/EXT SEMIBRILHO 3L CAFÉ</v>
      </c>
      <c r="C182" s="2"/>
      <c r="D182" s="73" t="s">
        <v>66</v>
      </c>
      <c r="E182" s="73"/>
      <c r="F182" s="74" t="str">
        <f>IF(A182=0,0,VLOOKUP(A182,'Tabela de Produtos'!A:W,23,0))</f>
        <v>Cadastrar Ficha de Produção</v>
      </c>
      <c r="G182" s="74">
        <v>0</v>
      </c>
      <c r="H182" s="76">
        <v>1</v>
      </c>
      <c r="I182" s="74">
        <f t="shared" si="152"/>
        <v>0</v>
      </c>
      <c r="J182" s="77">
        <f>VLOOKUP(B182,'Tabela de Produtos'!B:M,12,FALSE())</f>
        <v>0</v>
      </c>
      <c r="K182" s="74"/>
      <c r="L182" s="74"/>
      <c r="M182" s="74"/>
      <c r="N182" s="81"/>
      <c r="O182" s="74"/>
      <c r="P182" s="74"/>
      <c r="Q182" s="74"/>
      <c r="R182" s="81"/>
      <c r="S182" s="74"/>
      <c r="T182" s="74"/>
      <c r="U182" s="74"/>
      <c r="V182" s="74"/>
      <c r="W182" s="81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7"/>
      <c r="AY182" s="77">
        <f t="shared" si="153"/>
        <v>0</v>
      </c>
      <c r="AZ182" s="79">
        <f>IFERROR(H182*VLOOKUP(A182,'Tabela de Produtos'!A:Q,17,0),0)</f>
        <v>0</v>
      </c>
      <c r="BA182" s="74">
        <f t="shared" si="159"/>
        <v>0</v>
      </c>
      <c r="BB182" s="74">
        <f t="shared" si="159"/>
        <v>0</v>
      </c>
      <c r="BC182" s="74">
        <f t="shared" si="159"/>
        <v>0</v>
      </c>
      <c r="BD182" s="74">
        <f t="shared" si="159"/>
        <v>0</v>
      </c>
      <c r="BE182" s="74">
        <f t="shared" si="154"/>
        <v>0</v>
      </c>
      <c r="BF182" s="74">
        <f t="shared" si="155"/>
        <v>0</v>
      </c>
      <c r="BG182" s="74">
        <f t="shared" si="156"/>
        <v>0</v>
      </c>
      <c r="BH182" s="21">
        <f t="shared" si="157"/>
        <v>0</v>
      </c>
    </row>
    <row r="183" spans="1:60" ht="15.75" customHeight="1">
      <c r="A183" s="72" t="s">
        <v>250</v>
      </c>
      <c r="B183" s="2" t="str">
        <f>IFERROR(VLOOKUP(A183,'Tabela de Produtos'!A:B,2,0),"Preencher Cód. Produto")</f>
        <v>BRAZIMIL TINTA ACRILICA PREM INT/EXT SEMIBRILHO 3L NUDE</v>
      </c>
      <c r="C183" s="2"/>
      <c r="D183" s="73" t="s">
        <v>66</v>
      </c>
      <c r="E183" s="73"/>
      <c r="F183" s="74" t="str">
        <f>IF(A183=0,0,VLOOKUP(A183,'Tabela de Produtos'!A:W,23,0))</f>
        <v>Cadastrar Ficha de Produção</v>
      </c>
      <c r="G183" s="74">
        <v>0</v>
      </c>
      <c r="H183" s="76">
        <v>1</v>
      </c>
      <c r="I183" s="74">
        <f t="shared" si="152"/>
        <v>0</v>
      </c>
      <c r="J183" s="77">
        <f>VLOOKUP(B183,'Tabela de Produtos'!B:M,12,FALSE())</f>
        <v>0</v>
      </c>
      <c r="K183" s="74"/>
      <c r="L183" s="74"/>
      <c r="M183" s="74"/>
      <c r="N183" s="81"/>
      <c r="O183" s="74"/>
      <c r="P183" s="74"/>
      <c r="Q183" s="74"/>
      <c r="R183" s="81"/>
      <c r="S183" s="74"/>
      <c r="T183" s="74"/>
      <c r="U183" s="74"/>
      <c r="V183" s="74"/>
      <c r="W183" s="81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7"/>
      <c r="AY183" s="77">
        <f t="shared" si="153"/>
        <v>0</v>
      </c>
      <c r="AZ183" s="79">
        <f>IFERROR(H183*VLOOKUP(A183,'Tabela de Produtos'!A:Q,17,0),0)</f>
        <v>0</v>
      </c>
      <c r="BA183" s="74">
        <f t="shared" si="159"/>
        <v>0</v>
      </c>
      <c r="BB183" s="74">
        <f t="shared" si="159"/>
        <v>0</v>
      </c>
      <c r="BC183" s="74">
        <f t="shared" si="159"/>
        <v>0</v>
      </c>
      <c r="BD183" s="74">
        <f t="shared" si="159"/>
        <v>0</v>
      </c>
      <c r="BE183" s="74">
        <f t="shared" si="154"/>
        <v>0</v>
      </c>
      <c r="BF183" s="74">
        <f t="shared" si="155"/>
        <v>0</v>
      </c>
      <c r="BG183" s="74">
        <f t="shared" si="156"/>
        <v>0</v>
      </c>
      <c r="BH183" s="21">
        <f t="shared" si="157"/>
        <v>0</v>
      </c>
    </row>
    <row r="184" spans="1:60" ht="15.75" customHeight="1">
      <c r="A184" s="72" t="s">
        <v>251</v>
      </c>
      <c r="B184" s="2" t="str">
        <f>IFERROR(VLOOKUP(A184,'Tabela de Produtos'!A:B,2,0),"Preencher Cód. Produto")</f>
        <v>BRAZIMIL TINTA ACRILICA PREM INT/EXT  SEMIBRILHO 3L MARFIM REAL</v>
      </c>
      <c r="C184" s="2"/>
      <c r="D184" s="73" t="s">
        <v>66</v>
      </c>
      <c r="E184" s="73"/>
      <c r="F184" s="74" t="str">
        <f>IF(A184=0,0,VLOOKUP(A184,'Tabela de Produtos'!A:W,23,0))</f>
        <v>Cadastrar Ficha de Produção</v>
      </c>
      <c r="G184" s="74">
        <v>0</v>
      </c>
      <c r="H184" s="76">
        <v>1</v>
      </c>
      <c r="I184" s="74">
        <f t="shared" si="152"/>
        <v>0</v>
      </c>
      <c r="J184" s="77">
        <f>VLOOKUP(B184,'Tabela de Produtos'!B:M,12,FALSE())</f>
        <v>0</v>
      </c>
      <c r="K184" s="74"/>
      <c r="L184" s="74"/>
      <c r="M184" s="74"/>
      <c r="N184" s="81"/>
      <c r="O184" s="74"/>
      <c r="P184" s="74"/>
      <c r="Q184" s="74"/>
      <c r="R184" s="81"/>
      <c r="S184" s="74"/>
      <c r="T184" s="74"/>
      <c r="U184" s="74"/>
      <c r="V184" s="74"/>
      <c r="W184" s="81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7"/>
      <c r="AY184" s="77">
        <f t="shared" si="153"/>
        <v>0</v>
      </c>
      <c r="AZ184" s="79">
        <f>IFERROR(H184*VLOOKUP(A184,'Tabela de Produtos'!A:Q,17,0),0)</f>
        <v>0</v>
      </c>
      <c r="BA184" s="74">
        <f t="shared" si="159"/>
        <v>0</v>
      </c>
      <c r="BB184" s="74">
        <f t="shared" si="159"/>
        <v>0</v>
      </c>
      <c r="BC184" s="74">
        <f t="shared" si="159"/>
        <v>0</v>
      </c>
      <c r="BD184" s="74">
        <f t="shared" si="159"/>
        <v>0</v>
      </c>
      <c r="BE184" s="74">
        <f t="shared" si="154"/>
        <v>0</v>
      </c>
      <c r="BF184" s="74">
        <f t="shared" si="155"/>
        <v>0</v>
      </c>
      <c r="BG184" s="74">
        <f t="shared" si="156"/>
        <v>0</v>
      </c>
      <c r="BH184" s="21">
        <f t="shared" si="157"/>
        <v>0</v>
      </c>
    </row>
    <row r="185" spans="1:60" ht="15.75" customHeight="1">
      <c r="A185" s="72" t="s">
        <v>252</v>
      </c>
      <c r="B185" s="2" t="str">
        <f>IFERROR(VLOOKUP(A185,'Tabela de Produtos'!A:B,2,0),"Preencher Cód. Produto")</f>
        <v>BRAZIMIL TINTA ACRILICA PREM INT/EXT SEMIBRILHO 3L CAMURCA</v>
      </c>
      <c r="C185" s="2"/>
      <c r="D185" s="73" t="s">
        <v>66</v>
      </c>
      <c r="E185" s="73"/>
      <c r="F185" s="74" t="str">
        <f>IF(A185=0,0,VLOOKUP(A185,'Tabela de Produtos'!A:W,23,0))</f>
        <v>Cadastrar Ficha de Produção</v>
      </c>
      <c r="G185" s="74">
        <v>0</v>
      </c>
      <c r="H185" s="76">
        <v>1</v>
      </c>
      <c r="I185" s="74">
        <f t="shared" si="152"/>
        <v>0</v>
      </c>
      <c r="J185" s="77">
        <f>VLOOKUP(B185,'Tabela de Produtos'!B:M,12,FALSE())</f>
        <v>0</v>
      </c>
      <c r="K185" s="74"/>
      <c r="L185" s="74"/>
      <c r="M185" s="74"/>
      <c r="N185" s="81"/>
      <c r="O185" s="74"/>
      <c r="P185" s="74"/>
      <c r="Q185" s="74"/>
      <c r="R185" s="81"/>
      <c r="S185" s="74"/>
      <c r="T185" s="74"/>
      <c r="U185" s="74"/>
      <c r="V185" s="74"/>
      <c r="W185" s="81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7"/>
      <c r="AY185" s="77">
        <f t="shared" si="153"/>
        <v>0</v>
      </c>
      <c r="AZ185" s="79">
        <f>IFERROR(H185*VLOOKUP(A185,'Tabela de Produtos'!A:Q,17,0),0)</f>
        <v>0</v>
      </c>
      <c r="BA185" s="74">
        <f t="shared" si="159"/>
        <v>0</v>
      </c>
      <c r="BB185" s="74">
        <f t="shared" si="159"/>
        <v>0</v>
      </c>
      <c r="BC185" s="74">
        <f t="shared" si="159"/>
        <v>0</v>
      </c>
      <c r="BD185" s="74">
        <f t="shared" si="159"/>
        <v>0</v>
      </c>
      <c r="BE185" s="74">
        <f t="shared" si="154"/>
        <v>0</v>
      </c>
      <c r="BF185" s="74">
        <f t="shared" si="155"/>
        <v>0</v>
      </c>
      <c r="BG185" s="74">
        <f t="shared" si="156"/>
        <v>0</v>
      </c>
      <c r="BH185" s="21">
        <f t="shared" si="157"/>
        <v>0</v>
      </c>
    </row>
    <row r="186" spans="1:60" ht="15.75" customHeight="1">
      <c r="A186" s="72" t="s">
        <v>253</v>
      </c>
      <c r="B186" s="2" t="str">
        <f>IFERROR(VLOOKUP(A186,'Tabela de Produtos'!A:B,2,0),"Preencher Cód. Produto")</f>
        <v>BRAZIMIL TINTA ACRILICA PREM INT/EXT SEMIBRILHO 3L AZUL ANIL</v>
      </c>
      <c r="C186" s="2"/>
      <c r="D186" s="73" t="s">
        <v>66</v>
      </c>
      <c r="E186" s="73"/>
      <c r="F186" s="74" t="str">
        <f>IF(A186=0,0,VLOOKUP(A186,'Tabela de Produtos'!A:W,23,0))</f>
        <v>Cadastrar Ficha de Produção</v>
      </c>
      <c r="G186" s="74">
        <v>0</v>
      </c>
      <c r="H186" s="76">
        <v>1</v>
      </c>
      <c r="I186" s="74">
        <f t="shared" si="152"/>
        <v>0</v>
      </c>
      <c r="J186" s="77">
        <f>VLOOKUP(B186,'Tabela de Produtos'!B:M,12,FALSE())</f>
        <v>0</v>
      </c>
      <c r="K186" s="74"/>
      <c r="L186" s="74"/>
      <c r="M186" s="74"/>
      <c r="N186" s="81"/>
      <c r="O186" s="74"/>
      <c r="P186" s="74"/>
      <c r="Q186" s="74"/>
      <c r="R186" s="81"/>
      <c r="S186" s="74"/>
      <c r="T186" s="74"/>
      <c r="U186" s="74"/>
      <c r="V186" s="74"/>
      <c r="W186" s="81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7"/>
      <c r="AY186" s="77">
        <f t="shared" si="153"/>
        <v>0</v>
      </c>
      <c r="AZ186" s="79">
        <f>IFERROR(H186*VLOOKUP(A186,'Tabela de Produtos'!A:Q,17,0),0)</f>
        <v>0</v>
      </c>
      <c r="BA186" s="74">
        <f t="shared" si="159"/>
        <v>0</v>
      </c>
      <c r="BB186" s="74">
        <f t="shared" si="159"/>
        <v>0</v>
      </c>
      <c r="BC186" s="74">
        <f t="shared" si="159"/>
        <v>0</v>
      </c>
      <c r="BD186" s="74">
        <f t="shared" si="159"/>
        <v>0</v>
      </c>
      <c r="BE186" s="74">
        <f t="shared" si="154"/>
        <v>0</v>
      </c>
      <c r="BF186" s="74">
        <f t="shared" si="155"/>
        <v>0</v>
      </c>
      <c r="BG186" s="74">
        <f t="shared" si="156"/>
        <v>0</v>
      </c>
      <c r="BH186" s="21">
        <f t="shared" si="157"/>
        <v>0</v>
      </c>
    </row>
    <row r="187" spans="1:60" ht="15.75" customHeight="1">
      <c r="A187" s="72" t="s">
        <v>254</v>
      </c>
      <c r="B187" s="2" t="str">
        <f>IFERROR(VLOOKUP(A187,'Tabela de Produtos'!A:B,2,0),"Preencher Cód. Produto")</f>
        <v>BRAZIMIL TINTA ACRILICA PREM INT/EXT  SEMIBRILHO 3L CARDINAL</v>
      </c>
      <c r="C187" s="2"/>
      <c r="D187" s="73" t="s">
        <v>66</v>
      </c>
      <c r="E187" s="73"/>
      <c r="F187" s="74" t="str">
        <f>IF(A187=0,0,VLOOKUP(A187,'Tabela de Produtos'!A:W,23,0))</f>
        <v>Cadastrar Ficha de Produção</v>
      </c>
      <c r="G187" s="74">
        <v>0</v>
      </c>
      <c r="H187" s="76">
        <v>1</v>
      </c>
      <c r="I187" s="74">
        <f t="shared" si="152"/>
        <v>0</v>
      </c>
      <c r="J187" s="77">
        <f>VLOOKUP(B187,'Tabela de Produtos'!B:M,12,FALSE())</f>
        <v>0</v>
      </c>
      <c r="K187" s="74"/>
      <c r="L187" s="74"/>
      <c r="M187" s="74"/>
      <c r="N187" s="81"/>
      <c r="O187" s="74"/>
      <c r="P187" s="74"/>
      <c r="Q187" s="74"/>
      <c r="R187" s="81"/>
      <c r="S187" s="74"/>
      <c r="T187" s="74"/>
      <c r="U187" s="74"/>
      <c r="V187" s="74"/>
      <c r="W187" s="81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7"/>
      <c r="AY187" s="77">
        <f t="shared" si="153"/>
        <v>0</v>
      </c>
      <c r="AZ187" s="79">
        <f>IFERROR(H187*VLOOKUP(A187,'Tabela de Produtos'!A:Q,17,0),0)</f>
        <v>0</v>
      </c>
      <c r="BA187" s="74">
        <f t="shared" si="159"/>
        <v>0</v>
      </c>
      <c r="BB187" s="74">
        <f t="shared" si="159"/>
        <v>0</v>
      </c>
      <c r="BC187" s="74">
        <f t="shared" si="159"/>
        <v>0</v>
      </c>
      <c r="BD187" s="74">
        <f t="shared" si="159"/>
        <v>0</v>
      </c>
      <c r="BE187" s="74">
        <f t="shared" si="154"/>
        <v>0</v>
      </c>
      <c r="BF187" s="74">
        <f t="shared" si="155"/>
        <v>0</v>
      </c>
      <c r="BG187" s="74">
        <f t="shared" si="156"/>
        <v>0</v>
      </c>
      <c r="BH187" s="21">
        <f t="shared" si="157"/>
        <v>0</v>
      </c>
    </row>
    <row r="188" spans="1:60" ht="15.75" customHeight="1">
      <c r="A188" s="72" t="s">
        <v>255</v>
      </c>
      <c r="B188" s="2" t="str">
        <f>IFERROR(VLOOKUP(A188,'Tabela de Produtos'!A:B,2,0),"Preencher Cód. Produto")</f>
        <v>BRAZIMIL TINTA ACRILICA PREM INT/EXT SEMIBRILHO 3L PRAIA</v>
      </c>
      <c r="C188" s="2"/>
      <c r="D188" s="73" t="s">
        <v>66</v>
      </c>
      <c r="E188" s="73"/>
      <c r="F188" s="74" t="str">
        <f>IF(A188=0,0,VLOOKUP(A188,'Tabela de Produtos'!A:W,23,0))</f>
        <v>Cadastrar Ficha de Produção</v>
      </c>
      <c r="G188" s="74">
        <v>0</v>
      </c>
      <c r="H188" s="76">
        <v>1</v>
      </c>
      <c r="I188" s="74">
        <f t="shared" si="152"/>
        <v>0</v>
      </c>
      <c r="J188" s="77">
        <f>VLOOKUP(B188,'Tabela de Produtos'!B:M,12,FALSE())</f>
        <v>0</v>
      </c>
      <c r="K188" s="74"/>
      <c r="L188" s="74"/>
      <c r="M188" s="74"/>
      <c r="N188" s="81"/>
      <c r="O188" s="74"/>
      <c r="P188" s="74"/>
      <c r="Q188" s="74"/>
      <c r="R188" s="81"/>
      <c r="S188" s="74"/>
      <c r="T188" s="74"/>
      <c r="U188" s="74"/>
      <c r="V188" s="74"/>
      <c r="W188" s="81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7"/>
      <c r="AY188" s="77">
        <f t="shared" si="153"/>
        <v>0</v>
      </c>
      <c r="AZ188" s="79">
        <f>IFERROR(H188*VLOOKUP(A188,'Tabela de Produtos'!A:Q,17,0),0)</f>
        <v>0</v>
      </c>
      <c r="BA188" s="74">
        <f t="shared" si="159"/>
        <v>0</v>
      </c>
      <c r="BB188" s="74">
        <f t="shared" si="159"/>
        <v>0</v>
      </c>
      <c r="BC188" s="74">
        <f t="shared" si="159"/>
        <v>0</v>
      </c>
      <c r="BD188" s="74">
        <f t="shared" si="159"/>
        <v>0</v>
      </c>
      <c r="BE188" s="74">
        <f t="shared" si="154"/>
        <v>0</v>
      </c>
      <c r="BF188" s="74">
        <f t="shared" si="155"/>
        <v>0</v>
      </c>
      <c r="BG188" s="74">
        <f t="shared" si="156"/>
        <v>0</v>
      </c>
      <c r="BH188" s="21">
        <f t="shared" si="157"/>
        <v>0</v>
      </c>
    </row>
    <row r="189" spans="1:60" ht="15.75" customHeight="1">
      <c r="A189" s="72" t="s">
        <v>256</v>
      </c>
      <c r="B189" s="2" t="str">
        <f>IFERROR(VLOOKUP(A189,'Tabela de Produtos'!A:B,2,0),"Preencher Cód. Produto")</f>
        <v>BRAZIMIL TINTA ACRILICA PREM INT/EXT SEMIBRILHO 3L AMARELO SOL</v>
      </c>
      <c r="C189" s="2"/>
      <c r="D189" s="73" t="s">
        <v>66</v>
      </c>
      <c r="E189" s="73"/>
      <c r="F189" s="74" t="str">
        <f>IF(A189=0,0,VLOOKUP(A189,'Tabela de Produtos'!A:W,23,0))</f>
        <v>Cadastrar Ficha de Produção</v>
      </c>
      <c r="G189" s="74">
        <v>0</v>
      </c>
      <c r="H189" s="76">
        <v>1</v>
      </c>
      <c r="I189" s="74">
        <f t="shared" si="152"/>
        <v>0</v>
      </c>
      <c r="J189" s="77">
        <f>VLOOKUP(B189,'Tabela de Produtos'!B:M,12,FALSE())</f>
        <v>0</v>
      </c>
      <c r="K189" s="74"/>
      <c r="L189" s="74"/>
      <c r="M189" s="74"/>
      <c r="N189" s="81"/>
      <c r="O189" s="74"/>
      <c r="P189" s="74"/>
      <c r="Q189" s="74"/>
      <c r="R189" s="81"/>
      <c r="S189" s="74"/>
      <c r="T189" s="74"/>
      <c r="U189" s="74"/>
      <c r="V189" s="74"/>
      <c r="W189" s="81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7"/>
      <c r="AY189" s="77">
        <f t="shared" si="153"/>
        <v>0</v>
      </c>
      <c r="AZ189" s="79">
        <f>IFERROR(H189*VLOOKUP(A189,'Tabela de Produtos'!A:Q,17,0),0)</f>
        <v>0</v>
      </c>
      <c r="BA189" s="74">
        <f t="shared" si="159"/>
        <v>0</v>
      </c>
      <c r="BB189" s="74">
        <f t="shared" si="159"/>
        <v>0</v>
      </c>
      <c r="BC189" s="74">
        <f t="shared" si="159"/>
        <v>0</v>
      </c>
      <c r="BD189" s="74">
        <f t="shared" si="159"/>
        <v>0</v>
      </c>
      <c r="BE189" s="74">
        <f t="shared" si="154"/>
        <v>0</v>
      </c>
      <c r="BF189" s="74">
        <f t="shared" si="155"/>
        <v>0</v>
      </c>
      <c r="BG189" s="74">
        <f t="shared" si="156"/>
        <v>0</v>
      </c>
      <c r="BH189" s="21">
        <f t="shared" si="157"/>
        <v>0</v>
      </c>
    </row>
    <row r="190" spans="1:60" ht="15.75" customHeight="1">
      <c r="A190" s="72" t="s">
        <v>257</v>
      </c>
      <c r="B190" s="2" t="str">
        <f>IFERROR(VLOOKUP(A190,'Tabela de Produtos'!A:B,2,0),"Preencher Cód. Produto")</f>
        <v>BRAZIMIL TINTA ACRILICA PREM INT/EXT ACET 3L CINZA INTENSO</v>
      </c>
      <c r="C190" s="2"/>
      <c r="D190" s="73" t="s">
        <v>66</v>
      </c>
      <c r="E190" s="73"/>
      <c r="F190" s="74" t="str">
        <f>IF(A190=0,0,VLOOKUP(A190,'Tabela de Produtos'!A:W,23,0))</f>
        <v>Cadastrar Ficha de Produção</v>
      </c>
      <c r="G190" s="74">
        <v>0</v>
      </c>
      <c r="H190" s="76">
        <v>1</v>
      </c>
      <c r="I190" s="74">
        <f t="shared" si="152"/>
        <v>0</v>
      </c>
      <c r="J190" s="77">
        <f>VLOOKUP(B190,'Tabela de Produtos'!B:M,12,FALSE())</f>
        <v>0</v>
      </c>
      <c r="K190" s="74"/>
      <c r="L190" s="74"/>
      <c r="M190" s="74"/>
      <c r="N190" s="81"/>
      <c r="O190" s="74"/>
      <c r="P190" s="74"/>
      <c r="Q190" s="74"/>
      <c r="R190" s="81"/>
      <c r="S190" s="74"/>
      <c r="T190" s="74"/>
      <c r="U190" s="74"/>
      <c r="V190" s="74"/>
      <c r="W190" s="81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7"/>
      <c r="AY190" s="77">
        <f t="shared" si="153"/>
        <v>0</v>
      </c>
      <c r="AZ190" s="79">
        <f>IFERROR(H190*VLOOKUP(A190,'Tabela de Produtos'!A:Q,17,0),0)</f>
        <v>0</v>
      </c>
      <c r="BA190" s="74">
        <f t="shared" si="159"/>
        <v>0</v>
      </c>
      <c r="BB190" s="74">
        <f t="shared" si="159"/>
        <v>0</v>
      </c>
      <c r="BC190" s="74">
        <f t="shared" si="159"/>
        <v>0</v>
      </c>
      <c r="BD190" s="74">
        <f t="shared" si="159"/>
        <v>0</v>
      </c>
      <c r="BE190" s="74">
        <f t="shared" si="154"/>
        <v>0</v>
      </c>
      <c r="BF190" s="74">
        <f t="shared" si="155"/>
        <v>0</v>
      </c>
      <c r="BG190" s="74">
        <f t="shared" si="156"/>
        <v>0</v>
      </c>
      <c r="BH190" s="21">
        <f t="shared" si="157"/>
        <v>0</v>
      </c>
    </row>
    <row r="191" spans="1:60" ht="15.75" customHeight="1">
      <c r="A191" s="72" t="s">
        <v>258</v>
      </c>
      <c r="B191" s="2" t="str">
        <f>IFERROR(VLOOKUP(A191,'Tabela de Produtos'!A:B,2,0),"Preencher Cód. Produto")</f>
        <v>BRAZIMIL TINTA ACRILICA PREM INT/EXT ACET 3L BRANCO</v>
      </c>
      <c r="C191" s="2"/>
      <c r="D191" s="73" t="s">
        <v>66</v>
      </c>
      <c r="E191" s="73"/>
      <c r="F191" s="74" t="str">
        <f>IF(A191=0,0,VLOOKUP(A191,'Tabela de Produtos'!A:W,23,0))</f>
        <v>Cadastrar Ficha de Produção</v>
      </c>
      <c r="G191" s="74">
        <v>0</v>
      </c>
      <c r="H191" s="76">
        <v>1</v>
      </c>
      <c r="I191" s="74">
        <f t="shared" si="152"/>
        <v>0</v>
      </c>
      <c r="J191" s="77">
        <f>VLOOKUP(B191,'Tabela de Produtos'!B:M,12,FALSE())</f>
        <v>0</v>
      </c>
      <c r="K191" s="74"/>
      <c r="L191" s="74"/>
      <c r="M191" s="74"/>
      <c r="N191" s="81"/>
      <c r="O191" s="74"/>
      <c r="P191" s="74"/>
      <c r="Q191" s="74"/>
      <c r="R191" s="81"/>
      <c r="S191" s="74"/>
      <c r="T191" s="74"/>
      <c r="U191" s="74"/>
      <c r="V191" s="74"/>
      <c r="W191" s="81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7"/>
      <c r="AY191" s="77">
        <f t="shared" si="153"/>
        <v>0</v>
      </c>
      <c r="AZ191" s="79">
        <f>IFERROR(H191*VLOOKUP(A191,'Tabela de Produtos'!A:Q,17,0),0)</f>
        <v>0</v>
      </c>
      <c r="BA191" s="74">
        <f t="shared" si="159"/>
        <v>0</v>
      </c>
      <c r="BB191" s="74">
        <f t="shared" si="159"/>
        <v>0</v>
      </c>
      <c r="BC191" s="74">
        <f t="shared" si="159"/>
        <v>0</v>
      </c>
      <c r="BD191" s="74">
        <f t="shared" si="159"/>
        <v>0</v>
      </c>
      <c r="BE191" s="74">
        <f t="shared" si="154"/>
        <v>0</v>
      </c>
      <c r="BF191" s="74">
        <f t="shared" si="155"/>
        <v>0</v>
      </c>
      <c r="BG191" s="74">
        <f t="shared" si="156"/>
        <v>0</v>
      </c>
      <c r="BH191" s="21">
        <f t="shared" si="157"/>
        <v>0</v>
      </c>
    </row>
    <row r="192" spans="1:60" ht="15.75" customHeight="1">
      <c r="A192" s="72" t="s">
        <v>259</v>
      </c>
      <c r="B192" s="2" t="str">
        <f>IFERROR(VLOOKUP(A192,'Tabela de Produtos'!A:B,2,0),"Preencher Cód. Produto")</f>
        <v>BRAZIMIL TINTA ACRILICA PREM INT/EXT ACET 3L BRANCO GELO</v>
      </c>
      <c r="C192" s="2"/>
      <c r="D192" s="73" t="s">
        <v>66</v>
      </c>
      <c r="E192" s="73"/>
      <c r="F192" s="74" t="str">
        <f>IF(A192=0,0,VLOOKUP(A192,'Tabela de Produtos'!A:W,23,0))</f>
        <v>Cadastrar Ficha de Produção</v>
      </c>
      <c r="G192" s="74">
        <v>0</v>
      </c>
      <c r="H192" s="76">
        <v>1</v>
      </c>
      <c r="I192" s="74">
        <f t="shared" si="152"/>
        <v>0</v>
      </c>
      <c r="J192" s="77">
        <f>VLOOKUP(B192,'Tabela de Produtos'!B:M,12,FALSE())</f>
        <v>0</v>
      </c>
      <c r="K192" s="74"/>
      <c r="L192" s="74"/>
      <c r="M192" s="74"/>
      <c r="N192" s="81"/>
      <c r="O192" s="74"/>
      <c r="P192" s="74"/>
      <c r="Q192" s="74"/>
      <c r="R192" s="81"/>
      <c r="S192" s="74"/>
      <c r="T192" s="74"/>
      <c r="U192" s="74"/>
      <c r="V192" s="74"/>
      <c r="W192" s="81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7"/>
      <c r="AY192" s="77">
        <f t="shared" si="153"/>
        <v>0</v>
      </c>
      <c r="AZ192" s="79">
        <f>IFERROR(H192*VLOOKUP(A192,'Tabela de Produtos'!A:Q,17,0),0)</f>
        <v>0</v>
      </c>
      <c r="BA192" s="74">
        <f t="shared" si="159"/>
        <v>0</v>
      </c>
      <c r="BB192" s="74">
        <f t="shared" si="159"/>
        <v>0</v>
      </c>
      <c r="BC192" s="74">
        <f t="shared" si="159"/>
        <v>0</v>
      </c>
      <c r="BD192" s="74">
        <f t="shared" si="159"/>
        <v>0</v>
      </c>
      <c r="BE192" s="74">
        <f t="shared" si="154"/>
        <v>0</v>
      </c>
      <c r="BF192" s="74">
        <f t="shared" si="155"/>
        <v>0</v>
      </c>
      <c r="BG192" s="74">
        <f t="shared" si="156"/>
        <v>0</v>
      </c>
      <c r="BH192" s="21">
        <f t="shared" si="157"/>
        <v>0</v>
      </c>
    </row>
    <row r="193" spans="1:60" ht="15.75" customHeight="1">
      <c r="A193" s="72" t="s">
        <v>260</v>
      </c>
      <c r="B193" s="2" t="str">
        <f>IFERROR(VLOOKUP(A193,'Tabela de Produtos'!A:B,2,0),"Preencher Cód. Produto")</f>
        <v>BRAZIMIL TINTA ACRILICA PREM INT/EXT ACET 3L DIMANTE</v>
      </c>
      <c r="C193" s="2"/>
      <c r="D193" s="73" t="s">
        <v>66</v>
      </c>
      <c r="E193" s="73"/>
      <c r="F193" s="74" t="str">
        <f>IF(A193=0,0,VLOOKUP(A193,'Tabela de Produtos'!A:W,23,0))</f>
        <v>Cadastrar Ficha de Produção</v>
      </c>
      <c r="G193" s="74">
        <v>0</v>
      </c>
      <c r="H193" s="76">
        <v>1</v>
      </c>
      <c r="I193" s="74">
        <f t="shared" si="152"/>
        <v>0</v>
      </c>
      <c r="J193" s="77">
        <f>VLOOKUP(B193,'Tabela de Produtos'!B:M,12,FALSE())</f>
        <v>0</v>
      </c>
      <c r="K193" s="74"/>
      <c r="L193" s="74"/>
      <c r="M193" s="74"/>
      <c r="N193" s="81"/>
      <c r="O193" s="74"/>
      <c r="P193" s="74"/>
      <c r="Q193" s="74"/>
      <c r="R193" s="81"/>
      <c r="S193" s="74"/>
      <c r="T193" s="74"/>
      <c r="U193" s="74"/>
      <c r="V193" s="74"/>
      <c r="W193" s="81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7"/>
      <c r="AY193" s="77">
        <f t="shared" si="153"/>
        <v>0</v>
      </c>
      <c r="AZ193" s="79">
        <f>IFERROR(H193*VLOOKUP(A193,'Tabela de Produtos'!A:Q,17,0),0)</f>
        <v>0</v>
      </c>
      <c r="BA193" s="74">
        <f t="shared" si="159"/>
        <v>0</v>
      </c>
      <c r="BB193" s="74">
        <f t="shared" si="159"/>
        <v>0</v>
      </c>
      <c r="BC193" s="74">
        <f t="shared" si="159"/>
        <v>0</v>
      </c>
      <c r="BD193" s="74">
        <f t="shared" si="159"/>
        <v>0</v>
      </c>
      <c r="BE193" s="74">
        <f t="shared" si="154"/>
        <v>0</v>
      </c>
      <c r="BF193" s="74">
        <f t="shared" si="155"/>
        <v>0</v>
      </c>
      <c r="BG193" s="74">
        <f t="shared" si="156"/>
        <v>0</v>
      </c>
      <c r="BH193" s="21">
        <f t="shared" si="157"/>
        <v>0</v>
      </c>
    </row>
    <row r="194" spans="1:60" ht="15.75" customHeight="1">
      <c r="A194" s="72" t="s">
        <v>261</v>
      </c>
      <c r="B194" s="2" t="str">
        <f>IFERROR(VLOOKUP(A194,'Tabela de Produtos'!A:B,2,0),"Preencher Cód. Produto")</f>
        <v>BRAZIMIL TINTA ACRILICA PREM INT/EXT ACET 3L CINZA PLATINA</v>
      </c>
      <c r="C194" s="2"/>
      <c r="D194" s="73" t="s">
        <v>66</v>
      </c>
      <c r="E194" s="73"/>
      <c r="F194" s="74" t="str">
        <f>IF(A194=0,0,VLOOKUP(A194,'Tabela de Produtos'!A:W,23,0))</f>
        <v>Cadastrar Ficha de Produção</v>
      </c>
      <c r="G194" s="74">
        <v>0</v>
      </c>
      <c r="H194" s="76">
        <v>1</v>
      </c>
      <c r="I194" s="74">
        <f t="shared" si="152"/>
        <v>0</v>
      </c>
      <c r="J194" s="77">
        <f>VLOOKUP(B194,'Tabela de Produtos'!B:M,12,FALSE())</f>
        <v>0</v>
      </c>
      <c r="K194" s="74"/>
      <c r="L194" s="74"/>
      <c r="M194" s="74"/>
      <c r="N194" s="81"/>
      <c r="O194" s="74"/>
      <c r="P194" s="74"/>
      <c r="Q194" s="74"/>
      <c r="R194" s="81"/>
      <c r="S194" s="74"/>
      <c r="T194" s="74"/>
      <c r="U194" s="74"/>
      <c r="V194" s="74"/>
      <c r="W194" s="81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7"/>
      <c r="AY194" s="77">
        <f t="shared" si="153"/>
        <v>0</v>
      </c>
      <c r="AZ194" s="79">
        <f>IFERROR(H194*VLOOKUP(A194,'Tabela de Produtos'!A:Q,17,0),0)</f>
        <v>0</v>
      </c>
      <c r="BA194" s="74">
        <f t="shared" ref="BA194:BD213" si="160">$I194*BA$12</f>
        <v>0</v>
      </c>
      <c r="BB194" s="74">
        <f t="shared" si="160"/>
        <v>0</v>
      </c>
      <c r="BC194" s="74">
        <f t="shared" si="160"/>
        <v>0</v>
      </c>
      <c r="BD194" s="74">
        <f t="shared" si="160"/>
        <v>0</v>
      </c>
      <c r="BE194" s="74">
        <f t="shared" si="154"/>
        <v>0</v>
      </c>
      <c r="BF194" s="74">
        <f t="shared" si="155"/>
        <v>0</v>
      </c>
      <c r="BG194" s="74">
        <f t="shared" si="156"/>
        <v>0</v>
      </c>
      <c r="BH194" s="21">
        <f t="shared" si="157"/>
        <v>0</v>
      </c>
    </row>
    <row r="195" spans="1:60" ht="15.75" customHeight="1">
      <c r="A195" s="72" t="s">
        <v>262</v>
      </c>
      <c r="B195" s="2" t="str">
        <f>IFERROR(VLOOKUP(A195,'Tabela de Produtos'!A:B,2,0),"Preencher Cód. Produto")</f>
        <v>BRAZIMIL TINTA ACRILICA PREM INT/EXT ACET 3L EGIPCIO</v>
      </c>
      <c r="C195" s="2"/>
      <c r="D195" s="73" t="s">
        <v>66</v>
      </c>
      <c r="E195" s="73"/>
      <c r="F195" s="74" t="str">
        <f>IF(A195=0,0,VLOOKUP(A195,'Tabela de Produtos'!A:W,23,0))</f>
        <v>Cadastrar Ficha de Produção</v>
      </c>
      <c r="G195" s="74">
        <v>0</v>
      </c>
      <c r="H195" s="76">
        <v>1</v>
      </c>
      <c r="I195" s="74">
        <f t="shared" si="152"/>
        <v>0</v>
      </c>
      <c r="J195" s="77">
        <f>VLOOKUP(B195,'Tabela de Produtos'!B:M,12,FALSE())</f>
        <v>0</v>
      </c>
      <c r="K195" s="74"/>
      <c r="L195" s="74"/>
      <c r="M195" s="74"/>
      <c r="N195" s="81"/>
      <c r="O195" s="74"/>
      <c r="P195" s="74"/>
      <c r="Q195" s="74"/>
      <c r="R195" s="81"/>
      <c r="S195" s="74"/>
      <c r="T195" s="74"/>
      <c r="U195" s="74"/>
      <c r="V195" s="74"/>
      <c r="W195" s="81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7"/>
      <c r="AY195" s="77">
        <f t="shared" si="153"/>
        <v>0</v>
      </c>
      <c r="AZ195" s="79">
        <f>IFERROR(H195*VLOOKUP(A195,'Tabela de Produtos'!A:Q,17,0),0)</f>
        <v>0</v>
      </c>
      <c r="BA195" s="74">
        <f t="shared" si="160"/>
        <v>0</v>
      </c>
      <c r="BB195" s="74">
        <f t="shared" si="160"/>
        <v>0</v>
      </c>
      <c r="BC195" s="74">
        <f t="shared" si="160"/>
        <v>0</v>
      </c>
      <c r="BD195" s="74">
        <f t="shared" si="160"/>
        <v>0</v>
      </c>
      <c r="BE195" s="74">
        <f t="shared" si="154"/>
        <v>0</v>
      </c>
      <c r="BF195" s="74">
        <f t="shared" si="155"/>
        <v>0</v>
      </c>
      <c r="BG195" s="74">
        <f t="shared" si="156"/>
        <v>0</v>
      </c>
      <c r="BH195" s="21">
        <f t="shared" si="157"/>
        <v>0</v>
      </c>
    </row>
    <row r="196" spans="1:60" ht="15.75" customHeight="1">
      <c r="A196" s="72" t="s">
        <v>263</v>
      </c>
      <c r="B196" s="2" t="str">
        <f>IFERROR(VLOOKUP(A196,'Tabela de Produtos'!A:B,2,0),"Preencher Cód. Produto")</f>
        <v>BRAZIMIL TINTA ACRILICA PREM INT/EXT  ACET 3L MARROM GRADIENTE</v>
      </c>
      <c r="C196" s="2"/>
      <c r="D196" s="73" t="s">
        <v>66</v>
      </c>
      <c r="E196" s="73"/>
      <c r="F196" s="74" t="str">
        <f>IF(A196=0,0,VLOOKUP(A196,'Tabela de Produtos'!A:W,23,0))</f>
        <v>Cadastrar Ficha de Produção</v>
      </c>
      <c r="G196" s="74">
        <v>0</v>
      </c>
      <c r="H196" s="76">
        <v>1</v>
      </c>
      <c r="I196" s="74">
        <f t="shared" si="152"/>
        <v>0</v>
      </c>
      <c r="J196" s="77">
        <f>VLOOKUP(B196,'Tabela de Produtos'!B:M,12,FALSE())</f>
        <v>0</v>
      </c>
      <c r="K196" s="74"/>
      <c r="L196" s="74"/>
      <c r="M196" s="74"/>
      <c r="N196" s="81"/>
      <c r="O196" s="74"/>
      <c r="P196" s="74"/>
      <c r="Q196" s="74"/>
      <c r="R196" s="81"/>
      <c r="S196" s="74"/>
      <c r="T196" s="74"/>
      <c r="U196" s="74"/>
      <c r="V196" s="74"/>
      <c r="W196" s="81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7"/>
      <c r="AY196" s="77">
        <f t="shared" si="153"/>
        <v>0</v>
      </c>
      <c r="AZ196" s="79">
        <f>IFERROR(H196*VLOOKUP(A196,'Tabela de Produtos'!A:Q,17,0),0)</f>
        <v>0</v>
      </c>
      <c r="BA196" s="74">
        <f t="shared" si="160"/>
        <v>0</v>
      </c>
      <c r="BB196" s="74">
        <f t="shared" si="160"/>
        <v>0</v>
      </c>
      <c r="BC196" s="74">
        <f t="shared" si="160"/>
        <v>0</v>
      </c>
      <c r="BD196" s="74">
        <f t="shared" si="160"/>
        <v>0</v>
      </c>
      <c r="BE196" s="74">
        <f t="shared" si="154"/>
        <v>0</v>
      </c>
      <c r="BF196" s="74">
        <f t="shared" si="155"/>
        <v>0</v>
      </c>
      <c r="BG196" s="74">
        <f t="shared" si="156"/>
        <v>0</v>
      </c>
      <c r="BH196" s="21">
        <f t="shared" si="157"/>
        <v>0</v>
      </c>
    </row>
    <row r="197" spans="1:60" ht="15.75" customHeight="1">
      <c r="A197" s="72" t="s">
        <v>264</v>
      </c>
      <c r="B197" s="2" t="str">
        <f>IFERROR(VLOOKUP(A197,'Tabela de Produtos'!A:B,2,0),"Preencher Cód. Produto")</f>
        <v>BRAZIMIL TINTA ACRILICA PREM INT/EXT  ACET 3L AVELA</v>
      </c>
      <c r="C197" s="2"/>
      <c r="D197" s="73" t="s">
        <v>66</v>
      </c>
      <c r="E197" s="73"/>
      <c r="F197" s="74" t="str">
        <f>IF(A197=0,0,VLOOKUP(A197,'Tabela de Produtos'!A:W,23,0))</f>
        <v>Cadastrar Ficha de Produção</v>
      </c>
      <c r="G197" s="74">
        <v>0</v>
      </c>
      <c r="H197" s="76">
        <v>1</v>
      </c>
      <c r="I197" s="74">
        <f t="shared" si="152"/>
        <v>0</v>
      </c>
      <c r="J197" s="77">
        <f>VLOOKUP(B197,'Tabela de Produtos'!B:M,12,FALSE())</f>
        <v>0</v>
      </c>
      <c r="K197" s="74"/>
      <c r="L197" s="74"/>
      <c r="M197" s="74"/>
      <c r="N197" s="81"/>
      <c r="O197" s="74"/>
      <c r="P197" s="74"/>
      <c r="Q197" s="74"/>
      <c r="R197" s="81"/>
      <c r="S197" s="74"/>
      <c r="T197" s="74"/>
      <c r="U197" s="74"/>
      <c r="V197" s="74"/>
      <c r="W197" s="81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7"/>
      <c r="AY197" s="77">
        <f t="shared" si="153"/>
        <v>0</v>
      </c>
      <c r="AZ197" s="79">
        <f>IFERROR(H197*VLOOKUP(A197,'Tabela de Produtos'!A:Q,17,0),0)</f>
        <v>0</v>
      </c>
      <c r="BA197" s="74">
        <f t="shared" si="160"/>
        <v>0</v>
      </c>
      <c r="BB197" s="74">
        <f t="shared" si="160"/>
        <v>0</v>
      </c>
      <c r="BC197" s="74">
        <f t="shared" si="160"/>
        <v>0</v>
      </c>
      <c r="BD197" s="74">
        <f t="shared" si="160"/>
        <v>0</v>
      </c>
      <c r="BE197" s="74">
        <f t="shared" si="154"/>
        <v>0</v>
      </c>
      <c r="BF197" s="74">
        <f t="shared" si="155"/>
        <v>0</v>
      </c>
      <c r="BG197" s="74">
        <f t="shared" si="156"/>
        <v>0</v>
      </c>
      <c r="BH197" s="21">
        <f t="shared" si="157"/>
        <v>0</v>
      </c>
    </row>
    <row r="198" spans="1:60" ht="15.75" customHeight="1">
      <c r="A198" s="72" t="s">
        <v>265</v>
      </c>
      <c r="B198" s="2" t="str">
        <f>IFERROR(VLOOKUP(A198,'Tabela de Produtos'!A:B,2,0),"Preencher Cód. Produto")</f>
        <v>BRAZIMIL TINTA ACRILICA PREM INT/EXT ACET 3L CARAMELO</v>
      </c>
      <c r="C198" s="2"/>
      <c r="D198" s="73" t="s">
        <v>66</v>
      </c>
      <c r="E198" s="73"/>
      <c r="F198" s="74" t="str">
        <f>IF(A198=0,0,VLOOKUP(A198,'Tabela de Produtos'!A:W,23,0))</f>
        <v>Cadastrar Ficha de Produção</v>
      </c>
      <c r="G198" s="74">
        <v>0</v>
      </c>
      <c r="H198" s="76">
        <v>1</v>
      </c>
      <c r="I198" s="74">
        <f t="shared" si="152"/>
        <v>0</v>
      </c>
      <c r="J198" s="77">
        <f>VLOOKUP(B198,'Tabela de Produtos'!B:M,12,FALSE())</f>
        <v>0</v>
      </c>
      <c r="K198" s="74"/>
      <c r="L198" s="74"/>
      <c r="M198" s="74"/>
      <c r="N198" s="81"/>
      <c r="O198" s="74"/>
      <c r="P198" s="74"/>
      <c r="Q198" s="74"/>
      <c r="R198" s="81"/>
      <c r="S198" s="74"/>
      <c r="T198" s="74"/>
      <c r="U198" s="74"/>
      <c r="V198" s="74"/>
      <c r="W198" s="81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7"/>
      <c r="AY198" s="77">
        <f t="shared" si="153"/>
        <v>0</v>
      </c>
      <c r="AZ198" s="79">
        <f>IFERROR(H198*VLOOKUP(A198,'Tabela de Produtos'!A:Q,17,0),0)</f>
        <v>0</v>
      </c>
      <c r="BA198" s="74">
        <f t="shared" si="160"/>
        <v>0</v>
      </c>
      <c r="BB198" s="74">
        <f t="shared" si="160"/>
        <v>0</v>
      </c>
      <c r="BC198" s="74">
        <f t="shared" si="160"/>
        <v>0</v>
      </c>
      <c r="BD198" s="74">
        <f t="shared" si="160"/>
        <v>0</v>
      </c>
      <c r="BE198" s="74">
        <f t="shared" si="154"/>
        <v>0</v>
      </c>
      <c r="BF198" s="74">
        <f t="shared" si="155"/>
        <v>0</v>
      </c>
      <c r="BG198" s="74">
        <f t="shared" si="156"/>
        <v>0</v>
      </c>
      <c r="BH198" s="21">
        <f t="shared" si="157"/>
        <v>0</v>
      </c>
    </row>
    <row r="199" spans="1:60" ht="15.75" customHeight="1">
      <c r="A199" s="72" t="s">
        <v>266</v>
      </c>
      <c r="B199" s="2" t="str">
        <f>IFERROR(VLOOKUP(A199,'Tabela de Produtos'!A:B,2,0),"Preencher Cód. Produto")</f>
        <v>BRAZIMIL TINTA ACRILICA PREM INT/EXT ACET 3L CAFÉ</v>
      </c>
      <c r="C199" s="2"/>
      <c r="D199" s="73" t="s">
        <v>66</v>
      </c>
      <c r="E199" s="73"/>
      <c r="F199" s="74" t="str">
        <f>IF(A199=0,0,VLOOKUP(A199,'Tabela de Produtos'!A:W,23,0))</f>
        <v>Cadastrar Ficha de Produção</v>
      </c>
      <c r="G199" s="74">
        <v>0</v>
      </c>
      <c r="H199" s="76">
        <v>1</v>
      </c>
      <c r="I199" s="74">
        <f t="shared" si="152"/>
        <v>0</v>
      </c>
      <c r="J199" s="77">
        <f>VLOOKUP(B199,'Tabela de Produtos'!B:M,12,FALSE())</f>
        <v>0</v>
      </c>
      <c r="K199" s="74"/>
      <c r="L199" s="74"/>
      <c r="M199" s="74"/>
      <c r="N199" s="81"/>
      <c r="O199" s="74"/>
      <c r="P199" s="74"/>
      <c r="Q199" s="74"/>
      <c r="R199" s="81"/>
      <c r="S199" s="74"/>
      <c r="T199" s="74"/>
      <c r="U199" s="74"/>
      <c r="V199" s="74"/>
      <c r="W199" s="81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7"/>
      <c r="AY199" s="77">
        <f t="shared" si="153"/>
        <v>0</v>
      </c>
      <c r="AZ199" s="79">
        <f>IFERROR(H199*VLOOKUP(A199,'Tabela de Produtos'!A:Q,17,0),0)</f>
        <v>0</v>
      </c>
      <c r="BA199" s="74">
        <f t="shared" si="160"/>
        <v>0</v>
      </c>
      <c r="BB199" s="74">
        <f t="shared" si="160"/>
        <v>0</v>
      </c>
      <c r="BC199" s="74">
        <f t="shared" si="160"/>
        <v>0</v>
      </c>
      <c r="BD199" s="74">
        <f t="shared" si="160"/>
        <v>0</v>
      </c>
      <c r="BE199" s="74">
        <f t="shared" si="154"/>
        <v>0</v>
      </c>
      <c r="BF199" s="74">
        <f t="shared" si="155"/>
        <v>0</v>
      </c>
      <c r="BG199" s="74">
        <f t="shared" si="156"/>
        <v>0</v>
      </c>
      <c r="BH199" s="21">
        <f t="shared" si="157"/>
        <v>0</v>
      </c>
    </row>
    <row r="200" spans="1:60" ht="15.75" customHeight="1">
      <c r="A200" s="72" t="s">
        <v>267</v>
      </c>
      <c r="B200" s="2" t="str">
        <f>IFERROR(VLOOKUP(A200,'Tabela de Produtos'!A:B,2,0),"Preencher Cód. Produto")</f>
        <v>BRAZIMIL TINTA ACRILICA PREM INT/EXT ACET 3L NUDE</v>
      </c>
      <c r="C200" s="2"/>
      <c r="D200" s="73" t="s">
        <v>66</v>
      </c>
      <c r="E200" s="73"/>
      <c r="F200" s="74" t="str">
        <f>IF(A200=0,0,VLOOKUP(A200,'Tabela de Produtos'!A:W,23,0))</f>
        <v>Cadastrar Ficha de Produção</v>
      </c>
      <c r="G200" s="74">
        <v>0</v>
      </c>
      <c r="H200" s="76">
        <v>1</v>
      </c>
      <c r="I200" s="74">
        <f t="shared" si="152"/>
        <v>0</v>
      </c>
      <c r="J200" s="77">
        <f>VLOOKUP(B200,'Tabela de Produtos'!B:M,12,FALSE())</f>
        <v>0</v>
      </c>
      <c r="K200" s="74"/>
      <c r="L200" s="74"/>
      <c r="M200" s="74"/>
      <c r="N200" s="81"/>
      <c r="O200" s="74"/>
      <c r="P200" s="74"/>
      <c r="Q200" s="74"/>
      <c r="R200" s="81"/>
      <c r="S200" s="74"/>
      <c r="T200" s="74"/>
      <c r="U200" s="74"/>
      <c r="V200" s="74"/>
      <c r="W200" s="81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7"/>
      <c r="AY200" s="77">
        <f t="shared" si="153"/>
        <v>0</v>
      </c>
      <c r="AZ200" s="79">
        <f>IFERROR(H200*VLOOKUP(A200,'Tabela de Produtos'!A:Q,17,0),0)</f>
        <v>0</v>
      </c>
      <c r="BA200" s="74">
        <f t="shared" si="160"/>
        <v>0</v>
      </c>
      <c r="BB200" s="74">
        <f t="shared" si="160"/>
        <v>0</v>
      </c>
      <c r="BC200" s="74">
        <f t="shared" si="160"/>
        <v>0</v>
      </c>
      <c r="BD200" s="74">
        <f t="shared" si="160"/>
        <v>0</v>
      </c>
      <c r="BE200" s="74">
        <f t="shared" si="154"/>
        <v>0</v>
      </c>
      <c r="BF200" s="74">
        <f t="shared" si="155"/>
        <v>0</v>
      </c>
      <c r="BG200" s="74">
        <f t="shared" si="156"/>
        <v>0</v>
      </c>
      <c r="BH200" s="21">
        <f t="shared" si="157"/>
        <v>0</v>
      </c>
    </row>
    <row r="201" spans="1:60" ht="15.75" customHeight="1">
      <c r="A201" s="72" t="s">
        <v>268</v>
      </c>
      <c r="B201" s="2" t="str">
        <f>IFERROR(VLOOKUP(A201,'Tabela de Produtos'!A:B,2,0),"Preencher Cód. Produto")</f>
        <v>BRAZIMIL TINTA ACRILICA PREM INT/EXT ACET 3L MARFIM REAL</v>
      </c>
      <c r="C201" s="2"/>
      <c r="D201" s="73" t="s">
        <v>66</v>
      </c>
      <c r="E201" s="73"/>
      <c r="F201" s="74" t="str">
        <f>IF(A201=0,0,VLOOKUP(A201,'Tabela de Produtos'!A:W,23,0))</f>
        <v>Cadastrar Ficha de Produção</v>
      </c>
      <c r="G201" s="74">
        <v>0</v>
      </c>
      <c r="H201" s="76">
        <v>1</v>
      </c>
      <c r="I201" s="74">
        <f t="shared" si="152"/>
        <v>0</v>
      </c>
      <c r="J201" s="77">
        <f>VLOOKUP(B201,'Tabela de Produtos'!B:M,12,FALSE())</f>
        <v>0</v>
      </c>
      <c r="K201" s="74"/>
      <c r="L201" s="74"/>
      <c r="M201" s="74"/>
      <c r="N201" s="81"/>
      <c r="O201" s="74"/>
      <c r="P201" s="74"/>
      <c r="Q201" s="74"/>
      <c r="R201" s="81"/>
      <c r="S201" s="74"/>
      <c r="T201" s="74"/>
      <c r="U201" s="74"/>
      <c r="V201" s="74"/>
      <c r="W201" s="81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7"/>
      <c r="AY201" s="77">
        <f t="shared" si="153"/>
        <v>0</v>
      </c>
      <c r="AZ201" s="79">
        <f>IFERROR(H201*VLOOKUP(A201,'Tabela de Produtos'!A:Q,17,0),0)</f>
        <v>0</v>
      </c>
      <c r="BA201" s="74">
        <f t="shared" si="160"/>
        <v>0</v>
      </c>
      <c r="BB201" s="74">
        <f t="shared" si="160"/>
        <v>0</v>
      </c>
      <c r="BC201" s="74">
        <f t="shared" si="160"/>
        <v>0</v>
      </c>
      <c r="BD201" s="74">
        <f t="shared" si="160"/>
        <v>0</v>
      </c>
      <c r="BE201" s="74">
        <f t="shared" si="154"/>
        <v>0</v>
      </c>
      <c r="BF201" s="74">
        <f t="shared" si="155"/>
        <v>0</v>
      </c>
      <c r="BG201" s="74">
        <f t="shared" si="156"/>
        <v>0</v>
      </c>
      <c r="BH201" s="21">
        <f t="shared" si="157"/>
        <v>0</v>
      </c>
    </row>
    <row r="202" spans="1:60" ht="15.75" customHeight="1">
      <c r="A202" s="72" t="s">
        <v>269</v>
      </c>
      <c r="B202" s="2" t="str">
        <f>IFERROR(VLOOKUP(A202,'Tabela de Produtos'!A:B,2,0),"Preencher Cód. Produto")</f>
        <v>BRAZIMIL TINTA ACRILICA PREM INT/EXT ACET 3L CAMURCA</v>
      </c>
      <c r="C202" s="2"/>
      <c r="D202" s="73" t="s">
        <v>66</v>
      </c>
      <c r="E202" s="73"/>
      <c r="F202" s="74" t="str">
        <f>IF(A202=0,0,VLOOKUP(A202,'Tabela de Produtos'!A:W,23,0))</f>
        <v>Cadastrar Ficha de Produção</v>
      </c>
      <c r="G202" s="74">
        <v>0</v>
      </c>
      <c r="H202" s="76">
        <v>1</v>
      </c>
      <c r="I202" s="74">
        <f t="shared" si="152"/>
        <v>0</v>
      </c>
      <c r="J202" s="77">
        <f>VLOOKUP(B202,'Tabela de Produtos'!B:M,12,FALSE())</f>
        <v>0</v>
      </c>
      <c r="K202" s="74"/>
      <c r="L202" s="74"/>
      <c r="M202" s="74"/>
      <c r="N202" s="81"/>
      <c r="O202" s="74"/>
      <c r="P202" s="74"/>
      <c r="Q202" s="74"/>
      <c r="R202" s="81"/>
      <c r="S202" s="74"/>
      <c r="T202" s="74"/>
      <c r="U202" s="74"/>
      <c r="V202" s="74"/>
      <c r="W202" s="81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7"/>
      <c r="AY202" s="77">
        <f t="shared" si="153"/>
        <v>0</v>
      </c>
      <c r="AZ202" s="79">
        <f>IFERROR(H202*VLOOKUP(A202,'Tabela de Produtos'!A:Q,17,0),0)</f>
        <v>0</v>
      </c>
      <c r="BA202" s="74">
        <f t="shared" si="160"/>
        <v>0</v>
      </c>
      <c r="BB202" s="74">
        <f t="shared" si="160"/>
        <v>0</v>
      </c>
      <c r="BC202" s="74">
        <f t="shared" si="160"/>
        <v>0</v>
      </c>
      <c r="BD202" s="74">
        <f t="shared" si="160"/>
        <v>0</v>
      </c>
      <c r="BE202" s="74">
        <f t="shared" si="154"/>
        <v>0</v>
      </c>
      <c r="BF202" s="74">
        <f t="shared" si="155"/>
        <v>0</v>
      </c>
      <c r="BG202" s="74">
        <f t="shared" si="156"/>
        <v>0</v>
      </c>
      <c r="BH202" s="21">
        <f t="shared" si="157"/>
        <v>0</v>
      </c>
    </row>
    <row r="203" spans="1:60" ht="15.75" customHeight="1">
      <c r="A203" s="72" t="s">
        <v>270</v>
      </c>
      <c r="B203" s="2" t="str">
        <f>IFERROR(VLOOKUP(A203,'Tabela de Produtos'!A:B,2,0),"Preencher Cód. Produto")</f>
        <v>BRAZIMIL TINTA ACRILICA PREM INT/EXT ACET 3L AZUL ANIL</v>
      </c>
      <c r="C203" s="2"/>
      <c r="D203" s="73" t="s">
        <v>66</v>
      </c>
      <c r="E203" s="73"/>
      <c r="F203" s="74" t="str">
        <f>IF(A203=0,0,VLOOKUP(A203,'Tabela de Produtos'!A:W,23,0))</f>
        <v>Cadastrar Ficha de Produção</v>
      </c>
      <c r="G203" s="74">
        <v>0</v>
      </c>
      <c r="H203" s="76">
        <v>1</v>
      </c>
      <c r="I203" s="74">
        <f t="shared" si="152"/>
        <v>0</v>
      </c>
      <c r="J203" s="77">
        <f>VLOOKUP(B203,'Tabela de Produtos'!B:M,12,FALSE())</f>
        <v>0</v>
      </c>
      <c r="K203" s="74"/>
      <c r="L203" s="74"/>
      <c r="M203" s="74"/>
      <c r="N203" s="81"/>
      <c r="O203" s="74"/>
      <c r="P203" s="74"/>
      <c r="Q203" s="74"/>
      <c r="R203" s="81"/>
      <c r="S203" s="74"/>
      <c r="T203" s="74"/>
      <c r="U203" s="74"/>
      <c r="V203" s="74"/>
      <c r="W203" s="81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7"/>
      <c r="AY203" s="77">
        <f t="shared" si="153"/>
        <v>0</v>
      </c>
      <c r="AZ203" s="79">
        <f>IFERROR(H203*VLOOKUP(A203,'Tabela de Produtos'!A:Q,17,0),0)</f>
        <v>0</v>
      </c>
      <c r="BA203" s="74">
        <f t="shared" si="160"/>
        <v>0</v>
      </c>
      <c r="BB203" s="74">
        <f t="shared" si="160"/>
        <v>0</v>
      </c>
      <c r="BC203" s="74">
        <f t="shared" si="160"/>
        <v>0</v>
      </c>
      <c r="BD203" s="74">
        <f t="shared" si="160"/>
        <v>0</v>
      </c>
      <c r="BE203" s="74">
        <f t="shared" si="154"/>
        <v>0</v>
      </c>
      <c r="BF203" s="74">
        <f t="shared" si="155"/>
        <v>0</v>
      </c>
      <c r="BG203" s="74">
        <f t="shared" si="156"/>
        <v>0</v>
      </c>
      <c r="BH203" s="21">
        <f t="shared" si="157"/>
        <v>0</v>
      </c>
    </row>
    <row r="204" spans="1:60" ht="15.75" customHeight="1">
      <c r="A204" s="72" t="s">
        <v>271</v>
      </c>
      <c r="B204" s="2" t="str">
        <f>IFERROR(VLOOKUP(A204,'Tabela de Produtos'!A:B,2,0),"Preencher Cód. Produto")</f>
        <v>BRAZIMIL TINTA ACRILICA PREM INT/EXT ACET 3L CARDINAL</v>
      </c>
      <c r="C204" s="2"/>
      <c r="D204" s="73" t="s">
        <v>66</v>
      </c>
      <c r="E204" s="73"/>
      <c r="F204" s="74" t="str">
        <f>IF(A204=0,0,VLOOKUP(A204,'Tabela de Produtos'!A:W,23,0))</f>
        <v>Cadastrar Ficha de Produção</v>
      </c>
      <c r="G204" s="74">
        <v>0</v>
      </c>
      <c r="H204" s="76">
        <v>1</v>
      </c>
      <c r="I204" s="74">
        <f t="shared" si="152"/>
        <v>0</v>
      </c>
      <c r="J204" s="77">
        <f>VLOOKUP(B204,'Tabela de Produtos'!B:M,12,FALSE())</f>
        <v>0</v>
      </c>
      <c r="K204" s="74"/>
      <c r="L204" s="74"/>
      <c r="M204" s="74"/>
      <c r="N204" s="81"/>
      <c r="O204" s="74"/>
      <c r="P204" s="74"/>
      <c r="Q204" s="74"/>
      <c r="R204" s="81"/>
      <c r="S204" s="74"/>
      <c r="T204" s="74"/>
      <c r="U204" s="74"/>
      <c r="V204" s="74"/>
      <c r="W204" s="81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7"/>
      <c r="AY204" s="77">
        <f t="shared" si="153"/>
        <v>0</v>
      </c>
      <c r="AZ204" s="79">
        <f>IFERROR(H204*VLOOKUP(A204,'Tabela de Produtos'!A:Q,17,0),0)</f>
        <v>0</v>
      </c>
      <c r="BA204" s="74">
        <f t="shared" si="160"/>
        <v>0</v>
      </c>
      <c r="BB204" s="74">
        <f t="shared" si="160"/>
        <v>0</v>
      </c>
      <c r="BC204" s="74">
        <f t="shared" si="160"/>
        <v>0</v>
      </c>
      <c r="BD204" s="74">
        <f t="shared" si="160"/>
        <v>0</v>
      </c>
      <c r="BE204" s="74">
        <f t="shared" si="154"/>
        <v>0</v>
      </c>
      <c r="BF204" s="74">
        <f t="shared" si="155"/>
        <v>0</v>
      </c>
      <c r="BG204" s="74">
        <f t="shared" si="156"/>
        <v>0</v>
      </c>
      <c r="BH204" s="21">
        <f t="shared" si="157"/>
        <v>0</v>
      </c>
    </row>
    <row r="205" spans="1:60" ht="15.75" customHeight="1">
      <c r="A205" s="72" t="s">
        <v>272</v>
      </c>
      <c r="B205" s="2" t="str">
        <f>IFERROR(VLOOKUP(A205,'Tabela de Produtos'!A:B,2,0),"Preencher Cód. Produto")</f>
        <v>BRAZIMIL TINTA ACRILICA PREM INT/EXT  ACET 3L PRAIA</v>
      </c>
      <c r="C205" s="2"/>
      <c r="D205" s="73" t="s">
        <v>66</v>
      </c>
      <c r="E205" s="73"/>
      <c r="F205" s="74" t="str">
        <f>IF(A205=0,0,VLOOKUP(A205,'Tabela de Produtos'!A:W,23,0))</f>
        <v>Cadastrar Ficha de Produção</v>
      </c>
      <c r="G205" s="74">
        <v>0</v>
      </c>
      <c r="H205" s="76">
        <v>1</v>
      </c>
      <c r="I205" s="74">
        <f t="shared" si="152"/>
        <v>0</v>
      </c>
      <c r="J205" s="77">
        <f>VLOOKUP(B205,'Tabela de Produtos'!B:M,12,FALSE())</f>
        <v>0</v>
      </c>
      <c r="K205" s="74"/>
      <c r="L205" s="74"/>
      <c r="M205" s="74"/>
      <c r="N205" s="81"/>
      <c r="O205" s="74"/>
      <c r="P205" s="74"/>
      <c r="Q205" s="74"/>
      <c r="R205" s="81"/>
      <c r="S205" s="74"/>
      <c r="T205" s="74"/>
      <c r="U205" s="74"/>
      <c r="V205" s="74"/>
      <c r="W205" s="81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7"/>
      <c r="AY205" s="77">
        <f t="shared" si="153"/>
        <v>0</v>
      </c>
      <c r="AZ205" s="79">
        <f>IFERROR(H205*VLOOKUP(A205,'Tabela de Produtos'!A:Q,17,0),0)</f>
        <v>0</v>
      </c>
      <c r="BA205" s="74">
        <f t="shared" si="160"/>
        <v>0</v>
      </c>
      <c r="BB205" s="74">
        <f t="shared" si="160"/>
        <v>0</v>
      </c>
      <c r="BC205" s="74">
        <f t="shared" si="160"/>
        <v>0</v>
      </c>
      <c r="BD205" s="74">
        <f t="shared" si="160"/>
        <v>0</v>
      </c>
      <c r="BE205" s="74">
        <f t="shared" si="154"/>
        <v>0</v>
      </c>
      <c r="BF205" s="74">
        <f t="shared" si="155"/>
        <v>0</v>
      </c>
      <c r="BG205" s="74">
        <f t="shared" si="156"/>
        <v>0</v>
      </c>
      <c r="BH205" s="21">
        <f t="shared" si="157"/>
        <v>0</v>
      </c>
    </row>
    <row r="206" spans="1:60" ht="15.75" customHeight="1">
      <c r="A206" s="72" t="s">
        <v>273</v>
      </c>
      <c r="B206" s="2" t="str">
        <f>IFERROR(VLOOKUP(A206,'Tabela de Produtos'!A:B,2,0),"Preencher Cód. Produto")</f>
        <v>BRAZIMIL TINTA ACRILICA PREM INT/EXT ACET 3L AMARELO SOL</v>
      </c>
      <c r="C206" s="2"/>
      <c r="D206" s="73" t="s">
        <v>66</v>
      </c>
      <c r="E206" s="73"/>
      <c r="F206" s="74" t="str">
        <f>IF(A206=0,0,VLOOKUP(A206,'Tabela de Produtos'!A:W,23,0))</f>
        <v>Cadastrar Ficha de Produção</v>
      </c>
      <c r="G206" s="74">
        <v>0</v>
      </c>
      <c r="H206" s="76">
        <v>1</v>
      </c>
      <c r="I206" s="74">
        <f t="shared" ref="I206:I269" si="161">G206*H206</f>
        <v>0</v>
      </c>
      <c r="J206" s="77">
        <f>VLOOKUP(B206,'Tabela de Produtos'!B:M,12,FALSE())</f>
        <v>0</v>
      </c>
      <c r="K206" s="74"/>
      <c r="L206" s="74"/>
      <c r="M206" s="74"/>
      <c r="N206" s="81"/>
      <c r="O206" s="74"/>
      <c r="P206" s="74"/>
      <c r="Q206" s="74"/>
      <c r="R206" s="81"/>
      <c r="S206" s="74"/>
      <c r="T206" s="74"/>
      <c r="U206" s="74"/>
      <c r="V206" s="74"/>
      <c r="W206" s="81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7"/>
      <c r="AY206" s="77">
        <f t="shared" ref="AY206:AY269" si="162">I206-AW206</f>
        <v>0</v>
      </c>
      <c r="AZ206" s="79">
        <f>IFERROR(H206*VLOOKUP(A206,'Tabela de Produtos'!A:Q,17,0),0)</f>
        <v>0</v>
      </c>
      <c r="BA206" s="74">
        <f t="shared" si="160"/>
        <v>0</v>
      </c>
      <c r="BB206" s="74">
        <f t="shared" si="160"/>
        <v>0</v>
      </c>
      <c r="BC206" s="74">
        <f t="shared" si="160"/>
        <v>0</v>
      </c>
      <c r="BD206" s="74">
        <f t="shared" si="160"/>
        <v>0</v>
      </c>
      <c r="BE206" s="74">
        <f t="shared" ref="BE206:BE269" si="163">I206*$BE$12</f>
        <v>0</v>
      </c>
      <c r="BF206" s="74">
        <f t="shared" ref="BF206:BF269" si="164">SUM(AZ206:BE206)</f>
        <v>0</v>
      </c>
      <c r="BG206" s="74">
        <f t="shared" ref="BG206:BG269" si="165">I206-BF206</f>
        <v>0</v>
      </c>
      <c r="BH206" s="21">
        <f t="shared" ref="BH206:BH269" si="166">IF(F206="Cadastrar Ficha de Produção",0,IFERROR(BG206/I206,0))</f>
        <v>0</v>
      </c>
    </row>
    <row r="207" spans="1:60" ht="15.75" customHeight="1">
      <c r="A207" s="72" t="s">
        <v>274</v>
      </c>
      <c r="B207" s="2" t="str">
        <f>IFERROR(VLOOKUP(A207,'Tabela de Produtos'!A:B,2,0),"Preencher Cód. Produto")</f>
        <v>BRAZIMIL TINTA ACRILICA PREM INT/EXT  FOSCO 15L BRANCO</v>
      </c>
      <c r="C207" s="2"/>
      <c r="D207" s="73" t="s">
        <v>40</v>
      </c>
      <c r="E207" s="73"/>
      <c r="F207" s="74" t="str">
        <f>IF(A207=0,0,VLOOKUP(A207,'Tabela de Produtos'!A:W,23,0))</f>
        <v>Cadastrar Ficha de Produção</v>
      </c>
      <c r="G207" s="74">
        <v>0</v>
      </c>
      <c r="H207" s="76">
        <v>1</v>
      </c>
      <c r="I207" s="74">
        <f t="shared" si="161"/>
        <v>0</v>
      </c>
      <c r="J207" s="77">
        <f>VLOOKUP(B207,'Tabela de Produtos'!B:M,12,FALSE())</f>
        <v>0</v>
      </c>
      <c r="K207" s="74"/>
      <c r="L207" s="74"/>
      <c r="M207" s="74"/>
      <c r="N207" s="81"/>
      <c r="O207" s="74"/>
      <c r="P207" s="74"/>
      <c r="Q207" s="74"/>
      <c r="R207" s="81"/>
      <c r="S207" s="74"/>
      <c r="T207" s="74"/>
      <c r="U207" s="74"/>
      <c r="V207" s="74"/>
      <c r="W207" s="81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7"/>
      <c r="AY207" s="77">
        <f t="shared" si="162"/>
        <v>0</v>
      </c>
      <c r="AZ207" s="79">
        <f>IFERROR(H207*VLOOKUP(A207,'Tabela de Produtos'!A:Q,17,0),0)</f>
        <v>0</v>
      </c>
      <c r="BA207" s="74">
        <f t="shared" si="160"/>
        <v>0</v>
      </c>
      <c r="BB207" s="74">
        <f t="shared" si="160"/>
        <v>0</v>
      </c>
      <c r="BC207" s="74">
        <f t="shared" si="160"/>
        <v>0</v>
      </c>
      <c r="BD207" s="74">
        <f t="shared" si="160"/>
        <v>0</v>
      </c>
      <c r="BE207" s="74">
        <f t="shared" si="163"/>
        <v>0</v>
      </c>
      <c r="BF207" s="74">
        <f t="shared" si="164"/>
        <v>0</v>
      </c>
      <c r="BG207" s="74">
        <f t="shared" si="165"/>
        <v>0</v>
      </c>
      <c r="BH207" s="21">
        <f t="shared" si="166"/>
        <v>0</v>
      </c>
    </row>
    <row r="208" spans="1:60" ht="15.75" customHeight="1">
      <c r="A208" s="72" t="s">
        <v>275</v>
      </c>
      <c r="B208" s="2" t="str">
        <f>IFERROR(VLOOKUP(A208,'Tabela de Produtos'!A:B,2,0),"Preencher Cód. Produto")</f>
        <v>BRAZIMIL TINTA ACRILICA PREM INT/EXT  FOSCO 15L BRANCO GELO</v>
      </c>
      <c r="C208" s="2"/>
      <c r="D208" s="73" t="s">
        <v>40</v>
      </c>
      <c r="E208" s="73"/>
      <c r="F208" s="74" t="str">
        <f>IF(A208=0,0,VLOOKUP(A208,'Tabela de Produtos'!A:W,23,0))</f>
        <v>Cadastrar Ficha de Produção</v>
      </c>
      <c r="G208" s="74">
        <v>0</v>
      </c>
      <c r="H208" s="76">
        <v>1</v>
      </c>
      <c r="I208" s="74">
        <f t="shared" si="161"/>
        <v>0</v>
      </c>
      <c r="J208" s="77">
        <f>VLOOKUP(B208,'Tabela de Produtos'!B:M,12,FALSE())</f>
        <v>0</v>
      </c>
      <c r="K208" s="74"/>
      <c r="L208" s="74"/>
      <c r="M208" s="74"/>
      <c r="N208" s="81"/>
      <c r="O208" s="74"/>
      <c r="P208" s="74"/>
      <c r="Q208" s="74"/>
      <c r="R208" s="81"/>
      <c r="S208" s="74"/>
      <c r="T208" s="74"/>
      <c r="U208" s="74"/>
      <c r="V208" s="74"/>
      <c r="W208" s="81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7"/>
      <c r="AY208" s="77">
        <f t="shared" si="162"/>
        <v>0</v>
      </c>
      <c r="AZ208" s="79">
        <f>IFERROR(H208*VLOOKUP(A208,'Tabela de Produtos'!A:Q,17,0),0)</f>
        <v>0</v>
      </c>
      <c r="BA208" s="74">
        <f t="shared" si="160"/>
        <v>0</v>
      </c>
      <c r="BB208" s="74">
        <f t="shared" si="160"/>
        <v>0</v>
      </c>
      <c r="BC208" s="74">
        <f t="shared" si="160"/>
        <v>0</v>
      </c>
      <c r="BD208" s="74">
        <f t="shared" si="160"/>
        <v>0</v>
      </c>
      <c r="BE208" s="74">
        <f t="shared" si="163"/>
        <v>0</v>
      </c>
      <c r="BF208" s="74">
        <f t="shared" si="164"/>
        <v>0</v>
      </c>
      <c r="BG208" s="74">
        <f t="shared" si="165"/>
        <v>0</v>
      </c>
      <c r="BH208" s="21">
        <f t="shared" si="166"/>
        <v>0</v>
      </c>
    </row>
    <row r="209" spans="1:60" ht="15.75" customHeight="1">
      <c r="A209" s="72" t="s">
        <v>276</v>
      </c>
      <c r="B209" s="2" t="str">
        <f>IFERROR(VLOOKUP(A209,'Tabela de Produtos'!A:B,2,0),"Preencher Cód. Produto")</f>
        <v>BRAZIMIL TINTA ACRILICA PREM INT/EXT FOSCO 15L DIMANTE</v>
      </c>
      <c r="C209" s="2"/>
      <c r="D209" s="73" t="s">
        <v>40</v>
      </c>
      <c r="E209" s="73"/>
      <c r="F209" s="74" t="str">
        <f>IF(A209=0,0,VLOOKUP(A209,'Tabela de Produtos'!A:W,23,0))</f>
        <v>Cadastrar Ficha de Produção</v>
      </c>
      <c r="G209" s="74">
        <v>0</v>
      </c>
      <c r="H209" s="76">
        <v>1</v>
      </c>
      <c r="I209" s="74">
        <f t="shared" si="161"/>
        <v>0</v>
      </c>
      <c r="J209" s="77">
        <f>VLOOKUP(B209,'Tabela de Produtos'!B:M,12,FALSE())</f>
        <v>0</v>
      </c>
      <c r="K209" s="74"/>
      <c r="L209" s="74"/>
      <c r="M209" s="74"/>
      <c r="N209" s="81"/>
      <c r="O209" s="74"/>
      <c r="P209" s="74"/>
      <c r="Q209" s="74"/>
      <c r="R209" s="81"/>
      <c r="S209" s="74"/>
      <c r="T209" s="74"/>
      <c r="U209" s="74"/>
      <c r="V209" s="74"/>
      <c r="W209" s="81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7"/>
      <c r="AY209" s="77">
        <f t="shared" si="162"/>
        <v>0</v>
      </c>
      <c r="AZ209" s="79">
        <f>IFERROR(H209*VLOOKUP(A209,'Tabela de Produtos'!A:Q,17,0),0)</f>
        <v>0</v>
      </c>
      <c r="BA209" s="74">
        <f t="shared" si="160"/>
        <v>0</v>
      </c>
      <c r="BB209" s="74">
        <f t="shared" si="160"/>
        <v>0</v>
      </c>
      <c r="BC209" s="74">
        <f t="shared" si="160"/>
        <v>0</v>
      </c>
      <c r="BD209" s="74">
        <f t="shared" si="160"/>
        <v>0</v>
      </c>
      <c r="BE209" s="74">
        <f t="shared" si="163"/>
        <v>0</v>
      </c>
      <c r="BF209" s="74">
        <f t="shared" si="164"/>
        <v>0</v>
      </c>
      <c r="BG209" s="74">
        <f t="shared" si="165"/>
        <v>0</v>
      </c>
      <c r="BH209" s="21">
        <f t="shared" si="166"/>
        <v>0</v>
      </c>
    </row>
    <row r="210" spans="1:60" ht="15.75" customHeight="1">
      <c r="A210" s="72" t="s">
        <v>277</v>
      </c>
      <c r="B210" s="2" t="str">
        <f>IFERROR(VLOOKUP(A210,'Tabela de Produtos'!A:B,2,0),"Preencher Cód. Produto")</f>
        <v>BRAZIMIL TINTA ACRILICA PREM INT/EXT  FOSCO 15L CINZA PLATINA</v>
      </c>
      <c r="C210" s="2"/>
      <c r="D210" s="73" t="s">
        <v>40</v>
      </c>
      <c r="E210" s="73"/>
      <c r="F210" s="74" t="str">
        <f>IF(A210=0,0,VLOOKUP(A210,'Tabela de Produtos'!A:W,23,0))</f>
        <v>Cadastrar Ficha de Produção</v>
      </c>
      <c r="G210" s="74">
        <v>0</v>
      </c>
      <c r="H210" s="76">
        <v>1</v>
      </c>
      <c r="I210" s="74">
        <f t="shared" si="161"/>
        <v>0</v>
      </c>
      <c r="J210" s="77">
        <f>VLOOKUP(B210,'Tabela de Produtos'!B:M,12,FALSE())</f>
        <v>0</v>
      </c>
      <c r="K210" s="74"/>
      <c r="L210" s="74"/>
      <c r="M210" s="74"/>
      <c r="N210" s="81"/>
      <c r="O210" s="74"/>
      <c r="P210" s="74"/>
      <c r="Q210" s="74"/>
      <c r="R210" s="81"/>
      <c r="S210" s="74"/>
      <c r="T210" s="74"/>
      <c r="U210" s="74"/>
      <c r="V210" s="74"/>
      <c r="W210" s="81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7"/>
      <c r="AY210" s="77">
        <f t="shared" si="162"/>
        <v>0</v>
      </c>
      <c r="AZ210" s="79">
        <f>IFERROR(H210*VLOOKUP(A210,'Tabela de Produtos'!A:Q,17,0),0)</f>
        <v>0</v>
      </c>
      <c r="BA210" s="74">
        <f t="shared" si="160"/>
        <v>0</v>
      </c>
      <c r="BB210" s="74">
        <f t="shared" si="160"/>
        <v>0</v>
      </c>
      <c r="BC210" s="74">
        <f t="shared" si="160"/>
        <v>0</v>
      </c>
      <c r="BD210" s="74">
        <f t="shared" si="160"/>
        <v>0</v>
      </c>
      <c r="BE210" s="74">
        <f t="shared" si="163"/>
        <v>0</v>
      </c>
      <c r="BF210" s="74">
        <f t="shared" si="164"/>
        <v>0</v>
      </c>
      <c r="BG210" s="74">
        <f t="shared" si="165"/>
        <v>0</v>
      </c>
      <c r="BH210" s="21">
        <f t="shared" si="166"/>
        <v>0</v>
      </c>
    </row>
    <row r="211" spans="1:60" ht="15.75" customHeight="1">
      <c r="A211" s="72" t="s">
        <v>278</v>
      </c>
      <c r="B211" s="2" t="str">
        <f>IFERROR(VLOOKUP(A211,'Tabela de Produtos'!A:B,2,0),"Preencher Cód. Produto")</f>
        <v>BRAZIMIL TINTA ACRILICA PREM INT/EXT FOSCO 15L CINZA INTENSO</v>
      </c>
      <c r="C211" s="2"/>
      <c r="D211" s="73" t="s">
        <v>40</v>
      </c>
      <c r="E211" s="73"/>
      <c r="F211" s="74" t="str">
        <f>IF(A211=0,0,VLOOKUP(A211,'Tabela de Produtos'!A:W,23,0))</f>
        <v>Cadastrar Ficha de Produção</v>
      </c>
      <c r="G211" s="74">
        <v>0</v>
      </c>
      <c r="H211" s="76">
        <v>1</v>
      </c>
      <c r="I211" s="74">
        <f t="shared" si="161"/>
        <v>0</v>
      </c>
      <c r="J211" s="77">
        <f>VLOOKUP(B211,'Tabela de Produtos'!B:M,12,FALSE())</f>
        <v>0</v>
      </c>
      <c r="K211" s="74"/>
      <c r="L211" s="74"/>
      <c r="M211" s="74"/>
      <c r="N211" s="81"/>
      <c r="O211" s="74"/>
      <c r="P211" s="74"/>
      <c r="Q211" s="74"/>
      <c r="R211" s="81"/>
      <c r="S211" s="74"/>
      <c r="T211" s="74"/>
      <c r="U211" s="74"/>
      <c r="V211" s="74"/>
      <c r="W211" s="81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7"/>
      <c r="AY211" s="77">
        <f t="shared" si="162"/>
        <v>0</v>
      </c>
      <c r="AZ211" s="79">
        <f>IFERROR(H211*VLOOKUP(A211,'Tabela de Produtos'!A:Q,17,0),0)</f>
        <v>0</v>
      </c>
      <c r="BA211" s="74">
        <f t="shared" si="160"/>
        <v>0</v>
      </c>
      <c r="BB211" s="74">
        <f t="shared" si="160"/>
        <v>0</v>
      </c>
      <c r="BC211" s="74">
        <f t="shared" si="160"/>
        <v>0</v>
      </c>
      <c r="BD211" s="74">
        <f t="shared" si="160"/>
        <v>0</v>
      </c>
      <c r="BE211" s="74">
        <f t="shared" si="163"/>
        <v>0</v>
      </c>
      <c r="BF211" s="74">
        <f t="shared" si="164"/>
        <v>0</v>
      </c>
      <c r="BG211" s="74">
        <f t="shared" si="165"/>
        <v>0</v>
      </c>
      <c r="BH211" s="21">
        <f t="shared" si="166"/>
        <v>0</v>
      </c>
    </row>
    <row r="212" spans="1:60" ht="15.75" customHeight="1">
      <c r="A212" s="72" t="s">
        <v>279</v>
      </c>
      <c r="B212" s="2" t="str">
        <f>IFERROR(VLOOKUP(A212,'Tabela de Produtos'!A:B,2,0),"Preencher Cód. Produto")</f>
        <v>BRAZIMIL TINTA ACRILICA PREM INT/EXT  FOSCO 15L EGIPCIO</v>
      </c>
      <c r="C212" s="2"/>
      <c r="D212" s="73" t="s">
        <v>40</v>
      </c>
      <c r="E212" s="73"/>
      <c r="F212" s="74" t="str">
        <f>IF(A212=0,0,VLOOKUP(A212,'Tabela de Produtos'!A:W,23,0))</f>
        <v>Cadastrar Ficha de Produção</v>
      </c>
      <c r="G212" s="74">
        <v>0</v>
      </c>
      <c r="H212" s="76">
        <v>1</v>
      </c>
      <c r="I212" s="74">
        <f t="shared" si="161"/>
        <v>0</v>
      </c>
      <c r="J212" s="77">
        <f>VLOOKUP(B212,'Tabela de Produtos'!B:M,12,FALSE())</f>
        <v>0</v>
      </c>
      <c r="K212" s="74"/>
      <c r="L212" s="74"/>
      <c r="M212" s="74"/>
      <c r="N212" s="81"/>
      <c r="O212" s="74"/>
      <c r="P212" s="74"/>
      <c r="Q212" s="74"/>
      <c r="R212" s="81"/>
      <c r="S212" s="74"/>
      <c r="T212" s="74"/>
      <c r="U212" s="74"/>
      <c r="V212" s="74"/>
      <c r="W212" s="81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7"/>
      <c r="AY212" s="77">
        <f t="shared" si="162"/>
        <v>0</v>
      </c>
      <c r="AZ212" s="79">
        <f>IFERROR(H212*VLOOKUP(A212,'Tabela de Produtos'!A:Q,17,0),0)</f>
        <v>0</v>
      </c>
      <c r="BA212" s="74">
        <f t="shared" si="160"/>
        <v>0</v>
      </c>
      <c r="BB212" s="74">
        <f t="shared" si="160"/>
        <v>0</v>
      </c>
      <c r="BC212" s="74">
        <f t="shared" si="160"/>
        <v>0</v>
      </c>
      <c r="BD212" s="74">
        <f t="shared" si="160"/>
        <v>0</v>
      </c>
      <c r="BE212" s="74">
        <f t="shared" si="163"/>
        <v>0</v>
      </c>
      <c r="BF212" s="74">
        <f t="shared" si="164"/>
        <v>0</v>
      </c>
      <c r="BG212" s="74">
        <f t="shared" si="165"/>
        <v>0</v>
      </c>
      <c r="BH212" s="21">
        <f t="shared" si="166"/>
        <v>0</v>
      </c>
    </row>
    <row r="213" spans="1:60" ht="15.75" customHeight="1">
      <c r="A213" s="72" t="s">
        <v>280</v>
      </c>
      <c r="B213" s="2" t="str">
        <f>IFERROR(VLOOKUP(A213,'Tabela de Produtos'!A:B,2,0),"Preencher Cód. Produto")</f>
        <v>BRAZIMIL TINTA ACRILICA PREM INT/EXT  FOSCO 15L MARROM GRADIENTE</v>
      </c>
      <c r="C213" s="2"/>
      <c r="D213" s="73" t="s">
        <v>40</v>
      </c>
      <c r="E213" s="73"/>
      <c r="F213" s="74" t="str">
        <f>IF(A213=0,0,VLOOKUP(A213,'Tabela de Produtos'!A:W,23,0))</f>
        <v>Cadastrar Ficha de Produção</v>
      </c>
      <c r="G213" s="74">
        <v>0</v>
      </c>
      <c r="H213" s="76">
        <v>1</v>
      </c>
      <c r="I213" s="74">
        <f t="shared" si="161"/>
        <v>0</v>
      </c>
      <c r="J213" s="77">
        <f>VLOOKUP(B213,'Tabela de Produtos'!B:M,12,FALSE())</f>
        <v>0</v>
      </c>
      <c r="K213" s="74"/>
      <c r="L213" s="74"/>
      <c r="M213" s="74"/>
      <c r="N213" s="81"/>
      <c r="O213" s="74"/>
      <c r="P213" s="74"/>
      <c r="Q213" s="74"/>
      <c r="R213" s="81"/>
      <c r="S213" s="74"/>
      <c r="T213" s="74"/>
      <c r="U213" s="74"/>
      <c r="V213" s="74"/>
      <c r="W213" s="81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7"/>
      <c r="AY213" s="77">
        <f t="shared" si="162"/>
        <v>0</v>
      </c>
      <c r="AZ213" s="79">
        <f>IFERROR(H213*VLOOKUP(A213,'Tabela de Produtos'!A:Q,17,0),0)</f>
        <v>0</v>
      </c>
      <c r="BA213" s="74">
        <f t="shared" si="160"/>
        <v>0</v>
      </c>
      <c r="BB213" s="74">
        <f t="shared" si="160"/>
        <v>0</v>
      </c>
      <c r="BC213" s="74">
        <f t="shared" si="160"/>
        <v>0</v>
      </c>
      <c r="BD213" s="74">
        <f t="shared" si="160"/>
        <v>0</v>
      </c>
      <c r="BE213" s="74">
        <f t="shared" si="163"/>
        <v>0</v>
      </c>
      <c r="BF213" s="74">
        <f t="shared" si="164"/>
        <v>0</v>
      </c>
      <c r="BG213" s="74">
        <f t="shared" si="165"/>
        <v>0</v>
      </c>
      <c r="BH213" s="21">
        <f t="shared" si="166"/>
        <v>0</v>
      </c>
    </row>
    <row r="214" spans="1:60" ht="15.75" customHeight="1">
      <c r="A214" s="72" t="s">
        <v>281</v>
      </c>
      <c r="B214" s="2" t="str">
        <f>IFERROR(VLOOKUP(A214,'Tabela de Produtos'!A:B,2,0),"Preencher Cód. Produto")</f>
        <v>BRAZIMIL TINTA ACRILICA PREM INT/EXT  FOSCO 15L AVELA</v>
      </c>
      <c r="C214" s="2"/>
      <c r="D214" s="73" t="s">
        <v>40</v>
      </c>
      <c r="E214" s="73"/>
      <c r="F214" s="74" t="str">
        <f>IF(A214=0,0,VLOOKUP(A214,'Tabela de Produtos'!A:W,23,0))</f>
        <v>Cadastrar Ficha de Produção</v>
      </c>
      <c r="G214" s="74">
        <v>0</v>
      </c>
      <c r="H214" s="76">
        <v>1</v>
      </c>
      <c r="I214" s="74">
        <f t="shared" si="161"/>
        <v>0</v>
      </c>
      <c r="J214" s="77">
        <f>VLOOKUP(B214,'Tabela de Produtos'!B:M,12,FALSE())</f>
        <v>0</v>
      </c>
      <c r="K214" s="74"/>
      <c r="L214" s="74"/>
      <c r="M214" s="74"/>
      <c r="N214" s="81"/>
      <c r="O214" s="74"/>
      <c r="P214" s="74"/>
      <c r="Q214" s="74"/>
      <c r="R214" s="81"/>
      <c r="S214" s="74"/>
      <c r="T214" s="74"/>
      <c r="U214" s="74"/>
      <c r="V214" s="74"/>
      <c r="W214" s="81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7"/>
      <c r="AY214" s="77">
        <f t="shared" si="162"/>
        <v>0</v>
      </c>
      <c r="AZ214" s="79">
        <f>IFERROR(H214*VLOOKUP(A214,'Tabela de Produtos'!A:Q,17,0),0)</f>
        <v>0</v>
      </c>
      <c r="BA214" s="74">
        <f t="shared" ref="BA214:BD233" si="167">$I214*BA$12</f>
        <v>0</v>
      </c>
      <c r="BB214" s="74">
        <f t="shared" si="167"/>
        <v>0</v>
      </c>
      <c r="BC214" s="74">
        <f t="shared" si="167"/>
        <v>0</v>
      </c>
      <c r="BD214" s="74">
        <f t="shared" si="167"/>
        <v>0</v>
      </c>
      <c r="BE214" s="74">
        <f t="shared" si="163"/>
        <v>0</v>
      </c>
      <c r="BF214" s="74">
        <f t="shared" si="164"/>
        <v>0</v>
      </c>
      <c r="BG214" s="74">
        <f t="shared" si="165"/>
        <v>0</v>
      </c>
      <c r="BH214" s="21">
        <f t="shared" si="166"/>
        <v>0</v>
      </c>
    </row>
    <row r="215" spans="1:60" ht="15.75" customHeight="1">
      <c r="A215" s="72" t="s">
        <v>282</v>
      </c>
      <c r="B215" s="2" t="str">
        <f>IFERROR(VLOOKUP(A215,'Tabela de Produtos'!A:B,2,0),"Preencher Cód. Produto")</f>
        <v>BRAZIMIL TINTA ACRILICA PREM INT/EXT FOSCO 15L CARAMELO</v>
      </c>
      <c r="C215" s="2"/>
      <c r="D215" s="73" t="s">
        <v>40</v>
      </c>
      <c r="E215" s="73"/>
      <c r="F215" s="74" t="str">
        <f>IF(A215=0,0,VLOOKUP(A215,'Tabela de Produtos'!A:W,23,0))</f>
        <v>Cadastrar Ficha de Produção</v>
      </c>
      <c r="G215" s="74">
        <v>0</v>
      </c>
      <c r="H215" s="76">
        <v>1</v>
      </c>
      <c r="I215" s="74">
        <f t="shared" si="161"/>
        <v>0</v>
      </c>
      <c r="J215" s="77">
        <f>VLOOKUP(B215,'Tabela de Produtos'!B:M,12,FALSE())</f>
        <v>0</v>
      </c>
      <c r="K215" s="74"/>
      <c r="L215" s="74"/>
      <c r="M215" s="74"/>
      <c r="N215" s="81"/>
      <c r="O215" s="74"/>
      <c r="P215" s="74"/>
      <c r="Q215" s="74"/>
      <c r="R215" s="81"/>
      <c r="S215" s="74"/>
      <c r="T215" s="74"/>
      <c r="U215" s="74"/>
      <c r="V215" s="74"/>
      <c r="W215" s="81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7"/>
      <c r="AY215" s="77">
        <f t="shared" si="162"/>
        <v>0</v>
      </c>
      <c r="AZ215" s="79">
        <f>IFERROR(H215*VLOOKUP(A215,'Tabela de Produtos'!A:Q,17,0),0)</f>
        <v>0</v>
      </c>
      <c r="BA215" s="74">
        <f t="shared" si="167"/>
        <v>0</v>
      </c>
      <c r="BB215" s="74">
        <f t="shared" si="167"/>
        <v>0</v>
      </c>
      <c r="BC215" s="74">
        <f t="shared" si="167"/>
        <v>0</v>
      </c>
      <c r="BD215" s="74">
        <f t="shared" si="167"/>
        <v>0</v>
      </c>
      <c r="BE215" s="74">
        <f t="shared" si="163"/>
        <v>0</v>
      </c>
      <c r="BF215" s="74">
        <f t="shared" si="164"/>
        <v>0</v>
      </c>
      <c r="BG215" s="74">
        <f t="shared" si="165"/>
        <v>0</v>
      </c>
      <c r="BH215" s="21">
        <f t="shared" si="166"/>
        <v>0</v>
      </c>
    </row>
    <row r="216" spans="1:60" ht="15.75" customHeight="1">
      <c r="A216" s="72" t="s">
        <v>283</v>
      </c>
      <c r="B216" s="2" t="str">
        <f>IFERROR(VLOOKUP(A216,'Tabela de Produtos'!A:B,2,0),"Preencher Cód. Produto")</f>
        <v>BRAZIMIL TINTA ACRILICA PREM INT/EXT FOSCO 15L CAFÉ</v>
      </c>
      <c r="C216" s="2"/>
      <c r="D216" s="73" t="s">
        <v>40</v>
      </c>
      <c r="E216" s="73"/>
      <c r="F216" s="74" t="str">
        <f>IF(A216=0,0,VLOOKUP(A216,'Tabela de Produtos'!A:W,23,0))</f>
        <v>Cadastrar Ficha de Produção</v>
      </c>
      <c r="G216" s="74">
        <v>0</v>
      </c>
      <c r="H216" s="76">
        <v>1</v>
      </c>
      <c r="I216" s="74">
        <f t="shared" si="161"/>
        <v>0</v>
      </c>
      <c r="J216" s="77">
        <f>VLOOKUP(B216,'Tabela de Produtos'!B:M,12,FALSE())</f>
        <v>0</v>
      </c>
      <c r="K216" s="74"/>
      <c r="L216" s="74"/>
      <c r="M216" s="74"/>
      <c r="N216" s="81"/>
      <c r="O216" s="74"/>
      <c r="P216" s="74"/>
      <c r="Q216" s="74"/>
      <c r="R216" s="81"/>
      <c r="S216" s="74"/>
      <c r="T216" s="74"/>
      <c r="U216" s="74"/>
      <c r="V216" s="74"/>
      <c r="W216" s="81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7"/>
      <c r="AY216" s="77">
        <f t="shared" si="162"/>
        <v>0</v>
      </c>
      <c r="AZ216" s="79">
        <f>IFERROR(H216*VLOOKUP(A216,'Tabela de Produtos'!A:Q,17,0),0)</f>
        <v>0</v>
      </c>
      <c r="BA216" s="74">
        <f t="shared" si="167"/>
        <v>0</v>
      </c>
      <c r="BB216" s="74">
        <f t="shared" si="167"/>
        <v>0</v>
      </c>
      <c r="BC216" s="74">
        <f t="shared" si="167"/>
        <v>0</v>
      </c>
      <c r="BD216" s="74">
        <f t="shared" si="167"/>
        <v>0</v>
      </c>
      <c r="BE216" s="74">
        <f t="shared" si="163"/>
        <v>0</v>
      </c>
      <c r="BF216" s="74">
        <f t="shared" si="164"/>
        <v>0</v>
      </c>
      <c r="BG216" s="74">
        <f t="shared" si="165"/>
        <v>0</v>
      </c>
      <c r="BH216" s="21">
        <f t="shared" si="166"/>
        <v>0</v>
      </c>
    </row>
    <row r="217" spans="1:60" ht="15.75" customHeight="1">
      <c r="A217" s="72" t="s">
        <v>284</v>
      </c>
      <c r="B217" s="2" t="str">
        <f>IFERROR(VLOOKUP(A217,'Tabela de Produtos'!A:B,2,0),"Preencher Cód. Produto")</f>
        <v>BRAZIMIL TINTA ACRILICA PREM INT/EXT  FOSCO 15L NUDE</v>
      </c>
      <c r="C217" s="2"/>
      <c r="D217" s="73" t="s">
        <v>40</v>
      </c>
      <c r="E217" s="73"/>
      <c r="F217" s="74" t="str">
        <f>IF(A217=0,0,VLOOKUP(A217,'Tabela de Produtos'!A:W,23,0))</f>
        <v>Cadastrar Ficha de Produção</v>
      </c>
      <c r="G217" s="74">
        <v>0</v>
      </c>
      <c r="H217" s="76">
        <v>1</v>
      </c>
      <c r="I217" s="74">
        <f t="shared" si="161"/>
        <v>0</v>
      </c>
      <c r="J217" s="77">
        <f>VLOOKUP(B217,'Tabela de Produtos'!B:M,12,FALSE())</f>
        <v>0</v>
      </c>
      <c r="K217" s="74"/>
      <c r="L217" s="74"/>
      <c r="M217" s="74"/>
      <c r="N217" s="81"/>
      <c r="O217" s="74"/>
      <c r="P217" s="74"/>
      <c r="Q217" s="74"/>
      <c r="R217" s="81"/>
      <c r="S217" s="74"/>
      <c r="T217" s="74"/>
      <c r="U217" s="74"/>
      <c r="V217" s="74"/>
      <c r="W217" s="81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7"/>
      <c r="AY217" s="77">
        <f t="shared" si="162"/>
        <v>0</v>
      </c>
      <c r="AZ217" s="79">
        <f>IFERROR(H217*VLOOKUP(A217,'Tabela de Produtos'!A:Q,17,0),0)</f>
        <v>0</v>
      </c>
      <c r="BA217" s="74">
        <f t="shared" si="167"/>
        <v>0</v>
      </c>
      <c r="BB217" s="74">
        <f t="shared" si="167"/>
        <v>0</v>
      </c>
      <c r="BC217" s="74">
        <f t="shared" si="167"/>
        <v>0</v>
      </c>
      <c r="BD217" s="74">
        <f t="shared" si="167"/>
        <v>0</v>
      </c>
      <c r="BE217" s="74">
        <f t="shared" si="163"/>
        <v>0</v>
      </c>
      <c r="BF217" s="74">
        <f t="shared" si="164"/>
        <v>0</v>
      </c>
      <c r="BG217" s="74">
        <f t="shared" si="165"/>
        <v>0</v>
      </c>
      <c r="BH217" s="21">
        <f t="shared" si="166"/>
        <v>0</v>
      </c>
    </row>
    <row r="218" spans="1:60" ht="15.75" customHeight="1">
      <c r="A218" s="72" t="s">
        <v>285</v>
      </c>
      <c r="B218" s="2" t="str">
        <f>IFERROR(VLOOKUP(A218,'Tabela de Produtos'!A:B,2,0),"Preencher Cód. Produto")</f>
        <v>BRAZIMIL TINTA ACRILICA PREM INT/EXT FOSCO 15L MARFIM REAL</v>
      </c>
      <c r="C218" s="2"/>
      <c r="D218" s="73" t="s">
        <v>40</v>
      </c>
      <c r="E218" s="73"/>
      <c r="F218" s="74" t="str">
        <f>IF(A218=0,0,VLOOKUP(A218,'Tabela de Produtos'!A:W,23,0))</f>
        <v>Cadastrar Ficha de Produção</v>
      </c>
      <c r="G218" s="74">
        <v>0</v>
      </c>
      <c r="H218" s="76">
        <v>1</v>
      </c>
      <c r="I218" s="74">
        <f t="shared" si="161"/>
        <v>0</v>
      </c>
      <c r="J218" s="77">
        <f>VLOOKUP(B218,'Tabela de Produtos'!B:M,12,FALSE())</f>
        <v>0</v>
      </c>
      <c r="K218" s="74"/>
      <c r="L218" s="74"/>
      <c r="M218" s="74"/>
      <c r="N218" s="81"/>
      <c r="O218" s="74"/>
      <c r="P218" s="74"/>
      <c r="Q218" s="74"/>
      <c r="R218" s="81"/>
      <c r="S218" s="74"/>
      <c r="T218" s="74"/>
      <c r="U218" s="74"/>
      <c r="V218" s="74"/>
      <c r="W218" s="81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7"/>
      <c r="AY218" s="77">
        <f t="shared" si="162"/>
        <v>0</v>
      </c>
      <c r="AZ218" s="79">
        <f>IFERROR(H218*VLOOKUP(A218,'Tabela de Produtos'!A:Q,17,0),0)</f>
        <v>0</v>
      </c>
      <c r="BA218" s="74">
        <f t="shared" si="167"/>
        <v>0</v>
      </c>
      <c r="BB218" s="74">
        <f t="shared" si="167"/>
        <v>0</v>
      </c>
      <c r="BC218" s="74">
        <f t="shared" si="167"/>
        <v>0</v>
      </c>
      <c r="BD218" s="74">
        <f t="shared" si="167"/>
        <v>0</v>
      </c>
      <c r="BE218" s="74">
        <f t="shared" si="163"/>
        <v>0</v>
      </c>
      <c r="BF218" s="74">
        <f t="shared" si="164"/>
        <v>0</v>
      </c>
      <c r="BG218" s="74">
        <f t="shared" si="165"/>
        <v>0</v>
      </c>
      <c r="BH218" s="21">
        <f t="shared" si="166"/>
        <v>0</v>
      </c>
    </row>
    <row r="219" spans="1:60" ht="15.75" customHeight="1">
      <c r="A219" s="72" t="s">
        <v>286</v>
      </c>
      <c r="B219" s="2" t="str">
        <f>IFERROR(VLOOKUP(A219,'Tabela de Produtos'!A:B,2,0),"Preencher Cód. Produto")</f>
        <v>BRAZIMIL TINTA ACRILICA PREM INT/EXT  FOSCO 15L CAMURCA</v>
      </c>
      <c r="C219" s="2"/>
      <c r="D219" s="73" t="s">
        <v>40</v>
      </c>
      <c r="E219" s="73"/>
      <c r="F219" s="74" t="str">
        <f>IF(A219=0,0,VLOOKUP(A219,'Tabela de Produtos'!A:W,23,0))</f>
        <v>Cadastrar Ficha de Produção</v>
      </c>
      <c r="G219" s="74">
        <v>0</v>
      </c>
      <c r="H219" s="76">
        <v>1</v>
      </c>
      <c r="I219" s="74">
        <f t="shared" si="161"/>
        <v>0</v>
      </c>
      <c r="J219" s="77">
        <f>VLOOKUP(B219,'Tabela de Produtos'!B:M,12,FALSE())</f>
        <v>0</v>
      </c>
      <c r="K219" s="74"/>
      <c r="L219" s="74"/>
      <c r="M219" s="74"/>
      <c r="N219" s="81"/>
      <c r="O219" s="74"/>
      <c r="P219" s="74"/>
      <c r="Q219" s="74"/>
      <c r="R219" s="81"/>
      <c r="S219" s="74"/>
      <c r="T219" s="74"/>
      <c r="U219" s="74"/>
      <c r="V219" s="74"/>
      <c r="W219" s="81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7"/>
      <c r="AY219" s="77">
        <f t="shared" si="162"/>
        <v>0</v>
      </c>
      <c r="AZ219" s="79">
        <f>IFERROR(H219*VLOOKUP(A219,'Tabela de Produtos'!A:Q,17,0),0)</f>
        <v>0</v>
      </c>
      <c r="BA219" s="74">
        <f t="shared" si="167"/>
        <v>0</v>
      </c>
      <c r="BB219" s="74">
        <f t="shared" si="167"/>
        <v>0</v>
      </c>
      <c r="BC219" s="74">
        <f t="shared" si="167"/>
        <v>0</v>
      </c>
      <c r="BD219" s="74">
        <f t="shared" si="167"/>
        <v>0</v>
      </c>
      <c r="BE219" s="74">
        <f t="shared" si="163"/>
        <v>0</v>
      </c>
      <c r="BF219" s="74">
        <f t="shared" si="164"/>
        <v>0</v>
      </c>
      <c r="BG219" s="74">
        <f t="shared" si="165"/>
        <v>0</v>
      </c>
      <c r="BH219" s="21">
        <f t="shared" si="166"/>
        <v>0</v>
      </c>
    </row>
    <row r="220" spans="1:60" ht="15.75" customHeight="1">
      <c r="A220" s="72" t="s">
        <v>287</v>
      </c>
      <c r="B220" s="2" t="str">
        <f>IFERROR(VLOOKUP(A220,'Tabela de Produtos'!A:B,2,0),"Preencher Cód. Produto")</f>
        <v>BRAZIMIL TINTA ACRILICA PREM INT/EXT  FOSCO 15L AZUL ANIL</v>
      </c>
      <c r="C220" s="2"/>
      <c r="D220" s="73" t="s">
        <v>40</v>
      </c>
      <c r="E220" s="73"/>
      <c r="F220" s="74" t="str">
        <f>IF(A220=0,0,VLOOKUP(A220,'Tabela de Produtos'!A:W,23,0))</f>
        <v>Cadastrar Ficha de Produção</v>
      </c>
      <c r="G220" s="74">
        <v>0</v>
      </c>
      <c r="H220" s="76">
        <v>1</v>
      </c>
      <c r="I220" s="74">
        <f t="shared" si="161"/>
        <v>0</v>
      </c>
      <c r="J220" s="77">
        <f>VLOOKUP(B220,'Tabela de Produtos'!B:M,12,FALSE())</f>
        <v>0</v>
      </c>
      <c r="K220" s="74"/>
      <c r="L220" s="74"/>
      <c r="M220" s="74"/>
      <c r="N220" s="81"/>
      <c r="O220" s="74"/>
      <c r="P220" s="74"/>
      <c r="Q220" s="74"/>
      <c r="R220" s="81"/>
      <c r="S220" s="74"/>
      <c r="T220" s="74"/>
      <c r="U220" s="74"/>
      <c r="V220" s="74"/>
      <c r="W220" s="81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7"/>
      <c r="AY220" s="77">
        <f t="shared" si="162"/>
        <v>0</v>
      </c>
      <c r="AZ220" s="79">
        <f>IFERROR(H220*VLOOKUP(A220,'Tabela de Produtos'!A:Q,17,0),0)</f>
        <v>0</v>
      </c>
      <c r="BA220" s="74">
        <f t="shared" si="167"/>
        <v>0</v>
      </c>
      <c r="BB220" s="74">
        <f t="shared" si="167"/>
        <v>0</v>
      </c>
      <c r="BC220" s="74">
        <f t="shared" si="167"/>
        <v>0</v>
      </c>
      <c r="BD220" s="74">
        <f t="shared" si="167"/>
        <v>0</v>
      </c>
      <c r="BE220" s="74">
        <f t="shared" si="163"/>
        <v>0</v>
      </c>
      <c r="BF220" s="74">
        <f t="shared" si="164"/>
        <v>0</v>
      </c>
      <c r="BG220" s="74">
        <f t="shared" si="165"/>
        <v>0</v>
      </c>
      <c r="BH220" s="21">
        <f t="shared" si="166"/>
        <v>0</v>
      </c>
    </row>
    <row r="221" spans="1:60" ht="15.75" customHeight="1">
      <c r="A221" s="72" t="s">
        <v>288</v>
      </c>
      <c r="B221" s="2" t="str">
        <f>IFERROR(VLOOKUP(A221,'Tabela de Produtos'!A:B,2,0),"Preencher Cód. Produto")</f>
        <v>BRAZIMIL TINTA ACRILICA PREM INT/EXT  FOSCO 15L CARDINAL</v>
      </c>
      <c r="C221" s="2"/>
      <c r="D221" s="73" t="s">
        <v>40</v>
      </c>
      <c r="E221" s="73"/>
      <c r="F221" s="74" t="str">
        <f>IF(A221=0,0,VLOOKUP(A221,'Tabela de Produtos'!A:W,23,0))</f>
        <v>Cadastrar Ficha de Produção</v>
      </c>
      <c r="G221" s="74">
        <v>0</v>
      </c>
      <c r="H221" s="76">
        <v>1</v>
      </c>
      <c r="I221" s="74">
        <f t="shared" si="161"/>
        <v>0</v>
      </c>
      <c r="J221" s="77">
        <f>VLOOKUP(B221,'Tabela de Produtos'!B:M,12,FALSE())</f>
        <v>0</v>
      </c>
      <c r="K221" s="74"/>
      <c r="L221" s="74"/>
      <c r="M221" s="74"/>
      <c r="N221" s="81"/>
      <c r="O221" s="74"/>
      <c r="P221" s="74"/>
      <c r="Q221" s="74"/>
      <c r="R221" s="81"/>
      <c r="S221" s="74"/>
      <c r="T221" s="74"/>
      <c r="U221" s="74"/>
      <c r="V221" s="74"/>
      <c r="W221" s="81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7"/>
      <c r="AY221" s="77">
        <f t="shared" si="162"/>
        <v>0</v>
      </c>
      <c r="AZ221" s="79">
        <f>IFERROR(H221*VLOOKUP(A221,'Tabela de Produtos'!A:Q,17,0),0)</f>
        <v>0</v>
      </c>
      <c r="BA221" s="74">
        <f t="shared" si="167"/>
        <v>0</v>
      </c>
      <c r="BB221" s="74">
        <f t="shared" si="167"/>
        <v>0</v>
      </c>
      <c r="BC221" s="74">
        <f t="shared" si="167"/>
        <v>0</v>
      </c>
      <c r="BD221" s="74">
        <f t="shared" si="167"/>
        <v>0</v>
      </c>
      <c r="BE221" s="74">
        <f t="shared" si="163"/>
        <v>0</v>
      </c>
      <c r="BF221" s="74">
        <f t="shared" si="164"/>
        <v>0</v>
      </c>
      <c r="BG221" s="74">
        <f t="shared" si="165"/>
        <v>0</v>
      </c>
      <c r="BH221" s="21">
        <f t="shared" si="166"/>
        <v>0</v>
      </c>
    </row>
    <row r="222" spans="1:60" ht="15.75" customHeight="1">
      <c r="A222" s="72" t="s">
        <v>289</v>
      </c>
      <c r="B222" s="2" t="str">
        <f>IFERROR(VLOOKUP(A222,'Tabela de Produtos'!A:B,2,0),"Preencher Cód. Produto")</f>
        <v>BRAZIMIL TINTA ACRILICA PREM INT/EXT  FOSCO 15L PRAIA</v>
      </c>
      <c r="C222" s="2"/>
      <c r="D222" s="73" t="s">
        <v>40</v>
      </c>
      <c r="E222" s="73"/>
      <c r="F222" s="74" t="str">
        <f>IF(A222=0,0,VLOOKUP(A222,'Tabela de Produtos'!A:W,23,0))</f>
        <v>Cadastrar Ficha de Produção</v>
      </c>
      <c r="G222" s="74">
        <v>0</v>
      </c>
      <c r="H222" s="76">
        <v>1</v>
      </c>
      <c r="I222" s="74">
        <f t="shared" si="161"/>
        <v>0</v>
      </c>
      <c r="J222" s="77">
        <f>VLOOKUP(B222,'Tabela de Produtos'!B:M,12,FALSE())</f>
        <v>0</v>
      </c>
      <c r="K222" s="74"/>
      <c r="L222" s="74"/>
      <c r="M222" s="74"/>
      <c r="N222" s="81"/>
      <c r="O222" s="74"/>
      <c r="P222" s="74"/>
      <c r="Q222" s="74"/>
      <c r="R222" s="81"/>
      <c r="S222" s="74"/>
      <c r="T222" s="74"/>
      <c r="U222" s="74"/>
      <c r="V222" s="74"/>
      <c r="W222" s="81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7"/>
      <c r="AY222" s="77">
        <f t="shared" si="162"/>
        <v>0</v>
      </c>
      <c r="AZ222" s="79">
        <f>IFERROR(H222*VLOOKUP(A222,'Tabela de Produtos'!A:Q,17,0),0)</f>
        <v>0</v>
      </c>
      <c r="BA222" s="74">
        <f t="shared" si="167"/>
        <v>0</v>
      </c>
      <c r="BB222" s="74">
        <f t="shared" si="167"/>
        <v>0</v>
      </c>
      <c r="BC222" s="74">
        <f t="shared" si="167"/>
        <v>0</v>
      </c>
      <c r="BD222" s="74">
        <f t="shared" si="167"/>
        <v>0</v>
      </c>
      <c r="BE222" s="74">
        <f t="shared" si="163"/>
        <v>0</v>
      </c>
      <c r="BF222" s="74">
        <f t="shared" si="164"/>
        <v>0</v>
      </c>
      <c r="BG222" s="74">
        <f t="shared" si="165"/>
        <v>0</v>
      </c>
      <c r="BH222" s="21">
        <f t="shared" si="166"/>
        <v>0</v>
      </c>
    </row>
    <row r="223" spans="1:60" ht="15.75" customHeight="1">
      <c r="A223" s="72" t="s">
        <v>290</v>
      </c>
      <c r="B223" s="2" t="str">
        <f>IFERROR(VLOOKUP(A223,'Tabela de Produtos'!A:B,2,0),"Preencher Cód. Produto")</f>
        <v>BRAZIMIL TINTA ACRILICA PREM INT/EXT  FOSCO 15L AMARELO SOL</v>
      </c>
      <c r="C223" s="2"/>
      <c r="D223" s="73" t="s">
        <v>40</v>
      </c>
      <c r="E223" s="73"/>
      <c r="F223" s="74" t="str">
        <f>IF(A223=0,0,VLOOKUP(A223,'Tabela de Produtos'!A:W,23,0))</f>
        <v>Cadastrar Ficha de Produção</v>
      </c>
      <c r="G223" s="74">
        <v>0</v>
      </c>
      <c r="H223" s="76">
        <v>1</v>
      </c>
      <c r="I223" s="74">
        <f t="shared" si="161"/>
        <v>0</v>
      </c>
      <c r="J223" s="77">
        <f>VLOOKUP(B223,'Tabela de Produtos'!B:M,12,FALSE())</f>
        <v>0</v>
      </c>
      <c r="K223" s="74"/>
      <c r="L223" s="74"/>
      <c r="M223" s="74"/>
      <c r="N223" s="81"/>
      <c r="O223" s="74"/>
      <c r="P223" s="74"/>
      <c r="Q223" s="74"/>
      <c r="R223" s="81"/>
      <c r="S223" s="74"/>
      <c r="T223" s="74"/>
      <c r="U223" s="74"/>
      <c r="V223" s="74"/>
      <c r="W223" s="81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7"/>
      <c r="AY223" s="77">
        <f t="shared" si="162"/>
        <v>0</v>
      </c>
      <c r="AZ223" s="79">
        <f>IFERROR(H223*VLOOKUP(A223,'Tabela de Produtos'!A:Q,17,0),0)</f>
        <v>0</v>
      </c>
      <c r="BA223" s="74">
        <f t="shared" si="167"/>
        <v>0</v>
      </c>
      <c r="BB223" s="74">
        <f t="shared" si="167"/>
        <v>0</v>
      </c>
      <c r="BC223" s="74">
        <f t="shared" si="167"/>
        <v>0</v>
      </c>
      <c r="BD223" s="74">
        <f t="shared" si="167"/>
        <v>0</v>
      </c>
      <c r="BE223" s="74">
        <f t="shared" si="163"/>
        <v>0</v>
      </c>
      <c r="BF223" s="74">
        <f t="shared" si="164"/>
        <v>0</v>
      </c>
      <c r="BG223" s="74">
        <f t="shared" si="165"/>
        <v>0</v>
      </c>
      <c r="BH223" s="21">
        <f t="shared" si="166"/>
        <v>0</v>
      </c>
    </row>
    <row r="224" spans="1:60" ht="15.75" customHeight="1">
      <c r="A224" s="72" t="s">
        <v>291</v>
      </c>
      <c r="B224" s="2" t="str">
        <f>IFERROR(VLOOKUP(A224,'Tabela de Produtos'!A:B,2,0),"Preencher Cód. Produto")</f>
        <v>BRAZIMIL TINTA ACRILICA PREM INT/EXT  FOSCO 15L JASMIM AMARELO</v>
      </c>
      <c r="C224" s="2"/>
      <c r="D224" s="73" t="s">
        <v>40</v>
      </c>
      <c r="E224" s="73"/>
      <c r="F224" s="74" t="str">
        <f>IF(A224=0,0,VLOOKUP(A224,'Tabela de Produtos'!A:W,23,0))</f>
        <v>Cadastrar Ficha de Produção</v>
      </c>
      <c r="G224" s="74">
        <v>0</v>
      </c>
      <c r="H224" s="76">
        <v>1</v>
      </c>
      <c r="I224" s="74">
        <f t="shared" si="161"/>
        <v>0</v>
      </c>
      <c r="J224" s="77">
        <f>VLOOKUP(B224,'Tabela de Produtos'!B:M,12,FALSE())</f>
        <v>0</v>
      </c>
      <c r="K224" s="74"/>
      <c r="L224" s="74"/>
      <c r="M224" s="74"/>
      <c r="N224" s="81"/>
      <c r="O224" s="74"/>
      <c r="P224" s="74"/>
      <c r="Q224" s="74"/>
      <c r="R224" s="81"/>
      <c r="S224" s="74"/>
      <c r="T224" s="74"/>
      <c r="U224" s="74"/>
      <c r="V224" s="74"/>
      <c r="W224" s="81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7"/>
      <c r="AY224" s="77">
        <f t="shared" si="162"/>
        <v>0</v>
      </c>
      <c r="AZ224" s="79">
        <f>IFERROR(H224*VLOOKUP(A224,'Tabela de Produtos'!A:Q,17,0),0)</f>
        <v>0</v>
      </c>
      <c r="BA224" s="74">
        <f t="shared" si="167"/>
        <v>0</v>
      </c>
      <c r="BB224" s="74">
        <f t="shared" si="167"/>
        <v>0</v>
      </c>
      <c r="BC224" s="74">
        <f t="shared" si="167"/>
        <v>0</v>
      </c>
      <c r="BD224" s="74">
        <f t="shared" si="167"/>
        <v>0</v>
      </c>
      <c r="BE224" s="74">
        <f t="shared" si="163"/>
        <v>0</v>
      </c>
      <c r="BF224" s="74">
        <f t="shared" si="164"/>
        <v>0</v>
      </c>
      <c r="BG224" s="74">
        <f t="shared" si="165"/>
        <v>0</v>
      </c>
      <c r="BH224" s="21">
        <f t="shared" si="166"/>
        <v>0</v>
      </c>
    </row>
    <row r="225" spans="1:60" ht="15.75" customHeight="1">
      <c r="A225" s="72" t="s">
        <v>292</v>
      </c>
      <c r="B225" s="2" t="str">
        <f>IFERROR(VLOOKUP(A225,'Tabela de Produtos'!A:B,2,0),"Preencher Cód. Produto")</f>
        <v>BRAZIMIL TINTA ACRILICA PREM INT/EXT  SEMIBRILHO 15L CINZA INTENSO</v>
      </c>
      <c r="C225" s="2"/>
      <c r="D225" s="73" t="s">
        <v>40</v>
      </c>
      <c r="E225" s="73"/>
      <c r="F225" s="74" t="str">
        <f>IF(A225=0,0,VLOOKUP(A225,'Tabela de Produtos'!A:W,23,0))</f>
        <v>Cadastrar Ficha de Produção</v>
      </c>
      <c r="G225" s="74">
        <v>0</v>
      </c>
      <c r="H225" s="76">
        <v>1</v>
      </c>
      <c r="I225" s="74">
        <f t="shared" si="161"/>
        <v>0</v>
      </c>
      <c r="J225" s="77">
        <f>VLOOKUP(B225,'Tabela de Produtos'!B:M,12,FALSE())</f>
        <v>0</v>
      </c>
      <c r="K225" s="74"/>
      <c r="L225" s="74"/>
      <c r="M225" s="74"/>
      <c r="N225" s="81"/>
      <c r="O225" s="74"/>
      <c r="P225" s="74"/>
      <c r="Q225" s="74"/>
      <c r="R225" s="81"/>
      <c r="S225" s="74"/>
      <c r="T225" s="74"/>
      <c r="U225" s="74"/>
      <c r="V225" s="74"/>
      <c r="W225" s="81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7"/>
      <c r="AY225" s="77">
        <f t="shared" si="162"/>
        <v>0</v>
      </c>
      <c r="AZ225" s="79">
        <f>IFERROR(H225*VLOOKUP(A225,'Tabela de Produtos'!A:Q,17,0),0)</f>
        <v>0</v>
      </c>
      <c r="BA225" s="74">
        <f t="shared" si="167"/>
        <v>0</v>
      </c>
      <c r="BB225" s="74">
        <f t="shared" si="167"/>
        <v>0</v>
      </c>
      <c r="BC225" s="74">
        <f t="shared" si="167"/>
        <v>0</v>
      </c>
      <c r="BD225" s="74">
        <f t="shared" si="167"/>
        <v>0</v>
      </c>
      <c r="BE225" s="74">
        <f t="shared" si="163"/>
        <v>0</v>
      </c>
      <c r="BF225" s="74">
        <f t="shared" si="164"/>
        <v>0</v>
      </c>
      <c r="BG225" s="74">
        <f t="shared" si="165"/>
        <v>0</v>
      </c>
      <c r="BH225" s="21">
        <f t="shared" si="166"/>
        <v>0</v>
      </c>
    </row>
    <row r="226" spans="1:60" ht="15.75" customHeight="1">
      <c r="A226" s="72" t="s">
        <v>293</v>
      </c>
      <c r="B226" s="2" t="str">
        <f>IFERROR(VLOOKUP(A226,'Tabela de Produtos'!A:B,2,0),"Preencher Cód. Produto")</f>
        <v>BRAZIMIL TINTA ACRILICA PREM INT/EXT SEMIBRILHO 15L BRANCO</v>
      </c>
      <c r="C226" s="2"/>
      <c r="D226" s="73" t="s">
        <v>40</v>
      </c>
      <c r="E226" s="73"/>
      <c r="F226" s="74" t="str">
        <f>IF(A226=0,0,VLOOKUP(A226,'Tabela de Produtos'!A:W,23,0))</f>
        <v>Cadastrar Ficha de Produção</v>
      </c>
      <c r="G226" s="74">
        <v>0</v>
      </c>
      <c r="H226" s="76">
        <v>1</v>
      </c>
      <c r="I226" s="74">
        <f t="shared" si="161"/>
        <v>0</v>
      </c>
      <c r="J226" s="77">
        <f>VLOOKUP(B226,'Tabela de Produtos'!B:M,12,FALSE())</f>
        <v>0</v>
      </c>
      <c r="K226" s="74"/>
      <c r="L226" s="74"/>
      <c r="M226" s="74"/>
      <c r="N226" s="81"/>
      <c r="O226" s="74"/>
      <c r="P226" s="74"/>
      <c r="Q226" s="74"/>
      <c r="R226" s="81"/>
      <c r="S226" s="74"/>
      <c r="T226" s="74"/>
      <c r="U226" s="74"/>
      <c r="V226" s="74"/>
      <c r="W226" s="81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7"/>
      <c r="AY226" s="77">
        <f t="shared" si="162"/>
        <v>0</v>
      </c>
      <c r="AZ226" s="79">
        <f>IFERROR(H226*VLOOKUP(A226,'Tabela de Produtos'!A:Q,17,0),0)</f>
        <v>0</v>
      </c>
      <c r="BA226" s="74">
        <f t="shared" si="167"/>
        <v>0</v>
      </c>
      <c r="BB226" s="74">
        <f t="shared" si="167"/>
        <v>0</v>
      </c>
      <c r="BC226" s="74">
        <f t="shared" si="167"/>
        <v>0</v>
      </c>
      <c r="BD226" s="74">
        <f t="shared" si="167"/>
        <v>0</v>
      </c>
      <c r="BE226" s="74">
        <f t="shared" si="163"/>
        <v>0</v>
      </c>
      <c r="BF226" s="74">
        <f t="shared" si="164"/>
        <v>0</v>
      </c>
      <c r="BG226" s="74">
        <f t="shared" si="165"/>
        <v>0</v>
      </c>
      <c r="BH226" s="21">
        <f t="shared" si="166"/>
        <v>0</v>
      </c>
    </row>
    <row r="227" spans="1:60" ht="15.75" customHeight="1">
      <c r="A227" s="72" t="s">
        <v>294</v>
      </c>
      <c r="B227" s="2" t="str">
        <f>IFERROR(VLOOKUP(A227,'Tabela de Produtos'!A:B,2,0),"Preencher Cód. Produto")</f>
        <v>BRAZIMIL TINTA ACRILICA PREM INT/EXT  SEMIBRILHO 15L BRANCO GELO</v>
      </c>
      <c r="C227" s="2"/>
      <c r="D227" s="73" t="s">
        <v>40</v>
      </c>
      <c r="E227" s="73"/>
      <c r="F227" s="74" t="str">
        <f>IF(A227=0,0,VLOOKUP(A227,'Tabela de Produtos'!A:W,23,0))</f>
        <v>Cadastrar Ficha de Produção</v>
      </c>
      <c r="G227" s="74">
        <v>0</v>
      </c>
      <c r="H227" s="76">
        <v>1</v>
      </c>
      <c r="I227" s="74">
        <f t="shared" si="161"/>
        <v>0</v>
      </c>
      <c r="J227" s="77">
        <f>VLOOKUP(B227,'Tabela de Produtos'!B:M,12,FALSE())</f>
        <v>0</v>
      </c>
      <c r="K227" s="74"/>
      <c r="L227" s="74"/>
      <c r="M227" s="74"/>
      <c r="N227" s="81"/>
      <c r="O227" s="74"/>
      <c r="P227" s="74"/>
      <c r="Q227" s="74"/>
      <c r="R227" s="81"/>
      <c r="S227" s="74"/>
      <c r="T227" s="74"/>
      <c r="U227" s="74"/>
      <c r="V227" s="74"/>
      <c r="W227" s="81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7"/>
      <c r="AY227" s="77">
        <f t="shared" si="162"/>
        <v>0</v>
      </c>
      <c r="AZ227" s="79">
        <f>IFERROR(H227*VLOOKUP(A227,'Tabela de Produtos'!A:Q,17,0),0)</f>
        <v>0</v>
      </c>
      <c r="BA227" s="74">
        <f t="shared" si="167"/>
        <v>0</v>
      </c>
      <c r="BB227" s="74">
        <f t="shared" si="167"/>
        <v>0</v>
      </c>
      <c r="BC227" s="74">
        <f t="shared" si="167"/>
        <v>0</v>
      </c>
      <c r="BD227" s="74">
        <f t="shared" si="167"/>
        <v>0</v>
      </c>
      <c r="BE227" s="74">
        <f t="shared" si="163"/>
        <v>0</v>
      </c>
      <c r="BF227" s="74">
        <f t="shared" si="164"/>
        <v>0</v>
      </c>
      <c r="BG227" s="74">
        <f t="shared" si="165"/>
        <v>0</v>
      </c>
      <c r="BH227" s="21">
        <f t="shared" si="166"/>
        <v>0</v>
      </c>
    </row>
    <row r="228" spans="1:60" ht="15.75" customHeight="1">
      <c r="A228" s="72" t="s">
        <v>295</v>
      </c>
      <c r="B228" s="2" t="str">
        <f>IFERROR(VLOOKUP(A228,'Tabela de Produtos'!A:B,2,0),"Preencher Cód. Produto")</f>
        <v>BRAZIMIL TINTA ACRILICA PREM INT/EXT SEMIBRILHO 15L DIMANTE</v>
      </c>
      <c r="C228" s="2"/>
      <c r="D228" s="73" t="s">
        <v>40</v>
      </c>
      <c r="E228" s="73"/>
      <c r="F228" s="74" t="str">
        <f>IF(A228=0,0,VLOOKUP(A228,'Tabela de Produtos'!A:W,23,0))</f>
        <v>Cadastrar Ficha de Produção</v>
      </c>
      <c r="G228" s="74">
        <v>0</v>
      </c>
      <c r="H228" s="76">
        <v>1</v>
      </c>
      <c r="I228" s="74">
        <f t="shared" si="161"/>
        <v>0</v>
      </c>
      <c r="J228" s="77">
        <f>VLOOKUP(B228,'Tabela de Produtos'!B:M,12,FALSE())</f>
        <v>0</v>
      </c>
      <c r="K228" s="74"/>
      <c r="L228" s="74"/>
      <c r="M228" s="74"/>
      <c r="N228" s="81"/>
      <c r="O228" s="74"/>
      <c r="P228" s="74"/>
      <c r="Q228" s="74"/>
      <c r="R228" s="81"/>
      <c r="S228" s="74"/>
      <c r="T228" s="74"/>
      <c r="U228" s="74"/>
      <c r="V228" s="74"/>
      <c r="W228" s="81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7"/>
      <c r="AY228" s="77">
        <f t="shared" si="162"/>
        <v>0</v>
      </c>
      <c r="AZ228" s="79">
        <f>IFERROR(H228*VLOOKUP(A228,'Tabela de Produtos'!A:Q,17,0),0)</f>
        <v>0</v>
      </c>
      <c r="BA228" s="74">
        <f t="shared" si="167"/>
        <v>0</v>
      </c>
      <c r="BB228" s="74">
        <f t="shared" si="167"/>
        <v>0</v>
      </c>
      <c r="BC228" s="74">
        <f t="shared" si="167"/>
        <v>0</v>
      </c>
      <c r="BD228" s="74">
        <f t="shared" si="167"/>
        <v>0</v>
      </c>
      <c r="BE228" s="74">
        <f t="shared" si="163"/>
        <v>0</v>
      </c>
      <c r="BF228" s="74">
        <f t="shared" si="164"/>
        <v>0</v>
      </c>
      <c r="BG228" s="74">
        <f t="shared" si="165"/>
        <v>0</v>
      </c>
      <c r="BH228" s="21">
        <f t="shared" si="166"/>
        <v>0</v>
      </c>
    </row>
    <row r="229" spans="1:60" ht="15.75" customHeight="1">
      <c r="A229" s="72" t="s">
        <v>296</v>
      </c>
      <c r="B229" s="2" t="str">
        <f>IFERROR(VLOOKUP(A229,'Tabela de Produtos'!A:B,2,0),"Preencher Cód. Produto")</f>
        <v>BRAZIMIL TINTA ACRILICA PREM INT/EXT  SEMIBRILHO 15L CINZA PLATINA</v>
      </c>
      <c r="C229" s="2"/>
      <c r="D229" s="73" t="s">
        <v>40</v>
      </c>
      <c r="E229" s="73"/>
      <c r="F229" s="74" t="str">
        <f>IF(A229=0,0,VLOOKUP(A229,'Tabela de Produtos'!A:W,23,0))</f>
        <v>Cadastrar Ficha de Produção</v>
      </c>
      <c r="G229" s="74">
        <v>0</v>
      </c>
      <c r="H229" s="76">
        <v>1</v>
      </c>
      <c r="I229" s="74">
        <f t="shared" si="161"/>
        <v>0</v>
      </c>
      <c r="J229" s="77">
        <f>VLOOKUP(B229,'Tabela de Produtos'!B:M,12,FALSE())</f>
        <v>0</v>
      </c>
      <c r="K229" s="74"/>
      <c r="L229" s="74"/>
      <c r="M229" s="74"/>
      <c r="N229" s="81"/>
      <c r="O229" s="74"/>
      <c r="P229" s="74"/>
      <c r="Q229" s="74"/>
      <c r="R229" s="81"/>
      <c r="S229" s="74"/>
      <c r="T229" s="74"/>
      <c r="U229" s="74"/>
      <c r="V229" s="74"/>
      <c r="W229" s="81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7"/>
      <c r="AY229" s="77">
        <f t="shared" si="162"/>
        <v>0</v>
      </c>
      <c r="AZ229" s="79">
        <f>IFERROR(H229*VLOOKUP(A229,'Tabela de Produtos'!A:Q,17,0),0)</f>
        <v>0</v>
      </c>
      <c r="BA229" s="74">
        <f t="shared" si="167"/>
        <v>0</v>
      </c>
      <c r="BB229" s="74">
        <f t="shared" si="167"/>
        <v>0</v>
      </c>
      <c r="BC229" s="74">
        <f t="shared" si="167"/>
        <v>0</v>
      </c>
      <c r="BD229" s="74">
        <f t="shared" si="167"/>
        <v>0</v>
      </c>
      <c r="BE229" s="74">
        <f t="shared" si="163"/>
        <v>0</v>
      </c>
      <c r="BF229" s="74">
        <f t="shared" si="164"/>
        <v>0</v>
      </c>
      <c r="BG229" s="74">
        <f t="shared" si="165"/>
        <v>0</v>
      </c>
      <c r="BH229" s="21">
        <f t="shared" si="166"/>
        <v>0</v>
      </c>
    </row>
    <row r="230" spans="1:60" ht="15.75" customHeight="1">
      <c r="A230" s="72" t="s">
        <v>297</v>
      </c>
      <c r="B230" s="2" t="str">
        <f>IFERROR(VLOOKUP(A230,'Tabela de Produtos'!A:B,2,0),"Preencher Cód. Produto")</f>
        <v>BRAZIMIL TINTA ACRILICA PREM INT/EXT SEMIBRILHO 15L CINZA INTENSO</v>
      </c>
      <c r="C230" s="2"/>
      <c r="D230" s="73" t="s">
        <v>40</v>
      </c>
      <c r="E230" s="73"/>
      <c r="F230" s="74" t="str">
        <f>IF(A230=0,0,VLOOKUP(A230,'Tabela de Produtos'!A:W,23,0))</f>
        <v>Cadastrar Ficha de Produção</v>
      </c>
      <c r="G230" s="74">
        <v>0</v>
      </c>
      <c r="H230" s="76">
        <v>1</v>
      </c>
      <c r="I230" s="74">
        <f t="shared" si="161"/>
        <v>0</v>
      </c>
      <c r="J230" s="77">
        <f>VLOOKUP(B230,'Tabela de Produtos'!B:M,12,FALSE())</f>
        <v>0</v>
      </c>
      <c r="K230" s="74"/>
      <c r="L230" s="74"/>
      <c r="M230" s="74"/>
      <c r="N230" s="81"/>
      <c r="O230" s="74"/>
      <c r="P230" s="74"/>
      <c r="Q230" s="74"/>
      <c r="R230" s="81"/>
      <c r="S230" s="74"/>
      <c r="T230" s="74"/>
      <c r="U230" s="74"/>
      <c r="V230" s="74"/>
      <c r="W230" s="81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7"/>
      <c r="AY230" s="77">
        <f t="shared" si="162"/>
        <v>0</v>
      </c>
      <c r="AZ230" s="79">
        <f>IFERROR(H230*VLOOKUP(A230,'Tabela de Produtos'!A:Q,17,0),0)</f>
        <v>0</v>
      </c>
      <c r="BA230" s="74">
        <f t="shared" si="167"/>
        <v>0</v>
      </c>
      <c r="BB230" s="74">
        <f t="shared" si="167"/>
        <v>0</v>
      </c>
      <c r="BC230" s="74">
        <f t="shared" si="167"/>
        <v>0</v>
      </c>
      <c r="BD230" s="74">
        <f t="shared" si="167"/>
        <v>0</v>
      </c>
      <c r="BE230" s="74">
        <f t="shared" si="163"/>
        <v>0</v>
      </c>
      <c r="BF230" s="74">
        <f t="shared" si="164"/>
        <v>0</v>
      </c>
      <c r="BG230" s="74">
        <f t="shared" si="165"/>
        <v>0</v>
      </c>
      <c r="BH230" s="21">
        <f t="shared" si="166"/>
        <v>0</v>
      </c>
    </row>
    <row r="231" spans="1:60" ht="15.75" customHeight="1">
      <c r="A231" s="72" t="s">
        <v>298</v>
      </c>
      <c r="B231" s="2" t="str">
        <f>IFERROR(VLOOKUP(A231,'Tabela de Produtos'!A:B,2,0),"Preencher Cód. Produto")</f>
        <v>BRAZIMIL TINTA ACRILICA PREM INT/EXT  SEMIBRILHO 15L EGIPCIO</v>
      </c>
      <c r="C231" s="2"/>
      <c r="D231" s="73" t="s">
        <v>40</v>
      </c>
      <c r="E231" s="73"/>
      <c r="F231" s="74" t="str">
        <f>IF(A231=0,0,VLOOKUP(A231,'Tabela de Produtos'!A:W,23,0))</f>
        <v>Cadastrar Ficha de Produção</v>
      </c>
      <c r="G231" s="74">
        <v>0</v>
      </c>
      <c r="H231" s="76">
        <v>1</v>
      </c>
      <c r="I231" s="74">
        <f t="shared" si="161"/>
        <v>0</v>
      </c>
      <c r="J231" s="77">
        <f>VLOOKUP(B231,'Tabela de Produtos'!B:M,12,FALSE())</f>
        <v>0</v>
      </c>
      <c r="K231" s="74"/>
      <c r="L231" s="74"/>
      <c r="M231" s="74"/>
      <c r="N231" s="81"/>
      <c r="O231" s="74"/>
      <c r="P231" s="74"/>
      <c r="Q231" s="74"/>
      <c r="R231" s="81"/>
      <c r="S231" s="74"/>
      <c r="T231" s="74"/>
      <c r="U231" s="74"/>
      <c r="V231" s="74"/>
      <c r="W231" s="81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7"/>
      <c r="AY231" s="77">
        <f t="shared" si="162"/>
        <v>0</v>
      </c>
      <c r="AZ231" s="79">
        <f>IFERROR(H231*VLOOKUP(A231,'Tabela de Produtos'!A:Q,17,0),0)</f>
        <v>0</v>
      </c>
      <c r="BA231" s="74">
        <f t="shared" si="167"/>
        <v>0</v>
      </c>
      <c r="BB231" s="74">
        <f t="shared" si="167"/>
        <v>0</v>
      </c>
      <c r="BC231" s="74">
        <f t="shared" si="167"/>
        <v>0</v>
      </c>
      <c r="BD231" s="74">
        <f t="shared" si="167"/>
        <v>0</v>
      </c>
      <c r="BE231" s="74">
        <f t="shared" si="163"/>
        <v>0</v>
      </c>
      <c r="BF231" s="74">
        <f t="shared" si="164"/>
        <v>0</v>
      </c>
      <c r="BG231" s="74">
        <f t="shared" si="165"/>
        <v>0</v>
      </c>
      <c r="BH231" s="21">
        <f t="shared" si="166"/>
        <v>0</v>
      </c>
    </row>
    <row r="232" spans="1:60" ht="15.75" customHeight="1">
      <c r="A232" s="72" t="s">
        <v>299</v>
      </c>
      <c r="B232" s="2" t="str">
        <f>IFERROR(VLOOKUP(A232,'Tabela de Produtos'!A:B,2,0),"Preencher Cód. Produto")</f>
        <v>BRAZIMIL TINTA ACRILICA PREM INT/EXT  SEMIBRILHO 15L MARROM GRADIENTE</v>
      </c>
      <c r="C232" s="2"/>
      <c r="D232" s="73" t="s">
        <v>40</v>
      </c>
      <c r="E232" s="73"/>
      <c r="F232" s="74" t="str">
        <f>IF(A232=0,0,VLOOKUP(A232,'Tabela de Produtos'!A:W,23,0))</f>
        <v>Cadastrar Ficha de Produção</v>
      </c>
      <c r="G232" s="74">
        <v>0</v>
      </c>
      <c r="H232" s="76">
        <v>1</v>
      </c>
      <c r="I232" s="74">
        <f t="shared" si="161"/>
        <v>0</v>
      </c>
      <c r="J232" s="77">
        <f>VLOOKUP(B232,'Tabela de Produtos'!B:M,12,FALSE())</f>
        <v>0</v>
      </c>
      <c r="K232" s="74"/>
      <c r="L232" s="74"/>
      <c r="M232" s="74"/>
      <c r="N232" s="81"/>
      <c r="O232" s="74"/>
      <c r="P232" s="74"/>
      <c r="Q232" s="74"/>
      <c r="R232" s="81"/>
      <c r="S232" s="74"/>
      <c r="T232" s="74"/>
      <c r="U232" s="74"/>
      <c r="V232" s="74"/>
      <c r="W232" s="81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7"/>
      <c r="AY232" s="77">
        <f t="shared" si="162"/>
        <v>0</v>
      </c>
      <c r="AZ232" s="79">
        <f>IFERROR(H232*VLOOKUP(A232,'Tabela de Produtos'!A:Q,17,0),0)</f>
        <v>0</v>
      </c>
      <c r="BA232" s="74">
        <f t="shared" si="167"/>
        <v>0</v>
      </c>
      <c r="BB232" s="74">
        <f t="shared" si="167"/>
        <v>0</v>
      </c>
      <c r="BC232" s="74">
        <f t="shared" si="167"/>
        <v>0</v>
      </c>
      <c r="BD232" s="74">
        <f t="shared" si="167"/>
        <v>0</v>
      </c>
      <c r="BE232" s="74">
        <f t="shared" si="163"/>
        <v>0</v>
      </c>
      <c r="BF232" s="74">
        <f t="shared" si="164"/>
        <v>0</v>
      </c>
      <c r="BG232" s="74">
        <f t="shared" si="165"/>
        <v>0</v>
      </c>
      <c r="BH232" s="21">
        <f t="shared" si="166"/>
        <v>0</v>
      </c>
    </row>
    <row r="233" spans="1:60" ht="15.75" customHeight="1">
      <c r="A233" s="72" t="s">
        <v>300</v>
      </c>
      <c r="B233" s="2" t="str">
        <f>IFERROR(VLOOKUP(A233,'Tabela de Produtos'!A:B,2,0),"Preencher Cód. Produto")</f>
        <v>BRAZIMIL TINTA ACRILICA PREM INT/EXT  SEMIBRILHO 15L AVELA</v>
      </c>
      <c r="C233" s="2"/>
      <c r="D233" s="73" t="s">
        <v>40</v>
      </c>
      <c r="E233" s="73"/>
      <c r="F233" s="74" t="str">
        <f>IF(A233=0,0,VLOOKUP(A233,'Tabela de Produtos'!A:W,23,0))</f>
        <v>Cadastrar Ficha de Produção</v>
      </c>
      <c r="G233" s="74">
        <v>0</v>
      </c>
      <c r="H233" s="76">
        <v>1</v>
      </c>
      <c r="I233" s="74">
        <f t="shared" si="161"/>
        <v>0</v>
      </c>
      <c r="J233" s="77">
        <f>VLOOKUP(B233,'Tabela de Produtos'!B:M,12,FALSE())</f>
        <v>0</v>
      </c>
      <c r="K233" s="74"/>
      <c r="L233" s="74"/>
      <c r="M233" s="74"/>
      <c r="N233" s="81"/>
      <c r="O233" s="74"/>
      <c r="P233" s="74"/>
      <c r="Q233" s="74"/>
      <c r="R233" s="81"/>
      <c r="S233" s="74"/>
      <c r="T233" s="74"/>
      <c r="U233" s="74"/>
      <c r="V233" s="74"/>
      <c r="W233" s="81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7"/>
      <c r="AY233" s="77">
        <f t="shared" si="162"/>
        <v>0</v>
      </c>
      <c r="AZ233" s="79">
        <f>IFERROR(H233*VLOOKUP(A233,'Tabela de Produtos'!A:Q,17,0),0)</f>
        <v>0</v>
      </c>
      <c r="BA233" s="74">
        <f t="shared" si="167"/>
        <v>0</v>
      </c>
      <c r="BB233" s="74">
        <f t="shared" si="167"/>
        <v>0</v>
      </c>
      <c r="BC233" s="74">
        <f t="shared" si="167"/>
        <v>0</v>
      </c>
      <c r="BD233" s="74">
        <f t="shared" si="167"/>
        <v>0</v>
      </c>
      <c r="BE233" s="74">
        <f t="shared" si="163"/>
        <v>0</v>
      </c>
      <c r="BF233" s="74">
        <f t="shared" si="164"/>
        <v>0</v>
      </c>
      <c r="BG233" s="74">
        <f t="shared" si="165"/>
        <v>0</v>
      </c>
      <c r="BH233" s="21">
        <f t="shared" si="166"/>
        <v>0</v>
      </c>
    </row>
    <row r="234" spans="1:60" ht="15.75" customHeight="1">
      <c r="A234" s="72" t="s">
        <v>301</v>
      </c>
      <c r="B234" s="2" t="str">
        <f>IFERROR(VLOOKUP(A234,'Tabela de Produtos'!A:B,2,0),"Preencher Cód. Produto")</f>
        <v>BRAZIMIL TINTA ACRILICA PREM INT/EXT  SEMIBRILHO 15L CARAMELO</v>
      </c>
      <c r="C234" s="2"/>
      <c r="D234" s="73" t="s">
        <v>40</v>
      </c>
      <c r="E234" s="73"/>
      <c r="F234" s="74" t="str">
        <f>IF(A234=0,0,VLOOKUP(A234,'Tabela de Produtos'!A:W,23,0))</f>
        <v>Cadastrar Ficha de Produção</v>
      </c>
      <c r="G234" s="74">
        <v>0</v>
      </c>
      <c r="H234" s="76">
        <v>1</v>
      </c>
      <c r="I234" s="74">
        <f t="shared" si="161"/>
        <v>0</v>
      </c>
      <c r="J234" s="77">
        <f>VLOOKUP(B234,'Tabela de Produtos'!B:M,12,FALSE())</f>
        <v>0</v>
      </c>
      <c r="K234" s="74"/>
      <c r="L234" s="74"/>
      <c r="M234" s="74"/>
      <c r="N234" s="81"/>
      <c r="O234" s="74"/>
      <c r="P234" s="74"/>
      <c r="Q234" s="74"/>
      <c r="R234" s="81"/>
      <c r="S234" s="74"/>
      <c r="T234" s="74"/>
      <c r="U234" s="74"/>
      <c r="V234" s="74"/>
      <c r="W234" s="81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7"/>
      <c r="AY234" s="77">
        <f t="shared" si="162"/>
        <v>0</v>
      </c>
      <c r="AZ234" s="79">
        <f>IFERROR(H234*VLOOKUP(A234,'Tabela de Produtos'!A:Q,17,0),0)</f>
        <v>0</v>
      </c>
      <c r="BA234" s="74">
        <f t="shared" ref="BA234:BD253" si="168">$I234*BA$12</f>
        <v>0</v>
      </c>
      <c r="BB234" s="74">
        <f t="shared" si="168"/>
        <v>0</v>
      </c>
      <c r="BC234" s="74">
        <f t="shared" si="168"/>
        <v>0</v>
      </c>
      <c r="BD234" s="74">
        <f t="shared" si="168"/>
        <v>0</v>
      </c>
      <c r="BE234" s="74">
        <f t="shared" si="163"/>
        <v>0</v>
      </c>
      <c r="BF234" s="74">
        <f t="shared" si="164"/>
        <v>0</v>
      </c>
      <c r="BG234" s="74">
        <f t="shared" si="165"/>
        <v>0</v>
      </c>
      <c r="BH234" s="21">
        <f t="shared" si="166"/>
        <v>0</v>
      </c>
    </row>
    <row r="235" spans="1:60" ht="15.75" customHeight="1">
      <c r="A235" s="72" t="s">
        <v>302</v>
      </c>
      <c r="B235" s="2" t="str">
        <f>IFERROR(VLOOKUP(A235,'Tabela de Produtos'!A:B,2,0),"Preencher Cód. Produto")</f>
        <v>BRAZIMIL TINTA ACRILICA PREM INT/EXT  SEMIBRILHO 15L CAFÉ</v>
      </c>
      <c r="C235" s="2"/>
      <c r="D235" s="73" t="s">
        <v>40</v>
      </c>
      <c r="E235" s="73"/>
      <c r="F235" s="74" t="str">
        <f>IF(A235=0,0,VLOOKUP(A235,'Tabela de Produtos'!A:W,23,0))</f>
        <v>Cadastrar Ficha de Produção</v>
      </c>
      <c r="G235" s="74">
        <v>0</v>
      </c>
      <c r="H235" s="76">
        <v>1</v>
      </c>
      <c r="I235" s="74">
        <f t="shared" si="161"/>
        <v>0</v>
      </c>
      <c r="J235" s="77">
        <f>VLOOKUP(B235,'Tabela de Produtos'!B:M,12,FALSE())</f>
        <v>0</v>
      </c>
      <c r="K235" s="74"/>
      <c r="L235" s="74"/>
      <c r="M235" s="74"/>
      <c r="N235" s="81"/>
      <c r="O235" s="74"/>
      <c r="P235" s="74"/>
      <c r="Q235" s="74"/>
      <c r="R235" s="81"/>
      <c r="S235" s="74"/>
      <c r="T235" s="74"/>
      <c r="U235" s="74"/>
      <c r="V235" s="74"/>
      <c r="W235" s="81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7"/>
      <c r="AY235" s="77">
        <f t="shared" si="162"/>
        <v>0</v>
      </c>
      <c r="AZ235" s="79">
        <f>IFERROR(H235*VLOOKUP(A235,'Tabela de Produtos'!A:Q,17,0),0)</f>
        <v>0</v>
      </c>
      <c r="BA235" s="74">
        <f t="shared" si="168"/>
        <v>0</v>
      </c>
      <c r="BB235" s="74">
        <f t="shared" si="168"/>
        <v>0</v>
      </c>
      <c r="BC235" s="74">
        <f t="shared" si="168"/>
        <v>0</v>
      </c>
      <c r="BD235" s="74">
        <f t="shared" si="168"/>
        <v>0</v>
      </c>
      <c r="BE235" s="74">
        <f t="shared" si="163"/>
        <v>0</v>
      </c>
      <c r="BF235" s="74">
        <f t="shared" si="164"/>
        <v>0</v>
      </c>
      <c r="BG235" s="74">
        <f t="shared" si="165"/>
        <v>0</v>
      </c>
      <c r="BH235" s="21">
        <f t="shared" si="166"/>
        <v>0</v>
      </c>
    </row>
    <row r="236" spans="1:60" ht="15.75" customHeight="1">
      <c r="A236" s="72" t="s">
        <v>303</v>
      </c>
      <c r="B236" s="2" t="str">
        <f>IFERROR(VLOOKUP(A236,'Tabela de Produtos'!A:B,2,0),"Preencher Cód. Produto")</f>
        <v>BRAZIMIL TINTA ACRILICA PREM INT/EXT  SEMIBRILHO 15L NUDE</v>
      </c>
      <c r="C236" s="2"/>
      <c r="D236" s="73" t="s">
        <v>40</v>
      </c>
      <c r="E236" s="73"/>
      <c r="F236" s="74" t="str">
        <f>IF(A236=0,0,VLOOKUP(A236,'Tabela de Produtos'!A:W,23,0))</f>
        <v>Cadastrar Ficha de Produção</v>
      </c>
      <c r="G236" s="74">
        <v>0</v>
      </c>
      <c r="H236" s="76">
        <v>1</v>
      </c>
      <c r="I236" s="74">
        <f t="shared" si="161"/>
        <v>0</v>
      </c>
      <c r="J236" s="77">
        <f>VLOOKUP(B236,'Tabela de Produtos'!B:M,12,FALSE())</f>
        <v>0</v>
      </c>
      <c r="K236" s="74"/>
      <c r="L236" s="74"/>
      <c r="M236" s="74"/>
      <c r="N236" s="81"/>
      <c r="O236" s="74"/>
      <c r="P236" s="74"/>
      <c r="Q236" s="74"/>
      <c r="R236" s="81"/>
      <c r="S236" s="74"/>
      <c r="T236" s="74"/>
      <c r="U236" s="74"/>
      <c r="V236" s="74"/>
      <c r="W236" s="81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7"/>
      <c r="AY236" s="77">
        <f t="shared" si="162"/>
        <v>0</v>
      </c>
      <c r="AZ236" s="79">
        <f>IFERROR(H236*VLOOKUP(A236,'Tabela de Produtos'!A:Q,17,0),0)</f>
        <v>0</v>
      </c>
      <c r="BA236" s="74">
        <f t="shared" si="168"/>
        <v>0</v>
      </c>
      <c r="BB236" s="74">
        <f t="shared" si="168"/>
        <v>0</v>
      </c>
      <c r="BC236" s="74">
        <f t="shared" si="168"/>
        <v>0</v>
      </c>
      <c r="BD236" s="74">
        <f t="shared" si="168"/>
        <v>0</v>
      </c>
      <c r="BE236" s="74">
        <f t="shared" si="163"/>
        <v>0</v>
      </c>
      <c r="BF236" s="74">
        <f t="shared" si="164"/>
        <v>0</v>
      </c>
      <c r="BG236" s="74">
        <f t="shared" si="165"/>
        <v>0</v>
      </c>
      <c r="BH236" s="21">
        <f t="shared" si="166"/>
        <v>0</v>
      </c>
    </row>
    <row r="237" spans="1:60" ht="15.75" customHeight="1">
      <c r="A237" s="72" t="s">
        <v>304</v>
      </c>
      <c r="B237" s="2" t="str">
        <f>IFERROR(VLOOKUP(A237,'Tabela de Produtos'!A:B,2,0),"Preencher Cód. Produto")</f>
        <v>BRAZIMIL TINTA ACRILICA PREM INT/EXT  SEMIBRILHO 15L MARFIM REAL</v>
      </c>
      <c r="C237" s="2"/>
      <c r="D237" s="73" t="s">
        <v>40</v>
      </c>
      <c r="E237" s="73"/>
      <c r="F237" s="74" t="str">
        <f>IF(A237=0,0,VLOOKUP(A237,'Tabela de Produtos'!A:W,23,0))</f>
        <v>Cadastrar Ficha de Produção</v>
      </c>
      <c r="G237" s="74">
        <v>0</v>
      </c>
      <c r="H237" s="76">
        <v>1</v>
      </c>
      <c r="I237" s="74">
        <f t="shared" si="161"/>
        <v>0</v>
      </c>
      <c r="J237" s="77">
        <f>VLOOKUP(B237,'Tabela de Produtos'!B:M,12,FALSE())</f>
        <v>0</v>
      </c>
      <c r="K237" s="74"/>
      <c r="L237" s="74"/>
      <c r="M237" s="74"/>
      <c r="N237" s="81"/>
      <c r="O237" s="74"/>
      <c r="P237" s="74"/>
      <c r="Q237" s="74"/>
      <c r="R237" s="81"/>
      <c r="S237" s="74"/>
      <c r="T237" s="74"/>
      <c r="U237" s="74"/>
      <c r="V237" s="74"/>
      <c r="W237" s="81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7"/>
      <c r="AY237" s="77">
        <f t="shared" si="162"/>
        <v>0</v>
      </c>
      <c r="AZ237" s="79">
        <f>IFERROR(H237*VLOOKUP(A237,'Tabela de Produtos'!A:Q,17,0),0)</f>
        <v>0</v>
      </c>
      <c r="BA237" s="74">
        <f t="shared" si="168"/>
        <v>0</v>
      </c>
      <c r="BB237" s="74">
        <f t="shared" si="168"/>
        <v>0</v>
      </c>
      <c r="BC237" s="74">
        <f t="shared" si="168"/>
        <v>0</v>
      </c>
      <c r="BD237" s="74">
        <f t="shared" si="168"/>
        <v>0</v>
      </c>
      <c r="BE237" s="74">
        <f t="shared" si="163"/>
        <v>0</v>
      </c>
      <c r="BF237" s="74">
        <f t="shared" si="164"/>
        <v>0</v>
      </c>
      <c r="BG237" s="74">
        <f t="shared" si="165"/>
        <v>0</v>
      </c>
      <c r="BH237" s="21">
        <f t="shared" si="166"/>
        <v>0</v>
      </c>
    </row>
    <row r="238" spans="1:60" ht="15.75" customHeight="1">
      <c r="A238" s="72" t="s">
        <v>305</v>
      </c>
      <c r="B238" s="2" t="str">
        <f>IFERROR(VLOOKUP(A238,'Tabela de Produtos'!A:B,2,0),"Preencher Cód. Produto")</f>
        <v>BRAZIMIL TINTA ACRILICA PREM INT/EXT  SEMIBRILHO 15L CAMURCA</v>
      </c>
      <c r="C238" s="2"/>
      <c r="D238" s="73" t="s">
        <v>40</v>
      </c>
      <c r="E238" s="73"/>
      <c r="F238" s="74" t="str">
        <f>IF(A238=0,0,VLOOKUP(A238,'Tabela de Produtos'!A:W,23,0))</f>
        <v>Cadastrar Ficha de Produção</v>
      </c>
      <c r="G238" s="74">
        <v>0</v>
      </c>
      <c r="H238" s="76">
        <v>1</v>
      </c>
      <c r="I238" s="74">
        <f t="shared" si="161"/>
        <v>0</v>
      </c>
      <c r="J238" s="77">
        <f>VLOOKUP(B238,'Tabela de Produtos'!B:M,12,FALSE())</f>
        <v>0</v>
      </c>
      <c r="K238" s="74"/>
      <c r="L238" s="74"/>
      <c r="M238" s="74"/>
      <c r="N238" s="81"/>
      <c r="O238" s="74"/>
      <c r="P238" s="74"/>
      <c r="Q238" s="74"/>
      <c r="R238" s="81"/>
      <c r="S238" s="74"/>
      <c r="T238" s="74"/>
      <c r="U238" s="74"/>
      <c r="V238" s="74"/>
      <c r="W238" s="81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7"/>
      <c r="AY238" s="77">
        <f t="shared" si="162"/>
        <v>0</v>
      </c>
      <c r="AZ238" s="79">
        <f>IFERROR(H238*VLOOKUP(A238,'Tabela de Produtos'!A:Q,17,0),0)</f>
        <v>0</v>
      </c>
      <c r="BA238" s="74">
        <f t="shared" si="168"/>
        <v>0</v>
      </c>
      <c r="BB238" s="74">
        <f t="shared" si="168"/>
        <v>0</v>
      </c>
      <c r="BC238" s="74">
        <f t="shared" si="168"/>
        <v>0</v>
      </c>
      <c r="BD238" s="74">
        <f t="shared" si="168"/>
        <v>0</v>
      </c>
      <c r="BE238" s="74">
        <f t="shared" si="163"/>
        <v>0</v>
      </c>
      <c r="BF238" s="74">
        <f t="shared" si="164"/>
        <v>0</v>
      </c>
      <c r="BG238" s="74">
        <f t="shared" si="165"/>
        <v>0</v>
      </c>
      <c r="BH238" s="21">
        <f t="shared" si="166"/>
        <v>0</v>
      </c>
    </row>
    <row r="239" spans="1:60" ht="15.75" customHeight="1">
      <c r="A239" s="72" t="s">
        <v>306</v>
      </c>
      <c r="B239" s="2" t="str">
        <f>IFERROR(VLOOKUP(A239,'Tabela de Produtos'!A:B,2,0),"Preencher Cód. Produto")</f>
        <v>BRAZIMIL TINTA ACRILICA PREM INT/EXT  SEMIBRILHO 15L AZUL ANIL</v>
      </c>
      <c r="C239" s="2"/>
      <c r="D239" s="73" t="s">
        <v>40</v>
      </c>
      <c r="E239" s="73"/>
      <c r="F239" s="74" t="str">
        <f>IF(A239=0,0,VLOOKUP(A239,'Tabela de Produtos'!A:W,23,0))</f>
        <v>Cadastrar Ficha de Produção</v>
      </c>
      <c r="G239" s="74">
        <v>0</v>
      </c>
      <c r="H239" s="76">
        <v>1</v>
      </c>
      <c r="I239" s="74">
        <f t="shared" si="161"/>
        <v>0</v>
      </c>
      <c r="J239" s="77">
        <f>VLOOKUP(B239,'Tabela de Produtos'!B:M,12,FALSE())</f>
        <v>0</v>
      </c>
      <c r="K239" s="74"/>
      <c r="L239" s="74"/>
      <c r="M239" s="74"/>
      <c r="N239" s="81"/>
      <c r="O239" s="74"/>
      <c r="P239" s="74"/>
      <c r="Q239" s="74"/>
      <c r="R239" s="81"/>
      <c r="S239" s="74"/>
      <c r="T239" s="74"/>
      <c r="U239" s="74"/>
      <c r="V239" s="74"/>
      <c r="W239" s="81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7"/>
      <c r="AY239" s="77">
        <f t="shared" si="162"/>
        <v>0</v>
      </c>
      <c r="AZ239" s="79">
        <f>IFERROR(H239*VLOOKUP(A239,'Tabela de Produtos'!A:Q,17,0),0)</f>
        <v>0</v>
      </c>
      <c r="BA239" s="74">
        <f t="shared" si="168"/>
        <v>0</v>
      </c>
      <c r="BB239" s="74">
        <f t="shared" si="168"/>
        <v>0</v>
      </c>
      <c r="BC239" s="74">
        <f t="shared" si="168"/>
        <v>0</v>
      </c>
      <c r="BD239" s="74">
        <f t="shared" si="168"/>
        <v>0</v>
      </c>
      <c r="BE239" s="74">
        <f t="shared" si="163"/>
        <v>0</v>
      </c>
      <c r="BF239" s="74">
        <f t="shared" si="164"/>
        <v>0</v>
      </c>
      <c r="BG239" s="74">
        <f t="shared" si="165"/>
        <v>0</v>
      </c>
      <c r="BH239" s="21">
        <f t="shared" si="166"/>
        <v>0</v>
      </c>
    </row>
    <row r="240" spans="1:60" ht="15.75" customHeight="1">
      <c r="A240" s="72" t="s">
        <v>307</v>
      </c>
      <c r="B240" s="2" t="str">
        <f>IFERROR(VLOOKUP(A240,'Tabela de Produtos'!A:B,2,0),"Preencher Cód. Produto")</f>
        <v>BRAZIMIL TINTA ACRILICA PREM INT/EXT SEMIBRILHO 15L CARDINAL</v>
      </c>
      <c r="C240" s="2"/>
      <c r="D240" s="73" t="s">
        <v>40</v>
      </c>
      <c r="E240" s="73"/>
      <c r="F240" s="74" t="str">
        <f>IF(A240=0,0,VLOOKUP(A240,'Tabela de Produtos'!A:W,23,0))</f>
        <v>Cadastrar Ficha de Produção</v>
      </c>
      <c r="G240" s="74">
        <v>0</v>
      </c>
      <c r="H240" s="76">
        <v>1</v>
      </c>
      <c r="I240" s="74">
        <f t="shared" si="161"/>
        <v>0</v>
      </c>
      <c r="J240" s="77">
        <f>VLOOKUP(B240,'Tabela de Produtos'!B:M,12,FALSE())</f>
        <v>0</v>
      </c>
      <c r="K240" s="74"/>
      <c r="L240" s="74"/>
      <c r="M240" s="74"/>
      <c r="N240" s="81"/>
      <c r="O240" s="74"/>
      <c r="P240" s="74"/>
      <c r="Q240" s="74"/>
      <c r="R240" s="81"/>
      <c r="S240" s="74"/>
      <c r="T240" s="74"/>
      <c r="U240" s="74"/>
      <c r="V240" s="74"/>
      <c r="W240" s="81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7"/>
      <c r="AY240" s="77">
        <f t="shared" si="162"/>
        <v>0</v>
      </c>
      <c r="AZ240" s="79">
        <f>IFERROR(H240*VLOOKUP(A240,'Tabela de Produtos'!A:Q,17,0),0)</f>
        <v>0</v>
      </c>
      <c r="BA240" s="74">
        <f t="shared" si="168"/>
        <v>0</v>
      </c>
      <c r="BB240" s="74">
        <f t="shared" si="168"/>
        <v>0</v>
      </c>
      <c r="BC240" s="74">
        <f t="shared" si="168"/>
        <v>0</v>
      </c>
      <c r="BD240" s="74">
        <f t="shared" si="168"/>
        <v>0</v>
      </c>
      <c r="BE240" s="74">
        <f t="shared" si="163"/>
        <v>0</v>
      </c>
      <c r="BF240" s="74">
        <f t="shared" si="164"/>
        <v>0</v>
      </c>
      <c r="BG240" s="74">
        <f t="shared" si="165"/>
        <v>0</v>
      </c>
      <c r="BH240" s="21">
        <f t="shared" si="166"/>
        <v>0</v>
      </c>
    </row>
    <row r="241" spans="1:60" ht="15.75" customHeight="1">
      <c r="A241" s="72" t="s">
        <v>308</v>
      </c>
      <c r="B241" s="2" t="str">
        <f>IFERROR(VLOOKUP(A241,'Tabela de Produtos'!A:B,2,0),"Preencher Cód. Produto")</f>
        <v>BRAZIMIL TINTA ACRILICA PREM INT/EXT  SEMIBRILHO 15L PRAIA</v>
      </c>
      <c r="C241" s="2"/>
      <c r="D241" s="73" t="s">
        <v>40</v>
      </c>
      <c r="E241" s="73"/>
      <c r="F241" s="74" t="str">
        <f>IF(A241=0,0,VLOOKUP(A241,'Tabela de Produtos'!A:W,23,0))</f>
        <v>Cadastrar Ficha de Produção</v>
      </c>
      <c r="G241" s="74">
        <v>0</v>
      </c>
      <c r="H241" s="76">
        <v>1</v>
      </c>
      <c r="I241" s="74">
        <f t="shared" si="161"/>
        <v>0</v>
      </c>
      <c r="J241" s="77">
        <f>VLOOKUP(B241,'Tabela de Produtos'!B:M,12,FALSE())</f>
        <v>0</v>
      </c>
      <c r="K241" s="74"/>
      <c r="L241" s="74"/>
      <c r="M241" s="74"/>
      <c r="N241" s="81"/>
      <c r="O241" s="74"/>
      <c r="P241" s="74"/>
      <c r="Q241" s="74"/>
      <c r="R241" s="81"/>
      <c r="S241" s="74"/>
      <c r="T241" s="74"/>
      <c r="U241" s="74"/>
      <c r="V241" s="74"/>
      <c r="W241" s="81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7"/>
      <c r="AY241" s="77">
        <f t="shared" si="162"/>
        <v>0</v>
      </c>
      <c r="AZ241" s="79">
        <f>IFERROR(H241*VLOOKUP(A241,'Tabela de Produtos'!A:Q,17,0),0)</f>
        <v>0</v>
      </c>
      <c r="BA241" s="74">
        <f t="shared" si="168"/>
        <v>0</v>
      </c>
      <c r="BB241" s="74">
        <f t="shared" si="168"/>
        <v>0</v>
      </c>
      <c r="BC241" s="74">
        <f t="shared" si="168"/>
        <v>0</v>
      </c>
      <c r="BD241" s="74">
        <f t="shared" si="168"/>
        <v>0</v>
      </c>
      <c r="BE241" s="74">
        <f t="shared" si="163"/>
        <v>0</v>
      </c>
      <c r="BF241" s="74">
        <f t="shared" si="164"/>
        <v>0</v>
      </c>
      <c r="BG241" s="74">
        <f t="shared" si="165"/>
        <v>0</v>
      </c>
      <c r="BH241" s="21">
        <f t="shared" si="166"/>
        <v>0</v>
      </c>
    </row>
    <row r="242" spans="1:60" ht="15.75" customHeight="1">
      <c r="A242" s="72" t="s">
        <v>309</v>
      </c>
      <c r="B242" s="2" t="str">
        <f>IFERROR(VLOOKUP(A242,'Tabela de Produtos'!A:B,2,0),"Preencher Cód. Produto")</f>
        <v>BRAZIMIL TINTA ACRILICA PREM INT/EXT SEMIBRILHO 15L AMARELO SOL</v>
      </c>
      <c r="C242" s="2"/>
      <c r="D242" s="73" t="s">
        <v>40</v>
      </c>
      <c r="E242" s="73"/>
      <c r="F242" s="74" t="str">
        <f>IF(A242=0,0,VLOOKUP(A242,'Tabela de Produtos'!A:W,23,0))</f>
        <v>Cadastrar Ficha de Produção</v>
      </c>
      <c r="G242" s="74">
        <v>0</v>
      </c>
      <c r="H242" s="76">
        <v>1</v>
      </c>
      <c r="I242" s="74">
        <f t="shared" si="161"/>
        <v>0</v>
      </c>
      <c r="J242" s="77">
        <f>VLOOKUP(B242,'Tabela de Produtos'!B:M,12,FALSE())</f>
        <v>0</v>
      </c>
      <c r="K242" s="74"/>
      <c r="L242" s="74"/>
      <c r="M242" s="74"/>
      <c r="N242" s="81"/>
      <c r="O242" s="74"/>
      <c r="P242" s="74"/>
      <c r="Q242" s="74"/>
      <c r="R242" s="81"/>
      <c r="S242" s="74"/>
      <c r="T242" s="74"/>
      <c r="U242" s="74"/>
      <c r="V242" s="74"/>
      <c r="W242" s="81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7"/>
      <c r="AY242" s="77">
        <f t="shared" si="162"/>
        <v>0</v>
      </c>
      <c r="AZ242" s="79">
        <f>IFERROR(H242*VLOOKUP(A242,'Tabela de Produtos'!A:Q,17,0),0)</f>
        <v>0</v>
      </c>
      <c r="BA242" s="74">
        <f t="shared" si="168"/>
        <v>0</v>
      </c>
      <c r="BB242" s="74">
        <f t="shared" si="168"/>
        <v>0</v>
      </c>
      <c r="BC242" s="74">
        <f t="shared" si="168"/>
        <v>0</v>
      </c>
      <c r="BD242" s="74">
        <f t="shared" si="168"/>
        <v>0</v>
      </c>
      <c r="BE242" s="74">
        <f t="shared" si="163"/>
        <v>0</v>
      </c>
      <c r="BF242" s="74">
        <f t="shared" si="164"/>
        <v>0</v>
      </c>
      <c r="BG242" s="74">
        <f t="shared" si="165"/>
        <v>0</v>
      </c>
      <c r="BH242" s="21">
        <f t="shared" si="166"/>
        <v>0</v>
      </c>
    </row>
    <row r="243" spans="1:60" ht="15.75" customHeight="1">
      <c r="A243" s="72" t="s">
        <v>310</v>
      </c>
      <c r="B243" s="2" t="str">
        <f>IFERROR(VLOOKUP(A243,'Tabela de Produtos'!A:B,2,0),"Preencher Cód. Produto")</f>
        <v>BRAZIMIL TINTA ACRILICA PREM INT/EXT ACET 15L CINZA INTENSO</v>
      </c>
      <c r="C243" s="2"/>
      <c r="D243" s="73" t="s">
        <v>40</v>
      </c>
      <c r="E243" s="73"/>
      <c r="F243" s="74" t="str">
        <f>IF(A243=0,0,VLOOKUP(A243,'Tabela de Produtos'!A:W,23,0))</f>
        <v>Cadastrar Ficha de Produção</v>
      </c>
      <c r="G243" s="74">
        <v>0</v>
      </c>
      <c r="H243" s="76">
        <v>1</v>
      </c>
      <c r="I243" s="74">
        <f t="shared" si="161"/>
        <v>0</v>
      </c>
      <c r="J243" s="77">
        <f>VLOOKUP(B243,'Tabela de Produtos'!B:M,12,FALSE())</f>
        <v>0</v>
      </c>
      <c r="K243" s="74"/>
      <c r="L243" s="74"/>
      <c r="M243" s="74"/>
      <c r="N243" s="81"/>
      <c r="O243" s="74"/>
      <c r="P243" s="74"/>
      <c r="Q243" s="74"/>
      <c r="R243" s="81"/>
      <c r="S243" s="74"/>
      <c r="T243" s="74"/>
      <c r="U243" s="74"/>
      <c r="V243" s="74"/>
      <c r="W243" s="81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7"/>
      <c r="AY243" s="77">
        <f t="shared" si="162"/>
        <v>0</v>
      </c>
      <c r="AZ243" s="79">
        <f>IFERROR(H243*VLOOKUP(A243,'Tabela de Produtos'!A:Q,17,0),0)</f>
        <v>0</v>
      </c>
      <c r="BA243" s="74">
        <f t="shared" si="168"/>
        <v>0</v>
      </c>
      <c r="BB243" s="74">
        <f t="shared" si="168"/>
        <v>0</v>
      </c>
      <c r="BC243" s="74">
        <f t="shared" si="168"/>
        <v>0</v>
      </c>
      <c r="BD243" s="74">
        <f t="shared" si="168"/>
        <v>0</v>
      </c>
      <c r="BE243" s="74">
        <f t="shared" si="163"/>
        <v>0</v>
      </c>
      <c r="BF243" s="74">
        <f t="shared" si="164"/>
        <v>0</v>
      </c>
      <c r="BG243" s="74">
        <f t="shared" si="165"/>
        <v>0</v>
      </c>
      <c r="BH243" s="21">
        <f t="shared" si="166"/>
        <v>0</v>
      </c>
    </row>
    <row r="244" spans="1:60" ht="15.75" customHeight="1">
      <c r="A244" s="72" t="s">
        <v>311</v>
      </c>
      <c r="B244" s="2" t="str">
        <f>IFERROR(VLOOKUP(A244,'Tabela de Produtos'!A:B,2,0),"Preencher Cód. Produto")</f>
        <v>BRAZIMIL TINTA ACRILICA PREM INT/EXT ACET 15L BRANCO</v>
      </c>
      <c r="C244" s="2"/>
      <c r="D244" s="73" t="s">
        <v>40</v>
      </c>
      <c r="E244" s="73"/>
      <c r="F244" s="74" t="str">
        <f>IF(A244=0,0,VLOOKUP(A244,'Tabela de Produtos'!A:W,23,0))</f>
        <v>Cadastrar Ficha de Produção</v>
      </c>
      <c r="G244" s="74">
        <v>0</v>
      </c>
      <c r="H244" s="76">
        <v>1</v>
      </c>
      <c r="I244" s="74">
        <f t="shared" si="161"/>
        <v>0</v>
      </c>
      <c r="J244" s="77">
        <f>VLOOKUP(B244,'Tabela de Produtos'!B:M,12,FALSE())</f>
        <v>0</v>
      </c>
      <c r="K244" s="74"/>
      <c r="L244" s="74"/>
      <c r="M244" s="74"/>
      <c r="N244" s="81"/>
      <c r="O244" s="74"/>
      <c r="P244" s="74"/>
      <c r="Q244" s="74"/>
      <c r="R244" s="81"/>
      <c r="S244" s="74"/>
      <c r="T244" s="74"/>
      <c r="U244" s="74"/>
      <c r="V244" s="74"/>
      <c r="W244" s="81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7"/>
      <c r="AY244" s="77">
        <f t="shared" si="162"/>
        <v>0</v>
      </c>
      <c r="AZ244" s="79">
        <f>IFERROR(H244*VLOOKUP(A244,'Tabela de Produtos'!A:Q,17,0),0)</f>
        <v>0</v>
      </c>
      <c r="BA244" s="74">
        <f t="shared" si="168"/>
        <v>0</v>
      </c>
      <c r="BB244" s="74">
        <f t="shared" si="168"/>
        <v>0</v>
      </c>
      <c r="BC244" s="74">
        <f t="shared" si="168"/>
        <v>0</v>
      </c>
      <c r="BD244" s="74">
        <f t="shared" si="168"/>
        <v>0</v>
      </c>
      <c r="BE244" s="74">
        <f t="shared" si="163"/>
        <v>0</v>
      </c>
      <c r="BF244" s="74">
        <f t="shared" si="164"/>
        <v>0</v>
      </c>
      <c r="BG244" s="74">
        <f t="shared" si="165"/>
        <v>0</v>
      </c>
      <c r="BH244" s="21">
        <f t="shared" si="166"/>
        <v>0</v>
      </c>
    </row>
    <row r="245" spans="1:60" ht="15.75" customHeight="1">
      <c r="A245" s="72" t="s">
        <v>312</v>
      </c>
      <c r="B245" s="2" t="str">
        <f>IFERROR(VLOOKUP(A245,'Tabela de Produtos'!A:B,2,0),"Preencher Cód. Produto")</f>
        <v>BRAZIMIL TINTA ACRILICA PREM INT/EXT ACET 15L BRANCO GELO</v>
      </c>
      <c r="C245" s="2"/>
      <c r="D245" s="73" t="s">
        <v>40</v>
      </c>
      <c r="E245" s="73"/>
      <c r="F245" s="74" t="str">
        <f>IF(A245=0,0,VLOOKUP(A245,'Tabela de Produtos'!A:W,23,0))</f>
        <v>Cadastrar Ficha de Produção</v>
      </c>
      <c r="G245" s="74">
        <v>0</v>
      </c>
      <c r="H245" s="76">
        <v>1</v>
      </c>
      <c r="I245" s="74">
        <f t="shared" si="161"/>
        <v>0</v>
      </c>
      <c r="J245" s="77">
        <f>VLOOKUP(B245,'Tabela de Produtos'!B:M,12,FALSE())</f>
        <v>0</v>
      </c>
      <c r="K245" s="74"/>
      <c r="L245" s="74"/>
      <c r="M245" s="74"/>
      <c r="N245" s="81"/>
      <c r="O245" s="74"/>
      <c r="P245" s="74"/>
      <c r="Q245" s="74"/>
      <c r="R245" s="81"/>
      <c r="S245" s="74"/>
      <c r="T245" s="74"/>
      <c r="U245" s="74"/>
      <c r="V245" s="74"/>
      <c r="W245" s="81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7"/>
      <c r="AY245" s="77">
        <f t="shared" si="162"/>
        <v>0</v>
      </c>
      <c r="AZ245" s="79">
        <f>IFERROR(H245*VLOOKUP(A245,'Tabela de Produtos'!A:Q,17,0),0)</f>
        <v>0</v>
      </c>
      <c r="BA245" s="74">
        <f t="shared" si="168"/>
        <v>0</v>
      </c>
      <c r="BB245" s="74">
        <f t="shared" si="168"/>
        <v>0</v>
      </c>
      <c r="BC245" s="74">
        <f t="shared" si="168"/>
        <v>0</v>
      </c>
      <c r="BD245" s="74">
        <f t="shared" si="168"/>
        <v>0</v>
      </c>
      <c r="BE245" s="74">
        <f t="shared" si="163"/>
        <v>0</v>
      </c>
      <c r="BF245" s="74">
        <f t="shared" si="164"/>
        <v>0</v>
      </c>
      <c r="BG245" s="74">
        <f t="shared" si="165"/>
        <v>0</v>
      </c>
      <c r="BH245" s="21">
        <f t="shared" si="166"/>
        <v>0</v>
      </c>
    </row>
    <row r="246" spans="1:60" ht="15.75" customHeight="1">
      <c r="A246" s="72" t="s">
        <v>313</v>
      </c>
      <c r="B246" s="2" t="str">
        <f>IFERROR(VLOOKUP(A246,'Tabela de Produtos'!A:B,2,0),"Preencher Cód. Produto")</f>
        <v>BRAZIMIL TINTA ACRILICA PREM INT/EXT ACET 15L DIMANTE</v>
      </c>
      <c r="C246" s="2"/>
      <c r="D246" s="73" t="s">
        <v>40</v>
      </c>
      <c r="E246" s="73"/>
      <c r="F246" s="74" t="str">
        <f>IF(A246=0,0,VLOOKUP(A246,'Tabela de Produtos'!A:W,23,0))</f>
        <v>Cadastrar Ficha de Produção</v>
      </c>
      <c r="G246" s="74">
        <v>0</v>
      </c>
      <c r="H246" s="76">
        <v>1</v>
      </c>
      <c r="I246" s="74">
        <f t="shared" si="161"/>
        <v>0</v>
      </c>
      <c r="J246" s="77">
        <f>VLOOKUP(B246,'Tabela de Produtos'!B:M,12,FALSE())</f>
        <v>0</v>
      </c>
      <c r="K246" s="74"/>
      <c r="L246" s="74"/>
      <c r="M246" s="74"/>
      <c r="N246" s="81"/>
      <c r="O246" s="74"/>
      <c r="P246" s="74"/>
      <c r="Q246" s="74"/>
      <c r="R246" s="81"/>
      <c r="S246" s="74"/>
      <c r="T246" s="74"/>
      <c r="U246" s="74"/>
      <c r="V246" s="74"/>
      <c r="W246" s="81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7"/>
      <c r="AY246" s="77">
        <f t="shared" si="162"/>
        <v>0</v>
      </c>
      <c r="AZ246" s="79">
        <f>IFERROR(H246*VLOOKUP(A246,'Tabela de Produtos'!A:Q,17,0),0)</f>
        <v>0</v>
      </c>
      <c r="BA246" s="74">
        <f t="shared" si="168"/>
        <v>0</v>
      </c>
      <c r="BB246" s="74">
        <f t="shared" si="168"/>
        <v>0</v>
      </c>
      <c r="BC246" s="74">
        <f t="shared" si="168"/>
        <v>0</v>
      </c>
      <c r="BD246" s="74">
        <f t="shared" si="168"/>
        <v>0</v>
      </c>
      <c r="BE246" s="74">
        <f t="shared" si="163"/>
        <v>0</v>
      </c>
      <c r="BF246" s="74">
        <f t="shared" si="164"/>
        <v>0</v>
      </c>
      <c r="BG246" s="74">
        <f t="shared" si="165"/>
        <v>0</v>
      </c>
      <c r="BH246" s="21">
        <f t="shared" si="166"/>
        <v>0</v>
      </c>
    </row>
    <row r="247" spans="1:60" ht="15.75" customHeight="1">
      <c r="A247" s="72" t="s">
        <v>314</v>
      </c>
      <c r="B247" s="2" t="str">
        <f>IFERROR(VLOOKUP(A247,'Tabela de Produtos'!A:B,2,0),"Preencher Cód. Produto")</f>
        <v>BRAZIMIL TINTA ACRILICA PREM INT/EXT ACET 15L CINZA PLATINA</v>
      </c>
      <c r="C247" s="2"/>
      <c r="D247" s="73" t="s">
        <v>40</v>
      </c>
      <c r="E247" s="73"/>
      <c r="F247" s="74" t="str">
        <f>IF(A247=0,0,VLOOKUP(A247,'Tabela de Produtos'!A:W,23,0))</f>
        <v>Cadastrar Ficha de Produção</v>
      </c>
      <c r="G247" s="74">
        <v>0</v>
      </c>
      <c r="H247" s="76">
        <v>1</v>
      </c>
      <c r="I247" s="74">
        <f t="shared" si="161"/>
        <v>0</v>
      </c>
      <c r="J247" s="77">
        <f>VLOOKUP(B247,'Tabela de Produtos'!B:M,12,FALSE())</f>
        <v>0</v>
      </c>
      <c r="K247" s="74"/>
      <c r="L247" s="74"/>
      <c r="M247" s="74"/>
      <c r="N247" s="81"/>
      <c r="O247" s="74"/>
      <c r="P247" s="74"/>
      <c r="Q247" s="74"/>
      <c r="R247" s="81"/>
      <c r="S247" s="74"/>
      <c r="T247" s="74"/>
      <c r="U247" s="74"/>
      <c r="V247" s="74"/>
      <c r="W247" s="81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7"/>
      <c r="AY247" s="77">
        <f t="shared" si="162"/>
        <v>0</v>
      </c>
      <c r="AZ247" s="79">
        <f>IFERROR(H247*VLOOKUP(A247,'Tabela de Produtos'!A:Q,17,0),0)</f>
        <v>0</v>
      </c>
      <c r="BA247" s="74">
        <f t="shared" si="168"/>
        <v>0</v>
      </c>
      <c r="BB247" s="74">
        <f t="shared" si="168"/>
        <v>0</v>
      </c>
      <c r="BC247" s="74">
        <f t="shared" si="168"/>
        <v>0</v>
      </c>
      <c r="BD247" s="74">
        <f t="shared" si="168"/>
        <v>0</v>
      </c>
      <c r="BE247" s="74">
        <f t="shared" si="163"/>
        <v>0</v>
      </c>
      <c r="BF247" s="74">
        <f t="shared" si="164"/>
        <v>0</v>
      </c>
      <c r="BG247" s="74">
        <f t="shared" si="165"/>
        <v>0</v>
      </c>
      <c r="BH247" s="21">
        <f t="shared" si="166"/>
        <v>0</v>
      </c>
    </row>
    <row r="248" spans="1:60" ht="15.75" customHeight="1">
      <c r="A248" s="72" t="s">
        <v>315</v>
      </c>
      <c r="B248" s="2" t="str">
        <f>IFERROR(VLOOKUP(A248,'Tabela de Produtos'!A:B,2,0),"Preencher Cód. Produto")</f>
        <v>BRAZIMIL TINTA ACRILICA PREM INT/EXT ACET 15L EGIPCIO</v>
      </c>
      <c r="C248" s="2"/>
      <c r="D248" s="73" t="s">
        <v>40</v>
      </c>
      <c r="E248" s="73"/>
      <c r="F248" s="74" t="str">
        <f>IF(A248=0,0,VLOOKUP(A248,'Tabela de Produtos'!A:W,23,0))</f>
        <v>Cadastrar Ficha de Produção</v>
      </c>
      <c r="G248" s="74">
        <v>0</v>
      </c>
      <c r="H248" s="76">
        <v>1</v>
      </c>
      <c r="I248" s="74">
        <f t="shared" si="161"/>
        <v>0</v>
      </c>
      <c r="J248" s="77">
        <f>VLOOKUP(B248,'Tabela de Produtos'!B:M,12,FALSE())</f>
        <v>0</v>
      </c>
      <c r="K248" s="74"/>
      <c r="L248" s="74"/>
      <c r="M248" s="74"/>
      <c r="N248" s="81"/>
      <c r="O248" s="74"/>
      <c r="P248" s="74"/>
      <c r="Q248" s="74"/>
      <c r="R248" s="81"/>
      <c r="S248" s="74"/>
      <c r="T248" s="74"/>
      <c r="U248" s="74"/>
      <c r="V248" s="74"/>
      <c r="W248" s="81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7"/>
      <c r="AY248" s="77">
        <f t="shared" si="162"/>
        <v>0</v>
      </c>
      <c r="AZ248" s="79">
        <f>IFERROR(H248*VLOOKUP(A248,'Tabela de Produtos'!A:Q,17,0),0)</f>
        <v>0</v>
      </c>
      <c r="BA248" s="74">
        <f t="shared" si="168"/>
        <v>0</v>
      </c>
      <c r="BB248" s="74">
        <f t="shared" si="168"/>
        <v>0</v>
      </c>
      <c r="BC248" s="74">
        <f t="shared" si="168"/>
        <v>0</v>
      </c>
      <c r="BD248" s="74">
        <f t="shared" si="168"/>
        <v>0</v>
      </c>
      <c r="BE248" s="74">
        <f t="shared" si="163"/>
        <v>0</v>
      </c>
      <c r="BF248" s="74">
        <f t="shared" si="164"/>
        <v>0</v>
      </c>
      <c r="BG248" s="74">
        <f t="shared" si="165"/>
        <v>0</v>
      </c>
      <c r="BH248" s="21">
        <f t="shared" si="166"/>
        <v>0</v>
      </c>
    </row>
    <row r="249" spans="1:60" ht="15.75" customHeight="1">
      <c r="A249" s="72" t="s">
        <v>316</v>
      </c>
      <c r="B249" s="2" t="str">
        <f>IFERROR(VLOOKUP(A249,'Tabela de Produtos'!A:B,2,0),"Preencher Cód. Produto")</f>
        <v>BRAZIMIL TINTA ACRILICA PREM INT/EXT ACET 15L MARROM GRADIENTE</v>
      </c>
      <c r="C249" s="2"/>
      <c r="D249" s="73" t="s">
        <v>40</v>
      </c>
      <c r="E249" s="73"/>
      <c r="F249" s="74" t="str">
        <f>IF(A249=0,0,VLOOKUP(A249,'Tabela de Produtos'!A:W,23,0))</f>
        <v>Cadastrar Ficha de Produção</v>
      </c>
      <c r="G249" s="74">
        <v>0</v>
      </c>
      <c r="H249" s="76">
        <v>1</v>
      </c>
      <c r="I249" s="74">
        <f t="shared" si="161"/>
        <v>0</v>
      </c>
      <c r="J249" s="77">
        <f>VLOOKUP(B249,'Tabela de Produtos'!B:M,12,FALSE())</f>
        <v>0</v>
      </c>
      <c r="K249" s="74"/>
      <c r="L249" s="74"/>
      <c r="M249" s="74"/>
      <c r="N249" s="81"/>
      <c r="O249" s="74"/>
      <c r="P249" s="74"/>
      <c r="Q249" s="74"/>
      <c r="R249" s="81"/>
      <c r="S249" s="74"/>
      <c r="T249" s="74"/>
      <c r="U249" s="74"/>
      <c r="V249" s="74"/>
      <c r="W249" s="81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7"/>
      <c r="AY249" s="77">
        <f t="shared" si="162"/>
        <v>0</v>
      </c>
      <c r="AZ249" s="79">
        <f>IFERROR(H249*VLOOKUP(A249,'Tabela de Produtos'!A:Q,17,0),0)</f>
        <v>0</v>
      </c>
      <c r="BA249" s="74">
        <f t="shared" si="168"/>
        <v>0</v>
      </c>
      <c r="BB249" s="74">
        <f t="shared" si="168"/>
        <v>0</v>
      </c>
      <c r="BC249" s="74">
        <f t="shared" si="168"/>
        <v>0</v>
      </c>
      <c r="BD249" s="74">
        <f t="shared" si="168"/>
        <v>0</v>
      </c>
      <c r="BE249" s="74">
        <f t="shared" si="163"/>
        <v>0</v>
      </c>
      <c r="BF249" s="74">
        <f t="shared" si="164"/>
        <v>0</v>
      </c>
      <c r="BG249" s="74">
        <f t="shared" si="165"/>
        <v>0</v>
      </c>
      <c r="BH249" s="21">
        <f t="shared" si="166"/>
        <v>0</v>
      </c>
    </row>
    <row r="250" spans="1:60" ht="15.75" customHeight="1">
      <c r="A250" s="72" t="s">
        <v>317</v>
      </c>
      <c r="B250" s="2" t="str">
        <f>IFERROR(VLOOKUP(A250,'Tabela de Produtos'!A:B,2,0),"Preencher Cód. Produto")</f>
        <v>BRAZIMIL TINTA ACRILICA PREM INT/EXT ACET 15L AVELA</v>
      </c>
      <c r="C250" s="2"/>
      <c r="D250" s="73" t="s">
        <v>40</v>
      </c>
      <c r="E250" s="73"/>
      <c r="F250" s="74" t="str">
        <f>IF(A250=0,0,VLOOKUP(A250,'Tabela de Produtos'!A:W,23,0))</f>
        <v>Cadastrar Ficha de Produção</v>
      </c>
      <c r="G250" s="74">
        <v>0</v>
      </c>
      <c r="H250" s="76">
        <v>1</v>
      </c>
      <c r="I250" s="74">
        <f t="shared" si="161"/>
        <v>0</v>
      </c>
      <c r="J250" s="77">
        <f>VLOOKUP(B250,'Tabela de Produtos'!B:M,12,FALSE())</f>
        <v>0</v>
      </c>
      <c r="K250" s="74"/>
      <c r="L250" s="74"/>
      <c r="M250" s="74"/>
      <c r="N250" s="81"/>
      <c r="O250" s="74"/>
      <c r="P250" s="74"/>
      <c r="Q250" s="74"/>
      <c r="R250" s="81"/>
      <c r="S250" s="74"/>
      <c r="T250" s="74"/>
      <c r="U250" s="74"/>
      <c r="V250" s="74"/>
      <c r="W250" s="81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7"/>
      <c r="AY250" s="77">
        <f t="shared" si="162"/>
        <v>0</v>
      </c>
      <c r="AZ250" s="79">
        <f>IFERROR(H250*VLOOKUP(A250,'Tabela de Produtos'!A:Q,17,0),0)</f>
        <v>0</v>
      </c>
      <c r="BA250" s="74">
        <f t="shared" si="168"/>
        <v>0</v>
      </c>
      <c r="BB250" s="74">
        <f t="shared" si="168"/>
        <v>0</v>
      </c>
      <c r="BC250" s="74">
        <f t="shared" si="168"/>
        <v>0</v>
      </c>
      <c r="BD250" s="74">
        <f t="shared" si="168"/>
        <v>0</v>
      </c>
      <c r="BE250" s="74">
        <f t="shared" si="163"/>
        <v>0</v>
      </c>
      <c r="BF250" s="74">
        <f t="shared" si="164"/>
        <v>0</v>
      </c>
      <c r="BG250" s="74">
        <f t="shared" si="165"/>
        <v>0</v>
      </c>
      <c r="BH250" s="21">
        <f t="shared" si="166"/>
        <v>0</v>
      </c>
    </row>
    <row r="251" spans="1:60" ht="15.75" customHeight="1">
      <c r="A251" s="72" t="s">
        <v>318</v>
      </c>
      <c r="B251" s="2" t="str">
        <f>IFERROR(VLOOKUP(A251,'Tabela de Produtos'!A:B,2,0),"Preencher Cód. Produto")</f>
        <v>BRAZIMIL TINTA ACRILICA PREM INT/EXT ACET 15L CARAMELO</v>
      </c>
      <c r="C251" s="2"/>
      <c r="D251" s="73" t="s">
        <v>40</v>
      </c>
      <c r="E251" s="73"/>
      <c r="F251" s="74" t="str">
        <f>IF(A251=0,0,VLOOKUP(A251,'Tabela de Produtos'!A:W,23,0))</f>
        <v>Cadastrar Ficha de Produção</v>
      </c>
      <c r="G251" s="74">
        <v>0</v>
      </c>
      <c r="H251" s="76">
        <v>1</v>
      </c>
      <c r="I251" s="74">
        <f t="shared" si="161"/>
        <v>0</v>
      </c>
      <c r="J251" s="77">
        <f>VLOOKUP(B251,'Tabela de Produtos'!B:M,12,FALSE())</f>
        <v>0</v>
      </c>
      <c r="K251" s="74"/>
      <c r="L251" s="74"/>
      <c r="M251" s="74"/>
      <c r="N251" s="81"/>
      <c r="O251" s="74"/>
      <c r="P251" s="74"/>
      <c r="Q251" s="74"/>
      <c r="R251" s="81"/>
      <c r="S251" s="74"/>
      <c r="T251" s="74"/>
      <c r="U251" s="74"/>
      <c r="V251" s="74"/>
      <c r="W251" s="81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7"/>
      <c r="AY251" s="77">
        <f t="shared" si="162"/>
        <v>0</v>
      </c>
      <c r="AZ251" s="79">
        <f>IFERROR(H251*VLOOKUP(A251,'Tabela de Produtos'!A:Q,17,0),0)</f>
        <v>0</v>
      </c>
      <c r="BA251" s="74">
        <f t="shared" si="168"/>
        <v>0</v>
      </c>
      <c r="BB251" s="74">
        <f t="shared" si="168"/>
        <v>0</v>
      </c>
      <c r="BC251" s="74">
        <f t="shared" si="168"/>
        <v>0</v>
      </c>
      <c r="BD251" s="74">
        <f t="shared" si="168"/>
        <v>0</v>
      </c>
      <c r="BE251" s="74">
        <f t="shared" si="163"/>
        <v>0</v>
      </c>
      <c r="BF251" s="74">
        <f t="shared" si="164"/>
        <v>0</v>
      </c>
      <c r="BG251" s="74">
        <f t="shared" si="165"/>
        <v>0</v>
      </c>
      <c r="BH251" s="21">
        <f t="shared" si="166"/>
        <v>0</v>
      </c>
    </row>
    <row r="252" spans="1:60" ht="15.75" customHeight="1">
      <c r="A252" s="72" t="s">
        <v>319</v>
      </c>
      <c r="B252" s="2" t="str">
        <f>IFERROR(VLOOKUP(A252,'Tabela de Produtos'!A:B,2,0),"Preencher Cód. Produto")</f>
        <v>BRAZIMIL TINTA ACRILICA PREM INT/EXT ACET 15L CAFÉ</v>
      </c>
      <c r="C252" s="2"/>
      <c r="D252" s="73" t="s">
        <v>40</v>
      </c>
      <c r="E252" s="73"/>
      <c r="F252" s="74" t="str">
        <f>IF(A252=0,0,VLOOKUP(A252,'Tabela de Produtos'!A:W,23,0))</f>
        <v>Cadastrar Ficha de Produção</v>
      </c>
      <c r="G252" s="74">
        <v>0</v>
      </c>
      <c r="H252" s="76">
        <v>1</v>
      </c>
      <c r="I252" s="74">
        <f t="shared" si="161"/>
        <v>0</v>
      </c>
      <c r="J252" s="77">
        <f>VLOOKUP(B252,'Tabela de Produtos'!B:M,12,FALSE())</f>
        <v>0</v>
      </c>
      <c r="K252" s="74"/>
      <c r="L252" s="74"/>
      <c r="M252" s="74"/>
      <c r="N252" s="81"/>
      <c r="O252" s="74"/>
      <c r="P252" s="74"/>
      <c r="Q252" s="74"/>
      <c r="R252" s="81"/>
      <c r="S252" s="74"/>
      <c r="T252" s="74"/>
      <c r="U252" s="74"/>
      <c r="V252" s="74"/>
      <c r="W252" s="81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7"/>
      <c r="AY252" s="77">
        <f t="shared" si="162"/>
        <v>0</v>
      </c>
      <c r="AZ252" s="79">
        <f>IFERROR(H252*VLOOKUP(A252,'Tabela de Produtos'!A:Q,17,0),0)</f>
        <v>0</v>
      </c>
      <c r="BA252" s="74">
        <f t="shared" si="168"/>
        <v>0</v>
      </c>
      <c r="BB252" s="74">
        <f t="shared" si="168"/>
        <v>0</v>
      </c>
      <c r="BC252" s="74">
        <f t="shared" si="168"/>
        <v>0</v>
      </c>
      <c r="BD252" s="74">
        <f t="shared" si="168"/>
        <v>0</v>
      </c>
      <c r="BE252" s="74">
        <f t="shared" si="163"/>
        <v>0</v>
      </c>
      <c r="BF252" s="74">
        <f t="shared" si="164"/>
        <v>0</v>
      </c>
      <c r="BG252" s="74">
        <f t="shared" si="165"/>
        <v>0</v>
      </c>
      <c r="BH252" s="21">
        <f t="shared" si="166"/>
        <v>0</v>
      </c>
    </row>
    <row r="253" spans="1:60" ht="15.75" customHeight="1">
      <c r="A253" s="72" t="s">
        <v>320</v>
      </c>
      <c r="B253" s="2" t="str">
        <f>IFERROR(VLOOKUP(A253,'Tabela de Produtos'!A:B,2,0),"Preencher Cód. Produto")</f>
        <v>BRAZIMIL TINTA ACRILICA PREM INT/EXT ACET 15L NUDE</v>
      </c>
      <c r="C253" s="2"/>
      <c r="D253" s="73" t="s">
        <v>40</v>
      </c>
      <c r="E253" s="73"/>
      <c r="F253" s="74" t="str">
        <f>IF(A253=0,0,VLOOKUP(A253,'Tabela de Produtos'!A:W,23,0))</f>
        <v>Cadastrar Ficha de Produção</v>
      </c>
      <c r="G253" s="74">
        <v>0</v>
      </c>
      <c r="H253" s="76">
        <v>1</v>
      </c>
      <c r="I253" s="74">
        <f t="shared" si="161"/>
        <v>0</v>
      </c>
      <c r="J253" s="77">
        <f>VLOOKUP(B253,'Tabela de Produtos'!B:M,12,FALSE())</f>
        <v>0</v>
      </c>
      <c r="K253" s="74"/>
      <c r="L253" s="74"/>
      <c r="M253" s="74"/>
      <c r="N253" s="81"/>
      <c r="O253" s="74"/>
      <c r="P253" s="74"/>
      <c r="Q253" s="74"/>
      <c r="R253" s="81"/>
      <c r="S253" s="74"/>
      <c r="T253" s="74"/>
      <c r="U253" s="74"/>
      <c r="V253" s="74"/>
      <c r="W253" s="81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7"/>
      <c r="AY253" s="77">
        <f t="shared" si="162"/>
        <v>0</v>
      </c>
      <c r="AZ253" s="79">
        <f>IFERROR(H253*VLOOKUP(A253,'Tabela de Produtos'!A:Q,17,0),0)</f>
        <v>0</v>
      </c>
      <c r="BA253" s="74">
        <f t="shared" si="168"/>
        <v>0</v>
      </c>
      <c r="BB253" s="74">
        <f t="shared" si="168"/>
        <v>0</v>
      </c>
      <c r="BC253" s="74">
        <f t="shared" si="168"/>
        <v>0</v>
      </c>
      <c r="BD253" s="74">
        <f t="shared" si="168"/>
        <v>0</v>
      </c>
      <c r="BE253" s="74">
        <f t="shared" si="163"/>
        <v>0</v>
      </c>
      <c r="BF253" s="74">
        <f t="shared" si="164"/>
        <v>0</v>
      </c>
      <c r="BG253" s="74">
        <f t="shared" si="165"/>
        <v>0</v>
      </c>
      <c r="BH253" s="21">
        <f t="shared" si="166"/>
        <v>0</v>
      </c>
    </row>
    <row r="254" spans="1:60" ht="15.75" customHeight="1">
      <c r="A254" s="72" t="s">
        <v>321</v>
      </c>
      <c r="B254" s="2" t="str">
        <f>IFERROR(VLOOKUP(A254,'Tabela de Produtos'!A:B,2,0),"Preencher Cód. Produto")</f>
        <v>BRAZIMIL TINTA ACRILICA PREM INT/EXT ACET 15L MARFIM REAL</v>
      </c>
      <c r="C254" s="2"/>
      <c r="D254" s="73" t="s">
        <v>40</v>
      </c>
      <c r="E254" s="73"/>
      <c r="F254" s="74" t="str">
        <f>IF(A254=0,0,VLOOKUP(A254,'Tabela de Produtos'!A:W,23,0))</f>
        <v>Cadastrar Ficha de Produção</v>
      </c>
      <c r="G254" s="74">
        <v>0</v>
      </c>
      <c r="H254" s="76">
        <v>1</v>
      </c>
      <c r="I254" s="74">
        <f t="shared" si="161"/>
        <v>0</v>
      </c>
      <c r="J254" s="77">
        <f>VLOOKUP(B254,'Tabela de Produtos'!B:M,12,FALSE())</f>
        <v>0</v>
      </c>
      <c r="K254" s="74"/>
      <c r="L254" s="74"/>
      <c r="M254" s="74"/>
      <c r="N254" s="81"/>
      <c r="O254" s="74"/>
      <c r="P254" s="74"/>
      <c r="Q254" s="74"/>
      <c r="R254" s="81"/>
      <c r="S254" s="74"/>
      <c r="T254" s="74"/>
      <c r="U254" s="74"/>
      <c r="V254" s="74"/>
      <c r="W254" s="81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7"/>
      <c r="AY254" s="77">
        <f t="shared" si="162"/>
        <v>0</v>
      </c>
      <c r="AZ254" s="79">
        <f>IFERROR(H254*VLOOKUP(A254,'Tabela de Produtos'!A:Q,17,0),0)</f>
        <v>0</v>
      </c>
      <c r="BA254" s="74">
        <f t="shared" ref="BA254:BD273" si="169">$I254*BA$12</f>
        <v>0</v>
      </c>
      <c r="BB254" s="74">
        <f t="shared" si="169"/>
        <v>0</v>
      </c>
      <c r="BC254" s="74">
        <f t="shared" si="169"/>
        <v>0</v>
      </c>
      <c r="BD254" s="74">
        <f t="shared" si="169"/>
        <v>0</v>
      </c>
      <c r="BE254" s="74">
        <f t="shared" si="163"/>
        <v>0</v>
      </c>
      <c r="BF254" s="74">
        <f t="shared" si="164"/>
        <v>0</v>
      </c>
      <c r="BG254" s="74">
        <f t="shared" si="165"/>
        <v>0</v>
      </c>
      <c r="BH254" s="21">
        <f t="shared" si="166"/>
        <v>0</v>
      </c>
    </row>
    <row r="255" spans="1:60" ht="15.75" customHeight="1">
      <c r="A255" s="72" t="s">
        <v>322</v>
      </c>
      <c r="B255" s="2" t="str">
        <f>IFERROR(VLOOKUP(A255,'Tabela de Produtos'!A:B,2,0),"Preencher Cód. Produto")</f>
        <v>BRAZIMIL TINTA ACRILICA PREM INT/EXT ACET 15L CAMURCA</v>
      </c>
      <c r="C255" s="2"/>
      <c r="D255" s="73" t="s">
        <v>40</v>
      </c>
      <c r="E255" s="73"/>
      <c r="F255" s="74" t="str">
        <f>IF(A255=0,0,VLOOKUP(A255,'Tabela de Produtos'!A:W,23,0))</f>
        <v>Cadastrar Ficha de Produção</v>
      </c>
      <c r="G255" s="74">
        <v>0</v>
      </c>
      <c r="H255" s="76">
        <v>1</v>
      </c>
      <c r="I255" s="74">
        <f t="shared" si="161"/>
        <v>0</v>
      </c>
      <c r="J255" s="77">
        <f>VLOOKUP(B255,'Tabela de Produtos'!B:M,12,FALSE())</f>
        <v>0</v>
      </c>
      <c r="K255" s="74"/>
      <c r="L255" s="74"/>
      <c r="M255" s="74"/>
      <c r="N255" s="81"/>
      <c r="O255" s="74"/>
      <c r="P255" s="74"/>
      <c r="Q255" s="74"/>
      <c r="R255" s="81"/>
      <c r="S255" s="74"/>
      <c r="T255" s="74"/>
      <c r="U255" s="74"/>
      <c r="V255" s="74"/>
      <c r="W255" s="81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7"/>
      <c r="AY255" s="77">
        <f t="shared" si="162"/>
        <v>0</v>
      </c>
      <c r="AZ255" s="79">
        <f>IFERROR(H255*VLOOKUP(A255,'Tabela de Produtos'!A:Q,17,0),0)</f>
        <v>0</v>
      </c>
      <c r="BA255" s="74">
        <f t="shared" si="169"/>
        <v>0</v>
      </c>
      <c r="BB255" s="74">
        <f t="shared" si="169"/>
        <v>0</v>
      </c>
      <c r="BC255" s="74">
        <f t="shared" si="169"/>
        <v>0</v>
      </c>
      <c r="BD255" s="74">
        <f t="shared" si="169"/>
        <v>0</v>
      </c>
      <c r="BE255" s="74">
        <f t="shared" si="163"/>
        <v>0</v>
      </c>
      <c r="BF255" s="74">
        <f t="shared" si="164"/>
        <v>0</v>
      </c>
      <c r="BG255" s="74">
        <f t="shared" si="165"/>
        <v>0</v>
      </c>
      <c r="BH255" s="21">
        <f t="shared" si="166"/>
        <v>0</v>
      </c>
    </row>
    <row r="256" spans="1:60" ht="15.75" customHeight="1">
      <c r="A256" s="72" t="s">
        <v>323</v>
      </c>
      <c r="B256" s="2" t="str">
        <f>IFERROR(VLOOKUP(A256,'Tabela de Produtos'!A:B,2,0),"Preencher Cód. Produto")</f>
        <v>BRAZIMIL TINTA ACRILICA PREM INT/EXT ACET 15L AZUL ANIL</v>
      </c>
      <c r="C256" s="2"/>
      <c r="D256" s="73" t="s">
        <v>40</v>
      </c>
      <c r="E256" s="73"/>
      <c r="F256" s="74" t="str">
        <f>IF(A256=0,0,VLOOKUP(A256,'Tabela de Produtos'!A:W,23,0))</f>
        <v>Cadastrar Ficha de Produção</v>
      </c>
      <c r="G256" s="74">
        <v>0</v>
      </c>
      <c r="H256" s="76">
        <v>1</v>
      </c>
      <c r="I256" s="74">
        <f t="shared" si="161"/>
        <v>0</v>
      </c>
      <c r="J256" s="77">
        <f>VLOOKUP(B256,'Tabela de Produtos'!B:M,12,FALSE())</f>
        <v>0</v>
      </c>
      <c r="K256" s="74"/>
      <c r="L256" s="74"/>
      <c r="M256" s="74"/>
      <c r="N256" s="81"/>
      <c r="O256" s="74"/>
      <c r="P256" s="74"/>
      <c r="Q256" s="74"/>
      <c r="R256" s="81"/>
      <c r="S256" s="74"/>
      <c r="T256" s="74"/>
      <c r="U256" s="74"/>
      <c r="V256" s="74"/>
      <c r="W256" s="81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7"/>
      <c r="AY256" s="77">
        <f t="shared" si="162"/>
        <v>0</v>
      </c>
      <c r="AZ256" s="79">
        <f>IFERROR(H256*VLOOKUP(A256,'Tabela de Produtos'!A:Q,17,0),0)</f>
        <v>0</v>
      </c>
      <c r="BA256" s="74">
        <f t="shared" si="169"/>
        <v>0</v>
      </c>
      <c r="BB256" s="74">
        <f t="shared" si="169"/>
        <v>0</v>
      </c>
      <c r="BC256" s="74">
        <f t="shared" si="169"/>
        <v>0</v>
      </c>
      <c r="BD256" s="74">
        <f t="shared" si="169"/>
        <v>0</v>
      </c>
      <c r="BE256" s="74">
        <f t="shared" si="163"/>
        <v>0</v>
      </c>
      <c r="BF256" s="74">
        <f t="shared" si="164"/>
        <v>0</v>
      </c>
      <c r="BG256" s="74">
        <f t="shared" si="165"/>
        <v>0</v>
      </c>
      <c r="BH256" s="21">
        <f t="shared" si="166"/>
        <v>0</v>
      </c>
    </row>
    <row r="257" spans="1:60" ht="15.75" customHeight="1">
      <c r="A257" s="72" t="s">
        <v>324</v>
      </c>
      <c r="B257" s="2" t="str">
        <f>IFERROR(VLOOKUP(A257,'Tabela de Produtos'!A:B,2,0),"Preencher Cód. Produto")</f>
        <v>BRAZIMIL TINTA ACRILICA PREM INT/EXT ACET 15L CARDINAL</v>
      </c>
      <c r="C257" s="2"/>
      <c r="D257" s="73" t="s">
        <v>40</v>
      </c>
      <c r="E257" s="73"/>
      <c r="F257" s="74" t="str">
        <f>IF(A257=0,0,VLOOKUP(A257,'Tabela de Produtos'!A:W,23,0))</f>
        <v>Cadastrar Ficha de Produção</v>
      </c>
      <c r="G257" s="74">
        <v>0</v>
      </c>
      <c r="H257" s="76">
        <v>1</v>
      </c>
      <c r="I257" s="74">
        <f t="shared" si="161"/>
        <v>0</v>
      </c>
      <c r="J257" s="77">
        <f>VLOOKUP(B257,'Tabela de Produtos'!B:M,12,FALSE())</f>
        <v>0</v>
      </c>
      <c r="K257" s="74"/>
      <c r="L257" s="74"/>
      <c r="M257" s="74"/>
      <c r="N257" s="81"/>
      <c r="O257" s="74"/>
      <c r="P257" s="74"/>
      <c r="Q257" s="74"/>
      <c r="R257" s="81"/>
      <c r="S257" s="74"/>
      <c r="T257" s="74"/>
      <c r="U257" s="74"/>
      <c r="V257" s="74"/>
      <c r="W257" s="81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7"/>
      <c r="AY257" s="77">
        <f t="shared" si="162"/>
        <v>0</v>
      </c>
      <c r="AZ257" s="79">
        <f>IFERROR(H257*VLOOKUP(A257,'Tabela de Produtos'!A:Q,17,0),0)</f>
        <v>0</v>
      </c>
      <c r="BA257" s="74">
        <f t="shared" si="169"/>
        <v>0</v>
      </c>
      <c r="BB257" s="74">
        <f t="shared" si="169"/>
        <v>0</v>
      </c>
      <c r="BC257" s="74">
        <f t="shared" si="169"/>
        <v>0</v>
      </c>
      <c r="BD257" s="74">
        <f t="shared" si="169"/>
        <v>0</v>
      </c>
      <c r="BE257" s="74">
        <f t="shared" si="163"/>
        <v>0</v>
      </c>
      <c r="BF257" s="74">
        <f t="shared" si="164"/>
        <v>0</v>
      </c>
      <c r="BG257" s="74">
        <f t="shared" si="165"/>
        <v>0</v>
      </c>
      <c r="BH257" s="21">
        <f t="shared" si="166"/>
        <v>0</v>
      </c>
    </row>
    <row r="258" spans="1:60" ht="15.75" customHeight="1">
      <c r="A258" s="72" t="s">
        <v>325</v>
      </c>
      <c r="B258" s="2" t="str">
        <f>IFERROR(VLOOKUP(A258,'Tabela de Produtos'!A:B,2,0),"Preencher Cód. Produto")</f>
        <v>BRAZIMIL TINTA ACRILICA PREM INT/EXT ACET 15L PRAIA</v>
      </c>
      <c r="C258" s="2"/>
      <c r="D258" s="73" t="s">
        <v>40</v>
      </c>
      <c r="E258" s="73"/>
      <c r="F258" s="74" t="str">
        <f>IF(A258=0,0,VLOOKUP(A258,'Tabela de Produtos'!A:W,23,0))</f>
        <v>Cadastrar Ficha de Produção</v>
      </c>
      <c r="G258" s="74">
        <v>0</v>
      </c>
      <c r="H258" s="76">
        <v>1</v>
      </c>
      <c r="I258" s="74">
        <f t="shared" si="161"/>
        <v>0</v>
      </c>
      <c r="J258" s="77">
        <f>VLOOKUP(B258,'Tabela de Produtos'!B:M,12,FALSE())</f>
        <v>0</v>
      </c>
      <c r="K258" s="74"/>
      <c r="L258" s="74"/>
      <c r="M258" s="74"/>
      <c r="N258" s="81"/>
      <c r="O258" s="74"/>
      <c r="P258" s="74"/>
      <c r="Q258" s="74"/>
      <c r="R258" s="81"/>
      <c r="S258" s="74"/>
      <c r="T258" s="74"/>
      <c r="U258" s="74"/>
      <c r="V258" s="74"/>
      <c r="W258" s="81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7"/>
      <c r="AY258" s="77">
        <f t="shared" si="162"/>
        <v>0</v>
      </c>
      <c r="AZ258" s="79">
        <f>IFERROR(H258*VLOOKUP(A258,'Tabela de Produtos'!A:Q,17,0),0)</f>
        <v>0</v>
      </c>
      <c r="BA258" s="74">
        <f t="shared" si="169"/>
        <v>0</v>
      </c>
      <c r="BB258" s="74">
        <f t="shared" si="169"/>
        <v>0</v>
      </c>
      <c r="BC258" s="74">
        <f t="shared" si="169"/>
        <v>0</v>
      </c>
      <c r="BD258" s="74">
        <f t="shared" si="169"/>
        <v>0</v>
      </c>
      <c r="BE258" s="74">
        <f t="shared" si="163"/>
        <v>0</v>
      </c>
      <c r="BF258" s="74">
        <f t="shared" si="164"/>
        <v>0</v>
      </c>
      <c r="BG258" s="74">
        <f t="shared" si="165"/>
        <v>0</v>
      </c>
      <c r="BH258" s="21">
        <f t="shared" si="166"/>
        <v>0</v>
      </c>
    </row>
    <row r="259" spans="1:60" ht="15.75" customHeight="1">
      <c r="A259" s="72" t="s">
        <v>326</v>
      </c>
      <c r="B259" s="2" t="str">
        <f>IFERROR(VLOOKUP(A259,'Tabela de Produtos'!A:B,2,0),"Preencher Cód. Produto")</f>
        <v>BRAZIMIL TINTA ACRILICA PREM INT/EXT ACET 15L AMARELO SOL</v>
      </c>
      <c r="C259" s="2"/>
      <c r="D259" s="73" t="s">
        <v>40</v>
      </c>
      <c r="E259" s="73"/>
      <c r="F259" s="74" t="str">
        <f>IF(A259=0,0,VLOOKUP(A259,'Tabela de Produtos'!A:W,23,0))</f>
        <v>Cadastrar Ficha de Produção</v>
      </c>
      <c r="G259" s="74">
        <v>0</v>
      </c>
      <c r="H259" s="76">
        <v>1</v>
      </c>
      <c r="I259" s="74">
        <f t="shared" si="161"/>
        <v>0</v>
      </c>
      <c r="J259" s="77">
        <f>VLOOKUP(B259,'Tabela de Produtos'!B:M,12,FALSE())</f>
        <v>0</v>
      </c>
      <c r="K259" s="74"/>
      <c r="L259" s="74"/>
      <c r="M259" s="74"/>
      <c r="N259" s="81"/>
      <c r="O259" s="74"/>
      <c r="P259" s="74"/>
      <c r="Q259" s="74"/>
      <c r="R259" s="81"/>
      <c r="S259" s="74"/>
      <c r="T259" s="74"/>
      <c r="U259" s="74"/>
      <c r="V259" s="74"/>
      <c r="W259" s="81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7"/>
      <c r="AY259" s="77">
        <f t="shared" si="162"/>
        <v>0</v>
      </c>
      <c r="AZ259" s="79">
        <f>IFERROR(H259*VLOOKUP(A259,'Tabela de Produtos'!A:Q,17,0),0)</f>
        <v>0</v>
      </c>
      <c r="BA259" s="74">
        <f t="shared" si="169"/>
        <v>0</v>
      </c>
      <c r="BB259" s="74">
        <f t="shared" si="169"/>
        <v>0</v>
      </c>
      <c r="BC259" s="74">
        <f t="shared" si="169"/>
        <v>0</v>
      </c>
      <c r="BD259" s="74">
        <f t="shared" si="169"/>
        <v>0</v>
      </c>
      <c r="BE259" s="74">
        <f t="shared" si="163"/>
        <v>0</v>
      </c>
      <c r="BF259" s="74">
        <f t="shared" si="164"/>
        <v>0</v>
      </c>
      <c r="BG259" s="74">
        <f t="shared" si="165"/>
        <v>0</v>
      </c>
      <c r="BH259" s="21">
        <f t="shared" si="166"/>
        <v>0</v>
      </c>
    </row>
    <row r="260" spans="1:60" ht="15.75" customHeight="1">
      <c r="A260" s="72" t="s">
        <v>327</v>
      </c>
      <c r="B260" s="2" t="str">
        <f>IFERROR(VLOOKUP(A260,'Tabela de Produtos'!A:B,2,0),"Preencher Cód. Produto")</f>
        <v>BRAZIMIL TINTA PISO PREMIUM  INT/EXT FOSCO 3L BRANCO NEVE</v>
      </c>
      <c r="C260" s="2"/>
      <c r="D260" s="73" t="s">
        <v>66</v>
      </c>
      <c r="E260" s="73">
        <v>100</v>
      </c>
      <c r="F260" s="74">
        <f>IF(A260=0,0,VLOOKUP(A260,'Tabela de Produtos'!A:W,23,0))</f>
        <v>28.73</v>
      </c>
      <c r="G260" s="75">
        <v>41.9</v>
      </c>
      <c r="H260" s="76">
        <v>1</v>
      </c>
      <c r="I260" s="74">
        <f t="shared" si="161"/>
        <v>41.9</v>
      </c>
      <c r="J260" s="77">
        <f>VLOOKUP(B260,'Tabela de Produtos'!B:M,12,FALSE())</f>
        <v>20.91</v>
      </c>
      <c r="K260" s="77">
        <f>VLOOKUP(B260,'Tabela de Produtos'!B:P,15,FALSE())</f>
        <v>0.92999999999999994</v>
      </c>
      <c r="L260" s="77">
        <f>J260*1%</f>
        <v>0.20910000000000001</v>
      </c>
      <c r="M260" s="77">
        <f>J260*1%</f>
        <v>0.20910000000000001</v>
      </c>
      <c r="N260" s="78">
        <f>J260+K260+L260+M260</f>
        <v>22.258199999999999</v>
      </c>
      <c r="O260" s="77">
        <f>($O$12/E260)*$O$13</f>
        <v>0.36200000000000004</v>
      </c>
      <c r="P260" s="77">
        <f>($P$12/E260)*$P$13</f>
        <v>0.28289999999999998</v>
      </c>
      <c r="Q260" s="77">
        <f>($Q$12/E260)*$Q$13</f>
        <v>0.28289999999999998</v>
      </c>
      <c r="R260" s="78">
        <f>O260+P260+Q260</f>
        <v>0.92779999999999996</v>
      </c>
      <c r="S260" s="77">
        <f>VLOOKUP(B260,'Tabela de Produtos'!B:N,13,FALSE())</f>
        <v>3.44</v>
      </c>
      <c r="T260" s="77">
        <f>$T$12/$T$7</f>
        <v>0.22727272727272727</v>
      </c>
      <c r="U260" s="77">
        <f>$U$12/$U$7</f>
        <v>0.39090909090909093</v>
      </c>
      <c r="V260" s="77">
        <f>$V$12/$V$7</f>
        <v>0.10909090909090909</v>
      </c>
      <c r="W260" s="78">
        <f>S260+T260+U260+V260</f>
        <v>4.167272727272727</v>
      </c>
      <c r="X260" s="77">
        <f>(N260+R260+W260)*1%</f>
        <v>0.27353272727272726</v>
      </c>
      <c r="Y260" s="77">
        <f>X260</f>
        <v>0.27353272727272726</v>
      </c>
      <c r="Z260" s="77">
        <f>$Z$12/E260</f>
        <v>8.3000000000000001E-3</v>
      </c>
      <c r="AA260" s="77">
        <f>$AA$12/E260</f>
        <v>0.20833333333333331</v>
      </c>
      <c r="AB260" s="77">
        <f>$AB$12/E260</f>
        <v>0.19791666666666669</v>
      </c>
      <c r="AC260" s="77">
        <f>$AC$12/E260</f>
        <v>0</v>
      </c>
      <c r="AD260" s="77">
        <f>Z260+AA260+AB260+AC260</f>
        <v>0.41454999999999997</v>
      </c>
      <c r="AE260" s="77">
        <f>(AD260+Y260+W260+R260+N260)*$AE$7</f>
        <v>7.0103388636363633</v>
      </c>
      <c r="AF260" s="77">
        <f>AE260</f>
        <v>7.0103388636363633</v>
      </c>
      <c r="AG260" s="74"/>
      <c r="AH260" s="74"/>
      <c r="AI260" s="74"/>
      <c r="AJ260" s="74"/>
      <c r="AK260" s="74"/>
      <c r="AL260" s="77">
        <f>(AD260+Y260+W260+R260+N260)*$AL$7</f>
        <v>0</v>
      </c>
      <c r="AM260" s="77">
        <f>AL260+AF260+AD260+Y260+W260+R260+N260</f>
        <v>35.051694318181816</v>
      </c>
      <c r="AN260" s="77">
        <f>AM260*$AN$12</f>
        <v>0.42062033181818181</v>
      </c>
      <c r="AO260" s="77">
        <f>AM260*$AO$12</f>
        <v>0.37855829863636364</v>
      </c>
      <c r="AP260" s="77">
        <f>AO260+AN260</f>
        <v>0.7991786304545454</v>
      </c>
      <c r="AQ260" s="77">
        <f>AM260*$AQ$12</f>
        <v>2.9268164755681818</v>
      </c>
      <c r="AR260" s="77">
        <f>AM260*$AR$12</f>
        <v>0</v>
      </c>
      <c r="AS260" s="77">
        <f>AM260*$AS$12</f>
        <v>0</v>
      </c>
      <c r="AT260" s="77">
        <f>AQ260+AR260+AS260</f>
        <v>2.9268164755681818</v>
      </c>
      <c r="AU260" s="77">
        <f>AM260*$AU$12</f>
        <v>1.7525847159090908</v>
      </c>
      <c r="AV260" s="77">
        <f>AU260</f>
        <v>1.7525847159090908</v>
      </c>
      <c r="AW260" s="77">
        <f>AM260+AP260+AT260+AV260</f>
        <v>40.530274140113633</v>
      </c>
      <c r="AX260" s="21">
        <f>AY260/AW260</f>
        <v>3.3795129417363602E-2</v>
      </c>
      <c r="AY260" s="77">
        <f t="shared" si="162"/>
        <v>1.3697258598863655</v>
      </c>
      <c r="AZ260" s="79">
        <f>IFERROR(H260*VLOOKUP(A260,'Tabela de Produtos'!A:Q,17,0),0)</f>
        <v>25.28</v>
      </c>
      <c r="BA260" s="74">
        <f t="shared" si="169"/>
        <v>0</v>
      </c>
      <c r="BB260" s="74">
        <f t="shared" si="169"/>
        <v>0</v>
      </c>
      <c r="BC260" s="74">
        <f t="shared" si="169"/>
        <v>0</v>
      </c>
      <c r="BD260" s="74">
        <f t="shared" si="169"/>
        <v>2.9330000000000003</v>
      </c>
      <c r="BE260" s="74">
        <f t="shared" si="163"/>
        <v>2.0950000000000002</v>
      </c>
      <c r="BF260" s="74">
        <f t="shared" si="164"/>
        <v>30.308</v>
      </c>
      <c r="BG260" s="74">
        <f t="shared" si="165"/>
        <v>11.591999999999999</v>
      </c>
      <c r="BH260" s="21">
        <f t="shared" si="166"/>
        <v>0.27665871121718377</v>
      </c>
    </row>
    <row r="261" spans="1:60" ht="15.75" customHeight="1">
      <c r="A261" s="72" t="s">
        <v>328</v>
      </c>
      <c r="B261" s="2" t="str">
        <f>IFERROR(VLOOKUP(A261,'Tabela de Produtos'!A:B,2,0),"Preencher Cód. Produto")</f>
        <v>BRAZIMIL TINTA PISO PREMIUM  INT/EXT FOSCO 3L CONCRETO</v>
      </c>
      <c r="C261" s="2"/>
      <c r="D261" s="73" t="s">
        <v>66</v>
      </c>
      <c r="E261" s="73"/>
      <c r="F261" s="74" t="str">
        <f>IF(A261=0,0,VLOOKUP(A261,'Tabela de Produtos'!A:W,23,0))</f>
        <v>Cadastrar Ficha de Produção</v>
      </c>
      <c r="G261" s="74">
        <v>39.9</v>
      </c>
      <c r="H261" s="76">
        <v>1</v>
      </c>
      <c r="I261" s="74">
        <f t="shared" si="161"/>
        <v>39.9</v>
      </c>
      <c r="J261" s="77">
        <f>VLOOKUP(B261,'Tabela de Produtos'!B:M,12,FALSE())</f>
        <v>0</v>
      </c>
      <c r="K261" s="74"/>
      <c r="L261" s="74"/>
      <c r="M261" s="74"/>
      <c r="N261" s="81"/>
      <c r="O261" s="74"/>
      <c r="P261" s="74"/>
      <c r="Q261" s="74"/>
      <c r="R261" s="81"/>
      <c r="S261" s="74"/>
      <c r="T261" s="74"/>
      <c r="U261" s="74"/>
      <c r="V261" s="74"/>
      <c r="W261" s="81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7"/>
      <c r="AY261" s="77">
        <f t="shared" si="162"/>
        <v>39.9</v>
      </c>
      <c r="AZ261" s="79">
        <f>IFERROR(H261*VLOOKUP(A261,'Tabela de Produtos'!A:Q,17,0),0)</f>
        <v>0</v>
      </c>
      <c r="BA261" s="74">
        <f t="shared" si="169"/>
        <v>0</v>
      </c>
      <c r="BB261" s="74">
        <f t="shared" si="169"/>
        <v>0</v>
      </c>
      <c r="BC261" s="74">
        <f t="shared" si="169"/>
        <v>0</v>
      </c>
      <c r="BD261" s="74">
        <f t="shared" si="169"/>
        <v>2.7930000000000001</v>
      </c>
      <c r="BE261" s="74">
        <f t="shared" si="163"/>
        <v>1.9950000000000001</v>
      </c>
      <c r="BF261" s="74">
        <f t="shared" si="164"/>
        <v>4.7880000000000003</v>
      </c>
      <c r="BG261" s="74">
        <f t="shared" si="165"/>
        <v>35.111999999999995</v>
      </c>
      <c r="BH261" s="21">
        <f t="shared" si="166"/>
        <v>0</v>
      </c>
    </row>
    <row r="262" spans="1:60" ht="15.75" customHeight="1">
      <c r="A262" s="72" t="s">
        <v>329</v>
      </c>
      <c r="B262" s="2" t="str">
        <f>IFERROR(VLOOKUP(A262,'Tabela de Produtos'!A:B,2,0),"Preencher Cód. Produto")</f>
        <v>BRAZIMIL TINTA PISO PREMIUM  INT/EXT FOSCO 3L PRETO</v>
      </c>
      <c r="C262" s="2"/>
      <c r="D262" s="73" t="s">
        <v>66</v>
      </c>
      <c r="E262" s="73"/>
      <c r="F262" s="74" t="str">
        <f>IF(A262=0,0,VLOOKUP(A262,'Tabela de Produtos'!A:W,23,0))</f>
        <v>Cadastrar Ficha de Produção</v>
      </c>
      <c r="G262" s="74">
        <v>39.9</v>
      </c>
      <c r="H262" s="76">
        <v>1</v>
      </c>
      <c r="I262" s="74">
        <f t="shared" si="161"/>
        <v>39.9</v>
      </c>
      <c r="J262" s="77">
        <f>VLOOKUP(B262,'Tabela de Produtos'!B:M,12,FALSE())</f>
        <v>0</v>
      </c>
      <c r="K262" s="74"/>
      <c r="L262" s="74"/>
      <c r="M262" s="74"/>
      <c r="N262" s="81"/>
      <c r="O262" s="74"/>
      <c r="P262" s="74"/>
      <c r="Q262" s="74"/>
      <c r="R262" s="81"/>
      <c r="S262" s="74"/>
      <c r="T262" s="74"/>
      <c r="U262" s="74"/>
      <c r="V262" s="74"/>
      <c r="W262" s="81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7"/>
      <c r="AY262" s="77">
        <f t="shared" si="162"/>
        <v>39.9</v>
      </c>
      <c r="AZ262" s="79">
        <f>IFERROR(H262*VLOOKUP(A262,'Tabela de Produtos'!A:Q,17,0),0)</f>
        <v>0</v>
      </c>
      <c r="BA262" s="74">
        <f t="shared" si="169"/>
        <v>0</v>
      </c>
      <c r="BB262" s="74">
        <f t="shared" si="169"/>
        <v>0</v>
      </c>
      <c r="BC262" s="74">
        <f t="shared" si="169"/>
        <v>0</v>
      </c>
      <c r="BD262" s="74">
        <f t="shared" si="169"/>
        <v>2.7930000000000001</v>
      </c>
      <c r="BE262" s="74">
        <f t="shared" si="163"/>
        <v>1.9950000000000001</v>
      </c>
      <c r="BF262" s="74">
        <f t="shared" si="164"/>
        <v>4.7880000000000003</v>
      </c>
      <c r="BG262" s="74">
        <f t="shared" si="165"/>
        <v>35.111999999999995</v>
      </c>
      <c r="BH262" s="21">
        <f t="shared" si="166"/>
        <v>0</v>
      </c>
    </row>
    <row r="263" spans="1:60" ht="15.75" customHeight="1">
      <c r="A263" s="72" t="s">
        <v>330</v>
      </c>
      <c r="B263" s="2" t="str">
        <f>IFERROR(VLOOKUP(A263,'Tabela de Produtos'!A:B,2,0),"Preencher Cód. Produto")</f>
        <v>BRAZIMIL TINTA PISO PREMIUM  INT/EXT FOSCO 3L CINZA MEDIO</v>
      </c>
      <c r="C263" s="2"/>
      <c r="D263" s="73" t="s">
        <v>66</v>
      </c>
      <c r="E263" s="73">
        <v>100</v>
      </c>
      <c r="F263" s="74">
        <f>IF(A263=0,0,VLOOKUP(A263,'Tabela de Produtos'!A:W,23,0))</f>
        <v>22.700000000000003</v>
      </c>
      <c r="G263" s="75">
        <v>41.9</v>
      </c>
      <c r="H263" s="76">
        <v>1</v>
      </c>
      <c r="I263" s="74">
        <f t="shared" si="161"/>
        <v>41.9</v>
      </c>
      <c r="J263" s="77">
        <f>VLOOKUP(B263,'Tabela de Produtos'!B:M,12,FALSE())</f>
        <v>15.599999999999994</v>
      </c>
      <c r="K263" s="77">
        <f>VLOOKUP(B263,'Tabela de Produtos'!B:P,15,FALSE())</f>
        <v>0.92999999999999994</v>
      </c>
      <c r="L263" s="77">
        <f>J263*1%</f>
        <v>0.15599999999999994</v>
      </c>
      <c r="M263" s="77">
        <f>J263*1%</f>
        <v>0.15599999999999994</v>
      </c>
      <c r="N263" s="78">
        <f>J263+K263+L263+M263</f>
        <v>16.841999999999992</v>
      </c>
      <c r="O263" s="77">
        <f>($O$12/E263)*$O$13</f>
        <v>0.36200000000000004</v>
      </c>
      <c r="P263" s="77">
        <f>($P$12/E263)*$P$13</f>
        <v>0.28289999999999998</v>
      </c>
      <c r="Q263" s="77">
        <f>($Q$12/E263)*$Q$13</f>
        <v>0.28289999999999998</v>
      </c>
      <c r="R263" s="78">
        <f>O263+P263+Q263</f>
        <v>0.92779999999999996</v>
      </c>
      <c r="S263" s="77">
        <f>VLOOKUP(B263,'Tabela de Produtos'!B:N,13,FALSE())</f>
        <v>3.44</v>
      </c>
      <c r="T263" s="77">
        <f>$T$12/$T$7</f>
        <v>0.22727272727272727</v>
      </c>
      <c r="U263" s="77">
        <f>$U$12/$U$7</f>
        <v>0.39090909090909093</v>
      </c>
      <c r="V263" s="77">
        <f>$V$12/$V$7</f>
        <v>0.10909090909090909</v>
      </c>
      <c r="W263" s="78">
        <f>S263+T263+U263+V263</f>
        <v>4.167272727272727</v>
      </c>
      <c r="X263" s="77">
        <f>(N263+R263+W263)*1%</f>
        <v>0.21937072727272722</v>
      </c>
      <c r="Y263" s="77">
        <f>X263</f>
        <v>0.21937072727272722</v>
      </c>
      <c r="Z263" s="77">
        <f>$Z$12/E263</f>
        <v>8.3000000000000001E-3</v>
      </c>
      <c r="AA263" s="77">
        <f>$AA$12/E263</f>
        <v>0.20833333333333331</v>
      </c>
      <c r="AB263" s="77">
        <f>$AB$12/E263</f>
        <v>0.19791666666666669</v>
      </c>
      <c r="AC263" s="77">
        <f>$AC$12/E263</f>
        <v>0</v>
      </c>
      <c r="AD263" s="77">
        <f>Z263+AA263+AB263+AC263</f>
        <v>0.41454999999999997</v>
      </c>
      <c r="AE263" s="77">
        <f>(AD263+Y263+W263+R263+N263)*$AE$7</f>
        <v>5.6427483636363611</v>
      </c>
      <c r="AF263" s="77">
        <f>AE263</f>
        <v>5.6427483636363611</v>
      </c>
      <c r="AG263" s="74"/>
      <c r="AH263" s="74"/>
      <c r="AI263" s="74"/>
      <c r="AJ263" s="74"/>
      <c r="AK263" s="74"/>
      <c r="AL263" s="77">
        <f>(AD263+Y263+W263+R263+N263)*$AL$7</f>
        <v>0</v>
      </c>
      <c r="AM263" s="77">
        <f>AL263+AF263+AD263+Y263+W263+R263+N263</f>
        <v>28.213741818181809</v>
      </c>
      <c r="AN263" s="77">
        <f>AM263*$AN$12</f>
        <v>0.33856490181818172</v>
      </c>
      <c r="AO263" s="77">
        <f>AM263*$AO$12</f>
        <v>0.30470841163636353</v>
      </c>
      <c r="AP263" s="77">
        <f>AO263+AN263</f>
        <v>0.64327331345454519</v>
      </c>
      <c r="AQ263" s="77">
        <f>AM263*$AQ$12</f>
        <v>2.3558474418181814</v>
      </c>
      <c r="AR263" s="77">
        <f>AM263*$AR$12</f>
        <v>0</v>
      </c>
      <c r="AS263" s="77">
        <f>AM263*$AS$12</f>
        <v>0</v>
      </c>
      <c r="AT263" s="77">
        <f>AQ263+AR263+AS263</f>
        <v>2.3558474418181814</v>
      </c>
      <c r="AU263" s="77">
        <f>AM263*$AU$12</f>
        <v>1.4106870909090905</v>
      </c>
      <c r="AV263" s="77">
        <f>AU263</f>
        <v>1.4106870909090905</v>
      </c>
      <c r="AW263" s="77">
        <f>AM263+AP263+AT263+AV263</f>
        <v>32.62354966436363</v>
      </c>
      <c r="AX263" s="21">
        <f>AY263/AW263</f>
        <v>0.28434828309837507</v>
      </c>
      <c r="AY263" s="77">
        <f t="shared" si="162"/>
        <v>9.276450335636369</v>
      </c>
      <c r="AZ263" s="79">
        <f>IFERROR(H263*VLOOKUP(A263,'Tabela de Produtos'!A:Q,17,0),0)</f>
        <v>19.969999999999995</v>
      </c>
      <c r="BA263" s="74">
        <f t="shared" si="169"/>
        <v>0</v>
      </c>
      <c r="BB263" s="74">
        <f t="shared" si="169"/>
        <v>0</v>
      </c>
      <c r="BC263" s="74">
        <f t="shared" si="169"/>
        <v>0</v>
      </c>
      <c r="BD263" s="74">
        <f t="shared" si="169"/>
        <v>2.9330000000000003</v>
      </c>
      <c r="BE263" s="74">
        <f t="shared" si="163"/>
        <v>2.0950000000000002</v>
      </c>
      <c r="BF263" s="74">
        <f t="shared" si="164"/>
        <v>24.997999999999994</v>
      </c>
      <c r="BG263" s="74">
        <f t="shared" si="165"/>
        <v>16.902000000000005</v>
      </c>
      <c r="BH263" s="21">
        <f t="shared" si="166"/>
        <v>0.40338902147971373</v>
      </c>
    </row>
    <row r="264" spans="1:60" ht="15.75" customHeight="1">
      <c r="A264" s="72" t="s">
        <v>331</v>
      </c>
      <c r="B264" s="2" t="str">
        <f>IFERROR(VLOOKUP(A264,'Tabela de Produtos'!A:B,2,0),"Preencher Cód. Produto")</f>
        <v>BRAZIMIL TINTA PISO PREMIUM  INT/EXT FOSCO 3L CINZA INTENSO</v>
      </c>
      <c r="C264" s="2"/>
      <c r="D264" s="73" t="s">
        <v>66</v>
      </c>
      <c r="E264" s="73"/>
      <c r="F264" s="74" t="str">
        <f>IF(A264=0,0,VLOOKUP(A264,'Tabela de Produtos'!A:W,23,0))</f>
        <v>Cadastrar Ficha de Produção</v>
      </c>
      <c r="G264" s="74">
        <v>39.9</v>
      </c>
      <c r="H264" s="76">
        <v>1</v>
      </c>
      <c r="I264" s="74">
        <f t="shared" si="161"/>
        <v>39.9</v>
      </c>
      <c r="J264" s="77">
        <f>VLOOKUP(B264,'Tabela de Produtos'!B:M,12,FALSE())</f>
        <v>0</v>
      </c>
      <c r="K264" s="74"/>
      <c r="L264" s="74"/>
      <c r="M264" s="74"/>
      <c r="N264" s="81"/>
      <c r="O264" s="74"/>
      <c r="P264" s="74"/>
      <c r="Q264" s="74"/>
      <c r="R264" s="81"/>
      <c r="S264" s="74"/>
      <c r="T264" s="74"/>
      <c r="U264" s="74"/>
      <c r="V264" s="74"/>
      <c r="W264" s="81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7"/>
      <c r="AY264" s="77">
        <f t="shared" si="162"/>
        <v>39.9</v>
      </c>
      <c r="AZ264" s="79">
        <f>IFERROR(H264*VLOOKUP(A264,'Tabela de Produtos'!A:Q,17,0),0)</f>
        <v>0</v>
      </c>
      <c r="BA264" s="74">
        <f t="shared" si="169"/>
        <v>0</v>
      </c>
      <c r="BB264" s="74">
        <f t="shared" si="169"/>
        <v>0</v>
      </c>
      <c r="BC264" s="74">
        <f t="shared" si="169"/>
        <v>0</v>
      </c>
      <c r="BD264" s="74">
        <f t="shared" si="169"/>
        <v>2.7930000000000001</v>
      </c>
      <c r="BE264" s="74">
        <f t="shared" si="163"/>
        <v>1.9950000000000001</v>
      </c>
      <c r="BF264" s="74">
        <f t="shared" si="164"/>
        <v>4.7880000000000003</v>
      </c>
      <c r="BG264" s="74">
        <f t="shared" si="165"/>
        <v>35.111999999999995</v>
      </c>
      <c r="BH264" s="21">
        <f t="shared" si="166"/>
        <v>0</v>
      </c>
    </row>
    <row r="265" spans="1:60" ht="15.75" customHeight="1">
      <c r="A265" s="72" t="s">
        <v>332</v>
      </c>
      <c r="B265" s="2" t="str">
        <f>IFERROR(VLOOKUP(A265,'Tabela de Produtos'!A:B,2,0),"Preencher Cód. Produto")</f>
        <v>BRAZIMIL TINTA PISO PREMIUM  INT/EXT FOSCO 3L AZUL PROFUNDO</v>
      </c>
      <c r="C265" s="2"/>
      <c r="D265" s="73" t="s">
        <v>66</v>
      </c>
      <c r="E265" s="73"/>
      <c r="F265" s="74" t="str">
        <f>IF(A265=0,0,VLOOKUP(A265,'Tabela de Produtos'!A:W,23,0))</f>
        <v>Cadastrar Ficha de Produção</v>
      </c>
      <c r="G265" s="74">
        <v>39.9</v>
      </c>
      <c r="H265" s="76">
        <v>1</v>
      </c>
      <c r="I265" s="74">
        <f t="shared" si="161"/>
        <v>39.9</v>
      </c>
      <c r="J265" s="77">
        <f>VLOOKUP(B265,'Tabela de Produtos'!B:M,12,FALSE())</f>
        <v>0</v>
      </c>
      <c r="K265" s="74"/>
      <c r="L265" s="74"/>
      <c r="M265" s="74"/>
      <c r="N265" s="81"/>
      <c r="O265" s="74"/>
      <c r="P265" s="74"/>
      <c r="Q265" s="74"/>
      <c r="R265" s="81"/>
      <c r="S265" s="74"/>
      <c r="T265" s="74"/>
      <c r="U265" s="74"/>
      <c r="V265" s="74"/>
      <c r="W265" s="81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7"/>
      <c r="AY265" s="77">
        <f t="shared" si="162"/>
        <v>39.9</v>
      </c>
      <c r="AZ265" s="79">
        <f>IFERROR(H265*VLOOKUP(A265,'Tabela de Produtos'!A:Q,17,0),0)</f>
        <v>0</v>
      </c>
      <c r="BA265" s="74">
        <f t="shared" si="169"/>
        <v>0</v>
      </c>
      <c r="BB265" s="74">
        <f t="shared" si="169"/>
        <v>0</v>
      </c>
      <c r="BC265" s="74">
        <f t="shared" si="169"/>
        <v>0</v>
      </c>
      <c r="BD265" s="74">
        <f t="shared" si="169"/>
        <v>2.7930000000000001</v>
      </c>
      <c r="BE265" s="74">
        <f t="shared" si="163"/>
        <v>1.9950000000000001</v>
      </c>
      <c r="BF265" s="74">
        <f t="shared" si="164"/>
        <v>4.7880000000000003</v>
      </c>
      <c r="BG265" s="74">
        <f t="shared" si="165"/>
        <v>35.111999999999995</v>
      </c>
      <c r="BH265" s="21">
        <f t="shared" si="166"/>
        <v>0</v>
      </c>
    </row>
    <row r="266" spans="1:60" ht="15.75" customHeight="1">
      <c r="A266" s="72" t="s">
        <v>333</v>
      </c>
      <c r="B266" s="2" t="str">
        <f>IFERROR(VLOOKUP(A266,'Tabela de Produtos'!A:B,2,0),"Preencher Cód. Produto")</f>
        <v>BRAZIMIL TINTA PISO PREMIUM  INT/EXT FOSCO 3L AMARELO DEMARCACAO</v>
      </c>
      <c r="C266" s="2"/>
      <c r="D266" s="73" t="s">
        <v>66</v>
      </c>
      <c r="E266" s="73"/>
      <c r="F266" s="74" t="str">
        <f>IF(A266=0,0,VLOOKUP(A266,'Tabela de Produtos'!A:W,23,0))</f>
        <v>Cadastrar Ficha de Produção</v>
      </c>
      <c r="G266" s="74">
        <v>39.9</v>
      </c>
      <c r="H266" s="76">
        <v>1</v>
      </c>
      <c r="I266" s="74">
        <f t="shared" si="161"/>
        <v>39.9</v>
      </c>
      <c r="J266" s="77">
        <f>VLOOKUP(B266,'Tabela de Produtos'!B:M,12,FALSE())</f>
        <v>0</v>
      </c>
      <c r="K266" s="74"/>
      <c r="L266" s="74"/>
      <c r="M266" s="74"/>
      <c r="N266" s="81"/>
      <c r="O266" s="74"/>
      <c r="P266" s="74"/>
      <c r="Q266" s="74"/>
      <c r="R266" s="81"/>
      <c r="S266" s="74"/>
      <c r="T266" s="74"/>
      <c r="U266" s="74"/>
      <c r="V266" s="74"/>
      <c r="W266" s="81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7"/>
      <c r="AY266" s="77">
        <f t="shared" si="162"/>
        <v>39.9</v>
      </c>
      <c r="AZ266" s="79">
        <f>IFERROR(H266*VLOOKUP(A266,'Tabela de Produtos'!A:Q,17,0),0)</f>
        <v>0</v>
      </c>
      <c r="BA266" s="74">
        <f t="shared" si="169"/>
        <v>0</v>
      </c>
      <c r="BB266" s="74">
        <f t="shared" si="169"/>
        <v>0</v>
      </c>
      <c r="BC266" s="74">
        <f t="shared" si="169"/>
        <v>0</v>
      </c>
      <c r="BD266" s="74">
        <f t="shared" si="169"/>
        <v>2.7930000000000001</v>
      </c>
      <c r="BE266" s="74">
        <f t="shared" si="163"/>
        <v>1.9950000000000001</v>
      </c>
      <c r="BF266" s="74">
        <f t="shared" si="164"/>
        <v>4.7880000000000003</v>
      </c>
      <c r="BG266" s="74">
        <f t="shared" si="165"/>
        <v>35.111999999999995</v>
      </c>
      <c r="BH266" s="21">
        <f t="shared" si="166"/>
        <v>0</v>
      </c>
    </row>
    <row r="267" spans="1:60" ht="15.75" customHeight="1">
      <c r="A267" s="72" t="s">
        <v>334</v>
      </c>
      <c r="B267" s="2" t="str">
        <f>IFERROR(VLOOKUP(A267,'Tabela de Produtos'!A:B,2,0),"Preencher Cód. Produto")</f>
        <v>BRAZIMIL TINTA PISO PREMIUM  INT/EXT FOSCO 3L VERMELHO</v>
      </c>
      <c r="C267" s="2"/>
      <c r="D267" s="73" t="s">
        <v>66</v>
      </c>
      <c r="E267" s="73"/>
      <c r="F267" s="74" t="str">
        <f>IF(A267=0,0,VLOOKUP(A267,'Tabela de Produtos'!A:W,23,0))</f>
        <v>Cadastrar Ficha de Produção</v>
      </c>
      <c r="G267" s="74">
        <v>39.9</v>
      </c>
      <c r="H267" s="76">
        <v>1</v>
      </c>
      <c r="I267" s="74">
        <f t="shared" si="161"/>
        <v>39.9</v>
      </c>
      <c r="J267" s="77">
        <f>VLOOKUP(B267,'Tabela de Produtos'!B:M,12,FALSE())</f>
        <v>0</v>
      </c>
      <c r="K267" s="74"/>
      <c r="L267" s="74"/>
      <c r="M267" s="74"/>
      <c r="N267" s="81"/>
      <c r="O267" s="74"/>
      <c r="P267" s="74"/>
      <c r="Q267" s="74"/>
      <c r="R267" s="81"/>
      <c r="S267" s="74"/>
      <c r="T267" s="74"/>
      <c r="U267" s="74"/>
      <c r="V267" s="74"/>
      <c r="W267" s="81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7"/>
      <c r="AY267" s="77">
        <f t="shared" si="162"/>
        <v>39.9</v>
      </c>
      <c r="AZ267" s="79">
        <f>IFERROR(H267*VLOOKUP(A267,'Tabela de Produtos'!A:Q,17,0),0)</f>
        <v>0</v>
      </c>
      <c r="BA267" s="74">
        <f t="shared" si="169"/>
        <v>0</v>
      </c>
      <c r="BB267" s="74">
        <f t="shared" si="169"/>
        <v>0</v>
      </c>
      <c r="BC267" s="74">
        <f t="shared" si="169"/>
        <v>0</v>
      </c>
      <c r="BD267" s="74">
        <f t="shared" si="169"/>
        <v>2.7930000000000001</v>
      </c>
      <c r="BE267" s="74">
        <f t="shared" si="163"/>
        <v>1.9950000000000001</v>
      </c>
      <c r="BF267" s="74">
        <f t="shared" si="164"/>
        <v>4.7880000000000003</v>
      </c>
      <c r="BG267" s="74">
        <f t="shared" si="165"/>
        <v>35.111999999999995</v>
      </c>
      <c r="BH267" s="21">
        <f t="shared" si="166"/>
        <v>0</v>
      </c>
    </row>
    <row r="268" spans="1:60" ht="15.75" customHeight="1">
      <c r="A268" s="72" t="s">
        <v>335</v>
      </c>
      <c r="B268" s="2" t="str">
        <f>IFERROR(VLOOKUP(A268,'Tabela de Produtos'!A:B,2,0),"Preencher Cód. Produto")</f>
        <v>BRAZIMIL TINTA PISO PREMIUM  INT/EXT FOSCO 3L VERDE FOLHA</v>
      </c>
      <c r="C268" s="2"/>
      <c r="D268" s="73" t="s">
        <v>66</v>
      </c>
      <c r="E268" s="73"/>
      <c r="F268" s="74" t="str">
        <f>IF(A268=0,0,VLOOKUP(A268,'Tabela de Produtos'!A:W,23,0))</f>
        <v>Cadastrar Ficha de Produção</v>
      </c>
      <c r="G268" s="74">
        <v>39.9</v>
      </c>
      <c r="H268" s="76">
        <v>1</v>
      </c>
      <c r="I268" s="74">
        <f t="shared" si="161"/>
        <v>39.9</v>
      </c>
      <c r="J268" s="77">
        <f>VLOOKUP(B268,'Tabela de Produtos'!B:M,12,FALSE())</f>
        <v>0</v>
      </c>
      <c r="K268" s="74"/>
      <c r="L268" s="74"/>
      <c r="M268" s="74"/>
      <c r="N268" s="81"/>
      <c r="O268" s="74"/>
      <c r="P268" s="74"/>
      <c r="Q268" s="74"/>
      <c r="R268" s="81"/>
      <c r="S268" s="74"/>
      <c r="T268" s="74"/>
      <c r="U268" s="74"/>
      <c r="V268" s="74"/>
      <c r="W268" s="81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7"/>
      <c r="AY268" s="77">
        <f t="shared" si="162"/>
        <v>39.9</v>
      </c>
      <c r="AZ268" s="79">
        <f>IFERROR(H268*VLOOKUP(A268,'Tabela de Produtos'!A:Q,17,0),0)</f>
        <v>0</v>
      </c>
      <c r="BA268" s="74">
        <f t="shared" si="169"/>
        <v>0</v>
      </c>
      <c r="BB268" s="74">
        <f t="shared" si="169"/>
        <v>0</v>
      </c>
      <c r="BC268" s="74">
        <f t="shared" si="169"/>
        <v>0</v>
      </c>
      <c r="BD268" s="74">
        <f t="shared" si="169"/>
        <v>2.7930000000000001</v>
      </c>
      <c r="BE268" s="74">
        <f t="shared" si="163"/>
        <v>1.9950000000000001</v>
      </c>
      <c r="BF268" s="74">
        <f t="shared" si="164"/>
        <v>4.7880000000000003</v>
      </c>
      <c r="BG268" s="74">
        <f t="shared" si="165"/>
        <v>35.111999999999995</v>
      </c>
      <c r="BH268" s="21">
        <f t="shared" si="166"/>
        <v>0</v>
      </c>
    </row>
    <row r="269" spans="1:60" ht="15.75" customHeight="1">
      <c r="A269" s="72" t="s">
        <v>336</v>
      </c>
      <c r="B269" s="2" t="str">
        <f>IFERROR(VLOOKUP(A269,'Tabela de Produtos'!A:B,2,0),"Preencher Cód. Produto")</f>
        <v>BRAZIMIL TINTA PISO PREMIUM  INT/EXT SEMIBRILHO 3L BRANCO NEVE</v>
      </c>
      <c r="C269" s="2"/>
      <c r="D269" s="73" t="s">
        <v>66</v>
      </c>
      <c r="E269" s="73"/>
      <c r="F269" s="74" t="str">
        <f>IF(A269=0,0,VLOOKUP(A269,'Tabela de Produtos'!A:W,23,0))</f>
        <v>Cadastrar Ficha de Produção</v>
      </c>
      <c r="G269" s="74">
        <v>0</v>
      </c>
      <c r="H269" s="76">
        <v>1</v>
      </c>
      <c r="I269" s="74">
        <f t="shared" si="161"/>
        <v>0</v>
      </c>
      <c r="J269" s="77">
        <f>VLOOKUP(B269,'Tabela de Produtos'!B:M,12,FALSE())</f>
        <v>0</v>
      </c>
      <c r="K269" s="74"/>
      <c r="L269" s="74"/>
      <c r="M269" s="74"/>
      <c r="N269" s="81"/>
      <c r="O269" s="74"/>
      <c r="P269" s="74"/>
      <c r="Q269" s="74"/>
      <c r="R269" s="81"/>
      <c r="S269" s="74"/>
      <c r="T269" s="74"/>
      <c r="U269" s="74"/>
      <c r="V269" s="74"/>
      <c r="W269" s="81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7"/>
      <c r="AY269" s="77">
        <f t="shared" si="162"/>
        <v>0</v>
      </c>
      <c r="AZ269" s="79">
        <f>IFERROR(H269*VLOOKUP(A269,'Tabela de Produtos'!A:Q,17,0),0)</f>
        <v>0</v>
      </c>
      <c r="BA269" s="74">
        <f t="shared" si="169"/>
        <v>0</v>
      </c>
      <c r="BB269" s="74">
        <f t="shared" si="169"/>
        <v>0</v>
      </c>
      <c r="BC269" s="74">
        <f t="shared" si="169"/>
        <v>0</v>
      </c>
      <c r="BD269" s="74">
        <f t="shared" si="169"/>
        <v>0</v>
      </c>
      <c r="BE269" s="74">
        <f t="shared" si="163"/>
        <v>0</v>
      </c>
      <c r="BF269" s="74">
        <f t="shared" si="164"/>
        <v>0</v>
      </c>
      <c r="BG269" s="74">
        <f t="shared" si="165"/>
        <v>0</v>
      </c>
      <c r="BH269" s="21">
        <f t="shared" si="166"/>
        <v>0</v>
      </c>
    </row>
    <row r="270" spans="1:60" ht="15.75" customHeight="1">
      <c r="A270" s="72" t="s">
        <v>337</v>
      </c>
      <c r="B270" s="2" t="str">
        <f>IFERROR(VLOOKUP(A270,'Tabela de Produtos'!A:B,2,0),"Preencher Cód. Produto")</f>
        <v>BRAZIMIL TINTA PISO PREMIUM  INT/EXT SEMIBRILHO 3L CONCRETO</v>
      </c>
      <c r="C270" s="2"/>
      <c r="D270" s="73" t="s">
        <v>66</v>
      </c>
      <c r="E270" s="73"/>
      <c r="F270" s="74" t="str">
        <f>IF(A270=0,0,VLOOKUP(A270,'Tabela de Produtos'!A:W,23,0))</f>
        <v>Cadastrar Ficha de Produção</v>
      </c>
      <c r="G270" s="74">
        <v>0</v>
      </c>
      <c r="H270" s="76">
        <v>1</v>
      </c>
      <c r="I270" s="74">
        <f t="shared" ref="I270:I333" si="170">G270*H270</f>
        <v>0</v>
      </c>
      <c r="J270" s="77">
        <f>VLOOKUP(B270,'Tabela de Produtos'!B:M,12,FALSE())</f>
        <v>0</v>
      </c>
      <c r="K270" s="74"/>
      <c r="L270" s="74"/>
      <c r="M270" s="74"/>
      <c r="N270" s="81"/>
      <c r="O270" s="74"/>
      <c r="P270" s="74"/>
      <c r="Q270" s="74"/>
      <c r="R270" s="81"/>
      <c r="S270" s="74"/>
      <c r="T270" s="74"/>
      <c r="U270" s="74"/>
      <c r="V270" s="74"/>
      <c r="W270" s="81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7"/>
      <c r="AY270" s="77">
        <f t="shared" ref="AY270:AY333" si="171">I270-AW270</f>
        <v>0</v>
      </c>
      <c r="AZ270" s="79">
        <f>IFERROR(H270*VLOOKUP(A270,'Tabela de Produtos'!A:Q,17,0),0)</f>
        <v>0</v>
      </c>
      <c r="BA270" s="74">
        <f t="shared" si="169"/>
        <v>0</v>
      </c>
      <c r="BB270" s="74">
        <f t="shared" si="169"/>
        <v>0</v>
      </c>
      <c r="BC270" s="74">
        <f t="shared" si="169"/>
        <v>0</v>
      </c>
      <c r="BD270" s="74">
        <f t="shared" si="169"/>
        <v>0</v>
      </c>
      <c r="BE270" s="74">
        <f t="shared" ref="BE270:BE333" si="172">I270*$BE$12</f>
        <v>0</v>
      </c>
      <c r="BF270" s="74">
        <f t="shared" ref="BF270:BF333" si="173">SUM(AZ270:BE270)</f>
        <v>0</v>
      </c>
      <c r="BG270" s="74">
        <f t="shared" ref="BG270:BG333" si="174">I270-BF270</f>
        <v>0</v>
      </c>
      <c r="BH270" s="21">
        <f t="shared" ref="BH270:BH333" si="175">IF(F270="Cadastrar Ficha de Produção",0,IFERROR(BG270/I270,0))</f>
        <v>0</v>
      </c>
    </row>
    <row r="271" spans="1:60" ht="15.75" customHeight="1">
      <c r="A271" s="72" t="s">
        <v>338</v>
      </c>
      <c r="B271" s="2" t="str">
        <f>IFERROR(VLOOKUP(A271,'Tabela de Produtos'!A:B,2,0),"Preencher Cód. Produto")</f>
        <v>BRAZIMIL TINTA PISO PREMIUM  INT/EXT SEMIBRILHO 3L PRETO</v>
      </c>
      <c r="C271" s="2"/>
      <c r="D271" s="73" t="s">
        <v>66</v>
      </c>
      <c r="E271" s="73"/>
      <c r="F271" s="74" t="str">
        <f>IF(A271=0,0,VLOOKUP(A271,'Tabela de Produtos'!A:W,23,0))</f>
        <v>Cadastrar Ficha de Produção</v>
      </c>
      <c r="G271" s="74">
        <v>0</v>
      </c>
      <c r="H271" s="76">
        <v>1</v>
      </c>
      <c r="I271" s="74">
        <f t="shared" si="170"/>
        <v>0</v>
      </c>
      <c r="J271" s="77">
        <f>VLOOKUP(B271,'Tabela de Produtos'!B:M,12,FALSE())</f>
        <v>0</v>
      </c>
      <c r="K271" s="74"/>
      <c r="L271" s="74"/>
      <c r="M271" s="74"/>
      <c r="N271" s="81"/>
      <c r="O271" s="74"/>
      <c r="P271" s="74"/>
      <c r="Q271" s="74"/>
      <c r="R271" s="81"/>
      <c r="S271" s="74"/>
      <c r="T271" s="74"/>
      <c r="U271" s="74"/>
      <c r="V271" s="74"/>
      <c r="W271" s="81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7"/>
      <c r="AY271" s="77">
        <f t="shared" si="171"/>
        <v>0</v>
      </c>
      <c r="AZ271" s="79">
        <f>IFERROR(H271*VLOOKUP(A271,'Tabela de Produtos'!A:Q,17,0),0)</f>
        <v>0</v>
      </c>
      <c r="BA271" s="74">
        <f t="shared" si="169"/>
        <v>0</v>
      </c>
      <c r="BB271" s="74">
        <f t="shared" si="169"/>
        <v>0</v>
      </c>
      <c r="BC271" s="74">
        <f t="shared" si="169"/>
        <v>0</v>
      </c>
      <c r="BD271" s="74">
        <f t="shared" si="169"/>
        <v>0</v>
      </c>
      <c r="BE271" s="74">
        <f t="shared" si="172"/>
        <v>0</v>
      </c>
      <c r="BF271" s="74">
        <f t="shared" si="173"/>
        <v>0</v>
      </c>
      <c r="BG271" s="74">
        <f t="shared" si="174"/>
        <v>0</v>
      </c>
      <c r="BH271" s="21">
        <f t="shared" si="175"/>
        <v>0</v>
      </c>
    </row>
    <row r="272" spans="1:60" ht="15.75" customHeight="1">
      <c r="A272" s="72" t="s">
        <v>339</v>
      </c>
      <c r="B272" s="2" t="str">
        <f>IFERROR(VLOOKUP(A272,'Tabela de Produtos'!A:B,2,0),"Preencher Cód. Produto")</f>
        <v>BRAZIMIL TINTA PISO PREMIUM  INT/EXT SEMIBRILHO 3L CINZA MEDIO</v>
      </c>
      <c r="C272" s="2"/>
      <c r="D272" s="73" t="s">
        <v>66</v>
      </c>
      <c r="E272" s="73"/>
      <c r="F272" s="74" t="str">
        <f>IF(A272=0,0,VLOOKUP(A272,'Tabela de Produtos'!A:W,23,0))</f>
        <v>Cadastrar Ficha de Produção</v>
      </c>
      <c r="G272" s="74">
        <v>0</v>
      </c>
      <c r="H272" s="76">
        <v>1</v>
      </c>
      <c r="I272" s="74">
        <f t="shared" si="170"/>
        <v>0</v>
      </c>
      <c r="J272" s="77">
        <f>VLOOKUP(B272,'Tabela de Produtos'!B:M,12,FALSE())</f>
        <v>0</v>
      </c>
      <c r="K272" s="74"/>
      <c r="L272" s="74"/>
      <c r="M272" s="74"/>
      <c r="N272" s="81"/>
      <c r="O272" s="74"/>
      <c r="P272" s="74"/>
      <c r="Q272" s="74"/>
      <c r="R272" s="81"/>
      <c r="S272" s="74"/>
      <c r="T272" s="74"/>
      <c r="U272" s="74"/>
      <c r="V272" s="74"/>
      <c r="W272" s="81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7"/>
      <c r="AY272" s="77">
        <f t="shared" si="171"/>
        <v>0</v>
      </c>
      <c r="AZ272" s="79">
        <f>IFERROR(H272*VLOOKUP(A272,'Tabela de Produtos'!A:Q,17,0),0)</f>
        <v>0</v>
      </c>
      <c r="BA272" s="74">
        <f t="shared" si="169"/>
        <v>0</v>
      </c>
      <c r="BB272" s="74">
        <f t="shared" si="169"/>
        <v>0</v>
      </c>
      <c r="BC272" s="74">
        <f t="shared" si="169"/>
        <v>0</v>
      </c>
      <c r="BD272" s="74">
        <f t="shared" si="169"/>
        <v>0</v>
      </c>
      <c r="BE272" s="74">
        <f t="shared" si="172"/>
        <v>0</v>
      </c>
      <c r="BF272" s="74">
        <f t="shared" si="173"/>
        <v>0</v>
      </c>
      <c r="BG272" s="74">
        <f t="shared" si="174"/>
        <v>0</v>
      </c>
      <c r="BH272" s="21">
        <f t="shared" si="175"/>
        <v>0</v>
      </c>
    </row>
    <row r="273" spans="1:60" ht="15.75" customHeight="1">
      <c r="A273" s="72" t="s">
        <v>340</v>
      </c>
      <c r="B273" s="2" t="str">
        <f>IFERROR(VLOOKUP(A273,'Tabela de Produtos'!A:B,2,0),"Preencher Cód. Produto")</f>
        <v>BRAZIMIL TINTA PISO PREMIUM  INT/EXT SEMIBRILHO 3L CINZA INTENSO</v>
      </c>
      <c r="C273" s="2"/>
      <c r="D273" s="73" t="s">
        <v>66</v>
      </c>
      <c r="E273" s="73"/>
      <c r="F273" s="74" t="str">
        <f>IF(A273=0,0,VLOOKUP(A273,'Tabela de Produtos'!A:W,23,0))</f>
        <v>Cadastrar Ficha de Produção</v>
      </c>
      <c r="G273" s="74">
        <v>0</v>
      </c>
      <c r="H273" s="76">
        <v>1</v>
      </c>
      <c r="I273" s="74">
        <f t="shared" si="170"/>
        <v>0</v>
      </c>
      <c r="J273" s="77">
        <f>VLOOKUP(B273,'Tabela de Produtos'!B:M,12,FALSE())</f>
        <v>0</v>
      </c>
      <c r="K273" s="74"/>
      <c r="L273" s="74"/>
      <c r="M273" s="74"/>
      <c r="N273" s="81"/>
      <c r="O273" s="74"/>
      <c r="P273" s="74"/>
      <c r="Q273" s="74"/>
      <c r="R273" s="81"/>
      <c r="S273" s="74"/>
      <c r="T273" s="74"/>
      <c r="U273" s="74"/>
      <c r="V273" s="74"/>
      <c r="W273" s="81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7"/>
      <c r="AY273" s="77">
        <f t="shared" si="171"/>
        <v>0</v>
      </c>
      <c r="AZ273" s="79">
        <f>IFERROR(H273*VLOOKUP(A273,'Tabela de Produtos'!A:Q,17,0),0)</f>
        <v>0</v>
      </c>
      <c r="BA273" s="74">
        <f t="shared" si="169"/>
        <v>0</v>
      </c>
      <c r="BB273" s="74">
        <f t="shared" si="169"/>
        <v>0</v>
      </c>
      <c r="BC273" s="74">
        <f t="shared" si="169"/>
        <v>0</v>
      </c>
      <c r="BD273" s="74">
        <f t="shared" si="169"/>
        <v>0</v>
      </c>
      <c r="BE273" s="74">
        <f t="shared" si="172"/>
        <v>0</v>
      </c>
      <c r="BF273" s="74">
        <f t="shared" si="173"/>
        <v>0</v>
      </c>
      <c r="BG273" s="74">
        <f t="shared" si="174"/>
        <v>0</v>
      </c>
      <c r="BH273" s="21">
        <f t="shared" si="175"/>
        <v>0</v>
      </c>
    </row>
    <row r="274" spans="1:60" ht="15.75" customHeight="1">
      <c r="A274" s="72" t="s">
        <v>341</v>
      </c>
      <c r="B274" s="2" t="str">
        <f>IFERROR(VLOOKUP(A274,'Tabela de Produtos'!A:B,2,0),"Preencher Cód. Produto")</f>
        <v>BRAZIMIL TINTA PISO PREMIUM  INT/EXT SEMIBRILHO 3L AZUL PROFUNDO</v>
      </c>
      <c r="C274" s="2"/>
      <c r="D274" s="73" t="s">
        <v>66</v>
      </c>
      <c r="E274" s="73"/>
      <c r="F274" s="74" t="str">
        <f>IF(A274=0,0,VLOOKUP(A274,'Tabela de Produtos'!A:W,23,0))</f>
        <v>Cadastrar Ficha de Produção</v>
      </c>
      <c r="G274" s="74">
        <v>0</v>
      </c>
      <c r="H274" s="76">
        <v>1</v>
      </c>
      <c r="I274" s="74">
        <f t="shared" si="170"/>
        <v>0</v>
      </c>
      <c r="J274" s="77">
        <f>VLOOKUP(B274,'Tabela de Produtos'!B:M,12,FALSE())</f>
        <v>0</v>
      </c>
      <c r="K274" s="74"/>
      <c r="L274" s="74"/>
      <c r="M274" s="74"/>
      <c r="N274" s="81"/>
      <c r="O274" s="74"/>
      <c r="P274" s="74"/>
      <c r="Q274" s="74"/>
      <c r="R274" s="81"/>
      <c r="S274" s="74"/>
      <c r="T274" s="74"/>
      <c r="U274" s="74"/>
      <c r="V274" s="74"/>
      <c r="W274" s="81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7"/>
      <c r="AY274" s="77">
        <f t="shared" si="171"/>
        <v>0</v>
      </c>
      <c r="AZ274" s="79">
        <f>IFERROR(H274*VLOOKUP(A274,'Tabela de Produtos'!A:Q,17,0),0)</f>
        <v>0</v>
      </c>
      <c r="BA274" s="74">
        <f t="shared" ref="BA274:BD293" si="176">$I274*BA$12</f>
        <v>0</v>
      </c>
      <c r="BB274" s="74">
        <f t="shared" si="176"/>
        <v>0</v>
      </c>
      <c r="BC274" s="74">
        <f t="shared" si="176"/>
        <v>0</v>
      </c>
      <c r="BD274" s="74">
        <f t="shared" si="176"/>
        <v>0</v>
      </c>
      <c r="BE274" s="74">
        <f t="shared" si="172"/>
        <v>0</v>
      </c>
      <c r="BF274" s="74">
        <f t="shared" si="173"/>
        <v>0</v>
      </c>
      <c r="BG274" s="74">
        <f t="shared" si="174"/>
        <v>0</v>
      </c>
      <c r="BH274" s="21">
        <f t="shared" si="175"/>
        <v>0</v>
      </c>
    </row>
    <row r="275" spans="1:60" ht="15.75" customHeight="1">
      <c r="A275" s="72" t="s">
        <v>342</v>
      </c>
      <c r="B275" s="2" t="str">
        <f>IFERROR(VLOOKUP(A275,'Tabela de Produtos'!A:B,2,0),"Preencher Cód. Produto")</f>
        <v>BRAZIMIL TINTA PISO PREMIUM  INT/EXT SEMIBRILHO 3L AMARELO DEMARCACAO</v>
      </c>
      <c r="C275" s="2"/>
      <c r="D275" s="73" t="s">
        <v>66</v>
      </c>
      <c r="E275" s="73"/>
      <c r="F275" s="74" t="str">
        <f>IF(A275=0,0,VLOOKUP(A275,'Tabela de Produtos'!A:W,23,0))</f>
        <v>Cadastrar Ficha de Produção</v>
      </c>
      <c r="G275" s="74">
        <v>0</v>
      </c>
      <c r="H275" s="76">
        <v>1</v>
      </c>
      <c r="I275" s="74">
        <f t="shared" si="170"/>
        <v>0</v>
      </c>
      <c r="J275" s="77">
        <f>VLOOKUP(B275,'Tabela de Produtos'!B:M,12,FALSE())</f>
        <v>0</v>
      </c>
      <c r="K275" s="74"/>
      <c r="L275" s="74"/>
      <c r="M275" s="74"/>
      <c r="N275" s="81"/>
      <c r="O275" s="74"/>
      <c r="P275" s="74"/>
      <c r="Q275" s="74"/>
      <c r="R275" s="81"/>
      <c r="S275" s="74"/>
      <c r="T275" s="74"/>
      <c r="U275" s="74"/>
      <c r="V275" s="74"/>
      <c r="W275" s="81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7"/>
      <c r="AY275" s="77">
        <f t="shared" si="171"/>
        <v>0</v>
      </c>
      <c r="AZ275" s="79">
        <f>IFERROR(H275*VLOOKUP(A275,'Tabela de Produtos'!A:Q,17,0),0)</f>
        <v>0</v>
      </c>
      <c r="BA275" s="74">
        <f t="shared" si="176"/>
        <v>0</v>
      </c>
      <c r="BB275" s="74">
        <f t="shared" si="176"/>
        <v>0</v>
      </c>
      <c r="BC275" s="74">
        <f t="shared" si="176"/>
        <v>0</v>
      </c>
      <c r="BD275" s="74">
        <f t="shared" si="176"/>
        <v>0</v>
      </c>
      <c r="BE275" s="74">
        <f t="shared" si="172"/>
        <v>0</v>
      </c>
      <c r="BF275" s="74">
        <f t="shared" si="173"/>
        <v>0</v>
      </c>
      <c r="BG275" s="74">
        <f t="shared" si="174"/>
        <v>0</v>
      </c>
      <c r="BH275" s="21">
        <f t="shared" si="175"/>
        <v>0</v>
      </c>
    </row>
    <row r="276" spans="1:60" ht="15.75" customHeight="1">
      <c r="A276" s="72" t="s">
        <v>343</v>
      </c>
      <c r="B276" s="2" t="str">
        <f>IFERROR(VLOOKUP(A276,'Tabela de Produtos'!A:B,2,0),"Preencher Cód. Produto")</f>
        <v>BRAZIMIL TINTA PISO PREMIUM  INT/EXT SEMIBRILHO 3L VERMELHO</v>
      </c>
      <c r="C276" s="2"/>
      <c r="D276" s="73" t="s">
        <v>66</v>
      </c>
      <c r="E276" s="73"/>
      <c r="F276" s="74" t="str">
        <f>IF(A276=0,0,VLOOKUP(A276,'Tabela de Produtos'!A:W,23,0))</f>
        <v>Cadastrar Ficha de Produção</v>
      </c>
      <c r="G276" s="74">
        <v>0</v>
      </c>
      <c r="H276" s="76">
        <v>1</v>
      </c>
      <c r="I276" s="74">
        <f t="shared" si="170"/>
        <v>0</v>
      </c>
      <c r="J276" s="77">
        <f>VLOOKUP(B276,'Tabela de Produtos'!B:M,12,FALSE())</f>
        <v>0</v>
      </c>
      <c r="K276" s="74"/>
      <c r="L276" s="74"/>
      <c r="M276" s="74"/>
      <c r="N276" s="81"/>
      <c r="O276" s="74"/>
      <c r="P276" s="74"/>
      <c r="Q276" s="74"/>
      <c r="R276" s="81"/>
      <c r="S276" s="74"/>
      <c r="T276" s="74"/>
      <c r="U276" s="74"/>
      <c r="V276" s="74"/>
      <c r="W276" s="81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7"/>
      <c r="AY276" s="77">
        <f t="shared" si="171"/>
        <v>0</v>
      </c>
      <c r="AZ276" s="79">
        <f>IFERROR(H276*VLOOKUP(A276,'Tabela de Produtos'!A:Q,17,0),0)</f>
        <v>0</v>
      </c>
      <c r="BA276" s="74">
        <f t="shared" si="176"/>
        <v>0</v>
      </c>
      <c r="BB276" s="74">
        <f t="shared" si="176"/>
        <v>0</v>
      </c>
      <c r="BC276" s="74">
        <f t="shared" si="176"/>
        <v>0</v>
      </c>
      <c r="BD276" s="74">
        <f t="shared" si="176"/>
        <v>0</v>
      </c>
      <c r="BE276" s="74">
        <f t="shared" si="172"/>
        <v>0</v>
      </c>
      <c r="BF276" s="74">
        <f t="shared" si="173"/>
        <v>0</v>
      </c>
      <c r="BG276" s="74">
        <f t="shared" si="174"/>
        <v>0</v>
      </c>
      <c r="BH276" s="21">
        <f t="shared" si="175"/>
        <v>0</v>
      </c>
    </row>
    <row r="277" spans="1:60" ht="15.75" customHeight="1">
      <c r="A277" s="72" t="s">
        <v>344</v>
      </c>
      <c r="B277" s="2" t="str">
        <f>IFERROR(VLOOKUP(A277,'Tabela de Produtos'!A:B,2,0),"Preencher Cód. Produto")</f>
        <v>BRAZIMIL TINTA PISO PREMIUM  INT/EXT SEMIBRILHO 3L VERDE FOLHA</v>
      </c>
      <c r="C277" s="2"/>
      <c r="D277" s="73" t="s">
        <v>66</v>
      </c>
      <c r="E277" s="73"/>
      <c r="F277" s="74" t="str">
        <f>IF(A277=0,0,VLOOKUP(A277,'Tabela de Produtos'!A:W,23,0))</f>
        <v>Cadastrar Ficha de Produção</v>
      </c>
      <c r="G277" s="74">
        <v>0</v>
      </c>
      <c r="H277" s="76">
        <v>1</v>
      </c>
      <c r="I277" s="74">
        <f t="shared" si="170"/>
        <v>0</v>
      </c>
      <c r="J277" s="77">
        <f>VLOOKUP(B277,'Tabela de Produtos'!B:M,12,FALSE())</f>
        <v>0</v>
      </c>
      <c r="K277" s="74"/>
      <c r="L277" s="74"/>
      <c r="M277" s="74"/>
      <c r="N277" s="81"/>
      <c r="O277" s="74"/>
      <c r="P277" s="74"/>
      <c r="Q277" s="74"/>
      <c r="R277" s="81"/>
      <c r="S277" s="74"/>
      <c r="T277" s="74"/>
      <c r="U277" s="74"/>
      <c r="V277" s="74"/>
      <c r="W277" s="81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7"/>
      <c r="AY277" s="77">
        <f t="shared" si="171"/>
        <v>0</v>
      </c>
      <c r="AZ277" s="79">
        <f>IFERROR(H277*VLOOKUP(A277,'Tabela de Produtos'!A:Q,17,0),0)</f>
        <v>0</v>
      </c>
      <c r="BA277" s="74">
        <f t="shared" si="176"/>
        <v>0</v>
      </c>
      <c r="BB277" s="74">
        <f t="shared" si="176"/>
        <v>0</v>
      </c>
      <c r="BC277" s="74">
        <f t="shared" si="176"/>
        <v>0</v>
      </c>
      <c r="BD277" s="74">
        <f t="shared" si="176"/>
        <v>0</v>
      </c>
      <c r="BE277" s="74">
        <f t="shared" si="172"/>
        <v>0</v>
      </c>
      <c r="BF277" s="74">
        <f t="shared" si="173"/>
        <v>0</v>
      </c>
      <c r="BG277" s="74">
        <f t="shared" si="174"/>
        <v>0</v>
      </c>
      <c r="BH277" s="21">
        <f t="shared" si="175"/>
        <v>0</v>
      </c>
    </row>
    <row r="278" spans="1:60" ht="15.75" customHeight="1">
      <c r="A278" s="72" t="s">
        <v>345</v>
      </c>
      <c r="B278" s="2" t="str">
        <f>IFERROR(VLOOKUP(A278,'Tabela de Produtos'!A:B,2,0),"Preencher Cód. Produto")</f>
        <v>BRAZIMIL TINTA PISO PREMIUM  INT/EXT FOSCO 15L BRANCO NEVE</v>
      </c>
      <c r="C278" s="2"/>
      <c r="D278" s="73" t="s">
        <v>40</v>
      </c>
      <c r="E278" s="73">
        <v>28</v>
      </c>
      <c r="F278" s="74">
        <f>IF(A278=0,0,VLOOKUP(A278,'Tabela de Produtos'!A:W,23,0))</f>
        <v>133.88</v>
      </c>
      <c r="G278" s="75">
        <v>159.9</v>
      </c>
      <c r="H278" s="76">
        <v>1</v>
      </c>
      <c r="I278" s="74">
        <f t="shared" si="170"/>
        <v>159.9</v>
      </c>
      <c r="J278" s="77">
        <f>VLOOKUP(B278,'Tabela de Produtos'!B:M,12,FALSE())</f>
        <v>104.55</v>
      </c>
      <c r="K278" s="77">
        <f>VLOOKUP(B278,'Tabela de Produtos'!B:P,15,FALSE())</f>
        <v>4.6500000000000004</v>
      </c>
      <c r="L278" s="77">
        <f>J278*1%</f>
        <v>1.0455000000000001</v>
      </c>
      <c r="M278" s="77">
        <f>J278*1%</f>
        <v>1.0455000000000001</v>
      </c>
      <c r="N278" s="78">
        <f>J278+K278+L278+M278</f>
        <v>111.29100000000001</v>
      </c>
      <c r="O278" s="77">
        <f>($O$12/E278)*$O$13</f>
        <v>1.2928571428571429</v>
      </c>
      <c r="P278" s="77">
        <f>($P$12/E278)*$P$13</f>
        <v>1.0103571428571427</v>
      </c>
      <c r="Q278" s="77">
        <f>($Q$12/E278)*$Q$13</f>
        <v>1.0103571428571427</v>
      </c>
      <c r="R278" s="78">
        <f>O278+P278+Q278</f>
        <v>3.3135714285714286</v>
      </c>
      <c r="S278" s="77">
        <f>VLOOKUP(B278,'Tabela de Produtos'!B:N,13,FALSE())</f>
        <v>8.61</v>
      </c>
      <c r="T278" s="74">
        <f>$T$12/$T$8</f>
        <v>0.69444444444444442</v>
      </c>
      <c r="U278" s="77">
        <f>$U$12/$U$8</f>
        <v>1.1944444444444444</v>
      </c>
      <c r="V278" s="74">
        <f>$V$12/$V$8</f>
        <v>0.33333333333333331</v>
      </c>
      <c r="W278" s="78">
        <f>S278+T278+U278+V278</f>
        <v>10.832222222222223</v>
      </c>
      <c r="X278" s="77">
        <f>(N278+R278+W278)*1%</f>
        <v>1.2543679365079365</v>
      </c>
      <c r="Y278" s="77">
        <f>X278</f>
        <v>1.2543679365079365</v>
      </c>
      <c r="Z278" s="77">
        <f>$Z$12/E278</f>
        <v>2.9642857142857141E-2</v>
      </c>
      <c r="AA278" s="77">
        <f>$AA$12/E278</f>
        <v>0.74404761904761896</v>
      </c>
      <c r="AB278" s="77">
        <f>$AB$12/E278</f>
        <v>0.70684523809523814</v>
      </c>
      <c r="AC278" s="77">
        <f>$AC$12/E278</f>
        <v>0</v>
      </c>
      <c r="AD278" s="77">
        <f>Z278+AA278+AB278+AC278</f>
        <v>1.4805357142857143</v>
      </c>
      <c r="AE278" s="77">
        <f>(AD278+Y278+W278+R278+N278)*$AE$7</f>
        <v>32.042924325396825</v>
      </c>
      <c r="AF278" s="77">
        <f>AE278</f>
        <v>32.042924325396825</v>
      </c>
      <c r="AG278" s="74"/>
      <c r="AH278" s="74"/>
      <c r="AI278" s="74"/>
      <c r="AJ278" s="74"/>
      <c r="AK278" s="74"/>
      <c r="AL278" s="77">
        <f>(AD278+Y278+W278+R278+N278)*$AL$7</f>
        <v>0</v>
      </c>
      <c r="AM278" s="77">
        <f>AL278+AF278+AD278+Y278+W278+R278+N278</f>
        <v>160.21462162698413</v>
      </c>
      <c r="AN278" s="77">
        <f>AM278*$AN$12</f>
        <v>1.9225754595238096</v>
      </c>
      <c r="AO278" s="77">
        <f>AM278*$AO$12</f>
        <v>1.7303179135714286</v>
      </c>
      <c r="AP278" s="77">
        <f>AO278+AN278</f>
        <v>3.652893373095238</v>
      </c>
      <c r="AQ278" s="77">
        <f>AM278*$AQ$12</f>
        <v>13.377920905853175</v>
      </c>
      <c r="AR278" s="77">
        <f>AM278*$AR$12</f>
        <v>0</v>
      </c>
      <c r="AS278" s="77">
        <f>AM278*$AS$12</f>
        <v>0</v>
      </c>
      <c r="AT278" s="77">
        <f>AQ278+AR278+AS278</f>
        <v>13.377920905853175</v>
      </c>
      <c r="AU278" s="77">
        <f>AM278*$AU$12</f>
        <v>8.0107310813492063</v>
      </c>
      <c r="AV278" s="77">
        <f>AU278</f>
        <v>8.0107310813492063</v>
      </c>
      <c r="AW278" s="77">
        <f>AM278+AP278+AT278+AV278</f>
        <v>185.25616698728174</v>
      </c>
      <c r="AX278" s="21">
        <f>AY278/AW278</f>
        <v>-0.1368708389018029</v>
      </c>
      <c r="AY278" s="77">
        <f t="shared" si="171"/>
        <v>-25.356166987281739</v>
      </c>
      <c r="AZ278" s="79">
        <f>IFERROR(H278*VLOOKUP(A278,'Tabela de Produtos'!A:Q,17,0),0)</f>
        <v>117.81</v>
      </c>
      <c r="BA278" s="74">
        <f t="shared" si="176"/>
        <v>0</v>
      </c>
      <c r="BB278" s="74">
        <f t="shared" si="176"/>
        <v>0</v>
      </c>
      <c r="BC278" s="74">
        <f t="shared" si="176"/>
        <v>0</v>
      </c>
      <c r="BD278" s="74">
        <f t="shared" si="176"/>
        <v>11.193000000000001</v>
      </c>
      <c r="BE278" s="74">
        <f t="shared" si="172"/>
        <v>7.995000000000001</v>
      </c>
      <c r="BF278" s="74">
        <f t="shared" si="173"/>
        <v>136.99800000000002</v>
      </c>
      <c r="BG278" s="74">
        <f t="shared" si="174"/>
        <v>22.901999999999987</v>
      </c>
      <c r="BH278" s="21">
        <f t="shared" si="175"/>
        <v>0.14322701688555339</v>
      </c>
    </row>
    <row r="279" spans="1:60" ht="15.75" customHeight="1">
      <c r="A279" s="72" t="s">
        <v>346</v>
      </c>
      <c r="B279" s="2" t="str">
        <f>IFERROR(VLOOKUP(A279,'Tabela de Produtos'!A:B,2,0),"Preencher Cód. Produto")</f>
        <v>BRAZIMIL TINTA PISO PREMIUM  INT/EXT FOSCO 15L CONCRETO</v>
      </c>
      <c r="C279" s="2"/>
      <c r="D279" s="73" t="s">
        <v>40</v>
      </c>
      <c r="E279" s="73"/>
      <c r="F279" s="74" t="str">
        <f>IF(A279=0,0,VLOOKUP(A279,'Tabela de Produtos'!A:W,23,0))</f>
        <v>Cadastrar Ficha de Produção</v>
      </c>
      <c r="G279" s="74">
        <v>149.9</v>
      </c>
      <c r="H279" s="76">
        <v>1</v>
      </c>
      <c r="I279" s="74">
        <f t="shared" si="170"/>
        <v>149.9</v>
      </c>
      <c r="J279" s="77">
        <f>VLOOKUP(B279,'Tabela de Produtos'!B:M,12,FALSE())</f>
        <v>0</v>
      </c>
      <c r="K279" s="74"/>
      <c r="L279" s="74"/>
      <c r="M279" s="74"/>
      <c r="N279" s="81"/>
      <c r="O279" s="74"/>
      <c r="P279" s="74"/>
      <c r="Q279" s="74"/>
      <c r="R279" s="81"/>
      <c r="S279" s="74"/>
      <c r="T279" s="74"/>
      <c r="U279" s="74"/>
      <c r="V279" s="74"/>
      <c r="W279" s="81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7"/>
      <c r="AY279" s="77">
        <f t="shared" si="171"/>
        <v>149.9</v>
      </c>
      <c r="AZ279" s="79">
        <f>IFERROR(H279*VLOOKUP(A279,'Tabela de Produtos'!A:Q,17,0),0)</f>
        <v>0</v>
      </c>
      <c r="BA279" s="74">
        <f t="shared" si="176"/>
        <v>0</v>
      </c>
      <c r="BB279" s="74">
        <f t="shared" si="176"/>
        <v>0</v>
      </c>
      <c r="BC279" s="74">
        <f t="shared" si="176"/>
        <v>0</v>
      </c>
      <c r="BD279" s="74">
        <f t="shared" si="176"/>
        <v>10.493000000000002</v>
      </c>
      <c r="BE279" s="74">
        <f t="shared" si="172"/>
        <v>7.495000000000001</v>
      </c>
      <c r="BF279" s="74">
        <f t="shared" si="173"/>
        <v>17.988000000000003</v>
      </c>
      <c r="BG279" s="74">
        <f t="shared" si="174"/>
        <v>131.91200000000001</v>
      </c>
      <c r="BH279" s="21">
        <f t="shared" si="175"/>
        <v>0</v>
      </c>
    </row>
    <row r="280" spans="1:60" ht="15.75" customHeight="1">
      <c r="A280" s="72" t="s">
        <v>347</v>
      </c>
      <c r="B280" s="2" t="str">
        <f>IFERROR(VLOOKUP(A280,'Tabela de Produtos'!A:B,2,0),"Preencher Cód. Produto")</f>
        <v>BRAZIMIL TINTA PISO PREMIUM  INT/EXT FOSCO 15L PRETO</v>
      </c>
      <c r="C280" s="2"/>
      <c r="D280" s="73" t="s">
        <v>40</v>
      </c>
      <c r="E280" s="73"/>
      <c r="F280" s="74" t="str">
        <f>IF(A280=0,0,VLOOKUP(A280,'Tabela de Produtos'!A:W,23,0))</f>
        <v>Cadastrar Ficha de Produção</v>
      </c>
      <c r="G280" s="74">
        <v>149.9</v>
      </c>
      <c r="H280" s="76">
        <v>1</v>
      </c>
      <c r="I280" s="74">
        <f t="shared" si="170"/>
        <v>149.9</v>
      </c>
      <c r="J280" s="77">
        <f>VLOOKUP(B280,'Tabela de Produtos'!B:M,12,FALSE())</f>
        <v>0</v>
      </c>
      <c r="K280" s="74"/>
      <c r="L280" s="74"/>
      <c r="M280" s="74"/>
      <c r="N280" s="81"/>
      <c r="O280" s="74"/>
      <c r="P280" s="74"/>
      <c r="Q280" s="74"/>
      <c r="R280" s="81"/>
      <c r="S280" s="74"/>
      <c r="T280" s="74"/>
      <c r="U280" s="74"/>
      <c r="V280" s="74"/>
      <c r="W280" s="81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7"/>
      <c r="AY280" s="77">
        <f t="shared" si="171"/>
        <v>149.9</v>
      </c>
      <c r="AZ280" s="79">
        <f>IFERROR(H280*VLOOKUP(A280,'Tabela de Produtos'!A:Q,17,0),0)</f>
        <v>0</v>
      </c>
      <c r="BA280" s="74">
        <f t="shared" si="176"/>
        <v>0</v>
      </c>
      <c r="BB280" s="74">
        <f t="shared" si="176"/>
        <v>0</v>
      </c>
      <c r="BC280" s="74">
        <f t="shared" si="176"/>
        <v>0</v>
      </c>
      <c r="BD280" s="74">
        <f t="shared" si="176"/>
        <v>10.493000000000002</v>
      </c>
      <c r="BE280" s="74">
        <f t="shared" si="172"/>
        <v>7.495000000000001</v>
      </c>
      <c r="BF280" s="74">
        <f t="shared" si="173"/>
        <v>17.988000000000003</v>
      </c>
      <c r="BG280" s="74">
        <f t="shared" si="174"/>
        <v>131.91200000000001</v>
      </c>
      <c r="BH280" s="21">
        <f t="shared" si="175"/>
        <v>0</v>
      </c>
    </row>
    <row r="281" spans="1:60" ht="15.75" customHeight="1">
      <c r="A281" s="72" t="s">
        <v>348</v>
      </c>
      <c r="B281" s="2" t="str">
        <f>IFERROR(VLOOKUP(A281,'Tabela de Produtos'!A:B,2,0),"Preencher Cód. Produto")</f>
        <v>BRAZIMIL TINTA PISO PREMIUM  INT/EXT FOSCO 15L CINZA MEDIO</v>
      </c>
      <c r="C281" s="2"/>
      <c r="D281" s="73" t="s">
        <v>40</v>
      </c>
      <c r="E281" s="73">
        <v>28</v>
      </c>
      <c r="F281" s="74">
        <f>IF(A281=0,0,VLOOKUP(A281,'Tabela de Produtos'!A:W,23,0))</f>
        <v>103.71000000000001</v>
      </c>
      <c r="G281" s="75">
        <v>159.9</v>
      </c>
      <c r="H281" s="76">
        <v>1</v>
      </c>
      <c r="I281" s="74">
        <f t="shared" si="170"/>
        <v>159.9</v>
      </c>
      <c r="J281" s="77">
        <f>VLOOKUP(B281,'Tabela de Produtos'!B:M,12,FALSE())</f>
        <v>77.999999999999972</v>
      </c>
      <c r="K281" s="77">
        <f>VLOOKUP(B281,'Tabela de Produtos'!B:P,15,FALSE())</f>
        <v>4.6500000000000004</v>
      </c>
      <c r="L281" s="77">
        <f>J281*1%</f>
        <v>0.77999999999999969</v>
      </c>
      <c r="M281" s="77">
        <f>J281*1%</f>
        <v>0.77999999999999969</v>
      </c>
      <c r="N281" s="78">
        <f>J281+K281+L281+M281</f>
        <v>84.20999999999998</v>
      </c>
      <c r="O281" s="77">
        <f>($O$12/E281)*$O$13</f>
        <v>1.2928571428571429</v>
      </c>
      <c r="P281" s="77">
        <f>($P$12/E281)*$P$13</f>
        <v>1.0103571428571427</v>
      </c>
      <c r="Q281" s="77">
        <f>($Q$12/E281)*$Q$13</f>
        <v>1.0103571428571427</v>
      </c>
      <c r="R281" s="78">
        <f>O281+P281+Q281</f>
        <v>3.3135714285714286</v>
      </c>
      <c r="S281" s="77">
        <f>VLOOKUP(B281,'Tabela de Produtos'!B:N,13,FALSE())</f>
        <v>8.61</v>
      </c>
      <c r="T281" s="74">
        <f>$T$12/$T$8</f>
        <v>0.69444444444444442</v>
      </c>
      <c r="U281" s="77">
        <f>$U$12/$U$8</f>
        <v>1.1944444444444444</v>
      </c>
      <c r="V281" s="74">
        <f>$V$12/$V$8</f>
        <v>0.33333333333333331</v>
      </c>
      <c r="W281" s="78">
        <f>S281+T281+U281+V281</f>
        <v>10.832222222222223</v>
      </c>
      <c r="X281" s="77">
        <f>(N281+R281+W281)*1%</f>
        <v>0.98355793650793644</v>
      </c>
      <c r="Y281" s="77">
        <f>X281</f>
        <v>0.98355793650793644</v>
      </c>
      <c r="Z281" s="77">
        <f>$Z$12/E281</f>
        <v>2.9642857142857141E-2</v>
      </c>
      <c r="AA281" s="77">
        <f>$AA$12/E281</f>
        <v>0.74404761904761896</v>
      </c>
      <c r="AB281" s="77">
        <f>$AB$12/E281</f>
        <v>0.70684523809523814</v>
      </c>
      <c r="AC281" s="77">
        <f>$AC$12/E281</f>
        <v>0</v>
      </c>
      <c r="AD281" s="77">
        <f>Z281+AA281+AB281+AC281</f>
        <v>1.4805357142857143</v>
      </c>
      <c r="AE281" s="77">
        <f>(AD281+Y281+W281+R281+N281)*$AE$7</f>
        <v>25.204971825396818</v>
      </c>
      <c r="AF281" s="77">
        <f>AE281</f>
        <v>25.204971825396818</v>
      </c>
      <c r="AG281" s="74"/>
      <c r="AH281" s="74"/>
      <c r="AI281" s="74"/>
      <c r="AJ281" s="74"/>
      <c r="AK281" s="74"/>
      <c r="AL281" s="77">
        <f>(AD281+Y281+W281+R281+N281)*$AL$7</f>
        <v>0</v>
      </c>
      <c r="AM281" s="77">
        <f>AL281+AF281+AD281+Y281+W281+R281+N281</f>
        <v>126.0248591269841</v>
      </c>
      <c r="AN281" s="77">
        <f>AM281*$AN$12</f>
        <v>1.5122983095238092</v>
      </c>
      <c r="AO281" s="77">
        <f>AM281*$AO$12</f>
        <v>1.3610684785714284</v>
      </c>
      <c r="AP281" s="77">
        <f>AO281+AN281</f>
        <v>2.8733667880952378</v>
      </c>
      <c r="AQ281" s="77">
        <f>AM281*$AQ$12</f>
        <v>10.523075737103174</v>
      </c>
      <c r="AR281" s="77">
        <f>AM281*$AR$12</f>
        <v>0</v>
      </c>
      <c r="AS281" s="77">
        <f>AM281*$AS$12</f>
        <v>0</v>
      </c>
      <c r="AT281" s="77">
        <f>AQ281+AR281+AS281</f>
        <v>10.523075737103174</v>
      </c>
      <c r="AU281" s="77">
        <f>AM281*$AU$12</f>
        <v>6.3012429563492054</v>
      </c>
      <c r="AV281" s="77">
        <f>AU281</f>
        <v>6.3012429563492054</v>
      </c>
      <c r="AW281" s="77">
        <f>AM281+AP281+AT281+AV281</f>
        <v>145.72254460853171</v>
      </c>
      <c r="AX281" s="21">
        <f>AY281/AW281</f>
        <v>9.7290748178701814E-2</v>
      </c>
      <c r="AY281" s="77">
        <f t="shared" si="171"/>
        <v>14.1774553914683</v>
      </c>
      <c r="AZ281" s="79">
        <f>IFERROR(H281*VLOOKUP(A281,'Tabela de Produtos'!A:Q,17,0),0)</f>
        <v>91.259999999999977</v>
      </c>
      <c r="BA281" s="74">
        <f t="shared" si="176"/>
        <v>0</v>
      </c>
      <c r="BB281" s="74">
        <f t="shared" si="176"/>
        <v>0</v>
      </c>
      <c r="BC281" s="74">
        <f t="shared" si="176"/>
        <v>0</v>
      </c>
      <c r="BD281" s="74">
        <f t="shared" si="176"/>
        <v>11.193000000000001</v>
      </c>
      <c r="BE281" s="74">
        <f t="shared" si="172"/>
        <v>7.995000000000001</v>
      </c>
      <c r="BF281" s="74">
        <f t="shared" si="173"/>
        <v>110.44799999999998</v>
      </c>
      <c r="BG281" s="74">
        <f t="shared" si="174"/>
        <v>49.452000000000027</v>
      </c>
      <c r="BH281" s="21">
        <f t="shared" si="175"/>
        <v>0.30926829268292699</v>
      </c>
    </row>
    <row r="282" spans="1:60" ht="15.75" customHeight="1">
      <c r="A282" s="72" t="s">
        <v>349</v>
      </c>
      <c r="B282" s="2" t="str">
        <f>IFERROR(VLOOKUP(A282,'Tabela de Produtos'!A:B,2,0),"Preencher Cód. Produto")</f>
        <v>BRAZIMIL TINTA PISO PREMIUM  INT/EXT FOSCO 15L CINZA INTENSO</v>
      </c>
      <c r="C282" s="2"/>
      <c r="D282" s="73" t="s">
        <v>40</v>
      </c>
      <c r="E282" s="73"/>
      <c r="F282" s="74" t="str">
        <f>IF(A282=0,0,VLOOKUP(A282,'Tabela de Produtos'!A:W,23,0))</f>
        <v>Cadastrar Ficha de Produção</v>
      </c>
      <c r="G282" s="74">
        <v>149.9</v>
      </c>
      <c r="H282" s="76">
        <v>1</v>
      </c>
      <c r="I282" s="74">
        <f t="shared" si="170"/>
        <v>149.9</v>
      </c>
      <c r="J282" s="77">
        <f>VLOOKUP(B282,'Tabela de Produtos'!B:M,12,FALSE())</f>
        <v>0</v>
      </c>
      <c r="K282" s="74"/>
      <c r="L282" s="74"/>
      <c r="M282" s="74"/>
      <c r="N282" s="81"/>
      <c r="O282" s="74"/>
      <c r="P282" s="74"/>
      <c r="Q282" s="74"/>
      <c r="R282" s="81"/>
      <c r="S282" s="74"/>
      <c r="T282" s="74"/>
      <c r="U282" s="74"/>
      <c r="V282" s="74"/>
      <c r="W282" s="81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7"/>
      <c r="AY282" s="77">
        <f t="shared" si="171"/>
        <v>149.9</v>
      </c>
      <c r="AZ282" s="79">
        <f>IFERROR(H282*VLOOKUP(A282,'Tabela de Produtos'!A:Q,17,0),0)</f>
        <v>0</v>
      </c>
      <c r="BA282" s="74">
        <f t="shared" si="176"/>
        <v>0</v>
      </c>
      <c r="BB282" s="74">
        <f t="shared" si="176"/>
        <v>0</v>
      </c>
      <c r="BC282" s="74">
        <f t="shared" si="176"/>
        <v>0</v>
      </c>
      <c r="BD282" s="74">
        <f t="shared" si="176"/>
        <v>10.493000000000002</v>
      </c>
      <c r="BE282" s="74">
        <f t="shared" si="172"/>
        <v>7.495000000000001</v>
      </c>
      <c r="BF282" s="74">
        <f t="shared" si="173"/>
        <v>17.988000000000003</v>
      </c>
      <c r="BG282" s="74">
        <f t="shared" si="174"/>
        <v>131.91200000000001</v>
      </c>
      <c r="BH282" s="21">
        <f t="shared" si="175"/>
        <v>0</v>
      </c>
    </row>
    <row r="283" spans="1:60" ht="15.75" customHeight="1">
      <c r="A283" s="72" t="s">
        <v>350</v>
      </c>
      <c r="B283" s="2" t="str">
        <f>IFERROR(VLOOKUP(A283,'Tabela de Produtos'!A:B,2,0),"Preencher Cód. Produto")</f>
        <v>BRAZIMIL TINTA PISO PREMIUM  INT/EXT FOSCO 15L AZUL PROFUNDO</v>
      </c>
      <c r="C283" s="2"/>
      <c r="D283" s="73" t="s">
        <v>40</v>
      </c>
      <c r="E283" s="73"/>
      <c r="F283" s="74" t="str">
        <f>IF(A283=0,0,VLOOKUP(A283,'Tabela de Produtos'!A:W,23,0))</f>
        <v>Cadastrar Ficha de Produção</v>
      </c>
      <c r="G283" s="74">
        <v>149.9</v>
      </c>
      <c r="H283" s="76">
        <v>1</v>
      </c>
      <c r="I283" s="74">
        <f t="shared" si="170"/>
        <v>149.9</v>
      </c>
      <c r="J283" s="77">
        <f>VLOOKUP(B283,'Tabela de Produtos'!B:M,12,FALSE())</f>
        <v>0</v>
      </c>
      <c r="K283" s="74"/>
      <c r="L283" s="74"/>
      <c r="M283" s="74"/>
      <c r="N283" s="81"/>
      <c r="O283" s="74"/>
      <c r="P283" s="74"/>
      <c r="Q283" s="74"/>
      <c r="R283" s="81"/>
      <c r="S283" s="74"/>
      <c r="T283" s="74"/>
      <c r="U283" s="74"/>
      <c r="V283" s="74"/>
      <c r="W283" s="81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7"/>
      <c r="AY283" s="77">
        <f t="shared" si="171"/>
        <v>149.9</v>
      </c>
      <c r="AZ283" s="79">
        <f>IFERROR(H283*VLOOKUP(A283,'Tabela de Produtos'!A:Q,17,0),0)</f>
        <v>0</v>
      </c>
      <c r="BA283" s="74">
        <f t="shared" si="176"/>
        <v>0</v>
      </c>
      <c r="BB283" s="74">
        <f t="shared" si="176"/>
        <v>0</v>
      </c>
      <c r="BC283" s="74">
        <f t="shared" si="176"/>
        <v>0</v>
      </c>
      <c r="BD283" s="74">
        <f t="shared" si="176"/>
        <v>10.493000000000002</v>
      </c>
      <c r="BE283" s="74">
        <f t="shared" si="172"/>
        <v>7.495000000000001</v>
      </c>
      <c r="BF283" s="74">
        <f t="shared" si="173"/>
        <v>17.988000000000003</v>
      </c>
      <c r="BG283" s="74">
        <f t="shared" si="174"/>
        <v>131.91200000000001</v>
      </c>
      <c r="BH283" s="21">
        <f t="shared" si="175"/>
        <v>0</v>
      </c>
    </row>
    <row r="284" spans="1:60" ht="15.75" customHeight="1">
      <c r="A284" s="72" t="s">
        <v>351</v>
      </c>
      <c r="B284" s="2" t="str">
        <f>IFERROR(VLOOKUP(A284,'Tabela de Produtos'!A:B,2,0),"Preencher Cód. Produto")</f>
        <v>BRAZIMIL TINTA PISO PREMIUM  INT/EXT FOSCO 15L AMARELO DEMARCACAO</v>
      </c>
      <c r="C284" s="2"/>
      <c r="D284" s="73" t="s">
        <v>40</v>
      </c>
      <c r="E284" s="73"/>
      <c r="F284" s="74" t="str">
        <f>IF(A284=0,0,VLOOKUP(A284,'Tabela de Produtos'!A:W,23,0))</f>
        <v>Cadastrar Ficha de Produção</v>
      </c>
      <c r="G284" s="74">
        <v>149.9</v>
      </c>
      <c r="H284" s="76">
        <v>1</v>
      </c>
      <c r="I284" s="74">
        <f t="shared" si="170"/>
        <v>149.9</v>
      </c>
      <c r="J284" s="77">
        <f>VLOOKUP(B284,'Tabela de Produtos'!B:M,12,FALSE())</f>
        <v>0</v>
      </c>
      <c r="K284" s="74"/>
      <c r="L284" s="74"/>
      <c r="M284" s="74"/>
      <c r="N284" s="81"/>
      <c r="O284" s="74"/>
      <c r="P284" s="74"/>
      <c r="Q284" s="74"/>
      <c r="R284" s="81"/>
      <c r="S284" s="74"/>
      <c r="T284" s="74"/>
      <c r="U284" s="74"/>
      <c r="V284" s="74"/>
      <c r="W284" s="81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7"/>
      <c r="AY284" s="77">
        <f t="shared" si="171"/>
        <v>149.9</v>
      </c>
      <c r="AZ284" s="79">
        <f>IFERROR(H284*VLOOKUP(A284,'Tabela de Produtos'!A:Q,17,0),0)</f>
        <v>0</v>
      </c>
      <c r="BA284" s="74">
        <f t="shared" si="176"/>
        <v>0</v>
      </c>
      <c r="BB284" s="74">
        <f t="shared" si="176"/>
        <v>0</v>
      </c>
      <c r="BC284" s="74">
        <f t="shared" si="176"/>
        <v>0</v>
      </c>
      <c r="BD284" s="74">
        <f t="shared" si="176"/>
        <v>10.493000000000002</v>
      </c>
      <c r="BE284" s="74">
        <f t="shared" si="172"/>
        <v>7.495000000000001</v>
      </c>
      <c r="BF284" s="74">
        <f t="shared" si="173"/>
        <v>17.988000000000003</v>
      </c>
      <c r="BG284" s="74">
        <f t="shared" si="174"/>
        <v>131.91200000000001</v>
      </c>
      <c r="BH284" s="21">
        <f t="shared" si="175"/>
        <v>0</v>
      </c>
    </row>
    <row r="285" spans="1:60" ht="15.75" customHeight="1">
      <c r="A285" s="72" t="s">
        <v>352</v>
      </c>
      <c r="B285" s="2" t="str">
        <f>IFERROR(VLOOKUP(A285,'Tabela de Produtos'!A:B,2,0),"Preencher Cód. Produto")</f>
        <v>BRAZIMIL TINTA PISO PREMIUM  INT/EXT FOSCO 15L VERMELHO</v>
      </c>
      <c r="C285" s="2"/>
      <c r="D285" s="73" t="s">
        <v>40</v>
      </c>
      <c r="E285" s="73"/>
      <c r="F285" s="74" t="str">
        <f>IF(A285=0,0,VLOOKUP(A285,'Tabela de Produtos'!A:W,23,0))</f>
        <v>Cadastrar Ficha de Produção</v>
      </c>
      <c r="G285" s="74">
        <v>149.9</v>
      </c>
      <c r="H285" s="76">
        <v>1</v>
      </c>
      <c r="I285" s="74">
        <f t="shared" si="170"/>
        <v>149.9</v>
      </c>
      <c r="J285" s="77">
        <f>VLOOKUP(B285,'Tabela de Produtos'!B:M,12,FALSE())</f>
        <v>0</v>
      </c>
      <c r="K285" s="74"/>
      <c r="L285" s="74"/>
      <c r="M285" s="74"/>
      <c r="N285" s="81"/>
      <c r="O285" s="74"/>
      <c r="P285" s="74"/>
      <c r="Q285" s="74"/>
      <c r="R285" s="81"/>
      <c r="S285" s="74"/>
      <c r="T285" s="74"/>
      <c r="U285" s="74"/>
      <c r="V285" s="74"/>
      <c r="W285" s="81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7"/>
      <c r="AY285" s="77">
        <f t="shared" si="171"/>
        <v>149.9</v>
      </c>
      <c r="AZ285" s="79">
        <f>IFERROR(H285*VLOOKUP(A285,'Tabela de Produtos'!A:Q,17,0),0)</f>
        <v>0</v>
      </c>
      <c r="BA285" s="74">
        <f t="shared" si="176"/>
        <v>0</v>
      </c>
      <c r="BB285" s="74">
        <f t="shared" si="176"/>
        <v>0</v>
      </c>
      <c r="BC285" s="74">
        <f t="shared" si="176"/>
        <v>0</v>
      </c>
      <c r="BD285" s="74">
        <f t="shared" si="176"/>
        <v>10.493000000000002</v>
      </c>
      <c r="BE285" s="74">
        <f t="shared" si="172"/>
        <v>7.495000000000001</v>
      </c>
      <c r="BF285" s="74">
        <f t="shared" si="173"/>
        <v>17.988000000000003</v>
      </c>
      <c r="BG285" s="74">
        <f t="shared" si="174"/>
        <v>131.91200000000001</v>
      </c>
      <c r="BH285" s="21">
        <f t="shared" si="175"/>
        <v>0</v>
      </c>
    </row>
    <row r="286" spans="1:60" ht="15.75" customHeight="1">
      <c r="A286" s="72" t="s">
        <v>353</v>
      </c>
      <c r="B286" s="2" t="str">
        <f>IFERROR(VLOOKUP(A286,'Tabela de Produtos'!A:B,2,0),"Preencher Cód. Produto")</f>
        <v>BRAZIMIL TINTA PISO PREMIUM  INT/EXT FOSCO 15L VERDE FOLHA</v>
      </c>
      <c r="C286" s="2"/>
      <c r="D286" s="73" t="s">
        <v>40</v>
      </c>
      <c r="E286" s="73"/>
      <c r="F286" s="74" t="str">
        <f>IF(A286=0,0,VLOOKUP(A286,'Tabela de Produtos'!A:W,23,0))</f>
        <v>Cadastrar Ficha de Produção</v>
      </c>
      <c r="G286" s="74">
        <v>149.9</v>
      </c>
      <c r="H286" s="76">
        <v>1</v>
      </c>
      <c r="I286" s="74">
        <f t="shared" si="170"/>
        <v>149.9</v>
      </c>
      <c r="J286" s="77">
        <f>VLOOKUP(B286,'Tabela de Produtos'!B:M,12,FALSE())</f>
        <v>0</v>
      </c>
      <c r="K286" s="74"/>
      <c r="L286" s="74"/>
      <c r="M286" s="74"/>
      <c r="N286" s="81"/>
      <c r="O286" s="74"/>
      <c r="P286" s="74"/>
      <c r="Q286" s="74"/>
      <c r="R286" s="81"/>
      <c r="S286" s="74"/>
      <c r="T286" s="74"/>
      <c r="U286" s="74"/>
      <c r="V286" s="74"/>
      <c r="W286" s="81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7"/>
      <c r="AY286" s="77">
        <f t="shared" si="171"/>
        <v>149.9</v>
      </c>
      <c r="AZ286" s="79">
        <f>IFERROR(H286*VLOOKUP(A286,'Tabela de Produtos'!A:Q,17,0),0)</f>
        <v>0</v>
      </c>
      <c r="BA286" s="74">
        <f t="shared" si="176"/>
        <v>0</v>
      </c>
      <c r="BB286" s="74">
        <f t="shared" si="176"/>
        <v>0</v>
      </c>
      <c r="BC286" s="74">
        <f t="shared" si="176"/>
        <v>0</v>
      </c>
      <c r="BD286" s="74">
        <f t="shared" si="176"/>
        <v>10.493000000000002</v>
      </c>
      <c r="BE286" s="74">
        <f t="shared" si="172"/>
        <v>7.495000000000001</v>
      </c>
      <c r="BF286" s="74">
        <f t="shared" si="173"/>
        <v>17.988000000000003</v>
      </c>
      <c r="BG286" s="74">
        <f t="shared" si="174"/>
        <v>131.91200000000001</v>
      </c>
      <c r="BH286" s="21">
        <f t="shared" si="175"/>
        <v>0</v>
      </c>
    </row>
    <row r="287" spans="1:60" ht="15.75" customHeight="1">
      <c r="A287" s="72" t="s">
        <v>354</v>
      </c>
      <c r="B287" s="2" t="str">
        <f>IFERROR(VLOOKUP(A287,'Tabela de Produtos'!A:B,2,0),"Preencher Cód. Produto")</f>
        <v>BRAZIMIL TINTA PISO PREMIUM  INT/EXT SEMIBRILHO 15L BRANCO NEVE</v>
      </c>
      <c r="C287" s="2"/>
      <c r="D287" s="73" t="s">
        <v>40</v>
      </c>
      <c r="E287" s="73"/>
      <c r="F287" s="74" t="str">
        <f>IF(A287=0,0,VLOOKUP(A287,'Tabela de Produtos'!A:W,23,0))</f>
        <v>Cadastrar Ficha de Produção</v>
      </c>
      <c r="G287" s="74">
        <v>149.9</v>
      </c>
      <c r="H287" s="76">
        <v>1</v>
      </c>
      <c r="I287" s="74">
        <f t="shared" si="170"/>
        <v>149.9</v>
      </c>
      <c r="J287" s="77">
        <f>VLOOKUP(B287,'Tabela de Produtos'!B:M,12,FALSE())</f>
        <v>0</v>
      </c>
      <c r="K287" s="74"/>
      <c r="L287" s="74"/>
      <c r="M287" s="74"/>
      <c r="N287" s="81"/>
      <c r="O287" s="74"/>
      <c r="P287" s="74"/>
      <c r="Q287" s="74"/>
      <c r="R287" s="81"/>
      <c r="S287" s="74"/>
      <c r="T287" s="74"/>
      <c r="U287" s="74"/>
      <c r="V287" s="74"/>
      <c r="W287" s="81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7"/>
      <c r="AY287" s="77">
        <f t="shared" si="171"/>
        <v>149.9</v>
      </c>
      <c r="AZ287" s="79">
        <f>IFERROR(H287*VLOOKUP(A287,'Tabela de Produtos'!A:Q,17,0),0)</f>
        <v>0</v>
      </c>
      <c r="BA287" s="74">
        <f t="shared" si="176"/>
        <v>0</v>
      </c>
      <c r="BB287" s="74">
        <f t="shared" si="176"/>
        <v>0</v>
      </c>
      <c r="BC287" s="74">
        <f t="shared" si="176"/>
        <v>0</v>
      </c>
      <c r="BD287" s="74">
        <f t="shared" si="176"/>
        <v>10.493000000000002</v>
      </c>
      <c r="BE287" s="74">
        <f t="shared" si="172"/>
        <v>7.495000000000001</v>
      </c>
      <c r="BF287" s="74">
        <f t="shared" si="173"/>
        <v>17.988000000000003</v>
      </c>
      <c r="BG287" s="74">
        <f t="shared" si="174"/>
        <v>131.91200000000001</v>
      </c>
      <c r="BH287" s="21">
        <f t="shared" si="175"/>
        <v>0</v>
      </c>
    </row>
    <row r="288" spans="1:60" ht="15.75" customHeight="1">
      <c r="A288" s="72" t="s">
        <v>355</v>
      </c>
      <c r="B288" s="2" t="str">
        <f>IFERROR(VLOOKUP(A288,'Tabela de Produtos'!A:B,2,0),"Preencher Cód. Produto")</f>
        <v>BRAZIMIL TINTA PISO PREMIUM  INT/EXT SEMIBRILHO 15L CONCRETO</v>
      </c>
      <c r="C288" s="2"/>
      <c r="D288" s="73" t="s">
        <v>40</v>
      </c>
      <c r="E288" s="73"/>
      <c r="F288" s="74" t="str">
        <f>IF(A288=0,0,VLOOKUP(A288,'Tabela de Produtos'!A:W,23,0))</f>
        <v>Cadastrar Ficha de Produção</v>
      </c>
      <c r="G288" s="74">
        <v>0</v>
      </c>
      <c r="H288" s="76">
        <v>1</v>
      </c>
      <c r="I288" s="74">
        <f t="shared" si="170"/>
        <v>0</v>
      </c>
      <c r="J288" s="77">
        <f>VLOOKUP(B288,'Tabela de Produtos'!B:M,12,FALSE())</f>
        <v>0</v>
      </c>
      <c r="K288" s="74"/>
      <c r="L288" s="74"/>
      <c r="M288" s="74"/>
      <c r="N288" s="81"/>
      <c r="O288" s="74"/>
      <c r="P288" s="74"/>
      <c r="Q288" s="74"/>
      <c r="R288" s="81"/>
      <c r="S288" s="74"/>
      <c r="T288" s="74"/>
      <c r="U288" s="74"/>
      <c r="V288" s="74"/>
      <c r="W288" s="81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7"/>
      <c r="AY288" s="77">
        <f t="shared" si="171"/>
        <v>0</v>
      </c>
      <c r="AZ288" s="79">
        <f>IFERROR(H288*VLOOKUP(A288,'Tabela de Produtos'!A:Q,17,0),0)</f>
        <v>0</v>
      </c>
      <c r="BA288" s="74">
        <f t="shared" si="176"/>
        <v>0</v>
      </c>
      <c r="BB288" s="74">
        <f t="shared" si="176"/>
        <v>0</v>
      </c>
      <c r="BC288" s="74">
        <f t="shared" si="176"/>
        <v>0</v>
      </c>
      <c r="BD288" s="74">
        <f t="shared" si="176"/>
        <v>0</v>
      </c>
      <c r="BE288" s="74">
        <f t="shared" si="172"/>
        <v>0</v>
      </c>
      <c r="BF288" s="74">
        <f t="shared" si="173"/>
        <v>0</v>
      </c>
      <c r="BG288" s="74">
        <f t="shared" si="174"/>
        <v>0</v>
      </c>
      <c r="BH288" s="21">
        <f t="shared" si="175"/>
        <v>0</v>
      </c>
    </row>
    <row r="289" spans="1:60" ht="15.75" customHeight="1">
      <c r="A289" s="72" t="s">
        <v>356</v>
      </c>
      <c r="B289" s="2" t="str">
        <f>IFERROR(VLOOKUP(A289,'Tabela de Produtos'!A:B,2,0),"Preencher Cód. Produto")</f>
        <v>BRAZIMIL TINTA PISO PREMIUM  INT/EXT SEMIBRILHO 15L PRETO</v>
      </c>
      <c r="C289" s="2"/>
      <c r="D289" s="73" t="s">
        <v>40</v>
      </c>
      <c r="E289" s="73"/>
      <c r="F289" s="74" t="str">
        <f>IF(A289=0,0,VLOOKUP(A289,'Tabela de Produtos'!A:W,23,0))</f>
        <v>Cadastrar Ficha de Produção</v>
      </c>
      <c r="G289" s="74">
        <v>0</v>
      </c>
      <c r="H289" s="76">
        <v>1</v>
      </c>
      <c r="I289" s="74">
        <f t="shared" si="170"/>
        <v>0</v>
      </c>
      <c r="J289" s="77">
        <f>VLOOKUP(B289,'Tabela de Produtos'!B:M,12,FALSE())</f>
        <v>0</v>
      </c>
      <c r="K289" s="74"/>
      <c r="L289" s="74"/>
      <c r="M289" s="74"/>
      <c r="N289" s="81"/>
      <c r="O289" s="74"/>
      <c r="P289" s="74"/>
      <c r="Q289" s="74"/>
      <c r="R289" s="81"/>
      <c r="S289" s="74"/>
      <c r="T289" s="74"/>
      <c r="U289" s="74"/>
      <c r="V289" s="74"/>
      <c r="W289" s="81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7"/>
      <c r="AY289" s="77">
        <f t="shared" si="171"/>
        <v>0</v>
      </c>
      <c r="AZ289" s="79">
        <f>IFERROR(H289*VLOOKUP(A289,'Tabela de Produtos'!A:Q,17,0),0)</f>
        <v>0</v>
      </c>
      <c r="BA289" s="74">
        <f t="shared" si="176"/>
        <v>0</v>
      </c>
      <c r="BB289" s="74">
        <f t="shared" si="176"/>
        <v>0</v>
      </c>
      <c r="BC289" s="74">
        <f t="shared" si="176"/>
        <v>0</v>
      </c>
      <c r="BD289" s="74">
        <f t="shared" si="176"/>
        <v>0</v>
      </c>
      <c r="BE289" s="74">
        <f t="shared" si="172"/>
        <v>0</v>
      </c>
      <c r="BF289" s="74">
        <f t="shared" si="173"/>
        <v>0</v>
      </c>
      <c r="BG289" s="74">
        <f t="shared" si="174"/>
        <v>0</v>
      </c>
      <c r="BH289" s="21">
        <f t="shared" si="175"/>
        <v>0</v>
      </c>
    </row>
    <row r="290" spans="1:60" ht="15.75" customHeight="1">
      <c r="A290" s="72" t="s">
        <v>357</v>
      </c>
      <c r="B290" s="2" t="str">
        <f>IFERROR(VLOOKUP(A290,'Tabela de Produtos'!A:B,2,0),"Preencher Cód. Produto")</f>
        <v>BRAZIMIL TINTA PISO PREMIUM  INT/EXT SEMIBRILHO 15L CINZA MEDIO</v>
      </c>
      <c r="C290" s="2"/>
      <c r="D290" s="73" t="s">
        <v>40</v>
      </c>
      <c r="E290" s="73"/>
      <c r="F290" s="74" t="str">
        <f>IF(A290=0,0,VLOOKUP(A290,'Tabela de Produtos'!A:W,23,0))</f>
        <v>Cadastrar Ficha de Produção</v>
      </c>
      <c r="G290" s="74">
        <v>0</v>
      </c>
      <c r="H290" s="76">
        <v>1</v>
      </c>
      <c r="I290" s="74">
        <f t="shared" si="170"/>
        <v>0</v>
      </c>
      <c r="J290" s="77">
        <f>VLOOKUP(B290,'Tabela de Produtos'!B:M,12,FALSE())</f>
        <v>0</v>
      </c>
      <c r="K290" s="74"/>
      <c r="L290" s="74"/>
      <c r="M290" s="74"/>
      <c r="N290" s="81"/>
      <c r="O290" s="74"/>
      <c r="P290" s="74"/>
      <c r="Q290" s="74"/>
      <c r="R290" s="81"/>
      <c r="S290" s="74"/>
      <c r="T290" s="74"/>
      <c r="U290" s="74"/>
      <c r="V290" s="74"/>
      <c r="W290" s="81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7"/>
      <c r="AY290" s="77">
        <f t="shared" si="171"/>
        <v>0</v>
      </c>
      <c r="AZ290" s="79">
        <f>IFERROR(H290*VLOOKUP(A290,'Tabela de Produtos'!A:Q,17,0),0)</f>
        <v>0</v>
      </c>
      <c r="BA290" s="74">
        <f t="shared" si="176"/>
        <v>0</v>
      </c>
      <c r="BB290" s="74">
        <f t="shared" si="176"/>
        <v>0</v>
      </c>
      <c r="BC290" s="74">
        <f t="shared" si="176"/>
        <v>0</v>
      </c>
      <c r="BD290" s="74">
        <f t="shared" si="176"/>
        <v>0</v>
      </c>
      <c r="BE290" s="74">
        <f t="shared" si="172"/>
        <v>0</v>
      </c>
      <c r="BF290" s="74">
        <f t="shared" si="173"/>
        <v>0</v>
      </c>
      <c r="BG290" s="74">
        <f t="shared" si="174"/>
        <v>0</v>
      </c>
      <c r="BH290" s="21">
        <f t="shared" si="175"/>
        <v>0</v>
      </c>
    </row>
    <row r="291" spans="1:60" ht="15.75" customHeight="1">
      <c r="A291" s="72" t="s">
        <v>358</v>
      </c>
      <c r="B291" s="2" t="str">
        <f>IFERROR(VLOOKUP(A291,'Tabela de Produtos'!A:B,2,0),"Preencher Cód. Produto")</f>
        <v>BRAZIMIL TINTA PISO PREMIUM  INT/EXT SEMIBRILHO 15L CINZA INTENSO</v>
      </c>
      <c r="C291" s="2"/>
      <c r="D291" s="73" t="s">
        <v>40</v>
      </c>
      <c r="E291" s="73"/>
      <c r="F291" s="74" t="str">
        <f>IF(A291=0,0,VLOOKUP(A291,'Tabela de Produtos'!A:W,23,0))</f>
        <v>Cadastrar Ficha de Produção</v>
      </c>
      <c r="G291" s="74">
        <v>0</v>
      </c>
      <c r="H291" s="76">
        <v>1</v>
      </c>
      <c r="I291" s="74">
        <f t="shared" si="170"/>
        <v>0</v>
      </c>
      <c r="J291" s="77">
        <f>VLOOKUP(B291,'Tabela de Produtos'!B:M,12,FALSE())</f>
        <v>0</v>
      </c>
      <c r="K291" s="74"/>
      <c r="L291" s="74"/>
      <c r="M291" s="74"/>
      <c r="N291" s="81"/>
      <c r="O291" s="74"/>
      <c r="P291" s="74"/>
      <c r="Q291" s="74"/>
      <c r="R291" s="81"/>
      <c r="S291" s="74"/>
      <c r="T291" s="74"/>
      <c r="U291" s="74"/>
      <c r="V291" s="74"/>
      <c r="W291" s="81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7"/>
      <c r="AY291" s="77">
        <f t="shared" si="171"/>
        <v>0</v>
      </c>
      <c r="AZ291" s="79">
        <f>IFERROR(H291*VLOOKUP(A291,'Tabela de Produtos'!A:Q,17,0),0)</f>
        <v>0</v>
      </c>
      <c r="BA291" s="74">
        <f t="shared" si="176"/>
        <v>0</v>
      </c>
      <c r="BB291" s="74">
        <f t="shared" si="176"/>
        <v>0</v>
      </c>
      <c r="BC291" s="74">
        <f t="shared" si="176"/>
        <v>0</v>
      </c>
      <c r="BD291" s="74">
        <f t="shared" si="176"/>
        <v>0</v>
      </c>
      <c r="BE291" s="74">
        <f t="shared" si="172"/>
        <v>0</v>
      </c>
      <c r="BF291" s="74">
        <f t="shared" si="173"/>
        <v>0</v>
      </c>
      <c r="BG291" s="74">
        <f t="shared" si="174"/>
        <v>0</v>
      </c>
      <c r="BH291" s="21">
        <f t="shared" si="175"/>
        <v>0</v>
      </c>
    </row>
    <row r="292" spans="1:60" ht="15.75" customHeight="1">
      <c r="A292" s="72" t="s">
        <v>359</v>
      </c>
      <c r="B292" s="2" t="str">
        <f>IFERROR(VLOOKUP(A292,'Tabela de Produtos'!A:B,2,0),"Preencher Cód. Produto")</f>
        <v>BRAZIMIL TINTA PISO PREMIUM  INT/EXT SEMIBRILHO 15L AZUL PROFUNDO</v>
      </c>
      <c r="C292" s="2"/>
      <c r="D292" s="73" t="s">
        <v>40</v>
      </c>
      <c r="E292" s="73"/>
      <c r="F292" s="74" t="str">
        <f>IF(A292=0,0,VLOOKUP(A292,'Tabela de Produtos'!A:W,23,0))</f>
        <v>Cadastrar Ficha de Produção</v>
      </c>
      <c r="G292" s="74">
        <v>0</v>
      </c>
      <c r="H292" s="76">
        <v>1</v>
      </c>
      <c r="I292" s="74">
        <f t="shared" si="170"/>
        <v>0</v>
      </c>
      <c r="J292" s="77">
        <f>VLOOKUP(B292,'Tabela de Produtos'!B:M,12,FALSE())</f>
        <v>0</v>
      </c>
      <c r="K292" s="74"/>
      <c r="L292" s="74"/>
      <c r="M292" s="74"/>
      <c r="N292" s="81"/>
      <c r="O292" s="74"/>
      <c r="P292" s="74"/>
      <c r="Q292" s="74"/>
      <c r="R292" s="81"/>
      <c r="S292" s="74"/>
      <c r="T292" s="74"/>
      <c r="U292" s="74"/>
      <c r="V292" s="74"/>
      <c r="W292" s="81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7"/>
      <c r="AY292" s="77">
        <f t="shared" si="171"/>
        <v>0</v>
      </c>
      <c r="AZ292" s="79">
        <f>IFERROR(H292*VLOOKUP(A292,'Tabela de Produtos'!A:Q,17,0),0)</f>
        <v>0</v>
      </c>
      <c r="BA292" s="74">
        <f t="shared" si="176"/>
        <v>0</v>
      </c>
      <c r="BB292" s="74">
        <f t="shared" si="176"/>
        <v>0</v>
      </c>
      <c r="BC292" s="74">
        <f t="shared" si="176"/>
        <v>0</v>
      </c>
      <c r="BD292" s="74">
        <f t="shared" si="176"/>
        <v>0</v>
      </c>
      <c r="BE292" s="74">
        <f t="shared" si="172"/>
        <v>0</v>
      </c>
      <c r="BF292" s="74">
        <f t="shared" si="173"/>
        <v>0</v>
      </c>
      <c r="BG292" s="74">
        <f t="shared" si="174"/>
        <v>0</v>
      </c>
      <c r="BH292" s="21">
        <f t="shared" si="175"/>
        <v>0</v>
      </c>
    </row>
    <row r="293" spans="1:60" ht="15.75" customHeight="1">
      <c r="A293" s="72" t="s">
        <v>360</v>
      </c>
      <c r="B293" s="2" t="str">
        <f>IFERROR(VLOOKUP(A293,'Tabela de Produtos'!A:B,2,0),"Preencher Cód. Produto")</f>
        <v>BRAZIMIL TINTA PISO PREMIUM  INT/EXT SEMIBRILHO 15L AMARELO DEMARCACAO</v>
      </c>
      <c r="C293" s="2"/>
      <c r="D293" s="73" t="s">
        <v>40</v>
      </c>
      <c r="E293" s="73"/>
      <c r="F293" s="74" t="str">
        <f>IF(A293=0,0,VLOOKUP(A293,'Tabela de Produtos'!A:W,23,0))</f>
        <v>Cadastrar Ficha de Produção</v>
      </c>
      <c r="G293" s="74">
        <v>0</v>
      </c>
      <c r="H293" s="76">
        <v>1</v>
      </c>
      <c r="I293" s="74">
        <f t="shared" si="170"/>
        <v>0</v>
      </c>
      <c r="J293" s="77">
        <f>VLOOKUP(B293,'Tabela de Produtos'!B:M,12,FALSE())</f>
        <v>0</v>
      </c>
      <c r="K293" s="74"/>
      <c r="L293" s="74"/>
      <c r="M293" s="74"/>
      <c r="N293" s="81"/>
      <c r="O293" s="74"/>
      <c r="P293" s="74"/>
      <c r="Q293" s="74"/>
      <c r="R293" s="81"/>
      <c r="S293" s="74"/>
      <c r="T293" s="74"/>
      <c r="U293" s="74"/>
      <c r="V293" s="74"/>
      <c r="W293" s="81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7"/>
      <c r="AY293" s="77">
        <f t="shared" si="171"/>
        <v>0</v>
      </c>
      <c r="AZ293" s="79">
        <f>IFERROR(H293*VLOOKUP(A293,'Tabela de Produtos'!A:Q,17,0),0)</f>
        <v>0</v>
      </c>
      <c r="BA293" s="74">
        <f t="shared" si="176"/>
        <v>0</v>
      </c>
      <c r="BB293" s="74">
        <f t="shared" si="176"/>
        <v>0</v>
      </c>
      <c r="BC293" s="74">
        <f t="shared" si="176"/>
        <v>0</v>
      </c>
      <c r="BD293" s="74">
        <f t="shared" si="176"/>
        <v>0</v>
      </c>
      <c r="BE293" s="74">
        <f t="shared" si="172"/>
        <v>0</v>
      </c>
      <c r="BF293" s="74">
        <f t="shared" si="173"/>
        <v>0</v>
      </c>
      <c r="BG293" s="74">
        <f t="shared" si="174"/>
        <v>0</v>
      </c>
      <c r="BH293" s="21">
        <f t="shared" si="175"/>
        <v>0</v>
      </c>
    </row>
    <row r="294" spans="1:60" ht="15.75" customHeight="1">
      <c r="A294" s="72" t="s">
        <v>361</v>
      </c>
      <c r="B294" s="2" t="str">
        <f>IFERROR(VLOOKUP(A294,'Tabela de Produtos'!A:B,2,0),"Preencher Cód. Produto")</f>
        <v>BRAZIMIL TINTA PISO PREMIUM  INT/EXT SEMIBRILHO 15L VERMELHO</v>
      </c>
      <c r="C294" s="2"/>
      <c r="D294" s="73" t="s">
        <v>40</v>
      </c>
      <c r="E294" s="73"/>
      <c r="F294" s="74" t="str">
        <f>IF(A294=0,0,VLOOKUP(A294,'Tabela de Produtos'!A:W,23,0))</f>
        <v>Cadastrar Ficha de Produção</v>
      </c>
      <c r="G294" s="74">
        <v>0</v>
      </c>
      <c r="H294" s="76">
        <v>1</v>
      </c>
      <c r="I294" s="74">
        <f t="shared" si="170"/>
        <v>0</v>
      </c>
      <c r="J294" s="77">
        <f>VLOOKUP(B294,'Tabela de Produtos'!B:M,12,FALSE())</f>
        <v>0</v>
      </c>
      <c r="K294" s="74"/>
      <c r="L294" s="74"/>
      <c r="M294" s="74"/>
      <c r="N294" s="81"/>
      <c r="O294" s="74"/>
      <c r="P294" s="74"/>
      <c r="Q294" s="74"/>
      <c r="R294" s="81"/>
      <c r="S294" s="74"/>
      <c r="T294" s="74"/>
      <c r="U294" s="74"/>
      <c r="V294" s="74"/>
      <c r="W294" s="81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7"/>
      <c r="AY294" s="77">
        <f t="shared" si="171"/>
        <v>0</v>
      </c>
      <c r="AZ294" s="79">
        <f>IFERROR(H294*VLOOKUP(A294,'Tabela de Produtos'!A:Q,17,0),0)</f>
        <v>0</v>
      </c>
      <c r="BA294" s="74">
        <f t="shared" ref="BA294:BD313" si="177">$I294*BA$12</f>
        <v>0</v>
      </c>
      <c r="BB294" s="74">
        <f t="shared" si="177"/>
        <v>0</v>
      </c>
      <c r="BC294" s="74">
        <f t="shared" si="177"/>
        <v>0</v>
      </c>
      <c r="BD294" s="74">
        <f t="shared" si="177"/>
        <v>0</v>
      </c>
      <c r="BE294" s="74">
        <f t="shared" si="172"/>
        <v>0</v>
      </c>
      <c r="BF294" s="74">
        <f t="shared" si="173"/>
        <v>0</v>
      </c>
      <c r="BG294" s="74">
        <f t="shared" si="174"/>
        <v>0</v>
      </c>
      <c r="BH294" s="21">
        <f t="shared" si="175"/>
        <v>0</v>
      </c>
    </row>
    <row r="295" spans="1:60" ht="15.75" customHeight="1">
      <c r="A295" s="72" t="s">
        <v>362</v>
      </c>
      <c r="B295" s="2" t="str">
        <f>IFERROR(VLOOKUP(A295,'Tabela de Produtos'!A:B,2,0),"Preencher Cód. Produto")</f>
        <v>BRAZIMIL TINTA PISO PREMIUM  INT/EXT SEMIBRILHO 15L VERDE FOLHA</v>
      </c>
      <c r="C295" s="2"/>
      <c r="D295" s="73" t="s">
        <v>40</v>
      </c>
      <c r="E295" s="73"/>
      <c r="F295" s="74" t="str">
        <f>IF(A295=0,0,VLOOKUP(A295,'Tabela de Produtos'!A:W,23,0))</f>
        <v>Cadastrar Ficha de Produção</v>
      </c>
      <c r="G295" s="74">
        <v>0</v>
      </c>
      <c r="H295" s="76">
        <v>1</v>
      </c>
      <c r="I295" s="74">
        <f t="shared" si="170"/>
        <v>0</v>
      </c>
      <c r="J295" s="77">
        <f>VLOOKUP(B295,'Tabela de Produtos'!B:M,12,FALSE())</f>
        <v>0</v>
      </c>
      <c r="K295" s="74"/>
      <c r="L295" s="74"/>
      <c r="M295" s="74"/>
      <c r="N295" s="81"/>
      <c r="O295" s="74"/>
      <c r="P295" s="74"/>
      <c r="Q295" s="74"/>
      <c r="R295" s="81"/>
      <c r="S295" s="74"/>
      <c r="T295" s="74"/>
      <c r="U295" s="74"/>
      <c r="V295" s="74"/>
      <c r="W295" s="81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7"/>
      <c r="AY295" s="77">
        <f t="shared" si="171"/>
        <v>0</v>
      </c>
      <c r="AZ295" s="79">
        <f>IFERROR(H295*VLOOKUP(A295,'Tabela de Produtos'!A:Q,17,0),0)</f>
        <v>0</v>
      </c>
      <c r="BA295" s="74">
        <f t="shared" si="177"/>
        <v>0</v>
      </c>
      <c r="BB295" s="74">
        <f t="shared" si="177"/>
        <v>0</v>
      </c>
      <c r="BC295" s="74">
        <f t="shared" si="177"/>
        <v>0</v>
      </c>
      <c r="BD295" s="74">
        <f t="shared" si="177"/>
        <v>0</v>
      </c>
      <c r="BE295" s="74">
        <f t="shared" si="172"/>
        <v>0</v>
      </c>
      <c r="BF295" s="74">
        <f t="shared" si="173"/>
        <v>0</v>
      </c>
      <c r="BG295" s="74">
        <f t="shared" si="174"/>
        <v>0</v>
      </c>
      <c r="BH295" s="21">
        <f t="shared" si="175"/>
        <v>0</v>
      </c>
    </row>
    <row r="296" spans="1:60" ht="15.75" customHeight="1">
      <c r="A296" s="72" t="s">
        <v>363</v>
      </c>
      <c r="B296" s="2" t="str">
        <f>IFERROR(VLOOKUP(A296,'Tabela de Produtos'!A:B,2,0),"Preencher Cód. Produto")</f>
        <v>BRAZIMIL BORRACHA LIQUIDA MULTIFUNÇÃO 3,6KG BRANCO NEVE</v>
      </c>
      <c r="C296" s="2"/>
      <c r="D296" s="73" t="s">
        <v>74</v>
      </c>
      <c r="E296" s="91">
        <v>100</v>
      </c>
      <c r="F296" s="74">
        <f>IF(A296=0,0,VLOOKUP(A296,'Tabela de Produtos'!A:W,23,0))</f>
        <v>43.61</v>
      </c>
      <c r="G296" s="75">
        <v>85.9</v>
      </c>
      <c r="H296" s="76">
        <v>1</v>
      </c>
      <c r="I296" s="74">
        <f t="shared" si="170"/>
        <v>85.9</v>
      </c>
      <c r="J296" s="77">
        <f>VLOOKUP(B296,'Tabela de Produtos'!B:M,12,FALSE())</f>
        <v>28.727999999999994</v>
      </c>
      <c r="K296" s="77">
        <f>VLOOKUP(B296,'Tabela de Produtos'!B:P,15,FALSE())</f>
        <v>1.1160000000000001</v>
      </c>
      <c r="L296" s="77">
        <f>J296*1%</f>
        <v>0.28727999999999992</v>
      </c>
      <c r="M296" s="77">
        <f>J296*1%</f>
        <v>0.28727999999999992</v>
      </c>
      <c r="N296" s="78">
        <f>J296+K296+L296+M296</f>
        <v>30.418559999999992</v>
      </c>
      <c r="O296" s="77">
        <f>($O$12/E296)*$O$13</f>
        <v>0.36200000000000004</v>
      </c>
      <c r="P296" s="77">
        <f>($P$12/E296)*$P$13</f>
        <v>0.28289999999999998</v>
      </c>
      <c r="Q296" s="77">
        <f>($Q$12/E296)*$Q$13</f>
        <v>0.28289999999999998</v>
      </c>
      <c r="R296" s="78">
        <f>O296+P296+Q296</f>
        <v>0.92779999999999996</v>
      </c>
      <c r="S296" s="77">
        <f>VLOOKUP(B296,'Tabela de Produtos'!B:N,13,FALSE())</f>
        <v>8.5299999999999994</v>
      </c>
      <c r="T296" s="74">
        <f>$T$12/$T$10</f>
        <v>0.69444444444444442</v>
      </c>
      <c r="U296" s="77">
        <f>$U$12/$U$10</f>
        <v>1.1944444444444444</v>
      </c>
      <c r="V296" s="74">
        <f>$V$12/$V$10</f>
        <v>0.33333333333333331</v>
      </c>
      <c r="W296" s="78">
        <f>S296+T296+U296+V296</f>
        <v>10.752222222222223</v>
      </c>
      <c r="X296" s="77">
        <f>(N296+R296+W296)*1%</f>
        <v>0.42098582222222219</v>
      </c>
      <c r="Y296" s="77">
        <f>X296</f>
        <v>0.42098582222222219</v>
      </c>
      <c r="Z296" s="77">
        <f>$Z$12/E296</f>
        <v>8.3000000000000001E-3</v>
      </c>
      <c r="AA296" s="77">
        <f>$AA$12/E296</f>
        <v>0.20833333333333331</v>
      </c>
      <c r="AB296" s="77">
        <f>$AB$12/E296</f>
        <v>0.19791666666666669</v>
      </c>
      <c r="AC296" s="77">
        <f>$AC$12/E296</f>
        <v>0</v>
      </c>
      <c r="AD296" s="77">
        <f>Z296+AA296+AB296+AC296</f>
        <v>0.41454999999999997</v>
      </c>
      <c r="AE296" s="77">
        <f>(AD296+Y296+W296+R296+N296)*$AE$7</f>
        <v>10.73352951111111</v>
      </c>
      <c r="AF296" s="77">
        <f>AE296</f>
        <v>10.73352951111111</v>
      </c>
      <c r="AG296" s="74"/>
      <c r="AH296" s="74"/>
      <c r="AI296" s="74"/>
      <c r="AJ296" s="74"/>
      <c r="AK296" s="74"/>
      <c r="AL296" s="77">
        <f>(AD296+Y296+W296+R296+N296)*$AL$7</f>
        <v>0</v>
      </c>
      <c r="AM296" s="77">
        <f>AL296+AF296+AD296+Y296+W296+R296+N296</f>
        <v>53.667647555555547</v>
      </c>
      <c r="AN296" s="77">
        <f>AM296*$AN$12</f>
        <v>0.64401177066666659</v>
      </c>
      <c r="AO296" s="77">
        <f>AM296*$AO$12</f>
        <v>0.57961059359999989</v>
      </c>
      <c r="AP296" s="77">
        <f>AO296+AN296</f>
        <v>1.2236223642666664</v>
      </c>
      <c r="AQ296" s="77">
        <f>AM296*$AQ$12</f>
        <v>4.4812485708888881</v>
      </c>
      <c r="AR296" s="77">
        <f>AM296*$AR$12</f>
        <v>0</v>
      </c>
      <c r="AS296" s="77">
        <f>AM296*$AS$12</f>
        <v>0</v>
      </c>
      <c r="AT296" s="77">
        <f>AQ296+AR296+AS296</f>
        <v>4.4812485708888881</v>
      </c>
      <c r="AU296" s="77">
        <f>AM296*$AU$12</f>
        <v>2.6833823777777774</v>
      </c>
      <c r="AV296" s="77">
        <f>AU296</f>
        <v>2.6833823777777774</v>
      </c>
      <c r="AW296" s="77">
        <f>AM296+AP296+AT296+AV296</f>
        <v>62.055900868488877</v>
      </c>
      <c r="AX296" s="21">
        <f>AY296/AW296</f>
        <v>0.38423580671308616</v>
      </c>
      <c r="AY296" s="77">
        <f t="shared" si="171"/>
        <v>23.844099131511129</v>
      </c>
      <c r="AZ296" s="79">
        <f>IFERROR(H296*VLOOKUP(A296,'Tabela de Produtos'!A:Q,17,0),0)</f>
        <v>38.373999999999995</v>
      </c>
      <c r="BA296" s="74">
        <f t="shared" si="177"/>
        <v>0</v>
      </c>
      <c r="BB296" s="74">
        <f t="shared" si="177"/>
        <v>0</v>
      </c>
      <c r="BC296" s="74">
        <f t="shared" si="177"/>
        <v>0</v>
      </c>
      <c r="BD296" s="74">
        <f t="shared" si="177"/>
        <v>6.0130000000000008</v>
      </c>
      <c r="BE296" s="74">
        <f t="shared" si="172"/>
        <v>4.2950000000000008</v>
      </c>
      <c r="BF296" s="74">
        <f t="shared" si="173"/>
        <v>48.681999999999995</v>
      </c>
      <c r="BG296" s="74">
        <f t="shared" si="174"/>
        <v>37.218000000000011</v>
      </c>
      <c r="BH296" s="21">
        <f t="shared" si="175"/>
        <v>0.43327124563445879</v>
      </c>
    </row>
    <row r="297" spans="1:60" ht="15.75" customHeight="1">
      <c r="A297" s="72" t="s">
        <v>364</v>
      </c>
      <c r="B297" s="2" t="str">
        <f>IFERROR(VLOOKUP(A297,'Tabela de Produtos'!A:B,2,0),"Preencher Cód. Produto")</f>
        <v>BRAZIMIL BORRACHA LIQUIDA MULTIFUNÇÃO 3,6KG CINZA MEDIO</v>
      </c>
      <c r="C297" s="2"/>
      <c r="D297" s="73" t="s">
        <v>74</v>
      </c>
      <c r="E297" s="91">
        <v>100</v>
      </c>
      <c r="F297" s="74">
        <f>IF(A297=0,0,VLOOKUP(A297,'Tabela de Produtos'!A:W,23,0))</f>
        <v>38.78</v>
      </c>
      <c r="G297" s="75">
        <v>85.9</v>
      </c>
      <c r="H297" s="76">
        <v>1</v>
      </c>
      <c r="I297" s="74">
        <f t="shared" si="170"/>
        <v>85.9</v>
      </c>
      <c r="J297" s="77">
        <f>VLOOKUP(B297,'Tabela de Produtos'!B:M,12,FALSE())</f>
        <v>24.48</v>
      </c>
      <c r="K297" s="77">
        <f>VLOOKUP(B297,'Tabela de Produtos'!B:P,15,FALSE())</f>
        <v>1.1160000000000001</v>
      </c>
      <c r="L297" s="77">
        <f>J297*1%</f>
        <v>0.24480000000000002</v>
      </c>
      <c r="M297" s="77">
        <f>J297*1%</f>
        <v>0.24480000000000002</v>
      </c>
      <c r="N297" s="78">
        <f>J297+K297+L297+M297</f>
        <v>26.085600000000003</v>
      </c>
      <c r="O297" s="77">
        <f>($O$12/E297)*$O$13</f>
        <v>0.36200000000000004</v>
      </c>
      <c r="P297" s="77">
        <f>($P$12/E297)*$P$13</f>
        <v>0.28289999999999998</v>
      </c>
      <c r="Q297" s="77">
        <f>($Q$12/E297)*$Q$13</f>
        <v>0.28289999999999998</v>
      </c>
      <c r="R297" s="78">
        <f>O297+P297+Q297</f>
        <v>0.92779999999999996</v>
      </c>
      <c r="S297" s="77">
        <f>VLOOKUP(B297,'Tabela de Produtos'!B:N,13,FALSE())</f>
        <v>8.5299999999999994</v>
      </c>
      <c r="T297" s="74">
        <f>$T$12/$T$10</f>
        <v>0.69444444444444442</v>
      </c>
      <c r="U297" s="77">
        <f>$U$12/$U$10</f>
        <v>1.1944444444444444</v>
      </c>
      <c r="V297" s="74">
        <f>$V$12/$V$10</f>
        <v>0.33333333333333331</v>
      </c>
      <c r="W297" s="78">
        <f>S297+T297+U297+V297</f>
        <v>10.752222222222223</v>
      </c>
      <c r="X297" s="77">
        <f>(N297+R297+W297)*1%</f>
        <v>0.37765622222222228</v>
      </c>
      <c r="Y297" s="77">
        <f>X297</f>
        <v>0.37765622222222228</v>
      </c>
      <c r="Z297" s="77">
        <f>$Z$12/E297</f>
        <v>8.3000000000000001E-3</v>
      </c>
      <c r="AA297" s="77">
        <f>$AA$12/E297</f>
        <v>0.20833333333333331</v>
      </c>
      <c r="AB297" s="77">
        <f>$AB$12/E297</f>
        <v>0.19791666666666669</v>
      </c>
      <c r="AC297" s="77">
        <f>$AC$12/E297</f>
        <v>0</v>
      </c>
      <c r="AD297" s="77">
        <f>Z297+AA297+AB297+AC297</f>
        <v>0.41454999999999997</v>
      </c>
      <c r="AE297" s="77">
        <f>(AD297+Y297+W297+R297+N297)*$AE$7</f>
        <v>9.6394571111111116</v>
      </c>
      <c r="AF297" s="77">
        <f>AE297</f>
        <v>9.6394571111111116</v>
      </c>
      <c r="AG297" s="74"/>
      <c r="AH297" s="74"/>
      <c r="AI297" s="74"/>
      <c r="AJ297" s="74"/>
      <c r="AK297" s="74"/>
      <c r="AL297" s="77">
        <f>(AD297+Y297+W297+R297+N297)*$AL$7</f>
        <v>0</v>
      </c>
      <c r="AM297" s="77">
        <f>AL297+AF297+AD297+Y297+W297+R297+N297</f>
        <v>48.19728555555556</v>
      </c>
      <c r="AN297" s="77">
        <f>AM297*$AN$12</f>
        <v>0.57836742666666674</v>
      </c>
      <c r="AO297" s="77">
        <f>AM297*$AO$12</f>
        <v>0.52053068400000002</v>
      </c>
      <c r="AP297" s="77">
        <f>AO297+AN297</f>
        <v>1.0988981106666666</v>
      </c>
      <c r="AQ297" s="77">
        <f>AM297*$AQ$12</f>
        <v>4.0244733438888893</v>
      </c>
      <c r="AR297" s="77">
        <f>AM297*$AR$12</f>
        <v>0</v>
      </c>
      <c r="AS297" s="77">
        <f>AM297*$AS$12</f>
        <v>0</v>
      </c>
      <c r="AT297" s="77">
        <f>AQ297+AR297+AS297</f>
        <v>4.0244733438888893</v>
      </c>
      <c r="AU297" s="77">
        <f>AM297*$AU$12</f>
        <v>2.4098642777777783</v>
      </c>
      <c r="AV297" s="77">
        <f>AU297</f>
        <v>2.4098642777777783</v>
      </c>
      <c r="AW297" s="77">
        <f>AM297+AP297+AT297+AV297</f>
        <v>55.730521287888898</v>
      </c>
      <c r="AX297" s="21">
        <f>AY297/AW297</f>
        <v>0.54134571173780499</v>
      </c>
      <c r="AY297" s="77">
        <f t="shared" si="171"/>
        <v>30.169478712111108</v>
      </c>
      <c r="AZ297" s="79">
        <f>IFERROR(H297*VLOOKUP(A297,'Tabela de Produtos'!A:Q,17,0),0)</f>
        <v>34.125999999999998</v>
      </c>
      <c r="BA297" s="74">
        <f t="shared" si="177"/>
        <v>0</v>
      </c>
      <c r="BB297" s="74">
        <f t="shared" si="177"/>
        <v>0</v>
      </c>
      <c r="BC297" s="74">
        <f t="shared" si="177"/>
        <v>0</v>
      </c>
      <c r="BD297" s="74">
        <f t="shared" si="177"/>
        <v>6.0130000000000008</v>
      </c>
      <c r="BE297" s="74">
        <f t="shared" si="172"/>
        <v>4.2950000000000008</v>
      </c>
      <c r="BF297" s="74">
        <f t="shared" si="173"/>
        <v>44.433999999999997</v>
      </c>
      <c r="BG297" s="74">
        <f t="shared" si="174"/>
        <v>41.466000000000008</v>
      </c>
      <c r="BH297" s="21">
        <f t="shared" si="175"/>
        <v>0.48272409778812581</v>
      </c>
    </row>
    <row r="298" spans="1:60" ht="15.75" customHeight="1">
      <c r="A298" s="72" t="s">
        <v>365</v>
      </c>
      <c r="B298" s="2" t="str">
        <f>IFERROR(VLOOKUP(A298,'Tabela de Produtos'!A:B,2,0),"Preencher Cód. Produto")</f>
        <v>BRAZIMIL BORRACHA LIQUIDA MULTIFUNÇÃO 3,6KG CINZA PLATINA</v>
      </c>
      <c r="C298" s="2"/>
      <c r="D298" s="73"/>
      <c r="E298" s="73"/>
      <c r="F298" s="74" t="str">
        <f>IF(A298=0,0,VLOOKUP(A298,'Tabela de Produtos'!A:W,23,0))</f>
        <v>Cadastrar Ficha de Produção</v>
      </c>
      <c r="G298" s="74">
        <v>85.9</v>
      </c>
      <c r="H298" s="76">
        <v>1</v>
      </c>
      <c r="I298" s="74">
        <f t="shared" si="170"/>
        <v>85.9</v>
      </c>
      <c r="J298" s="77">
        <f>VLOOKUP(B298,'Tabela de Produtos'!B:M,12,FALSE())</f>
        <v>0</v>
      </c>
      <c r="K298" s="74"/>
      <c r="L298" s="74"/>
      <c r="M298" s="74"/>
      <c r="N298" s="81"/>
      <c r="O298" s="74"/>
      <c r="P298" s="74"/>
      <c r="Q298" s="74"/>
      <c r="R298" s="81"/>
      <c r="S298" s="74"/>
      <c r="T298" s="74"/>
      <c r="U298" s="74"/>
      <c r="V298" s="74"/>
      <c r="W298" s="81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7"/>
      <c r="AY298" s="77">
        <f t="shared" si="171"/>
        <v>85.9</v>
      </c>
      <c r="AZ298" s="79">
        <f>IFERROR(H298*VLOOKUP(A298,'Tabela de Produtos'!A:Q,17,0),0)</f>
        <v>8.5299999999999994</v>
      </c>
      <c r="BA298" s="74">
        <f t="shared" si="177"/>
        <v>0</v>
      </c>
      <c r="BB298" s="74">
        <f t="shared" si="177"/>
        <v>0</v>
      </c>
      <c r="BC298" s="74">
        <f t="shared" si="177"/>
        <v>0</v>
      </c>
      <c r="BD298" s="74">
        <f t="shared" si="177"/>
        <v>6.0130000000000008</v>
      </c>
      <c r="BE298" s="74">
        <f t="shared" si="172"/>
        <v>4.2950000000000008</v>
      </c>
      <c r="BF298" s="74">
        <f t="shared" si="173"/>
        <v>18.838000000000001</v>
      </c>
      <c r="BG298" s="74">
        <f t="shared" si="174"/>
        <v>67.062000000000012</v>
      </c>
      <c r="BH298" s="21">
        <f t="shared" si="175"/>
        <v>0</v>
      </c>
    </row>
    <row r="299" spans="1:60" ht="15.75" customHeight="1">
      <c r="A299" s="72" t="s">
        <v>366</v>
      </c>
      <c r="B299" s="2" t="str">
        <f>IFERROR(VLOOKUP(A299,'Tabela de Produtos'!A:B,2,0),"Preencher Cód. Produto")</f>
        <v>BRAZIMIL BORRACHA LIQUIDA MULTIFUNÇÃO 3,6KG CERAMICA</v>
      </c>
      <c r="C299" s="2"/>
      <c r="D299" s="73" t="s">
        <v>74</v>
      </c>
      <c r="E299" s="91">
        <v>100</v>
      </c>
      <c r="F299" s="74">
        <f>IF(A299=0,0,VLOOKUP(A299,'Tabela de Produtos'!A:W,23,0))</f>
        <v>40.5</v>
      </c>
      <c r="G299" s="75">
        <v>85.9</v>
      </c>
      <c r="H299" s="76">
        <v>1</v>
      </c>
      <c r="I299" s="74">
        <f t="shared" si="170"/>
        <v>85.9</v>
      </c>
      <c r="J299" s="77">
        <f>VLOOKUP(B299,'Tabela de Produtos'!B:M,12,FALSE())</f>
        <v>25.992000000000001</v>
      </c>
      <c r="K299" s="77">
        <f>VLOOKUP(B299,'Tabela de Produtos'!B:P,15,FALSE())</f>
        <v>1.1160000000000001</v>
      </c>
      <c r="L299" s="77">
        <f>J299*1%</f>
        <v>0.25992000000000004</v>
      </c>
      <c r="M299" s="77">
        <f>J299*1%</f>
        <v>0.25992000000000004</v>
      </c>
      <c r="N299" s="78">
        <f>J299+K299+L299+M299</f>
        <v>27.627840000000003</v>
      </c>
      <c r="O299" s="77">
        <f>($O$12/E299)*$O$13</f>
        <v>0.36200000000000004</v>
      </c>
      <c r="P299" s="77">
        <f>($P$12/E299)*$P$13</f>
        <v>0.28289999999999998</v>
      </c>
      <c r="Q299" s="77">
        <f>($Q$12/E299)*$Q$13</f>
        <v>0.28289999999999998</v>
      </c>
      <c r="R299" s="78">
        <f>O299+P299+Q299</f>
        <v>0.92779999999999996</v>
      </c>
      <c r="S299" s="77">
        <f>VLOOKUP(B299,'Tabela de Produtos'!B:N,13,FALSE())</f>
        <v>8.5299999999999994</v>
      </c>
      <c r="T299" s="74">
        <f>$T$12/$T$10</f>
        <v>0.69444444444444442</v>
      </c>
      <c r="U299" s="77">
        <f>$U$12/$U$10</f>
        <v>1.1944444444444444</v>
      </c>
      <c r="V299" s="74">
        <f>$V$12/$V$10</f>
        <v>0.33333333333333331</v>
      </c>
      <c r="W299" s="78">
        <f>S299+T299+U299+V299</f>
        <v>10.752222222222223</v>
      </c>
      <c r="X299" s="77">
        <f>(N299+R299+W299)*1%</f>
        <v>0.39307862222222228</v>
      </c>
      <c r="Y299" s="77">
        <f>X299</f>
        <v>0.39307862222222228</v>
      </c>
      <c r="Z299" s="77">
        <f>$Z$12/E299</f>
        <v>8.3000000000000001E-3</v>
      </c>
      <c r="AA299" s="77">
        <f>$AA$12/E299</f>
        <v>0.20833333333333331</v>
      </c>
      <c r="AB299" s="77">
        <f>$AB$12/E299</f>
        <v>0.19791666666666669</v>
      </c>
      <c r="AC299" s="77">
        <f>$AC$12/E299</f>
        <v>0</v>
      </c>
      <c r="AD299" s="77">
        <f>Z299+AA299+AB299+AC299</f>
        <v>0.41454999999999997</v>
      </c>
      <c r="AE299" s="77">
        <f>(AD299+Y299+W299+R299+N299)*$AE$7</f>
        <v>10.028872711111111</v>
      </c>
      <c r="AF299" s="77">
        <f>AE299</f>
        <v>10.028872711111111</v>
      </c>
      <c r="AG299" s="74"/>
      <c r="AH299" s="74"/>
      <c r="AI299" s="74"/>
      <c r="AJ299" s="74"/>
      <c r="AK299" s="74"/>
      <c r="AL299" s="77">
        <f>(AD299+Y299+W299+R299+N299)*$AL$7</f>
        <v>0</v>
      </c>
      <c r="AM299" s="77">
        <f>AL299+AF299+AD299+Y299+W299+R299+N299</f>
        <v>50.144363555555557</v>
      </c>
      <c r="AN299" s="77">
        <f>AM299*$AN$12</f>
        <v>0.60173236266666674</v>
      </c>
      <c r="AO299" s="77">
        <f>AM299*$AO$12</f>
        <v>0.54155912640000003</v>
      </c>
      <c r="AP299" s="77">
        <f>AO299+AN299</f>
        <v>1.1432914890666668</v>
      </c>
      <c r="AQ299" s="77">
        <f>AM299*$AQ$12</f>
        <v>4.1870543568888889</v>
      </c>
      <c r="AR299" s="77">
        <f>AM299*$AR$12</f>
        <v>0</v>
      </c>
      <c r="AS299" s="77">
        <f>AM299*$AS$12</f>
        <v>0</v>
      </c>
      <c r="AT299" s="77">
        <f>AQ299+AR299+AS299</f>
        <v>4.1870543568888889</v>
      </c>
      <c r="AU299" s="77">
        <f>AM299*$AU$12</f>
        <v>2.5072181777777782</v>
      </c>
      <c r="AV299" s="77">
        <f>AU299</f>
        <v>2.5072181777777782</v>
      </c>
      <c r="AW299" s="77">
        <f>AM299+AP299+AT299+AV299</f>
        <v>57.981927579288893</v>
      </c>
      <c r="AX299" s="21">
        <f>AY299/AW299</f>
        <v>0.48149610725745223</v>
      </c>
      <c r="AY299" s="77">
        <f t="shared" si="171"/>
        <v>27.918072420711113</v>
      </c>
      <c r="AZ299" s="79">
        <f>IFERROR(H299*VLOOKUP(A299,'Tabela de Produtos'!A:Q,17,0),0)</f>
        <v>35.637999999999998</v>
      </c>
      <c r="BA299" s="74">
        <f t="shared" si="177"/>
        <v>0</v>
      </c>
      <c r="BB299" s="74">
        <f t="shared" si="177"/>
        <v>0</v>
      </c>
      <c r="BC299" s="74">
        <f t="shared" si="177"/>
        <v>0</v>
      </c>
      <c r="BD299" s="74">
        <f t="shared" si="177"/>
        <v>6.0130000000000008</v>
      </c>
      <c r="BE299" s="74">
        <f t="shared" si="172"/>
        <v>4.2950000000000008</v>
      </c>
      <c r="BF299" s="74">
        <f t="shared" si="173"/>
        <v>45.945999999999998</v>
      </c>
      <c r="BG299" s="74">
        <f t="shared" si="174"/>
        <v>39.954000000000008</v>
      </c>
      <c r="BH299" s="21">
        <f t="shared" si="175"/>
        <v>0.46512223515715956</v>
      </c>
    </row>
    <row r="300" spans="1:60" ht="15.75" customHeight="1">
      <c r="A300" s="72" t="s">
        <v>367</v>
      </c>
      <c r="B300" s="2" t="str">
        <f>IFERROR(VLOOKUP(A300,'Tabela de Produtos'!A:B,2,0),"Preencher Cód. Produto")</f>
        <v>BRAZIMIL BORRACHA LIQUIDA MULTIFUNÇÃO 3,6KG BEGE</v>
      </c>
      <c r="C300" s="2"/>
      <c r="D300" s="73" t="s">
        <v>74</v>
      </c>
      <c r="E300" s="91">
        <v>100</v>
      </c>
      <c r="F300" s="74">
        <f>IF(A300=0,0,VLOOKUP(A300,'Tabela de Produtos'!A:W,23,0))</f>
        <v>39.03</v>
      </c>
      <c r="G300" s="75">
        <v>85.9</v>
      </c>
      <c r="H300" s="76">
        <v>1</v>
      </c>
      <c r="I300" s="74">
        <f t="shared" si="170"/>
        <v>85.9</v>
      </c>
      <c r="J300" s="77">
        <f>VLOOKUP(B300,'Tabela de Produtos'!B:M,12,FALSE())</f>
        <v>24.695999999999998</v>
      </c>
      <c r="K300" s="77">
        <f>VLOOKUP(B300,'Tabela de Produtos'!B:P,15,FALSE())</f>
        <v>1.1160000000000001</v>
      </c>
      <c r="L300" s="77">
        <f>J300*1%</f>
        <v>0.24695999999999999</v>
      </c>
      <c r="M300" s="77">
        <f>J300*1%</f>
        <v>0.24695999999999999</v>
      </c>
      <c r="N300" s="78">
        <f>J300+K300+L300+M300</f>
        <v>26.30592</v>
      </c>
      <c r="O300" s="77">
        <f>($O$12/E300)*$O$13</f>
        <v>0.36200000000000004</v>
      </c>
      <c r="P300" s="77">
        <f>($P$12/E300)*$P$13</f>
        <v>0.28289999999999998</v>
      </c>
      <c r="Q300" s="77">
        <f>($Q$12/E300)*$Q$13</f>
        <v>0.28289999999999998</v>
      </c>
      <c r="R300" s="78">
        <f>O300+P300+Q300</f>
        <v>0.92779999999999996</v>
      </c>
      <c r="S300" s="77">
        <f>VLOOKUP(B300,'Tabela de Produtos'!B:N,13,FALSE())</f>
        <v>8.5299999999999994</v>
      </c>
      <c r="T300" s="74">
        <f>$T$12/$T$10</f>
        <v>0.69444444444444442</v>
      </c>
      <c r="U300" s="77">
        <f>$U$12/$U$10</f>
        <v>1.1944444444444444</v>
      </c>
      <c r="V300" s="74">
        <f>$V$12/$V$10</f>
        <v>0.33333333333333331</v>
      </c>
      <c r="W300" s="78">
        <f>S300+T300+U300+V300</f>
        <v>10.752222222222223</v>
      </c>
      <c r="X300" s="77">
        <f>(N300+R300+W300)*1%</f>
        <v>0.37985942222222224</v>
      </c>
      <c r="Y300" s="77">
        <f>X300</f>
        <v>0.37985942222222224</v>
      </c>
      <c r="Z300" s="77">
        <f>$Z$12/E300</f>
        <v>8.3000000000000001E-3</v>
      </c>
      <c r="AA300" s="77">
        <f>$AA$12/E300</f>
        <v>0.20833333333333331</v>
      </c>
      <c r="AB300" s="77">
        <f>$AB$12/E300</f>
        <v>0.19791666666666669</v>
      </c>
      <c r="AC300" s="77">
        <f>$AC$12/E300</f>
        <v>0</v>
      </c>
      <c r="AD300" s="77">
        <f>Z300+AA300+AB300+AC300</f>
        <v>0.41454999999999997</v>
      </c>
      <c r="AE300" s="77">
        <f>(AD300+Y300+W300+R300+N300)*$AE$7</f>
        <v>9.695087911111111</v>
      </c>
      <c r="AF300" s="77">
        <f>AE300</f>
        <v>9.695087911111111</v>
      </c>
      <c r="AG300" s="74"/>
      <c r="AH300" s="74"/>
      <c r="AI300" s="74"/>
      <c r="AJ300" s="74"/>
      <c r="AK300" s="74"/>
      <c r="AL300" s="77">
        <f>(AD300+Y300+W300+R300+N300)*$AL$7</f>
        <v>0</v>
      </c>
      <c r="AM300" s="77">
        <f>AL300+AF300+AD300+Y300+W300+R300+N300</f>
        <v>48.475439555555553</v>
      </c>
      <c r="AN300" s="77">
        <f>AM300*$AN$12</f>
        <v>0.58170527466666666</v>
      </c>
      <c r="AO300" s="77">
        <f>AM300*$AO$12</f>
        <v>0.52353474720000004</v>
      </c>
      <c r="AP300" s="77">
        <f>AO300+AN300</f>
        <v>1.1052400218666667</v>
      </c>
      <c r="AQ300" s="77">
        <f>AM300*$AQ$12</f>
        <v>4.0476992028888885</v>
      </c>
      <c r="AR300" s="77">
        <f>AM300*$AR$12</f>
        <v>0</v>
      </c>
      <c r="AS300" s="77">
        <f>AM300*$AS$12</f>
        <v>0</v>
      </c>
      <c r="AT300" s="77">
        <f>AQ300+AR300+AS300</f>
        <v>4.0476992028888885</v>
      </c>
      <c r="AU300" s="77">
        <f>AM300*$AU$12</f>
        <v>2.4237719777777778</v>
      </c>
      <c r="AV300" s="77">
        <f>AU300</f>
        <v>2.4237719777777778</v>
      </c>
      <c r="AW300" s="77">
        <f>AM300+AP300+AT300+AV300</f>
        <v>56.052150758088878</v>
      </c>
      <c r="AX300" s="21">
        <f>AY300/AW300</f>
        <v>0.53250140874574359</v>
      </c>
      <c r="AY300" s="77">
        <f t="shared" si="171"/>
        <v>29.847849241911128</v>
      </c>
      <c r="AZ300" s="79">
        <f>IFERROR(H300*VLOOKUP(A300,'Tabela de Produtos'!A:Q,17,0),0)</f>
        <v>34.341999999999999</v>
      </c>
      <c r="BA300" s="74">
        <f t="shared" si="177"/>
        <v>0</v>
      </c>
      <c r="BB300" s="74">
        <f t="shared" si="177"/>
        <v>0</v>
      </c>
      <c r="BC300" s="74">
        <f t="shared" si="177"/>
        <v>0</v>
      </c>
      <c r="BD300" s="74">
        <f t="shared" si="177"/>
        <v>6.0130000000000008</v>
      </c>
      <c r="BE300" s="74">
        <f t="shared" si="172"/>
        <v>4.2950000000000008</v>
      </c>
      <c r="BF300" s="74">
        <f t="shared" si="173"/>
        <v>44.65</v>
      </c>
      <c r="BG300" s="74">
        <f t="shared" si="174"/>
        <v>41.250000000000007</v>
      </c>
      <c r="BH300" s="21">
        <f t="shared" si="175"/>
        <v>0.48020954598370202</v>
      </c>
    </row>
    <row r="301" spans="1:60" ht="15.75" customHeight="1">
      <c r="A301" s="72" t="s">
        <v>368</v>
      </c>
      <c r="B301" s="2" t="str">
        <f>IFERROR(VLOOKUP(A301,'Tabela de Produtos'!A:B,2,0),"Preencher Cód. Produto")</f>
        <v>BRAZIMIL BORRACHA LIQUIDA MULTIFUNÇÃO 14KG BRANCO NEVE</v>
      </c>
      <c r="C301" s="2"/>
      <c r="D301" s="73" t="s">
        <v>71</v>
      </c>
      <c r="E301" s="91">
        <v>28</v>
      </c>
      <c r="F301" s="74">
        <f>IF(A301=0,0,VLOOKUP(A301,'Tabela de Produtos'!A:W,23,0))</f>
        <v>154.73999999999998</v>
      </c>
      <c r="G301" s="75">
        <v>379.9</v>
      </c>
      <c r="H301" s="76">
        <v>1</v>
      </c>
      <c r="I301" s="74">
        <f t="shared" si="170"/>
        <v>379.9</v>
      </c>
      <c r="J301" s="77">
        <f>VLOOKUP(B301,'Tabela de Produtos'!B:M,12,FALSE())</f>
        <v>111.71999999999998</v>
      </c>
      <c r="K301" s="77">
        <f>VLOOKUP(B301,'Tabela de Produtos'!B:P,15,FALSE())</f>
        <v>4.34</v>
      </c>
      <c r="L301" s="77">
        <f>J301*1%</f>
        <v>1.1172</v>
      </c>
      <c r="M301" s="77">
        <f>J301*1%</f>
        <v>1.1172</v>
      </c>
      <c r="N301" s="78">
        <f>J301+K301+L301+M301</f>
        <v>118.29439999999998</v>
      </c>
      <c r="O301" s="77">
        <f>($O$12/E301)*$O$13</f>
        <v>1.2928571428571429</v>
      </c>
      <c r="P301" s="77">
        <f>($P$12/E301)*$P$13</f>
        <v>1.0103571428571427</v>
      </c>
      <c r="Q301" s="77">
        <f>($Q$12/E301)*$Q$13</f>
        <v>1.0103571428571427</v>
      </c>
      <c r="R301" s="78">
        <f>O301+P301+Q301</f>
        <v>3.3135714285714286</v>
      </c>
      <c r="S301" s="77">
        <f>VLOOKUP(B301,'Tabela de Produtos'!B:N,13,FALSE())</f>
        <v>20.11</v>
      </c>
      <c r="T301" s="74">
        <f>$T$12/$T$9</f>
        <v>0.625</v>
      </c>
      <c r="U301" s="77">
        <f>$U$12/$U$9</f>
        <v>1.075</v>
      </c>
      <c r="V301" s="74">
        <f>$V$12/$V$9</f>
        <v>0.33333333333333331</v>
      </c>
      <c r="W301" s="78">
        <f>S301+T301+U301+V301</f>
        <v>22.143333333333331</v>
      </c>
      <c r="X301" s="77">
        <f>(N301+R301+W301)*1%</f>
        <v>1.4375130476190474</v>
      </c>
      <c r="Y301" s="77">
        <f>X301</f>
        <v>1.4375130476190474</v>
      </c>
      <c r="Z301" s="77">
        <f>$Z$12/E301</f>
        <v>2.9642857142857141E-2</v>
      </c>
      <c r="AA301" s="77">
        <f>$AA$12/E301</f>
        <v>0.74404761904761896</v>
      </c>
      <c r="AB301" s="77">
        <f>$AB$12/E301</f>
        <v>0.70684523809523814</v>
      </c>
      <c r="AC301" s="77">
        <f>$AC$12/E301</f>
        <v>0</v>
      </c>
      <c r="AD301" s="77">
        <f>Z301+AA301+AB301+AC301</f>
        <v>1.4805357142857143</v>
      </c>
      <c r="AE301" s="77">
        <f>(AD301+Y301+W301+R301+N301)*$AE$7</f>
        <v>36.667338380952373</v>
      </c>
      <c r="AF301" s="77">
        <f>AE301</f>
        <v>36.667338380952373</v>
      </c>
      <c r="AG301" s="74"/>
      <c r="AH301" s="74"/>
      <c r="AI301" s="74"/>
      <c r="AJ301" s="74"/>
      <c r="AK301" s="74"/>
      <c r="AL301" s="77">
        <f>(AD301+Y301+W301+R301+N301)*$AL$7</f>
        <v>0</v>
      </c>
      <c r="AM301" s="77">
        <f>AL301+AF301+AD301+Y301+W301+R301+N301</f>
        <v>183.33669190476189</v>
      </c>
      <c r="AN301" s="77">
        <f>AM301*$AN$12</f>
        <v>2.2000403028571429</v>
      </c>
      <c r="AO301" s="77">
        <f>AM301*$AO$12</f>
        <v>1.9800362725714284</v>
      </c>
      <c r="AP301" s="77">
        <f>AO301+AN301</f>
        <v>4.1800765754285711</v>
      </c>
      <c r="AQ301" s="77">
        <f>AM301*$AQ$12</f>
        <v>15.308613774047618</v>
      </c>
      <c r="AR301" s="77">
        <f>AM301*$AR$12</f>
        <v>0</v>
      </c>
      <c r="AS301" s="77">
        <f>AM301*$AS$12</f>
        <v>0</v>
      </c>
      <c r="AT301" s="77">
        <f>AQ301+AR301+AS301</f>
        <v>15.308613774047618</v>
      </c>
      <c r="AU301" s="77">
        <f>AM301*$AU$12</f>
        <v>9.166834595238095</v>
      </c>
      <c r="AV301" s="77">
        <f>AU301</f>
        <v>9.166834595238095</v>
      </c>
      <c r="AW301" s="77">
        <f>AM301+AP301+AT301+AV301</f>
        <v>211.99221684947616</v>
      </c>
      <c r="AX301" s="21">
        <f>AY301/AW301</f>
        <v>0.79204692344788186</v>
      </c>
      <c r="AY301" s="77">
        <f t="shared" si="171"/>
        <v>167.90778315052381</v>
      </c>
      <c r="AZ301" s="79">
        <f>IFERROR(H301*VLOOKUP(A301,'Tabela de Produtos'!A:Q,17,0),0)</f>
        <v>136.16999999999999</v>
      </c>
      <c r="BA301" s="74">
        <f t="shared" si="177"/>
        <v>0</v>
      </c>
      <c r="BB301" s="74">
        <f t="shared" si="177"/>
        <v>0</v>
      </c>
      <c r="BC301" s="74">
        <f t="shared" si="177"/>
        <v>0</v>
      </c>
      <c r="BD301" s="74">
        <f t="shared" si="177"/>
        <v>26.593</v>
      </c>
      <c r="BE301" s="74">
        <f t="shared" si="172"/>
        <v>18.995000000000001</v>
      </c>
      <c r="BF301" s="74">
        <f t="shared" si="173"/>
        <v>181.75799999999998</v>
      </c>
      <c r="BG301" s="74">
        <f t="shared" si="174"/>
        <v>198.142</v>
      </c>
      <c r="BH301" s="21">
        <f t="shared" si="175"/>
        <v>0.52156356936035797</v>
      </c>
    </row>
    <row r="302" spans="1:60" ht="15.75" customHeight="1">
      <c r="A302" s="72" t="s">
        <v>369</v>
      </c>
      <c r="B302" s="2" t="str">
        <f>IFERROR(VLOOKUP(A302,'Tabela de Produtos'!A:B,2,0),"Preencher Cód. Produto")</f>
        <v>BRAZIMIL BORRACHA LIQUIDA MULTIFUNÇÃO 14KG CINZA MEDIO</v>
      </c>
      <c r="C302" s="2"/>
      <c r="D302" s="73" t="s">
        <v>71</v>
      </c>
      <c r="E302" s="91">
        <v>28</v>
      </c>
      <c r="F302" s="74">
        <f>IF(A302=0,0,VLOOKUP(A302,'Tabela de Produtos'!A:W,23,0))</f>
        <v>135.97</v>
      </c>
      <c r="G302" s="75">
        <v>379.9</v>
      </c>
      <c r="H302" s="76">
        <v>1</v>
      </c>
      <c r="I302" s="74">
        <f t="shared" si="170"/>
        <v>379.9</v>
      </c>
      <c r="J302" s="77">
        <f>VLOOKUP(B302,'Tabela de Produtos'!B:M,12,FALSE())</f>
        <v>95.2</v>
      </c>
      <c r="K302" s="77">
        <f>VLOOKUP(B302,'Tabela de Produtos'!B:P,15,FALSE())</f>
        <v>4.34</v>
      </c>
      <c r="L302" s="77">
        <f>J302*1%</f>
        <v>0.95200000000000007</v>
      </c>
      <c r="M302" s="77">
        <f>J302*1%</f>
        <v>0.95200000000000007</v>
      </c>
      <c r="N302" s="78">
        <f>J302+K302+L302+M302</f>
        <v>101.444</v>
      </c>
      <c r="O302" s="77">
        <f>($O$12/E302)*$O$13</f>
        <v>1.2928571428571429</v>
      </c>
      <c r="P302" s="77">
        <f>($P$12/E302)*$P$13</f>
        <v>1.0103571428571427</v>
      </c>
      <c r="Q302" s="77">
        <f>($Q$12/E302)*$Q$13</f>
        <v>1.0103571428571427</v>
      </c>
      <c r="R302" s="78">
        <f>O302+P302+Q302</f>
        <v>3.3135714285714286</v>
      </c>
      <c r="S302" s="77">
        <f>VLOOKUP(B302,'Tabela de Produtos'!B:N,13,FALSE())</f>
        <v>20.11</v>
      </c>
      <c r="T302" s="74">
        <f>$T$12/$T$9</f>
        <v>0.625</v>
      </c>
      <c r="U302" s="77">
        <f>$U$12/$U$9</f>
        <v>1.075</v>
      </c>
      <c r="V302" s="74">
        <f>$V$12/$V$9</f>
        <v>0.33333333333333331</v>
      </c>
      <c r="W302" s="78">
        <f>S302+T302+U302+V302</f>
        <v>22.143333333333331</v>
      </c>
      <c r="X302" s="77">
        <f>(N302+R302+W302)*1%</f>
        <v>1.2690090476190476</v>
      </c>
      <c r="Y302" s="77">
        <f>X302</f>
        <v>1.2690090476190476</v>
      </c>
      <c r="Z302" s="77">
        <f>$Z$12/E302</f>
        <v>2.9642857142857141E-2</v>
      </c>
      <c r="AA302" s="77">
        <f>$AA$12/E302</f>
        <v>0.74404761904761896</v>
      </c>
      <c r="AB302" s="77">
        <f>$AB$12/E302</f>
        <v>0.70684523809523814</v>
      </c>
      <c r="AC302" s="77">
        <f>$AC$12/E302</f>
        <v>0</v>
      </c>
      <c r="AD302" s="77">
        <f>Z302+AA302+AB302+AC302</f>
        <v>1.4805357142857143</v>
      </c>
      <c r="AE302" s="77">
        <f>(AD302+Y302+W302+R302+N302)*$AE$7</f>
        <v>32.412612380952382</v>
      </c>
      <c r="AF302" s="77">
        <f>AE302</f>
        <v>32.412612380952382</v>
      </c>
      <c r="AG302" s="74"/>
      <c r="AH302" s="74"/>
      <c r="AI302" s="74"/>
      <c r="AJ302" s="74"/>
      <c r="AK302" s="74"/>
      <c r="AL302" s="77">
        <f>(AD302+Y302+W302+R302+N302)*$AL$7</f>
        <v>0</v>
      </c>
      <c r="AM302" s="77">
        <f>AL302+AF302+AD302+Y302+W302+R302+N302</f>
        <v>162.06306190476192</v>
      </c>
      <c r="AN302" s="77">
        <f>AM302*$AN$12</f>
        <v>1.9447567428571431</v>
      </c>
      <c r="AO302" s="77">
        <f>AM302*$AO$12</f>
        <v>1.750281068571429</v>
      </c>
      <c r="AP302" s="77">
        <f>AO302+AN302</f>
        <v>3.695037811428572</v>
      </c>
      <c r="AQ302" s="77">
        <f>AM302*$AQ$12</f>
        <v>13.532265669047622</v>
      </c>
      <c r="AR302" s="77">
        <f>AM302*$AR$12</f>
        <v>0</v>
      </c>
      <c r="AS302" s="77">
        <f>AM302*$AS$12</f>
        <v>0</v>
      </c>
      <c r="AT302" s="77">
        <f>AQ302+AR302+AS302</f>
        <v>13.532265669047622</v>
      </c>
      <c r="AU302" s="77">
        <f>AM302*$AU$12</f>
        <v>8.1031530952380972</v>
      </c>
      <c r="AV302" s="77">
        <f>AU302</f>
        <v>8.1031530952380972</v>
      </c>
      <c r="AW302" s="77">
        <f>AM302+AP302+AT302+AV302</f>
        <v>187.39351848047622</v>
      </c>
      <c r="AX302" s="21">
        <f>AY302/AW302</f>
        <v>1.0272846311895267</v>
      </c>
      <c r="AY302" s="77">
        <f t="shared" si="171"/>
        <v>192.50648151952376</v>
      </c>
      <c r="AZ302" s="79">
        <f>IFERROR(H302*VLOOKUP(A302,'Tabela de Produtos'!A:Q,17,0),0)</f>
        <v>119.65</v>
      </c>
      <c r="BA302" s="74">
        <f t="shared" si="177"/>
        <v>0</v>
      </c>
      <c r="BB302" s="74">
        <f t="shared" si="177"/>
        <v>0</v>
      </c>
      <c r="BC302" s="74">
        <f t="shared" si="177"/>
        <v>0</v>
      </c>
      <c r="BD302" s="74">
        <f t="shared" si="177"/>
        <v>26.593</v>
      </c>
      <c r="BE302" s="74">
        <f t="shared" si="172"/>
        <v>18.995000000000001</v>
      </c>
      <c r="BF302" s="74">
        <f t="shared" si="173"/>
        <v>165.238</v>
      </c>
      <c r="BG302" s="74">
        <f t="shared" si="174"/>
        <v>214.66199999999998</v>
      </c>
      <c r="BH302" s="21">
        <f t="shared" si="175"/>
        <v>0.56504869702553306</v>
      </c>
    </row>
    <row r="303" spans="1:60" ht="15.75" customHeight="1">
      <c r="A303" s="72" t="s">
        <v>370</v>
      </c>
      <c r="B303" s="2" t="str">
        <f>IFERROR(VLOOKUP(A303,'Tabela de Produtos'!A:B,2,0),"Preencher Cód. Produto")</f>
        <v>BRAZIMIL BORRACHA LIQUIDA MULTIFUNÇÃO 14KG CINZA PLATINA</v>
      </c>
      <c r="C303" s="2"/>
      <c r="D303" s="73"/>
      <c r="E303" s="73"/>
      <c r="F303" s="74" t="str">
        <f>IF(A303=0,0,VLOOKUP(A303,'Tabela de Produtos'!A:W,23,0))</f>
        <v>Cadastrar Ficha de Produção</v>
      </c>
      <c r="G303" s="74">
        <v>375.9</v>
      </c>
      <c r="H303" s="76">
        <v>1</v>
      </c>
      <c r="I303" s="74">
        <f t="shared" si="170"/>
        <v>375.9</v>
      </c>
      <c r="J303" s="77">
        <f>VLOOKUP(B303,'Tabela de Produtos'!B:M,12,FALSE())</f>
        <v>0</v>
      </c>
      <c r="K303" s="74"/>
      <c r="L303" s="74"/>
      <c r="M303" s="74"/>
      <c r="N303" s="81"/>
      <c r="O303" s="74"/>
      <c r="P303" s="74"/>
      <c r="Q303" s="74"/>
      <c r="R303" s="81"/>
      <c r="S303" s="74"/>
      <c r="T303" s="74"/>
      <c r="U303" s="74"/>
      <c r="V303" s="74"/>
      <c r="W303" s="81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7"/>
      <c r="AY303" s="77">
        <f t="shared" si="171"/>
        <v>375.9</v>
      </c>
      <c r="AZ303" s="79">
        <f>IFERROR(H303*VLOOKUP(A303,'Tabela de Produtos'!A:Q,17,0),0)</f>
        <v>20.11</v>
      </c>
      <c r="BA303" s="74">
        <f t="shared" si="177"/>
        <v>0</v>
      </c>
      <c r="BB303" s="74">
        <f t="shared" si="177"/>
        <v>0</v>
      </c>
      <c r="BC303" s="74">
        <f t="shared" si="177"/>
        <v>0</v>
      </c>
      <c r="BD303" s="74">
        <f t="shared" si="177"/>
        <v>26.313000000000002</v>
      </c>
      <c r="BE303" s="74">
        <f t="shared" si="172"/>
        <v>18.794999999999998</v>
      </c>
      <c r="BF303" s="74">
        <f t="shared" si="173"/>
        <v>65.218000000000004</v>
      </c>
      <c r="BG303" s="74">
        <f t="shared" si="174"/>
        <v>310.68199999999996</v>
      </c>
      <c r="BH303" s="21">
        <f t="shared" si="175"/>
        <v>0</v>
      </c>
    </row>
    <row r="304" spans="1:60" ht="15.75" customHeight="1">
      <c r="A304" s="72" t="s">
        <v>371</v>
      </c>
      <c r="B304" s="2" t="str">
        <f>IFERROR(VLOOKUP(A304,'Tabela de Produtos'!A:B,2,0),"Preencher Cód. Produto")</f>
        <v>BRAZIMIL BORRACHA LIQUIDA MULTIFUNÇÃO 14KG CERAMICA</v>
      </c>
      <c r="C304" s="2"/>
      <c r="D304" s="73" t="s">
        <v>71</v>
      </c>
      <c r="E304" s="91">
        <v>28</v>
      </c>
      <c r="F304" s="74">
        <f>IF(A304=0,0,VLOOKUP(A304,'Tabela de Produtos'!A:W,23,0))</f>
        <v>142.64999999999998</v>
      </c>
      <c r="G304" s="75">
        <v>379.9</v>
      </c>
      <c r="H304" s="76">
        <v>1</v>
      </c>
      <c r="I304" s="74">
        <f t="shared" si="170"/>
        <v>379.9</v>
      </c>
      <c r="J304" s="77">
        <f>VLOOKUP(B304,'Tabela de Produtos'!B:M,12,FALSE())</f>
        <v>101.08</v>
      </c>
      <c r="K304" s="77">
        <f>VLOOKUP(B304,'Tabela de Produtos'!B:P,15,FALSE())</f>
        <v>4.34</v>
      </c>
      <c r="L304" s="77">
        <f>J304*1%</f>
        <v>1.0107999999999999</v>
      </c>
      <c r="M304" s="77">
        <f>J304*1%</f>
        <v>1.0107999999999999</v>
      </c>
      <c r="N304" s="78">
        <f>J304+K304+L304+M304</f>
        <v>107.44160000000001</v>
      </c>
      <c r="O304" s="77">
        <f>($O$12/E304)*$O$13</f>
        <v>1.2928571428571429</v>
      </c>
      <c r="P304" s="77">
        <f>($P$12/E304)*$P$13</f>
        <v>1.0103571428571427</v>
      </c>
      <c r="Q304" s="77">
        <f>($Q$12/E304)*$Q$13</f>
        <v>1.0103571428571427</v>
      </c>
      <c r="R304" s="78">
        <f>O304+P304+Q304</f>
        <v>3.3135714285714286</v>
      </c>
      <c r="S304" s="77">
        <f>VLOOKUP(B304,'Tabela de Produtos'!B:N,13,FALSE())</f>
        <v>20.11</v>
      </c>
      <c r="T304" s="74">
        <f>$T$12/$T$9</f>
        <v>0.625</v>
      </c>
      <c r="U304" s="77">
        <f>$U$12/$U$9</f>
        <v>1.075</v>
      </c>
      <c r="V304" s="74">
        <f>$V$12/$V$9</f>
        <v>0.33333333333333331</v>
      </c>
      <c r="W304" s="78">
        <f>S304+T304+U304+V304</f>
        <v>22.143333333333331</v>
      </c>
      <c r="X304" s="77">
        <f>(N304+R304+W304)*1%</f>
        <v>1.3289850476190475</v>
      </c>
      <c r="Y304" s="77">
        <f>X304</f>
        <v>1.3289850476190475</v>
      </c>
      <c r="Z304" s="77">
        <f>$Z$12/E304</f>
        <v>2.9642857142857141E-2</v>
      </c>
      <c r="AA304" s="77">
        <f>$AA$12/E304</f>
        <v>0.74404761904761896</v>
      </c>
      <c r="AB304" s="77">
        <f>$AB$12/E304</f>
        <v>0.70684523809523814</v>
      </c>
      <c r="AC304" s="77">
        <f>$AC$12/E304</f>
        <v>0</v>
      </c>
      <c r="AD304" s="77">
        <f>Z304+AA304+AB304+AC304</f>
        <v>1.4805357142857143</v>
      </c>
      <c r="AE304" s="77">
        <f>(AD304+Y304+W304+R304+N304)*$AE$7</f>
        <v>33.927006380952385</v>
      </c>
      <c r="AF304" s="77">
        <f>AE304</f>
        <v>33.927006380952385</v>
      </c>
      <c r="AG304" s="74"/>
      <c r="AH304" s="74"/>
      <c r="AI304" s="74"/>
      <c r="AJ304" s="74"/>
      <c r="AK304" s="74"/>
      <c r="AL304" s="77">
        <f>(AD304+Y304+W304+R304+N304)*$AL$7</f>
        <v>0</v>
      </c>
      <c r="AM304" s="77">
        <f>AL304+AF304+AD304+Y304+W304+R304+N304</f>
        <v>169.63503190476192</v>
      </c>
      <c r="AN304" s="77">
        <f>AM304*$AN$12</f>
        <v>2.0356203828571431</v>
      </c>
      <c r="AO304" s="77">
        <f>AM304*$AO$12</f>
        <v>1.8320583445714287</v>
      </c>
      <c r="AP304" s="77">
        <f>AO304+AN304</f>
        <v>3.8676787274285718</v>
      </c>
      <c r="AQ304" s="77">
        <f>AM304*$AQ$12</f>
        <v>14.164525164047621</v>
      </c>
      <c r="AR304" s="77">
        <f>AM304*$AR$12</f>
        <v>0</v>
      </c>
      <c r="AS304" s="77">
        <f>AM304*$AS$12</f>
        <v>0</v>
      </c>
      <c r="AT304" s="77">
        <f>AQ304+AR304+AS304</f>
        <v>14.164525164047621</v>
      </c>
      <c r="AU304" s="77">
        <f>AM304*$AU$12</f>
        <v>8.4817515952380962</v>
      </c>
      <c r="AV304" s="77">
        <f>AU304</f>
        <v>8.4817515952380962</v>
      </c>
      <c r="AW304" s="77">
        <f>AM304+AP304+AT304+AV304</f>
        <v>196.14898739147623</v>
      </c>
      <c r="AX304" s="21">
        <f>AY304/AW304</f>
        <v>0.93679307271564716</v>
      </c>
      <c r="AY304" s="77">
        <f t="shared" si="171"/>
        <v>183.75101260852375</v>
      </c>
      <c r="AZ304" s="79">
        <f>IFERROR(H304*VLOOKUP(A304,'Tabela de Produtos'!A:Q,17,0),0)</f>
        <v>125.53</v>
      </c>
      <c r="BA304" s="74">
        <f t="shared" si="177"/>
        <v>0</v>
      </c>
      <c r="BB304" s="74">
        <f t="shared" si="177"/>
        <v>0</v>
      </c>
      <c r="BC304" s="74">
        <f t="shared" si="177"/>
        <v>0</v>
      </c>
      <c r="BD304" s="74">
        <f t="shared" si="177"/>
        <v>26.593</v>
      </c>
      <c r="BE304" s="74">
        <f t="shared" si="172"/>
        <v>18.995000000000001</v>
      </c>
      <c r="BF304" s="74">
        <f t="shared" si="173"/>
        <v>171.11799999999999</v>
      </c>
      <c r="BG304" s="74">
        <f t="shared" si="174"/>
        <v>208.78199999999998</v>
      </c>
      <c r="BH304" s="21">
        <f t="shared" si="175"/>
        <v>0.54957093972097915</v>
      </c>
    </row>
    <row r="305" spans="1:60" ht="15.75" customHeight="1">
      <c r="A305" s="72" t="s">
        <v>372</v>
      </c>
      <c r="B305" s="2" t="str">
        <f>IFERROR(VLOOKUP(A305,'Tabela de Produtos'!A:B,2,0),"Preencher Cód. Produto")</f>
        <v>BRAZIMIL BORRACHA LIQUIDA MULTIFUNÇÃO 14KG BEGE</v>
      </c>
      <c r="C305" s="2"/>
      <c r="D305" s="73" t="s">
        <v>71</v>
      </c>
      <c r="E305" s="91">
        <v>28</v>
      </c>
      <c r="F305" s="74">
        <f>IF(A305=0,0,VLOOKUP(A305,'Tabela de Produtos'!A:W,23,0))</f>
        <v>136.92999999999998</v>
      </c>
      <c r="G305" s="75">
        <v>379.9</v>
      </c>
      <c r="H305" s="76">
        <v>1</v>
      </c>
      <c r="I305" s="74">
        <f t="shared" si="170"/>
        <v>379.9</v>
      </c>
      <c r="J305" s="77">
        <f>VLOOKUP(B305,'Tabela de Produtos'!B:M,12,FALSE())</f>
        <v>96.039999999999992</v>
      </c>
      <c r="K305" s="77">
        <f>VLOOKUP(B305,'Tabela de Produtos'!B:P,15,FALSE())</f>
        <v>4.34</v>
      </c>
      <c r="L305" s="77">
        <f>J305*1%</f>
        <v>0.96039999999999992</v>
      </c>
      <c r="M305" s="77">
        <f>J305*1%</f>
        <v>0.96039999999999992</v>
      </c>
      <c r="N305" s="78">
        <f>J305+K305+L305+M305</f>
        <v>102.30079999999998</v>
      </c>
      <c r="O305" s="77">
        <f>($O$12/E305)*$O$13</f>
        <v>1.2928571428571429</v>
      </c>
      <c r="P305" s="77">
        <f>($P$12/E305)*$P$13</f>
        <v>1.0103571428571427</v>
      </c>
      <c r="Q305" s="77">
        <f>($Q$12/E305)*$Q$13</f>
        <v>1.0103571428571427</v>
      </c>
      <c r="R305" s="78">
        <f>O305+P305+Q305</f>
        <v>3.3135714285714286</v>
      </c>
      <c r="S305" s="77">
        <f>VLOOKUP(B305,'Tabela de Produtos'!B:N,13,FALSE())</f>
        <v>20.11</v>
      </c>
      <c r="T305" s="74">
        <f>$T$12/$T$9</f>
        <v>0.625</v>
      </c>
      <c r="U305" s="77">
        <f>$U$12/$U$9</f>
        <v>1.075</v>
      </c>
      <c r="V305" s="74">
        <f>$V$12/$V$9</f>
        <v>0.33333333333333331</v>
      </c>
      <c r="W305" s="78">
        <f>S305+T305+U305+V305</f>
        <v>22.143333333333331</v>
      </c>
      <c r="X305" s="77">
        <f>(N305+R305+W305)*1%</f>
        <v>1.2775770476190476</v>
      </c>
      <c r="Y305" s="77">
        <f>X305</f>
        <v>1.2775770476190476</v>
      </c>
      <c r="Z305" s="77">
        <f>$Z$12/E305</f>
        <v>2.9642857142857141E-2</v>
      </c>
      <c r="AA305" s="77">
        <f>$AA$12/E305</f>
        <v>0.74404761904761896</v>
      </c>
      <c r="AB305" s="77">
        <f>$AB$12/E305</f>
        <v>0.70684523809523814</v>
      </c>
      <c r="AC305" s="77">
        <f>$AC$12/E305</f>
        <v>0</v>
      </c>
      <c r="AD305" s="77">
        <f>Z305+AA305+AB305+AC305</f>
        <v>1.4805357142857143</v>
      </c>
      <c r="AE305" s="77">
        <f>(AD305+Y305+W305+R305+N305)*$AE$7</f>
        <v>32.628954380952379</v>
      </c>
      <c r="AF305" s="77">
        <f>AE305</f>
        <v>32.628954380952379</v>
      </c>
      <c r="AG305" s="74"/>
      <c r="AH305" s="74"/>
      <c r="AI305" s="74"/>
      <c r="AJ305" s="74"/>
      <c r="AK305" s="74"/>
      <c r="AL305" s="77">
        <f>(AD305+Y305+W305+R305+N305)*$AL$7</f>
        <v>0</v>
      </c>
      <c r="AM305" s="77">
        <f>AL305+AF305+AD305+Y305+W305+R305+N305</f>
        <v>163.14477190476188</v>
      </c>
      <c r="AN305" s="77">
        <f>AM305*$AN$12</f>
        <v>1.9577372628571426</v>
      </c>
      <c r="AO305" s="77">
        <f>AM305*$AO$12</f>
        <v>1.7619635365714283</v>
      </c>
      <c r="AP305" s="77">
        <f>AO305+AN305</f>
        <v>3.7197007994285709</v>
      </c>
      <c r="AQ305" s="77">
        <f>AM305*$AQ$12</f>
        <v>13.622588454047618</v>
      </c>
      <c r="AR305" s="77">
        <f>AM305*$AR$12</f>
        <v>0</v>
      </c>
      <c r="AS305" s="77">
        <f>AM305*$AS$12</f>
        <v>0</v>
      </c>
      <c r="AT305" s="77">
        <f>AQ305+AR305+AS305</f>
        <v>13.622588454047618</v>
      </c>
      <c r="AU305" s="77">
        <f>AM305*$AU$12</f>
        <v>8.1572385952380948</v>
      </c>
      <c r="AV305" s="77">
        <f>AU305</f>
        <v>8.1572385952380948</v>
      </c>
      <c r="AW305" s="77">
        <f>AM305+AP305+AT305+AV305</f>
        <v>188.64429975347616</v>
      </c>
      <c r="AX305" s="21">
        <f>AY305/AW305</f>
        <v>1.0138429864907674</v>
      </c>
      <c r="AY305" s="77">
        <f t="shared" si="171"/>
        <v>191.25570024652382</v>
      </c>
      <c r="AZ305" s="79">
        <f>IFERROR(H305*VLOOKUP(A305,'Tabela de Produtos'!A:Q,17,0),0)</f>
        <v>120.49</v>
      </c>
      <c r="BA305" s="74">
        <f t="shared" si="177"/>
        <v>0</v>
      </c>
      <c r="BB305" s="74">
        <f t="shared" si="177"/>
        <v>0</v>
      </c>
      <c r="BC305" s="74">
        <f t="shared" si="177"/>
        <v>0</v>
      </c>
      <c r="BD305" s="74">
        <f t="shared" si="177"/>
        <v>26.593</v>
      </c>
      <c r="BE305" s="74">
        <f t="shared" si="172"/>
        <v>18.995000000000001</v>
      </c>
      <c r="BF305" s="74">
        <f t="shared" si="173"/>
        <v>166.078</v>
      </c>
      <c r="BG305" s="74">
        <f t="shared" si="174"/>
        <v>213.82199999999997</v>
      </c>
      <c r="BH305" s="21">
        <f t="shared" si="175"/>
        <v>0.56283758883916812</v>
      </c>
    </row>
    <row r="306" spans="1:60" ht="15.75" customHeight="1">
      <c r="A306" s="72" t="s">
        <v>373</v>
      </c>
      <c r="B306" s="2" t="str">
        <f>IFERROR(VLOOKUP(A306,'Tabela de Produtos'!A:B,2,0),"Preencher Cód. Produto")</f>
        <v>BRAZIMIL BORRACHA LIQUIDA IND MULTISUPERFÍCIES 3,6KG BRANCO NEVE</v>
      </c>
      <c r="C306" s="2"/>
      <c r="D306" s="73"/>
      <c r="E306" s="73"/>
      <c r="F306" s="74" t="str">
        <f>IF(A306=0,0,VLOOKUP(A306,'Tabela de Produtos'!A:W,23,0))</f>
        <v>Cadastrar Ficha de Produção</v>
      </c>
      <c r="G306" s="74">
        <v>0</v>
      </c>
      <c r="H306" s="76">
        <v>1</v>
      </c>
      <c r="I306" s="74">
        <f t="shared" si="170"/>
        <v>0</v>
      </c>
      <c r="J306" s="77">
        <f>VLOOKUP(B306,'Tabela de Produtos'!B:M,12,FALSE())</f>
        <v>0</v>
      </c>
      <c r="K306" s="74"/>
      <c r="L306" s="74"/>
      <c r="M306" s="74"/>
      <c r="N306" s="81"/>
      <c r="O306" s="74"/>
      <c r="P306" s="74"/>
      <c r="Q306" s="74"/>
      <c r="R306" s="81"/>
      <c r="S306" s="74"/>
      <c r="T306" s="74"/>
      <c r="U306" s="74"/>
      <c r="V306" s="74"/>
      <c r="W306" s="81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7"/>
      <c r="AY306" s="77">
        <f t="shared" si="171"/>
        <v>0</v>
      </c>
      <c r="AZ306" s="79">
        <f>IFERROR(H306*VLOOKUP(A306,'Tabela de Produtos'!A:Q,17,0),0)</f>
        <v>0</v>
      </c>
      <c r="BA306" s="74">
        <f t="shared" si="177"/>
        <v>0</v>
      </c>
      <c r="BB306" s="74">
        <f t="shared" si="177"/>
        <v>0</v>
      </c>
      <c r="BC306" s="74">
        <f t="shared" si="177"/>
        <v>0</v>
      </c>
      <c r="BD306" s="74">
        <f t="shared" si="177"/>
        <v>0</v>
      </c>
      <c r="BE306" s="74">
        <f t="shared" si="172"/>
        <v>0</v>
      </c>
      <c r="BF306" s="74">
        <f t="shared" si="173"/>
        <v>0</v>
      </c>
      <c r="BG306" s="74">
        <f t="shared" si="174"/>
        <v>0</v>
      </c>
      <c r="BH306" s="21">
        <f t="shared" si="175"/>
        <v>0</v>
      </c>
    </row>
    <row r="307" spans="1:60" ht="15.75" customHeight="1">
      <c r="A307" s="72" t="s">
        <v>374</v>
      </c>
      <c r="B307" s="2" t="str">
        <f>IFERROR(VLOOKUP(A307,'Tabela de Produtos'!A:B,2,0),"Preencher Cód. Produto")</f>
        <v>BRAZIMIL BORRACHA LIQUIDA IND MULTISUPERFÍCIES 3,6KG CINZA CHUMBO</v>
      </c>
      <c r="C307" s="2"/>
      <c r="D307" s="73"/>
      <c r="E307" s="73"/>
      <c r="F307" s="74" t="str">
        <f>IF(A307=0,0,VLOOKUP(A307,'Tabela de Produtos'!A:W,23,0))</f>
        <v>Cadastrar Ficha de Produção</v>
      </c>
      <c r="G307" s="74">
        <v>0</v>
      </c>
      <c r="H307" s="76">
        <v>1</v>
      </c>
      <c r="I307" s="74">
        <f t="shared" si="170"/>
        <v>0</v>
      </c>
      <c r="J307" s="77">
        <f>VLOOKUP(B307,'Tabela de Produtos'!B:M,12,FALSE())</f>
        <v>0</v>
      </c>
      <c r="K307" s="74"/>
      <c r="L307" s="74"/>
      <c r="M307" s="74"/>
      <c r="N307" s="81"/>
      <c r="O307" s="74"/>
      <c r="P307" s="74"/>
      <c r="Q307" s="74"/>
      <c r="R307" s="81"/>
      <c r="S307" s="74"/>
      <c r="T307" s="74"/>
      <c r="U307" s="74"/>
      <c r="V307" s="74"/>
      <c r="W307" s="81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7"/>
      <c r="AY307" s="77">
        <f t="shared" si="171"/>
        <v>0</v>
      </c>
      <c r="AZ307" s="79">
        <f>IFERROR(H307*VLOOKUP(A307,'Tabela de Produtos'!A:Q,17,0),0)</f>
        <v>0</v>
      </c>
      <c r="BA307" s="74">
        <f t="shared" si="177"/>
        <v>0</v>
      </c>
      <c r="BB307" s="74">
        <f t="shared" si="177"/>
        <v>0</v>
      </c>
      <c r="BC307" s="74">
        <f t="shared" si="177"/>
        <v>0</v>
      </c>
      <c r="BD307" s="74">
        <f t="shared" si="177"/>
        <v>0</v>
      </c>
      <c r="BE307" s="74">
        <f t="shared" si="172"/>
        <v>0</v>
      </c>
      <c r="BF307" s="74">
        <f t="shared" si="173"/>
        <v>0</v>
      </c>
      <c r="BG307" s="74">
        <f t="shared" si="174"/>
        <v>0</v>
      </c>
      <c r="BH307" s="21">
        <f t="shared" si="175"/>
        <v>0</v>
      </c>
    </row>
    <row r="308" spans="1:60" ht="15.75" customHeight="1">
      <c r="A308" s="72" t="s">
        <v>375</v>
      </c>
      <c r="B308" s="2" t="str">
        <f>IFERROR(VLOOKUP(A308,'Tabela de Produtos'!A:B,2,0),"Preencher Cód. Produto")</f>
        <v>BRAZIMIL BORRACHA LIQUIDA IND MULTISUPERFÍCIES 3,6KG CINZA MEDIO</v>
      </c>
      <c r="C308" s="2"/>
      <c r="D308" s="73"/>
      <c r="E308" s="73"/>
      <c r="F308" s="74" t="str">
        <f>IF(A308=0,0,VLOOKUP(A308,'Tabela de Produtos'!A:W,23,0))</f>
        <v>Cadastrar Ficha de Produção</v>
      </c>
      <c r="G308" s="74">
        <v>0</v>
      </c>
      <c r="H308" s="76">
        <v>1</v>
      </c>
      <c r="I308" s="74">
        <f t="shared" si="170"/>
        <v>0</v>
      </c>
      <c r="J308" s="77">
        <f>VLOOKUP(B308,'Tabela de Produtos'!B:M,12,FALSE())</f>
        <v>0</v>
      </c>
      <c r="K308" s="74"/>
      <c r="L308" s="74"/>
      <c r="M308" s="74"/>
      <c r="N308" s="81"/>
      <c r="O308" s="74"/>
      <c r="P308" s="74"/>
      <c r="Q308" s="74"/>
      <c r="R308" s="81"/>
      <c r="S308" s="74"/>
      <c r="T308" s="74"/>
      <c r="U308" s="74"/>
      <c r="V308" s="74"/>
      <c r="W308" s="81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7"/>
      <c r="AY308" s="77">
        <f t="shared" si="171"/>
        <v>0</v>
      </c>
      <c r="AZ308" s="79">
        <f>IFERROR(H308*VLOOKUP(A308,'Tabela de Produtos'!A:Q,17,0),0)</f>
        <v>0</v>
      </c>
      <c r="BA308" s="74">
        <f t="shared" si="177"/>
        <v>0</v>
      </c>
      <c r="BB308" s="74">
        <f t="shared" si="177"/>
        <v>0</v>
      </c>
      <c r="BC308" s="74">
        <f t="shared" si="177"/>
        <v>0</v>
      </c>
      <c r="BD308" s="74">
        <f t="shared" si="177"/>
        <v>0</v>
      </c>
      <c r="BE308" s="74">
        <f t="shared" si="172"/>
        <v>0</v>
      </c>
      <c r="BF308" s="74">
        <f t="shared" si="173"/>
        <v>0</v>
      </c>
      <c r="BG308" s="74">
        <f t="shared" si="174"/>
        <v>0</v>
      </c>
      <c r="BH308" s="21">
        <f t="shared" si="175"/>
        <v>0</v>
      </c>
    </row>
    <row r="309" spans="1:60" ht="15.75" customHeight="1">
      <c r="A309" s="72" t="s">
        <v>376</v>
      </c>
      <c r="B309" s="2" t="str">
        <f>IFERROR(VLOOKUP(A309,'Tabela de Produtos'!A:B,2,0),"Preencher Cód. Produto")</f>
        <v>BRAZIMIL BORRACHA LIQUIDA IND MULTISUPERFÍCIES 3,6KG AMARELO DEMARCACAO</v>
      </c>
      <c r="C309" s="2"/>
      <c r="D309" s="73"/>
      <c r="E309" s="73"/>
      <c r="F309" s="74" t="str">
        <f>IF(A309=0,0,VLOOKUP(A309,'Tabela de Produtos'!A:W,23,0))</f>
        <v>Cadastrar Ficha de Produção</v>
      </c>
      <c r="G309" s="74">
        <v>0</v>
      </c>
      <c r="H309" s="76">
        <v>1</v>
      </c>
      <c r="I309" s="74">
        <f t="shared" si="170"/>
        <v>0</v>
      </c>
      <c r="J309" s="77">
        <f>VLOOKUP(B309,'Tabela de Produtos'!B:M,12,FALSE())</f>
        <v>0</v>
      </c>
      <c r="K309" s="74"/>
      <c r="L309" s="74"/>
      <c r="M309" s="74"/>
      <c r="N309" s="81"/>
      <c r="O309" s="74"/>
      <c r="P309" s="74"/>
      <c r="Q309" s="74"/>
      <c r="R309" s="81"/>
      <c r="S309" s="74"/>
      <c r="T309" s="74"/>
      <c r="U309" s="74"/>
      <c r="V309" s="74"/>
      <c r="W309" s="81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7"/>
      <c r="AY309" s="77">
        <f t="shared" si="171"/>
        <v>0</v>
      </c>
      <c r="AZ309" s="79">
        <f>IFERROR(H309*VLOOKUP(A309,'Tabela de Produtos'!A:Q,17,0),0)</f>
        <v>0</v>
      </c>
      <c r="BA309" s="74">
        <f t="shared" si="177"/>
        <v>0</v>
      </c>
      <c r="BB309" s="74">
        <f t="shared" si="177"/>
        <v>0</v>
      </c>
      <c r="BC309" s="74">
        <f t="shared" si="177"/>
        <v>0</v>
      </c>
      <c r="BD309" s="74">
        <f t="shared" si="177"/>
        <v>0</v>
      </c>
      <c r="BE309" s="74">
        <f t="shared" si="172"/>
        <v>0</v>
      </c>
      <c r="BF309" s="74">
        <f t="shared" si="173"/>
        <v>0</v>
      </c>
      <c r="BG309" s="74">
        <f t="shared" si="174"/>
        <v>0</v>
      </c>
      <c r="BH309" s="21">
        <f t="shared" si="175"/>
        <v>0</v>
      </c>
    </row>
    <row r="310" spans="1:60" ht="15.75" customHeight="1">
      <c r="A310" s="72" t="s">
        <v>377</v>
      </c>
      <c r="B310" s="2" t="str">
        <f>IFERROR(VLOOKUP(A310,'Tabela de Produtos'!A:B,2,0),"Preencher Cód. Produto")</f>
        <v>BRAZIMIL BORRACHA LIQUIDA IND MULTISUPERFÍCIES 3,6KG VERMELHO</v>
      </c>
      <c r="C310" s="2"/>
      <c r="D310" s="73"/>
      <c r="E310" s="73"/>
      <c r="F310" s="74" t="str">
        <f>IF(A310=0,0,VLOOKUP(A310,'Tabela de Produtos'!A:W,23,0))</f>
        <v>Cadastrar Ficha de Produção</v>
      </c>
      <c r="G310" s="74">
        <v>0</v>
      </c>
      <c r="H310" s="76">
        <v>1</v>
      </c>
      <c r="I310" s="74">
        <f t="shared" si="170"/>
        <v>0</v>
      </c>
      <c r="J310" s="77">
        <f>VLOOKUP(B310,'Tabela de Produtos'!B:M,12,FALSE())</f>
        <v>0</v>
      </c>
      <c r="K310" s="74"/>
      <c r="L310" s="74"/>
      <c r="M310" s="74"/>
      <c r="N310" s="81"/>
      <c r="O310" s="74"/>
      <c r="P310" s="74"/>
      <c r="Q310" s="74"/>
      <c r="R310" s="81"/>
      <c r="S310" s="74"/>
      <c r="T310" s="74"/>
      <c r="U310" s="74"/>
      <c r="V310" s="74"/>
      <c r="W310" s="81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7"/>
      <c r="AY310" s="77">
        <f t="shared" si="171"/>
        <v>0</v>
      </c>
      <c r="AZ310" s="79">
        <f>IFERROR(H310*VLOOKUP(A310,'Tabela de Produtos'!A:Q,17,0),0)</f>
        <v>0</v>
      </c>
      <c r="BA310" s="74">
        <f t="shared" si="177"/>
        <v>0</v>
      </c>
      <c r="BB310" s="74">
        <f t="shared" si="177"/>
        <v>0</v>
      </c>
      <c r="BC310" s="74">
        <f t="shared" si="177"/>
        <v>0</v>
      </c>
      <c r="BD310" s="74">
        <f t="shared" si="177"/>
        <v>0</v>
      </c>
      <c r="BE310" s="74">
        <f t="shared" si="172"/>
        <v>0</v>
      </c>
      <c r="BF310" s="74">
        <f t="shared" si="173"/>
        <v>0</v>
      </c>
      <c r="BG310" s="74">
        <f t="shared" si="174"/>
        <v>0</v>
      </c>
      <c r="BH310" s="21">
        <f t="shared" si="175"/>
        <v>0</v>
      </c>
    </row>
    <row r="311" spans="1:60" ht="15.75" customHeight="1">
      <c r="A311" s="72" t="s">
        <v>378</v>
      </c>
      <c r="B311" s="2" t="str">
        <f>IFERROR(VLOOKUP(A311,'Tabela de Produtos'!A:B,2,0),"Preencher Cód. Produto")</f>
        <v>BRAZIMIL BORRACHA LIQUIDA IND MULTISUPERFÍCIES 3,6KG PRETO GRAFITE</v>
      </c>
      <c r="C311" s="2"/>
      <c r="D311" s="73"/>
      <c r="E311" s="73"/>
      <c r="F311" s="74" t="str">
        <f>IF(A311=0,0,VLOOKUP(A311,'Tabela de Produtos'!A:W,23,0))</f>
        <v>Cadastrar Ficha de Produção</v>
      </c>
      <c r="G311" s="74">
        <v>0</v>
      </c>
      <c r="H311" s="76">
        <v>1</v>
      </c>
      <c r="I311" s="74">
        <f t="shared" si="170"/>
        <v>0</v>
      </c>
      <c r="J311" s="77">
        <f>VLOOKUP(B311,'Tabela de Produtos'!B:M,12,FALSE())</f>
        <v>0</v>
      </c>
      <c r="K311" s="74"/>
      <c r="L311" s="74"/>
      <c r="M311" s="74"/>
      <c r="N311" s="81"/>
      <c r="O311" s="74"/>
      <c r="P311" s="74"/>
      <c r="Q311" s="74"/>
      <c r="R311" s="81"/>
      <c r="S311" s="74"/>
      <c r="T311" s="74"/>
      <c r="U311" s="74"/>
      <c r="V311" s="74"/>
      <c r="W311" s="81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7"/>
      <c r="AY311" s="77">
        <f t="shared" si="171"/>
        <v>0</v>
      </c>
      <c r="AZ311" s="79">
        <f>IFERROR(H311*VLOOKUP(A311,'Tabela de Produtos'!A:Q,17,0),0)</f>
        <v>0</v>
      </c>
      <c r="BA311" s="74">
        <f t="shared" si="177"/>
        <v>0</v>
      </c>
      <c r="BB311" s="74">
        <f t="shared" si="177"/>
        <v>0</v>
      </c>
      <c r="BC311" s="74">
        <f t="shared" si="177"/>
        <v>0</v>
      </c>
      <c r="BD311" s="74">
        <f t="shared" si="177"/>
        <v>0</v>
      </c>
      <c r="BE311" s="74">
        <f t="shared" si="172"/>
        <v>0</v>
      </c>
      <c r="BF311" s="74">
        <f t="shared" si="173"/>
        <v>0</v>
      </c>
      <c r="BG311" s="74">
        <f t="shared" si="174"/>
        <v>0</v>
      </c>
      <c r="BH311" s="21">
        <f t="shared" si="175"/>
        <v>0</v>
      </c>
    </row>
    <row r="312" spans="1:60" ht="15.75" customHeight="1">
      <c r="A312" s="72" t="s">
        <v>379</v>
      </c>
      <c r="B312" s="2" t="str">
        <f>IFERROR(VLOOKUP(A312,'Tabela de Produtos'!A:B,2,0),"Preencher Cód. Produto")</f>
        <v>BRAZIMIL BORRACHA LIQUIDA ND MULTISUPERFÍCIES 14KG BRANCO NEVE</v>
      </c>
      <c r="C312" s="2"/>
      <c r="D312" s="73"/>
      <c r="E312" s="73"/>
      <c r="F312" s="74" t="str">
        <f>IF(A312=0,0,VLOOKUP(A312,'Tabela de Produtos'!A:W,23,0))</f>
        <v>Cadastrar Ficha de Produção</v>
      </c>
      <c r="G312" s="74">
        <v>0</v>
      </c>
      <c r="H312" s="76">
        <v>1</v>
      </c>
      <c r="I312" s="74">
        <f t="shared" si="170"/>
        <v>0</v>
      </c>
      <c r="J312" s="77">
        <f>VLOOKUP(B312,'Tabela de Produtos'!B:M,12,FALSE())</f>
        <v>0</v>
      </c>
      <c r="K312" s="74"/>
      <c r="L312" s="74"/>
      <c r="M312" s="74"/>
      <c r="N312" s="81"/>
      <c r="O312" s="74"/>
      <c r="P312" s="74"/>
      <c r="Q312" s="74"/>
      <c r="R312" s="81"/>
      <c r="S312" s="74"/>
      <c r="T312" s="74"/>
      <c r="U312" s="74"/>
      <c r="V312" s="74"/>
      <c r="W312" s="81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7"/>
      <c r="AY312" s="77">
        <f t="shared" si="171"/>
        <v>0</v>
      </c>
      <c r="AZ312" s="79">
        <f>IFERROR(H312*VLOOKUP(A312,'Tabela de Produtos'!A:Q,17,0),0)</f>
        <v>0</v>
      </c>
      <c r="BA312" s="74">
        <f t="shared" si="177"/>
        <v>0</v>
      </c>
      <c r="BB312" s="74">
        <f t="shared" si="177"/>
        <v>0</v>
      </c>
      <c r="BC312" s="74">
        <f t="shared" si="177"/>
        <v>0</v>
      </c>
      <c r="BD312" s="74">
        <f t="shared" si="177"/>
        <v>0</v>
      </c>
      <c r="BE312" s="74">
        <f t="shared" si="172"/>
        <v>0</v>
      </c>
      <c r="BF312" s="74">
        <f t="shared" si="173"/>
        <v>0</v>
      </c>
      <c r="BG312" s="74">
        <f t="shared" si="174"/>
        <v>0</v>
      </c>
      <c r="BH312" s="21">
        <f t="shared" si="175"/>
        <v>0</v>
      </c>
    </row>
    <row r="313" spans="1:60" ht="15.75" customHeight="1">
      <c r="A313" s="72" t="s">
        <v>380</v>
      </c>
      <c r="B313" s="2" t="str">
        <f>IFERROR(VLOOKUP(A313,'Tabela de Produtos'!A:B,2,0),"Preencher Cód. Produto")</f>
        <v>BRAZIMIL BORRACHA LIQUIDA ND MULTISUPERFÍCIES 14KG CINZA CHUMBO</v>
      </c>
      <c r="C313" s="2"/>
      <c r="D313" s="73"/>
      <c r="E313" s="73"/>
      <c r="F313" s="74" t="str">
        <f>IF(A313=0,0,VLOOKUP(A313,'Tabela de Produtos'!A:W,23,0))</f>
        <v>Cadastrar Ficha de Produção</v>
      </c>
      <c r="G313" s="74">
        <v>0</v>
      </c>
      <c r="H313" s="76">
        <v>1</v>
      </c>
      <c r="I313" s="74">
        <f t="shared" si="170"/>
        <v>0</v>
      </c>
      <c r="J313" s="77">
        <f>VLOOKUP(B313,'Tabela de Produtos'!B:M,12,FALSE())</f>
        <v>0</v>
      </c>
      <c r="K313" s="74"/>
      <c r="L313" s="74"/>
      <c r="M313" s="74"/>
      <c r="N313" s="81"/>
      <c r="O313" s="74"/>
      <c r="P313" s="74"/>
      <c r="Q313" s="74"/>
      <c r="R313" s="81"/>
      <c r="S313" s="74"/>
      <c r="T313" s="74"/>
      <c r="U313" s="74"/>
      <c r="V313" s="74"/>
      <c r="W313" s="81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7"/>
      <c r="AY313" s="77">
        <f t="shared" si="171"/>
        <v>0</v>
      </c>
      <c r="AZ313" s="79">
        <f>IFERROR(H313*VLOOKUP(A313,'Tabela de Produtos'!A:Q,17,0),0)</f>
        <v>0</v>
      </c>
      <c r="BA313" s="74">
        <f t="shared" si="177"/>
        <v>0</v>
      </c>
      <c r="BB313" s="74">
        <f t="shared" si="177"/>
        <v>0</v>
      </c>
      <c r="BC313" s="74">
        <f t="shared" si="177"/>
        <v>0</v>
      </c>
      <c r="BD313" s="74">
        <f t="shared" si="177"/>
        <v>0</v>
      </c>
      <c r="BE313" s="74">
        <f t="shared" si="172"/>
        <v>0</v>
      </c>
      <c r="BF313" s="74">
        <f t="shared" si="173"/>
        <v>0</v>
      </c>
      <c r="BG313" s="74">
        <f t="shared" si="174"/>
        <v>0</v>
      </c>
      <c r="BH313" s="21">
        <f t="shared" si="175"/>
        <v>0</v>
      </c>
    </row>
    <row r="314" spans="1:60" ht="15.75" customHeight="1">
      <c r="A314" s="72" t="s">
        <v>381</v>
      </c>
      <c r="B314" s="2" t="str">
        <f>IFERROR(VLOOKUP(A314,'Tabela de Produtos'!A:B,2,0),"Preencher Cód. Produto")</f>
        <v>BRAZIMIL BORRACHA LIQUIDA ND MULTISUPERFÍCIES 14KG CINZA MEDIO</v>
      </c>
      <c r="C314" s="2"/>
      <c r="D314" s="73"/>
      <c r="E314" s="73"/>
      <c r="F314" s="74" t="str">
        <f>IF(A314=0,0,VLOOKUP(A314,'Tabela de Produtos'!A:W,23,0))</f>
        <v>Cadastrar Ficha de Produção</v>
      </c>
      <c r="G314" s="74">
        <v>0</v>
      </c>
      <c r="H314" s="76">
        <v>1</v>
      </c>
      <c r="I314" s="74">
        <f t="shared" si="170"/>
        <v>0</v>
      </c>
      <c r="J314" s="77">
        <f>VLOOKUP(B314,'Tabela de Produtos'!B:M,12,FALSE())</f>
        <v>0</v>
      </c>
      <c r="K314" s="74"/>
      <c r="L314" s="74"/>
      <c r="M314" s="74"/>
      <c r="N314" s="81"/>
      <c r="O314" s="74"/>
      <c r="P314" s="74"/>
      <c r="Q314" s="74"/>
      <c r="R314" s="81"/>
      <c r="S314" s="74"/>
      <c r="T314" s="74"/>
      <c r="U314" s="74"/>
      <c r="V314" s="74"/>
      <c r="W314" s="81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7"/>
      <c r="AY314" s="77">
        <f t="shared" si="171"/>
        <v>0</v>
      </c>
      <c r="AZ314" s="79">
        <f>IFERROR(H314*VLOOKUP(A314,'Tabela de Produtos'!A:Q,17,0),0)</f>
        <v>0</v>
      </c>
      <c r="BA314" s="74">
        <f t="shared" ref="BA314:BD333" si="178">$I314*BA$12</f>
        <v>0</v>
      </c>
      <c r="BB314" s="74">
        <f t="shared" si="178"/>
        <v>0</v>
      </c>
      <c r="BC314" s="74">
        <f t="shared" si="178"/>
        <v>0</v>
      </c>
      <c r="BD314" s="74">
        <f t="shared" si="178"/>
        <v>0</v>
      </c>
      <c r="BE314" s="74">
        <f t="shared" si="172"/>
        <v>0</v>
      </c>
      <c r="BF314" s="74">
        <f t="shared" si="173"/>
        <v>0</v>
      </c>
      <c r="BG314" s="74">
        <f t="shared" si="174"/>
        <v>0</v>
      </c>
      <c r="BH314" s="21">
        <f t="shared" si="175"/>
        <v>0</v>
      </c>
    </row>
    <row r="315" spans="1:60" ht="15.75" customHeight="1">
      <c r="A315" s="72" t="s">
        <v>382</v>
      </c>
      <c r="B315" s="2" t="str">
        <f>IFERROR(VLOOKUP(A315,'Tabela de Produtos'!A:B,2,0),"Preencher Cód. Produto")</f>
        <v>BRAZIMIL BORRACHA LIQUIDA ND MULTISUPERFÍCIES 14KG AMARELO DEMARCACAO</v>
      </c>
      <c r="C315" s="2"/>
      <c r="D315" s="73"/>
      <c r="E315" s="73"/>
      <c r="F315" s="74" t="str">
        <f>IF(A315=0,0,VLOOKUP(A315,'Tabela de Produtos'!A:W,23,0))</f>
        <v>Cadastrar Ficha de Produção</v>
      </c>
      <c r="G315" s="74">
        <v>0</v>
      </c>
      <c r="H315" s="76">
        <v>1</v>
      </c>
      <c r="I315" s="74">
        <f t="shared" si="170"/>
        <v>0</v>
      </c>
      <c r="J315" s="77">
        <f>VLOOKUP(B315,'Tabela de Produtos'!B:M,12,FALSE())</f>
        <v>0</v>
      </c>
      <c r="K315" s="74"/>
      <c r="L315" s="74"/>
      <c r="M315" s="74"/>
      <c r="N315" s="81"/>
      <c r="O315" s="74"/>
      <c r="P315" s="74"/>
      <c r="Q315" s="74"/>
      <c r="R315" s="81"/>
      <c r="S315" s="74"/>
      <c r="T315" s="74"/>
      <c r="U315" s="74"/>
      <c r="V315" s="74"/>
      <c r="W315" s="81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7"/>
      <c r="AY315" s="77">
        <f t="shared" si="171"/>
        <v>0</v>
      </c>
      <c r="AZ315" s="79">
        <f>IFERROR(H315*VLOOKUP(A315,'Tabela de Produtos'!A:Q,17,0),0)</f>
        <v>0</v>
      </c>
      <c r="BA315" s="74">
        <f t="shared" si="178"/>
        <v>0</v>
      </c>
      <c r="BB315" s="74">
        <f t="shared" si="178"/>
        <v>0</v>
      </c>
      <c r="BC315" s="74">
        <f t="shared" si="178"/>
        <v>0</v>
      </c>
      <c r="BD315" s="74">
        <f t="shared" si="178"/>
        <v>0</v>
      </c>
      <c r="BE315" s="74">
        <f t="shared" si="172"/>
        <v>0</v>
      </c>
      <c r="BF315" s="74">
        <f t="shared" si="173"/>
        <v>0</v>
      </c>
      <c r="BG315" s="74">
        <f t="shared" si="174"/>
        <v>0</v>
      </c>
      <c r="BH315" s="21">
        <f t="shared" si="175"/>
        <v>0</v>
      </c>
    </row>
    <row r="316" spans="1:60" ht="15.75" customHeight="1">
      <c r="A316" s="72" t="s">
        <v>383</v>
      </c>
      <c r="B316" s="2" t="str">
        <f>IFERROR(VLOOKUP(A316,'Tabela de Produtos'!A:B,2,0),"Preencher Cód. Produto")</f>
        <v>BRAZIMIL BORRACHA LIQUIDA ND MULTISUPERFÍCIES 14KG VERMELHO</v>
      </c>
      <c r="C316" s="2"/>
      <c r="D316" s="73"/>
      <c r="E316" s="73"/>
      <c r="F316" s="74" t="str">
        <f>IF(A316=0,0,VLOOKUP(A316,'Tabela de Produtos'!A:W,23,0))</f>
        <v>Cadastrar Ficha de Produção</v>
      </c>
      <c r="G316" s="74">
        <v>0</v>
      </c>
      <c r="H316" s="76">
        <v>1</v>
      </c>
      <c r="I316" s="74">
        <f t="shared" si="170"/>
        <v>0</v>
      </c>
      <c r="J316" s="77">
        <f>VLOOKUP(B316,'Tabela de Produtos'!B:M,12,FALSE())</f>
        <v>0</v>
      </c>
      <c r="K316" s="74"/>
      <c r="L316" s="74"/>
      <c r="M316" s="74"/>
      <c r="N316" s="81"/>
      <c r="O316" s="74"/>
      <c r="P316" s="74"/>
      <c r="Q316" s="74"/>
      <c r="R316" s="81"/>
      <c r="S316" s="74"/>
      <c r="T316" s="74"/>
      <c r="U316" s="74"/>
      <c r="V316" s="74"/>
      <c r="W316" s="81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7"/>
      <c r="AY316" s="77">
        <f t="shared" si="171"/>
        <v>0</v>
      </c>
      <c r="AZ316" s="79">
        <f>IFERROR(H316*VLOOKUP(A316,'Tabela de Produtos'!A:Q,17,0),0)</f>
        <v>0</v>
      </c>
      <c r="BA316" s="74">
        <f t="shared" si="178"/>
        <v>0</v>
      </c>
      <c r="BB316" s="74">
        <f t="shared" si="178"/>
        <v>0</v>
      </c>
      <c r="BC316" s="74">
        <f t="shared" si="178"/>
        <v>0</v>
      </c>
      <c r="BD316" s="74">
        <f t="shared" si="178"/>
        <v>0</v>
      </c>
      <c r="BE316" s="74">
        <f t="shared" si="172"/>
        <v>0</v>
      </c>
      <c r="BF316" s="74">
        <f t="shared" si="173"/>
        <v>0</v>
      </c>
      <c r="BG316" s="74">
        <f t="shared" si="174"/>
        <v>0</v>
      </c>
      <c r="BH316" s="21">
        <f t="shared" si="175"/>
        <v>0</v>
      </c>
    </row>
    <row r="317" spans="1:60" ht="15.75" customHeight="1">
      <c r="A317" s="72" t="s">
        <v>384</v>
      </c>
      <c r="B317" s="2" t="str">
        <f>IFERROR(VLOOKUP(A317,'Tabela de Produtos'!A:B,2,0),"Preencher Cód. Produto")</f>
        <v>BRAZIMIL BORRACHA LIQUIDA ND MULTISUPERFÍCIES 14KG PRETO GRAFITE</v>
      </c>
      <c r="C317" s="2"/>
      <c r="D317" s="73"/>
      <c r="E317" s="73"/>
      <c r="F317" s="74" t="str">
        <f>IF(A317=0,0,VLOOKUP(A317,'Tabela de Produtos'!A:W,23,0))</f>
        <v>Cadastrar Ficha de Produção</v>
      </c>
      <c r="G317" s="74">
        <v>0</v>
      </c>
      <c r="H317" s="76">
        <v>1</v>
      </c>
      <c r="I317" s="74">
        <f t="shared" si="170"/>
        <v>0</v>
      </c>
      <c r="J317" s="77">
        <f>VLOOKUP(B317,'Tabela de Produtos'!B:M,12,FALSE())</f>
        <v>0</v>
      </c>
      <c r="K317" s="74"/>
      <c r="L317" s="74"/>
      <c r="M317" s="74"/>
      <c r="N317" s="81"/>
      <c r="O317" s="74"/>
      <c r="P317" s="74"/>
      <c r="Q317" s="74"/>
      <c r="R317" s="81"/>
      <c r="S317" s="74"/>
      <c r="T317" s="74"/>
      <c r="U317" s="74"/>
      <c r="V317" s="74"/>
      <c r="W317" s="81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7"/>
      <c r="AY317" s="77">
        <f t="shared" si="171"/>
        <v>0</v>
      </c>
      <c r="AZ317" s="79">
        <f>IFERROR(H317*VLOOKUP(A317,'Tabela de Produtos'!A:Q,17,0),0)</f>
        <v>0</v>
      </c>
      <c r="BA317" s="74">
        <f t="shared" si="178"/>
        <v>0</v>
      </c>
      <c r="BB317" s="74">
        <f t="shared" si="178"/>
        <v>0</v>
      </c>
      <c r="BC317" s="74">
        <f t="shared" si="178"/>
        <v>0</v>
      </c>
      <c r="BD317" s="74">
        <f t="shared" si="178"/>
        <v>0</v>
      </c>
      <c r="BE317" s="74">
        <f t="shared" si="172"/>
        <v>0</v>
      </c>
      <c r="BF317" s="74">
        <f t="shared" si="173"/>
        <v>0</v>
      </c>
      <c r="BG317" s="74">
        <f t="shared" si="174"/>
        <v>0</v>
      </c>
      <c r="BH317" s="21">
        <f t="shared" si="175"/>
        <v>0</v>
      </c>
    </row>
    <row r="318" spans="1:60" ht="15.75" customHeight="1">
      <c r="A318" s="72" t="s">
        <v>385</v>
      </c>
      <c r="B318" s="2" t="str">
        <f>IFERROR(VLOOKUP(A318,'Tabela de Produtos'!A:B,2,0),"Preencher Cód. Produto")</f>
        <v>BRAZIMIL ESMALTE BASE D'ÁGUA 0,75L BRANCO</v>
      </c>
      <c r="C318" s="2"/>
      <c r="D318" s="73"/>
      <c r="E318" s="73"/>
      <c r="F318" s="74" t="str">
        <f>IF(A318=0,0,VLOOKUP(A318,'Tabela de Produtos'!A:W,23,0))</f>
        <v>Cadastrar Ficha de Produção</v>
      </c>
      <c r="G318" s="74">
        <v>0</v>
      </c>
      <c r="H318" s="76">
        <v>1</v>
      </c>
      <c r="I318" s="74">
        <f t="shared" si="170"/>
        <v>0</v>
      </c>
      <c r="J318" s="77">
        <f>VLOOKUP(B318,'Tabela de Produtos'!B:M,12,FALSE())</f>
        <v>0</v>
      </c>
      <c r="K318" s="74"/>
      <c r="L318" s="74"/>
      <c r="M318" s="74"/>
      <c r="N318" s="81"/>
      <c r="O318" s="74"/>
      <c r="P318" s="74"/>
      <c r="Q318" s="74"/>
      <c r="R318" s="81"/>
      <c r="S318" s="74"/>
      <c r="T318" s="74"/>
      <c r="U318" s="74"/>
      <c r="V318" s="74"/>
      <c r="W318" s="81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7"/>
      <c r="AY318" s="77">
        <f t="shared" si="171"/>
        <v>0</v>
      </c>
      <c r="AZ318" s="79">
        <f>IFERROR(H318*VLOOKUP(A318,'Tabela de Produtos'!A:Q,17,0),0)</f>
        <v>0</v>
      </c>
      <c r="BA318" s="74">
        <f t="shared" si="178"/>
        <v>0</v>
      </c>
      <c r="BB318" s="74">
        <f t="shared" si="178"/>
        <v>0</v>
      </c>
      <c r="BC318" s="74">
        <f t="shared" si="178"/>
        <v>0</v>
      </c>
      <c r="BD318" s="74">
        <f t="shared" si="178"/>
        <v>0</v>
      </c>
      <c r="BE318" s="74">
        <f t="shared" si="172"/>
        <v>0</v>
      </c>
      <c r="BF318" s="74">
        <f t="shared" si="173"/>
        <v>0</v>
      </c>
      <c r="BG318" s="74">
        <f t="shared" si="174"/>
        <v>0</v>
      </c>
      <c r="BH318" s="21">
        <f t="shared" si="175"/>
        <v>0</v>
      </c>
    </row>
    <row r="319" spans="1:60" ht="15.75" customHeight="1">
      <c r="A319" s="72" t="s">
        <v>386</v>
      </c>
      <c r="B319" s="2" t="str">
        <f>IFERROR(VLOOKUP(A319,'Tabela de Produtos'!A:B,2,0),"Preencher Cód. Produto")</f>
        <v>BRAZIMIL ESMALTE BASE D'ÁGUA 0,75L BRANCO GELO</v>
      </c>
      <c r="C319" s="2"/>
      <c r="D319" s="73"/>
      <c r="E319" s="73"/>
      <c r="F319" s="74" t="str">
        <f>IF(A319=0,0,VLOOKUP(A319,'Tabela de Produtos'!A:W,23,0))</f>
        <v>Cadastrar Ficha de Produção</v>
      </c>
      <c r="G319" s="74">
        <v>0</v>
      </c>
      <c r="H319" s="76">
        <v>1</v>
      </c>
      <c r="I319" s="74">
        <f t="shared" si="170"/>
        <v>0</v>
      </c>
      <c r="J319" s="77">
        <f>VLOOKUP(B319,'Tabela de Produtos'!B:M,12,FALSE())</f>
        <v>0</v>
      </c>
      <c r="K319" s="74"/>
      <c r="L319" s="74"/>
      <c r="M319" s="74"/>
      <c r="N319" s="81"/>
      <c r="O319" s="74"/>
      <c r="P319" s="74"/>
      <c r="Q319" s="74"/>
      <c r="R319" s="81"/>
      <c r="S319" s="74"/>
      <c r="T319" s="74"/>
      <c r="U319" s="74"/>
      <c r="V319" s="74"/>
      <c r="W319" s="81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7"/>
      <c r="AY319" s="77">
        <f t="shared" si="171"/>
        <v>0</v>
      </c>
      <c r="AZ319" s="79">
        <f>IFERROR(H319*VLOOKUP(A319,'Tabela de Produtos'!A:Q,17,0),0)</f>
        <v>0</v>
      </c>
      <c r="BA319" s="74">
        <f t="shared" si="178"/>
        <v>0</v>
      </c>
      <c r="BB319" s="74">
        <f t="shared" si="178"/>
        <v>0</v>
      </c>
      <c r="BC319" s="74">
        <f t="shared" si="178"/>
        <v>0</v>
      </c>
      <c r="BD319" s="74">
        <f t="shared" si="178"/>
        <v>0</v>
      </c>
      <c r="BE319" s="74">
        <f t="shared" si="172"/>
        <v>0</v>
      </c>
      <c r="BF319" s="74">
        <f t="shared" si="173"/>
        <v>0</v>
      </c>
      <c r="BG319" s="74">
        <f t="shared" si="174"/>
        <v>0</v>
      </c>
      <c r="BH319" s="21">
        <f t="shared" si="175"/>
        <v>0</v>
      </c>
    </row>
    <row r="320" spans="1:60" ht="15.75" customHeight="1">
      <c r="A320" s="72" t="s">
        <v>387</v>
      </c>
      <c r="B320" s="2" t="str">
        <f>IFERROR(VLOOKUP(A320,'Tabela de Produtos'!A:B,2,0),"Preencher Cód. Produto")</f>
        <v>BRAZIMIL ESMALTE BASE D'ÁGUA 0,75L VERMELHO FERRARI</v>
      </c>
      <c r="C320" s="2"/>
      <c r="D320" s="73"/>
      <c r="E320" s="73"/>
      <c r="F320" s="74" t="str">
        <f>IF(A320=0,0,VLOOKUP(A320,'Tabela de Produtos'!A:W,23,0))</f>
        <v>Cadastrar Ficha de Produção</v>
      </c>
      <c r="G320" s="74">
        <v>0</v>
      </c>
      <c r="H320" s="76">
        <v>1</v>
      </c>
      <c r="I320" s="74">
        <f t="shared" si="170"/>
        <v>0</v>
      </c>
      <c r="J320" s="77">
        <f>VLOOKUP(B320,'Tabela de Produtos'!B:M,12,FALSE())</f>
        <v>0</v>
      </c>
      <c r="K320" s="74"/>
      <c r="L320" s="74"/>
      <c r="M320" s="74"/>
      <c r="N320" s="81"/>
      <c r="O320" s="74"/>
      <c r="P320" s="74"/>
      <c r="Q320" s="74"/>
      <c r="R320" s="81"/>
      <c r="S320" s="74"/>
      <c r="T320" s="74"/>
      <c r="U320" s="74"/>
      <c r="V320" s="74"/>
      <c r="W320" s="81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7"/>
      <c r="AY320" s="77">
        <f t="shared" si="171"/>
        <v>0</v>
      </c>
      <c r="AZ320" s="79">
        <f>IFERROR(H320*VLOOKUP(A320,'Tabela de Produtos'!A:Q,17,0),0)</f>
        <v>0</v>
      </c>
      <c r="BA320" s="74">
        <f t="shared" si="178"/>
        <v>0</v>
      </c>
      <c r="BB320" s="74">
        <f t="shared" si="178"/>
        <v>0</v>
      </c>
      <c r="BC320" s="74">
        <f t="shared" si="178"/>
        <v>0</v>
      </c>
      <c r="BD320" s="74">
        <f t="shared" si="178"/>
        <v>0</v>
      </c>
      <c r="BE320" s="74">
        <f t="shared" si="172"/>
        <v>0</v>
      </c>
      <c r="BF320" s="74">
        <f t="shared" si="173"/>
        <v>0</v>
      </c>
      <c r="BG320" s="74">
        <f t="shared" si="174"/>
        <v>0</v>
      </c>
      <c r="BH320" s="21">
        <f t="shared" si="175"/>
        <v>0</v>
      </c>
    </row>
    <row r="321" spans="1:65" ht="15.75" customHeight="1">
      <c r="A321" s="72" t="s">
        <v>388</v>
      </c>
      <c r="B321" s="2" t="str">
        <f>IFERROR(VLOOKUP(A321,'Tabela de Produtos'!A:B,2,0),"Preencher Cód. Produto")</f>
        <v>BRAZIMIL ESMALTE BASE D'ÁGUA 0,75L AZUL DEL REY</v>
      </c>
      <c r="C321" s="2"/>
      <c r="D321" s="73"/>
      <c r="E321" s="73"/>
      <c r="F321" s="74" t="str">
        <f>IF(A321=0,0,VLOOKUP(A321,'Tabela de Produtos'!A:W,23,0))</f>
        <v>Cadastrar Ficha de Produção</v>
      </c>
      <c r="G321" s="74">
        <v>0</v>
      </c>
      <c r="H321" s="76">
        <v>1</v>
      </c>
      <c r="I321" s="74">
        <f t="shared" si="170"/>
        <v>0</v>
      </c>
      <c r="J321" s="77">
        <f>VLOOKUP(B321,'Tabela de Produtos'!B:M,12,FALSE())</f>
        <v>0</v>
      </c>
      <c r="K321" s="74"/>
      <c r="L321" s="74"/>
      <c r="M321" s="74"/>
      <c r="N321" s="81"/>
      <c r="O321" s="74"/>
      <c r="P321" s="74"/>
      <c r="Q321" s="74"/>
      <c r="R321" s="81"/>
      <c r="S321" s="74"/>
      <c r="T321" s="74"/>
      <c r="U321" s="74"/>
      <c r="V321" s="74"/>
      <c r="W321" s="81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7"/>
      <c r="AY321" s="77">
        <f t="shared" si="171"/>
        <v>0</v>
      </c>
      <c r="AZ321" s="79">
        <f>IFERROR(H321*VLOOKUP(A321,'Tabela de Produtos'!A:Q,17,0),0)</f>
        <v>0</v>
      </c>
      <c r="BA321" s="74">
        <f t="shared" si="178"/>
        <v>0</v>
      </c>
      <c r="BB321" s="74">
        <f t="shared" si="178"/>
        <v>0</v>
      </c>
      <c r="BC321" s="74">
        <f t="shared" si="178"/>
        <v>0</v>
      </c>
      <c r="BD321" s="74">
        <f t="shared" si="178"/>
        <v>0</v>
      </c>
      <c r="BE321" s="74">
        <f t="shared" si="172"/>
        <v>0</v>
      </c>
      <c r="BF321" s="74">
        <f t="shared" si="173"/>
        <v>0</v>
      </c>
      <c r="BG321" s="74">
        <f t="shared" si="174"/>
        <v>0</v>
      </c>
      <c r="BH321" s="21">
        <f t="shared" si="175"/>
        <v>0</v>
      </c>
    </row>
    <row r="322" spans="1:65" ht="15.75" customHeight="1">
      <c r="A322" s="72" t="s">
        <v>389</v>
      </c>
      <c r="B322" s="2" t="str">
        <f>IFERROR(VLOOKUP(A322,'Tabela de Produtos'!A:B,2,0),"Preencher Cód. Produto")</f>
        <v>BRAZIMIL ESMALTE BASE D'ÁGUA 0,75L PRETO</v>
      </c>
      <c r="C322" s="2"/>
      <c r="D322" s="73"/>
      <c r="E322" s="73"/>
      <c r="F322" s="74" t="str">
        <f>IF(A322=0,0,VLOOKUP(A322,'Tabela de Produtos'!A:W,23,0))</f>
        <v>Cadastrar Ficha de Produção</v>
      </c>
      <c r="G322" s="74">
        <v>0</v>
      </c>
      <c r="H322" s="76">
        <v>1</v>
      </c>
      <c r="I322" s="74">
        <f t="shared" si="170"/>
        <v>0</v>
      </c>
      <c r="J322" s="77">
        <f>VLOOKUP(B322,'Tabela de Produtos'!B:M,12,FALSE())</f>
        <v>0</v>
      </c>
      <c r="K322" s="74"/>
      <c r="L322" s="74"/>
      <c r="M322" s="74"/>
      <c r="N322" s="81"/>
      <c r="O322" s="74"/>
      <c r="P322" s="74"/>
      <c r="Q322" s="74"/>
      <c r="R322" s="81"/>
      <c r="S322" s="74"/>
      <c r="T322" s="74"/>
      <c r="U322" s="74"/>
      <c r="V322" s="74"/>
      <c r="W322" s="81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7"/>
      <c r="AY322" s="77">
        <f t="shared" si="171"/>
        <v>0</v>
      </c>
      <c r="AZ322" s="79">
        <f>IFERROR(H322*VLOOKUP(A322,'Tabela de Produtos'!A:Q,17,0),0)</f>
        <v>0</v>
      </c>
      <c r="BA322" s="74">
        <f t="shared" si="178"/>
        <v>0</v>
      </c>
      <c r="BB322" s="74">
        <f t="shared" si="178"/>
        <v>0</v>
      </c>
      <c r="BC322" s="74">
        <f t="shared" si="178"/>
        <v>0</v>
      </c>
      <c r="BD322" s="74">
        <f t="shared" si="178"/>
        <v>0</v>
      </c>
      <c r="BE322" s="74">
        <f t="shared" si="172"/>
        <v>0</v>
      </c>
      <c r="BF322" s="74">
        <f t="shared" si="173"/>
        <v>0</v>
      </c>
      <c r="BG322" s="74">
        <f t="shared" si="174"/>
        <v>0</v>
      </c>
      <c r="BH322" s="21">
        <f t="shared" si="175"/>
        <v>0</v>
      </c>
    </row>
    <row r="323" spans="1:65" ht="15.75" customHeight="1">
      <c r="A323" s="72" t="s">
        <v>390</v>
      </c>
      <c r="B323" s="2" t="str">
        <f>IFERROR(VLOOKUP(A323,'Tabela de Produtos'!A:B,2,0),"Preencher Cód. Produto")</f>
        <v>BRAZIMIL ESMALTE BASE D'ÁGUA 0,75L CINZA</v>
      </c>
      <c r="C323" s="2"/>
      <c r="D323" s="73"/>
      <c r="E323" s="73"/>
      <c r="F323" s="74" t="str">
        <f>IF(A323=0,0,VLOOKUP(A323,'Tabela de Produtos'!A:W,23,0))</f>
        <v>Cadastrar Ficha de Produção</v>
      </c>
      <c r="G323" s="74">
        <v>0</v>
      </c>
      <c r="H323" s="76">
        <v>1</v>
      </c>
      <c r="I323" s="74">
        <f t="shared" si="170"/>
        <v>0</v>
      </c>
      <c r="J323" s="77">
        <f>VLOOKUP(B323,'Tabela de Produtos'!B:M,12,FALSE())</f>
        <v>0</v>
      </c>
      <c r="K323" s="74"/>
      <c r="L323" s="74"/>
      <c r="M323" s="74"/>
      <c r="N323" s="81"/>
      <c r="O323" s="74"/>
      <c r="P323" s="74"/>
      <c r="Q323" s="74"/>
      <c r="R323" s="81"/>
      <c r="S323" s="74"/>
      <c r="T323" s="74"/>
      <c r="U323" s="74"/>
      <c r="V323" s="74"/>
      <c r="W323" s="81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7"/>
      <c r="AY323" s="77">
        <f t="shared" si="171"/>
        <v>0</v>
      </c>
      <c r="AZ323" s="79">
        <f>IFERROR(H323*VLOOKUP(A323,'Tabela de Produtos'!A:Q,17,0),0)</f>
        <v>0</v>
      </c>
      <c r="BA323" s="74">
        <f t="shared" si="178"/>
        <v>0</v>
      </c>
      <c r="BB323" s="74">
        <f t="shared" si="178"/>
        <v>0</v>
      </c>
      <c r="BC323" s="74">
        <f t="shared" si="178"/>
        <v>0</v>
      </c>
      <c r="BD323" s="74">
        <f t="shared" si="178"/>
        <v>0</v>
      </c>
      <c r="BE323" s="74">
        <f t="shared" si="172"/>
        <v>0</v>
      </c>
      <c r="BF323" s="74">
        <f t="shared" si="173"/>
        <v>0</v>
      </c>
      <c r="BG323" s="74">
        <f t="shared" si="174"/>
        <v>0</v>
      </c>
      <c r="BH323" s="21">
        <f t="shared" si="175"/>
        <v>0</v>
      </c>
    </row>
    <row r="324" spans="1:65" ht="15.75" customHeight="1">
      <c r="A324" s="72" t="s">
        <v>391</v>
      </c>
      <c r="B324" s="2" t="str">
        <f>IFERROR(VLOOKUP(A324,'Tabela de Produtos'!A:B,2,0),"Preencher Cód. Produto")</f>
        <v>BRAZIMIL ESMALTE BASE D'ÁGUA 0,75L LARANJA</v>
      </c>
      <c r="C324" s="2"/>
      <c r="D324" s="73"/>
      <c r="E324" s="73"/>
      <c r="F324" s="74" t="str">
        <f>IF(A324=0,0,VLOOKUP(A324,'Tabela de Produtos'!A:W,23,0))</f>
        <v>Cadastrar Ficha de Produção</v>
      </c>
      <c r="G324" s="74">
        <v>0</v>
      </c>
      <c r="H324" s="76">
        <v>1</v>
      </c>
      <c r="I324" s="74">
        <f t="shared" si="170"/>
        <v>0</v>
      </c>
      <c r="J324" s="77">
        <f>VLOOKUP(B324,'Tabela de Produtos'!B:M,12,FALSE())</f>
        <v>0</v>
      </c>
      <c r="K324" s="74"/>
      <c r="L324" s="74"/>
      <c r="M324" s="74"/>
      <c r="N324" s="81"/>
      <c r="O324" s="74"/>
      <c r="P324" s="74"/>
      <c r="Q324" s="74"/>
      <c r="R324" s="81"/>
      <c r="S324" s="74"/>
      <c r="T324" s="74"/>
      <c r="U324" s="74"/>
      <c r="V324" s="74"/>
      <c r="W324" s="81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7"/>
      <c r="AY324" s="77">
        <f t="shared" si="171"/>
        <v>0</v>
      </c>
      <c r="AZ324" s="79">
        <f>IFERROR(H324*VLOOKUP(A324,'Tabela de Produtos'!A:Q,17,0),0)</f>
        <v>0</v>
      </c>
      <c r="BA324" s="74">
        <f t="shared" si="178"/>
        <v>0</v>
      </c>
      <c r="BB324" s="74">
        <f t="shared" si="178"/>
        <v>0</v>
      </c>
      <c r="BC324" s="74">
        <f t="shared" si="178"/>
        <v>0</v>
      </c>
      <c r="BD324" s="74">
        <f t="shared" si="178"/>
        <v>0</v>
      </c>
      <c r="BE324" s="74">
        <f t="shared" si="172"/>
        <v>0</v>
      </c>
      <c r="BF324" s="74">
        <f t="shared" si="173"/>
        <v>0</v>
      </c>
      <c r="BG324" s="74">
        <f t="shared" si="174"/>
        <v>0</v>
      </c>
      <c r="BH324" s="21">
        <f t="shared" si="175"/>
        <v>0</v>
      </c>
    </row>
    <row r="325" spans="1:65" ht="15.75" customHeight="1">
      <c r="A325" s="72" t="s">
        <v>392</v>
      </c>
      <c r="B325" s="2" t="str">
        <f>IFERROR(VLOOKUP(A325,'Tabela de Produtos'!A:B,2,0),"Preencher Cód. Produto")</f>
        <v>BRAZIMIL ESMALTE BASE D'ÁGUA 0,75L AZUL CEU</v>
      </c>
      <c r="C325" s="2"/>
      <c r="D325" s="73"/>
      <c r="E325" s="73"/>
      <c r="F325" s="74" t="str">
        <f>IF(A325=0,0,VLOOKUP(A325,'Tabela de Produtos'!A:W,23,0))</f>
        <v>Cadastrar Ficha de Produção</v>
      </c>
      <c r="G325" s="74">
        <v>0</v>
      </c>
      <c r="H325" s="76">
        <v>1</v>
      </c>
      <c r="I325" s="74">
        <f t="shared" si="170"/>
        <v>0</v>
      </c>
      <c r="J325" s="77">
        <f>VLOOKUP(B325,'Tabela de Produtos'!B:M,12,FALSE())</f>
        <v>0</v>
      </c>
      <c r="K325" s="74"/>
      <c r="L325" s="74"/>
      <c r="M325" s="74"/>
      <c r="N325" s="81"/>
      <c r="O325" s="74"/>
      <c r="P325" s="74"/>
      <c r="Q325" s="74"/>
      <c r="R325" s="81"/>
      <c r="S325" s="74"/>
      <c r="T325" s="74"/>
      <c r="U325" s="74"/>
      <c r="V325" s="74"/>
      <c r="W325" s="81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7"/>
      <c r="AY325" s="77">
        <f t="shared" si="171"/>
        <v>0</v>
      </c>
      <c r="AZ325" s="79">
        <f>IFERROR(H325*VLOOKUP(A325,'Tabela de Produtos'!A:Q,17,0),0)</f>
        <v>0</v>
      </c>
      <c r="BA325" s="74">
        <f t="shared" si="178"/>
        <v>0</v>
      </c>
      <c r="BB325" s="74">
        <f t="shared" si="178"/>
        <v>0</v>
      </c>
      <c r="BC325" s="74">
        <f t="shared" si="178"/>
        <v>0</v>
      </c>
      <c r="BD325" s="74">
        <f t="shared" si="178"/>
        <v>0</v>
      </c>
      <c r="BE325" s="74">
        <f t="shared" si="172"/>
        <v>0</v>
      </c>
      <c r="BF325" s="74">
        <f t="shared" si="173"/>
        <v>0</v>
      </c>
      <c r="BG325" s="74">
        <f t="shared" si="174"/>
        <v>0</v>
      </c>
      <c r="BH325" s="21">
        <f t="shared" si="175"/>
        <v>0</v>
      </c>
    </row>
    <row r="326" spans="1:65" ht="15.75" customHeight="1">
      <c r="A326" s="72" t="s">
        <v>393</v>
      </c>
      <c r="B326" s="2" t="str">
        <f>IFERROR(VLOOKUP(A326,'Tabela de Produtos'!A:B,2,0),"Preencher Cód. Produto")</f>
        <v>BRAZIMIL ESMALTE BASE D'ÁGUA 0,75L LILAS</v>
      </c>
      <c r="C326" s="2"/>
      <c r="D326" s="73"/>
      <c r="E326" s="73"/>
      <c r="F326" s="74" t="str">
        <f>IF(A326=0,0,VLOOKUP(A326,'Tabela de Produtos'!A:W,23,0))</f>
        <v>Cadastrar Ficha de Produção</v>
      </c>
      <c r="G326" s="74">
        <v>0</v>
      </c>
      <c r="H326" s="76">
        <v>1</v>
      </c>
      <c r="I326" s="74">
        <f t="shared" si="170"/>
        <v>0</v>
      </c>
      <c r="J326" s="77">
        <f>VLOOKUP(B326,'Tabela de Produtos'!B:M,12,FALSE())</f>
        <v>0</v>
      </c>
      <c r="K326" s="74"/>
      <c r="L326" s="74"/>
      <c r="M326" s="74"/>
      <c r="N326" s="81"/>
      <c r="O326" s="74"/>
      <c r="P326" s="74"/>
      <c r="Q326" s="74"/>
      <c r="R326" s="81"/>
      <c r="S326" s="74"/>
      <c r="T326" s="74"/>
      <c r="U326" s="74"/>
      <c r="V326" s="74"/>
      <c r="W326" s="81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7"/>
      <c r="AY326" s="77">
        <f t="shared" si="171"/>
        <v>0</v>
      </c>
      <c r="AZ326" s="79">
        <f>IFERROR(H326*VLOOKUP(A326,'Tabela de Produtos'!A:Q,17,0),0)</f>
        <v>0</v>
      </c>
      <c r="BA326" s="74">
        <f t="shared" si="178"/>
        <v>0</v>
      </c>
      <c r="BB326" s="74">
        <f t="shared" si="178"/>
        <v>0</v>
      </c>
      <c r="BC326" s="74">
        <f t="shared" si="178"/>
        <v>0</v>
      </c>
      <c r="BD326" s="74">
        <f t="shared" si="178"/>
        <v>0</v>
      </c>
      <c r="BE326" s="74">
        <f t="shared" si="172"/>
        <v>0</v>
      </c>
      <c r="BF326" s="74">
        <f t="shared" si="173"/>
        <v>0</v>
      </c>
      <c r="BG326" s="74">
        <f t="shared" si="174"/>
        <v>0</v>
      </c>
      <c r="BH326" s="21">
        <f t="shared" si="175"/>
        <v>0</v>
      </c>
    </row>
    <row r="327" spans="1:65" ht="15.75" customHeight="1">
      <c r="A327" s="72" t="s">
        <v>394</v>
      </c>
      <c r="B327" s="2" t="str">
        <f>IFERROR(VLOOKUP(A327,'Tabela de Produtos'!A:B,2,0),"Preencher Cód. Produto")</f>
        <v>BRAZIMIL ESMALTE BASE D'ÁGUA 0,75L VERDE NILO</v>
      </c>
      <c r="C327" s="2"/>
      <c r="D327" s="73"/>
      <c r="E327" s="73"/>
      <c r="F327" s="74" t="str">
        <f>IF(A327=0,0,VLOOKUP(A327,'Tabela de Produtos'!A:W,23,0))</f>
        <v>Cadastrar Ficha de Produção</v>
      </c>
      <c r="G327" s="74">
        <v>0</v>
      </c>
      <c r="H327" s="76">
        <v>1</v>
      </c>
      <c r="I327" s="74">
        <f t="shared" si="170"/>
        <v>0</v>
      </c>
      <c r="J327" s="77">
        <f>VLOOKUP(B327,'Tabela de Produtos'!B:M,12,FALSE())</f>
        <v>0</v>
      </c>
      <c r="K327" s="74"/>
      <c r="L327" s="74"/>
      <c r="M327" s="74"/>
      <c r="N327" s="81"/>
      <c r="O327" s="74"/>
      <c r="P327" s="74"/>
      <c r="Q327" s="74"/>
      <c r="R327" s="81"/>
      <c r="S327" s="74"/>
      <c r="T327" s="74"/>
      <c r="U327" s="74"/>
      <c r="V327" s="74"/>
      <c r="W327" s="81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7"/>
      <c r="AY327" s="77">
        <f t="shared" si="171"/>
        <v>0</v>
      </c>
      <c r="AZ327" s="79">
        <f>IFERROR(H327*VLOOKUP(A327,'Tabela de Produtos'!A:Q,17,0),0)</f>
        <v>0</v>
      </c>
      <c r="BA327" s="74">
        <f t="shared" si="178"/>
        <v>0</v>
      </c>
      <c r="BB327" s="74">
        <f t="shared" si="178"/>
        <v>0</v>
      </c>
      <c r="BC327" s="74">
        <f t="shared" si="178"/>
        <v>0</v>
      </c>
      <c r="BD327" s="74">
        <f t="shared" si="178"/>
        <v>0</v>
      </c>
      <c r="BE327" s="74">
        <f t="shared" si="172"/>
        <v>0</v>
      </c>
      <c r="BF327" s="74">
        <f t="shared" si="173"/>
        <v>0</v>
      </c>
      <c r="BG327" s="74">
        <f t="shared" si="174"/>
        <v>0</v>
      </c>
      <c r="BH327" s="21">
        <f t="shared" si="175"/>
        <v>0</v>
      </c>
    </row>
    <row r="328" spans="1:65" ht="15.75" customHeight="1">
      <c r="A328" s="72" t="s">
        <v>395</v>
      </c>
      <c r="B328" s="2" t="str">
        <f>IFERROR(VLOOKUP(A328,'Tabela de Produtos'!A:B,2,0),"Preencher Cód. Produto")</f>
        <v>BRAZIMIL ESMALTE BASE D'ÁGUA 0,75L VERDE FOLHA</v>
      </c>
      <c r="C328" s="2"/>
      <c r="D328" s="73"/>
      <c r="E328" s="73"/>
      <c r="F328" s="74" t="str">
        <f>IF(A328=0,0,VLOOKUP(A328,'Tabela de Produtos'!A:W,23,0))</f>
        <v>Cadastrar Ficha de Produção</v>
      </c>
      <c r="G328" s="74">
        <v>0</v>
      </c>
      <c r="H328" s="76">
        <v>1</v>
      </c>
      <c r="I328" s="74">
        <f t="shared" si="170"/>
        <v>0</v>
      </c>
      <c r="J328" s="77">
        <f>VLOOKUP(B328,'Tabela de Produtos'!B:M,12,FALSE())</f>
        <v>0</v>
      </c>
      <c r="K328" s="74"/>
      <c r="L328" s="74"/>
      <c r="M328" s="74"/>
      <c r="N328" s="81"/>
      <c r="O328" s="74"/>
      <c r="P328" s="74"/>
      <c r="Q328" s="74"/>
      <c r="R328" s="81"/>
      <c r="S328" s="74"/>
      <c r="T328" s="74"/>
      <c r="U328" s="74"/>
      <c r="V328" s="74"/>
      <c r="W328" s="81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7"/>
      <c r="AY328" s="77">
        <f t="shared" si="171"/>
        <v>0</v>
      </c>
      <c r="AZ328" s="79">
        <f>IFERROR(H328*VLOOKUP(A328,'Tabela de Produtos'!A:Q,17,0),0)</f>
        <v>0</v>
      </c>
      <c r="BA328" s="74">
        <f t="shared" si="178"/>
        <v>0</v>
      </c>
      <c r="BB328" s="74">
        <f t="shared" si="178"/>
        <v>0</v>
      </c>
      <c r="BC328" s="74">
        <f t="shared" si="178"/>
        <v>0</v>
      </c>
      <c r="BD328" s="74">
        <f t="shared" si="178"/>
        <v>0</v>
      </c>
      <c r="BE328" s="74">
        <f t="shared" si="172"/>
        <v>0</v>
      </c>
      <c r="BF328" s="74">
        <f t="shared" si="173"/>
        <v>0</v>
      </c>
      <c r="BG328" s="74">
        <f t="shared" si="174"/>
        <v>0</v>
      </c>
      <c r="BH328" s="21">
        <f t="shared" si="175"/>
        <v>0</v>
      </c>
    </row>
    <row r="329" spans="1:65" ht="15.75" customHeight="1">
      <c r="A329" s="72" t="s">
        <v>396</v>
      </c>
      <c r="B329" s="2" t="str">
        <f>IFERROR(VLOOKUP(A329,'Tabela de Produtos'!A:B,2,0),"Preencher Cód. Produto")</f>
        <v>BRAZIMIL ESMALTE BASE D'ÁGUA 0,75L AMARELO OURO</v>
      </c>
      <c r="C329" s="2"/>
      <c r="D329" s="73"/>
      <c r="E329" s="73"/>
      <c r="F329" s="74" t="str">
        <f>IF(A329=0,0,VLOOKUP(A329,'Tabela de Produtos'!A:W,23,0))</f>
        <v>Cadastrar Ficha de Produção</v>
      </c>
      <c r="G329" s="74">
        <v>0</v>
      </c>
      <c r="H329" s="76">
        <v>1</v>
      </c>
      <c r="I329" s="74">
        <f t="shared" si="170"/>
        <v>0</v>
      </c>
      <c r="J329" s="77">
        <f>VLOOKUP(B329,'Tabela de Produtos'!B:M,12,FALSE())</f>
        <v>0</v>
      </c>
      <c r="K329" s="74"/>
      <c r="L329" s="74"/>
      <c r="M329" s="74"/>
      <c r="N329" s="81"/>
      <c r="O329" s="74"/>
      <c r="P329" s="74"/>
      <c r="Q329" s="74"/>
      <c r="R329" s="81"/>
      <c r="S329" s="74"/>
      <c r="T329" s="74"/>
      <c r="U329" s="74"/>
      <c r="V329" s="74"/>
      <c r="W329" s="81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7"/>
      <c r="AY329" s="77">
        <f t="shared" si="171"/>
        <v>0</v>
      </c>
      <c r="AZ329" s="79">
        <f>IFERROR(H329*VLOOKUP(A329,'Tabela de Produtos'!A:Q,17,0),0)</f>
        <v>0</v>
      </c>
      <c r="BA329" s="74">
        <f t="shared" si="178"/>
        <v>0</v>
      </c>
      <c r="BB329" s="74">
        <f t="shared" si="178"/>
        <v>0</v>
      </c>
      <c r="BC329" s="74">
        <f t="shared" si="178"/>
        <v>0</v>
      </c>
      <c r="BD329" s="74">
        <f t="shared" si="178"/>
        <v>0</v>
      </c>
      <c r="BE329" s="74">
        <f t="shared" si="172"/>
        <v>0</v>
      </c>
      <c r="BF329" s="74">
        <f t="shared" si="173"/>
        <v>0</v>
      </c>
      <c r="BG329" s="74">
        <f t="shared" si="174"/>
        <v>0</v>
      </c>
      <c r="BH329" s="21">
        <f t="shared" si="175"/>
        <v>0</v>
      </c>
    </row>
    <row r="330" spans="1:65" ht="15.75" customHeight="1">
      <c r="A330" s="72" t="s">
        <v>397</v>
      </c>
      <c r="B330" s="2" t="str">
        <f>IFERROR(VLOOKUP(A330,'Tabela de Produtos'!A:B,2,0),"Preencher Cód. Produto")</f>
        <v>BRAZIMIL ESMALTE BASE D'ÁGUA 3L BRANCO</v>
      </c>
      <c r="C330" s="2"/>
      <c r="D330" s="73" t="s">
        <v>66</v>
      </c>
      <c r="E330" s="73"/>
      <c r="F330" s="74" t="str">
        <f>IF(A330=0,0,VLOOKUP(A330,'Tabela de Produtos'!A:W,23,0))</f>
        <v>Cadastrar Ficha de Produção</v>
      </c>
      <c r="G330" s="74">
        <v>0</v>
      </c>
      <c r="H330" s="76">
        <v>1</v>
      </c>
      <c r="I330" s="74">
        <f t="shared" si="170"/>
        <v>0</v>
      </c>
      <c r="J330" s="77">
        <f>VLOOKUP(B330,'Tabela de Produtos'!B:M,12,FALSE())</f>
        <v>0</v>
      </c>
      <c r="K330" s="74"/>
      <c r="L330" s="74"/>
      <c r="M330" s="74"/>
      <c r="N330" s="81"/>
      <c r="O330" s="74"/>
      <c r="P330" s="74"/>
      <c r="Q330" s="74"/>
      <c r="R330" s="81"/>
      <c r="S330" s="74"/>
      <c r="T330" s="74"/>
      <c r="U330" s="74"/>
      <c r="V330" s="74"/>
      <c r="W330" s="81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7"/>
      <c r="AY330" s="77">
        <f t="shared" si="171"/>
        <v>0</v>
      </c>
      <c r="AZ330" s="79">
        <f>IFERROR(H330*VLOOKUP(A330,'Tabela de Produtos'!A:Q,17,0),0)</f>
        <v>0</v>
      </c>
      <c r="BA330" s="74">
        <f t="shared" si="178"/>
        <v>0</v>
      </c>
      <c r="BB330" s="74">
        <f t="shared" si="178"/>
        <v>0</v>
      </c>
      <c r="BC330" s="74">
        <f t="shared" si="178"/>
        <v>0</v>
      </c>
      <c r="BD330" s="74">
        <f t="shared" si="178"/>
        <v>0</v>
      </c>
      <c r="BE330" s="74">
        <f t="shared" si="172"/>
        <v>0</v>
      </c>
      <c r="BF330" s="74">
        <f t="shared" si="173"/>
        <v>0</v>
      </c>
      <c r="BG330" s="74">
        <f t="shared" si="174"/>
        <v>0</v>
      </c>
      <c r="BH330" s="21">
        <f t="shared" si="175"/>
        <v>0</v>
      </c>
      <c r="BJ330" s="92"/>
      <c r="BK330" s="48"/>
      <c r="BM330" s="48"/>
    </row>
    <row r="331" spans="1:65" ht="15.75" customHeight="1">
      <c r="A331" s="72" t="s">
        <v>398</v>
      </c>
      <c r="B331" s="2" t="str">
        <f>IFERROR(VLOOKUP(A331,'Tabela de Produtos'!A:B,2,0),"Preencher Cód. Produto")</f>
        <v>BRAZIMIL ESMALTE BASE D'ÁGUA 3L BRANCO GELO</v>
      </c>
      <c r="C331" s="2"/>
      <c r="D331" s="73" t="s">
        <v>66</v>
      </c>
      <c r="E331" s="73"/>
      <c r="F331" s="74" t="str">
        <f>IF(A331=0,0,VLOOKUP(A331,'Tabela de Produtos'!A:W,23,0))</f>
        <v>Cadastrar Ficha de Produção</v>
      </c>
      <c r="G331" s="74">
        <v>0</v>
      </c>
      <c r="H331" s="76">
        <v>1</v>
      </c>
      <c r="I331" s="74">
        <f t="shared" si="170"/>
        <v>0</v>
      </c>
      <c r="J331" s="77">
        <f>VLOOKUP(B331,'Tabela de Produtos'!B:M,12,FALSE())</f>
        <v>0</v>
      </c>
      <c r="K331" s="74"/>
      <c r="L331" s="74"/>
      <c r="M331" s="74"/>
      <c r="N331" s="81"/>
      <c r="O331" s="74"/>
      <c r="P331" s="74"/>
      <c r="Q331" s="74"/>
      <c r="R331" s="81"/>
      <c r="S331" s="74"/>
      <c r="T331" s="74"/>
      <c r="U331" s="74"/>
      <c r="V331" s="74"/>
      <c r="W331" s="81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7"/>
      <c r="AY331" s="77">
        <f t="shared" si="171"/>
        <v>0</v>
      </c>
      <c r="AZ331" s="79">
        <f>IFERROR(H331*VLOOKUP(A331,'Tabela de Produtos'!A:Q,17,0),0)</f>
        <v>0</v>
      </c>
      <c r="BA331" s="74">
        <f t="shared" si="178"/>
        <v>0</v>
      </c>
      <c r="BB331" s="74">
        <f t="shared" si="178"/>
        <v>0</v>
      </c>
      <c r="BC331" s="74">
        <f t="shared" si="178"/>
        <v>0</v>
      </c>
      <c r="BD331" s="74">
        <f t="shared" si="178"/>
        <v>0</v>
      </c>
      <c r="BE331" s="74">
        <f t="shared" si="172"/>
        <v>0</v>
      </c>
      <c r="BF331" s="74">
        <f t="shared" si="173"/>
        <v>0</v>
      </c>
      <c r="BG331" s="74">
        <f t="shared" si="174"/>
        <v>0</v>
      </c>
      <c r="BH331" s="21">
        <f t="shared" si="175"/>
        <v>0</v>
      </c>
    </row>
    <row r="332" spans="1:65" ht="15.75" customHeight="1">
      <c r="A332" s="72" t="s">
        <v>399</v>
      </c>
      <c r="B332" s="2" t="str">
        <f>IFERROR(VLOOKUP(A332,'Tabela de Produtos'!A:B,2,0),"Preencher Cód. Produto")</f>
        <v>BRAZIMIL ESMALTE BASE D'ÁGUA 3L VERMELHO FERRARI</v>
      </c>
      <c r="C332" s="2"/>
      <c r="D332" s="73" t="s">
        <v>66</v>
      </c>
      <c r="E332" s="73"/>
      <c r="F332" s="74" t="str">
        <f>IF(A332=0,0,VLOOKUP(A332,'Tabela de Produtos'!A:W,23,0))</f>
        <v>Cadastrar Ficha de Produção</v>
      </c>
      <c r="G332" s="74">
        <v>0</v>
      </c>
      <c r="H332" s="76">
        <v>1</v>
      </c>
      <c r="I332" s="74">
        <f t="shared" si="170"/>
        <v>0</v>
      </c>
      <c r="J332" s="77">
        <f>VLOOKUP(B332,'Tabela de Produtos'!B:M,12,FALSE())</f>
        <v>0</v>
      </c>
      <c r="K332" s="74"/>
      <c r="L332" s="74"/>
      <c r="M332" s="74"/>
      <c r="N332" s="81"/>
      <c r="O332" s="74"/>
      <c r="P332" s="74"/>
      <c r="Q332" s="74"/>
      <c r="R332" s="81"/>
      <c r="S332" s="74"/>
      <c r="T332" s="74"/>
      <c r="U332" s="74"/>
      <c r="V332" s="74"/>
      <c r="W332" s="81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7"/>
      <c r="AY332" s="77">
        <f t="shared" si="171"/>
        <v>0</v>
      </c>
      <c r="AZ332" s="79">
        <f>IFERROR(H332*VLOOKUP(A332,'Tabela de Produtos'!A:Q,17,0),0)</f>
        <v>0</v>
      </c>
      <c r="BA332" s="74">
        <f t="shared" si="178"/>
        <v>0</v>
      </c>
      <c r="BB332" s="74">
        <f t="shared" si="178"/>
        <v>0</v>
      </c>
      <c r="BC332" s="74">
        <f t="shared" si="178"/>
        <v>0</v>
      </c>
      <c r="BD332" s="74">
        <f t="shared" si="178"/>
        <v>0</v>
      </c>
      <c r="BE332" s="74">
        <f t="shared" si="172"/>
        <v>0</v>
      </c>
      <c r="BF332" s="74">
        <f t="shared" si="173"/>
        <v>0</v>
      </c>
      <c r="BG332" s="74">
        <f t="shared" si="174"/>
        <v>0</v>
      </c>
      <c r="BH332" s="21">
        <f t="shared" si="175"/>
        <v>0</v>
      </c>
    </row>
    <row r="333" spans="1:65" ht="15.75" customHeight="1">
      <c r="A333" s="72" t="s">
        <v>400</v>
      </c>
      <c r="B333" s="2" t="str">
        <f>IFERROR(VLOOKUP(A333,'Tabela de Produtos'!A:B,2,0),"Preencher Cód. Produto")</f>
        <v>BRAZIMIL ESMALTE BASE D'ÁGUA 3L AZUL DEL REY</v>
      </c>
      <c r="C333" s="2"/>
      <c r="D333" s="73" t="s">
        <v>66</v>
      </c>
      <c r="E333" s="73"/>
      <c r="F333" s="74" t="str">
        <f>IF(A333=0,0,VLOOKUP(A333,'Tabela de Produtos'!A:W,23,0))</f>
        <v>Cadastrar Ficha de Produção</v>
      </c>
      <c r="G333" s="74">
        <v>0</v>
      </c>
      <c r="H333" s="76">
        <v>1</v>
      </c>
      <c r="I333" s="74">
        <f t="shared" si="170"/>
        <v>0</v>
      </c>
      <c r="J333" s="77">
        <f>VLOOKUP(B333,'Tabela de Produtos'!B:M,12,FALSE())</f>
        <v>0</v>
      </c>
      <c r="K333" s="74"/>
      <c r="L333" s="74"/>
      <c r="M333" s="74"/>
      <c r="N333" s="81"/>
      <c r="O333" s="74"/>
      <c r="P333" s="74"/>
      <c r="Q333" s="74"/>
      <c r="R333" s="81"/>
      <c r="S333" s="74"/>
      <c r="T333" s="74"/>
      <c r="U333" s="74"/>
      <c r="V333" s="74"/>
      <c r="W333" s="81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7"/>
      <c r="AY333" s="77">
        <f t="shared" si="171"/>
        <v>0</v>
      </c>
      <c r="AZ333" s="79">
        <f>IFERROR(H333*VLOOKUP(A333,'Tabela de Produtos'!A:Q,17,0),0)</f>
        <v>0</v>
      </c>
      <c r="BA333" s="74">
        <f t="shared" si="178"/>
        <v>0</v>
      </c>
      <c r="BB333" s="74">
        <f t="shared" si="178"/>
        <v>0</v>
      </c>
      <c r="BC333" s="74">
        <f t="shared" si="178"/>
        <v>0</v>
      </c>
      <c r="BD333" s="74">
        <f t="shared" si="178"/>
        <v>0</v>
      </c>
      <c r="BE333" s="74">
        <f t="shared" si="172"/>
        <v>0</v>
      </c>
      <c r="BF333" s="74">
        <f t="shared" si="173"/>
        <v>0</v>
      </c>
      <c r="BG333" s="74">
        <f t="shared" si="174"/>
        <v>0</v>
      </c>
      <c r="BH333" s="21">
        <f t="shared" si="175"/>
        <v>0</v>
      </c>
    </row>
    <row r="334" spans="1:65" ht="15.75" customHeight="1">
      <c r="A334" s="72" t="s">
        <v>401</v>
      </c>
      <c r="B334" s="2" t="str">
        <f>IFERROR(VLOOKUP(A334,'Tabela de Produtos'!A:B,2,0),"Preencher Cód. Produto")</f>
        <v>BRAZIMIL ESMALTE BASE D'ÁGUA 3L PRETO</v>
      </c>
      <c r="C334" s="2"/>
      <c r="D334" s="73" t="s">
        <v>66</v>
      </c>
      <c r="E334" s="73"/>
      <c r="F334" s="74" t="str">
        <f>IF(A334=0,0,VLOOKUP(A334,'Tabela de Produtos'!A:W,23,0))</f>
        <v>Cadastrar Ficha de Produção</v>
      </c>
      <c r="G334" s="74">
        <v>0</v>
      </c>
      <c r="H334" s="76">
        <v>1</v>
      </c>
      <c r="I334" s="74">
        <f t="shared" ref="I334:I397" si="179">G334*H334</f>
        <v>0</v>
      </c>
      <c r="J334" s="77">
        <f>VLOOKUP(B334,'Tabela de Produtos'!B:M,12,FALSE())</f>
        <v>0</v>
      </c>
      <c r="K334" s="74"/>
      <c r="L334" s="74"/>
      <c r="M334" s="74"/>
      <c r="N334" s="81"/>
      <c r="O334" s="74"/>
      <c r="P334" s="74"/>
      <c r="Q334" s="74"/>
      <c r="R334" s="81"/>
      <c r="S334" s="74"/>
      <c r="T334" s="74"/>
      <c r="U334" s="74"/>
      <c r="V334" s="74"/>
      <c r="W334" s="81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7"/>
      <c r="AY334" s="77">
        <f t="shared" ref="AY334:AY397" si="180">I334-AW334</f>
        <v>0</v>
      </c>
      <c r="AZ334" s="79">
        <f>IFERROR(H334*VLOOKUP(A334,'Tabela de Produtos'!A:Q,17,0),0)</f>
        <v>0</v>
      </c>
      <c r="BA334" s="74">
        <f t="shared" ref="BA334:BD353" si="181">$I334*BA$12</f>
        <v>0</v>
      </c>
      <c r="BB334" s="74">
        <f t="shared" si="181"/>
        <v>0</v>
      </c>
      <c r="BC334" s="74">
        <f t="shared" si="181"/>
        <v>0</v>
      </c>
      <c r="BD334" s="74">
        <f t="shared" si="181"/>
        <v>0</v>
      </c>
      <c r="BE334" s="74">
        <f t="shared" ref="BE334:BE397" si="182">I334*$BE$12</f>
        <v>0</v>
      </c>
      <c r="BF334" s="74">
        <f t="shared" ref="BF334:BF397" si="183">SUM(AZ334:BE334)</f>
        <v>0</v>
      </c>
      <c r="BG334" s="74">
        <f t="shared" ref="BG334:BG397" si="184">I334-BF334</f>
        <v>0</v>
      </c>
      <c r="BH334" s="21">
        <f t="shared" ref="BH334:BH397" si="185">IF(F334="Cadastrar Ficha de Produção",0,IFERROR(BG334/I334,0))</f>
        <v>0</v>
      </c>
    </row>
    <row r="335" spans="1:65" ht="15.75" customHeight="1">
      <c r="A335" s="72" t="s">
        <v>402</v>
      </c>
      <c r="B335" s="2" t="str">
        <f>IFERROR(VLOOKUP(A335,'Tabela de Produtos'!A:B,2,0),"Preencher Cód. Produto")</f>
        <v>BRAZIMIL ESMALTE BASE D'ÁGUA 3L CINZA</v>
      </c>
      <c r="C335" s="2"/>
      <c r="D335" s="73" t="s">
        <v>66</v>
      </c>
      <c r="E335" s="73"/>
      <c r="F335" s="74" t="str">
        <f>IF(A335=0,0,VLOOKUP(A335,'Tabela de Produtos'!A:W,23,0))</f>
        <v>Cadastrar Ficha de Produção</v>
      </c>
      <c r="G335" s="74">
        <v>0</v>
      </c>
      <c r="H335" s="76">
        <v>1</v>
      </c>
      <c r="I335" s="74">
        <f t="shared" si="179"/>
        <v>0</v>
      </c>
      <c r="J335" s="77">
        <f>VLOOKUP(B335,'Tabela de Produtos'!B:M,12,FALSE())</f>
        <v>0</v>
      </c>
      <c r="K335" s="74"/>
      <c r="L335" s="74"/>
      <c r="M335" s="74"/>
      <c r="N335" s="81"/>
      <c r="O335" s="74"/>
      <c r="P335" s="74"/>
      <c r="Q335" s="74"/>
      <c r="R335" s="81"/>
      <c r="S335" s="74"/>
      <c r="T335" s="74"/>
      <c r="U335" s="74"/>
      <c r="V335" s="74"/>
      <c r="W335" s="81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7"/>
      <c r="AY335" s="77">
        <f t="shared" si="180"/>
        <v>0</v>
      </c>
      <c r="AZ335" s="79">
        <f>IFERROR(H335*VLOOKUP(A335,'Tabela de Produtos'!A:Q,17,0),0)</f>
        <v>0</v>
      </c>
      <c r="BA335" s="74">
        <f t="shared" si="181"/>
        <v>0</v>
      </c>
      <c r="BB335" s="74">
        <f t="shared" si="181"/>
        <v>0</v>
      </c>
      <c r="BC335" s="74">
        <f t="shared" si="181"/>
        <v>0</v>
      </c>
      <c r="BD335" s="74">
        <f t="shared" si="181"/>
        <v>0</v>
      </c>
      <c r="BE335" s="74">
        <f t="shared" si="182"/>
        <v>0</v>
      </c>
      <c r="BF335" s="74">
        <f t="shared" si="183"/>
        <v>0</v>
      </c>
      <c r="BG335" s="74">
        <f t="shared" si="184"/>
        <v>0</v>
      </c>
      <c r="BH335" s="21">
        <f t="shared" si="185"/>
        <v>0</v>
      </c>
    </row>
    <row r="336" spans="1:65" ht="15.75" customHeight="1">
      <c r="A336" s="72" t="s">
        <v>403</v>
      </c>
      <c r="B336" s="2" t="str">
        <f>IFERROR(VLOOKUP(A336,'Tabela de Produtos'!A:B,2,0),"Preencher Cód. Produto")</f>
        <v>BRAZIMIL ESMALTE BASE D'ÁGUA 3L LARANJA</v>
      </c>
      <c r="C336" s="2"/>
      <c r="D336" s="73" t="s">
        <v>66</v>
      </c>
      <c r="E336" s="73"/>
      <c r="F336" s="74" t="str">
        <f>IF(A336=0,0,VLOOKUP(A336,'Tabela de Produtos'!A:W,23,0))</f>
        <v>Cadastrar Ficha de Produção</v>
      </c>
      <c r="G336" s="74">
        <v>0</v>
      </c>
      <c r="H336" s="76">
        <v>1</v>
      </c>
      <c r="I336" s="74">
        <f t="shared" si="179"/>
        <v>0</v>
      </c>
      <c r="J336" s="77">
        <f>VLOOKUP(B336,'Tabela de Produtos'!B:M,12,FALSE())</f>
        <v>0</v>
      </c>
      <c r="K336" s="74"/>
      <c r="L336" s="74"/>
      <c r="M336" s="74"/>
      <c r="N336" s="81"/>
      <c r="O336" s="74"/>
      <c r="P336" s="74"/>
      <c r="Q336" s="74"/>
      <c r="R336" s="81"/>
      <c r="S336" s="74"/>
      <c r="T336" s="74"/>
      <c r="U336" s="74"/>
      <c r="V336" s="74"/>
      <c r="W336" s="81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7"/>
      <c r="AY336" s="77">
        <f t="shared" si="180"/>
        <v>0</v>
      </c>
      <c r="AZ336" s="79">
        <f>IFERROR(H336*VLOOKUP(A336,'Tabela de Produtos'!A:Q,17,0),0)</f>
        <v>0</v>
      </c>
      <c r="BA336" s="74">
        <f t="shared" si="181"/>
        <v>0</v>
      </c>
      <c r="BB336" s="74">
        <f t="shared" si="181"/>
        <v>0</v>
      </c>
      <c r="BC336" s="74">
        <f t="shared" si="181"/>
        <v>0</v>
      </c>
      <c r="BD336" s="74">
        <f t="shared" si="181"/>
        <v>0</v>
      </c>
      <c r="BE336" s="74">
        <f t="shared" si="182"/>
        <v>0</v>
      </c>
      <c r="BF336" s="74">
        <f t="shared" si="183"/>
        <v>0</v>
      </c>
      <c r="BG336" s="74">
        <f t="shared" si="184"/>
        <v>0</v>
      </c>
      <c r="BH336" s="21">
        <f t="shared" si="185"/>
        <v>0</v>
      </c>
    </row>
    <row r="337" spans="1:60" ht="15.75" customHeight="1">
      <c r="A337" s="72" t="s">
        <v>404</v>
      </c>
      <c r="B337" s="2" t="str">
        <f>IFERROR(VLOOKUP(A337,'Tabela de Produtos'!A:B,2,0),"Preencher Cód. Produto")</f>
        <v>BRAZIMIL ESMALTE BASE D'ÁGUA 3L AZUL CEU</v>
      </c>
      <c r="C337" s="2"/>
      <c r="D337" s="73" t="s">
        <v>66</v>
      </c>
      <c r="E337" s="73"/>
      <c r="F337" s="74" t="str">
        <f>IF(A337=0,0,VLOOKUP(A337,'Tabela de Produtos'!A:W,23,0))</f>
        <v>Cadastrar Ficha de Produção</v>
      </c>
      <c r="G337" s="74">
        <v>0</v>
      </c>
      <c r="H337" s="76">
        <v>1</v>
      </c>
      <c r="I337" s="74">
        <f t="shared" si="179"/>
        <v>0</v>
      </c>
      <c r="J337" s="77">
        <f>VLOOKUP(B337,'Tabela de Produtos'!B:M,12,FALSE())</f>
        <v>0</v>
      </c>
      <c r="K337" s="74"/>
      <c r="L337" s="74"/>
      <c r="M337" s="74"/>
      <c r="N337" s="81"/>
      <c r="O337" s="74"/>
      <c r="P337" s="74"/>
      <c r="Q337" s="74"/>
      <c r="R337" s="81"/>
      <c r="S337" s="74"/>
      <c r="T337" s="74"/>
      <c r="U337" s="74"/>
      <c r="V337" s="74"/>
      <c r="W337" s="81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7"/>
      <c r="AY337" s="77">
        <f t="shared" si="180"/>
        <v>0</v>
      </c>
      <c r="AZ337" s="79">
        <f>IFERROR(H337*VLOOKUP(A337,'Tabela de Produtos'!A:Q,17,0),0)</f>
        <v>0</v>
      </c>
      <c r="BA337" s="74">
        <f t="shared" si="181"/>
        <v>0</v>
      </c>
      <c r="BB337" s="74">
        <f t="shared" si="181"/>
        <v>0</v>
      </c>
      <c r="BC337" s="74">
        <f t="shared" si="181"/>
        <v>0</v>
      </c>
      <c r="BD337" s="74">
        <f t="shared" si="181"/>
        <v>0</v>
      </c>
      <c r="BE337" s="74">
        <f t="shared" si="182"/>
        <v>0</v>
      </c>
      <c r="BF337" s="74">
        <f t="shared" si="183"/>
        <v>0</v>
      </c>
      <c r="BG337" s="74">
        <f t="shared" si="184"/>
        <v>0</v>
      </c>
      <c r="BH337" s="21">
        <f t="shared" si="185"/>
        <v>0</v>
      </c>
    </row>
    <row r="338" spans="1:60" ht="15.75" customHeight="1">
      <c r="A338" s="72" t="s">
        <v>405</v>
      </c>
      <c r="B338" s="2" t="str">
        <f>IFERROR(VLOOKUP(A338,'Tabela de Produtos'!A:B,2,0),"Preencher Cód. Produto")</f>
        <v>BRAZIMIL ESMALTE BASE D'ÁGUA 3L LILAS</v>
      </c>
      <c r="C338" s="2"/>
      <c r="D338" s="73" t="s">
        <v>66</v>
      </c>
      <c r="E338" s="73"/>
      <c r="F338" s="74" t="str">
        <f>IF(A338=0,0,VLOOKUP(A338,'Tabela de Produtos'!A:W,23,0))</f>
        <v>Cadastrar Ficha de Produção</v>
      </c>
      <c r="G338" s="74">
        <v>0</v>
      </c>
      <c r="H338" s="76">
        <v>1</v>
      </c>
      <c r="I338" s="74">
        <f t="shared" si="179"/>
        <v>0</v>
      </c>
      <c r="J338" s="77">
        <f>VLOOKUP(B338,'Tabela de Produtos'!B:M,12,FALSE())</f>
        <v>0</v>
      </c>
      <c r="K338" s="74"/>
      <c r="L338" s="74"/>
      <c r="M338" s="74"/>
      <c r="N338" s="81"/>
      <c r="O338" s="74"/>
      <c r="P338" s="74"/>
      <c r="Q338" s="74"/>
      <c r="R338" s="81"/>
      <c r="S338" s="74"/>
      <c r="T338" s="74"/>
      <c r="U338" s="74"/>
      <c r="V338" s="74"/>
      <c r="W338" s="81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7"/>
      <c r="AY338" s="77">
        <f t="shared" si="180"/>
        <v>0</v>
      </c>
      <c r="AZ338" s="79">
        <f>IFERROR(H338*VLOOKUP(A338,'Tabela de Produtos'!A:Q,17,0),0)</f>
        <v>0</v>
      </c>
      <c r="BA338" s="74">
        <f t="shared" si="181"/>
        <v>0</v>
      </c>
      <c r="BB338" s="74">
        <f t="shared" si="181"/>
        <v>0</v>
      </c>
      <c r="BC338" s="74">
        <f t="shared" si="181"/>
        <v>0</v>
      </c>
      <c r="BD338" s="74">
        <f t="shared" si="181"/>
        <v>0</v>
      </c>
      <c r="BE338" s="74">
        <f t="shared" si="182"/>
        <v>0</v>
      </c>
      <c r="BF338" s="74">
        <f t="shared" si="183"/>
        <v>0</v>
      </c>
      <c r="BG338" s="74">
        <f t="shared" si="184"/>
        <v>0</v>
      </c>
      <c r="BH338" s="21">
        <f t="shared" si="185"/>
        <v>0</v>
      </c>
    </row>
    <row r="339" spans="1:60" ht="15.75" customHeight="1">
      <c r="A339" s="72" t="s">
        <v>406</v>
      </c>
      <c r="B339" s="2" t="str">
        <f>IFERROR(VLOOKUP(A339,'Tabela de Produtos'!A:B,2,0),"Preencher Cód. Produto")</f>
        <v>BRAZIMIL ESMALTE BASE D'ÁGUA 3L VERDE NILO</v>
      </c>
      <c r="C339" s="2"/>
      <c r="D339" s="73" t="s">
        <v>66</v>
      </c>
      <c r="E339" s="73"/>
      <c r="F339" s="74" t="str">
        <f>IF(A339=0,0,VLOOKUP(A339,'Tabela de Produtos'!A:W,23,0))</f>
        <v>Cadastrar Ficha de Produção</v>
      </c>
      <c r="G339" s="74">
        <v>0</v>
      </c>
      <c r="H339" s="76">
        <v>1</v>
      </c>
      <c r="I339" s="74">
        <f t="shared" si="179"/>
        <v>0</v>
      </c>
      <c r="J339" s="77">
        <f>VLOOKUP(B339,'Tabela de Produtos'!B:M,12,FALSE())</f>
        <v>0</v>
      </c>
      <c r="K339" s="74"/>
      <c r="L339" s="74"/>
      <c r="M339" s="74"/>
      <c r="N339" s="81"/>
      <c r="O339" s="74"/>
      <c r="P339" s="74"/>
      <c r="Q339" s="74"/>
      <c r="R339" s="81"/>
      <c r="S339" s="74"/>
      <c r="T339" s="74"/>
      <c r="U339" s="74"/>
      <c r="V339" s="74"/>
      <c r="W339" s="81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7"/>
      <c r="AY339" s="77">
        <f t="shared" si="180"/>
        <v>0</v>
      </c>
      <c r="AZ339" s="79">
        <f>IFERROR(H339*VLOOKUP(A339,'Tabela de Produtos'!A:Q,17,0),0)</f>
        <v>0</v>
      </c>
      <c r="BA339" s="74">
        <f t="shared" si="181"/>
        <v>0</v>
      </c>
      <c r="BB339" s="74">
        <f t="shared" si="181"/>
        <v>0</v>
      </c>
      <c r="BC339" s="74">
        <f t="shared" si="181"/>
        <v>0</v>
      </c>
      <c r="BD339" s="74">
        <f t="shared" si="181"/>
        <v>0</v>
      </c>
      <c r="BE339" s="74">
        <f t="shared" si="182"/>
        <v>0</v>
      </c>
      <c r="BF339" s="74">
        <f t="shared" si="183"/>
        <v>0</v>
      </c>
      <c r="BG339" s="74">
        <f t="shared" si="184"/>
        <v>0</v>
      </c>
      <c r="BH339" s="21">
        <f t="shared" si="185"/>
        <v>0</v>
      </c>
    </row>
    <row r="340" spans="1:60" ht="15.75" customHeight="1">
      <c r="A340" s="72" t="s">
        <v>407</v>
      </c>
      <c r="B340" s="2" t="str">
        <f>IFERROR(VLOOKUP(A340,'Tabela de Produtos'!A:B,2,0),"Preencher Cód. Produto")</f>
        <v>BRAZIMIL ESMALTE BASE D'ÁGUA 3L VERDE FOLHA</v>
      </c>
      <c r="C340" s="2"/>
      <c r="D340" s="73" t="s">
        <v>66</v>
      </c>
      <c r="E340" s="73"/>
      <c r="F340" s="74" t="str">
        <f>IF(A340=0,0,VLOOKUP(A340,'Tabela de Produtos'!A:W,23,0))</f>
        <v>Cadastrar Ficha de Produção</v>
      </c>
      <c r="G340" s="74">
        <v>0</v>
      </c>
      <c r="H340" s="76">
        <v>1</v>
      </c>
      <c r="I340" s="74">
        <f t="shared" si="179"/>
        <v>0</v>
      </c>
      <c r="J340" s="77">
        <f>VLOOKUP(B340,'Tabela de Produtos'!B:M,12,FALSE())</f>
        <v>0</v>
      </c>
      <c r="K340" s="74"/>
      <c r="L340" s="74"/>
      <c r="M340" s="74"/>
      <c r="N340" s="81"/>
      <c r="O340" s="74"/>
      <c r="P340" s="74"/>
      <c r="Q340" s="74"/>
      <c r="R340" s="81"/>
      <c r="S340" s="74"/>
      <c r="T340" s="74"/>
      <c r="U340" s="74"/>
      <c r="V340" s="74"/>
      <c r="W340" s="81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7"/>
      <c r="AY340" s="77">
        <f t="shared" si="180"/>
        <v>0</v>
      </c>
      <c r="AZ340" s="79">
        <f>IFERROR(H340*VLOOKUP(A340,'Tabela de Produtos'!A:Q,17,0),0)</f>
        <v>0</v>
      </c>
      <c r="BA340" s="74">
        <f t="shared" si="181"/>
        <v>0</v>
      </c>
      <c r="BB340" s="74">
        <f t="shared" si="181"/>
        <v>0</v>
      </c>
      <c r="BC340" s="74">
        <f t="shared" si="181"/>
        <v>0</v>
      </c>
      <c r="BD340" s="74">
        <f t="shared" si="181"/>
        <v>0</v>
      </c>
      <c r="BE340" s="74">
        <f t="shared" si="182"/>
        <v>0</v>
      </c>
      <c r="BF340" s="74">
        <f t="shared" si="183"/>
        <v>0</v>
      </c>
      <c r="BG340" s="74">
        <f t="shared" si="184"/>
        <v>0</v>
      </c>
      <c r="BH340" s="21">
        <f t="shared" si="185"/>
        <v>0</v>
      </c>
    </row>
    <row r="341" spans="1:60" ht="15.75" customHeight="1">
      <c r="A341" s="72" t="s">
        <v>408</v>
      </c>
      <c r="B341" s="2" t="str">
        <f>IFERROR(VLOOKUP(A341,'Tabela de Produtos'!A:B,2,0),"Preencher Cód. Produto")</f>
        <v>BRAZIMIL ESMALTE BASE D'ÁGUA 3L AMARELO OURO</v>
      </c>
      <c r="C341" s="2"/>
      <c r="D341" s="73" t="s">
        <v>66</v>
      </c>
      <c r="E341" s="73"/>
      <c r="F341" s="74" t="str">
        <f>IF(A341=0,0,VLOOKUP(A341,'Tabela de Produtos'!A:W,23,0))</f>
        <v>Cadastrar Ficha de Produção</v>
      </c>
      <c r="G341" s="74">
        <v>0</v>
      </c>
      <c r="H341" s="76">
        <v>1</v>
      </c>
      <c r="I341" s="74">
        <f t="shared" si="179"/>
        <v>0</v>
      </c>
      <c r="J341" s="77">
        <f>VLOOKUP(B341,'Tabela de Produtos'!B:M,12,FALSE())</f>
        <v>0</v>
      </c>
      <c r="K341" s="74"/>
      <c r="L341" s="74"/>
      <c r="M341" s="74"/>
      <c r="N341" s="81"/>
      <c r="O341" s="74"/>
      <c r="P341" s="74"/>
      <c r="Q341" s="74"/>
      <c r="R341" s="81"/>
      <c r="S341" s="74"/>
      <c r="T341" s="74"/>
      <c r="U341" s="74"/>
      <c r="V341" s="74"/>
      <c r="W341" s="81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7"/>
      <c r="AY341" s="77">
        <f t="shared" si="180"/>
        <v>0</v>
      </c>
      <c r="AZ341" s="79">
        <f>IFERROR(H341*VLOOKUP(A341,'Tabela de Produtos'!A:Q,17,0),0)</f>
        <v>0</v>
      </c>
      <c r="BA341" s="74">
        <f t="shared" si="181"/>
        <v>0</v>
      </c>
      <c r="BB341" s="74">
        <f t="shared" si="181"/>
        <v>0</v>
      </c>
      <c r="BC341" s="74">
        <f t="shared" si="181"/>
        <v>0</v>
      </c>
      <c r="BD341" s="74">
        <f t="shared" si="181"/>
        <v>0</v>
      </c>
      <c r="BE341" s="74">
        <f t="shared" si="182"/>
        <v>0</v>
      </c>
      <c r="BF341" s="74">
        <f t="shared" si="183"/>
        <v>0</v>
      </c>
      <c r="BG341" s="74">
        <f t="shared" si="184"/>
        <v>0</v>
      </c>
      <c r="BH341" s="21">
        <f t="shared" si="185"/>
        <v>0</v>
      </c>
    </row>
    <row r="342" spans="1:60" ht="15.75" customHeight="1">
      <c r="A342" s="72" t="s">
        <v>409</v>
      </c>
      <c r="B342" s="2" t="str">
        <f>IFERROR(VLOOKUP(A342,'Tabela de Produtos'!A:B,2,0),"Preencher Cód. Produto")</f>
        <v>BRAZIMIL ESMALTE SINTETICO MADEIRAS E METAIS  FOSCO 0,75L BRANCO</v>
      </c>
      <c r="C342" s="2"/>
      <c r="D342" s="73"/>
      <c r="E342" s="73"/>
      <c r="F342" s="74" t="str">
        <f>IF(A342=0,0,VLOOKUP(A342,'Tabela de Produtos'!A:W,23,0))</f>
        <v>Cadastrar Ficha de Produção</v>
      </c>
      <c r="G342" s="74">
        <v>0</v>
      </c>
      <c r="H342" s="76">
        <v>1</v>
      </c>
      <c r="I342" s="74">
        <f t="shared" si="179"/>
        <v>0</v>
      </c>
      <c r="J342" s="77">
        <f>VLOOKUP(B342,'Tabela de Produtos'!B:M,12,FALSE())</f>
        <v>0</v>
      </c>
      <c r="K342" s="74"/>
      <c r="L342" s="74"/>
      <c r="M342" s="74"/>
      <c r="N342" s="81"/>
      <c r="O342" s="74"/>
      <c r="P342" s="74"/>
      <c r="Q342" s="74"/>
      <c r="R342" s="81"/>
      <c r="S342" s="74"/>
      <c r="T342" s="74"/>
      <c r="U342" s="74"/>
      <c r="V342" s="74"/>
      <c r="W342" s="81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7"/>
      <c r="AY342" s="77">
        <f t="shared" si="180"/>
        <v>0</v>
      </c>
      <c r="AZ342" s="79">
        <f>IFERROR(H342*VLOOKUP(A342,'Tabela de Produtos'!A:Q,17,0),0)</f>
        <v>0</v>
      </c>
      <c r="BA342" s="74">
        <f t="shared" si="181"/>
        <v>0</v>
      </c>
      <c r="BB342" s="74">
        <f t="shared" si="181"/>
        <v>0</v>
      </c>
      <c r="BC342" s="74">
        <f t="shared" si="181"/>
        <v>0</v>
      </c>
      <c r="BD342" s="74">
        <f t="shared" si="181"/>
        <v>0</v>
      </c>
      <c r="BE342" s="74">
        <f t="shared" si="182"/>
        <v>0</v>
      </c>
      <c r="BF342" s="74">
        <f t="shared" si="183"/>
        <v>0</v>
      </c>
      <c r="BG342" s="74">
        <f t="shared" si="184"/>
        <v>0</v>
      </c>
      <c r="BH342" s="21">
        <f t="shared" si="185"/>
        <v>0</v>
      </c>
    </row>
    <row r="343" spans="1:60" ht="15.75" customHeight="1">
      <c r="A343" s="72" t="s">
        <v>410</v>
      </c>
      <c r="B343" s="2" t="str">
        <f>IFERROR(VLOOKUP(A343,'Tabela de Produtos'!A:B,2,0),"Preencher Cód. Produto")</f>
        <v>BRAZIMIL ESMALTE SINTETICO MADEIRAS E METAIS  FOSCO 0,75L BRANCO GELO</v>
      </c>
      <c r="C343" s="2"/>
      <c r="D343" s="73"/>
      <c r="E343" s="73"/>
      <c r="F343" s="74" t="str">
        <f>IF(A343=0,0,VLOOKUP(A343,'Tabela de Produtos'!A:W,23,0))</f>
        <v>Cadastrar Ficha de Produção</v>
      </c>
      <c r="G343" s="74">
        <v>0</v>
      </c>
      <c r="H343" s="76">
        <v>1</v>
      </c>
      <c r="I343" s="74">
        <f t="shared" si="179"/>
        <v>0</v>
      </c>
      <c r="J343" s="77">
        <f>VLOOKUP(B343,'Tabela de Produtos'!B:M,12,FALSE())</f>
        <v>0</v>
      </c>
      <c r="K343" s="74"/>
      <c r="L343" s="74"/>
      <c r="M343" s="74"/>
      <c r="N343" s="81"/>
      <c r="O343" s="74"/>
      <c r="P343" s="74"/>
      <c r="Q343" s="74"/>
      <c r="R343" s="81"/>
      <c r="S343" s="74"/>
      <c r="T343" s="74"/>
      <c r="U343" s="74"/>
      <c r="V343" s="74"/>
      <c r="W343" s="81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7"/>
      <c r="AY343" s="77">
        <f t="shared" si="180"/>
        <v>0</v>
      </c>
      <c r="AZ343" s="79">
        <f>IFERROR(H343*VLOOKUP(A343,'Tabela de Produtos'!A:Q,17,0),0)</f>
        <v>0</v>
      </c>
      <c r="BA343" s="74">
        <f t="shared" si="181"/>
        <v>0</v>
      </c>
      <c r="BB343" s="74">
        <f t="shared" si="181"/>
        <v>0</v>
      </c>
      <c r="BC343" s="74">
        <f t="shared" si="181"/>
        <v>0</v>
      </c>
      <c r="BD343" s="74">
        <f t="shared" si="181"/>
        <v>0</v>
      </c>
      <c r="BE343" s="74">
        <f t="shared" si="182"/>
        <v>0</v>
      </c>
      <c r="BF343" s="74">
        <f t="shared" si="183"/>
        <v>0</v>
      </c>
      <c r="BG343" s="74">
        <f t="shared" si="184"/>
        <v>0</v>
      </c>
      <c r="BH343" s="21">
        <f t="shared" si="185"/>
        <v>0</v>
      </c>
    </row>
    <row r="344" spans="1:60" ht="15.75" customHeight="1">
      <c r="A344" s="72" t="s">
        <v>411</v>
      </c>
      <c r="B344" s="2" t="str">
        <f>IFERROR(VLOOKUP(A344,'Tabela de Produtos'!A:B,2,0),"Preencher Cód. Produto")</f>
        <v>BRAZIMIL ESMALTE SINTETICO MADEIRAS E METAIS  FOSCO 0,75L VERMELHO FERRARI</v>
      </c>
      <c r="C344" s="2"/>
      <c r="D344" s="73"/>
      <c r="E344" s="73"/>
      <c r="F344" s="74" t="str">
        <f>IF(A344=0,0,VLOOKUP(A344,'Tabela de Produtos'!A:W,23,0))</f>
        <v>Cadastrar Ficha de Produção</v>
      </c>
      <c r="G344" s="74">
        <v>0</v>
      </c>
      <c r="H344" s="76">
        <v>1</v>
      </c>
      <c r="I344" s="74">
        <f t="shared" si="179"/>
        <v>0</v>
      </c>
      <c r="J344" s="77">
        <f>VLOOKUP(B344,'Tabela de Produtos'!B:M,12,FALSE())</f>
        <v>0</v>
      </c>
      <c r="K344" s="74"/>
      <c r="L344" s="74"/>
      <c r="M344" s="74"/>
      <c r="N344" s="81"/>
      <c r="O344" s="74"/>
      <c r="P344" s="74"/>
      <c r="Q344" s="74"/>
      <c r="R344" s="81"/>
      <c r="S344" s="74"/>
      <c r="T344" s="74"/>
      <c r="U344" s="74"/>
      <c r="V344" s="74"/>
      <c r="W344" s="81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7"/>
      <c r="AY344" s="77">
        <f t="shared" si="180"/>
        <v>0</v>
      </c>
      <c r="AZ344" s="79">
        <f>IFERROR(H344*VLOOKUP(A344,'Tabela de Produtos'!A:Q,17,0),0)</f>
        <v>0</v>
      </c>
      <c r="BA344" s="74">
        <f t="shared" si="181"/>
        <v>0</v>
      </c>
      <c r="BB344" s="74">
        <f t="shared" si="181"/>
        <v>0</v>
      </c>
      <c r="BC344" s="74">
        <f t="shared" si="181"/>
        <v>0</v>
      </c>
      <c r="BD344" s="74">
        <f t="shared" si="181"/>
        <v>0</v>
      </c>
      <c r="BE344" s="74">
        <f t="shared" si="182"/>
        <v>0</v>
      </c>
      <c r="BF344" s="74">
        <f t="shared" si="183"/>
        <v>0</v>
      </c>
      <c r="BG344" s="74">
        <f t="shared" si="184"/>
        <v>0</v>
      </c>
      <c r="BH344" s="21">
        <f t="shared" si="185"/>
        <v>0</v>
      </c>
    </row>
    <row r="345" spans="1:60" ht="15.75" customHeight="1">
      <c r="A345" s="72" t="s">
        <v>412</v>
      </c>
      <c r="B345" s="2" t="str">
        <f>IFERROR(VLOOKUP(A345,'Tabela de Produtos'!A:B,2,0),"Preencher Cód. Produto")</f>
        <v>BRAZIMIL ESMALTE SINTETICO MADEIRAS E METAIS  FOSCO 0,75L AZUL DEL REY</v>
      </c>
      <c r="C345" s="2"/>
      <c r="D345" s="73"/>
      <c r="E345" s="73"/>
      <c r="F345" s="74" t="str">
        <f>IF(A345=0,0,VLOOKUP(A345,'Tabela de Produtos'!A:W,23,0))</f>
        <v>Cadastrar Ficha de Produção</v>
      </c>
      <c r="G345" s="74">
        <v>0</v>
      </c>
      <c r="H345" s="76">
        <v>1</v>
      </c>
      <c r="I345" s="74">
        <f t="shared" si="179"/>
        <v>0</v>
      </c>
      <c r="J345" s="77">
        <f>VLOOKUP(B345,'Tabela de Produtos'!B:M,12,FALSE())</f>
        <v>0</v>
      </c>
      <c r="K345" s="74"/>
      <c r="L345" s="74"/>
      <c r="M345" s="74"/>
      <c r="N345" s="81"/>
      <c r="O345" s="74"/>
      <c r="P345" s="74"/>
      <c r="Q345" s="74"/>
      <c r="R345" s="81"/>
      <c r="S345" s="74"/>
      <c r="T345" s="74"/>
      <c r="U345" s="74"/>
      <c r="V345" s="74"/>
      <c r="W345" s="81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7"/>
      <c r="AY345" s="77">
        <f t="shared" si="180"/>
        <v>0</v>
      </c>
      <c r="AZ345" s="79">
        <f>IFERROR(H345*VLOOKUP(A345,'Tabela de Produtos'!A:Q,17,0),0)</f>
        <v>0</v>
      </c>
      <c r="BA345" s="74">
        <f t="shared" si="181"/>
        <v>0</v>
      </c>
      <c r="BB345" s="74">
        <f t="shared" si="181"/>
        <v>0</v>
      </c>
      <c r="BC345" s="74">
        <f t="shared" si="181"/>
        <v>0</v>
      </c>
      <c r="BD345" s="74">
        <f t="shared" si="181"/>
        <v>0</v>
      </c>
      <c r="BE345" s="74">
        <f t="shared" si="182"/>
        <v>0</v>
      </c>
      <c r="BF345" s="74">
        <f t="shared" si="183"/>
        <v>0</v>
      </c>
      <c r="BG345" s="74">
        <f t="shared" si="184"/>
        <v>0</v>
      </c>
      <c r="BH345" s="21">
        <f t="shared" si="185"/>
        <v>0</v>
      </c>
    </row>
    <row r="346" spans="1:60" ht="15.75" customHeight="1">
      <c r="A346" s="72" t="s">
        <v>413</v>
      </c>
      <c r="B346" s="2" t="str">
        <f>IFERROR(VLOOKUP(A346,'Tabela de Produtos'!A:B,2,0),"Preencher Cód. Produto")</f>
        <v>BRAZIMIL ESMALTE SINTETICO MADEIRAS E METAIS  FOSCO 0,75L PRETO</v>
      </c>
      <c r="C346" s="2"/>
      <c r="D346" s="73"/>
      <c r="E346" s="73"/>
      <c r="F346" s="74" t="str">
        <f>IF(A346=0,0,VLOOKUP(A346,'Tabela de Produtos'!A:W,23,0))</f>
        <v>Cadastrar Ficha de Produção</v>
      </c>
      <c r="G346" s="74">
        <v>0</v>
      </c>
      <c r="H346" s="76">
        <v>1</v>
      </c>
      <c r="I346" s="74">
        <f t="shared" si="179"/>
        <v>0</v>
      </c>
      <c r="J346" s="77">
        <f>VLOOKUP(B346,'Tabela de Produtos'!B:M,12,FALSE())</f>
        <v>0</v>
      </c>
      <c r="K346" s="74"/>
      <c r="L346" s="74"/>
      <c r="M346" s="74"/>
      <c r="N346" s="81"/>
      <c r="O346" s="74"/>
      <c r="P346" s="74"/>
      <c r="Q346" s="74"/>
      <c r="R346" s="81"/>
      <c r="S346" s="74"/>
      <c r="T346" s="74"/>
      <c r="U346" s="74"/>
      <c r="V346" s="74"/>
      <c r="W346" s="81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7"/>
      <c r="AY346" s="77">
        <f t="shared" si="180"/>
        <v>0</v>
      </c>
      <c r="AZ346" s="79">
        <f>IFERROR(H346*VLOOKUP(A346,'Tabela de Produtos'!A:Q,17,0),0)</f>
        <v>0</v>
      </c>
      <c r="BA346" s="74">
        <f t="shared" si="181"/>
        <v>0</v>
      </c>
      <c r="BB346" s="74">
        <f t="shared" si="181"/>
        <v>0</v>
      </c>
      <c r="BC346" s="74">
        <f t="shared" si="181"/>
        <v>0</v>
      </c>
      <c r="BD346" s="74">
        <f t="shared" si="181"/>
        <v>0</v>
      </c>
      <c r="BE346" s="74">
        <f t="shared" si="182"/>
        <v>0</v>
      </c>
      <c r="BF346" s="74">
        <f t="shared" si="183"/>
        <v>0</v>
      </c>
      <c r="BG346" s="74">
        <f t="shared" si="184"/>
        <v>0</v>
      </c>
      <c r="BH346" s="21">
        <f t="shared" si="185"/>
        <v>0</v>
      </c>
    </row>
    <row r="347" spans="1:60" ht="15.75" customHeight="1">
      <c r="A347" s="72" t="s">
        <v>414</v>
      </c>
      <c r="B347" s="2" t="str">
        <f>IFERROR(VLOOKUP(A347,'Tabela de Produtos'!A:B,2,0),"Preencher Cód. Produto")</f>
        <v>BRAZIMIL ESMALTE SINTETICO MADEIRAS E METAIS  FOSCO 0,75L CINZA</v>
      </c>
      <c r="C347" s="2"/>
      <c r="D347" s="73"/>
      <c r="E347" s="73"/>
      <c r="F347" s="74" t="str">
        <f>IF(A347=0,0,VLOOKUP(A347,'Tabela de Produtos'!A:W,23,0))</f>
        <v>Cadastrar Ficha de Produção</v>
      </c>
      <c r="G347" s="74">
        <v>0</v>
      </c>
      <c r="H347" s="76">
        <v>1</v>
      </c>
      <c r="I347" s="74">
        <f t="shared" si="179"/>
        <v>0</v>
      </c>
      <c r="J347" s="77">
        <f>VLOOKUP(B347,'Tabela de Produtos'!B:M,12,FALSE())</f>
        <v>0</v>
      </c>
      <c r="K347" s="74"/>
      <c r="L347" s="74"/>
      <c r="M347" s="74"/>
      <c r="N347" s="81"/>
      <c r="O347" s="74"/>
      <c r="P347" s="74"/>
      <c r="Q347" s="74"/>
      <c r="R347" s="81"/>
      <c r="S347" s="74"/>
      <c r="T347" s="74"/>
      <c r="U347" s="74"/>
      <c r="V347" s="74"/>
      <c r="W347" s="81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7"/>
      <c r="AY347" s="77">
        <f t="shared" si="180"/>
        <v>0</v>
      </c>
      <c r="AZ347" s="79">
        <f>IFERROR(H347*VLOOKUP(A347,'Tabela de Produtos'!A:Q,17,0),0)</f>
        <v>0</v>
      </c>
      <c r="BA347" s="74">
        <f t="shared" si="181"/>
        <v>0</v>
      </c>
      <c r="BB347" s="74">
        <f t="shared" si="181"/>
        <v>0</v>
      </c>
      <c r="BC347" s="74">
        <f t="shared" si="181"/>
        <v>0</v>
      </c>
      <c r="BD347" s="74">
        <f t="shared" si="181"/>
        <v>0</v>
      </c>
      <c r="BE347" s="74">
        <f t="shared" si="182"/>
        <v>0</v>
      </c>
      <c r="BF347" s="74">
        <f t="shared" si="183"/>
        <v>0</v>
      </c>
      <c r="BG347" s="74">
        <f t="shared" si="184"/>
        <v>0</v>
      </c>
      <c r="BH347" s="21">
        <f t="shared" si="185"/>
        <v>0</v>
      </c>
    </row>
    <row r="348" spans="1:60" ht="15.75" customHeight="1">
      <c r="A348" s="72" t="s">
        <v>415</v>
      </c>
      <c r="B348" s="2" t="str">
        <f>IFERROR(VLOOKUP(A348,'Tabela de Produtos'!A:B,2,0),"Preencher Cód. Produto")</f>
        <v>BRAZIMIL ESMALTE SINTETICO MADEIRAS E METAIS FOSCO 0,75L LARANJA</v>
      </c>
      <c r="C348" s="2"/>
      <c r="D348" s="73"/>
      <c r="E348" s="73"/>
      <c r="F348" s="74" t="str">
        <f>IF(A348=0,0,VLOOKUP(A348,'Tabela de Produtos'!A:W,23,0))</f>
        <v>Cadastrar Ficha de Produção</v>
      </c>
      <c r="G348" s="74">
        <v>0</v>
      </c>
      <c r="H348" s="76">
        <v>1</v>
      </c>
      <c r="I348" s="74">
        <f t="shared" si="179"/>
        <v>0</v>
      </c>
      <c r="J348" s="77">
        <f>VLOOKUP(B348,'Tabela de Produtos'!B:M,12,FALSE())</f>
        <v>0</v>
      </c>
      <c r="K348" s="74"/>
      <c r="L348" s="74"/>
      <c r="M348" s="74"/>
      <c r="N348" s="81"/>
      <c r="O348" s="74"/>
      <c r="P348" s="74"/>
      <c r="Q348" s="74"/>
      <c r="R348" s="81"/>
      <c r="S348" s="74"/>
      <c r="T348" s="74"/>
      <c r="U348" s="74"/>
      <c r="V348" s="74"/>
      <c r="W348" s="81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7"/>
      <c r="AY348" s="77">
        <f t="shared" si="180"/>
        <v>0</v>
      </c>
      <c r="AZ348" s="79">
        <f>IFERROR(H348*VLOOKUP(A348,'Tabela de Produtos'!A:Q,17,0),0)</f>
        <v>0</v>
      </c>
      <c r="BA348" s="74">
        <f t="shared" si="181"/>
        <v>0</v>
      </c>
      <c r="BB348" s="74">
        <f t="shared" si="181"/>
        <v>0</v>
      </c>
      <c r="BC348" s="74">
        <f t="shared" si="181"/>
        <v>0</v>
      </c>
      <c r="BD348" s="74">
        <f t="shared" si="181"/>
        <v>0</v>
      </c>
      <c r="BE348" s="74">
        <f t="shared" si="182"/>
        <v>0</v>
      </c>
      <c r="BF348" s="74">
        <f t="shared" si="183"/>
        <v>0</v>
      </c>
      <c r="BG348" s="74">
        <f t="shared" si="184"/>
        <v>0</v>
      </c>
      <c r="BH348" s="21">
        <f t="shared" si="185"/>
        <v>0</v>
      </c>
    </row>
    <row r="349" spans="1:60" ht="15.75" customHeight="1">
      <c r="A349" s="72" t="s">
        <v>416</v>
      </c>
      <c r="B349" s="2" t="str">
        <f>IFERROR(VLOOKUP(A349,'Tabela de Produtos'!A:B,2,0),"Preencher Cód. Produto")</f>
        <v>BRAZIMIL ESMALTE SINTETICO MADEIRAS E METAIS FOSCO 0,75L AZUL CEU</v>
      </c>
      <c r="C349" s="2"/>
      <c r="D349" s="73"/>
      <c r="E349" s="73"/>
      <c r="F349" s="74" t="str">
        <f>IF(A349=0,0,VLOOKUP(A349,'Tabela de Produtos'!A:W,23,0))</f>
        <v>Cadastrar Ficha de Produção</v>
      </c>
      <c r="G349" s="74">
        <v>0</v>
      </c>
      <c r="H349" s="76">
        <v>1</v>
      </c>
      <c r="I349" s="74">
        <f t="shared" si="179"/>
        <v>0</v>
      </c>
      <c r="J349" s="77">
        <f>VLOOKUP(B349,'Tabela de Produtos'!B:M,12,FALSE())</f>
        <v>0</v>
      </c>
      <c r="K349" s="74"/>
      <c r="L349" s="74"/>
      <c r="M349" s="74"/>
      <c r="N349" s="81"/>
      <c r="O349" s="74"/>
      <c r="P349" s="74"/>
      <c r="Q349" s="74"/>
      <c r="R349" s="81"/>
      <c r="S349" s="74"/>
      <c r="T349" s="74"/>
      <c r="U349" s="74"/>
      <c r="V349" s="74"/>
      <c r="W349" s="81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7"/>
      <c r="AY349" s="77">
        <f t="shared" si="180"/>
        <v>0</v>
      </c>
      <c r="AZ349" s="79">
        <f>IFERROR(H349*VLOOKUP(A349,'Tabela de Produtos'!A:Q,17,0),0)</f>
        <v>0</v>
      </c>
      <c r="BA349" s="74">
        <f t="shared" si="181"/>
        <v>0</v>
      </c>
      <c r="BB349" s="74">
        <f t="shared" si="181"/>
        <v>0</v>
      </c>
      <c r="BC349" s="74">
        <f t="shared" si="181"/>
        <v>0</v>
      </c>
      <c r="BD349" s="74">
        <f t="shared" si="181"/>
        <v>0</v>
      </c>
      <c r="BE349" s="74">
        <f t="shared" si="182"/>
        <v>0</v>
      </c>
      <c r="BF349" s="74">
        <f t="shared" si="183"/>
        <v>0</v>
      </c>
      <c r="BG349" s="74">
        <f t="shared" si="184"/>
        <v>0</v>
      </c>
      <c r="BH349" s="21">
        <f t="shared" si="185"/>
        <v>0</v>
      </c>
    </row>
    <row r="350" spans="1:60" ht="15.75" customHeight="1">
      <c r="A350" s="72" t="s">
        <v>417</v>
      </c>
      <c r="B350" s="2" t="str">
        <f>IFERROR(VLOOKUP(A350,'Tabela de Produtos'!A:B,2,0),"Preencher Cód. Produto")</f>
        <v>BRAZIMIL ESMALTE SINTETICO MADEIRAS E METAIS FOSCO 0,75L LILAS</v>
      </c>
      <c r="C350" s="2"/>
      <c r="D350" s="73"/>
      <c r="E350" s="73"/>
      <c r="F350" s="74" t="str">
        <f>IF(A350=0,0,VLOOKUP(A350,'Tabela de Produtos'!A:W,23,0))</f>
        <v>Cadastrar Ficha de Produção</v>
      </c>
      <c r="G350" s="74">
        <v>0</v>
      </c>
      <c r="H350" s="76">
        <v>1</v>
      </c>
      <c r="I350" s="74">
        <f t="shared" si="179"/>
        <v>0</v>
      </c>
      <c r="J350" s="77">
        <f>VLOOKUP(B350,'Tabela de Produtos'!B:M,12,FALSE())</f>
        <v>0</v>
      </c>
      <c r="K350" s="74"/>
      <c r="L350" s="74"/>
      <c r="M350" s="74"/>
      <c r="N350" s="81"/>
      <c r="O350" s="74"/>
      <c r="P350" s="74"/>
      <c r="Q350" s="74"/>
      <c r="R350" s="81"/>
      <c r="S350" s="74"/>
      <c r="T350" s="74"/>
      <c r="U350" s="74"/>
      <c r="V350" s="74"/>
      <c r="W350" s="81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7"/>
      <c r="AY350" s="77">
        <f t="shared" si="180"/>
        <v>0</v>
      </c>
      <c r="AZ350" s="79">
        <f>IFERROR(H350*VLOOKUP(A350,'Tabela de Produtos'!A:Q,17,0),0)</f>
        <v>0</v>
      </c>
      <c r="BA350" s="74">
        <f t="shared" si="181"/>
        <v>0</v>
      </c>
      <c r="BB350" s="74">
        <f t="shared" si="181"/>
        <v>0</v>
      </c>
      <c r="BC350" s="74">
        <f t="shared" si="181"/>
        <v>0</v>
      </c>
      <c r="BD350" s="74">
        <f t="shared" si="181"/>
        <v>0</v>
      </c>
      <c r="BE350" s="74">
        <f t="shared" si="182"/>
        <v>0</v>
      </c>
      <c r="BF350" s="74">
        <f t="shared" si="183"/>
        <v>0</v>
      </c>
      <c r="BG350" s="74">
        <f t="shared" si="184"/>
        <v>0</v>
      </c>
      <c r="BH350" s="21">
        <f t="shared" si="185"/>
        <v>0</v>
      </c>
    </row>
    <row r="351" spans="1:60" ht="15.75" customHeight="1">
      <c r="A351" s="72" t="s">
        <v>418</v>
      </c>
      <c r="B351" s="2" t="str">
        <f>IFERROR(VLOOKUP(A351,'Tabela de Produtos'!A:B,2,0),"Preencher Cód. Produto")</f>
        <v>BRAZIMIL ESMALTE SINTETICO MADEIRAS E METAIS FOSCO 0,75L VERDE NILO</v>
      </c>
      <c r="C351" s="2"/>
      <c r="D351" s="73"/>
      <c r="E351" s="73"/>
      <c r="F351" s="74" t="str">
        <f>IF(A351=0,0,VLOOKUP(A351,'Tabela de Produtos'!A:W,23,0))</f>
        <v>Cadastrar Ficha de Produção</v>
      </c>
      <c r="G351" s="74">
        <v>0</v>
      </c>
      <c r="H351" s="76">
        <v>1</v>
      </c>
      <c r="I351" s="74">
        <f t="shared" si="179"/>
        <v>0</v>
      </c>
      <c r="J351" s="77">
        <f>VLOOKUP(B351,'Tabela de Produtos'!B:M,12,FALSE())</f>
        <v>0</v>
      </c>
      <c r="K351" s="74"/>
      <c r="L351" s="74"/>
      <c r="M351" s="74"/>
      <c r="N351" s="81"/>
      <c r="O351" s="74"/>
      <c r="P351" s="74"/>
      <c r="Q351" s="74"/>
      <c r="R351" s="81"/>
      <c r="S351" s="74"/>
      <c r="T351" s="74"/>
      <c r="U351" s="74"/>
      <c r="V351" s="74"/>
      <c r="W351" s="81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7"/>
      <c r="AY351" s="77">
        <f t="shared" si="180"/>
        <v>0</v>
      </c>
      <c r="AZ351" s="79">
        <f>IFERROR(H351*VLOOKUP(A351,'Tabela de Produtos'!A:Q,17,0),0)</f>
        <v>0</v>
      </c>
      <c r="BA351" s="74">
        <f t="shared" si="181"/>
        <v>0</v>
      </c>
      <c r="BB351" s="74">
        <f t="shared" si="181"/>
        <v>0</v>
      </c>
      <c r="BC351" s="74">
        <f t="shared" si="181"/>
        <v>0</v>
      </c>
      <c r="BD351" s="74">
        <f t="shared" si="181"/>
        <v>0</v>
      </c>
      <c r="BE351" s="74">
        <f t="shared" si="182"/>
        <v>0</v>
      </c>
      <c r="BF351" s="74">
        <f t="shared" si="183"/>
        <v>0</v>
      </c>
      <c r="BG351" s="74">
        <f t="shared" si="184"/>
        <v>0</v>
      </c>
      <c r="BH351" s="21">
        <f t="shared" si="185"/>
        <v>0</v>
      </c>
    </row>
    <row r="352" spans="1:60" ht="15.75" customHeight="1">
      <c r="A352" s="72" t="s">
        <v>419</v>
      </c>
      <c r="B352" s="2" t="str">
        <f>IFERROR(VLOOKUP(A352,'Tabela de Produtos'!A:B,2,0),"Preencher Cód. Produto")</f>
        <v>BRAZIMIL ESMALTE SINTETICO MADEIRAS E METAIS  FOSCO 0,75L VERDE FOLHA</v>
      </c>
      <c r="C352" s="2"/>
      <c r="D352" s="73"/>
      <c r="E352" s="73"/>
      <c r="F352" s="74" t="str">
        <f>IF(A352=0,0,VLOOKUP(A352,'Tabela de Produtos'!A:W,23,0))</f>
        <v>Cadastrar Ficha de Produção</v>
      </c>
      <c r="G352" s="74">
        <v>0</v>
      </c>
      <c r="H352" s="76">
        <v>1</v>
      </c>
      <c r="I352" s="74">
        <f t="shared" si="179"/>
        <v>0</v>
      </c>
      <c r="J352" s="77">
        <f>VLOOKUP(B352,'Tabela de Produtos'!B:M,12,FALSE())</f>
        <v>0</v>
      </c>
      <c r="K352" s="74"/>
      <c r="L352" s="74"/>
      <c r="M352" s="74"/>
      <c r="N352" s="81"/>
      <c r="O352" s="74"/>
      <c r="P352" s="74"/>
      <c r="Q352" s="74"/>
      <c r="R352" s="81"/>
      <c r="S352" s="74"/>
      <c r="T352" s="74"/>
      <c r="U352" s="74"/>
      <c r="V352" s="74"/>
      <c r="W352" s="81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7"/>
      <c r="AY352" s="77">
        <f t="shared" si="180"/>
        <v>0</v>
      </c>
      <c r="AZ352" s="79">
        <f>IFERROR(H352*VLOOKUP(A352,'Tabela de Produtos'!A:Q,17,0),0)</f>
        <v>0</v>
      </c>
      <c r="BA352" s="74">
        <f t="shared" si="181"/>
        <v>0</v>
      </c>
      <c r="BB352" s="74">
        <f t="shared" si="181"/>
        <v>0</v>
      </c>
      <c r="BC352" s="74">
        <f t="shared" si="181"/>
        <v>0</v>
      </c>
      <c r="BD352" s="74">
        <f t="shared" si="181"/>
        <v>0</v>
      </c>
      <c r="BE352" s="74">
        <f t="shared" si="182"/>
        <v>0</v>
      </c>
      <c r="BF352" s="74">
        <f t="shared" si="183"/>
        <v>0</v>
      </c>
      <c r="BG352" s="74">
        <f t="shared" si="184"/>
        <v>0</v>
      </c>
      <c r="BH352" s="21">
        <f t="shared" si="185"/>
        <v>0</v>
      </c>
    </row>
    <row r="353" spans="1:63" ht="15.75" customHeight="1">
      <c r="A353" s="72" t="s">
        <v>420</v>
      </c>
      <c r="B353" s="2" t="str">
        <f>IFERROR(VLOOKUP(A353,'Tabela de Produtos'!A:B,2,0),"Preencher Cód. Produto")</f>
        <v>BRAZIMIL ESMALTE SINTETICO MADEIRAS E METAIS FOSCO 0,75L AMARELO OURO</v>
      </c>
      <c r="C353" s="2"/>
      <c r="D353" s="73"/>
      <c r="E353" s="73"/>
      <c r="F353" s="74" t="str">
        <f>IF(A353=0,0,VLOOKUP(A353,'Tabela de Produtos'!A:W,23,0))</f>
        <v>Cadastrar Ficha de Produção</v>
      </c>
      <c r="G353" s="74">
        <v>0</v>
      </c>
      <c r="H353" s="76">
        <v>1</v>
      </c>
      <c r="I353" s="74">
        <f t="shared" si="179"/>
        <v>0</v>
      </c>
      <c r="J353" s="77">
        <f>VLOOKUP(B353,'Tabela de Produtos'!B:M,12,FALSE())</f>
        <v>0</v>
      </c>
      <c r="K353" s="74"/>
      <c r="L353" s="74"/>
      <c r="M353" s="74"/>
      <c r="N353" s="81"/>
      <c r="O353" s="74"/>
      <c r="P353" s="74"/>
      <c r="Q353" s="74"/>
      <c r="R353" s="81"/>
      <c r="S353" s="74"/>
      <c r="T353" s="74"/>
      <c r="U353" s="74"/>
      <c r="V353" s="74"/>
      <c r="W353" s="81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7"/>
      <c r="AY353" s="77">
        <f t="shared" si="180"/>
        <v>0</v>
      </c>
      <c r="AZ353" s="79">
        <f>IFERROR(H353*VLOOKUP(A353,'Tabela de Produtos'!A:Q,17,0),0)</f>
        <v>0</v>
      </c>
      <c r="BA353" s="74">
        <f t="shared" si="181"/>
        <v>0</v>
      </c>
      <c r="BB353" s="74">
        <f t="shared" si="181"/>
        <v>0</v>
      </c>
      <c r="BC353" s="74">
        <f t="shared" si="181"/>
        <v>0</v>
      </c>
      <c r="BD353" s="74">
        <f t="shared" si="181"/>
        <v>0</v>
      </c>
      <c r="BE353" s="74">
        <f t="shared" si="182"/>
        <v>0</v>
      </c>
      <c r="BF353" s="74">
        <f t="shared" si="183"/>
        <v>0</v>
      </c>
      <c r="BG353" s="74">
        <f t="shared" si="184"/>
        <v>0</v>
      </c>
      <c r="BH353" s="21">
        <f t="shared" si="185"/>
        <v>0</v>
      </c>
    </row>
    <row r="354" spans="1:63" ht="15.75" customHeight="1">
      <c r="A354" s="72" t="s">
        <v>421</v>
      </c>
      <c r="B354" s="2" t="str">
        <f>IFERROR(VLOOKUP(A354,'Tabela de Produtos'!A:B,2,0),"Preencher Cód. Produto")</f>
        <v>BRAZIMIL ESMALTE SINTETICO BRILHANTE MADEIRAS E METAIS 0,75L BRANCO</v>
      </c>
      <c r="C354" s="2"/>
      <c r="D354" s="73" t="s">
        <v>78</v>
      </c>
      <c r="E354" s="91">
        <v>100</v>
      </c>
      <c r="F354" s="74">
        <f>IF(A354=0,0,VLOOKUP(A354,'Tabela de Produtos'!A:W,23,0))</f>
        <v>15.799999999999999</v>
      </c>
      <c r="G354" s="75">
        <v>22.9</v>
      </c>
      <c r="H354" s="76">
        <v>1</v>
      </c>
      <c r="I354" s="74">
        <f t="shared" si="179"/>
        <v>22.9</v>
      </c>
      <c r="J354" s="77">
        <f>VLOOKUP(B354,'Tabela de Produtos'!B:M,12,FALSE())</f>
        <v>9.24</v>
      </c>
      <c r="K354" s="77">
        <f>VLOOKUP(B354,'Tabela de Produtos'!B:P,15,FALSE())</f>
        <v>0.23249999999999998</v>
      </c>
      <c r="L354" s="77">
        <f>J354*1%</f>
        <v>9.240000000000001E-2</v>
      </c>
      <c r="M354" s="77">
        <f>J354*1%</f>
        <v>9.240000000000001E-2</v>
      </c>
      <c r="N354" s="78">
        <f>J354+K354+L354+M354</f>
        <v>9.6572999999999993</v>
      </c>
      <c r="O354" s="77">
        <f>($O$12/E354)*$O$13</f>
        <v>0.36200000000000004</v>
      </c>
      <c r="P354" s="77">
        <f>($P$12/E354)*$P$13</f>
        <v>0.28289999999999998</v>
      </c>
      <c r="Q354" s="77">
        <f>($Q$12/E354)*$Q$13</f>
        <v>0.28289999999999998</v>
      </c>
      <c r="R354" s="78">
        <f>O354+P354+Q354</f>
        <v>0.92779999999999996</v>
      </c>
      <c r="S354" s="77">
        <f>VLOOKUP(B354,'Tabela de Produtos'!B:N,13,FALSE())</f>
        <v>4.43</v>
      </c>
      <c r="T354" s="77">
        <f>$T$12/$T$11</f>
        <v>0.10416666666666667</v>
      </c>
      <c r="U354" s="77">
        <f>$U$12/$U$11</f>
        <v>0.39090909090909093</v>
      </c>
      <c r="V354" s="74">
        <f>$V$12/$V$11</f>
        <v>0.10909090909090909</v>
      </c>
      <c r="W354" s="78">
        <f>S354+T354+U354+V354</f>
        <v>5.0341666666666667</v>
      </c>
      <c r="X354" s="77">
        <f>(N354+R354+W354)*1%</f>
        <v>0.15619266666666665</v>
      </c>
      <c r="Y354" s="77">
        <f>X354</f>
        <v>0.15619266666666665</v>
      </c>
      <c r="Z354" s="77">
        <f>$Z$12/E354</f>
        <v>8.3000000000000001E-3</v>
      </c>
      <c r="AA354" s="77">
        <f>$AA$12/E354</f>
        <v>0.20833333333333331</v>
      </c>
      <c r="AB354" s="77">
        <f>$AB$12/E354</f>
        <v>0.19791666666666669</v>
      </c>
      <c r="AC354" s="77">
        <f>$AC$12/E354</f>
        <v>0</v>
      </c>
      <c r="AD354" s="77">
        <f>Z354+AA354+AB354+AC354</f>
        <v>0.41454999999999997</v>
      </c>
      <c r="AE354" s="77">
        <f>(AD354+Y354+W354+R354+N354)*$AE$7</f>
        <v>4.0475023333333331</v>
      </c>
      <c r="AF354" s="77">
        <f>AE354</f>
        <v>4.0475023333333331</v>
      </c>
      <c r="AG354" s="74"/>
      <c r="AH354" s="74"/>
      <c r="AI354" s="74"/>
      <c r="AJ354" s="74"/>
      <c r="AK354" s="74"/>
      <c r="AL354" s="77">
        <f>(AD354+Y354+W354+R354+N354)*$AL$7</f>
        <v>0</v>
      </c>
      <c r="AM354" s="77">
        <f>AL354+AF354+AD354+Y354+W354+R354+N354</f>
        <v>20.237511666666663</v>
      </c>
      <c r="AN354" s="77">
        <f>AM354*$AN$12</f>
        <v>0.24285013999999996</v>
      </c>
      <c r="AO354" s="77">
        <f>AM354*$AO$12</f>
        <v>0.21856512599999997</v>
      </c>
      <c r="AP354" s="77">
        <f>AO354+AN354</f>
        <v>0.46141526599999994</v>
      </c>
      <c r="AQ354" s="77">
        <f>AM354*$AQ$12</f>
        <v>1.6898322241666663</v>
      </c>
      <c r="AR354" s="77">
        <f>AM354*$AR$12</f>
        <v>0</v>
      </c>
      <c r="AS354" s="77">
        <f>AM354*$AS$12</f>
        <v>0</v>
      </c>
      <c r="AT354" s="77">
        <f>AQ354+AR354+AS354</f>
        <v>1.6898322241666663</v>
      </c>
      <c r="AU354" s="77">
        <f>AM354*$AU$12</f>
        <v>1.0118755833333333</v>
      </c>
      <c r="AV354" s="77">
        <f>AU354</f>
        <v>1.0118755833333333</v>
      </c>
      <c r="AW354" s="77">
        <f>AM354+AP354+AT354+AV354</f>
        <v>23.400634740166659</v>
      </c>
      <c r="AX354" s="21">
        <f>AY354/AW354</f>
        <v>-2.1394066687743817E-2</v>
      </c>
      <c r="AY354" s="77">
        <f t="shared" si="180"/>
        <v>-0.50063474016666021</v>
      </c>
      <c r="AZ354" s="79">
        <f>IFERROR(H354*VLOOKUP(A354,'Tabela de Produtos'!A:Q,17,0),0)</f>
        <v>13.9025</v>
      </c>
      <c r="BA354" s="74">
        <f t="shared" ref="BA354:BD373" si="186">$I354*BA$12</f>
        <v>0</v>
      </c>
      <c r="BB354" s="74">
        <f t="shared" si="186"/>
        <v>0</v>
      </c>
      <c r="BC354" s="74">
        <f t="shared" si="186"/>
        <v>0</v>
      </c>
      <c r="BD354" s="74">
        <f t="shared" si="186"/>
        <v>1.603</v>
      </c>
      <c r="BE354" s="74">
        <f t="shared" si="182"/>
        <v>1.145</v>
      </c>
      <c r="BF354" s="74">
        <f t="shared" si="183"/>
        <v>16.650500000000001</v>
      </c>
      <c r="BG354" s="74">
        <f t="shared" si="184"/>
        <v>6.2494999999999976</v>
      </c>
      <c r="BH354" s="21">
        <f t="shared" si="185"/>
        <v>0.27290393013100428</v>
      </c>
    </row>
    <row r="355" spans="1:63" ht="15.75" customHeight="1">
      <c r="A355" s="72" t="s">
        <v>422</v>
      </c>
      <c r="B355" s="2" t="str">
        <f>IFERROR(VLOOKUP(A355,'Tabela de Produtos'!A:B,2,0),"Preencher Cód. Produto")</f>
        <v>BRAZIMIL ESMALTE SINTETICO BRILHANTE MADEIRAS E METAIS 0,75L BRANCO GELO</v>
      </c>
      <c r="C355" s="2"/>
      <c r="D355" s="73"/>
      <c r="E355" s="73"/>
      <c r="F355" s="74" t="str">
        <f>IF(A355=0,0,VLOOKUP(A355,'Tabela de Produtos'!A:W,23,0))</f>
        <v>Cadastrar Ficha de Produção</v>
      </c>
      <c r="G355" s="74">
        <v>0</v>
      </c>
      <c r="H355" s="76">
        <v>1</v>
      </c>
      <c r="I355" s="74">
        <f t="shared" si="179"/>
        <v>0</v>
      </c>
      <c r="J355" s="77">
        <f>VLOOKUP(B355,'Tabela de Produtos'!B:M,12,FALSE())</f>
        <v>0</v>
      </c>
      <c r="K355" s="74"/>
      <c r="L355" s="74"/>
      <c r="M355" s="74"/>
      <c r="N355" s="81"/>
      <c r="O355" s="74"/>
      <c r="P355" s="74"/>
      <c r="Q355" s="74"/>
      <c r="R355" s="81"/>
      <c r="S355" s="74"/>
      <c r="T355" s="74"/>
      <c r="U355" s="74"/>
      <c r="V355" s="74"/>
      <c r="W355" s="81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7"/>
      <c r="AY355" s="77">
        <f t="shared" si="180"/>
        <v>0</v>
      </c>
      <c r="AZ355" s="79">
        <f>IFERROR(H355*VLOOKUP(A355,'Tabela de Produtos'!A:Q,17,0),0)</f>
        <v>0</v>
      </c>
      <c r="BA355" s="74">
        <f t="shared" si="186"/>
        <v>0</v>
      </c>
      <c r="BB355" s="74">
        <f t="shared" si="186"/>
        <v>0</v>
      </c>
      <c r="BC355" s="74">
        <f t="shared" si="186"/>
        <v>0</v>
      </c>
      <c r="BD355" s="74">
        <f t="shared" si="186"/>
        <v>0</v>
      </c>
      <c r="BE355" s="74">
        <f t="shared" si="182"/>
        <v>0</v>
      </c>
      <c r="BF355" s="74">
        <f t="shared" si="183"/>
        <v>0</v>
      </c>
      <c r="BG355" s="74">
        <f t="shared" si="184"/>
        <v>0</v>
      </c>
      <c r="BH355" s="21">
        <f t="shared" si="185"/>
        <v>0</v>
      </c>
    </row>
    <row r="356" spans="1:63" ht="15.75" customHeight="1">
      <c r="A356" s="72" t="s">
        <v>423</v>
      </c>
      <c r="B356" s="2" t="str">
        <f>IFERROR(VLOOKUP(A356,'Tabela de Produtos'!A:B,2,0),"Preencher Cód. Produto")</f>
        <v>BRAZIMIL ESMALTE SINTETICO BRILHANTE MADEIRAS E METAIS 0,75L VERMELHO FERRARI</v>
      </c>
      <c r="C356" s="2"/>
      <c r="D356" s="73" t="s">
        <v>78</v>
      </c>
      <c r="E356" s="91">
        <v>100</v>
      </c>
      <c r="F356" s="74">
        <f>IF(A356=0,0,VLOOKUP(A356,'Tabela de Produtos'!A:W,23,0))</f>
        <v>15.53</v>
      </c>
      <c r="G356" s="75">
        <v>22.9</v>
      </c>
      <c r="H356" s="76">
        <v>1</v>
      </c>
      <c r="I356" s="74">
        <f t="shared" si="179"/>
        <v>22.9</v>
      </c>
      <c r="J356" s="77">
        <f>VLOOKUP(B356,'Tabela de Produtos'!B:M,12,FALSE())</f>
        <v>8.9999999999999982</v>
      </c>
      <c r="K356" s="77">
        <f>VLOOKUP(B356,'Tabela de Produtos'!B:P,15,FALSE())</f>
        <v>0.23249999999999998</v>
      </c>
      <c r="L356" s="77">
        <f>J356*1%</f>
        <v>8.9999999999999983E-2</v>
      </c>
      <c r="M356" s="77">
        <f>J356*1%</f>
        <v>8.9999999999999983E-2</v>
      </c>
      <c r="N356" s="78">
        <f>J356+K356+L356+M356</f>
        <v>9.4124999999999979</v>
      </c>
      <c r="O356" s="77">
        <f>($O$12/E356)*$O$13</f>
        <v>0.36200000000000004</v>
      </c>
      <c r="P356" s="77">
        <f>($P$12/E356)*$P$13</f>
        <v>0.28289999999999998</v>
      </c>
      <c r="Q356" s="77">
        <f>($Q$12/E356)*$Q$13</f>
        <v>0.28289999999999998</v>
      </c>
      <c r="R356" s="78">
        <f>O356+P356+Q356</f>
        <v>0.92779999999999996</v>
      </c>
      <c r="S356" s="77">
        <f>VLOOKUP(B356,'Tabela de Produtos'!B:N,13,FALSE())</f>
        <v>4.43</v>
      </c>
      <c r="T356" s="77">
        <f>$T$12/$T$11</f>
        <v>0.10416666666666667</v>
      </c>
      <c r="U356" s="77">
        <f>$U$12/$U$11</f>
        <v>0.39090909090909093</v>
      </c>
      <c r="V356" s="74">
        <f>$V$12/$V$11</f>
        <v>0.10909090909090909</v>
      </c>
      <c r="W356" s="78">
        <f>S356+T356+U356+V356</f>
        <v>5.0341666666666667</v>
      </c>
      <c r="X356" s="77">
        <f>(N356+R356+W356)*1%</f>
        <v>0.15374466666666664</v>
      </c>
      <c r="Y356" s="77">
        <f>X356</f>
        <v>0.15374466666666664</v>
      </c>
      <c r="Z356" s="77">
        <f>$Z$12/E356</f>
        <v>8.3000000000000001E-3</v>
      </c>
      <c r="AA356" s="77">
        <f>$AA$12/E356</f>
        <v>0.20833333333333331</v>
      </c>
      <c r="AB356" s="77">
        <f>$AB$12/E356</f>
        <v>0.19791666666666669</v>
      </c>
      <c r="AC356" s="77">
        <f>$AC$12/E356</f>
        <v>0</v>
      </c>
      <c r="AD356" s="77">
        <f>Z356+AA356+AB356+AC356</f>
        <v>0.41454999999999997</v>
      </c>
      <c r="AE356" s="77">
        <f>(AD356+Y356+W356+R356+N356)*$AE$7</f>
        <v>3.9856903333333329</v>
      </c>
      <c r="AF356" s="77">
        <f>AE356</f>
        <v>3.9856903333333329</v>
      </c>
      <c r="AG356" s="74"/>
      <c r="AH356" s="74"/>
      <c r="AI356" s="74"/>
      <c r="AJ356" s="74"/>
      <c r="AK356" s="74"/>
      <c r="AL356" s="77">
        <f>(AD356+Y356+W356+R356+N356)*$AL$7</f>
        <v>0</v>
      </c>
      <c r="AM356" s="77">
        <f>AL356+AF356+AD356+Y356+W356+R356+N356</f>
        <v>19.92845166666666</v>
      </c>
      <c r="AN356" s="77">
        <f>AM356*$AN$12</f>
        <v>0.23914141999999994</v>
      </c>
      <c r="AO356" s="77">
        <f>AM356*$AO$12</f>
        <v>0.21522727799999994</v>
      </c>
      <c r="AP356" s="77">
        <f>AO356+AN356</f>
        <v>0.4543686979999999</v>
      </c>
      <c r="AQ356" s="77">
        <f>AM356*$AQ$12</f>
        <v>1.6640257141666663</v>
      </c>
      <c r="AR356" s="77">
        <f>AM356*$AR$12</f>
        <v>0</v>
      </c>
      <c r="AS356" s="77">
        <f>AM356*$AS$12</f>
        <v>0</v>
      </c>
      <c r="AT356" s="77">
        <f>AQ356+AR356+AS356</f>
        <v>1.6640257141666663</v>
      </c>
      <c r="AU356" s="77">
        <f>AM356*$AU$12</f>
        <v>0.99642258333333311</v>
      </c>
      <c r="AV356" s="77">
        <f>AU356</f>
        <v>0.99642258333333311</v>
      </c>
      <c r="AW356" s="77">
        <f>AM356+AP356+AT356+AV356</f>
        <v>23.04326866216666</v>
      </c>
      <c r="AX356" s="21">
        <f>AY356/AW356</f>
        <v>-6.2173758535344417E-3</v>
      </c>
      <c r="AY356" s="77">
        <f t="shared" si="180"/>
        <v>-0.1432686621666619</v>
      </c>
      <c r="AZ356" s="79">
        <f>IFERROR(H356*VLOOKUP(A356,'Tabela de Produtos'!A:Q,17,0),0)</f>
        <v>13.662499999999998</v>
      </c>
      <c r="BA356" s="74">
        <f t="shared" si="186"/>
        <v>0</v>
      </c>
      <c r="BB356" s="74">
        <f t="shared" si="186"/>
        <v>0</v>
      </c>
      <c r="BC356" s="74">
        <f t="shared" si="186"/>
        <v>0</v>
      </c>
      <c r="BD356" s="74">
        <f t="shared" si="186"/>
        <v>1.603</v>
      </c>
      <c r="BE356" s="74">
        <f t="shared" si="182"/>
        <v>1.145</v>
      </c>
      <c r="BF356" s="74">
        <f t="shared" si="183"/>
        <v>16.410499999999999</v>
      </c>
      <c r="BG356" s="74">
        <f t="shared" si="184"/>
        <v>6.4894999999999996</v>
      </c>
      <c r="BH356" s="21">
        <f t="shared" si="185"/>
        <v>0.28338427947598255</v>
      </c>
    </row>
    <row r="357" spans="1:63" ht="15.75" customHeight="1">
      <c r="A357" s="72" t="s">
        <v>424</v>
      </c>
      <c r="B357" s="2" t="str">
        <f>IFERROR(VLOOKUP(A357,'Tabela de Produtos'!A:B,2,0),"Preencher Cód. Produto")</f>
        <v>BRAZIMIL ESMALTE SINTETICO BRILHANTE MADEIRAS E METAIS 0,75L AZUL DEL REY</v>
      </c>
      <c r="C357" s="2"/>
      <c r="D357" s="73" t="s">
        <v>78</v>
      </c>
      <c r="E357" s="91">
        <v>100</v>
      </c>
      <c r="F357" s="74">
        <f>IF(A357=0,0,VLOOKUP(A357,'Tabela de Produtos'!A:W,23,0))</f>
        <v>14.18</v>
      </c>
      <c r="G357" s="75">
        <v>22.9</v>
      </c>
      <c r="H357" s="76">
        <v>1</v>
      </c>
      <c r="I357" s="74">
        <f t="shared" si="179"/>
        <v>22.9</v>
      </c>
      <c r="J357" s="77">
        <f>VLOOKUP(B357,'Tabela de Produtos'!B:M,12,FALSE())</f>
        <v>7.8149999999999995</v>
      </c>
      <c r="K357" s="77">
        <f>VLOOKUP(B357,'Tabela de Produtos'!B:P,15,FALSE())</f>
        <v>0.23249999999999998</v>
      </c>
      <c r="L357" s="77">
        <f>J357*1%</f>
        <v>7.8149999999999997E-2</v>
      </c>
      <c r="M357" s="77">
        <f>J357*1%</f>
        <v>7.8149999999999997E-2</v>
      </c>
      <c r="N357" s="78">
        <f>J357+K357+L357+M357</f>
        <v>8.2038000000000011</v>
      </c>
      <c r="O357" s="77">
        <f>($O$12/E357)*$O$13</f>
        <v>0.36200000000000004</v>
      </c>
      <c r="P357" s="77">
        <f>($P$12/E357)*$P$13</f>
        <v>0.28289999999999998</v>
      </c>
      <c r="Q357" s="77">
        <f>($Q$12/E357)*$Q$13</f>
        <v>0.28289999999999998</v>
      </c>
      <c r="R357" s="78">
        <f>O357+P357+Q357</f>
        <v>0.92779999999999996</v>
      </c>
      <c r="S357" s="77">
        <f>VLOOKUP(B357,'Tabela de Produtos'!B:N,13,FALSE())</f>
        <v>4.43</v>
      </c>
      <c r="T357" s="77">
        <f>$T$12/$T$11</f>
        <v>0.10416666666666667</v>
      </c>
      <c r="U357" s="77">
        <f>$U$12/$U$11</f>
        <v>0.39090909090909093</v>
      </c>
      <c r="V357" s="74">
        <f>$V$12/$V$11</f>
        <v>0.10909090909090909</v>
      </c>
      <c r="W357" s="78">
        <f>S357+T357+U357+V357</f>
        <v>5.0341666666666667</v>
      </c>
      <c r="X357" s="77">
        <f>(N357+R357+W357)*1%</f>
        <v>0.14165766666666665</v>
      </c>
      <c r="Y357" s="77">
        <f>X357</f>
        <v>0.14165766666666665</v>
      </c>
      <c r="Z357" s="77">
        <f>$Z$12/E357</f>
        <v>8.3000000000000001E-3</v>
      </c>
      <c r="AA357" s="77">
        <f>$AA$12/E357</f>
        <v>0.20833333333333331</v>
      </c>
      <c r="AB357" s="77">
        <f>$AB$12/E357</f>
        <v>0.19791666666666669</v>
      </c>
      <c r="AC357" s="77">
        <f>$AC$12/E357</f>
        <v>0</v>
      </c>
      <c r="AD357" s="77">
        <f>Z357+AA357+AB357+AC357</f>
        <v>0.41454999999999997</v>
      </c>
      <c r="AE357" s="77">
        <f>(AD357+Y357+W357+R357+N357)*$AE$7</f>
        <v>3.6804935833333334</v>
      </c>
      <c r="AF357" s="77">
        <f>AE357</f>
        <v>3.6804935833333334</v>
      </c>
      <c r="AG357" s="74"/>
      <c r="AH357" s="74"/>
      <c r="AI357" s="74"/>
      <c r="AJ357" s="74"/>
      <c r="AK357" s="74"/>
      <c r="AL357" s="77">
        <f>(AD357+Y357+W357+R357+N357)*$AL$7</f>
        <v>0</v>
      </c>
      <c r="AM357" s="77">
        <f>AL357+AF357+AD357+Y357+W357+R357+N357</f>
        <v>18.402467916666666</v>
      </c>
      <c r="AN357" s="77">
        <f>AM357*$AN$12</f>
        <v>0.22082961500000001</v>
      </c>
      <c r="AO357" s="77">
        <f>AM357*$AO$12</f>
        <v>0.19874665350000001</v>
      </c>
      <c r="AP357" s="77">
        <f>AO357+AN357</f>
        <v>0.41957626850000002</v>
      </c>
      <c r="AQ357" s="77">
        <f>AM357*$AQ$12</f>
        <v>1.5366060710416667</v>
      </c>
      <c r="AR357" s="77">
        <f>AM357*$AR$12</f>
        <v>0</v>
      </c>
      <c r="AS357" s="77">
        <f>AM357*$AS$12</f>
        <v>0</v>
      </c>
      <c r="AT357" s="77">
        <f>AQ357+AR357+AS357</f>
        <v>1.5366060710416667</v>
      </c>
      <c r="AU357" s="77">
        <f>AM357*$AU$12</f>
        <v>0.92012339583333336</v>
      </c>
      <c r="AV357" s="77">
        <f>AU357</f>
        <v>0.92012339583333336</v>
      </c>
      <c r="AW357" s="77">
        <f>AM357+AP357+AT357+AV357</f>
        <v>21.278773652041664</v>
      </c>
      <c r="AX357" s="21">
        <f>AY357/AW357</f>
        <v>7.618983943667168E-2</v>
      </c>
      <c r="AY357" s="77">
        <f t="shared" si="180"/>
        <v>1.6212263479583342</v>
      </c>
      <c r="AZ357" s="79">
        <f>IFERROR(H357*VLOOKUP(A357,'Tabela de Produtos'!A:Q,17,0),0)</f>
        <v>12.477499999999999</v>
      </c>
      <c r="BA357" s="74">
        <f t="shared" si="186"/>
        <v>0</v>
      </c>
      <c r="BB357" s="74">
        <f t="shared" si="186"/>
        <v>0</v>
      </c>
      <c r="BC357" s="74">
        <f t="shared" si="186"/>
        <v>0</v>
      </c>
      <c r="BD357" s="74">
        <f t="shared" si="186"/>
        <v>1.603</v>
      </c>
      <c r="BE357" s="74">
        <f t="shared" si="182"/>
        <v>1.145</v>
      </c>
      <c r="BF357" s="74">
        <f t="shared" si="183"/>
        <v>15.225499999999998</v>
      </c>
      <c r="BG357" s="74">
        <f t="shared" si="184"/>
        <v>7.6745000000000001</v>
      </c>
      <c r="BH357" s="21">
        <f t="shared" si="185"/>
        <v>0.33513100436681226</v>
      </c>
    </row>
    <row r="358" spans="1:63" ht="15.75" customHeight="1">
      <c r="A358" s="72" t="s">
        <v>425</v>
      </c>
      <c r="B358" s="2" t="str">
        <f>IFERROR(VLOOKUP(A358,'Tabela de Produtos'!A:B,2,0),"Preencher Cód. Produto")</f>
        <v>BRAZIMIL ESMALTE SINTETICO BRILHANTE MADEIRAS E METAIS 0,75L PRETO</v>
      </c>
      <c r="C358" s="2"/>
      <c r="D358" s="73" t="s">
        <v>78</v>
      </c>
      <c r="E358" s="91">
        <v>100</v>
      </c>
      <c r="F358" s="74">
        <f>IF(A358=0,0,VLOOKUP(A358,'Tabela de Produtos'!A:W,23,0))</f>
        <v>13.78</v>
      </c>
      <c r="G358" s="75">
        <v>22.9</v>
      </c>
      <c r="H358" s="76">
        <v>1</v>
      </c>
      <c r="I358" s="74">
        <f t="shared" si="179"/>
        <v>22.9</v>
      </c>
      <c r="J358" s="77">
        <f>VLOOKUP(B358,'Tabela de Produtos'!B:M,12,FALSE())</f>
        <v>7.4625000000000021</v>
      </c>
      <c r="K358" s="77">
        <f>VLOOKUP(B358,'Tabela de Produtos'!B:P,15,FALSE())</f>
        <v>0.23249999999999998</v>
      </c>
      <c r="L358" s="77">
        <f>J358*1%</f>
        <v>7.4625000000000025E-2</v>
      </c>
      <c r="M358" s="77">
        <f>J358*1%</f>
        <v>7.4625000000000025E-2</v>
      </c>
      <c r="N358" s="78">
        <f>J358+K358+L358+M358</f>
        <v>7.8442500000000024</v>
      </c>
      <c r="O358" s="77">
        <f>($O$12/E358)*$O$13</f>
        <v>0.36200000000000004</v>
      </c>
      <c r="P358" s="77">
        <f>($P$12/E358)*$P$13</f>
        <v>0.28289999999999998</v>
      </c>
      <c r="Q358" s="77">
        <f>($Q$12/E358)*$Q$13</f>
        <v>0.28289999999999998</v>
      </c>
      <c r="R358" s="78">
        <f>O358+P358+Q358</f>
        <v>0.92779999999999996</v>
      </c>
      <c r="S358" s="77">
        <f>VLOOKUP(B358,'Tabela de Produtos'!B:N,13,FALSE())</f>
        <v>4.43</v>
      </c>
      <c r="T358" s="77">
        <f>$T$12/$T$11</f>
        <v>0.10416666666666667</v>
      </c>
      <c r="U358" s="77">
        <f>$U$12/$U$11</f>
        <v>0.39090909090909093</v>
      </c>
      <c r="V358" s="74">
        <f>$V$12/$V$11</f>
        <v>0.10909090909090909</v>
      </c>
      <c r="W358" s="78">
        <f>S358+T358+U358+V358</f>
        <v>5.0341666666666667</v>
      </c>
      <c r="X358" s="77">
        <f>(N358+R358+W358)*1%</f>
        <v>0.13806216666666668</v>
      </c>
      <c r="Y358" s="77">
        <f>X358</f>
        <v>0.13806216666666668</v>
      </c>
      <c r="Z358" s="77">
        <f>$Z$12/E358</f>
        <v>8.3000000000000001E-3</v>
      </c>
      <c r="AA358" s="77">
        <f>$AA$12/E358</f>
        <v>0.20833333333333331</v>
      </c>
      <c r="AB358" s="77">
        <f>$AB$12/E358</f>
        <v>0.19791666666666669</v>
      </c>
      <c r="AC358" s="77">
        <f>$AC$12/E358</f>
        <v>0</v>
      </c>
      <c r="AD358" s="77">
        <f>Z358+AA358+AB358+AC358</f>
        <v>0.41454999999999997</v>
      </c>
      <c r="AE358" s="77">
        <f>(AD358+Y358+W358+R358+N358)*$AE$7</f>
        <v>3.5897072083333339</v>
      </c>
      <c r="AF358" s="77">
        <f>AE358</f>
        <v>3.5897072083333339</v>
      </c>
      <c r="AG358" s="74"/>
      <c r="AH358" s="74"/>
      <c r="AI358" s="74"/>
      <c r="AJ358" s="74"/>
      <c r="AK358" s="74"/>
      <c r="AL358" s="77">
        <f>(AD358+Y358+W358+R358+N358)*$AL$7</f>
        <v>0</v>
      </c>
      <c r="AM358" s="77">
        <f>AL358+AF358+AD358+Y358+W358+R358+N358</f>
        <v>17.948536041666671</v>
      </c>
      <c r="AN358" s="77">
        <f>AM358*$AN$12</f>
        <v>0.21538243250000005</v>
      </c>
      <c r="AO358" s="77">
        <f>AM358*$AO$12</f>
        <v>0.19384418925000005</v>
      </c>
      <c r="AP358" s="77">
        <f>AO358+AN358</f>
        <v>0.40922662175000013</v>
      </c>
      <c r="AQ358" s="77">
        <f>AM358*$AQ$12</f>
        <v>1.4987027594791671</v>
      </c>
      <c r="AR358" s="77">
        <f>AM358*$AR$12</f>
        <v>0</v>
      </c>
      <c r="AS358" s="77">
        <f>AM358*$AS$12</f>
        <v>0</v>
      </c>
      <c r="AT358" s="77">
        <f>AQ358+AR358+AS358</f>
        <v>1.4987027594791671</v>
      </c>
      <c r="AU358" s="77">
        <f>AM358*$AU$12</f>
        <v>0.89742680208333359</v>
      </c>
      <c r="AV358" s="77">
        <f>AU358</f>
        <v>0.89742680208333359</v>
      </c>
      <c r="AW358" s="77">
        <f>AM358+AP358+AT358+AV358</f>
        <v>20.753892224979172</v>
      </c>
      <c r="AX358" s="21">
        <f>AY358/AW358</f>
        <v>0.10340748384718861</v>
      </c>
      <c r="AY358" s="77">
        <f t="shared" si="180"/>
        <v>2.1461077750208268</v>
      </c>
      <c r="AZ358" s="79">
        <f>IFERROR(H358*VLOOKUP(A358,'Tabela de Produtos'!A:Q,17,0),0)</f>
        <v>12.125000000000002</v>
      </c>
      <c r="BA358" s="74">
        <f t="shared" si="186"/>
        <v>0</v>
      </c>
      <c r="BB358" s="74">
        <f t="shared" si="186"/>
        <v>0</v>
      </c>
      <c r="BC358" s="74">
        <f t="shared" si="186"/>
        <v>0</v>
      </c>
      <c r="BD358" s="74">
        <f t="shared" si="186"/>
        <v>1.603</v>
      </c>
      <c r="BE358" s="74">
        <f t="shared" si="182"/>
        <v>1.145</v>
      </c>
      <c r="BF358" s="74">
        <f t="shared" si="183"/>
        <v>14.873000000000001</v>
      </c>
      <c r="BG358" s="74">
        <f t="shared" si="184"/>
        <v>8.0269999999999975</v>
      </c>
      <c r="BH358" s="21">
        <f t="shared" si="185"/>
        <v>0.35052401746724882</v>
      </c>
    </row>
    <row r="359" spans="1:63" ht="15.75" customHeight="1">
      <c r="A359" s="72" t="s">
        <v>426</v>
      </c>
      <c r="B359" s="2" t="str">
        <f>IFERROR(VLOOKUP(A359,'Tabela de Produtos'!A:B,2,0),"Preencher Cód. Produto")</f>
        <v>BRAZIMIL ESMALTE SINTETICO BRILHANTE MADEIRAS E METAIS 0,75L CINZA</v>
      </c>
      <c r="C359" s="2"/>
      <c r="D359" s="73" t="s">
        <v>78</v>
      </c>
      <c r="E359" s="91">
        <v>100</v>
      </c>
      <c r="F359" s="74">
        <f>IF(A359=0,0,VLOOKUP(A359,'Tabela de Produtos'!A:W,23,0))</f>
        <v>14.07</v>
      </c>
      <c r="G359" s="75">
        <v>22.9</v>
      </c>
      <c r="H359" s="76">
        <v>1</v>
      </c>
      <c r="I359" s="74">
        <f t="shared" si="179"/>
        <v>22.9</v>
      </c>
      <c r="J359" s="77">
        <f>VLOOKUP(B359,'Tabela de Produtos'!B:M,12,FALSE())</f>
        <v>7.7174999999999976</v>
      </c>
      <c r="K359" s="77">
        <f>VLOOKUP(B359,'Tabela de Produtos'!B:P,15,FALSE())</f>
        <v>0.23249999999999998</v>
      </c>
      <c r="L359" s="77">
        <f>J359*1%</f>
        <v>7.717499999999998E-2</v>
      </c>
      <c r="M359" s="77">
        <f>J359*1%</f>
        <v>7.717499999999998E-2</v>
      </c>
      <c r="N359" s="78">
        <f>J359+K359+L359+M359</f>
        <v>8.1043499999999984</v>
      </c>
      <c r="O359" s="77">
        <f>($O$12/E359)*$O$13</f>
        <v>0.36200000000000004</v>
      </c>
      <c r="P359" s="77">
        <f>($P$12/E359)*$P$13</f>
        <v>0.28289999999999998</v>
      </c>
      <c r="Q359" s="77">
        <f>($Q$12/E359)*$Q$13</f>
        <v>0.28289999999999998</v>
      </c>
      <c r="R359" s="78">
        <f>O359+P359+Q359</f>
        <v>0.92779999999999996</v>
      </c>
      <c r="S359" s="77">
        <f>VLOOKUP(B359,'Tabela de Produtos'!B:N,13,FALSE())</f>
        <v>4.43</v>
      </c>
      <c r="T359" s="77">
        <f>$T$12/$T$11</f>
        <v>0.10416666666666667</v>
      </c>
      <c r="U359" s="77">
        <f>$U$12/$U$11</f>
        <v>0.39090909090909093</v>
      </c>
      <c r="V359" s="74">
        <f>$V$12/$V$11</f>
        <v>0.10909090909090909</v>
      </c>
      <c r="W359" s="78">
        <f>S359+T359+U359+V359</f>
        <v>5.0341666666666667</v>
      </c>
      <c r="X359" s="77">
        <f>(N359+R359+W359)*1%</f>
        <v>0.14066316666666664</v>
      </c>
      <c r="Y359" s="77">
        <f>X359</f>
        <v>0.14066316666666664</v>
      </c>
      <c r="Z359" s="77">
        <f>$Z$12/E359</f>
        <v>8.3000000000000001E-3</v>
      </c>
      <c r="AA359" s="77">
        <f>$AA$12/E359</f>
        <v>0.20833333333333331</v>
      </c>
      <c r="AB359" s="77">
        <f>$AB$12/E359</f>
        <v>0.19791666666666669</v>
      </c>
      <c r="AC359" s="77">
        <f>$AC$12/E359</f>
        <v>0</v>
      </c>
      <c r="AD359" s="77">
        <f>Z359+AA359+AB359+AC359</f>
        <v>0.41454999999999997</v>
      </c>
      <c r="AE359" s="77">
        <f>(AD359+Y359+W359+R359+N359)*$AE$7</f>
        <v>3.655382458333333</v>
      </c>
      <c r="AF359" s="77">
        <f>AE359</f>
        <v>3.655382458333333</v>
      </c>
      <c r="AG359" s="74"/>
      <c r="AH359" s="74"/>
      <c r="AI359" s="74"/>
      <c r="AJ359" s="74"/>
      <c r="AK359" s="74"/>
      <c r="AL359" s="77">
        <f>(AD359+Y359+W359+R359+N359)*$AL$7</f>
        <v>0</v>
      </c>
      <c r="AM359" s="77">
        <f>AL359+AF359+AD359+Y359+W359+R359+N359</f>
        <v>18.276912291666662</v>
      </c>
      <c r="AN359" s="77">
        <f>AM359*$AN$12</f>
        <v>0.21932294749999995</v>
      </c>
      <c r="AO359" s="77">
        <f>AM359*$AO$12</f>
        <v>0.19739065274999995</v>
      </c>
      <c r="AP359" s="77">
        <f>AO359+AN359</f>
        <v>0.41671360024999993</v>
      </c>
      <c r="AQ359" s="77">
        <f>AM359*$AQ$12</f>
        <v>1.5261221763541664</v>
      </c>
      <c r="AR359" s="77">
        <f>AM359*$AR$12</f>
        <v>0</v>
      </c>
      <c r="AS359" s="77">
        <f>AM359*$AS$12</f>
        <v>0</v>
      </c>
      <c r="AT359" s="77">
        <f>AQ359+AR359+AS359</f>
        <v>1.5261221763541664</v>
      </c>
      <c r="AU359" s="77">
        <f>AM359*$AU$12</f>
        <v>0.91384561458333313</v>
      </c>
      <c r="AV359" s="77">
        <f>AU359</f>
        <v>0.91384561458333313</v>
      </c>
      <c r="AW359" s="77">
        <f>AM359+AP359+AT359+AV359</f>
        <v>21.133593682854162</v>
      </c>
      <c r="AX359" s="21">
        <f>AY359/AW359</f>
        <v>8.3582865444173607E-2</v>
      </c>
      <c r="AY359" s="77">
        <f t="shared" si="180"/>
        <v>1.7664063171458366</v>
      </c>
      <c r="AZ359" s="79">
        <f>IFERROR(H359*VLOOKUP(A359,'Tabela de Produtos'!A:Q,17,0),0)</f>
        <v>12.379999999999997</v>
      </c>
      <c r="BA359" s="74">
        <f t="shared" si="186"/>
        <v>0</v>
      </c>
      <c r="BB359" s="74">
        <f t="shared" si="186"/>
        <v>0</v>
      </c>
      <c r="BC359" s="74">
        <f t="shared" si="186"/>
        <v>0</v>
      </c>
      <c r="BD359" s="74">
        <f t="shared" si="186"/>
        <v>1.603</v>
      </c>
      <c r="BE359" s="74">
        <f t="shared" si="182"/>
        <v>1.145</v>
      </c>
      <c r="BF359" s="74">
        <f t="shared" si="183"/>
        <v>15.127999999999997</v>
      </c>
      <c r="BG359" s="74">
        <f t="shared" si="184"/>
        <v>7.772000000000002</v>
      </c>
      <c r="BH359" s="21">
        <f t="shared" si="185"/>
        <v>0.33938864628820969</v>
      </c>
    </row>
    <row r="360" spans="1:63" ht="15.75" customHeight="1">
      <c r="A360" s="72" t="s">
        <v>427</v>
      </c>
      <c r="B360" s="2" t="str">
        <f>IFERROR(VLOOKUP(A360,'Tabela de Produtos'!A:B,2,0),"Preencher Cód. Produto")</f>
        <v>BRAZIMIL ESMALTE SINTETICO BRILHANTE MADEIRAS E METAIS 0,75L LARANJA</v>
      </c>
      <c r="C360" s="2"/>
      <c r="D360" s="73"/>
      <c r="E360" s="73"/>
      <c r="F360" s="74" t="str">
        <f>IF(A360=0,0,VLOOKUP(A360,'Tabela de Produtos'!A:W,23,0))</f>
        <v>Cadastrar Ficha de Produção</v>
      </c>
      <c r="G360" s="74">
        <v>0</v>
      </c>
      <c r="H360" s="76">
        <v>1</v>
      </c>
      <c r="I360" s="74">
        <f t="shared" si="179"/>
        <v>0</v>
      </c>
      <c r="J360" s="77">
        <f>VLOOKUP(B360,'Tabela de Produtos'!B:M,12,FALSE())</f>
        <v>0</v>
      </c>
      <c r="K360" s="74"/>
      <c r="L360" s="74"/>
      <c r="M360" s="74"/>
      <c r="N360" s="81"/>
      <c r="O360" s="74"/>
      <c r="P360" s="74"/>
      <c r="Q360" s="74"/>
      <c r="R360" s="81"/>
      <c r="S360" s="74"/>
      <c r="T360" s="74"/>
      <c r="U360" s="74"/>
      <c r="V360" s="74"/>
      <c r="W360" s="81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7"/>
      <c r="AY360" s="77">
        <f t="shared" si="180"/>
        <v>0</v>
      </c>
      <c r="AZ360" s="79">
        <f>IFERROR(H360*VLOOKUP(A360,'Tabela de Produtos'!A:Q,17,0),0)</f>
        <v>0</v>
      </c>
      <c r="BA360" s="74">
        <f t="shared" si="186"/>
        <v>0</v>
      </c>
      <c r="BB360" s="74">
        <f t="shared" si="186"/>
        <v>0</v>
      </c>
      <c r="BC360" s="74">
        <f t="shared" si="186"/>
        <v>0</v>
      </c>
      <c r="BD360" s="74">
        <f t="shared" si="186"/>
        <v>0</v>
      </c>
      <c r="BE360" s="74">
        <f t="shared" si="182"/>
        <v>0</v>
      </c>
      <c r="BF360" s="74">
        <f t="shared" si="183"/>
        <v>0</v>
      </c>
      <c r="BG360" s="74">
        <f t="shared" si="184"/>
        <v>0</v>
      </c>
      <c r="BH360" s="21">
        <f t="shared" si="185"/>
        <v>0</v>
      </c>
    </row>
    <row r="361" spans="1:63" ht="15.75" customHeight="1">
      <c r="A361" s="72" t="s">
        <v>428</v>
      </c>
      <c r="B361" s="2" t="str">
        <f>IFERROR(VLOOKUP(A361,'Tabela de Produtos'!A:B,2,0),"Preencher Cód. Produto")</f>
        <v>BRAZIMIL ESMALTE SINTETICO BRILHANTE MADEIRAS E METAIS 0,75L AZUL CEU</v>
      </c>
      <c r="C361" s="2"/>
      <c r="D361" s="73"/>
      <c r="E361" s="73"/>
      <c r="F361" s="74" t="str">
        <f>IF(A361=0,0,VLOOKUP(A361,'Tabela de Produtos'!A:W,23,0))</f>
        <v>Cadastrar Ficha de Produção</v>
      </c>
      <c r="G361" s="74">
        <v>0</v>
      </c>
      <c r="H361" s="76">
        <v>1</v>
      </c>
      <c r="I361" s="74">
        <f t="shared" si="179"/>
        <v>0</v>
      </c>
      <c r="J361" s="77">
        <f>VLOOKUP(B361,'Tabela de Produtos'!B:M,12,FALSE())</f>
        <v>0</v>
      </c>
      <c r="K361" s="74"/>
      <c r="L361" s="74"/>
      <c r="M361" s="74"/>
      <c r="N361" s="81"/>
      <c r="O361" s="74"/>
      <c r="P361" s="74"/>
      <c r="Q361" s="74"/>
      <c r="R361" s="81"/>
      <c r="S361" s="74"/>
      <c r="T361" s="74"/>
      <c r="U361" s="74"/>
      <c r="V361" s="74"/>
      <c r="W361" s="81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7"/>
      <c r="AY361" s="77">
        <f t="shared" si="180"/>
        <v>0</v>
      </c>
      <c r="AZ361" s="79">
        <f>IFERROR(H361*VLOOKUP(A361,'Tabela de Produtos'!A:Q,17,0),0)</f>
        <v>0</v>
      </c>
      <c r="BA361" s="74">
        <f t="shared" si="186"/>
        <v>0</v>
      </c>
      <c r="BB361" s="74">
        <f t="shared" si="186"/>
        <v>0</v>
      </c>
      <c r="BC361" s="74">
        <f t="shared" si="186"/>
        <v>0</v>
      </c>
      <c r="BD361" s="74">
        <f t="shared" si="186"/>
        <v>0</v>
      </c>
      <c r="BE361" s="74">
        <f t="shared" si="182"/>
        <v>0</v>
      </c>
      <c r="BF361" s="74">
        <f t="shared" si="183"/>
        <v>0</v>
      </c>
      <c r="BG361" s="74">
        <f t="shared" si="184"/>
        <v>0</v>
      </c>
      <c r="BH361" s="21">
        <f t="shared" si="185"/>
        <v>0</v>
      </c>
    </row>
    <row r="362" spans="1:63" ht="15.75" customHeight="1">
      <c r="A362" s="72" t="s">
        <v>429</v>
      </c>
      <c r="B362" s="2" t="str">
        <f>IFERROR(VLOOKUP(A362,'Tabela de Produtos'!A:B,2,0),"Preencher Cód. Produto")</f>
        <v>BRAZIMIL ESMALTE SINTETICO BRILHANTE MADEIRAS E METAIS 0,75L LILAS</v>
      </c>
      <c r="C362" s="2"/>
      <c r="D362" s="73"/>
      <c r="E362" s="73"/>
      <c r="F362" s="74" t="str">
        <f>IF(A362=0,0,VLOOKUP(A362,'Tabela de Produtos'!A:W,23,0))</f>
        <v>Cadastrar Ficha de Produção</v>
      </c>
      <c r="G362" s="74">
        <v>0</v>
      </c>
      <c r="H362" s="76">
        <v>1</v>
      </c>
      <c r="I362" s="74">
        <f t="shared" si="179"/>
        <v>0</v>
      </c>
      <c r="J362" s="77">
        <f>VLOOKUP(B362,'Tabela de Produtos'!B:M,12,FALSE())</f>
        <v>0</v>
      </c>
      <c r="K362" s="74"/>
      <c r="L362" s="74"/>
      <c r="M362" s="74"/>
      <c r="N362" s="81"/>
      <c r="O362" s="74"/>
      <c r="P362" s="74"/>
      <c r="Q362" s="74"/>
      <c r="R362" s="81"/>
      <c r="S362" s="74"/>
      <c r="T362" s="74"/>
      <c r="U362" s="74"/>
      <c r="V362" s="74"/>
      <c r="W362" s="81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7"/>
      <c r="AY362" s="77">
        <f t="shared" si="180"/>
        <v>0</v>
      </c>
      <c r="AZ362" s="79">
        <f>IFERROR(H362*VLOOKUP(A362,'Tabela de Produtos'!A:Q,17,0),0)</f>
        <v>0</v>
      </c>
      <c r="BA362" s="74">
        <f t="shared" si="186"/>
        <v>0</v>
      </c>
      <c r="BB362" s="74">
        <f t="shared" si="186"/>
        <v>0</v>
      </c>
      <c r="BC362" s="74">
        <f t="shared" si="186"/>
        <v>0</v>
      </c>
      <c r="BD362" s="74">
        <f t="shared" si="186"/>
        <v>0</v>
      </c>
      <c r="BE362" s="74">
        <f t="shared" si="182"/>
        <v>0</v>
      </c>
      <c r="BF362" s="74">
        <f t="shared" si="183"/>
        <v>0</v>
      </c>
      <c r="BG362" s="74">
        <f t="shared" si="184"/>
        <v>0</v>
      </c>
      <c r="BH362" s="21">
        <f t="shared" si="185"/>
        <v>0</v>
      </c>
    </row>
    <row r="363" spans="1:63" ht="15.75" customHeight="1">
      <c r="A363" s="72" t="s">
        <v>430</v>
      </c>
      <c r="B363" s="2" t="str">
        <f>IFERROR(VLOOKUP(A363,'Tabela de Produtos'!A:B,2,0),"Preencher Cód. Produto")</f>
        <v>BRAZIMIL ESMALTE SINTETICO BRILHANTE MADEIRAS E METAIS 0,75L VERDE NILO</v>
      </c>
      <c r="C363" s="2"/>
      <c r="D363" s="73"/>
      <c r="E363" s="73"/>
      <c r="F363" s="74" t="str">
        <f>IF(A363=0,0,VLOOKUP(A363,'Tabela de Produtos'!A:W,23,0))</f>
        <v>Cadastrar Ficha de Produção</v>
      </c>
      <c r="G363" s="74">
        <v>0</v>
      </c>
      <c r="H363" s="76">
        <v>1</v>
      </c>
      <c r="I363" s="74">
        <f t="shared" si="179"/>
        <v>0</v>
      </c>
      <c r="J363" s="77">
        <f>VLOOKUP(B363,'Tabela de Produtos'!B:M,12,FALSE())</f>
        <v>0</v>
      </c>
      <c r="K363" s="74"/>
      <c r="L363" s="74"/>
      <c r="M363" s="74"/>
      <c r="N363" s="81"/>
      <c r="O363" s="74"/>
      <c r="P363" s="74"/>
      <c r="Q363" s="74"/>
      <c r="R363" s="81"/>
      <c r="S363" s="74"/>
      <c r="T363" s="74"/>
      <c r="U363" s="74"/>
      <c r="V363" s="74"/>
      <c r="W363" s="81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7"/>
      <c r="AY363" s="77">
        <f t="shared" si="180"/>
        <v>0</v>
      </c>
      <c r="AZ363" s="79">
        <f>IFERROR(H363*VLOOKUP(A363,'Tabela de Produtos'!A:Q,17,0),0)</f>
        <v>0</v>
      </c>
      <c r="BA363" s="74">
        <f t="shared" si="186"/>
        <v>0</v>
      </c>
      <c r="BB363" s="74">
        <f t="shared" si="186"/>
        <v>0</v>
      </c>
      <c r="BC363" s="74">
        <f t="shared" si="186"/>
        <v>0</v>
      </c>
      <c r="BD363" s="74">
        <f t="shared" si="186"/>
        <v>0</v>
      </c>
      <c r="BE363" s="74">
        <f t="shared" si="182"/>
        <v>0</v>
      </c>
      <c r="BF363" s="74">
        <f t="shared" si="183"/>
        <v>0</v>
      </c>
      <c r="BG363" s="74">
        <f t="shared" si="184"/>
        <v>0</v>
      </c>
      <c r="BH363" s="21">
        <f t="shared" si="185"/>
        <v>0</v>
      </c>
    </row>
    <row r="364" spans="1:63" ht="15.75" customHeight="1">
      <c r="A364" s="72" t="s">
        <v>431</v>
      </c>
      <c r="B364" s="2" t="str">
        <f>IFERROR(VLOOKUP(A364,'Tabela de Produtos'!A:B,2,0),"Preencher Cód. Produto")</f>
        <v>BRAZIMIL ESMALTE SINTETICO BRILHANTE MADEIRAS E METAIS 0,75L VERDE FOLHA</v>
      </c>
      <c r="C364" s="2"/>
      <c r="D364" s="73" t="s">
        <v>78</v>
      </c>
      <c r="E364" s="91">
        <v>100</v>
      </c>
      <c r="F364" s="74">
        <f>IF(A364=0,0,VLOOKUP(A364,'Tabela de Produtos'!A:W,23,0))</f>
        <v>14.37</v>
      </c>
      <c r="G364" s="75">
        <v>22.9</v>
      </c>
      <c r="H364" s="76">
        <v>1</v>
      </c>
      <c r="I364" s="74">
        <f t="shared" si="179"/>
        <v>22.9</v>
      </c>
      <c r="J364" s="77">
        <f>VLOOKUP(B364,'Tabela de Produtos'!B:M,12,FALSE())</f>
        <v>7.98</v>
      </c>
      <c r="K364" s="77">
        <f>VLOOKUP(B364,'Tabela de Produtos'!B:P,15,FALSE())</f>
        <v>0.23249999999999998</v>
      </c>
      <c r="L364" s="77">
        <f>J364*1%</f>
        <v>7.980000000000001E-2</v>
      </c>
      <c r="M364" s="77">
        <f>J364*1%</f>
        <v>7.980000000000001E-2</v>
      </c>
      <c r="N364" s="78">
        <f>J364+K364+L364+M364</f>
        <v>8.3721000000000014</v>
      </c>
      <c r="O364" s="77">
        <f>($O$12/E364)*$O$13</f>
        <v>0.36200000000000004</v>
      </c>
      <c r="P364" s="77">
        <f>($P$12/E364)*$P$13</f>
        <v>0.28289999999999998</v>
      </c>
      <c r="Q364" s="77">
        <f>($Q$12/E364)*$Q$13</f>
        <v>0.28289999999999998</v>
      </c>
      <c r="R364" s="78">
        <f>O364+P364+Q364</f>
        <v>0.92779999999999996</v>
      </c>
      <c r="S364" s="77">
        <f>VLOOKUP(B364,'Tabela de Produtos'!B:N,13,FALSE())</f>
        <v>4.43</v>
      </c>
      <c r="T364" s="77">
        <f>$T$12/$T$11</f>
        <v>0.10416666666666667</v>
      </c>
      <c r="U364" s="77">
        <f>$U$12/$U$11</f>
        <v>0.39090909090909093</v>
      </c>
      <c r="V364" s="74">
        <f>$V$12/$V$11</f>
        <v>0.10909090909090909</v>
      </c>
      <c r="W364" s="78">
        <f>S364+T364+U364+V364</f>
        <v>5.0341666666666667</v>
      </c>
      <c r="X364" s="77">
        <f>(N364+R364+W364)*1%</f>
        <v>0.1433406666666667</v>
      </c>
      <c r="Y364" s="77">
        <f>X364</f>
        <v>0.1433406666666667</v>
      </c>
      <c r="Z364" s="77">
        <f>$Z$12/E364</f>
        <v>8.3000000000000001E-3</v>
      </c>
      <c r="AA364" s="77">
        <f>$AA$12/E364</f>
        <v>0.20833333333333331</v>
      </c>
      <c r="AB364" s="77">
        <f>$AB$12/E364</f>
        <v>0.19791666666666669</v>
      </c>
      <c r="AC364" s="77">
        <f>$AC$12/E364</f>
        <v>0</v>
      </c>
      <c r="AD364" s="77">
        <f>Z364+AA364+AB364+AC364</f>
        <v>0.41454999999999997</v>
      </c>
      <c r="AE364" s="77">
        <f>(AD364+Y364+W364+R364+N364)*$AE$7</f>
        <v>3.7229893333333335</v>
      </c>
      <c r="AF364" s="77">
        <f>AE364</f>
        <v>3.7229893333333335</v>
      </c>
      <c r="AG364" s="74"/>
      <c r="AH364" s="74"/>
      <c r="AI364" s="74"/>
      <c r="AJ364" s="74"/>
      <c r="AK364" s="74"/>
      <c r="AL364" s="77">
        <f>(AD364+Y364+W364+R364+N364)*$AL$7</f>
        <v>0</v>
      </c>
      <c r="AM364" s="77">
        <f>AL364+AF364+AD364+Y364+W364+R364+N364</f>
        <v>18.614946666666668</v>
      </c>
      <c r="AN364" s="77">
        <f>AM364*$AN$12</f>
        <v>0.22337936000000003</v>
      </c>
      <c r="AO364" s="77">
        <f>AM364*$AO$12</f>
        <v>0.20104142400000002</v>
      </c>
      <c r="AP364" s="77">
        <f>AO364+AN364</f>
        <v>0.42442078400000005</v>
      </c>
      <c r="AQ364" s="77">
        <f>AM364*$AQ$12</f>
        <v>1.5543480466666668</v>
      </c>
      <c r="AR364" s="77">
        <f>AM364*$AR$12</f>
        <v>0</v>
      </c>
      <c r="AS364" s="77">
        <f>AM364*$AS$12</f>
        <v>0</v>
      </c>
      <c r="AT364" s="77">
        <f>AQ364+AR364+AS364</f>
        <v>1.5543480466666668</v>
      </c>
      <c r="AU364" s="77">
        <f>AM364*$AU$12</f>
        <v>0.93074733333333348</v>
      </c>
      <c r="AV364" s="77">
        <f>AU364</f>
        <v>0.93074733333333348</v>
      </c>
      <c r="AW364" s="77">
        <f>AM364+AP364+AT364+AV364</f>
        <v>21.524462830666668</v>
      </c>
      <c r="AX364" s="21">
        <f>AY364/AW364</f>
        <v>6.3905760629415304E-2</v>
      </c>
      <c r="AY364" s="77">
        <f t="shared" si="180"/>
        <v>1.3755371693333309</v>
      </c>
      <c r="AZ364" s="79">
        <f>IFERROR(H364*VLOOKUP(A364,'Tabela de Produtos'!A:Q,17,0),0)</f>
        <v>12.6425</v>
      </c>
      <c r="BA364" s="74">
        <f t="shared" si="186"/>
        <v>0</v>
      </c>
      <c r="BB364" s="74">
        <f t="shared" si="186"/>
        <v>0</v>
      </c>
      <c r="BC364" s="74">
        <f t="shared" si="186"/>
        <v>0</v>
      </c>
      <c r="BD364" s="74">
        <f t="shared" si="186"/>
        <v>1.603</v>
      </c>
      <c r="BE364" s="74">
        <f t="shared" si="182"/>
        <v>1.145</v>
      </c>
      <c r="BF364" s="74">
        <f t="shared" si="183"/>
        <v>15.390499999999999</v>
      </c>
      <c r="BG364" s="74">
        <f t="shared" si="184"/>
        <v>7.5094999999999992</v>
      </c>
      <c r="BH364" s="21">
        <f t="shared" si="185"/>
        <v>0.3279257641921397</v>
      </c>
    </row>
    <row r="365" spans="1:63" ht="15.75" customHeight="1">
      <c r="A365" s="72" t="s">
        <v>432</v>
      </c>
      <c r="B365" s="2" t="str">
        <f>IFERROR(VLOOKUP(A365,'Tabela de Produtos'!A:B,2,0),"Preencher Cód. Produto")</f>
        <v>BRAZIMIL ESMALTE SINTETICO BRILHANTE MADEIRAS E METAIS 0,75L AMARELO OURO</v>
      </c>
      <c r="C365" s="2"/>
      <c r="D365" s="73" t="s">
        <v>78</v>
      </c>
      <c r="E365" s="91">
        <v>100</v>
      </c>
      <c r="F365" s="74">
        <f>IF(A365=0,0,VLOOKUP(A365,'Tabela de Produtos'!A:W,23,0))</f>
        <v>14.41</v>
      </c>
      <c r="G365" s="75">
        <v>22.9</v>
      </c>
      <c r="H365" s="76">
        <v>1</v>
      </c>
      <c r="I365" s="74">
        <f t="shared" si="179"/>
        <v>22.9</v>
      </c>
      <c r="J365" s="77">
        <f>VLOOKUP(B365,'Tabela de Produtos'!B:M,12,FALSE())</f>
        <v>8.0175000000000018</v>
      </c>
      <c r="K365" s="77">
        <f>VLOOKUP(B365,'Tabela de Produtos'!B:P,15,FALSE())</f>
        <v>0.23249999999999998</v>
      </c>
      <c r="L365" s="77">
        <f>J365*1%</f>
        <v>8.0175000000000024E-2</v>
      </c>
      <c r="M365" s="77">
        <f>J365*1%</f>
        <v>8.0175000000000024E-2</v>
      </c>
      <c r="N365" s="78">
        <f>J365+K365+L365+M365</f>
        <v>8.4103500000000029</v>
      </c>
      <c r="O365" s="77">
        <f>($O$12/E365)*$O$13</f>
        <v>0.36200000000000004</v>
      </c>
      <c r="P365" s="77">
        <f>($P$12/E365)*$P$13</f>
        <v>0.28289999999999998</v>
      </c>
      <c r="Q365" s="77">
        <f>($Q$12/E365)*$Q$13</f>
        <v>0.28289999999999998</v>
      </c>
      <c r="R365" s="78">
        <f>O365+P365+Q365</f>
        <v>0.92779999999999996</v>
      </c>
      <c r="S365" s="77">
        <f>VLOOKUP(B365,'Tabela de Produtos'!B:N,13,FALSE())</f>
        <v>4.43</v>
      </c>
      <c r="T365" s="77">
        <f>$T$12/$T$11</f>
        <v>0.10416666666666667</v>
      </c>
      <c r="U365" s="77">
        <f>$U$12/$U$11</f>
        <v>0.39090909090909093</v>
      </c>
      <c r="V365" s="74">
        <f>$V$12/$V$11</f>
        <v>0.10909090909090909</v>
      </c>
      <c r="W365" s="78">
        <f>S365+T365+U365+V365</f>
        <v>5.0341666666666667</v>
      </c>
      <c r="X365" s="77">
        <f>(N365+R365+W365)*1%</f>
        <v>0.14372316666666671</v>
      </c>
      <c r="Y365" s="77">
        <f>X365</f>
        <v>0.14372316666666671</v>
      </c>
      <c r="Z365" s="77">
        <f>$Z$12/E365</f>
        <v>8.3000000000000001E-3</v>
      </c>
      <c r="AA365" s="77">
        <f>$AA$12/E365</f>
        <v>0.20833333333333331</v>
      </c>
      <c r="AB365" s="77">
        <f>$AB$12/E365</f>
        <v>0.19791666666666669</v>
      </c>
      <c r="AC365" s="77">
        <f>$AC$12/E365</f>
        <v>0</v>
      </c>
      <c r="AD365" s="77">
        <f>Z365+AA365+AB365+AC365</f>
        <v>0.41454999999999997</v>
      </c>
      <c r="AE365" s="77">
        <f>(AD365+Y365+W365+R365+N365)*$AE$7</f>
        <v>3.732647458333334</v>
      </c>
      <c r="AF365" s="77">
        <f>AE365</f>
        <v>3.732647458333334</v>
      </c>
      <c r="AG365" s="74"/>
      <c r="AH365" s="74"/>
      <c r="AI365" s="74"/>
      <c r="AJ365" s="74"/>
      <c r="AK365" s="74"/>
      <c r="AL365" s="77">
        <f>(AD365+Y365+W365+R365+N365)*$AL$7</f>
        <v>0</v>
      </c>
      <c r="AM365" s="77">
        <f>AL365+AF365+AD365+Y365+W365+R365+N365</f>
        <v>18.663237291666668</v>
      </c>
      <c r="AN365" s="77">
        <f>AM365*$AN$12</f>
        <v>0.22395884750000003</v>
      </c>
      <c r="AO365" s="77">
        <f>AM365*$AO$12</f>
        <v>0.20156296275000002</v>
      </c>
      <c r="AP365" s="77">
        <f>AO365+AN365</f>
        <v>0.42552181025000002</v>
      </c>
      <c r="AQ365" s="77">
        <f>AM365*$AQ$12</f>
        <v>1.558380313854167</v>
      </c>
      <c r="AR365" s="77">
        <f>AM365*$AR$12</f>
        <v>0</v>
      </c>
      <c r="AS365" s="77">
        <f>AM365*$AS$12</f>
        <v>0</v>
      </c>
      <c r="AT365" s="77">
        <f>AQ365+AR365+AS365</f>
        <v>1.558380313854167</v>
      </c>
      <c r="AU365" s="77">
        <f>AM365*$AU$12</f>
        <v>0.9331618645833335</v>
      </c>
      <c r="AV365" s="77">
        <f>AU365</f>
        <v>0.9331618645833335</v>
      </c>
      <c r="AW365" s="77">
        <f>AM365+AP365+AT365+AV365</f>
        <v>21.580301280354167</v>
      </c>
      <c r="AX365" s="21">
        <f>AY365/AW365</f>
        <v>6.1152933061561651E-2</v>
      </c>
      <c r="AY365" s="77">
        <f t="shared" si="180"/>
        <v>1.3196987196458316</v>
      </c>
      <c r="AZ365" s="79">
        <f>IFERROR(H365*VLOOKUP(A365,'Tabela de Produtos'!A:Q,17,0),0)</f>
        <v>12.680000000000001</v>
      </c>
      <c r="BA365" s="74">
        <f t="shared" si="186"/>
        <v>0</v>
      </c>
      <c r="BB365" s="74">
        <f t="shared" si="186"/>
        <v>0</v>
      </c>
      <c r="BC365" s="74">
        <f t="shared" si="186"/>
        <v>0</v>
      </c>
      <c r="BD365" s="74">
        <f t="shared" si="186"/>
        <v>1.603</v>
      </c>
      <c r="BE365" s="74">
        <f t="shared" si="182"/>
        <v>1.145</v>
      </c>
      <c r="BF365" s="74">
        <f t="shared" si="183"/>
        <v>15.428000000000001</v>
      </c>
      <c r="BG365" s="74">
        <f t="shared" si="184"/>
        <v>7.4719999999999978</v>
      </c>
      <c r="BH365" s="21">
        <f t="shared" si="185"/>
        <v>0.32628820960698685</v>
      </c>
    </row>
    <row r="366" spans="1:63" ht="15.75" customHeight="1">
      <c r="A366" s="72" t="s">
        <v>433</v>
      </c>
      <c r="B366" s="2" t="str">
        <f>IFERROR(VLOOKUP(A366,'Tabela de Produtos'!A:B,2,0),"Preencher Cód. Produto")</f>
        <v>BRAZIMIL ESMALTE SINTETICO MADEIRAS E METAIS FOSCO 3L BRANCO</v>
      </c>
      <c r="C366" s="2"/>
      <c r="D366" s="73" t="s">
        <v>66</v>
      </c>
      <c r="E366" s="73"/>
      <c r="F366" s="74" t="str">
        <f>IF(A366=0,0,VLOOKUP(A366,'Tabela de Produtos'!A:W,23,0))</f>
        <v>Cadastrar Ficha de Produção</v>
      </c>
      <c r="G366" s="74">
        <v>0</v>
      </c>
      <c r="H366" s="76">
        <v>1</v>
      </c>
      <c r="I366" s="74">
        <f t="shared" si="179"/>
        <v>0</v>
      </c>
      <c r="J366" s="77">
        <f>VLOOKUP(B366,'Tabela de Produtos'!B:M,12,FALSE())</f>
        <v>0</v>
      </c>
      <c r="K366" s="74"/>
      <c r="L366" s="74"/>
      <c r="M366" s="74"/>
      <c r="N366" s="81"/>
      <c r="O366" s="74"/>
      <c r="P366" s="74"/>
      <c r="Q366" s="74"/>
      <c r="R366" s="81"/>
      <c r="S366" s="74"/>
      <c r="T366" s="74"/>
      <c r="U366" s="74"/>
      <c r="V366" s="74"/>
      <c r="W366" s="81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7"/>
      <c r="AY366" s="77">
        <f t="shared" si="180"/>
        <v>0</v>
      </c>
      <c r="AZ366" s="79">
        <f>IFERROR(H366*VLOOKUP(A366,'Tabela de Produtos'!A:Q,17,0),0)</f>
        <v>0</v>
      </c>
      <c r="BA366" s="74">
        <f t="shared" si="186"/>
        <v>0</v>
      </c>
      <c r="BB366" s="74">
        <f t="shared" si="186"/>
        <v>0</v>
      </c>
      <c r="BC366" s="74">
        <f t="shared" si="186"/>
        <v>0</v>
      </c>
      <c r="BD366" s="74">
        <f t="shared" si="186"/>
        <v>0</v>
      </c>
      <c r="BE366" s="74">
        <f t="shared" si="182"/>
        <v>0</v>
      </c>
      <c r="BF366" s="74">
        <f t="shared" si="183"/>
        <v>0</v>
      </c>
      <c r="BG366" s="74">
        <f t="shared" si="184"/>
        <v>0</v>
      </c>
      <c r="BH366" s="21">
        <f t="shared" si="185"/>
        <v>0</v>
      </c>
      <c r="BJ366" s="92"/>
      <c r="BK366" s="48"/>
    </row>
    <row r="367" spans="1:63" ht="15.75" customHeight="1">
      <c r="A367" s="72" t="s">
        <v>434</v>
      </c>
      <c r="B367" s="2" t="str">
        <f>IFERROR(VLOOKUP(A367,'Tabela de Produtos'!A:B,2,0),"Preencher Cód. Produto")</f>
        <v>BRAZIMIL ESMALTE SINTETICO MADEIRAS E METAIS FOSCO 3L BRANCO GELO</v>
      </c>
      <c r="C367" s="2"/>
      <c r="D367" s="73" t="s">
        <v>66</v>
      </c>
      <c r="E367" s="73"/>
      <c r="F367" s="74" t="str">
        <f>IF(A367=0,0,VLOOKUP(A367,'Tabela de Produtos'!A:W,23,0))</f>
        <v>Cadastrar Ficha de Produção</v>
      </c>
      <c r="G367" s="74">
        <v>0</v>
      </c>
      <c r="H367" s="76">
        <v>1</v>
      </c>
      <c r="I367" s="74">
        <f t="shared" si="179"/>
        <v>0</v>
      </c>
      <c r="J367" s="77">
        <f>VLOOKUP(B367,'Tabela de Produtos'!B:M,12,FALSE())</f>
        <v>0</v>
      </c>
      <c r="K367" s="74"/>
      <c r="L367" s="74"/>
      <c r="M367" s="74"/>
      <c r="N367" s="81"/>
      <c r="O367" s="74"/>
      <c r="P367" s="74"/>
      <c r="Q367" s="74"/>
      <c r="R367" s="81"/>
      <c r="S367" s="74"/>
      <c r="T367" s="74"/>
      <c r="U367" s="74"/>
      <c r="V367" s="74"/>
      <c r="W367" s="81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7"/>
      <c r="AY367" s="77">
        <f t="shared" si="180"/>
        <v>0</v>
      </c>
      <c r="AZ367" s="79">
        <f>IFERROR(H367*VLOOKUP(A367,'Tabela de Produtos'!A:Q,17,0),0)</f>
        <v>0</v>
      </c>
      <c r="BA367" s="74">
        <f t="shared" si="186"/>
        <v>0</v>
      </c>
      <c r="BB367" s="74">
        <f t="shared" si="186"/>
        <v>0</v>
      </c>
      <c r="BC367" s="74">
        <f t="shared" si="186"/>
        <v>0</v>
      </c>
      <c r="BD367" s="74">
        <f t="shared" si="186"/>
        <v>0</v>
      </c>
      <c r="BE367" s="74">
        <f t="shared" si="182"/>
        <v>0</v>
      </c>
      <c r="BF367" s="74">
        <f t="shared" si="183"/>
        <v>0</v>
      </c>
      <c r="BG367" s="74">
        <f t="shared" si="184"/>
        <v>0</v>
      </c>
      <c r="BH367" s="21">
        <f t="shared" si="185"/>
        <v>0</v>
      </c>
      <c r="BJ367" s="92"/>
      <c r="BK367" s="48"/>
    </row>
    <row r="368" spans="1:63" ht="15.75" customHeight="1">
      <c r="A368" s="72" t="s">
        <v>435</v>
      </c>
      <c r="B368" s="2" t="str">
        <f>IFERROR(VLOOKUP(A368,'Tabela de Produtos'!A:B,2,0),"Preencher Cód. Produto")</f>
        <v>BRAZIMIL ESMALTE SINTETICO MADEIRAS E METAIS FOSCO 3L VERMELHO FERRARI</v>
      </c>
      <c r="C368" s="2"/>
      <c r="D368" s="73" t="s">
        <v>66</v>
      </c>
      <c r="E368" s="73"/>
      <c r="F368" s="74" t="str">
        <f>IF(A368=0,0,VLOOKUP(A368,'Tabela de Produtos'!A:W,23,0))</f>
        <v>Cadastrar Ficha de Produção</v>
      </c>
      <c r="G368" s="74">
        <v>0</v>
      </c>
      <c r="H368" s="76">
        <v>1</v>
      </c>
      <c r="I368" s="74">
        <f t="shared" si="179"/>
        <v>0</v>
      </c>
      <c r="J368" s="77">
        <f>VLOOKUP(B368,'Tabela de Produtos'!B:M,12,FALSE())</f>
        <v>0</v>
      </c>
      <c r="K368" s="74"/>
      <c r="L368" s="74"/>
      <c r="M368" s="74"/>
      <c r="N368" s="81"/>
      <c r="O368" s="74"/>
      <c r="P368" s="74"/>
      <c r="Q368" s="74"/>
      <c r="R368" s="81"/>
      <c r="S368" s="74"/>
      <c r="T368" s="74"/>
      <c r="U368" s="74"/>
      <c r="V368" s="74"/>
      <c r="W368" s="81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7"/>
      <c r="AY368" s="77">
        <f t="shared" si="180"/>
        <v>0</v>
      </c>
      <c r="AZ368" s="79">
        <f>IFERROR(H368*VLOOKUP(A368,'Tabela de Produtos'!A:Q,17,0),0)</f>
        <v>0</v>
      </c>
      <c r="BA368" s="74">
        <f t="shared" si="186"/>
        <v>0</v>
      </c>
      <c r="BB368" s="74">
        <f t="shared" si="186"/>
        <v>0</v>
      </c>
      <c r="BC368" s="74">
        <f t="shared" si="186"/>
        <v>0</v>
      </c>
      <c r="BD368" s="74">
        <f t="shared" si="186"/>
        <v>0</v>
      </c>
      <c r="BE368" s="74">
        <f t="shared" si="182"/>
        <v>0</v>
      </c>
      <c r="BF368" s="74">
        <f t="shared" si="183"/>
        <v>0</v>
      </c>
      <c r="BG368" s="74">
        <f t="shared" si="184"/>
        <v>0</v>
      </c>
      <c r="BH368" s="21">
        <f t="shared" si="185"/>
        <v>0</v>
      </c>
      <c r="BJ368" s="92"/>
      <c r="BK368" s="48"/>
    </row>
    <row r="369" spans="1:63" ht="15.75" customHeight="1">
      <c r="A369" s="72" t="s">
        <v>436</v>
      </c>
      <c r="B369" s="2" t="str">
        <f>IFERROR(VLOOKUP(A369,'Tabela de Produtos'!A:B,2,0),"Preencher Cód. Produto")</f>
        <v>BRAZIMIL ESMALTE SINTETICO MADEIRAS E METAIS FOSCO 3L AZUL DEL REY</v>
      </c>
      <c r="C369" s="2"/>
      <c r="D369" s="73" t="s">
        <v>66</v>
      </c>
      <c r="E369" s="73"/>
      <c r="F369" s="74" t="str">
        <f>IF(A369=0,0,VLOOKUP(A369,'Tabela de Produtos'!A:W,23,0))</f>
        <v>Cadastrar Ficha de Produção</v>
      </c>
      <c r="G369" s="74">
        <v>0</v>
      </c>
      <c r="H369" s="76">
        <v>1</v>
      </c>
      <c r="I369" s="74">
        <f t="shared" si="179"/>
        <v>0</v>
      </c>
      <c r="J369" s="77">
        <f>VLOOKUP(B369,'Tabela de Produtos'!B:M,12,FALSE())</f>
        <v>0</v>
      </c>
      <c r="K369" s="74"/>
      <c r="L369" s="74"/>
      <c r="M369" s="74"/>
      <c r="N369" s="81"/>
      <c r="O369" s="74"/>
      <c r="P369" s="74"/>
      <c r="Q369" s="74"/>
      <c r="R369" s="81"/>
      <c r="S369" s="74"/>
      <c r="T369" s="74"/>
      <c r="U369" s="74"/>
      <c r="V369" s="74"/>
      <c r="W369" s="81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7"/>
      <c r="AY369" s="77">
        <f t="shared" si="180"/>
        <v>0</v>
      </c>
      <c r="AZ369" s="79">
        <f>IFERROR(H369*VLOOKUP(A369,'Tabela de Produtos'!A:Q,17,0),0)</f>
        <v>0</v>
      </c>
      <c r="BA369" s="74">
        <f t="shared" si="186"/>
        <v>0</v>
      </c>
      <c r="BB369" s="74">
        <f t="shared" si="186"/>
        <v>0</v>
      </c>
      <c r="BC369" s="74">
        <f t="shared" si="186"/>
        <v>0</v>
      </c>
      <c r="BD369" s="74">
        <f t="shared" si="186"/>
        <v>0</v>
      </c>
      <c r="BE369" s="74">
        <f t="shared" si="182"/>
        <v>0</v>
      </c>
      <c r="BF369" s="74">
        <f t="shared" si="183"/>
        <v>0</v>
      </c>
      <c r="BG369" s="74">
        <f t="shared" si="184"/>
        <v>0</v>
      </c>
      <c r="BH369" s="21">
        <f t="shared" si="185"/>
        <v>0</v>
      </c>
      <c r="BJ369" s="92"/>
      <c r="BK369" s="48"/>
    </row>
    <row r="370" spans="1:63" ht="15.75" customHeight="1">
      <c r="A370" s="72" t="s">
        <v>437</v>
      </c>
      <c r="B370" s="2" t="str">
        <f>IFERROR(VLOOKUP(A370,'Tabela de Produtos'!A:B,2,0),"Preencher Cód. Produto")</f>
        <v>BRAZIMIL ESMALTE SINTETICO MADEIRAS E METAIS FOSCO 3L PRETO</v>
      </c>
      <c r="C370" s="2"/>
      <c r="D370" s="73" t="s">
        <v>66</v>
      </c>
      <c r="E370" s="73"/>
      <c r="F370" s="74" t="str">
        <f>IF(A370=0,0,VLOOKUP(A370,'Tabela de Produtos'!A:W,23,0))</f>
        <v>Cadastrar Ficha de Produção</v>
      </c>
      <c r="G370" s="74">
        <v>0</v>
      </c>
      <c r="H370" s="76">
        <v>1</v>
      </c>
      <c r="I370" s="74">
        <f t="shared" si="179"/>
        <v>0</v>
      </c>
      <c r="J370" s="77">
        <f>VLOOKUP(B370,'Tabela de Produtos'!B:M,12,FALSE())</f>
        <v>0</v>
      </c>
      <c r="K370" s="74"/>
      <c r="L370" s="74"/>
      <c r="M370" s="74"/>
      <c r="N370" s="81"/>
      <c r="O370" s="74"/>
      <c r="P370" s="74"/>
      <c r="Q370" s="74"/>
      <c r="R370" s="81"/>
      <c r="S370" s="74"/>
      <c r="T370" s="74"/>
      <c r="U370" s="74"/>
      <c r="V370" s="74"/>
      <c r="W370" s="81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7"/>
      <c r="AY370" s="77">
        <f t="shared" si="180"/>
        <v>0</v>
      </c>
      <c r="AZ370" s="79">
        <f>IFERROR(H370*VLOOKUP(A370,'Tabela de Produtos'!A:Q,17,0),0)</f>
        <v>0</v>
      </c>
      <c r="BA370" s="74">
        <f t="shared" si="186"/>
        <v>0</v>
      </c>
      <c r="BB370" s="74">
        <f t="shared" si="186"/>
        <v>0</v>
      </c>
      <c r="BC370" s="74">
        <f t="shared" si="186"/>
        <v>0</v>
      </c>
      <c r="BD370" s="74">
        <f t="shared" si="186"/>
        <v>0</v>
      </c>
      <c r="BE370" s="74">
        <f t="shared" si="182"/>
        <v>0</v>
      </c>
      <c r="BF370" s="74">
        <f t="shared" si="183"/>
        <v>0</v>
      </c>
      <c r="BG370" s="74">
        <f t="shared" si="184"/>
        <v>0</v>
      </c>
      <c r="BH370" s="21">
        <f t="shared" si="185"/>
        <v>0</v>
      </c>
      <c r="BJ370" s="92"/>
      <c r="BK370" s="48"/>
    </row>
    <row r="371" spans="1:63" ht="15.75" customHeight="1">
      <c r="A371" s="72" t="s">
        <v>438</v>
      </c>
      <c r="B371" s="2" t="str">
        <f>IFERROR(VLOOKUP(A371,'Tabela de Produtos'!A:B,2,0),"Preencher Cód. Produto")</f>
        <v>BRAZIMIL ESMALTE SINTETICO MADEIRAS E METAIS FOSCO 3L CINZA</v>
      </c>
      <c r="C371" s="2"/>
      <c r="D371" s="73" t="s">
        <v>66</v>
      </c>
      <c r="E371" s="73"/>
      <c r="F371" s="74" t="str">
        <f>IF(A371=0,0,VLOOKUP(A371,'Tabela de Produtos'!A:W,23,0))</f>
        <v>Cadastrar Ficha de Produção</v>
      </c>
      <c r="G371" s="74">
        <v>0</v>
      </c>
      <c r="H371" s="76">
        <v>1</v>
      </c>
      <c r="I371" s="74">
        <f t="shared" si="179"/>
        <v>0</v>
      </c>
      <c r="J371" s="77">
        <f>VLOOKUP(B371,'Tabela de Produtos'!B:M,12,FALSE())</f>
        <v>0</v>
      </c>
      <c r="K371" s="74"/>
      <c r="L371" s="74"/>
      <c r="M371" s="74"/>
      <c r="N371" s="81"/>
      <c r="O371" s="74"/>
      <c r="P371" s="74"/>
      <c r="Q371" s="74"/>
      <c r="R371" s="81"/>
      <c r="S371" s="74"/>
      <c r="T371" s="74"/>
      <c r="U371" s="74"/>
      <c r="V371" s="74"/>
      <c r="W371" s="81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7"/>
      <c r="AY371" s="77">
        <f t="shared" si="180"/>
        <v>0</v>
      </c>
      <c r="AZ371" s="79">
        <f>IFERROR(H371*VLOOKUP(A371,'Tabela de Produtos'!A:Q,17,0),0)</f>
        <v>0</v>
      </c>
      <c r="BA371" s="74">
        <f t="shared" si="186"/>
        <v>0</v>
      </c>
      <c r="BB371" s="74">
        <f t="shared" si="186"/>
        <v>0</v>
      </c>
      <c r="BC371" s="74">
        <f t="shared" si="186"/>
        <v>0</v>
      </c>
      <c r="BD371" s="74">
        <f t="shared" si="186"/>
        <v>0</v>
      </c>
      <c r="BE371" s="74">
        <f t="shared" si="182"/>
        <v>0</v>
      </c>
      <c r="BF371" s="74">
        <f t="shared" si="183"/>
        <v>0</v>
      </c>
      <c r="BG371" s="74">
        <f t="shared" si="184"/>
        <v>0</v>
      </c>
      <c r="BH371" s="21">
        <f t="shared" si="185"/>
        <v>0</v>
      </c>
      <c r="BJ371" s="92"/>
      <c r="BK371" s="48"/>
    </row>
    <row r="372" spans="1:63" ht="15.75" customHeight="1">
      <c r="A372" s="72" t="s">
        <v>439</v>
      </c>
      <c r="B372" s="2" t="str">
        <f>IFERROR(VLOOKUP(A372,'Tabela de Produtos'!A:B,2,0),"Preencher Cód. Produto")</f>
        <v>BRAZIMIL ESMALTE SINTETICO MADEIRAS E METAIS FOSCO 3L LARANJA</v>
      </c>
      <c r="C372" s="2"/>
      <c r="D372" s="73" t="s">
        <v>66</v>
      </c>
      <c r="E372" s="73"/>
      <c r="F372" s="74" t="str">
        <f>IF(A372=0,0,VLOOKUP(A372,'Tabela de Produtos'!A:W,23,0))</f>
        <v>Cadastrar Ficha de Produção</v>
      </c>
      <c r="G372" s="74">
        <v>0</v>
      </c>
      <c r="H372" s="76">
        <v>1</v>
      </c>
      <c r="I372" s="74">
        <f t="shared" si="179"/>
        <v>0</v>
      </c>
      <c r="J372" s="77">
        <f>VLOOKUP(B372,'Tabela de Produtos'!B:M,12,FALSE())</f>
        <v>0</v>
      </c>
      <c r="K372" s="74"/>
      <c r="L372" s="74"/>
      <c r="M372" s="74"/>
      <c r="N372" s="81"/>
      <c r="O372" s="74"/>
      <c r="P372" s="74"/>
      <c r="Q372" s="74"/>
      <c r="R372" s="81"/>
      <c r="S372" s="74"/>
      <c r="T372" s="74"/>
      <c r="U372" s="74"/>
      <c r="V372" s="74"/>
      <c r="W372" s="81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7"/>
      <c r="AY372" s="77">
        <f t="shared" si="180"/>
        <v>0</v>
      </c>
      <c r="AZ372" s="79">
        <f>IFERROR(H372*VLOOKUP(A372,'Tabela de Produtos'!A:Q,17,0),0)</f>
        <v>0</v>
      </c>
      <c r="BA372" s="74">
        <f t="shared" si="186"/>
        <v>0</v>
      </c>
      <c r="BB372" s="74">
        <f t="shared" si="186"/>
        <v>0</v>
      </c>
      <c r="BC372" s="74">
        <f t="shared" si="186"/>
        <v>0</v>
      </c>
      <c r="BD372" s="74">
        <f t="shared" si="186"/>
        <v>0</v>
      </c>
      <c r="BE372" s="74">
        <f t="shared" si="182"/>
        <v>0</v>
      </c>
      <c r="BF372" s="74">
        <f t="shared" si="183"/>
        <v>0</v>
      </c>
      <c r="BG372" s="74">
        <f t="shared" si="184"/>
        <v>0</v>
      </c>
      <c r="BH372" s="21">
        <f t="shared" si="185"/>
        <v>0</v>
      </c>
      <c r="BJ372" s="92"/>
      <c r="BK372" s="48"/>
    </row>
    <row r="373" spans="1:63" ht="15.75" customHeight="1">
      <c r="A373" s="72" t="s">
        <v>440</v>
      </c>
      <c r="B373" s="2" t="str">
        <f>IFERROR(VLOOKUP(A373,'Tabela de Produtos'!A:B,2,0),"Preencher Cód. Produto")</f>
        <v>BRAZIMIL ESMALTE SINTETICO MADEIRAS E METAIS FOSCO 3L AZUL CEU</v>
      </c>
      <c r="C373" s="2"/>
      <c r="D373" s="73" t="s">
        <v>66</v>
      </c>
      <c r="E373" s="73"/>
      <c r="F373" s="74" t="str">
        <f>IF(A373=0,0,VLOOKUP(A373,'Tabela de Produtos'!A:W,23,0))</f>
        <v>Cadastrar Ficha de Produção</v>
      </c>
      <c r="G373" s="74">
        <v>0</v>
      </c>
      <c r="H373" s="76">
        <v>1</v>
      </c>
      <c r="I373" s="74">
        <f t="shared" si="179"/>
        <v>0</v>
      </c>
      <c r="J373" s="77">
        <f>VLOOKUP(B373,'Tabela de Produtos'!B:M,12,FALSE())</f>
        <v>0</v>
      </c>
      <c r="K373" s="74"/>
      <c r="L373" s="74"/>
      <c r="M373" s="74"/>
      <c r="N373" s="81"/>
      <c r="O373" s="74"/>
      <c r="P373" s="74"/>
      <c r="Q373" s="74"/>
      <c r="R373" s="81"/>
      <c r="S373" s="74"/>
      <c r="T373" s="74"/>
      <c r="U373" s="74"/>
      <c r="V373" s="74"/>
      <c r="W373" s="81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7"/>
      <c r="AY373" s="77">
        <f t="shared" si="180"/>
        <v>0</v>
      </c>
      <c r="AZ373" s="79">
        <f>IFERROR(H373*VLOOKUP(A373,'Tabela de Produtos'!A:Q,17,0),0)</f>
        <v>0</v>
      </c>
      <c r="BA373" s="74">
        <f t="shared" si="186"/>
        <v>0</v>
      </c>
      <c r="BB373" s="74">
        <f t="shared" si="186"/>
        <v>0</v>
      </c>
      <c r="BC373" s="74">
        <f t="shared" si="186"/>
        <v>0</v>
      </c>
      <c r="BD373" s="74">
        <f t="shared" si="186"/>
        <v>0</v>
      </c>
      <c r="BE373" s="74">
        <f t="shared" si="182"/>
        <v>0</v>
      </c>
      <c r="BF373" s="74">
        <f t="shared" si="183"/>
        <v>0</v>
      </c>
      <c r="BG373" s="74">
        <f t="shared" si="184"/>
        <v>0</v>
      </c>
      <c r="BH373" s="21">
        <f t="shared" si="185"/>
        <v>0</v>
      </c>
      <c r="BJ373" s="92"/>
      <c r="BK373" s="48"/>
    </row>
    <row r="374" spans="1:63" ht="15.75" customHeight="1">
      <c r="A374" s="72" t="s">
        <v>441</v>
      </c>
      <c r="B374" s="2" t="str">
        <f>IFERROR(VLOOKUP(A374,'Tabela de Produtos'!A:B,2,0),"Preencher Cód. Produto")</f>
        <v>BRAZIMIL ESMALTE SINTETICO MADEIRAS E METAIS FOSCO 3L LILAS</v>
      </c>
      <c r="C374" s="2"/>
      <c r="D374" s="73" t="s">
        <v>66</v>
      </c>
      <c r="E374" s="73"/>
      <c r="F374" s="74" t="str">
        <f>IF(A374=0,0,VLOOKUP(A374,'Tabela de Produtos'!A:W,23,0))</f>
        <v>Cadastrar Ficha de Produção</v>
      </c>
      <c r="G374" s="74">
        <v>0</v>
      </c>
      <c r="H374" s="76">
        <v>1</v>
      </c>
      <c r="I374" s="74">
        <f t="shared" si="179"/>
        <v>0</v>
      </c>
      <c r="J374" s="77">
        <f>VLOOKUP(B374,'Tabela de Produtos'!B:M,12,FALSE())</f>
        <v>0</v>
      </c>
      <c r="K374" s="74"/>
      <c r="L374" s="74"/>
      <c r="M374" s="74"/>
      <c r="N374" s="81"/>
      <c r="O374" s="74"/>
      <c r="P374" s="74"/>
      <c r="Q374" s="74"/>
      <c r="R374" s="81"/>
      <c r="S374" s="74"/>
      <c r="T374" s="74"/>
      <c r="U374" s="74"/>
      <c r="V374" s="74"/>
      <c r="W374" s="81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7"/>
      <c r="AY374" s="77">
        <f t="shared" si="180"/>
        <v>0</v>
      </c>
      <c r="AZ374" s="79">
        <f>IFERROR(H374*VLOOKUP(A374,'Tabela de Produtos'!A:Q,17,0),0)</f>
        <v>0</v>
      </c>
      <c r="BA374" s="74">
        <f t="shared" ref="BA374:BD393" si="187">$I374*BA$12</f>
        <v>0</v>
      </c>
      <c r="BB374" s="74">
        <f t="shared" si="187"/>
        <v>0</v>
      </c>
      <c r="BC374" s="74">
        <f t="shared" si="187"/>
        <v>0</v>
      </c>
      <c r="BD374" s="74">
        <f t="shared" si="187"/>
        <v>0</v>
      </c>
      <c r="BE374" s="74">
        <f t="shared" si="182"/>
        <v>0</v>
      </c>
      <c r="BF374" s="74">
        <f t="shared" si="183"/>
        <v>0</v>
      </c>
      <c r="BG374" s="74">
        <f t="shared" si="184"/>
        <v>0</v>
      </c>
      <c r="BH374" s="21">
        <f t="shared" si="185"/>
        <v>0</v>
      </c>
      <c r="BJ374" s="92"/>
      <c r="BK374" s="48"/>
    </row>
    <row r="375" spans="1:63" ht="15.75" customHeight="1">
      <c r="A375" s="72" t="s">
        <v>442</v>
      </c>
      <c r="B375" s="2" t="str">
        <f>IFERROR(VLOOKUP(A375,'Tabela de Produtos'!A:B,2,0),"Preencher Cód. Produto")</f>
        <v>BRAZIMIL ESMALTE SINTETICO MADEIRAS E METAIS FOSCO 3L VERDE NILO</v>
      </c>
      <c r="C375" s="2"/>
      <c r="D375" s="73" t="s">
        <v>66</v>
      </c>
      <c r="E375" s="73"/>
      <c r="F375" s="74" t="str">
        <f>IF(A375=0,0,VLOOKUP(A375,'Tabela de Produtos'!A:W,23,0))</f>
        <v>Cadastrar Ficha de Produção</v>
      </c>
      <c r="G375" s="74">
        <v>0</v>
      </c>
      <c r="H375" s="76">
        <v>1</v>
      </c>
      <c r="I375" s="74">
        <f t="shared" si="179"/>
        <v>0</v>
      </c>
      <c r="J375" s="77">
        <f>VLOOKUP(B375,'Tabela de Produtos'!B:M,12,FALSE())</f>
        <v>0</v>
      </c>
      <c r="K375" s="74"/>
      <c r="L375" s="74"/>
      <c r="M375" s="74"/>
      <c r="N375" s="81"/>
      <c r="O375" s="74"/>
      <c r="P375" s="74"/>
      <c r="Q375" s="74"/>
      <c r="R375" s="81"/>
      <c r="S375" s="74"/>
      <c r="T375" s="74"/>
      <c r="U375" s="74"/>
      <c r="V375" s="74"/>
      <c r="W375" s="81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7"/>
      <c r="AY375" s="77">
        <f t="shared" si="180"/>
        <v>0</v>
      </c>
      <c r="AZ375" s="79">
        <f>IFERROR(H375*VLOOKUP(A375,'Tabela de Produtos'!A:Q,17,0),0)</f>
        <v>0</v>
      </c>
      <c r="BA375" s="74">
        <f t="shared" si="187"/>
        <v>0</v>
      </c>
      <c r="BB375" s="74">
        <f t="shared" si="187"/>
        <v>0</v>
      </c>
      <c r="BC375" s="74">
        <f t="shared" si="187"/>
        <v>0</v>
      </c>
      <c r="BD375" s="74">
        <f t="shared" si="187"/>
        <v>0</v>
      </c>
      <c r="BE375" s="74">
        <f t="shared" si="182"/>
        <v>0</v>
      </c>
      <c r="BF375" s="74">
        <f t="shared" si="183"/>
        <v>0</v>
      </c>
      <c r="BG375" s="74">
        <f t="shared" si="184"/>
        <v>0</v>
      </c>
      <c r="BH375" s="21">
        <f t="shared" si="185"/>
        <v>0</v>
      </c>
      <c r="BJ375" s="92"/>
      <c r="BK375" s="48"/>
    </row>
    <row r="376" spans="1:63" ht="15.75" customHeight="1">
      <c r="A376" s="72" t="s">
        <v>443</v>
      </c>
      <c r="B376" s="2" t="str">
        <f>IFERROR(VLOOKUP(A376,'Tabela de Produtos'!A:B,2,0),"Preencher Cód. Produto")</f>
        <v>BRAZIMIL ESMALTE SINTETICO MADEIRAS E METAIS FOSCO 3L VERDE FOLHA</v>
      </c>
      <c r="C376" s="2"/>
      <c r="D376" s="73" t="s">
        <v>66</v>
      </c>
      <c r="E376" s="73"/>
      <c r="F376" s="74" t="str">
        <f>IF(A376=0,0,VLOOKUP(A376,'Tabela de Produtos'!A:W,23,0))</f>
        <v>Cadastrar Ficha de Produção</v>
      </c>
      <c r="G376" s="74">
        <v>0</v>
      </c>
      <c r="H376" s="76">
        <v>1</v>
      </c>
      <c r="I376" s="74">
        <f t="shared" si="179"/>
        <v>0</v>
      </c>
      <c r="J376" s="77">
        <f>VLOOKUP(B376,'Tabela de Produtos'!B:M,12,FALSE())</f>
        <v>0</v>
      </c>
      <c r="K376" s="74"/>
      <c r="L376" s="74"/>
      <c r="M376" s="74"/>
      <c r="N376" s="81"/>
      <c r="O376" s="74"/>
      <c r="P376" s="74"/>
      <c r="Q376" s="74"/>
      <c r="R376" s="81"/>
      <c r="S376" s="74"/>
      <c r="T376" s="74"/>
      <c r="U376" s="74"/>
      <c r="V376" s="74"/>
      <c r="W376" s="81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7"/>
      <c r="AY376" s="77">
        <f t="shared" si="180"/>
        <v>0</v>
      </c>
      <c r="AZ376" s="79">
        <f>IFERROR(H376*VLOOKUP(A376,'Tabela de Produtos'!A:Q,17,0),0)</f>
        <v>0</v>
      </c>
      <c r="BA376" s="74">
        <f t="shared" si="187"/>
        <v>0</v>
      </c>
      <c r="BB376" s="74">
        <f t="shared" si="187"/>
        <v>0</v>
      </c>
      <c r="BC376" s="74">
        <f t="shared" si="187"/>
        <v>0</v>
      </c>
      <c r="BD376" s="74">
        <f t="shared" si="187"/>
        <v>0</v>
      </c>
      <c r="BE376" s="74">
        <f t="shared" si="182"/>
        <v>0</v>
      </c>
      <c r="BF376" s="74">
        <f t="shared" si="183"/>
        <v>0</v>
      </c>
      <c r="BG376" s="74">
        <f t="shared" si="184"/>
        <v>0</v>
      </c>
      <c r="BH376" s="21">
        <f t="shared" si="185"/>
        <v>0</v>
      </c>
      <c r="BJ376" s="92"/>
      <c r="BK376" s="48"/>
    </row>
    <row r="377" spans="1:63" ht="15.75" customHeight="1">
      <c r="A377" s="72" t="s">
        <v>444</v>
      </c>
      <c r="B377" s="2" t="str">
        <f>IFERROR(VLOOKUP(A377,'Tabela de Produtos'!A:B,2,0),"Preencher Cód. Produto")</f>
        <v>BRAZIMIL ESMALTE SINTETICO MADEIRAS E METAIS FOSCO 3L AMARELO OURO</v>
      </c>
      <c r="C377" s="2"/>
      <c r="D377" s="73" t="s">
        <v>66</v>
      </c>
      <c r="E377" s="73"/>
      <c r="F377" s="74" t="str">
        <f>IF(A377=0,0,VLOOKUP(A377,'Tabela de Produtos'!A:W,23,0))</f>
        <v>Cadastrar Ficha de Produção</v>
      </c>
      <c r="G377" s="74">
        <v>0</v>
      </c>
      <c r="H377" s="76">
        <v>1</v>
      </c>
      <c r="I377" s="74">
        <f t="shared" si="179"/>
        <v>0</v>
      </c>
      <c r="J377" s="77">
        <f>VLOOKUP(B377,'Tabela de Produtos'!B:M,12,FALSE())</f>
        <v>0</v>
      </c>
      <c r="K377" s="74"/>
      <c r="L377" s="74"/>
      <c r="M377" s="74"/>
      <c r="N377" s="81"/>
      <c r="O377" s="74"/>
      <c r="P377" s="74"/>
      <c r="Q377" s="74"/>
      <c r="R377" s="81"/>
      <c r="S377" s="74"/>
      <c r="T377" s="74"/>
      <c r="U377" s="74"/>
      <c r="V377" s="74"/>
      <c r="W377" s="81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7"/>
      <c r="AY377" s="77">
        <f t="shared" si="180"/>
        <v>0</v>
      </c>
      <c r="AZ377" s="79">
        <f>IFERROR(H377*VLOOKUP(A377,'Tabela de Produtos'!A:Q,17,0),0)</f>
        <v>0</v>
      </c>
      <c r="BA377" s="74">
        <f t="shared" si="187"/>
        <v>0</v>
      </c>
      <c r="BB377" s="74">
        <f t="shared" si="187"/>
        <v>0</v>
      </c>
      <c r="BC377" s="74">
        <f t="shared" si="187"/>
        <v>0</v>
      </c>
      <c r="BD377" s="74">
        <f t="shared" si="187"/>
        <v>0</v>
      </c>
      <c r="BE377" s="74">
        <f t="shared" si="182"/>
        <v>0</v>
      </c>
      <c r="BF377" s="74">
        <f t="shared" si="183"/>
        <v>0</v>
      </c>
      <c r="BG377" s="74">
        <f t="shared" si="184"/>
        <v>0</v>
      </c>
      <c r="BH377" s="21">
        <f t="shared" si="185"/>
        <v>0</v>
      </c>
      <c r="BJ377" s="92"/>
      <c r="BK377" s="48"/>
    </row>
    <row r="378" spans="1:63" ht="15.75" customHeight="1">
      <c r="A378" s="72" t="s">
        <v>445</v>
      </c>
      <c r="B378" s="2" t="str">
        <f>IFERROR(VLOOKUP(A378,'Tabela de Produtos'!A:B,2,0),"Preencher Cód. Produto")</f>
        <v>BRAZIMIL ESMALTE SINTETICO BRILHANTE MADEIRAS E METAIS 3L BRANCO</v>
      </c>
      <c r="C378" s="2"/>
      <c r="D378" s="73" t="s">
        <v>66</v>
      </c>
      <c r="E378" s="73">
        <v>100</v>
      </c>
      <c r="F378" s="74">
        <f>IF(A378=0,0,VLOOKUP(A378,'Tabela de Produtos'!A:W,23,0))</f>
        <v>52.75</v>
      </c>
      <c r="G378" s="75">
        <v>66.900000000000006</v>
      </c>
      <c r="H378" s="76">
        <v>1</v>
      </c>
      <c r="I378" s="74">
        <f t="shared" si="179"/>
        <v>66.900000000000006</v>
      </c>
      <c r="J378" s="77">
        <f>VLOOKUP(B378,'Tabela de Produtos'!B:M,12,FALSE())</f>
        <v>36.96</v>
      </c>
      <c r="K378" s="77">
        <f>VLOOKUP(B378,'Tabela de Produtos'!B:P,15,FALSE())</f>
        <v>0.92999999999999994</v>
      </c>
      <c r="L378" s="77">
        <f>J378*1%</f>
        <v>0.36960000000000004</v>
      </c>
      <c r="M378" s="77">
        <f>J378*1%</f>
        <v>0.36960000000000004</v>
      </c>
      <c r="N378" s="78">
        <f>J378+K378+L378+M378</f>
        <v>38.629199999999997</v>
      </c>
      <c r="O378" s="77">
        <f>($O$12/E378)*$O$13</f>
        <v>0.36200000000000004</v>
      </c>
      <c r="P378" s="77">
        <f>($P$12/E378)*$P$13</f>
        <v>0.28289999999999998</v>
      </c>
      <c r="Q378" s="77">
        <f>($Q$12/E378)*$Q$13</f>
        <v>0.28289999999999998</v>
      </c>
      <c r="R378" s="78">
        <f>O378+P378+Q378</f>
        <v>0.92779999999999996</v>
      </c>
      <c r="S378" s="77">
        <f>VLOOKUP(B378,'Tabela de Produtos'!B:N,13,FALSE())</f>
        <v>8.5299999999999994</v>
      </c>
      <c r="T378" s="77">
        <f>$T$12/$T$7</f>
        <v>0.22727272727272727</v>
      </c>
      <c r="U378" s="77">
        <f>$U$12/$U$7</f>
        <v>0.39090909090909093</v>
      </c>
      <c r="V378" s="77">
        <f>$V$12/$V$7</f>
        <v>0.10909090909090909</v>
      </c>
      <c r="W378" s="78">
        <f>S378+T378+U378+V378</f>
        <v>9.257272727272726</v>
      </c>
      <c r="X378" s="77">
        <f>(N378+R378+W378)*1%</f>
        <v>0.48814272727272723</v>
      </c>
      <c r="Y378" s="77">
        <f>X378</f>
        <v>0.48814272727272723</v>
      </c>
      <c r="Z378" s="77">
        <f>$Z$12/E378</f>
        <v>8.3000000000000001E-3</v>
      </c>
      <c r="AA378" s="77">
        <f>$AA$12/E378</f>
        <v>0.20833333333333331</v>
      </c>
      <c r="AB378" s="77">
        <f>$AB$12/E378</f>
        <v>0.19791666666666669</v>
      </c>
      <c r="AC378" s="77">
        <f>$AC$12/E378</f>
        <v>0</v>
      </c>
      <c r="AD378" s="77">
        <f>Z378+AA378+AB378+AC378</f>
        <v>0.41454999999999997</v>
      </c>
      <c r="AE378" s="77">
        <f>(AD378+Y378+W378+R378+N378)*$AE$7</f>
        <v>12.429241363636363</v>
      </c>
      <c r="AF378" s="77">
        <f>AE378</f>
        <v>12.429241363636363</v>
      </c>
      <c r="AG378" s="74"/>
      <c r="AH378" s="74"/>
      <c r="AI378" s="74"/>
      <c r="AJ378" s="74"/>
      <c r="AK378" s="74"/>
      <c r="AL378" s="77">
        <f>(AD378+Y378+W378+R378+N378)*$AL$7</f>
        <v>0</v>
      </c>
      <c r="AM378" s="77">
        <f>AL378+AF378+AD378+Y378+W378+R378+N378</f>
        <v>62.14620681818181</v>
      </c>
      <c r="AN378" s="77">
        <f>AM378*$AN$12</f>
        <v>0.74575448181818171</v>
      </c>
      <c r="AO378" s="77">
        <f>AM378*$AO$12</f>
        <v>0.67117903363636355</v>
      </c>
      <c r="AP378" s="77">
        <f>AO378+AN378</f>
        <v>1.4169335154545453</v>
      </c>
      <c r="AQ378" s="77">
        <f>AM378*$AQ$12</f>
        <v>5.1892082693181818</v>
      </c>
      <c r="AR378" s="77">
        <f>AM378*$AR$12</f>
        <v>0</v>
      </c>
      <c r="AS378" s="77">
        <f>AM378*$AS$12</f>
        <v>0</v>
      </c>
      <c r="AT378" s="77">
        <f>AQ378+AR378+AS378</f>
        <v>5.1892082693181818</v>
      </c>
      <c r="AU378" s="77">
        <f>AM378*$AU$12</f>
        <v>3.1073103409090908</v>
      </c>
      <c r="AV378" s="77">
        <f>AU378</f>
        <v>3.1073103409090908</v>
      </c>
      <c r="AW378" s="77">
        <f>AM378+AP378+AT378+AV378</f>
        <v>71.859658943863636</v>
      </c>
      <c r="AX378" s="21">
        <f>AY378/AW378</f>
        <v>-6.9018681924695582E-2</v>
      </c>
      <c r="AY378" s="77">
        <f t="shared" si="180"/>
        <v>-4.95965894386363</v>
      </c>
      <c r="AZ378" s="79">
        <f>IFERROR(H378*VLOOKUP(A378,'Tabela de Produtos'!A:Q,17,0),0)</f>
        <v>46.42</v>
      </c>
      <c r="BA378" s="74">
        <f t="shared" si="187"/>
        <v>0</v>
      </c>
      <c r="BB378" s="74">
        <f t="shared" si="187"/>
        <v>0</v>
      </c>
      <c r="BC378" s="74">
        <f t="shared" si="187"/>
        <v>0</v>
      </c>
      <c r="BD378" s="74">
        <f t="shared" si="187"/>
        <v>4.6830000000000007</v>
      </c>
      <c r="BE378" s="74">
        <f t="shared" si="182"/>
        <v>3.3450000000000006</v>
      </c>
      <c r="BF378" s="74">
        <f t="shared" si="183"/>
        <v>54.448</v>
      </c>
      <c r="BG378" s="74">
        <f t="shared" si="184"/>
        <v>12.452000000000005</v>
      </c>
      <c r="BH378" s="21">
        <f t="shared" si="185"/>
        <v>0.18612855007473847</v>
      </c>
      <c r="BJ378" s="92"/>
      <c r="BK378" s="48"/>
    </row>
    <row r="379" spans="1:63" ht="15.75" customHeight="1">
      <c r="A379" s="72" t="s">
        <v>446</v>
      </c>
      <c r="B379" s="2" t="str">
        <f>IFERROR(VLOOKUP(A379,'Tabela de Produtos'!A:B,2,0),"Preencher Cód. Produto")</f>
        <v>BRAZIMIL ESMALTE SINTETICO BRILHANTE MADEIRAS E METAIS 3L BRANCO GELO</v>
      </c>
      <c r="C379" s="2"/>
      <c r="D379" s="73" t="s">
        <v>66</v>
      </c>
      <c r="E379" s="73"/>
      <c r="F379" s="74" t="str">
        <f>IF(A379=0,0,VLOOKUP(A379,'Tabela de Produtos'!A:W,23,0))</f>
        <v>Cadastrar Ficha de Produção</v>
      </c>
      <c r="G379" s="74">
        <v>0</v>
      </c>
      <c r="H379" s="76">
        <v>1</v>
      </c>
      <c r="I379" s="74">
        <f t="shared" si="179"/>
        <v>0</v>
      </c>
      <c r="J379" s="77">
        <f>VLOOKUP(B379,'Tabela de Produtos'!B:M,12,FALSE())</f>
        <v>0</v>
      </c>
      <c r="K379" s="74"/>
      <c r="L379" s="74"/>
      <c r="M379" s="74"/>
      <c r="N379" s="81"/>
      <c r="O379" s="74"/>
      <c r="P379" s="74"/>
      <c r="Q379" s="74"/>
      <c r="R379" s="81"/>
      <c r="S379" s="74"/>
      <c r="T379" s="74"/>
      <c r="U379" s="74"/>
      <c r="V379" s="74"/>
      <c r="W379" s="81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7"/>
      <c r="AY379" s="77">
        <f t="shared" si="180"/>
        <v>0</v>
      </c>
      <c r="AZ379" s="79">
        <f>IFERROR(H379*VLOOKUP(A379,'Tabela de Produtos'!A:Q,17,0),0)</f>
        <v>0</v>
      </c>
      <c r="BA379" s="74">
        <f t="shared" si="187"/>
        <v>0</v>
      </c>
      <c r="BB379" s="74">
        <f t="shared" si="187"/>
        <v>0</v>
      </c>
      <c r="BC379" s="74">
        <f t="shared" si="187"/>
        <v>0</v>
      </c>
      <c r="BD379" s="74">
        <f t="shared" si="187"/>
        <v>0</v>
      </c>
      <c r="BE379" s="74">
        <f t="shared" si="182"/>
        <v>0</v>
      </c>
      <c r="BF379" s="74">
        <f t="shared" si="183"/>
        <v>0</v>
      </c>
      <c r="BG379" s="74">
        <f t="shared" si="184"/>
        <v>0</v>
      </c>
      <c r="BH379" s="21">
        <f t="shared" si="185"/>
        <v>0</v>
      </c>
      <c r="BJ379" s="92"/>
      <c r="BK379" s="48"/>
    </row>
    <row r="380" spans="1:63" ht="15.75" customHeight="1">
      <c r="A380" s="72" t="s">
        <v>447</v>
      </c>
      <c r="B380" s="2" t="str">
        <f>IFERROR(VLOOKUP(A380,'Tabela de Produtos'!A:B,2,0),"Preencher Cód. Produto")</f>
        <v>BRAZIMIL ESMALTE SINTETICO BRILHANTE MADEIRAS E METAIS 3L VERMELHO FERRARI</v>
      </c>
      <c r="C380" s="2"/>
      <c r="D380" s="73" t="s">
        <v>66</v>
      </c>
      <c r="E380" s="73">
        <v>100</v>
      </c>
      <c r="F380" s="74">
        <f>IF(A380=0,0,VLOOKUP(A380,'Tabela de Produtos'!A:W,23,0))</f>
        <v>51.66</v>
      </c>
      <c r="G380" s="75">
        <v>66.900000000000006</v>
      </c>
      <c r="H380" s="76">
        <v>1</v>
      </c>
      <c r="I380" s="74">
        <f t="shared" si="179"/>
        <v>66.900000000000006</v>
      </c>
      <c r="J380" s="77">
        <f>VLOOKUP(B380,'Tabela de Produtos'!B:M,12,FALSE())</f>
        <v>35.999999999999993</v>
      </c>
      <c r="K380" s="77">
        <f>VLOOKUP(B380,'Tabela de Produtos'!B:P,15,FALSE())</f>
        <v>0.92999999999999994</v>
      </c>
      <c r="L380" s="77">
        <f>J380*1%</f>
        <v>0.35999999999999993</v>
      </c>
      <c r="M380" s="77">
        <f>J380*1%</f>
        <v>0.35999999999999993</v>
      </c>
      <c r="N380" s="78">
        <f>J380+K380+L380+M380</f>
        <v>37.649999999999991</v>
      </c>
      <c r="O380" s="77">
        <f>($O$12/E380)*$O$13</f>
        <v>0.36200000000000004</v>
      </c>
      <c r="P380" s="77">
        <f>($P$12/E380)*$P$13</f>
        <v>0.28289999999999998</v>
      </c>
      <c r="Q380" s="77">
        <f>($Q$12/E380)*$Q$13</f>
        <v>0.28289999999999998</v>
      </c>
      <c r="R380" s="78">
        <f>O380+P380+Q380</f>
        <v>0.92779999999999996</v>
      </c>
      <c r="S380" s="77">
        <f>VLOOKUP(B380,'Tabela de Produtos'!B:N,13,FALSE())</f>
        <v>8.5299999999999994</v>
      </c>
      <c r="T380" s="77">
        <f>$T$12/$T$7</f>
        <v>0.22727272727272727</v>
      </c>
      <c r="U380" s="77">
        <f>$U$12/$U$7</f>
        <v>0.39090909090909093</v>
      </c>
      <c r="V380" s="77">
        <f>$V$12/$V$7</f>
        <v>0.10909090909090909</v>
      </c>
      <c r="W380" s="78">
        <f>S380+T380+U380+V380</f>
        <v>9.257272727272726</v>
      </c>
      <c r="X380" s="77">
        <f>(N380+R380+W380)*1%</f>
        <v>0.47835072727272721</v>
      </c>
      <c r="Y380" s="77">
        <f>X380</f>
        <v>0.47835072727272721</v>
      </c>
      <c r="Z380" s="77">
        <f>$Z$12/E380</f>
        <v>8.3000000000000001E-3</v>
      </c>
      <c r="AA380" s="77">
        <f>$AA$12/E380</f>
        <v>0.20833333333333331</v>
      </c>
      <c r="AB380" s="77">
        <f>$AB$12/E380</f>
        <v>0.19791666666666669</v>
      </c>
      <c r="AC380" s="77">
        <f>$AC$12/E380</f>
        <v>0</v>
      </c>
      <c r="AD380" s="77">
        <f>Z380+AA380+AB380+AC380</f>
        <v>0.41454999999999997</v>
      </c>
      <c r="AE380" s="77">
        <f>(AD380+Y380+W380+R380+N380)*$AE$7</f>
        <v>12.18199336363636</v>
      </c>
      <c r="AF380" s="77">
        <f>AE380</f>
        <v>12.18199336363636</v>
      </c>
      <c r="AG380" s="74"/>
      <c r="AH380" s="74"/>
      <c r="AI380" s="74"/>
      <c r="AJ380" s="74"/>
      <c r="AK380" s="74"/>
      <c r="AL380" s="77">
        <f>(AD380+Y380+W380+R380+N380)*$AL$7</f>
        <v>0</v>
      </c>
      <c r="AM380" s="77">
        <f>AL380+AF380+AD380+Y380+W380+R380+N380</f>
        <v>60.9099668181818</v>
      </c>
      <c r="AN380" s="77">
        <f>AM380*$AN$12</f>
        <v>0.73091960181818161</v>
      </c>
      <c r="AO380" s="77">
        <f>AM380*$AO$12</f>
        <v>0.65782764163636342</v>
      </c>
      <c r="AP380" s="77">
        <f>AO380+AN380</f>
        <v>1.3887472434545449</v>
      </c>
      <c r="AQ380" s="77">
        <f>AM380*$AQ$12</f>
        <v>5.0859822293181809</v>
      </c>
      <c r="AR380" s="77">
        <f>AM380*$AR$12</f>
        <v>0</v>
      </c>
      <c r="AS380" s="77">
        <f>AM380*$AS$12</f>
        <v>0</v>
      </c>
      <c r="AT380" s="77">
        <f>AQ380+AR380+AS380</f>
        <v>5.0859822293181809</v>
      </c>
      <c r="AU380" s="77">
        <f>AM380*$AU$12</f>
        <v>3.0454983409090901</v>
      </c>
      <c r="AV380" s="77">
        <f>AU380</f>
        <v>3.0454983409090901</v>
      </c>
      <c r="AW380" s="77">
        <f>AM380+AP380+AT380+AV380</f>
        <v>70.430194631863614</v>
      </c>
      <c r="AX380" s="21">
        <f>AY380/AW380</f>
        <v>-5.012331217194306E-2</v>
      </c>
      <c r="AY380" s="77">
        <f t="shared" si="180"/>
        <v>-3.5301946318636084</v>
      </c>
      <c r="AZ380" s="79">
        <f>IFERROR(H380*VLOOKUP(A380,'Tabela de Produtos'!A:Q,17,0),0)</f>
        <v>45.459999999999994</v>
      </c>
      <c r="BA380" s="74">
        <f t="shared" si="187"/>
        <v>0</v>
      </c>
      <c r="BB380" s="74">
        <f t="shared" si="187"/>
        <v>0</v>
      </c>
      <c r="BC380" s="74">
        <f t="shared" si="187"/>
        <v>0</v>
      </c>
      <c r="BD380" s="74">
        <f t="shared" si="187"/>
        <v>4.6830000000000007</v>
      </c>
      <c r="BE380" s="74">
        <f t="shared" si="182"/>
        <v>3.3450000000000006</v>
      </c>
      <c r="BF380" s="74">
        <f t="shared" si="183"/>
        <v>53.487999999999992</v>
      </c>
      <c r="BG380" s="74">
        <f t="shared" si="184"/>
        <v>13.412000000000013</v>
      </c>
      <c r="BH380" s="21">
        <f t="shared" si="185"/>
        <v>0.20047832585949196</v>
      </c>
      <c r="BJ380" s="92"/>
      <c r="BK380" s="48"/>
    </row>
    <row r="381" spans="1:63" ht="15.75" customHeight="1">
      <c r="A381" s="72" t="s">
        <v>448</v>
      </c>
      <c r="B381" s="2" t="str">
        <f>IFERROR(VLOOKUP(A381,'Tabela de Produtos'!A:B,2,0),"Preencher Cód. Produto")</f>
        <v>BRAZIMIL ESMALTE SINTETICO BRILHANTE MADEIRAS E METAIS 3L AZUL DEL REY</v>
      </c>
      <c r="C381" s="2"/>
      <c r="D381" s="73" t="s">
        <v>66</v>
      </c>
      <c r="E381" s="73">
        <v>100</v>
      </c>
      <c r="F381" s="74">
        <f>IF(A381=0,0,VLOOKUP(A381,'Tabela de Produtos'!A:W,23,0))</f>
        <v>46.28</v>
      </c>
      <c r="G381" s="75">
        <v>66.900000000000006</v>
      </c>
      <c r="H381" s="76">
        <v>1</v>
      </c>
      <c r="I381" s="74">
        <f t="shared" si="179"/>
        <v>66.900000000000006</v>
      </c>
      <c r="J381" s="77">
        <f>VLOOKUP(B381,'Tabela de Produtos'!B:M,12,FALSE())</f>
        <v>31.259999999999998</v>
      </c>
      <c r="K381" s="77">
        <f>VLOOKUP(B381,'Tabela de Produtos'!B:P,15,FALSE())</f>
        <v>0.92999999999999994</v>
      </c>
      <c r="L381" s="77">
        <f>J381*1%</f>
        <v>0.31259999999999999</v>
      </c>
      <c r="M381" s="77">
        <f>J381*1%</f>
        <v>0.31259999999999999</v>
      </c>
      <c r="N381" s="78">
        <f>J381+K381+L381+M381</f>
        <v>32.815200000000004</v>
      </c>
      <c r="O381" s="77">
        <f>($O$12/E381)*$O$13</f>
        <v>0.36200000000000004</v>
      </c>
      <c r="P381" s="77">
        <f>($P$12/E381)*$P$13</f>
        <v>0.28289999999999998</v>
      </c>
      <c r="Q381" s="77">
        <f>($Q$12/E381)*$Q$13</f>
        <v>0.28289999999999998</v>
      </c>
      <c r="R381" s="78">
        <f>O381+P381+Q381</f>
        <v>0.92779999999999996</v>
      </c>
      <c r="S381" s="77">
        <f>VLOOKUP(B381,'Tabela de Produtos'!B:N,13,FALSE())</f>
        <v>8.5299999999999994</v>
      </c>
      <c r="T381" s="77">
        <f>$T$12/$T$7</f>
        <v>0.22727272727272727</v>
      </c>
      <c r="U381" s="77">
        <f>$U$12/$U$7</f>
        <v>0.39090909090909093</v>
      </c>
      <c r="V381" s="77">
        <f>$V$12/$V$7</f>
        <v>0.10909090909090909</v>
      </c>
      <c r="W381" s="78">
        <f>S381+T381+U381+V381</f>
        <v>9.257272727272726</v>
      </c>
      <c r="X381" s="77">
        <f>(N381+R381+W381)*1%</f>
        <v>0.43000272727272731</v>
      </c>
      <c r="Y381" s="77">
        <f>X381</f>
        <v>0.43000272727272731</v>
      </c>
      <c r="Z381" s="77">
        <f>$Z$12/E381</f>
        <v>8.3000000000000001E-3</v>
      </c>
      <c r="AA381" s="77">
        <f>$AA$12/E381</f>
        <v>0.20833333333333331</v>
      </c>
      <c r="AB381" s="77">
        <f>$AB$12/E381</f>
        <v>0.19791666666666669</v>
      </c>
      <c r="AC381" s="77">
        <f>$AC$12/E381</f>
        <v>0</v>
      </c>
      <c r="AD381" s="77">
        <f>Z381+AA381+AB381+AC381</f>
        <v>0.41454999999999997</v>
      </c>
      <c r="AE381" s="77">
        <f>(AD381+Y381+W381+R381+N381)*$AE$7</f>
        <v>10.961206363636364</v>
      </c>
      <c r="AF381" s="77">
        <f>AE381</f>
        <v>10.961206363636364</v>
      </c>
      <c r="AG381" s="74"/>
      <c r="AH381" s="74"/>
      <c r="AI381" s="74"/>
      <c r="AJ381" s="74"/>
      <c r="AK381" s="74"/>
      <c r="AL381" s="77">
        <f>(AD381+Y381+W381+R381+N381)*$AL$7</f>
        <v>0</v>
      </c>
      <c r="AM381" s="77">
        <f>AL381+AF381+AD381+Y381+W381+R381+N381</f>
        <v>54.806031818181822</v>
      </c>
      <c r="AN381" s="77">
        <f>AM381*$AN$12</f>
        <v>0.65767238181818188</v>
      </c>
      <c r="AO381" s="77">
        <f>AM381*$AO$12</f>
        <v>0.59190514363636371</v>
      </c>
      <c r="AP381" s="77">
        <f>AO381+AN381</f>
        <v>1.2495775254545456</v>
      </c>
      <c r="AQ381" s="77">
        <f>AM381*$AQ$12</f>
        <v>4.5763036568181823</v>
      </c>
      <c r="AR381" s="77">
        <f>AM381*$AR$12</f>
        <v>0</v>
      </c>
      <c r="AS381" s="77">
        <f>AM381*$AS$12</f>
        <v>0</v>
      </c>
      <c r="AT381" s="77">
        <f>AQ381+AR381+AS381</f>
        <v>4.5763036568181823</v>
      </c>
      <c r="AU381" s="77">
        <f>AM381*$AU$12</f>
        <v>2.7403015909090911</v>
      </c>
      <c r="AV381" s="77">
        <f>AU381</f>
        <v>2.7403015909090911</v>
      </c>
      <c r="AW381" s="77">
        <f>AM381+AP381+AT381+AV381</f>
        <v>63.372214591363644</v>
      </c>
      <c r="AX381" s="21">
        <f>AY381/AW381</f>
        <v>5.5667699659609625E-2</v>
      </c>
      <c r="AY381" s="77">
        <f t="shared" si="180"/>
        <v>3.5277854086363618</v>
      </c>
      <c r="AZ381" s="79">
        <f>IFERROR(H381*VLOOKUP(A381,'Tabela de Produtos'!A:Q,17,0),0)</f>
        <v>40.72</v>
      </c>
      <c r="BA381" s="74">
        <f t="shared" si="187"/>
        <v>0</v>
      </c>
      <c r="BB381" s="74">
        <f t="shared" si="187"/>
        <v>0</v>
      </c>
      <c r="BC381" s="74">
        <f t="shared" si="187"/>
        <v>0</v>
      </c>
      <c r="BD381" s="74">
        <f t="shared" si="187"/>
        <v>4.6830000000000007</v>
      </c>
      <c r="BE381" s="74">
        <f t="shared" si="182"/>
        <v>3.3450000000000006</v>
      </c>
      <c r="BF381" s="74">
        <f t="shared" si="183"/>
        <v>48.747999999999998</v>
      </c>
      <c r="BG381" s="74">
        <f t="shared" si="184"/>
        <v>18.152000000000008</v>
      </c>
      <c r="BH381" s="21">
        <f t="shared" si="185"/>
        <v>0.27133034379671161</v>
      </c>
      <c r="BJ381" s="92"/>
      <c r="BK381" s="48"/>
    </row>
    <row r="382" spans="1:63" ht="15.75" customHeight="1">
      <c r="A382" s="72" t="s">
        <v>449</v>
      </c>
      <c r="B382" s="2" t="str">
        <f>IFERROR(VLOOKUP(A382,'Tabela de Produtos'!A:B,2,0),"Preencher Cód. Produto")</f>
        <v>BRAZIMIL ESMALTE SINTETICO BRILHANTE MADEIRAS E METAIS 3L PRETO</v>
      </c>
      <c r="C382" s="2"/>
      <c r="D382" s="73" t="s">
        <v>66</v>
      </c>
      <c r="E382" s="73">
        <v>100</v>
      </c>
      <c r="F382" s="74">
        <f>IF(A382=0,0,VLOOKUP(A382,'Tabela de Produtos'!A:W,23,0))</f>
        <v>44.68</v>
      </c>
      <c r="G382" s="75">
        <v>66.900000000000006</v>
      </c>
      <c r="H382" s="76">
        <v>1</v>
      </c>
      <c r="I382" s="74">
        <f t="shared" si="179"/>
        <v>66.900000000000006</v>
      </c>
      <c r="J382" s="77">
        <f>VLOOKUP(B382,'Tabela de Produtos'!B:M,12,FALSE())</f>
        <v>29.850000000000009</v>
      </c>
      <c r="K382" s="77">
        <f>VLOOKUP(B382,'Tabela de Produtos'!B:P,15,FALSE())</f>
        <v>0.92999999999999994</v>
      </c>
      <c r="L382" s="77">
        <f>J382*1%</f>
        <v>0.2985000000000001</v>
      </c>
      <c r="M382" s="77">
        <f>J382*1%</f>
        <v>0.2985000000000001</v>
      </c>
      <c r="N382" s="78">
        <f>J382+K382+L382+M382</f>
        <v>31.37700000000001</v>
      </c>
      <c r="O382" s="77">
        <f>($O$12/E382)*$O$13</f>
        <v>0.36200000000000004</v>
      </c>
      <c r="P382" s="77">
        <f>($P$12/E382)*$P$13</f>
        <v>0.28289999999999998</v>
      </c>
      <c r="Q382" s="77">
        <f>($Q$12/E382)*$Q$13</f>
        <v>0.28289999999999998</v>
      </c>
      <c r="R382" s="78">
        <f>O382+P382+Q382</f>
        <v>0.92779999999999996</v>
      </c>
      <c r="S382" s="77">
        <f>VLOOKUP(B382,'Tabela de Produtos'!B:N,13,FALSE())</f>
        <v>8.5299999999999994</v>
      </c>
      <c r="T382" s="77">
        <f>$T$12/$T$7</f>
        <v>0.22727272727272727</v>
      </c>
      <c r="U382" s="77">
        <f>$U$12/$U$7</f>
        <v>0.39090909090909093</v>
      </c>
      <c r="V382" s="77">
        <f>$V$12/$V$7</f>
        <v>0.10909090909090909</v>
      </c>
      <c r="W382" s="78">
        <f>S382+T382+U382+V382</f>
        <v>9.257272727272726</v>
      </c>
      <c r="X382" s="77">
        <f>(N382+R382+W382)*1%</f>
        <v>0.41562072727272736</v>
      </c>
      <c r="Y382" s="77">
        <f>X382</f>
        <v>0.41562072727272736</v>
      </c>
      <c r="Z382" s="77">
        <f>$Z$12/E382</f>
        <v>8.3000000000000001E-3</v>
      </c>
      <c r="AA382" s="77">
        <f>$AA$12/E382</f>
        <v>0.20833333333333331</v>
      </c>
      <c r="AB382" s="77">
        <f>$AB$12/E382</f>
        <v>0.19791666666666669</v>
      </c>
      <c r="AC382" s="77">
        <f>$AC$12/E382</f>
        <v>0</v>
      </c>
      <c r="AD382" s="77">
        <f>Z382+AA382+AB382+AC382</f>
        <v>0.41454999999999997</v>
      </c>
      <c r="AE382" s="77">
        <f>(AD382+Y382+W382+R382+N382)*$AE$7</f>
        <v>10.598060863636366</v>
      </c>
      <c r="AF382" s="77">
        <f>AE382</f>
        <v>10.598060863636366</v>
      </c>
      <c r="AG382" s="74"/>
      <c r="AH382" s="74"/>
      <c r="AI382" s="74"/>
      <c r="AJ382" s="74"/>
      <c r="AK382" s="74"/>
      <c r="AL382" s="77">
        <f>(AD382+Y382+W382+R382+N382)*$AL$7</f>
        <v>0</v>
      </c>
      <c r="AM382" s="77">
        <f>AL382+AF382+AD382+Y382+W382+R382+N382</f>
        <v>52.990304318181828</v>
      </c>
      <c r="AN382" s="77">
        <f>AM382*$AN$12</f>
        <v>0.63588365181818196</v>
      </c>
      <c r="AO382" s="77">
        <f>AM382*$AO$12</f>
        <v>0.57229528663636375</v>
      </c>
      <c r="AP382" s="77">
        <f>AO382+AN382</f>
        <v>1.2081789384545458</v>
      </c>
      <c r="AQ382" s="77">
        <f>AM382*$AQ$12</f>
        <v>4.424690410568183</v>
      </c>
      <c r="AR382" s="77">
        <f>AM382*$AR$12</f>
        <v>0</v>
      </c>
      <c r="AS382" s="77">
        <f>AM382*$AS$12</f>
        <v>0</v>
      </c>
      <c r="AT382" s="77">
        <f>AQ382+AR382+AS382</f>
        <v>4.424690410568183</v>
      </c>
      <c r="AU382" s="77">
        <f>AM382*$AU$12</f>
        <v>2.6495152159090916</v>
      </c>
      <c r="AV382" s="77">
        <f>AU382</f>
        <v>2.6495152159090916</v>
      </c>
      <c r="AW382" s="77">
        <f>AM382+AP382+AT382+AV382</f>
        <v>61.272688883113645</v>
      </c>
      <c r="AX382" s="21">
        <f>AY382/AW382</f>
        <v>9.18404466894093E-2</v>
      </c>
      <c r="AY382" s="77">
        <f t="shared" si="180"/>
        <v>5.6273111168863608</v>
      </c>
      <c r="AZ382" s="79">
        <f>IFERROR(H382*VLOOKUP(A382,'Tabela de Produtos'!A:Q,17,0),0)</f>
        <v>39.310000000000009</v>
      </c>
      <c r="BA382" s="74">
        <f t="shared" si="187"/>
        <v>0</v>
      </c>
      <c r="BB382" s="74">
        <f t="shared" si="187"/>
        <v>0</v>
      </c>
      <c r="BC382" s="74">
        <f t="shared" si="187"/>
        <v>0</v>
      </c>
      <c r="BD382" s="74">
        <f t="shared" si="187"/>
        <v>4.6830000000000007</v>
      </c>
      <c r="BE382" s="74">
        <f t="shared" si="182"/>
        <v>3.3450000000000006</v>
      </c>
      <c r="BF382" s="74">
        <f t="shared" si="183"/>
        <v>47.338000000000008</v>
      </c>
      <c r="BG382" s="74">
        <f t="shared" si="184"/>
        <v>19.561999999999998</v>
      </c>
      <c r="BH382" s="21">
        <f t="shared" si="185"/>
        <v>0.29240657698056793</v>
      </c>
      <c r="BJ382" s="92"/>
      <c r="BK382" s="48"/>
    </row>
    <row r="383" spans="1:63" ht="15.75" customHeight="1">
      <c r="A383" s="72" t="s">
        <v>450</v>
      </c>
      <c r="B383" s="2" t="str">
        <f>IFERROR(VLOOKUP(A383,'Tabela de Produtos'!A:B,2,0),"Preencher Cód. Produto")</f>
        <v>BRAZIMIL ESMALTE SINTETICO BRILHANTE MADEIRAS E METAIS 3L CINZA</v>
      </c>
      <c r="C383" s="2"/>
      <c r="D383" s="73" t="s">
        <v>66</v>
      </c>
      <c r="E383" s="73">
        <v>100</v>
      </c>
      <c r="F383" s="74">
        <f>IF(A383=0,0,VLOOKUP(A383,'Tabela de Produtos'!A:W,23,0))</f>
        <v>45.83</v>
      </c>
      <c r="G383" s="75">
        <v>66.900000000000006</v>
      </c>
      <c r="H383" s="76">
        <v>1</v>
      </c>
      <c r="I383" s="74">
        <f t="shared" si="179"/>
        <v>66.900000000000006</v>
      </c>
      <c r="J383" s="77">
        <f>VLOOKUP(B383,'Tabela de Produtos'!B:M,12,FALSE())</f>
        <v>30.86999999999999</v>
      </c>
      <c r="K383" s="77">
        <f>VLOOKUP(B383,'Tabela de Produtos'!B:P,15,FALSE())</f>
        <v>0.92999999999999994</v>
      </c>
      <c r="L383" s="77">
        <f>J383*1%</f>
        <v>0.30869999999999992</v>
      </c>
      <c r="M383" s="77">
        <f>J383*1%</f>
        <v>0.30869999999999992</v>
      </c>
      <c r="N383" s="78">
        <f>J383+K383+L383+M383</f>
        <v>32.417399999999994</v>
      </c>
      <c r="O383" s="77">
        <f>($O$12/E383)*$O$13</f>
        <v>0.36200000000000004</v>
      </c>
      <c r="P383" s="77">
        <f>($P$12/E383)*$P$13</f>
        <v>0.28289999999999998</v>
      </c>
      <c r="Q383" s="77">
        <f>($Q$12/E383)*$Q$13</f>
        <v>0.28289999999999998</v>
      </c>
      <c r="R383" s="78">
        <f>O383+P383+Q383</f>
        <v>0.92779999999999996</v>
      </c>
      <c r="S383" s="77">
        <f>VLOOKUP(B383,'Tabela de Produtos'!B:N,13,FALSE())</f>
        <v>8.5299999999999994</v>
      </c>
      <c r="T383" s="77">
        <f>$T$12/$T$7</f>
        <v>0.22727272727272727</v>
      </c>
      <c r="U383" s="77">
        <f>$U$12/$U$7</f>
        <v>0.39090909090909093</v>
      </c>
      <c r="V383" s="77">
        <f>$V$12/$V$7</f>
        <v>0.10909090909090909</v>
      </c>
      <c r="W383" s="78">
        <f>S383+T383+U383+V383</f>
        <v>9.257272727272726</v>
      </c>
      <c r="X383" s="77">
        <f>(N383+R383+W383)*1%</f>
        <v>0.42602472727272722</v>
      </c>
      <c r="Y383" s="77">
        <f>X383</f>
        <v>0.42602472727272722</v>
      </c>
      <c r="Z383" s="77">
        <f>$Z$12/E383</f>
        <v>8.3000000000000001E-3</v>
      </c>
      <c r="AA383" s="77">
        <f>$AA$12/E383</f>
        <v>0.20833333333333331</v>
      </c>
      <c r="AB383" s="77">
        <f>$AB$12/E383</f>
        <v>0.19791666666666669</v>
      </c>
      <c r="AC383" s="77">
        <f>$AC$12/E383</f>
        <v>0</v>
      </c>
      <c r="AD383" s="77">
        <f>Z383+AA383+AB383+AC383</f>
        <v>0.41454999999999997</v>
      </c>
      <c r="AE383" s="77">
        <f>(AD383+Y383+W383+R383+N383)*$AE$7</f>
        <v>10.860761863636363</v>
      </c>
      <c r="AF383" s="77">
        <f>AE383</f>
        <v>10.860761863636363</v>
      </c>
      <c r="AG383" s="74"/>
      <c r="AH383" s="74"/>
      <c r="AI383" s="74"/>
      <c r="AJ383" s="74"/>
      <c r="AK383" s="74"/>
      <c r="AL383" s="77">
        <f>(AD383+Y383+W383+R383+N383)*$AL$7</f>
        <v>0</v>
      </c>
      <c r="AM383" s="77">
        <f>AL383+AF383+AD383+Y383+W383+R383+N383</f>
        <v>54.303809318181806</v>
      </c>
      <c r="AN383" s="77">
        <f>AM383*$AN$12</f>
        <v>0.65164571181818165</v>
      </c>
      <c r="AO383" s="77">
        <f>AM383*$AO$12</f>
        <v>0.58648114063636358</v>
      </c>
      <c r="AP383" s="77">
        <f>AO383+AN383</f>
        <v>1.2381268524545452</v>
      </c>
      <c r="AQ383" s="77">
        <f>AM383*$AQ$12</f>
        <v>4.534368078068181</v>
      </c>
      <c r="AR383" s="77">
        <f>AM383*$AR$12</f>
        <v>0</v>
      </c>
      <c r="AS383" s="77">
        <f>AM383*$AS$12</f>
        <v>0</v>
      </c>
      <c r="AT383" s="77">
        <f>AQ383+AR383+AS383</f>
        <v>4.534368078068181</v>
      </c>
      <c r="AU383" s="77">
        <f>AM383*$AU$12</f>
        <v>2.7151904659090906</v>
      </c>
      <c r="AV383" s="77">
        <f>AU383</f>
        <v>2.7151904659090906</v>
      </c>
      <c r="AW383" s="77">
        <f>AM383+AP383+AT383+AV383</f>
        <v>62.79149471461362</v>
      </c>
      <c r="AX383" s="21">
        <f>AY383/AW383</f>
        <v>6.5430920287205763E-2</v>
      </c>
      <c r="AY383" s="77">
        <f t="shared" si="180"/>
        <v>4.1085052853863857</v>
      </c>
      <c r="AZ383" s="79">
        <f>IFERROR(H383*VLOOKUP(A383,'Tabela de Produtos'!A:Q,17,0),0)</f>
        <v>40.329999999999991</v>
      </c>
      <c r="BA383" s="74">
        <f t="shared" si="187"/>
        <v>0</v>
      </c>
      <c r="BB383" s="74">
        <f t="shared" si="187"/>
        <v>0</v>
      </c>
      <c r="BC383" s="74">
        <f t="shared" si="187"/>
        <v>0</v>
      </c>
      <c r="BD383" s="74">
        <f t="shared" si="187"/>
        <v>4.6830000000000007</v>
      </c>
      <c r="BE383" s="74">
        <f t="shared" si="182"/>
        <v>3.3450000000000006</v>
      </c>
      <c r="BF383" s="74">
        <f t="shared" si="183"/>
        <v>48.35799999999999</v>
      </c>
      <c r="BG383" s="74">
        <f t="shared" si="184"/>
        <v>18.542000000000016</v>
      </c>
      <c r="BH383" s="21">
        <f t="shared" si="185"/>
        <v>0.27715994020926776</v>
      </c>
      <c r="BJ383" s="92"/>
      <c r="BK383" s="48"/>
    </row>
    <row r="384" spans="1:63" ht="15.75" customHeight="1">
      <c r="A384" s="72" t="s">
        <v>451</v>
      </c>
      <c r="B384" s="2" t="str">
        <f>IFERROR(VLOOKUP(A384,'Tabela de Produtos'!A:B,2,0),"Preencher Cód. Produto")</f>
        <v>BRAZIMIL ESMALTE SINTETICO BRILHANTE MADEIRAS E METAIS 3L LARANJA</v>
      </c>
      <c r="C384" s="2"/>
      <c r="D384" s="73" t="s">
        <v>66</v>
      </c>
      <c r="E384" s="73"/>
      <c r="F384" s="74" t="str">
        <f>IF(A384=0,0,VLOOKUP(A384,'Tabela de Produtos'!A:W,23,0))</f>
        <v>Cadastrar Ficha de Produção</v>
      </c>
      <c r="G384" s="74">
        <v>0</v>
      </c>
      <c r="H384" s="76">
        <v>1</v>
      </c>
      <c r="I384" s="74">
        <f t="shared" si="179"/>
        <v>0</v>
      </c>
      <c r="J384" s="77">
        <f>VLOOKUP(B384,'Tabela de Produtos'!B:M,12,FALSE())</f>
        <v>0</v>
      </c>
      <c r="K384" s="74"/>
      <c r="L384" s="74"/>
      <c r="M384" s="74"/>
      <c r="N384" s="81"/>
      <c r="O384" s="74"/>
      <c r="P384" s="74"/>
      <c r="Q384" s="74"/>
      <c r="R384" s="81"/>
      <c r="S384" s="74"/>
      <c r="T384" s="74"/>
      <c r="U384" s="74"/>
      <c r="V384" s="74"/>
      <c r="W384" s="81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7"/>
      <c r="AY384" s="77">
        <f t="shared" si="180"/>
        <v>0</v>
      </c>
      <c r="AZ384" s="79">
        <f>IFERROR(H384*VLOOKUP(A384,'Tabela de Produtos'!A:Q,17,0),0)</f>
        <v>0</v>
      </c>
      <c r="BA384" s="74">
        <f t="shared" si="187"/>
        <v>0</v>
      </c>
      <c r="BB384" s="74">
        <f t="shared" si="187"/>
        <v>0</v>
      </c>
      <c r="BC384" s="74">
        <f t="shared" si="187"/>
        <v>0</v>
      </c>
      <c r="BD384" s="74">
        <f t="shared" si="187"/>
        <v>0</v>
      </c>
      <c r="BE384" s="74">
        <f t="shared" si="182"/>
        <v>0</v>
      </c>
      <c r="BF384" s="74">
        <f t="shared" si="183"/>
        <v>0</v>
      </c>
      <c r="BG384" s="74">
        <f t="shared" si="184"/>
        <v>0</v>
      </c>
      <c r="BH384" s="21">
        <f t="shared" si="185"/>
        <v>0</v>
      </c>
      <c r="BJ384" s="92"/>
      <c r="BK384" s="48"/>
    </row>
    <row r="385" spans="1:63" ht="15.75" customHeight="1">
      <c r="A385" s="72" t="s">
        <v>452</v>
      </c>
      <c r="B385" s="2" t="str">
        <f>IFERROR(VLOOKUP(A385,'Tabela de Produtos'!A:B,2,0),"Preencher Cód. Produto")</f>
        <v>BRAZIMIL ESMALTE SINTETICO BRILHANTE MADEIRAS E METAIS 3L AZUL CEU</v>
      </c>
      <c r="C385" s="2"/>
      <c r="D385" s="73" t="s">
        <v>66</v>
      </c>
      <c r="E385" s="73"/>
      <c r="F385" s="74" t="str">
        <f>IF(A385=0,0,VLOOKUP(A385,'Tabela de Produtos'!A:W,23,0))</f>
        <v>Cadastrar Ficha de Produção</v>
      </c>
      <c r="G385" s="74">
        <v>0</v>
      </c>
      <c r="H385" s="76">
        <v>1</v>
      </c>
      <c r="I385" s="74">
        <f t="shared" si="179"/>
        <v>0</v>
      </c>
      <c r="J385" s="77">
        <f>VLOOKUP(B385,'Tabela de Produtos'!B:M,12,FALSE())</f>
        <v>0</v>
      </c>
      <c r="K385" s="74"/>
      <c r="L385" s="74"/>
      <c r="M385" s="74"/>
      <c r="N385" s="81"/>
      <c r="O385" s="74"/>
      <c r="P385" s="74"/>
      <c r="Q385" s="74"/>
      <c r="R385" s="81"/>
      <c r="S385" s="74"/>
      <c r="T385" s="74"/>
      <c r="U385" s="74"/>
      <c r="V385" s="74"/>
      <c r="W385" s="81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7"/>
      <c r="AY385" s="77">
        <f t="shared" si="180"/>
        <v>0</v>
      </c>
      <c r="AZ385" s="79">
        <f>IFERROR(H385*VLOOKUP(A385,'Tabela de Produtos'!A:Q,17,0),0)</f>
        <v>0</v>
      </c>
      <c r="BA385" s="74">
        <f t="shared" si="187"/>
        <v>0</v>
      </c>
      <c r="BB385" s="74">
        <f t="shared" si="187"/>
        <v>0</v>
      </c>
      <c r="BC385" s="74">
        <f t="shared" si="187"/>
        <v>0</v>
      </c>
      <c r="BD385" s="74">
        <f t="shared" si="187"/>
        <v>0</v>
      </c>
      <c r="BE385" s="74">
        <f t="shared" si="182"/>
        <v>0</v>
      </c>
      <c r="BF385" s="74">
        <f t="shared" si="183"/>
        <v>0</v>
      </c>
      <c r="BG385" s="74">
        <f t="shared" si="184"/>
        <v>0</v>
      </c>
      <c r="BH385" s="21">
        <f t="shared" si="185"/>
        <v>0</v>
      </c>
      <c r="BJ385" s="92"/>
      <c r="BK385" s="48"/>
    </row>
    <row r="386" spans="1:63" ht="15.75" customHeight="1">
      <c r="A386" s="72" t="s">
        <v>453</v>
      </c>
      <c r="B386" s="2" t="str">
        <f>IFERROR(VLOOKUP(A386,'Tabela de Produtos'!A:B,2,0),"Preencher Cód. Produto")</f>
        <v>BRAZIMIL ESMALTE SINTETICO BRILHANTE MADEIRAS E METAIS 3L LILAS</v>
      </c>
      <c r="C386" s="2"/>
      <c r="D386" s="73" t="s">
        <v>66</v>
      </c>
      <c r="E386" s="73"/>
      <c r="F386" s="74" t="str">
        <f>IF(A386=0,0,VLOOKUP(A386,'Tabela de Produtos'!A:W,23,0))</f>
        <v>Cadastrar Ficha de Produção</v>
      </c>
      <c r="G386" s="74">
        <v>0</v>
      </c>
      <c r="H386" s="76">
        <v>1</v>
      </c>
      <c r="I386" s="74">
        <f t="shared" si="179"/>
        <v>0</v>
      </c>
      <c r="J386" s="77">
        <f>VLOOKUP(B386,'Tabela de Produtos'!B:M,12,FALSE())</f>
        <v>0</v>
      </c>
      <c r="K386" s="74"/>
      <c r="L386" s="74"/>
      <c r="M386" s="74"/>
      <c r="N386" s="81"/>
      <c r="O386" s="74"/>
      <c r="P386" s="74"/>
      <c r="Q386" s="74"/>
      <c r="R386" s="81"/>
      <c r="S386" s="74"/>
      <c r="T386" s="74"/>
      <c r="U386" s="74"/>
      <c r="V386" s="74"/>
      <c r="W386" s="81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7"/>
      <c r="AY386" s="77">
        <f t="shared" si="180"/>
        <v>0</v>
      </c>
      <c r="AZ386" s="79">
        <f>IFERROR(H386*VLOOKUP(A386,'Tabela de Produtos'!A:Q,17,0),0)</f>
        <v>0</v>
      </c>
      <c r="BA386" s="74">
        <f t="shared" si="187"/>
        <v>0</v>
      </c>
      <c r="BB386" s="74">
        <f t="shared" si="187"/>
        <v>0</v>
      </c>
      <c r="BC386" s="74">
        <f t="shared" si="187"/>
        <v>0</v>
      </c>
      <c r="BD386" s="74">
        <f t="shared" si="187"/>
        <v>0</v>
      </c>
      <c r="BE386" s="74">
        <f t="shared" si="182"/>
        <v>0</v>
      </c>
      <c r="BF386" s="74">
        <f t="shared" si="183"/>
        <v>0</v>
      </c>
      <c r="BG386" s="74">
        <f t="shared" si="184"/>
        <v>0</v>
      </c>
      <c r="BH386" s="21">
        <f t="shared" si="185"/>
        <v>0</v>
      </c>
      <c r="BJ386" s="92"/>
      <c r="BK386" s="48"/>
    </row>
    <row r="387" spans="1:63" ht="15.75" customHeight="1">
      <c r="A387" s="72" t="s">
        <v>454</v>
      </c>
      <c r="B387" s="2" t="str">
        <f>IFERROR(VLOOKUP(A387,'Tabela de Produtos'!A:B,2,0),"Preencher Cód. Produto")</f>
        <v>BRAZIMIL ESMALTE SINTETICO BRILHANTE MADEIRAS E METAIS 3L VERDE NILO</v>
      </c>
      <c r="C387" s="2"/>
      <c r="D387" s="73" t="s">
        <v>66</v>
      </c>
      <c r="E387" s="73"/>
      <c r="F387" s="74" t="str">
        <f>IF(A387=0,0,VLOOKUP(A387,'Tabela de Produtos'!A:W,23,0))</f>
        <v>Cadastrar Ficha de Produção</v>
      </c>
      <c r="G387" s="74">
        <v>0</v>
      </c>
      <c r="H387" s="76">
        <v>1</v>
      </c>
      <c r="I387" s="74">
        <f t="shared" si="179"/>
        <v>0</v>
      </c>
      <c r="J387" s="77">
        <f>VLOOKUP(B387,'Tabela de Produtos'!B:M,12,FALSE())</f>
        <v>0</v>
      </c>
      <c r="K387" s="74"/>
      <c r="L387" s="74"/>
      <c r="M387" s="74"/>
      <c r="N387" s="81"/>
      <c r="O387" s="74"/>
      <c r="P387" s="74"/>
      <c r="Q387" s="74"/>
      <c r="R387" s="81"/>
      <c r="S387" s="74"/>
      <c r="T387" s="74"/>
      <c r="U387" s="74"/>
      <c r="V387" s="74"/>
      <c r="W387" s="81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7"/>
      <c r="AY387" s="77">
        <f t="shared" si="180"/>
        <v>0</v>
      </c>
      <c r="AZ387" s="79">
        <f>IFERROR(H387*VLOOKUP(A387,'Tabela de Produtos'!A:Q,17,0),0)</f>
        <v>0</v>
      </c>
      <c r="BA387" s="74">
        <f t="shared" si="187"/>
        <v>0</v>
      </c>
      <c r="BB387" s="74">
        <f t="shared" si="187"/>
        <v>0</v>
      </c>
      <c r="BC387" s="74">
        <f t="shared" si="187"/>
        <v>0</v>
      </c>
      <c r="BD387" s="74">
        <f t="shared" si="187"/>
        <v>0</v>
      </c>
      <c r="BE387" s="74">
        <f t="shared" si="182"/>
        <v>0</v>
      </c>
      <c r="BF387" s="74">
        <f t="shared" si="183"/>
        <v>0</v>
      </c>
      <c r="BG387" s="74">
        <f t="shared" si="184"/>
        <v>0</v>
      </c>
      <c r="BH387" s="21">
        <f t="shared" si="185"/>
        <v>0</v>
      </c>
      <c r="BJ387" s="92"/>
      <c r="BK387" s="48"/>
    </row>
    <row r="388" spans="1:63" ht="15.75" customHeight="1">
      <c r="A388" s="72" t="s">
        <v>455</v>
      </c>
      <c r="B388" s="2" t="str">
        <f>IFERROR(VLOOKUP(A388,'Tabela de Produtos'!A:B,2,0),"Preencher Cód. Produto")</f>
        <v>BRAZIMIL ESMALTE SINTETICO BRILHANTE MADEIRAS E METAIS 3L VERDE FOLHA</v>
      </c>
      <c r="C388" s="2"/>
      <c r="D388" s="73" t="s">
        <v>66</v>
      </c>
      <c r="E388" s="73">
        <v>100</v>
      </c>
      <c r="F388" s="74">
        <f>IF(A388=0,0,VLOOKUP(A388,'Tabela de Produtos'!A:W,23,0))</f>
        <v>47.03</v>
      </c>
      <c r="G388" s="75">
        <v>66.900000000000006</v>
      </c>
      <c r="H388" s="76">
        <v>1</v>
      </c>
      <c r="I388" s="74">
        <f t="shared" si="179"/>
        <v>66.900000000000006</v>
      </c>
      <c r="J388" s="77">
        <f>VLOOKUP(B388,'Tabela de Produtos'!B:M,12,FALSE())</f>
        <v>31.92</v>
      </c>
      <c r="K388" s="77">
        <f>VLOOKUP(B388,'Tabela de Produtos'!B:P,15,FALSE())</f>
        <v>0.92999999999999994</v>
      </c>
      <c r="L388" s="77">
        <f>J388*1%</f>
        <v>0.31920000000000004</v>
      </c>
      <c r="M388" s="77">
        <f>J388*1%</f>
        <v>0.31920000000000004</v>
      </c>
      <c r="N388" s="78">
        <f>J388+K388+L388+M388</f>
        <v>33.488400000000006</v>
      </c>
      <c r="O388" s="77">
        <f>($O$12/E388)*$O$13</f>
        <v>0.36200000000000004</v>
      </c>
      <c r="P388" s="77">
        <f>($P$12/E388)*$P$13</f>
        <v>0.28289999999999998</v>
      </c>
      <c r="Q388" s="77">
        <f>($Q$12/E388)*$Q$13</f>
        <v>0.28289999999999998</v>
      </c>
      <c r="R388" s="78">
        <f>O388+P388+Q388</f>
        <v>0.92779999999999996</v>
      </c>
      <c r="S388" s="77">
        <f>VLOOKUP(B388,'Tabela de Produtos'!B:N,13,FALSE())</f>
        <v>8.5299999999999994</v>
      </c>
      <c r="T388" s="77">
        <f>$T$12/$T$7</f>
        <v>0.22727272727272727</v>
      </c>
      <c r="U388" s="77">
        <f>$U$12/$U$7</f>
        <v>0.39090909090909093</v>
      </c>
      <c r="V388" s="77">
        <f>$V$12/$V$7</f>
        <v>0.10909090909090909</v>
      </c>
      <c r="W388" s="78">
        <f>S388+T388+U388+V388</f>
        <v>9.257272727272726</v>
      </c>
      <c r="X388" s="77">
        <f>(N388+R388+W388)*1%</f>
        <v>0.43673472727272733</v>
      </c>
      <c r="Y388" s="77">
        <f>X388</f>
        <v>0.43673472727272733</v>
      </c>
      <c r="Z388" s="77">
        <f>$Z$12/E388</f>
        <v>8.3000000000000001E-3</v>
      </c>
      <c r="AA388" s="77">
        <f>$AA$12/E388</f>
        <v>0.20833333333333331</v>
      </c>
      <c r="AB388" s="77">
        <f>$AB$12/E388</f>
        <v>0.19791666666666669</v>
      </c>
      <c r="AC388" s="77">
        <f>$AC$12/E388</f>
        <v>0</v>
      </c>
      <c r="AD388" s="77">
        <f>Z388+AA388+AB388+AC388</f>
        <v>0.41454999999999997</v>
      </c>
      <c r="AE388" s="77">
        <f>(AD388+Y388+W388+R388+N388)*$AE$7</f>
        <v>11.131189363636365</v>
      </c>
      <c r="AF388" s="77">
        <f>AE388</f>
        <v>11.131189363636365</v>
      </c>
      <c r="AG388" s="74"/>
      <c r="AH388" s="74"/>
      <c r="AI388" s="74"/>
      <c r="AJ388" s="74"/>
      <c r="AK388" s="74"/>
      <c r="AL388" s="77">
        <f>(AD388+Y388+W388+R388+N388)*$AL$7</f>
        <v>0</v>
      </c>
      <c r="AM388" s="77">
        <f>AL388+AF388+AD388+Y388+W388+R388+N388</f>
        <v>55.655946818181825</v>
      </c>
      <c r="AN388" s="77">
        <f>AM388*$AN$12</f>
        <v>0.66787136181818196</v>
      </c>
      <c r="AO388" s="77">
        <f>AM388*$AO$12</f>
        <v>0.60108422563636377</v>
      </c>
      <c r="AP388" s="77">
        <f>AO388+AN388</f>
        <v>1.2689555874545457</v>
      </c>
      <c r="AQ388" s="77">
        <f>AM388*$AQ$12</f>
        <v>4.6472715593181828</v>
      </c>
      <c r="AR388" s="77">
        <f>AM388*$AR$12</f>
        <v>0</v>
      </c>
      <c r="AS388" s="77">
        <f>AM388*$AS$12</f>
        <v>0</v>
      </c>
      <c r="AT388" s="77">
        <f>AQ388+AR388+AS388</f>
        <v>4.6472715593181828</v>
      </c>
      <c r="AU388" s="77">
        <f>AM388*$AU$12</f>
        <v>2.7827973409090916</v>
      </c>
      <c r="AV388" s="77">
        <f>AU388</f>
        <v>2.7827973409090916</v>
      </c>
      <c r="AW388" s="77">
        <f>AM388+AP388+AT388+AV388</f>
        <v>64.354971305863643</v>
      </c>
      <c r="AX388" s="21">
        <f>AY388/AW388</f>
        <v>3.9546730306823631E-2</v>
      </c>
      <c r="AY388" s="77">
        <f t="shared" si="180"/>
        <v>2.5450286941363629</v>
      </c>
      <c r="AZ388" s="79">
        <f>IFERROR(H388*VLOOKUP(A388,'Tabela de Produtos'!A:Q,17,0),0)</f>
        <v>41.38</v>
      </c>
      <c r="BA388" s="74">
        <f t="shared" si="187"/>
        <v>0</v>
      </c>
      <c r="BB388" s="74">
        <f t="shared" si="187"/>
        <v>0</v>
      </c>
      <c r="BC388" s="74">
        <f t="shared" si="187"/>
        <v>0</v>
      </c>
      <c r="BD388" s="74">
        <f t="shared" si="187"/>
        <v>4.6830000000000007</v>
      </c>
      <c r="BE388" s="74">
        <f t="shared" si="182"/>
        <v>3.3450000000000006</v>
      </c>
      <c r="BF388" s="74">
        <f t="shared" si="183"/>
        <v>49.408000000000001</v>
      </c>
      <c r="BG388" s="74">
        <f t="shared" si="184"/>
        <v>17.492000000000004</v>
      </c>
      <c r="BH388" s="21">
        <f t="shared" si="185"/>
        <v>0.26146487294469362</v>
      </c>
      <c r="BJ388" s="92"/>
      <c r="BK388" s="48"/>
    </row>
    <row r="389" spans="1:63" ht="15.75" customHeight="1">
      <c r="A389" s="72" t="s">
        <v>456</v>
      </c>
      <c r="B389" s="2" t="str">
        <f>IFERROR(VLOOKUP(A389,'Tabela de Produtos'!A:B,2,0),"Preencher Cód. Produto")</f>
        <v>BRAZIMIL ESMALTE SINTETICO BRILHANTE MADEIRAS E METAIS 3L AMARELO OURO</v>
      </c>
      <c r="C389" s="2"/>
      <c r="D389" s="73" t="s">
        <v>66</v>
      </c>
      <c r="E389" s="73">
        <v>100</v>
      </c>
      <c r="F389" s="74">
        <f>IF(A389=0,0,VLOOKUP(A389,'Tabela de Produtos'!A:W,23,0))</f>
        <v>47.199999999999996</v>
      </c>
      <c r="G389" s="75">
        <v>66.900000000000006</v>
      </c>
      <c r="H389" s="76">
        <v>1</v>
      </c>
      <c r="I389" s="74">
        <f t="shared" si="179"/>
        <v>66.900000000000006</v>
      </c>
      <c r="J389" s="77">
        <f>VLOOKUP(B389,'Tabela de Produtos'!B:M,12,FALSE())</f>
        <v>32.070000000000007</v>
      </c>
      <c r="K389" s="77">
        <f>VLOOKUP(B389,'Tabela de Produtos'!B:P,15,FALSE())</f>
        <v>0.92999999999999994</v>
      </c>
      <c r="L389" s="77">
        <f>J389*1%</f>
        <v>0.3207000000000001</v>
      </c>
      <c r="M389" s="77">
        <f>J389*1%</f>
        <v>0.3207000000000001</v>
      </c>
      <c r="N389" s="78">
        <f>J389+K389+L389+M389</f>
        <v>33.641400000000012</v>
      </c>
      <c r="O389" s="77">
        <f>($O$12/E389)*$O$13</f>
        <v>0.36200000000000004</v>
      </c>
      <c r="P389" s="77">
        <f>($P$12/E389)*$P$13</f>
        <v>0.28289999999999998</v>
      </c>
      <c r="Q389" s="77">
        <f>($Q$12/E389)*$Q$13</f>
        <v>0.28289999999999998</v>
      </c>
      <c r="R389" s="78">
        <f>O389+P389+Q389</f>
        <v>0.92779999999999996</v>
      </c>
      <c r="S389" s="77">
        <f>VLOOKUP(B389,'Tabela de Produtos'!B:N,13,FALSE())</f>
        <v>8.5299999999999994</v>
      </c>
      <c r="T389" s="77">
        <f>$T$12/$T$7</f>
        <v>0.22727272727272727</v>
      </c>
      <c r="U389" s="77">
        <f>$U$12/$U$7</f>
        <v>0.39090909090909093</v>
      </c>
      <c r="V389" s="77">
        <f>$V$12/$V$7</f>
        <v>0.10909090909090909</v>
      </c>
      <c r="W389" s="78">
        <f>S389+T389+U389+V389</f>
        <v>9.257272727272726</v>
      </c>
      <c r="X389" s="77">
        <f>(N389+R389+W389)*1%</f>
        <v>0.43826472727272736</v>
      </c>
      <c r="Y389" s="77">
        <f>X389</f>
        <v>0.43826472727272736</v>
      </c>
      <c r="Z389" s="77">
        <f>$Z$12/E389</f>
        <v>8.3000000000000001E-3</v>
      </c>
      <c r="AA389" s="77">
        <f>$AA$12/E389</f>
        <v>0.20833333333333331</v>
      </c>
      <c r="AB389" s="77">
        <f>$AB$12/E389</f>
        <v>0.19791666666666669</v>
      </c>
      <c r="AC389" s="77">
        <f>$AC$12/E389</f>
        <v>0</v>
      </c>
      <c r="AD389" s="77">
        <f>Z389+AA389+AB389+AC389</f>
        <v>0.41454999999999997</v>
      </c>
      <c r="AE389" s="77">
        <f>(AD389+Y389+W389+R389+N389)*$AE$7</f>
        <v>11.169821863636367</v>
      </c>
      <c r="AF389" s="77">
        <f>AE389</f>
        <v>11.169821863636367</v>
      </c>
      <c r="AG389" s="74"/>
      <c r="AH389" s="74"/>
      <c r="AI389" s="74"/>
      <c r="AJ389" s="74"/>
      <c r="AK389" s="74"/>
      <c r="AL389" s="77">
        <f>(AD389+Y389+W389+R389+N389)*$AL$7</f>
        <v>0</v>
      </c>
      <c r="AM389" s="77">
        <f>AL389+AF389+AD389+Y389+W389+R389+N389</f>
        <v>55.849109318181831</v>
      </c>
      <c r="AN389" s="77">
        <f>AM389*$AN$12</f>
        <v>0.67018931181818198</v>
      </c>
      <c r="AO389" s="77">
        <f>AM389*$AO$12</f>
        <v>0.60317038063636386</v>
      </c>
      <c r="AP389" s="77">
        <f>AO389+AN389</f>
        <v>1.2733596924545458</v>
      </c>
      <c r="AQ389" s="77">
        <f>AM389*$AQ$12</f>
        <v>4.6634006280681835</v>
      </c>
      <c r="AR389" s="77">
        <f>AM389*$AR$12</f>
        <v>0</v>
      </c>
      <c r="AS389" s="77">
        <f>AM389*$AS$12</f>
        <v>0</v>
      </c>
      <c r="AT389" s="77">
        <f>AQ389+AR389+AS389</f>
        <v>4.6634006280681835</v>
      </c>
      <c r="AU389" s="77">
        <f>AM389*$AU$12</f>
        <v>2.7924554659090917</v>
      </c>
      <c r="AV389" s="77">
        <f>AU389</f>
        <v>2.7924554659090917</v>
      </c>
      <c r="AW389" s="77">
        <f>AM389+AP389+AT389+AV389</f>
        <v>64.578325104613654</v>
      </c>
      <c r="AX389" s="21">
        <f>AY389/AW389</f>
        <v>3.595130241648966E-2</v>
      </c>
      <c r="AY389" s="77">
        <f t="shared" si="180"/>
        <v>2.3216748953863515</v>
      </c>
      <c r="AZ389" s="79">
        <f>IFERROR(H389*VLOOKUP(A389,'Tabela de Produtos'!A:Q,17,0),0)</f>
        <v>41.530000000000008</v>
      </c>
      <c r="BA389" s="74">
        <f t="shared" si="187"/>
        <v>0</v>
      </c>
      <c r="BB389" s="74">
        <f t="shared" si="187"/>
        <v>0</v>
      </c>
      <c r="BC389" s="74">
        <f t="shared" si="187"/>
        <v>0</v>
      </c>
      <c r="BD389" s="74">
        <f t="shared" si="187"/>
        <v>4.6830000000000007</v>
      </c>
      <c r="BE389" s="74">
        <f t="shared" si="182"/>
        <v>3.3450000000000006</v>
      </c>
      <c r="BF389" s="74">
        <f t="shared" si="183"/>
        <v>49.558000000000007</v>
      </c>
      <c r="BG389" s="74">
        <f t="shared" si="184"/>
        <v>17.341999999999999</v>
      </c>
      <c r="BH389" s="21">
        <f t="shared" si="185"/>
        <v>0.25922272047832584</v>
      </c>
      <c r="BJ389" s="92"/>
      <c r="BK389" s="48"/>
    </row>
    <row r="390" spans="1:63" ht="15.75" customHeight="1">
      <c r="A390" s="72" t="s">
        <v>457</v>
      </c>
      <c r="B390" s="2" t="str">
        <f>IFERROR(VLOOKUP(A390,'Tabela de Produtos'!A:B,2,0),"Preencher Cód. Produto")</f>
        <v>BRAZIMIL TEXTURA RÚSTICA 4KG BRANCO BASE</v>
      </c>
      <c r="C390" s="2"/>
      <c r="D390" s="73"/>
      <c r="E390" s="73"/>
      <c r="F390" s="74" t="str">
        <f>IF(A390=0,0,VLOOKUP(A390,'Tabela de Produtos'!A:W,23,0))</f>
        <v>Cadastrar Ficha de Produção</v>
      </c>
      <c r="G390" s="74">
        <v>0</v>
      </c>
      <c r="H390" s="76">
        <v>1</v>
      </c>
      <c r="I390" s="74">
        <f t="shared" si="179"/>
        <v>0</v>
      </c>
      <c r="J390" s="77">
        <f>VLOOKUP(B390,'Tabela de Produtos'!B:M,12,FALSE())</f>
        <v>0</v>
      </c>
      <c r="K390" s="74"/>
      <c r="L390" s="74"/>
      <c r="M390" s="74"/>
      <c r="N390" s="81"/>
      <c r="O390" s="74"/>
      <c r="P390" s="74"/>
      <c r="Q390" s="74"/>
      <c r="R390" s="81"/>
      <c r="S390" s="74"/>
      <c r="T390" s="74"/>
      <c r="U390" s="74"/>
      <c r="V390" s="74"/>
      <c r="W390" s="81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7"/>
      <c r="AY390" s="77">
        <f t="shared" si="180"/>
        <v>0</v>
      </c>
      <c r="AZ390" s="79">
        <f>IFERROR(H390*VLOOKUP(A390,'Tabela de Produtos'!A:Q,17,0),0)</f>
        <v>0</v>
      </c>
      <c r="BA390" s="74">
        <f t="shared" si="187"/>
        <v>0</v>
      </c>
      <c r="BB390" s="74">
        <f t="shared" si="187"/>
        <v>0</v>
      </c>
      <c r="BC390" s="74">
        <f t="shared" si="187"/>
        <v>0</v>
      </c>
      <c r="BD390" s="74">
        <f t="shared" si="187"/>
        <v>0</v>
      </c>
      <c r="BE390" s="74">
        <f t="shared" si="182"/>
        <v>0</v>
      </c>
      <c r="BF390" s="74">
        <f t="shared" si="183"/>
        <v>0</v>
      </c>
      <c r="BG390" s="74">
        <f t="shared" si="184"/>
        <v>0</v>
      </c>
      <c r="BH390" s="21">
        <f t="shared" si="185"/>
        <v>0</v>
      </c>
      <c r="BJ390" s="92"/>
      <c r="BK390" s="48"/>
    </row>
    <row r="391" spans="1:63" ht="15.75" customHeight="1">
      <c r="A391" s="72" t="s">
        <v>458</v>
      </c>
      <c r="B391" s="2" t="str">
        <f>IFERROR(VLOOKUP(A391,'Tabela de Produtos'!A:B,2,0),"Preencher Cód. Produto")</f>
        <v>BRAZIMIL TEXTURA RÚSTICA 20KG BRANCO BASE</v>
      </c>
      <c r="C391" s="2"/>
      <c r="D391" s="73"/>
      <c r="E391" s="73"/>
      <c r="F391" s="74" t="str">
        <f>IF(A391=0,0,VLOOKUP(A391,'Tabela de Produtos'!A:W,23,0))</f>
        <v>Cadastrar Ficha de Produção</v>
      </c>
      <c r="G391" s="74">
        <v>0</v>
      </c>
      <c r="H391" s="76">
        <v>1</v>
      </c>
      <c r="I391" s="74">
        <f t="shared" si="179"/>
        <v>0</v>
      </c>
      <c r="J391" s="77">
        <f>VLOOKUP(B391,'Tabela de Produtos'!B:M,12,FALSE())</f>
        <v>0</v>
      </c>
      <c r="K391" s="74"/>
      <c r="L391" s="74"/>
      <c r="M391" s="74"/>
      <c r="N391" s="81"/>
      <c r="O391" s="74"/>
      <c r="P391" s="74"/>
      <c r="Q391" s="74"/>
      <c r="R391" s="81"/>
      <c r="S391" s="74"/>
      <c r="T391" s="74"/>
      <c r="U391" s="74"/>
      <c r="V391" s="74"/>
      <c r="W391" s="81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7"/>
      <c r="AY391" s="77">
        <f t="shared" si="180"/>
        <v>0</v>
      </c>
      <c r="AZ391" s="79">
        <f>IFERROR(H391*VLOOKUP(A391,'Tabela de Produtos'!A:Q,17,0),0)</f>
        <v>0</v>
      </c>
      <c r="BA391" s="74">
        <f t="shared" si="187"/>
        <v>0</v>
      </c>
      <c r="BB391" s="74">
        <f t="shared" si="187"/>
        <v>0</v>
      </c>
      <c r="BC391" s="74">
        <f t="shared" si="187"/>
        <v>0</v>
      </c>
      <c r="BD391" s="74">
        <f t="shared" si="187"/>
        <v>0</v>
      </c>
      <c r="BE391" s="74">
        <f t="shared" si="182"/>
        <v>0</v>
      </c>
      <c r="BF391" s="74">
        <f t="shared" si="183"/>
        <v>0</v>
      </c>
      <c r="BG391" s="74">
        <f t="shared" si="184"/>
        <v>0</v>
      </c>
      <c r="BH391" s="21">
        <f t="shared" si="185"/>
        <v>0</v>
      </c>
      <c r="BJ391" s="92"/>
      <c r="BK391" s="48"/>
    </row>
    <row r="392" spans="1:63" ht="15.75" customHeight="1">
      <c r="A392" s="72" t="s">
        <v>459</v>
      </c>
      <c r="B392" s="2" t="str">
        <f>IFERROR(VLOOKUP(A392,'Tabela de Produtos'!A:B,2,0),"Preencher Cód. Produto")</f>
        <v>BRAZIMIL TEXTURA LISA 4KG BRANCO NEVE</v>
      </c>
      <c r="C392" s="2"/>
      <c r="D392" s="73"/>
      <c r="E392" s="73"/>
      <c r="F392" s="74" t="str">
        <f>IF(A392=0,0,VLOOKUP(A392,'Tabela de Produtos'!A:W,23,0))</f>
        <v>Cadastrar Ficha de Produção</v>
      </c>
      <c r="G392" s="74">
        <v>0</v>
      </c>
      <c r="H392" s="76">
        <v>1</v>
      </c>
      <c r="I392" s="74">
        <f t="shared" si="179"/>
        <v>0</v>
      </c>
      <c r="J392" s="77">
        <f>VLOOKUP(B392,'Tabela de Produtos'!B:M,12,FALSE())</f>
        <v>0</v>
      </c>
      <c r="K392" s="74"/>
      <c r="L392" s="74"/>
      <c r="M392" s="74"/>
      <c r="N392" s="81"/>
      <c r="O392" s="74"/>
      <c r="P392" s="74"/>
      <c r="Q392" s="74"/>
      <c r="R392" s="81"/>
      <c r="S392" s="74"/>
      <c r="T392" s="74"/>
      <c r="U392" s="74"/>
      <c r="V392" s="74"/>
      <c r="W392" s="81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7"/>
      <c r="AY392" s="77">
        <f t="shared" si="180"/>
        <v>0</v>
      </c>
      <c r="AZ392" s="79">
        <f>IFERROR(H392*VLOOKUP(A392,'Tabela de Produtos'!A:Q,17,0),0)</f>
        <v>0</v>
      </c>
      <c r="BA392" s="74">
        <f t="shared" si="187"/>
        <v>0</v>
      </c>
      <c r="BB392" s="74">
        <f t="shared" si="187"/>
        <v>0</v>
      </c>
      <c r="BC392" s="74">
        <f t="shared" si="187"/>
        <v>0</v>
      </c>
      <c r="BD392" s="74">
        <f t="shared" si="187"/>
        <v>0</v>
      </c>
      <c r="BE392" s="74">
        <f t="shared" si="182"/>
        <v>0</v>
      </c>
      <c r="BF392" s="74">
        <f t="shared" si="183"/>
        <v>0</v>
      </c>
      <c r="BG392" s="74">
        <f t="shared" si="184"/>
        <v>0</v>
      </c>
      <c r="BH392" s="21">
        <f t="shared" si="185"/>
        <v>0</v>
      </c>
      <c r="BJ392" s="92"/>
      <c r="BK392" s="48"/>
    </row>
    <row r="393" spans="1:63" ht="15.75" customHeight="1">
      <c r="A393" s="72" t="s">
        <v>460</v>
      </c>
      <c r="B393" s="2" t="str">
        <f>IFERROR(VLOOKUP(A393,'Tabela de Produtos'!A:B,2,0),"Preencher Cód. Produto")</f>
        <v>BRAZIMIL TEXTURA LISA 4KG AMARELO</v>
      </c>
      <c r="C393" s="2"/>
      <c r="D393" s="73"/>
      <c r="E393" s="73"/>
      <c r="F393" s="74" t="str">
        <f>IF(A393=0,0,VLOOKUP(A393,'Tabela de Produtos'!A:W,23,0))</f>
        <v>Cadastrar Ficha de Produção</v>
      </c>
      <c r="G393" s="74">
        <v>0</v>
      </c>
      <c r="H393" s="76">
        <v>1</v>
      </c>
      <c r="I393" s="74">
        <f t="shared" si="179"/>
        <v>0</v>
      </c>
      <c r="J393" s="77">
        <f>VLOOKUP(B393,'Tabela de Produtos'!B:M,12,FALSE())</f>
        <v>0</v>
      </c>
      <c r="K393" s="74"/>
      <c r="L393" s="74"/>
      <c r="M393" s="74"/>
      <c r="N393" s="81"/>
      <c r="O393" s="74"/>
      <c r="P393" s="74"/>
      <c r="Q393" s="74"/>
      <c r="R393" s="81"/>
      <c r="S393" s="74"/>
      <c r="T393" s="74"/>
      <c r="U393" s="74"/>
      <c r="V393" s="74"/>
      <c r="W393" s="81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7"/>
      <c r="AY393" s="77">
        <f t="shared" si="180"/>
        <v>0</v>
      </c>
      <c r="AZ393" s="79">
        <f>IFERROR(H393*VLOOKUP(A393,'Tabela de Produtos'!A:Q,17,0),0)</f>
        <v>0</v>
      </c>
      <c r="BA393" s="74">
        <f t="shared" si="187"/>
        <v>0</v>
      </c>
      <c r="BB393" s="74">
        <f t="shared" si="187"/>
        <v>0</v>
      </c>
      <c r="BC393" s="74">
        <f t="shared" si="187"/>
        <v>0</v>
      </c>
      <c r="BD393" s="74">
        <f t="shared" si="187"/>
        <v>0</v>
      </c>
      <c r="BE393" s="74">
        <f t="shared" si="182"/>
        <v>0</v>
      </c>
      <c r="BF393" s="74">
        <f t="shared" si="183"/>
        <v>0</v>
      </c>
      <c r="BG393" s="74">
        <f t="shared" si="184"/>
        <v>0</v>
      </c>
      <c r="BH393" s="21">
        <f t="shared" si="185"/>
        <v>0</v>
      </c>
      <c r="BJ393" s="92"/>
      <c r="BK393" s="48"/>
    </row>
    <row r="394" spans="1:63" ht="15.75" customHeight="1">
      <c r="A394" s="72" t="s">
        <v>461</v>
      </c>
      <c r="B394" s="2" t="str">
        <f>IFERROR(VLOOKUP(A394,'Tabela de Produtos'!A:B,2,0),"Preencher Cód. Produto")</f>
        <v>BRAZIMIL TEXTURA LISA 4KG VERMELHO</v>
      </c>
      <c r="C394" s="2"/>
      <c r="D394" s="73"/>
      <c r="E394" s="73"/>
      <c r="F394" s="74" t="str">
        <f>IF(A394=0,0,VLOOKUP(A394,'Tabela de Produtos'!A:W,23,0))</f>
        <v>Cadastrar Ficha de Produção</v>
      </c>
      <c r="G394" s="74">
        <v>0</v>
      </c>
      <c r="H394" s="76">
        <v>1</v>
      </c>
      <c r="I394" s="74">
        <f t="shared" si="179"/>
        <v>0</v>
      </c>
      <c r="J394" s="77">
        <f>VLOOKUP(B394,'Tabela de Produtos'!B:M,12,FALSE())</f>
        <v>0</v>
      </c>
      <c r="K394" s="74"/>
      <c r="L394" s="74"/>
      <c r="M394" s="74"/>
      <c r="N394" s="81"/>
      <c r="O394" s="74"/>
      <c r="P394" s="74"/>
      <c r="Q394" s="74"/>
      <c r="R394" s="81"/>
      <c r="S394" s="74"/>
      <c r="T394" s="74"/>
      <c r="U394" s="74"/>
      <c r="V394" s="74"/>
      <c r="W394" s="81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7"/>
      <c r="AY394" s="77">
        <f t="shared" si="180"/>
        <v>0</v>
      </c>
      <c r="AZ394" s="79">
        <f>IFERROR(H394*VLOOKUP(A394,'Tabela de Produtos'!A:Q,17,0),0)</f>
        <v>0</v>
      </c>
      <c r="BA394" s="74">
        <f t="shared" ref="BA394:BD413" si="188">$I394*BA$12</f>
        <v>0</v>
      </c>
      <c r="BB394" s="74">
        <f t="shared" si="188"/>
        <v>0</v>
      </c>
      <c r="BC394" s="74">
        <f t="shared" si="188"/>
        <v>0</v>
      </c>
      <c r="BD394" s="74">
        <f t="shared" si="188"/>
        <v>0</v>
      </c>
      <c r="BE394" s="74">
        <f t="shared" si="182"/>
        <v>0</v>
      </c>
      <c r="BF394" s="74">
        <f t="shared" si="183"/>
        <v>0</v>
      </c>
      <c r="BG394" s="74">
        <f t="shared" si="184"/>
        <v>0</v>
      </c>
      <c r="BH394" s="21">
        <f t="shared" si="185"/>
        <v>0</v>
      </c>
      <c r="BJ394" s="92"/>
      <c r="BK394" s="48"/>
    </row>
    <row r="395" spans="1:63" ht="15.75" customHeight="1">
      <c r="A395" s="72" t="s">
        <v>462</v>
      </c>
      <c r="B395" s="2" t="str">
        <f>IFERROR(VLOOKUP(A395,'Tabela de Produtos'!A:B,2,0),"Preencher Cód. Produto")</f>
        <v>BRAZIMIL TEXTURA LISA 4KG CINZA</v>
      </c>
      <c r="C395" s="2"/>
      <c r="D395" s="73"/>
      <c r="E395" s="73"/>
      <c r="F395" s="74" t="str">
        <f>IF(A395=0,0,VLOOKUP(A395,'Tabela de Produtos'!A:W,23,0))</f>
        <v>Cadastrar Ficha de Produção</v>
      </c>
      <c r="G395" s="74">
        <v>0</v>
      </c>
      <c r="H395" s="76">
        <v>1</v>
      </c>
      <c r="I395" s="74">
        <f t="shared" si="179"/>
        <v>0</v>
      </c>
      <c r="J395" s="77">
        <f>VLOOKUP(B395,'Tabela de Produtos'!B:M,12,FALSE())</f>
        <v>0</v>
      </c>
      <c r="K395" s="74"/>
      <c r="L395" s="74"/>
      <c r="M395" s="74"/>
      <c r="N395" s="81"/>
      <c r="O395" s="74"/>
      <c r="P395" s="74"/>
      <c r="Q395" s="74"/>
      <c r="R395" s="81"/>
      <c r="S395" s="74"/>
      <c r="T395" s="74"/>
      <c r="U395" s="74"/>
      <c r="V395" s="74"/>
      <c r="W395" s="81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7"/>
      <c r="AY395" s="77">
        <f t="shared" si="180"/>
        <v>0</v>
      </c>
      <c r="AZ395" s="79">
        <f>IFERROR(H395*VLOOKUP(A395,'Tabela de Produtos'!A:Q,17,0),0)</f>
        <v>0</v>
      </c>
      <c r="BA395" s="74">
        <f t="shared" si="188"/>
        <v>0</v>
      </c>
      <c r="BB395" s="74">
        <f t="shared" si="188"/>
        <v>0</v>
      </c>
      <c r="BC395" s="74">
        <f t="shared" si="188"/>
        <v>0</v>
      </c>
      <c r="BD395" s="74">
        <f t="shared" si="188"/>
        <v>0</v>
      </c>
      <c r="BE395" s="74">
        <f t="shared" si="182"/>
        <v>0</v>
      </c>
      <c r="BF395" s="74">
        <f t="shared" si="183"/>
        <v>0</v>
      </c>
      <c r="BG395" s="74">
        <f t="shared" si="184"/>
        <v>0</v>
      </c>
      <c r="BH395" s="21">
        <f t="shared" si="185"/>
        <v>0</v>
      </c>
      <c r="BJ395" s="92"/>
      <c r="BK395" s="48"/>
    </row>
    <row r="396" spans="1:63" ht="15.75" customHeight="1">
      <c r="A396" s="72" t="s">
        <v>463</v>
      </c>
      <c r="B396" s="2" t="str">
        <f>IFERROR(VLOOKUP(A396,'Tabela de Produtos'!A:B,2,0),"Preencher Cód. Produto")</f>
        <v>BRAZIMIL TEXTURA LISA 4KG VERDE</v>
      </c>
      <c r="C396" s="2"/>
      <c r="D396" s="73"/>
      <c r="E396" s="73"/>
      <c r="F396" s="74" t="str">
        <f>IF(A396=0,0,VLOOKUP(A396,'Tabela de Produtos'!A:W,23,0))</f>
        <v>Cadastrar Ficha de Produção</v>
      </c>
      <c r="G396" s="74">
        <v>0</v>
      </c>
      <c r="H396" s="76">
        <v>1</v>
      </c>
      <c r="I396" s="74">
        <f t="shared" si="179"/>
        <v>0</v>
      </c>
      <c r="J396" s="77">
        <f>VLOOKUP(B396,'Tabela de Produtos'!B:M,12,FALSE())</f>
        <v>0</v>
      </c>
      <c r="K396" s="74"/>
      <c r="L396" s="74"/>
      <c r="M396" s="74"/>
      <c r="N396" s="81"/>
      <c r="O396" s="74"/>
      <c r="P396" s="74"/>
      <c r="Q396" s="74"/>
      <c r="R396" s="81"/>
      <c r="S396" s="74"/>
      <c r="T396" s="74"/>
      <c r="U396" s="74"/>
      <c r="V396" s="74"/>
      <c r="W396" s="81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7"/>
      <c r="AY396" s="77">
        <f t="shared" si="180"/>
        <v>0</v>
      </c>
      <c r="AZ396" s="79">
        <f>IFERROR(H396*VLOOKUP(A396,'Tabela de Produtos'!A:Q,17,0),0)</f>
        <v>0</v>
      </c>
      <c r="BA396" s="74">
        <f t="shared" si="188"/>
        <v>0</v>
      </c>
      <c r="BB396" s="74">
        <f t="shared" si="188"/>
        <v>0</v>
      </c>
      <c r="BC396" s="74">
        <f t="shared" si="188"/>
        <v>0</v>
      </c>
      <c r="BD396" s="74">
        <f t="shared" si="188"/>
        <v>0</v>
      </c>
      <c r="BE396" s="74">
        <f t="shared" si="182"/>
        <v>0</v>
      </c>
      <c r="BF396" s="74">
        <f t="shared" si="183"/>
        <v>0</v>
      </c>
      <c r="BG396" s="74">
        <f t="shared" si="184"/>
        <v>0</v>
      </c>
      <c r="BH396" s="21">
        <f t="shared" si="185"/>
        <v>0</v>
      </c>
      <c r="BJ396" s="92"/>
      <c r="BK396" s="48"/>
    </row>
    <row r="397" spans="1:63" ht="15.75" customHeight="1">
      <c r="A397" s="72" t="s">
        <v>464</v>
      </c>
      <c r="B397" s="2" t="str">
        <f>IFERROR(VLOOKUP(A397,'Tabela de Produtos'!A:B,2,0),"Preencher Cód. Produto")</f>
        <v>BRAZIMIL TEXTURA LISA 4KG AZUL</v>
      </c>
      <c r="C397" s="2"/>
      <c r="D397" s="73"/>
      <c r="E397" s="73"/>
      <c r="F397" s="74" t="str">
        <f>IF(A397=0,0,VLOOKUP(A397,'Tabela de Produtos'!A:W,23,0))</f>
        <v>Cadastrar Ficha de Produção</v>
      </c>
      <c r="G397" s="74">
        <v>0</v>
      </c>
      <c r="H397" s="76">
        <v>1</v>
      </c>
      <c r="I397" s="74">
        <f t="shared" si="179"/>
        <v>0</v>
      </c>
      <c r="J397" s="77">
        <f>VLOOKUP(B397,'Tabela de Produtos'!B:M,12,FALSE())</f>
        <v>0</v>
      </c>
      <c r="K397" s="74"/>
      <c r="L397" s="74"/>
      <c r="M397" s="74"/>
      <c r="N397" s="81"/>
      <c r="O397" s="74"/>
      <c r="P397" s="74"/>
      <c r="Q397" s="74"/>
      <c r="R397" s="81"/>
      <c r="S397" s="74"/>
      <c r="T397" s="74"/>
      <c r="U397" s="74"/>
      <c r="V397" s="74"/>
      <c r="W397" s="81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7"/>
      <c r="AY397" s="77">
        <f t="shared" si="180"/>
        <v>0</v>
      </c>
      <c r="AZ397" s="79">
        <f>IFERROR(H397*VLOOKUP(A397,'Tabela de Produtos'!A:Q,17,0),0)</f>
        <v>0</v>
      </c>
      <c r="BA397" s="74">
        <f t="shared" si="188"/>
        <v>0</v>
      </c>
      <c r="BB397" s="74">
        <f t="shared" si="188"/>
        <v>0</v>
      </c>
      <c r="BC397" s="74">
        <f t="shared" si="188"/>
        <v>0</v>
      </c>
      <c r="BD397" s="74">
        <f t="shared" si="188"/>
        <v>0</v>
      </c>
      <c r="BE397" s="74">
        <f t="shared" si="182"/>
        <v>0</v>
      </c>
      <c r="BF397" s="74">
        <f t="shared" si="183"/>
        <v>0</v>
      </c>
      <c r="BG397" s="74">
        <f t="shared" si="184"/>
        <v>0</v>
      </c>
      <c r="BH397" s="21">
        <f t="shared" si="185"/>
        <v>0</v>
      </c>
      <c r="BJ397" s="92"/>
      <c r="BK397" s="48"/>
    </row>
    <row r="398" spans="1:63" ht="15.75" customHeight="1">
      <c r="A398" s="72" t="s">
        <v>465</v>
      </c>
      <c r="B398" s="2" t="str">
        <f>IFERROR(VLOOKUP(A398,'Tabela de Produtos'!A:B,2,0),"Preencher Cód. Produto")</f>
        <v>BRAZIMIL TEXTURA LISA 20KG BRANCO NEVE</v>
      </c>
      <c r="C398" s="2"/>
      <c r="D398" s="73"/>
      <c r="E398" s="73"/>
      <c r="F398" s="74" t="str">
        <f>IF(A398=0,0,VLOOKUP(A398,'Tabela de Produtos'!A:W,23,0))</f>
        <v>Cadastrar Ficha de Produção</v>
      </c>
      <c r="G398" s="74">
        <v>0</v>
      </c>
      <c r="H398" s="76">
        <v>1</v>
      </c>
      <c r="I398" s="74">
        <f t="shared" ref="I398:I461" si="189">G398*H398</f>
        <v>0</v>
      </c>
      <c r="J398" s="77">
        <f>VLOOKUP(B398,'Tabela de Produtos'!B:M,12,FALSE())</f>
        <v>0</v>
      </c>
      <c r="K398" s="74"/>
      <c r="L398" s="74"/>
      <c r="M398" s="74"/>
      <c r="N398" s="81"/>
      <c r="O398" s="74"/>
      <c r="P398" s="74"/>
      <c r="Q398" s="74"/>
      <c r="R398" s="81"/>
      <c r="S398" s="74"/>
      <c r="T398" s="74"/>
      <c r="U398" s="74"/>
      <c r="V398" s="74"/>
      <c r="W398" s="81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7"/>
      <c r="AY398" s="77">
        <f t="shared" ref="AY398:AY435" si="190">I398-AW398</f>
        <v>0</v>
      </c>
      <c r="AZ398" s="79">
        <f>IFERROR(H398*VLOOKUP(A398,'Tabela de Produtos'!A:Q,17,0),0)</f>
        <v>0</v>
      </c>
      <c r="BA398" s="74">
        <f t="shared" si="188"/>
        <v>0</v>
      </c>
      <c r="BB398" s="74">
        <f t="shared" si="188"/>
        <v>0</v>
      </c>
      <c r="BC398" s="74">
        <f t="shared" si="188"/>
        <v>0</v>
      </c>
      <c r="BD398" s="74">
        <f t="shared" si="188"/>
        <v>0</v>
      </c>
      <c r="BE398" s="74">
        <f t="shared" ref="BE398:BE435" si="191">I398*$BE$12</f>
        <v>0</v>
      </c>
      <c r="BF398" s="74">
        <f t="shared" ref="BF398:BF461" si="192">SUM(AZ398:BE398)</f>
        <v>0</v>
      </c>
      <c r="BG398" s="74">
        <f t="shared" ref="BG398:BG461" si="193">I398-BF398</f>
        <v>0</v>
      </c>
      <c r="BH398" s="21">
        <f t="shared" ref="BH398:BH461" si="194">IF(F398="Cadastrar Ficha de Produção",0,IFERROR(BG398/I398,0))</f>
        <v>0</v>
      </c>
      <c r="BJ398" s="92"/>
      <c r="BK398" s="48"/>
    </row>
    <row r="399" spans="1:63" ht="15.75" customHeight="1">
      <c r="A399" s="72" t="s">
        <v>466</v>
      </c>
      <c r="B399" s="2" t="str">
        <f>IFERROR(VLOOKUP(A399,'Tabela de Produtos'!A:B,2,0),"Preencher Cód. Produto")</f>
        <v>BRAZIMIL TEXTURA LISA 20KG AMARELO</v>
      </c>
      <c r="C399" s="2"/>
      <c r="D399" s="73"/>
      <c r="E399" s="73"/>
      <c r="F399" s="74" t="str">
        <f>IF(A399=0,0,VLOOKUP(A399,'Tabela de Produtos'!A:W,23,0))</f>
        <v>Cadastrar Ficha de Produção</v>
      </c>
      <c r="G399" s="74">
        <v>0</v>
      </c>
      <c r="H399" s="76">
        <v>1</v>
      </c>
      <c r="I399" s="74">
        <f t="shared" si="189"/>
        <v>0</v>
      </c>
      <c r="J399" s="77">
        <f>VLOOKUP(B399,'Tabela de Produtos'!B:M,12,FALSE())</f>
        <v>0</v>
      </c>
      <c r="K399" s="74"/>
      <c r="L399" s="74"/>
      <c r="M399" s="74"/>
      <c r="N399" s="81"/>
      <c r="O399" s="74"/>
      <c r="P399" s="74"/>
      <c r="Q399" s="74"/>
      <c r="R399" s="81"/>
      <c r="S399" s="74"/>
      <c r="T399" s="74"/>
      <c r="U399" s="74"/>
      <c r="V399" s="74"/>
      <c r="W399" s="81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7"/>
      <c r="AY399" s="77">
        <f t="shared" si="190"/>
        <v>0</v>
      </c>
      <c r="AZ399" s="79">
        <f>IFERROR(H399*VLOOKUP(A399,'Tabela de Produtos'!A:Q,17,0),0)</f>
        <v>0</v>
      </c>
      <c r="BA399" s="74">
        <f t="shared" si="188"/>
        <v>0</v>
      </c>
      <c r="BB399" s="74">
        <f t="shared" si="188"/>
        <v>0</v>
      </c>
      <c r="BC399" s="74">
        <f t="shared" si="188"/>
        <v>0</v>
      </c>
      <c r="BD399" s="74">
        <f t="shared" si="188"/>
        <v>0</v>
      </c>
      <c r="BE399" s="74">
        <f t="shared" si="191"/>
        <v>0</v>
      </c>
      <c r="BF399" s="74">
        <f t="shared" si="192"/>
        <v>0</v>
      </c>
      <c r="BG399" s="74">
        <f t="shared" si="193"/>
        <v>0</v>
      </c>
      <c r="BH399" s="21">
        <f t="shared" si="194"/>
        <v>0</v>
      </c>
      <c r="BJ399" s="92"/>
      <c r="BK399" s="48"/>
    </row>
    <row r="400" spans="1:63" ht="15.75" customHeight="1">
      <c r="A400" s="72" t="s">
        <v>467</v>
      </c>
      <c r="B400" s="2" t="str">
        <f>IFERROR(VLOOKUP(A400,'Tabela de Produtos'!A:B,2,0),"Preencher Cód. Produto")</f>
        <v>BRAZIMIL TEXTURA LISA 20KG VERMELHO</v>
      </c>
      <c r="C400" s="2"/>
      <c r="D400" s="73"/>
      <c r="E400" s="73"/>
      <c r="F400" s="74" t="str">
        <f>IF(A400=0,0,VLOOKUP(A400,'Tabela de Produtos'!A:W,23,0))</f>
        <v>Cadastrar Ficha de Produção</v>
      </c>
      <c r="G400" s="74">
        <v>0</v>
      </c>
      <c r="H400" s="76">
        <v>1</v>
      </c>
      <c r="I400" s="74">
        <f t="shared" si="189"/>
        <v>0</v>
      </c>
      <c r="J400" s="77">
        <f>VLOOKUP(B400,'Tabela de Produtos'!B:M,12,FALSE())</f>
        <v>0</v>
      </c>
      <c r="K400" s="74"/>
      <c r="L400" s="74"/>
      <c r="M400" s="74"/>
      <c r="N400" s="81"/>
      <c r="O400" s="74"/>
      <c r="P400" s="74"/>
      <c r="Q400" s="74"/>
      <c r="R400" s="81"/>
      <c r="S400" s="74"/>
      <c r="T400" s="74"/>
      <c r="U400" s="74"/>
      <c r="V400" s="74"/>
      <c r="W400" s="81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7"/>
      <c r="AY400" s="77">
        <f t="shared" si="190"/>
        <v>0</v>
      </c>
      <c r="AZ400" s="79">
        <f>IFERROR(H400*VLOOKUP(A400,'Tabela de Produtos'!A:Q,17,0),0)</f>
        <v>0</v>
      </c>
      <c r="BA400" s="74">
        <f t="shared" si="188"/>
        <v>0</v>
      </c>
      <c r="BB400" s="74">
        <f t="shared" si="188"/>
        <v>0</v>
      </c>
      <c r="BC400" s="74">
        <f t="shared" si="188"/>
        <v>0</v>
      </c>
      <c r="BD400" s="74">
        <f t="shared" si="188"/>
        <v>0</v>
      </c>
      <c r="BE400" s="74">
        <f t="shared" si="191"/>
        <v>0</v>
      </c>
      <c r="BF400" s="74">
        <f t="shared" si="192"/>
        <v>0</v>
      </c>
      <c r="BG400" s="74">
        <f t="shared" si="193"/>
        <v>0</v>
      </c>
      <c r="BH400" s="21">
        <f t="shared" si="194"/>
        <v>0</v>
      </c>
      <c r="BJ400" s="92"/>
      <c r="BK400" s="48"/>
    </row>
    <row r="401" spans="1:63" ht="15.75" customHeight="1">
      <c r="A401" s="72" t="s">
        <v>468</v>
      </c>
      <c r="B401" s="2" t="str">
        <f>IFERROR(VLOOKUP(A401,'Tabela de Produtos'!A:B,2,0),"Preencher Cód. Produto")</f>
        <v>BRAZIMIL TEXTURA LISA 20KG CINZA</v>
      </c>
      <c r="C401" s="2"/>
      <c r="D401" s="73"/>
      <c r="E401" s="73"/>
      <c r="F401" s="74" t="str">
        <f>IF(A401=0,0,VLOOKUP(A401,'Tabela de Produtos'!A:W,23,0))</f>
        <v>Cadastrar Ficha de Produção</v>
      </c>
      <c r="G401" s="74">
        <v>0</v>
      </c>
      <c r="H401" s="76">
        <v>1</v>
      </c>
      <c r="I401" s="74">
        <f t="shared" si="189"/>
        <v>0</v>
      </c>
      <c r="J401" s="77">
        <f>VLOOKUP(B401,'Tabela de Produtos'!B:M,12,FALSE())</f>
        <v>0</v>
      </c>
      <c r="K401" s="74"/>
      <c r="L401" s="74"/>
      <c r="M401" s="74"/>
      <c r="N401" s="81"/>
      <c r="O401" s="74"/>
      <c r="P401" s="74"/>
      <c r="Q401" s="74"/>
      <c r="R401" s="81"/>
      <c r="S401" s="74"/>
      <c r="T401" s="74"/>
      <c r="U401" s="74"/>
      <c r="V401" s="74"/>
      <c r="W401" s="81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7"/>
      <c r="AY401" s="77">
        <f t="shared" si="190"/>
        <v>0</v>
      </c>
      <c r="AZ401" s="79">
        <f>IFERROR(H401*VLOOKUP(A401,'Tabela de Produtos'!A:Q,17,0),0)</f>
        <v>0</v>
      </c>
      <c r="BA401" s="74">
        <f t="shared" si="188"/>
        <v>0</v>
      </c>
      <c r="BB401" s="74">
        <f t="shared" si="188"/>
        <v>0</v>
      </c>
      <c r="BC401" s="74">
        <f t="shared" si="188"/>
        <v>0</v>
      </c>
      <c r="BD401" s="74">
        <f t="shared" si="188"/>
        <v>0</v>
      </c>
      <c r="BE401" s="74">
        <f t="shared" si="191"/>
        <v>0</v>
      </c>
      <c r="BF401" s="74">
        <f t="shared" si="192"/>
        <v>0</v>
      </c>
      <c r="BG401" s="74">
        <f t="shared" si="193"/>
        <v>0</v>
      </c>
      <c r="BH401" s="21">
        <f t="shared" si="194"/>
        <v>0</v>
      </c>
      <c r="BJ401" s="92"/>
      <c r="BK401" s="48"/>
    </row>
    <row r="402" spans="1:63" ht="15.75" customHeight="1">
      <c r="A402" s="72" t="s">
        <v>469</v>
      </c>
      <c r="B402" s="2" t="str">
        <f>IFERROR(VLOOKUP(A402,'Tabela de Produtos'!A:B,2,0),"Preencher Cód. Produto")</f>
        <v>BRAZIMIL TEXTURA LISA 20KG VERDE</v>
      </c>
      <c r="C402" s="2"/>
      <c r="D402" s="73"/>
      <c r="E402" s="73"/>
      <c r="F402" s="74" t="str">
        <f>IF(A402=0,0,VLOOKUP(A402,'Tabela de Produtos'!A:W,23,0))</f>
        <v>Cadastrar Ficha de Produção</v>
      </c>
      <c r="G402" s="74">
        <v>0</v>
      </c>
      <c r="H402" s="76">
        <v>1</v>
      </c>
      <c r="I402" s="74">
        <f t="shared" si="189"/>
        <v>0</v>
      </c>
      <c r="J402" s="77">
        <f>VLOOKUP(B402,'Tabela de Produtos'!B:M,12,FALSE())</f>
        <v>0</v>
      </c>
      <c r="K402" s="74"/>
      <c r="L402" s="74"/>
      <c r="M402" s="74"/>
      <c r="N402" s="81"/>
      <c r="O402" s="74"/>
      <c r="P402" s="74"/>
      <c r="Q402" s="74"/>
      <c r="R402" s="81"/>
      <c r="S402" s="74"/>
      <c r="T402" s="74"/>
      <c r="U402" s="74"/>
      <c r="V402" s="74"/>
      <c r="W402" s="81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7"/>
      <c r="AY402" s="77">
        <f t="shared" si="190"/>
        <v>0</v>
      </c>
      <c r="AZ402" s="79">
        <f>IFERROR(H402*VLOOKUP(A402,'Tabela de Produtos'!A:Q,17,0),0)</f>
        <v>0</v>
      </c>
      <c r="BA402" s="74">
        <f t="shared" si="188"/>
        <v>0</v>
      </c>
      <c r="BB402" s="74">
        <f t="shared" si="188"/>
        <v>0</v>
      </c>
      <c r="BC402" s="74">
        <f t="shared" si="188"/>
        <v>0</v>
      </c>
      <c r="BD402" s="74">
        <f t="shared" si="188"/>
        <v>0</v>
      </c>
      <c r="BE402" s="74">
        <f t="shared" si="191"/>
        <v>0</v>
      </c>
      <c r="BF402" s="74">
        <f t="shared" si="192"/>
        <v>0</v>
      </c>
      <c r="BG402" s="74">
        <f t="shared" si="193"/>
        <v>0</v>
      </c>
      <c r="BH402" s="21">
        <f t="shared" si="194"/>
        <v>0</v>
      </c>
      <c r="BJ402" s="92"/>
      <c r="BK402" s="48"/>
    </row>
    <row r="403" spans="1:63" ht="15.75" customHeight="1">
      <c r="A403" s="72" t="s">
        <v>470</v>
      </c>
      <c r="B403" s="2" t="str">
        <f>IFERROR(VLOOKUP(A403,'Tabela de Produtos'!A:B,2,0),"Preencher Cód. Produto")</f>
        <v>BRAZIMIL TEXTURA LISA 20KG AZUL</v>
      </c>
      <c r="C403" s="2"/>
      <c r="D403" s="73"/>
      <c r="E403" s="73"/>
      <c r="F403" s="74" t="str">
        <f>IF(A403=0,0,VLOOKUP(A403,'Tabela de Produtos'!A:W,23,0))</f>
        <v>Cadastrar Ficha de Produção</v>
      </c>
      <c r="G403" s="74">
        <v>0</v>
      </c>
      <c r="H403" s="76">
        <v>1</v>
      </c>
      <c r="I403" s="74">
        <f t="shared" si="189"/>
        <v>0</v>
      </c>
      <c r="J403" s="77">
        <f>VLOOKUP(B403,'Tabela de Produtos'!B:M,12,FALSE())</f>
        <v>0</v>
      </c>
      <c r="K403" s="74"/>
      <c r="L403" s="74"/>
      <c r="M403" s="74"/>
      <c r="N403" s="81"/>
      <c r="O403" s="74"/>
      <c r="P403" s="74"/>
      <c r="Q403" s="74"/>
      <c r="R403" s="81"/>
      <c r="S403" s="74"/>
      <c r="T403" s="74"/>
      <c r="U403" s="74"/>
      <c r="V403" s="74"/>
      <c r="W403" s="81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7"/>
      <c r="AY403" s="77">
        <f t="shared" si="190"/>
        <v>0</v>
      </c>
      <c r="AZ403" s="79">
        <f>IFERROR(H403*VLOOKUP(A403,'Tabela de Produtos'!A:Q,17,0),0)</f>
        <v>0</v>
      </c>
      <c r="BA403" s="74">
        <f t="shared" si="188"/>
        <v>0</v>
      </c>
      <c r="BB403" s="74">
        <f t="shared" si="188"/>
        <v>0</v>
      </c>
      <c r="BC403" s="74">
        <f t="shared" si="188"/>
        <v>0</v>
      </c>
      <c r="BD403" s="74">
        <f t="shared" si="188"/>
        <v>0</v>
      </c>
      <c r="BE403" s="74">
        <f t="shared" si="191"/>
        <v>0</v>
      </c>
      <c r="BF403" s="74">
        <f t="shared" si="192"/>
        <v>0</v>
      </c>
      <c r="BG403" s="74">
        <f t="shared" si="193"/>
        <v>0</v>
      </c>
      <c r="BH403" s="21">
        <f t="shared" si="194"/>
        <v>0</v>
      </c>
      <c r="BJ403" s="92"/>
      <c r="BK403" s="48"/>
    </row>
    <row r="404" spans="1:63" ht="15.75" customHeight="1">
      <c r="A404" s="72" t="s">
        <v>471</v>
      </c>
      <c r="B404" s="2" t="str">
        <f>IFERROR(VLOOKUP(A404,'Tabela de Produtos'!A:B,2,0),"Preencher Cód. Produto")</f>
        <v>BRAZIMIL VERNIZ MADEIRA INT/EXT 3L INCOLOR</v>
      </c>
      <c r="C404" s="2"/>
      <c r="D404" s="73" t="s">
        <v>66</v>
      </c>
      <c r="E404" s="73"/>
      <c r="F404" s="74" t="str">
        <f>IF(A404=0,0,VLOOKUP(A404,'Tabela de Produtos'!A:W,23,0))</f>
        <v>Cadastrar Ficha de Produção</v>
      </c>
      <c r="G404" s="74">
        <v>0</v>
      </c>
      <c r="H404" s="76">
        <v>1</v>
      </c>
      <c r="I404" s="74">
        <f t="shared" si="189"/>
        <v>0</v>
      </c>
      <c r="J404" s="77">
        <f>VLOOKUP(B404,'Tabela de Produtos'!B:M,12,FALSE())</f>
        <v>0</v>
      </c>
      <c r="K404" s="74"/>
      <c r="L404" s="74"/>
      <c r="M404" s="74"/>
      <c r="N404" s="81"/>
      <c r="O404" s="74"/>
      <c r="P404" s="74"/>
      <c r="Q404" s="74"/>
      <c r="R404" s="81"/>
      <c r="S404" s="74"/>
      <c r="T404" s="74"/>
      <c r="U404" s="74"/>
      <c r="V404" s="74"/>
      <c r="W404" s="81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7"/>
      <c r="AY404" s="77">
        <f t="shared" si="190"/>
        <v>0</v>
      </c>
      <c r="AZ404" s="79">
        <f>IFERROR(H404*VLOOKUP(A404,'Tabela de Produtos'!A:Q,17,0),0)</f>
        <v>0</v>
      </c>
      <c r="BA404" s="74">
        <f t="shared" si="188"/>
        <v>0</v>
      </c>
      <c r="BB404" s="74">
        <f t="shared" si="188"/>
        <v>0</v>
      </c>
      <c r="BC404" s="74">
        <f t="shared" si="188"/>
        <v>0</v>
      </c>
      <c r="BD404" s="74">
        <f t="shared" si="188"/>
        <v>0</v>
      </c>
      <c r="BE404" s="74">
        <f t="shared" si="191"/>
        <v>0</v>
      </c>
      <c r="BF404" s="74">
        <f t="shared" si="192"/>
        <v>0</v>
      </c>
      <c r="BG404" s="74">
        <f t="shared" si="193"/>
        <v>0</v>
      </c>
      <c r="BH404" s="21">
        <f t="shared" si="194"/>
        <v>0</v>
      </c>
      <c r="BJ404" s="92"/>
      <c r="BK404" s="48"/>
    </row>
    <row r="405" spans="1:63" ht="15.75" customHeight="1">
      <c r="A405" s="72" t="s">
        <v>472</v>
      </c>
      <c r="B405" s="2" t="str">
        <f>IFERROR(VLOOKUP(A405,'Tabela de Produtos'!A:B,2,0),"Preencher Cód. Produto")</f>
        <v>BRAZIMIL VERNIZ MADEIRA INT/EXT 3L IMBUIA</v>
      </c>
      <c r="C405" s="2"/>
      <c r="D405" s="73" t="s">
        <v>66</v>
      </c>
      <c r="E405" s="73"/>
      <c r="F405" s="74" t="str">
        <f>IF(A405=0,0,VLOOKUP(A405,'Tabela de Produtos'!A:W,23,0))</f>
        <v>Cadastrar Ficha de Produção</v>
      </c>
      <c r="G405" s="74">
        <v>0</v>
      </c>
      <c r="H405" s="76">
        <v>1</v>
      </c>
      <c r="I405" s="74">
        <f t="shared" si="189"/>
        <v>0</v>
      </c>
      <c r="J405" s="77">
        <f>VLOOKUP(B405,'Tabela de Produtos'!B:M,12,FALSE())</f>
        <v>0</v>
      </c>
      <c r="K405" s="74"/>
      <c r="L405" s="74"/>
      <c r="M405" s="74"/>
      <c r="N405" s="81"/>
      <c r="O405" s="74"/>
      <c r="P405" s="74"/>
      <c r="Q405" s="74"/>
      <c r="R405" s="81"/>
      <c r="S405" s="74"/>
      <c r="T405" s="74"/>
      <c r="U405" s="74"/>
      <c r="V405" s="74"/>
      <c r="W405" s="81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7"/>
      <c r="AY405" s="77">
        <f t="shared" si="190"/>
        <v>0</v>
      </c>
      <c r="AZ405" s="79">
        <f>IFERROR(H405*VLOOKUP(A405,'Tabela de Produtos'!A:Q,17,0),0)</f>
        <v>0</v>
      </c>
      <c r="BA405" s="74">
        <f t="shared" si="188"/>
        <v>0</v>
      </c>
      <c r="BB405" s="74">
        <f t="shared" si="188"/>
        <v>0</v>
      </c>
      <c r="BC405" s="74">
        <f t="shared" si="188"/>
        <v>0</v>
      </c>
      <c r="BD405" s="74">
        <f t="shared" si="188"/>
        <v>0</v>
      </c>
      <c r="BE405" s="74">
        <f t="shared" si="191"/>
        <v>0</v>
      </c>
      <c r="BF405" s="74">
        <f t="shared" si="192"/>
        <v>0</v>
      </c>
      <c r="BG405" s="74">
        <f t="shared" si="193"/>
        <v>0</v>
      </c>
      <c r="BH405" s="21">
        <f t="shared" si="194"/>
        <v>0</v>
      </c>
      <c r="BJ405" s="92"/>
      <c r="BK405" s="48"/>
    </row>
    <row r="406" spans="1:63" ht="15.75" customHeight="1">
      <c r="A406" s="72" t="s">
        <v>473</v>
      </c>
      <c r="B406" s="2" t="str">
        <f>IFERROR(VLOOKUP(A406,'Tabela de Produtos'!A:B,2,0),"Preencher Cód. Produto")</f>
        <v>BRAZIMIL VERNIZ MADEIRA INT/EXT 3L MOGNO</v>
      </c>
      <c r="C406" s="2"/>
      <c r="D406" s="73" t="s">
        <v>66</v>
      </c>
      <c r="E406" s="73"/>
      <c r="F406" s="74" t="str">
        <f>IF(A406=0,0,VLOOKUP(A406,'Tabela de Produtos'!A:W,23,0))</f>
        <v>Cadastrar Ficha de Produção</v>
      </c>
      <c r="G406" s="74">
        <v>0</v>
      </c>
      <c r="H406" s="76">
        <v>1</v>
      </c>
      <c r="I406" s="74">
        <f t="shared" si="189"/>
        <v>0</v>
      </c>
      <c r="J406" s="77">
        <f>VLOOKUP(B406,'Tabela de Produtos'!B:M,12,FALSE())</f>
        <v>0</v>
      </c>
      <c r="K406" s="74"/>
      <c r="L406" s="74"/>
      <c r="M406" s="74"/>
      <c r="N406" s="81"/>
      <c r="O406" s="74"/>
      <c r="P406" s="74"/>
      <c r="Q406" s="74"/>
      <c r="R406" s="81"/>
      <c r="S406" s="74"/>
      <c r="T406" s="74"/>
      <c r="U406" s="74"/>
      <c r="V406" s="74"/>
      <c r="W406" s="81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7"/>
      <c r="AY406" s="77">
        <f t="shared" si="190"/>
        <v>0</v>
      </c>
      <c r="AZ406" s="79">
        <f>IFERROR(H406*VLOOKUP(A406,'Tabela de Produtos'!A:Q,17,0),0)</f>
        <v>0</v>
      </c>
      <c r="BA406" s="74">
        <f t="shared" si="188"/>
        <v>0</v>
      </c>
      <c r="BB406" s="74">
        <f t="shared" si="188"/>
        <v>0</v>
      </c>
      <c r="BC406" s="74">
        <f t="shared" si="188"/>
        <v>0</v>
      </c>
      <c r="BD406" s="74">
        <f t="shared" si="188"/>
        <v>0</v>
      </c>
      <c r="BE406" s="74">
        <f t="shared" si="191"/>
        <v>0</v>
      </c>
      <c r="BF406" s="74">
        <f t="shared" si="192"/>
        <v>0</v>
      </c>
      <c r="BG406" s="74">
        <f t="shared" si="193"/>
        <v>0</v>
      </c>
      <c r="BH406" s="21">
        <f t="shared" si="194"/>
        <v>0</v>
      </c>
      <c r="BJ406" s="92"/>
      <c r="BK406" s="48"/>
    </row>
    <row r="407" spans="1:63" ht="15.75" customHeight="1">
      <c r="A407" s="72" t="s">
        <v>474</v>
      </c>
      <c r="B407" s="2" t="str">
        <f>IFERROR(VLOOKUP(A407,'Tabela de Produtos'!A:B,2,0),"Preencher Cód. Produto")</f>
        <v>BRAZIMIL VERNIZ MADEIRA INT/EXT 3L CEREJEIRA</v>
      </c>
      <c r="C407" s="2"/>
      <c r="D407" s="73" t="s">
        <v>66</v>
      </c>
      <c r="E407" s="73"/>
      <c r="F407" s="74" t="str">
        <f>IF(A407=0,0,VLOOKUP(A407,'Tabela de Produtos'!A:W,23,0))</f>
        <v>Cadastrar Ficha de Produção</v>
      </c>
      <c r="G407" s="74">
        <v>0</v>
      </c>
      <c r="H407" s="76">
        <v>1</v>
      </c>
      <c r="I407" s="74">
        <f t="shared" si="189"/>
        <v>0</v>
      </c>
      <c r="J407" s="77">
        <f>VLOOKUP(B407,'Tabela de Produtos'!B:M,12,FALSE())</f>
        <v>0</v>
      </c>
      <c r="K407" s="74"/>
      <c r="L407" s="74"/>
      <c r="M407" s="74"/>
      <c r="N407" s="81"/>
      <c r="O407" s="74"/>
      <c r="P407" s="74"/>
      <c r="Q407" s="74"/>
      <c r="R407" s="81"/>
      <c r="S407" s="74"/>
      <c r="T407" s="74"/>
      <c r="U407" s="74"/>
      <c r="V407" s="74"/>
      <c r="W407" s="81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7"/>
      <c r="AY407" s="77">
        <f t="shared" si="190"/>
        <v>0</v>
      </c>
      <c r="AZ407" s="79">
        <f>IFERROR(H407*VLOOKUP(A407,'Tabela de Produtos'!A:Q,17,0),0)</f>
        <v>0</v>
      </c>
      <c r="BA407" s="74">
        <f t="shared" si="188"/>
        <v>0</v>
      </c>
      <c r="BB407" s="74">
        <f t="shared" si="188"/>
        <v>0</v>
      </c>
      <c r="BC407" s="74">
        <f t="shared" si="188"/>
        <v>0</v>
      </c>
      <c r="BD407" s="74">
        <f t="shared" si="188"/>
        <v>0</v>
      </c>
      <c r="BE407" s="74">
        <f t="shared" si="191"/>
        <v>0</v>
      </c>
      <c r="BF407" s="74">
        <f t="shared" si="192"/>
        <v>0</v>
      </c>
      <c r="BG407" s="74">
        <f t="shared" si="193"/>
        <v>0</v>
      </c>
      <c r="BH407" s="21">
        <f t="shared" si="194"/>
        <v>0</v>
      </c>
      <c r="BJ407" s="92"/>
      <c r="BK407" s="48"/>
    </row>
    <row r="408" spans="1:63" ht="15.75" customHeight="1">
      <c r="A408" s="72" t="s">
        <v>475</v>
      </c>
      <c r="B408" s="2" t="str">
        <f>IFERROR(VLOOKUP(A408,'Tabela de Produtos'!A:B,2,0),"Preencher Cód. Produto")</f>
        <v>BRAZIMIL VERNIZ MADEIRA INT/EXT 3 LCEDRO</v>
      </c>
      <c r="C408" s="2"/>
      <c r="D408" s="73"/>
      <c r="E408" s="73"/>
      <c r="F408" s="74" t="str">
        <f>IF(A408=0,0,VLOOKUP(A408,'Tabela de Produtos'!A:W,23,0))</f>
        <v>Cadastrar Ficha de Produção</v>
      </c>
      <c r="G408" s="74">
        <v>0</v>
      </c>
      <c r="H408" s="76">
        <v>1</v>
      </c>
      <c r="I408" s="74">
        <f t="shared" si="189"/>
        <v>0</v>
      </c>
      <c r="J408" s="77">
        <f>VLOOKUP(B408,'Tabela de Produtos'!B:M,12,FALSE())</f>
        <v>0</v>
      </c>
      <c r="K408" s="74"/>
      <c r="L408" s="74"/>
      <c r="M408" s="74"/>
      <c r="N408" s="81"/>
      <c r="O408" s="74"/>
      <c r="P408" s="74"/>
      <c r="Q408" s="74"/>
      <c r="R408" s="81"/>
      <c r="S408" s="74"/>
      <c r="T408" s="74"/>
      <c r="U408" s="74"/>
      <c r="V408" s="74"/>
      <c r="W408" s="81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7"/>
      <c r="AY408" s="77">
        <f t="shared" si="190"/>
        <v>0</v>
      </c>
      <c r="AZ408" s="79">
        <f>IFERROR(H408*VLOOKUP(A408,'Tabela de Produtos'!A:Q,17,0),0)</f>
        <v>0</v>
      </c>
      <c r="BA408" s="74">
        <f t="shared" si="188"/>
        <v>0</v>
      </c>
      <c r="BB408" s="74">
        <f t="shared" si="188"/>
        <v>0</v>
      </c>
      <c r="BC408" s="74">
        <f t="shared" si="188"/>
        <v>0</v>
      </c>
      <c r="BD408" s="74">
        <f t="shared" si="188"/>
        <v>0</v>
      </c>
      <c r="BE408" s="74">
        <f t="shared" si="191"/>
        <v>0</v>
      </c>
      <c r="BF408" s="74">
        <f t="shared" si="192"/>
        <v>0</v>
      </c>
      <c r="BG408" s="74">
        <f t="shared" si="193"/>
        <v>0</v>
      </c>
      <c r="BH408" s="21">
        <f t="shared" si="194"/>
        <v>0</v>
      </c>
      <c r="BJ408" s="92"/>
      <c r="BK408" s="48"/>
    </row>
    <row r="409" spans="1:63" ht="15.75" customHeight="1">
      <c r="A409" s="72" t="s">
        <v>476</v>
      </c>
      <c r="B409" s="2" t="str">
        <f>IFERROR(VLOOKUP(A409,'Tabela de Produtos'!A:B,2,0),"Preencher Cód. Produto")</f>
        <v>BRAZIMIL VERNIZ MADEIRA INT/EXT 3L COLORADO</v>
      </c>
      <c r="C409" s="2"/>
      <c r="D409" s="73" t="s">
        <v>66</v>
      </c>
      <c r="E409" s="73"/>
      <c r="F409" s="74" t="str">
        <f>IF(A409=0,0,VLOOKUP(A409,'Tabela de Produtos'!A:W,23,0))</f>
        <v>Cadastrar Ficha de Produção</v>
      </c>
      <c r="G409" s="74">
        <v>0</v>
      </c>
      <c r="H409" s="76">
        <v>1</v>
      </c>
      <c r="I409" s="74">
        <f t="shared" si="189"/>
        <v>0</v>
      </c>
      <c r="J409" s="77">
        <f>VLOOKUP(B409,'Tabela de Produtos'!B:M,12,FALSE())</f>
        <v>0</v>
      </c>
      <c r="K409" s="74"/>
      <c r="L409" s="74"/>
      <c r="M409" s="74"/>
      <c r="N409" s="81"/>
      <c r="O409" s="74"/>
      <c r="P409" s="74"/>
      <c r="Q409" s="74"/>
      <c r="R409" s="81"/>
      <c r="S409" s="74"/>
      <c r="T409" s="74"/>
      <c r="U409" s="74"/>
      <c r="V409" s="74"/>
      <c r="W409" s="81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7"/>
      <c r="AY409" s="77">
        <f t="shared" si="190"/>
        <v>0</v>
      </c>
      <c r="AZ409" s="79">
        <f>IFERROR(H409*VLOOKUP(A409,'Tabela de Produtos'!A:Q,17,0),0)</f>
        <v>0</v>
      </c>
      <c r="BA409" s="74">
        <f t="shared" si="188"/>
        <v>0</v>
      </c>
      <c r="BB409" s="74">
        <f t="shared" si="188"/>
        <v>0</v>
      </c>
      <c r="BC409" s="74">
        <f t="shared" si="188"/>
        <v>0</v>
      </c>
      <c r="BD409" s="74">
        <f t="shared" si="188"/>
        <v>0</v>
      </c>
      <c r="BE409" s="74">
        <f t="shared" si="191"/>
        <v>0</v>
      </c>
      <c r="BF409" s="74">
        <f t="shared" si="192"/>
        <v>0</v>
      </c>
      <c r="BG409" s="74">
        <f t="shared" si="193"/>
        <v>0</v>
      </c>
      <c r="BH409" s="21">
        <f t="shared" si="194"/>
        <v>0</v>
      </c>
      <c r="BJ409" s="92"/>
      <c r="BK409" s="48"/>
    </row>
    <row r="410" spans="1:63" ht="15.75" customHeight="1">
      <c r="A410" s="72" t="s">
        <v>477</v>
      </c>
      <c r="B410" s="2" t="str">
        <f>IFERROR(VLOOKUP(A410,'Tabela de Produtos'!A:B,2,0),"Preencher Cód. Produto")</f>
        <v>BRAZIMIL VERNIZ MADEIRA INT/EXT 3L NOGUEIRA</v>
      </c>
      <c r="C410" s="2"/>
      <c r="D410" s="73" t="s">
        <v>66</v>
      </c>
      <c r="E410" s="73"/>
      <c r="F410" s="74" t="str">
        <f>IF(A410=0,0,VLOOKUP(A410,'Tabela de Produtos'!A:W,23,0))</f>
        <v>Cadastrar Ficha de Produção</v>
      </c>
      <c r="G410" s="74">
        <v>0</v>
      </c>
      <c r="H410" s="76">
        <v>1</v>
      </c>
      <c r="I410" s="74">
        <f t="shared" si="189"/>
        <v>0</v>
      </c>
      <c r="J410" s="77">
        <f>VLOOKUP(B410,'Tabela de Produtos'!B:M,12,FALSE())</f>
        <v>0</v>
      </c>
      <c r="K410" s="74"/>
      <c r="L410" s="74"/>
      <c r="M410" s="74"/>
      <c r="N410" s="81"/>
      <c r="O410" s="74"/>
      <c r="P410" s="74"/>
      <c r="Q410" s="74"/>
      <c r="R410" s="81"/>
      <c r="S410" s="74"/>
      <c r="T410" s="74"/>
      <c r="U410" s="74"/>
      <c r="V410" s="74"/>
      <c r="W410" s="81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7"/>
      <c r="AY410" s="77">
        <f t="shared" si="190"/>
        <v>0</v>
      </c>
      <c r="AZ410" s="79">
        <f>IFERROR(H410*VLOOKUP(A410,'Tabela de Produtos'!A:Q,17,0),0)</f>
        <v>0</v>
      </c>
      <c r="BA410" s="74">
        <f t="shared" si="188"/>
        <v>0</v>
      </c>
      <c r="BB410" s="74">
        <f t="shared" si="188"/>
        <v>0</v>
      </c>
      <c r="BC410" s="74">
        <f t="shared" si="188"/>
        <v>0</v>
      </c>
      <c r="BD410" s="74">
        <f t="shared" si="188"/>
        <v>0</v>
      </c>
      <c r="BE410" s="74">
        <f t="shared" si="191"/>
        <v>0</v>
      </c>
      <c r="BF410" s="74">
        <f t="shared" si="192"/>
        <v>0</v>
      </c>
      <c r="BG410" s="74">
        <f t="shared" si="193"/>
        <v>0</v>
      </c>
      <c r="BH410" s="21">
        <f t="shared" si="194"/>
        <v>0</v>
      </c>
      <c r="BJ410" s="92"/>
      <c r="BK410" s="48"/>
    </row>
    <row r="411" spans="1:63" ht="15.75" customHeight="1">
      <c r="A411" s="72" t="s">
        <v>478</v>
      </c>
      <c r="B411" s="2" t="str">
        <f>IFERROR(VLOOKUP(A411,'Tabela de Produtos'!A:B,2,0),"Preencher Cód. Produto")</f>
        <v>BRAZIMIL VERNIZ MADEIRA INT/EXT 3L IPE</v>
      </c>
      <c r="C411" s="2"/>
      <c r="D411" s="73" t="s">
        <v>66</v>
      </c>
      <c r="E411" s="73"/>
      <c r="F411" s="74" t="str">
        <f>IF(A411=0,0,VLOOKUP(A411,'Tabela de Produtos'!A:W,23,0))</f>
        <v>Cadastrar Ficha de Produção</v>
      </c>
      <c r="G411" s="74">
        <v>0</v>
      </c>
      <c r="H411" s="76">
        <v>1</v>
      </c>
      <c r="I411" s="74">
        <f t="shared" si="189"/>
        <v>0</v>
      </c>
      <c r="J411" s="77">
        <f>VLOOKUP(B411,'Tabela de Produtos'!B:M,12,FALSE())</f>
        <v>0</v>
      </c>
      <c r="K411" s="74"/>
      <c r="L411" s="74"/>
      <c r="M411" s="74"/>
      <c r="N411" s="81"/>
      <c r="O411" s="74"/>
      <c r="P411" s="74"/>
      <c r="Q411" s="74"/>
      <c r="R411" s="81"/>
      <c r="S411" s="74"/>
      <c r="T411" s="74"/>
      <c r="U411" s="74"/>
      <c r="V411" s="74"/>
      <c r="W411" s="81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7"/>
      <c r="AY411" s="77">
        <f t="shared" si="190"/>
        <v>0</v>
      </c>
      <c r="AZ411" s="79">
        <f>IFERROR(H411*VLOOKUP(A411,'Tabela de Produtos'!A:Q,17,0),0)</f>
        <v>0</v>
      </c>
      <c r="BA411" s="74">
        <f t="shared" si="188"/>
        <v>0</v>
      </c>
      <c r="BB411" s="74">
        <f t="shared" si="188"/>
        <v>0</v>
      </c>
      <c r="BC411" s="74">
        <f t="shared" si="188"/>
        <v>0</v>
      </c>
      <c r="BD411" s="74">
        <f t="shared" si="188"/>
        <v>0</v>
      </c>
      <c r="BE411" s="74">
        <f t="shared" si="191"/>
        <v>0</v>
      </c>
      <c r="BF411" s="74">
        <f t="shared" si="192"/>
        <v>0</v>
      </c>
      <c r="BG411" s="74">
        <f t="shared" si="193"/>
        <v>0</v>
      </c>
      <c r="BH411" s="21">
        <f t="shared" si="194"/>
        <v>0</v>
      </c>
      <c r="BJ411" s="92"/>
      <c r="BK411" s="48"/>
    </row>
    <row r="412" spans="1:63" ht="15.75" customHeight="1">
      <c r="A412" s="72" t="s">
        <v>479</v>
      </c>
      <c r="B412" s="2" t="str">
        <f>IFERROR(VLOOKUP(A412,'Tabela de Produtos'!A:B,2,0),"Preencher Cód. Produto")</f>
        <v>BRAZIMIL VERNIZ MADEIRA INT/EXT 0,75L INCOLOR</v>
      </c>
      <c r="C412" s="2"/>
      <c r="D412" s="73"/>
      <c r="E412" s="73"/>
      <c r="F412" s="74" t="str">
        <f>IF(A412=0,0,VLOOKUP(A412,'Tabela de Produtos'!A:W,23,0))</f>
        <v>Cadastrar Ficha de Produção</v>
      </c>
      <c r="G412" s="74">
        <v>0</v>
      </c>
      <c r="H412" s="76">
        <v>1</v>
      </c>
      <c r="I412" s="74">
        <f t="shared" si="189"/>
        <v>0</v>
      </c>
      <c r="J412" s="77">
        <f>VLOOKUP(B412,'Tabela de Produtos'!B:M,12,FALSE())</f>
        <v>0</v>
      </c>
      <c r="K412" s="74"/>
      <c r="L412" s="74"/>
      <c r="M412" s="74"/>
      <c r="N412" s="81"/>
      <c r="O412" s="74"/>
      <c r="P412" s="74"/>
      <c r="Q412" s="74"/>
      <c r="R412" s="81"/>
      <c r="S412" s="74"/>
      <c r="T412" s="74"/>
      <c r="U412" s="74"/>
      <c r="V412" s="74"/>
      <c r="W412" s="81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7"/>
      <c r="AY412" s="77">
        <f t="shared" si="190"/>
        <v>0</v>
      </c>
      <c r="AZ412" s="79">
        <f>IFERROR(H412*VLOOKUP(A412,'Tabela de Produtos'!A:Q,17,0),0)</f>
        <v>0</v>
      </c>
      <c r="BA412" s="74">
        <f t="shared" si="188"/>
        <v>0</v>
      </c>
      <c r="BB412" s="74">
        <f t="shared" si="188"/>
        <v>0</v>
      </c>
      <c r="BC412" s="74">
        <f t="shared" si="188"/>
        <v>0</v>
      </c>
      <c r="BD412" s="74">
        <f t="shared" si="188"/>
        <v>0</v>
      </c>
      <c r="BE412" s="74">
        <f t="shared" si="191"/>
        <v>0</v>
      </c>
      <c r="BF412" s="74">
        <f t="shared" si="192"/>
        <v>0</v>
      </c>
      <c r="BG412" s="74">
        <f t="shared" si="193"/>
        <v>0</v>
      </c>
      <c r="BH412" s="21">
        <f t="shared" si="194"/>
        <v>0</v>
      </c>
      <c r="BJ412" s="92"/>
      <c r="BK412" s="48"/>
    </row>
    <row r="413" spans="1:63" ht="15.75" customHeight="1">
      <c r="A413" s="72" t="s">
        <v>480</v>
      </c>
      <c r="B413" s="2" t="str">
        <f>IFERROR(VLOOKUP(A413,'Tabela de Produtos'!A:B,2,0),"Preencher Cód. Produto")</f>
        <v>BRAZIMIL VERNIZ MADEIRA INT/EXT 0,75L IMBUIA</v>
      </c>
      <c r="C413" s="2"/>
      <c r="D413" s="73"/>
      <c r="E413" s="73"/>
      <c r="F413" s="74" t="str">
        <f>IF(A413=0,0,VLOOKUP(A413,'Tabela de Produtos'!A:W,23,0))</f>
        <v>Cadastrar Ficha de Produção</v>
      </c>
      <c r="G413" s="74">
        <v>0</v>
      </c>
      <c r="H413" s="76">
        <v>1</v>
      </c>
      <c r="I413" s="74">
        <f t="shared" si="189"/>
        <v>0</v>
      </c>
      <c r="J413" s="77">
        <f>VLOOKUP(B413,'Tabela de Produtos'!B:M,12,FALSE())</f>
        <v>0</v>
      </c>
      <c r="K413" s="74"/>
      <c r="L413" s="74"/>
      <c r="M413" s="74"/>
      <c r="N413" s="81"/>
      <c r="O413" s="74"/>
      <c r="P413" s="74"/>
      <c r="Q413" s="74"/>
      <c r="R413" s="81"/>
      <c r="S413" s="74"/>
      <c r="T413" s="74"/>
      <c r="U413" s="74"/>
      <c r="V413" s="74"/>
      <c r="W413" s="81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7"/>
      <c r="AY413" s="77">
        <f t="shared" si="190"/>
        <v>0</v>
      </c>
      <c r="AZ413" s="79">
        <f>IFERROR(H413*VLOOKUP(A413,'Tabela de Produtos'!A:Q,17,0),0)</f>
        <v>0</v>
      </c>
      <c r="BA413" s="74">
        <f t="shared" si="188"/>
        <v>0</v>
      </c>
      <c r="BB413" s="74">
        <f t="shared" si="188"/>
        <v>0</v>
      </c>
      <c r="BC413" s="74">
        <f t="shared" si="188"/>
        <v>0</v>
      </c>
      <c r="BD413" s="74">
        <f t="shared" si="188"/>
        <v>0</v>
      </c>
      <c r="BE413" s="74">
        <f t="shared" si="191"/>
        <v>0</v>
      </c>
      <c r="BF413" s="74">
        <f t="shared" si="192"/>
        <v>0</v>
      </c>
      <c r="BG413" s="74">
        <f t="shared" si="193"/>
        <v>0</v>
      </c>
      <c r="BH413" s="21">
        <f t="shared" si="194"/>
        <v>0</v>
      </c>
      <c r="BJ413" s="92"/>
      <c r="BK413" s="48"/>
    </row>
    <row r="414" spans="1:63" ht="15.75" customHeight="1">
      <c r="A414" s="72" t="s">
        <v>481</v>
      </c>
      <c r="B414" s="2" t="str">
        <f>IFERROR(VLOOKUP(A414,'Tabela de Produtos'!A:B,2,0),"Preencher Cód. Produto")</f>
        <v>BRAZIMIL VERNIZ MADEIRA INT/EXT 0,75L MOGNO</v>
      </c>
      <c r="C414" s="2"/>
      <c r="D414" s="73"/>
      <c r="E414" s="73"/>
      <c r="F414" s="74" t="str">
        <f>IF(A414=0,0,VLOOKUP(A414,'Tabela de Produtos'!A:W,23,0))</f>
        <v>Cadastrar Ficha de Produção</v>
      </c>
      <c r="G414" s="74">
        <v>0</v>
      </c>
      <c r="H414" s="76">
        <v>1</v>
      </c>
      <c r="I414" s="74">
        <f t="shared" si="189"/>
        <v>0</v>
      </c>
      <c r="J414" s="77">
        <f>VLOOKUP(B414,'Tabela de Produtos'!B:M,12,FALSE())</f>
        <v>0</v>
      </c>
      <c r="K414" s="74"/>
      <c r="L414" s="74"/>
      <c r="M414" s="74"/>
      <c r="N414" s="81"/>
      <c r="O414" s="74"/>
      <c r="P414" s="74"/>
      <c r="Q414" s="74"/>
      <c r="R414" s="81"/>
      <c r="S414" s="74"/>
      <c r="T414" s="74"/>
      <c r="U414" s="74"/>
      <c r="V414" s="74"/>
      <c r="W414" s="81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7"/>
      <c r="AY414" s="77">
        <f t="shared" si="190"/>
        <v>0</v>
      </c>
      <c r="AZ414" s="79">
        <f>IFERROR(H414*VLOOKUP(A414,'Tabela de Produtos'!A:Q,17,0),0)</f>
        <v>0</v>
      </c>
      <c r="BA414" s="74">
        <f t="shared" ref="BA414:BD435" si="195">$I414*BA$12</f>
        <v>0</v>
      </c>
      <c r="BB414" s="74">
        <f t="shared" si="195"/>
        <v>0</v>
      </c>
      <c r="BC414" s="74">
        <f t="shared" si="195"/>
        <v>0</v>
      </c>
      <c r="BD414" s="74">
        <f t="shared" si="195"/>
        <v>0</v>
      </c>
      <c r="BE414" s="74">
        <f t="shared" si="191"/>
        <v>0</v>
      </c>
      <c r="BF414" s="74">
        <f t="shared" si="192"/>
        <v>0</v>
      </c>
      <c r="BG414" s="74">
        <f t="shared" si="193"/>
        <v>0</v>
      </c>
      <c r="BH414" s="21">
        <f t="shared" si="194"/>
        <v>0</v>
      </c>
      <c r="BJ414" s="92"/>
      <c r="BK414" s="48"/>
    </row>
    <row r="415" spans="1:63" ht="15.75" customHeight="1">
      <c r="A415" s="72" t="s">
        <v>482</v>
      </c>
      <c r="B415" s="2" t="str">
        <f>IFERROR(VLOOKUP(A415,'Tabela de Produtos'!A:B,2,0),"Preencher Cód. Produto")</f>
        <v>BRAZIMIL VERNIZ MADEIRA INT/EXT 0,75L CEREJEIRA</v>
      </c>
      <c r="C415" s="2"/>
      <c r="D415" s="73"/>
      <c r="E415" s="73"/>
      <c r="F415" s="74" t="str">
        <f>IF(A415=0,0,VLOOKUP(A415,'Tabela de Produtos'!A:W,23,0))</f>
        <v>Cadastrar Ficha de Produção</v>
      </c>
      <c r="G415" s="74">
        <v>0</v>
      </c>
      <c r="H415" s="76">
        <v>1</v>
      </c>
      <c r="I415" s="74">
        <f t="shared" si="189"/>
        <v>0</v>
      </c>
      <c r="J415" s="77">
        <f>VLOOKUP(B415,'Tabela de Produtos'!B:M,12,FALSE())</f>
        <v>0</v>
      </c>
      <c r="K415" s="74"/>
      <c r="L415" s="74"/>
      <c r="M415" s="74"/>
      <c r="N415" s="81"/>
      <c r="O415" s="74"/>
      <c r="P415" s="74"/>
      <c r="Q415" s="74"/>
      <c r="R415" s="81"/>
      <c r="S415" s="74"/>
      <c r="T415" s="74"/>
      <c r="U415" s="74"/>
      <c r="V415" s="74"/>
      <c r="W415" s="81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7"/>
      <c r="AY415" s="77">
        <f t="shared" si="190"/>
        <v>0</v>
      </c>
      <c r="AZ415" s="79">
        <f>IFERROR(H415*VLOOKUP(A415,'Tabela de Produtos'!A:Q,17,0),0)</f>
        <v>0</v>
      </c>
      <c r="BA415" s="74">
        <f t="shared" si="195"/>
        <v>0</v>
      </c>
      <c r="BB415" s="74">
        <f t="shared" si="195"/>
        <v>0</v>
      </c>
      <c r="BC415" s="74">
        <f t="shared" si="195"/>
        <v>0</v>
      </c>
      <c r="BD415" s="74">
        <f t="shared" si="195"/>
        <v>0</v>
      </c>
      <c r="BE415" s="74">
        <f t="shared" si="191"/>
        <v>0</v>
      </c>
      <c r="BF415" s="74">
        <f t="shared" si="192"/>
        <v>0</v>
      </c>
      <c r="BG415" s="74">
        <f t="shared" si="193"/>
        <v>0</v>
      </c>
      <c r="BH415" s="21">
        <f t="shared" si="194"/>
        <v>0</v>
      </c>
      <c r="BJ415" s="92"/>
      <c r="BK415" s="48"/>
    </row>
    <row r="416" spans="1:63" ht="15.75" customHeight="1">
      <c r="A416" s="72" t="s">
        <v>483</v>
      </c>
      <c r="B416" s="2" t="str">
        <f>IFERROR(VLOOKUP(A416,'Tabela de Produtos'!A:B,2,0),"Preencher Cód. Produto")</f>
        <v>BRAZIMIL VERNIZ MADEIRA INT/EXT 0,75L CEDRO</v>
      </c>
      <c r="C416" s="2"/>
      <c r="D416" s="73"/>
      <c r="E416" s="73"/>
      <c r="F416" s="74" t="str">
        <f>IF(A416=0,0,VLOOKUP(A416,'Tabela de Produtos'!A:W,23,0))</f>
        <v>Cadastrar Ficha de Produção</v>
      </c>
      <c r="G416" s="74">
        <v>0</v>
      </c>
      <c r="H416" s="76">
        <v>1</v>
      </c>
      <c r="I416" s="74">
        <f t="shared" si="189"/>
        <v>0</v>
      </c>
      <c r="J416" s="77">
        <f>VLOOKUP(B416,'Tabela de Produtos'!B:M,12,FALSE())</f>
        <v>0</v>
      </c>
      <c r="K416" s="74"/>
      <c r="L416" s="74"/>
      <c r="M416" s="74"/>
      <c r="N416" s="81"/>
      <c r="O416" s="74"/>
      <c r="P416" s="74"/>
      <c r="Q416" s="74"/>
      <c r="R416" s="81"/>
      <c r="S416" s="74"/>
      <c r="T416" s="74"/>
      <c r="U416" s="74"/>
      <c r="V416" s="74"/>
      <c r="W416" s="81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7"/>
      <c r="AY416" s="77">
        <f t="shared" si="190"/>
        <v>0</v>
      </c>
      <c r="AZ416" s="79">
        <f>IFERROR(H416*VLOOKUP(A416,'Tabela de Produtos'!A:Q,17,0),0)</f>
        <v>0</v>
      </c>
      <c r="BA416" s="74">
        <f t="shared" si="195"/>
        <v>0</v>
      </c>
      <c r="BB416" s="74">
        <f t="shared" si="195"/>
        <v>0</v>
      </c>
      <c r="BC416" s="74">
        <f t="shared" si="195"/>
        <v>0</v>
      </c>
      <c r="BD416" s="74">
        <f t="shared" si="195"/>
        <v>0</v>
      </c>
      <c r="BE416" s="74">
        <f t="shared" si="191"/>
        <v>0</v>
      </c>
      <c r="BF416" s="74">
        <f t="shared" si="192"/>
        <v>0</v>
      </c>
      <c r="BG416" s="74">
        <f t="shared" si="193"/>
        <v>0</v>
      </c>
      <c r="BH416" s="21">
        <f t="shared" si="194"/>
        <v>0</v>
      </c>
      <c r="BJ416" s="92"/>
      <c r="BK416" s="48"/>
    </row>
    <row r="417" spans="1:63" ht="15.75" customHeight="1">
      <c r="A417" s="72" t="s">
        <v>484</v>
      </c>
      <c r="B417" s="2" t="str">
        <f>IFERROR(VLOOKUP(A417,'Tabela de Produtos'!A:B,2,0),"Preencher Cód. Produto")</f>
        <v>BRAZIMIL VERNIZ MADEIRA INT/EXT 0,75L COLORADO</v>
      </c>
      <c r="C417" s="2"/>
      <c r="D417" s="73"/>
      <c r="E417" s="73"/>
      <c r="F417" s="74" t="str">
        <f>IF(A417=0,0,VLOOKUP(A417,'Tabela de Produtos'!A:W,23,0))</f>
        <v>Cadastrar Ficha de Produção</v>
      </c>
      <c r="G417" s="74">
        <v>0</v>
      </c>
      <c r="H417" s="76">
        <v>1</v>
      </c>
      <c r="I417" s="74">
        <f t="shared" si="189"/>
        <v>0</v>
      </c>
      <c r="J417" s="77">
        <f>VLOOKUP(B417,'Tabela de Produtos'!B:M,12,FALSE())</f>
        <v>0</v>
      </c>
      <c r="K417" s="74"/>
      <c r="L417" s="74"/>
      <c r="M417" s="74"/>
      <c r="N417" s="81"/>
      <c r="O417" s="74"/>
      <c r="P417" s="74"/>
      <c r="Q417" s="74"/>
      <c r="R417" s="81"/>
      <c r="S417" s="74"/>
      <c r="T417" s="74"/>
      <c r="U417" s="74"/>
      <c r="V417" s="74"/>
      <c r="W417" s="81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7"/>
      <c r="AY417" s="77">
        <f t="shared" si="190"/>
        <v>0</v>
      </c>
      <c r="AZ417" s="79">
        <f>IFERROR(H417*VLOOKUP(A417,'Tabela de Produtos'!A:Q,17,0),0)</f>
        <v>0</v>
      </c>
      <c r="BA417" s="74">
        <f t="shared" si="195"/>
        <v>0</v>
      </c>
      <c r="BB417" s="74">
        <f t="shared" si="195"/>
        <v>0</v>
      </c>
      <c r="BC417" s="74">
        <f t="shared" si="195"/>
        <v>0</v>
      </c>
      <c r="BD417" s="74">
        <f t="shared" si="195"/>
        <v>0</v>
      </c>
      <c r="BE417" s="74">
        <f t="shared" si="191"/>
        <v>0</v>
      </c>
      <c r="BF417" s="74">
        <f t="shared" si="192"/>
        <v>0</v>
      </c>
      <c r="BG417" s="74">
        <f t="shared" si="193"/>
        <v>0</v>
      </c>
      <c r="BH417" s="21">
        <f t="shared" si="194"/>
        <v>0</v>
      </c>
      <c r="BJ417" s="92"/>
      <c r="BK417" s="48"/>
    </row>
    <row r="418" spans="1:63" ht="15.75" customHeight="1">
      <c r="A418" s="72" t="s">
        <v>485</v>
      </c>
      <c r="B418" s="2" t="str">
        <f>IFERROR(VLOOKUP(A418,'Tabela de Produtos'!A:B,2,0),"Preencher Cód. Produto")</f>
        <v>BRAZIMIL VERNIZ MADEIRA INT/EXT 0,75L NOGUEIRA</v>
      </c>
      <c r="C418" s="2"/>
      <c r="D418" s="73"/>
      <c r="E418" s="73"/>
      <c r="F418" s="74" t="str">
        <f>IF(A418=0,0,VLOOKUP(A418,'Tabela de Produtos'!A:W,23,0))</f>
        <v>Cadastrar Ficha de Produção</v>
      </c>
      <c r="G418" s="74">
        <v>0</v>
      </c>
      <c r="H418" s="76">
        <v>1</v>
      </c>
      <c r="I418" s="74">
        <f t="shared" si="189"/>
        <v>0</v>
      </c>
      <c r="J418" s="77">
        <f>VLOOKUP(B418,'Tabela de Produtos'!B:M,12,FALSE())</f>
        <v>0</v>
      </c>
      <c r="K418" s="74"/>
      <c r="L418" s="74"/>
      <c r="M418" s="74"/>
      <c r="N418" s="81"/>
      <c r="O418" s="74"/>
      <c r="P418" s="74"/>
      <c r="Q418" s="74"/>
      <c r="R418" s="81"/>
      <c r="S418" s="74"/>
      <c r="T418" s="74"/>
      <c r="U418" s="74"/>
      <c r="V418" s="74"/>
      <c r="W418" s="81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7"/>
      <c r="AY418" s="77">
        <f t="shared" si="190"/>
        <v>0</v>
      </c>
      <c r="AZ418" s="79">
        <f>IFERROR(H418*VLOOKUP(A418,'Tabela de Produtos'!A:Q,17,0),0)</f>
        <v>0</v>
      </c>
      <c r="BA418" s="74">
        <f t="shared" si="195"/>
        <v>0</v>
      </c>
      <c r="BB418" s="74">
        <f t="shared" si="195"/>
        <v>0</v>
      </c>
      <c r="BC418" s="74">
        <f t="shared" si="195"/>
        <v>0</v>
      </c>
      <c r="BD418" s="74">
        <f t="shared" si="195"/>
        <v>0</v>
      </c>
      <c r="BE418" s="74">
        <f t="shared" si="191"/>
        <v>0</v>
      </c>
      <c r="BF418" s="74">
        <f t="shared" si="192"/>
        <v>0</v>
      </c>
      <c r="BG418" s="74">
        <f t="shared" si="193"/>
        <v>0</v>
      </c>
      <c r="BH418" s="21">
        <f t="shared" si="194"/>
        <v>0</v>
      </c>
      <c r="BJ418" s="92"/>
      <c r="BK418" s="48"/>
    </row>
    <row r="419" spans="1:63" ht="15.75" customHeight="1">
      <c r="A419" s="72" t="s">
        <v>486</v>
      </c>
      <c r="B419" s="2" t="str">
        <f>IFERROR(VLOOKUP(A419,'Tabela de Produtos'!A:B,2,0),"Preencher Cód. Produto")</f>
        <v>BRAZIMIL VERNIZ MADEIRA INT/EXT 0,75L IPE</v>
      </c>
      <c r="C419" s="2"/>
      <c r="D419" s="73"/>
      <c r="E419" s="73"/>
      <c r="F419" s="74" t="str">
        <f>IF(A419=0,0,VLOOKUP(A419,'Tabela de Produtos'!A:W,23,0))</f>
        <v>Cadastrar Ficha de Produção</v>
      </c>
      <c r="G419" s="74">
        <v>0</v>
      </c>
      <c r="H419" s="76">
        <v>1</v>
      </c>
      <c r="I419" s="74">
        <f t="shared" si="189"/>
        <v>0</v>
      </c>
      <c r="J419" s="77">
        <f>VLOOKUP(B419,'Tabela de Produtos'!B:M,12,FALSE())</f>
        <v>0</v>
      </c>
      <c r="K419" s="74"/>
      <c r="L419" s="74"/>
      <c r="M419" s="74"/>
      <c r="N419" s="81"/>
      <c r="O419" s="74"/>
      <c r="P419" s="74"/>
      <c r="Q419" s="74"/>
      <c r="R419" s="81"/>
      <c r="S419" s="74"/>
      <c r="T419" s="74"/>
      <c r="U419" s="74"/>
      <c r="V419" s="74"/>
      <c r="W419" s="81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7"/>
      <c r="AY419" s="77">
        <f t="shared" si="190"/>
        <v>0</v>
      </c>
      <c r="AZ419" s="79">
        <f>IFERROR(H419*VLOOKUP(A419,'Tabela de Produtos'!A:Q,17,0),0)</f>
        <v>0</v>
      </c>
      <c r="BA419" s="74">
        <f t="shared" si="195"/>
        <v>0</v>
      </c>
      <c r="BB419" s="74">
        <f t="shared" si="195"/>
        <v>0</v>
      </c>
      <c r="BC419" s="74">
        <f t="shared" si="195"/>
        <v>0</v>
      </c>
      <c r="BD419" s="74">
        <f t="shared" si="195"/>
        <v>0</v>
      </c>
      <c r="BE419" s="74">
        <f t="shared" si="191"/>
        <v>0</v>
      </c>
      <c r="BF419" s="74">
        <f t="shared" si="192"/>
        <v>0</v>
      </c>
      <c r="BG419" s="74">
        <f t="shared" si="193"/>
        <v>0</v>
      </c>
      <c r="BH419" s="21">
        <f t="shared" si="194"/>
        <v>0</v>
      </c>
      <c r="BJ419" s="92"/>
      <c r="BK419" s="48"/>
    </row>
    <row r="420" spans="1:63" ht="15.75" customHeight="1">
      <c r="A420" s="72" t="s">
        <v>487</v>
      </c>
      <c r="B420" s="2" t="str">
        <f>IFERROR(VLOOKUP(A420,'Tabela de Produtos'!A:B,2,0),"Preencher Cód. Produto")</f>
        <v>BRAZIMIL LIQUIBRILHO 3L INCOLOR</v>
      </c>
      <c r="C420" s="2"/>
      <c r="D420" s="73" t="s">
        <v>66</v>
      </c>
      <c r="E420" s="73"/>
      <c r="F420" s="74" t="str">
        <f>IF(A420=0,0,VLOOKUP(A420,'Tabela de Produtos'!A:W,23,0))</f>
        <v>Cadastrar Ficha de Produção</v>
      </c>
      <c r="G420" s="74">
        <v>0</v>
      </c>
      <c r="H420" s="76">
        <v>1</v>
      </c>
      <c r="I420" s="74">
        <f t="shared" si="189"/>
        <v>0</v>
      </c>
      <c r="J420" s="77">
        <f>VLOOKUP(B420,'Tabela de Produtos'!B:M,12,FALSE())</f>
        <v>0</v>
      </c>
      <c r="K420" s="74"/>
      <c r="L420" s="74"/>
      <c r="M420" s="74"/>
      <c r="N420" s="81"/>
      <c r="O420" s="74"/>
      <c r="P420" s="74"/>
      <c r="Q420" s="74"/>
      <c r="R420" s="81"/>
      <c r="S420" s="74"/>
      <c r="T420" s="74"/>
      <c r="U420" s="74"/>
      <c r="V420" s="74"/>
      <c r="W420" s="81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7"/>
      <c r="AY420" s="77">
        <f t="shared" si="190"/>
        <v>0</v>
      </c>
      <c r="AZ420" s="79">
        <f>IFERROR(H420*VLOOKUP(A420,'Tabela de Produtos'!A:Q,17,0),0)</f>
        <v>3.06</v>
      </c>
      <c r="BA420" s="74">
        <f t="shared" si="195"/>
        <v>0</v>
      </c>
      <c r="BB420" s="74">
        <f t="shared" si="195"/>
        <v>0</v>
      </c>
      <c r="BC420" s="74">
        <f t="shared" si="195"/>
        <v>0</v>
      </c>
      <c r="BD420" s="74">
        <f t="shared" si="195"/>
        <v>0</v>
      </c>
      <c r="BE420" s="74">
        <f t="shared" si="191"/>
        <v>0</v>
      </c>
      <c r="BF420" s="74">
        <f t="shared" si="192"/>
        <v>3.06</v>
      </c>
      <c r="BG420" s="74">
        <f t="shared" si="193"/>
        <v>-3.06</v>
      </c>
      <c r="BH420" s="21">
        <f t="shared" si="194"/>
        <v>0</v>
      </c>
      <c r="BJ420" s="92"/>
      <c r="BK420" s="48"/>
    </row>
    <row r="421" spans="1:63" ht="15.75" customHeight="1">
      <c r="A421" s="72" t="s">
        <v>488</v>
      </c>
      <c r="B421" s="2" t="str">
        <f>IFERROR(VLOOKUP(A421,'Tabela de Produtos'!A:B,2,0),"Preencher Cód. Produto")</f>
        <v>BRAZIMIL LIQUIBRILHO 15L  INCOLOR</v>
      </c>
      <c r="C421" s="2"/>
      <c r="D421" s="73" t="s">
        <v>40</v>
      </c>
      <c r="E421" s="73"/>
      <c r="F421" s="74" t="str">
        <f>IF(A421=0,0,VLOOKUP(A421,'Tabela de Produtos'!A:W,23,0))</f>
        <v>Cadastrar Ficha de Produção</v>
      </c>
      <c r="G421" s="74">
        <v>0</v>
      </c>
      <c r="H421" s="76">
        <v>1</v>
      </c>
      <c r="I421" s="74">
        <f t="shared" si="189"/>
        <v>0</v>
      </c>
      <c r="J421" s="77">
        <f>VLOOKUP(B421,'Tabela de Produtos'!B:M,12,FALSE())</f>
        <v>0</v>
      </c>
      <c r="K421" s="74"/>
      <c r="L421" s="74"/>
      <c r="M421" s="74"/>
      <c r="N421" s="81"/>
      <c r="O421" s="74"/>
      <c r="P421" s="74"/>
      <c r="Q421" s="74"/>
      <c r="R421" s="81"/>
      <c r="S421" s="74"/>
      <c r="T421" s="74"/>
      <c r="U421" s="74"/>
      <c r="V421" s="74"/>
      <c r="W421" s="81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7"/>
      <c r="AY421" s="77">
        <f t="shared" si="190"/>
        <v>0</v>
      </c>
      <c r="AZ421" s="79">
        <f>IFERROR(H421*VLOOKUP(A421,'Tabela de Produtos'!A:Q,17,0),0)</f>
        <v>8.61</v>
      </c>
      <c r="BA421" s="74">
        <f t="shared" si="195"/>
        <v>0</v>
      </c>
      <c r="BB421" s="74">
        <f t="shared" si="195"/>
        <v>0</v>
      </c>
      <c r="BC421" s="74">
        <f t="shared" si="195"/>
        <v>0</v>
      </c>
      <c r="BD421" s="74">
        <f t="shared" si="195"/>
        <v>0</v>
      </c>
      <c r="BE421" s="74">
        <f t="shared" si="191"/>
        <v>0</v>
      </c>
      <c r="BF421" s="74">
        <f t="shared" si="192"/>
        <v>8.61</v>
      </c>
      <c r="BG421" s="74">
        <f t="shared" si="193"/>
        <v>-8.61</v>
      </c>
      <c r="BH421" s="21">
        <f t="shared" si="194"/>
        <v>0</v>
      </c>
      <c r="BJ421" s="92"/>
      <c r="BK421" s="48"/>
    </row>
    <row r="422" spans="1:63" ht="15.75" customHeight="1">
      <c r="A422" s="72" t="s">
        <v>489</v>
      </c>
      <c r="B422" s="2" t="str">
        <f>IFERROR(VLOOKUP(A422,'Tabela de Produtos'!A:B,2,0),"Preencher Cód. Produto")</f>
        <v>BRAZIMIL MANTA LÍQUIDA 4KG INCOLOR</v>
      </c>
      <c r="C422" s="2"/>
      <c r="D422" s="73"/>
      <c r="E422" s="73"/>
      <c r="F422" s="74" t="str">
        <f>IF(A422=0,0,VLOOKUP(A422,'Tabela de Produtos'!A:W,23,0))</f>
        <v>Cadastrar Ficha de Produção</v>
      </c>
      <c r="G422" s="74">
        <v>0</v>
      </c>
      <c r="H422" s="76">
        <v>1</v>
      </c>
      <c r="I422" s="74">
        <f t="shared" si="189"/>
        <v>0</v>
      </c>
      <c r="J422" s="77">
        <f>VLOOKUP(B422,'Tabela de Produtos'!B:M,12,FALSE())</f>
        <v>0</v>
      </c>
      <c r="K422" s="74"/>
      <c r="L422" s="74"/>
      <c r="M422" s="74"/>
      <c r="N422" s="81"/>
      <c r="O422" s="74"/>
      <c r="P422" s="74"/>
      <c r="Q422" s="74"/>
      <c r="R422" s="81"/>
      <c r="S422" s="74"/>
      <c r="T422" s="74"/>
      <c r="U422" s="74"/>
      <c r="V422" s="74"/>
      <c r="W422" s="81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7"/>
      <c r="AY422" s="77">
        <f t="shared" si="190"/>
        <v>0</v>
      </c>
      <c r="AZ422" s="79">
        <f>IFERROR(H422*VLOOKUP(A422,'Tabela de Produtos'!A:Q,17,0),0)</f>
        <v>0</v>
      </c>
      <c r="BA422" s="74">
        <f t="shared" si="195"/>
        <v>0</v>
      </c>
      <c r="BB422" s="74">
        <f t="shared" si="195"/>
        <v>0</v>
      </c>
      <c r="BC422" s="74">
        <f t="shared" si="195"/>
        <v>0</v>
      </c>
      <c r="BD422" s="74">
        <f t="shared" si="195"/>
        <v>0</v>
      </c>
      <c r="BE422" s="74">
        <f t="shared" si="191"/>
        <v>0</v>
      </c>
      <c r="BF422" s="74">
        <f t="shared" si="192"/>
        <v>0</v>
      </c>
      <c r="BG422" s="74">
        <f t="shared" si="193"/>
        <v>0</v>
      </c>
      <c r="BH422" s="21">
        <f t="shared" si="194"/>
        <v>0</v>
      </c>
      <c r="BJ422" s="92"/>
      <c r="BK422" s="48"/>
    </row>
    <row r="423" spans="1:63" ht="15.75" customHeight="1">
      <c r="A423" s="72" t="s">
        <v>490</v>
      </c>
      <c r="B423" s="2" t="str">
        <f>IFERROR(VLOOKUP(A423,'Tabela de Produtos'!A:B,2,0),"Preencher Cód. Produto")</f>
        <v>BRAZIMIL MANTA LÍQUIDA 20KG INCOLOR</v>
      </c>
      <c r="C423" s="2"/>
      <c r="D423" s="73"/>
      <c r="E423" s="73"/>
      <c r="F423" s="74" t="str">
        <f>IF(A423=0,0,VLOOKUP(A423,'Tabela de Produtos'!A:W,23,0))</f>
        <v>Cadastrar Ficha de Produção</v>
      </c>
      <c r="G423" s="74">
        <v>0</v>
      </c>
      <c r="H423" s="76">
        <v>1</v>
      </c>
      <c r="I423" s="74">
        <f t="shared" si="189"/>
        <v>0</v>
      </c>
      <c r="J423" s="77">
        <f>VLOOKUP(B423,'Tabela de Produtos'!B:M,12,FALSE())</f>
        <v>0</v>
      </c>
      <c r="K423" s="74"/>
      <c r="L423" s="74"/>
      <c r="M423" s="74"/>
      <c r="N423" s="81"/>
      <c r="O423" s="74"/>
      <c r="P423" s="74"/>
      <c r="Q423" s="74"/>
      <c r="R423" s="81"/>
      <c r="S423" s="74"/>
      <c r="T423" s="74"/>
      <c r="U423" s="74"/>
      <c r="V423" s="74"/>
      <c r="W423" s="81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7"/>
      <c r="AY423" s="77">
        <f t="shared" si="190"/>
        <v>0</v>
      </c>
      <c r="AZ423" s="79">
        <f>IFERROR(H423*VLOOKUP(A423,'Tabela de Produtos'!A:Q,17,0),0)</f>
        <v>0</v>
      </c>
      <c r="BA423" s="74">
        <f t="shared" si="195"/>
        <v>0</v>
      </c>
      <c r="BB423" s="74">
        <f t="shared" si="195"/>
        <v>0</v>
      </c>
      <c r="BC423" s="74">
        <f t="shared" si="195"/>
        <v>0</v>
      </c>
      <c r="BD423" s="74">
        <f t="shared" si="195"/>
        <v>0</v>
      </c>
      <c r="BE423" s="74">
        <f t="shared" si="191"/>
        <v>0</v>
      </c>
      <c r="BF423" s="74">
        <f t="shared" si="192"/>
        <v>0</v>
      </c>
      <c r="BG423" s="74">
        <f t="shared" si="193"/>
        <v>0</v>
      </c>
      <c r="BH423" s="21">
        <f t="shared" si="194"/>
        <v>0</v>
      </c>
      <c r="BJ423" s="92"/>
      <c r="BK423" s="48"/>
    </row>
    <row r="424" spans="1:63" ht="15.75" customHeight="1">
      <c r="A424" s="72" t="s">
        <v>491</v>
      </c>
      <c r="B424" s="2" t="str">
        <f>IFERROR(VLOOKUP(A424,'Tabela de Produtos'!A:B,2,0),"Preencher Cód. Produto")</f>
        <v>BRAZIMIL TINTA PARA GESSO 3L</v>
      </c>
      <c r="C424" s="2"/>
      <c r="D424" s="73" t="s">
        <v>66</v>
      </c>
      <c r="E424" s="73"/>
      <c r="F424" s="74" t="str">
        <f>IF(A424=0,0,VLOOKUP(A424,'Tabela de Produtos'!A:W,23,0))</f>
        <v>Cadastrar Ficha de Produção</v>
      </c>
      <c r="G424" s="74">
        <v>0</v>
      </c>
      <c r="H424" s="76">
        <v>1</v>
      </c>
      <c r="I424" s="74">
        <f t="shared" si="189"/>
        <v>0</v>
      </c>
      <c r="J424" s="77">
        <f>VLOOKUP(B424,'Tabela de Produtos'!B:M,12,FALSE())</f>
        <v>0</v>
      </c>
      <c r="K424" s="74"/>
      <c r="L424" s="74"/>
      <c r="M424" s="74"/>
      <c r="N424" s="81"/>
      <c r="O424" s="74"/>
      <c r="P424" s="74"/>
      <c r="Q424" s="74"/>
      <c r="R424" s="81"/>
      <c r="S424" s="74"/>
      <c r="T424" s="74"/>
      <c r="U424" s="74"/>
      <c r="V424" s="74"/>
      <c r="W424" s="81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7"/>
      <c r="AY424" s="77">
        <f t="shared" si="190"/>
        <v>0</v>
      </c>
      <c r="AZ424" s="79">
        <f>IFERROR(H424*VLOOKUP(A424,'Tabela de Produtos'!A:Q,17,0),0)</f>
        <v>0</v>
      </c>
      <c r="BA424" s="74">
        <f t="shared" si="195"/>
        <v>0</v>
      </c>
      <c r="BB424" s="74">
        <f t="shared" si="195"/>
        <v>0</v>
      </c>
      <c r="BC424" s="74">
        <f t="shared" si="195"/>
        <v>0</v>
      </c>
      <c r="BD424" s="74">
        <f t="shared" si="195"/>
        <v>0</v>
      </c>
      <c r="BE424" s="74">
        <f t="shared" si="191"/>
        <v>0</v>
      </c>
      <c r="BF424" s="74">
        <f t="shared" si="192"/>
        <v>0</v>
      </c>
      <c r="BG424" s="74">
        <f t="shared" si="193"/>
        <v>0</v>
      </c>
      <c r="BH424" s="21">
        <f t="shared" si="194"/>
        <v>0</v>
      </c>
      <c r="BJ424" s="92"/>
      <c r="BK424" s="48"/>
    </row>
    <row r="425" spans="1:63" ht="15.75" customHeight="1">
      <c r="A425" s="72" t="s">
        <v>492</v>
      </c>
      <c r="B425" s="2" t="str">
        <f>IFERROR(VLOOKUP(A425,'Tabela de Produtos'!A:B,2,0),"Preencher Cód. Produto")</f>
        <v>BRAZIMIL TINTA PARA GESSO 15L</v>
      </c>
      <c r="C425" s="2"/>
      <c r="D425" s="73" t="s">
        <v>40</v>
      </c>
      <c r="E425" s="73"/>
      <c r="F425" s="74" t="str">
        <f>IF(A425=0,0,VLOOKUP(A425,'Tabela de Produtos'!A:W,23,0))</f>
        <v>Cadastrar Ficha de Produção</v>
      </c>
      <c r="G425" s="74">
        <v>0</v>
      </c>
      <c r="H425" s="76">
        <v>1</v>
      </c>
      <c r="I425" s="74">
        <f t="shared" si="189"/>
        <v>0</v>
      </c>
      <c r="J425" s="77">
        <f>VLOOKUP(B425,'Tabela de Produtos'!B:M,12,FALSE())</f>
        <v>0</v>
      </c>
      <c r="K425" s="74"/>
      <c r="L425" s="74"/>
      <c r="M425" s="74"/>
      <c r="N425" s="81"/>
      <c r="O425" s="74"/>
      <c r="P425" s="74"/>
      <c r="Q425" s="74"/>
      <c r="R425" s="81"/>
      <c r="S425" s="74"/>
      <c r="T425" s="74"/>
      <c r="U425" s="74"/>
      <c r="V425" s="74"/>
      <c r="W425" s="81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7"/>
      <c r="AY425" s="77">
        <f t="shared" si="190"/>
        <v>0</v>
      </c>
      <c r="AZ425" s="79">
        <f>IFERROR(H425*VLOOKUP(A425,'Tabela de Produtos'!A:Q,17,0),0)</f>
        <v>0</v>
      </c>
      <c r="BA425" s="74">
        <f t="shared" si="195"/>
        <v>0</v>
      </c>
      <c r="BB425" s="74">
        <f t="shared" si="195"/>
        <v>0</v>
      </c>
      <c r="BC425" s="74">
        <f t="shared" si="195"/>
        <v>0</v>
      </c>
      <c r="BD425" s="74">
        <f t="shared" si="195"/>
        <v>0</v>
      </c>
      <c r="BE425" s="74">
        <f t="shared" si="191"/>
        <v>0</v>
      </c>
      <c r="BF425" s="74">
        <f t="shared" si="192"/>
        <v>0</v>
      </c>
      <c r="BG425" s="74">
        <f t="shared" si="193"/>
        <v>0</v>
      </c>
      <c r="BH425" s="21">
        <f t="shared" si="194"/>
        <v>0</v>
      </c>
      <c r="BJ425" s="92"/>
      <c r="BK425" s="48"/>
    </row>
    <row r="426" spans="1:63" ht="15.75" customHeight="1">
      <c r="A426" s="72" t="s">
        <v>493</v>
      </c>
      <c r="B426" s="2" t="str">
        <f>IFERROR(VLOOKUP(A426,'Tabela de Produtos'!A:B,2,0),"Preencher Cód. Produto")</f>
        <v>BRAZIMIL TINTA PARA TELHA 3L</v>
      </c>
      <c r="C426" s="2"/>
      <c r="D426" s="73" t="s">
        <v>66</v>
      </c>
      <c r="E426" s="73"/>
      <c r="F426" s="74" t="str">
        <f>IF(A426=0,0,VLOOKUP(A426,'Tabela de Produtos'!A:W,23,0))</f>
        <v>Cadastrar Ficha de Produção</v>
      </c>
      <c r="G426" s="74">
        <v>0</v>
      </c>
      <c r="H426" s="76">
        <v>1</v>
      </c>
      <c r="I426" s="74">
        <f t="shared" si="189"/>
        <v>0</v>
      </c>
      <c r="J426" s="77">
        <f>VLOOKUP(B426,'Tabela de Produtos'!B:M,12,FALSE())</f>
        <v>0</v>
      </c>
      <c r="K426" s="74"/>
      <c r="L426" s="74"/>
      <c r="M426" s="74"/>
      <c r="N426" s="81"/>
      <c r="O426" s="74"/>
      <c r="P426" s="74"/>
      <c r="Q426" s="74"/>
      <c r="R426" s="81"/>
      <c r="S426" s="74"/>
      <c r="T426" s="74"/>
      <c r="U426" s="74"/>
      <c r="V426" s="74"/>
      <c r="W426" s="81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7"/>
      <c r="AY426" s="77">
        <f t="shared" si="190"/>
        <v>0</v>
      </c>
      <c r="AZ426" s="79">
        <f>IFERROR(H426*VLOOKUP(A426,'Tabela de Produtos'!A:Q,17,0),0)</f>
        <v>0</v>
      </c>
      <c r="BA426" s="74">
        <f t="shared" si="195"/>
        <v>0</v>
      </c>
      <c r="BB426" s="74">
        <f t="shared" si="195"/>
        <v>0</v>
      </c>
      <c r="BC426" s="74">
        <f t="shared" si="195"/>
        <v>0</v>
      </c>
      <c r="BD426" s="74">
        <f t="shared" si="195"/>
        <v>0</v>
      </c>
      <c r="BE426" s="74">
        <f t="shared" si="191"/>
        <v>0</v>
      </c>
      <c r="BF426" s="74">
        <f t="shared" si="192"/>
        <v>0</v>
      </c>
      <c r="BG426" s="74">
        <f t="shared" si="193"/>
        <v>0</v>
      </c>
      <c r="BH426" s="21">
        <f t="shared" si="194"/>
        <v>0</v>
      </c>
      <c r="BJ426" s="92"/>
      <c r="BK426" s="48"/>
    </row>
    <row r="427" spans="1:63" ht="15.75" customHeight="1">
      <c r="A427" s="72" t="s">
        <v>494</v>
      </c>
      <c r="B427" s="2" t="str">
        <f>IFERROR(VLOOKUP(A427,'Tabela de Produtos'!A:B,2,0),"Preencher Cód. Produto")</f>
        <v>BRAZIMIL TINTA PARA TELHA 15L</v>
      </c>
      <c r="C427" s="2"/>
      <c r="D427" s="73" t="s">
        <v>40</v>
      </c>
      <c r="E427" s="73"/>
      <c r="F427" s="74" t="str">
        <f>IF(A427=0,0,VLOOKUP(A427,'Tabela de Produtos'!A:W,23,0))</f>
        <v>Cadastrar Ficha de Produção</v>
      </c>
      <c r="G427" s="74">
        <v>0</v>
      </c>
      <c r="H427" s="76">
        <v>1</v>
      </c>
      <c r="I427" s="74">
        <f t="shared" si="189"/>
        <v>0</v>
      </c>
      <c r="J427" s="77">
        <f>VLOOKUP(B427,'Tabela de Produtos'!B:M,12,FALSE())</f>
        <v>0</v>
      </c>
      <c r="K427" s="74"/>
      <c r="L427" s="74"/>
      <c r="M427" s="74"/>
      <c r="N427" s="81"/>
      <c r="O427" s="74"/>
      <c r="P427" s="74"/>
      <c r="Q427" s="74"/>
      <c r="R427" s="81"/>
      <c r="S427" s="74"/>
      <c r="T427" s="74"/>
      <c r="U427" s="74"/>
      <c r="V427" s="74"/>
      <c r="W427" s="81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7"/>
      <c r="AY427" s="77">
        <f t="shared" si="190"/>
        <v>0</v>
      </c>
      <c r="AZ427" s="79">
        <f>IFERROR(H427*VLOOKUP(A427,'Tabela de Produtos'!A:Q,17,0),0)</f>
        <v>0</v>
      </c>
      <c r="BA427" s="74">
        <f t="shared" si="195"/>
        <v>0</v>
      </c>
      <c r="BB427" s="74">
        <f t="shared" si="195"/>
        <v>0</v>
      </c>
      <c r="BC427" s="74">
        <f t="shared" si="195"/>
        <v>0</v>
      </c>
      <c r="BD427" s="74">
        <f t="shared" si="195"/>
        <v>0</v>
      </c>
      <c r="BE427" s="74">
        <f t="shared" si="191"/>
        <v>0</v>
      </c>
      <c r="BF427" s="74">
        <f t="shared" si="192"/>
        <v>0</v>
      </c>
      <c r="BG427" s="74">
        <f t="shared" si="193"/>
        <v>0</v>
      </c>
      <c r="BH427" s="21">
        <f t="shared" si="194"/>
        <v>0</v>
      </c>
      <c r="BJ427" s="92"/>
      <c r="BK427" s="48"/>
    </row>
    <row r="428" spans="1:63" ht="15.75" customHeight="1">
      <c r="A428" s="72" t="s">
        <v>495</v>
      </c>
      <c r="B428" s="2" t="str">
        <f>IFERROR(VLOOKUP(A428,'Tabela de Produtos'!A:B,2,0),"Preencher Cód. Produto")</f>
        <v>BRAZIMIL CIMENTO QUEIMADO 4KG</v>
      </c>
      <c r="C428" s="2"/>
      <c r="D428" s="73"/>
      <c r="E428" s="73"/>
      <c r="F428" s="74" t="str">
        <f>IF(A428=0,0,VLOOKUP(A428,'Tabela de Produtos'!A:W,23,0))</f>
        <v>Cadastrar Ficha de Produção</v>
      </c>
      <c r="G428" s="74">
        <v>0</v>
      </c>
      <c r="H428" s="76">
        <v>1</v>
      </c>
      <c r="I428" s="74">
        <f t="shared" si="189"/>
        <v>0</v>
      </c>
      <c r="J428" s="77">
        <f>VLOOKUP(B428,'Tabela de Produtos'!B:M,12,FALSE())</f>
        <v>0</v>
      </c>
      <c r="K428" s="74"/>
      <c r="L428" s="74"/>
      <c r="M428" s="74"/>
      <c r="N428" s="81"/>
      <c r="O428" s="74"/>
      <c r="P428" s="74"/>
      <c r="Q428" s="74"/>
      <c r="R428" s="81"/>
      <c r="S428" s="74"/>
      <c r="T428" s="74"/>
      <c r="U428" s="74"/>
      <c r="V428" s="74"/>
      <c r="W428" s="81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7"/>
      <c r="AY428" s="77">
        <f t="shared" si="190"/>
        <v>0</v>
      </c>
      <c r="AZ428" s="79">
        <f>IFERROR(H428*VLOOKUP(A428,'Tabela de Produtos'!A:Q,17,0),0)</f>
        <v>0</v>
      </c>
      <c r="BA428" s="74">
        <f t="shared" si="195"/>
        <v>0</v>
      </c>
      <c r="BB428" s="74">
        <f t="shared" si="195"/>
        <v>0</v>
      </c>
      <c r="BC428" s="74">
        <f t="shared" si="195"/>
        <v>0</v>
      </c>
      <c r="BD428" s="74">
        <f t="shared" si="195"/>
        <v>0</v>
      </c>
      <c r="BE428" s="74">
        <f t="shared" si="191"/>
        <v>0</v>
      </c>
      <c r="BF428" s="74">
        <f t="shared" si="192"/>
        <v>0</v>
      </c>
      <c r="BG428" s="74">
        <f t="shared" si="193"/>
        <v>0</v>
      </c>
      <c r="BH428" s="21">
        <f t="shared" si="194"/>
        <v>0</v>
      </c>
      <c r="BJ428" s="92"/>
      <c r="BK428" s="48"/>
    </row>
    <row r="429" spans="1:63" ht="15.75" customHeight="1">
      <c r="A429" s="72" t="s">
        <v>496</v>
      </c>
      <c r="B429" s="2" t="str">
        <f>IFERROR(VLOOKUP(A429,'Tabela de Produtos'!A:B,2,0),"Preencher Cód. Produto")</f>
        <v>BRAZIMIL CIMENTO QUEIMADO 20KG</v>
      </c>
      <c r="C429" s="2"/>
      <c r="D429" s="73"/>
      <c r="E429" s="73"/>
      <c r="F429" s="74" t="str">
        <f>IF(A429=0,0,VLOOKUP(A429,'Tabela de Produtos'!A:W,23,0))</f>
        <v>Cadastrar Ficha de Produção</v>
      </c>
      <c r="G429" s="74">
        <v>0</v>
      </c>
      <c r="H429" s="76">
        <v>1</v>
      </c>
      <c r="I429" s="74">
        <f t="shared" si="189"/>
        <v>0</v>
      </c>
      <c r="J429" s="77">
        <f>VLOOKUP(B429,'Tabela de Produtos'!B:M,12,FALSE())</f>
        <v>0</v>
      </c>
      <c r="K429" s="74"/>
      <c r="L429" s="74"/>
      <c r="M429" s="74"/>
      <c r="N429" s="81"/>
      <c r="O429" s="74"/>
      <c r="P429" s="74"/>
      <c r="Q429" s="74"/>
      <c r="R429" s="81"/>
      <c r="S429" s="74"/>
      <c r="T429" s="74"/>
      <c r="U429" s="74"/>
      <c r="V429" s="74"/>
      <c r="W429" s="81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7"/>
      <c r="AY429" s="77">
        <f t="shared" si="190"/>
        <v>0</v>
      </c>
      <c r="AZ429" s="79">
        <f>IFERROR(H429*VLOOKUP(A429,'Tabela de Produtos'!A:Q,17,0),0)</f>
        <v>0</v>
      </c>
      <c r="BA429" s="74">
        <f t="shared" si="195"/>
        <v>0</v>
      </c>
      <c r="BB429" s="74">
        <f t="shared" si="195"/>
        <v>0</v>
      </c>
      <c r="BC429" s="74">
        <f t="shared" si="195"/>
        <v>0</v>
      </c>
      <c r="BD429" s="74">
        <f t="shared" si="195"/>
        <v>0</v>
      </c>
      <c r="BE429" s="74">
        <f t="shared" si="191"/>
        <v>0</v>
      </c>
      <c r="BF429" s="74">
        <f t="shared" si="192"/>
        <v>0</v>
      </c>
      <c r="BG429" s="74">
        <f t="shared" si="193"/>
        <v>0</v>
      </c>
      <c r="BH429" s="21">
        <f t="shared" si="194"/>
        <v>0</v>
      </c>
      <c r="BJ429" s="92"/>
      <c r="BK429" s="48"/>
    </row>
    <row r="430" spans="1:63" ht="15.75" customHeight="1">
      <c r="A430" s="72" t="s">
        <v>497</v>
      </c>
      <c r="B430" s="2" t="str">
        <f>IFERROR(VLOOKUP(A430,'Tabela de Produtos'!A:B,2,0),"Preencher Cód. Produto")</f>
        <v>BRAZIMIL ZARCÃO 0,75L BRANCO</v>
      </c>
      <c r="C430" s="2"/>
      <c r="D430" s="73"/>
      <c r="E430" s="73"/>
      <c r="F430" s="74" t="str">
        <f>IF(A430=0,0,VLOOKUP(A430,'Tabela de Produtos'!A:W,23,0))</f>
        <v>Cadastrar Ficha de Produção</v>
      </c>
      <c r="G430" s="74">
        <v>0</v>
      </c>
      <c r="H430" s="76">
        <v>1</v>
      </c>
      <c r="I430" s="74">
        <f t="shared" si="189"/>
        <v>0</v>
      </c>
      <c r="J430" s="77">
        <f>VLOOKUP(B430,'Tabela de Produtos'!B:M,12,FALSE())</f>
        <v>0</v>
      </c>
      <c r="K430" s="74"/>
      <c r="L430" s="74"/>
      <c r="M430" s="74"/>
      <c r="N430" s="81"/>
      <c r="O430" s="74"/>
      <c r="P430" s="74"/>
      <c r="Q430" s="74"/>
      <c r="R430" s="81"/>
      <c r="S430" s="74"/>
      <c r="T430" s="74"/>
      <c r="U430" s="74"/>
      <c r="V430" s="74"/>
      <c r="W430" s="81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7"/>
      <c r="AY430" s="77">
        <f t="shared" si="190"/>
        <v>0</v>
      </c>
      <c r="AZ430" s="79">
        <f>IFERROR(H430*VLOOKUP(A430,'Tabela de Produtos'!A:Q,17,0),0)</f>
        <v>0</v>
      </c>
      <c r="BA430" s="74">
        <f t="shared" si="195"/>
        <v>0</v>
      </c>
      <c r="BB430" s="74">
        <f t="shared" si="195"/>
        <v>0</v>
      </c>
      <c r="BC430" s="74">
        <f t="shared" si="195"/>
        <v>0</v>
      </c>
      <c r="BD430" s="74">
        <f t="shared" si="195"/>
        <v>0</v>
      </c>
      <c r="BE430" s="74">
        <f t="shared" si="191"/>
        <v>0</v>
      </c>
      <c r="BF430" s="74">
        <f t="shared" si="192"/>
        <v>0</v>
      </c>
      <c r="BG430" s="74">
        <f t="shared" si="193"/>
        <v>0</v>
      </c>
      <c r="BH430" s="21">
        <f t="shared" si="194"/>
        <v>0</v>
      </c>
      <c r="BJ430" s="92"/>
      <c r="BK430" s="48"/>
    </row>
    <row r="431" spans="1:63" ht="15.75" customHeight="1">
      <c r="A431" s="72" t="s">
        <v>498</v>
      </c>
      <c r="B431" s="2" t="str">
        <f>IFERROR(VLOOKUP(A431,'Tabela de Produtos'!A:B,2,0),"Preencher Cód. Produto")</f>
        <v>BRAZIMIL ZARCÃO 0,75L CINZA</v>
      </c>
      <c r="C431" s="2"/>
      <c r="D431" s="73"/>
      <c r="E431" s="73"/>
      <c r="F431" s="74" t="str">
        <f>IF(A431=0,0,VLOOKUP(A431,'Tabela de Produtos'!A:W,23,0))</f>
        <v>Cadastrar Ficha de Produção</v>
      </c>
      <c r="G431" s="74">
        <v>0</v>
      </c>
      <c r="H431" s="76">
        <v>1</v>
      </c>
      <c r="I431" s="74">
        <f t="shared" si="189"/>
        <v>0</v>
      </c>
      <c r="J431" s="77">
        <f>VLOOKUP(B431,'Tabela de Produtos'!B:M,12,FALSE())</f>
        <v>0</v>
      </c>
      <c r="K431" s="74"/>
      <c r="L431" s="74"/>
      <c r="M431" s="74"/>
      <c r="N431" s="81"/>
      <c r="O431" s="74"/>
      <c r="P431" s="74"/>
      <c r="Q431" s="74"/>
      <c r="R431" s="81"/>
      <c r="S431" s="74"/>
      <c r="T431" s="74"/>
      <c r="U431" s="74"/>
      <c r="V431" s="74"/>
      <c r="W431" s="81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7"/>
      <c r="AY431" s="77">
        <f t="shared" si="190"/>
        <v>0</v>
      </c>
      <c r="AZ431" s="79">
        <f>IFERROR(H431*VLOOKUP(A431,'Tabela de Produtos'!A:Q,17,0),0)</f>
        <v>0</v>
      </c>
      <c r="BA431" s="74">
        <f t="shared" si="195"/>
        <v>0</v>
      </c>
      <c r="BB431" s="74">
        <f t="shared" si="195"/>
        <v>0</v>
      </c>
      <c r="BC431" s="74">
        <f t="shared" si="195"/>
        <v>0</v>
      </c>
      <c r="BD431" s="74">
        <f t="shared" si="195"/>
        <v>0</v>
      </c>
      <c r="BE431" s="74">
        <f t="shared" si="191"/>
        <v>0</v>
      </c>
      <c r="BF431" s="74">
        <f t="shared" si="192"/>
        <v>0</v>
      </c>
      <c r="BG431" s="74">
        <f t="shared" si="193"/>
        <v>0</v>
      </c>
      <c r="BH431" s="21">
        <f t="shared" si="194"/>
        <v>0</v>
      </c>
      <c r="BJ431" s="92"/>
      <c r="BK431" s="48"/>
    </row>
    <row r="432" spans="1:63" ht="15.75" customHeight="1">
      <c r="A432" s="72" t="s">
        <v>499</v>
      </c>
      <c r="B432" s="2" t="str">
        <f>IFERROR(VLOOKUP(A432,'Tabela de Produtos'!A:B,2,0),"Preencher Cód. Produto")</f>
        <v>BRAZIMIL ZARCÃO 0,75L LARANJA</v>
      </c>
      <c r="C432" s="2"/>
      <c r="D432" s="73"/>
      <c r="E432" s="73"/>
      <c r="F432" s="74" t="str">
        <f>IF(A432=0,0,VLOOKUP(A432,'Tabela de Produtos'!A:W,23,0))</f>
        <v>Cadastrar Ficha de Produção</v>
      </c>
      <c r="G432" s="74">
        <v>0</v>
      </c>
      <c r="H432" s="76">
        <v>1</v>
      </c>
      <c r="I432" s="74">
        <f t="shared" si="189"/>
        <v>0</v>
      </c>
      <c r="J432" s="77">
        <f>VLOOKUP(B432,'Tabela de Produtos'!B:M,12,FALSE())</f>
        <v>0</v>
      </c>
      <c r="K432" s="74"/>
      <c r="L432" s="74"/>
      <c r="M432" s="74"/>
      <c r="N432" s="81"/>
      <c r="O432" s="74"/>
      <c r="P432" s="74"/>
      <c r="Q432" s="74"/>
      <c r="R432" s="81"/>
      <c r="S432" s="74"/>
      <c r="T432" s="74"/>
      <c r="U432" s="74"/>
      <c r="V432" s="74"/>
      <c r="W432" s="81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7"/>
      <c r="AY432" s="77">
        <f t="shared" si="190"/>
        <v>0</v>
      </c>
      <c r="AZ432" s="79">
        <f>IFERROR(H432*VLOOKUP(A432,'Tabela de Produtos'!A:Q,17,0),0)</f>
        <v>0</v>
      </c>
      <c r="BA432" s="74">
        <f t="shared" si="195"/>
        <v>0</v>
      </c>
      <c r="BB432" s="74">
        <f t="shared" si="195"/>
        <v>0</v>
      </c>
      <c r="BC432" s="74">
        <f t="shared" si="195"/>
        <v>0</v>
      </c>
      <c r="BD432" s="74">
        <f t="shared" si="195"/>
        <v>0</v>
      </c>
      <c r="BE432" s="74">
        <f t="shared" si="191"/>
        <v>0</v>
      </c>
      <c r="BF432" s="74">
        <f t="shared" si="192"/>
        <v>0</v>
      </c>
      <c r="BG432" s="74">
        <f t="shared" si="193"/>
        <v>0</v>
      </c>
      <c r="BH432" s="21">
        <f t="shared" si="194"/>
        <v>0</v>
      </c>
      <c r="BJ432" s="92"/>
      <c r="BK432" s="48"/>
    </row>
    <row r="433" spans="1:63" ht="15.75" customHeight="1">
      <c r="A433" s="72" t="s">
        <v>500</v>
      </c>
      <c r="B433" s="2" t="str">
        <f>IFERROR(VLOOKUP(A433,'Tabela de Produtos'!A:B,2,0),"Preencher Cód. Produto")</f>
        <v>BRAZIMIL ZARCÃO  3L  BRANCO</v>
      </c>
      <c r="C433" s="2"/>
      <c r="D433" s="73" t="s">
        <v>66</v>
      </c>
      <c r="E433" s="73"/>
      <c r="F433" s="74" t="str">
        <f>IF(A433=0,0,VLOOKUP(A433,'Tabela de Produtos'!A:W,23,0))</f>
        <v>Cadastrar Ficha de Produção</v>
      </c>
      <c r="G433" s="74">
        <v>0</v>
      </c>
      <c r="H433" s="76">
        <v>1</v>
      </c>
      <c r="I433" s="74">
        <f t="shared" si="189"/>
        <v>0</v>
      </c>
      <c r="J433" s="77">
        <f>VLOOKUP(B433,'Tabela de Produtos'!B:M,12,FALSE())</f>
        <v>0</v>
      </c>
      <c r="K433" s="74"/>
      <c r="L433" s="74"/>
      <c r="M433" s="74"/>
      <c r="N433" s="81"/>
      <c r="O433" s="74"/>
      <c r="P433" s="74"/>
      <c r="Q433" s="74"/>
      <c r="R433" s="81"/>
      <c r="S433" s="74"/>
      <c r="T433" s="74"/>
      <c r="U433" s="74"/>
      <c r="V433" s="74"/>
      <c r="W433" s="81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7"/>
      <c r="AY433" s="77">
        <f t="shared" si="190"/>
        <v>0</v>
      </c>
      <c r="AZ433" s="79">
        <f>IFERROR(H433*VLOOKUP(A433,'Tabela de Produtos'!A:Q,17,0),0)</f>
        <v>0</v>
      </c>
      <c r="BA433" s="74">
        <f t="shared" si="195"/>
        <v>0</v>
      </c>
      <c r="BB433" s="74">
        <f t="shared" si="195"/>
        <v>0</v>
      </c>
      <c r="BC433" s="74">
        <f t="shared" si="195"/>
        <v>0</v>
      </c>
      <c r="BD433" s="74">
        <f t="shared" si="195"/>
        <v>0</v>
      </c>
      <c r="BE433" s="74">
        <f t="shared" si="191"/>
        <v>0</v>
      </c>
      <c r="BF433" s="74">
        <f t="shared" si="192"/>
        <v>0</v>
      </c>
      <c r="BG433" s="74">
        <f t="shared" si="193"/>
        <v>0</v>
      </c>
      <c r="BH433" s="21">
        <f t="shared" si="194"/>
        <v>0</v>
      </c>
      <c r="BJ433" s="92"/>
      <c r="BK433" s="48"/>
    </row>
    <row r="434" spans="1:63" ht="15.75" customHeight="1">
      <c r="A434" s="72" t="s">
        <v>501</v>
      </c>
      <c r="B434" s="2" t="str">
        <f>IFERROR(VLOOKUP(A434,'Tabela de Produtos'!A:B,2,0),"Preencher Cód. Produto")</f>
        <v>BRAZIMIL ZARCÃO 3L  CINZA</v>
      </c>
      <c r="C434" s="2"/>
      <c r="D434" s="73" t="s">
        <v>66</v>
      </c>
      <c r="E434" s="73"/>
      <c r="F434" s="74" t="str">
        <f>IF(A434=0,0,VLOOKUP(A434,'Tabela de Produtos'!A:W,23,0))</f>
        <v>Cadastrar Ficha de Produção</v>
      </c>
      <c r="G434" s="74">
        <v>0</v>
      </c>
      <c r="H434" s="76">
        <v>1</v>
      </c>
      <c r="I434" s="74">
        <f t="shared" si="189"/>
        <v>0</v>
      </c>
      <c r="J434" s="77">
        <f>VLOOKUP(B434,'Tabela de Produtos'!B:M,12,FALSE())</f>
        <v>0</v>
      </c>
      <c r="K434" s="74"/>
      <c r="L434" s="74"/>
      <c r="M434" s="74"/>
      <c r="N434" s="81"/>
      <c r="O434" s="74"/>
      <c r="P434" s="74"/>
      <c r="Q434" s="74"/>
      <c r="R434" s="81"/>
      <c r="S434" s="74"/>
      <c r="T434" s="74"/>
      <c r="U434" s="74"/>
      <c r="V434" s="74"/>
      <c r="W434" s="81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7"/>
      <c r="AY434" s="77">
        <f t="shared" si="190"/>
        <v>0</v>
      </c>
      <c r="AZ434" s="79">
        <f>IFERROR(H434*VLOOKUP(A434,'Tabela de Produtos'!A:Q,17,0),0)</f>
        <v>0</v>
      </c>
      <c r="BA434" s="74">
        <f t="shared" si="195"/>
        <v>0</v>
      </c>
      <c r="BB434" s="74">
        <f t="shared" si="195"/>
        <v>0</v>
      </c>
      <c r="BC434" s="74">
        <f t="shared" si="195"/>
        <v>0</v>
      </c>
      <c r="BD434" s="74">
        <f t="shared" si="195"/>
        <v>0</v>
      </c>
      <c r="BE434" s="74">
        <f t="shared" si="191"/>
        <v>0</v>
      </c>
      <c r="BF434" s="74">
        <f t="shared" si="192"/>
        <v>0</v>
      </c>
      <c r="BG434" s="74">
        <f t="shared" si="193"/>
        <v>0</v>
      </c>
      <c r="BH434" s="21">
        <f t="shared" si="194"/>
        <v>0</v>
      </c>
      <c r="BJ434" s="92"/>
      <c r="BK434" s="48"/>
    </row>
    <row r="435" spans="1:63" ht="15.75" customHeight="1">
      <c r="A435" s="72" t="s">
        <v>502</v>
      </c>
      <c r="B435" s="2" t="str">
        <f>IFERROR(VLOOKUP(A435,'Tabela de Produtos'!A:B,2,0),"Preencher Cód. Produto")</f>
        <v>BRAZIMIL ZARCÃO 3L  LARANJA</v>
      </c>
      <c r="C435" s="2"/>
      <c r="D435" s="73" t="s">
        <v>66</v>
      </c>
      <c r="E435" s="73"/>
      <c r="F435" s="74" t="str">
        <f>IF(A435=0,0,VLOOKUP(A435,'Tabela de Produtos'!A:W,23,0))</f>
        <v>Cadastrar Ficha de Produção</v>
      </c>
      <c r="G435" s="74">
        <v>0</v>
      </c>
      <c r="H435" s="76">
        <v>1</v>
      </c>
      <c r="I435" s="74">
        <f t="shared" si="189"/>
        <v>0</v>
      </c>
      <c r="J435" s="77">
        <f>VLOOKUP(B435,'Tabela de Produtos'!B:M,12,FALSE())</f>
        <v>0</v>
      </c>
      <c r="K435" s="74"/>
      <c r="L435" s="74"/>
      <c r="M435" s="74"/>
      <c r="N435" s="81"/>
      <c r="O435" s="74"/>
      <c r="P435" s="74"/>
      <c r="Q435" s="74"/>
      <c r="R435" s="81"/>
      <c r="S435" s="74"/>
      <c r="T435" s="74"/>
      <c r="U435" s="74"/>
      <c r="V435" s="74"/>
      <c r="W435" s="81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7"/>
      <c r="AY435" s="77">
        <f t="shared" si="190"/>
        <v>0</v>
      </c>
      <c r="AZ435" s="79">
        <f>IFERROR(H435*VLOOKUP(A435,'Tabela de Produtos'!A:Q,17,0),0)</f>
        <v>0</v>
      </c>
      <c r="BA435" s="74">
        <f t="shared" si="195"/>
        <v>0</v>
      </c>
      <c r="BB435" s="74">
        <f t="shared" si="195"/>
        <v>0</v>
      </c>
      <c r="BC435" s="74">
        <f t="shared" si="195"/>
        <v>0</v>
      </c>
      <c r="BD435" s="74">
        <f t="shared" si="195"/>
        <v>0</v>
      </c>
      <c r="BE435" s="74">
        <f t="shared" si="191"/>
        <v>0</v>
      </c>
      <c r="BF435" s="74">
        <f t="shared" si="192"/>
        <v>0</v>
      </c>
      <c r="BG435" s="74">
        <f t="shared" si="193"/>
        <v>0</v>
      </c>
      <c r="BH435" s="21">
        <f t="shared" si="194"/>
        <v>0</v>
      </c>
      <c r="BJ435" s="92"/>
      <c r="BK435" s="48"/>
    </row>
  </sheetData>
  <autoFilter ref="A13:BM435" xr:uid="{00000000-0009-0000-0000-000000000000}"/>
  <mergeCells count="452">
    <mergeCell ref="B431:C431"/>
    <mergeCell ref="B432:C432"/>
    <mergeCell ref="B433:C433"/>
    <mergeCell ref="B434:C434"/>
    <mergeCell ref="B435:C435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V5:AV12"/>
    <mergeCell ref="AW5:AW12"/>
    <mergeCell ref="BA5:BD5"/>
    <mergeCell ref="F6:F12"/>
    <mergeCell ref="G6:G12"/>
    <mergeCell ref="O6:Q6"/>
    <mergeCell ref="B14:C14"/>
    <mergeCell ref="B15:C15"/>
    <mergeCell ref="B16:C16"/>
    <mergeCell ref="A4:A12"/>
    <mergeCell ref="B4:C12"/>
    <mergeCell ref="D4:D12"/>
    <mergeCell ref="E4:E12"/>
    <mergeCell ref="F4:F5"/>
    <mergeCell ref="G4:G5"/>
    <mergeCell ref="H4:H12"/>
    <mergeCell ref="I4:I12"/>
    <mergeCell ref="AZ4:BH4"/>
    <mergeCell ref="J5:M5"/>
    <mergeCell ref="N5:N12"/>
    <mergeCell ref="O5:Q5"/>
    <mergeCell ref="R5:R12"/>
    <mergeCell ref="S5:V5"/>
    <mergeCell ref="W5:W12"/>
    <mergeCell ref="Y5:Y12"/>
    <mergeCell ref="Z5:AC5"/>
    <mergeCell ref="AD5:AD12"/>
    <mergeCell ref="AF5:AF12"/>
    <mergeCell ref="AG5:AK5"/>
    <mergeCell ref="AN5:AO5"/>
    <mergeCell ref="AP5:AP12"/>
    <mergeCell ref="AQ5:AS5"/>
    <mergeCell ref="AT5:AT12"/>
  </mergeCells>
  <conditionalFormatting sqref="AX14:AX17 AX20:AX36 AX52:AX66 AX82:AX84 AX86:AX87 AX91:AX92 AX94 AX98:AX120 AX122:AX123 AX127:AX128 AX130 AX134:AX153 AX260 AX263 AX278 AX281 AX296:AX297 AX299:AX302 AX304:AX305 AX354 AX356:AX359 AX364:AX365 AX378 AX380:AX383 AX388:AX389">
    <cfRule type="cellIs" dxfId="20" priority="2" operator="greaterThanOrEqual">
      <formula>0.2</formula>
    </cfRule>
    <cfRule type="cellIs" dxfId="19" priority="3" operator="between">
      <formula>0.18</formula>
      <formula>0.1999</formula>
    </cfRule>
    <cfRule type="cellIs" dxfId="18" priority="4" operator="lessThan">
      <formula>0.18</formula>
    </cfRule>
  </conditionalFormatting>
  <conditionalFormatting sqref="BH2 BH14:BH435">
    <cfRule type="cellIs" dxfId="17" priority="5" operator="greaterThanOrEqual">
      <formula>0.2</formula>
    </cfRule>
    <cfRule type="cellIs" dxfId="16" priority="6" operator="between">
      <formula>0.18</formula>
      <formula>0.1999</formula>
    </cfRule>
    <cfRule type="cellIs" dxfId="15" priority="7" operator="lessThan">
      <formula>0.18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3"/>
  <sheetViews>
    <sheetView zoomScaleNormal="100" workbookViewId="0">
      <selection activeCell="F16" sqref="F16"/>
    </sheetView>
  </sheetViews>
  <sheetFormatPr baseColWidth="10" defaultColWidth="8.5" defaultRowHeight="15"/>
  <cols>
    <col min="2" max="2" width="50.5" customWidth="1"/>
    <col min="3" max="3" width="8.83203125" style="93" customWidth="1"/>
    <col min="4" max="4" width="4.5" style="94" customWidth="1"/>
  </cols>
  <sheetData>
    <row r="1" spans="2:4">
      <c r="C1" s="95" t="s">
        <v>503</v>
      </c>
    </row>
    <row r="2" spans="2:4">
      <c r="B2" t="s">
        <v>504</v>
      </c>
      <c r="C2" s="93">
        <f>SUM(C4:C13)</f>
        <v>56.604378907281749</v>
      </c>
    </row>
    <row r="3" spans="2:4">
      <c r="B3" s="48" t="s">
        <v>4</v>
      </c>
      <c r="C3" s="95" t="s">
        <v>505</v>
      </c>
    </row>
    <row r="4" spans="2:4">
      <c r="B4" t="s">
        <v>11</v>
      </c>
      <c r="C4" s="93">
        <f>'Formação de Preço de Venda'!N52</f>
        <v>23.163000000000004</v>
      </c>
      <c r="D4" s="94">
        <f t="shared" ref="D4:D13" si="0">C4/$C$2</f>
        <v>0.40920862391125451</v>
      </c>
    </row>
    <row r="5" spans="2:4">
      <c r="B5" t="s">
        <v>15</v>
      </c>
      <c r="C5" s="93">
        <f>'Formação de Preço de Venda'!W52</f>
        <v>10.832222222222223</v>
      </c>
      <c r="D5" s="94">
        <f t="shared" si="0"/>
        <v>0.1913672127728043</v>
      </c>
    </row>
    <row r="6" spans="2:4">
      <c r="B6" t="s">
        <v>21</v>
      </c>
      <c r="C6" s="93">
        <f>'Formação de Preço de Venda'!AF52</f>
        <v>9.790604325396826</v>
      </c>
      <c r="D6" s="94">
        <f t="shared" si="0"/>
        <v>0.17296549338406988</v>
      </c>
    </row>
    <row r="7" spans="2:4">
      <c r="B7" t="s">
        <v>23</v>
      </c>
      <c r="C7" s="93">
        <f>'Formação de Preço de Venda'!AL52</f>
        <v>0</v>
      </c>
      <c r="D7" s="94">
        <f t="shared" si="0"/>
        <v>0</v>
      </c>
    </row>
    <row r="8" spans="2:4">
      <c r="B8" t="s">
        <v>27</v>
      </c>
      <c r="C8" s="93">
        <f>'Formação de Preço de Venda'!AT52</f>
        <v>4.0875773058531752</v>
      </c>
      <c r="D8" s="94">
        <f t="shared" si="0"/>
        <v>7.2213093487849184E-2</v>
      </c>
    </row>
    <row r="9" spans="2:4">
      <c r="B9" t="s">
        <v>19</v>
      </c>
      <c r="C9" s="93">
        <f>'Formação de Preço de Venda'!AD52</f>
        <v>1.4805357142857143</v>
      </c>
      <c r="D9" s="94">
        <f t="shared" si="0"/>
        <v>2.6155851240958566E-2</v>
      </c>
    </row>
    <row r="10" spans="2:4">
      <c r="B10" t="s">
        <v>13</v>
      </c>
      <c r="C10" s="93">
        <f>'Formação de Preço de Venda'!R52</f>
        <v>3.3135714285714286</v>
      </c>
      <c r="D10" s="94">
        <f t="shared" si="0"/>
        <v>5.8539135885565939E-2</v>
      </c>
    </row>
    <row r="11" spans="2:4">
      <c r="B11" t="s">
        <v>29</v>
      </c>
      <c r="C11" s="93">
        <f>'Formação de Preço de Venda'!AV52</f>
        <v>2.4476510813492069</v>
      </c>
      <c r="D11" s="94">
        <f t="shared" si="0"/>
        <v>4.3241373346017478E-2</v>
      </c>
    </row>
    <row r="12" spans="2:4">
      <c r="B12" t="s">
        <v>25</v>
      </c>
      <c r="C12" s="93">
        <f>'Formação de Preço de Venda'!AP52</f>
        <v>1.1161288930952384</v>
      </c>
      <c r="D12" s="94">
        <f t="shared" si="0"/>
        <v>1.9718066245783972E-2</v>
      </c>
    </row>
    <row r="13" spans="2:4">
      <c r="B13" t="s">
        <v>17</v>
      </c>
      <c r="C13" s="93">
        <f>'Formação de Preço de Venda'!Y52</f>
        <v>0.37308793650793654</v>
      </c>
      <c r="D13" s="94">
        <f t="shared" si="0"/>
        <v>6.5911497256962472E-3</v>
      </c>
    </row>
  </sheetData>
  <autoFilter ref="B3:C3" xr:uid="{00000000-0009-0000-0000-000001000000}">
    <sortState xmlns:xlrd2="http://schemas.microsoft.com/office/spreadsheetml/2017/richdata2" ref="B3:C4">
      <sortCondition descending="1" ref="C3:C4"/>
    </sortState>
  </autoFilter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25"/>
  <sheetViews>
    <sheetView zoomScale="85" zoomScaleNormal="85" workbookViewId="0">
      <pane xSplit="3" ySplit="3" topLeftCell="U4" activePane="bottomRight" state="frozen"/>
      <selection pane="topRight" activeCell="U1" sqref="U1"/>
      <selection pane="bottomLeft" activeCell="A4" sqref="A4"/>
      <selection pane="bottomRight" activeCell="AA3" sqref="AA3"/>
    </sheetView>
  </sheetViews>
  <sheetFormatPr baseColWidth="10" defaultColWidth="10.5" defaultRowHeight="15" outlineLevelCol="1"/>
  <cols>
    <col min="1" max="1" width="10.33203125" customWidth="1"/>
    <col min="2" max="2" width="78.6640625" customWidth="1"/>
    <col min="3" max="3" width="20.6640625" customWidth="1"/>
    <col min="5" max="5" width="19.5" customWidth="1" outlineLevel="1"/>
    <col min="6" max="6" width="22.83203125" customWidth="1" outlineLevel="1"/>
    <col min="7" max="7" width="15.5" customWidth="1" outlineLevel="1"/>
    <col min="8" max="9" width="10.33203125" customWidth="1"/>
    <col min="10" max="10" width="14.33203125" customWidth="1" outlineLevel="1"/>
    <col min="11" max="11" width="29.5" customWidth="1"/>
    <col min="12" max="12" width="34.1640625" customWidth="1"/>
    <col min="13" max="13" width="20" customWidth="1"/>
    <col min="14" max="14" width="17.6640625" customWidth="1"/>
    <col min="16" max="16" width="8.5" customWidth="1"/>
    <col min="17" max="17" width="13.33203125" customWidth="1" outlineLevel="1"/>
    <col min="18" max="18" width="11.1640625" customWidth="1"/>
    <col min="19" max="19" width="9.6640625" customWidth="1"/>
    <col min="21" max="21" width="12.1640625" customWidth="1"/>
    <col min="22" max="22" width="25.6640625" customWidth="1"/>
    <col min="23" max="23" width="27" customWidth="1"/>
    <col min="25" max="25" width="15.5" customWidth="1"/>
    <col min="27" max="27" width="14.5" customWidth="1"/>
    <col min="28" max="32" width="14" customWidth="1"/>
  </cols>
  <sheetData>
    <row r="1" spans="1:32" ht="51.75" customHeight="1">
      <c r="A1" s="48"/>
      <c r="J1" s="96"/>
      <c r="K1" s="97"/>
      <c r="L1" s="98"/>
      <c r="M1" s="99"/>
      <c r="N1" s="100"/>
      <c r="O1" s="101"/>
      <c r="P1" s="102">
        <v>0.31</v>
      </c>
      <c r="Q1" s="103"/>
      <c r="R1" s="104">
        <f>'Formação de Preço de Venda'!$BE$12</f>
        <v>0.05</v>
      </c>
      <c r="S1" s="105">
        <f>SUM('Formação de Preço de Venda'!$BA$12:$BD$12)</f>
        <v>7.0000000000000007E-2</v>
      </c>
      <c r="AB1" s="293" t="s">
        <v>506</v>
      </c>
      <c r="AC1" s="293"/>
      <c r="AD1" s="293"/>
      <c r="AE1" s="293"/>
      <c r="AF1" s="293"/>
    </row>
    <row r="2" spans="1:32" ht="14.25" customHeight="1">
      <c r="J2" s="96"/>
      <c r="L2" s="103"/>
      <c r="M2" s="100"/>
      <c r="N2" s="100"/>
      <c r="O2" s="103"/>
      <c r="P2" s="103"/>
      <c r="Q2" s="103"/>
      <c r="AB2" s="294" t="s">
        <v>507</v>
      </c>
      <c r="AC2" s="294"/>
      <c r="AD2" s="294"/>
      <c r="AE2" s="294"/>
      <c r="AF2" s="294"/>
    </row>
    <row r="3" spans="1:32" s="113" customFormat="1" ht="48" customHeight="1">
      <c r="A3" s="106" t="s">
        <v>508</v>
      </c>
      <c r="B3" s="106" t="s">
        <v>509</v>
      </c>
      <c r="C3" s="106" t="s">
        <v>510</v>
      </c>
      <c r="D3" s="106" t="s">
        <v>511</v>
      </c>
      <c r="E3" s="106" t="s">
        <v>512</v>
      </c>
      <c r="F3" s="106" t="s">
        <v>513</v>
      </c>
      <c r="G3" s="106" t="s">
        <v>514</v>
      </c>
      <c r="H3" s="106" t="s">
        <v>515</v>
      </c>
      <c r="I3" s="106" t="s">
        <v>516</v>
      </c>
      <c r="J3" s="107" t="s">
        <v>517</v>
      </c>
      <c r="K3" s="106" t="s">
        <v>518</v>
      </c>
      <c r="L3" s="106" t="s">
        <v>519</v>
      </c>
      <c r="M3" s="107" t="s">
        <v>520</v>
      </c>
      <c r="N3" s="107" t="s">
        <v>521</v>
      </c>
      <c r="O3" s="108" t="s">
        <v>522</v>
      </c>
      <c r="P3" s="107" t="s">
        <v>523</v>
      </c>
      <c r="Q3" s="108" t="s">
        <v>524</v>
      </c>
      <c r="R3" s="107" t="s">
        <v>525</v>
      </c>
      <c r="S3" s="107" t="s">
        <v>526</v>
      </c>
      <c r="T3" s="107" t="s">
        <v>527</v>
      </c>
      <c r="U3" s="107" t="s">
        <v>528</v>
      </c>
      <c r="V3" s="107" t="s">
        <v>529</v>
      </c>
      <c r="W3" s="107" t="s">
        <v>530</v>
      </c>
      <c r="X3" s="109" t="s">
        <v>531</v>
      </c>
      <c r="Y3" s="109" t="s">
        <v>532</v>
      </c>
      <c r="Z3" s="109" t="s">
        <v>533</v>
      </c>
      <c r="AA3" s="110" t="s">
        <v>534</v>
      </c>
      <c r="AB3" s="111" t="s">
        <v>535</v>
      </c>
      <c r="AC3" s="111" t="s">
        <v>536</v>
      </c>
      <c r="AD3" s="111" t="s">
        <v>537</v>
      </c>
      <c r="AE3" s="111" t="s">
        <v>538</v>
      </c>
      <c r="AF3" s="112" t="s">
        <v>539</v>
      </c>
    </row>
    <row r="4" spans="1:32">
      <c r="A4" s="114" t="s">
        <v>81</v>
      </c>
      <c r="B4" s="114" t="s">
        <v>540</v>
      </c>
      <c r="C4" s="114" t="s">
        <v>541</v>
      </c>
      <c r="D4" s="114" t="s">
        <v>542</v>
      </c>
      <c r="E4" s="114" t="s">
        <v>543</v>
      </c>
      <c r="F4" s="114" t="s">
        <v>543</v>
      </c>
      <c r="G4" s="114" t="s">
        <v>544</v>
      </c>
      <c r="H4" s="115">
        <v>4</v>
      </c>
      <c r="I4" s="114" t="s">
        <v>545</v>
      </c>
      <c r="J4" s="116">
        <f t="shared" ref="J4:J67" si="0">IF(I4="KG",1,1.27)</f>
        <v>1</v>
      </c>
      <c r="K4" s="97" t="str">
        <f>IFERROR(IF(VLOOKUP(D4,'Ficha de Produção'!C:C,1,0)=D4,"OK","Custo Produção Não Cadastrado"),"Custo Produção Não Cadastrado")</f>
        <v>OK</v>
      </c>
      <c r="L4" s="97" t="str">
        <f>IFERROR(IF(VLOOKUP(A4,'Ficha de Embalagens'!A:A,1,0)=A4,"OK","Ficha de Embalagens Não Cadastrada"),"Ficha de Embalagens Não Cadastrada")</f>
        <v>OK</v>
      </c>
      <c r="M4" s="117">
        <f>SUMIFS('Ficha de Produção'!N:N,'Ficha de Produção'!C:C,D4)*H4</f>
        <v>3</v>
      </c>
      <c r="N4" s="117">
        <f>SUMIFS('Ficha de Embalagens'!F:F,'Ficha de Embalagens'!A:A,A4)</f>
        <v>3.06</v>
      </c>
      <c r="O4" s="97">
        <f t="shared" ref="O4:O67" si="1">SUM(M4:N4)</f>
        <v>6.0600000000000005</v>
      </c>
      <c r="P4" s="97">
        <f t="shared" ref="P4:P67" si="2">IF(AND(K4="OK",L4="OK"),H4*$P$1,0)</f>
        <v>1.24</v>
      </c>
      <c r="Q4" s="118">
        <f t="shared" ref="Q4:Q67" si="3">P4+O4</f>
        <v>7.3000000000000007</v>
      </c>
      <c r="R4" s="97">
        <f t="shared" ref="R4:R67" si="4">U4*$R$1</f>
        <v>0.7995000000000001</v>
      </c>
      <c r="S4" s="97">
        <f t="shared" ref="S4:S67" si="5">$S$1*U4</f>
        <v>1.1193000000000002</v>
      </c>
      <c r="T4" s="118">
        <f t="shared" ref="T4:T67" si="6">+Q4+R4+S4</f>
        <v>9.2188000000000017</v>
      </c>
      <c r="U4" s="119">
        <v>15.99</v>
      </c>
      <c r="V4" s="120">
        <f t="shared" ref="V4:V67" si="7">IF(M4=0,"Cadastrar Ficha de Produção",IF(AND(M4&gt;0,U4=""),"Cadastrar Preço Final",IFERROR((U4-T4)/U4,"")))</f>
        <v>0.42346466541588484</v>
      </c>
      <c r="W4" s="121">
        <f t="shared" ref="W4:W67" si="8">IF(M4=0,"Cadastrar Ficha de Produção",ROUNDUP(Q4/(1-$R$1-$S$1),2))</f>
        <v>8.2999999999999989</v>
      </c>
      <c r="X4" s="122">
        <f>SUM(Q4,R4,S4)</f>
        <v>9.2188000000000017</v>
      </c>
      <c r="Y4" s="121">
        <f>U4-X4</f>
        <v>6.7711999999999986</v>
      </c>
      <c r="Z4" s="123">
        <f>Y4/U4</f>
        <v>0.42346466541588484</v>
      </c>
      <c r="AA4" s="124">
        <f>SUM('Despesas Fixas'!F4,'Custos de Produção'!K4,Salários!J21)</f>
        <v>55345.980833333335</v>
      </c>
      <c r="AB4" s="125">
        <f t="shared" ref="AB4:AB67" si="9">IF(Q4=0,"",Q4)</f>
        <v>7.3000000000000007</v>
      </c>
      <c r="AC4" s="125">
        <f t="shared" ref="AC4:AC67" si="10">IF(U4="","",U4*(1-$R$1-$S$1))</f>
        <v>14.071199999999999</v>
      </c>
      <c r="AD4" s="126">
        <f t="shared" ref="AD4:AD67" si="11">IF(OR(AB4="",AC4=""),"",AC4-AB4)</f>
        <v>6.7711999999999986</v>
      </c>
      <c r="AE4" s="127">
        <f t="shared" ref="AE4:AE67" si="12">IF(OR(AD4="",AC4=0),"",AD4/AC4)</f>
        <v>0.4812098470635055</v>
      </c>
      <c r="AF4" s="128">
        <f t="shared" ref="AF4:AF67" si="13">IF(Q4=0,"",ROUNDUP((Q4+IF(AA4="",0,AA4/1200))/(1-$R$1-$S$1),2))</f>
        <v>60.71</v>
      </c>
    </row>
    <row r="5" spans="1:32">
      <c r="A5" s="114" t="s">
        <v>82</v>
      </c>
      <c r="B5" s="114" t="s">
        <v>546</v>
      </c>
      <c r="C5" s="114" t="s">
        <v>541</v>
      </c>
      <c r="D5" s="114" t="s">
        <v>542</v>
      </c>
      <c r="E5" s="114" t="s">
        <v>543</v>
      </c>
      <c r="F5" s="114" t="s">
        <v>543</v>
      </c>
      <c r="G5" s="114" t="s">
        <v>544</v>
      </c>
      <c r="H5" s="115">
        <v>20</v>
      </c>
      <c r="I5" s="114" t="s">
        <v>545</v>
      </c>
      <c r="J5" s="116">
        <f t="shared" si="0"/>
        <v>1</v>
      </c>
      <c r="K5" s="97" t="str">
        <f>IFERROR(IF(VLOOKUP(D5,'Ficha de Produção'!C:C,1,0)=D5,"OK","Custo Produção Não Cadastrado"),"Custo Produção Não Cadastrado")</f>
        <v>OK</v>
      </c>
      <c r="L5" s="97" t="str">
        <f>IFERROR(IF(VLOOKUP(A5,'Ficha de Embalagens'!A:A,1,0)=A5,"OK","Ficha de Embalagens Não Cadastrada"),"Ficha de Embalagens Não Cadastrada")</f>
        <v>OK</v>
      </c>
      <c r="M5" s="117">
        <f>SUMIFS('Ficha de Produção'!N:N,'Ficha de Produção'!C:C,D5)*H5</f>
        <v>15</v>
      </c>
      <c r="N5" s="117">
        <f>SUMIFS('Ficha de Embalagens'!F:F,'Ficha de Embalagens'!A:A,A5)</f>
        <v>8.61</v>
      </c>
      <c r="O5" s="97">
        <f t="shared" si="1"/>
        <v>23.61</v>
      </c>
      <c r="P5" s="97">
        <f t="shared" si="2"/>
        <v>6.2</v>
      </c>
      <c r="Q5" s="118">
        <f t="shared" si="3"/>
        <v>29.81</v>
      </c>
      <c r="R5" s="97">
        <f t="shared" si="4"/>
        <v>1.9450000000000001</v>
      </c>
      <c r="S5" s="97">
        <f t="shared" si="5"/>
        <v>2.7230000000000003</v>
      </c>
      <c r="T5" s="118">
        <f t="shared" si="6"/>
        <v>34.478000000000002</v>
      </c>
      <c r="U5" s="119">
        <v>38.9</v>
      </c>
      <c r="V5" s="120">
        <f t="shared" si="7"/>
        <v>0.11367609254498708</v>
      </c>
      <c r="W5" s="121">
        <f t="shared" si="8"/>
        <v>33.879999999999995</v>
      </c>
      <c r="AB5" s="125">
        <f t="shared" si="9"/>
        <v>29.81</v>
      </c>
      <c r="AC5" s="125">
        <f t="shared" si="10"/>
        <v>34.231999999999992</v>
      </c>
      <c r="AD5" s="126">
        <f t="shared" si="11"/>
        <v>4.4219999999999935</v>
      </c>
      <c r="AE5" s="127">
        <f t="shared" si="12"/>
        <v>0.12917737789203068</v>
      </c>
      <c r="AF5" s="128">
        <f t="shared" si="13"/>
        <v>33.879999999999995</v>
      </c>
    </row>
    <row r="6" spans="1:32">
      <c r="A6" s="114" t="s">
        <v>83</v>
      </c>
      <c r="B6" s="114" t="s">
        <v>547</v>
      </c>
      <c r="C6" s="114" t="s">
        <v>548</v>
      </c>
      <c r="D6" s="114" t="s">
        <v>549</v>
      </c>
      <c r="E6" s="114" t="s">
        <v>550</v>
      </c>
      <c r="F6" s="114" t="s">
        <v>543</v>
      </c>
      <c r="G6" s="114" t="s">
        <v>544</v>
      </c>
      <c r="H6" s="115">
        <v>3</v>
      </c>
      <c r="I6" s="114" t="s">
        <v>551</v>
      </c>
      <c r="J6" s="116">
        <f t="shared" si="0"/>
        <v>1.27</v>
      </c>
      <c r="K6" s="97" t="str">
        <f>IFERROR(IF(VLOOKUP(D6,'Ficha de Produção'!C:C,1,0)=D6,"OK","Custo Produção Não Cadastrado"),"Custo Produção Não Cadastrado")</f>
        <v>OK</v>
      </c>
      <c r="L6" s="97" t="str">
        <f>IFERROR(IF(VLOOKUP(A6,'Ficha de Embalagens'!A:A,1,0)=A6,"OK","Ficha de Embalagens Não Cadastrada"),"Ficha de Embalagens Não Cadastrada")</f>
        <v>OK</v>
      </c>
      <c r="M6" s="117">
        <f>SUMIFS('Ficha de Produção'!N:N,'Ficha de Produção'!C:C,D6)*H6</f>
        <v>2.64</v>
      </c>
      <c r="N6" s="117">
        <f>SUMIFS('Ficha de Embalagens'!F:F,'Ficha de Embalagens'!A:A,A6)</f>
        <v>3.06</v>
      </c>
      <c r="O6" s="97">
        <f t="shared" si="1"/>
        <v>5.7</v>
      </c>
      <c r="P6" s="97">
        <f t="shared" si="2"/>
        <v>0.92999999999999994</v>
      </c>
      <c r="Q6" s="118">
        <f t="shared" si="3"/>
        <v>6.63</v>
      </c>
      <c r="R6" s="97">
        <f t="shared" si="4"/>
        <v>0.84949999999999992</v>
      </c>
      <c r="S6" s="97">
        <f t="shared" si="5"/>
        <v>1.1893</v>
      </c>
      <c r="T6" s="118">
        <f t="shared" si="6"/>
        <v>8.6687999999999992</v>
      </c>
      <c r="U6" s="119">
        <v>16.989999999999998</v>
      </c>
      <c r="V6" s="120">
        <f t="shared" si="7"/>
        <v>0.4897704532077693</v>
      </c>
      <c r="W6" s="121">
        <f t="shared" si="8"/>
        <v>7.54</v>
      </c>
      <c r="AB6" s="125">
        <f t="shared" si="9"/>
        <v>6.63</v>
      </c>
      <c r="AC6" s="125">
        <f t="shared" si="10"/>
        <v>14.951199999999996</v>
      </c>
      <c r="AD6" s="126">
        <f t="shared" si="11"/>
        <v>8.3211999999999975</v>
      </c>
      <c r="AE6" s="127">
        <f t="shared" si="12"/>
        <v>0.55655733319064682</v>
      </c>
      <c r="AF6" s="128">
        <f t="shared" si="13"/>
        <v>7.54</v>
      </c>
    </row>
    <row r="7" spans="1:32">
      <c r="A7" s="114" t="s">
        <v>84</v>
      </c>
      <c r="B7" s="114" t="s">
        <v>552</v>
      </c>
      <c r="C7" s="114" t="s">
        <v>548</v>
      </c>
      <c r="D7" s="114" t="s">
        <v>549</v>
      </c>
      <c r="E7" s="114" t="s">
        <v>550</v>
      </c>
      <c r="F7" s="114" t="s">
        <v>543</v>
      </c>
      <c r="G7" s="114" t="s">
        <v>544</v>
      </c>
      <c r="H7" s="115">
        <v>15</v>
      </c>
      <c r="I7" s="114" t="s">
        <v>551</v>
      </c>
      <c r="J7" s="116">
        <f t="shared" si="0"/>
        <v>1.27</v>
      </c>
      <c r="K7" s="97" t="str">
        <f>IFERROR(IF(VLOOKUP(D7,'Ficha de Produção'!C:C,1,0)=D7,"OK","Custo Produção Não Cadastrado"),"Custo Produção Não Cadastrado")</f>
        <v>OK</v>
      </c>
      <c r="L7" s="97" t="str">
        <f>IFERROR(IF(VLOOKUP(A7,'Ficha de Embalagens'!A:A,1,0)=A7,"OK","Ficha de Embalagens Não Cadastrada"),"Ficha de Embalagens Não Cadastrada")</f>
        <v>OK</v>
      </c>
      <c r="M7" s="117">
        <f>SUMIFS('Ficha de Produção'!N:N,'Ficha de Produção'!C:C,D7)*H7</f>
        <v>13.2</v>
      </c>
      <c r="N7" s="117">
        <f>SUMIFS('Ficha de Embalagens'!F:F,'Ficha de Embalagens'!A:A,A7)</f>
        <v>8.61</v>
      </c>
      <c r="O7" s="97">
        <f t="shared" si="1"/>
        <v>21.81</v>
      </c>
      <c r="P7" s="97">
        <f t="shared" si="2"/>
        <v>4.6500000000000004</v>
      </c>
      <c r="Q7" s="118">
        <f t="shared" si="3"/>
        <v>26.46</v>
      </c>
      <c r="R7" s="97">
        <f t="shared" si="4"/>
        <v>3.3245</v>
      </c>
      <c r="S7" s="97">
        <f t="shared" si="5"/>
        <v>4.6543000000000001</v>
      </c>
      <c r="T7" s="118">
        <f t="shared" si="6"/>
        <v>34.438800000000001</v>
      </c>
      <c r="U7" s="119">
        <v>66.489999999999995</v>
      </c>
      <c r="V7" s="120">
        <f t="shared" si="7"/>
        <v>0.48204542036396447</v>
      </c>
      <c r="W7" s="121">
        <f t="shared" si="8"/>
        <v>30.07</v>
      </c>
      <c r="AB7" s="125">
        <f t="shared" si="9"/>
        <v>26.46</v>
      </c>
      <c r="AC7" s="125">
        <f t="shared" si="10"/>
        <v>58.511199999999988</v>
      </c>
      <c r="AD7" s="126">
        <f t="shared" si="11"/>
        <v>32.051199999999987</v>
      </c>
      <c r="AE7" s="127">
        <f t="shared" si="12"/>
        <v>0.5477788867772323</v>
      </c>
      <c r="AF7" s="128">
        <f t="shared" si="13"/>
        <v>30.07</v>
      </c>
    </row>
    <row r="8" spans="1:32">
      <c r="A8" s="114" t="s">
        <v>85</v>
      </c>
      <c r="B8" s="114" t="s">
        <v>553</v>
      </c>
      <c r="C8" s="114" t="s">
        <v>548</v>
      </c>
      <c r="D8" s="114"/>
      <c r="E8" s="114" t="s">
        <v>554</v>
      </c>
      <c r="F8" s="114" t="s">
        <v>555</v>
      </c>
      <c r="G8" s="114" t="s">
        <v>556</v>
      </c>
      <c r="H8" s="115">
        <v>0.75</v>
      </c>
      <c r="I8" s="114" t="s">
        <v>551</v>
      </c>
      <c r="J8" s="116">
        <f t="shared" si="0"/>
        <v>1.27</v>
      </c>
      <c r="K8" s="97" t="str">
        <f>IFERROR(IF(VLOOKUP(D8,'Ficha de Produção'!C:C,1,0)=D8,"OK","Custo Produção Não Cadastrado"),"Custo Produção Não Cadastrado")</f>
        <v>Custo Produção Não Cadastrado</v>
      </c>
      <c r="L8" s="97" t="str">
        <f>IFERROR(IF(VLOOKUP(A8,'Ficha de Embalagens'!A:A,1,0)=A8,"OK","Ficha de Embalagens Não Cadastrada"),"Ficha de Embalagens Não Cadastrada")</f>
        <v>Ficha de Embalagens Não Cadastrada</v>
      </c>
      <c r="M8" s="117">
        <f>SUMIFS('Ficha de Produção'!N:N,'Ficha de Produção'!C:C,D8)*H8</f>
        <v>0</v>
      </c>
      <c r="N8" s="117">
        <f>SUMIFS('Ficha de Embalagens'!F:F,'Ficha de Embalagens'!A:A,A8)</f>
        <v>0</v>
      </c>
      <c r="O8" s="97">
        <f t="shared" si="1"/>
        <v>0</v>
      </c>
      <c r="P8" s="97">
        <f t="shared" si="2"/>
        <v>0</v>
      </c>
      <c r="Q8" s="118">
        <f t="shared" si="3"/>
        <v>0</v>
      </c>
      <c r="R8" s="97">
        <f t="shared" si="4"/>
        <v>0</v>
      </c>
      <c r="S8" s="97">
        <f t="shared" si="5"/>
        <v>0</v>
      </c>
      <c r="T8" s="118">
        <f t="shared" si="6"/>
        <v>0</v>
      </c>
      <c r="U8" s="119"/>
      <c r="V8" s="120" t="str">
        <f t="shared" si="7"/>
        <v>Cadastrar Ficha de Produção</v>
      </c>
      <c r="W8" s="121" t="str">
        <f t="shared" si="8"/>
        <v>Cadastrar Ficha de Produção</v>
      </c>
      <c r="AB8" s="125" t="str">
        <f t="shared" si="9"/>
        <v/>
      </c>
      <c r="AC8" s="125" t="str">
        <f t="shared" si="10"/>
        <v/>
      </c>
      <c r="AD8" s="126" t="str">
        <f t="shared" si="11"/>
        <v/>
      </c>
      <c r="AE8" s="127" t="str">
        <f t="shared" si="12"/>
        <v/>
      </c>
      <c r="AF8" s="128" t="str">
        <f t="shared" si="13"/>
        <v/>
      </c>
    </row>
    <row r="9" spans="1:32">
      <c r="A9" s="114" t="s">
        <v>86</v>
      </c>
      <c r="B9" s="114" t="s">
        <v>557</v>
      </c>
      <c r="C9" s="114" t="s">
        <v>548</v>
      </c>
      <c r="D9" s="114"/>
      <c r="E9" s="114" t="s">
        <v>554</v>
      </c>
      <c r="F9" s="114" t="s">
        <v>555</v>
      </c>
      <c r="G9" s="114" t="s">
        <v>556</v>
      </c>
      <c r="H9" s="115">
        <v>3</v>
      </c>
      <c r="I9" s="114" t="s">
        <v>551</v>
      </c>
      <c r="J9" s="116">
        <f t="shared" si="0"/>
        <v>1.27</v>
      </c>
      <c r="K9" s="97" t="str">
        <f>IFERROR(IF(VLOOKUP(D9,'Ficha de Produção'!C:C,1,0)=D9,"OK","Custo Produção Não Cadastrado"),"Custo Produção Não Cadastrado")</f>
        <v>Custo Produção Não Cadastrado</v>
      </c>
      <c r="L9" s="97" t="str">
        <f>IFERROR(IF(VLOOKUP(A9,'Ficha de Embalagens'!A:A,1,0)=A9,"OK","Ficha de Embalagens Não Cadastrada"),"Ficha de Embalagens Não Cadastrada")</f>
        <v>Ficha de Embalagens Não Cadastrada</v>
      </c>
      <c r="M9" s="117">
        <f>SUMIFS('Ficha de Produção'!N:N,'Ficha de Produção'!C:C,D9)*H9</f>
        <v>0</v>
      </c>
      <c r="N9" s="117">
        <f>SUMIFS('Ficha de Embalagens'!F:F,'Ficha de Embalagens'!A:A,A9)</f>
        <v>0</v>
      </c>
      <c r="O9" s="97">
        <f t="shared" si="1"/>
        <v>0</v>
      </c>
      <c r="P9" s="97">
        <f t="shared" si="2"/>
        <v>0</v>
      </c>
      <c r="Q9" s="118">
        <f t="shared" si="3"/>
        <v>0</v>
      </c>
      <c r="R9" s="97">
        <f t="shared" si="4"/>
        <v>0</v>
      </c>
      <c r="S9" s="97">
        <f t="shared" si="5"/>
        <v>0</v>
      </c>
      <c r="T9" s="118">
        <f t="shared" si="6"/>
        <v>0</v>
      </c>
      <c r="U9" s="119"/>
      <c r="V9" s="120" t="str">
        <f t="shared" si="7"/>
        <v>Cadastrar Ficha de Produção</v>
      </c>
      <c r="W9" s="121" t="str">
        <f t="shared" si="8"/>
        <v>Cadastrar Ficha de Produção</v>
      </c>
      <c r="AB9" s="125" t="str">
        <f t="shared" si="9"/>
        <v/>
      </c>
      <c r="AC9" s="125" t="str">
        <f t="shared" si="10"/>
        <v/>
      </c>
      <c r="AD9" s="126" t="str">
        <f t="shared" si="11"/>
        <v/>
      </c>
      <c r="AE9" s="127" t="str">
        <f t="shared" si="12"/>
        <v/>
      </c>
      <c r="AF9" s="128" t="str">
        <f t="shared" si="13"/>
        <v/>
      </c>
    </row>
    <row r="10" spans="1:32">
      <c r="A10" s="114" t="s">
        <v>87</v>
      </c>
      <c r="B10" s="114" t="s">
        <v>558</v>
      </c>
      <c r="C10" s="114" t="s">
        <v>559</v>
      </c>
      <c r="D10" s="114" t="s">
        <v>560</v>
      </c>
      <c r="E10" s="114" t="s">
        <v>550</v>
      </c>
      <c r="F10" s="114" t="s">
        <v>543</v>
      </c>
      <c r="G10" s="114" t="s">
        <v>544</v>
      </c>
      <c r="H10" s="115">
        <v>4</v>
      </c>
      <c r="I10" s="114" t="s">
        <v>545</v>
      </c>
      <c r="J10" s="116">
        <f t="shared" si="0"/>
        <v>1</v>
      </c>
      <c r="K10" s="97" t="str">
        <f>IFERROR(IF(VLOOKUP(D10,'Ficha de Produção'!C:C,1,0)=D10,"OK","Custo Produção Não Cadastrado"),"Custo Produção Não Cadastrado")</f>
        <v>OK</v>
      </c>
      <c r="L10" s="97" t="str">
        <f>IFERROR(IF(VLOOKUP(A10,'Ficha de Embalagens'!A:A,1,0)=A10,"OK","Ficha de Embalagens Não Cadastrada"),"Ficha de Embalagens Não Cadastrada")</f>
        <v>OK</v>
      </c>
      <c r="M10" s="117">
        <f>SUMIFS('Ficha de Produção'!N:N,'Ficha de Produção'!C:C,D10)*H10</f>
        <v>6.4399999999999995</v>
      </c>
      <c r="N10" s="117">
        <f>SUMIFS('Ficha de Embalagens'!F:F,'Ficha de Embalagens'!A:A,A10)</f>
        <v>3.06</v>
      </c>
      <c r="O10" s="97">
        <f t="shared" si="1"/>
        <v>9.5</v>
      </c>
      <c r="P10" s="97">
        <f t="shared" si="2"/>
        <v>1.24</v>
      </c>
      <c r="Q10" s="118">
        <f t="shared" si="3"/>
        <v>10.74</v>
      </c>
      <c r="R10" s="97">
        <f t="shared" si="4"/>
        <v>0.99949999999999994</v>
      </c>
      <c r="S10" s="97">
        <f t="shared" si="5"/>
        <v>1.3993</v>
      </c>
      <c r="T10" s="118">
        <f t="shared" si="6"/>
        <v>13.1388</v>
      </c>
      <c r="U10" s="119">
        <v>19.989999999999998</v>
      </c>
      <c r="V10" s="120">
        <f t="shared" si="7"/>
        <v>0.3427313656828414</v>
      </c>
      <c r="W10" s="121">
        <f t="shared" si="8"/>
        <v>12.209999999999999</v>
      </c>
      <c r="AB10" s="125">
        <f t="shared" si="9"/>
        <v>10.74</v>
      </c>
      <c r="AC10" s="125">
        <f t="shared" si="10"/>
        <v>17.591199999999997</v>
      </c>
      <c r="AD10" s="126">
        <f t="shared" si="11"/>
        <v>6.8511999999999968</v>
      </c>
      <c r="AE10" s="127">
        <f t="shared" si="12"/>
        <v>0.38946746100322877</v>
      </c>
      <c r="AF10" s="128">
        <f t="shared" si="13"/>
        <v>12.209999999999999</v>
      </c>
    </row>
    <row r="11" spans="1:32">
      <c r="A11" s="114" t="s">
        <v>88</v>
      </c>
      <c r="B11" s="114" t="s">
        <v>561</v>
      </c>
      <c r="C11" s="114" t="s">
        <v>559</v>
      </c>
      <c r="D11" s="114" t="s">
        <v>560</v>
      </c>
      <c r="E11" s="114" t="s">
        <v>550</v>
      </c>
      <c r="F11" s="114" t="s">
        <v>543</v>
      </c>
      <c r="G11" s="114" t="s">
        <v>544</v>
      </c>
      <c r="H11" s="115">
        <v>20</v>
      </c>
      <c r="I11" s="114" t="s">
        <v>545</v>
      </c>
      <c r="J11" s="116">
        <f t="shared" si="0"/>
        <v>1</v>
      </c>
      <c r="K11" s="97" t="str">
        <f>IFERROR(IF(VLOOKUP(D11,'Ficha de Produção'!C:C,1,0)=D11,"OK","Custo Produção Não Cadastrado"),"Custo Produção Não Cadastrado")</f>
        <v>OK</v>
      </c>
      <c r="L11" s="97" t="str">
        <f>IFERROR(IF(VLOOKUP(A11,'Ficha de Embalagens'!A:A,1,0)=A11,"OK","Ficha de Embalagens Não Cadastrada"),"Ficha de Embalagens Não Cadastrada")</f>
        <v>OK</v>
      </c>
      <c r="M11" s="117">
        <f>SUMIFS('Ficha de Produção'!N:N,'Ficha de Produção'!C:C,D11)*H11</f>
        <v>32.199999999999996</v>
      </c>
      <c r="N11" s="117">
        <f>SUMIFS('Ficha de Embalagens'!F:F,'Ficha de Embalagens'!A:A,A11)</f>
        <v>8.61</v>
      </c>
      <c r="O11" s="97">
        <f t="shared" si="1"/>
        <v>40.809999999999995</v>
      </c>
      <c r="P11" s="97">
        <f t="shared" si="2"/>
        <v>6.2</v>
      </c>
      <c r="Q11" s="118">
        <f t="shared" si="3"/>
        <v>47.01</v>
      </c>
      <c r="R11" s="97">
        <f t="shared" si="4"/>
        <v>3.4950000000000006</v>
      </c>
      <c r="S11" s="97">
        <f t="shared" si="5"/>
        <v>4.8930000000000007</v>
      </c>
      <c r="T11" s="118">
        <f t="shared" si="6"/>
        <v>55.397999999999996</v>
      </c>
      <c r="U11" s="119">
        <v>69.900000000000006</v>
      </c>
      <c r="V11" s="120">
        <f t="shared" si="7"/>
        <v>0.20746781115879839</v>
      </c>
      <c r="W11" s="121">
        <f t="shared" si="8"/>
        <v>53.43</v>
      </c>
      <c r="AB11" s="125">
        <f t="shared" si="9"/>
        <v>47.01</v>
      </c>
      <c r="AC11" s="125">
        <f t="shared" si="10"/>
        <v>61.512</v>
      </c>
      <c r="AD11" s="126">
        <f t="shared" si="11"/>
        <v>14.502000000000002</v>
      </c>
      <c r="AE11" s="127">
        <f t="shared" si="12"/>
        <v>0.23575887631681627</v>
      </c>
      <c r="AF11" s="128">
        <f t="shared" si="13"/>
        <v>53.43</v>
      </c>
    </row>
    <row r="12" spans="1:32">
      <c r="A12" s="114" t="s">
        <v>89</v>
      </c>
      <c r="B12" s="114" t="s">
        <v>562</v>
      </c>
      <c r="C12" s="114" t="s">
        <v>563</v>
      </c>
      <c r="D12" s="114" t="s">
        <v>564</v>
      </c>
      <c r="E12" s="114" t="s">
        <v>565</v>
      </c>
      <c r="F12" s="114" t="s">
        <v>566</v>
      </c>
      <c r="G12" s="114" t="s">
        <v>544</v>
      </c>
      <c r="H12" s="115">
        <v>3</v>
      </c>
      <c r="I12" s="114" t="s">
        <v>551</v>
      </c>
      <c r="J12" s="116">
        <f t="shared" si="0"/>
        <v>1.27</v>
      </c>
      <c r="K12" s="97" t="str">
        <f>IFERROR(IF(VLOOKUP(D12,'Ficha de Produção'!C:C,1,0)=D12,"OK","Custo Produção Não Cadastrado"),"Custo Produção Não Cadastrado")</f>
        <v>OK</v>
      </c>
      <c r="L12" s="97" t="str">
        <f>IFERROR(IF(VLOOKUP(A12,'Ficha de Embalagens'!A:A,1,0)=A12,"OK","Ficha de Embalagens Não Cadastrada"),"Ficha de Embalagens Não Cadastrada")</f>
        <v>OK</v>
      </c>
      <c r="M12" s="117">
        <f>SUMIFS('Ficha de Produção'!N:N,'Ficha de Produção'!C:C,D12)*H12</f>
        <v>3.6300000000000008</v>
      </c>
      <c r="N12" s="117">
        <f>SUMIFS('Ficha de Embalagens'!F:F,'Ficha de Embalagens'!A:A,A12)</f>
        <v>3.44</v>
      </c>
      <c r="O12" s="97">
        <f t="shared" si="1"/>
        <v>7.07</v>
      </c>
      <c r="P12" s="97">
        <f t="shared" si="2"/>
        <v>0.92999999999999994</v>
      </c>
      <c r="Q12" s="118">
        <f t="shared" si="3"/>
        <v>8</v>
      </c>
      <c r="R12" s="97">
        <f t="shared" si="4"/>
        <v>0.89949999999999997</v>
      </c>
      <c r="S12" s="97">
        <f t="shared" si="5"/>
        <v>1.2593000000000001</v>
      </c>
      <c r="T12" s="118">
        <f t="shared" si="6"/>
        <v>10.158799999999999</v>
      </c>
      <c r="U12" s="119">
        <v>17.989999999999998</v>
      </c>
      <c r="V12" s="120">
        <f t="shared" si="7"/>
        <v>0.43530850472484711</v>
      </c>
      <c r="W12" s="121">
        <f t="shared" si="8"/>
        <v>9.1</v>
      </c>
      <c r="AB12" s="125">
        <f t="shared" si="9"/>
        <v>8</v>
      </c>
      <c r="AC12" s="125">
        <f t="shared" si="10"/>
        <v>15.831199999999997</v>
      </c>
      <c r="AD12" s="126">
        <f t="shared" si="11"/>
        <v>7.8311999999999973</v>
      </c>
      <c r="AE12" s="127">
        <f t="shared" si="12"/>
        <v>0.4946687553691444</v>
      </c>
      <c r="AF12" s="128">
        <f t="shared" si="13"/>
        <v>9.1</v>
      </c>
    </row>
    <row r="13" spans="1:32">
      <c r="A13" s="114" t="s">
        <v>90</v>
      </c>
      <c r="B13" s="114" t="s">
        <v>567</v>
      </c>
      <c r="C13" s="114" t="s">
        <v>563</v>
      </c>
      <c r="D13" s="129" t="s">
        <v>568</v>
      </c>
      <c r="E13" s="114" t="s">
        <v>565</v>
      </c>
      <c r="F13" s="114" t="s">
        <v>569</v>
      </c>
      <c r="G13" s="114" t="s">
        <v>544</v>
      </c>
      <c r="H13" s="115">
        <v>3</v>
      </c>
      <c r="I13" s="114" t="s">
        <v>551</v>
      </c>
      <c r="J13" s="116">
        <f t="shared" si="0"/>
        <v>1.27</v>
      </c>
      <c r="K13" s="97" t="str">
        <f>IFERROR(IF(VLOOKUP(D13,'Ficha de Produção'!C:C,1,0)=D13,"OK","Custo Produção Não Cadastrado"),"Custo Produção Não Cadastrado")</f>
        <v>OK</v>
      </c>
      <c r="L13" s="97" t="str">
        <f>IFERROR(IF(VLOOKUP(A13,'Ficha de Embalagens'!A:A,1,0)=A13,"OK","Ficha de Embalagens Não Cadastrada"),"Ficha de Embalagens Não Cadastrada")</f>
        <v>OK</v>
      </c>
      <c r="M13" s="117">
        <f>SUMIFS('Ficha de Produção'!N:N,'Ficha de Produção'!C:C,D13)*H13</f>
        <v>4.7699999999999996</v>
      </c>
      <c r="N13" s="117">
        <f>SUMIFS('Ficha de Embalagens'!F:F,'Ficha de Embalagens'!A:A,A13)</f>
        <v>3.44</v>
      </c>
      <c r="O13" s="97">
        <f t="shared" si="1"/>
        <v>8.2099999999999991</v>
      </c>
      <c r="P13" s="97">
        <f t="shared" si="2"/>
        <v>0.92999999999999994</v>
      </c>
      <c r="Q13" s="118">
        <f t="shared" si="3"/>
        <v>9.1399999999999988</v>
      </c>
      <c r="R13" s="97">
        <f t="shared" si="4"/>
        <v>0.89949999999999997</v>
      </c>
      <c r="S13" s="97">
        <f t="shared" si="5"/>
        <v>1.2593000000000001</v>
      </c>
      <c r="T13" s="118">
        <f t="shared" si="6"/>
        <v>11.298799999999998</v>
      </c>
      <c r="U13" s="119">
        <v>17.989999999999998</v>
      </c>
      <c r="V13" s="120">
        <f t="shared" si="7"/>
        <v>0.37193996664813789</v>
      </c>
      <c r="W13" s="121">
        <f t="shared" si="8"/>
        <v>10.39</v>
      </c>
      <c r="AB13" s="125">
        <f t="shared" si="9"/>
        <v>9.1399999999999988</v>
      </c>
      <c r="AC13" s="125">
        <f t="shared" si="10"/>
        <v>15.831199999999997</v>
      </c>
      <c r="AD13" s="126">
        <f t="shared" si="11"/>
        <v>6.6911999999999985</v>
      </c>
      <c r="AE13" s="127">
        <f t="shared" si="12"/>
        <v>0.42265905300924755</v>
      </c>
      <c r="AF13" s="128">
        <f t="shared" si="13"/>
        <v>10.39</v>
      </c>
    </row>
    <row r="14" spans="1:32">
      <c r="A14" s="114" t="s">
        <v>91</v>
      </c>
      <c r="B14" s="114" t="s">
        <v>570</v>
      </c>
      <c r="C14" s="114" t="s">
        <v>563</v>
      </c>
      <c r="D14" s="114" t="s">
        <v>571</v>
      </c>
      <c r="E14" s="114" t="s">
        <v>565</v>
      </c>
      <c r="F14" s="114" t="s">
        <v>572</v>
      </c>
      <c r="G14" s="114" t="s">
        <v>544</v>
      </c>
      <c r="H14" s="115">
        <v>3</v>
      </c>
      <c r="I14" s="114" t="s">
        <v>551</v>
      </c>
      <c r="J14" s="116">
        <f t="shared" si="0"/>
        <v>1.27</v>
      </c>
      <c r="K14" s="97" t="str">
        <f>IFERROR(IF(VLOOKUP(D14,'Ficha de Produção'!C:C,1,0)=D14,"OK","Custo Produção Não Cadastrado"),"Custo Produção Não Cadastrado")</f>
        <v>OK</v>
      </c>
      <c r="L14" s="97" t="str">
        <f>IFERROR(IF(VLOOKUP(A14,'Ficha de Embalagens'!A:A,1,0)=A14,"OK","Ficha de Embalagens Não Cadastrada"),"Ficha de Embalagens Não Cadastrada")</f>
        <v>OK</v>
      </c>
      <c r="M14" s="117">
        <f>SUMIFS('Ficha de Produção'!N:N,'Ficha de Produção'!C:C,D14)*H14</f>
        <v>5.19</v>
      </c>
      <c r="N14" s="117">
        <f>SUMIFS('Ficha de Embalagens'!F:F,'Ficha de Embalagens'!A:A,A14)</f>
        <v>3.44</v>
      </c>
      <c r="O14" s="97">
        <f t="shared" si="1"/>
        <v>8.6300000000000008</v>
      </c>
      <c r="P14" s="97">
        <f t="shared" si="2"/>
        <v>0.92999999999999994</v>
      </c>
      <c r="Q14" s="118">
        <f t="shared" si="3"/>
        <v>9.56</v>
      </c>
      <c r="R14" s="97">
        <f t="shared" si="4"/>
        <v>0.89949999999999997</v>
      </c>
      <c r="S14" s="97">
        <f t="shared" si="5"/>
        <v>1.2593000000000001</v>
      </c>
      <c r="T14" s="118">
        <f t="shared" si="6"/>
        <v>11.7188</v>
      </c>
      <c r="U14" s="119">
        <v>17.989999999999998</v>
      </c>
      <c r="V14" s="120">
        <f t="shared" si="7"/>
        <v>0.34859366314619228</v>
      </c>
      <c r="W14" s="121">
        <f t="shared" si="8"/>
        <v>10.87</v>
      </c>
      <c r="AB14" s="125">
        <f t="shared" si="9"/>
        <v>9.56</v>
      </c>
      <c r="AC14" s="125">
        <f t="shared" si="10"/>
        <v>15.831199999999997</v>
      </c>
      <c r="AD14" s="126">
        <f t="shared" si="11"/>
        <v>6.2711999999999968</v>
      </c>
      <c r="AE14" s="127">
        <f t="shared" si="12"/>
        <v>0.39612916266612752</v>
      </c>
      <c r="AF14" s="128">
        <f t="shared" si="13"/>
        <v>10.87</v>
      </c>
    </row>
    <row r="15" spans="1:32">
      <c r="A15" s="114" t="s">
        <v>92</v>
      </c>
      <c r="B15" s="114" t="s">
        <v>573</v>
      </c>
      <c r="C15" s="114" t="s">
        <v>563</v>
      </c>
      <c r="D15" s="114" t="s">
        <v>574</v>
      </c>
      <c r="E15" s="114" t="s">
        <v>565</v>
      </c>
      <c r="F15" s="114" t="s">
        <v>575</v>
      </c>
      <c r="G15" s="114" t="s">
        <v>544</v>
      </c>
      <c r="H15" s="115">
        <v>3</v>
      </c>
      <c r="I15" s="114" t="s">
        <v>551</v>
      </c>
      <c r="J15" s="116">
        <f t="shared" si="0"/>
        <v>1.27</v>
      </c>
      <c r="K15" s="97" t="str">
        <f>IFERROR(IF(VLOOKUP(D15,'Ficha de Produção'!C:C,1,0)=D15,"OK","Custo Produção Não Cadastrado"),"Custo Produção Não Cadastrado")</f>
        <v>OK</v>
      </c>
      <c r="L15" s="97" t="str">
        <f>IFERROR(IF(VLOOKUP(A15,'Ficha de Embalagens'!A:A,1,0)=A15,"OK","Ficha de Embalagens Não Cadastrada"),"Ficha de Embalagens Não Cadastrada")</f>
        <v>OK</v>
      </c>
      <c r="M15" s="117">
        <f>SUMIFS('Ficha de Produção'!N:N,'Ficha de Produção'!C:C,D15)*H15</f>
        <v>4.92</v>
      </c>
      <c r="N15" s="117">
        <f>SUMIFS('Ficha de Embalagens'!F:F,'Ficha de Embalagens'!A:A,A15)</f>
        <v>3.44</v>
      </c>
      <c r="O15" s="97">
        <f t="shared" si="1"/>
        <v>8.36</v>
      </c>
      <c r="P15" s="97">
        <f t="shared" si="2"/>
        <v>0.92999999999999994</v>
      </c>
      <c r="Q15" s="118">
        <f t="shared" si="3"/>
        <v>9.2899999999999991</v>
      </c>
      <c r="R15" s="97">
        <f t="shared" si="4"/>
        <v>0.89949999999999997</v>
      </c>
      <c r="S15" s="97">
        <f t="shared" si="5"/>
        <v>1.2593000000000001</v>
      </c>
      <c r="T15" s="118">
        <f t="shared" si="6"/>
        <v>11.448799999999999</v>
      </c>
      <c r="U15" s="119">
        <v>17.989999999999998</v>
      </c>
      <c r="V15" s="120">
        <f t="shared" si="7"/>
        <v>0.36360200111172875</v>
      </c>
      <c r="W15" s="121">
        <f t="shared" si="8"/>
        <v>10.56</v>
      </c>
      <c r="AB15" s="125">
        <f t="shared" si="9"/>
        <v>9.2899999999999991</v>
      </c>
      <c r="AC15" s="125">
        <f t="shared" si="10"/>
        <v>15.831199999999997</v>
      </c>
      <c r="AD15" s="126">
        <f t="shared" si="11"/>
        <v>6.5411999999999981</v>
      </c>
      <c r="AE15" s="127">
        <f t="shared" si="12"/>
        <v>0.41318409217241897</v>
      </c>
      <c r="AF15" s="128">
        <f t="shared" si="13"/>
        <v>10.56</v>
      </c>
    </row>
    <row r="16" spans="1:32">
      <c r="A16" s="114" t="s">
        <v>93</v>
      </c>
      <c r="B16" s="114" t="s">
        <v>576</v>
      </c>
      <c r="C16" s="114" t="s">
        <v>563</v>
      </c>
      <c r="D16" s="114" t="s">
        <v>577</v>
      </c>
      <c r="E16" s="114" t="s">
        <v>565</v>
      </c>
      <c r="F16" s="114" t="s">
        <v>578</v>
      </c>
      <c r="G16" s="114" t="s">
        <v>544</v>
      </c>
      <c r="H16" s="115">
        <v>3</v>
      </c>
      <c r="I16" s="114" t="s">
        <v>551</v>
      </c>
      <c r="J16" s="116">
        <f t="shared" si="0"/>
        <v>1.27</v>
      </c>
      <c r="K16" s="97" t="str">
        <f>IFERROR(IF(VLOOKUP(D16,'Ficha de Produção'!C:C,1,0)=D16,"OK","Custo Produção Não Cadastrado"),"Custo Produção Não Cadastrado")</f>
        <v>OK</v>
      </c>
      <c r="L16" s="97" t="str">
        <f>IFERROR(IF(VLOOKUP(A16,'Ficha de Embalagens'!A:A,1,0)=A16,"OK","Ficha de Embalagens Não Cadastrada"),"Ficha de Embalagens Não Cadastrada")</f>
        <v>OK</v>
      </c>
      <c r="M16" s="117">
        <f>SUMIFS('Ficha de Produção'!N:N,'Ficha de Produção'!C:C,D16)*H16</f>
        <v>5.7600000000000016</v>
      </c>
      <c r="N16" s="117">
        <f>SUMIFS('Ficha de Embalagens'!F:F,'Ficha de Embalagens'!A:A,A16)</f>
        <v>3.44</v>
      </c>
      <c r="O16" s="97">
        <f t="shared" si="1"/>
        <v>9.2000000000000011</v>
      </c>
      <c r="P16" s="97">
        <f t="shared" si="2"/>
        <v>0.92999999999999994</v>
      </c>
      <c r="Q16" s="118">
        <f t="shared" si="3"/>
        <v>10.130000000000001</v>
      </c>
      <c r="R16" s="97">
        <f t="shared" si="4"/>
        <v>0.89949999999999997</v>
      </c>
      <c r="S16" s="97">
        <f t="shared" si="5"/>
        <v>1.2593000000000001</v>
      </c>
      <c r="T16" s="118">
        <f t="shared" si="6"/>
        <v>12.2888</v>
      </c>
      <c r="U16" s="119">
        <v>17.989999999999998</v>
      </c>
      <c r="V16" s="120">
        <f t="shared" si="7"/>
        <v>0.31690939410783764</v>
      </c>
      <c r="W16" s="121">
        <f t="shared" si="8"/>
        <v>11.52</v>
      </c>
      <c r="AB16" s="125">
        <f t="shared" si="9"/>
        <v>10.130000000000001</v>
      </c>
      <c r="AC16" s="125">
        <f t="shared" si="10"/>
        <v>15.831199999999997</v>
      </c>
      <c r="AD16" s="126">
        <f t="shared" si="11"/>
        <v>5.7011999999999965</v>
      </c>
      <c r="AE16" s="127">
        <f t="shared" si="12"/>
        <v>0.36012431148617902</v>
      </c>
      <c r="AF16" s="128">
        <f t="shared" si="13"/>
        <v>11.52</v>
      </c>
    </row>
    <row r="17" spans="1:32">
      <c r="A17" s="114" t="s">
        <v>94</v>
      </c>
      <c r="B17" s="114" t="s">
        <v>579</v>
      </c>
      <c r="C17" s="114" t="s">
        <v>563</v>
      </c>
      <c r="D17" s="114" t="s">
        <v>580</v>
      </c>
      <c r="E17" s="114" t="s">
        <v>565</v>
      </c>
      <c r="F17" s="114" t="s">
        <v>581</v>
      </c>
      <c r="G17" s="114" t="s">
        <v>544</v>
      </c>
      <c r="H17" s="115">
        <v>3</v>
      </c>
      <c r="I17" s="114" t="s">
        <v>551</v>
      </c>
      <c r="J17" s="116">
        <f t="shared" si="0"/>
        <v>1.27</v>
      </c>
      <c r="K17" s="97" t="str">
        <f>IFERROR(IF(VLOOKUP(D17,'Ficha de Produção'!C:C,1,0)=D17,"OK","Custo Produção Não Cadastrado"),"Custo Produção Não Cadastrado")</f>
        <v>OK</v>
      </c>
      <c r="L17" s="97" t="str">
        <f>IFERROR(IF(VLOOKUP(A17,'Ficha de Embalagens'!A:A,1,0)=A17,"OK","Ficha de Embalagens Não Cadastrada"),"Ficha de Embalagens Não Cadastrada")</f>
        <v>OK</v>
      </c>
      <c r="M17" s="117">
        <f>SUMIFS('Ficha de Produção'!N:N,'Ficha de Produção'!C:C,D17)*H17</f>
        <v>6.87</v>
      </c>
      <c r="N17" s="117">
        <f>SUMIFS('Ficha de Embalagens'!F:F,'Ficha de Embalagens'!A:A,A17)</f>
        <v>3.44</v>
      </c>
      <c r="O17" s="97">
        <f t="shared" si="1"/>
        <v>10.31</v>
      </c>
      <c r="P17" s="97">
        <f t="shared" si="2"/>
        <v>0.92999999999999994</v>
      </c>
      <c r="Q17" s="118">
        <f t="shared" si="3"/>
        <v>11.24</v>
      </c>
      <c r="R17" s="97">
        <f t="shared" si="4"/>
        <v>0.89949999999999997</v>
      </c>
      <c r="S17" s="97">
        <f t="shared" si="5"/>
        <v>1.2593000000000001</v>
      </c>
      <c r="T17" s="118">
        <f t="shared" si="6"/>
        <v>13.3988</v>
      </c>
      <c r="U17" s="119">
        <v>17.989999999999998</v>
      </c>
      <c r="V17" s="120">
        <f t="shared" si="7"/>
        <v>0.25520844913841018</v>
      </c>
      <c r="W17" s="121">
        <f t="shared" si="8"/>
        <v>12.78</v>
      </c>
      <c r="AB17" s="125">
        <f t="shared" si="9"/>
        <v>11.24</v>
      </c>
      <c r="AC17" s="125">
        <f t="shared" si="10"/>
        <v>15.831199999999997</v>
      </c>
      <c r="AD17" s="126">
        <f t="shared" si="11"/>
        <v>4.5911999999999971</v>
      </c>
      <c r="AE17" s="127">
        <f t="shared" si="12"/>
        <v>0.29000960129364783</v>
      </c>
      <c r="AF17" s="128">
        <f t="shared" si="13"/>
        <v>12.78</v>
      </c>
    </row>
    <row r="18" spans="1:32">
      <c r="A18" s="114" t="s">
        <v>95</v>
      </c>
      <c r="B18" s="114" t="s">
        <v>582</v>
      </c>
      <c r="C18" s="114" t="s">
        <v>563</v>
      </c>
      <c r="D18" s="114" t="s">
        <v>583</v>
      </c>
      <c r="E18" s="114" t="s">
        <v>565</v>
      </c>
      <c r="F18" s="114" t="s">
        <v>584</v>
      </c>
      <c r="G18" s="114" t="s">
        <v>544</v>
      </c>
      <c r="H18" s="115">
        <v>3</v>
      </c>
      <c r="I18" s="114" t="s">
        <v>551</v>
      </c>
      <c r="J18" s="116">
        <f t="shared" si="0"/>
        <v>1.27</v>
      </c>
      <c r="K18" s="97" t="str">
        <f>IFERROR(IF(VLOOKUP(D18,'Ficha de Produção'!C:C,1,0)=D18,"OK","Custo Produção Não Cadastrado"),"Custo Produção Não Cadastrado")</f>
        <v>OK</v>
      </c>
      <c r="L18" s="97" t="str">
        <f>IFERROR(IF(VLOOKUP(A18,'Ficha de Embalagens'!A:A,1,0)=A18,"OK","Ficha de Embalagens Não Cadastrada"),"Ficha de Embalagens Não Cadastrada")</f>
        <v>OK</v>
      </c>
      <c r="M18" s="117">
        <f>SUMIFS('Ficha de Produção'!N:N,'Ficha de Produção'!C:C,D18)*H18</f>
        <v>4.8599999999999994</v>
      </c>
      <c r="N18" s="117">
        <f>SUMIFS('Ficha de Embalagens'!F:F,'Ficha de Embalagens'!A:A,A18)</f>
        <v>3.44</v>
      </c>
      <c r="O18" s="97">
        <f t="shared" si="1"/>
        <v>8.2999999999999989</v>
      </c>
      <c r="P18" s="97">
        <f t="shared" si="2"/>
        <v>0.92999999999999994</v>
      </c>
      <c r="Q18" s="118">
        <f t="shared" si="3"/>
        <v>9.2299999999999986</v>
      </c>
      <c r="R18" s="97">
        <f t="shared" si="4"/>
        <v>0.89949999999999997</v>
      </c>
      <c r="S18" s="97">
        <f t="shared" si="5"/>
        <v>1.2593000000000001</v>
      </c>
      <c r="T18" s="118">
        <f t="shared" si="6"/>
        <v>11.388799999999998</v>
      </c>
      <c r="U18" s="119">
        <v>17.989999999999998</v>
      </c>
      <c r="V18" s="120">
        <f t="shared" si="7"/>
        <v>0.36693718732629244</v>
      </c>
      <c r="W18" s="121">
        <f t="shared" si="8"/>
        <v>10.49</v>
      </c>
      <c r="AB18" s="125">
        <f t="shared" si="9"/>
        <v>9.2299999999999986</v>
      </c>
      <c r="AC18" s="125">
        <f t="shared" si="10"/>
        <v>15.831199999999997</v>
      </c>
      <c r="AD18" s="126">
        <f t="shared" si="11"/>
        <v>6.6011999999999986</v>
      </c>
      <c r="AE18" s="127">
        <f t="shared" si="12"/>
        <v>0.4169740765071504</v>
      </c>
      <c r="AF18" s="128">
        <f t="shared" si="13"/>
        <v>10.49</v>
      </c>
    </row>
    <row r="19" spans="1:32">
      <c r="A19" s="114" t="s">
        <v>96</v>
      </c>
      <c r="B19" s="114" t="s">
        <v>585</v>
      </c>
      <c r="C19" s="114" t="s">
        <v>563</v>
      </c>
      <c r="D19" s="114" t="s">
        <v>586</v>
      </c>
      <c r="E19" s="114" t="s">
        <v>565</v>
      </c>
      <c r="F19" s="114" t="s">
        <v>587</v>
      </c>
      <c r="G19" s="114" t="s">
        <v>544</v>
      </c>
      <c r="H19" s="115">
        <v>3</v>
      </c>
      <c r="I19" s="114" t="s">
        <v>551</v>
      </c>
      <c r="J19" s="116">
        <f t="shared" si="0"/>
        <v>1.27</v>
      </c>
      <c r="K19" s="97" t="str">
        <f>IFERROR(IF(VLOOKUP(D19,'Ficha de Produção'!C:C,1,0)=D19,"OK","Custo Produção Não Cadastrado"),"Custo Produção Não Cadastrado")</f>
        <v>OK</v>
      </c>
      <c r="L19" s="97" t="str">
        <f>IFERROR(IF(VLOOKUP(A19,'Ficha de Embalagens'!A:A,1,0)=A19,"OK","Ficha de Embalagens Não Cadastrada"),"Ficha de Embalagens Não Cadastrada")</f>
        <v>OK</v>
      </c>
      <c r="M19" s="117">
        <f>SUMIFS('Ficha de Produção'!N:N,'Ficha de Produção'!C:C,D19)*H19</f>
        <v>6.0299999999999994</v>
      </c>
      <c r="N19" s="117">
        <f>SUMIFS('Ficha de Embalagens'!F:F,'Ficha de Embalagens'!A:A,A19)</f>
        <v>3.44</v>
      </c>
      <c r="O19" s="97">
        <f t="shared" si="1"/>
        <v>9.4699999999999989</v>
      </c>
      <c r="P19" s="97">
        <f t="shared" si="2"/>
        <v>0.92999999999999994</v>
      </c>
      <c r="Q19" s="118">
        <f t="shared" si="3"/>
        <v>10.399999999999999</v>
      </c>
      <c r="R19" s="97">
        <f t="shared" si="4"/>
        <v>0.89949999999999997</v>
      </c>
      <c r="S19" s="97">
        <f t="shared" si="5"/>
        <v>1.2593000000000001</v>
      </c>
      <c r="T19" s="118">
        <f t="shared" si="6"/>
        <v>12.558799999999998</v>
      </c>
      <c r="U19" s="119">
        <v>17.989999999999998</v>
      </c>
      <c r="V19" s="120">
        <f t="shared" si="7"/>
        <v>0.30190105614230134</v>
      </c>
      <c r="W19" s="121">
        <f t="shared" si="8"/>
        <v>11.82</v>
      </c>
      <c r="AB19" s="125">
        <f t="shared" si="9"/>
        <v>10.399999999999999</v>
      </c>
      <c r="AC19" s="125">
        <f t="shared" si="10"/>
        <v>15.831199999999997</v>
      </c>
      <c r="AD19" s="126">
        <f t="shared" si="11"/>
        <v>5.4311999999999987</v>
      </c>
      <c r="AE19" s="127">
        <f t="shared" si="12"/>
        <v>0.34306938197988779</v>
      </c>
      <c r="AF19" s="128">
        <f t="shared" si="13"/>
        <v>11.82</v>
      </c>
    </row>
    <row r="20" spans="1:32">
      <c r="A20" s="114" t="s">
        <v>97</v>
      </c>
      <c r="B20" s="114" t="s">
        <v>588</v>
      </c>
      <c r="C20" s="114" t="s">
        <v>563</v>
      </c>
      <c r="D20" s="114" t="s">
        <v>589</v>
      </c>
      <c r="E20" s="114" t="s">
        <v>565</v>
      </c>
      <c r="F20" s="114" t="s">
        <v>590</v>
      </c>
      <c r="G20" s="114" t="s">
        <v>544</v>
      </c>
      <c r="H20" s="115">
        <v>3</v>
      </c>
      <c r="I20" s="114" t="s">
        <v>551</v>
      </c>
      <c r="J20" s="116">
        <f t="shared" si="0"/>
        <v>1.27</v>
      </c>
      <c r="K20" s="97" t="str">
        <f>IFERROR(IF(VLOOKUP(D20,'Ficha de Produção'!C:C,1,0)=D20,"OK","Custo Produção Não Cadastrado"),"Custo Produção Não Cadastrado")</f>
        <v>OK</v>
      </c>
      <c r="L20" s="97" t="str">
        <f>IFERROR(IF(VLOOKUP(A20,'Ficha de Embalagens'!A:A,1,0)=A20,"OK","Ficha de Embalagens Não Cadastrada"),"Ficha de Embalagens Não Cadastrada")</f>
        <v>OK</v>
      </c>
      <c r="M20" s="117">
        <f>SUMIFS('Ficha de Produção'!N:N,'Ficha de Produção'!C:C,D20)*H20</f>
        <v>5.13</v>
      </c>
      <c r="N20" s="117">
        <f>SUMIFS('Ficha de Embalagens'!F:F,'Ficha de Embalagens'!A:A,A20)</f>
        <v>3.44</v>
      </c>
      <c r="O20" s="97">
        <f t="shared" si="1"/>
        <v>8.57</v>
      </c>
      <c r="P20" s="97">
        <f t="shared" si="2"/>
        <v>0.92999999999999994</v>
      </c>
      <c r="Q20" s="118">
        <f t="shared" si="3"/>
        <v>9.5</v>
      </c>
      <c r="R20" s="97">
        <f t="shared" si="4"/>
        <v>0.89949999999999997</v>
      </c>
      <c r="S20" s="97">
        <f t="shared" si="5"/>
        <v>1.2593000000000001</v>
      </c>
      <c r="T20" s="118">
        <f t="shared" si="6"/>
        <v>11.658799999999999</v>
      </c>
      <c r="U20" s="119">
        <v>17.989999999999998</v>
      </c>
      <c r="V20" s="120">
        <f t="shared" si="7"/>
        <v>0.35192884936075597</v>
      </c>
      <c r="W20" s="121">
        <f t="shared" si="8"/>
        <v>10.799999999999999</v>
      </c>
      <c r="AB20" s="125">
        <f t="shared" si="9"/>
        <v>9.5</v>
      </c>
      <c r="AC20" s="125">
        <f t="shared" si="10"/>
        <v>15.831199999999997</v>
      </c>
      <c r="AD20" s="126">
        <f t="shared" si="11"/>
        <v>6.3311999999999973</v>
      </c>
      <c r="AE20" s="127">
        <f t="shared" si="12"/>
        <v>0.39991914700085895</v>
      </c>
      <c r="AF20" s="128">
        <f t="shared" si="13"/>
        <v>10.799999999999999</v>
      </c>
    </row>
    <row r="21" spans="1:32" ht="15.75" customHeight="1">
      <c r="A21" s="114" t="s">
        <v>98</v>
      </c>
      <c r="B21" s="114" t="s">
        <v>591</v>
      </c>
      <c r="C21" s="114" t="s">
        <v>563</v>
      </c>
      <c r="D21" s="114" t="s">
        <v>592</v>
      </c>
      <c r="E21" s="114" t="s">
        <v>565</v>
      </c>
      <c r="F21" s="114" t="s">
        <v>593</v>
      </c>
      <c r="G21" s="114" t="s">
        <v>544</v>
      </c>
      <c r="H21" s="115">
        <v>3</v>
      </c>
      <c r="I21" s="114" t="s">
        <v>551</v>
      </c>
      <c r="J21" s="116">
        <f t="shared" si="0"/>
        <v>1.27</v>
      </c>
      <c r="K21" s="97" t="str">
        <f>IFERROR(IF(VLOOKUP(D21,'Ficha de Produção'!C:C,1,0)=D21,"OK","Custo Produção Não Cadastrado"),"Custo Produção Não Cadastrado")</f>
        <v>OK</v>
      </c>
      <c r="L21" s="97" t="str">
        <f>IFERROR(IF(VLOOKUP(A21,'Ficha de Embalagens'!A:A,1,0)=A21,"OK","Ficha de Embalagens Não Cadastrada"),"Ficha de Embalagens Não Cadastrada")</f>
        <v>OK</v>
      </c>
      <c r="M21" s="117">
        <f>SUMIFS('Ficha de Produção'!N:N,'Ficha de Produção'!C:C,D21)*H21</f>
        <v>5.8500000000000014</v>
      </c>
      <c r="N21" s="117">
        <f>SUMIFS('Ficha de Embalagens'!F:F,'Ficha de Embalagens'!A:A,A21)</f>
        <v>3.44</v>
      </c>
      <c r="O21" s="97">
        <f t="shared" si="1"/>
        <v>9.2900000000000009</v>
      </c>
      <c r="P21" s="97">
        <f t="shared" si="2"/>
        <v>0.92999999999999994</v>
      </c>
      <c r="Q21" s="118">
        <f t="shared" si="3"/>
        <v>10.220000000000001</v>
      </c>
      <c r="R21" s="97">
        <f t="shared" si="4"/>
        <v>0.89949999999999997</v>
      </c>
      <c r="S21" s="97">
        <f t="shared" si="5"/>
        <v>1.2593000000000001</v>
      </c>
      <c r="T21" s="118">
        <f t="shared" si="6"/>
        <v>12.3788</v>
      </c>
      <c r="U21" s="119">
        <v>17.989999999999998</v>
      </c>
      <c r="V21" s="120">
        <f t="shared" si="7"/>
        <v>0.31190661478599213</v>
      </c>
      <c r="W21" s="121">
        <f t="shared" si="8"/>
        <v>11.62</v>
      </c>
      <c r="AB21" s="125">
        <f t="shared" si="9"/>
        <v>10.220000000000001</v>
      </c>
      <c r="AC21" s="125">
        <f t="shared" si="10"/>
        <v>15.831199999999997</v>
      </c>
      <c r="AD21" s="126">
        <f t="shared" si="11"/>
        <v>5.6111999999999966</v>
      </c>
      <c r="AE21" s="127">
        <f t="shared" si="12"/>
        <v>0.35443933498408192</v>
      </c>
      <c r="AF21" s="128">
        <f t="shared" si="13"/>
        <v>11.62</v>
      </c>
    </row>
    <row r="22" spans="1:32" ht="15.75" customHeight="1">
      <c r="A22" s="114" t="s">
        <v>99</v>
      </c>
      <c r="B22" s="114" t="s">
        <v>594</v>
      </c>
      <c r="C22" s="114" t="s">
        <v>563</v>
      </c>
      <c r="D22" s="114" t="s">
        <v>595</v>
      </c>
      <c r="E22" s="114" t="s">
        <v>565</v>
      </c>
      <c r="F22" s="114" t="s">
        <v>596</v>
      </c>
      <c r="G22" s="114" t="s">
        <v>544</v>
      </c>
      <c r="H22" s="115">
        <v>3</v>
      </c>
      <c r="I22" s="114" t="s">
        <v>551</v>
      </c>
      <c r="J22" s="116">
        <f t="shared" si="0"/>
        <v>1.27</v>
      </c>
      <c r="K22" s="97" t="str">
        <f>IFERROR(IF(VLOOKUP(D22,'Ficha de Produção'!C:C,1,0)=D22,"OK","Custo Produção Não Cadastrado"),"Custo Produção Não Cadastrado")</f>
        <v>OK</v>
      </c>
      <c r="L22" s="97" t="str">
        <f>IFERROR(IF(VLOOKUP(A22,'Ficha de Embalagens'!A:A,1,0)=A22,"OK","Ficha de Embalagens Não Cadastrada"),"Ficha de Embalagens Não Cadastrada")</f>
        <v>OK</v>
      </c>
      <c r="M22" s="117">
        <f>SUMIFS('Ficha de Produção'!N:N,'Ficha de Produção'!C:C,D22)*H22</f>
        <v>4.9499999999999993</v>
      </c>
      <c r="N22" s="117">
        <f>SUMIFS('Ficha de Embalagens'!F:F,'Ficha de Embalagens'!A:A,A22)</f>
        <v>3.44</v>
      </c>
      <c r="O22" s="97">
        <f t="shared" si="1"/>
        <v>8.3899999999999988</v>
      </c>
      <c r="P22" s="97">
        <f t="shared" si="2"/>
        <v>0.92999999999999994</v>
      </c>
      <c r="Q22" s="118">
        <f t="shared" si="3"/>
        <v>9.3199999999999985</v>
      </c>
      <c r="R22" s="97">
        <f t="shared" si="4"/>
        <v>0.89949999999999997</v>
      </c>
      <c r="S22" s="97">
        <f t="shared" si="5"/>
        <v>1.2593000000000001</v>
      </c>
      <c r="T22" s="118">
        <f t="shared" si="6"/>
        <v>11.478799999999998</v>
      </c>
      <c r="U22" s="119">
        <v>17.989999999999998</v>
      </c>
      <c r="V22" s="120">
        <f t="shared" si="7"/>
        <v>0.36193440800444698</v>
      </c>
      <c r="W22" s="121">
        <f t="shared" si="8"/>
        <v>10.6</v>
      </c>
      <c r="AB22" s="125">
        <f t="shared" si="9"/>
        <v>9.3199999999999985</v>
      </c>
      <c r="AC22" s="125">
        <f t="shared" si="10"/>
        <v>15.831199999999997</v>
      </c>
      <c r="AD22" s="126">
        <f t="shared" si="11"/>
        <v>6.5111999999999988</v>
      </c>
      <c r="AE22" s="127">
        <f t="shared" si="12"/>
        <v>0.41128910000505331</v>
      </c>
      <c r="AF22" s="128">
        <f t="shared" si="13"/>
        <v>10.6</v>
      </c>
    </row>
    <row r="23" spans="1:32" ht="15.75" customHeight="1">
      <c r="A23" s="114" t="s">
        <v>100</v>
      </c>
      <c r="B23" s="114" t="s">
        <v>597</v>
      </c>
      <c r="C23" s="114" t="s">
        <v>563</v>
      </c>
      <c r="D23" s="114" t="s">
        <v>598</v>
      </c>
      <c r="E23" s="114" t="s">
        <v>565</v>
      </c>
      <c r="F23" s="114" t="s">
        <v>599</v>
      </c>
      <c r="G23" s="114" t="s">
        <v>544</v>
      </c>
      <c r="H23" s="115">
        <v>3</v>
      </c>
      <c r="I23" s="114" t="s">
        <v>551</v>
      </c>
      <c r="J23" s="116">
        <f t="shared" si="0"/>
        <v>1.27</v>
      </c>
      <c r="K23" s="97" t="str">
        <f>IFERROR(IF(VLOOKUP(D23,'Ficha de Produção'!C:C,1,0)=D23,"OK","Custo Produção Não Cadastrado"),"Custo Produção Não Cadastrado")</f>
        <v>OK</v>
      </c>
      <c r="L23" s="97" t="str">
        <f>IFERROR(IF(VLOOKUP(A23,'Ficha de Embalagens'!A:A,1,0)=A23,"OK","Ficha de Embalagens Não Cadastrada"),"Ficha de Embalagens Não Cadastrada")</f>
        <v>OK</v>
      </c>
      <c r="M23" s="117">
        <f>SUMIFS('Ficha de Produção'!N:N,'Ficha de Produção'!C:C,D23)*H23</f>
        <v>4.9799999999999995</v>
      </c>
      <c r="N23" s="117">
        <f>SUMIFS('Ficha de Embalagens'!F:F,'Ficha de Embalagens'!A:A,A23)</f>
        <v>3.44</v>
      </c>
      <c r="O23" s="97">
        <f t="shared" si="1"/>
        <v>8.42</v>
      </c>
      <c r="P23" s="97">
        <f t="shared" si="2"/>
        <v>0.92999999999999994</v>
      </c>
      <c r="Q23" s="118">
        <f t="shared" si="3"/>
        <v>9.35</v>
      </c>
      <c r="R23" s="97">
        <f t="shared" si="4"/>
        <v>0.89949999999999997</v>
      </c>
      <c r="S23" s="97">
        <f t="shared" si="5"/>
        <v>1.2593000000000001</v>
      </c>
      <c r="T23" s="118">
        <f t="shared" si="6"/>
        <v>11.508799999999999</v>
      </c>
      <c r="U23" s="119">
        <v>17.989999999999998</v>
      </c>
      <c r="V23" s="120">
        <f t="shared" si="7"/>
        <v>0.36026681489716511</v>
      </c>
      <c r="W23" s="121">
        <f t="shared" si="8"/>
        <v>10.629999999999999</v>
      </c>
      <c r="AB23" s="125">
        <f t="shared" si="9"/>
        <v>9.35</v>
      </c>
      <c r="AC23" s="125">
        <f t="shared" si="10"/>
        <v>15.831199999999997</v>
      </c>
      <c r="AD23" s="126">
        <f t="shared" si="11"/>
        <v>6.4811999999999976</v>
      </c>
      <c r="AE23" s="127">
        <f t="shared" si="12"/>
        <v>0.40939410783768754</v>
      </c>
      <c r="AF23" s="128">
        <f t="shared" si="13"/>
        <v>10.629999999999999</v>
      </c>
    </row>
    <row r="24" spans="1:32" ht="15.75" customHeight="1">
      <c r="A24" s="114" t="s">
        <v>101</v>
      </c>
      <c r="B24" s="114" t="s">
        <v>600</v>
      </c>
      <c r="C24" s="114" t="s">
        <v>563</v>
      </c>
      <c r="D24" s="114" t="s">
        <v>601</v>
      </c>
      <c r="E24" s="114" t="s">
        <v>565</v>
      </c>
      <c r="F24" s="114" t="s">
        <v>602</v>
      </c>
      <c r="G24" s="114" t="s">
        <v>544</v>
      </c>
      <c r="H24" s="115">
        <v>3</v>
      </c>
      <c r="I24" s="114" t="s">
        <v>551</v>
      </c>
      <c r="J24" s="116">
        <f t="shared" si="0"/>
        <v>1.27</v>
      </c>
      <c r="K24" s="97" t="str">
        <f>IFERROR(IF(VLOOKUP(D24,'Ficha de Produção'!C:C,1,0)=D24,"OK","Custo Produção Não Cadastrado"),"Custo Produção Não Cadastrado")</f>
        <v>OK</v>
      </c>
      <c r="L24" s="97" t="str">
        <f>IFERROR(IF(VLOOKUP(A24,'Ficha de Embalagens'!A:A,1,0)=A24,"OK","Ficha de Embalagens Não Cadastrada"),"Ficha de Embalagens Não Cadastrada")</f>
        <v>OK</v>
      </c>
      <c r="M24" s="117">
        <f>SUMIFS('Ficha de Produção'!N:N,'Ficha de Produção'!C:C,D24)*H24</f>
        <v>5.8500000000000014</v>
      </c>
      <c r="N24" s="117">
        <f>SUMIFS('Ficha de Embalagens'!F:F,'Ficha de Embalagens'!A:A,A24)</f>
        <v>3.44</v>
      </c>
      <c r="O24" s="97">
        <f t="shared" si="1"/>
        <v>9.2900000000000009</v>
      </c>
      <c r="P24" s="97">
        <f t="shared" si="2"/>
        <v>0.92999999999999994</v>
      </c>
      <c r="Q24" s="118">
        <f t="shared" si="3"/>
        <v>10.220000000000001</v>
      </c>
      <c r="R24" s="97">
        <f t="shared" si="4"/>
        <v>0.89949999999999997</v>
      </c>
      <c r="S24" s="97">
        <f t="shared" si="5"/>
        <v>1.2593000000000001</v>
      </c>
      <c r="T24" s="118">
        <f t="shared" si="6"/>
        <v>12.3788</v>
      </c>
      <c r="U24" s="119">
        <v>17.989999999999998</v>
      </c>
      <c r="V24" s="120">
        <f t="shared" si="7"/>
        <v>0.31190661478599213</v>
      </c>
      <c r="W24" s="121">
        <f t="shared" si="8"/>
        <v>11.62</v>
      </c>
      <c r="AB24" s="125">
        <f t="shared" si="9"/>
        <v>10.220000000000001</v>
      </c>
      <c r="AC24" s="125">
        <f t="shared" si="10"/>
        <v>15.831199999999997</v>
      </c>
      <c r="AD24" s="126">
        <f t="shared" si="11"/>
        <v>5.6111999999999966</v>
      </c>
      <c r="AE24" s="127">
        <f t="shared" si="12"/>
        <v>0.35443933498408192</v>
      </c>
      <c r="AF24" s="128">
        <f t="shared" si="13"/>
        <v>11.62</v>
      </c>
    </row>
    <row r="25" spans="1:32" ht="15.75" customHeight="1">
      <c r="A25" s="114" t="s">
        <v>102</v>
      </c>
      <c r="B25" s="114" t="s">
        <v>603</v>
      </c>
      <c r="C25" s="114" t="s">
        <v>563</v>
      </c>
      <c r="D25" s="114" t="s">
        <v>604</v>
      </c>
      <c r="E25" s="114" t="s">
        <v>565</v>
      </c>
      <c r="F25" s="114" t="s">
        <v>605</v>
      </c>
      <c r="G25" s="114" t="s">
        <v>544</v>
      </c>
      <c r="H25" s="115">
        <v>3</v>
      </c>
      <c r="I25" s="114" t="s">
        <v>551</v>
      </c>
      <c r="J25" s="116">
        <f t="shared" si="0"/>
        <v>1.27</v>
      </c>
      <c r="K25" s="97" t="str">
        <f>IFERROR(IF(VLOOKUP(D25,'Ficha de Produção'!C:C,1,0)=D25,"OK","Custo Produção Não Cadastrado"),"Custo Produção Não Cadastrado")</f>
        <v>OK</v>
      </c>
      <c r="L25" s="97" t="str">
        <f>IFERROR(IF(VLOOKUP(A25,'Ficha de Embalagens'!A:A,1,0)=A25,"OK","Ficha de Embalagens Não Cadastrada"),"Ficha de Embalagens Não Cadastrada")</f>
        <v>OK</v>
      </c>
      <c r="M25" s="117">
        <f>SUMIFS('Ficha de Produção'!N:N,'Ficha de Produção'!C:C,D25)*H25</f>
        <v>6.0300000000000011</v>
      </c>
      <c r="N25" s="117">
        <f>SUMIFS('Ficha de Embalagens'!F:F,'Ficha de Embalagens'!A:A,A25)</f>
        <v>3.44</v>
      </c>
      <c r="O25" s="97">
        <f t="shared" si="1"/>
        <v>9.4700000000000006</v>
      </c>
      <c r="P25" s="97">
        <f t="shared" si="2"/>
        <v>0.92999999999999994</v>
      </c>
      <c r="Q25" s="118">
        <f t="shared" si="3"/>
        <v>10.4</v>
      </c>
      <c r="R25" s="97">
        <f t="shared" si="4"/>
        <v>0.89949999999999997</v>
      </c>
      <c r="S25" s="97">
        <f t="shared" si="5"/>
        <v>1.2593000000000001</v>
      </c>
      <c r="T25" s="118">
        <f t="shared" si="6"/>
        <v>12.5588</v>
      </c>
      <c r="U25" s="119">
        <v>17.989999999999998</v>
      </c>
      <c r="V25" s="120">
        <f t="shared" si="7"/>
        <v>0.30190105614230123</v>
      </c>
      <c r="W25" s="121">
        <f t="shared" si="8"/>
        <v>11.82</v>
      </c>
      <c r="AB25" s="125">
        <f t="shared" si="9"/>
        <v>10.4</v>
      </c>
      <c r="AC25" s="125">
        <f t="shared" si="10"/>
        <v>15.831199999999997</v>
      </c>
      <c r="AD25" s="126">
        <f t="shared" si="11"/>
        <v>5.4311999999999969</v>
      </c>
      <c r="AE25" s="127">
        <f t="shared" si="12"/>
        <v>0.34306938197988768</v>
      </c>
      <c r="AF25" s="128">
        <f t="shared" si="13"/>
        <v>11.82</v>
      </c>
    </row>
    <row r="26" spans="1:32" ht="15.75" customHeight="1">
      <c r="A26" s="114" t="s">
        <v>103</v>
      </c>
      <c r="B26" s="114" t="s">
        <v>606</v>
      </c>
      <c r="C26" s="114" t="s">
        <v>563</v>
      </c>
      <c r="D26" s="114" t="s">
        <v>607</v>
      </c>
      <c r="E26" s="114" t="s">
        <v>565</v>
      </c>
      <c r="F26" s="114" t="s">
        <v>608</v>
      </c>
      <c r="G26" s="114" t="s">
        <v>544</v>
      </c>
      <c r="H26" s="115">
        <v>3</v>
      </c>
      <c r="I26" s="114" t="s">
        <v>551</v>
      </c>
      <c r="J26" s="116">
        <f t="shared" si="0"/>
        <v>1.27</v>
      </c>
      <c r="K26" s="97" t="str">
        <f>IFERROR(IF(VLOOKUP(D26,'Ficha de Produção'!C:C,1,0)=D26,"OK","Custo Produção Não Cadastrado"),"Custo Produção Não Cadastrado")</f>
        <v>OK</v>
      </c>
      <c r="L26" s="97" t="str">
        <f>IFERROR(IF(VLOOKUP(A26,'Ficha de Embalagens'!A:A,1,0)=A26,"OK","Ficha de Embalagens Não Cadastrada"),"Ficha de Embalagens Não Cadastrada")</f>
        <v>OK</v>
      </c>
      <c r="M26" s="117">
        <f>SUMIFS('Ficha de Produção'!N:N,'Ficha de Produção'!C:C,D26)*H26</f>
        <v>4.92</v>
      </c>
      <c r="N26" s="117">
        <f>SUMIFS('Ficha de Embalagens'!F:F,'Ficha de Embalagens'!A:A,A26)</f>
        <v>3.44</v>
      </c>
      <c r="O26" s="97">
        <f t="shared" si="1"/>
        <v>8.36</v>
      </c>
      <c r="P26" s="97">
        <f t="shared" si="2"/>
        <v>0.92999999999999994</v>
      </c>
      <c r="Q26" s="118">
        <f t="shared" si="3"/>
        <v>9.2899999999999991</v>
      </c>
      <c r="R26" s="97">
        <f t="shared" si="4"/>
        <v>0.89949999999999997</v>
      </c>
      <c r="S26" s="97">
        <f t="shared" si="5"/>
        <v>1.2593000000000001</v>
      </c>
      <c r="T26" s="118">
        <f t="shared" si="6"/>
        <v>11.448799999999999</v>
      </c>
      <c r="U26" s="119">
        <v>17.989999999999998</v>
      </c>
      <c r="V26" s="120">
        <f t="shared" si="7"/>
        <v>0.36360200111172875</v>
      </c>
      <c r="W26" s="121">
        <f t="shared" si="8"/>
        <v>10.56</v>
      </c>
      <c r="AB26" s="125">
        <f t="shared" si="9"/>
        <v>9.2899999999999991</v>
      </c>
      <c r="AC26" s="125">
        <f t="shared" si="10"/>
        <v>15.831199999999997</v>
      </c>
      <c r="AD26" s="126">
        <f t="shared" si="11"/>
        <v>6.5411999999999981</v>
      </c>
      <c r="AE26" s="127">
        <f t="shared" si="12"/>
        <v>0.41318409217241897</v>
      </c>
      <c r="AF26" s="128">
        <f t="shared" si="13"/>
        <v>10.56</v>
      </c>
    </row>
    <row r="27" spans="1:32" ht="15.75" customHeight="1">
      <c r="A27" s="114" t="s">
        <v>104</v>
      </c>
      <c r="B27" s="114" t="s">
        <v>609</v>
      </c>
      <c r="C27" s="114" t="s">
        <v>563</v>
      </c>
      <c r="D27" s="114"/>
      <c r="E27" s="114" t="s">
        <v>610</v>
      </c>
      <c r="F27" s="114" t="s">
        <v>566</v>
      </c>
      <c r="G27" s="114" t="s">
        <v>556</v>
      </c>
      <c r="H27" s="115">
        <v>3</v>
      </c>
      <c r="I27" s="114" t="s">
        <v>551</v>
      </c>
      <c r="J27" s="116">
        <f t="shared" si="0"/>
        <v>1.27</v>
      </c>
      <c r="K27" s="97" t="str">
        <f>IFERROR(IF(VLOOKUP(D27,'Ficha de Produção'!C:C,1,0)=D27,"OK","Custo Produção Não Cadastrado"),"Custo Produção Não Cadastrado")</f>
        <v>Custo Produção Não Cadastrado</v>
      </c>
      <c r="L27" s="97" t="str">
        <f>IFERROR(IF(VLOOKUP(A27,'Ficha de Embalagens'!A:A,1,0)=A27,"OK","Ficha de Embalagens Não Cadastrada"),"Ficha de Embalagens Não Cadastrada")</f>
        <v>Ficha de Embalagens Não Cadastrada</v>
      </c>
      <c r="M27" s="117">
        <f>SUMIFS('Ficha de Produção'!N:N,'Ficha de Produção'!C:C,D27)*H27</f>
        <v>0</v>
      </c>
      <c r="N27" s="117">
        <f>SUMIFS('Ficha de Embalagens'!F:F,'Ficha de Embalagens'!A:A,A27)</f>
        <v>0</v>
      </c>
      <c r="O27" s="97">
        <f t="shared" si="1"/>
        <v>0</v>
      </c>
      <c r="P27" s="97">
        <f t="shared" si="2"/>
        <v>0</v>
      </c>
      <c r="Q27" s="118">
        <f t="shared" si="3"/>
        <v>0</v>
      </c>
      <c r="R27" s="97">
        <f t="shared" si="4"/>
        <v>0</v>
      </c>
      <c r="S27" s="97">
        <f t="shared" si="5"/>
        <v>0</v>
      </c>
      <c r="T27" s="118">
        <f t="shared" si="6"/>
        <v>0</v>
      </c>
      <c r="U27" s="119"/>
      <c r="V27" s="120" t="str">
        <f t="shared" si="7"/>
        <v>Cadastrar Ficha de Produção</v>
      </c>
      <c r="W27" s="121" t="str">
        <f t="shared" si="8"/>
        <v>Cadastrar Ficha de Produção</v>
      </c>
      <c r="AB27" s="125" t="str">
        <f t="shared" si="9"/>
        <v/>
      </c>
      <c r="AC27" s="125" t="str">
        <f t="shared" si="10"/>
        <v/>
      </c>
      <c r="AD27" s="126" t="str">
        <f t="shared" si="11"/>
        <v/>
      </c>
      <c r="AE27" s="127" t="str">
        <f t="shared" si="12"/>
        <v/>
      </c>
      <c r="AF27" s="128" t="str">
        <f t="shared" si="13"/>
        <v/>
      </c>
    </row>
    <row r="28" spans="1:32" ht="15.75" customHeight="1">
      <c r="A28" s="114" t="s">
        <v>105</v>
      </c>
      <c r="B28" s="114" t="s">
        <v>611</v>
      </c>
      <c r="C28" s="114" t="s">
        <v>563</v>
      </c>
      <c r="D28" s="114"/>
      <c r="E28" s="114" t="s">
        <v>610</v>
      </c>
      <c r="F28" s="114" t="s">
        <v>569</v>
      </c>
      <c r="G28" s="114" t="s">
        <v>556</v>
      </c>
      <c r="H28" s="115">
        <v>3</v>
      </c>
      <c r="I28" s="114" t="s">
        <v>551</v>
      </c>
      <c r="J28" s="116">
        <f t="shared" si="0"/>
        <v>1.27</v>
      </c>
      <c r="K28" s="97" t="str">
        <f>IFERROR(IF(VLOOKUP(D28,'Ficha de Produção'!C:C,1,0)=D28,"OK","Custo Produção Não Cadastrado"),"Custo Produção Não Cadastrado")</f>
        <v>Custo Produção Não Cadastrado</v>
      </c>
      <c r="L28" s="97" t="str">
        <f>IFERROR(IF(VLOOKUP(A28,'Ficha de Embalagens'!A:A,1,0)=A28,"OK","Ficha de Embalagens Não Cadastrada"),"Ficha de Embalagens Não Cadastrada")</f>
        <v>Ficha de Embalagens Não Cadastrada</v>
      </c>
      <c r="M28" s="117">
        <f>SUMIFS('Ficha de Produção'!N:N,'Ficha de Produção'!C:C,D28)*H28</f>
        <v>0</v>
      </c>
      <c r="N28" s="117">
        <f>SUMIFS('Ficha de Embalagens'!F:F,'Ficha de Embalagens'!A:A,A28)</f>
        <v>0</v>
      </c>
      <c r="O28" s="97">
        <f t="shared" si="1"/>
        <v>0</v>
      </c>
      <c r="P28" s="97">
        <f t="shared" si="2"/>
        <v>0</v>
      </c>
      <c r="Q28" s="118">
        <f t="shared" si="3"/>
        <v>0</v>
      </c>
      <c r="R28" s="97">
        <f t="shared" si="4"/>
        <v>0</v>
      </c>
      <c r="S28" s="97">
        <f t="shared" si="5"/>
        <v>0</v>
      </c>
      <c r="T28" s="118">
        <f t="shared" si="6"/>
        <v>0</v>
      </c>
      <c r="U28" s="119"/>
      <c r="V28" s="120" t="str">
        <f t="shared" si="7"/>
        <v>Cadastrar Ficha de Produção</v>
      </c>
      <c r="W28" s="121" t="str">
        <f t="shared" si="8"/>
        <v>Cadastrar Ficha de Produção</v>
      </c>
      <c r="AB28" s="125" t="str">
        <f t="shared" si="9"/>
        <v/>
      </c>
      <c r="AC28" s="125" t="str">
        <f t="shared" si="10"/>
        <v/>
      </c>
      <c r="AD28" s="126" t="str">
        <f t="shared" si="11"/>
        <v/>
      </c>
      <c r="AE28" s="127" t="str">
        <f t="shared" si="12"/>
        <v/>
      </c>
      <c r="AF28" s="128" t="str">
        <f t="shared" si="13"/>
        <v/>
      </c>
    </row>
    <row r="29" spans="1:32" ht="15.75" customHeight="1">
      <c r="A29" s="114" t="s">
        <v>106</v>
      </c>
      <c r="B29" s="114" t="s">
        <v>612</v>
      </c>
      <c r="C29" s="114" t="s">
        <v>563</v>
      </c>
      <c r="D29" s="114"/>
      <c r="E29" s="114" t="s">
        <v>610</v>
      </c>
      <c r="F29" s="114" t="s">
        <v>572</v>
      </c>
      <c r="G29" s="114" t="s">
        <v>556</v>
      </c>
      <c r="H29" s="115">
        <v>3</v>
      </c>
      <c r="I29" s="114" t="s">
        <v>551</v>
      </c>
      <c r="J29" s="116">
        <f t="shared" si="0"/>
        <v>1.27</v>
      </c>
      <c r="K29" s="97" t="str">
        <f>IFERROR(IF(VLOOKUP(D29,'Ficha de Produção'!C:C,1,0)=D29,"OK","Custo Produção Não Cadastrado"),"Custo Produção Não Cadastrado")</f>
        <v>Custo Produção Não Cadastrado</v>
      </c>
      <c r="L29" s="97" t="str">
        <f>IFERROR(IF(VLOOKUP(A29,'Ficha de Embalagens'!A:A,1,0)=A29,"OK","Ficha de Embalagens Não Cadastrada"),"Ficha de Embalagens Não Cadastrada")</f>
        <v>Ficha de Embalagens Não Cadastrada</v>
      </c>
      <c r="M29" s="117">
        <f>SUMIFS('Ficha de Produção'!N:N,'Ficha de Produção'!C:C,D29)*H29</f>
        <v>0</v>
      </c>
      <c r="N29" s="117">
        <f>SUMIFS('Ficha de Embalagens'!F:F,'Ficha de Embalagens'!A:A,A29)</f>
        <v>0</v>
      </c>
      <c r="O29" s="97">
        <f t="shared" si="1"/>
        <v>0</v>
      </c>
      <c r="P29" s="97">
        <f t="shared" si="2"/>
        <v>0</v>
      </c>
      <c r="Q29" s="118">
        <f t="shared" si="3"/>
        <v>0</v>
      </c>
      <c r="R29" s="97">
        <f t="shared" si="4"/>
        <v>0</v>
      </c>
      <c r="S29" s="97">
        <f t="shared" si="5"/>
        <v>0</v>
      </c>
      <c r="T29" s="118">
        <f t="shared" si="6"/>
        <v>0</v>
      </c>
      <c r="U29" s="119"/>
      <c r="V29" s="120" t="str">
        <f t="shared" si="7"/>
        <v>Cadastrar Ficha de Produção</v>
      </c>
      <c r="W29" s="121" t="str">
        <f t="shared" si="8"/>
        <v>Cadastrar Ficha de Produção</v>
      </c>
      <c r="AB29" s="125" t="str">
        <f t="shared" si="9"/>
        <v/>
      </c>
      <c r="AC29" s="125" t="str">
        <f t="shared" si="10"/>
        <v/>
      </c>
      <c r="AD29" s="126" t="str">
        <f t="shared" si="11"/>
        <v/>
      </c>
      <c r="AE29" s="127" t="str">
        <f t="shared" si="12"/>
        <v/>
      </c>
      <c r="AF29" s="128" t="str">
        <f t="shared" si="13"/>
        <v/>
      </c>
    </row>
    <row r="30" spans="1:32" ht="15.75" customHeight="1">
      <c r="A30" s="114" t="s">
        <v>107</v>
      </c>
      <c r="B30" s="114" t="s">
        <v>613</v>
      </c>
      <c r="C30" s="114" t="s">
        <v>563</v>
      </c>
      <c r="D30" s="114"/>
      <c r="E30" s="114" t="s">
        <v>610</v>
      </c>
      <c r="F30" s="114" t="s">
        <v>575</v>
      </c>
      <c r="G30" s="114" t="s">
        <v>556</v>
      </c>
      <c r="H30" s="115">
        <v>3</v>
      </c>
      <c r="I30" s="114" t="s">
        <v>551</v>
      </c>
      <c r="J30" s="116">
        <f t="shared" si="0"/>
        <v>1.27</v>
      </c>
      <c r="K30" s="97" t="str">
        <f>IFERROR(IF(VLOOKUP(D30,'Ficha de Produção'!C:C,1,0)=D30,"OK","Custo Produção Não Cadastrado"),"Custo Produção Não Cadastrado")</f>
        <v>Custo Produção Não Cadastrado</v>
      </c>
      <c r="L30" s="97" t="str">
        <f>IFERROR(IF(VLOOKUP(A30,'Ficha de Embalagens'!A:A,1,0)=A30,"OK","Ficha de Embalagens Não Cadastrada"),"Ficha de Embalagens Não Cadastrada")</f>
        <v>Ficha de Embalagens Não Cadastrada</v>
      </c>
      <c r="M30" s="117">
        <f>SUMIFS('Ficha de Produção'!N:N,'Ficha de Produção'!C:C,D30)*H30</f>
        <v>0</v>
      </c>
      <c r="N30" s="117">
        <f>SUMIFS('Ficha de Embalagens'!F:F,'Ficha de Embalagens'!A:A,A30)</f>
        <v>0</v>
      </c>
      <c r="O30" s="97">
        <f t="shared" si="1"/>
        <v>0</v>
      </c>
      <c r="P30" s="97">
        <f t="shared" si="2"/>
        <v>0</v>
      </c>
      <c r="Q30" s="118">
        <f t="shared" si="3"/>
        <v>0</v>
      </c>
      <c r="R30" s="97">
        <f t="shared" si="4"/>
        <v>0</v>
      </c>
      <c r="S30" s="97">
        <f t="shared" si="5"/>
        <v>0</v>
      </c>
      <c r="T30" s="118">
        <f t="shared" si="6"/>
        <v>0</v>
      </c>
      <c r="U30" s="119"/>
      <c r="V30" s="120" t="str">
        <f t="shared" si="7"/>
        <v>Cadastrar Ficha de Produção</v>
      </c>
      <c r="W30" s="121" t="str">
        <f t="shared" si="8"/>
        <v>Cadastrar Ficha de Produção</v>
      </c>
      <c r="AB30" s="125" t="str">
        <f t="shared" si="9"/>
        <v/>
      </c>
      <c r="AC30" s="125" t="str">
        <f t="shared" si="10"/>
        <v/>
      </c>
      <c r="AD30" s="126" t="str">
        <f t="shared" si="11"/>
        <v/>
      </c>
      <c r="AE30" s="127" t="str">
        <f t="shared" si="12"/>
        <v/>
      </c>
      <c r="AF30" s="128" t="str">
        <f t="shared" si="13"/>
        <v/>
      </c>
    </row>
    <row r="31" spans="1:32" ht="15.75" customHeight="1">
      <c r="A31" s="114" t="s">
        <v>108</v>
      </c>
      <c r="B31" s="114" t="s">
        <v>614</v>
      </c>
      <c r="C31" s="114" t="s">
        <v>563</v>
      </c>
      <c r="D31" s="114"/>
      <c r="E31" s="114" t="s">
        <v>610</v>
      </c>
      <c r="F31" s="114" t="s">
        <v>578</v>
      </c>
      <c r="G31" s="114" t="s">
        <v>556</v>
      </c>
      <c r="H31" s="115">
        <v>3</v>
      </c>
      <c r="I31" s="114" t="s">
        <v>551</v>
      </c>
      <c r="J31" s="116">
        <f t="shared" si="0"/>
        <v>1.27</v>
      </c>
      <c r="K31" s="97" t="str">
        <f>IFERROR(IF(VLOOKUP(D31,'Ficha de Produção'!C:C,1,0)=D31,"OK","Custo Produção Não Cadastrado"),"Custo Produção Não Cadastrado")</f>
        <v>Custo Produção Não Cadastrado</v>
      </c>
      <c r="L31" s="97" t="str">
        <f>IFERROR(IF(VLOOKUP(A31,'Ficha de Embalagens'!A:A,1,0)=A31,"OK","Ficha de Embalagens Não Cadastrada"),"Ficha de Embalagens Não Cadastrada")</f>
        <v>Ficha de Embalagens Não Cadastrada</v>
      </c>
      <c r="M31" s="117">
        <f>SUMIFS('Ficha de Produção'!N:N,'Ficha de Produção'!C:C,D31)*H31</f>
        <v>0</v>
      </c>
      <c r="N31" s="117">
        <f>SUMIFS('Ficha de Embalagens'!F:F,'Ficha de Embalagens'!A:A,A31)</f>
        <v>0</v>
      </c>
      <c r="O31" s="97">
        <f t="shared" si="1"/>
        <v>0</v>
      </c>
      <c r="P31" s="97">
        <f t="shared" si="2"/>
        <v>0</v>
      </c>
      <c r="Q31" s="118">
        <f t="shared" si="3"/>
        <v>0</v>
      </c>
      <c r="R31" s="97">
        <f t="shared" si="4"/>
        <v>0</v>
      </c>
      <c r="S31" s="97">
        <f t="shared" si="5"/>
        <v>0</v>
      </c>
      <c r="T31" s="118">
        <f t="shared" si="6"/>
        <v>0</v>
      </c>
      <c r="U31" s="119"/>
      <c r="V31" s="120" t="str">
        <f t="shared" si="7"/>
        <v>Cadastrar Ficha de Produção</v>
      </c>
      <c r="W31" s="121" t="str">
        <f t="shared" si="8"/>
        <v>Cadastrar Ficha de Produção</v>
      </c>
      <c r="AB31" s="125" t="str">
        <f t="shared" si="9"/>
        <v/>
      </c>
      <c r="AC31" s="125" t="str">
        <f t="shared" si="10"/>
        <v/>
      </c>
      <c r="AD31" s="126" t="str">
        <f t="shared" si="11"/>
        <v/>
      </c>
      <c r="AE31" s="127" t="str">
        <f t="shared" si="12"/>
        <v/>
      </c>
      <c r="AF31" s="128" t="str">
        <f t="shared" si="13"/>
        <v/>
      </c>
    </row>
    <row r="32" spans="1:32" ht="15.75" customHeight="1">
      <c r="A32" s="114" t="s">
        <v>109</v>
      </c>
      <c r="B32" s="114" t="s">
        <v>615</v>
      </c>
      <c r="C32" s="114" t="s">
        <v>563</v>
      </c>
      <c r="D32" s="114"/>
      <c r="E32" s="114" t="s">
        <v>610</v>
      </c>
      <c r="F32" s="114" t="s">
        <v>581</v>
      </c>
      <c r="G32" s="114" t="s">
        <v>556</v>
      </c>
      <c r="H32" s="115">
        <v>3</v>
      </c>
      <c r="I32" s="114" t="s">
        <v>551</v>
      </c>
      <c r="J32" s="116">
        <f t="shared" si="0"/>
        <v>1.27</v>
      </c>
      <c r="K32" s="97" t="str">
        <f>IFERROR(IF(VLOOKUP(D32,'Ficha de Produção'!C:C,1,0)=D32,"OK","Custo Produção Não Cadastrado"),"Custo Produção Não Cadastrado")</f>
        <v>Custo Produção Não Cadastrado</v>
      </c>
      <c r="L32" s="97" t="str">
        <f>IFERROR(IF(VLOOKUP(A32,'Ficha de Embalagens'!A:A,1,0)=A32,"OK","Ficha de Embalagens Não Cadastrada"),"Ficha de Embalagens Não Cadastrada")</f>
        <v>Ficha de Embalagens Não Cadastrada</v>
      </c>
      <c r="M32" s="117">
        <f>SUMIFS('Ficha de Produção'!N:N,'Ficha de Produção'!C:C,D32)*H32</f>
        <v>0</v>
      </c>
      <c r="N32" s="117">
        <f>SUMIFS('Ficha de Embalagens'!F:F,'Ficha de Embalagens'!A:A,A32)</f>
        <v>0</v>
      </c>
      <c r="O32" s="97">
        <f t="shared" si="1"/>
        <v>0</v>
      </c>
      <c r="P32" s="97">
        <f t="shared" si="2"/>
        <v>0</v>
      </c>
      <c r="Q32" s="118">
        <f t="shared" si="3"/>
        <v>0</v>
      </c>
      <c r="R32" s="97">
        <f t="shared" si="4"/>
        <v>0</v>
      </c>
      <c r="S32" s="97">
        <f t="shared" si="5"/>
        <v>0</v>
      </c>
      <c r="T32" s="118">
        <f t="shared" si="6"/>
        <v>0</v>
      </c>
      <c r="U32" s="119"/>
      <c r="V32" s="120" t="str">
        <f t="shared" si="7"/>
        <v>Cadastrar Ficha de Produção</v>
      </c>
      <c r="W32" s="121" t="str">
        <f t="shared" si="8"/>
        <v>Cadastrar Ficha de Produção</v>
      </c>
      <c r="AB32" s="125" t="str">
        <f t="shared" si="9"/>
        <v/>
      </c>
      <c r="AC32" s="125" t="str">
        <f t="shared" si="10"/>
        <v/>
      </c>
      <c r="AD32" s="126" t="str">
        <f t="shared" si="11"/>
        <v/>
      </c>
      <c r="AE32" s="127" t="str">
        <f t="shared" si="12"/>
        <v/>
      </c>
      <c r="AF32" s="128" t="str">
        <f t="shared" si="13"/>
        <v/>
      </c>
    </row>
    <row r="33" spans="1:32" ht="15.75" customHeight="1">
      <c r="A33" s="114" t="s">
        <v>110</v>
      </c>
      <c r="B33" s="114" t="s">
        <v>616</v>
      </c>
      <c r="C33" s="114" t="s">
        <v>563</v>
      </c>
      <c r="D33" s="114"/>
      <c r="E33" s="114" t="s">
        <v>610</v>
      </c>
      <c r="F33" s="114" t="s">
        <v>584</v>
      </c>
      <c r="G33" s="114" t="s">
        <v>556</v>
      </c>
      <c r="H33" s="115">
        <v>3</v>
      </c>
      <c r="I33" s="114" t="s">
        <v>551</v>
      </c>
      <c r="J33" s="116">
        <f t="shared" si="0"/>
        <v>1.27</v>
      </c>
      <c r="K33" s="97" t="str">
        <f>IFERROR(IF(VLOOKUP(D33,'Ficha de Produção'!C:C,1,0)=D33,"OK","Custo Produção Não Cadastrado"),"Custo Produção Não Cadastrado")</f>
        <v>Custo Produção Não Cadastrado</v>
      </c>
      <c r="L33" s="97" t="str">
        <f>IFERROR(IF(VLOOKUP(A33,'Ficha de Embalagens'!A:A,1,0)=A33,"OK","Ficha de Embalagens Não Cadastrada"),"Ficha de Embalagens Não Cadastrada")</f>
        <v>Ficha de Embalagens Não Cadastrada</v>
      </c>
      <c r="M33" s="117">
        <f>SUMIFS('Ficha de Produção'!N:N,'Ficha de Produção'!C:C,D33)*H33</f>
        <v>0</v>
      </c>
      <c r="N33" s="117">
        <f>SUMIFS('Ficha de Embalagens'!F:F,'Ficha de Embalagens'!A:A,A33)</f>
        <v>0</v>
      </c>
      <c r="O33" s="97">
        <f t="shared" si="1"/>
        <v>0</v>
      </c>
      <c r="P33" s="97">
        <f t="shared" si="2"/>
        <v>0</v>
      </c>
      <c r="Q33" s="118">
        <f t="shared" si="3"/>
        <v>0</v>
      </c>
      <c r="R33" s="97">
        <f t="shared" si="4"/>
        <v>0</v>
      </c>
      <c r="S33" s="97">
        <f t="shared" si="5"/>
        <v>0</v>
      </c>
      <c r="T33" s="118">
        <f t="shared" si="6"/>
        <v>0</v>
      </c>
      <c r="U33" s="119"/>
      <c r="V33" s="120" t="str">
        <f t="shared" si="7"/>
        <v>Cadastrar Ficha de Produção</v>
      </c>
      <c r="W33" s="121" t="str">
        <f t="shared" si="8"/>
        <v>Cadastrar Ficha de Produção</v>
      </c>
      <c r="AB33" s="125" t="str">
        <f t="shared" si="9"/>
        <v/>
      </c>
      <c r="AC33" s="125" t="str">
        <f t="shared" si="10"/>
        <v/>
      </c>
      <c r="AD33" s="126" t="str">
        <f t="shared" si="11"/>
        <v/>
      </c>
      <c r="AE33" s="127" t="str">
        <f t="shared" si="12"/>
        <v/>
      </c>
      <c r="AF33" s="128" t="str">
        <f t="shared" si="13"/>
        <v/>
      </c>
    </row>
    <row r="34" spans="1:32" ht="15.75" customHeight="1">
      <c r="A34" s="114" t="s">
        <v>111</v>
      </c>
      <c r="B34" s="114" t="s">
        <v>617</v>
      </c>
      <c r="C34" s="114" t="s">
        <v>563</v>
      </c>
      <c r="D34" s="114"/>
      <c r="E34" s="114" t="s">
        <v>610</v>
      </c>
      <c r="F34" s="114" t="s">
        <v>587</v>
      </c>
      <c r="G34" s="114" t="s">
        <v>556</v>
      </c>
      <c r="H34" s="115">
        <v>3</v>
      </c>
      <c r="I34" s="114" t="s">
        <v>551</v>
      </c>
      <c r="J34" s="116">
        <f t="shared" si="0"/>
        <v>1.27</v>
      </c>
      <c r="K34" s="97" t="str">
        <f>IFERROR(IF(VLOOKUP(D34,'Ficha de Produção'!C:C,1,0)=D34,"OK","Custo Produção Não Cadastrado"),"Custo Produção Não Cadastrado")</f>
        <v>Custo Produção Não Cadastrado</v>
      </c>
      <c r="L34" s="97" t="str">
        <f>IFERROR(IF(VLOOKUP(A34,'Ficha de Embalagens'!A:A,1,0)=A34,"OK","Ficha de Embalagens Não Cadastrada"),"Ficha de Embalagens Não Cadastrada")</f>
        <v>Ficha de Embalagens Não Cadastrada</v>
      </c>
      <c r="M34" s="117">
        <f>SUMIFS('Ficha de Produção'!N:N,'Ficha de Produção'!C:C,D34)*H34</f>
        <v>0</v>
      </c>
      <c r="N34" s="117">
        <f>SUMIFS('Ficha de Embalagens'!F:F,'Ficha de Embalagens'!A:A,A34)</f>
        <v>0</v>
      </c>
      <c r="O34" s="97">
        <f t="shared" si="1"/>
        <v>0</v>
      </c>
      <c r="P34" s="97">
        <f t="shared" si="2"/>
        <v>0</v>
      </c>
      <c r="Q34" s="118">
        <f t="shared" si="3"/>
        <v>0</v>
      </c>
      <c r="R34" s="97">
        <f t="shared" si="4"/>
        <v>0</v>
      </c>
      <c r="S34" s="97">
        <f t="shared" si="5"/>
        <v>0</v>
      </c>
      <c r="T34" s="118">
        <f t="shared" si="6"/>
        <v>0</v>
      </c>
      <c r="U34" s="119"/>
      <c r="V34" s="120" t="str">
        <f t="shared" si="7"/>
        <v>Cadastrar Ficha de Produção</v>
      </c>
      <c r="W34" s="121" t="str">
        <f t="shared" si="8"/>
        <v>Cadastrar Ficha de Produção</v>
      </c>
      <c r="AB34" s="125" t="str">
        <f t="shared" si="9"/>
        <v/>
      </c>
      <c r="AC34" s="125" t="str">
        <f t="shared" si="10"/>
        <v/>
      </c>
      <c r="AD34" s="126" t="str">
        <f t="shared" si="11"/>
        <v/>
      </c>
      <c r="AE34" s="127" t="str">
        <f t="shared" si="12"/>
        <v/>
      </c>
      <c r="AF34" s="128" t="str">
        <f t="shared" si="13"/>
        <v/>
      </c>
    </row>
    <row r="35" spans="1:32" ht="15.75" customHeight="1">
      <c r="A35" s="114" t="s">
        <v>112</v>
      </c>
      <c r="B35" s="114" t="s">
        <v>618</v>
      </c>
      <c r="C35" s="114" t="s">
        <v>563</v>
      </c>
      <c r="D35" s="114"/>
      <c r="E35" s="114" t="s">
        <v>610</v>
      </c>
      <c r="F35" s="114" t="s">
        <v>590</v>
      </c>
      <c r="G35" s="114" t="s">
        <v>556</v>
      </c>
      <c r="H35" s="115">
        <v>3</v>
      </c>
      <c r="I35" s="114" t="s">
        <v>551</v>
      </c>
      <c r="J35" s="116">
        <f t="shared" si="0"/>
        <v>1.27</v>
      </c>
      <c r="K35" s="97" t="str">
        <f>IFERROR(IF(VLOOKUP(D35,'Ficha de Produção'!C:C,1,0)=D35,"OK","Custo Produção Não Cadastrado"),"Custo Produção Não Cadastrado")</f>
        <v>Custo Produção Não Cadastrado</v>
      </c>
      <c r="L35" s="97" t="str">
        <f>IFERROR(IF(VLOOKUP(A35,'Ficha de Embalagens'!A:A,1,0)=A35,"OK","Ficha de Embalagens Não Cadastrada"),"Ficha de Embalagens Não Cadastrada")</f>
        <v>Ficha de Embalagens Não Cadastrada</v>
      </c>
      <c r="M35" s="117">
        <f>SUMIFS('Ficha de Produção'!N:N,'Ficha de Produção'!C:C,D35)*H35</f>
        <v>0</v>
      </c>
      <c r="N35" s="117">
        <f>SUMIFS('Ficha de Embalagens'!F:F,'Ficha de Embalagens'!A:A,A35)</f>
        <v>0</v>
      </c>
      <c r="O35" s="97">
        <f t="shared" si="1"/>
        <v>0</v>
      </c>
      <c r="P35" s="97">
        <f t="shared" si="2"/>
        <v>0</v>
      </c>
      <c r="Q35" s="118">
        <f t="shared" si="3"/>
        <v>0</v>
      </c>
      <c r="R35" s="97">
        <f t="shared" si="4"/>
        <v>0</v>
      </c>
      <c r="S35" s="97">
        <f t="shared" si="5"/>
        <v>0</v>
      </c>
      <c r="T35" s="118">
        <f t="shared" si="6"/>
        <v>0</v>
      </c>
      <c r="U35" s="119"/>
      <c r="V35" s="120" t="str">
        <f t="shared" si="7"/>
        <v>Cadastrar Ficha de Produção</v>
      </c>
      <c r="W35" s="121" t="str">
        <f t="shared" si="8"/>
        <v>Cadastrar Ficha de Produção</v>
      </c>
      <c r="AB35" s="125" t="str">
        <f t="shared" si="9"/>
        <v/>
      </c>
      <c r="AC35" s="125" t="str">
        <f t="shared" si="10"/>
        <v/>
      </c>
      <c r="AD35" s="126" t="str">
        <f t="shared" si="11"/>
        <v/>
      </c>
      <c r="AE35" s="127" t="str">
        <f t="shared" si="12"/>
        <v/>
      </c>
      <c r="AF35" s="128" t="str">
        <f t="shared" si="13"/>
        <v/>
      </c>
    </row>
    <row r="36" spans="1:32" ht="15.75" customHeight="1">
      <c r="A36" s="114" t="s">
        <v>113</v>
      </c>
      <c r="B36" s="114" t="s">
        <v>619</v>
      </c>
      <c r="C36" s="114" t="s">
        <v>563</v>
      </c>
      <c r="D36" s="114"/>
      <c r="E36" s="114" t="s">
        <v>610</v>
      </c>
      <c r="F36" s="114" t="s">
        <v>593</v>
      </c>
      <c r="G36" s="114" t="s">
        <v>556</v>
      </c>
      <c r="H36" s="115">
        <v>3</v>
      </c>
      <c r="I36" s="114" t="s">
        <v>551</v>
      </c>
      <c r="J36" s="116">
        <f t="shared" si="0"/>
        <v>1.27</v>
      </c>
      <c r="K36" s="97" t="str">
        <f>IFERROR(IF(VLOOKUP(D36,'Ficha de Produção'!C:C,1,0)=D36,"OK","Custo Produção Não Cadastrado"),"Custo Produção Não Cadastrado")</f>
        <v>Custo Produção Não Cadastrado</v>
      </c>
      <c r="L36" s="97" t="str">
        <f>IFERROR(IF(VLOOKUP(A36,'Ficha de Embalagens'!A:A,1,0)=A36,"OK","Ficha de Embalagens Não Cadastrada"),"Ficha de Embalagens Não Cadastrada")</f>
        <v>Ficha de Embalagens Não Cadastrada</v>
      </c>
      <c r="M36" s="117">
        <f>SUMIFS('Ficha de Produção'!N:N,'Ficha de Produção'!C:C,D36)*H36</f>
        <v>0</v>
      </c>
      <c r="N36" s="117">
        <f>SUMIFS('Ficha de Embalagens'!F:F,'Ficha de Embalagens'!A:A,A36)</f>
        <v>0</v>
      </c>
      <c r="O36" s="97">
        <f t="shared" si="1"/>
        <v>0</v>
      </c>
      <c r="P36" s="97">
        <f t="shared" si="2"/>
        <v>0</v>
      </c>
      <c r="Q36" s="118">
        <f t="shared" si="3"/>
        <v>0</v>
      </c>
      <c r="R36" s="97">
        <f t="shared" si="4"/>
        <v>0</v>
      </c>
      <c r="S36" s="97">
        <f t="shared" si="5"/>
        <v>0</v>
      </c>
      <c r="T36" s="118">
        <f t="shared" si="6"/>
        <v>0</v>
      </c>
      <c r="U36" s="119"/>
      <c r="V36" s="120" t="str">
        <f t="shared" si="7"/>
        <v>Cadastrar Ficha de Produção</v>
      </c>
      <c r="W36" s="121" t="str">
        <f t="shared" si="8"/>
        <v>Cadastrar Ficha de Produção</v>
      </c>
      <c r="AB36" s="125" t="str">
        <f t="shared" si="9"/>
        <v/>
      </c>
      <c r="AC36" s="125" t="str">
        <f t="shared" si="10"/>
        <v/>
      </c>
      <c r="AD36" s="126" t="str">
        <f t="shared" si="11"/>
        <v/>
      </c>
      <c r="AE36" s="127" t="str">
        <f t="shared" si="12"/>
        <v/>
      </c>
      <c r="AF36" s="128" t="str">
        <f t="shared" si="13"/>
        <v/>
      </c>
    </row>
    <row r="37" spans="1:32" ht="15.75" customHeight="1">
      <c r="A37" s="114" t="s">
        <v>114</v>
      </c>
      <c r="B37" s="114" t="s">
        <v>620</v>
      </c>
      <c r="C37" s="114" t="s">
        <v>563</v>
      </c>
      <c r="D37" s="114"/>
      <c r="E37" s="114" t="s">
        <v>610</v>
      </c>
      <c r="F37" s="114" t="s">
        <v>596</v>
      </c>
      <c r="G37" s="114" t="s">
        <v>556</v>
      </c>
      <c r="H37" s="115">
        <v>3</v>
      </c>
      <c r="I37" s="114" t="s">
        <v>551</v>
      </c>
      <c r="J37" s="116">
        <f t="shared" si="0"/>
        <v>1.27</v>
      </c>
      <c r="K37" s="97" t="str">
        <f>IFERROR(IF(VLOOKUP(D37,'Ficha de Produção'!C:C,1,0)=D37,"OK","Custo Produção Não Cadastrado"),"Custo Produção Não Cadastrado")</f>
        <v>Custo Produção Não Cadastrado</v>
      </c>
      <c r="L37" s="97" t="str">
        <f>IFERROR(IF(VLOOKUP(A37,'Ficha de Embalagens'!A:A,1,0)=A37,"OK","Ficha de Embalagens Não Cadastrada"),"Ficha de Embalagens Não Cadastrada")</f>
        <v>Ficha de Embalagens Não Cadastrada</v>
      </c>
      <c r="M37" s="117">
        <f>SUMIFS('Ficha de Produção'!N:N,'Ficha de Produção'!C:C,D37)*H37</f>
        <v>0</v>
      </c>
      <c r="N37" s="117">
        <f>SUMIFS('Ficha de Embalagens'!F:F,'Ficha de Embalagens'!A:A,A37)</f>
        <v>0</v>
      </c>
      <c r="O37" s="97">
        <f t="shared" si="1"/>
        <v>0</v>
      </c>
      <c r="P37" s="97">
        <f t="shared" si="2"/>
        <v>0</v>
      </c>
      <c r="Q37" s="118">
        <f t="shared" si="3"/>
        <v>0</v>
      </c>
      <c r="R37" s="97">
        <f t="shared" si="4"/>
        <v>0</v>
      </c>
      <c r="S37" s="97">
        <f t="shared" si="5"/>
        <v>0</v>
      </c>
      <c r="T37" s="118">
        <f t="shared" si="6"/>
        <v>0</v>
      </c>
      <c r="U37" s="119"/>
      <c r="V37" s="120" t="str">
        <f t="shared" si="7"/>
        <v>Cadastrar Ficha de Produção</v>
      </c>
      <c r="W37" s="121" t="str">
        <f t="shared" si="8"/>
        <v>Cadastrar Ficha de Produção</v>
      </c>
      <c r="AB37" s="125" t="str">
        <f t="shared" si="9"/>
        <v/>
      </c>
      <c r="AC37" s="125" t="str">
        <f t="shared" si="10"/>
        <v/>
      </c>
      <c r="AD37" s="126" t="str">
        <f t="shared" si="11"/>
        <v/>
      </c>
      <c r="AE37" s="127" t="str">
        <f t="shared" si="12"/>
        <v/>
      </c>
      <c r="AF37" s="128" t="str">
        <f t="shared" si="13"/>
        <v/>
      </c>
    </row>
    <row r="38" spans="1:32" ht="15.75" customHeight="1">
      <c r="A38" s="114" t="s">
        <v>115</v>
      </c>
      <c r="B38" s="114" t="s">
        <v>621</v>
      </c>
      <c r="C38" s="114" t="s">
        <v>563</v>
      </c>
      <c r="D38" s="114"/>
      <c r="E38" s="114" t="s">
        <v>610</v>
      </c>
      <c r="F38" s="114" t="s">
        <v>599</v>
      </c>
      <c r="G38" s="114" t="s">
        <v>556</v>
      </c>
      <c r="H38" s="115">
        <v>3</v>
      </c>
      <c r="I38" s="114" t="s">
        <v>551</v>
      </c>
      <c r="J38" s="116">
        <f t="shared" si="0"/>
        <v>1.27</v>
      </c>
      <c r="K38" s="97" t="str">
        <f>IFERROR(IF(VLOOKUP(D38,'Ficha de Produção'!C:C,1,0)=D38,"OK","Custo Produção Não Cadastrado"),"Custo Produção Não Cadastrado")</f>
        <v>Custo Produção Não Cadastrado</v>
      </c>
      <c r="L38" s="97" t="str">
        <f>IFERROR(IF(VLOOKUP(A38,'Ficha de Embalagens'!A:A,1,0)=A38,"OK","Ficha de Embalagens Não Cadastrada"),"Ficha de Embalagens Não Cadastrada")</f>
        <v>Ficha de Embalagens Não Cadastrada</v>
      </c>
      <c r="M38" s="117">
        <f>SUMIFS('Ficha de Produção'!N:N,'Ficha de Produção'!C:C,D38)*H38</f>
        <v>0</v>
      </c>
      <c r="N38" s="117">
        <f>SUMIFS('Ficha de Embalagens'!F:F,'Ficha de Embalagens'!A:A,A38)</f>
        <v>0</v>
      </c>
      <c r="O38" s="97">
        <f t="shared" si="1"/>
        <v>0</v>
      </c>
      <c r="P38" s="97">
        <f t="shared" si="2"/>
        <v>0</v>
      </c>
      <c r="Q38" s="118">
        <f t="shared" si="3"/>
        <v>0</v>
      </c>
      <c r="R38" s="97">
        <f t="shared" si="4"/>
        <v>0</v>
      </c>
      <c r="S38" s="97">
        <f t="shared" si="5"/>
        <v>0</v>
      </c>
      <c r="T38" s="118">
        <f t="shared" si="6"/>
        <v>0</v>
      </c>
      <c r="U38" s="119"/>
      <c r="V38" s="120" t="str">
        <f t="shared" si="7"/>
        <v>Cadastrar Ficha de Produção</v>
      </c>
      <c r="W38" s="121" t="str">
        <f t="shared" si="8"/>
        <v>Cadastrar Ficha de Produção</v>
      </c>
      <c r="AB38" s="125" t="str">
        <f t="shared" si="9"/>
        <v/>
      </c>
      <c r="AC38" s="125" t="str">
        <f t="shared" si="10"/>
        <v/>
      </c>
      <c r="AD38" s="126" t="str">
        <f t="shared" si="11"/>
        <v/>
      </c>
      <c r="AE38" s="127" t="str">
        <f t="shared" si="12"/>
        <v/>
      </c>
      <c r="AF38" s="128" t="str">
        <f t="shared" si="13"/>
        <v/>
      </c>
    </row>
    <row r="39" spans="1:32" ht="15.75" customHeight="1">
      <c r="A39" s="114" t="s">
        <v>116</v>
      </c>
      <c r="B39" s="114" t="s">
        <v>622</v>
      </c>
      <c r="C39" s="114" t="s">
        <v>563</v>
      </c>
      <c r="D39" s="114"/>
      <c r="E39" s="114" t="s">
        <v>610</v>
      </c>
      <c r="F39" s="114" t="s">
        <v>602</v>
      </c>
      <c r="G39" s="114" t="s">
        <v>556</v>
      </c>
      <c r="H39" s="115">
        <v>3</v>
      </c>
      <c r="I39" s="114" t="s">
        <v>551</v>
      </c>
      <c r="J39" s="116">
        <f t="shared" si="0"/>
        <v>1.27</v>
      </c>
      <c r="K39" s="97" t="str">
        <f>IFERROR(IF(VLOOKUP(D39,'Ficha de Produção'!C:C,1,0)=D39,"OK","Custo Produção Não Cadastrado"),"Custo Produção Não Cadastrado")</f>
        <v>Custo Produção Não Cadastrado</v>
      </c>
      <c r="L39" s="97" t="str">
        <f>IFERROR(IF(VLOOKUP(A39,'Ficha de Embalagens'!A:A,1,0)=A39,"OK","Ficha de Embalagens Não Cadastrada"),"Ficha de Embalagens Não Cadastrada")</f>
        <v>Ficha de Embalagens Não Cadastrada</v>
      </c>
      <c r="M39" s="117">
        <f>SUMIFS('Ficha de Produção'!N:N,'Ficha de Produção'!C:C,D39)*H39</f>
        <v>0</v>
      </c>
      <c r="N39" s="117">
        <f>SUMIFS('Ficha de Embalagens'!F:F,'Ficha de Embalagens'!A:A,A39)</f>
        <v>0</v>
      </c>
      <c r="O39" s="97">
        <f t="shared" si="1"/>
        <v>0</v>
      </c>
      <c r="P39" s="97">
        <f t="shared" si="2"/>
        <v>0</v>
      </c>
      <c r="Q39" s="118">
        <f t="shared" si="3"/>
        <v>0</v>
      </c>
      <c r="R39" s="97">
        <f t="shared" si="4"/>
        <v>0</v>
      </c>
      <c r="S39" s="97">
        <f t="shared" si="5"/>
        <v>0</v>
      </c>
      <c r="T39" s="118">
        <f t="shared" si="6"/>
        <v>0</v>
      </c>
      <c r="U39" s="119"/>
      <c r="V39" s="120" t="str">
        <f t="shared" si="7"/>
        <v>Cadastrar Ficha de Produção</v>
      </c>
      <c r="W39" s="121" t="str">
        <f t="shared" si="8"/>
        <v>Cadastrar Ficha de Produção</v>
      </c>
      <c r="AB39" s="125" t="str">
        <f t="shared" si="9"/>
        <v/>
      </c>
      <c r="AC39" s="125" t="str">
        <f t="shared" si="10"/>
        <v/>
      </c>
      <c r="AD39" s="126" t="str">
        <f t="shared" si="11"/>
        <v/>
      </c>
      <c r="AE39" s="127" t="str">
        <f t="shared" si="12"/>
        <v/>
      </c>
      <c r="AF39" s="128" t="str">
        <f t="shared" si="13"/>
        <v/>
      </c>
    </row>
    <row r="40" spans="1:32" ht="15.75" customHeight="1">
      <c r="A40" s="114" t="s">
        <v>117</v>
      </c>
      <c r="B40" s="114" t="s">
        <v>623</v>
      </c>
      <c r="C40" s="114" t="s">
        <v>563</v>
      </c>
      <c r="D40" s="114"/>
      <c r="E40" s="114" t="s">
        <v>610</v>
      </c>
      <c r="F40" s="114" t="s">
        <v>605</v>
      </c>
      <c r="G40" s="114" t="s">
        <v>556</v>
      </c>
      <c r="H40" s="115">
        <v>3</v>
      </c>
      <c r="I40" s="114" t="s">
        <v>551</v>
      </c>
      <c r="J40" s="116">
        <f t="shared" si="0"/>
        <v>1.27</v>
      </c>
      <c r="K40" s="97" t="str">
        <f>IFERROR(IF(VLOOKUP(D40,'Ficha de Produção'!C:C,1,0)=D40,"OK","Custo Produção Não Cadastrado"),"Custo Produção Não Cadastrado")</f>
        <v>Custo Produção Não Cadastrado</v>
      </c>
      <c r="L40" s="97" t="str">
        <f>IFERROR(IF(VLOOKUP(A40,'Ficha de Embalagens'!A:A,1,0)=A40,"OK","Ficha de Embalagens Não Cadastrada"),"Ficha de Embalagens Não Cadastrada")</f>
        <v>Ficha de Embalagens Não Cadastrada</v>
      </c>
      <c r="M40" s="117">
        <f>SUMIFS('Ficha de Produção'!N:N,'Ficha de Produção'!C:C,D40)*H40</f>
        <v>0</v>
      </c>
      <c r="N40" s="117">
        <f>SUMIFS('Ficha de Embalagens'!F:F,'Ficha de Embalagens'!A:A,A40)</f>
        <v>0</v>
      </c>
      <c r="O40" s="97">
        <f t="shared" si="1"/>
        <v>0</v>
      </c>
      <c r="P40" s="97">
        <f t="shared" si="2"/>
        <v>0</v>
      </c>
      <c r="Q40" s="118">
        <f t="shared" si="3"/>
        <v>0</v>
      </c>
      <c r="R40" s="97">
        <f t="shared" si="4"/>
        <v>0</v>
      </c>
      <c r="S40" s="97">
        <f t="shared" si="5"/>
        <v>0</v>
      </c>
      <c r="T40" s="118">
        <f t="shared" si="6"/>
        <v>0</v>
      </c>
      <c r="U40" s="119"/>
      <c r="V40" s="120" t="str">
        <f t="shared" si="7"/>
        <v>Cadastrar Ficha de Produção</v>
      </c>
      <c r="W40" s="121" t="str">
        <f t="shared" si="8"/>
        <v>Cadastrar Ficha de Produção</v>
      </c>
      <c r="AB40" s="125" t="str">
        <f t="shared" si="9"/>
        <v/>
      </c>
      <c r="AC40" s="125" t="str">
        <f t="shared" si="10"/>
        <v/>
      </c>
      <c r="AD40" s="126" t="str">
        <f t="shared" si="11"/>
        <v/>
      </c>
      <c r="AE40" s="127" t="str">
        <f t="shared" si="12"/>
        <v/>
      </c>
      <c r="AF40" s="128" t="str">
        <f t="shared" si="13"/>
        <v/>
      </c>
    </row>
    <row r="41" spans="1:32" ht="15.75" customHeight="1">
      <c r="A41" s="114" t="s">
        <v>118</v>
      </c>
      <c r="B41" s="114" t="s">
        <v>624</v>
      </c>
      <c r="C41" s="114" t="s">
        <v>563</v>
      </c>
      <c r="D41" s="114"/>
      <c r="E41" s="114" t="s">
        <v>610</v>
      </c>
      <c r="F41" s="114" t="s">
        <v>608</v>
      </c>
      <c r="G41" s="114" t="s">
        <v>556</v>
      </c>
      <c r="H41" s="115">
        <v>3</v>
      </c>
      <c r="I41" s="114" t="s">
        <v>551</v>
      </c>
      <c r="J41" s="116">
        <f t="shared" si="0"/>
        <v>1.27</v>
      </c>
      <c r="K41" s="97" t="str">
        <f>IFERROR(IF(VLOOKUP(D41,'Ficha de Produção'!C:C,1,0)=D41,"OK","Custo Produção Não Cadastrado"),"Custo Produção Não Cadastrado")</f>
        <v>Custo Produção Não Cadastrado</v>
      </c>
      <c r="L41" s="97" t="str">
        <f>IFERROR(IF(VLOOKUP(A41,'Ficha de Embalagens'!A:A,1,0)=A41,"OK","Ficha de Embalagens Não Cadastrada"),"Ficha de Embalagens Não Cadastrada")</f>
        <v>Ficha de Embalagens Não Cadastrada</v>
      </c>
      <c r="M41" s="117">
        <f>SUMIFS('Ficha de Produção'!N:N,'Ficha de Produção'!C:C,D41)*H41</f>
        <v>0</v>
      </c>
      <c r="N41" s="117">
        <f>SUMIFS('Ficha de Embalagens'!F:F,'Ficha de Embalagens'!A:A,A41)</f>
        <v>0</v>
      </c>
      <c r="O41" s="97">
        <f t="shared" si="1"/>
        <v>0</v>
      </c>
      <c r="P41" s="97">
        <f t="shared" si="2"/>
        <v>0</v>
      </c>
      <c r="Q41" s="118">
        <f t="shared" si="3"/>
        <v>0</v>
      </c>
      <c r="R41" s="97">
        <f t="shared" si="4"/>
        <v>0</v>
      </c>
      <c r="S41" s="97">
        <f t="shared" si="5"/>
        <v>0</v>
      </c>
      <c r="T41" s="118">
        <f t="shared" si="6"/>
        <v>0</v>
      </c>
      <c r="U41" s="119"/>
      <c r="V41" s="120" t="str">
        <f t="shared" si="7"/>
        <v>Cadastrar Ficha de Produção</v>
      </c>
      <c r="W41" s="121" t="str">
        <f t="shared" si="8"/>
        <v>Cadastrar Ficha de Produção</v>
      </c>
      <c r="AB41" s="125" t="str">
        <f t="shared" si="9"/>
        <v/>
      </c>
      <c r="AC41" s="125" t="str">
        <f t="shared" si="10"/>
        <v/>
      </c>
      <c r="AD41" s="126" t="str">
        <f t="shared" si="11"/>
        <v/>
      </c>
      <c r="AE41" s="127" t="str">
        <f t="shared" si="12"/>
        <v/>
      </c>
      <c r="AF41" s="128" t="str">
        <f t="shared" si="13"/>
        <v/>
      </c>
    </row>
    <row r="42" spans="1:32" ht="15.75" customHeight="1">
      <c r="A42" s="114" t="s">
        <v>119</v>
      </c>
      <c r="B42" s="114" t="s">
        <v>504</v>
      </c>
      <c r="C42" s="114" t="s">
        <v>563</v>
      </c>
      <c r="D42" s="114" t="s">
        <v>564</v>
      </c>
      <c r="E42" s="114" t="s">
        <v>565</v>
      </c>
      <c r="F42" s="114" t="s">
        <v>566</v>
      </c>
      <c r="G42" s="114" t="s">
        <v>544</v>
      </c>
      <c r="H42" s="115">
        <v>15</v>
      </c>
      <c r="I42" s="114" t="s">
        <v>551</v>
      </c>
      <c r="J42" s="116">
        <f t="shared" si="0"/>
        <v>1.27</v>
      </c>
      <c r="K42" s="97" t="str">
        <f>IFERROR(IF(VLOOKUP(D42,'Ficha de Produção'!C:C,1,0)=D42,"OK","Custo Produção Não Cadastrado"),"Custo Produção Não Cadastrado")</f>
        <v>OK</v>
      </c>
      <c r="L42" s="97" t="str">
        <f>IFERROR(IF(VLOOKUP(A42,'Ficha de Embalagens'!A:A,1,0)=A42,"OK","Ficha de Embalagens Não Cadastrada"),"Ficha de Embalagens Não Cadastrada")</f>
        <v>OK</v>
      </c>
      <c r="M42" s="117">
        <f>SUMIFS('Ficha de Produção'!N:N,'Ficha de Produção'!C:C,D42)*H42</f>
        <v>18.150000000000002</v>
      </c>
      <c r="N42" s="117">
        <f>SUMIFS('Ficha de Embalagens'!F:F,'Ficha de Embalagens'!A:A,A42)</f>
        <v>8.61</v>
      </c>
      <c r="O42" s="97">
        <f t="shared" si="1"/>
        <v>26.76</v>
      </c>
      <c r="P42" s="97">
        <f t="shared" si="2"/>
        <v>4.6500000000000004</v>
      </c>
      <c r="Q42" s="118">
        <f t="shared" si="3"/>
        <v>31.410000000000004</v>
      </c>
      <c r="R42" s="97">
        <f t="shared" si="4"/>
        <v>3.4950000000000006</v>
      </c>
      <c r="S42" s="97">
        <f t="shared" si="5"/>
        <v>4.8930000000000007</v>
      </c>
      <c r="T42" s="118">
        <f t="shared" si="6"/>
        <v>39.798000000000002</v>
      </c>
      <c r="U42" s="119">
        <v>69.900000000000006</v>
      </c>
      <c r="V42" s="120">
        <f t="shared" si="7"/>
        <v>0.43064377682403437</v>
      </c>
      <c r="W42" s="121">
        <f t="shared" si="8"/>
        <v>35.699999999999996</v>
      </c>
      <c r="AB42" s="125">
        <f t="shared" si="9"/>
        <v>31.410000000000004</v>
      </c>
      <c r="AC42" s="125">
        <f t="shared" si="10"/>
        <v>61.512</v>
      </c>
      <c r="AD42" s="126">
        <f t="shared" si="11"/>
        <v>30.101999999999997</v>
      </c>
      <c r="AE42" s="127">
        <f t="shared" si="12"/>
        <v>0.48936792820912989</v>
      </c>
      <c r="AF42" s="128">
        <f t="shared" si="13"/>
        <v>35.699999999999996</v>
      </c>
    </row>
    <row r="43" spans="1:32" ht="15.75" customHeight="1">
      <c r="A43" s="114" t="s">
        <v>120</v>
      </c>
      <c r="B43" s="114" t="s">
        <v>625</v>
      </c>
      <c r="C43" s="114" t="s">
        <v>563</v>
      </c>
      <c r="D43" s="129" t="s">
        <v>568</v>
      </c>
      <c r="E43" s="114" t="s">
        <v>565</v>
      </c>
      <c r="F43" s="114" t="s">
        <v>569</v>
      </c>
      <c r="G43" s="114" t="s">
        <v>544</v>
      </c>
      <c r="H43" s="115">
        <v>15</v>
      </c>
      <c r="I43" s="114" t="s">
        <v>551</v>
      </c>
      <c r="J43" s="116">
        <f t="shared" si="0"/>
        <v>1.27</v>
      </c>
      <c r="K43" s="97" t="str">
        <f>IFERROR(IF(VLOOKUP(D43,'Ficha de Produção'!C:C,1,0)=D43,"OK","Custo Produção Não Cadastrado"),"Custo Produção Não Cadastrado")</f>
        <v>OK</v>
      </c>
      <c r="L43" s="97" t="str">
        <f>IFERROR(IF(VLOOKUP(A43,'Ficha de Embalagens'!A:A,1,0)=A43,"OK","Ficha de Embalagens Não Cadastrada"),"Ficha de Embalagens Não Cadastrada")</f>
        <v>OK</v>
      </c>
      <c r="M43" s="117">
        <f>SUMIFS('Ficha de Produção'!N:N,'Ficha de Produção'!C:C,D43)*H43</f>
        <v>23.849999999999998</v>
      </c>
      <c r="N43" s="117">
        <f>SUMIFS('Ficha de Embalagens'!F:F,'Ficha de Embalagens'!A:A,A43)</f>
        <v>8.61</v>
      </c>
      <c r="O43" s="97">
        <f t="shared" si="1"/>
        <v>32.459999999999994</v>
      </c>
      <c r="P43" s="97">
        <f t="shared" si="2"/>
        <v>4.6500000000000004</v>
      </c>
      <c r="Q43" s="118">
        <f t="shared" si="3"/>
        <v>37.109999999999992</v>
      </c>
      <c r="R43" s="97">
        <f t="shared" si="4"/>
        <v>3.4950000000000006</v>
      </c>
      <c r="S43" s="97">
        <f t="shared" si="5"/>
        <v>4.8930000000000007</v>
      </c>
      <c r="T43" s="118">
        <f t="shared" si="6"/>
        <v>45.49799999999999</v>
      </c>
      <c r="U43" s="119">
        <v>69.900000000000006</v>
      </c>
      <c r="V43" s="120">
        <f t="shared" si="7"/>
        <v>0.3490987124463521</v>
      </c>
      <c r="W43" s="121">
        <f t="shared" si="8"/>
        <v>42.18</v>
      </c>
      <c r="AB43" s="125">
        <f t="shared" si="9"/>
        <v>37.109999999999992</v>
      </c>
      <c r="AC43" s="125">
        <f t="shared" si="10"/>
        <v>61.512</v>
      </c>
      <c r="AD43" s="126">
        <f t="shared" si="11"/>
        <v>24.402000000000008</v>
      </c>
      <c r="AE43" s="127">
        <f t="shared" si="12"/>
        <v>0.39670308232540002</v>
      </c>
      <c r="AF43" s="128">
        <f t="shared" si="13"/>
        <v>42.18</v>
      </c>
    </row>
    <row r="44" spans="1:32" ht="15.75" customHeight="1">
      <c r="A44" s="114" t="s">
        <v>121</v>
      </c>
      <c r="B44" s="114" t="s">
        <v>626</v>
      </c>
      <c r="C44" s="114" t="s">
        <v>563</v>
      </c>
      <c r="D44" s="114" t="s">
        <v>571</v>
      </c>
      <c r="E44" s="114" t="s">
        <v>565</v>
      </c>
      <c r="F44" s="114" t="s">
        <v>572</v>
      </c>
      <c r="G44" s="114" t="s">
        <v>544</v>
      </c>
      <c r="H44" s="115">
        <v>15</v>
      </c>
      <c r="I44" s="114" t="s">
        <v>551</v>
      </c>
      <c r="J44" s="116">
        <f t="shared" si="0"/>
        <v>1.27</v>
      </c>
      <c r="K44" s="97" t="str">
        <f>IFERROR(IF(VLOOKUP(D44,'Ficha de Produção'!C:C,1,0)=D44,"OK","Custo Produção Não Cadastrado"),"Custo Produção Não Cadastrado")</f>
        <v>OK</v>
      </c>
      <c r="L44" s="97" t="str">
        <f>IFERROR(IF(VLOOKUP(A44,'Ficha de Embalagens'!A:A,1,0)=A44,"OK","Ficha de Embalagens Não Cadastrada"),"Ficha de Embalagens Não Cadastrada")</f>
        <v>OK</v>
      </c>
      <c r="M44" s="117">
        <f>SUMIFS('Ficha de Produção'!N:N,'Ficha de Produção'!C:C,D44)*H44</f>
        <v>25.950000000000003</v>
      </c>
      <c r="N44" s="117">
        <f>SUMIFS('Ficha de Embalagens'!F:F,'Ficha de Embalagens'!A:A,A44)</f>
        <v>8.61</v>
      </c>
      <c r="O44" s="97">
        <f t="shared" si="1"/>
        <v>34.56</v>
      </c>
      <c r="P44" s="97">
        <f t="shared" si="2"/>
        <v>4.6500000000000004</v>
      </c>
      <c r="Q44" s="118">
        <f t="shared" si="3"/>
        <v>39.21</v>
      </c>
      <c r="R44" s="97">
        <f t="shared" si="4"/>
        <v>3.4950000000000006</v>
      </c>
      <c r="S44" s="97">
        <f t="shared" si="5"/>
        <v>4.8930000000000007</v>
      </c>
      <c r="T44" s="118">
        <f t="shared" si="6"/>
        <v>47.597999999999999</v>
      </c>
      <c r="U44" s="119">
        <v>69.900000000000006</v>
      </c>
      <c r="V44" s="120">
        <f t="shared" si="7"/>
        <v>0.31905579399141637</v>
      </c>
      <c r="W44" s="121">
        <f t="shared" si="8"/>
        <v>44.559999999999995</v>
      </c>
      <c r="AB44" s="125">
        <f t="shared" si="9"/>
        <v>39.21</v>
      </c>
      <c r="AC44" s="125">
        <f t="shared" si="10"/>
        <v>61.512</v>
      </c>
      <c r="AD44" s="126">
        <f t="shared" si="11"/>
        <v>22.302</v>
      </c>
      <c r="AE44" s="127">
        <f t="shared" si="12"/>
        <v>0.36256340226297307</v>
      </c>
      <c r="AF44" s="128">
        <f t="shared" si="13"/>
        <v>44.559999999999995</v>
      </c>
    </row>
    <row r="45" spans="1:32" ht="15.75" customHeight="1">
      <c r="A45" s="114" t="s">
        <v>122</v>
      </c>
      <c r="B45" s="114" t="s">
        <v>627</v>
      </c>
      <c r="C45" s="114" t="s">
        <v>563</v>
      </c>
      <c r="D45" s="114" t="s">
        <v>574</v>
      </c>
      <c r="E45" s="114" t="s">
        <v>565</v>
      </c>
      <c r="F45" s="114" t="s">
        <v>575</v>
      </c>
      <c r="G45" s="114" t="s">
        <v>544</v>
      </c>
      <c r="H45" s="115">
        <v>15</v>
      </c>
      <c r="I45" s="114" t="s">
        <v>551</v>
      </c>
      <c r="J45" s="116">
        <f t="shared" si="0"/>
        <v>1.27</v>
      </c>
      <c r="K45" s="97" t="str">
        <f>IFERROR(IF(VLOOKUP(D45,'Ficha de Produção'!C:C,1,0)=D45,"OK","Custo Produção Não Cadastrado"),"Custo Produção Não Cadastrado")</f>
        <v>OK</v>
      </c>
      <c r="L45" s="97" t="str">
        <f>IFERROR(IF(VLOOKUP(A45,'Ficha de Embalagens'!A:A,1,0)=A45,"OK","Ficha de Embalagens Não Cadastrada"),"Ficha de Embalagens Não Cadastrada")</f>
        <v>OK</v>
      </c>
      <c r="M45" s="117">
        <f>SUMIFS('Ficha de Produção'!N:N,'Ficha de Produção'!C:C,D45)*H45</f>
        <v>24.599999999999998</v>
      </c>
      <c r="N45" s="117">
        <f>SUMIFS('Ficha de Embalagens'!F:F,'Ficha de Embalagens'!A:A,A45)</f>
        <v>8.61</v>
      </c>
      <c r="O45" s="97">
        <f t="shared" si="1"/>
        <v>33.209999999999994</v>
      </c>
      <c r="P45" s="97">
        <f t="shared" si="2"/>
        <v>4.6500000000000004</v>
      </c>
      <c r="Q45" s="118">
        <f t="shared" si="3"/>
        <v>37.859999999999992</v>
      </c>
      <c r="R45" s="97">
        <f t="shared" si="4"/>
        <v>3.4950000000000006</v>
      </c>
      <c r="S45" s="97">
        <f t="shared" si="5"/>
        <v>4.8930000000000007</v>
      </c>
      <c r="T45" s="118">
        <f t="shared" si="6"/>
        <v>46.24799999999999</v>
      </c>
      <c r="U45" s="119">
        <v>69.900000000000006</v>
      </c>
      <c r="V45" s="120">
        <f t="shared" si="7"/>
        <v>0.33836909871244653</v>
      </c>
      <c r="W45" s="121">
        <f t="shared" si="8"/>
        <v>43.03</v>
      </c>
      <c r="AB45" s="125">
        <f t="shared" si="9"/>
        <v>37.859999999999992</v>
      </c>
      <c r="AC45" s="125">
        <f t="shared" si="10"/>
        <v>61.512</v>
      </c>
      <c r="AD45" s="126">
        <f t="shared" si="11"/>
        <v>23.652000000000008</v>
      </c>
      <c r="AE45" s="127">
        <f t="shared" si="12"/>
        <v>0.38451033944596191</v>
      </c>
      <c r="AF45" s="128">
        <f t="shared" si="13"/>
        <v>43.03</v>
      </c>
    </row>
    <row r="46" spans="1:32" ht="15.75" customHeight="1">
      <c r="A46" s="114" t="s">
        <v>123</v>
      </c>
      <c r="B46" s="114" t="s">
        <v>628</v>
      </c>
      <c r="C46" s="114" t="s">
        <v>563</v>
      </c>
      <c r="D46" s="114" t="s">
        <v>577</v>
      </c>
      <c r="E46" s="114" t="s">
        <v>565</v>
      </c>
      <c r="F46" s="114" t="s">
        <v>578</v>
      </c>
      <c r="G46" s="114" t="s">
        <v>544</v>
      </c>
      <c r="H46" s="115">
        <v>15</v>
      </c>
      <c r="I46" s="114" t="s">
        <v>551</v>
      </c>
      <c r="J46" s="116">
        <f t="shared" si="0"/>
        <v>1.27</v>
      </c>
      <c r="K46" s="97" t="str">
        <f>IFERROR(IF(VLOOKUP(D46,'Ficha de Produção'!C:C,1,0)=D46,"OK","Custo Produção Não Cadastrado"),"Custo Produção Não Cadastrado")</f>
        <v>OK</v>
      </c>
      <c r="L46" s="97" t="str">
        <f>IFERROR(IF(VLOOKUP(A46,'Ficha de Embalagens'!A:A,1,0)=A46,"OK","Ficha de Embalagens Não Cadastrada"),"Ficha de Embalagens Não Cadastrada")</f>
        <v>OK</v>
      </c>
      <c r="M46" s="117">
        <f>SUMIFS('Ficha de Produção'!N:N,'Ficha de Produção'!C:C,D46)*H46</f>
        <v>28.800000000000004</v>
      </c>
      <c r="N46" s="117">
        <f>SUMIFS('Ficha de Embalagens'!F:F,'Ficha de Embalagens'!A:A,A46)</f>
        <v>8.61</v>
      </c>
      <c r="O46" s="97">
        <f t="shared" si="1"/>
        <v>37.410000000000004</v>
      </c>
      <c r="P46" s="97">
        <f t="shared" si="2"/>
        <v>4.6500000000000004</v>
      </c>
      <c r="Q46" s="118">
        <f t="shared" si="3"/>
        <v>42.06</v>
      </c>
      <c r="R46" s="97">
        <f t="shared" si="4"/>
        <v>3.4950000000000006</v>
      </c>
      <c r="S46" s="97">
        <f t="shared" si="5"/>
        <v>4.8930000000000007</v>
      </c>
      <c r="T46" s="118">
        <f t="shared" si="6"/>
        <v>50.448</v>
      </c>
      <c r="U46" s="119">
        <v>69.900000000000006</v>
      </c>
      <c r="V46" s="120">
        <f t="shared" si="7"/>
        <v>0.27828326180257518</v>
      </c>
      <c r="W46" s="121">
        <f t="shared" si="8"/>
        <v>47.8</v>
      </c>
      <c r="AB46" s="125">
        <f t="shared" si="9"/>
        <v>42.06</v>
      </c>
      <c r="AC46" s="125">
        <f t="shared" si="10"/>
        <v>61.512</v>
      </c>
      <c r="AD46" s="126">
        <f t="shared" si="11"/>
        <v>19.451999999999998</v>
      </c>
      <c r="AE46" s="127">
        <f t="shared" si="12"/>
        <v>0.31623097932110805</v>
      </c>
      <c r="AF46" s="128">
        <f t="shared" si="13"/>
        <v>47.8</v>
      </c>
    </row>
    <row r="47" spans="1:32" ht="15.75" customHeight="1">
      <c r="A47" s="114" t="s">
        <v>124</v>
      </c>
      <c r="B47" s="114" t="s">
        <v>629</v>
      </c>
      <c r="C47" s="114" t="s">
        <v>563</v>
      </c>
      <c r="D47" s="114" t="s">
        <v>580</v>
      </c>
      <c r="E47" s="114" t="s">
        <v>565</v>
      </c>
      <c r="F47" s="114" t="s">
        <v>581</v>
      </c>
      <c r="G47" s="114" t="s">
        <v>544</v>
      </c>
      <c r="H47" s="115">
        <v>15</v>
      </c>
      <c r="I47" s="114" t="s">
        <v>551</v>
      </c>
      <c r="J47" s="116">
        <f t="shared" si="0"/>
        <v>1.27</v>
      </c>
      <c r="K47" s="97" t="str">
        <f>IFERROR(IF(VLOOKUP(D47,'Ficha de Produção'!C:C,1,0)=D47,"OK","Custo Produção Não Cadastrado"),"Custo Produção Não Cadastrado")</f>
        <v>OK</v>
      </c>
      <c r="L47" s="97" t="str">
        <f>IFERROR(IF(VLOOKUP(A47,'Ficha de Embalagens'!A:A,1,0)=A47,"OK","Ficha de Embalagens Não Cadastrada"),"Ficha de Embalagens Não Cadastrada")</f>
        <v>OK</v>
      </c>
      <c r="M47" s="117">
        <f>SUMIFS('Ficha de Produção'!N:N,'Ficha de Produção'!C:C,D47)*H47</f>
        <v>34.35</v>
      </c>
      <c r="N47" s="117">
        <f>SUMIFS('Ficha de Embalagens'!F:F,'Ficha de Embalagens'!A:A,A47)</f>
        <v>8.61</v>
      </c>
      <c r="O47" s="97">
        <f t="shared" si="1"/>
        <v>42.96</v>
      </c>
      <c r="P47" s="97">
        <f t="shared" si="2"/>
        <v>4.6500000000000004</v>
      </c>
      <c r="Q47" s="118">
        <f t="shared" si="3"/>
        <v>47.61</v>
      </c>
      <c r="R47" s="97">
        <f t="shared" si="4"/>
        <v>3.4950000000000006</v>
      </c>
      <c r="S47" s="97">
        <f t="shared" si="5"/>
        <v>4.8930000000000007</v>
      </c>
      <c r="T47" s="118">
        <f t="shared" si="6"/>
        <v>55.997999999999998</v>
      </c>
      <c r="U47" s="119">
        <v>69.900000000000006</v>
      </c>
      <c r="V47" s="120">
        <f t="shared" si="7"/>
        <v>0.19888412017167392</v>
      </c>
      <c r="W47" s="121">
        <f t="shared" si="8"/>
        <v>54.11</v>
      </c>
      <c r="AB47" s="125">
        <f t="shared" si="9"/>
        <v>47.61</v>
      </c>
      <c r="AC47" s="125">
        <f t="shared" si="10"/>
        <v>61.512</v>
      </c>
      <c r="AD47" s="126">
        <f t="shared" si="11"/>
        <v>13.902000000000001</v>
      </c>
      <c r="AE47" s="127">
        <f t="shared" si="12"/>
        <v>0.22600468201326571</v>
      </c>
      <c r="AF47" s="128">
        <f t="shared" si="13"/>
        <v>54.11</v>
      </c>
    </row>
    <row r="48" spans="1:32" ht="15.75" customHeight="1">
      <c r="A48" s="114" t="s">
        <v>125</v>
      </c>
      <c r="B48" s="114" t="s">
        <v>630</v>
      </c>
      <c r="C48" s="114" t="s">
        <v>563</v>
      </c>
      <c r="D48" s="114" t="s">
        <v>583</v>
      </c>
      <c r="E48" s="114" t="s">
        <v>565</v>
      </c>
      <c r="F48" s="114" t="s">
        <v>584</v>
      </c>
      <c r="G48" s="114" t="s">
        <v>544</v>
      </c>
      <c r="H48" s="115">
        <v>15</v>
      </c>
      <c r="I48" s="114" t="s">
        <v>551</v>
      </c>
      <c r="J48" s="116">
        <f t="shared" si="0"/>
        <v>1.27</v>
      </c>
      <c r="K48" s="97" t="str">
        <f>IFERROR(IF(VLOOKUP(D48,'Ficha de Produção'!C:C,1,0)=D48,"OK","Custo Produção Não Cadastrado"),"Custo Produção Não Cadastrado")</f>
        <v>OK</v>
      </c>
      <c r="L48" s="97" t="str">
        <f>IFERROR(IF(VLOOKUP(A48,'Ficha de Embalagens'!A:A,1,0)=A48,"OK","Ficha de Embalagens Não Cadastrada"),"Ficha de Embalagens Não Cadastrada")</f>
        <v>OK</v>
      </c>
      <c r="M48" s="117">
        <f>SUMIFS('Ficha de Produção'!N:N,'Ficha de Produção'!C:C,D48)*H48</f>
        <v>24.299999999999997</v>
      </c>
      <c r="N48" s="117">
        <f>SUMIFS('Ficha de Embalagens'!F:F,'Ficha de Embalagens'!A:A,A48)</f>
        <v>8.61</v>
      </c>
      <c r="O48" s="97">
        <f t="shared" si="1"/>
        <v>32.909999999999997</v>
      </c>
      <c r="P48" s="97">
        <f t="shared" si="2"/>
        <v>4.6500000000000004</v>
      </c>
      <c r="Q48" s="118">
        <f t="shared" si="3"/>
        <v>37.559999999999995</v>
      </c>
      <c r="R48" s="97">
        <f t="shared" si="4"/>
        <v>3.4950000000000006</v>
      </c>
      <c r="S48" s="97">
        <f t="shared" si="5"/>
        <v>4.8930000000000007</v>
      </c>
      <c r="T48" s="118">
        <f t="shared" si="6"/>
        <v>45.947999999999993</v>
      </c>
      <c r="U48" s="119">
        <v>69.900000000000006</v>
      </c>
      <c r="V48" s="120">
        <f t="shared" si="7"/>
        <v>0.34266094420600873</v>
      </c>
      <c r="W48" s="121">
        <f t="shared" si="8"/>
        <v>42.69</v>
      </c>
      <c r="AB48" s="125">
        <f t="shared" si="9"/>
        <v>37.559999999999995</v>
      </c>
      <c r="AC48" s="125">
        <f t="shared" si="10"/>
        <v>61.512</v>
      </c>
      <c r="AD48" s="126">
        <f t="shared" si="11"/>
        <v>23.952000000000005</v>
      </c>
      <c r="AE48" s="127">
        <f t="shared" si="12"/>
        <v>0.38938743659773711</v>
      </c>
      <c r="AF48" s="128">
        <f t="shared" si="13"/>
        <v>42.69</v>
      </c>
    </row>
    <row r="49" spans="1:32" ht="15.75" customHeight="1">
      <c r="A49" s="114" t="s">
        <v>126</v>
      </c>
      <c r="B49" s="114" t="s">
        <v>631</v>
      </c>
      <c r="C49" s="114" t="s">
        <v>563</v>
      </c>
      <c r="D49" s="114" t="s">
        <v>586</v>
      </c>
      <c r="E49" s="114" t="s">
        <v>565</v>
      </c>
      <c r="F49" s="114" t="s">
        <v>587</v>
      </c>
      <c r="G49" s="114" t="s">
        <v>544</v>
      </c>
      <c r="H49" s="115">
        <v>15</v>
      </c>
      <c r="I49" s="114" t="s">
        <v>551</v>
      </c>
      <c r="J49" s="116">
        <f t="shared" si="0"/>
        <v>1.27</v>
      </c>
      <c r="K49" s="97" t="str">
        <f>IFERROR(IF(VLOOKUP(D49,'Ficha de Produção'!C:C,1,0)=D49,"OK","Custo Produção Não Cadastrado"),"Custo Produção Não Cadastrado")</f>
        <v>OK</v>
      </c>
      <c r="L49" s="97" t="str">
        <f>IFERROR(IF(VLOOKUP(A49,'Ficha de Embalagens'!A:A,1,0)=A49,"OK","Ficha de Embalagens Não Cadastrada"),"Ficha de Embalagens Não Cadastrada")</f>
        <v>OK</v>
      </c>
      <c r="M49" s="117">
        <f>SUMIFS('Ficha de Produção'!N:N,'Ficha de Produção'!C:C,D49)*H49</f>
        <v>30.15</v>
      </c>
      <c r="N49" s="117">
        <f>SUMIFS('Ficha de Embalagens'!F:F,'Ficha de Embalagens'!A:A,A49)</f>
        <v>8.61</v>
      </c>
      <c r="O49" s="97">
        <f t="shared" si="1"/>
        <v>38.76</v>
      </c>
      <c r="P49" s="97">
        <f t="shared" si="2"/>
        <v>4.6500000000000004</v>
      </c>
      <c r="Q49" s="118">
        <f t="shared" si="3"/>
        <v>43.41</v>
      </c>
      <c r="R49" s="97">
        <f t="shared" si="4"/>
        <v>3.4950000000000006</v>
      </c>
      <c r="S49" s="97">
        <f t="shared" si="5"/>
        <v>4.8930000000000007</v>
      </c>
      <c r="T49" s="118">
        <f t="shared" si="6"/>
        <v>51.797999999999995</v>
      </c>
      <c r="U49" s="119">
        <v>69.900000000000006</v>
      </c>
      <c r="V49" s="120">
        <f t="shared" si="7"/>
        <v>0.25896995708154519</v>
      </c>
      <c r="W49" s="121">
        <f t="shared" si="8"/>
        <v>49.33</v>
      </c>
      <c r="AB49" s="125">
        <f t="shared" si="9"/>
        <v>43.41</v>
      </c>
      <c r="AC49" s="125">
        <f t="shared" si="10"/>
        <v>61.512</v>
      </c>
      <c r="AD49" s="126">
        <f t="shared" si="11"/>
        <v>18.102000000000004</v>
      </c>
      <c r="AE49" s="127">
        <f t="shared" si="12"/>
        <v>0.29428404213811943</v>
      </c>
      <c r="AF49" s="128">
        <f t="shared" si="13"/>
        <v>49.33</v>
      </c>
    </row>
    <row r="50" spans="1:32" ht="15.75" customHeight="1">
      <c r="A50" s="114" t="s">
        <v>127</v>
      </c>
      <c r="B50" s="114" t="s">
        <v>632</v>
      </c>
      <c r="C50" s="114" t="s">
        <v>563</v>
      </c>
      <c r="D50" s="114" t="s">
        <v>589</v>
      </c>
      <c r="E50" s="114" t="s">
        <v>565</v>
      </c>
      <c r="F50" s="114" t="s">
        <v>590</v>
      </c>
      <c r="G50" s="114" t="s">
        <v>544</v>
      </c>
      <c r="H50" s="115">
        <v>15</v>
      </c>
      <c r="I50" s="114" t="s">
        <v>551</v>
      </c>
      <c r="J50" s="116">
        <f t="shared" si="0"/>
        <v>1.27</v>
      </c>
      <c r="K50" s="97" t="str">
        <f>IFERROR(IF(VLOOKUP(D50,'Ficha de Produção'!C:C,1,0)=D50,"OK","Custo Produção Não Cadastrado"),"Custo Produção Não Cadastrado")</f>
        <v>OK</v>
      </c>
      <c r="L50" s="97" t="str">
        <f>IFERROR(IF(VLOOKUP(A50,'Ficha de Embalagens'!A:A,1,0)=A50,"OK","Ficha de Embalagens Não Cadastrada"),"Ficha de Embalagens Não Cadastrada")</f>
        <v>OK</v>
      </c>
      <c r="M50" s="117">
        <f>SUMIFS('Ficha de Produção'!N:N,'Ficha de Produção'!C:C,D50)*H50</f>
        <v>25.65</v>
      </c>
      <c r="N50" s="117">
        <f>SUMIFS('Ficha de Embalagens'!F:F,'Ficha de Embalagens'!A:A,A50)</f>
        <v>8.61</v>
      </c>
      <c r="O50" s="97">
        <f t="shared" si="1"/>
        <v>34.26</v>
      </c>
      <c r="P50" s="97">
        <f t="shared" si="2"/>
        <v>4.6500000000000004</v>
      </c>
      <c r="Q50" s="118">
        <f t="shared" si="3"/>
        <v>38.909999999999997</v>
      </c>
      <c r="R50" s="97">
        <f t="shared" si="4"/>
        <v>3.4950000000000006</v>
      </c>
      <c r="S50" s="97">
        <f t="shared" si="5"/>
        <v>4.8930000000000007</v>
      </c>
      <c r="T50" s="118">
        <f t="shared" si="6"/>
        <v>47.297999999999995</v>
      </c>
      <c r="U50" s="119">
        <v>69.900000000000006</v>
      </c>
      <c r="V50" s="120">
        <f t="shared" si="7"/>
        <v>0.32334763948497869</v>
      </c>
      <c r="W50" s="121">
        <f t="shared" si="8"/>
        <v>44.22</v>
      </c>
      <c r="AB50" s="125">
        <f t="shared" si="9"/>
        <v>38.909999999999997</v>
      </c>
      <c r="AC50" s="125">
        <f t="shared" si="10"/>
        <v>61.512</v>
      </c>
      <c r="AD50" s="126">
        <f t="shared" si="11"/>
        <v>22.602000000000004</v>
      </c>
      <c r="AE50" s="127">
        <f t="shared" si="12"/>
        <v>0.36744049941474838</v>
      </c>
      <c r="AF50" s="128">
        <f t="shared" si="13"/>
        <v>44.22</v>
      </c>
    </row>
    <row r="51" spans="1:32" ht="15.75" customHeight="1">
      <c r="A51" s="114" t="s">
        <v>128</v>
      </c>
      <c r="B51" s="114" t="s">
        <v>633</v>
      </c>
      <c r="C51" s="114" t="s">
        <v>563</v>
      </c>
      <c r="D51" s="114" t="s">
        <v>592</v>
      </c>
      <c r="E51" s="114" t="s">
        <v>565</v>
      </c>
      <c r="F51" s="114" t="s">
        <v>593</v>
      </c>
      <c r="G51" s="114" t="s">
        <v>544</v>
      </c>
      <c r="H51" s="115">
        <v>15</v>
      </c>
      <c r="I51" s="114" t="s">
        <v>551</v>
      </c>
      <c r="J51" s="116">
        <f t="shared" si="0"/>
        <v>1.27</v>
      </c>
      <c r="K51" s="97" t="str">
        <f>IFERROR(IF(VLOOKUP(D51,'Ficha de Produção'!C:C,1,0)=D51,"OK","Custo Produção Não Cadastrado"),"Custo Produção Não Cadastrado")</f>
        <v>OK</v>
      </c>
      <c r="L51" s="97" t="str">
        <f>IFERROR(IF(VLOOKUP(A51,'Ficha de Embalagens'!A:A,1,0)=A51,"OK","Ficha de Embalagens Não Cadastrada"),"Ficha de Embalagens Não Cadastrada")</f>
        <v>OK</v>
      </c>
      <c r="M51" s="117">
        <f>SUMIFS('Ficha de Produção'!N:N,'Ficha de Produção'!C:C,D51)*H51</f>
        <v>29.250000000000007</v>
      </c>
      <c r="N51" s="117">
        <f>SUMIFS('Ficha de Embalagens'!F:F,'Ficha de Embalagens'!A:A,A51)</f>
        <v>8.61</v>
      </c>
      <c r="O51" s="97">
        <f t="shared" si="1"/>
        <v>37.860000000000007</v>
      </c>
      <c r="P51" s="97">
        <f t="shared" si="2"/>
        <v>4.6500000000000004</v>
      </c>
      <c r="Q51" s="118">
        <f t="shared" si="3"/>
        <v>42.510000000000005</v>
      </c>
      <c r="R51" s="97">
        <f t="shared" si="4"/>
        <v>3.4950000000000006</v>
      </c>
      <c r="S51" s="97">
        <f t="shared" si="5"/>
        <v>4.8930000000000007</v>
      </c>
      <c r="T51" s="118">
        <f t="shared" si="6"/>
        <v>50.898000000000003</v>
      </c>
      <c r="U51" s="119">
        <v>69.900000000000006</v>
      </c>
      <c r="V51" s="120">
        <f t="shared" si="7"/>
        <v>0.27184549356223175</v>
      </c>
      <c r="W51" s="121">
        <f t="shared" si="8"/>
        <v>48.309999999999995</v>
      </c>
      <c r="AB51" s="125">
        <f t="shared" si="9"/>
        <v>42.510000000000005</v>
      </c>
      <c r="AC51" s="125">
        <f t="shared" si="10"/>
        <v>61.512</v>
      </c>
      <c r="AD51" s="126">
        <f t="shared" si="11"/>
        <v>19.001999999999995</v>
      </c>
      <c r="AE51" s="127">
        <f t="shared" si="12"/>
        <v>0.30891533359344509</v>
      </c>
      <c r="AF51" s="128">
        <f t="shared" si="13"/>
        <v>48.309999999999995</v>
      </c>
    </row>
    <row r="52" spans="1:32" ht="15.75" customHeight="1">
      <c r="A52" s="114" t="s">
        <v>129</v>
      </c>
      <c r="B52" s="114" t="s">
        <v>634</v>
      </c>
      <c r="C52" s="114" t="s">
        <v>563</v>
      </c>
      <c r="D52" s="114" t="s">
        <v>595</v>
      </c>
      <c r="E52" s="114" t="s">
        <v>565</v>
      </c>
      <c r="F52" s="114" t="s">
        <v>596</v>
      </c>
      <c r="G52" s="114" t="s">
        <v>544</v>
      </c>
      <c r="H52" s="115">
        <v>15</v>
      </c>
      <c r="I52" s="114" t="s">
        <v>551</v>
      </c>
      <c r="J52" s="116">
        <f t="shared" si="0"/>
        <v>1.27</v>
      </c>
      <c r="K52" s="97" t="str">
        <f>IFERROR(IF(VLOOKUP(D52,'Ficha de Produção'!C:C,1,0)=D52,"OK","Custo Produção Não Cadastrado"),"Custo Produção Não Cadastrado")</f>
        <v>OK</v>
      </c>
      <c r="L52" s="97" t="str">
        <f>IFERROR(IF(VLOOKUP(A52,'Ficha de Embalagens'!A:A,1,0)=A52,"OK","Ficha de Embalagens Não Cadastrada"),"Ficha de Embalagens Não Cadastrada")</f>
        <v>OK</v>
      </c>
      <c r="M52" s="117">
        <f>SUMIFS('Ficha de Produção'!N:N,'Ficha de Produção'!C:C,D52)*H52</f>
        <v>24.75</v>
      </c>
      <c r="N52" s="117">
        <f>SUMIFS('Ficha de Embalagens'!F:F,'Ficha de Embalagens'!A:A,A52)</f>
        <v>8.61</v>
      </c>
      <c r="O52" s="97">
        <f t="shared" si="1"/>
        <v>33.36</v>
      </c>
      <c r="P52" s="97">
        <f t="shared" si="2"/>
        <v>4.6500000000000004</v>
      </c>
      <c r="Q52" s="118">
        <f t="shared" si="3"/>
        <v>38.01</v>
      </c>
      <c r="R52" s="97">
        <f t="shared" si="4"/>
        <v>3.4950000000000006</v>
      </c>
      <c r="S52" s="97">
        <f t="shared" si="5"/>
        <v>4.8930000000000007</v>
      </c>
      <c r="T52" s="118">
        <f t="shared" si="6"/>
        <v>46.397999999999996</v>
      </c>
      <c r="U52" s="119">
        <v>69.900000000000006</v>
      </c>
      <c r="V52" s="120">
        <f t="shared" si="7"/>
        <v>0.33622317596566537</v>
      </c>
      <c r="W52" s="121">
        <f t="shared" si="8"/>
        <v>43.199999999999996</v>
      </c>
      <c r="AB52" s="125">
        <f t="shared" si="9"/>
        <v>38.01</v>
      </c>
      <c r="AC52" s="125">
        <f t="shared" si="10"/>
        <v>61.512</v>
      </c>
      <c r="AD52" s="126">
        <f t="shared" si="11"/>
        <v>23.502000000000002</v>
      </c>
      <c r="AE52" s="127">
        <f t="shared" si="12"/>
        <v>0.38207179087007415</v>
      </c>
      <c r="AF52" s="128">
        <f t="shared" si="13"/>
        <v>43.199999999999996</v>
      </c>
    </row>
    <row r="53" spans="1:32" ht="15.75" customHeight="1">
      <c r="A53" s="114" t="s">
        <v>130</v>
      </c>
      <c r="B53" s="114" t="s">
        <v>635</v>
      </c>
      <c r="C53" s="114" t="s">
        <v>563</v>
      </c>
      <c r="D53" s="114" t="s">
        <v>598</v>
      </c>
      <c r="E53" s="114" t="s">
        <v>565</v>
      </c>
      <c r="F53" s="114" t="s">
        <v>599</v>
      </c>
      <c r="G53" s="114" t="s">
        <v>544</v>
      </c>
      <c r="H53" s="115">
        <v>15</v>
      </c>
      <c r="I53" s="114" t="s">
        <v>551</v>
      </c>
      <c r="J53" s="116">
        <f t="shared" si="0"/>
        <v>1.27</v>
      </c>
      <c r="K53" s="97" t="str">
        <f>IFERROR(IF(VLOOKUP(D53,'Ficha de Produção'!C:C,1,0)=D53,"OK","Custo Produção Não Cadastrado"),"Custo Produção Não Cadastrado")</f>
        <v>OK</v>
      </c>
      <c r="L53" s="97" t="str">
        <f>IFERROR(IF(VLOOKUP(A53,'Ficha de Embalagens'!A:A,1,0)=A53,"OK","Ficha de Embalagens Não Cadastrada"),"Ficha de Embalagens Não Cadastrada")</f>
        <v>OK</v>
      </c>
      <c r="M53" s="117">
        <f>SUMIFS('Ficha de Produção'!N:N,'Ficha de Produção'!C:C,D53)*H53</f>
        <v>24.9</v>
      </c>
      <c r="N53" s="117">
        <f>SUMIFS('Ficha de Embalagens'!F:F,'Ficha de Embalagens'!A:A,A53)</f>
        <v>8.61</v>
      </c>
      <c r="O53" s="97">
        <f t="shared" si="1"/>
        <v>33.51</v>
      </c>
      <c r="P53" s="97">
        <f t="shared" si="2"/>
        <v>4.6500000000000004</v>
      </c>
      <c r="Q53" s="118">
        <f t="shared" si="3"/>
        <v>38.159999999999997</v>
      </c>
      <c r="R53" s="97">
        <f t="shared" si="4"/>
        <v>3.4950000000000006</v>
      </c>
      <c r="S53" s="97">
        <f t="shared" si="5"/>
        <v>4.8930000000000007</v>
      </c>
      <c r="T53" s="118">
        <f t="shared" si="6"/>
        <v>46.547999999999995</v>
      </c>
      <c r="U53" s="119">
        <v>69.900000000000006</v>
      </c>
      <c r="V53" s="120">
        <f t="shared" si="7"/>
        <v>0.33407725321888426</v>
      </c>
      <c r="W53" s="121">
        <f t="shared" si="8"/>
        <v>43.37</v>
      </c>
      <c r="AB53" s="125">
        <f t="shared" si="9"/>
        <v>38.159999999999997</v>
      </c>
      <c r="AC53" s="125">
        <f t="shared" si="10"/>
        <v>61.512</v>
      </c>
      <c r="AD53" s="126">
        <f t="shared" si="11"/>
        <v>23.352000000000004</v>
      </c>
      <c r="AE53" s="127">
        <f t="shared" si="12"/>
        <v>0.37963324229418655</v>
      </c>
      <c r="AF53" s="128">
        <f t="shared" si="13"/>
        <v>43.37</v>
      </c>
    </row>
    <row r="54" spans="1:32" ht="15.75" customHeight="1">
      <c r="A54" s="114" t="s">
        <v>131</v>
      </c>
      <c r="B54" s="114" t="s">
        <v>636</v>
      </c>
      <c r="C54" s="114" t="s">
        <v>563</v>
      </c>
      <c r="D54" s="114" t="s">
        <v>601</v>
      </c>
      <c r="E54" s="114" t="s">
        <v>565</v>
      </c>
      <c r="F54" s="114" t="s">
        <v>602</v>
      </c>
      <c r="G54" s="114" t="s">
        <v>544</v>
      </c>
      <c r="H54" s="115">
        <v>15</v>
      </c>
      <c r="I54" s="114" t="s">
        <v>551</v>
      </c>
      <c r="J54" s="116">
        <f t="shared" si="0"/>
        <v>1.27</v>
      </c>
      <c r="K54" s="97" t="str">
        <f>IFERROR(IF(VLOOKUP(D54,'Ficha de Produção'!C:C,1,0)=D54,"OK","Custo Produção Não Cadastrado"),"Custo Produção Não Cadastrado")</f>
        <v>OK</v>
      </c>
      <c r="L54" s="97" t="str">
        <f>IFERROR(IF(VLOOKUP(A54,'Ficha de Embalagens'!A:A,1,0)=A54,"OK","Ficha de Embalagens Não Cadastrada"),"Ficha de Embalagens Não Cadastrada")</f>
        <v>OK</v>
      </c>
      <c r="M54" s="117">
        <f>SUMIFS('Ficha de Produção'!N:N,'Ficha de Produção'!C:C,D54)*H54</f>
        <v>29.250000000000007</v>
      </c>
      <c r="N54" s="117">
        <f>SUMIFS('Ficha de Embalagens'!F:F,'Ficha de Embalagens'!A:A,A54)</f>
        <v>8.61</v>
      </c>
      <c r="O54" s="97">
        <f t="shared" si="1"/>
        <v>37.860000000000007</v>
      </c>
      <c r="P54" s="97">
        <f t="shared" si="2"/>
        <v>4.6500000000000004</v>
      </c>
      <c r="Q54" s="118">
        <f t="shared" si="3"/>
        <v>42.510000000000005</v>
      </c>
      <c r="R54" s="97">
        <f t="shared" si="4"/>
        <v>3.4950000000000006</v>
      </c>
      <c r="S54" s="97">
        <f t="shared" si="5"/>
        <v>4.8930000000000007</v>
      </c>
      <c r="T54" s="118">
        <f t="shared" si="6"/>
        <v>50.898000000000003</v>
      </c>
      <c r="U54" s="119">
        <v>69.900000000000006</v>
      </c>
      <c r="V54" s="120">
        <f t="shared" si="7"/>
        <v>0.27184549356223175</v>
      </c>
      <c r="W54" s="121">
        <f t="shared" si="8"/>
        <v>48.309999999999995</v>
      </c>
      <c r="AB54" s="125">
        <f t="shared" si="9"/>
        <v>42.510000000000005</v>
      </c>
      <c r="AC54" s="125">
        <f t="shared" si="10"/>
        <v>61.512</v>
      </c>
      <c r="AD54" s="126">
        <f t="shared" si="11"/>
        <v>19.001999999999995</v>
      </c>
      <c r="AE54" s="127">
        <f t="shared" si="12"/>
        <v>0.30891533359344509</v>
      </c>
      <c r="AF54" s="128">
        <f t="shared" si="13"/>
        <v>48.309999999999995</v>
      </c>
    </row>
    <row r="55" spans="1:32" ht="15.75" customHeight="1">
      <c r="A55" s="114" t="s">
        <v>132</v>
      </c>
      <c r="B55" s="114" t="s">
        <v>637</v>
      </c>
      <c r="C55" s="114" t="s">
        <v>563</v>
      </c>
      <c r="D55" s="114" t="s">
        <v>604</v>
      </c>
      <c r="E55" s="114" t="s">
        <v>565</v>
      </c>
      <c r="F55" s="114" t="s">
        <v>605</v>
      </c>
      <c r="G55" s="114" t="s">
        <v>544</v>
      </c>
      <c r="H55" s="115">
        <v>15</v>
      </c>
      <c r="I55" s="114" t="s">
        <v>551</v>
      </c>
      <c r="J55" s="116">
        <f t="shared" si="0"/>
        <v>1.27</v>
      </c>
      <c r="K55" s="97" t="str">
        <f>IFERROR(IF(VLOOKUP(D55,'Ficha de Produção'!C:C,1,0)=D55,"OK","Custo Produção Não Cadastrado"),"Custo Produção Não Cadastrado")</f>
        <v>OK</v>
      </c>
      <c r="L55" s="97" t="str">
        <f>IFERROR(IF(VLOOKUP(A55,'Ficha de Embalagens'!A:A,1,0)=A55,"OK","Ficha de Embalagens Não Cadastrada"),"Ficha de Embalagens Não Cadastrada")</f>
        <v>OK</v>
      </c>
      <c r="M55" s="117">
        <f>SUMIFS('Ficha de Produção'!N:N,'Ficha de Produção'!C:C,D55)*H55</f>
        <v>30.150000000000002</v>
      </c>
      <c r="N55" s="117">
        <f>SUMIFS('Ficha de Embalagens'!F:F,'Ficha de Embalagens'!A:A,A55)</f>
        <v>8.61</v>
      </c>
      <c r="O55" s="97">
        <f t="shared" si="1"/>
        <v>38.760000000000005</v>
      </c>
      <c r="P55" s="97">
        <f t="shared" si="2"/>
        <v>4.6500000000000004</v>
      </c>
      <c r="Q55" s="118">
        <f t="shared" si="3"/>
        <v>43.410000000000004</v>
      </c>
      <c r="R55" s="97">
        <f t="shared" si="4"/>
        <v>3.4950000000000006</v>
      </c>
      <c r="S55" s="97">
        <f t="shared" si="5"/>
        <v>4.8930000000000007</v>
      </c>
      <c r="T55" s="118">
        <f t="shared" si="6"/>
        <v>51.798000000000002</v>
      </c>
      <c r="U55" s="119">
        <v>69.900000000000006</v>
      </c>
      <c r="V55" s="120">
        <f t="shared" si="7"/>
        <v>0.25896995708154508</v>
      </c>
      <c r="W55" s="121">
        <f t="shared" si="8"/>
        <v>49.33</v>
      </c>
      <c r="AB55" s="125">
        <f t="shared" si="9"/>
        <v>43.410000000000004</v>
      </c>
      <c r="AC55" s="125">
        <f t="shared" si="10"/>
        <v>61.512</v>
      </c>
      <c r="AD55" s="126">
        <f t="shared" si="11"/>
        <v>18.101999999999997</v>
      </c>
      <c r="AE55" s="127">
        <f t="shared" si="12"/>
        <v>0.29428404213811932</v>
      </c>
      <c r="AF55" s="128">
        <f t="shared" si="13"/>
        <v>49.33</v>
      </c>
    </row>
    <row r="56" spans="1:32">
      <c r="A56" s="114" t="s">
        <v>133</v>
      </c>
      <c r="B56" s="114" t="s">
        <v>638</v>
      </c>
      <c r="C56" s="114" t="s">
        <v>563</v>
      </c>
      <c r="D56" s="114" t="s">
        <v>607</v>
      </c>
      <c r="E56" s="114" t="s">
        <v>565</v>
      </c>
      <c r="F56" s="114" t="s">
        <v>608</v>
      </c>
      <c r="G56" s="114" t="s">
        <v>544</v>
      </c>
      <c r="H56" s="115">
        <v>15</v>
      </c>
      <c r="I56" s="114" t="s">
        <v>551</v>
      </c>
      <c r="J56" s="116">
        <f t="shared" si="0"/>
        <v>1.27</v>
      </c>
      <c r="K56" s="97" t="str">
        <f>IFERROR(IF(VLOOKUP(D56,'Ficha de Produção'!C:C,1,0)=D56,"OK","Custo Produção Não Cadastrado"),"Custo Produção Não Cadastrado")</f>
        <v>OK</v>
      </c>
      <c r="L56" s="97" t="str">
        <f>IFERROR(IF(VLOOKUP(A56,'Ficha de Embalagens'!A:A,1,0)=A56,"OK","Ficha de Embalagens Não Cadastrada"),"Ficha de Embalagens Não Cadastrada")</f>
        <v>OK</v>
      </c>
      <c r="M56" s="117">
        <f>SUMIFS('Ficha de Produção'!N:N,'Ficha de Produção'!C:C,D56)*H56</f>
        <v>24.599999999999998</v>
      </c>
      <c r="N56" s="117">
        <f>SUMIFS('Ficha de Embalagens'!F:F,'Ficha de Embalagens'!A:A,A56)</f>
        <v>8.61</v>
      </c>
      <c r="O56" s="97">
        <f t="shared" si="1"/>
        <v>33.209999999999994</v>
      </c>
      <c r="P56" s="97">
        <f t="shared" si="2"/>
        <v>4.6500000000000004</v>
      </c>
      <c r="Q56" s="118">
        <f t="shared" si="3"/>
        <v>37.859999999999992</v>
      </c>
      <c r="R56" s="97">
        <f t="shared" si="4"/>
        <v>3.4950000000000006</v>
      </c>
      <c r="S56" s="97">
        <f t="shared" si="5"/>
        <v>4.8930000000000007</v>
      </c>
      <c r="T56" s="118">
        <f t="shared" si="6"/>
        <v>46.24799999999999</v>
      </c>
      <c r="U56" s="119">
        <v>69.900000000000006</v>
      </c>
      <c r="V56" s="120">
        <f t="shared" si="7"/>
        <v>0.33836909871244653</v>
      </c>
      <c r="W56" s="121">
        <f t="shared" si="8"/>
        <v>43.03</v>
      </c>
      <c r="AB56" s="125">
        <f t="shared" si="9"/>
        <v>37.859999999999992</v>
      </c>
      <c r="AC56" s="125">
        <f t="shared" si="10"/>
        <v>61.512</v>
      </c>
      <c r="AD56" s="126">
        <f t="shared" si="11"/>
        <v>23.652000000000008</v>
      </c>
      <c r="AE56" s="127">
        <f t="shared" si="12"/>
        <v>0.38451033944596191</v>
      </c>
      <c r="AF56" s="128">
        <f t="shared" si="13"/>
        <v>43.03</v>
      </c>
    </row>
    <row r="57" spans="1:32" ht="15.75" customHeight="1">
      <c r="A57" s="114" t="s">
        <v>134</v>
      </c>
      <c r="B57" s="114" t="s">
        <v>639</v>
      </c>
      <c r="C57" s="114" t="s">
        <v>563</v>
      </c>
      <c r="D57" s="114"/>
      <c r="E57" s="114" t="s">
        <v>610</v>
      </c>
      <c r="F57" s="114" t="s">
        <v>566</v>
      </c>
      <c r="G57" s="114" t="s">
        <v>556</v>
      </c>
      <c r="H57" s="115">
        <v>15</v>
      </c>
      <c r="I57" s="114" t="s">
        <v>551</v>
      </c>
      <c r="J57" s="116">
        <f t="shared" si="0"/>
        <v>1.27</v>
      </c>
      <c r="K57" s="97" t="str">
        <f>IFERROR(IF(VLOOKUP(D57,'Ficha de Produção'!C:C,1,0)=D57,"OK","Custo Produção Não Cadastrado"),"Custo Produção Não Cadastrado")</f>
        <v>Custo Produção Não Cadastrado</v>
      </c>
      <c r="L57" s="97" t="str">
        <f>IFERROR(IF(VLOOKUP(A57,'Ficha de Embalagens'!A:A,1,0)=A57,"OK","Ficha de Embalagens Não Cadastrada"),"Ficha de Embalagens Não Cadastrada")</f>
        <v>Ficha de Embalagens Não Cadastrada</v>
      </c>
      <c r="M57" s="117">
        <f>SUMIFS('Ficha de Produção'!N:N,'Ficha de Produção'!C:C,D57)*H57</f>
        <v>0</v>
      </c>
      <c r="N57" s="117">
        <f>SUMIFS('Ficha de Embalagens'!F:F,'Ficha de Embalagens'!A:A,A57)</f>
        <v>0</v>
      </c>
      <c r="O57" s="97">
        <f t="shared" si="1"/>
        <v>0</v>
      </c>
      <c r="P57" s="97">
        <f t="shared" si="2"/>
        <v>0</v>
      </c>
      <c r="Q57" s="118">
        <f t="shared" si="3"/>
        <v>0</v>
      </c>
      <c r="R57" s="97">
        <f t="shared" si="4"/>
        <v>0</v>
      </c>
      <c r="S57" s="97">
        <f t="shared" si="5"/>
        <v>0</v>
      </c>
      <c r="T57" s="118">
        <f t="shared" si="6"/>
        <v>0</v>
      </c>
      <c r="U57" s="119"/>
      <c r="V57" s="120" t="str">
        <f t="shared" si="7"/>
        <v>Cadastrar Ficha de Produção</v>
      </c>
      <c r="W57" s="121" t="str">
        <f t="shared" si="8"/>
        <v>Cadastrar Ficha de Produção</v>
      </c>
      <c r="AB57" s="125" t="str">
        <f t="shared" si="9"/>
        <v/>
      </c>
      <c r="AC57" s="125" t="str">
        <f t="shared" si="10"/>
        <v/>
      </c>
      <c r="AD57" s="126" t="str">
        <f t="shared" si="11"/>
        <v/>
      </c>
      <c r="AE57" s="127" t="str">
        <f t="shared" si="12"/>
        <v/>
      </c>
      <c r="AF57" s="128" t="str">
        <f t="shared" si="13"/>
        <v/>
      </c>
    </row>
    <row r="58" spans="1:32" ht="15.75" customHeight="1">
      <c r="A58" s="114" t="s">
        <v>135</v>
      </c>
      <c r="B58" s="114" t="s">
        <v>640</v>
      </c>
      <c r="C58" s="114" t="s">
        <v>563</v>
      </c>
      <c r="D58" s="114"/>
      <c r="E58" s="114" t="s">
        <v>610</v>
      </c>
      <c r="F58" s="114" t="s">
        <v>569</v>
      </c>
      <c r="G58" s="114" t="s">
        <v>556</v>
      </c>
      <c r="H58" s="115">
        <v>15</v>
      </c>
      <c r="I58" s="114" t="s">
        <v>551</v>
      </c>
      <c r="J58" s="116">
        <f t="shared" si="0"/>
        <v>1.27</v>
      </c>
      <c r="K58" s="97" t="str">
        <f>IFERROR(IF(VLOOKUP(D58,'Ficha de Produção'!C:C,1,0)=D58,"OK","Custo Produção Não Cadastrado"),"Custo Produção Não Cadastrado")</f>
        <v>Custo Produção Não Cadastrado</v>
      </c>
      <c r="L58" s="97" t="str">
        <f>IFERROR(IF(VLOOKUP(A58,'Ficha de Embalagens'!A:A,1,0)=A58,"OK","Ficha de Embalagens Não Cadastrada"),"Ficha de Embalagens Não Cadastrada")</f>
        <v>Ficha de Embalagens Não Cadastrada</v>
      </c>
      <c r="M58" s="117">
        <f>SUMIFS('Ficha de Produção'!N:N,'Ficha de Produção'!C:C,D58)*H58</f>
        <v>0</v>
      </c>
      <c r="N58" s="117">
        <f>SUMIFS('Ficha de Embalagens'!F:F,'Ficha de Embalagens'!A:A,A58)</f>
        <v>0</v>
      </c>
      <c r="O58" s="97">
        <f t="shared" si="1"/>
        <v>0</v>
      </c>
      <c r="P58" s="97">
        <f t="shared" si="2"/>
        <v>0</v>
      </c>
      <c r="Q58" s="118">
        <f t="shared" si="3"/>
        <v>0</v>
      </c>
      <c r="R58" s="97">
        <f t="shared" si="4"/>
        <v>0</v>
      </c>
      <c r="S58" s="97">
        <f t="shared" si="5"/>
        <v>0</v>
      </c>
      <c r="T58" s="118">
        <f t="shared" si="6"/>
        <v>0</v>
      </c>
      <c r="U58" s="119"/>
      <c r="V58" s="120" t="str">
        <f t="shared" si="7"/>
        <v>Cadastrar Ficha de Produção</v>
      </c>
      <c r="W58" s="121" t="str">
        <f t="shared" si="8"/>
        <v>Cadastrar Ficha de Produção</v>
      </c>
      <c r="AB58" s="125" t="str">
        <f t="shared" si="9"/>
        <v/>
      </c>
      <c r="AC58" s="125" t="str">
        <f t="shared" si="10"/>
        <v/>
      </c>
      <c r="AD58" s="126" t="str">
        <f t="shared" si="11"/>
        <v/>
      </c>
      <c r="AE58" s="127" t="str">
        <f t="shared" si="12"/>
        <v/>
      </c>
      <c r="AF58" s="128" t="str">
        <f t="shared" si="13"/>
        <v/>
      </c>
    </row>
    <row r="59" spans="1:32" ht="15.75" customHeight="1">
      <c r="A59" s="114" t="s">
        <v>136</v>
      </c>
      <c r="B59" s="114" t="s">
        <v>641</v>
      </c>
      <c r="C59" s="114" t="s">
        <v>563</v>
      </c>
      <c r="D59" s="114"/>
      <c r="E59" s="114" t="s">
        <v>610</v>
      </c>
      <c r="F59" s="114" t="s">
        <v>572</v>
      </c>
      <c r="G59" s="114" t="s">
        <v>556</v>
      </c>
      <c r="H59" s="115">
        <v>15</v>
      </c>
      <c r="I59" s="114" t="s">
        <v>551</v>
      </c>
      <c r="J59" s="116">
        <f t="shared" si="0"/>
        <v>1.27</v>
      </c>
      <c r="K59" s="97" t="str">
        <f>IFERROR(IF(VLOOKUP(D59,'Ficha de Produção'!C:C,1,0)=D59,"OK","Custo Produção Não Cadastrado"),"Custo Produção Não Cadastrado")</f>
        <v>Custo Produção Não Cadastrado</v>
      </c>
      <c r="L59" s="97" t="str">
        <f>IFERROR(IF(VLOOKUP(A59,'Ficha de Embalagens'!A:A,1,0)=A59,"OK","Ficha de Embalagens Não Cadastrada"),"Ficha de Embalagens Não Cadastrada")</f>
        <v>Ficha de Embalagens Não Cadastrada</v>
      </c>
      <c r="M59" s="117">
        <f>SUMIFS('Ficha de Produção'!N:N,'Ficha de Produção'!C:C,D59)*H59</f>
        <v>0</v>
      </c>
      <c r="N59" s="117">
        <f>SUMIFS('Ficha de Embalagens'!F:F,'Ficha de Embalagens'!A:A,A59)</f>
        <v>0</v>
      </c>
      <c r="O59" s="97">
        <f t="shared" si="1"/>
        <v>0</v>
      </c>
      <c r="P59" s="97">
        <f t="shared" si="2"/>
        <v>0</v>
      </c>
      <c r="Q59" s="118">
        <f t="shared" si="3"/>
        <v>0</v>
      </c>
      <c r="R59" s="97">
        <f t="shared" si="4"/>
        <v>0</v>
      </c>
      <c r="S59" s="97">
        <f t="shared" si="5"/>
        <v>0</v>
      </c>
      <c r="T59" s="118">
        <f t="shared" si="6"/>
        <v>0</v>
      </c>
      <c r="U59" s="119"/>
      <c r="V59" s="120" t="str">
        <f t="shared" si="7"/>
        <v>Cadastrar Ficha de Produção</v>
      </c>
      <c r="W59" s="121" t="str">
        <f t="shared" si="8"/>
        <v>Cadastrar Ficha de Produção</v>
      </c>
      <c r="AB59" s="125" t="str">
        <f t="shared" si="9"/>
        <v/>
      </c>
      <c r="AC59" s="125" t="str">
        <f t="shared" si="10"/>
        <v/>
      </c>
      <c r="AD59" s="126" t="str">
        <f t="shared" si="11"/>
        <v/>
      </c>
      <c r="AE59" s="127" t="str">
        <f t="shared" si="12"/>
        <v/>
      </c>
      <c r="AF59" s="128" t="str">
        <f t="shared" si="13"/>
        <v/>
      </c>
    </row>
    <row r="60" spans="1:32" ht="15.75" customHeight="1">
      <c r="A60" s="114" t="s">
        <v>137</v>
      </c>
      <c r="B60" s="114" t="s">
        <v>642</v>
      </c>
      <c r="C60" s="114" t="s">
        <v>563</v>
      </c>
      <c r="D60" s="114"/>
      <c r="E60" s="114" t="s">
        <v>610</v>
      </c>
      <c r="F60" s="114" t="s">
        <v>575</v>
      </c>
      <c r="G60" s="114" t="s">
        <v>556</v>
      </c>
      <c r="H60" s="115">
        <v>15</v>
      </c>
      <c r="I60" s="114" t="s">
        <v>551</v>
      </c>
      <c r="J60" s="116">
        <f t="shared" si="0"/>
        <v>1.27</v>
      </c>
      <c r="K60" s="97" t="str">
        <f>IFERROR(IF(VLOOKUP(D60,'Ficha de Produção'!C:C,1,0)=D60,"OK","Custo Produção Não Cadastrado"),"Custo Produção Não Cadastrado")</f>
        <v>Custo Produção Não Cadastrado</v>
      </c>
      <c r="L60" s="97" t="str">
        <f>IFERROR(IF(VLOOKUP(A60,'Ficha de Embalagens'!A:A,1,0)=A60,"OK","Ficha de Embalagens Não Cadastrada"),"Ficha de Embalagens Não Cadastrada")</f>
        <v>Ficha de Embalagens Não Cadastrada</v>
      </c>
      <c r="M60" s="117">
        <f>SUMIFS('Ficha de Produção'!N:N,'Ficha de Produção'!C:C,D60)*H60</f>
        <v>0</v>
      </c>
      <c r="N60" s="117">
        <f>SUMIFS('Ficha de Embalagens'!F:F,'Ficha de Embalagens'!A:A,A60)</f>
        <v>0</v>
      </c>
      <c r="O60" s="97">
        <f t="shared" si="1"/>
        <v>0</v>
      </c>
      <c r="P60" s="97">
        <f t="shared" si="2"/>
        <v>0</v>
      </c>
      <c r="Q60" s="118">
        <f t="shared" si="3"/>
        <v>0</v>
      </c>
      <c r="R60" s="97">
        <f t="shared" si="4"/>
        <v>0</v>
      </c>
      <c r="S60" s="97">
        <f t="shared" si="5"/>
        <v>0</v>
      </c>
      <c r="T60" s="118">
        <f t="shared" si="6"/>
        <v>0</v>
      </c>
      <c r="U60" s="119"/>
      <c r="V60" s="120" t="str">
        <f t="shared" si="7"/>
        <v>Cadastrar Ficha de Produção</v>
      </c>
      <c r="W60" s="121" t="str">
        <f t="shared" si="8"/>
        <v>Cadastrar Ficha de Produção</v>
      </c>
      <c r="AB60" s="125" t="str">
        <f t="shared" si="9"/>
        <v/>
      </c>
      <c r="AC60" s="125" t="str">
        <f t="shared" si="10"/>
        <v/>
      </c>
      <c r="AD60" s="126" t="str">
        <f t="shared" si="11"/>
        <v/>
      </c>
      <c r="AE60" s="127" t="str">
        <f t="shared" si="12"/>
        <v/>
      </c>
      <c r="AF60" s="128" t="str">
        <f t="shared" si="13"/>
        <v/>
      </c>
    </row>
    <row r="61" spans="1:32" ht="15.75" customHeight="1">
      <c r="A61" s="114" t="s">
        <v>138</v>
      </c>
      <c r="B61" s="114" t="s">
        <v>643</v>
      </c>
      <c r="C61" s="114" t="s">
        <v>563</v>
      </c>
      <c r="D61" s="114"/>
      <c r="E61" s="114" t="s">
        <v>610</v>
      </c>
      <c r="F61" s="114" t="s">
        <v>578</v>
      </c>
      <c r="G61" s="114" t="s">
        <v>556</v>
      </c>
      <c r="H61" s="115">
        <v>15</v>
      </c>
      <c r="I61" s="114" t="s">
        <v>551</v>
      </c>
      <c r="J61" s="116">
        <f t="shared" si="0"/>
        <v>1.27</v>
      </c>
      <c r="K61" s="97" t="str">
        <f>IFERROR(IF(VLOOKUP(D61,'Ficha de Produção'!C:C,1,0)=D61,"OK","Custo Produção Não Cadastrado"),"Custo Produção Não Cadastrado")</f>
        <v>Custo Produção Não Cadastrado</v>
      </c>
      <c r="L61" s="97" t="str">
        <f>IFERROR(IF(VLOOKUP(A61,'Ficha de Embalagens'!A:A,1,0)=A61,"OK","Ficha de Embalagens Não Cadastrada"),"Ficha de Embalagens Não Cadastrada")</f>
        <v>Ficha de Embalagens Não Cadastrada</v>
      </c>
      <c r="M61" s="117">
        <f>SUMIFS('Ficha de Produção'!N:N,'Ficha de Produção'!C:C,D61)*H61</f>
        <v>0</v>
      </c>
      <c r="N61" s="117">
        <f>SUMIFS('Ficha de Embalagens'!F:F,'Ficha de Embalagens'!A:A,A61)</f>
        <v>0</v>
      </c>
      <c r="O61" s="97">
        <f t="shared" si="1"/>
        <v>0</v>
      </c>
      <c r="P61" s="97">
        <f t="shared" si="2"/>
        <v>0</v>
      </c>
      <c r="Q61" s="118">
        <f t="shared" si="3"/>
        <v>0</v>
      </c>
      <c r="R61" s="97">
        <f t="shared" si="4"/>
        <v>0</v>
      </c>
      <c r="S61" s="97">
        <f t="shared" si="5"/>
        <v>0</v>
      </c>
      <c r="T61" s="118">
        <f t="shared" si="6"/>
        <v>0</v>
      </c>
      <c r="U61" s="119"/>
      <c r="V61" s="120" t="str">
        <f t="shared" si="7"/>
        <v>Cadastrar Ficha de Produção</v>
      </c>
      <c r="W61" s="121" t="str">
        <f t="shared" si="8"/>
        <v>Cadastrar Ficha de Produção</v>
      </c>
      <c r="AB61" s="125" t="str">
        <f t="shared" si="9"/>
        <v/>
      </c>
      <c r="AC61" s="125" t="str">
        <f t="shared" si="10"/>
        <v/>
      </c>
      <c r="AD61" s="126" t="str">
        <f t="shared" si="11"/>
        <v/>
      </c>
      <c r="AE61" s="127" t="str">
        <f t="shared" si="12"/>
        <v/>
      </c>
      <c r="AF61" s="128" t="str">
        <f t="shared" si="13"/>
        <v/>
      </c>
    </row>
    <row r="62" spans="1:32" ht="15.75" customHeight="1">
      <c r="A62" s="114" t="s">
        <v>139</v>
      </c>
      <c r="B62" s="114" t="s">
        <v>644</v>
      </c>
      <c r="C62" s="114" t="s">
        <v>563</v>
      </c>
      <c r="D62" s="114"/>
      <c r="E62" s="114" t="s">
        <v>610</v>
      </c>
      <c r="F62" s="114" t="s">
        <v>581</v>
      </c>
      <c r="G62" s="114" t="s">
        <v>556</v>
      </c>
      <c r="H62" s="115">
        <v>15</v>
      </c>
      <c r="I62" s="114" t="s">
        <v>551</v>
      </c>
      <c r="J62" s="116">
        <f t="shared" si="0"/>
        <v>1.27</v>
      </c>
      <c r="K62" s="97" t="str">
        <f>IFERROR(IF(VLOOKUP(D62,'Ficha de Produção'!C:C,1,0)=D62,"OK","Custo Produção Não Cadastrado"),"Custo Produção Não Cadastrado")</f>
        <v>Custo Produção Não Cadastrado</v>
      </c>
      <c r="L62" s="97" t="str">
        <f>IFERROR(IF(VLOOKUP(A62,'Ficha de Embalagens'!A:A,1,0)=A62,"OK","Ficha de Embalagens Não Cadastrada"),"Ficha de Embalagens Não Cadastrada")</f>
        <v>Ficha de Embalagens Não Cadastrada</v>
      </c>
      <c r="M62" s="117">
        <f>SUMIFS('Ficha de Produção'!N:N,'Ficha de Produção'!C:C,D62)*H62</f>
        <v>0</v>
      </c>
      <c r="N62" s="117">
        <f>SUMIFS('Ficha de Embalagens'!F:F,'Ficha de Embalagens'!A:A,A62)</f>
        <v>0</v>
      </c>
      <c r="O62" s="97">
        <f t="shared" si="1"/>
        <v>0</v>
      </c>
      <c r="P62" s="97">
        <f t="shared" si="2"/>
        <v>0</v>
      </c>
      <c r="Q62" s="118">
        <f t="shared" si="3"/>
        <v>0</v>
      </c>
      <c r="R62" s="97">
        <f t="shared" si="4"/>
        <v>0</v>
      </c>
      <c r="S62" s="97">
        <f t="shared" si="5"/>
        <v>0</v>
      </c>
      <c r="T62" s="118">
        <f t="shared" si="6"/>
        <v>0</v>
      </c>
      <c r="U62" s="119"/>
      <c r="V62" s="120" t="str">
        <f t="shared" si="7"/>
        <v>Cadastrar Ficha de Produção</v>
      </c>
      <c r="W62" s="121" t="str">
        <f t="shared" si="8"/>
        <v>Cadastrar Ficha de Produção</v>
      </c>
      <c r="AB62" s="125" t="str">
        <f t="shared" si="9"/>
        <v/>
      </c>
      <c r="AC62" s="125" t="str">
        <f t="shared" si="10"/>
        <v/>
      </c>
      <c r="AD62" s="126" t="str">
        <f t="shared" si="11"/>
        <v/>
      </c>
      <c r="AE62" s="127" t="str">
        <f t="shared" si="12"/>
        <v/>
      </c>
      <c r="AF62" s="128" t="str">
        <f t="shared" si="13"/>
        <v/>
      </c>
    </row>
    <row r="63" spans="1:32" ht="15.75" customHeight="1">
      <c r="A63" s="114" t="s">
        <v>140</v>
      </c>
      <c r="B63" s="114" t="s">
        <v>645</v>
      </c>
      <c r="C63" s="114" t="s">
        <v>563</v>
      </c>
      <c r="D63" s="114"/>
      <c r="E63" s="114" t="s">
        <v>610</v>
      </c>
      <c r="F63" s="114" t="s">
        <v>584</v>
      </c>
      <c r="G63" s="114" t="s">
        <v>556</v>
      </c>
      <c r="H63" s="115">
        <v>15</v>
      </c>
      <c r="I63" s="114" t="s">
        <v>551</v>
      </c>
      <c r="J63" s="116">
        <f t="shared" si="0"/>
        <v>1.27</v>
      </c>
      <c r="K63" s="97" t="str">
        <f>IFERROR(IF(VLOOKUP(D63,'Ficha de Produção'!C:C,1,0)=D63,"OK","Custo Produção Não Cadastrado"),"Custo Produção Não Cadastrado")</f>
        <v>Custo Produção Não Cadastrado</v>
      </c>
      <c r="L63" s="97" t="str">
        <f>IFERROR(IF(VLOOKUP(A63,'Ficha de Embalagens'!A:A,1,0)=A63,"OK","Ficha de Embalagens Não Cadastrada"),"Ficha de Embalagens Não Cadastrada")</f>
        <v>Ficha de Embalagens Não Cadastrada</v>
      </c>
      <c r="M63" s="117">
        <f>SUMIFS('Ficha de Produção'!N:N,'Ficha de Produção'!C:C,D63)*H63</f>
        <v>0</v>
      </c>
      <c r="N63" s="117">
        <f>SUMIFS('Ficha de Embalagens'!F:F,'Ficha de Embalagens'!A:A,A63)</f>
        <v>0</v>
      </c>
      <c r="O63" s="97">
        <f t="shared" si="1"/>
        <v>0</v>
      </c>
      <c r="P63" s="97">
        <f t="shared" si="2"/>
        <v>0</v>
      </c>
      <c r="Q63" s="118">
        <f t="shared" si="3"/>
        <v>0</v>
      </c>
      <c r="R63" s="97">
        <f t="shared" si="4"/>
        <v>0</v>
      </c>
      <c r="S63" s="97">
        <f t="shared" si="5"/>
        <v>0</v>
      </c>
      <c r="T63" s="118">
        <f t="shared" si="6"/>
        <v>0</v>
      </c>
      <c r="U63" s="119"/>
      <c r="V63" s="120" t="str">
        <f t="shared" si="7"/>
        <v>Cadastrar Ficha de Produção</v>
      </c>
      <c r="W63" s="121" t="str">
        <f t="shared" si="8"/>
        <v>Cadastrar Ficha de Produção</v>
      </c>
      <c r="AB63" s="125" t="str">
        <f t="shared" si="9"/>
        <v/>
      </c>
      <c r="AC63" s="125" t="str">
        <f t="shared" si="10"/>
        <v/>
      </c>
      <c r="AD63" s="126" t="str">
        <f t="shared" si="11"/>
        <v/>
      </c>
      <c r="AE63" s="127" t="str">
        <f t="shared" si="12"/>
        <v/>
      </c>
      <c r="AF63" s="128" t="str">
        <f t="shared" si="13"/>
        <v/>
      </c>
    </row>
    <row r="64" spans="1:32" ht="15.75" customHeight="1">
      <c r="A64" s="114" t="s">
        <v>141</v>
      </c>
      <c r="B64" s="114" t="s">
        <v>646</v>
      </c>
      <c r="C64" s="114" t="s">
        <v>563</v>
      </c>
      <c r="D64" s="114"/>
      <c r="E64" s="114" t="s">
        <v>610</v>
      </c>
      <c r="F64" s="114" t="s">
        <v>587</v>
      </c>
      <c r="G64" s="114" t="s">
        <v>556</v>
      </c>
      <c r="H64" s="115">
        <v>15</v>
      </c>
      <c r="I64" s="114" t="s">
        <v>551</v>
      </c>
      <c r="J64" s="116">
        <f t="shared" si="0"/>
        <v>1.27</v>
      </c>
      <c r="K64" s="97" t="str">
        <f>IFERROR(IF(VLOOKUP(D64,'Ficha de Produção'!C:C,1,0)=D64,"OK","Custo Produção Não Cadastrado"),"Custo Produção Não Cadastrado")</f>
        <v>Custo Produção Não Cadastrado</v>
      </c>
      <c r="L64" s="97" t="str">
        <f>IFERROR(IF(VLOOKUP(A64,'Ficha de Embalagens'!A:A,1,0)=A64,"OK","Ficha de Embalagens Não Cadastrada"),"Ficha de Embalagens Não Cadastrada")</f>
        <v>Ficha de Embalagens Não Cadastrada</v>
      </c>
      <c r="M64" s="117">
        <f>SUMIFS('Ficha de Produção'!N:N,'Ficha de Produção'!C:C,D64)*H64</f>
        <v>0</v>
      </c>
      <c r="N64" s="117">
        <f>SUMIFS('Ficha de Embalagens'!F:F,'Ficha de Embalagens'!A:A,A64)</f>
        <v>0</v>
      </c>
      <c r="O64" s="97">
        <f t="shared" si="1"/>
        <v>0</v>
      </c>
      <c r="P64" s="97">
        <f t="shared" si="2"/>
        <v>0</v>
      </c>
      <c r="Q64" s="118">
        <f t="shared" si="3"/>
        <v>0</v>
      </c>
      <c r="R64" s="97">
        <f t="shared" si="4"/>
        <v>0</v>
      </c>
      <c r="S64" s="97">
        <f t="shared" si="5"/>
        <v>0</v>
      </c>
      <c r="T64" s="118">
        <f t="shared" si="6"/>
        <v>0</v>
      </c>
      <c r="U64" s="119"/>
      <c r="V64" s="120" t="str">
        <f t="shared" si="7"/>
        <v>Cadastrar Ficha de Produção</v>
      </c>
      <c r="W64" s="121" t="str">
        <f t="shared" si="8"/>
        <v>Cadastrar Ficha de Produção</v>
      </c>
      <c r="AB64" s="125" t="str">
        <f t="shared" si="9"/>
        <v/>
      </c>
      <c r="AC64" s="125" t="str">
        <f t="shared" si="10"/>
        <v/>
      </c>
      <c r="AD64" s="126" t="str">
        <f t="shared" si="11"/>
        <v/>
      </c>
      <c r="AE64" s="127" t="str">
        <f t="shared" si="12"/>
        <v/>
      </c>
      <c r="AF64" s="128" t="str">
        <f t="shared" si="13"/>
        <v/>
      </c>
    </row>
    <row r="65" spans="1:32" ht="15.75" customHeight="1">
      <c r="A65" s="114" t="s">
        <v>142</v>
      </c>
      <c r="B65" s="114" t="s">
        <v>647</v>
      </c>
      <c r="C65" s="114" t="s">
        <v>563</v>
      </c>
      <c r="D65" s="114"/>
      <c r="E65" s="114" t="s">
        <v>610</v>
      </c>
      <c r="F65" s="114" t="s">
        <v>590</v>
      </c>
      <c r="G65" s="114" t="s">
        <v>556</v>
      </c>
      <c r="H65" s="115">
        <v>15</v>
      </c>
      <c r="I65" s="114" t="s">
        <v>551</v>
      </c>
      <c r="J65" s="116">
        <f t="shared" si="0"/>
        <v>1.27</v>
      </c>
      <c r="K65" s="97" t="str">
        <f>IFERROR(IF(VLOOKUP(D65,'Ficha de Produção'!C:C,1,0)=D65,"OK","Custo Produção Não Cadastrado"),"Custo Produção Não Cadastrado")</f>
        <v>Custo Produção Não Cadastrado</v>
      </c>
      <c r="L65" s="97" t="str">
        <f>IFERROR(IF(VLOOKUP(A65,'Ficha de Embalagens'!A:A,1,0)=A65,"OK","Ficha de Embalagens Não Cadastrada"),"Ficha de Embalagens Não Cadastrada")</f>
        <v>Ficha de Embalagens Não Cadastrada</v>
      </c>
      <c r="M65" s="117">
        <f>SUMIFS('Ficha de Produção'!N:N,'Ficha de Produção'!C:C,D65)*H65</f>
        <v>0</v>
      </c>
      <c r="N65" s="117">
        <f>SUMIFS('Ficha de Embalagens'!F:F,'Ficha de Embalagens'!A:A,A65)</f>
        <v>0</v>
      </c>
      <c r="O65" s="97">
        <f t="shared" si="1"/>
        <v>0</v>
      </c>
      <c r="P65" s="97">
        <f t="shared" si="2"/>
        <v>0</v>
      </c>
      <c r="Q65" s="118">
        <f t="shared" si="3"/>
        <v>0</v>
      </c>
      <c r="R65" s="97">
        <f t="shared" si="4"/>
        <v>0</v>
      </c>
      <c r="S65" s="97">
        <f t="shared" si="5"/>
        <v>0</v>
      </c>
      <c r="T65" s="118">
        <f t="shared" si="6"/>
        <v>0</v>
      </c>
      <c r="U65" s="119"/>
      <c r="V65" s="120" t="str">
        <f t="shared" si="7"/>
        <v>Cadastrar Ficha de Produção</v>
      </c>
      <c r="W65" s="121" t="str">
        <f t="shared" si="8"/>
        <v>Cadastrar Ficha de Produção</v>
      </c>
      <c r="AB65" s="125" t="str">
        <f t="shared" si="9"/>
        <v/>
      </c>
      <c r="AC65" s="125" t="str">
        <f t="shared" si="10"/>
        <v/>
      </c>
      <c r="AD65" s="126" t="str">
        <f t="shared" si="11"/>
        <v/>
      </c>
      <c r="AE65" s="127" t="str">
        <f t="shared" si="12"/>
        <v/>
      </c>
      <c r="AF65" s="128" t="str">
        <f t="shared" si="13"/>
        <v/>
      </c>
    </row>
    <row r="66" spans="1:32" ht="15.75" customHeight="1">
      <c r="A66" s="114" t="s">
        <v>143</v>
      </c>
      <c r="B66" s="114" t="s">
        <v>648</v>
      </c>
      <c r="C66" s="114" t="s">
        <v>563</v>
      </c>
      <c r="D66" s="114"/>
      <c r="E66" s="114" t="s">
        <v>610</v>
      </c>
      <c r="F66" s="114" t="s">
        <v>593</v>
      </c>
      <c r="G66" s="114" t="s">
        <v>556</v>
      </c>
      <c r="H66" s="115">
        <v>15</v>
      </c>
      <c r="I66" s="114" t="s">
        <v>551</v>
      </c>
      <c r="J66" s="116">
        <f t="shared" si="0"/>
        <v>1.27</v>
      </c>
      <c r="K66" s="97" t="str">
        <f>IFERROR(IF(VLOOKUP(D66,'Ficha de Produção'!C:C,1,0)=D66,"OK","Custo Produção Não Cadastrado"),"Custo Produção Não Cadastrado")</f>
        <v>Custo Produção Não Cadastrado</v>
      </c>
      <c r="L66" s="97" t="str">
        <f>IFERROR(IF(VLOOKUP(A66,'Ficha de Embalagens'!A:A,1,0)=A66,"OK","Ficha de Embalagens Não Cadastrada"),"Ficha de Embalagens Não Cadastrada")</f>
        <v>Ficha de Embalagens Não Cadastrada</v>
      </c>
      <c r="M66" s="117">
        <f>SUMIFS('Ficha de Produção'!N:N,'Ficha de Produção'!C:C,D66)*H66</f>
        <v>0</v>
      </c>
      <c r="N66" s="117">
        <f>SUMIFS('Ficha de Embalagens'!F:F,'Ficha de Embalagens'!A:A,A66)</f>
        <v>0</v>
      </c>
      <c r="O66" s="97">
        <f t="shared" si="1"/>
        <v>0</v>
      </c>
      <c r="P66" s="97">
        <f t="shared" si="2"/>
        <v>0</v>
      </c>
      <c r="Q66" s="118">
        <f t="shared" si="3"/>
        <v>0</v>
      </c>
      <c r="R66" s="97">
        <f t="shared" si="4"/>
        <v>0</v>
      </c>
      <c r="S66" s="97">
        <f t="shared" si="5"/>
        <v>0</v>
      </c>
      <c r="T66" s="118">
        <f t="shared" si="6"/>
        <v>0</v>
      </c>
      <c r="U66" s="119"/>
      <c r="V66" s="120" t="str">
        <f t="shared" si="7"/>
        <v>Cadastrar Ficha de Produção</v>
      </c>
      <c r="W66" s="121" t="str">
        <f t="shared" si="8"/>
        <v>Cadastrar Ficha de Produção</v>
      </c>
      <c r="AB66" s="125" t="str">
        <f t="shared" si="9"/>
        <v/>
      </c>
      <c r="AC66" s="125" t="str">
        <f t="shared" si="10"/>
        <v/>
      </c>
      <c r="AD66" s="126" t="str">
        <f t="shared" si="11"/>
        <v/>
      </c>
      <c r="AE66" s="127" t="str">
        <f t="shared" si="12"/>
        <v/>
      </c>
      <c r="AF66" s="128" t="str">
        <f t="shared" si="13"/>
        <v/>
      </c>
    </row>
    <row r="67" spans="1:32" ht="15.75" customHeight="1">
      <c r="A67" s="114" t="s">
        <v>144</v>
      </c>
      <c r="B67" s="114" t="s">
        <v>649</v>
      </c>
      <c r="C67" s="114" t="s">
        <v>563</v>
      </c>
      <c r="D67" s="114"/>
      <c r="E67" s="114" t="s">
        <v>610</v>
      </c>
      <c r="F67" s="114" t="s">
        <v>596</v>
      </c>
      <c r="G67" s="114" t="s">
        <v>556</v>
      </c>
      <c r="H67" s="115">
        <v>15</v>
      </c>
      <c r="I67" s="114" t="s">
        <v>551</v>
      </c>
      <c r="J67" s="116">
        <f t="shared" si="0"/>
        <v>1.27</v>
      </c>
      <c r="K67" s="97" t="str">
        <f>IFERROR(IF(VLOOKUP(D67,'Ficha de Produção'!C:C,1,0)=D67,"OK","Custo Produção Não Cadastrado"),"Custo Produção Não Cadastrado")</f>
        <v>Custo Produção Não Cadastrado</v>
      </c>
      <c r="L67" s="97" t="str">
        <f>IFERROR(IF(VLOOKUP(A67,'Ficha de Embalagens'!A:A,1,0)=A67,"OK","Ficha de Embalagens Não Cadastrada"),"Ficha de Embalagens Não Cadastrada")</f>
        <v>Ficha de Embalagens Não Cadastrada</v>
      </c>
      <c r="M67" s="117">
        <f>SUMIFS('Ficha de Produção'!N:N,'Ficha de Produção'!C:C,D67)*H67</f>
        <v>0</v>
      </c>
      <c r="N67" s="117">
        <f>SUMIFS('Ficha de Embalagens'!F:F,'Ficha de Embalagens'!A:A,A67)</f>
        <v>0</v>
      </c>
      <c r="O67" s="97">
        <f t="shared" si="1"/>
        <v>0</v>
      </c>
      <c r="P67" s="97">
        <f t="shared" si="2"/>
        <v>0</v>
      </c>
      <c r="Q67" s="118">
        <f t="shared" si="3"/>
        <v>0</v>
      </c>
      <c r="R67" s="97">
        <f t="shared" si="4"/>
        <v>0</v>
      </c>
      <c r="S67" s="97">
        <f t="shared" si="5"/>
        <v>0</v>
      </c>
      <c r="T67" s="118">
        <f t="shared" si="6"/>
        <v>0</v>
      </c>
      <c r="U67" s="119"/>
      <c r="V67" s="120" t="str">
        <f t="shared" si="7"/>
        <v>Cadastrar Ficha de Produção</v>
      </c>
      <c r="W67" s="121" t="str">
        <f t="shared" si="8"/>
        <v>Cadastrar Ficha de Produção</v>
      </c>
      <c r="AB67" s="125" t="str">
        <f t="shared" si="9"/>
        <v/>
      </c>
      <c r="AC67" s="125" t="str">
        <f t="shared" si="10"/>
        <v/>
      </c>
      <c r="AD67" s="126" t="str">
        <f t="shared" si="11"/>
        <v/>
      </c>
      <c r="AE67" s="127" t="str">
        <f t="shared" si="12"/>
        <v/>
      </c>
      <c r="AF67" s="128" t="str">
        <f t="shared" si="13"/>
        <v/>
      </c>
    </row>
    <row r="68" spans="1:32" ht="15.75" customHeight="1">
      <c r="A68" s="114" t="s">
        <v>145</v>
      </c>
      <c r="B68" s="114" t="s">
        <v>650</v>
      </c>
      <c r="C68" s="114" t="s">
        <v>563</v>
      </c>
      <c r="D68" s="114"/>
      <c r="E68" s="114" t="s">
        <v>610</v>
      </c>
      <c r="F68" s="114" t="s">
        <v>599</v>
      </c>
      <c r="G68" s="114" t="s">
        <v>556</v>
      </c>
      <c r="H68" s="115">
        <v>15</v>
      </c>
      <c r="I68" s="114" t="s">
        <v>551</v>
      </c>
      <c r="J68" s="116">
        <f t="shared" ref="J68:J131" si="14">IF(I68="KG",1,1.27)</f>
        <v>1.27</v>
      </c>
      <c r="K68" s="97" t="str">
        <f>IFERROR(IF(VLOOKUP(D68,'Ficha de Produção'!C:C,1,0)=D68,"OK","Custo Produção Não Cadastrado"),"Custo Produção Não Cadastrado")</f>
        <v>Custo Produção Não Cadastrado</v>
      </c>
      <c r="L68" s="97" t="str">
        <f>IFERROR(IF(VLOOKUP(A68,'Ficha de Embalagens'!A:A,1,0)=A68,"OK","Ficha de Embalagens Não Cadastrada"),"Ficha de Embalagens Não Cadastrada")</f>
        <v>Ficha de Embalagens Não Cadastrada</v>
      </c>
      <c r="M68" s="117">
        <f>SUMIFS('Ficha de Produção'!N:N,'Ficha de Produção'!C:C,D68)*H68</f>
        <v>0</v>
      </c>
      <c r="N68" s="117">
        <f>SUMIFS('Ficha de Embalagens'!F:F,'Ficha de Embalagens'!A:A,A68)</f>
        <v>0</v>
      </c>
      <c r="O68" s="97">
        <f t="shared" ref="O68:O131" si="15">SUM(M68:N68)</f>
        <v>0</v>
      </c>
      <c r="P68" s="97">
        <f t="shared" ref="P68:P131" si="16">IF(AND(K68="OK",L68="OK"),H68*$P$1,0)</f>
        <v>0</v>
      </c>
      <c r="Q68" s="118">
        <f t="shared" ref="Q68:Q131" si="17">P68+O68</f>
        <v>0</v>
      </c>
      <c r="R68" s="97">
        <f t="shared" ref="R68:R131" si="18">U68*$R$1</f>
        <v>0</v>
      </c>
      <c r="S68" s="97">
        <f t="shared" ref="S68:S131" si="19">$S$1*U68</f>
        <v>0</v>
      </c>
      <c r="T68" s="118">
        <f t="shared" ref="T68:T131" si="20">+Q68+R68+S68</f>
        <v>0</v>
      </c>
      <c r="U68" s="119"/>
      <c r="V68" s="120" t="str">
        <f t="shared" ref="V68:V131" si="21">IF(M68=0,"Cadastrar Ficha de Produção",IF(AND(M68&gt;0,U68=""),"Cadastrar Preço Final",IFERROR((U68-T68)/U68,"")))</f>
        <v>Cadastrar Ficha de Produção</v>
      </c>
      <c r="W68" s="121" t="str">
        <f t="shared" ref="W68:W131" si="22">IF(M68=0,"Cadastrar Ficha de Produção",ROUNDUP(Q68/(1-$R$1-$S$1),2))</f>
        <v>Cadastrar Ficha de Produção</v>
      </c>
      <c r="AB68" s="125" t="str">
        <f t="shared" ref="AB68:AB131" si="23">IF(Q68=0,"",Q68)</f>
        <v/>
      </c>
      <c r="AC68" s="125" t="str">
        <f t="shared" ref="AC68:AC131" si="24">IF(U68="","",U68*(1-$R$1-$S$1))</f>
        <v/>
      </c>
      <c r="AD68" s="126" t="str">
        <f t="shared" ref="AD68:AD131" si="25">IF(OR(AB68="",AC68=""),"",AC68-AB68)</f>
        <v/>
      </c>
      <c r="AE68" s="127" t="str">
        <f t="shared" ref="AE68:AE131" si="26">IF(OR(AD68="",AC68=0),"",AD68/AC68)</f>
        <v/>
      </c>
      <c r="AF68" s="128" t="str">
        <f t="shared" ref="AF68:AF131" si="27">IF(Q68=0,"",ROUNDUP((Q68+IF(AA68="",0,AA68/1200))/(1-$R$1-$S$1),2))</f>
        <v/>
      </c>
    </row>
    <row r="69" spans="1:32" ht="15.75" customHeight="1">
      <c r="A69" s="114" t="s">
        <v>146</v>
      </c>
      <c r="B69" s="114" t="s">
        <v>651</v>
      </c>
      <c r="C69" s="114" t="s">
        <v>563</v>
      </c>
      <c r="D69" s="114"/>
      <c r="E69" s="114" t="s">
        <v>610</v>
      </c>
      <c r="F69" s="114" t="s">
        <v>602</v>
      </c>
      <c r="G69" s="114" t="s">
        <v>556</v>
      </c>
      <c r="H69" s="115">
        <v>15</v>
      </c>
      <c r="I69" s="114" t="s">
        <v>551</v>
      </c>
      <c r="J69" s="116">
        <f t="shared" si="14"/>
        <v>1.27</v>
      </c>
      <c r="K69" s="97" t="str">
        <f>IFERROR(IF(VLOOKUP(D69,'Ficha de Produção'!C:C,1,0)=D69,"OK","Custo Produção Não Cadastrado"),"Custo Produção Não Cadastrado")</f>
        <v>Custo Produção Não Cadastrado</v>
      </c>
      <c r="L69" s="97" t="str">
        <f>IFERROR(IF(VLOOKUP(A69,'Ficha de Embalagens'!A:A,1,0)=A69,"OK","Ficha de Embalagens Não Cadastrada"),"Ficha de Embalagens Não Cadastrada")</f>
        <v>Ficha de Embalagens Não Cadastrada</v>
      </c>
      <c r="M69" s="117">
        <f>SUMIFS('Ficha de Produção'!N:N,'Ficha de Produção'!C:C,D69)*H69</f>
        <v>0</v>
      </c>
      <c r="N69" s="117">
        <f>SUMIFS('Ficha de Embalagens'!F:F,'Ficha de Embalagens'!A:A,A69)</f>
        <v>0</v>
      </c>
      <c r="O69" s="97">
        <f t="shared" si="15"/>
        <v>0</v>
      </c>
      <c r="P69" s="97">
        <f t="shared" si="16"/>
        <v>0</v>
      </c>
      <c r="Q69" s="118">
        <f t="shared" si="17"/>
        <v>0</v>
      </c>
      <c r="R69" s="97">
        <f t="shared" si="18"/>
        <v>0</v>
      </c>
      <c r="S69" s="97">
        <f t="shared" si="19"/>
        <v>0</v>
      </c>
      <c r="T69" s="118">
        <f t="shared" si="20"/>
        <v>0</v>
      </c>
      <c r="U69" s="119"/>
      <c r="V69" s="120" t="str">
        <f t="shared" si="21"/>
        <v>Cadastrar Ficha de Produção</v>
      </c>
      <c r="W69" s="121" t="str">
        <f t="shared" si="22"/>
        <v>Cadastrar Ficha de Produção</v>
      </c>
      <c r="AB69" s="125" t="str">
        <f t="shared" si="23"/>
        <v/>
      </c>
      <c r="AC69" s="125" t="str">
        <f t="shared" si="24"/>
        <v/>
      </c>
      <c r="AD69" s="126" t="str">
        <f t="shared" si="25"/>
        <v/>
      </c>
      <c r="AE69" s="127" t="str">
        <f t="shared" si="26"/>
        <v/>
      </c>
      <c r="AF69" s="128" t="str">
        <f t="shared" si="27"/>
        <v/>
      </c>
    </row>
    <row r="70" spans="1:32" ht="15.75" customHeight="1">
      <c r="A70" s="114" t="s">
        <v>147</v>
      </c>
      <c r="B70" s="114" t="s">
        <v>652</v>
      </c>
      <c r="C70" s="114" t="s">
        <v>563</v>
      </c>
      <c r="D70" s="114"/>
      <c r="E70" s="114" t="s">
        <v>610</v>
      </c>
      <c r="F70" s="114" t="s">
        <v>605</v>
      </c>
      <c r="G70" s="114" t="s">
        <v>556</v>
      </c>
      <c r="H70" s="115">
        <v>15</v>
      </c>
      <c r="I70" s="114" t="s">
        <v>551</v>
      </c>
      <c r="J70" s="116">
        <f t="shared" si="14"/>
        <v>1.27</v>
      </c>
      <c r="K70" s="97" t="str">
        <f>IFERROR(IF(VLOOKUP(D70,'Ficha de Produção'!C:C,1,0)=D70,"OK","Custo Produção Não Cadastrado"),"Custo Produção Não Cadastrado")</f>
        <v>Custo Produção Não Cadastrado</v>
      </c>
      <c r="L70" s="97" t="str">
        <f>IFERROR(IF(VLOOKUP(A70,'Ficha de Embalagens'!A:A,1,0)=A70,"OK","Ficha de Embalagens Não Cadastrada"),"Ficha de Embalagens Não Cadastrada")</f>
        <v>Ficha de Embalagens Não Cadastrada</v>
      </c>
      <c r="M70" s="117">
        <f>SUMIFS('Ficha de Produção'!N:N,'Ficha de Produção'!C:C,D70)*H70</f>
        <v>0</v>
      </c>
      <c r="N70" s="117">
        <f>SUMIFS('Ficha de Embalagens'!F:F,'Ficha de Embalagens'!A:A,A70)</f>
        <v>0</v>
      </c>
      <c r="O70" s="97">
        <f t="shared" si="15"/>
        <v>0</v>
      </c>
      <c r="P70" s="97">
        <f t="shared" si="16"/>
        <v>0</v>
      </c>
      <c r="Q70" s="118">
        <f t="shared" si="17"/>
        <v>0</v>
      </c>
      <c r="R70" s="97">
        <f t="shared" si="18"/>
        <v>0</v>
      </c>
      <c r="S70" s="97">
        <f t="shared" si="19"/>
        <v>0</v>
      </c>
      <c r="T70" s="118">
        <f t="shared" si="20"/>
        <v>0</v>
      </c>
      <c r="U70" s="119"/>
      <c r="V70" s="120" t="str">
        <f t="shared" si="21"/>
        <v>Cadastrar Ficha de Produção</v>
      </c>
      <c r="W70" s="121" t="str">
        <f t="shared" si="22"/>
        <v>Cadastrar Ficha de Produção</v>
      </c>
      <c r="AB70" s="125" t="str">
        <f t="shared" si="23"/>
        <v/>
      </c>
      <c r="AC70" s="125" t="str">
        <f t="shared" si="24"/>
        <v/>
      </c>
      <c r="AD70" s="126" t="str">
        <f t="shared" si="25"/>
        <v/>
      </c>
      <c r="AE70" s="127" t="str">
        <f t="shared" si="26"/>
        <v/>
      </c>
      <c r="AF70" s="128" t="str">
        <f t="shared" si="27"/>
        <v/>
      </c>
    </row>
    <row r="71" spans="1:32" ht="15.75" customHeight="1">
      <c r="A71" s="114" t="s">
        <v>148</v>
      </c>
      <c r="B71" s="114" t="s">
        <v>653</v>
      </c>
      <c r="C71" s="114" t="s">
        <v>563</v>
      </c>
      <c r="D71" s="114"/>
      <c r="E71" s="114" t="s">
        <v>610</v>
      </c>
      <c r="F71" s="114" t="s">
        <v>608</v>
      </c>
      <c r="G71" s="114" t="s">
        <v>556</v>
      </c>
      <c r="H71" s="115">
        <v>15</v>
      </c>
      <c r="I71" s="114" t="s">
        <v>551</v>
      </c>
      <c r="J71" s="116">
        <f t="shared" si="14"/>
        <v>1.27</v>
      </c>
      <c r="K71" s="97" t="str">
        <f>IFERROR(IF(VLOOKUP(D71,'Ficha de Produção'!C:C,1,0)=D71,"OK","Custo Produção Não Cadastrado"),"Custo Produção Não Cadastrado")</f>
        <v>Custo Produção Não Cadastrado</v>
      </c>
      <c r="L71" s="97" t="str">
        <f>IFERROR(IF(VLOOKUP(A71,'Ficha de Embalagens'!A:A,1,0)=A71,"OK","Ficha de Embalagens Não Cadastrada"),"Ficha de Embalagens Não Cadastrada")</f>
        <v>Ficha de Embalagens Não Cadastrada</v>
      </c>
      <c r="M71" s="117">
        <f>SUMIFS('Ficha de Produção'!N:N,'Ficha de Produção'!C:C,D71)*H71</f>
        <v>0</v>
      </c>
      <c r="N71" s="117">
        <f>SUMIFS('Ficha de Embalagens'!F:F,'Ficha de Embalagens'!A:A,A71)</f>
        <v>0</v>
      </c>
      <c r="O71" s="97">
        <f t="shared" si="15"/>
        <v>0</v>
      </c>
      <c r="P71" s="97">
        <f t="shared" si="16"/>
        <v>0</v>
      </c>
      <c r="Q71" s="118">
        <f t="shared" si="17"/>
        <v>0</v>
      </c>
      <c r="R71" s="97">
        <f t="shared" si="18"/>
        <v>0</v>
      </c>
      <c r="S71" s="97">
        <f t="shared" si="19"/>
        <v>0</v>
      </c>
      <c r="T71" s="118">
        <f t="shared" si="20"/>
        <v>0</v>
      </c>
      <c r="U71" s="119"/>
      <c r="V71" s="120" t="str">
        <f t="shared" si="21"/>
        <v>Cadastrar Ficha de Produção</v>
      </c>
      <c r="W71" s="121" t="str">
        <f t="shared" si="22"/>
        <v>Cadastrar Ficha de Produção</v>
      </c>
      <c r="AB71" s="125" t="str">
        <f t="shared" si="23"/>
        <v/>
      </c>
      <c r="AC71" s="125" t="str">
        <f t="shared" si="24"/>
        <v/>
      </c>
      <c r="AD71" s="126" t="str">
        <f t="shared" si="25"/>
        <v/>
      </c>
      <c r="AE71" s="127" t="str">
        <f t="shared" si="26"/>
        <v/>
      </c>
      <c r="AF71" s="128" t="str">
        <f t="shared" si="27"/>
        <v/>
      </c>
    </row>
    <row r="72" spans="1:32" ht="15.75" customHeight="1">
      <c r="A72" s="114" t="s">
        <v>149</v>
      </c>
      <c r="B72" s="114" t="s">
        <v>654</v>
      </c>
      <c r="C72" s="114" t="s">
        <v>563</v>
      </c>
      <c r="D72" s="114" t="s">
        <v>655</v>
      </c>
      <c r="E72" s="114" t="s">
        <v>565</v>
      </c>
      <c r="F72" s="114" t="s">
        <v>566</v>
      </c>
      <c r="G72" s="114" t="s">
        <v>544</v>
      </c>
      <c r="H72" s="115">
        <v>3</v>
      </c>
      <c r="I72" s="114" t="s">
        <v>551</v>
      </c>
      <c r="J72" s="116">
        <f t="shared" si="14"/>
        <v>1.27</v>
      </c>
      <c r="K72" s="97" t="str">
        <f>IFERROR(IF(VLOOKUP(D72,'Ficha de Produção'!C:C,1,0)=D72,"OK","Custo Produção Não Cadastrado"),"Custo Produção Não Cadastrado")</f>
        <v>OK</v>
      </c>
      <c r="L72" s="97" t="str">
        <f>IFERROR(IF(VLOOKUP(A72,'Ficha de Embalagens'!A:A,1,0)=A72,"OK","Ficha de Embalagens Não Cadastrada"),"Ficha de Embalagens Não Cadastrada")</f>
        <v>OK</v>
      </c>
      <c r="M72" s="117">
        <f>SUMIFS('Ficha de Produção'!N:N,'Ficha de Produção'!C:C,D72)*H72</f>
        <v>9.81</v>
      </c>
      <c r="N72" s="117">
        <f>SUMIFS('Ficha de Embalagens'!F:F,'Ficha de Embalagens'!A:A,A72)</f>
        <v>3.44</v>
      </c>
      <c r="O72" s="97">
        <f t="shared" si="15"/>
        <v>13.25</v>
      </c>
      <c r="P72" s="97">
        <f t="shared" si="16"/>
        <v>0.92999999999999994</v>
      </c>
      <c r="Q72" s="118">
        <f t="shared" si="17"/>
        <v>14.18</v>
      </c>
      <c r="R72" s="97">
        <f t="shared" si="18"/>
        <v>1.25</v>
      </c>
      <c r="S72" s="97">
        <f t="shared" si="19"/>
        <v>1.7500000000000002</v>
      </c>
      <c r="T72" s="118">
        <f t="shared" si="20"/>
        <v>17.18</v>
      </c>
      <c r="U72" s="119">
        <v>25</v>
      </c>
      <c r="V72" s="120">
        <f t="shared" si="21"/>
        <v>0.31280000000000002</v>
      </c>
      <c r="W72" s="121">
        <f t="shared" si="22"/>
        <v>16.12</v>
      </c>
      <c r="AB72" s="125">
        <f t="shared" si="23"/>
        <v>14.18</v>
      </c>
      <c r="AC72" s="125">
        <f t="shared" si="24"/>
        <v>21.999999999999996</v>
      </c>
      <c r="AD72" s="126">
        <f t="shared" si="25"/>
        <v>7.8199999999999967</v>
      </c>
      <c r="AE72" s="127">
        <f t="shared" si="26"/>
        <v>0.35545454545454536</v>
      </c>
      <c r="AF72" s="128">
        <f t="shared" si="27"/>
        <v>16.12</v>
      </c>
    </row>
    <row r="73" spans="1:32" ht="15.75" customHeight="1">
      <c r="A73" s="114" t="s">
        <v>150</v>
      </c>
      <c r="B73" s="114" t="s">
        <v>656</v>
      </c>
      <c r="C73" s="114" t="s">
        <v>563</v>
      </c>
      <c r="D73" s="114" t="s">
        <v>657</v>
      </c>
      <c r="E73" s="114" t="s">
        <v>565</v>
      </c>
      <c r="F73" s="114" t="s">
        <v>569</v>
      </c>
      <c r="G73" s="114" t="s">
        <v>544</v>
      </c>
      <c r="H73" s="115">
        <v>3</v>
      </c>
      <c r="I73" s="114" t="s">
        <v>551</v>
      </c>
      <c r="J73" s="116">
        <f t="shared" si="14"/>
        <v>1.27</v>
      </c>
      <c r="K73" s="97" t="str">
        <f>IFERROR(IF(VLOOKUP(D73,'Ficha de Produção'!C:C,1,0)=D73,"OK","Custo Produção Não Cadastrado"),"Custo Produção Não Cadastrado")</f>
        <v>OK</v>
      </c>
      <c r="L73" s="97" t="str">
        <f>IFERROR(IF(VLOOKUP(A73,'Ficha de Embalagens'!A:A,1,0)=A73,"OK","Ficha de Embalagens Não Cadastrada"),"Ficha de Embalagens Não Cadastrada")</f>
        <v>OK</v>
      </c>
      <c r="M73" s="117">
        <f>SUMIFS('Ficha de Produção'!N:N,'Ficha de Produção'!C:C,D73)*H73</f>
        <v>7.6499999999999995</v>
      </c>
      <c r="N73" s="117">
        <f>SUMIFS('Ficha de Embalagens'!F:F,'Ficha de Embalagens'!A:A,A73)</f>
        <v>3.44</v>
      </c>
      <c r="O73" s="97">
        <f t="shared" si="15"/>
        <v>11.09</v>
      </c>
      <c r="P73" s="97">
        <f t="shared" si="16"/>
        <v>0.92999999999999994</v>
      </c>
      <c r="Q73" s="118">
        <f t="shared" si="17"/>
        <v>12.02</v>
      </c>
      <c r="R73" s="97">
        <f t="shared" si="18"/>
        <v>1.25</v>
      </c>
      <c r="S73" s="97">
        <f t="shared" si="19"/>
        <v>1.7500000000000002</v>
      </c>
      <c r="T73" s="118">
        <f t="shared" si="20"/>
        <v>15.02</v>
      </c>
      <c r="U73" s="119">
        <v>25</v>
      </c>
      <c r="V73" s="120">
        <f t="shared" si="21"/>
        <v>0.3992</v>
      </c>
      <c r="W73" s="121">
        <f t="shared" si="22"/>
        <v>13.66</v>
      </c>
      <c r="AB73" s="125">
        <f t="shared" si="23"/>
        <v>12.02</v>
      </c>
      <c r="AC73" s="125">
        <f t="shared" si="24"/>
        <v>21.999999999999996</v>
      </c>
      <c r="AD73" s="126">
        <f t="shared" si="25"/>
        <v>9.9799999999999969</v>
      </c>
      <c r="AE73" s="127">
        <f t="shared" si="26"/>
        <v>0.45363636363636356</v>
      </c>
      <c r="AF73" s="128">
        <f t="shared" si="27"/>
        <v>13.66</v>
      </c>
    </row>
    <row r="74" spans="1:32" ht="15.75" customHeight="1">
      <c r="A74" s="114" t="s">
        <v>151</v>
      </c>
      <c r="B74" s="114" t="s">
        <v>658</v>
      </c>
      <c r="C74" s="114" t="s">
        <v>563</v>
      </c>
      <c r="D74" s="114" t="s">
        <v>659</v>
      </c>
      <c r="E74" s="114" t="s">
        <v>565</v>
      </c>
      <c r="F74" s="114" t="s">
        <v>660</v>
      </c>
      <c r="G74" s="114" t="s">
        <v>544</v>
      </c>
      <c r="H74" s="115">
        <v>3</v>
      </c>
      <c r="I74" s="114" t="s">
        <v>551</v>
      </c>
      <c r="J74" s="116">
        <f t="shared" si="14"/>
        <v>1.27</v>
      </c>
      <c r="K74" s="97" t="str">
        <f>IFERROR(IF(VLOOKUP(D74,'Ficha de Produção'!C:C,1,0)=D74,"OK","Custo Produção Não Cadastrado"),"Custo Produção Não Cadastrado")</f>
        <v>OK</v>
      </c>
      <c r="L74" s="97" t="str">
        <f>IFERROR(IF(VLOOKUP(A74,'Ficha de Embalagens'!A:A,1,0)=A74,"OK","Ficha de Embalagens Não Cadastrada"),"Ficha de Embalagens Não Cadastrada")</f>
        <v>OK</v>
      </c>
      <c r="M74" s="117">
        <f>SUMIFS('Ficha de Produção'!N:N,'Ficha de Produção'!C:C,D74)*H74</f>
        <v>9.0599999999999987</v>
      </c>
      <c r="N74" s="117">
        <f>SUMIFS('Ficha de Embalagens'!F:F,'Ficha de Embalagens'!A:A,A74)</f>
        <v>3.44</v>
      </c>
      <c r="O74" s="97">
        <f t="shared" si="15"/>
        <v>12.499999999999998</v>
      </c>
      <c r="P74" s="97">
        <f t="shared" si="16"/>
        <v>0.92999999999999994</v>
      </c>
      <c r="Q74" s="118">
        <f t="shared" si="17"/>
        <v>13.429999999999998</v>
      </c>
      <c r="R74" s="97">
        <f t="shared" si="18"/>
        <v>1.25</v>
      </c>
      <c r="S74" s="97">
        <f t="shared" si="19"/>
        <v>1.7500000000000002</v>
      </c>
      <c r="T74" s="118">
        <f t="shared" si="20"/>
        <v>16.43</v>
      </c>
      <c r="U74" s="119">
        <v>25</v>
      </c>
      <c r="V74" s="120">
        <f t="shared" si="21"/>
        <v>0.34279999999999999</v>
      </c>
      <c r="W74" s="121">
        <f t="shared" si="22"/>
        <v>15.27</v>
      </c>
      <c r="AB74" s="125">
        <f t="shared" si="23"/>
        <v>13.429999999999998</v>
      </c>
      <c r="AC74" s="125">
        <f t="shared" si="24"/>
        <v>21.999999999999996</v>
      </c>
      <c r="AD74" s="126">
        <f t="shared" si="25"/>
        <v>8.5699999999999985</v>
      </c>
      <c r="AE74" s="127">
        <f t="shared" si="26"/>
        <v>0.38954545454545453</v>
      </c>
      <c r="AF74" s="128">
        <f t="shared" si="27"/>
        <v>15.27</v>
      </c>
    </row>
    <row r="75" spans="1:32" ht="15.75" customHeight="1">
      <c r="A75" s="114" t="s">
        <v>152</v>
      </c>
      <c r="B75" s="114" t="s">
        <v>661</v>
      </c>
      <c r="C75" s="114" t="s">
        <v>563</v>
      </c>
      <c r="D75" s="114" t="s">
        <v>662</v>
      </c>
      <c r="E75" s="114" t="s">
        <v>565</v>
      </c>
      <c r="F75" s="114" t="s">
        <v>572</v>
      </c>
      <c r="G75" s="114" t="s">
        <v>556</v>
      </c>
      <c r="H75" s="115">
        <v>3</v>
      </c>
      <c r="I75" s="114" t="s">
        <v>551</v>
      </c>
      <c r="J75" s="116">
        <f t="shared" si="14"/>
        <v>1.27</v>
      </c>
      <c r="K75" s="97" t="str">
        <f>IFERROR(IF(VLOOKUP(D75,'Ficha de Produção'!C:C,1,0)=D75,"OK","Custo Produção Não Cadastrado"),"Custo Produção Não Cadastrado")</f>
        <v>Custo Produção Não Cadastrado</v>
      </c>
      <c r="L75" s="97" t="str">
        <f>IFERROR(IF(VLOOKUP(A75,'Ficha de Embalagens'!A:A,1,0)=A75,"OK","Ficha de Embalagens Não Cadastrada"),"Ficha de Embalagens Não Cadastrada")</f>
        <v>OK</v>
      </c>
      <c r="M75" s="117">
        <f>SUMIFS('Ficha de Produção'!N:N,'Ficha de Produção'!C:C,D75)*H75</f>
        <v>0</v>
      </c>
      <c r="N75" s="117">
        <f>SUMIFS('Ficha de Embalagens'!F:F,'Ficha de Embalagens'!A:A,A75)</f>
        <v>3.44</v>
      </c>
      <c r="O75" s="97">
        <f t="shared" si="15"/>
        <v>3.44</v>
      </c>
      <c r="P75" s="97">
        <f t="shared" si="16"/>
        <v>0</v>
      </c>
      <c r="Q75" s="118">
        <f t="shared" si="17"/>
        <v>3.44</v>
      </c>
      <c r="R75" s="97">
        <f t="shared" si="18"/>
        <v>1.25</v>
      </c>
      <c r="S75" s="97">
        <f t="shared" si="19"/>
        <v>1.7500000000000002</v>
      </c>
      <c r="T75" s="118">
        <f t="shared" si="20"/>
        <v>6.4399999999999995</v>
      </c>
      <c r="U75" s="119">
        <v>25</v>
      </c>
      <c r="V75" s="120" t="str">
        <f t="shared" si="21"/>
        <v>Cadastrar Ficha de Produção</v>
      </c>
      <c r="W75" s="121" t="str">
        <f t="shared" si="22"/>
        <v>Cadastrar Ficha de Produção</v>
      </c>
      <c r="AB75" s="125">
        <f t="shared" si="23"/>
        <v>3.44</v>
      </c>
      <c r="AC75" s="125">
        <f t="shared" si="24"/>
        <v>21.999999999999996</v>
      </c>
      <c r="AD75" s="126">
        <f t="shared" si="25"/>
        <v>18.559999999999995</v>
      </c>
      <c r="AE75" s="127">
        <f t="shared" si="26"/>
        <v>0.84363636363636352</v>
      </c>
      <c r="AF75" s="128">
        <f t="shared" si="27"/>
        <v>3.9099999999999997</v>
      </c>
    </row>
    <row r="76" spans="1:32" ht="15.75" customHeight="1">
      <c r="A76" s="114" t="s">
        <v>153</v>
      </c>
      <c r="B76" s="114" t="s">
        <v>663</v>
      </c>
      <c r="C76" s="114" t="s">
        <v>563</v>
      </c>
      <c r="D76" s="114" t="s">
        <v>664</v>
      </c>
      <c r="E76" s="114" t="s">
        <v>565</v>
      </c>
      <c r="F76" s="114" t="s">
        <v>599</v>
      </c>
      <c r="G76" s="114" t="s">
        <v>544</v>
      </c>
      <c r="H76" s="115">
        <v>3</v>
      </c>
      <c r="I76" s="114" t="s">
        <v>551</v>
      </c>
      <c r="J76" s="116">
        <f t="shared" si="14"/>
        <v>1.27</v>
      </c>
      <c r="K76" s="97" t="str">
        <f>IFERROR(IF(VLOOKUP(D76,'Ficha de Produção'!C:C,1,0)=D76,"OK","Custo Produção Não Cadastrado"),"Custo Produção Não Cadastrado")</f>
        <v>OK</v>
      </c>
      <c r="L76" s="97" t="str">
        <f>IFERROR(IF(VLOOKUP(A76,'Ficha de Embalagens'!A:A,1,0)=A76,"OK","Ficha de Embalagens Não Cadastrada"),"Ficha de Embalagens Não Cadastrada")</f>
        <v>OK</v>
      </c>
      <c r="M76" s="117">
        <f>SUMIFS('Ficha de Produção'!N:N,'Ficha de Produção'!C:C,D76)*H76</f>
        <v>7.8599999999999994</v>
      </c>
      <c r="N76" s="117">
        <f>SUMIFS('Ficha de Embalagens'!F:F,'Ficha de Embalagens'!A:A,A76)</f>
        <v>3.44</v>
      </c>
      <c r="O76" s="97">
        <f t="shared" si="15"/>
        <v>11.299999999999999</v>
      </c>
      <c r="P76" s="97">
        <f t="shared" si="16"/>
        <v>0.92999999999999994</v>
      </c>
      <c r="Q76" s="118">
        <f t="shared" si="17"/>
        <v>12.229999999999999</v>
      </c>
      <c r="R76" s="97">
        <f t="shared" si="18"/>
        <v>1.25</v>
      </c>
      <c r="S76" s="97">
        <f t="shared" si="19"/>
        <v>1.7500000000000002</v>
      </c>
      <c r="T76" s="118">
        <f t="shared" si="20"/>
        <v>15.229999999999999</v>
      </c>
      <c r="U76" s="119">
        <v>25</v>
      </c>
      <c r="V76" s="120">
        <f t="shared" si="21"/>
        <v>0.39080000000000004</v>
      </c>
      <c r="W76" s="121">
        <f t="shared" si="22"/>
        <v>13.9</v>
      </c>
      <c r="AB76" s="125">
        <f t="shared" si="23"/>
        <v>12.229999999999999</v>
      </c>
      <c r="AC76" s="125">
        <f t="shared" si="24"/>
        <v>21.999999999999996</v>
      </c>
      <c r="AD76" s="126">
        <f t="shared" si="25"/>
        <v>9.7699999999999978</v>
      </c>
      <c r="AE76" s="127">
        <f t="shared" si="26"/>
        <v>0.44409090909090904</v>
      </c>
      <c r="AF76" s="128">
        <f t="shared" si="27"/>
        <v>13.9</v>
      </c>
    </row>
    <row r="77" spans="1:32" ht="15.75" customHeight="1">
      <c r="A77" s="114" t="s">
        <v>154</v>
      </c>
      <c r="B77" s="114" t="s">
        <v>665</v>
      </c>
      <c r="C77" s="114" t="s">
        <v>563</v>
      </c>
      <c r="D77" s="114" t="s">
        <v>666</v>
      </c>
      <c r="E77" s="114" t="s">
        <v>565</v>
      </c>
      <c r="F77" s="114" t="s">
        <v>667</v>
      </c>
      <c r="G77" s="114" t="s">
        <v>544</v>
      </c>
      <c r="H77" s="115">
        <v>3</v>
      </c>
      <c r="I77" s="114" t="s">
        <v>551</v>
      </c>
      <c r="J77" s="116">
        <f t="shared" si="14"/>
        <v>1.27</v>
      </c>
      <c r="K77" s="97" t="str">
        <f>IFERROR(IF(VLOOKUP(D77,'Ficha de Produção'!C:C,1,0)=D77,"OK","Custo Produção Não Cadastrado"),"Custo Produção Não Cadastrado")</f>
        <v>OK</v>
      </c>
      <c r="L77" s="97" t="str">
        <f>IFERROR(IF(VLOOKUP(A77,'Ficha de Embalagens'!A:A,1,0)=A77,"OK","Ficha de Embalagens Não Cadastrada"),"Ficha de Embalagens Não Cadastrada")</f>
        <v>OK</v>
      </c>
      <c r="M77" s="117">
        <f>SUMIFS('Ficha de Produção'!N:N,'Ficha de Produção'!C:C,D77)*H77</f>
        <v>7.89</v>
      </c>
      <c r="N77" s="117">
        <f>SUMIFS('Ficha de Embalagens'!F:F,'Ficha de Embalagens'!A:A,A77)</f>
        <v>3.44</v>
      </c>
      <c r="O77" s="97">
        <f t="shared" si="15"/>
        <v>11.33</v>
      </c>
      <c r="P77" s="97">
        <f t="shared" si="16"/>
        <v>0.92999999999999994</v>
      </c>
      <c r="Q77" s="118">
        <f t="shared" si="17"/>
        <v>12.26</v>
      </c>
      <c r="R77" s="97">
        <f t="shared" si="18"/>
        <v>1.25</v>
      </c>
      <c r="S77" s="97">
        <f t="shared" si="19"/>
        <v>1.7500000000000002</v>
      </c>
      <c r="T77" s="118">
        <f t="shared" si="20"/>
        <v>15.26</v>
      </c>
      <c r="U77" s="119">
        <v>25</v>
      </c>
      <c r="V77" s="120">
        <f t="shared" si="21"/>
        <v>0.3896</v>
      </c>
      <c r="W77" s="121">
        <f t="shared" si="22"/>
        <v>13.94</v>
      </c>
      <c r="AB77" s="125">
        <f t="shared" si="23"/>
        <v>12.26</v>
      </c>
      <c r="AC77" s="125">
        <f t="shared" si="24"/>
        <v>21.999999999999996</v>
      </c>
      <c r="AD77" s="126">
        <f t="shared" si="25"/>
        <v>9.7399999999999967</v>
      </c>
      <c r="AE77" s="127">
        <f t="shared" si="26"/>
        <v>0.44272727272727264</v>
      </c>
      <c r="AF77" s="128">
        <f t="shared" si="27"/>
        <v>13.94</v>
      </c>
    </row>
    <row r="78" spans="1:32" ht="15.75" customHeight="1">
      <c r="A78" s="114" t="s">
        <v>155</v>
      </c>
      <c r="B78" s="114" t="s">
        <v>668</v>
      </c>
      <c r="C78" s="114" t="s">
        <v>563</v>
      </c>
      <c r="D78" s="114" t="s">
        <v>669</v>
      </c>
      <c r="E78" s="114" t="s">
        <v>565</v>
      </c>
      <c r="F78" s="114" t="s">
        <v>670</v>
      </c>
      <c r="G78" s="114" t="s">
        <v>556</v>
      </c>
      <c r="H78" s="115">
        <v>3</v>
      </c>
      <c r="I78" s="114" t="s">
        <v>551</v>
      </c>
      <c r="J78" s="116">
        <f t="shared" si="14"/>
        <v>1.27</v>
      </c>
      <c r="K78" s="97" t="str">
        <f>IFERROR(IF(VLOOKUP(D78,'Ficha de Produção'!C:C,1,0)=D78,"OK","Custo Produção Não Cadastrado"),"Custo Produção Não Cadastrado")</f>
        <v>Custo Produção Não Cadastrado</v>
      </c>
      <c r="L78" s="97" t="str">
        <f>IFERROR(IF(VLOOKUP(A78,'Ficha de Embalagens'!A:A,1,0)=A78,"OK","Ficha de Embalagens Não Cadastrada"),"Ficha de Embalagens Não Cadastrada")</f>
        <v>OK</v>
      </c>
      <c r="M78" s="117">
        <f>SUMIFS('Ficha de Produção'!N:N,'Ficha de Produção'!C:C,D78)*H78</f>
        <v>0</v>
      </c>
      <c r="N78" s="117">
        <f>SUMIFS('Ficha de Embalagens'!F:F,'Ficha de Embalagens'!A:A,A78)</f>
        <v>3.44</v>
      </c>
      <c r="O78" s="97">
        <f t="shared" si="15"/>
        <v>3.44</v>
      </c>
      <c r="P78" s="97">
        <f t="shared" si="16"/>
        <v>0</v>
      </c>
      <c r="Q78" s="118">
        <f t="shared" si="17"/>
        <v>3.44</v>
      </c>
      <c r="R78" s="97">
        <f t="shared" si="18"/>
        <v>1.25</v>
      </c>
      <c r="S78" s="97">
        <f t="shared" si="19"/>
        <v>1.7500000000000002</v>
      </c>
      <c r="T78" s="118">
        <f t="shared" si="20"/>
        <v>6.4399999999999995</v>
      </c>
      <c r="U78" s="119">
        <v>25</v>
      </c>
      <c r="V78" s="120" t="str">
        <f t="shared" si="21"/>
        <v>Cadastrar Ficha de Produção</v>
      </c>
      <c r="W78" s="121" t="str">
        <f t="shared" si="22"/>
        <v>Cadastrar Ficha de Produção</v>
      </c>
      <c r="AB78" s="125">
        <f t="shared" si="23"/>
        <v>3.44</v>
      </c>
      <c r="AC78" s="125">
        <f t="shared" si="24"/>
        <v>21.999999999999996</v>
      </c>
      <c r="AD78" s="126">
        <f t="shared" si="25"/>
        <v>18.559999999999995</v>
      </c>
      <c r="AE78" s="127">
        <f t="shared" si="26"/>
        <v>0.84363636363636352</v>
      </c>
      <c r="AF78" s="128">
        <f t="shared" si="27"/>
        <v>3.9099999999999997</v>
      </c>
    </row>
    <row r="79" spans="1:32" ht="15.75" customHeight="1">
      <c r="A79" s="114" t="s">
        <v>156</v>
      </c>
      <c r="B79" s="114" t="s">
        <v>671</v>
      </c>
      <c r="C79" s="114" t="s">
        <v>563</v>
      </c>
      <c r="D79" s="114" t="s">
        <v>672</v>
      </c>
      <c r="E79" s="114" t="s">
        <v>565</v>
      </c>
      <c r="F79" s="114" t="s">
        <v>581</v>
      </c>
      <c r="G79" s="114" t="s">
        <v>556</v>
      </c>
      <c r="H79" s="115">
        <v>3</v>
      </c>
      <c r="I79" s="114" t="s">
        <v>551</v>
      </c>
      <c r="J79" s="116">
        <f t="shared" si="14"/>
        <v>1.27</v>
      </c>
      <c r="K79" s="97" t="str">
        <f>IFERROR(IF(VLOOKUP(D79,'Ficha de Produção'!C:C,1,0)=D79,"OK","Custo Produção Não Cadastrado"),"Custo Produção Não Cadastrado")</f>
        <v>Custo Produção Não Cadastrado</v>
      </c>
      <c r="L79" s="97" t="str">
        <f>IFERROR(IF(VLOOKUP(A79,'Ficha de Embalagens'!A:A,1,0)=A79,"OK","Ficha de Embalagens Não Cadastrada"),"Ficha de Embalagens Não Cadastrada")</f>
        <v>OK</v>
      </c>
      <c r="M79" s="117">
        <f>SUMIFS('Ficha de Produção'!N:N,'Ficha de Produção'!C:C,D79)*H79</f>
        <v>0</v>
      </c>
      <c r="N79" s="117">
        <f>SUMIFS('Ficha de Embalagens'!F:F,'Ficha de Embalagens'!A:A,A79)</f>
        <v>3.44</v>
      </c>
      <c r="O79" s="97">
        <f t="shared" si="15"/>
        <v>3.44</v>
      </c>
      <c r="P79" s="97">
        <f t="shared" si="16"/>
        <v>0</v>
      </c>
      <c r="Q79" s="118">
        <f t="shared" si="17"/>
        <v>3.44</v>
      </c>
      <c r="R79" s="97">
        <f t="shared" si="18"/>
        <v>1.25</v>
      </c>
      <c r="S79" s="97">
        <f t="shared" si="19"/>
        <v>1.7500000000000002</v>
      </c>
      <c r="T79" s="118">
        <f t="shared" si="20"/>
        <v>6.4399999999999995</v>
      </c>
      <c r="U79" s="119">
        <v>25</v>
      </c>
      <c r="V79" s="120" t="str">
        <f t="shared" si="21"/>
        <v>Cadastrar Ficha de Produção</v>
      </c>
      <c r="W79" s="121" t="str">
        <f t="shared" si="22"/>
        <v>Cadastrar Ficha de Produção</v>
      </c>
      <c r="AB79" s="125">
        <f t="shared" si="23"/>
        <v>3.44</v>
      </c>
      <c r="AC79" s="125">
        <f t="shared" si="24"/>
        <v>21.999999999999996</v>
      </c>
      <c r="AD79" s="126">
        <f t="shared" si="25"/>
        <v>18.559999999999995</v>
      </c>
      <c r="AE79" s="127">
        <f t="shared" si="26"/>
        <v>0.84363636363636352</v>
      </c>
      <c r="AF79" s="128">
        <f t="shared" si="27"/>
        <v>3.9099999999999997</v>
      </c>
    </row>
    <row r="80" spans="1:32" ht="15.75" customHeight="1">
      <c r="A80" s="114" t="s">
        <v>157</v>
      </c>
      <c r="B80" s="114" t="s">
        <v>673</v>
      </c>
      <c r="C80" s="114" t="s">
        <v>563</v>
      </c>
      <c r="D80" s="114" t="s">
        <v>674</v>
      </c>
      <c r="E80" s="114" t="s">
        <v>565</v>
      </c>
      <c r="F80" s="114" t="s">
        <v>675</v>
      </c>
      <c r="G80" s="114" t="s">
        <v>556</v>
      </c>
      <c r="H80" s="115">
        <v>3</v>
      </c>
      <c r="I80" s="114" t="s">
        <v>551</v>
      </c>
      <c r="J80" s="116">
        <f t="shared" si="14"/>
        <v>1.27</v>
      </c>
      <c r="K80" s="97" t="str">
        <f>IFERROR(IF(VLOOKUP(D80,'Ficha de Produção'!C:C,1,0)=D80,"OK","Custo Produção Não Cadastrado"),"Custo Produção Não Cadastrado")</f>
        <v>Custo Produção Não Cadastrado</v>
      </c>
      <c r="L80" s="97" t="str">
        <f>IFERROR(IF(VLOOKUP(A80,'Ficha de Embalagens'!A:A,1,0)=A80,"OK","Ficha de Embalagens Não Cadastrada"),"Ficha de Embalagens Não Cadastrada")</f>
        <v>OK</v>
      </c>
      <c r="M80" s="117">
        <f>SUMIFS('Ficha de Produção'!N:N,'Ficha de Produção'!C:C,D80)*H80</f>
        <v>0</v>
      </c>
      <c r="N80" s="117">
        <f>SUMIFS('Ficha de Embalagens'!F:F,'Ficha de Embalagens'!A:A,A80)</f>
        <v>3.44</v>
      </c>
      <c r="O80" s="97">
        <f t="shared" si="15"/>
        <v>3.44</v>
      </c>
      <c r="P80" s="97">
        <f t="shared" si="16"/>
        <v>0</v>
      </c>
      <c r="Q80" s="118">
        <f t="shared" si="17"/>
        <v>3.44</v>
      </c>
      <c r="R80" s="97">
        <f t="shared" si="18"/>
        <v>1.25</v>
      </c>
      <c r="S80" s="97">
        <f t="shared" si="19"/>
        <v>1.7500000000000002</v>
      </c>
      <c r="T80" s="118">
        <f t="shared" si="20"/>
        <v>6.4399999999999995</v>
      </c>
      <c r="U80" s="119">
        <v>25</v>
      </c>
      <c r="V80" s="120" t="str">
        <f t="shared" si="21"/>
        <v>Cadastrar Ficha de Produção</v>
      </c>
      <c r="W80" s="121" t="str">
        <f t="shared" si="22"/>
        <v>Cadastrar Ficha de Produção</v>
      </c>
      <c r="AB80" s="125">
        <f t="shared" si="23"/>
        <v>3.44</v>
      </c>
      <c r="AC80" s="125">
        <f t="shared" si="24"/>
        <v>21.999999999999996</v>
      </c>
      <c r="AD80" s="126">
        <f t="shared" si="25"/>
        <v>18.559999999999995</v>
      </c>
      <c r="AE80" s="127">
        <f t="shared" si="26"/>
        <v>0.84363636363636352</v>
      </c>
      <c r="AF80" s="128">
        <f t="shared" si="27"/>
        <v>3.9099999999999997</v>
      </c>
    </row>
    <row r="81" spans="1:32" ht="15.75" customHeight="1">
      <c r="A81" s="114" t="s">
        <v>158</v>
      </c>
      <c r="B81" s="114" t="s">
        <v>676</v>
      </c>
      <c r="C81" s="114" t="s">
        <v>563</v>
      </c>
      <c r="D81" s="114" t="s">
        <v>677</v>
      </c>
      <c r="E81" s="114" t="s">
        <v>565</v>
      </c>
      <c r="F81" s="114" t="s">
        <v>678</v>
      </c>
      <c r="G81" s="114" t="s">
        <v>544</v>
      </c>
      <c r="H81" s="115">
        <v>3</v>
      </c>
      <c r="I81" s="114" t="s">
        <v>551</v>
      </c>
      <c r="J81" s="116">
        <f t="shared" si="14"/>
        <v>1.27</v>
      </c>
      <c r="K81" s="97" t="str">
        <f>IFERROR(IF(VLOOKUP(D81,'Ficha de Produção'!C:C,1,0)=D81,"OK","Custo Produção Não Cadastrado"),"Custo Produção Não Cadastrado")</f>
        <v>OK</v>
      </c>
      <c r="L81" s="97" t="str">
        <f>IFERROR(IF(VLOOKUP(A81,'Ficha de Embalagens'!A:A,1,0)=A81,"OK","Ficha de Embalagens Não Cadastrada"),"Ficha de Embalagens Não Cadastrada")</f>
        <v>OK</v>
      </c>
      <c r="M81" s="117">
        <f>SUMIFS('Ficha de Produção'!N:N,'Ficha de Produção'!C:C,D81)*H81</f>
        <v>7.8599999999999994</v>
      </c>
      <c r="N81" s="117">
        <f>SUMIFS('Ficha de Embalagens'!F:F,'Ficha de Embalagens'!A:A,A81)</f>
        <v>3.44</v>
      </c>
      <c r="O81" s="97">
        <f t="shared" si="15"/>
        <v>11.299999999999999</v>
      </c>
      <c r="P81" s="97">
        <f t="shared" si="16"/>
        <v>0.92999999999999994</v>
      </c>
      <c r="Q81" s="118">
        <f t="shared" si="17"/>
        <v>12.229999999999999</v>
      </c>
      <c r="R81" s="97">
        <f t="shared" si="18"/>
        <v>1.25</v>
      </c>
      <c r="S81" s="97">
        <f t="shared" si="19"/>
        <v>1.7500000000000002</v>
      </c>
      <c r="T81" s="118">
        <f t="shared" si="20"/>
        <v>15.229999999999999</v>
      </c>
      <c r="U81" s="119">
        <v>25</v>
      </c>
      <c r="V81" s="120">
        <f t="shared" si="21"/>
        <v>0.39080000000000004</v>
      </c>
      <c r="W81" s="121">
        <f t="shared" si="22"/>
        <v>13.9</v>
      </c>
      <c r="AB81" s="125">
        <f t="shared" si="23"/>
        <v>12.229999999999999</v>
      </c>
      <c r="AC81" s="125">
        <f t="shared" si="24"/>
        <v>21.999999999999996</v>
      </c>
      <c r="AD81" s="126">
        <f t="shared" si="25"/>
        <v>9.7699999999999978</v>
      </c>
      <c r="AE81" s="127">
        <f t="shared" si="26"/>
        <v>0.44409090909090904</v>
      </c>
      <c r="AF81" s="128">
        <f t="shared" si="27"/>
        <v>13.9</v>
      </c>
    </row>
    <row r="82" spans="1:32" ht="15.75" customHeight="1">
      <c r="A82" s="114" t="s">
        <v>159</v>
      </c>
      <c r="B82" s="114" t="s">
        <v>679</v>
      </c>
      <c r="C82" s="114" t="s">
        <v>563</v>
      </c>
      <c r="D82" s="114" t="s">
        <v>680</v>
      </c>
      <c r="E82" s="114" t="s">
        <v>565</v>
      </c>
      <c r="F82" s="114" t="s">
        <v>681</v>
      </c>
      <c r="G82" s="114" t="s">
        <v>544</v>
      </c>
      <c r="H82" s="115">
        <v>3</v>
      </c>
      <c r="I82" s="114" t="s">
        <v>551</v>
      </c>
      <c r="J82" s="116">
        <f t="shared" si="14"/>
        <v>1.27</v>
      </c>
      <c r="K82" s="97" t="str">
        <f>IFERROR(IF(VLOOKUP(D82,'Ficha de Produção'!C:C,1,0)=D82,"OK","Custo Produção Não Cadastrado"),"Custo Produção Não Cadastrado")</f>
        <v>OK</v>
      </c>
      <c r="L82" s="97" t="str">
        <f>IFERROR(IF(VLOOKUP(A82,'Ficha de Embalagens'!A:A,1,0)=A82,"OK","Ficha de Embalagens Não Cadastrada"),"Ficha de Embalagens Não Cadastrada")</f>
        <v>OK</v>
      </c>
      <c r="M82" s="117">
        <f>SUMIFS('Ficha de Produção'!N:N,'Ficha de Produção'!C:C,D82)*H82</f>
        <v>8.370000000000001</v>
      </c>
      <c r="N82" s="117">
        <f>SUMIFS('Ficha de Embalagens'!F:F,'Ficha de Embalagens'!A:A,A82)</f>
        <v>3.44</v>
      </c>
      <c r="O82" s="97">
        <f t="shared" si="15"/>
        <v>11.81</v>
      </c>
      <c r="P82" s="97">
        <f t="shared" si="16"/>
        <v>0.92999999999999994</v>
      </c>
      <c r="Q82" s="118">
        <f t="shared" si="17"/>
        <v>12.74</v>
      </c>
      <c r="R82" s="97">
        <f t="shared" si="18"/>
        <v>1.25</v>
      </c>
      <c r="S82" s="97">
        <f t="shared" si="19"/>
        <v>1.7500000000000002</v>
      </c>
      <c r="T82" s="118">
        <f t="shared" si="20"/>
        <v>15.74</v>
      </c>
      <c r="U82" s="119">
        <v>25</v>
      </c>
      <c r="V82" s="120">
        <f t="shared" si="21"/>
        <v>0.37040000000000001</v>
      </c>
      <c r="W82" s="121">
        <f t="shared" si="22"/>
        <v>14.48</v>
      </c>
      <c r="AB82" s="125">
        <f t="shared" si="23"/>
        <v>12.74</v>
      </c>
      <c r="AC82" s="125">
        <f t="shared" si="24"/>
        <v>21.999999999999996</v>
      </c>
      <c r="AD82" s="126">
        <f t="shared" si="25"/>
        <v>9.2599999999999962</v>
      </c>
      <c r="AE82" s="127">
        <f t="shared" si="26"/>
        <v>0.42090909090909079</v>
      </c>
      <c r="AF82" s="128">
        <f t="shared" si="27"/>
        <v>14.48</v>
      </c>
    </row>
    <row r="83" spans="1:32" ht="15.75" customHeight="1">
      <c r="A83" s="114" t="s">
        <v>160</v>
      </c>
      <c r="B83" s="114" t="s">
        <v>682</v>
      </c>
      <c r="C83" s="114" t="s">
        <v>563</v>
      </c>
      <c r="D83" s="114" t="s">
        <v>683</v>
      </c>
      <c r="E83" s="114" t="s">
        <v>565</v>
      </c>
      <c r="F83" s="114" t="s">
        <v>608</v>
      </c>
      <c r="G83" s="114" t="s">
        <v>556</v>
      </c>
      <c r="H83" s="115">
        <v>3</v>
      </c>
      <c r="I83" s="114" t="s">
        <v>551</v>
      </c>
      <c r="J83" s="116">
        <f t="shared" si="14"/>
        <v>1.27</v>
      </c>
      <c r="K83" s="97" t="str">
        <f>IFERROR(IF(VLOOKUP(D83,'Ficha de Produção'!C:C,1,0)=D83,"OK","Custo Produção Não Cadastrado"),"Custo Produção Não Cadastrado")</f>
        <v>Custo Produção Não Cadastrado</v>
      </c>
      <c r="L83" s="97" t="str">
        <f>IFERROR(IF(VLOOKUP(A83,'Ficha de Embalagens'!A:A,1,0)=A83,"OK","Ficha de Embalagens Não Cadastrada"),"Ficha de Embalagens Não Cadastrada")</f>
        <v>OK</v>
      </c>
      <c r="M83" s="117">
        <f>SUMIFS('Ficha de Produção'!N:N,'Ficha de Produção'!C:C,D83)*H83</f>
        <v>0</v>
      </c>
      <c r="N83" s="117">
        <f>SUMIFS('Ficha de Embalagens'!F:F,'Ficha de Embalagens'!A:A,A83)</f>
        <v>3.44</v>
      </c>
      <c r="O83" s="97">
        <f t="shared" si="15"/>
        <v>3.44</v>
      </c>
      <c r="P83" s="97">
        <f t="shared" si="16"/>
        <v>0</v>
      </c>
      <c r="Q83" s="118">
        <f t="shared" si="17"/>
        <v>3.44</v>
      </c>
      <c r="R83" s="97">
        <f t="shared" si="18"/>
        <v>1.25</v>
      </c>
      <c r="S83" s="97">
        <f t="shared" si="19"/>
        <v>1.7500000000000002</v>
      </c>
      <c r="T83" s="118">
        <f t="shared" si="20"/>
        <v>6.4399999999999995</v>
      </c>
      <c r="U83" s="119">
        <v>25</v>
      </c>
      <c r="V83" s="120" t="str">
        <f t="shared" si="21"/>
        <v>Cadastrar Ficha de Produção</v>
      </c>
      <c r="W83" s="121" t="str">
        <f t="shared" si="22"/>
        <v>Cadastrar Ficha de Produção</v>
      </c>
      <c r="AB83" s="125">
        <f t="shared" si="23"/>
        <v>3.44</v>
      </c>
      <c r="AC83" s="125">
        <f t="shared" si="24"/>
        <v>21.999999999999996</v>
      </c>
      <c r="AD83" s="126">
        <f t="shared" si="25"/>
        <v>18.559999999999995</v>
      </c>
      <c r="AE83" s="127">
        <f t="shared" si="26"/>
        <v>0.84363636363636352</v>
      </c>
      <c r="AF83" s="128">
        <f t="shared" si="27"/>
        <v>3.9099999999999997</v>
      </c>
    </row>
    <row r="84" spans="1:32" ht="15.75" customHeight="1">
      <c r="A84" s="114" t="s">
        <v>161</v>
      </c>
      <c r="B84" s="114" t="s">
        <v>684</v>
      </c>
      <c r="C84" s="114" t="s">
        <v>563</v>
      </c>
      <c r="D84" s="114" t="s">
        <v>685</v>
      </c>
      <c r="E84" s="114" t="s">
        <v>565</v>
      </c>
      <c r="F84" s="114" t="s">
        <v>686</v>
      </c>
      <c r="G84" s="114" t="s">
        <v>544</v>
      </c>
      <c r="H84" s="115">
        <v>3</v>
      </c>
      <c r="I84" s="114" t="s">
        <v>551</v>
      </c>
      <c r="J84" s="116">
        <f t="shared" si="14"/>
        <v>1.27</v>
      </c>
      <c r="K84" s="97" t="str">
        <f>IFERROR(IF(VLOOKUP(D84,'Ficha de Produção'!C:C,1,0)=D84,"OK","Custo Produção Não Cadastrado"),"Custo Produção Não Cadastrado")</f>
        <v>OK</v>
      </c>
      <c r="L84" s="97" t="str">
        <f>IFERROR(IF(VLOOKUP(A84,'Ficha de Embalagens'!A:A,1,0)=A84,"OK","Ficha de Embalagens Não Cadastrada"),"Ficha de Embalagens Não Cadastrada")</f>
        <v>OK</v>
      </c>
      <c r="M84" s="117">
        <f>SUMIFS('Ficha de Produção'!N:N,'Ficha de Produção'!C:C,D84)*H84</f>
        <v>9.3899999999999988</v>
      </c>
      <c r="N84" s="117">
        <f>SUMIFS('Ficha de Embalagens'!F:F,'Ficha de Embalagens'!A:A,A84)</f>
        <v>3.44</v>
      </c>
      <c r="O84" s="97">
        <f t="shared" si="15"/>
        <v>12.829999999999998</v>
      </c>
      <c r="P84" s="97">
        <f t="shared" si="16"/>
        <v>0.92999999999999994</v>
      </c>
      <c r="Q84" s="118">
        <f t="shared" si="17"/>
        <v>13.759999999999998</v>
      </c>
      <c r="R84" s="97">
        <f t="shared" si="18"/>
        <v>1.25</v>
      </c>
      <c r="S84" s="97">
        <f t="shared" si="19"/>
        <v>1.7500000000000002</v>
      </c>
      <c r="T84" s="118">
        <f t="shared" si="20"/>
        <v>16.759999999999998</v>
      </c>
      <c r="U84" s="119">
        <v>25</v>
      </c>
      <c r="V84" s="120">
        <f t="shared" si="21"/>
        <v>0.32960000000000006</v>
      </c>
      <c r="W84" s="121">
        <f t="shared" si="22"/>
        <v>15.64</v>
      </c>
      <c r="AB84" s="125">
        <f t="shared" si="23"/>
        <v>13.759999999999998</v>
      </c>
      <c r="AC84" s="125">
        <f t="shared" si="24"/>
        <v>21.999999999999996</v>
      </c>
      <c r="AD84" s="126">
        <f t="shared" si="25"/>
        <v>8.2399999999999984</v>
      </c>
      <c r="AE84" s="127">
        <f t="shared" si="26"/>
        <v>0.37454545454545451</v>
      </c>
      <c r="AF84" s="128">
        <f t="shared" si="27"/>
        <v>15.64</v>
      </c>
    </row>
    <row r="85" spans="1:32" ht="15.75" customHeight="1">
      <c r="A85" s="114" t="s">
        <v>162</v>
      </c>
      <c r="B85" s="114" t="s">
        <v>687</v>
      </c>
      <c r="C85" s="114" t="s">
        <v>563</v>
      </c>
      <c r="D85" s="114" t="s">
        <v>688</v>
      </c>
      <c r="E85" s="114" t="s">
        <v>565</v>
      </c>
      <c r="F85" s="114" t="s">
        <v>689</v>
      </c>
      <c r="G85" s="114" t="s">
        <v>556</v>
      </c>
      <c r="H85" s="115">
        <v>3</v>
      </c>
      <c r="I85" s="114" t="s">
        <v>551</v>
      </c>
      <c r="J85" s="116">
        <f t="shared" si="14"/>
        <v>1.27</v>
      </c>
      <c r="K85" s="97" t="str">
        <f>IFERROR(IF(VLOOKUP(D85,'Ficha de Produção'!C:C,1,0)=D85,"OK","Custo Produção Não Cadastrado"),"Custo Produção Não Cadastrado")</f>
        <v>Custo Produção Não Cadastrado</v>
      </c>
      <c r="L85" s="97" t="str">
        <f>IFERROR(IF(VLOOKUP(A85,'Ficha de Embalagens'!A:A,1,0)=A85,"OK","Ficha de Embalagens Não Cadastrada"),"Ficha de Embalagens Não Cadastrada")</f>
        <v>OK</v>
      </c>
      <c r="M85" s="117">
        <f>SUMIFS('Ficha de Produção'!N:N,'Ficha de Produção'!C:C,D85)*H85</f>
        <v>0</v>
      </c>
      <c r="N85" s="117">
        <f>SUMIFS('Ficha de Embalagens'!F:F,'Ficha de Embalagens'!A:A,A85)</f>
        <v>3.44</v>
      </c>
      <c r="O85" s="97">
        <f t="shared" si="15"/>
        <v>3.44</v>
      </c>
      <c r="P85" s="97">
        <f t="shared" si="16"/>
        <v>0</v>
      </c>
      <c r="Q85" s="118">
        <f t="shared" si="17"/>
        <v>3.44</v>
      </c>
      <c r="R85" s="97">
        <f t="shared" si="18"/>
        <v>1.25</v>
      </c>
      <c r="S85" s="97">
        <f t="shared" si="19"/>
        <v>1.7500000000000002</v>
      </c>
      <c r="T85" s="118">
        <f t="shared" si="20"/>
        <v>6.4399999999999995</v>
      </c>
      <c r="U85" s="119">
        <v>25</v>
      </c>
      <c r="V85" s="120" t="str">
        <f t="shared" si="21"/>
        <v>Cadastrar Ficha de Produção</v>
      </c>
      <c r="W85" s="121" t="str">
        <f t="shared" si="22"/>
        <v>Cadastrar Ficha de Produção</v>
      </c>
      <c r="AB85" s="125">
        <f t="shared" si="23"/>
        <v>3.44</v>
      </c>
      <c r="AC85" s="125">
        <f t="shared" si="24"/>
        <v>21.999999999999996</v>
      </c>
      <c r="AD85" s="126">
        <f t="shared" si="25"/>
        <v>18.559999999999995</v>
      </c>
      <c r="AE85" s="127">
        <f t="shared" si="26"/>
        <v>0.84363636363636352</v>
      </c>
      <c r="AF85" s="128">
        <f t="shared" si="27"/>
        <v>3.9099999999999997</v>
      </c>
    </row>
    <row r="86" spans="1:32" ht="15.75" customHeight="1">
      <c r="A86" s="114" t="s">
        <v>163</v>
      </c>
      <c r="B86" s="114" t="s">
        <v>690</v>
      </c>
      <c r="C86" s="114" t="s">
        <v>563</v>
      </c>
      <c r="D86" s="114" t="s">
        <v>691</v>
      </c>
      <c r="E86" s="114" t="s">
        <v>565</v>
      </c>
      <c r="F86" s="114" t="s">
        <v>692</v>
      </c>
      <c r="G86" s="114" t="s">
        <v>556</v>
      </c>
      <c r="H86" s="115">
        <v>3</v>
      </c>
      <c r="I86" s="114" t="s">
        <v>551</v>
      </c>
      <c r="J86" s="116">
        <f t="shared" si="14"/>
        <v>1.27</v>
      </c>
      <c r="K86" s="97" t="str">
        <f>IFERROR(IF(VLOOKUP(D86,'Ficha de Produção'!C:C,1,0)=D86,"OK","Custo Produção Não Cadastrado"),"Custo Produção Não Cadastrado")</f>
        <v>Custo Produção Não Cadastrado</v>
      </c>
      <c r="L86" s="97" t="str">
        <f>IFERROR(IF(VLOOKUP(A86,'Ficha de Embalagens'!A:A,1,0)=A86,"OK","Ficha de Embalagens Não Cadastrada"),"Ficha de Embalagens Não Cadastrada")</f>
        <v>OK</v>
      </c>
      <c r="M86" s="117">
        <f>SUMIFS('Ficha de Produção'!N:N,'Ficha de Produção'!C:C,D86)*H86</f>
        <v>0</v>
      </c>
      <c r="N86" s="117">
        <f>SUMIFS('Ficha de Embalagens'!F:F,'Ficha de Embalagens'!A:A,A86)</f>
        <v>3.44</v>
      </c>
      <c r="O86" s="97">
        <f t="shared" si="15"/>
        <v>3.44</v>
      </c>
      <c r="P86" s="97">
        <f t="shared" si="16"/>
        <v>0</v>
      </c>
      <c r="Q86" s="118">
        <f t="shared" si="17"/>
        <v>3.44</v>
      </c>
      <c r="R86" s="97">
        <f t="shared" si="18"/>
        <v>1.25</v>
      </c>
      <c r="S86" s="97">
        <f t="shared" si="19"/>
        <v>1.7500000000000002</v>
      </c>
      <c r="T86" s="118">
        <f t="shared" si="20"/>
        <v>6.4399999999999995</v>
      </c>
      <c r="U86" s="119">
        <v>25</v>
      </c>
      <c r="V86" s="120" t="str">
        <f t="shared" si="21"/>
        <v>Cadastrar Ficha de Produção</v>
      </c>
      <c r="W86" s="121" t="str">
        <f t="shared" si="22"/>
        <v>Cadastrar Ficha de Produção</v>
      </c>
      <c r="AB86" s="125">
        <f t="shared" si="23"/>
        <v>3.44</v>
      </c>
      <c r="AC86" s="125">
        <f t="shared" si="24"/>
        <v>21.999999999999996</v>
      </c>
      <c r="AD86" s="126">
        <f t="shared" si="25"/>
        <v>18.559999999999995</v>
      </c>
      <c r="AE86" s="127">
        <f t="shared" si="26"/>
        <v>0.84363636363636352</v>
      </c>
      <c r="AF86" s="128">
        <f t="shared" si="27"/>
        <v>3.9099999999999997</v>
      </c>
    </row>
    <row r="87" spans="1:32" ht="15.75" customHeight="1">
      <c r="A87" s="114" t="s">
        <v>164</v>
      </c>
      <c r="B87" s="114" t="s">
        <v>693</v>
      </c>
      <c r="C87" s="114" t="s">
        <v>563</v>
      </c>
      <c r="D87" s="114" t="s">
        <v>694</v>
      </c>
      <c r="E87" s="114" t="s">
        <v>565</v>
      </c>
      <c r="F87" s="114" t="s">
        <v>695</v>
      </c>
      <c r="G87" s="114" t="s">
        <v>556</v>
      </c>
      <c r="H87" s="115">
        <v>3</v>
      </c>
      <c r="I87" s="114" t="s">
        <v>551</v>
      </c>
      <c r="J87" s="116">
        <f t="shared" si="14"/>
        <v>1.27</v>
      </c>
      <c r="K87" s="97" t="str">
        <f>IFERROR(IF(VLOOKUP(D87,'Ficha de Produção'!C:C,1,0)=D87,"OK","Custo Produção Não Cadastrado"),"Custo Produção Não Cadastrado")</f>
        <v>Custo Produção Não Cadastrado</v>
      </c>
      <c r="L87" s="97" t="str">
        <f>IFERROR(IF(VLOOKUP(A87,'Ficha de Embalagens'!A:A,1,0)=A87,"OK","Ficha de Embalagens Não Cadastrada"),"Ficha de Embalagens Não Cadastrada")</f>
        <v>OK</v>
      </c>
      <c r="M87" s="117">
        <f>SUMIFS('Ficha de Produção'!N:N,'Ficha de Produção'!C:C,D87)*H87</f>
        <v>0</v>
      </c>
      <c r="N87" s="117">
        <f>SUMIFS('Ficha de Embalagens'!F:F,'Ficha de Embalagens'!A:A,A87)</f>
        <v>3.44</v>
      </c>
      <c r="O87" s="97">
        <f t="shared" si="15"/>
        <v>3.44</v>
      </c>
      <c r="P87" s="97">
        <f t="shared" si="16"/>
        <v>0</v>
      </c>
      <c r="Q87" s="118">
        <f t="shared" si="17"/>
        <v>3.44</v>
      </c>
      <c r="R87" s="97">
        <f t="shared" si="18"/>
        <v>1.25</v>
      </c>
      <c r="S87" s="97">
        <f t="shared" si="19"/>
        <v>1.7500000000000002</v>
      </c>
      <c r="T87" s="118">
        <f t="shared" si="20"/>
        <v>6.4399999999999995</v>
      </c>
      <c r="U87" s="119">
        <v>25</v>
      </c>
      <c r="V87" s="120" t="str">
        <f t="shared" si="21"/>
        <v>Cadastrar Ficha de Produção</v>
      </c>
      <c r="W87" s="121" t="str">
        <f t="shared" si="22"/>
        <v>Cadastrar Ficha de Produção</v>
      </c>
      <c r="AB87" s="125">
        <f t="shared" si="23"/>
        <v>3.44</v>
      </c>
      <c r="AC87" s="125">
        <f t="shared" si="24"/>
        <v>21.999999999999996</v>
      </c>
      <c r="AD87" s="126">
        <f t="shared" si="25"/>
        <v>18.559999999999995</v>
      </c>
      <c r="AE87" s="127">
        <f t="shared" si="26"/>
        <v>0.84363636363636352</v>
      </c>
      <c r="AF87" s="128">
        <f t="shared" si="27"/>
        <v>3.9099999999999997</v>
      </c>
    </row>
    <row r="88" spans="1:32" ht="15.75" customHeight="1">
      <c r="A88" s="114" t="s">
        <v>165</v>
      </c>
      <c r="B88" s="114" t="s">
        <v>696</v>
      </c>
      <c r="C88" s="114" t="s">
        <v>563</v>
      </c>
      <c r="D88" s="114" t="s">
        <v>697</v>
      </c>
      <c r="E88" s="114" t="s">
        <v>565</v>
      </c>
      <c r="F88" s="114" t="s">
        <v>698</v>
      </c>
      <c r="G88" s="114" t="s">
        <v>544</v>
      </c>
      <c r="H88" s="115">
        <v>3</v>
      </c>
      <c r="I88" s="114" t="s">
        <v>551</v>
      </c>
      <c r="J88" s="116">
        <f t="shared" si="14"/>
        <v>1.27</v>
      </c>
      <c r="K88" s="97" t="str">
        <f>IFERROR(IF(VLOOKUP(D88,'Ficha de Produção'!C:C,1,0)=D88,"OK","Custo Produção Não Cadastrado"),"Custo Produção Não Cadastrado")</f>
        <v>OK</v>
      </c>
      <c r="L88" s="97" t="str">
        <f>IFERROR(IF(VLOOKUP(A88,'Ficha de Embalagens'!A:A,1,0)=A88,"OK","Ficha de Embalagens Não Cadastrada"),"Ficha de Embalagens Não Cadastrada")</f>
        <v>OK</v>
      </c>
      <c r="M88" s="117">
        <f>SUMIFS('Ficha de Produção'!N:N,'Ficha de Produção'!C:C,D88)*H88</f>
        <v>7.6799999999999988</v>
      </c>
      <c r="N88" s="117">
        <f>SUMIFS('Ficha de Embalagens'!F:F,'Ficha de Embalagens'!A:A,A88)</f>
        <v>3.44</v>
      </c>
      <c r="O88" s="97">
        <f t="shared" si="15"/>
        <v>11.12</v>
      </c>
      <c r="P88" s="97">
        <f t="shared" si="16"/>
        <v>0.92999999999999994</v>
      </c>
      <c r="Q88" s="118">
        <f t="shared" si="17"/>
        <v>12.049999999999999</v>
      </c>
      <c r="R88" s="97">
        <f t="shared" si="18"/>
        <v>1.25</v>
      </c>
      <c r="S88" s="97">
        <f t="shared" si="19"/>
        <v>1.7500000000000002</v>
      </c>
      <c r="T88" s="118">
        <f t="shared" si="20"/>
        <v>15.049999999999999</v>
      </c>
      <c r="U88" s="119">
        <v>25</v>
      </c>
      <c r="V88" s="120">
        <f t="shared" si="21"/>
        <v>0.39800000000000002</v>
      </c>
      <c r="W88" s="121">
        <f t="shared" si="22"/>
        <v>13.7</v>
      </c>
      <c r="AB88" s="125">
        <f t="shared" si="23"/>
        <v>12.049999999999999</v>
      </c>
      <c r="AC88" s="125">
        <f t="shared" si="24"/>
        <v>21.999999999999996</v>
      </c>
      <c r="AD88" s="126">
        <f t="shared" si="25"/>
        <v>9.9499999999999975</v>
      </c>
      <c r="AE88" s="127">
        <f t="shared" si="26"/>
        <v>0.45227272727272722</v>
      </c>
      <c r="AF88" s="128">
        <f t="shared" si="27"/>
        <v>13.7</v>
      </c>
    </row>
    <row r="89" spans="1:32" ht="15.75" customHeight="1">
      <c r="A89" s="114" t="s">
        <v>166</v>
      </c>
      <c r="B89" s="114" t="s">
        <v>699</v>
      </c>
      <c r="C89" s="114" t="s">
        <v>563</v>
      </c>
      <c r="D89" s="114" t="s">
        <v>700</v>
      </c>
      <c r="E89" s="114" t="s">
        <v>565</v>
      </c>
      <c r="F89" s="114" t="s">
        <v>701</v>
      </c>
      <c r="G89" s="114" t="s">
        <v>544</v>
      </c>
      <c r="H89" s="115">
        <v>3</v>
      </c>
      <c r="I89" s="114" t="s">
        <v>551</v>
      </c>
      <c r="J89" s="116">
        <f t="shared" si="14"/>
        <v>1.27</v>
      </c>
      <c r="K89" s="97" t="str">
        <f>IFERROR(IF(VLOOKUP(D89,'Ficha de Produção'!C:C,1,0)=D89,"OK","Custo Produção Não Cadastrado"),"Custo Produção Não Cadastrado")</f>
        <v>OK</v>
      </c>
      <c r="L89" s="97" t="str">
        <f>IFERROR(IF(VLOOKUP(A89,'Ficha de Embalagens'!A:A,1,0)=A89,"OK","Ficha de Embalagens Não Cadastrada"),"Ficha de Embalagens Não Cadastrada")</f>
        <v>OK</v>
      </c>
      <c r="M89" s="117">
        <f>SUMIFS('Ficha de Produção'!N:N,'Ficha de Produção'!C:C,D89)*H89</f>
        <v>7.7399999999999984</v>
      </c>
      <c r="N89" s="117">
        <f>SUMIFS('Ficha de Embalagens'!F:F,'Ficha de Embalagens'!A:A,A89)</f>
        <v>3.44</v>
      </c>
      <c r="O89" s="97">
        <f t="shared" si="15"/>
        <v>11.179999999999998</v>
      </c>
      <c r="P89" s="97">
        <f t="shared" si="16"/>
        <v>0.92999999999999994</v>
      </c>
      <c r="Q89" s="118">
        <f t="shared" si="17"/>
        <v>12.109999999999998</v>
      </c>
      <c r="R89" s="97">
        <f t="shared" si="18"/>
        <v>1.25</v>
      </c>
      <c r="S89" s="97">
        <f t="shared" si="19"/>
        <v>1.7500000000000002</v>
      </c>
      <c r="T89" s="118">
        <f t="shared" si="20"/>
        <v>15.109999999999998</v>
      </c>
      <c r="U89" s="119">
        <v>25</v>
      </c>
      <c r="V89" s="120">
        <f t="shared" si="21"/>
        <v>0.39560000000000012</v>
      </c>
      <c r="W89" s="121">
        <f t="shared" si="22"/>
        <v>13.77</v>
      </c>
      <c r="AB89" s="125">
        <f t="shared" si="23"/>
        <v>12.109999999999998</v>
      </c>
      <c r="AC89" s="125">
        <f t="shared" si="24"/>
        <v>21.999999999999996</v>
      </c>
      <c r="AD89" s="126">
        <f t="shared" si="25"/>
        <v>9.8899999999999988</v>
      </c>
      <c r="AE89" s="127">
        <f t="shared" si="26"/>
        <v>0.44954545454545458</v>
      </c>
      <c r="AF89" s="128">
        <f t="shared" si="27"/>
        <v>13.77</v>
      </c>
    </row>
    <row r="90" spans="1:32" ht="15.75" customHeight="1">
      <c r="A90" s="114" t="s">
        <v>167</v>
      </c>
      <c r="B90" s="114" t="s">
        <v>702</v>
      </c>
      <c r="C90" s="114" t="s">
        <v>563</v>
      </c>
      <c r="D90" s="114" t="s">
        <v>703</v>
      </c>
      <c r="E90" s="114" t="s">
        <v>610</v>
      </c>
      <c r="F90" s="114" t="s">
        <v>704</v>
      </c>
      <c r="G90" s="114" t="s">
        <v>544</v>
      </c>
      <c r="H90" s="115">
        <v>3</v>
      </c>
      <c r="I90" s="114" t="s">
        <v>551</v>
      </c>
      <c r="J90" s="116">
        <f t="shared" si="14"/>
        <v>1.27</v>
      </c>
      <c r="K90" s="97" t="str">
        <f>IFERROR(IF(VLOOKUP(D90,'Ficha de Produção'!C:C,1,0)=D90,"OK","Custo Produção Não Cadastrado"),"Custo Produção Não Cadastrado")</f>
        <v>OK</v>
      </c>
      <c r="L90" s="97" t="str">
        <f>IFERROR(IF(VLOOKUP(A90,'Ficha de Embalagens'!A:A,1,0)=A90,"OK","Ficha de Embalagens Não Cadastrada"),"Ficha de Embalagens Não Cadastrada")</f>
        <v>OK</v>
      </c>
      <c r="M90" s="117">
        <f>SUMIFS('Ficha de Produção'!N:N,'Ficha de Produção'!C:C,D90)*H90</f>
        <v>21.869999999999997</v>
      </c>
      <c r="N90" s="117">
        <f>SUMIFS('Ficha de Embalagens'!F:F,'Ficha de Embalagens'!A:A,A90)</f>
        <v>3.44</v>
      </c>
      <c r="O90" s="97">
        <f t="shared" si="15"/>
        <v>25.31</v>
      </c>
      <c r="P90" s="97">
        <f t="shared" si="16"/>
        <v>0.92999999999999994</v>
      </c>
      <c r="Q90" s="118">
        <f t="shared" si="17"/>
        <v>26.24</v>
      </c>
      <c r="R90" s="97">
        <f t="shared" si="18"/>
        <v>2.3450000000000002</v>
      </c>
      <c r="S90" s="97">
        <f t="shared" si="19"/>
        <v>3.2830000000000004</v>
      </c>
      <c r="T90" s="118">
        <f t="shared" si="20"/>
        <v>31.867999999999999</v>
      </c>
      <c r="U90" s="130">
        <v>46.9</v>
      </c>
      <c r="V90" s="120">
        <f t="shared" si="21"/>
        <v>0.32051172707889125</v>
      </c>
      <c r="W90" s="121">
        <f t="shared" si="22"/>
        <v>29.82</v>
      </c>
      <c r="AB90" s="125">
        <f t="shared" si="23"/>
        <v>26.24</v>
      </c>
      <c r="AC90" s="125">
        <f t="shared" si="24"/>
        <v>41.271999999999991</v>
      </c>
      <c r="AD90" s="126">
        <f t="shared" si="25"/>
        <v>15.031999999999993</v>
      </c>
      <c r="AE90" s="127">
        <f t="shared" si="26"/>
        <v>0.36421787168055814</v>
      </c>
      <c r="AF90" s="128">
        <f t="shared" si="27"/>
        <v>29.82</v>
      </c>
    </row>
    <row r="91" spans="1:32" ht="15.75" customHeight="1">
      <c r="A91" s="114" t="s">
        <v>168</v>
      </c>
      <c r="B91" s="114" t="s">
        <v>705</v>
      </c>
      <c r="C91" s="114" t="s">
        <v>563</v>
      </c>
      <c r="D91" s="114" t="s">
        <v>706</v>
      </c>
      <c r="E91" s="114" t="s">
        <v>610</v>
      </c>
      <c r="F91" s="114" t="s">
        <v>569</v>
      </c>
      <c r="G91" s="114" t="s">
        <v>544</v>
      </c>
      <c r="H91" s="115">
        <v>3</v>
      </c>
      <c r="I91" s="114" t="s">
        <v>551</v>
      </c>
      <c r="J91" s="116">
        <f t="shared" si="14"/>
        <v>1.27</v>
      </c>
      <c r="K91" s="97" t="str">
        <f>IFERROR(IF(VLOOKUP(D91,'Ficha de Produção'!C:C,1,0)=D91,"OK","Custo Produção Não Cadastrado"),"Custo Produção Não Cadastrado")</f>
        <v>OK</v>
      </c>
      <c r="L91" s="97" t="str">
        <f>IFERROR(IF(VLOOKUP(A91,'Ficha de Embalagens'!A:A,1,0)=A91,"OK","Ficha de Embalagens Não Cadastrada"),"Ficha de Embalagens Não Cadastrada")</f>
        <v>OK</v>
      </c>
      <c r="M91" s="117">
        <f>SUMIFS('Ficha de Produção'!N:N,'Ficha de Produção'!C:C,D91)*H91</f>
        <v>25.439999999999998</v>
      </c>
      <c r="N91" s="117">
        <f>SUMIFS('Ficha de Embalagens'!F:F,'Ficha de Embalagens'!A:A,A91)</f>
        <v>3.44</v>
      </c>
      <c r="O91" s="97">
        <f t="shared" si="15"/>
        <v>28.88</v>
      </c>
      <c r="P91" s="97">
        <f t="shared" si="16"/>
        <v>0.92999999999999994</v>
      </c>
      <c r="Q91" s="118">
        <f t="shared" si="17"/>
        <v>29.81</v>
      </c>
      <c r="R91" s="97">
        <f t="shared" si="18"/>
        <v>2.3450000000000002</v>
      </c>
      <c r="S91" s="97">
        <f t="shared" si="19"/>
        <v>3.2830000000000004</v>
      </c>
      <c r="T91" s="118">
        <f t="shared" si="20"/>
        <v>35.438000000000002</v>
      </c>
      <c r="U91" s="130">
        <v>46.9</v>
      </c>
      <c r="V91" s="120">
        <f t="shared" si="21"/>
        <v>0.24439232409381656</v>
      </c>
      <c r="W91" s="121">
        <f t="shared" si="22"/>
        <v>33.879999999999995</v>
      </c>
      <c r="AB91" s="125">
        <f t="shared" si="23"/>
        <v>29.81</v>
      </c>
      <c r="AC91" s="125">
        <f t="shared" si="24"/>
        <v>41.271999999999991</v>
      </c>
      <c r="AD91" s="126">
        <f t="shared" si="25"/>
        <v>11.461999999999993</v>
      </c>
      <c r="AE91" s="127">
        <f t="shared" si="26"/>
        <v>0.27771855010660967</v>
      </c>
      <c r="AF91" s="128">
        <f t="shared" si="27"/>
        <v>33.879999999999995</v>
      </c>
    </row>
    <row r="92" spans="1:32" ht="15.75" customHeight="1">
      <c r="A92" s="114" t="s">
        <v>169</v>
      </c>
      <c r="B92" s="114" t="s">
        <v>707</v>
      </c>
      <c r="C92" s="114" t="s">
        <v>563</v>
      </c>
      <c r="D92" s="114" t="s">
        <v>708</v>
      </c>
      <c r="E92" s="114" t="s">
        <v>610</v>
      </c>
      <c r="F92" s="114" t="s">
        <v>660</v>
      </c>
      <c r="G92" s="114" t="s">
        <v>544</v>
      </c>
      <c r="H92" s="115">
        <v>3</v>
      </c>
      <c r="I92" s="114" t="s">
        <v>551</v>
      </c>
      <c r="J92" s="116">
        <f t="shared" si="14"/>
        <v>1.27</v>
      </c>
      <c r="K92" s="97" t="str">
        <f>IFERROR(IF(VLOOKUP(D92,'Ficha de Produção'!C:C,1,0)=D92,"OK","Custo Produção Não Cadastrado"),"Custo Produção Não Cadastrado")</f>
        <v>OK</v>
      </c>
      <c r="L92" s="97" t="str">
        <f>IFERROR(IF(VLOOKUP(A92,'Ficha de Embalagens'!A:A,1,0)=A92,"OK","Ficha de Embalagens Não Cadastrada"),"Ficha de Embalagens Não Cadastrada")</f>
        <v>OK</v>
      </c>
      <c r="M92" s="117">
        <f>SUMIFS('Ficha de Produção'!N:N,'Ficha de Produção'!C:C,D92)*H92</f>
        <v>25.47</v>
      </c>
      <c r="N92" s="117">
        <f>SUMIFS('Ficha de Embalagens'!F:F,'Ficha de Embalagens'!A:A,A92)</f>
        <v>3.44</v>
      </c>
      <c r="O92" s="97">
        <f t="shared" si="15"/>
        <v>28.91</v>
      </c>
      <c r="P92" s="97">
        <f t="shared" si="16"/>
        <v>0.92999999999999994</v>
      </c>
      <c r="Q92" s="118">
        <f t="shared" si="17"/>
        <v>29.84</v>
      </c>
      <c r="R92" s="97">
        <f t="shared" si="18"/>
        <v>2.3450000000000002</v>
      </c>
      <c r="S92" s="97">
        <f t="shared" si="19"/>
        <v>3.2830000000000004</v>
      </c>
      <c r="T92" s="118">
        <f t="shared" si="20"/>
        <v>35.468000000000004</v>
      </c>
      <c r="U92" s="130">
        <v>46.9</v>
      </c>
      <c r="V92" s="120">
        <f t="shared" si="21"/>
        <v>0.24375266524520245</v>
      </c>
      <c r="W92" s="121">
        <f t="shared" si="22"/>
        <v>33.909999999999997</v>
      </c>
      <c r="AB92" s="125">
        <f t="shared" si="23"/>
        <v>29.84</v>
      </c>
      <c r="AC92" s="125">
        <f t="shared" si="24"/>
        <v>41.271999999999991</v>
      </c>
      <c r="AD92" s="126">
        <f t="shared" si="25"/>
        <v>11.431999999999992</v>
      </c>
      <c r="AE92" s="127">
        <f t="shared" si="26"/>
        <v>0.27699166505136641</v>
      </c>
      <c r="AF92" s="128">
        <f t="shared" si="27"/>
        <v>33.909999999999997</v>
      </c>
    </row>
    <row r="93" spans="1:32" ht="15.75" customHeight="1">
      <c r="A93" s="114" t="s">
        <v>170</v>
      </c>
      <c r="B93" s="114" t="s">
        <v>709</v>
      </c>
      <c r="C93" s="114" t="s">
        <v>563</v>
      </c>
      <c r="D93" s="114" t="s">
        <v>710</v>
      </c>
      <c r="E93" s="114" t="s">
        <v>610</v>
      </c>
      <c r="F93" s="114" t="s">
        <v>572</v>
      </c>
      <c r="G93" s="114" t="s">
        <v>544</v>
      </c>
      <c r="H93" s="115">
        <v>3</v>
      </c>
      <c r="I93" s="114" t="s">
        <v>551</v>
      </c>
      <c r="J93" s="116">
        <f t="shared" si="14"/>
        <v>1.27</v>
      </c>
      <c r="K93" s="97" t="str">
        <f>IFERROR(IF(VLOOKUP(D93,'Ficha de Produção'!C:C,1,0)=D93,"OK","Custo Produção Não Cadastrado"),"Custo Produção Não Cadastrado")</f>
        <v>OK</v>
      </c>
      <c r="L93" s="97" t="str">
        <f>IFERROR(IF(VLOOKUP(A93,'Ficha de Embalagens'!A:A,1,0)=A93,"OK","Ficha de Embalagens Não Cadastrada"),"Ficha de Embalagens Não Cadastrada")</f>
        <v>OK</v>
      </c>
      <c r="M93" s="117">
        <f>SUMIFS('Ficha de Produção'!N:N,'Ficha de Produção'!C:C,D93)*H93</f>
        <v>24.21</v>
      </c>
      <c r="N93" s="117">
        <f>SUMIFS('Ficha de Embalagens'!F:F,'Ficha de Embalagens'!A:A,A93)</f>
        <v>3.44</v>
      </c>
      <c r="O93" s="97">
        <f t="shared" si="15"/>
        <v>27.650000000000002</v>
      </c>
      <c r="P93" s="97">
        <f t="shared" si="16"/>
        <v>0.92999999999999994</v>
      </c>
      <c r="Q93" s="118">
        <f t="shared" si="17"/>
        <v>28.580000000000002</v>
      </c>
      <c r="R93" s="97">
        <f t="shared" si="18"/>
        <v>2.3450000000000002</v>
      </c>
      <c r="S93" s="97">
        <f t="shared" si="19"/>
        <v>3.2830000000000004</v>
      </c>
      <c r="T93" s="118">
        <f t="shared" si="20"/>
        <v>34.207999999999998</v>
      </c>
      <c r="U93" s="130">
        <v>46.9</v>
      </c>
      <c r="V93" s="120">
        <f t="shared" si="21"/>
        <v>0.2706183368869936</v>
      </c>
      <c r="W93" s="121">
        <f t="shared" si="22"/>
        <v>32.479999999999997</v>
      </c>
      <c r="AB93" s="125">
        <f t="shared" si="23"/>
        <v>28.580000000000002</v>
      </c>
      <c r="AC93" s="125">
        <f t="shared" si="24"/>
        <v>41.271999999999991</v>
      </c>
      <c r="AD93" s="126">
        <f t="shared" si="25"/>
        <v>12.69199999999999</v>
      </c>
      <c r="AE93" s="127">
        <f t="shared" si="26"/>
        <v>0.30752083737158348</v>
      </c>
      <c r="AF93" s="128">
        <f t="shared" si="27"/>
        <v>32.479999999999997</v>
      </c>
    </row>
    <row r="94" spans="1:32" ht="15.75" customHeight="1">
      <c r="A94" s="114" t="s">
        <v>171</v>
      </c>
      <c r="B94" s="114" t="s">
        <v>711</v>
      </c>
      <c r="C94" s="114" t="s">
        <v>563</v>
      </c>
      <c r="D94" s="114" t="s">
        <v>712</v>
      </c>
      <c r="E94" s="114" t="s">
        <v>610</v>
      </c>
      <c r="F94" s="114" t="s">
        <v>599</v>
      </c>
      <c r="G94" s="114" t="s">
        <v>544</v>
      </c>
      <c r="H94" s="115">
        <v>3</v>
      </c>
      <c r="I94" s="114" t="s">
        <v>551</v>
      </c>
      <c r="J94" s="116">
        <f t="shared" si="14"/>
        <v>1.27</v>
      </c>
      <c r="K94" s="97" t="str">
        <f>IFERROR(IF(VLOOKUP(D94,'Ficha de Produção'!C:C,1,0)=D94,"OK","Custo Produção Não Cadastrado"),"Custo Produção Não Cadastrado")</f>
        <v>OK</v>
      </c>
      <c r="L94" s="97" t="str">
        <f>IFERROR(IF(VLOOKUP(A94,'Ficha de Embalagens'!A:A,1,0)=A94,"OK","Ficha de Embalagens Não Cadastrada"),"Ficha de Embalagens Não Cadastrada")</f>
        <v>OK</v>
      </c>
      <c r="M94" s="117">
        <f>SUMIFS('Ficha de Produção'!N:N,'Ficha de Produção'!C:C,D94)*H94</f>
        <v>25.559999999999995</v>
      </c>
      <c r="N94" s="117">
        <f>SUMIFS('Ficha de Embalagens'!F:F,'Ficha de Embalagens'!A:A,A94)</f>
        <v>3.44</v>
      </c>
      <c r="O94" s="97">
        <f t="shared" si="15"/>
        <v>28.999999999999996</v>
      </c>
      <c r="P94" s="97">
        <f t="shared" si="16"/>
        <v>0.92999999999999994</v>
      </c>
      <c r="Q94" s="118">
        <f t="shared" si="17"/>
        <v>29.929999999999996</v>
      </c>
      <c r="R94" s="97">
        <f t="shared" si="18"/>
        <v>2.3450000000000002</v>
      </c>
      <c r="S94" s="97">
        <f t="shared" si="19"/>
        <v>3.2830000000000004</v>
      </c>
      <c r="T94" s="118">
        <f t="shared" si="20"/>
        <v>35.558</v>
      </c>
      <c r="U94" s="130">
        <v>46.9</v>
      </c>
      <c r="V94" s="120">
        <f t="shared" si="21"/>
        <v>0.24183368869936031</v>
      </c>
      <c r="W94" s="121">
        <f t="shared" si="22"/>
        <v>34.019999999999996</v>
      </c>
      <c r="AB94" s="125">
        <f t="shared" si="23"/>
        <v>29.929999999999996</v>
      </c>
      <c r="AC94" s="125">
        <f t="shared" si="24"/>
        <v>41.271999999999991</v>
      </c>
      <c r="AD94" s="126">
        <f t="shared" si="25"/>
        <v>11.341999999999995</v>
      </c>
      <c r="AE94" s="127">
        <f t="shared" si="26"/>
        <v>0.27481100988563667</v>
      </c>
      <c r="AF94" s="128">
        <f t="shared" si="27"/>
        <v>34.019999999999996</v>
      </c>
    </row>
    <row r="95" spans="1:32" ht="15.75" customHeight="1">
      <c r="A95" s="114" t="s">
        <v>172</v>
      </c>
      <c r="B95" s="114" t="s">
        <v>713</v>
      </c>
      <c r="C95" s="114" t="s">
        <v>563</v>
      </c>
      <c r="D95" s="114" t="s">
        <v>714</v>
      </c>
      <c r="E95" s="114" t="s">
        <v>610</v>
      </c>
      <c r="F95" s="114" t="s">
        <v>667</v>
      </c>
      <c r="G95" s="114" t="s">
        <v>544</v>
      </c>
      <c r="H95" s="115">
        <v>3</v>
      </c>
      <c r="I95" s="114" t="s">
        <v>551</v>
      </c>
      <c r="J95" s="116">
        <f t="shared" si="14"/>
        <v>1.27</v>
      </c>
      <c r="K95" s="97" t="str">
        <f>IFERROR(IF(VLOOKUP(D95,'Ficha de Produção'!C:C,1,0)=D95,"OK","Custo Produção Não Cadastrado"),"Custo Produção Não Cadastrado")</f>
        <v>OK</v>
      </c>
      <c r="L95" s="97" t="str">
        <f>IFERROR(IF(VLOOKUP(A95,'Ficha de Embalagens'!A:A,1,0)=A95,"OK","Ficha de Embalagens Não Cadastrada"),"Ficha de Embalagens Não Cadastrada")</f>
        <v>OK</v>
      </c>
      <c r="M95" s="117">
        <f>SUMIFS('Ficha de Produção'!N:N,'Ficha de Produção'!C:C,D95)*H95</f>
        <v>23.999999999999996</v>
      </c>
      <c r="N95" s="117">
        <f>SUMIFS('Ficha de Embalagens'!F:F,'Ficha de Embalagens'!A:A,A95)</f>
        <v>3.44</v>
      </c>
      <c r="O95" s="97">
        <f t="shared" si="15"/>
        <v>27.439999999999998</v>
      </c>
      <c r="P95" s="97">
        <f t="shared" si="16"/>
        <v>0.92999999999999994</v>
      </c>
      <c r="Q95" s="118">
        <f t="shared" si="17"/>
        <v>28.369999999999997</v>
      </c>
      <c r="R95" s="97">
        <f t="shared" si="18"/>
        <v>2.3450000000000002</v>
      </c>
      <c r="S95" s="97">
        <f t="shared" si="19"/>
        <v>3.2830000000000004</v>
      </c>
      <c r="T95" s="118">
        <f t="shared" si="20"/>
        <v>33.997999999999998</v>
      </c>
      <c r="U95" s="130">
        <v>46.9</v>
      </c>
      <c r="V95" s="120">
        <f t="shared" si="21"/>
        <v>0.27509594882729216</v>
      </c>
      <c r="W95" s="121">
        <f t="shared" si="22"/>
        <v>32.239999999999995</v>
      </c>
      <c r="AB95" s="125">
        <f t="shared" si="23"/>
        <v>28.369999999999997</v>
      </c>
      <c r="AC95" s="125">
        <f t="shared" si="24"/>
        <v>41.271999999999991</v>
      </c>
      <c r="AD95" s="126">
        <f t="shared" si="25"/>
        <v>12.901999999999994</v>
      </c>
      <c r="AE95" s="127">
        <f t="shared" si="26"/>
        <v>0.31260903275828639</v>
      </c>
      <c r="AF95" s="128">
        <f t="shared" si="27"/>
        <v>32.239999999999995</v>
      </c>
    </row>
    <row r="96" spans="1:32" ht="15.75" customHeight="1">
      <c r="A96" s="114" t="s">
        <v>173</v>
      </c>
      <c r="B96" s="114" t="s">
        <v>715</v>
      </c>
      <c r="C96" s="114" t="s">
        <v>563</v>
      </c>
      <c r="D96" s="114" t="s">
        <v>716</v>
      </c>
      <c r="E96" s="114" t="s">
        <v>610</v>
      </c>
      <c r="F96" s="114" t="s">
        <v>670</v>
      </c>
      <c r="G96" s="114" t="s">
        <v>544</v>
      </c>
      <c r="H96" s="115">
        <v>3</v>
      </c>
      <c r="I96" s="114" t="s">
        <v>551</v>
      </c>
      <c r="J96" s="116">
        <f t="shared" si="14"/>
        <v>1.27</v>
      </c>
      <c r="K96" s="97" t="str">
        <f>IFERROR(IF(VLOOKUP(D96,'Ficha de Produção'!C:C,1,0)=D96,"OK","Custo Produção Não Cadastrado"),"Custo Produção Não Cadastrado")</f>
        <v>OK</v>
      </c>
      <c r="L96" s="97" t="str">
        <f>IFERROR(IF(VLOOKUP(A96,'Ficha de Embalagens'!A:A,1,0)=A96,"OK","Ficha de Embalagens Não Cadastrada"),"Ficha de Embalagens Não Cadastrada")</f>
        <v>OK</v>
      </c>
      <c r="M96" s="117">
        <f>SUMIFS('Ficha de Produção'!N:N,'Ficha de Produção'!C:C,D96)*H96</f>
        <v>21.72</v>
      </c>
      <c r="N96" s="117">
        <f>SUMIFS('Ficha de Embalagens'!F:F,'Ficha de Embalagens'!A:A,A96)</f>
        <v>3.44</v>
      </c>
      <c r="O96" s="97">
        <f t="shared" si="15"/>
        <v>25.16</v>
      </c>
      <c r="P96" s="97">
        <f t="shared" si="16"/>
        <v>0.92999999999999994</v>
      </c>
      <c r="Q96" s="118">
        <f t="shared" si="17"/>
        <v>26.09</v>
      </c>
      <c r="R96" s="97">
        <f t="shared" si="18"/>
        <v>2.3450000000000002</v>
      </c>
      <c r="S96" s="97">
        <f t="shared" si="19"/>
        <v>3.2830000000000004</v>
      </c>
      <c r="T96" s="118">
        <f t="shared" si="20"/>
        <v>31.718</v>
      </c>
      <c r="U96" s="130">
        <v>46.9</v>
      </c>
      <c r="V96" s="120">
        <f t="shared" si="21"/>
        <v>0.32371002132196158</v>
      </c>
      <c r="W96" s="121">
        <f t="shared" si="22"/>
        <v>29.650000000000002</v>
      </c>
      <c r="AB96" s="125">
        <f t="shared" si="23"/>
        <v>26.09</v>
      </c>
      <c r="AC96" s="125">
        <f t="shared" si="24"/>
        <v>41.271999999999991</v>
      </c>
      <c r="AD96" s="126">
        <f t="shared" si="25"/>
        <v>15.181999999999992</v>
      </c>
      <c r="AE96" s="127">
        <f t="shared" si="26"/>
        <v>0.36785229695677446</v>
      </c>
      <c r="AF96" s="128">
        <f t="shared" si="27"/>
        <v>29.650000000000002</v>
      </c>
    </row>
    <row r="97" spans="1:32" ht="15.75" customHeight="1">
      <c r="A97" s="114" t="s">
        <v>174</v>
      </c>
      <c r="B97" s="114" t="s">
        <v>717</v>
      </c>
      <c r="C97" s="114" t="s">
        <v>563</v>
      </c>
      <c r="D97" s="114" t="s">
        <v>718</v>
      </c>
      <c r="E97" s="114" t="s">
        <v>610</v>
      </c>
      <c r="F97" s="114" t="s">
        <v>581</v>
      </c>
      <c r="G97" s="114" t="s">
        <v>544</v>
      </c>
      <c r="H97" s="115">
        <v>3</v>
      </c>
      <c r="I97" s="114" t="s">
        <v>551</v>
      </c>
      <c r="J97" s="116">
        <f t="shared" si="14"/>
        <v>1.27</v>
      </c>
      <c r="K97" s="97" t="str">
        <f>IFERROR(IF(VLOOKUP(D97,'Ficha de Produção'!C:C,1,0)=D97,"OK","Custo Produção Não Cadastrado"),"Custo Produção Não Cadastrado")</f>
        <v>OK</v>
      </c>
      <c r="L97" s="97" t="str">
        <f>IFERROR(IF(VLOOKUP(A97,'Ficha de Embalagens'!A:A,1,0)=A97,"OK","Ficha de Embalagens Não Cadastrada"),"Ficha de Embalagens Não Cadastrada")</f>
        <v>OK</v>
      </c>
      <c r="M97" s="117">
        <f>SUMIFS('Ficha de Produção'!N:N,'Ficha de Produção'!C:C,D97)*H97</f>
        <v>23.79</v>
      </c>
      <c r="N97" s="117">
        <f>SUMIFS('Ficha de Embalagens'!F:F,'Ficha de Embalagens'!A:A,A97)</f>
        <v>3.44</v>
      </c>
      <c r="O97" s="97">
        <f t="shared" si="15"/>
        <v>27.23</v>
      </c>
      <c r="P97" s="97">
        <f t="shared" si="16"/>
        <v>0.92999999999999994</v>
      </c>
      <c r="Q97" s="118">
        <f t="shared" si="17"/>
        <v>28.16</v>
      </c>
      <c r="R97" s="97">
        <f t="shared" si="18"/>
        <v>2.3450000000000002</v>
      </c>
      <c r="S97" s="97">
        <f t="shared" si="19"/>
        <v>3.2830000000000004</v>
      </c>
      <c r="T97" s="118">
        <f t="shared" si="20"/>
        <v>33.787999999999997</v>
      </c>
      <c r="U97" s="130">
        <v>46.9</v>
      </c>
      <c r="V97" s="120">
        <f t="shared" si="21"/>
        <v>0.27957356076759066</v>
      </c>
      <c r="W97" s="121">
        <f t="shared" si="22"/>
        <v>32</v>
      </c>
      <c r="AB97" s="125">
        <f t="shared" si="23"/>
        <v>28.16</v>
      </c>
      <c r="AC97" s="125">
        <f t="shared" si="24"/>
        <v>41.271999999999991</v>
      </c>
      <c r="AD97" s="126">
        <f t="shared" si="25"/>
        <v>13.111999999999991</v>
      </c>
      <c r="AE97" s="127">
        <f t="shared" si="26"/>
        <v>0.31769722814498919</v>
      </c>
      <c r="AF97" s="128">
        <f t="shared" si="27"/>
        <v>32</v>
      </c>
    </row>
    <row r="98" spans="1:32" ht="15.75" customHeight="1">
      <c r="A98" s="114" t="s">
        <v>175</v>
      </c>
      <c r="B98" s="114" t="s">
        <v>719</v>
      </c>
      <c r="C98" s="114" t="s">
        <v>563</v>
      </c>
      <c r="D98" s="114" t="s">
        <v>720</v>
      </c>
      <c r="E98" s="114" t="s">
        <v>610</v>
      </c>
      <c r="F98" s="114" t="s">
        <v>675</v>
      </c>
      <c r="G98" s="114" t="s">
        <v>544</v>
      </c>
      <c r="H98" s="115">
        <v>3</v>
      </c>
      <c r="I98" s="114" t="s">
        <v>551</v>
      </c>
      <c r="J98" s="116">
        <f t="shared" si="14"/>
        <v>1.27</v>
      </c>
      <c r="K98" s="97" t="str">
        <f>IFERROR(IF(VLOOKUP(D98,'Ficha de Produção'!C:C,1,0)=D98,"OK","Custo Produção Não Cadastrado"),"Custo Produção Não Cadastrado")</f>
        <v>OK</v>
      </c>
      <c r="L98" s="97" t="str">
        <f>IFERROR(IF(VLOOKUP(A98,'Ficha de Embalagens'!A:A,1,0)=A98,"OK","Ficha de Embalagens Não Cadastrada"),"Ficha de Embalagens Não Cadastrada")</f>
        <v>OK</v>
      </c>
      <c r="M98" s="117">
        <f>SUMIFS('Ficha de Produção'!N:N,'Ficha de Produção'!C:C,D98)*H98</f>
        <v>23.279999999999998</v>
      </c>
      <c r="N98" s="117">
        <f>SUMIFS('Ficha de Embalagens'!F:F,'Ficha de Embalagens'!A:A,A98)</f>
        <v>3.44</v>
      </c>
      <c r="O98" s="97">
        <f t="shared" si="15"/>
        <v>26.72</v>
      </c>
      <c r="P98" s="97">
        <f t="shared" si="16"/>
        <v>0.92999999999999994</v>
      </c>
      <c r="Q98" s="118">
        <f t="shared" si="17"/>
        <v>27.65</v>
      </c>
      <c r="R98" s="97">
        <f t="shared" si="18"/>
        <v>2.3450000000000002</v>
      </c>
      <c r="S98" s="97">
        <f t="shared" si="19"/>
        <v>3.2830000000000004</v>
      </c>
      <c r="T98" s="118">
        <f t="shared" si="20"/>
        <v>33.277999999999999</v>
      </c>
      <c r="U98" s="130">
        <v>46.9</v>
      </c>
      <c r="V98" s="120">
        <f t="shared" si="21"/>
        <v>0.29044776119402987</v>
      </c>
      <c r="W98" s="121">
        <f t="shared" si="22"/>
        <v>31.430000000000003</v>
      </c>
      <c r="AB98" s="125">
        <f t="shared" si="23"/>
        <v>27.65</v>
      </c>
      <c r="AC98" s="125">
        <f t="shared" si="24"/>
        <v>41.271999999999991</v>
      </c>
      <c r="AD98" s="126">
        <f t="shared" si="25"/>
        <v>13.621999999999993</v>
      </c>
      <c r="AE98" s="127">
        <f t="shared" si="26"/>
        <v>0.33005427408412474</v>
      </c>
      <c r="AF98" s="128">
        <f t="shared" si="27"/>
        <v>31.430000000000003</v>
      </c>
    </row>
    <row r="99" spans="1:32" ht="15.75" customHeight="1">
      <c r="A99" s="114" t="s">
        <v>176</v>
      </c>
      <c r="B99" s="114" t="s">
        <v>721</v>
      </c>
      <c r="C99" s="114" t="s">
        <v>563</v>
      </c>
      <c r="D99" s="114" t="s">
        <v>722</v>
      </c>
      <c r="E99" s="114" t="s">
        <v>610</v>
      </c>
      <c r="F99" s="114" t="s">
        <v>678</v>
      </c>
      <c r="G99" s="114" t="s">
        <v>544</v>
      </c>
      <c r="H99" s="115">
        <v>3</v>
      </c>
      <c r="I99" s="114" t="s">
        <v>551</v>
      </c>
      <c r="J99" s="116">
        <f t="shared" si="14"/>
        <v>1.27</v>
      </c>
      <c r="K99" s="97" t="str">
        <f>IFERROR(IF(VLOOKUP(D99,'Ficha de Produção'!C:C,1,0)=D99,"OK","Custo Produção Não Cadastrado"),"Custo Produção Não Cadastrado")</f>
        <v>OK</v>
      </c>
      <c r="L99" s="97" t="str">
        <f>IFERROR(IF(VLOOKUP(A99,'Ficha de Embalagens'!A:A,1,0)=A99,"OK","Ficha de Embalagens Não Cadastrada"),"Ficha de Embalagens Não Cadastrada")</f>
        <v>OK</v>
      </c>
      <c r="M99" s="117">
        <f>SUMIFS('Ficha de Produção'!N:N,'Ficha de Produção'!C:C,D99)*H99</f>
        <v>24.27</v>
      </c>
      <c r="N99" s="117">
        <f>SUMIFS('Ficha de Embalagens'!F:F,'Ficha de Embalagens'!A:A,A99)</f>
        <v>3.44</v>
      </c>
      <c r="O99" s="97">
        <f t="shared" si="15"/>
        <v>27.71</v>
      </c>
      <c r="P99" s="97">
        <f t="shared" si="16"/>
        <v>0.92999999999999994</v>
      </c>
      <c r="Q99" s="118">
        <f t="shared" si="17"/>
        <v>28.64</v>
      </c>
      <c r="R99" s="97">
        <f t="shared" si="18"/>
        <v>2.3450000000000002</v>
      </c>
      <c r="S99" s="97">
        <f t="shared" si="19"/>
        <v>3.2830000000000004</v>
      </c>
      <c r="T99" s="118">
        <f t="shared" si="20"/>
        <v>34.268000000000001</v>
      </c>
      <c r="U99" s="130">
        <v>46.9</v>
      </c>
      <c r="V99" s="120">
        <f t="shared" si="21"/>
        <v>0.26933901918976544</v>
      </c>
      <c r="W99" s="121">
        <f t="shared" si="22"/>
        <v>32.549999999999997</v>
      </c>
      <c r="AB99" s="125">
        <f t="shared" si="23"/>
        <v>28.64</v>
      </c>
      <c r="AC99" s="125">
        <f t="shared" si="24"/>
        <v>41.271999999999991</v>
      </c>
      <c r="AD99" s="126">
        <f t="shared" si="25"/>
        <v>12.631999999999991</v>
      </c>
      <c r="AE99" s="127">
        <f t="shared" si="26"/>
        <v>0.30606706726109695</v>
      </c>
      <c r="AF99" s="128">
        <f t="shared" si="27"/>
        <v>32.549999999999997</v>
      </c>
    </row>
    <row r="100" spans="1:32" ht="15.75" customHeight="1">
      <c r="A100" s="114" t="s">
        <v>177</v>
      </c>
      <c r="B100" s="114" t="s">
        <v>723</v>
      </c>
      <c r="C100" s="114" t="s">
        <v>563</v>
      </c>
      <c r="D100" s="114" t="s">
        <v>724</v>
      </c>
      <c r="E100" s="114" t="s">
        <v>610</v>
      </c>
      <c r="F100" s="114" t="s">
        <v>681</v>
      </c>
      <c r="G100" s="114" t="s">
        <v>544</v>
      </c>
      <c r="H100" s="115">
        <v>3</v>
      </c>
      <c r="I100" s="114" t="s">
        <v>551</v>
      </c>
      <c r="J100" s="116">
        <f t="shared" si="14"/>
        <v>1.27</v>
      </c>
      <c r="K100" s="97" t="str">
        <f>IFERROR(IF(VLOOKUP(D100,'Ficha de Produção'!C:C,1,0)=D100,"OK","Custo Produção Não Cadastrado"),"Custo Produção Não Cadastrado")</f>
        <v>OK</v>
      </c>
      <c r="L100" s="97" t="str">
        <f>IFERROR(IF(VLOOKUP(A100,'Ficha de Embalagens'!A:A,1,0)=A100,"OK","Ficha de Embalagens Não Cadastrada"),"Ficha de Embalagens Não Cadastrada")</f>
        <v>OK</v>
      </c>
      <c r="M100" s="117">
        <f>SUMIFS('Ficha de Produção'!N:N,'Ficha de Produção'!C:C,D100)*H100</f>
        <v>24.27</v>
      </c>
      <c r="N100" s="117">
        <f>SUMIFS('Ficha de Embalagens'!F:F,'Ficha de Embalagens'!A:A,A100)</f>
        <v>3.44</v>
      </c>
      <c r="O100" s="97">
        <f t="shared" si="15"/>
        <v>27.71</v>
      </c>
      <c r="P100" s="97">
        <f t="shared" si="16"/>
        <v>0.92999999999999994</v>
      </c>
      <c r="Q100" s="118">
        <f t="shared" si="17"/>
        <v>28.64</v>
      </c>
      <c r="R100" s="97">
        <f t="shared" si="18"/>
        <v>2.3450000000000002</v>
      </c>
      <c r="S100" s="97">
        <f t="shared" si="19"/>
        <v>3.2830000000000004</v>
      </c>
      <c r="T100" s="118">
        <f t="shared" si="20"/>
        <v>34.268000000000001</v>
      </c>
      <c r="U100" s="130">
        <v>46.9</v>
      </c>
      <c r="V100" s="120">
        <f t="shared" si="21"/>
        <v>0.26933901918976544</v>
      </c>
      <c r="W100" s="121">
        <f t="shared" si="22"/>
        <v>32.549999999999997</v>
      </c>
      <c r="AB100" s="125">
        <f t="shared" si="23"/>
        <v>28.64</v>
      </c>
      <c r="AC100" s="125">
        <f t="shared" si="24"/>
        <v>41.271999999999991</v>
      </c>
      <c r="AD100" s="126">
        <f t="shared" si="25"/>
        <v>12.631999999999991</v>
      </c>
      <c r="AE100" s="127">
        <f t="shared" si="26"/>
        <v>0.30606706726109695</v>
      </c>
      <c r="AF100" s="128">
        <f t="shared" si="27"/>
        <v>32.549999999999997</v>
      </c>
    </row>
    <row r="101" spans="1:32" ht="15.75" customHeight="1">
      <c r="A101" s="114" t="s">
        <v>178</v>
      </c>
      <c r="B101" s="114" t="s">
        <v>725</v>
      </c>
      <c r="C101" s="114" t="s">
        <v>563</v>
      </c>
      <c r="D101" s="114" t="s">
        <v>726</v>
      </c>
      <c r="E101" s="114" t="s">
        <v>610</v>
      </c>
      <c r="F101" s="114" t="s">
        <v>608</v>
      </c>
      <c r="G101" s="114" t="s">
        <v>544</v>
      </c>
      <c r="H101" s="115">
        <v>3</v>
      </c>
      <c r="I101" s="114" t="s">
        <v>551</v>
      </c>
      <c r="J101" s="116">
        <f t="shared" si="14"/>
        <v>1.27</v>
      </c>
      <c r="K101" s="97" t="str">
        <f>IFERROR(IF(VLOOKUP(D101,'Ficha de Produção'!C:C,1,0)=D101,"OK","Custo Produção Não Cadastrado"),"Custo Produção Não Cadastrado")</f>
        <v>OK</v>
      </c>
      <c r="L101" s="97" t="str">
        <f>IFERROR(IF(VLOOKUP(A101,'Ficha de Embalagens'!A:A,1,0)=A101,"OK","Ficha de Embalagens Não Cadastrada"),"Ficha de Embalagens Não Cadastrada")</f>
        <v>OK</v>
      </c>
      <c r="M101" s="117">
        <f>SUMIFS('Ficha de Produção'!N:N,'Ficha de Produção'!C:C,D101)*H101</f>
        <v>25.5</v>
      </c>
      <c r="N101" s="117">
        <f>SUMIFS('Ficha de Embalagens'!F:F,'Ficha de Embalagens'!A:A,A101)</f>
        <v>3.44</v>
      </c>
      <c r="O101" s="97">
        <f t="shared" si="15"/>
        <v>28.94</v>
      </c>
      <c r="P101" s="97">
        <f t="shared" si="16"/>
        <v>0.92999999999999994</v>
      </c>
      <c r="Q101" s="118">
        <f t="shared" si="17"/>
        <v>29.87</v>
      </c>
      <c r="R101" s="97">
        <f t="shared" si="18"/>
        <v>2.3450000000000002</v>
      </c>
      <c r="S101" s="97">
        <f t="shared" si="19"/>
        <v>3.2830000000000004</v>
      </c>
      <c r="T101" s="118">
        <f t="shared" si="20"/>
        <v>35.498000000000005</v>
      </c>
      <c r="U101" s="130">
        <v>46.9</v>
      </c>
      <c r="V101" s="120">
        <f t="shared" si="21"/>
        <v>0.24311300639658837</v>
      </c>
      <c r="W101" s="121">
        <f t="shared" si="22"/>
        <v>33.949999999999996</v>
      </c>
      <c r="AB101" s="125">
        <f t="shared" si="23"/>
        <v>29.87</v>
      </c>
      <c r="AC101" s="125">
        <f t="shared" si="24"/>
        <v>41.271999999999991</v>
      </c>
      <c r="AD101" s="126">
        <f t="shared" si="25"/>
        <v>11.40199999999999</v>
      </c>
      <c r="AE101" s="127">
        <f t="shared" si="26"/>
        <v>0.27626477999612309</v>
      </c>
      <c r="AF101" s="128">
        <f t="shared" si="27"/>
        <v>33.949999999999996</v>
      </c>
    </row>
    <row r="102" spans="1:32" ht="15.75" customHeight="1">
      <c r="A102" s="114" t="s">
        <v>179</v>
      </c>
      <c r="B102" s="114" t="s">
        <v>727</v>
      </c>
      <c r="C102" s="114" t="s">
        <v>563</v>
      </c>
      <c r="D102" s="114" t="s">
        <v>728</v>
      </c>
      <c r="E102" s="114" t="s">
        <v>610</v>
      </c>
      <c r="F102" s="114" t="s">
        <v>686</v>
      </c>
      <c r="G102" s="114" t="s">
        <v>544</v>
      </c>
      <c r="H102" s="115">
        <v>3</v>
      </c>
      <c r="I102" s="114" t="s">
        <v>551</v>
      </c>
      <c r="J102" s="116">
        <f t="shared" si="14"/>
        <v>1.27</v>
      </c>
      <c r="K102" s="97" t="str">
        <f>IFERROR(IF(VLOOKUP(D102,'Ficha de Produção'!C:C,1,0)=D102,"OK","Custo Produção Não Cadastrado"),"Custo Produção Não Cadastrado")</f>
        <v>OK</v>
      </c>
      <c r="L102" s="97" t="str">
        <f>IFERROR(IF(VLOOKUP(A102,'Ficha de Embalagens'!A:A,1,0)=A102,"OK","Ficha de Embalagens Não Cadastrada"),"Ficha de Embalagens Não Cadastrada")</f>
        <v>OK</v>
      </c>
      <c r="M102" s="117">
        <f>SUMIFS('Ficha de Produção'!N:N,'Ficha de Produção'!C:C,D102)*H102</f>
        <v>22.59</v>
      </c>
      <c r="N102" s="117">
        <f>SUMIFS('Ficha de Embalagens'!F:F,'Ficha de Embalagens'!A:A,A102)</f>
        <v>3.44</v>
      </c>
      <c r="O102" s="97">
        <f t="shared" si="15"/>
        <v>26.03</v>
      </c>
      <c r="P102" s="97">
        <f t="shared" si="16"/>
        <v>0.92999999999999994</v>
      </c>
      <c r="Q102" s="118">
        <f t="shared" si="17"/>
        <v>26.96</v>
      </c>
      <c r="R102" s="97">
        <f t="shared" si="18"/>
        <v>2.3450000000000002</v>
      </c>
      <c r="S102" s="97">
        <f t="shared" si="19"/>
        <v>3.2830000000000004</v>
      </c>
      <c r="T102" s="118">
        <f t="shared" si="20"/>
        <v>32.588000000000001</v>
      </c>
      <c r="U102" s="130">
        <v>46.9</v>
      </c>
      <c r="V102" s="120">
        <f t="shared" si="21"/>
        <v>0.30515991471215348</v>
      </c>
      <c r="W102" s="121">
        <f t="shared" si="22"/>
        <v>30.64</v>
      </c>
      <c r="AB102" s="125">
        <f t="shared" si="23"/>
        <v>26.96</v>
      </c>
      <c r="AC102" s="125">
        <f t="shared" si="24"/>
        <v>41.271999999999991</v>
      </c>
      <c r="AD102" s="126">
        <f t="shared" si="25"/>
        <v>14.311999999999991</v>
      </c>
      <c r="AE102" s="127">
        <f t="shared" si="26"/>
        <v>0.34677263035471972</v>
      </c>
      <c r="AF102" s="128">
        <f t="shared" si="27"/>
        <v>30.64</v>
      </c>
    </row>
    <row r="103" spans="1:32" ht="15.75" customHeight="1">
      <c r="A103" s="114" t="s">
        <v>180</v>
      </c>
      <c r="B103" s="114" t="s">
        <v>729</v>
      </c>
      <c r="C103" s="114" t="s">
        <v>563</v>
      </c>
      <c r="D103" s="114" t="s">
        <v>730</v>
      </c>
      <c r="E103" s="114" t="s">
        <v>610</v>
      </c>
      <c r="F103" s="114" t="s">
        <v>689</v>
      </c>
      <c r="G103" s="114" t="s">
        <v>544</v>
      </c>
      <c r="H103" s="115">
        <v>3</v>
      </c>
      <c r="I103" s="114" t="s">
        <v>551</v>
      </c>
      <c r="J103" s="116">
        <f t="shared" si="14"/>
        <v>1.27</v>
      </c>
      <c r="K103" s="97" t="str">
        <f>IFERROR(IF(VLOOKUP(D103,'Ficha de Produção'!C:C,1,0)=D103,"OK","Custo Produção Não Cadastrado"),"Custo Produção Não Cadastrado")</f>
        <v>OK</v>
      </c>
      <c r="L103" s="97" t="str">
        <f>IFERROR(IF(VLOOKUP(A103,'Ficha de Embalagens'!A:A,1,0)=A103,"OK","Ficha de Embalagens Não Cadastrada"),"Ficha de Embalagens Não Cadastrada")</f>
        <v>OK</v>
      </c>
      <c r="M103" s="117">
        <f>SUMIFS('Ficha de Produção'!N:N,'Ficha de Produção'!C:C,D103)*H103</f>
        <v>21.270000000000003</v>
      </c>
      <c r="N103" s="117">
        <f>SUMIFS('Ficha de Embalagens'!F:F,'Ficha de Embalagens'!A:A,A103)</f>
        <v>3.44</v>
      </c>
      <c r="O103" s="97">
        <f t="shared" si="15"/>
        <v>24.710000000000004</v>
      </c>
      <c r="P103" s="97">
        <f t="shared" si="16"/>
        <v>0.92999999999999994</v>
      </c>
      <c r="Q103" s="118">
        <f t="shared" si="17"/>
        <v>25.640000000000004</v>
      </c>
      <c r="R103" s="97">
        <f t="shared" si="18"/>
        <v>2.3450000000000002</v>
      </c>
      <c r="S103" s="97">
        <f t="shared" si="19"/>
        <v>3.2830000000000004</v>
      </c>
      <c r="T103" s="118">
        <f t="shared" si="20"/>
        <v>31.268000000000004</v>
      </c>
      <c r="U103" s="130">
        <v>46.9</v>
      </c>
      <c r="V103" s="120">
        <f t="shared" si="21"/>
        <v>0.33330490405117258</v>
      </c>
      <c r="W103" s="121">
        <f t="shared" si="22"/>
        <v>29.14</v>
      </c>
      <c r="AB103" s="125">
        <f t="shared" si="23"/>
        <v>25.640000000000004</v>
      </c>
      <c r="AC103" s="125">
        <f t="shared" si="24"/>
        <v>41.271999999999991</v>
      </c>
      <c r="AD103" s="126">
        <f t="shared" si="25"/>
        <v>15.631999999999987</v>
      </c>
      <c r="AE103" s="127">
        <f t="shared" si="26"/>
        <v>0.37875557278542332</v>
      </c>
      <c r="AF103" s="128">
        <f t="shared" si="27"/>
        <v>29.14</v>
      </c>
    </row>
    <row r="104" spans="1:32" ht="15.75" customHeight="1">
      <c r="A104" s="114" t="s">
        <v>181</v>
      </c>
      <c r="B104" s="114" t="s">
        <v>731</v>
      </c>
      <c r="C104" s="114" t="s">
        <v>563</v>
      </c>
      <c r="D104" s="114" t="s">
        <v>732</v>
      </c>
      <c r="E104" s="114" t="s">
        <v>610</v>
      </c>
      <c r="F104" s="114" t="s">
        <v>692</v>
      </c>
      <c r="G104" s="114" t="s">
        <v>544</v>
      </c>
      <c r="H104" s="115">
        <v>3</v>
      </c>
      <c r="I104" s="114" t="s">
        <v>551</v>
      </c>
      <c r="J104" s="116">
        <f t="shared" si="14"/>
        <v>1.27</v>
      </c>
      <c r="K104" s="97" t="str">
        <f>IFERROR(IF(VLOOKUP(D104,'Ficha de Produção'!C:C,1,0)=D104,"OK","Custo Produção Não Cadastrado"),"Custo Produção Não Cadastrado")</f>
        <v>OK</v>
      </c>
      <c r="L104" s="97" t="str">
        <f>IFERROR(IF(VLOOKUP(A104,'Ficha de Embalagens'!A:A,1,0)=A104,"OK","Ficha de Embalagens Não Cadastrada"),"Ficha de Embalagens Não Cadastrada")</f>
        <v>OK</v>
      </c>
      <c r="M104" s="117">
        <f>SUMIFS('Ficha de Produção'!N:N,'Ficha de Produção'!C:C,D104)*H104</f>
        <v>27.029999999999994</v>
      </c>
      <c r="N104" s="117">
        <f>SUMIFS('Ficha de Embalagens'!F:F,'Ficha de Embalagens'!A:A,A104)</f>
        <v>3.44</v>
      </c>
      <c r="O104" s="97">
        <f t="shared" si="15"/>
        <v>30.469999999999995</v>
      </c>
      <c r="P104" s="97">
        <f t="shared" si="16"/>
        <v>0.92999999999999994</v>
      </c>
      <c r="Q104" s="118">
        <f t="shared" si="17"/>
        <v>31.399999999999995</v>
      </c>
      <c r="R104" s="97">
        <f t="shared" si="18"/>
        <v>2.3450000000000002</v>
      </c>
      <c r="S104" s="97">
        <f t="shared" si="19"/>
        <v>3.2830000000000004</v>
      </c>
      <c r="T104" s="118">
        <f t="shared" si="20"/>
        <v>37.027999999999999</v>
      </c>
      <c r="U104" s="130">
        <v>46.9</v>
      </c>
      <c r="V104" s="120">
        <f t="shared" si="21"/>
        <v>0.2104904051172708</v>
      </c>
      <c r="W104" s="121">
        <f t="shared" si="22"/>
        <v>35.69</v>
      </c>
      <c r="AB104" s="125">
        <f t="shared" si="23"/>
        <v>31.399999999999995</v>
      </c>
      <c r="AC104" s="125">
        <f t="shared" si="24"/>
        <v>41.271999999999991</v>
      </c>
      <c r="AD104" s="126">
        <f t="shared" si="25"/>
        <v>9.8719999999999963</v>
      </c>
      <c r="AE104" s="127">
        <f t="shared" si="26"/>
        <v>0.23919364217871678</v>
      </c>
      <c r="AF104" s="128">
        <f t="shared" si="27"/>
        <v>35.69</v>
      </c>
    </row>
    <row r="105" spans="1:32" ht="15.75" customHeight="1">
      <c r="A105" s="114" t="s">
        <v>182</v>
      </c>
      <c r="B105" s="114" t="s">
        <v>733</v>
      </c>
      <c r="C105" s="114" t="s">
        <v>563</v>
      </c>
      <c r="D105" s="114" t="s">
        <v>734</v>
      </c>
      <c r="E105" s="114" t="s">
        <v>610</v>
      </c>
      <c r="F105" s="114" t="s">
        <v>695</v>
      </c>
      <c r="G105" s="114" t="s">
        <v>544</v>
      </c>
      <c r="H105" s="115">
        <v>3</v>
      </c>
      <c r="I105" s="114" t="s">
        <v>551</v>
      </c>
      <c r="J105" s="116">
        <f t="shared" si="14"/>
        <v>1.27</v>
      </c>
      <c r="K105" s="97" t="str">
        <f>IFERROR(IF(VLOOKUP(D105,'Ficha de Produção'!C:C,1,0)=D105,"OK","Custo Produção Não Cadastrado"),"Custo Produção Não Cadastrado")</f>
        <v>OK</v>
      </c>
      <c r="L105" s="97" t="str">
        <f>IFERROR(IF(VLOOKUP(A105,'Ficha de Embalagens'!A:A,1,0)=A105,"OK","Ficha de Embalagens Não Cadastrada"),"Ficha de Embalagens Não Cadastrada")</f>
        <v>OK</v>
      </c>
      <c r="M105" s="117">
        <f>SUMIFS('Ficha de Produção'!N:N,'Ficha de Produção'!C:C,D105)*H105</f>
        <v>22.59</v>
      </c>
      <c r="N105" s="117">
        <f>SUMIFS('Ficha de Embalagens'!F:F,'Ficha de Embalagens'!A:A,A105)</f>
        <v>3.44</v>
      </c>
      <c r="O105" s="97">
        <f t="shared" si="15"/>
        <v>26.03</v>
      </c>
      <c r="P105" s="97">
        <f t="shared" si="16"/>
        <v>0.92999999999999994</v>
      </c>
      <c r="Q105" s="118">
        <f t="shared" si="17"/>
        <v>26.96</v>
      </c>
      <c r="R105" s="97">
        <f t="shared" si="18"/>
        <v>2.3450000000000002</v>
      </c>
      <c r="S105" s="97">
        <f t="shared" si="19"/>
        <v>3.2830000000000004</v>
      </c>
      <c r="T105" s="118">
        <f t="shared" si="20"/>
        <v>32.588000000000001</v>
      </c>
      <c r="U105" s="130">
        <v>46.9</v>
      </c>
      <c r="V105" s="120">
        <f t="shared" si="21"/>
        <v>0.30515991471215348</v>
      </c>
      <c r="W105" s="121">
        <f t="shared" si="22"/>
        <v>30.64</v>
      </c>
      <c r="AB105" s="125">
        <f t="shared" si="23"/>
        <v>26.96</v>
      </c>
      <c r="AC105" s="125">
        <f t="shared" si="24"/>
        <v>41.271999999999991</v>
      </c>
      <c r="AD105" s="126">
        <f t="shared" si="25"/>
        <v>14.311999999999991</v>
      </c>
      <c r="AE105" s="127">
        <f t="shared" si="26"/>
        <v>0.34677263035471972</v>
      </c>
      <c r="AF105" s="128">
        <f t="shared" si="27"/>
        <v>30.64</v>
      </c>
    </row>
    <row r="106" spans="1:32" ht="15.75" customHeight="1">
      <c r="A106" s="114" t="s">
        <v>183</v>
      </c>
      <c r="B106" s="114" t="s">
        <v>735</v>
      </c>
      <c r="C106" s="114" t="s">
        <v>563</v>
      </c>
      <c r="D106" s="114" t="s">
        <v>736</v>
      </c>
      <c r="E106" s="114" t="s">
        <v>610</v>
      </c>
      <c r="F106" s="114" t="s">
        <v>698</v>
      </c>
      <c r="G106" s="114" t="s">
        <v>544</v>
      </c>
      <c r="H106" s="115">
        <v>3</v>
      </c>
      <c r="I106" s="114" t="s">
        <v>551</v>
      </c>
      <c r="J106" s="116">
        <f t="shared" si="14"/>
        <v>1.27</v>
      </c>
      <c r="K106" s="97" t="str">
        <f>IFERROR(IF(VLOOKUP(D106,'Ficha de Produção'!C:C,1,0)=D106,"OK","Custo Produção Não Cadastrado"),"Custo Produção Não Cadastrado")</f>
        <v>OK</v>
      </c>
      <c r="L106" s="97" t="str">
        <f>IFERROR(IF(VLOOKUP(A106,'Ficha de Embalagens'!A:A,1,0)=A106,"OK","Ficha de Embalagens Não Cadastrada"),"Ficha de Embalagens Não Cadastrada")</f>
        <v>OK</v>
      </c>
      <c r="M106" s="117">
        <f>SUMIFS('Ficha de Produção'!N:N,'Ficha de Produção'!C:C,D106)*H106</f>
        <v>23.759999999999998</v>
      </c>
      <c r="N106" s="117">
        <f>SUMIFS('Ficha de Embalagens'!F:F,'Ficha de Embalagens'!A:A,A106)</f>
        <v>3.44</v>
      </c>
      <c r="O106" s="97">
        <f t="shared" si="15"/>
        <v>27.2</v>
      </c>
      <c r="P106" s="97">
        <f t="shared" si="16"/>
        <v>0.92999999999999994</v>
      </c>
      <c r="Q106" s="118">
        <f t="shared" si="17"/>
        <v>28.13</v>
      </c>
      <c r="R106" s="97">
        <f t="shared" si="18"/>
        <v>2.3450000000000002</v>
      </c>
      <c r="S106" s="97">
        <f t="shared" si="19"/>
        <v>3.2830000000000004</v>
      </c>
      <c r="T106" s="118">
        <f t="shared" si="20"/>
        <v>33.757999999999996</v>
      </c>
      <c r="U106" s="130">
        <v>46.9</v>
      </c>
      <c r="V106" s="120">
        <f t="shared" si="21"/>
        <v>0.28021321961620477</v>
      </c>
      <c r="W106" s="121">
        <f t="shared" si="22"/>
        <v>31.970000000000002</v>
      </c>
      <c r="AB106" s="125">
        <f t="shared" si="23"/>
        <v>28.13</v>
      </c>
      <c r="AC106" s="125">
        <f t="shared" si="24"/>
        <v>41.271999999999991</v>
      </c>
      <c r="AD106" s="126">
        <f t="shared" si="25"/>
        <v>13.141999999999992</v>
      </c>
      <c r="AE106" s="127">
        <f t="shared" si="26"/>
        <v>0.31842411320023251</v>
      </c>
      <c r="AF106" s="128">
        <f t="shared" si="27"/>
        <v>31.970000000000002</v>
      </c>
    </row>
    <row r="107" spans="1:32" ht="15.75" customHeight="1">
      <c r="A107" s="114" t="s">
        <v>184</v>
      </c>
      <c r="B107" s="114" t="s">
        <v>737</v>
      </c>
      <c r="C107" s="114" t="s">
        <v>563</v>
      </c>
      <c r="D107" s="114" t="s">
        <v>738</v>
      </c>
      <c r="E107" s="114" t="s">
        <v>610</v>
      </c>
      <c r="F107" s="114" t="s">
        <v>701</v>
      </c>
      <c r="G107" s="114" t="s">
        <v>544</v>
      </c>
      <c r="H107" s="115">
        <v>3</v>
      </c>
      <c r="I107" s="114" t="s">
        <v>551</v>
      </c>
      <c r="J107" s="116">
        <f t="shared" si="14"/>
        <v>1.27</v>
      </c>
      <c r="K107" s="97" t="str">
        <f>IFERROR(IF(VLOOKUP(D107,'Ficha de Produção'!C:C,1,0)=D107,"OK","Custo Produção Não Cadastrado"),"Custo Produção Não Cadastrado")</f>
        <v>OK</v>
      </c>
      <c r="L107" s="97" t="str">
        <f>IFERROR(IF(VLOOKUP(A107,'Ficha de Embalagens'!A:A,1,0)=A107,"OK","Ficha de Embalagens Não Cadastrada"),"Ficha de Embalagens Não Cadastrada")</f>
        <v>OK</v>
      </c>
      <c r="M107" s="117">
        <f>SUMIFS('Ficha de Produção'!N:N,'Ficha de Produção'!C:C,D107)*H107</f>
        <v>23.789999999999996</v>
      </c>
      <c r="N107" s="117">
        <f>SUMIFS('Ficha de Embalagens'!F:F,'Ficha de Embalagens'!A:A,A107)</f>
        <v>3.44</v>
      </c>
      <c r="O107" s="97">
        <f t="shared" si="15"/>
        <v>27.229999999999997</v>
      </c>
      <c r="P107" s="97">
        <f t="shared" si="16"/>
        <v>0.92999999999999994</v>
      </c>
      <c r="Q107" s="118">
        <f t="shared" si="17"/>
        <v>28.159999999999997</v>
      </c>
      <c r="R107" s="97">
        <f t="shared" si="18"/>
        <v>2.3450000000000002</v>
      </c>
      <c r="S107" s="97">
        <f t="shared" si="19"/>
        <v>3.2830000000000004</v>
      </c>
      <c r="T107" s="118">
        <f t="shared" si="20"/>
        <v>33.787999999999997</v>
      </c>
      <c r="U107" s="130">
        <v>46.9</v>
      </c>
      <c r="V107" s="120">
        <f t="shared" si="21"/>
        <v>0.27957356076759066</v>
      </c>
      <c r="W107" s="121">
        <f t="shared" si="22"/>
        <v>32</v>
      </c>
      <c r="AB107" s="125">
        <f t="shared" si="23"/>
        <v>28.159999999999997</v>
      </c>
      <c r="AC107" s="125">
        <f t="shared" si="24"/>
        <v>41.271999999999991</v>
      </c>
      <c r="AD107" s="126">
        <f t="shared" si="25"/>
        <v>13.111999999999995</v>
      </c>
      <c r="AE107" s="127">
        <f t="shared" si="26"/>
        <v>0.3176972281449893</v>
      </c>
      <c r="AF107" s="128">
        <f t="shared" si="27"/>
        <v>32</v>
      </c>
    </row>
    <row r="108" spans="1:32" ht="15.75" customHeight="1">
      <c r="A108" s="114" t="s">
        <v>185</v>
      </c>
      <c r="B108" s="114" t="s">
        <v>739</v>
      </c>
      <c r="C108" s="114" t="s">
        <v>563</v>
      </c>
      <c r="D108" s="114" t="s">
        <v>655</v>
      </c>
      <c r="E108" s="114" t="s">
        <v>565</v>
      </c>
      <c r="F108" s="114" t="s">
        <v>704</v>
      </c>
      <c r="G108" s="114" t="s">
        <v>544</v>
      </c>
      <c r="H108" s="115">
        <v>15</v>
      </c>
      <c r="I108" s="114" t="s">
        <v>551</v>
      </c>
      <c r="J108" s="116">
        <f t="shared" si="14"/>
        <v>1.27</v>
      </c>
      <c r="K108" s="97" t="str">
        <f>IFERROR(IF(VLOOKUP(D108,'Ficha de Produção'!C:C,1,0)=D108,"OK","Custo Produção Não Cadastrado"),"Custo Produção Não Cadastrado")</f>
        <v>OK</v>
      </c>
      <c r="L108" s="97" t="str">
        <f>IFERROR(IF(VLOOKUP(A108,'Ficha de Embalagens'!A:A,1,0)=A108,"OK","Ficha de Embalagens Não Cadastrada"),"Ficha de Embalagens Não Cadastrada")</f>
        <v>OK</v>
      </c>
      <c r="M108" s="117">
        <f>SUMIFS('Ficha de Produção'!N:N,'Ficha de Produção'!C:C,D108)*H108</f>
        <v>49.05</v>
      </c>
      <c r="N108" s="117">
        <f>SUMIFS('Ficha de Embalagens'!F:F,'Ficha de Embalagens'!A:A,A108)</f>
        <v>8.61</v>
      </c>
      <c r="O108" s="97">
        <f t="shared" si="15"/>
        <v>57.66</v>
      </c>
      <c r="P108" s="97">
        <f t="shared" si="16"/>
        <v>4.6500000000000004</v>
      </c>
      <c r="Q108" s="118">
        <f t="shared" si="17"/>
        <v>62.309999999999995</v>
      </c>
      <c r="R108" s="97">
        <f t="shared" si="18"/>
        <v>3</v>
      </c>
      <c r="S108" s="97">
        <f t="shared" si="19"/>
        <v>4.2</v>
      </c>
      <c r="T108" s="118">
        <f t="shared" si="20"/>
        <v>69.510000000000005</v>
      </c>
      <c r="U108" s="119">
        <v>60</v>
      </c>
      <c r="V108" s="120">
        <f t="shared" si="21"/>
        <v>-0.15850000000000009</v>
      </c>
      <c r="W108" s="121">
        <f t="shared" si="22"/>
        <v>70.81</v>
      </c>
      <c r="AB108" s="125">
        <f t="shared" si="23"/>
        <v>62.309999999999995</v>
      </c>
      <c r="AC108" s="125">
        <f t="shared" si="24"/>
        <v>52.8</v>
      </c>
      <c r="AD108" s="126">
        <f t="shared" si="25"/>
        <v>-9.509999999999998</v>
      </c>
      <c r="AE108" s="127">
        <f t="shared" si="26"/>
        <v>-0.18011363636363634</v>
      </c>
      <c r="AF108" s="128">
        <f t="shared" si="27"/>
        <v>70.81</v>
      </c>
    </row>
    <row r="109" spans="1:32" ht="15.75" customHeight="1">
      <c r="A109" s="114" t="s">
        <v>186</v>
      </c>
      <c r="B109" s="114" t="s">
        <v>740</v>
      </c>
      <c r="C109" s="114" t="s">
        <v>563</v>
      </c>
      <c r="D109" s="114" t="s">
        <v>657</v>
      </c>
      <c r="E109" s="114" t="s">
        <v>565</v>
      </c>
      <c r="F109" s="114" t="s">
        <v>569</v>
      </c>
      <c r="G109" s="114" t="s">
        <v>544</v>
      </c>
      <c r="H109" s="115">
        <v>15</v>
      </c>
      <c r="I109" s="114" t="s">
        <v>551</v>
      </c>
      <c r="J109" s="116">
        <f t="shared" si="14"/>
        <v>1.27</v>
      </c>
      <c r="K109" s="97" t="str">
        <f>IFERROR(IF(VLOOKUP(D109,'Ficha de Produção'!C:C,1,0)=D109,"OK","Custo Produção Não Cadastrado"),"Custo Produção Não Cadastrado")</f>
        <v>OK</v>
      </c>
      <c r="L109" s="97" t="str">
        <f>IFERROR(IF(VLOOKUP(A109,'Ficha de Embalagens'!A:A,1,0)=A109,"OK","Ficha de Embalagens Não Cadastrada"),"Ficha de Embalagens Não Cadastrada")</f>
        <v>OK</v>
      </c>
      <c r="M109" s="117">
        <f>SUMIFS('Ficha de Produção'!N:N,'Ficha de Produção'!C:C,D109)*H109</f>
        <v>38.25</v>
      </c>
      <c r="N109" s="117">
        <f>SUMIFS('Ficha de Embalagens'!F:F,'Ficha de Embalagens'!A:A,A109)</f>
        <v>8.61</v>
      </c>
      <c r="O109" s="97">
        <f t="shared" si="15"/>
        <v>46.86</v>
      </c>
      <c r="P109" s="97">
        <f t="shared" si="16"/>
        <v>4.6500000000000004</v>
      </c>
      <c r="Q109" s="118">
        <f t="shared" si="17"/>
        <v>51.51</v>
      </c>
      <c r="R109" s="97">
        <f t="shared" si="18"/>
        <v>3</v>
      </c>
      <c r="S109" s="97">
        <f t="shared" si="19"/>
        <v>4.2</v>
      </c>
      <c r="T109" s="118">
        <f t="shared" si="20"/>
        <v>58.71</v>
      </c>
      <c r="U109" s="119">
        <v>60</v>
      </c>
      <c r="V109" s="120">
        <f t="shared" si="21"/>
        <v>2.1499999999999984E-2</v>
      </c>
      <c r="W109" s="121">
        <f t="shared" si="22"/>
        <v>58.54</v>
      </c>
      <c r="AB109" s="125">
        <f t="shared" si="23"/>
        <v>51.51</v>
      </c>
      <c r="AC109" s="125">
        <f t="shared" si="24"/>
        <v>52.8</v>
      </c>
      <c r="AD109" s="126">
        <f t="shared" si="25"/>
        <v>1.2899999999999991</v>
      </c>
      <c r="AE109" s="127">
        <f t="shared" si="26"/>
        <v>2.4431818181818166E-2</v>
      </c>
      <c r="AF109" s="128">
        <f t="shared" si="27"/>
        <v>58.54</v>
      </c>
    </row>
    <row r="110" spans="1:32" ht="15.75" customHeight="1">
      <c r="A110" s="114" t="s">
        <v>187</v>
      </c>
      <c r="B110" s="114" t="s">
        <v>741</v>
      </c>
      <c r="C110" s="114" t="s">
        <v>563</v>
      </c>
      <c r="D110" s="114" t="s">
        <v>659</v>
      </c>
      <c r="E110" s="114" t="s">
        <v>565</v>
      </c>
      <c r="F110" s="114" t="s">
        <v>660</v>
      </c>
      <c r="G110" s="114" t="s">
        <v>544</v>
      </c>
      <c r="H110" s="115">
        <v>15</v>
      </c>
      <c r="I110" s="114" t="s">
        <v>551</v>
      </c>
      <c r="J110" s="116">
        <f t="shared" si="14"/>
        <v>1.27</v>
      </c>
      <c r="K110" s="97" t="str">
        <f>IFERROR(IF(VLOOKUP(D110,'Ficha de Produção'!C:C,1,0)=D110,"OK","Custo Produção Não Cadastrado"),"Custo Produção Não Cadastrado")</f>
        <v>OK</v>
      </c>
      <c r="L110" s="97" t="str">
        <f>IFERROR(IF(VLOOKUP(A110,'Ficha de Embalagens'!A:A,1,0)=A110,"OK","Ficha de Embalagens Não Cadastrada"),"Ficha de Embalagens Não Cadastrada")</f>
        <v>OK</v>
      </c>
      <c r="M110" s="117">
        <f>SUMIFS('Ficha de Produção'!N:N,'Ficha de Produção'!C:C,D110)*H110</f>
        <v>45.3</v>
      </c>
      <c r="N110" s="117">
        <f>SUMIFS('Ficha de Embalagens'!F:F,'Ficha de Embalagens'!A:A,A110)</f>
        <v>8.61</v>
      </c>
      <c r="O110" s="97">
        <f t="shared" si="15"/>
        <v>53.91</v>
      </c>
      <c r="P110" s="97">
        <f t="shared" si="16"/>
        <v>4.6500000000000004</v>
      </c>
      <c r="Q110" s="118">
        <f t="shared" si="17"/>
        <v>58.559999999999995</v>
      </c>
      <c r="R110" s="97">
        <f t="shared" si="18"/>
        <v>3</v>
      </c>
      <c r="S110" s="97">
        <f t="shared" si="19"/>
        <v>4.2</v>
      </c>
      <c r="T110" s="118">
        <f t="shared" si="20"/>
        <v>65.759999999999991</v>
      </c>
      <c r="U110" s="119">
        <v>60</v>
      </c>
      <c r="V110" s="120">
        <f t="shared" si="21"/>
        <v>-9.5999999999999849E-2</v>
      </c>
      <c r="W110" s="121">
        <f t="shared" si="22"/>
        <v>66.550000000000011</v>
      </c>
      <c r="AB110" s="125">
        <f t="shared" si="23"/>
        <v>58.559999999999995</v>
      </c>
      <c r="AC110" s="125">
        <f t="shared" si="24"/>
        <v>52.8</v>
      </c>
      <c r="AD110" s="126">
        <f t="shared" si="25"/>
        <v>-5.759999999999998</v>
      </c>
      <c r="AE110" s="127">
        <f t="shared" si="26"/>
        <v>-0.10909090909090906</v>
      </c>
      <c r="AF110" s="128">
        <f t="shared" si="27"/>
        <v>66.550000000000011</v>
      </c>
    </row>
    <row r="111" spans="1:32" ht="15.75" customHeight="1">
      <c r="A111" s="114" t="s">
        <v>188</v>
      </c>
      <c r="B111" s="114" t="s">
        <v>742</v>
      </c>
      <c r="C111" s="114" t="s">
        <v>563</v>
      </c>
      <c r="D111" s="114" t="s">
        <v>662</v>
      </c>
      <c r="E111" s="114" t="s">
        <v>565</v>
      </c>
      <c r="F111" s="114" t="s">
        <v>572</v>
      </c>
      <c r="G111" s="114" t="s">
        <v>556</v>
      </c>
      <c r="H111" s="115">
        <v>15</v>
      </c>
      <c r="I111" s="114" t="s">
        <v>551</v>
      </c>
      <c r="J111" s="116">
        <f t="shared" si="14"/>
        <v>1.27</v>
      </c>
      <c r="K111" s="97" t="str">
        <f>IFERROR(IF(VLOOKUP(D111,'Ficha de Produção'!C:C,1,0)=D111,"OK","Custo Produção Não Cadastrado"),"Custo Produção Não Cadastrado")</f>
        <v>Custo Produção Não Cadastrado</v>
      </c>
      <c r="L111" s="97" t="str">
        <f>IFERROR(IF(VLOOKUP(A111,'Ficha de Embalagens'!A:A,1,0)=A111,"OK","Ficha de Embalagens Não Cadastrada"),"Ficha de Embalagens Não Cadastrada")</f>
        <v>OK</v>
      </c>
      <c r="M111" s="117">
        <f>SUMIFS('Ficha de Produção'!N:N,'Ficha de Produção'!C:C,D111)*H111</f>
        <v>0</v>
      </c>
      <c r="N111" s="117">
        <f>SUMIFS('Ficha de Embalagens'!F:F,'Ficha de Embalagens'!A:A,A111)</f>
        <v>8.61</v>
      </c>
      <c r="O111" s="97">
        <f t="shared" si="15"/>
        <v>8.61</v>
      </c>
      <c r="P111" s="97">
        <f t="shared" si="16"/>
        <v>0</v>
      </c>
      <c r="Q111" s="118">
        <f t="shared" si="17"/>
        <v>8.61</v>
      </c>
      <c r="R111" s="97">
        <f t="shared" si="18"/>
        <v>3</v>
      </c>
      <c r="S111" s="97">
        <f t="shared" si="19"/>
        <v>4.2</v>
      </c>
      <c r="T111" s="118">
        <f t="shared" si="20"/>
        <v>15.809999999999999</v>
      </c>
      <c r="U111" s="119">
        <v>60</v>
      </c>
      <c r="V111" s="120" t="str">
        <f t="shared" si="21"/>
        <v>Cadastrar Ficha de Produção</v>
      </c>
      <c r="W111" s="121" t="str">
        <f t="shared" si="22"/>
        <v>Cadastrar Ficha de Produção</v>
      </c>
      <c r="AB111" s="125">
        <f t="shared" si="23"/>
        <v>8.61</v>
      </c>
      <c r="AC111" s="125">
        <f t="shared" si="24"/>
        <v>52.8</v>
      </c>
      <c r="AD111" s="126">
        <f t="shared" si="25"/>
        <v>44.19</v>
      </c>
      <c r="AE111" s="127">
        <f t="shared" si="26"/>
        <v>0.83693181818181817</v>
      </c>
      <c r="AF111" s="128">
        <f t="shared" si="27"/>
        <v>9.7899999999999991</v>
      </c>
    </row>
    <row r="112" spans="1:32" ht="15.75" customHeight="1">
      <c r="A112" s="114" t="s">
        <v>189</v>
      </c>
      <c r="B112" s="114" t="s">
        <v>743</v>
      </c>
      <c r="C112" s="114" t="s">
        <v>563</v>
      </c>
      <c r="D112" s="114" t="s">
        <v>664</v>
      </c>
      <c r="E112" s="114" t="s">
        <v>565</v>
      </c>
      <c r="F112" s="114" t="s">
        <v>599</v>
      </c>
      <c r="G112" s="114" t="s">
        <v>544</v>
      </c>
      <c r="H112" s="115">
        <v>15</v>
      </c>
      <c r="I112" s="114" t="s">
        <v>551</v>
      </c>
      <c r="J112" s="116">
        <f t="shared" si="14"/>
        <v>1.27</v>
      </c>
      <c r="K112" s="97" t="str">
        <f>IFERROR(IF(VLOOKUP(D112,'Ficha de Produção'!C:C,1,0)=D112,"OK","Custo Produção Não Cadastrado"),"Custo Produção Não Cadastrado")</f>
        <v>OK</v>
      </c>
      <c r="L112" s="97" t="str">
        <f>IFERROR(IF(VLOOKUP(A112,'Ficha de Embalagens'!A:A,1,0)=A112,"OK","Ficha de Embalagens Não Cadastrada"),"Ficha de Embalagens Não Cadastrada")</f>
        <v>OK</v>
      </c>
      <c r="M112" s="117">
        <f>SUMIFS('Ficha de Produção'!N:N,'Ficha de Produção'!C:C,D112)*H112</f>
        <v>39.299999999999997</v>
      </c>
      <c r="N112" s="117">
        <f>SUMIFS('Ficha de Embalagens'!F:F,'Ficha de Embalagens'!A:A,A112)</f>
        <v>8.61</v>
      </c>
      <c r="O112" s="97">
        <f t="shared" si="15"/>
        <v>47.91</v>
      </c>
      <c r="P112" s="97">
        <f t="shared" si="16"/>
        <v>4.6500000000000004</v>
      </c>
      <c r="Q112" s="118">
        <f t="shared" si="17"/>
        <v>52.559999999999995</v>
      </c>
      <c r="R112" s="97">
        <f t="shared" si="18"/>
        <v>3</v>
      </c>
      <c r="S112" s="97">
        <f t="shared" si="19"/>
        <v>4.2</v>
      </c>
      <c r="T112" s="118">
        <f t="shared" si="20"/>
        <v>59.76</v>
      </c>
      <c r="U112" s="119">
        <v>60</v>
      </c>
      <c r="V112" s="120">
        <f t="shared" si="21"/>
        <v>4.000000000000033E-3</v>
      </c>
      <c r="W112" s="121">
        <f t="shared" si="22"/>
        <v>59.73</v>
      </c>
      <c r="AB112" s="125">
        <f t="shared" si="23"/>
        <v>52.559999999999995</v>
      </c>
      <c r="AC112" s="125">
        <f t="shared" si="24"/>
        <v>52.8</v>
      </c>
      <c r="AD112" s="126">
        <f t="shared" si="25"/>
        <v>0.24000000000000199</v>
      </c>
      <c r="AE112" s="127">
        <f t="shared" si="26"/>
        <v>4.5454545454545834E-3</v>
      </c>
      <c r="AF112" s="128">
        <f t="shared" si="27"/>
        <v>59.73</v>
      </c>
    </row>
    <row r="113" spans="1:32" ht="15.75" customHeight="1">
      <c r="A113" s="114" t="s">
        <v>190</v>
      </c>
      <c r="B113" s="114" t="s">
        <v>744</v>
      </c>
      <c r="C113" s="114" t="s">
        <v>563</v>
      </c>
      <c r="D113" s="114" t="s">
        <v>666</v>
      </c>
      <c r="E113" s="114" t="s">
        <v>565</v>
      </c>
      <c r="F113" s="114" t="s">
        <v>667</v>
      </c>
      <c r="G113" s="114" t="s">
        <v>544</v>
      </c>
      <c r="H113" s="115">
        <v>15</v>
      </c>
      <c r="I113" s="114" t="s">
        <v>551</v>
      </c>
      <c r="J113" s="116">
        <f t="shared" si="14"/>
        <v>1.27</v>
      </c>
      <c r="K113" s="97" t="str">
        <f>IFERROR(IF(VLOOKUP(D113,'Ficha de Produção'!C:C,1,0)=D113,"OK","Custo Produção Não Cadastrado"),"Custo Produção Não Cadastrado")</f>
        <v>OK</v>
      </c>
      <c r="L113" s="97" t="str">
        <f>IFERROR(IF(VLOOKUP(A113,'Ficha de Embalagens'!A:A,1,0)=A113,"OK","Ficha de Embalagens Não Cadastrada"),"Ficha de Embalagens Não Cadastrada")</f>
        <v>OK</v>
      </c>
      <c r="M113" s="117">
        <f>SUMIFS('Ficha de Produção'!N:N,'Ficha de Produção'!C:C,D113)*H113</f>
        <v>39.449999999999996</v>
      </c>
      <c r="N113" s="117">
        <f>SUMIFS('Ficha de Embalagens'!F:F,'Ficha de Embalagens'!A:A,A113)</f>
        <v>8.61</v>
      </c>
      <c r="O113" s="97">
        <f t="shared" si="15"/>
        <v>48.059999999999995</v>
      </c>
      <c r="P113" s="97">
        <f t="shared" si="16"/>
        <v>4.6500000000000004</v>
      </c>
      <c r="Q113" s="118">
        <f t="shared" si="17"/>
        <v>52.709999999999994</v>
      </c>
      <c r="R113" s="97">
        <f t="shared" si="18"/>
        <v>3</v>
      </c>
      <c r="S113" s="97">
        <f t="shared" si="19"/>
        <v>4.2</v>
      </c>
      <c r="T113" s="118">
        <f t="shared" si="20"/>
        <v>59.91</v>
      </c>
      <c r="U113" s="119">
        <v>60</v>
      </c>
      <c r="V113" s="120">
        <f t="shared" si="21"/>
        <v>1.5000000000000568E-3</v>
      </c>
      <c r="W113" s="121">
        <f t="shared" si="22"/>
        <v>59.9</v>
      </c>
      <c r="AB113" s="125">
        <f t="shared" si="23"/>
        <v>52.709999999999994</v>
      </c>
      <c r="AC113" s="125">
        <f t="shared" si="24"/>
        <v>52.8</v>
      </c>
      <c r="AD113" s="126">
        <f t="shared" si="25"/>
        <v>9.0000000000003411E-2</v>
      </c>
      <c r="AE113" s="127">
        <f t="shared" si="26"/>
        <v>1.7045454545455193E-3</v>
      </c>
      <c r="AF113" s="128">
        <f t="shared" si="27"/>
        <v>59.9</v>
      </c>
    </row>
    <row r="114" spans="1:32" ht="15.75" customHeight="1">
      <c r="A114" s="114" t="s">
        <v>191</v>
      </c>
      <c r="B114" s="114" t="s">
        <v>745</v>
      </c>
      <c r="C114" s="114" t="s">
        <v>563</v>
      </c>
      <c r="D114" s="114" t="s">
        <v>669</v>
      </c>
      <c r="E114" s="114" t="s">
        <v>565</v>
      </c>
      <c r="F114" s="114" t="s">
        <v>670</v>
      </c>
      <c r="G114" s="114" t="s">
        <v>556</v>
      </c>
      <c r="H114" s="115">
        <v>15</v>
      </c>
      <c r="I114" s="114" t="s">
        <v>551</v>
      </c>
      <c r="J114" s="116">
        <f t="shared" si="14"/>
        <v>1.27</v>
      </c>
      <c r="K114" s="97" t="str">
        <f>IFERROR(IF(VLOOKUP(D114,'Ficha de Produção'!C:C,1,0)=D114,"OK","Custo Produção Não Cadastrado"),"Custo Produção Não Cadastrado")</f>
        <v>Custo Produção Não Cadastrado</v>
      </c>
      <c r="L114" s="97" t="str">
        <f>IFERROR(IF(VLOOKUP(A114,'Ficha de Embalagens'!A:A,1,0)=A114,"OK","Ficha de Embalagens Não Cadastrada"),"Ficha de Embalagens Não Cadastrada")</f>
        <v>OK</v>
      </c>
      <c r="M114" s="117">
        <f>SUMIFS('Ficha de Produção'!N:N,'Ficha de Produção'!C:C,D114)*H114</f>
        <v>0</v>
      </c>
      <c r="N114" s="117">
        <f>SUMIFS('Ficha de Embalagens'!F:F,'Ficha de Embalagens'!A:A,A114)</f>
        <v>8.61</v>
      </c>
      <c r="O114" s="97">
        <f t="shared" si="15"/>
        <v>8.61</v>
      </c>
      <c r="P114" s="97">
        <f t="shared" si="16"/>
        <v>0</v>
      </c>
      <c r="Q114" s="118">
        <f t="shared" si="17"/>
        <v>8.61</v>
      </c>
      <c r="R114" s="97">
        <f t="shared" si="18"/>
        <v>3</v>
      </c>
      <c r="S114" s="97">
        <f t="shared" si="19"/>
        <v>4.2</v>
      </c>
      <c r="T114" s="118">
        <f t="shared" si="20"/>
        <v>15.809999999999999</v>
      </c>
      <c r="U114" s="119">
        <v>60</v>
      </c>
      <c r="V114" s="120" t="str">
        <f t="shared" si="21"/>
        <v>Cadastrar Ficha de Produção</v>
      </c>
      <c r="W114" s="121" t="str">
        <f t="shared" si="22"/>
        <v>Cadastrar Ficha de Produção</v>
      </c>
      <c r="AB114" s="125">
        <f t="shared" si="23"/>
        <v>8.61</v>
      </c>
      <c r="AC114" s="125">
        <f t="shared" si="24"/>
        <v>52.8</v>
      </c>
      <c r="AD114" s="126">
        <f t="shared" si="25"/>
        <v>44.19</v>
      </c>
      <c r="AE114" s="127">
        <f t="shared" si="26"/>
        <v>0.83693181818181817</v>
      </c>
      <c r="AF114" s="128">
        <f t="shared" si="27"/>
        <v>9.7899999999999991</v>
      </c>
    </row>
    <row r="115" spans="1:32" ht="15.75" customHeight="1">
      <c r="A115" s="114" t="s">
        <v>192</v>
      </c>
      <c r="B115" s="114" t="s">
        <v>746</v>
      </c>
      <c r="C115" s="114" t="s">
        <v>563</v>
      </c>
      <c r="D115" s="114" t="s">
        <v>672</v>
      </c>
      <c r="E115" s="114" t="s">
        <v>565</v>
      </c>
      <c r="F115" s="114" t="s">
        <v>581</v>
      </c>
      <c r="G115" s="114" t="s">
        <v>556</v>
      </c>
      <c r="H115" s="115">
        <v>15</v>
      </c>
      <c r="I115" s="114" t="s">
        <v>551</v>
      </c>
      <c r="J115" s="116">
        <f t="shared" si="14"/>
        <v>1.27</v>
      </c>
      <c r="K115" s="97" t="str">
        <f>IFERROR(IF(VLOOKUP(D115,'Ficha de Produção'!C:C,1,0)=D115,"OK","Custo Produção Não Cadastrado"),"Custo Produção Não Cadastrado")</f>
        <v>Custo Produção Não Cadastrado</v>
      </c>
      <c r="L115" s="97" t="str">
        <f>IFERROR(IF(VLOOKUP(A115,'Ficha de Embalagens'!A:A,1,0)=A115,"OK","Ficha de Embalagens Não Cadastrada"),"Ficha de Embalagens Não Cadastrada")</f>
        <v>OK</v>
      </c>
      <c r="M115" s="117">
        <f>SUMIFS('Ficha de Produção'!N:N,'Ficha de Produção'!C:C,D115)*H115</f>
        <v>0</v>
      </c>
      <c r="N115" s="117">
        <f>SUMIFS('Ficha de Embalagens'!F:F,'Ficha de Embalagens'!A:A,A115)</f>
        <v>8.61</v>
      </c>
      <c r="O115" s="97">
        <f t="shared" si="15"/>
        <v>8.61</v>
      </c>
      <c r="P115" s="97">
        <f t="shared" si="16"/>
        <v>0</v>
      </c>
      <c r="Q115" s="118">
        <f t="shared" si="17"/>
        <v>8.61</v>
      </c>
      <c r="R115" s="97">
        <f t="shared" si="18"/>
        <v>3</v>
      </c>
      <c r="S115" s="97">
        <f t="shared" si="19"/>
        <v>4.2</v>
      </c>
      <c r="T115" s="118">
        <f t="shared" si="20"/>
        <v>15.809999999999999</v>
      </c>
      <c r="U115" s="119">
        <v>60</v>
      </c>
      <c r="V115" s="120" t="str">
        <f t="shared" si="21"/>
        <v>Cadastrar Ficha de Produção</v>
      </c>
      <c r="W115" s="121" t="str">
        <f t="shared" si="22"/>
        <v>Cadastrar Ficha de Produção</v>
      </c>
      <c r="AB115" s="125">
        <f t="shared" si="23"/>
        <v>8.61</v>
      </c>
      <c r="AC115" s="125">
        <f t="shared" si="24"/>
        <v>52.8</v>
      </c>
      <c r="AD115" s="126">
        <f t="shared" si="25"/>
        <v>44.19</v>
      </c>
      <c r="AE115" s="127">
        <f t="shared" si="26"/>
        <v>0.83693181818181817</v>
      </c>
      <c r="AF115" s="128">
        <f t="shared" si="27"/>
        <v>9.7899999999999991</v>
      </c>
    </row>
    <row r="116" spans="1:32" ht="15.75" customHeight="1">
      <c r="A116" s="114" t="s">
        <v>193</v>
      </c>
      <c r="B116" s="114" t="s">
        <v>747</v>
      </c>
      <c r="C116" s="114" t="s">
        <v>563</v>
      </c>
      <c r="D116" s="114" t="s">
        <v>674</v>
      </c>
      <c r="E116" s="114" t="s">
        <v>565</v>
      </c>
      <c r="F116" s="114" t="s">
        <v>675</v>
      </c>
      <c r="G116" s="114" t="s">
        <v>556</v>
      </c>
      <c r="H116" s="115">
        <v>15</v>
      </c>
      <c r="I116" s="114" t="s">
        <v>551</v>
      </c>
      <c r="J116" s="116">
        <f t="shared" si="14"/>
        <v>1.27</v>
      </c>
      <c r="K116" s="97" t="str">
        <f>IFERROR(IF(VLOOKUP(D116,'Ficha de Produção'!C:C,1,0)=D116,"OK","Custo Produção Não Cadastrado"),"Custo Produção Não Cadastrado")</f>
        <v>Custo Produção Não Cadastrado</v>
      </c>
      <c r="L116" s="97" t="str">
        <f>IFERROR(IF(VLOOKUP(A116,'Ficha de Embalagens'!A:A,1,0)=A116,"OK","Ficha de Embalagens Não Cadastrada"),"Ficha de Embalagens Não Cadastrada")</f>
        <v>OK</v>
      </c>
      <c r="M116" s="117">
        <f>SUMIFS('Ficha de Produção'!N:N,'Ficha de Produção'!C:C,D116)*H116</f>
        <v>0</v>
      </c>
      <c r="N116" s="117">
        <f>SUMIFS('Ficha de Embalagens'!F:F,'Ficha de Embalagens'!A:A,A116)</f>
        <v>8.61</v>
      </c>
      <c r="O116" s="97">
        <f t="shared" si="15"/>
        <v>8.61</v>
      </c>
      <c r="P116" s="97">
        <f t="shared" si="16"/>
        <v>0</v>
      </c>
      <c r="Q116" s="118">
        <f t="shared" si="17"/>
        <v>8.61</v>
      </c>
      <c r="R116" s="97">
        <f t="shared" si="18"/>
        <v>3</v>
      </c>
      <c r="S116" s="97">
        <f t="shared" si="19"/>
        <v>4.2</v>
      </c>
      <c r="T116" s="118">
        <f t="shared" si="20"/>
        <v>15.809999999999999</v>
      </c>
      <c r="U116" s="119">
        <v>60</v>
      </c>
      <c r="V116" s="120" t="str">
        <f t="shared" si="21"/>
        <v>Cadastrar Ficha de Produção</v>
      </c>
      <c r="W116" s="121" t="str">
        <f t="shared" si="22"/>
        <v>Cadastrar Ficha de Produção</v>
      </c>
      <c r="AB116" s="125">
        <f t="shared" si="23"/>
        <v>8.61</v>
      </c>
      <c r="AC116" s="125">
        <f t="shared" si="24"/>
        <v>52.8</v>
      </c>
      <c r="AD116" s="126">
        <f t="shared" si="25"/>
        <v>44.19</v>
      </c>
      <c r="AE116" s="127">
        <f t="shared" si="26"/>
        <v>0.83693181818181817</v>
      </c>
      <c r="AF116" s="128">
        <f t="shared" si="27"/>
        <v>9.7899999999999991</v>
      </c>
    </row>
    <row r="117" spans="1:32" ht="15.75" customHeight="1">
      <c r="A117" s="114" t="s">
        <v>194</v>
      </c>
      <c r="B117" s="114" t="s">
        <v>748</v>
      </c>
      <c r="C117" s="114" t="s">
        <v>563</v>
      </c>
      <c r="D117" s="114" t="s">
        <v>677</v>
      </c>
      <c r="E117" s="114" t="s">
        <v>565</v>
      </c>
      <c r="F117" s="114" t="s">
        <v>678</v>
      </c>
      <c r="G117" s="114" t="s">
        <v>544</v>
      </c>
      <c r="H117" s="115">
        <v>15</v>
      </c>
      <c r="I117" s="114" t="s">
        <v>551</v>
      </c>
      <c r="J117" s="116">
        <f t="shared" si="14"/>
        <v>1.27</v>
      </c>
      <c r="K117" s="97" t="str">
        <f>IFERROR(IF(VLOOKUP(D117,'Ficha de Produção'!C:C,1,0)=D117,"OK","Custo Produção Não Cadastrado"),"Custo Produção Não Cadastrado")</f>
        <v>OK</v>
      </c>
      <c r="L117" s="97" t="str">
        <f>IFERROR(IF(VLOOKUP(A117,'Ficha de Embalagens'!A:A,1,0)=A117,"OK","Ficha de Embalagens Não Cadastrada"),"Ficha de Embalagens Não Cadastrada")</f>
        <v>OK</v>
      </c>
      <c r="M117" s="117">
        <f>SUMIFS('Ficha de Produção'!N:N,'Ficha de Produção'!C:C,D117)*H117</f>
        <v>39.299999999999997</v>
      </c>
      <c r="N117" s="117">
        <f>SUMIFS('Ficha de Embalagens'!F:F,'Ficha de Embalagens'!A:A,A117)</f>
        <v>8.61</v>
      </c>
      <c r="O117" s="97">
        <f t="shared" si="15"/>
        <v>47.91</v>
      </c>
      <c r="P117" s="97">
        <f t="shared" si="16"/>
        <v>4.6500000000000004</v>
      </c>
      <c r="Q117" s="118">
        <f t="shared" si="17"/>
        <v>52.559999999999995</v>
      </c>
      <c r="R117" s="97">
        <f t="shared" si="18"/>
        <v>3</v>
      </c>
      <c r="S117" s="97">
        <f t="shared" si="19"/>
        <v>4.2</v>
      </c>
      <c r="T117" s="118">
        <f t="shared" si="20"/>
        <v>59.76</v>
      </c>
      <c r="U117" s="119">
        <v>60</v>
      </c>
      <c r="V117" s="120">
        <f t="shared" si="21"/>
        <v>4.000000000000033E-3</v>
      </c>
      <c r="W117" s="121">
        <f t="shared" si="22"/>
        <v>59.73</v>
      </c>
      <c r="AB117" s="125">
        <f t="shared" si="23"/>
        <v>52.559999999999995</v>
      </c>
      <c r="AC117" s="125">
        <f t="shared" si="24"/>
        <v>52.8</v>
      </c>
      <c r="AD117" s="126">
        <f t="shared" si="25"/>
        <v>0.24000000000000199</v>
      </c>
      <c r="AE117" s="127">
        <f t="shared" si="26"/>
        <v>4.5454545454545834E-3</v>
      </c>
      <c r="AF117" s="128">
        <f t="shared" si="27"/>
        <v>59.73</v>
      </c>
    </row>
    <row r="118" spans="1:32" ht="15.75" customHeight="1">
      <c r="A118" s="114" t="s">
        <v>195</v>
      </c>
      <c r="B118" s="114" t="s">
        <v>749</v>
      </c>
      <c r="C118" s="114" t="s">
        <v>563</v>
      </c>
      <c r="D118" s="114" t="s">
        <v>680</v>
      </c>
      <c r="E118" s="114" t="s">
        <v>565</v>
      </c>
      <c r="F118" s="114" t="s">
        <v>681</v>
      </c>
      <c r="G118" s="114" t="s">
        <v>544</v>
      </c>
      <c r="H118" s="115">
        <v>15</v>
      </c>
      <c r="I118" s="114" t="s">
        <v>551</v>
      </c>
      <c r="J118" s="116">
        <f t="shared" si="14"/>
        <v>1.27</v>
      </c>
      <c r="K118" s="97" t="str">
        <f>IFERROR(IF(VLOOKUP(D118,'Ficha de Produção'!C:C,1,0)=D118,"OK","Custo Produção Não Cadastrado"),"Custo Produção Não Cadastrado")</f>
        <v>OK</v>
      </c>
      <c r="L118" s="97" t="str">
        <f>IFERROR(IF(VLOOKUP(A118,'Ficha de Embalagens'!A:A,1,0)=A118,"OK","Ficha de Embalagens Não Cadastrada"),"Ficha de Embalagens Não Cadastrada")</f>
        <v>OK</v>
      </c>
      <c r="M118" s="117">
        <f>SUMIFS('Ficha de Produção'!N:N,'Ficha de Produção'!C:C,D118)*H118</f>
        <v>41.85</v>
      </c>
      <c r="N118" s="117">
        <f>SUMIFS('Ficha de Embalagens'!F:F,'Ficha de Embalagens'!A:A,A118)</f>
        <v>8.61</v>
      </c>
      <c r="O118" s="97">
        <f t="shared" si="15"/>
        <v>50.46</v>
      </c>
      <c r="P118" s="97">
        <f t="shared" si="16"/>
        <v>4.6500000000000004</v>
      </c>
      <c r="Q118" s="118">
        <f t="shared" si="17"/>
        <v>55.11</v>
      </c>
      <c r="R118" s="97">
        <f t="shared" si="18"/>
        <v>3</v>
      </c>
      <c r="S118" s="97">
        <f t="shared" si="19"/>
        <v>4.2</v>
      </c>
      <c r="T118" s="118">
        <f t="shared" si="20"/>
        <v>62.31</v>
      </c>
      <c r="U118" s="119">
        <v>60</v>
      </c>
      <c r="V118" s="120">
        <f t="shared" si="21"/>
        <v>-3.8500000000000041E-2</v>
      </c>
      <c r="W118" s="121">
        <f t="shared" si="22"/>
        <v>62.629999999999995</v>
      </c>
      <c r="AB118" s="125">
        <f t="shared" si="23"/>
        <v>55.11</v>
      </c>
      <c r="AC118" s="125">
        <f t="shared" si="24"/>
        <v>52.8</v>
      </c>
      <c r="AD118" s="126">
        <f t="shared" si="25"/>
        <v>-2.3100000000000023</v>
      </c>
      <c r="AE118" s="127">
        <f t="shared" si="26"/>
        <v>-4.3750000000000046E-2</v>
      </c>
      <c r="AF118" s="128">
        <f t="shared" si="27"/>
        <v>62.629999999999995</v>
      </c>
    </row>
    <row r="119" spans="1:32" ht="15.75" customHeight="1">
      <c r="A119" s="114" t="s">
        <v>196</v>
      </c>
      <c r="B119" s="114" t="s">
        <v>750</v>
      </c>
      <c r="C119" s="114" t="s">
        <v>563</v>
      </c>
      <c r="D119" s="114" t="s">
        <v>683</v>
      </c>
      <c r="E119" s="114" t="s">
        <v>565</v>
      </c>
      <c r="F119" s="114" t="s">
        <v>608</v>
      </c>
      <c r="G119" s="114" t="s">
        <v>556</v>
      </c>
      <c r="H119" s="115">
        <v>15</v>
      </c>
      <c r="I119" s="114" t="s">
        <v>551</v>
      </c>
      <c r="J119" s="116">
        <f t="shared" si="14"/>
        <v>1.27</v>
      </c>
      <c r="K119" s="97" t="str">
        <f>IFERROR(IF(VLOOKUP(D119,'Ficha de Produção'!C:C,1,0)=D119,"OK","Custo Produção Não Cadastrado"),"Custo Produção Não Cadastrado")</f>
        <v>Custo Produção Não Cadastrado</v>
      </c>
      <c r="L119" s="97" t="str">
        <f>IFERROR(IF(VLOOKUP(A119,'Ficha de Embalagens'!A:A,1,0)=A119,"OK","Ficha de Embalagens Não Cadastrada"),"Ficha de Embalagens Não Cadastrada")</f>
        <v>OK</v>
      </c>
      <c r="M119" s="117">
        <f>SUMIFS('Ficha de Produção'!N:N,'Ficha de Produção'!C:C,D119)*H119</f>
        <v>0</v>
      </c>
      <c r="N119" s="117">
        <f>SUMIFS('Ficha de Embalagens'!F:F,'Ficha de Embalagens'!A:A,A119)</f>
        <v>8.61</v>
      </c>
      <c r="O119" s="97">
        <f t="shared" si="15"/>
        <v>8.61</v>
      </c>
      <c r="P119" s="97">
        <f t="shared" si="16"/>
        <v>0</v>
      </c>
      <c r="Q119" s="118">
        <f t="shared" si="17"/>
        <v>8.61</v>
      </c>
      <c r="R119" s="97">
        <f t="shared" si="18"/>
        <v>3</v>
      </c>
      <c r="S119" s="97">
        <f t="shared" si="19"/>
        <v>4.2</v>
      </c>
      <c r="T119" s="118">
        <f t="shared" si="20"/>
        <v>15.809999999999999</v>
      </c>
      <c r="U119" s="119">
        <v>60</v>
      </c>
      <c r="V119" s="120" t="str">
        <f t="shared" si="21"/>
        <v>Cadastrar Ficha de Produção</v>
      </c>
      <c r="W119" s="121" t="str">
        <f t="shared" si="22"/>
        <v>Cadastrar Ficha de Produção</v>
      </c>
      <c r="AB119" s="125">
        <f t="shared" si="23"/>
        <v>8.61</v>
      </c>
      <c r="AC119" s="125">
        <f t="shared" si="24"/>
        <v>52.8</v>
      </c>
      <c r="AD119" s="126">
        <f t="shared" si="25"/>
        <v>44.19</v>
      </c>
      <c r="AE119" s="127">
        <f t="shared" si="26"/>
        <v>0.83693181818181817</v>
      </c>
      <c r="AF119" s="128">
        <f t="shared" si="27"/>
        <v>9.7899999999999991</v>
      </c>
    </row>
    <row r="120" spans="1:32" ht="15.75" customHeight="1">
      <c r="A120" s="114" t="s">
        <v>197</v>
      </c>
      <c r="B120" s="114" t="s">
        <v>751</v>
      </c>
      <c r="C120" s="114" t="s">
        <v>563</v>
      </c>
      <c r="D120" s="114" t="s">
        <v>685</v>
      </c>
      <c r="E120" s="114" t="s">
        <v>565</v>
      </c>
      <c r="F120" s="114" t="s">
        <v>686</v>
      </c>
      <c r="G120" s="114" t="s">
        <v>544</v>
      </c>
      <c r="H120" s="115">
        <v>15</v>
      </c>
      <c r="I120" s="114" t="s">
        <v>551</v>
      </c>
      <c r="J120" s="116">
        <f t="shared" si="14"/>
        <v>1.27</v>
      </c>
      <c r="K120" s="97" t="str">
        <f>IFERROR(IF(VLOOKUP(D120,'Ficha de Produção'!C:C,1,0)=D120,"OK","Custo Produção Não Cadastrado"),"Custo Produção Não Cadastrado")</f>
        <v>OK</v>
      </c>
      <c r="L120" s="97" t="str">
        <f>IFERROR(IF(VLOOKUP(A120,'Ficha de Embalagens'!A:A,1,0)=A120,"OK","Ficha de Embalagens Não Cadastrada"),"Ficha de Embalagens Não Cadastrada")</f>
        <v>OK</v>
      </c>
      <c r="M120" s="117">
        <f>SUMIFS('Ficha de Produção'!N:N,'Ficha de Produção'!C:C,D120)*H120</f>
        <v>46.949999999999989</v>
      </c>
      <c r="N120" s="117">
        <f>SUMIFS('Ficha de Embalagens'!F:F,'Ficha de Embalagens'!A:A,A120)</f>
        <v>8.61</v>
      </c>
      <c r="O120" s="97">
        <f t="shared" si="15"/>
        <v>55.559999999999988</v>
      </c>
      <c r="P120" s="97">
        <f t="shared" si="16"/>
        <v>4.6500000000000004</v>
      </c>
      <c r="Q120" s="118">
        <f t="shared" si="17"/>
        <v>60.209999999999987</v>
      </c>
      <c r="R120" s="97">
        <f t="shared" si="18"/>
        <v>3</v>
      </c>
      <c r="S120" s="97">
        <f t="shared" si="19"/>
        <v>4.2</v>
      </c>
      <c r="T120" s="118">
        <f t="shared" si="20"/>
        <v>67.409999999999982</v>
      </c>
      <c r="U120" s="119">
        <v>60</v>
      </c>
      <c r="V120" s="120">
        <f t="shared" si="21"/>
        <v>-0.12349999999999971</v>
      </c>
      <c r="W120" s="121">
        <f t="shared" si="22"/>
        <v>68.430000000000007</v>
      </c>
      <c r="AB120" s="125">
        <f t="shared" si="23"/>
        <v>60.209999999999987</v>
      </c>
      <c r="AC120" s="125">
        <f t="shared" si="24"/>
        <v>52.8</v>
      </c>
      <c r="AD120" s="126">
        <f t="shared" si="25"/>
        <v>-7.4099999999999895</v>
      </c>
      <c r="AE120" s="127">
        <f t="shared" si="26"/>
        <v>-0.14034090909090891</v>
      </c>
      <c r="AF120" s="128">
        <f t="shared" si="27"/>
        <v>68.430000000000007</v>
      </c>
    </row>
    <row r="121" spans="1:32" ht="15.75" customHeight="1">
      <c r="A121" s="114" t="s">
        <v>198</v>
      </c>
      <c r="B121" s="114" t="s">
        <v>752</v>
      </c>
      <c r="C121" s="114" t="s">
        <v>563</v>
      </c>
      <c r="D121" s="114" t="s">
        <v>688</v>
      </c>
      <c r="E121" s="114" t="s">
        <v>565</v>
      </c>
      <c r="F121" s="114" t="s">
        <v>689</v>
      </c>
      <c r="G121" s="114" t="s">
        <v>556</v>
      </c>
      <c r="H121" s="115">
        <v>15</v>
      </c>
      <c r="I121" s="114" t="s">
        <v>551</v>
      </c>
      <c r="J121" s="116">
        <f t="shared" si="14"/>
        <v>1.27</v>
      </c>
      <c r="K121" s="97" t="str">
        <f>IFERROR(IF(VLOOKUP(D121,'Ficha de Produção'!C:C,1,0)=D121,"OK","Custo Produção Não Cadastrado"),"Custo Produção Não Cadastrado")</f>
        <v>Custo Produção Não Cadastrado</v>
      </c>
      <c r="L121" s="97" t="str">
        <f>IFERROR(IF(VLOOKUP(A121,'Ficha de Embalagens'!A:A,1,0)=A121,"OK","Ficha de Embalagens Não Cadastrada"),"Ficha de Embalagens Não Cadastrada")</f>
        <v>OK</v>
      </c>
      <c r="M121" s="117">
        <f>SUMIFS('Ficha de Produção'!N:N,'Ficha de Produção'!C:C,D121)*H121</f>
        <v>0</v>
      </c>
      <c r="N121" s="117">
        <f>SUMIFS('Ficha de Embalagens'!F:F,'Ficha de Embalagens'!A:A,A121)</f>
        <v>8.61</v>
      </c>
      <c r="O121" s="97">
        <f t="shared" si="15"/>
        <v>8.61</v>
      </c>
      <c r="P121" s="97">
        <f t="shared" si="16"/>
        <v>0</v>
      </c>
      <c r="Q121" s="118">
        <f t="shared" si="17"/>
        <v>8.61</v>
      </c>
      <c r="R121" s="97">
        <f t="shared" si="18"/>
        <v>3</v>
      </c>
      <c r="S121" s="97">
        <f t="shared" si="19"/>
        <v>4.2</v>
      </c>
      <c r="T121" s="118">
        <f t="shared" si="20"/>
        <v>15.809999999999999</v>
      </c>
      <c r="U121" s="119">
        <v>60</v>
      </c>
      <c r="V121" s="120" t="str">
        <f t="shared" si="21"/>
        <v>Cadastrar Ficha de Produção</v>
      </c>
      <c r="W121" s="121" t="str">
        <f t="shared" si="22"/>
        <v>Cadastrar Ficha de Produção</v>
      </c>
      <c r="AB121" s="125">
        <f t="shared" si="23"/>
        <v>8.61</v>
      </c>
      <c r="AC121" s="125">
        <f t="shared" si="24"/>
        <v>52.8</v>
      </c>
      <c r="AD121" s="126">
        <f t="shared" si="25"/>
        <v>44.19</v>
      </c>
      <c r="AE121" s="127">
        <f t="shared" si="26"/>
        <v>0.83693181818181817</v>
      </c>
      <c r="AF121" s="128">
        <f t="shared" si="27"/>
        <v>9.7899999999999991</v>
      </c>
    </row>
    <row r="122" spans="1:32" ht="15.75" customHeight="1">
      <c r="A122" s="114" t="s">
        <v>199</v>
      </c>
      <c r="B122" s="114" t="s">
        <v>753</v>
      </c>
      <c r="C122" s="114" t="s">
        <v>563</v>
      </c>
      <c r="D122" s="114" t="s">
        <v>691</v>
      </c>
      <c r="E122" s="114" t="s">
        <v>565</v>
      </c>
      <c r="F122" s="114" t="s">
        <v>692</v>
      </c>
      <c r="G122" s="114" t="s">
        <v>556</v>
      </c>
      <c r="H122" s="115">
        <v>15</v>
      </c>
      <c r="I122" s="114" t="s">
        <v>551</v>
      </c>
      <c r="J122" s="116">
        <f t="shared" si="14"/>
        <v>1.27</v>
      </c>
      <c r="K122" s="97" t="str">
        <f>IFERROR(IF(VLOOKUP(D122,'Ficha de Produção'!C:C,1,0)=D122,"OK","Custo Produção Não Cadastrado"),"Custo Produção Não Cadastrado")</f>
        <v>Custo Produção Não Cadastrado</v>
      </c>
      <c r="L122" s="97" t="str">
        <f>IFERROR(IF(VLOOKUP(A122,'Ficha de Embalagens'!A:A,1,0)=A122,"OK","Ficha de Embalagens Não Cadastrada"),"Ficha de Embalagens Não Cadastrada")</f>
        <v>OK</v>
      </c>
      <c r="M122" s="117">
        <f>SUMIFS('Ficha de Produção'!N:N,'Ficha de Produção'!C:C,D122)*H122</f>
        <v>0</v>
      </c>
      <c r="N122" s="117">
        <f>SUMIFS('Ficha de Embalagens'!F:F,'Ficha de Embalagens'!A:A,A122)</f>
        <v>8.61</v>
      </c>
      <c r="O122" s="97">
        <f t="shared" si="15"/>
        <v>8.61</v>
      </c>
      <c r="P122" s="97">
        <f t="shared" si="16"/>
        <v>0</v>
      </c>
      <c r="Q122" s="118">
        <f t="shared" si="17"/>
        <v>8.61</v>
      </c>
      <c r="R122" s="97">
        <f t="shared" si="18"/>
        <v>3</v>
      </c>
      <c r="S122" s="97">
        <f t="shared" si="19"/>
        <v>4.2</v>
      </c>
      <c r="T122" s="118">
        <f t="shared" si="20"/>
        <v>15.809999999999999</v>
      </c>
      <c r="U122" s="119">
        <v>60</v>
      </c>
      <c r="V122" s="120" t="str">
        <f t="shared" si="21"/>
        <v>Cadastrar Ficha de Produção</v>
      </c>
      <c r="W122" s="121" t="str">
        <f t="shared" si="22"/>
        <v>Cadastrar Ficha de Produção</v>
      </c>
      <c r="AB122" s="125">
        <f t="shared" si="23"/>
        <v>8.61</v>
      </c>
      <c r="AC122" s="125">
        <f t="shared" si="24"/>
        <v>52.8</v>
      </c>
      <c r="AD122" s="126">
        <f t="shared" si="25"/>
        <v>44.19</v>
      </c>
      <c r="AE122" s="127">
        <f t="shared" si="26"/>
        <v>0.83693181818181817</v>
      </c>
      <c r="AF122" s="128">
        <f t="shared" si="27"/>
        <v>9.7899999999999991</v>
      </c>
    </row>
    <row r="123" spans="1:32" ht="15.75" customHeight="1">
      <c r="A123" s="114" t="s">
        <v>200</v>
      </c>
      <c r="B123" s="114" t="s">
        <v>754</v>
      </c>
      <c r="C123" s="114" t="s">
        <v>563</v>
      </c>
      <c r="D123" s="114" t="s">
        <v>694</v>
      </c>
      <c r="E123" s="114" t="s">
        <v>565</v>
      </c>
      <c r="F123" s="114" t="s">
        <v>695</v>
      </c>
      <c r="G123" s="114" t="s">
        <v>556</v>
      </c>
      <c r="H123" s="115">
        <v>15</v>
      </c>
      <c r="I123" s="114" t="s">
        <v>551</v>
      </c>
      <c r="J123" s="116">
        <f t="shared" si="14"/>
        <v>1.27</v>
      </c>
      <c r="K123" s="97" t="str">
        <f>IFERROR(IF(VLOOKUP(D123,'Ficha de Produção'!C:C,1,0)=D123,"OK","Custo Produção Não Cadastrado"),"Custo Produção Não Cadastrado")</f>
        <v>Custo Produção Não Cadastrado</v>
      </c>
      <c r="L123" s="97" t="str">
        <f>IFERROR(IF(VLOOKUP(A123,'Ficha de Embalagens'!A:A,1,0)=A123,"OK","Ficha de Embalagens Não Cadastrada"),"Ficha de Embalagens Não Cadastrada")</f>
        <v>OK</v>
      </c>
      <c r="M123" s="117">
        <f>SUMIFS('Ficha de Produção'!N:N,'Ficha de Produção'!C:C,D123)*H123</f>
        <v>0</v>
      </c>
      <c r="N123" s="117">
        <f>SUMIFS('Ficha de Embalagens'!F:F,'Ficha de Embalagens'!A:A,A123)</f>
        <v>8.61</v>
      </c>
      <c r="O123" s="97">
        <f t="shared" si="15"/>
        <v>8.61</v>
      </c>
      <c r="P123" s="97">
        <f t="shared" si="16"/>
        <v>0</v>
      </c>
      <c r="Q123" s="118">
        <f t="shared" si="17"/>
        <v>8.61</v>
      </c>
      <c r="R123" s="97">
        <f t="shared" si="18"/>
        <v>3</v>
      </c>
      <c r="S123" s="97">
        <f t="shared" si="19"/>
        <v>4.2</v>
      </c>
      <c r="T123" s="118">
        <f t="shared" si="20"/>
        <v>15.809999999999999</v>
      </c>
      <c r="U123" s="119">
        <v>60</v>
      </c>
      <c r="V123" s="120" t="str">
        <f t="shared" si="21"/>
        <v>Cadastrar Ficha de Produção</v>
      </c>
      <c r="W123" s="121" t="str">
        <f t="shared" si="22"/>
        <v>Cadastrar Ficha de Produção</v>
      </c>
      <c r="AB123" s="125">
        <f t="shared" si="23"/>
        <v>8.61</v>
      </c>
      <c r="AC123" s="125">
        <f t="shared" si="24"/>
        <v>52.8</v>
      </c>
      <c r="AD123" s="126">
        <f t="shared" si="25"/>
        <v>44.19</v>
      </c>
      <c r="AE123" s="127">
        <f t="shared" si="26"/>
        <v>0.83693181818181817</v>
      </c>
      <c r="AF123" s="128">
        <f t="shared" si="27"/>
        <v>9.7899999999999991</v>
      </c>
    </row>
    <row r="124" spans="1:32" ht="15.75" customHeight="1">
      <c r="A124" s="114" t="s">
        <v>201</v>
      </c>
      <c r="B124" s="114" t="s">
        <v>755</v>
      </c>
      <c r="C124" s="114" t="s">
        <v>563</v>
      </c>
      <c r="D124" s="114" t="s">
        <v>697</v>
      </c>
      <c r="E124" s="114" t="s">
        <v>565</v>
      </c>
      <c r="F124" s="114" t="s">
        <v>698</v>
      </c>
      <c r="G124" s="114" t="s">
        <v>544</v>
      </c>
      <c r="H124" s="115">
        <v>15</v>
      </c>
      <c r="I124" s="114" t="s">
        <v>551</v>
      </c>
      <c r="J124" s="116">
        <f t="shared" si="14"/>
        <v>1.27</v>
      </c>
      <c r="K124" s="97" t="str">
        <f>IFERROR(IF(VLOOKUP(D124,'Ficha de Produção'!C:C,1,0)=D124,"OK","Custo Produção Não Cadastrado"),"Custo Produção Não Cadastrado")</f>
        <v>OK</v>
      </c>
      <c r="L124" s="97" t="str">
        <f>IFERROR(IF(VLOOKUP(A124,'Ficha de Embalagens'!A:A,1,0)=A124,"OK","Ficha de Embalagens Não Cadastrada"),"Ficha de Embalagens Não Cadastrada")</f>
        <v>OK</v>
      </c>
      <c r="M124" s="117">
        <f>SUMIFS('Ficha de Produção'!N:N,'Ficha de Produção'!C:C,D124)*H124</f>
        <v>38.399999999999991</v>
      </c>
      <c r="N124" s="117">
        <f>SUMIFS('Ficha de Embalagens'!F:F,'Ficha de Embalagens'!A:A,A124)</f>
        <v>8.61</v>
      </c>
      <c r="O124" s="97">
        <f t="shared" si="15"/>
        <v>47.009999999999991</v>
      </c>
      <c r="P124" s="97">
        <f t="shared" si="16"/>
        <v>4.6500000000000004</v>
      </c>
      <c r="Q124" s="118">
        <f t="shared" si="17"/>
        <v>51.659999999999989</v>
      </c>
      <c r="R124" s="97">
        <f t="shared" si="18"/>
        <v>3</v>
      </c>
      <c r="S124" s="97">
        <f t="shared" si="19"/>
        <v>4.2</v>
      </c>
      <c r="T124" s="118">
        <f t="shared" si="20"/>
        <v>58.859999999999992</v>
      </c>
      <c r="U124" s="119">
        <v>60</v>
      </c>
      <c r="V124" s="120">
        <f t="shared" si="21"/>
        <v>1.9000000000000128E-2</v>
      </c>
      <c r="W124" s="121">
        <f t="shared" si="22"/>
        <v>58.71</v>
      </c>
      <c r="AB124" s="125">
        <f t="shared" si="23"/>
        <v>51.659999999999989</v>
      </c>
      <c r="AC124" s="125">
        <f t="shared" si="24"/>
        <v>52.8</v>
      </c>
      <c r="AD124" s="126">
        <f t="shared" si="25"/>
        <v>1.1400000000000077</v>
      </c>
      <c r="AE124" s="127">
        <f t="shared" si="26"/>
        <v>2.1590909090909237E-2</v>
      </c>
      <c r="AF124" s="128">
        <f t="shared" si="27"/>
        <v>58.71</v>
      </c>
    </row>
    <row r="125" spans="1:32" ht="15.75" customHeight="1">
      <c r="A125" s="114" t="s">
        <v>202</v>
      </c>
      <c r="B125" s="114" t="s">
        <v>756</v>
      </c>
      <c r="C125" s="114" t="s">
        <v>563</v>
      </c>
      <c r="D125" s="114" t="s">
        <v>700</v>
      </c>
      <c r="E125" s="114" t="s">
        <v>565</v>
      </c>
      <c r="F125" s="114" t="s">
        <v>701</v>
      </c>
      <c r="G125" s="114" t="s">
        <v>544</v>
      </c>
      <c r="H125" s="115">
        <v>15</v>
      </c>
      <c r="I125" s="114" t="s">
        <v>551</v>
      </c>
      <c r="J125" s="116">
        <f t="shared" si="14"/>
        <v>1.27</v>
      </c>
      <c r="K125" s="97" t="str">
        <f>IFERROR(IF(VLOOKUP(D125,'Ficha de Produção'!C:C,1,0)=D125,"OK","Custo Produção Não Cadastrado"),"Custo Produção Não Cadastrado")</f>
        <v>OK</v>
      </c>
      <c r="L125" s="97" t="str">
        <f>IFERROR(IF(VLOOKUP(A125,'Ficha de Embalagens'!A:A,1,0)=A125,"OK","Ficha de Embalagens Não Cadastrada"),"Ficha de Embalagens Não Cadastrada")</f>
        <v>OK</v>
      </c>
      <c r="M125" s="117">
        <f>SUMIFS('Ficha de Produção'!N:N,'Ficha de Produção'!C:C,D125)*H125</f>
        <v>38.699999999999996</v>
      </c>
      <c r="N125" s="117">
        <f>SUMIFS('Ficha de Embalagens'!F:F,'Ficha de Embalagens'!A:A,A125)</f>
        <v>8.61</v>
      </c>
      <c r="O125" s="97">
        <f t="shared" si="15"/>
        <v>47.309999999999995</v>
      </c>
      <c r="P125" s="97">
        <f t="shared" si="16"/>
        <v>4.6500000000000004</v>
      </c>
      <c r="Q125" s="118">
        <f t="shared" si="17"/>
        <v>51.959999999999994</v>
      </c>
      <c r="R125" s="97">
        <f t="shared" si="18"/>
        <v>3</v>
      </c>
      <c r="S125" s="97">
        <f t="shared" si="19"/>
        <v>4.2</v>
      </c>
      <c r="T125" s="118">
        <f t="shared" si="20"/>
        <v>59.16</v>
      </c>
      <c r="U125" s="119">
        <v>60</v>
      </c>
      <c r="V125" s="120">
        <f t="shared" si="21"/>
        <v>1.4000000000000058E-2</v>
      </c>
      <c r="W125" s="121">
        <f t="shared" si="22"/>
        <v>59.05</v>
      </c>
      <c r="AB125" s="125">
        <f t="shared" si="23"/>
        <v>51.959999999999994</v>
      </c>
      <c r="AC125" s="125">
        <f t="shared" si="24"/>
        <v>52.8</v>
      </c>
      <c r="AD125" s="126">
        <f t="shared" si="25"/>
        <v>0.84000000000000341</v>
      </c>
      <c r="AE125" s="127">
        <f t="shared" si="26"/>
        <v>1.5909090909090973E-2</v>
      </c>
      <c r="AF125" s="128">
        <f t="shared" si="27"/>
        <v>59.05</v>
      </c>
    </row>
    <row r="126" spans="1:32" ht="15.75" customHeight="1">
      <c r="A126" s="114" t="s">
        <v>203</v>
      </c>
      <c r="B126" s="114" t="s">
        <v>757</v>
      </c>
      <c r="C126" s="114" t="s">
        <v>563</v>
      </c>
      <c r="D126" s="114" t="s">
        <v>703</v>
      </c>
      <c r="E126" s="114" t="s">
        <v>610</v>
      </c>
      <c r="F126" s="114" t="s">
        <v>704</v>
      </c>
      <c r="G126" s="114" t="s">
        <v>544</v>
      </c>
      <c r="H126" s="115">
        <v>15</v>
      </c>
      <c r="I126" s="114" t="s">
        <v>551</v>
      </c>
      <c r="J126" s="116">
        <f t="shared" si="14"/>
        <v>1.27</v>
      </c>
      <c r="K126" s="97" t="str">
        <f>IFERROR(IF(VLOOKUP(D126,'Ficha de Produção'!C:C,1,0)=D126,"OK","Custo Produção Não Cadastrado"),"Custo Produção Não Cadastrado")</f>
        <v>OK</v>
      </c>
      <c r="L126" s="97" t="str">
        <f>IFERROR(IF(VLOOKUP(A126,'Ficha de Embalagens'!A:A,1,0)=A126,"OK","Ficha de Embalagens Não Cadastrada"),"Ficha de Embalagens Não Cadastrada")</f>
        <v>OK</v>
      </c>
      <c r="M126" s="117">
        <f>SUMIFS('Ficha de Produção'!N:N,'Ficha de Produção'!C:C,D126)*H126</f>
        <v>109.35</v>
      </c>
      <c r="N126" s="117">
        <f>SUMIFS('Ficha de Embalagens'!F:F,'Ficha de Embalagens'!A:A,A126)</f>
        <v>8.61</v>
      </c>
      <c r="O126" s="97">
        <f t="shared" si="15"/>
        <v>117.96</v>
      </c>
      <c r="P126" s="97">
        <f t="shared" si="16"/>
        <v>4.6500000000000004</v>
      </c>
      <c r="Q126" s="118">
        <f t="shared" si="17"/>
        <v>122.61</v>
      </c>
      <c r="R126" s="97">
        <f t="shared" si="18"/>
        <v>8.7949999999999999</v>
      </c>
      <c r="S126" s="97">
        <f t="shared" si="19"/>
        <v>12.313000000000002</v>
      </c>
      <c r="T126" s="118">
        <f t="shared" si="20"/>
        <v>143.71800000000002</v>
      </c>
      <c r="U126" s="130">
        <v>175.9</v>
      </c>
      <c r="V126" s="120">
        <f t="shared" si="21"/>
        <v>0.18295622512791351</v>
      </c>
      <c r="W126" s="121">
        <f t="shared" si="22"/>
        <v>139.32999999999998</v>
      </c>
      <c r="AB126" s="125">
        <f t="shared" si="23"/>
        <v>122.61</v>
      </c>
      <c r="AC126" s="125">
        <f t="shared" si="24"/>
        <v>154.79199999999997</v>
      </c>
      <c r="AD126" s="126">
        <f t="shared" si="25"/>
        <v>32.181999999999974</v>
      </c>
      <c r="AE126" s="127">
        <f t="shared" si="26"/>
        <v>0.20790480128171984</v>
      </c>
      <c r="AF126" s="128">
        <f t="shared" si="27"/>
        <v>139.32999999999998</v>
      </c>
    </row>
    <row r="127" spans="1:32" ht="15.75" customHeight="1">
      <c r="A127" s="114" t="s">
        <v>204</v>
      </c>
      <c r="B127" s="114" t="s">
        <v>758</v>
      </c>
      <c r="C127" s="114" t="s">
        <v>563</v>
      </c>
      <c r="D127" s="114" t="s">
        <v>706</v>
      </c>
      <c r="E127" s="114" t="s">
        <v>610</v>
      </c>
      <c r="F127" s="114" t="s">
        <v>569</v>
      </c>
      <c r="G127" s="114" t="s">
        <v>544</v>
      </c>
      <c r="H127" s="115">
        <v>15</v>
      </c>
      <c r="I127" s="114" t="s">
        <v>551</v>
      </c>
      <c r="J127" s="116">
        <f t="shared" si="14"/>
        <v>1.27</v>
      </c>
      <c r="K127" s="97" t="str">
        <f>IFERROR(IF(VLOOKUP(D127,'Ficha de Produção'!C:C,1,0)=D127,"OK","Custo Produção Não Cadastrado"),"Custo Produção Não Cadastrado")</f>
        <v>OK</v>
      </c>
      <c r="L127" s="97" t="str">
        <f>IFERROR(IF(VLOOKUP(A127,'Ficha de Embalagens'!A:A,1,0)=A127,"OK","Ficha de Embalagens Não Cadastrada"),"Ficha de Embalagens Não Cadastrada")</f>
        <v>OK</v>
      </c>
      <c r="M127" s="117">
        <f>SUMIFS('Ficha de Produção'!N:N,'Ficha de Produção'!C:C,D127)*H127</f>
        <v>127.19999999999997</v>
      </c>
      <c r="N127" s="117">
        <f>SUMIFS('Ficha de Embalagens'!F:F,'Ficha de Embalagens'!A:A,A127)</f>
        <v>8.61</v>
      </c>
      <c r="O127" s="97">
        <f t="shared" si="15"/>
        <v>135.80999999999997</v>
      </c>
      <c r="P127" s="97">
        <f t="shared" si="16"/>
        <v>4.6500000000000004</v>
      </c>
      <c r="Q127" s="118">
        <f t="shared" si="17"/>
        <v>140.45999999999998</v>
      </c>
      <c r="R127" s="97">
        <f t="shared" si="18"/>
        <v>8.7949999999999999</v>
      </c>
      <c r="S127" s="97">
        <f t="shared" si="19"/>
        <v>12.313000000000002</v>
      </c>
      <c r="T127" s="118">
        <f t="shared" si="20"/>
        <v>161.56799999999998</v>
      </c>
      <c r="U127" s="130">
        <v>175.9</v>
      </c>
      <c r="V127" s="120">
        <f t="shared" si="21"/>
        <v>8.1478112563956914E-2</v>
      </c>
      <c r="W127" s="121">
        <f t="shared" si="22"/>
        <v>159.62</v>
      </c>
      <c r="AB127" s="125">
        <f t="shared" si="23"/>
        <v>140.45999999999998</v>
      </c>
      <c r="AC127" s="125">
        <f t="shared" si="24"/>
        <v>154.79199999999997</v>
      </c>
      <c r="AD127" s="126">
        <f t="shared" si="25"/>
        <v>14.331999999999994</v>
      </c>
      <c r="AE127" s="127">
        <f t="shared" si="26"/>
        <v>9.2588764277223609E-2</v>
      </c>
      <c r="AF127" s="128">
        <f t="shared" si="27"/>
        <v>159.62</v>
      </c>
    </row>
    <row r="128" spans="1:32" ht="15.75" customHeight="1">
      <c r="A128" s="114" t="s">
        <v>205</v>
      </c>
      <c r="B128" s="114" t="s">
        <v>759</v>
      </c>
      <c r="C128" s="114" t="s">
        <v>563</v>
      </c>
      <c r="D128" s="114" t="s">
        <v>708</v>
      </c>
      <c r="E128" s="114" t="s">
        <v>610</v>
      </c>
      <c r="F128" s="114" t="s">
        <v>660</v>
      </c>
      <c r="G128" s="114" t="s">
        <v>544</v>
      </c>
      <c r="H128" s="115">
        <v>15</v>
      </c>
      <c r="I128" s="114" t="s">
        <v>551</v>
      </c>
      <c r="J128" s="116">
        <f t="shared" si="14"/>
        <v>1.27</v>
      </c>
      <c r="K128" s="97" t="str">
        <f>IFERROR(IF(VLOOKUP(D128,'Ficha de Produção'!C:C,1,0)=D128,"OK","Custo Produção Não Cadastrado"),"Custo Produção Não Cadastrado")</f>
        <v>OK</v>
      </c>
      <c r="L128" s="97" t="str">
        <f>IFERROR(IF(VLOOKUP(A128,'Ficha de Embalagens'!A:A,1,0)=A128,"OK","Ficha de Embalagens Não Cadastrada"),"Ficha de Embalagens Não Cadastrada")</f>
        <v>OK</v>
      </c>
      <c r="M128" s="117">
        <f>SUMIFS('Ficha de Produção'!N:N,'Ficha de Produção'!C:C,D128)*H128</f>
        <v>127.35000000000001</v>
      </c>
      <c r="N128" s="117">
        <f>SUMIFS('Ficha de Embalagens'!F:F,'Ficha de Embalagens'!A:A,A128)</f>
        <v>8.61</v>
      </c>
      <c r="O128" s="97">
        <f t="shared" si="15"/>
        <v>135.96</v>
      </c>
      <c r="P128" s="97">
        <f t="shared" si="16"/>
        <v>4.6500000000000004</v>
      </c>
      <c r="Q128" s="118">
        <f t="shared" si="17"/>
        <v>140.61000000000001</v>
      </c>
      <c r="R128" s="97">
        <f t="shared" si="18"/>
        <v>8.7949999999999999</v>
      </c>
      <c r="S128" s="97">
        <f t="shared" si="19"/>
        <v>12.313000000000002</v>
      </c>
      <c r="T128" s="118">
        <f t="shared" si="20"/>
        <v>161.71800000000002</v>
      </c>
      <c r="U128" s="130">
        <v>175.9</v>
      </c>
      <c r="V128" s="120">
        <f t="shared" si="21"/>
        <v>8.0625355315520106E-2</v>
      </c>
      <c r="W128" s="121">
        <f t="shared" si="22"/>
        <v>159.79</v>
      </c>
      <c r="AB128" s="125">
        <f t="shared" si="23"/>
        <v>140.61000000000001</v>
      </c>
      <c r="AC128" s="125">
        <f t="shared" si="24"/>
        <v>154.79199999999997</v>
      </c>
      <c r="AD128" s="126">
        <f t="shared" si="25"/>
        <v>14.18199999999996</v>
      </c>
      <c r="AE128" s="127">
        <f t="shared" si="26"/>
        <v>9.1619721949454502E-2</v>
      </c>
      <c r="AF128" s="128">
        <f t="shared" si="27"/>
        <v>159.79</v>
      </c>
    </row>
    <row r="129" spans="1:32" ht="15.75" customHeight="1">
      <c r="A129" s="114" t="s">
        <v>206</v>
      </c>
      <c r="B129" s="114" t="s">
        <v>760</v>
      </c>
      <c r="C129" s="114" t="s">
        <v>563</v>
      </c>
      <c r="D129" s="114" t="s">
        <v>710</v>
      </c>
      <c r="E129" s="114" t="s">
        <v>610</v>
      </c>
      <c r="F129" s="114" t="s">
        <v>572</v>
      </c>
      <c r="G129" s="114" t="s">
        <v>544</v>
      </c>
      <c r="H129" s="115">
        <v>15</v>
      </c>
      <c r="I129" s="114" t="s">
        <v>551</v>
      </c>
      <c r="J129" s="116">
        <f t="shared" si="14"/>
        <v>1.27</v>
      </c>
      <c r="K129" s="97" t="str">
        <f>IFERROR(IF(VLOOKUP(D129,'Ficha de Produção'!C:C,1,0)=D129,"OK","Custo Produção Não Cadastrado"),"Custo Produção Não Cadastrado")</f>
        <v>OK</v>
      </c>
      <c r="L129" s="97" t="str">
        <f>IFERROR(IF(VLOOKUP(A129,'Ficha de Embalagens'!A:A,1,0)=A129,"OK","Ficha de Embalagens Não Cadastrada"),"Ficha de Embalagens Não Cadastrada")</f>
        <v>OK</v>
      </c>
      <c r="M129" s="117">
        <f>SUMIFS('Ficha de Produção'!N:N,'Ficha de Produção'!C:C,D129)*H129</f>
        <v>121.05000000000001</v>
      </c>
      <c r="N129" s="117">
        <f>SUMIFS('Ficha de Embalagens'!F:F,'Ficha de Embalagens'!A:A,A129)</f>
        <v>8.61</v>
      </c>
      <c r="O129" s="97">
        <f t="shared" si="15"/>
        <v>129.66000000000003</v>
      </c>
      <c r="P129" s="97">
        <f t="shared" si="16"/>
        <v>4.6500000000000004</v>
      </c>
      <c r="Q129" s="118">
        <f t="shared" si="17"/>
        <v>134.31000000000003</v>
      </c>
      <c r="R129" s="97">
        <f t="shared" si="18"/>
        <v>8.7949999999999999</v>
      </c>
      <c r="S129" s="97">
        <f t="shared" si="19"/>
        <v>12.313000000000002</v>
      </c>
      <c r="T129" s="118">
        <f t="shared" si="20"/>
        <v>155.41800000000001</v>
      </c>
      <c r="U129" s="130">
        <v>175.9</v>
      </c>
      <c r="V129" s="120">
        <f t="shared" si="21"/>
        <v>0.11644115974985787</v>
      </c>
      <c r="W129" s="121">
        <f t="shared" si="22"/>
        <v>152.63</v>
      </c>
      <c r="AB129" s="125">
        <f t="shared" si="23"/>
        <v>134.31000000000003</v>
      </c>
      <c r="AC129" s="125">
        <f t="shared" si="24"/>
        <v>154.79199999999997</v>
      </c>
      <c r="AD129" s="126">
        <f t="shared" si="25"/>
        <v>20.481999999999942</v>
      </c>
      <c r="AE129" s="127">
        <f t="shared" si="26"/>
        <v>0.13231949971574725</v>
      </c>
      <c r="AF129" s="128">
        <f t="shared" si="27"/>
        <v>152.63</v>
      </c>
    </row>
    <row r="130" spans="1:32" ht="15.75" customHeight="1">
      <c r="A130" s="114" t="s">
        <v>207</v>
      </c>
      <c r="B130" s="114" t="s">
        <v>761</v>
      </c>
      <c r="C130" s="114" t="s">
        <v>563</v>
      </c>
      <c r="D130" s="114" t="s">
        <v>712</v>
      </c>
      <c r="E130" s="114" t="s">
        <v>610</v>
      </c>
      <c r="F130" s="114" t="s">
        <v>599</v>
      </c>
      <c r="G130" s="114" t="s">
        <v>544</v>
      </c>
      <c r="H130" s="115">
        <v>15</v>
      </c>
      <c r="I130" s="114" t="s">
        <v>551</v>
      </c>
      <c r="J130" s="116">
        <f t="shared" si="14"/>
        <v>1.27</v>
      </c>
      <c r="K130" s="97" t="str">
        <f>IFERROR(IF(VLOOKUP(D130,'Ficha de Produção'!C:C,1,0)=D130,"OK","Custo Produção Não Cadastrado"),"Custo Produção Não Cadastrado")</f>
        <v>OK</v>
      </c>
      <c r="L130" s="97" t="str">
        <f>IFERROR(IF(VLOOKUP(A130,'Ficha de Embalagens'!A:A,1,0)=A130,"OK","Ficha de Embalagens Não Cadastrada"),"Ficha de Embalagens Não Cadastrada")</f>
        <v>OK</v>
      </c>
      <c r="M130" s="117">
        <f>SUMIFS('Ficha de Produção'!N:N,'Ficha de Produção'!C:C,D130)*H130</f>
        <v>127.79999999999997</v>
      </c>
      <c r="N130" s="117">
        <f>SUMIFS('Ficha de Embalagens'!F:F,'Ficha de Embalagens'!A:A,A130)</f>
        <v>8.61</v>
      </c>
      <c r="O130" s="97">
        <f t="shared" si="15"/>
        <v>136.40999999999997</v>
      </c>
      <c r="P130" s="97">
        <f t="shared" si="16"/>
        <v>4.6500000000000004</v>
      </c>
      <c r="Q130" s="118">
        <f t="shared" si="17"/>
        <v>141.05999999999997</v>
      </c>
      <c r="R130" s="97">
        <f t="shared" si="18"/>
        <v>8.7949999999999999</v>
      </c>
      <c r="S130" s="97">
        <f t="shared" si="19"/>
        <v>12.313000000000002</v>
      </c>
      <c r="T130" s="118">
        <f t="shared" si="20"/>
        <v>162.16799999999995</v>
      </c>
      <c r="U130" s="130">
        <v>175.9</v>
      </c>
      <c r="V130" s="120">
        <f t="shared" si="21"/>
        <v>7.8067083570210666E-2</v>
      </c>
      <c r="W130" s="121">
        <f t="shared" si="22"/>
        <v>160.29999999999998</v>
      </c>
      <c r="AB130" s="125">
        <f t="shared" si="23"/>
        <v>141.05999999999997</v>
      </c>
      <c r="AC130" s="125">
        <f t="shared" si="24"/>
        <v>154.79199999999997</v>
      </c>
      <c r="AD130" s="126">
        <f t="shared" si="25"/>
        <v>13.731999999999999</v>
      </c>
      <c r="AE130" s="127">
        <f t="shared" si="26"/>
        <v>8.8712594966148126E-2</v>
      </c>
      <c r="AF130" s="128">
        <f t="shared" si="27"/>
        <v>160.29999999999998</v>
      </c>
    </row>
    <row r="131" spans="1:32" ht="15.75" customHeight="1">
      <c r="A131" s="114" t="s">
        <v>208</v>
      </c>
      <c r="B131" s="114" t="s">
        <v>762</v>
      </c>
      <c r="C131" s="114" t="s">
        <v>563</v>
      </c>
      <c r="D131" s="114" t="s">
        <v>714</v>
      </c>
      <c r="E131" s="114" t="s">
        <v>610</v>
      </c>
      <c r="F131" s="114" t="s">
        <v>667</v>
      </c>
      <c r="G131" s="114" t="s">
        <v>544</v>
      </c>
      <c r="H131" s="115">
        <v>15</v>
      </c>
      <c r="I131" s="114" t="s">
        <v>551</v>
      </c>
      <c r="J131" s="116">
        <f t="shared" si="14"/>
        <v>1.27</v>
      </c>
      <c r="K131" s="97" t="str">
        <f>IFERROR(IF(VLOOKUP(D131,'Ficha de Produção'!C:C,1,0)=D131,"OK","Custo Produção Não Cadastrado"),"Custo Produção Não Cadastrado")</f>
        <v>OK</v>
      </c>
      <c r="L131" s="97" t="str">
        <f>IFERROR(IF(VLOOKUP(A131,'Ficha de Embalagens'!A:A,1,0)=A131,"OK","Ficha de Embalagens Não Cadastrada"),"Ficha de Embalagens Não Cadastrada")</f>
        <v>OK</v>
      </c>
      <c r="M131" s="117">
        <f>SUMIFS('Ficha de Produção'!N:N,'Ficha de Produção'!C:C,D131)*H131</f>
        <v>119.99999999999999</v>
      </c>
      <c r="N131" s="117">
        <f>SUMIFS('Ficha de Embalagens'!F:F,'Ficha de Embalagens'!A:A,A131)</f>
        <v>8.61</v>
      </c>
      <c r="O131" s="97">
        <f t="shared" si="15"/>
        <v>128.60999999999999</v>
      </c>
      <c r="P131" s="97">
        <f t="shared" si="16"/>
        <v>4.6500000000000004</v>
      </c>
      <c r="Q131" s="118">
        <f t="shared" si="17"/>
        <v>133.26</v>
      </c>
      <c r="R131" s="97">
        <f t="shared" si="18"/>
        <v>8.7949999999999999</v>
      </c>
      <c r="S131" s="97">
        <f t="shared" si="19"/>
        <v>12.313000000000002</v>
      </c>
      <c r="T131" s="118">
        <f t="shared" si="20"/>
        <v>154.36799999999999</v>
      </c>
      <c r="U131" s="130">
        <v>175.9</v>
      </c>
      <c r="V131" s="120">
        <f t="shared" si="21"/>
        <v>0.12241046048891421</v>
      </c>
      <c r="W131" s="121">
        <f t="shared" si="22"/>
        <v>151.44</v>
      </c>
      <c r="AB131" s="125">
        <f t="shared" si="23"/>
        <v>133.26</v>
      </c>
      <c r="AC131" s="125">
        <f t="shared" si="24"/>
        <v>154.79199999999997</v>
      </c>
      <c r="AD131" s="126">
        <f t="shared" si="25"/>
        <v>21.531999999999982</v>
      </c>
      <c r="AE131" s="127">
        <f t="shared" si="26"/>
        <v>0.13910279601012962</v>
      </c>
      <c r="AF131" s="128">
        <f t="shared" si="27"/>
        <v>151.44</v>
      </c>
    </row>
    <row r="132" spans="1:32" ht="15.75" customHeight="1">
      <c r="A132" s="114" t="s">
        <v>209</v>
      </c>
      <c r="B132" s="114" t="s">
        <v>763</v>
      </c>
      <c r="C132" s="114" t="s">
        <v>563</v>
      </c>
      <c r="D132" s="114" t="s">
        <v>716</v>
      </c>
      <c r="E132" s="114" t="s">
        <v>610</v>
      </c>
      <c r="F132" s="114" t="s">
        <v>670</v>
      </c>
      <c r="G132" s="114" t="s">
        <v>544</v>
      </c>
      <c r="H132" s="115">
        <v>15</v>
      </c>
      <c r="I132" s="114" t="s">
        <v>551</v>
      </c>
      <c r="J132" s="116">
        <f t="shared" ref="J132:J195" si="28">IF(I132="KG",1,1.27)</f>
        <v>1.27</v>
      </c>
      <c r="K132" s="97" t="str">
        <f>IFERROR(IF(VLOOKUP(D132,'Ficha de Produção'!C:C,1,0)=D132,"OK","Custo Produção Não Cadastrado"),"Custo Produção Não Cadastrado")</f>
        <v>OK</v>
      </c>
      <c r="L132" s="97" t="str">
        <f>IFERROR(IF(VLOOKUP(A132,'Ficha de Embalagens'!A:A,1,0)=A132,"OK","Ficha de Embalagens Não Cadastrada"),"Ficha de Embalagens Não Cadastrada")</f>
        <v>OK</v>
      </c>
      <c r="M132" s="117">
        <f>SUMIFS('Ficha de Produção'!N:N,'Ficha de Produção'!C:C,D132)*H132</f>
        <v>108.60000000000001</v>
      </c>
      <c r="N132" s="117">
        <f>SUMIFS('Ficha de Embalagens'!F:F,'Ficha de Embalagens'!A:A,A132)</f>
        <v>8.61</v>
      </c>
      <c r="O132" s="97">
        <f t="shared" ref="O132:O195" si="29">SUM(M132:N132)</f>
        <v>117.21000000000001</v>
      </c>
      <c r="P132" s="97">
        <f t="shared" ref="P132:P195" si="30">IF(AND(K132="OK",L132="OK"),H132*$P$1,0)</f>
        <v>4.6500000000000004</v>
      </c>
      <c r="Q132" s="118">
        <f t="shared" ref="Q132:Q195" si="31">P132+O132</f>
        <v>121.86000000000001</v>
      </c>
      <c r="R132" s="97">
        <f t="shared" ref="R132:R195" si="32">U132*$R$1</f>
        <v>8.7949999999999999</v>
      </c>
      <c r="S132" s="97">
        <f t="shared" ref="S132:S195" si="33">$S$1*U132</f>
        <v>12.313000000000002</v>
      </c>
      <c r="T132" s="118">
        <f t="shared" ref="T132:T195" si="34">+Q132+R132+S132</f>
        <v>142.96800000000002</v>
      </c>
      <c r="U132" s="130">
        <v>175.9</v>
      </c>
      <c r="V132" s="120">
        <f t="shared" ref="V132:V195" si="35">IF(M132=0,"Cadastrar Ficha de Produção",IF(AND(M132&gt;0,U132=""),"Cadastrar Preço Final",IFERROR((U132-T132)/U132,"")))</f>
        <v>0.18722001137009658</v>
      </c>
      <c r="W132" s="121">
        <f t="shared" ref="W132:W195" si="36">IF(M132=0,"Cadastrar Ficha de Produção",ROUNDUP(Q132/(1-$R$1-$S$1),2))</f>
        <v>138.47999999999999</v>
      </c>
      <c r="AB132" s="125">
        <f t="shared" ref="AB132:AB195" si="37">IF(Q132=0,"",Q132)</f>
        <v>121.86000000000001</v>
      </c>
      <c r="AC132" s="125">
        <f t="shared" ref="AC132:AC195" si="38">IF(U132="","",U132*(1-$R$1-$S$1))</f>
        <v>154.79199999999997</v>
      </c>
      <c r="AD132" s="126">
        <f t="shared" ref="AD132:AD195" si="39">IF(OR(AB132="",AC132=""),"",AC132-AB132)</f>
        <v>32.93199999999996</v>
      </c>
      <c r="AE132" s="127">
        <f t="shared" ref="AE132:AE195" si="40">IF(OR(AD132="",AC132=0),"",AD132/AC132)</f>
        <v>0.21275001292056414</v>
      </c>
      <c r="AF132" s="128">
        <f t="shared" ref="AF132:AF195" si="41">IF(Q132=0,"",ROUNDUP((Q132+IF(AA132="",0,AA132/1200))/(1-$R$1-$S$1),2))</f>
        <v>138.47999999999999</v>
      </c>
    </row>
    <row r="133" spans="1:32" ht="15.75" customHeight="1">
      <c r="A133" s="114" t="s">
        <v>210</v>
      </c>
      <c r="B133" s="114" t="s">
        <v>764</v>
      </c>
      <c r="C133" s="114" t="s">
        <v>563</v>
      </c>
      <c r="D133" s="114" t="s">
        <v>718</v>
      </c>
      <c r="E133" s="114" t="s">
        <v>610</v>
      </c>
      <c r="F133" s="114" t="s">
        <v>581</v>
      </c>
      <c r="G133" s="114" t="s">
        <v>544</v>
      </c>
      <c r="H133" s="115">
        <v>15</v>
      </c>
      <c r="I133" s="114" t="s">
        <v>551</v>
      </c>
      <c r="J133" s="116">
        <f t="shared" si="28"/>
        <v>1.27</v>
      </c>
      <c r="K133" s="97" t="str">
        <f>IFERROR(IF(VLOOKUP(D133,'Ficha de Produção'!C:C,1,0)=D133,"OK","Custo Produção Não Cadastrado"),"Custo Produção Não Cadastrado")</f>
        <v>OK</v>
      </c>
      <c r="L133" s="97" t="str">
        <f>IFERROR(IF(VLOOKUP(A133,'Ficha de Embalagens'!A:A,1,0)=A133,"OK","Ficha de Embalagens Não Cadastrada"),"Ficha de Embalagens Não Cadastrada")</f>
        <v>OK</v>
      </c>
      <c r="M133" s="117">
        <f>SUMIFS('Ficha de Produção'!N:N,'Ficha de Produção'!C:C,D133)*H133</f>
        <v>118.94999999999999</v>
      </c>
      <c r="N133" s="117">
        <f>SUMIFS('Ficha de Embalagens'!F:F,'Ficha de Embalagens'!A:A,A133)</f>
        <v>8.61</v>
      </c>
      <c r="O133" s="97">
        <f t="shared" si="29"/>
        <v>127.55999999999999</v>
      </c>
      <c r="P133" s="97">
        <f t="shared" si="30"/>
        <v>4.6500000000000004</v>
      </c>
      <c r="Q133" s="118">
        <f t="shared" si="31"/>
        <v>132.20999999999998</v>
      </c>
      <c r="R133" s="97">
        <f t="shared" si="32"/>
        <v>8.7949999999999999</v>
      </c>
      <c r="S133" s="97">
        <f t="shared" si="33"/>
        <v>12.313000000000002</v>
      </c>
      <c r="T133" s="118">
        <f t="shared" si="34"/>
        <v>153.31799999999998</v>
      </c>
      <c r="U133" s="130">
        <v>175.9</v>
      </c>
      <c r="V133" s="120">
        <f t="shared" si="35"/>
        <v>0.12837976122797057</v>
      </c>
      <c r="W133" s="121">
        <f t="shared" si="36"/>
        <v>150.23999999999998</v>
      </c>
      <c r="AB133" s="125">
        <f t="shared" si="37"/>
        <v>132.20999999999998</v>
      </c>
      <c r="AC133" s="125">
        <f t="shared" si="38"/>
        <v>154.79199999999997</v>
      </c>
      <c r="AD133" s="126">
        <f t="shared" si="39"/>
        <v>22.581999999999994</v>
      </c>
      <c r="AE133" s="127">
        <f t="shared" si="40"/>
        <v>0.14588609230451186</v>
      </c>
      <c r="AF133" s="128">
        <f t="shared" si="41"/>
        <v>150.23999999999998</v>
      </c>
    </row>
    <row r="134" spans="1:32" ht="15.75" customHeight="1">
      <c r="A134" s="114" t="s">
        <v>211</v>
      </c>
      <c r="B134" s="114" t="s">
        <v>765</v>
      </c>
      <c r="C134" s="114" t="s">
        <v>563</v>
      </c>
      <c r="D134" s="114" t="s">
        <v>720</v>
      </c>
      <c r="E134" s="114" t="s">
        <v>610</v>
      </c>
      <c r="F134" s="114" t="s">
        <v>675</v>
      </c>
      <c r="G134" s="114" t="s">
        <v>544</v>
      </c>
      <c r="H134" s="115">
        <v>15</v>
      </c>
      <c r="I134" s="114" t="s">
        <v>551</v>
      </c>
      <c r="J134" s="116">
        <f t="shared" si="28"/>
        <v>1.27</v>
      </c>
      <c r="K134" s="97" t="str">
        <f>IFERROR(IF(VLOOKUP(D134,'Ficha de Produção'!C:C,1,0)=D134,"OK","Custo Produção Não Cadastrado"),"Custo Produção Não Cadastrado")</f>
        <v>OK</v>
      </c>
      <c r="L134" s="97" t="str">
        <f>IFERROR(IF(VLOOKUP(A134,'Ficha de Embalagens'!A:A,1,0)=A134,"OK","Ficha de Embalagens Não Cadastrada"),"Ficha de Embalagens Não Cadastrada")</f>
        <v>OK</v>
      </c>
      <c r="M134" s="117">
        <f>SUMIFS('Ficha de Produção'!N:N,'Ficha de Produção'!C:C,D134)*H134</f>
        <v>116.39999999999998</v>
      </c>
      <c r="N134" s="117">
        <f>SUMIFS('Ficha de Embalagens'!F:F,'Ficha de Embalagens'!A:A,A134)</f>
        <v>8.61</v>
      </c>
      <c r="O134" s="97">
        <f t="shared" si="29"/>
        <v>125.00999999999998</v>
      </c>
      <c r="P134" s="97">
        <f t="shared" si="30"/>
        <v>4.6500000000000004</v>
      </c>
      <c r="Q134" s="118">
        <f t="shared" si="31"/>
        <v>129.65999999999997</v>
      </c>
      <c r="R134" s="97">
        <f t="shared" si="32"/>
        <v>8.7949999999999999</v>
      </c>
      <c r="S134" s="97">
        <f t="shared" si="33"/>
        <v>12.313000000000002</v>
      </c>
      <c r="T134" s="118">
        <f t="shared" si="34"/>
        <v>150.76799999999997</v>
      </c>
      <c r="U134" s="130">
        <v>175.9</v>
      </c>
      <c r="V134" s="120">
        <f t="shared" si="35"/>
        <v>0.14287663445139301</v>
      </c>
      <c r="W134" s="121">
        <f t="shared" si="36"/>
        <v>147.35</v>
      </c>
      <c r="AB134" s="125">
        <f t="shared" si="37"/>
        <v>129.65999999999997</v>
      </c>
      <c r="AC134" s="125">
        <f t="shared" si="38"/>
        <v>154.79199999999997</v>
      </c>
      <c r="AD134" s="126">
        <f t="shared" si="39"/>
        <v>25.132000000000005</v>
      </c>
      <c r="AE134" s="127">
        <f t="shared" si="40"/>
        <v>0.16235981187658283</v>
      </c>
      <c r="AF134" s="128">
        <f t="shared" si="41"/>
        <v>147.35</v>
      </c>
    </row>
    <row r="135" spans="1:32" ht="15.75" customHeight="1">
      <c r="A135" s="114" t="s">
        <v>212</v>
      </c>
      <c r="B135" s="114" t="s">
        <v>766</v>
      </c>
      <c r="C135" s="114" t="s">
        <v>563</v>
      </c>
      <c r="D135" s="114" t="s">
        <v>722</v>
      </c>
      <c r="E135" s="114" t="s">
        <v>610</v>
      </c>
      <c r="F135" s="114" t="s">
        <v>678</v>
      </c>
      <c r="G135" s="114" t="s">
        <v>544</v>
      </c>
      <c r="H135" s="115">
        <v>15</v>
      </c>
      <c r="I135" s="114" t="s">
        <v>551</v>
      </c>
      <c r="J135" s="116">
        <f t="shared" si="28"/>
        <v>1.27</v>
      </c>
      <c r="K135" s="97" t="str">
        <f>IFERROR(IF(VLOOKUP(D135,'Ficha de Produção'!C:C,1,0)=D135,"OK","Custo Produção Não Cadastrado"),"Custo Produção Não Cadastrado")</f>
        <v>OK</v>
      </c>
      <c r="L135" s="97" t="str">
        <f>IFERROR(IF(VLOOKUP(A135,'Ficha de Embalagens'!A:A,1,0)=A135,"OK","Ficha de Embalagens Não Cadastrada"),"Ficha de Embalagens Não Cadastrada")</f>
        <v>OK</v>
      </c>
      <c r="M135" s="117">
        <f>SUMIFS('Ficha de Produção'!N:N,'Ficha de Produção'!C:C,D135)*H135</f>
        <v>121.35</v>
      </c>
      <c r="N135" s="117">
        <f>SUMIFS('Ficha de Embalagens'!F:F,'Ficha de Embalagens'!A:A,A135)</f>
        <v>8.61</v>
      </c>
      <c r="O135" s="97">
        <f t="shared" si="29"/>
        <v>129.95999999999998</v>
      </c>
      <c r="P135" s="97">
        <f t="shared" si="30"/>
        <v>4.6500000000000004</v>
      </c>
      <c r="Q135" s="118">
        <f t="shared" si="31"/>
        <v>134.60999999999999</v>
      </c>
      <c r="R135" s="97">
        <f t="shared" si="32"/>
        <v>8.7949999999999999</v>
      </c>
      <c r="S135" s="97">
        <f t="shared" si="33"/>
        <v>12.313000000000002</v>
      </c>
      <c r="T135" s="118">
        <f t="shared" si="34"/>
        <v>155.71799999999996</v>
      </c>
      <c r="U135" s="130">
        <v>175.9</v>
      </c>
      <c r="V135" s="120">
        <f t="shared" si="35"/>
        <v>0.11473564525298491</v>
      </c>
      <c r="W135" s="121">
        <f t="shared" si="36"/>
        <v>152.97</v>
      </c>
      <c r="AB135" s="125">
        <f t="shared" si="37"/>
        <v>134.60999999999999</v>
      </c>
      <c r="AC135" s="125">
        <f t="shared" si="38"/>
        <v>154.79199999999997</v>
      </c>
      <c r="AD135" s="126">
        <f t="shared" si="39"/>
        <v>20.181999999999988</v>
      </c>
      <c r="AE135" s="127">
        <f t="shared" si="40"/>
        <v>0.13038141506020978</v>
      </c>
      <c r="AF135" s="128">
        <f t="shared" si="41"/>
        <v>152.97</v>
      </c>
    </row>
    <row r="136" spans="1:32" ht="15.75" customHeight="1">
      <c r="A136" s="114" t="s">
        <v>213</v>
      </c>
      <c r="B136" s="114" t="s">
        <v>767</v>
      </c>
      <c r="C136" s="114" t="s">
        <v>563</v>
      </c>
      <c r="D136" s="114" t="s">
        <v>724</v>
      </c>
      <c r="E136" s="114" t="s">
        <v>610</v>
      </c>
      <c r="F136" s="114" t="s">
        <v>681</v>
      </c>
      <c r="G136" s="114" t="s">
        <v>544</v>
      </c>
      <c r="H136" s="115">
        <v>15</v>
      </c>
      <c r="I136" s="114" t="s">
        <v>551</v>
      </c>
      <c r="J136" s="116">
        <f t="shared" si="28"/>
        <v>1.27</v>
      </c>
      <c r="K136" s="97" t="str">
        <f>IFERROR(IF(VLOOKUP(D136,'Ficha de Produção'!C:C,1,0)=D136,"OK","Custo Produção Não Cadastrado"),"Custo Produção Não Cadastrado")</f>
        <v>OK</v>
      </c>
      <c r="L136" s="97" t="str">
        <f>IFERROR(IF(VLOOKUP(A136,'Ficha de Embalagens'!A:A,1,0)=A136,"OK","Ficha de Embalagens Não Cadastrada"),"Ficha de Embalagens Não Cadastrada")</f>
        <v>OK</v>
      </c>
      <c r="M136" s="117">
        <f>SUMIFS('Ficha de Produção'!N:N,'Ficha de Produção'!C:C,D136)*H136</f>
        <v>121.35</v>
      </c>
      <c r="N136" s="117">
        <f>SUMIFS('Ficha de Embalagens'!F:F,'Ficha de Embalagens'!A:A,A136)</f>
        <v>8.61</v>
      </c>
      <c r="O136" s="97">
        <f t="shared" si="29"/>
        <v>129.95999999999998</v>
      </c>
      <c r="P136" s="97">
        <f t="shared" si="30"/>
        <v>4.6500000000000004</v>
      </c>
      <c r="Q136" s="118">
        <f t="shared" si="31"/>
        <v>134.60999999999999</v>
      </c>
      <c r="R136" s="97">
        <f t="shared" si="32"/>
        <v>8.7949999999999999</v>
      </c>
      <c r="S136" s="97">
        <f t="shared" si="33"/>
        <v>12.313000000000002</v>
      </c>
      <c r="T136" s="118">
        <f t="shared" si="34"/>
        <v>155.71799999999996</v>
      </c>
      <c r="U136" s="130">
        <v>175.9</v>
      </c>
      <c r="V136" s="120">
        <f t="shared" si="35"/>
        <v>0.11473564525298491</v>
      </c>
      <c r="W136" s="121">
        <f t="shared" si="36"/>
        <v>152.97</v>
      </c>
      <c r="AB136" s="125">
        <f t="shared" si="37"/>
        <v>134.60999999999999</v>
      </c>
      <c r="AC136" s="125">
        <f t="shared" si="38"/>
        <v>154.79199999999997</v>
      </c>
      <c r="AD136" s="126">
        <f t="shared" si="39"/>
        <v>20.181999999999988</v>
      </c>
      <c r="AE136" s="127">
        <f t="shared" si="40"/>
        <v>0.13038141506020978</v>
      </c>
      <c r="AF136" s="128">
        <f t="shared" si="41"/>
        <v>152.97</v>
      </c>
    </row>
    <row r="137" spans="1:32" ht="15.75" customHeight="1">
      <c r="A137" s="114" t="s">
        <v>214</v>
      </c>
      <c r="B137" s="114" t="s">
        <v>768</v>
      </c>
      <c r="C137" s="114" t="s">
        <v>563</v>
      </c>
      <c r="D137" s="114" t="s">
        <v>726</v>
      </c>
      <c r="E137" s="114" t="s">
        <v>610</v>
      </c>
      <c r="F137" s="114" t="s">
        <v>608</v>
      </c>
      <c r="G137" s="114" t="s">
        <v>544</v>
      </c>
      <c r="H137" s="115">
        <v>15</v>
      </c>
      <c r="I137" s="114" t="s">
        <v>551</v>
      </c>
      <c r="J137" s="116">
        <f t="shared" si="28"/>
        <v>1.27</v>
      </c>
      <c r="K137" s="97" t="str">
        <f>IFERROR(IF(VLOOKUP(D137,'Ficha de Produção'!C:C,1,0)=D137,"OK","Custo Produção Não Cadastrado"),"Custo Produção Não Cadastrado")</f>
        <v>OK</v>
      </c>
      <c r="L137" s="97" t="str">
        <f>IFERROR(IF(VLOOKUP(A137,'Ficha de Embalagens'!A:A,1,0)=A137,"OK","Ficha de Embalagens Não Cadastrada"),"Ficha de Embalagens Não Cadastrada")</f>
        <v>OK</v>
      </c>
      <c r="M137" s="117">
        <f>SUMIFS('Ficha de Produção'!N:N,'Ficha de Produção'!C:C,D137)*H137</f>
        <v>127.5</v>
      </c>
      <c r="N137" s="117">
        <f>SUMIFS('Ficha de Embalagens'!F:F,'Ficha de Embalagens'!A:A,A137)</f>
        <v>8.61</v>
      </c>
      <c r="O137" s="97">
        <f t="shared" si="29"/>
        <v>136.11000000000001</v>
      </c>
      <c r="P137" s="97">
        <f t="shared" si="30"/>
        <v>4.6500000000000004</v>
      </c>
      <c r="Q137" s="118">
        <f t="shared" si="31"/>
        <v>140.76000000000002</v>
      </c>
      <c r="R137" s="97">
        <f t="shared" si="32"/>
        <v>8.7949999999999999</v>
      </c>
      <c r="S137" s="97">
        <f t="shared" si="33"/>
        <v>12.313000000000002</v>
      </c>
      <c r="T137" s="118">
        <f t="shared" si="34"/>
        <v>161.86799999999999</v>
      </c>
      <c r="U137" s="130">
        <v>175.9</v>
      </c>
      <c r="V137" s="120">
        <f t="shared" si="35"/>
        <v>7.977259806708363E-2</v>
      </c>
      <c r="W137" s="121">
        <f t="shared" si="36"/>
        <v>159.95999999999998</v>
      </c>
      <c r="AB137" s="125">
        <f t="shared" si="37"/>
        <v>140.76000000000002</v>
      </c>
      <c r="AC137" s="125">
        <f t="shared" si="38"/>
        <v>154.79199999999997</v>
      </c>
      <c r="AD137" s="126">
        <f t="shared" si="39"/>
        <v>14.031999999999954</v>
      </c>
      <c r="AE137" s="127">
        <f t="shared" si="40"/>
        <v>9.065067962168559E-2</v>
      </c>
      <c r="AF137" s="128">
        <f t="shared" si="41"/>
        <v>159.95999999999998</v>
      </c>
    </row>
    <row r="138" spans="1:32" ht="15.75" customHeight="1">
      <c r="A138" s="114" t="s">
        <v>215</v>
      </c>
      <c r="B138" s="114" t="s">
        <v>769</v>
      </c>
      <c r="C138" s="114" t="s">
        <v>563</v>
      </c>
      <c r="D138" s="114" t="s">
        <v>728</v>
      </c>
      <c r="E138" s="114" t="s">
        <v>610</v>
      </c>
      <c r="F138" s="114" t="s">
        <v>686</v>
      </c>
      <c r="G138" s="114" t="s">
        <v>544</v>
      </c>
      <c r="H138" s="115">
        <v>15</v>
      </c>
      <c r="I138" s="114" t="s">
        <v>551</v>
      </c>
      <c r="J138" s="116">
        <f t="shared" si="28"/>
        <v>1.27</v>
      </c>
      <c r="K138" s="97" t="str">
        <f>IFERROR(IF(VLOOKUP(D138,'Ficha de Produção'!C:C,1,0)=D138,"OK","Custo Produção Não Cadastrado"),"Custo Produção Não Cadastrado")</f>
        <v>OK</v>
      </c>
      <c r="L138" s="97" t="str">
        <f>IFERROR(IF(VLOOKUP(A138,'Ficha de Embalagens'!A:A,1,0)=A138,"OK","Ficha de Embalagens Não Cadastrada"),"Ficha de Embalagens Não Cadastrada")</f>
        <v>OK</v>
      </c>
      <c r="M138" s="117">
        <f>SUMIFS('Ficha de Produção'!N:N,'Ficha de Produção'!C:C,D138)*H138</f>
        <v>112.95</v>
      </c>
      <c r="N138" s="117">
        <f>SUMIFS('Ficha de Embalagens'!F:F,'Ficha de Embalagens'!A:A,A138)</f>
        <v>8.61</v>
      </c>
      <c r="O138" s="97">
        <f t="shared" si="29"/>
        <v>121.56</v>
      </c>
      <c r="P138" s="97">
        <f t="shared" si="30"/>
        <v>4.6500000000000004</v>
      </c>
      <c r="Q138" s="118">
        <f t="shared" si="31"/>
        <v>126.21000000000001</v>
      </c>
      <c r="R138" s="97">
        <f t="shared" si="32"/>
        <v>8.7949999999999999</v>
      </c>
      <c r="S138" s="97">
        <f t="shared" si="33"/>
        <v>12.313000000000002</v>
      </c>
      <c r="T138" s="118">
        <f t="shared" si="34"/>
        <v>147.31799999999998</v>
      </c>
      <c r="U138" s="130">
        <v>175.9</v>
      </c>
      <c r="V138" s="120">
        <f t="shared" si="35"/>
        <v>0.16249005116543502</v>
      </c>
      <c r="W138" s="121">
        <f t="shared" si="36"/>
        <v>143.42999999999998</v>
      </c>
      <c r="AB138" s="125">
        <f t="shared" si="37"/>
        <v>126.21000000000001</v>
      </c>
      <c r="AC138" s="125">
        <f t="shared" si="38"/>
        <v>154.79199999999997</v>
      </c>
      <c r="AD138" s="126">
        <f t="shared" si="39"/>
        <v>28.581999999999965</v>
      </c>
      <c r="AE138" s="127">
        <f t="shared" si="40"/>
        <v>0.18464778541526675</v>
      </c>
      <c r="AF138" s="128">
        <f t="shared" si="41"/>
        <v>143.42999999999998</v>
      </c>
    </row>
    <row r="139" spans="1:32" ht="15.75" customHeight="1">
      <c r="A139" s="114" t="s">
        <v>216</v>
      </c>
      <c r="B139" s="114" t="s">
        <v>770</v>
      </c>
      <c r="C139" s="114" t="s">
        <v>563</v>
      </c>
      <c r="D139" s="114" t="s">
        <v>730</v>
      </c>
      <c r="E139" s="114" t="s">
        <v>610</v>
      </c>
      <c r="F139" s="114" t="s">
        <v>689</v>
      </c>
      <c r="G139" s="114" t="s">
        <v>544</v>
      </c>
      <c r="H139" s="115">
        <v>15</v>
      </c>
      <c r="I139" s="114" t="s">
        <v>551</v>
      </c>
      <c r="J139" s="116">
        <f t="shared" si="28"/>
        <v>1.27</v>
      </c>
      <c r="K139" s="97" t="str">
        <f>IFERROR(IF(VLOOKUP(D139,'Ficha de Produção'!C:C,1,0)=D139,"OK","Custo Produção Não Cadastrado"),"Custo Produção Não Cadastrado")</f>
        <v>OK</v>
      </c>
      <c r="L139" s="97" t="str">
        <f>IFERROR(IF(VLOOKUP(A139,'Ficha de Embalagens'!A:A,1,0)=A139,"OK","Ficha de Embalagens Não Cadastrada"),"Ficha de Embalagens Não Cadastrada")</f>
        <v>OK</v>
      </c>
      <c r="M139" s="117">
        <f>SUMIFS('Ficha de Produção'!N:N,'Ficha de Produção'!C:C,D139)*H139</f>
        <v>106.35000000000001</v>
      </c>
      <c r="N139" s="117">
        <f>SUMIFS('Ficha de Embalagens'!F:F,'Ficha de Embalagens'!A:A,A139)</f>
        <v>8.61</v>
      </c>
      <c r="O139" s="97">
        <f t="shared" si="29"/>
        <v>114.96000000000001</v>
      </c>
      <c r="P139" s="97">
        <f t="shared" si="30"/>
        <v>4.6500000000000004</v>
      </c>
      <c r="Q139" s="118">
        <f t="shared" si="31"/>
        <v>119.61000000000001</v>
      </c>
      <c r="R139" s="97">
        <f t="shared" si="32"/>
        <v>8.7949999999999999</v>
      </c>
      <c r="S139" s="97">
        <f t="shared" si="33"/>
        <v>12.313000000000002</v>
      </c>
      <c r="T139" s="118">
        <f t="shared" si="34"/>
        <v>140.71800000000002</v>
      </c>
      <c r="U139" s="130">
        <v>175.9</v>
      </c>
      <c r="V139" s="120">
        <f t="shared" si="35"/>
        <v>0.20001137009664574</v>
      </c>
      <c r="W139" s="121">
        <f t="shared" si="36"/>
        <v>135.92999999999998</v>
      </c>
      <c r="AB139" s="125">
        <f t="shared" si="37"/>
        <v>119.61000000000001</v>
      </c>
      <c r="AC139" s="125">
        <f t="shared" si="38"/>
        <v>154.79199999999997</v>
      </c>
      <c r="AD139" s="126">
        <f t="shared" si="39"/>
        <v>35.18199999999996</v>
      </c>
      <c r="AE139" s="127">
        <f t="shared" si="40"/>
        <v>0.22728564783709732</v>
      </c>
      <c r="AF139" s="128">
        <f t="shared" si="41"/>
        <v>135.92999999999998</v>
      </c>
    </row>
    <row r="140" spans="1:32" ht="15.75" customHeight="1">
      <c r="A140" s="114" t="s">
        <v>217</v>
      </c>
      <c r="B140" s="114" t="s">
        <v>771</v>
      </c>
      <c r="C140" s="114" t="s">
        <v>563</v>
      </c>
      <c r="D140" s="114" t="s">
        <v>732</v>
      </c>
      <c r="E140" s="114" t="s">
        <v>610</v>
      </c>
      <c r="F140" s="114" t="s">
        <v>692</v>
      </c>
      <c r="G140" s="114" t="s">
        <v>544</v>
      </c>
      <c r="H140" s="115">
        <v>15</v>
      </c>
      <c r="I140" s="114" t="s">
        <v>551</v>
      </c>
      <c r="J140" s="116">
        <f t="shared" si="28"/>
        <v>1.27</v>
      </c>
      <c r="K140" s="97" t="str">
        <f>IFERROR(IF(VLOOKUP(D140,'Ficha de Produção'!C:C,1,0)=D140,"OK","Custo Produção Não Cadastrado"),"Custo Produção Não Cadastrado")</f>
        <v>OK</v>
      </c>
      <c r="L140" s="97" t="str">
        <f>IFERROR(IF(VLOOKUP(A140,'Ficha de Embalagens'!A:A,1,0)=A140,"OK","Ficha de Embalagens Não Cadastrada"),"Ficha de Embalagens Não Cadastrada")</f>
        <v>OK</v>
      </c>
      <c r="M140" s="117">
        <f>SUMIFS('Ficha de Produção'!N:N,'Ficha de Produção'!C:C,D140)*H140</f>
        <v>135.14999999999998</v>
      </c>
      <c r="N140" s="117">
        <f>SUMIFS('Ficha de Embalagens'!F:F,'Ficha de Embalagens'!A:A,A140)</f>
        <v>8.61</v>
      </c>
      <c r="O140" s="97">
        <f t="shared" si="29"/>
        <v>143.76</v>
      </c>
      <c r="P140" s="97">
        <f t="shared" si="30"/>
        <v>4.6500000000000004</v>
      </c>
      <c r="Q140" s="118">
        <f t="shared" si="31"/>
        <v>148.41</v>
      </c>
      <c r="R140" s="97">
        <f t="shared" si="32"/>
        <v>8.7949999999999999</v>
      </c>
      <c r="S140" s="97">
        <f t="shared" si="33"/>
        <v>12.313000000000002</v>
      </c>
      <c r="T140" s="118">
        <f t="shared" si="34"/>
        <v>169.51799999999997</v>
      </c>
      <c r="U140" s="130">
        <v>175.9</v>
      </c>
      <c r="V140" s="120">
        <f t="shared" si="35"/>
        <v>3.6281978396816565E-2</v>
      </c>
      <c r="W140" s="121">
        <f t="shared" si="36"/>
        <v>168.64999999999998</v>
      </c>
      <c r="AB140" s="125">
        <f t="shared" si="37"/>
        <v>148.41</v>
      </c>
      <c r="AC140" s="125">
        <f t="shared" si="38"/>
        <v>154.79199999999997</v>
      </c>
      <c r="AD140" s="126">
        <f t="shared" si="39"/>
        <v>6.3819999999999766</v>
      </c>
      <c r="AE140" s="127">
        <f t="shared" si="40"/>
        <v>4.1229520905473008E-2</v>
      </c>
      <c r="AF140" s="128">
        <f t="shared" si="41"/>
        <v>168.64999999999998</v>
      </c>
    </row>
    <row r="141" spans="1:32" ht="15.75" customHeight="1">
      <c r="A141" s="114" t="s">
        <v>218</v>
      </c>
      <c r="B141" s="114" t="s">
        <v>772</v>
      </c>
      <c r="C141" s="114" t="s">
        <v>563</v>
      </c>
      <c r="D141" s="114" t="s">
        <v>734</v>
      </c>
      <c r="E141" s="114" t="s">
        <v>610</v>
      </c>
      <c r="F141" s="114" t="s">
        <v>695</v>
      </c>
      <c r="G141" s="114" t="s">
        <v>544</v>
      </c>
      <c r="H141" s="115">
        <v>15</v>
      </c>
      <c r="I141" s="114" t="s">
        <v>551</v>
      </c>
      <c r="J141" s="116">
        <f t="shared" si="28"/>
        <v>1.27</v>
      </c>
      <c r="K141" s="97" t="str">
        <f>IFERROR(IF(VLOOKUP(D141,'Ficha de Produção'!C:C,1,0)=D141,"OK","Custo Produção Não Cadastrado"),"Custo Produção Não Cadastrado")</f>
        <v>OK</v>
      </c>
      <c r="L141" s="97" t="str">
        <f>IFERROR(IF(VLOOKUP(A141,'Ficha de Embalagens'!A:A,1,0)=A141,"OK","Ficha de Embalagens Não Cadastrada"),"Ficha de Embalagens Não Cadastrada")</f>
        <v>OK</v>
      </c>
      <c r="M141" s="117">
        <f>SUMIFS('Ficha de Produção'!N:N,'Ficha de Produção'!C:C,D141)*H141</f>
        <v>112.95</v>
      </c>
      <c r="N141" s="117">
        <f>SUMIFS('Ficha de Embalagens'!F:F,'Ficha de Embalagens'!A:A,A141)</f>
        <v>8.61</v>
      </c>
      <c r="O141" s="97">
        <f t="shared" si="29"/>
        <v>121.56</v>
      </c>
      <c r="P141" s="97">
        <f t="shared" si="30"/>
        <v>4.6500000000000004</v>
      </c>
      <c r="Q141" s="118">
        <f t="shared" si="31"/>
        <v>126.21000000000001</v>
      </c>
      <c r="R141" s="97">
        <f t="shared" si="32"/>
        <v>8.7949999999999999</v>
      </c>
      <c r="S141" s="97">
        <f t="shared" si="33"/>
        <v>12.313000000000002</v>
      </c>
      <c r="T141" s="118">
        <f t="shared" si="34"/>
        <v>147.31799999999998</v>
      </c>
      <c r="U141" s="130">
        <v>175.9</v>
      </c>
      <c r="V141" s="120">
        <f t="shared" si="35"/>
        <v>0.16249005116543502</v>
      </c>
      <c r="W141" s="121">
        <f t="shared" si="36"/>
        <v>143.42999999999998</v>
      </c>
      <c r="AB141" s="125">
        <f t="shared" si="37"/>
        <v>126.21000000000001</v>
      </c>
      <c r="AC141" s="125">
        <f t="shared" si="38"/>
        <v>154.79199999999997</v>
      </c>
      <c r="AD141" s="126">
        <f t="shared" si="39"/>
        <v>28.581999999999965</v>
      </c>
      <c r="AE141" s="127">
        <f t="shared" si="40"/>
        <v>0.18464778541526675</v>
      </c>
      <c r="AF141" s="128">
        <f t="shared" si="41"/>
        <v>143.42999999999998</v>
      </c>
    </row>
    <row r="142" spans="1:32" ht="15.75" customHeight="1">
      <c r="A142" s="114" t="s">
        <v>219</v>
      </c>
      <c r="B142" s="114" t="s">
        <v>773</v>
      </c>
      <c r="C142" s="114" t="s">
        <v>563</v>
      </c>
      <c r="D142" s="114" t="s">
        <v>736</v>
      </c>
      <c r="E142" s="114" t="s">
        <v>610</v>
      </c>
      <c r="F142" s="114" t="s">
        <v>698</v>
      </c>
      <c r="G142" s="114" t="s">
        <v>544</v>
      </c>
      <c r="H142" s="115">
        <v>15</v>
      </c>
      <c r="I142" s="114" t="s">
        <v>551</v>
      </c>
      <c r="J142" s="116">
        <f t="shared" si="28"/>
        <v>1.27</v>
      </c>
      <c r="K142" s="97" t="str">
        <f>IFERROR(IF(VLOOKUP(D142,'Ficha de Produção'!C:C,1,0)=D142,"OK","Custo Produção Não Cadastrado"),"Custo Produção Não Cadastrado")</f>
        <v>OK</v>
      </c>
      <c r="L142" s="97" t="str">
        <f>IFERROR(IF(VLOOKUP(A142,'Ficha de Embalagens'!A:A,1,0)=A142,"OK","Ficha de Embalagens Não Cadastrada"),"Ficha de Embalagens Não Cadastrada")</f>
        <v>OK</v>
      </c>
      <c r="M142" s="117">
        <f>SUMIFS('Ficha de Produção'!N:N,'Ficha de Produção'!C:C,D142)*H142</f>
        <v>118.79999999999998</v>
      </c>
      <c r="N142" s="117">
        <f>SUMIFS('Ficha de Embalagens'!F:F,'Ficha de Embalagens'!A:A,A142)</f>
        <v>8.61</v>
      </c>
      <c r="O142" s="97">
        <f t="shared" si="29"/>
        <v>127.40999999999998</v>
      </c>
      <c r="P142" s="97">
        <f t="shared" si="30"/>
        <v>4.6500000000000004</v>
      </c>
      <c r="Q142" s="118">
        <f t="shared" si="31"/>
        <v>132.05999999999997</v>
      </c>
      <c r="R142" s="97">
        <f t="shared" si="32"/>
        <v>8.7949999999999999</v>
      </c>
      <c r="S142" s="97">
        <f t="shared" si="33"/>
        <v>12.313000000000002</v>
      </c>
      <c r="T142" s="118">
        <f t="shared" si="34"/>
        <v>153.16799999999995</v>
      </c>
      <c r="U142" s="130">
        <v>175.9</v>
      </c>
      <c r="V142" s="120">
        <f t="shared" si="35"/>
        <v>0.12923251847640738</v>
      </c>
      <c r="W142" s="121">
        <f t="shared" si="36"/>
        <v>150.07</v>
      </c>
      <c r="AB142" s="125">
        <f t="shared" si="37"/>
        <v>132.05999999999997</v>
      </c>
      <c r="AC142" s="125">
        <f t="shared" si="38"/>
        <v>154.79199999999997</v>
      </c>
      <c r="AD142" s="126">
        <f t="shared" si="39"/>
        <v>22.731999999999999</v>
      </c>
      <c r="AE142" s="127">
        <f t="shared" si="40"/>
        <v>0.14685513463228075</v>
      </c>
      <c r="AF142" s="128">
        <f t="shared" si="41"/>
        <v>150.07</v>
      </c>
    </row>
    <row r="143" spans="1:32" ht="15.75" customHeight="1">
      <c r="A143" s="114" t="s">
        <v>220</v>
      </c>
      <c r="B143" s="114" t="s">
        <v>774</v>
      </c>
      <c r="C143" s="114" t="s">
        <v>563</v>
      </c>
      <c r="D143" s="114" t="s">
        <v>738</v>
      </c>
      <c r="E143" s="114" t="s">
        <v>610</v>
      </c>
      <c r="F143" s="114" t="s">
        <v>701</v>
      </c>
      <c r="G143" s="114" t="s">
        <v>544</v>
      </c>
      <c r="H143" s="115">
        <v>15</v>
      </c>
      <c r="I143" s="114" t="s">
        <v>551</v>
      </c>
      <c r="J143" s="116">
        <f t="shared" si="28"/>
        <v>1.27</v>
      </c>
      <c r="K143" s="97" t="str">
        <f>IFERROR(IF(VLOOKUP(D143,'Ficha de Produção'!C:C,1,0)=D143,"OK","Custo Produção Não Cadastrado"),"Custo Produção Não Cadastrado")</f>
        <v>OK</v>
      </c>
      <c r="L143" s="97" t="str">
        <f>IFERROR(IF(VLOOKUP(A143,'Ficha de Embalagens'!A:A,1,0)=A143,"OK","Ficha de Embalagens Não Cadastrada"),"Ficha de Embalagens Não Cadastrada")</f>
        <v>OK</v>
      </c>
      <c r="M143" s="117">
        <f>SUMIFS('Ficha de Produção'!N:N,'Ficha de Produção'!C:C,D143)*H143</f>
        <v>118.94999999999999</v>
      </c>
      <c r="N143" s="117">
        <f>SUMIFS('Ficha de Embalagens'!F:F,'Ficha de Embalagens'!A:A,A143)</f>
        <v>8.61</v>
      </c>
      <c r="O143" s="97">
        <f t="shared" si="29"/>
        <v>127.55999999999999</v>
      </c>
      <c r="P143" s="97">
        <f t="shared" si="30"/>
        <v>4.6500000000000004</v>
      </c>
      <c r="Q143" s="118">
        <f t="shared" si="31"/>
        <v>132.20999999999998</v>
      </c>
      <c r="R143" s="97">
        <f t="shared" si="32"/>
        <v>8.7949999999999999</v>
      </c>
      <c r="S143" s="97">
        <f t="shared" si="33"/>
        <v>12.313000000000002</v>
      </c>
      <c r="T143" s="118">
        <f t="shared" si="34"/>
        <v>153.31799999999998</v>
      </c>
      <c r="U143" s="130">
        <v>175.9</v>
      </c>
      <c r="V143" s="120">
        <f t="shared" si="35"/>
        <v>0.12837976122797057</v>
      </c>
      <c r="W143" s="121">
        <f t="shared" si="36"/>
        <v>150.23999999999998</v>
      </c>
      <c r="AB143" s="125">
        <f t="shared" si="37"/>
        <v>132.20999999999998</v>
      </c>
      <c r="AC143" s="125">
        <f t="shared" si="38"/>
        <v>154.79199999999997</v>
      </c>
      <c r="AD143" s="126">
        <f t="shared" si="39"/>
        <v>22.581999999999994</v>
      </c>
      <c r="AE143" s="127">
        <f t="shared" si="40"/>
        <v>0.14588609230451186</v>
      </c>
      <c r="AF143" s="128">
        <f t="shared" si="41"/>
        <v>150.23999999999998</v>
      </c>
    </row>
    <row r="144" spans="1:32" ht="15.75" customHeight="1">
      <c r="A144" s="114" t="s">
        <v>221</v>
      </c>
      <c r="B144" s="114" t="s">
        <v>775</v>
      </c>
      <c r="C144" s="114" t="s">
        <v>776</v>
      </c>
      <c r="D144" s="114"/>
      <c r="E144" s="114" t="s">
        <v>565</v>
      </c>
      <c r="F144" s="114" t="s">
        <v>704</v>
      </c>
      <c r="G144" s="114" t="s">
        <v>556</v>
      </c>
      <c r="H144" s="115">
        <v>3</v>
      </c>
      <c r="I144" s="114" t="s">
        <v>551</v>
      </c>
      <c r="J144" s="116">
        <f t="shared" si="28"/>
        <v>1.27</v>
      </c>
      <c r="K144" s="97" t="str">
        <f>IFERROR(IF(VLOOKUP(D144,'Ficha de Produção'!C:C,1,0)=D144,"OK","Custo Produção Não Cadastrado"),"Custo Produção Não Cadastrado")</f>
        <v>Custo Produção Não Cadastrado</v>
      </c>
      <c r="L144" s="97" t="str">
        <f>IFERROR(IF(VLOOKUP(A144,'Ficha de Embalagens'!A:A,1,0)=A144,"OK","Ficha de Embalagens Não Cadastrada"),"Ficha de Embalagens Não Cadastrada")</f>
        <v>Ficha de Embalagens Não Cadastrada</v>
      </c>
      <c r="M144" s="117">
        <f>SUMIFS('Ficha de Produção'!N:N,'Ficha de Produção'!C:C,D144)*H144</f>
        <v>0</v>
      </c>
      <c r="N144" s="117">
        <f>SUMIFS('Ficha de Embalagens'!F:F,'Ficha de Embalagens'!A:A,A144)</f>
        <v>0</v>
      </c>
      <c r="O144" s="97">
        <f t="shared" si="29"/>
        <v>0</v>
      </c>
      <c r="P144" s="97">
        <f t="shared" si="30"/>
        <v>0</v>
      </c>
      <c r="Q144" s="118">
        <f t="shared" si="31"/>
        <v>0</v>
      </c>
      <c r="R144" s="97">
        <f t="shared" si="32"/>
        <v>0</v>
      </c>
      <c r="S144" s="97">
        <f t="shared" si="33"/>
        <v>0</v>
      </c>
      <c r="T144" s="118">
        <f t="shared" si="34"/>
        <v>0</v>
      </c>
      <c r="U144" s="119"/>
      <c r="V144" s="120" t="str">
        <f t="shared" si="35"/>
        <v>Cadastrar Ficha de Produção</v>
      </c>
      <c r="W144" s="121" t="str">
        <f t="shared" si="36"/>
        <v>Cadastrar Ficha de Produção</v>
      </c>
      <c r="AB144" s="125" t="str">
        <f t="shared" si="37"/>
        <v/>
      </c>
      <c r="AC144" s="125" t="str">
        <f t="shared" si="38"/>
        <v/>
      </c>
      <c r="AD144" s="126" t="str">
        <f t="shared" si="39"/>
        <v/>
      </c>
      <c r="AE144" s="127" t="str">
        <f t="shared" si="40"/>
        <v/>
      </c>
      <c r="AF144" s="128" t="str">
        <f t="shared" si="41"/>
        <v/>
      </c>
    </row>
    <row r="145" spans="1:32" ht="15.75" customHeight="1">
      <c r="A145" s="114" t="s">
        <v>222</v>
      </c>
      <c r="B145" s="114" t="s">
        <v>777</v>
      </c>
      <c r="C145" s="114" t="s">
        <v>778</v>
      </c>
      <c r="D145" s="114"/>
      <c r="E145" s="114" t="s">
        <v>565</v>
      </c>
      <c r="F145" s="114" t="s">
        <v>569</v>
      </c>
      <c r="G145" s="114" t="s">
        <v>556</v>
      </c>
      <c r="H145" s="115">
        <v>3</v>
      </c>
      <c r="I145" s="114" t="s">
        <v>551</v>
      </c>
      <c r="J145" s="116">
        <f t="shared" si="28"/>
        <v>1.27</v>
      </c>
      <c r="K145" s="97" t="str">
        <f>IFERROR(IF(VLOOKUP(D145,'Ficha de Produção'!C:C,1,0)=D145,"OK","Custo Produção Não Cadastrado"),"Custo Produção Não Cadastrado")</f>
        <v>Custo Produção Não Cadastrado</v>
      </c>
      <c r="L145" s="97" t="str">
        <f>IFERROR(IF(VLOOKUP(A145,'Ficha de Embalagens'!A:A,1,0)=A145,"OK","Ficha de Embalagens Não Cadastrada"),"Ficha de Embalagens Não Cadastrada")</f>
        <v>Ficha de Embalagens Não Cadastrada</v>
      </c>
      <c r="M145" s="117">
        <f>SUMIFS('Ficha de Produção'!N:N,'Ficha de Produção'!C:C,D145)*H145</f>
        <v>0</v>
      </c>
      <c r="N145" s="117">
        <f>SUMIFS('Ficha de Embalagens'!F:F,'Ficha de Embalagens'!A:A,A145)</f>
        <v>0</v>
      </c>
      <c r="O145" s="97">
        <f t="shared" si="29"/>
        <v>0</v>
      </c>
      <c r="P145" s="97">
        <f t="shared" si="30"/>
        <v>0</v>
      </c>
      <c r="Q145" s="118">
        <f t="shared" si="31"/>
        <v>0</v>
      </c>
      <c r="R145" s="97">
        <f t="shared" si="32"/>
        <v>0</v>
      </c>
      <c r="S145" s="97">
        <f t="shared" si="33"/>
        <v>0</v>
      </c>
      <c r="T145" s="118">
        <f t="shared" si="34"/>
        <v>0</v>
      </c>
      <c r="U145" s="119"/>
      <c r="V145" s="120" t="str">
        <f t="shared" si="35"/>
        <v>Cadastrar Ficha de Produção</v>
      </c>
      <c r="W145" s="121" t="str">
        <f t="shared" si="36"/>
        <v>Cadastrar Ficha de Produção</v>
      </c>
      <c r="AB145" s="125" t="str">
        <f t="shared" si="37"/>
        <v/>
      </c>
      <c r="AC145" s="125" t="str">
        <f t="shared" si="38"/>
        <v/>
      </c>
      <c r="AD145" s="126" t="str">
        <f t="shared" si="39"/>
        <v/>
      </c>
      <c r="AE145" s="127" t="str">
        <f t="shared" si="40"/>
        <v/>
      </c>
      <c r="AF145" s="128" t="str">
        <f t="shared" si="41"/>
        <v/>
      </c>
    </row>
    <row r="146" spans="1:32" ht="15.75" customHeight="1">
      <c r="A146" s="114" t="s">
        <v>223</v>
      </c>
      <c r="B146" s="114" t="s">
        <v>779</v>
      </c>
      <c r="C146" s="114" t="s">
        <v>778</v>
      </c>
      <c r="D146" s="114"/>
      <c r="E146" s="114" t="s">
        <v>565</v>
      </c>
      <c r="F146" s="114" t="s">
        <v>780</v>
      </c>
      <c r="G146" s="114" t="s">
        <v>556</v>
      </c>
      <c r="H146" s="115">
        <v>3</v>
      </c>
      <c r="I146" s="114" t="s">
        <v>551</v>
      </c>
      <c r="J146" s="116">
        <f t="shared" si="28"/>
        <v>1.27</v>
      </c>
      <c r="K146" s="97" t="str">
        <f>IFERROR(IF(VLOOKUP(D146,'Ficha de Produção'!C:C,1,0)=D146,"OK","Custo Produção Não Cadastrado"),"Custo Produção Não Cadastrado")</f>
        <v>Custo Produção Não Cadastrado</v>
      </c>
      <c r="L146" s="97" t="str">
        <f>IFERROR(IF(VLOOKUP(A146,'Ficha de Embalagens'!A:A,1,0)=A146,"OK","Ficha de Embalagens Não Cadastrada"),"Ficha de Embalagens Não Cadastrada")</f>
        <v>Ficha de Embalagens Não Cadastrada</v>
      </c>
      <c r="M146" s="117">
        <f>SUMIFS('Ficha de Produção'!N:N,'Ficha de Produção'!C:C,D146)*H146</f>
        <v>0</v>
      </c>
      <c r="N146" s="117">
        <f>SUMIFS('Ficha de Embalagens'!F:F,'Ficha de Embalagens'!A:A,A146)</f>
        <v>0</v>
      </c>
      <c r="O146" s="97">
        <f t="shared" si="29"/>
        <v>0</v>
      </c>
      <c r="P146" s="97">
        <f t="shared" si="30"/>
        <v>0</v>
      </c>
      <c r="Q146" s="118">
        <f t="shared" si="31"/>
        <v>0</v>
      </c>
      <c r="R146" s="97">
        <f t="shared" si="32"/>
        <v>0</v>
      </c>
      <c r="S146" s="97">
        <f t="shared" si="33"/>
        <v>0</v>
      </c>
      <c r="T146" s="118">
        <f t="shared" si="34"/>
        <v>0</v>
      </c>
      <c r="U146" s="119"/>
      <c r="V146" s="120" t="str">
        <f t="shared" si="35"/>
        <v>Cadastrar Ficha de Produção</v>
      </c>
      <c r="W146" s="121" t="str">
        <f t="shared" si="36"/>
        <v>Cadastrar Ficha de Produção</v>
      </c>
      <c r="AB146" s="125" t="str">
        <f t="shared" si="37"/>
        <v/>
      </c>
      <c r="AC146" s="125" t="str">
        <f t="shared" si="38"/>
        <v/>
      </c>
      <c r="AD146" s="126" t="str">
        <f t="shared" si="39"/>
        <v/>
      </c>
      <c r="AE146" s="127" t="str">
        <f t="shared" si="40"/>
        <v/>
      </c>
      <c r="AF146" s="128" t="str">
        <f t="shared" si="41"/>
        <v/>
      </c>
    </row>
    <row r="147" spans="1:32" ht="15.75" customHeight="1">
      <c r="A147" s="114" t="s">
        <v>224</v>
      </c>
      <c r="B147" s="114" t="s">
        <v>781</v>
      </c>
      <c r="C147" s="114" t="s">
        <v>778</v>
      </c>
      <c r="D147" s="114"/>
      <c r="E147" s="114" t="s">
        <v>565</v>
      </c>
      <c r="F147" s="114" t="s">
        <v>782</v>
      </c>
      <c r="G147" s="114" t="s">
        <v>556</v>
      </c>
      <c r="H147" s="115">
        <v>3</v>
      </c>
      <c r="I147" s="114" t="s">
        <v>551</v>
      </c>
      <c r="J147" s="116">
        <f t="shared" si="28"/>
        <v>1.27</v>
      </c>
      <c r="K147" s="97" t="str">
        <f>IFERROR(IF(VLOOKUP(D147,'Ficha de Produção'!C:C,1,0)=D147,"OK","Custo Produção Não Cadastrado"),"Custo Produção Não Cadastrado")</f>
        <v>Custo Produção Não Cadastrado</v>
      </c>
      <c r="L147" s="97" t="str">
        <f>IFERROR(IF(VLOOKUP(A147,'Ficha de Embalagens'!A:A,1,0)=A147,"OK","Ficha de Embalagens Não Cadastrada"),"Ficha de Embalagens Não Cadastrada")</f>
        <v>Ficha de Embalagens Não Cadastrada</v>
      </c>
      <c r="M147" s="117">
        <f>SUMIFS('Ficha de Produção'!N:N,'Ficha de Produção'!C:C,D147)*H147</f>
        <v>0</v>
      </c>
      <c r="N147" s="117">
        <f>SUMIFS('Ficha de Embalagens'!F:F,'Ficha de Embalagens'!A:A,A147)</f>
        <v>0</v>
      </c>
      <c r="O147" s="97">
        <f t="shared" si="29"/>
        <v>0</v>
      </c>
      <c r="P147" s="97">
        <f t="shared" si="30"/>
        <v>0</v>
      </c>
      <c r="Q147" s="118">
        <f t="shared" si="31"/>
        <v>0</v>
      </c>
      <c r="R147" s="97">
        <f t="shared" si="32"/>
        <v>0</v>
      </c>
      <c r="S147" s="97">
        <f t="shared" si="33"/>
        <v>0</v>
      </c>
      <c r="T147" s="118">
        <f t="shared" si="34"/>
        <v>0</v>
      </c>
      <c r="U147" s="119"/>
      <c r="V147" s="120" t="str">
        <f t="shared" si="35"/>
        <v>Cadastrar Ficha de Produção</v>
      </c>
      <c r="W147" s="121" t="str">
        <f t="shared" si="36"/>
        <v>Cadastrar Ficha de Produção</v>
      </c>
      <c r="AB147" s="125" t="str">
        <f t="shared" si="37"/>
        <v/>
      </c>
      <c r="AC147" s="125" t="str">
        <f t="shared" si="38"/>
        <v/>
      </c>
      <c r="AD147" s="126" t="str">
        <f t="shared" si="39"/>
        <v/>
      </c>
      <c r="AE147" s="127" t="str">
        <f t="shared" si="40"/>
        <v/>
      </c>
      <c r="AF147" s="128" t="str">
        <f t="shared" si="41"/>
        <v/>
      </c>
    </row>
    <row r="148" spans="1:32" ht="15.75" customHeight="1">
      <c r="A148" s="114" t="s">
        <v>225</v>
      </c>
      <c r="B148" s="114" t="s">
        <v>783</v>
      </c>
      <c r="C148" s="114" t="s">
        <v>778</v>
      </c>
      <c r="D148" s="114"/>
      <c r="E148" s="114" t="s">
        <v>565</v>
      </c>
      <c r="F148" s="114" t="s">
        <v>701</v>
      </c>
      <c r="G148" s="114" t="s">
        <v>556</v>
      </c>
      <c r="H148" s="115">
        <v>3</v>
      </c>
      <c r="I148" s="114" t="s">
        <v>551</v>
      </c>
      <c r="J148" s="116">
        <f t="shared" si="28"/>
        <v>1.27</v>
      </c>
      <c r="K148" s="97" t="str">
        <f>IFERROR(IF(VLOOKUP(D148,'Ficha de Produção'!C:C,1,0)=D148,"OK","Custo Produção Não Cadastrado"),"Custo Produção Não Cadastrado")</f>
        <v>Custo Produção Não Cadastrado</v>
      </c>
      <c r="L148" s="97" t="str">
        <f>IFERROR(IF(VLOOKUP(A148,'Ficha de Embalagens'!A:A,1,0)=A148,"OK","Ficha de Embalagens Não Cadastrada"),"Ficha de Embalagens Não Cadastrada")</f>
        <v>Ficha de Embalagens Não Cadastrada</v>
      </c>
      <c r="M148" s="117">
        <f>SUMIFS('Ficha de Produção'!N:N,'Ficha de Produção'!C:C,D148)*H148</f>
        <v>0</v>
      </c>
      <c r="N148" s="117">
        <f>SUMIFS('Ficha de Embalagens'!F:F,'Ficha de Embalagens'!A:A,A148)</f>
        <v>0</v>
      </c>
      <c r="O148" s="97">
        <f t="shared" si="29"/>
        <v>0</v>
      </c>
      <c r="P148" s="97">
        <f t="shared" si="30"/>
        <v>0</v>
      </c>
      <c r="Q148" s="118">
        <f t="shared" si="31"/>
        <v>0</v>
      </c>
      <c r="R148" s="97">
        <f t="shared" si="32"/>
        <v>0</v>
      </c>
      <c r="S148" s="97">
        <f t="shared" si="33"/>
        <v>0</v>
      </c>
      <c r="T148" s="118">
        <f t="shared" si="34"/>
        <v>0</v>
      </c>
      <c r="U148" s="119"/>
      <c r="V148" s="120" t="str">
        <f t="shared" si="35"/>
        <v>Cadastrar Ficha de Produção</v>
      </c>
      <c r="W148" s="121" t="str">
        <f t="shared" si="36"/>
        <v>Cadastrar Ficha de Produção</v>
      </c>
      <c r="AB148" s="125" t="str">
        <f t="shared" si="37"/>
        <v/>
      </c>
      <c r="AC148" s="125" t="str">
        <f t="shared" si="38"/>
        <v/>
      </c>
      <c r="AD148" s="126" t="str">
        <f t="shared" si="39"/>
        <v/>
      </c>
      <c r="AE148" s="127" t="str">
        <f t="shared" si="40"/>
        <v/>
      </c>
      <c r="AF148" s="128" t="str">
        <f t="shared" si="41"/>
        <v/>
      </c>
    </row>
    <row r="149" spans="1:32" ht="15.75" customHeight="1">
      <c r="A149" s="114" t="s">
        <v>226</v>
      </c>
      <c r="B149" s="114" t="s">
        <v>784</v>
      </c>
      <c r="C149" s="114" t="s">
        <v>778</v>
      </c>
      <c r="D149" s="114"/>
      <c r="E149" s="114" t="s">
        <v>565</v>
      </c>
      <c r="F149" s="114" t="s">
        <v>785</v>
      </c>
      <c r="G149" s="114" t="s">
        <v>556</v>
      </c>
      <c r="H149" s="115">
        <v>3</v>
      </c>
      <c r="I149" s="114" t="s">
        <v>551</v>
      </c>
      <c r="J149" s="116">
        <f t="shared" si="28"/>
        <v>1.27</v>
      </c>
      <c r="K149" s="97" t="str">
        <f>IFERROR(IF(VLOOKUP(D149,'Ficha de Produção'!C:C,1,0)=D149,"OK","Custo Produção Não Cadastrado"),"Custo Produção Não Cadastrado")</f>
        <v>Custo Produção Não Cadastrado</v>
      </c>
      <c r="L149" s="97" t="str">
        <f>IFERROR(IF(VLOOKUP(A149,'Ficha de Embalagens'!A:A,1,0)=A149,"OK","Ficha de Embalagens Não Cadastrada"),"Ficha de Embalagens Não Cadastrada")</f>
        <v>Ficha de Embalagens Não Cadastrada</v>
      </c>
      <c r="M149" s="117">
        <f>SUMIFS('Ficha de Produção'!N:N,'Ficha de Produção'!C:C,D149)*H149</f>
        <v>0</v>
      </c>
      <c r="N149" s="117">
        <f>SUMIFS('Ficha de Embalagens'!F:F,'Ficha de Embalagens'!A:A,A149)</f>
        <v>0</v>
      </c>
      <c r="O149" s="97">
        <f t="shared" si="29"/>
        <v>0</v>
      </c>
      <c r="P149" s="97">
        <f t="shared" si="30"/>
        <v>0</v>
      </c>
      <c r="Q149" s="118">
        <f t="shared" si="31"/>
        <v>0</v>
      </c>
      <c r="R149" s="97">
        <f t="shared" si="32"/>
        <v>0</v>
      </c>
      <c r="S149" s="97">
        <f t="shared" si="33"/>
        <v>0</v>
      </c>
      <c r="T149" s="118">
        <f t="shared" si="34"/>
        <v>0</v>
      </c>
      <c r="U149" s="119"/>
      <c r="V149" s="120" t="str">
        <f t="shared" si="35"/>
        <v>Cadastrar Ficha de Produção</v>
      </c>
      <c r="W149" s="121" t="str">
        <f t="shared" si="36"/>
        <v>Cadastrar Ficha de Produção</v>
      </c>
      <c r="AB149" s="125" t="str">
        <f t="shared" si="37"/>
        <v/>
      </c>
      <c r="AC149" s="125" t="str">
        <f t="shared" si="38"/>
        <v/>
      </c>
      <c r="AD149" s="126" t="str">
        <f t="shared" si="39"/>
        <v/>
      </c>
      <c r="AE149" s="127" t="str">
        <f t="shared" si="40"/>
        <v/>
      </c>
      <c r="AF149" s="128" t="str">
        <f t="shared" si="41"/>
        <v/>
      </c>
    </row>
    <row r="150" spans="1:32" ht="15.75" customHeight="1">
      <c r="A150" s="114" t="s">
        <v>227</v>
      </c>
      <c r="B150" s="114" t="s">
        <v>786</v>
      </c>
      <c r="C150" s="114" t="s">
        <v>778</v>
      </c>
      <c r="D150" s="114"/>
      <c r="E150" s="114" t="s">
        <v>565</v>
      </c>
      <c r="F150" s="114" t="s">
        <v>787</v>
      </c>
      <c r="G150" s="114" t="s">
        <v>556</v>
      </c>
      <c r="H150" s="115">
        <v>3</v>
      </c>
      <c r="I150" s="114" t="s">
        <v>551</v>
      </c>
      <c r="J150" s="116">
        <f t="shared" si="28"/>
        <v>1.27</v>
      </c>
      <c r="K150" s="97" t="str">
        <f>IFERROR(IF(VLOOKUP(D150,'Ficha de Produção'!C:C,1,0)=D150,"OK","Custo Produção Não Cadastrado"),"Custo Produção Não Cadastrado")</f>
        <v>Custo Produção Não Cadastrado</v>
      </c>
      <c r="L150" s="97" t="str">
        <f>IFERROR(IF(VLOOKUP(A150,'Ficha de Embalagens'!A:A,1,0)=A150,"OK","Ficha de Embalagens Não Cadastrada"),"Ficha de Embalagens Não Cadastrada")</f>
        <v>Ficha de Embalagens Não Cadastrada</v>
      </c>
      <c r="M150" s="117">
        <f>SUMIFS('Ficha de Produção'!N:N,'Ficha de Produção'!C:C,D150)*H150</f>
        <v>0</v>
      </c>
      <c r="N150" s="117">
        <f>SUMIFS('Ficha de Embalagens'!F:F,'Ficha de Embalagens'!A:A,A150)</f>
        <v>0</v>
      </c>
      <c r="O150" s="97">
        <f t="shared" si="29"/>
        <v>0</v>
      </c>
      <c r="P150" s="97">
        <f t="shared" si="30"/>
        <v>0</v>
      </c>
      <c r="Q150" s="118">
        <f t="shared" si="31"/>
        <v>0</v>
      </c>
      <c r="R150" s="97">
        <f t="shared" si="32"/>
        <v>0</v>
      </c>
      <c r="S150" s="97">
        <f t="shared" si="33"/>
        <v>0</v>
      </c>
      <c r="T150" s="118">
        <f t="shared" si="34"/>
        <v>0</v>
      </c>
      <c r="U150" s="119"/>
      <c r="V150" s="120" t="str">
        <f t="shared" si="35"/>
        <v>Cadastrar Ficha de Produção</v>
      </c>
      <c r="W150" s="121" t="str">
        <f t="shared" si="36"/>
        <v>Cadastrar Ficha de Produção</v>
      </c>
      <c r="AB150" s="125" t="str">
        <f t="shared" si="37"/>
        <v/>
      </c>
      <c r="AC150" s="125" t="str">
        <f t="shared" si="38"/>
        <v/>
      </c>
      <c r="AD150" s="126" t="str">
        <f t="shared" si="39"/>
        <v/>
      </c>
      <c r="AE150" s="127" t="str">
        <f t="shared" si="40"/>
        <v/>
      </c>
      <c r="AF150" s="128" t="str">
        <f t="shared" si="41"/>
        <v/>
      </c>
    </row>
    <row r="151" spans="1:32" ht="15.75" customHeight="1">
      <c r="A151" s="114" t="s">
        <v>228</v>
      </c>
      <c r="B151" s="114" t="s">
        <v>788</v>
      </c>
      <c r="C151" s="114" t="s">
        <v>778</v>
      </c>
      <c r="D151" s="114"/>
      <c r="E151" s="114" t="s">
        <v>565</v>
      </c>
      <c r="F151" s="114" t="s">
        <v>789</v>
      </c>
      <c r="G151" s="114" t="s">
        <v>556</v>
      </c>
      <c r="H151" s="115">
        <v>3</v>
      </c>
      <c r="I151" s="114" t="s">
        <v>551</v>
      </c>
      <c r="J151" s="116">
        <f t="shared" si="28"/>
        <v>1.27</v>
      </c>
      <c r="K151" s="97" t="str">
        <f>IFERROR(IF(VLOOKUP(D151,'Ficha de Produção'!C:C,1,0)=D151,"OK","Custo Produção Não Cadastrado"),"Custo Produção Não Cadastrado")</f>
        <v>Custo Produção Não Cadastrado</v>
      </c>
      <c r="L151" s="97" t="str">
        <f>IFERROR(IF(VLOOKUP(A151,'Ficha de Embalagens'!A:A,1,0)=A151,"OK","Ficha de Embalagens Não Cadastrada"),"Ficha de Embalagens Não Cadastrada")</f>
        <v>Ficha de Embalagens Não Cadastrada</v>
      </c>
      <c r="M151" s="117">
        <f>SUMIFS('Ficha de Produção'!N:N,'Ficha de Produção'!C:C,D151)*H151</f>
        <v>0</v>
      </c>
      <c r="N151" s="117">
        <f>SUMIFS('Ficha de Embalagens'!F:F,'Ficha de Embalagens'!A:A,A151)</f>
        <v>0</v>
      </c>
      <c r="O151" s="97">
        <f t="shared" si="29"/>
        <v>0</v>
      </c>
      <c r="P151" s="97">
        <f t="shared" si="30"/>
        <v>0</v>
      </c>
      <c r="Q151" s="118">
        <f t="shared" si="31"/>
        <v>0</v>
      </c>
      <c r="R151" s="97">
        <f t="shared" si="32"/>
        <v>0</v>
      </c>
      <c r="S151" s="97">
        <f t="shared" si="33"/>
        <v>0</v>
      </c>
      <c r="T151" s="118">
        <f t="shared" si="34"/>
        <v>0</v>
      </c>
      <c r="U151" s="119"/>
      <c r="V151" s="120" t="str">
        <f t="shared" si="35"/>
        <v>Cadastrar Ficha de Produção</v>
      </c>
      <c r="W151" s="121" t="str">
        <f t="shared" si="36"/>
        <v>Cadastrar Ficha de Produção</v>
      </c>
      <c r="AB151" s="125" t="str">
        <f t="shared" si="37"/>
        <v/>
      </c>
      <c r="AC151" s="125" t="str">
        <f t="shared" si="38"/>
        <v/>
      </c>
      <c r="AD151" s="126" t="str">
        <f t="shared" si="39"/>
        <v/>
      </c>
      <c r="AE151" s="127" t="str">
        <f t="shared" si="40"/>
        <v/>
      </c>
      <c r="AF151" s="128" t="str">
        <f t="shared" si="41"/>
        <v/>
      </c>
    </row>
    <row r="152" spans="1:32" ht="15.75" customHeight="1">
      <c r="A152" s="114" t="s">
        <v>229</v>
      </c>
      <c r="B152" s="114" t="s">
        <v>790</v>
      </c>
      <c r="C152" s="114" t="s">
        <v>778</v>
      </c>
      <c r="D152" s="114"/>
      <c r="E152" s="114" t="s">
        <v>565</v>
      </c>
      <c r="F152" s="114" t="s">
        <v>791</v>
      </c>
      <c r="G152" s="114" t="s">
        <v>556</v>
      </c>
      <c r="H152" s="115">
        <v>3</v>
      </c>
      <c r="I152" s="114" t="s">
        <v>551</v>
      </c>
      <c r="J152" s="116">
        <f t="shared" si="28"/>
        <v>1.27</v>
      </c>
      <c r="K152" s="97" t="str">
        <f>IFERROR(IF(VLOOKUP(D152,'Ficha de Produção'!C:C,1,0)=D152,"OK","Custo Produção Não Cadastrado"),"Custo Produção Não Cadastrado")</f>
        <v>Custo Produção Não Cadastrado</v>
      </c>
      <c r="L152" s="97" t="str">
        <f>IFERROR(IF(VLOOKUP(A152,'Ficha de Embalagens'!A:A,1,0)=A152,"OK","Ficha de Embalagens Não Cadastrada"),"Ficha de Embalagens Não Cadastrada")</f>
        <v>Ficha de Embalagens Não Cadastrada</v>
      </c>
      <c r="M152" s="117">
        <f>SUMIFS('Ficha de Produção'!N:N,'Ficha de Produção'!C:C,D152)*H152</f>
        <v>0</v>
      </c>
      <c r="N152" s="117">
        <f>SUMIFS('Ficha de Embalagens'!F:F,'Ficha de Embalagens'!A:A,A152)</f>
        <v>0</v>
      </c>
      <c r="O152" s="97">
        <f t="shared" si="29"/>
        <v>0</v>
      </c>
      <c r="P152" s="97">
        <f t="shared" si="30"/>
        <v>0</v>
      </c>
      <c r="Q152" s="118">
        <f t="shared" si="31"/>
        <v>0</v>
      </c>
      <c r="R152" s="97">
        <f t="shared" si="32"/>
        <v>0</v>
      </c>
      <c r="S152" s="97">
        <f t="shared" si="33"/>
        <v>0</v>
      </c>
      <c r="T152" s="118">
        <f t="shared" si="34"/>
        <v>0</v>
      </c>
      <c r="U152" s="119"/>
      <c r="V152" s="120" t="str">
        <f t="shared" si="35"/>
        <v>Cadastrar Ficha de Produção</v>
      </c>
      <c r="W152" s="121" t="str">
        <f t="shared" si="36"/>
        <v>Cadastrar Ficha de Produção</v>
      </c>
      <c r="AB152" s="125" t="str">
        <f t="shared" si="37"/>
        <v/>
      </c>
      <c r="AC152" s="125" t="str">
        <f t="shared" si="38"/>
        <v/>
      </c>
      <c r="AD152" s="126" t="str">
        <f t="shared" si="39"/>
        <v/>
      </c>
      <c r="AE152" s="127" t="str">
        <f t="shared" si="40"/>
        <v/>
      </c>
      <c r="AF152" s="128" t="str">
        <f t="shared" si="41"/>
        <v/>
      </c>
    </row>
    <row r="153" spans="1:32" ht="15.75" customHeight="1">
      <c r="A153" s="114" t="s">
        <v>230</v>
      </c>
      <c r="B153" s="114" t="s">
        <v>792</v>
      </c>
      <c r="C153" s="114" t="s">
        <v>778</v>
      </c>
      <c r="D153" s="114"/>
      <c r="E153" s="114" t="s">
        <v>565</v>
      </c>
      <c r="F153" s="114" t="s">
        <v>793</v>
      </c>
      <c r="G153" s="114" t="s">
        <v>556</v>
      </c>
      <c r="H153" s="115">
        <v>3</v>
      </c>
      <c r="I153" s="114" t="s">
        <v>551</v>
      </c>
      <c r="J153" s="116">
        <f t="shared" si="28"/>
        <v>1.27</v>
      </c>
      <c r="K153" s="97" t="str">
        <f>IFERROR(IF(VLOOKUP(D153,'Ficha de Produção'!C:C,1,0)=D153,"OK","Custo Produção Não Cadastrado"),"Custo Produção Não Cadastrado")</f>
        <v>Custo Produção Não Cadastrado</v>
      </c>
      <c r="L153" s="97" t="str">
        <f>IFERROR(IF(VLOOKUP(A153,'Ficha de Embalagens'!A:A,1,0)=A153,"OK","Ficha de Embalagens Não Cadastrada"),"Ficha de Embalagens Não Cadastrada")</f>
        <v>Ficha de Embalagens Não Cadastrada</v>
      </c>
      <c r="M153" s="117">
        <f>SUMIFS('Ficha de Produção'!N:N,'Ficha de Produção'!C:C,D153)*H153</f>
        <v>0</v>
      </c>
      <c r="N153" s="117">
        <f>SUMIFS('Ficha de Embalagens'!F:F,'Ficha de Embalagens'!A:A,A153)</f>
        <v>0</v>
      </c>
      <c r="O153" s="97">
        <f t="shared" si="29"/>
        <v>0</v>
      </c>
      <c r="P153" s="97">
        <f t="shared" si="30"/>
        <v>0</v>
      </c>
      <c r="Q153" s="118">
        <f t="shared" si="31"/>
        <v>0</v>
      </c>
      <c r="R153" s="97">
        <f t="shared" si="32"/>
        <v>0</v>
      </c>
      <c r="S153" s="97">
        <f t="shared" si="33"/>
        <v>0</v>
      </c>
      <c r="T153" s="118">
        <f t="shared" si="34"/>
        <v>0</v>
      </c>
      <c r="U153" s="119"/>
      <c r="V153" s="120" t="str">
        <f t="shared" si="35"/>
        <v>Cadastrar Ficha de Produção</v>
      </c>
      <c r="W153" s="121" t="str">
        <f t="shared" si="36"/>
        <v>Cadastrar Ficha de Produção</v>
      </c>
      <c r="AB153" s="125" t="str">
        <f t="shared" si="37"/>
        <v/>
      </c>
      <c r="AC153" s="125" t="str">
        <f t="shared" si="38"/>
        <v/>
      </c>
      <c r="AD153" s="126" t="str">
        <f t="shared" si="39"/>
        <v/>
      </c>
      <c r="AE153" s="127" t="str">
        <f t="shared" si="40"/>
        <v/>
      </c>
      <c r="AF153" s="128" t="str">
        <f t="shared" si="41"/>
        <v/>
      </c>
    </row>
    <row r="154" spans="1:32" ht="15.75" customHeight="1">
      <c r="A154" s="114" t="s">
        <v>231</v>
      </c>
      <c r="B154" s="114" t="s">
        <v>794</v>
      </c>
      <c r="C154" s="114" t="s">
        <v>778</v>
      </c>
      <c r="D154" s="114"/>
      <c r="E154" s="114" t="s">
        <v>565</v>
      </c>
      <c r="F154" s="114" t="s">
        <v>795</v>
      </c>
      <c r="G154" s="114" t="s">
        <v>556</v>
      </c>
      <c r="H154" s="115">
        <v>3</v>
      </c>
      <c r="I154" s="114" t="s">
        <v>551</v>
      </c>
      <c r="J154" s="116">
        <f t="shared" si="28"/>
        <v>1.27</v>
      </c>
      <c r="K154" s="97" t="str">
        <f>IFERROR(IF(VLOOKUP(D154,'Ficha de Produção'!C:C,1,0)=D154,"OK","Custo Produção Não Cadastrado"),"Custo Produção Não Cadastrado")</f>
        <v>Custo Produção Não Cadastrado</v>
      </c>
      <c r="L154" s="97" t="str">
        <f>IFERROR(IF(VLOOKUP(A154,'Ficha de Embalagens'!A:A,1,0)=A154,"OK","Ficha de Embalagens Não Cadastrada"),"Ficha de Embalagens Não Cadastrada")</f>
        <v>Ficha de Embalagens Não Cadastrada</v>
      </c>
      <c r="M154" s="117">
        <f>SUMIFS('Ficha de Produção'!N:N,'Ficha de Produção'!C:C,D154)*H154</f>
        <v>0</v>
      </c>
      <c r="N154" s="117">
        <f>SUMIFS('Ficha de Embalagens'!F:F,'Ficha de Embalagens'!A:A,A154)</f>
        <v>0</v>
      </c>
      <c r="O154" s="97">
        <f t="shared" si="29"/>
        <v>0</v>
      </c>
      <c r="P154" s="97">
        <f t="shared" si="30"/>
        <v>0</v>
      </c>
      <c r="Q154" s="118">
        <f t="shared" si="31"/>
        <v>0</v>
      </c>
      <c r="R154" s="97">
        <f t="shared" si="32"/>
        <v>0</v>
      </c>
      <c r="S154" s="97">
        <f t="shared" si="33"/>
        <v>0</v>
      </c>
      <c r="T154" s="118">
        <f t="shared" si="34"/>
        <v>0</v>
      </c>
      <c r="U154" s="119"/>
      <c r="V154" s="120" t="str">
        <f t="shared" si="35"/>
        <v>Cadastrar Ficha de Produção</v>
      </c>
      <c r="W154" s="121" t="str">
        <f t="shared" si="36"/>
        <v>Cadastrar Ficha de Produção</v>
      </c>
      <c r="AB154" s="125" t="str">
        <f t="shared" si="37"/>
        <v/>
      </c>
      <c r="AC154" s="125" t="str">
        <f t="shared" si="38"/>
        <v/>
      </c>
      <c r="AD154" s="126" t="str">
        <f t="shared" si="39"/>
        <v/>
      </c>
      <c r="AE154" s="127" t="str">
        <f t="shared" si="40"/>
        <v/>
      </c>
      <c r="AF154" s="128" t="str">
        <f t="shared" si="41"/>
        <v/>
      </c>
    </row>
    <row r="155" spans="1:32" ht="15.75" customHeight="1">
      <c r="A155" s="114" t="s">
        <v>232</v>
      </c>
      <c r="B155" s="114" t="s">
        <v>796</v>
      </c>
      <c r="C155" s="114" t="s">
        <v>778</v>
      </c>
      <c r="D155" s="114"/>
      <c r="E155" s="114" t="s">
        <v>565</v>
      </c>
      <c r="F155" s="114" t="s">
        <v>797</v>
      </c>
      <c r="G155" s="114" t="s">
        <v>556</v>
      </c>
      <c r="H155" s="115">
        <v>3</v>
      </c>
      <c r="I155" s="114" t="s">
        <v>551</v>
      </c>
      <c r="J155" s="116">
        <f t="shared" si="28"/>
        <v>1.27</v>
      </c>
      <c r="K155" s="97" t="str">
        <f>IFERROR(IF(VLOOKUP(D155,'Ficha de Produção'!C:C,1,0)=D155,"OK","Custo Produção Não Cadastrado"),"Custo Produção Não Cadastrado")</f>
        <v>Custo Produção Não Cadastrado</v>
      </c>
      <c r="L155" s="97" t="str">
        <f>IFERROR(IF(VLOOKUP(A155,'Ficha de Embalagens'!A:A,1,0)=A155,"OK","Ficha de Embalagens Não Cadastrada"),"Ficha de Embalagens Não Cadastrada")</f>
        <v>Ficha de Embalagens Não Cadastrada</v>
      </c>
      <c r="M155" s="117">
        <f>SUMIFS('Ficha de Produção'!N:N,'Ficha de Produção'!C:C,D155)*H155</f>
        <v>0</v>
      </c>
      <c r="N155" s="117">
        <f>SUMIFS('Ficha de Embalagens'!F:F,'Ficha de Embalagens'!A:A,A155)</f>
        <v>0</v>
      </c>
      <c r="O155" s="97">
        <f t="shared" si="29"/>
        <v>0</v>
      </c>
      <c r="P155" s="97">
        <f t="shared" si="30"/>
        <v>0</v>
      </c>
      <c r="Q155" s="118">
        <f t="shared" si="31"/>
        <v>0</v>
      </c>
      <c r="R155" s="97">
        <f t="shared" si="32"/>
        <v>0</v>
      </c>
      <c r="S155" s="97">
        <f t="shared" si="33"/>
        <v>0</v>
      </c>
      <c r="T155" s="118">
        <f t="shared" si="34"/>
        <v>0</v>
      </c>
      <c r="U155" s="119"/>
      <c r="V155" s="120" t="str">
        <f t="shared" si="35"/>
        <v>Cadastrar Ficha de Produção</v>
      </c>
      <c r="W155" s="121" t="str">
        <f t="shared" si="36"/>
        <v>Cadastrar Ficha de Produção</v>
      </c>
      <c r="AB155" s="125" t="str">
        <f t="shared" si="37"/>
        <v/>
      </c>
      <c r="AC155" s="125" t="str">
        <f t="shared" si="38"/>
        <v/>
      </c>
      <c r="AD155" s="126" t="str">
        <f t="shared" si="39"/>
        <v/>
      </c>
      <c r="AE155" s="127" t="str">
        <f t="shared" si="40"/>
        <v/>
      </c>
      <c r="AF155" s="128" t="str">
        <f t="shared" si="41"/>
        <v/>
      </c>
    </row>
    <row r="156" spans="1:32" ht="15.75" customHeight="1">
      <c r="A156" s="114" t="s">
        <v>233</v>
      </c>
      <c r="B156" s="114" t="s">
        <v>798</v>
      </c>
      <c r="C156" s="114" t="s">
        <v>778</v>
      </c>
      <c r="D156" s="114"/>
      <c r="E156" s="114" t="s">
        <v>565</v>
      </c>
      <c r="F156" s="114" t="s">
        <v>799</v>
      </c>
      <c r="G156" s="114" t="s">
        <v>556</v>
      </c>
      <c r="H156" s="115">
        <v>3</v>
      </c>
      <c r="I156" s="114" t="s">
        <v>551</v>
      </c>
      <c r="J156" s="116">
        <f t="shared" si="28"/>
        <v>1.27</v>
      </c>
      <c r="K156" s="97" t="str">
        <f>IFERROR(IF(VLOOKUP(D156,'Ficha de Produção'!C:C,1,0)=D156,"OK","Custo Produção Não Cadastrado"),"Custo Produção Não Cadastrado")</f>
        <v>Custo Produção Não Cadastrado</v>
      </c>
      <c r="L156" s="97" t="str">
        <f>IFERROR(IF(VLOOKUP(A156,'Ficha de Embalagens'!A:A,1,0)=A156,"OK","Ficha de Embalagens Não Cadastrada"),"Ficha de Embalagens Não Cadastrada")</f>
        <v>Ficha de Embalagens Não Cadastrada</v>
      </c>
      <c r="M156" s="117">
        <f>SUMIFS('Ficha de Produção'!N:N,'Ficha de Produção'!C:C,D156)*H156</f>
        <v>0</v>
      </c>
      <c r="N156" s="117">
        <f>SUMIFS('Ficha de Embalagens'!F:F,'Ficha de Embalagens'!A:A,A156)</f>
        <v>0</v>
      </c>
      <c r="O156" s="97">
        <f t="shared" si="29"/>
        <v>0</v>
      </c>
      <c r="P156" s="97">
        <f t="shared" si="30"/>
        <v>0</v>
      </c>
      <c r="Q156" s="118">
        <f t="shared" si="31"/>
        <v>0</v>
      </c>
      <c r="R156" s="97">
        <f t="shared" si="32"/>
        <v>0</v>
      </c>
      <c r="S156" s="97">
        <f t="shared" si="33"/>
        <v>0</v>
      </c>
      <c r="T156" s="118">
        <f t="shared" si="34"/>
        <v>0</v>
      </c>
      <c r="U156" s="119"/>
      <c r="V156" s="120" t="str">
        <f t="shared" si="35"/>
        <v>Cadastrar Ficha de Produção</v>
      </c>
      <c r="W156" s="121" t="str">
        <f t="shared" si="36"/>
        <v>Cadastrar Ficha de Produção</v>
      </c>
      <c r="AB156" s="125" t="str">
        <f t="shared" si="37"/>
        <v/>
      </c>
      <c r="AC156" s="125" t="str">
        <f t="shared" si="38"/>
        <v/>
      </c>
      <c r="AD156" s="126" t="str">
        <f t="shared" si="39"/>
        <v/>
      </c>
      <c r="AE156" s="127" t="str">
        <f t="shared" si="40"/>
        <v/>
      </c>
      <c r="AF156" s="128" t="str">
        <f t="shared" si="41"/>
        <v/>
      </c>
    </row>
    <row r="157" spans="1:32" ht="15.75" customHeight="1">
      <c r="A157" s="114" t="s">
        <v>234</v>
      </c>
      <c r="B157" s="114" t="s">
        <v>800</v>
      </c>
      <c r="C157" s="114" t="s">
        <v>778</v>
      </c>
      <c r="D157" s="114"/>
      <c r="E157" s="114" t="s">
        <v>565</v>
      </c>
      <c r="F157" s="114" t="s">
        <v>801</v>
      </c>
      <c r="G157" s="114" t="s">
        <v>556</v>
      </c>
      <c r="H157" s="115">
        <v>3</v>
      </c>
      <c r="I157" s="114" t="s">
        <v>551</v>
      </c>
      <c r="J157" s="116">
        <f t="shared" si="28"/>
        <v>1.27</v>
      </c>
      <c r="K157" s="97" t="str">
        <f>IFERROR(IF(VLOOKUP(D157,'Ficha de Produção'!C:C,1,0)=D157,"OK","Custo Produção Não Cadastrado"),"Custo Produção Não Cadastrado")</f>
        <v>Custo Produção Não Cadastrado</v>
      </c>
      <c r="L157" s="97" t="str">
        <f>IFERROR(IF(VLOOKUP(A157,'Ficha de Embalagens'!A:A,1,0)=A157,"OK","Ficha de Embalagens Não Cadastrada"),"Ficha de Embalagens Não Cadastrada")</f>
        <v>Ficha de Embalagens Não Cadastrada</v>
      </c>
      <c r="M157" s="117">
        <f>SUMIFS('Ficha de Produção'!N:N,'Ficha de Produção'!C:C,D157)*H157</f>
        <v>0</v>
      </c>
      <c r="N157" s="117">
        <f>SUMIFS('Ficha de Embalagens'!F:F,'Ficha de Embalagens'!A:A,A157)</f>
        <v>0</v>
      </c>
      <c r="O157" s="97">
        <f t="shared" si="29"/>
        <v>0</v>
      </c>
      <c r="P157" s="97">
        <f t="shared" si="30"/>
        <v>0</v>
      </c>
      <c r="Q157" s="118">
        <f t="shared" si="31"/>
        <v>0</v>
      </c>
      <c r="R157" s="97">
        <f t="shared" si="32"/>
        <v>0</v>
      </c>
      <c r="S157" s="97">
        <f t="shared" si="33"/>
        <v>0</v>
      </c>
      <c r="T157" s="118">
        <f t="shared" si="34"/>
        <v>0</v>
      </c>
      <c r="U157" s="119"/>
      <c r="V157" s="120" t="str">
        <f t="shared" si="35"/>
        <v>Cadastrar Ficha de Produção</v>
      </c>
      <c r="W157" s="121" t="str">
        <f t="shared" si="36"/>
        <v>Cadastrar Ficha de Produção</v>
      </c>
      <c r="AB157" s="125" t="str">
        <f t="shared" si="37"/>
        <v/>
      </c>
      <c r="AC157" s="125" t="str">
        <f t="shared" si="38"/>
        <v/>
      </c>
      <c r="AD157" s="126" t="str">
        <f t="shared" si="39"/>
        <v/>
      </c>
      <c r="AE157" s="127" t="str">
        <f t="shared" si="40"/>
        <v/>
      </c>
      <c r="AF157" s="128" t="str">
        <f t="shared" si="41"/>
        <v/>
      </c>
    </row>
    <row r="158" spans="1:32" ht="15.75" customHeight="1">
      <c r="A158" s="114" t="s">
        <v>235</v>
      </c>
      <c r="B158" s="114" t="s">
        <v>802</v>
      </c>
      <c r="C158" s="114" t="s">
        <v>778</v>
      </c>
      <c r="D158" s="114"/>
      <c r="E158" s="114" t="s">
        <v>565</v>
      </c>
      <c r="F158" s="114" t="s">
        <v>803</v>
      </c>
      <c r="G158" s="114" t="s">
        <v>556</v>
      </c>
      <c r="H158" s="115">
        <v>3</v>
      </c>
      <c r="I158" s="114" t="s">
        <v>551</v>
      </c>
      <c r="J158" s="116">
        <f t="shared" si="28"/>
        <v>1.27</v>
      </c>
      <c r="K158" s="97" t="str">
        <f>IFERROR(IF(VLOOKUP(D158,'Ficha de Produção'!C:C,1,0)=D158,"OK","Custo Produção Não Cadastrado"),"Custo Produção Não Cadastrado")</f>
        <v>Custo Produção Não Cadastrado</v>
      </c>
      <c r="L158" s="97" t="str">
        <f>IFERROR(IF(VLOOKUP(A158,'Ficha de Embalagens'!A:A,1,0)=A158,"OK","Ficha de Embalagens Não Cadastrada"),"Ficha de Embalagens Não Cadastrada")</f>
        <v>Ficha de Embalagens Não Cadastrada</v>
      </c>
      <c r="M158" s="117">
        <f>SUMIFS('Ficha de Produção'!N:N,'Ficha de Produção'!C:C,D158)*H158</f>
        <v>0</v>
      </c>
      <c r="N158" s="117">
        <f>SUMIFS('Ficha de Embalagens'!F:F,'Ficha de Embalagens'!A:A,A158)</f>
        <v>0</v>
      </c>
      <c r="O158" s="97">
        <f t="shared" si="29"/>
        <v>0</v>
      </c>
      <c r="P158" s="97">
        <f t="shared" si="30"/>
        <v>0</v>
      </c>
      <c r="Q158" s="118">
        <f t="shared" si="31"/>
        <v>0</v>
      </c>
      <c r="R158" s="97">
        <f t="shared" si="32"/>
        <v>0</v>
      </c>
      <c r="S158" s="97">
        <f t="shared" si="33"/>
        <v>0</v>
      </c>
      <c r="T158" s="118">
        <f t="shared" si="34"/>
        <v>0</v>
      </c>
      <c r="U158" s="119"/>
      <c r="V158" s="120" t="str">
        <f t="shared" si="35"/>
        <v>Cadastrar Ficha de Produção</v>
      </c>
      <c r="W158" s="121" t="str">
        <f t="shared" si="36"/>
        <v>Cadastrar Ficha de Produção</v>
      </c>
      <c r="AB158" s="125" t="str">
        <f t="shared" si="37"/>
        <v/>
      </c>
      <c r="AC158" s="125" t="str">
        <f t="shared" si="38"/>
        <v/>
      </c>
      <c r="AD158" s="126" t="str">
        <f t="shared" si="39"/>
        <v/>
      </c>
      <c r="AE158" s="127" t="str">
        <f t="shared" si="40"/>
        <v/>
      </c>
      <c r="AF158" s="128" t="str">
        <f t="shared" si="41"/>
        <v/>
      </c>
    </row>
    <row r="159" spans="1:32" ht="15.75" customHeight="1">
      <c r="A159" s="114" t="s">
        <v>236</v>
      </c>
      <c r="B159" s="114" t="s">
        <v>804</v>
      </c>
      <c r="C159" s="114" t="s">
        <v>778</v>
      </c>
      <c r="D159" s="114"/>
      <c r="E159" s="114" t="s">
        <v>565</v>
      </c>
      <c r="F159" s="114" t="s">
        <v>805</v>
      </c>
      <c r="G159" s="114" t="s">
        <v>556</v>
      </c>
      <c r="H159" s="115">
        <v>3</v>
      </c>
      <c r="I159" s="114" t="s">
        <v>551</v>
      </c>
      <c r="J159" s="116">
        <f t="shared" si="28"/>
        <v>1.27</v>
      </c>
      <c r="K159" s="97" t="str">
        <f>IFERROR(IF(VLOOKUP(D159,'Ficha de Produção'!C:C,1,0)=D159,"OK","Custo Produção Não Cadastrado"),"Custo Produção Não Cadastrado")</f>
        <v>Custo Produção Não Cadastrado</v>
      </c>
      <c r="L159" s="97" t="str">
        <f>IFERROR(IF(VLOOKUP(A159,'Ficha de Embalagens'!A:A,1,0)=A159,"OK","Ficha de Embalagens Não Cadastrada"),"Ficha de Embalagens Não Cadastrada")</f>
        <v>Ficha de Embalagens Não Cadastrada</v>
      </c>
      <c r="M159" s="117">
        <f>SUMIFS('Ficha de Produção'!N:N,'Ficha de Produção'!C:C,D159)*H159</f>
        <v>0</v>
      </c>
      <c r="N159" s="117">
        <f>SUMIFS('Ficha de Embalagens'!F:F,'Ficha de Embalagens'!A:A,A159)</f>
        <v>0</v>
      </c>
      <c r="O159" s="97">
        <f t="shared" si="29"/>
        <v>0</v>
      </c>
      <c r="P159" s="97">
        <f t="shared" si="30"/>
        <v>0</v>
      </c>
      <c r="Q159" s="118">
        <f t="shared" si="31"/>
        <v>0</v>
      </c>
      <c r="R159" s="97">
        <f t="shared" si="32"/>
        <v>0</v>
      </c>
      <c r="S159" s="97">
        <f t="shared" si="33"/>
        <v>0</v>
      </c>
      <c r="T159" s="118">
        <f t="shared" si="34"/>
        <v>0</v>
      </c>
      <c r="U159" s="119"/>
      <c r="V159" s="120" t="str">
        <f t="shared" si="35"/>
        <v>Cadastrar Ficha de Produção</v>
      </c>
      <c r="W159" s="121" t="str">
        <f t="shared" si="36"/>
        <v>Cadastrar Ficha de Produção</v>
      </c>
      <c r="AB159" s="125" t="str">
        <f t="shared" si="37"/>
        <v/>
      </c>
      <c r="AC159" s="125" t="str">
        <f t="shared" si="38"/>
        <v/>
      </c>
      <c r="AD159" s="126" t="str">
        <f t="shared" si="39"/>
        <v/>
      </c>
      <c r="AE159" s="127" t="str">
        <f t="shared" si="40"/>
        <v/>
      </c>
      <c r="AF159" s="128" t="str">
        <f t="shared" si="41"/>
        <v/>
      </c>
    </row>
    <row r="160" spans="1:32" ht="15.75" customHeight="1">
      <c r="A160" s="114" t="s">
        <v>237</v>
      </c>
      <c r="B160" s="114" t="s">
        <v>806</v>
      </c>
      <c r="C160" s="114" t="s">
        <v>778</v>
      </c>
      <c r="D160" s="114"/>
      <c r="E160" s="114" t="s">
        <v>565</v>
      </c>
      <c r="F160" s="114" t="s">
        <v>807</v>
      </c>
      <c r="G160" s="114" t="s">
        <v>556</v>
      </c>
      <c r="H160" s="115">
        <v>3</v>
      </c>
      <c r="I160" s="114" t="s">
        <v>551</v>
      </c>
      <c r="J160" s="116">
        <f t="shared" si="28"/>
        <v>1.27</v>
      </c>
      <c r="K160" s="97" t="str">
        <f>IFERROR(IF(VLOOKUP(D160,'Ficha de Produção'!C:C,1,0)=D160,"OK","Custo Produção Não Cadastrado"),"Custo Produção Não Cadastrado")</f>
        <v>Custo Produção Não Cadastrado</v>
      </c>
      <c r="L160" s="97" t="str">
        <f>IFERROR(IF(VLOOKUP(A160,'Ficha de Embalagens'!A:A,1,0)=A160,"OK","Ficha de Embalagens Não Cadastrada"),"Ficha de Embalagens Não Cadastrada")</f>
        <v>Ficha de Embalagens Não Cadastrada</v>
      </c>
      <c r="M160" s="117">
        <f>SUMIFS('Ficha de Produção'!N:N,'Ficha de Produção'!C:C,D160)*H160</f>
        <v>0</v>
      </c>
      <c r="N160" s="117">
        <f>SUMIFS('Ficha de Embalagens'!F:F,'Ficha de Embalagens'!A:A,A160)</f>
        <v>0</v>
      </c>
      <c r="O160" s="97">
        <f t="shared" si="29"/>
        <v>0</v>
      </c>
      <c r="P160" s="97">
        <f t="shared" si="30"/>
        <v>0</v>
      </c>
      <c r="Q160" s="118">
        <f t="shared" si="31"/>
        <v>0</v>
      </c>
      <c r="R160" s="97">
        <f t="shared" si="32"/>
        <v>0</v>
      </c>
      <c r="S160" s="97">
        <f t="shared" si="33"/>
        <v>0</v>
      </c>
      <c r="T160" s="118">
        <f t="shared" si="34"/>
        <v>0</v>
      </c>
      <c r="U160" s="119"/>
      <c r="V160" s="120" t="str">
        <f t="shared" si="35"/>
        <v>Cadastrar Ficha de Produção</v>
      </c>
      <c r="W160" s="121" t="str">
        <f t="shared" si="36"/>
        <v>Cadastrar Ficha de Produção</v>
      </c>
      <c r="AB160" s="125" t="str">
        <f t="shared" si="37"/>
        <v/>
      </c>
      <c r="AC160" s="125" t="str">
        <f t="shared" si="38"/>
        <v/>
      </c>
      <c r="AD160" s="126" t="str">
        <f t="shared" si="39"/>
        <v/>
      </c>
      <c r="AE160" s="127" t="str">
        <f t="shared" si="40"/>
        <v/>
      </c>
      <c r="AF160" s="128" t="str">
        <f t="shared" si="41"/>
        <v/>
      </c>
    </row>
    <row r="161" spans="1:32" ht="15.75" customHeight="1">
      <c r="A161" s="114" t="s">
        <v>238</v>
      </c>
      <c r="B161" s="114" t="s">
        <v>808</v>
      </c>
      <c r="C161" s="114" t="s">
        <v>778</v>
      </c>
      <c r="D161" s="114"/>
      <c r="E161" s="114" t="s">
        <v>565</v>
      </c>
      <c r="F161" s="114" t="s">
        <v>809</v>
      </c>
      <c r="G161" s="114" t="s">
        <v>556</v>
      </c>
      <c r="H161" s="115">
        <v>3</v>
      </c>
      <c r="I161" s="114" t="s">
        <v>551</v>
      </c>
      <c r="J161" s="116">
        <f t="shared" si="28"/>
        <v>1.27</v>
      </c>
      <c r="K161" s="97" t="str">
        <f>IFERROR(IF(VLOOKUP(D161,'Ficha de Produção'!C:C,1,0)=D161,"OK","Custo Produção Não Cadastrado"),"Custo Produção Não Cadastrado")</f>
        <v>Custo Produção Não Cadastrado</v>
      </c>
      <c r="L161" s="97" t="str">
        <f>IFERROR(IF(VLOOKUP(A161,'Ficha de Embalagens'!A:A,1,0)=A161,"OK","Ficha de Embalagens Não Cadastrada"),"Ficha de Embalagens Não Cadastrada")</f>
        <v>Ficha de Embalagens Não Cadastrada</v>
      </c>
      <c r="M161" s="117">
        <f>SUMIFS('Ficha de Produção'!N:N,'Ficha de Produção'!C:C,D161)*H161</f>
        <v>0</v>
      </c>
      <c r="N161" s="117">
        <f>SUMIFS('Ficha de Embalagens'!F:F,'Ficha de Embalagens'!A:A,A161)</f>
        <v>0</v>
      </c>
      <c r="O161" s="97">
        <f t="shared" si="29"/>
        <v>0</v>
      </c>
      <c r="P161" s="97">
        <f t="shared" si="30"/>
        <v>0</v>
      </c>
      <c r="Q161" s="118">
        <f t="shared" si="31"/>
        <v>0</v>
      </c>
      <c r="R161" s="97">
        <f t="shared" si="32"/>
        <v>0</v>
      </c>
      <c r="S161" s="97">
        <f t="shared" si="33"/>
        <v>0</v>
      </c>
      <c r="T161" s="118">
        <f t="shared" si="34"/>
        <v>0</v>
      </c>
      <c r="U161" s="119"/>
      <c r="V161" s="120" t="str">
        <f t="shared" si="35"/>
        <v>Cadastrar Ficha de Produção</v>
      </c>
      <c r="W161" s="121" t="str">
        <f t="shared" si="36"/>
        <v>Cadastrar Ficha de Produção</v>
      </c>
      <c r="AB161" s="125" t="str">
        <f t="shared" si="37"/>
        <v/>
      </c>
      <c r="AC161" s="125" t="str">
        <f t="shared" si="38"/>
        <v/>
      </c>
      <c r="AD161" s="126" t="str">
        <f t="shared" si="39"/>
        <v/>
      </c>
      <c r="AE161" s="127" t="str">
        <f t="shared" si="40"/>
        <v/>
      </c>
      <c r="AF161" s="128" t="str">
        <f t="shared" si="41"/>
        <v/>
      </c>
    </row>
    <row r="162" spans="1:32" ht="15.75" customHeight="1">
      <c r="A162" s="114" t="s">
        <v>239</v>
      </c>
      <c r="B162" s="114" t="s">
        <v>810</v>
      </c>
      <c r="C162" s="114" t="s">
        <v>778</v>
      </c>
      <c r="D162" s="114"/>
      <c r="E162" s="114" t="s">
        <v>610</v>
      </c>
      <c r="F162" s="114" t="s">
        <v>701</v>
      </c>
      <c r="G162" s="114" t="s">
        <v>556</v>
      </c>
      <c r="H162" s="115">
        <v>3</v>
      </c>
      <c r="I162" s="114" t="s">
        <v>551</v>
      </c>
      <c r="J162" s="116">
        <f t="shared" si="28"/>
        <v>1.27</v>
      </c>
      <c r="K162" s="97" t="str">
        <f>IFERROR(IF(VLOOKUP(D162,'Ficha de Produção'!C:C,1,0)=D162,"OK","Custo Produção Não Cadastrado"),"Custo Produção Não Cadastrado")</f>
        <v>Custo Produção Não Cadastrado</v>
      </c>
      <c r="L162" s="97" t="str">
        <f>IFERROR(IF(VLOOKUP(A162,'Ficha de Embalagens'!A:A,1,0)=A162,"OK","Ficha de Embalagens Não Cadastrada"),"Ficha de Embalagens Não Cadastrada")</f>
        <v>Ficha de Embalagens Não Cadastrada</v>
      </c>
      <c r="M162" s="117">
        <f>SUMIFS('Ficha de Produção'!N:N,'Ficha de Produção'!C:C,D162)*H162</f>
        <v>0</v>
      </c>
      <c r="N162" s="117">
        <f>SUMIFS('Ficha de Embalagens'!F:F,'Ficha de Embalagens'!A:A,A162)</f>
        <v>0</v>
      </c>
      <c r="O162" s="97">
        <f t="shared" si="29"/>
        <v>0</v>
      </c>
      <c r="P162" s="97">
        <f t="shared" si="30"/>
        <v>0</v>
      </c>
      <c r="Q162" s="118">
        <f t="shared" si="31"/>
        <v>0</v>
      </c>
      <c r="R162" s="97">
        <f t="shared" si="32"/>
        <v>0</v>
      </c>
      <c r="S162" s="97">
        <f t="shared" si="33"/>
        <v>0</v>
      </c>
      <c r="T162" s="118">
        <f t="shared" si="34"/>
        <v>0</v>
      </c>
      <c r="U162" s="119"/>
      <c r="V162" s="120" t="str">
        <f t="shared" si="35"/>
        <v>Cadastrar Ficha de Produção</v>
      </c>
      <c r="W162" s="121" t="str">
        <f t="shared" si="36"/>
        <v>Cadastrar Ficha de Produção</v>
      </c>
      <c r="AB162" s="125" t="str">
        <f t="shared" si="37"/>
        <v/>
      </c>
      <c r="AC162" s="125" t="str">
        <f t="shared" si="38"/>
        <v/>
      </c>
      <c r="AD162" s="126" t="str">
        <f t="shared" si="39"/>
        <v/>
      </c>
      <c r="AE162" s="127" t="str">
        <f t="shared" si="40"/>
        <v/>
      </c>
      <c r="AF162" s="128" t="str">
        <f t="shared" si="41"/>
        <v/>
      </c>
    </row>
    <row r="163" spans="1:32" ht="15.75" customHeight="1">
      <c r="A163" s="114" t="s">
        <v>240</v>
      </c>
      <c r="B163" s="114" t="s">
        <v>811</v>
      </c>
      <c r="C163" s="114" t="s">
        <v>778</v>
      </c>
      <c r="D163" s="114"/>
      <c r="E163" s="114" t="s">
        <v>610</v>
      </c>
      <c r="F163" s="114" t="s">
        <v>704</v>
      </c>
      <c r="G163" s="114" t="s">
        <v>556</v>
      </c>
      <c r="H163" s="115">
        <v>3</v>
      </c>
      <c r="I163" s="114" t="s">
        <v>551</v>
      </c>
      <c r="J163" s="116">
        <f t="shared" si="28"/>
        <v>1.27</v>
      </c>
      <c r="K163" s="97" t="str">
        <f>IFERROR(IF(VLOOKUP(D163,'Ficha de Produção'!C:C,1,0)=D163,"OK","Custo Produção Não Cadastrado"),"Custo Produção Não Cadastrado")</f>
        <v>Custo Produção Não Cadastrado</v>
      </c>
      <c r="L163" s="97" t="str">
        <f>IFERROR(IF(VLOOKUP(A163,'Ficha de Embalagens'!A:A,1,0)=A163,"OK","Ficha de Embalagens Não Cadastrada"),"Ficha de Embalagens Não Cadastrada")</f>
        <v>Ficha de Embalagens Não Cadastrada</v>
      </c>
      <c r="M163" s="117">
        <f>SUMIFS('Ficha de Produção'!N:N,'Ficha de Produção'!C:C,D163)*H163</f>
        <v>0</v>
      </c>
      <c r="N163" s="117">
        <f>SUMIFS('Ficha de Embalagens'!F:F,'Ficha de Embalagens'!A:A,A163)</f>
        <v>0</v>
      </c>
      <c r="O163" s="97">
        <f t="shared" si="29"/>
        <v>0</v>
      </c>
      <c r="P163" s="97">
        <f t="shared" si="30"/>
        <v>0</v>
      </c>
      <c r="Q163" s="118">
        <f t="shared" si="31"/>
        <v>0</v>
      </c>
      <c r="R163" s="97">
        <f t="shared" si="32"/>
        <v>0</v>
      </c>
      <c r="S163" s="97">
        <f t="shared" si="33"/>
        <v>0</v>
      </c>
      <c r="T163" s="118">
        <f t="shared" si="34"/>
        <v>0</v>
      </c>
      <c r="U163" s="119"/>
      <c r="V163" s="120" t="str">
        <f t="shared" si="35"/>
        <v>Cadastrar Ficha de Produção</v>
      </c>
      <c r="W163" s="121" t="str">
        <f t="shared" si="36"/>
        <v>Cadastrar Ficha de Produção</v>
      </c>
      <c r="AB163" s="125" t="str">
        <f t="shared" si="37"/>
        <v/>
      </c>
      <c r="AC163" s="125" t="str">
        <f t="shared" si="38"/>
        <v/>
      </c>
      <c r="AD163" s="126" t="str">
        <f t="shared" si="39"/>
        <v/>
      </c>
      <c r="AE163" s="127" t="str">
        <f t="shared" si="40"/>
        <v/>
      </c>
      <c r="AF163" s="128" t="str">
        <f t="shared" si="41"/>
        <v/>
      </c>
    </row>
    <row r="164" spans="1:32" ht="15.75" customHeight="1">
      <c r="A164" s="114" t="s">
        <v>241</v>
      </c>
      <c r="B164" s="114" t="s">
        <v>812</v>
      </c>
      <c r="C164" s="114" t="s">
        <v>778</v>
      </c>
      <c r="D164" s="114"/>
      <c r="E164" s="114" t="s">
        <v>610</v>
      </c>
      <c r="F164" s="114" t="s">
        <v>569</v>
      </c>
      <c r="G164" s="114" t="s">
        <v>556</v>
      </c>
      <c r="H164" s="115">
        <v>3</v>
      </c>
      <c r="I164" s="114" t="s">
        <v>551</v>
      </c>
      <c r="J164" s="116">
        <f t="shared" si="28"/>
        <v>1.27</v>
      </c>
      <c r="K164" s="97" t="str">
        <f>IFERROR(IF(VLOOKUP(D164,'Ficha de Produção'!C:C,1,0)=D164,"OK","Custo Produção Não Cadastrado"),"Custo Produção Não Cadastrado")</f>
        <v>Custo Produção Não Cadastrado</v>
      </c>
      <c r="L164" s="97" t="str">
        <f>IFERROR(IF(VLOOKUP(A164,'Ficha de Embalagens'!A:A,1,0)=A164,"OK","Ficha de Embalagens Não Cadastrada"),"Ficha de Embalagens Não Cadastrada")</f>
        <v>Ficha de Embalagens Não Cadastrada</v>
      </c>
      <c r="M164" s="117">
        <f>SUMIFS('Ficha de Produção'!N:N,'Ficha de Produção'!C:C,D164)*H164</f>
        <v>0</v>
      </c>
      <c r="N164" s="117">
        <f>SUMIFS('Ficha de Embalagens'!F:F,'Ficha de Embalagens'!A:A,A164)</f>
        <v>0</v>
      </c>
      <c r="O164" s="97">
        <f t="shared" si="29"/>
        <v>0</v>
      </c>
      <c r="P164" s="97">
        <f t="shared" si="30"/>
        <v>0</v>
      </c>
      <c r="Q164" s="118">
        <f t="shared" si="31"/>
        <v>0</v>
      </c>
      <c r="R164" s="97">
        <f t="shared" si="32"/>
        <v>0</v>
      </c>
      <c r="S164" s="97">
        <f t="shared" si="33"/>
        <v>0</v>
      </c>
      <c r="T164" s="118">
        <f t="shared" si="34"/>
        <v>0</v>
      </c>
      <c r="U164" s="119"/>
      <c r="V164" s="120" t="str">
        <f t="shared" si="35"/>
        <v>Cadastrar Ficha de Produção</v>
      </c>
      <c r="W164" s="121" t="str">
        <f t="shared" si="36"/>
        <v>Cadastrar Ficha de Produção</v>
      </c>
      <c r="AB164" s="125" t="str">
        <f t="shared" si="37"/>
        <v/>
      </c>
      <c r="AC164" s="125" t="str">
        <f t="shared" si="38"/>
        <v/>
      </c>
      <c r="AD164" s="126" t="str">
        <f t="shared" si="39"/>
        <v/>
      </c>
      <c r="AE164" s="127" t="str">
        <f t="shared" si="40"/>
        <v/>
      </c>
      <c r="AF164" s="128" t="str">
        <f t="shared" si="41"/>
        <v/>
      </c>
    </row>
    <row r="165" spans="1:32" ht="15.75" customHeight="1">
      <c r="A165" s="114" t="s">
        <v>242</v>
      </c>
      <c r="B165" s="114" t="s">
        <v>813</v>
      </c>
      <c r="C165" s="114" t="s">
        <v>778</v>
      </c>
      <c r="D165" s="114"/>
      <c r="E165" s="114" t="s">
        <v>610</v>
      </c>
      <c r="F165" s="114" t="s">
        <v>780</v>
      </c>
      <c r="G165" s="114" t="s">
        <v>556</v>
      </c>
      <c r="H165" s="115">
        <v>3</v>
      </c>
      <c r="I165" s="114" t="s">
        <v>551</v>
      </c>
      <c r="J165" s="116">
        <f t="shared" si="28"/>
        <v>1.27</v>
      </c>
      <c r="K165" s="97" t="str">
        <f>IFERROR(IF(VLOOKUP(D165,'Ficha de Produção'!C:C,1,0)=D165,"OK","Custo Produção Não Cadastrado"),"Custo Produção Não Cadastrado")</f>
        <v>Custo Produção Não Cadastrado</v>
      </c>
      <c r="L165" s="97" t="str">
        <f>IFERROR(IF(VLOOKUP(A165,'Ficha de Embalagens'!A:A,1,0)=A165,"OK","Ficha de Embalagens Não Cadastrada"),"Ficha de Embalagens Não Cadastrada")</f>
        <v>Ficha de Embalagens Não Cadastrada</v>
      </c>
      <c r="M165" s="117">
        <f>SUMIFS('Ficha de Produção'!N:N,'Ficha de Produção'!C:C,D165)*H165</f>
        <v>0</v>
      </c>
      <c r="N165" s="117">
        <f>SUMIFS('Ficha de Embalagens'!F:F,'Ficha de Embalagens'!A:A,A165)</f>
        <v>0</v>
      </c>
      <c r="O165" s="97">
        <f t="shared" si="29"/>
        <v>0</v>
      </c>
      <c r="P165" s="97">
        <f t="shared" si="30"/>
        <v>0</v>
      </c>
      <c r="Q165" s="118">
        <f t="shared" si="31"/>
        <v>0</v>
      </c>
      <c r="R165" s="97">
        <f t="shared" si="32"/>
        <v>0</v>
      </c>
      <c r="S165" s="97">
        <f t="shared" si="33"/>
        <v>0</v>
      </c>
      <c r="T165" s="118">
        <f t="shared" si="34"/>
        <v>0</v>
      </c>
      <c r="U165" s="119"/>
      <c r="V165" s="120" t="str">
        <f t="shared" si="35"/>
        <v>Cadastrar Ficha de Produção</v>
      </c>
      <c r="W165" s="121" t="str">
        <f t="shared" si="36"/>
        <v>Cadastrar Ficha de Produção</v>
      </c>
      <c r="AB165" s="125" t="str">
        <f t="shared" si="37"/>
        <v/>
      </c>
      <c r="AC165" s="125" t="str">
        <f t="shared" si="38"/>
        <v/>
      </c>
      <c r="AD165" s="126" t="str">
        <f t="shared" si="39"/>
        <v/>
      </c>
      <c r="AE165" s="127" t="str">
        <f t="shared" si="40"/>
        <v/>
      </c>
      <c r="AF165" s="128" t="str">
        <f t="shared" si="41"/>
        <v/>
      </c>
    </row>
    <row r="166" spans="1:32" ht="15.75" customHeight="1">
      <c r="A166" s="114" t="s">
        <v>243</v>
      </c>
      <c r="B166" s="114" t="s">
        <v>814</v>
      </c>
      <c r="C166" s="114" t="s">
        <v>778</v>
      </c>
      <c r="D166" s="114"/>
      <c r="E166" s="114" t="s">
        <v>610</v>
      </c>
      <c r="F166" s="114" t="s">
        <v>782</v>
      </c>
      <c r="G166" s="114" t="s">
        <v>556</v>
      </c>
      <c r="H166" s="115">
        <v>3</v>
      </c>
      <c r="I166" s="114" t="s">
        <v>551</v>
      </c>
      <c r="J166" s="116">
        <f t="shared" si="28"/>
        <v>1.27</v>
      </c>
      <c r="K166" s="97" t="str">
        <f>IFERROR(IF(VLOOKUP(D166,'Ficha de Produção'!C:C,1,0)=D166,"OK","Custo Produção Não Cadastrado"),"Custo Produção Não Cadastrado")</f>
        <v>Custo Produção Não Cadastrado</v>
      </c>
      <c r="L166" s="97" t="str">
        <f>IFERROR(IF(VLOOKUP(A166,'Ficha de Embalagens'!A:A,1,0)=A166,"OK","Ficha de Embalagens Não Cadastrada"),"Ficha de Embalagens Não Cadastrada")</f>
        <v>Ficha de Embalagens Não Cadastrada</v>
      </c>
      <c r="M166" s="117">
        <f>SUMIFS('Ficha de Produção'!N:N,'Ficha de Produção'!C:C,D166)*H166</f>
        <v>0</v>
      </c>
      <c r="N166" s="117">
        <f>SUMIFS('Ficha de Embalagens'!F:F,'Ficha de Embalagens'!A:A,A166)</f>
        <v>0</v>
      </c>
      <c r="O166" s="97">
        <f t="shared" si="29"/>
        <v>0</v>
      </c>
      <c r="P166" s="97">
        <f t="shared" si="30"/>
        <v>0</v>
      </c>
      <c r="Q166" s="118">
        <f t="shared" si="31"/>
        <v>0</v>
      </c>
      <c r="R166" s="97">
        <f t="shared" si="32"/>
        <v>0</v>
      </c>
      <c r="S166" s="97">
        <f t="shared" si="33"/>
        <v>0</v>
      </c>
      <c r="T166" s="118">
        <f t="shared" si="34"/>
        <v>0</v>
      </c>
      <c r="U166" s="119"/>
      <c r="V166" s="120" t="str">
        <f t="shared" si="35"/>
        <v>Cadastrar Ficha de Produção</v>
      </c>
      <c r="W166" s="121" t="str">
        <f t="shared" si="36"/>
        <v>Cadastrar Ficha de Produção</v>
      </c>
      <c r="AB166" s="125" t="str">
        <f t="shared" si="37"/>
        <v/>
      </c>
      <c r="AC166" s="125" t="str">
        <f t="shared" si="38"/>
        <v/>
      </c>
      <c r="AD166" s="126" t="str">
        <f t="shared" si="39"/>
        <v/>
      </c>
      <c r="AE166" s="127" t="str">
        <f t="shared" si="40"/>
        <v/>
      </c>
      <c r="AF166" s="128" t="str">
        <f t="shared" si="41"/>
        <v/>
      </c>
    </row>
    <row r="167" spans="1:32" ht="15.75" customHeight="1">
      <c r="A167" s="114" t="s">
        <v>244</v>
      </c>
      <c r="B167" s="114" t="s">
        <v>815</v>
      </c>
      <c r="C167" s="114" t="s">
        <v>778</v>
      </c>
      <c r="D167" s="114"/>
      <c r="E167" s="114" t="s">
        <v>610</v>
      </c>
      <c r="F167" s="114" t="s">
        <v>701</v>
      </c>
      <c r="G167" s="114" t="s">
        <v>556</v>
      </c>
      <c r="H167" s="115">
        <v>3</v>
      </c>
      <c r="I167" s="114" t="s">
        <v>551</v>
      </c>
      <c r="J167" s="116">
        <f t="shared" si="28"/>
        <v>1.27</v>
      </c>
      <c r="K167" s="97" t="str">
        <f>IFERROR(IF(VLOOKUP(D167,'Ficha de Produção'!C:C,1,0)=D167,"OK","Custo Produção Não Cadastrado"),"Custo Produção Não Cadastrado")</f>
        <v>Custo Produção Não Cadastrado</v>
      </c>
      <c r="L167" s="97" t="str">
        <f>IFERROR(IF(VLOOKUP(A167,'Ficha de Embalagens'!A:A,1,0)=A167,"OK","Ficha de Embalagens Não Cadastrada"),"Ficha de Embalagens Não Cadastrada")</f>
        <v>Ficha de Embalagens Não Cadastrada</v>
      </c>
      <c r="M167" s="117">
        <f>SUMIFS('Ficha de Produção'!N:N,'Ficha de Produção'!C:C,D167)*H167</f>
        <v>0</v>
      </c>
      <c r="N167" s="117">
        <f>SUMIFS('Ficha de Embalagens'!F:F,'Ficha de Embalagens'!A:A,A167)</f>
        <v>0</v>
      </c>
      <c r="O167" s="97">
        <f t="shared" si="29"/>
        <v>0</v>
      </c>
      <c r="P167" s="97">
        <f t="shared" si="30"/>
        <v>0</v>
      </c>
      <c r="Q167" s="118">
        <f t="shared" si="31"/>
        <v>0</v>
      </c>
      <c r="R167" s="97">
        <f t="shared" si="32"/>
        <v>0</v>
      </c>
      <c r="S167" s="97">
        <f t="shared" si="33"/>
        <v>0</v>
      </c>
      <c r="T167" s="118">
        <f t="shared" si="34"/>
        <v>0</v>
      </c>
      <c r="U167" s="119"/>
      <c r="V167" s="120" t="str">
        <f t="shared" si="35"/>
        <v>Cadastrar Ficha de Produção</v>
      </c>
      <c r="W167" s="121" t="str">
        <f t="shared" si="36"/>
        <v>Cadastrar Ficha de Produção</v>
      </c>
      <c r="AB167" s="125" t="str">
        <f t="shared" si="37"/>
        <v/>
      </c>
      <c r="AC167" s="125" t="str">
        <f t="shared" si="38"/>
        <v/>
      </c>
      <c r="AD167" s="126" t="str">
        <f t="shared" si="39"/>
        <v/>
      </c>
      <c r="AE167" s="127" t="str">
        <f t="shared" si="40"/>
        <v/>
      </c>
      <c r="AF167" s="128" t="str">
        <f t="shared" si="41"/>
        <v/>
      </c>
    </row>
    <row r="168" spans="1:32" ht="15.75" customHeight="1">
      <c r="A168" s="114" t="s">
        <v>245</v>
      </c>
      <c r="B168" s="114" t="s">
        <v>816</v>
      </c>
      <c r="C168" s="114" t="s">
        <v>778</v>
      </c>
      <c r="D168" s="114"/>
      <c r="E168" s="114" t="s">
        <v>610</v>
      </c>
      <c r="F168" s="114" t="s">
        <v>785</v>
      </c>
      <c r="G168" s="114" t="s">
        <v>556</v>
      </c>
      <c r="H168" s="115">
        <v>3</v>
      </c>
      <c r="I168" s="114" t="s">
        <v>551</v>
      </c>
      <c r="J168" s="116">
        <f t="shared" si="28"/>
        <v>1.27</v>
      </c>
      <c r="K168" s="97" t="str">
        <f>IFERROR(IF(VLOOKUP(D168,'Ficha de Produção'!C:C,1,0)=D168,"OK","Custo Produção Não Cadastrado"),"Custo Produção Não Cadastrado")</f>
        <v>Custo Produção Não Cadastrado</v>
      </c>
      <c r="L168" s="97" t="str">
        <f>IFERROR(IF(VLOOKUP(A168,'Ficha de Embalagens'!A:A,1,0)=A168,"OK","Ficha de Embalagens Não Cadastrada"),"Ficha de Embalagens Não Cadastrada")</f>
        <v>Ficha de Embalagens Não Cadastrada</v>
      </c>
      <c r="M168" s="117">
        <f>SUMIFS('Ficha de Produção'!N:N,'Ficha de Produção'!C:C,D168)*H168</f>
        <v>0</v>
      </c>
      <c r="N168" s="117">
        <f>SUMIFS('Ficha de Embalagens'!F:F,'Ficha de Embalagens'!A:A,A168)</f>
        <v>0</v>
      </c>
      <c r="O168" s="97">
        <f t="shared" si="29"/>
        <v>0</v>
      </c>
      <c r="P168" s="97">
        <f t="shared" si="30"/>
        <v>0</v>
      </c>
      <c r="Q168" s="118">
        <f t="shared" si="31"/>
        <v>0</v>
      </c>
      <c r="R168" s="97">
        <f t="shared" si="32"/>
        <v>0</v>
      </c>
      <c r="S168" s="97">
        <f t="shared" si="33"/>
        <v>0</v>
      </c>
      <c r="T168" s="118">
        <f t="shared" si="34"/>
        <v>0</v>
      </c>
      <c r="U168" s="119"/>
      <c r="V168" s="120" t="str">
        <f t="shared" si="35"/>
        <v>Cadastrar Ficha de Produção</v>
      </c>
      <c r="W168" s="121" t="str">
        <f t="shared" si="36"/>
        <v>Cadastrar Ficha de Produção</v>
      </c>
      <c r="AB168" s="125" t="str">
        <f t="shared" si="37"/>
        <v/>
      </c>
      <c r="AC168" s="125" t="str">
        <f t="shared" si="38"/>
        <v/>
      </c>
      <c r="AD168" s="126" t="str">
        <f t="shared" si="39"/>
        <v/>
      </c>
      <c r="AE168" s="127" t="str">
        <f t="shared" si="40"/>
        <v/>
      </c>
      <c r="AF168" s="128" t="str">
        <f t="shared" si="41"/>
        <v/>
      </c>
    </row>
    <row r="169" spans="1:32" ht="15.75" customHeight="1">
      <c r="A169" s="114" t="s">
        <v>246</v>
      </c>
      <c r="B169" s="114" t="s">
        <v>817</v>
      </c>
      <c r="C169" s="114" t="s">
        <v>778</v>
      </c>
      <c r="D169" s="114"/>
      <c r="E169" s="114" t="s">
        <v>610</v>
      </c>
      <c r="F169" s="114" t="s">
        <v>787</v>
      </c>
      <c r="G169" s="114" t="s">
        <v>556</v>
      </c>
      <c r="H169" s="115">
        <v>3</v>
      </c>
      <c r="I169" s="114" t="s">
        <v>551</v>
      </c>
      <c r="J169" s="116">
        <f t="shared" si="28"/>
        <v>1.27</v>
      </c>
      <c r="K169" s="97" t="str">
        <f>IFERROR(IF(VLOOKUP(D169,'Ficha de Produção'!C:C,1,0)=D169,"OK","Custo Produção Não Cadastrado"),"Custo Produção Não Cadastrado")</f>
        <v>Custo Produção Não Cadastrado</v>
      </c>
      <c r="L169" s="97" t="str">
        <f>IFERROR(IF(VLOOKUP(A169,'Ficha de Embalagens'!A:A,1,0)=A169,"OK","Ficha de Embalagens Não Cadastrada"),"Ficha de Embalagens Não Cadastrada")</f>
        <v>Ficha de Embalagens Não Cadastrada</v>
      </c>
      <c r="M169" s="117">
        <f>SUMIFS('Ficha de Produção'!N:N,'Ficha de Produção'!C:C,D169)*H169</f>
        <v>0</v>
      </c>
      <c r="N169" s="117">
        <f>SUMIFS('Ficha de Embalagens'!F:F,'Ficha de Embalagens'!A:A,A169)</f>
        <v>0</v>
      </c>
      <c r="O169" s="97">
        <f t="shared" si="29"/>
        <v>0</v>
      </c>
      <c r="P169" s="97">
        <f t="shared" si="30"/>
        <v>0</v>
      </c>
      <c r="Q169" s="118">
        <f t="shared" si="31"/>
        <v>0</v>
      </c>
      <c r="R169" s="97">
        <f t="shared" si="32"/>
        <v>0</v>
      </c>
      <c r="S169" s="97">
        <f t="shared" si="33"/>
        <v>0</v>
      </c>
      <c r="T169" s="118">
        <f t="shared" si="34"/>
        <v>0</v>
      </c>
      <c r="U169" s="119"/>
      <c r="V169" s="120" t="str">
        <f t="shared" si="35"/>
        <v>Cadastrar Ficha de Produção</v>
      </c>
      <c r="W169" s="121" t="str">
        <f t="shared" si="36"/>
        <v>Cadastrar Ficha de Produção</v>
      </c>
      <c r="AB169" s="125" t="str">
        <f t="shared" si="37"/>
        <v/>
      </c>
      <c r="AC169" s="125" t="str">
        <f t="shared" si="38"/>
        <v/>
      </c>
      <c r="AD169" s="126" t="str">
        <f t="shared" si="39"/>
        <v/>
      </c>
      <c r="AE169" s="127" t="str">
        <f t="shared" si="40"/>
        <v/>
      </c>
      <c r="AF169" s="128" t="str">
        <f t="shared" si="41"/>
        <v/>
      </c>
    </row>
    <row r="170" spans="1:32" ht="15.75" customHeight="1">
      <c r="A170" s="114" t="s">
        <v>247</v>
      </c>
      <c r="B170" s="114" t="s">
        <v>818</v>
      </c>
      <c r="C170" s="114" t="s">
        <v>778</v>
      </c>
      <c r="D170" s="114"/>
      <c r="E170" s="114" t="s">
        <v>610</v>
      </c>
      <c r="F170" s="114" t="s">
        <v>789</v>
      </c>
      <c r="G170" s="114" t="s">
        <v>556</v>
      </c>
      <c r="H170" s="115">
        <v>3</v>
      </c>
      <c r="I170" s="114" t="s">
        <v>551</v>
      </c>
      <c r="J170" s="116">
        <f t="shared" si="28"/>
        <v>1.27</v>
      </c>
      <c r="K170" s="97" t="str">
        <f>IFERROR(IF(VLOOKUP(D170,'Ficha de Produção'!C:C,1,0)=D170,"OK","Custo Produção Não Cadastrado"),"Custo Produção Não Cadastrado")</f>
        <v>Custo Produção Não Cadastrado</v>
      </c>
      <c r="L170" s="97" t="str">
        <f>IFERROR(IF(VLOOKUP(A170,'Ficha de Embalagens'!A:A,1,0)=A170,"OK","Ficha de Embalagens Não Cadastrada"),"Ficha de Embalagens Não Cadastrada")</f>
        <v>Ficha de Embalagens Não Cadastrada</v>
      </c>
      <c r="M170" s="117">
        <f>SUMIFS('Ficha de Produção'!N:N,'Ficha de Produção'!C:C,D170)*H170</f>
        <v>0</v>
      </c>
      <c r="N170" s="117">
        <f>SUMIFS('Ficha de Embalagens'!F:F,'Ficha de Embalagens'!A:A,A170)</f>
        <v>0</v>
      </c>
      <c r="O170" s="97">
        <f t="shared" si="29"/>
        <v>0</v>
      </c>
      <c r="P170" s="97">
        <f t="shared" si="30"/>
        <v>0</v>
      </c>
      <c r="Q170" s="118">
        <f t="shared" si="31"/>
        <v>0</v>
      </c>
      <c r="R170" s="97">
        <f t="shared" si="32"/>
        <v>0</v>
      </c>
      <c r="S170" s="97">
        <f t="shared" si="33"/>
        <v>0</v>
      </c>
      <c r="T170" s="118">
        <f t="shared" si="34"/>
        <v>0</v>
      </c>
      <c r="U170" s="119"/>
      <c r="V170" s="120" t="str">
        <f t="shared" si="35"/>
        <v>Cadastrar Ficha de Produção</v>
      </c>
      <c r="W170" s="121" t="str">
        <f t="shared" si="36"/>
        <v>Cadastrar Ficha de Produção</v>
      </c>
      <c r="AB170" s="125" t="str">
        <f t="shared" si="37"/>
        <v/>
      </c>
      <c r="AC170" s="125" t="str">
        <f t="shared" si="38"/>
        <v/>
      </c>
      <c r="AD170" s="126" t="str">
        <f t="shared" si="39"/>
        <v/>
      </c>
      <c r="AE170" s="127" t="str">
        <f t="shared" si="40"/>
        <v/>
      </c>
      <c r="AF170" s="128" t="str">
        <f t="shared" si="41"/>
        <v/>
      </c>
    </row>
    <row r="171" spans="1:32" ht="15.75" customHeight="1">
      <c r="A171" s="114" t="s">
        <v>248</v>
      </c>
      <c r="B171" s="114" t="s">
        <v>819</v>
      </c>
      <c r="C171" s="114" t="s">
        <v>778</v>
      </c>
      <c r="D171" s="114"/>
      <c r="E171" s="114" t="s">
        <v>610</v>
      </c>
      <c r="F171" s="114" t="s">
        <v>791</v>
      </c>
      <c r="G171" s="114" t="s">
        <v>556</v>
      </c>
      <c r="H171" s="115">
        <v>3</v>
      </c>
      <c r="I171" s="114" t="s">
        <v>551</v>
      </c>
      <c r="J171" s="116">
        <f t="shared" si="28"/>
        <v>1.27</v>
      </c>
      <c r="K171" s="97" t="str">
        <f>IFERROR(IF(VLOOKUP(D171,'Ficha de Produção'!C:C,1,0)=D171,"OK","Custo Produção Não Cadastrado"),"Custo Produção Não Cadastrado")</f>
        <v>Custo Produção Não Cadastrado</v>
      </c>
      <c r="L171" s="97" t="str">
        <f>IFERROR(IF(VLOOKUP(A171,'Ficha de Embalagens'!A:A,1,0)=A171,"OK","Ficha de Embalagens Não Cadastrada"),"Ficha de Embalagens Não Cadastrada")</f>
        <v>Ficha de Embalagens Não Cadastrada</v>
      </c>
      <c r="M171" s="117">
        <f>SUMIFS('Ficha de Produção'!N:N,'Ficha de Produção'!C:C,D171)*H171</f>
        <v>0</v>
      </c>
      <c r="N171" s="117">
        <f>SUMIFS('Ficha de Embalagens'!F:F,'Ficha de Embalagens'!A:A,A171)</f>
        <v>0</v>
      </c>
      <c r="O171" s="97">
        <f t="shared" si="29"/>
        <v>0</v>
      </c>
      <c r="P171" s="97">
        <f t="shared" si="30"/>
        <v>0</v>
      </c>
      <c r="Q171" s="118">
        <f t="shared" si="31"/>
        <v>0</v>
      </c>
      <c r="R171" s="97">
        <f t="shared" si="32"/>
        <v>0</v>
      </c>
      <c r="S171" s="97">
        <f t="shared" si="33"/>
        <v>0</v>
      </c>
      <c r="T171" s="118">
        <f t="shared" si="34"/>
        <v>0</v>
      </c>
      <c r="U171" s="119"/>
      <c r="V171" s="120" t="str">
        <f t="shared" si="35"/>
        <v>Cadastrar Ficha de Produção</v>
      </c>
      <c r="W171" s="121" t="str">
        <f t="shared" si="36"/>
        <v>Cadastrar Ficha de Produção</v>
      </c>
      <c r="AB171" s="125" t="str">
        <f t="shared" si="37"/>
        <v/>
      </c>
      <c r="AC171" s="125" t="str">
        <f t="shared" si="38"/>
        <v/>
      </c>
      <c r="AD171" s="126" t="str">
        <f t="shared" si="39"/>
        <v/>
      </c>
      <c r="AE171" s="127" t="str">
        <f t="shared" si="40"/>
        <v/>
      </c>
      <c r="AF171" s="128" t="str">
        <f t="shared" si="41"/>
        <v/>
      </c>
    </row>
    <row r="172" spans="1:32" ht="15.75" customHeight="1">
      <c r="A172" s="114" t="s">
        <v>249</v>
      </c>
      <c r="B172" s="114" t="s">
        <v>820</v>
      </c>
      <c r="C172" s="114" t="s">
        <v>778</v>
      </c>
      <c r="D172" s="114"/>
      <c r="E172" s="114" t="s">
        <v>610</v>
      </c>
      <c r="F172" s="114" t="s">
        <v>793</v>
      </c>
      <c r="G172" s="114" t="s">
        <v>556</v>
      </c>
      <c r="H172" s="115">
        <v>3</v>
      </c>
      <c r="I172" s="114" t="s">
        <v>551</v>
      </c>
      <c r="J172" s="116">
        <f t="shared" si="28"/>
        <v>1.27</v>
      </c>
      <c r="K172" s="97" t="str">
        <f>IFERROR(IF(VLOOKUP(D172,'Ficha de Produção'!C:C,1,0)=D172,"OK","Custo Produção Não Cadastrado"),"Custo Produção Não Cadastrado")</f>
        <v>Custo Produção Não Cadastrado</v>
      </c>
      <c r="L172" s="97" t="str">
        <f>IFERROR(IF(VLOOKUP(A172,'Ficha de Embalagens'!A:A,1,0)=A172,"OK","Ficha de Embalagens Não Cadastrada"),"Ficha de Embalagens Não Cadastrada")</f>
        <v>Ficha de Embalagens Não Cadastrada</v>
      </c>
      <c r="M172" s="117">
        <f>SUMIFS('Ficha de Produção'!N:N,'Ficha de Produção'!C:C,D172)*H172</f>
        <v>0</v>
      </c>
      <c r="N172" s="117">
        <f>SUMIFS('Ficha de Embalagens'!F:F,'Ficha de Embalagens'!A:A,A172)</f>
        <v>0</v>
      </c>
      <c r="O172" s="97">
        <f t="shared" si="29"/>
        <v>0</v>
      </c>
      <c r="P172" s="97">
        <f t="shared" si="30"/>
        <v>0</v>
      </c>
      <c r="Q172" s="118">
        <f t="shared" si="31"/>
        <v>0</v>
      </c>
      <c r="R172" s="97">
        <f t="shared" si="32"/>
        <v>0</v>
      </c>
      <c r="S172" s="97">
        <f t="shared" si="33"/>
        <v>0</v>
      </c>
      <c r="T172" s="118">
        <f t="shared" si="34"/>
        <v>0</v>
      </c>
      <c r="U172" s="119"/>
      <c r="V172" s="120" t="str">
        <f t="shared" si="35"/>
        <v>Cadastrar Ficha de Produção</v>
      </c>
      <c r="W172" s="121" t="str">
        <f t="shared" si="36"/>
        <v>Cadastrar Ficha de Produção</v>
      </c>
      <c r="AB172" s="125" t="str">
        <f t="shared" si="37"/>
        <v/>
      </c>
      <c r="AC172" s="125" t="str">
        <f t="shared" si="38"/>
        <v/>
      </c>
      <c r="AD172" s="126" t="str">
        <f t="shared" si="39"/>
        <v/>
      </c>
      <c r="AE172" s="127" t="str">
        <f t="shared" si="40"/>
        <v/>
      </c>
      <c r="AF172" s="128" t="str">
        <f t="shared" si="41"/>
        <v/>
      </c>
    </row>
    <row r="173" spans="1:32" ht="15.75" customHeight="1">
      <c r="A173" s="114" t="s">
        <v>250</v>
      </c>
      <c r="B173" s="114" t="s">
        <v>821</v>
      </c>
      <c r="C173" s="114" t="s">
        <v>778</v>
      </c>
      <c r="D173" s="114"/>
      <c r="E173" s="114" t="s">
        <v>610</v>
      </c>
      <c r="F173" s="114" t="s">
        <v>795</v>
      </c>
      <c r="G173" s="114" t="s">
        <v>556</v>
      </c>
      <c r="H173" s="115">
        <v>3</v>
      </c>
      <c r="I173" s="114" t="s">
        <v>551</v>
      </c>
      <c r="J173" s="116">
        <f t="shared" si="28"/>
        <v>1.27</v>
      </c>
      <c r="K173" s="97" t="str">
        <f>IFERROR(IF(VLOOKUP(D173,'Ficha de Produção'!C:C,1,0)=D173,"OK","Custo Produção Não Cadastrado"),"Custo Produção Não Cadastrado")</f>
        <v>Custo Produção Não Cadastrado</v>
      </c>
      <c r="L173" s="97" t="str">
        <f>IFERROR(IF(VLOOKUP(A173,'Ficha de Embalagens'!A:A,1,0)=A173,"OK","Ficha de Embalagens Não Cadastrada"),"Ficha de Embalagens Não Cadastrada")</f>
        <v>Ficha de Embalagens Não Cadastrada</v>
      </c>
      <c r="M173" s="117">
        <f>SUMIFS('Ficha de Produção'!N:N,'Ficha de Produção'!C:C,D173)*H173</f>
        <v>0</v>
      </c>
      <c r="N173" s="117">
        <f>SUMIFS('Ficha de Embalagens'!F:F,'Ficha de Embalagens'!A:A,A173)</f>
        <v>0</v>
      </c>
      <c r="O173" s="97">
        <f t="shared" si="29"/>
        <v>0</v>
      </c>
      <c r="P173" s="97">
        <f t="shared" si="30"/>
        <v>0</v>
      </c>
      <c r="Q173" s="118">
        <f t="shared" si="31"/>
        <v>0</v>
      </c>
      <c r="R173" s="97">
        <f t="shared" si="32"/>
        <v>0</v>
      </c>
      <c r="S173" s="97">
        <f t="shared" si="33"/>
        <v>0</v>
      </c>
      <c r="T173" s="118">
        <f t="shared" si="34"/>
        <v>0</v>
      </c>
      <c r="U173" s="119"/>
      <c r="V173" s="120" t="str">
        <f t="shared" si="35"/>
        <v>Cadastrar Ficha de Produção</v>
      </c>
      <c r="W173" s="121" t="str">
        <f t="shared" si="36"/>
        <v>Cadastrar Ficha de Produção</v>
      </c>
      <c r="AB173" s="125" t="str">
        <f t="shared" si="37"/>
        <v/>
      </c>
      <c r="AC173" s="125" t="str">
        <f t="shared" si="38"/>
        <v/>
      </c>
      <c r="AD173" s="126" t="str">
        <f t="shared" si="39"/>
        <v/>
      </c>
      <c r="AE173" s="127" t="str">
        <f t="shared" si="40"/>
        <v/>
      </c>
      <c r="AF173" s="128" t="str">
        <f t="shared" si="41"/>
        <v/>
      </c>
    </row>
    <row r="174" spans="1:32" ht="15.75" customHeight="1">
      <c r="A174" s="114" t="s">
        <v>251</v>
      </c>
      <c r="B174" s="114" t="s">
        <v>822</v>
      </c>
      <c r="C174" s="114" t="s">
        <v>778</v>
      </c>
      <c r="D174" s="114"/>
      <c r="E174" s="114" t="s">
        <v>610</v>
      </c>
      <c r="F174" s="114" t="s">
        <v>797</v>
      </c>
      <c r="G174" s="114" t="s">
        <v>556</v>
      </c>
      <c r="H174" s="115">
        <v>3</v>
      </c>
      <c r="I174" s="114" t="s">
        <v>551</v>
      </c>
      <c r="J174" s="116">
        <f t="shared" si="28"/>
        <v>1.27</v>
      </c>
      <c r="K174" s="97" t="str">
        <f>IFERROR(IF(VLOOKUP(D174,'Ficha de Produção'!C:C,1,0)=D174,"OK","Custo Produção Não Cadastrado"),"Custo Produção Não Cadastrado")</f>
        <v>Custo Produção Não Cadastrado</v>
      </c>
      <c r="L174" s="97" t="str">
        <f>IFERROR(IF(VLOOKUP(A174,'Ficha de Embalagens'!A:A,1,0)=A174,"OK","Ficha de Embalagens Não Cadastrada"),"Ficha de Embalagens Não Cadastrada")</f>
        <v>Ficha de Embalagens Não Cadastrada</v>
      </c>
      <c r="M174" s="117">
        <f>SUMIFS('Ficha de Produção'!N:N,'Ficha de Produção'!C:C,D174)*H174</f>
        <v>0</v>
      </c>
      <c r="N174" s="117">
        <f>SUMIFS('Ficha de Embalagens'!F:F,'Ficha de Embalagens'!A:A,A174)</f>
        <v>0</v>
      </c>
      <c r="O174" s="97">
        <f t="shared" si="29"/>
        <v>0</v>
      </c>
      <c r="P174" s="97">
        <f t="shared" si="30"/>
        <v>0</v>
      </c>
      <c r="Q174" s="118">
        <f t="shared" si="31"/>
        <v>0</v>
      </c>
      <c r="R174" s="97">
        <f t="shared" si="32"/>
        <v>0</v>
      </c>
      <c r="S174" s="97">
        <f t="shared" si="33"/>
        <v>0</v>
      </c>
      <c r="T174" s="118">
        <f t="shared" si="34"/>
        <v>0</v>
      </c>
      <c r="U174" s="119"/>
      <c r="V174" s="120" t="str">
        <f t="shared" si="35"/>
        <v>Cadastrar Ficha de Produção</v>
      </c>
      <c r="W174" s="121" t="str">
        <f t="shared" si="36"/>
        <v>Cadastrar Ficha de Produção</v>
      </c>
      <c r="AB174" s="125" t="str">
        <f t="shared" si="37"/>
        <v/>
      </c>
      <c r="AC174" s="125" t="str">
        <f t="shared" si="38"/>
        <v/>
      </c>
      <c r="AD174" s="126" t="str">
        <f t="shared" si="39"/>
        <v/>
      </c>
      <c r="AE174" s="127" t="str">
        <f t="shared" si="40"/>
        <v/>
      </c>
      <c r="AF174" s="128" t="str">
        <f t="shared" si="41"/>
        <v/>
      </c>
    </row>
    <row r="175" spans="1:32" ht="15.75" customHeight="1">
      <c r="A175" s="114" t="s">
        <v>252</v>
      </c>
      <c r="B175" s="114" t="s">
        <v>823</v>
      </c>
      <c r="C175" s="114" t="s">
        <v>778</v>
      </c>
      <c r="D175" s="114"/>
      <c r="E175" s="114" t="s">
        <v>610</v>
      </c>
      <c r="F175" s="114" t="s">
        <v>799</v>
      </c>
      <c r="G175" s="114" t="s">
        <v>556</v>
      </c>
      <c r="H175" s="115">
        <v>3</v>
      </c>
      <c r="I175" s="114" t="s">
        <v>551</v>
      </c>
      <c r="J175" s="116">
        <f t="shared" si="28"/>
        <v>1.27</v>
      </c>
      <c r="K175" s="97" t="str">
        <f>IFERROR(IF(VLOOKUP(D175,'Ficha de Produção'!C:C,1,0)=D175,"OK","Custo Produção Não Cadastrado"),"Custo Produção Não Cadastrado")</f>
        <v>Custo Produção Não Cadastrado</v>
      </c>
      <c r="L175" s="97" t="str">
        <f>IFERROR(IF(VLOOKUP(A175,'Ficha de Embalagens'!A:A,1,0)=A175,"OK","Ficha de Embalagens Não Cadastrada"),"Ficha de Embalagens Não Cadastrada")</f>
        <v>Ficha de Embalagens Não Cadastrada</v>
      </c>
      <c r="M175" s="117">
        <f>SUMIFS('Ficha de Produção'!N:N,'Ficha de Produção'!C:C,D175)*H175</f>
        <v>0</v>
      </c>
      <c r="N175" s="117">
        <f>SUMIFS('Ficha de Embalagens'!F:F,'Ficha de Embalagens'!A:A,A175)</f>
        <v>0</v>
      </c>
      <c r="O175" s="97">
        <f t="shared" si="29"/>
        <v>0</v>
      </c>
      <c r="P175" s="97">
        <f t="shared" si="30"/>
        <v>0</v>
      </c>
      <c r="Q175" s="118">
        <f t="shared" si="31"/>
        <v>0</v>
      </c>
      <c r="R175" s="97">
        <f t="shared" si="32"/>
        <v>0</v>
      </c>
      <c r="S175" s="97">
        <f t="shared" si="33"/>
        <v>0</v>
      </c>
      <c r="T175" s="118">
        <f t="shared" si="34"/>
        <v>0</v>
      </c>
      <c r="U175" s="119"/>
      <c r="V175" s="120" t="str">
        <f t="shared" si="35"/>
        <v>Cadastrar Ficha de Produção</v>
      </c>
      <c r="W175" s="121" t="str">
        <f t="shared" si="36"/>
        <v>Cadastrar Ficha de Produção</v>
      </c>
      <c r="AB175" s="125" t="str">
        <f t="shared" si="37"/>
        <v/>
      </c>
      <c r="AC175" s="125" t="str">
        <f t="shared" si="38"/>
        <v/>
      </c>
      <c r="AD175" s="126" t="str">
        <f t="shared" si="39"/>
        <v/>
      </c>
      <c r="AE175" s="127" t="str">
        <f t="shared" si="40"/>
        <v/>
      </c>
      <c r="AF175" s="128" t="str">
        <f t="shared" si="41"/>
        <v/>
      </c>
    </row>
    <row r="176" spans="1:32" ht="15.75" customHeight="1">
      <c r="A176" s="114" t="s">
        <v>253</v>
      </c>
      <c r="B176" s="114" t="s">
        <v>824</v>
      </c>
      <c r="C176" s="114" t="s">
        <v>778</v>
      </c>
      <c r="D176" s="114"/>
      <c r="E176" s="114" t="s">
        <v>610</v>
      </c>
      <c r="F176" s="114" t="s">
        <v>801</v>
      </c>
      <c r="G176" s="114" t="s">
        <v>556</v>
      </c>
      <c r="H176" s="115">
        <v>3</v>
      </c>
      <c r="I176" s="114" t="s">
        <v>551</v>
      </c>
      <c r="J176" s="116">
        <f t="shared" si="28"/>
        <v>1.27</v>
      </c>
      <c r="K176" s="97" t="str">
        <f>IFERROR(IF(VLOOKUP(D176,'Ficha de Produção'!C:C,1,0)=D176,"OK","Custo Produção Não Cadastrado"),"Custo Produção Não Cadastrado")</f>
        <v>Custo Produção Não Cadastrado</v>
      </c>
      <c r="L176" s="97" t="str">
        <f>IFERROR(IF(VLOOKUP(A176,'Ficha de Embalagens'!A:A,1,0)=A176,"OK","Ficha de Embalagens Não Cadastrada"),"Ficha de Embalagens Não Cadastrada")</f>
        <v>Ficha de Embalagens Não Cadastrada</v>
      </c>
      <c r="M176" s="117">
        <f>SUMIFS('Ficha de Produção'!N:N,'Ficha de Produção'!C:C,D176)*H176</f>
        <v>0</v>
      </c>
      <c r="N176" s="117">
        <f>SUMIFS('Ficha de Embalagens'!F:F,'Ficha de Embalagens'!A:A,A176)</f>
        <v>0</v>
      </c>
      <c r="O176" s="97">
        <f t="shared" si="29"/>
        <v>0</v>
      </c>
      <c r="P176" s="97">
        <f t="shared" si="30"/>
        <v>0</v>
      </c>
      <c r="Q176" s="118">
        <f t="shared" si="31"/>
        <v>0</v>
      </c>
      <c r="R176" s="97">
        <f t="shared" si="32"/>
        <v>0</v>
      </c>
      <c r="S176" s="97">
        <f t="shared" si="33"/>
        <v>0</v>
      </c>
      <c r="T176" s="118">
        <f t="shared" si="34"/>
        <v>0</v>
      </c>
      <c r="U176" s="119"/>
      <c r="V176" s="120" t="str">
        <f t="shared" si="35"/>
        <v>Cadastrar Ficha de Produção</v>
      </c>
      <c r="W176" s="121" t="str">
        <f t="shared" si="36"/>
        <v>Cadastrar Ficha de Produção</v>
      </c>
      <c r="AB176" s="125" t="str">
        <f t="shared" si="37"/>
        <v/>
      </c>
      <c r="AC176" s="125" t="str">
        <f t="shared" si="38"/>
        <v/>
      </c>
      <c r="AD176" s="126" t="str">
        <f t="shared" si="39"/>
        <v/>
      </c>
      <c r="AE176" s="127" t="str">
        <f t="shared" si="40"/>
        <v/>
      </c>
      <c r="AF176" s="128" t="str">
        <f t="shared" si="41"/>
        <v/>
      </c>
    </row>
    <row r="177" spans="1:32" ht="15.75" customHeight="1">
      <c r="A177" s="114" t="s">
        <v>254</v>
      </c>
      <c r="B177" s="114" t="s">
        <v>825</v>
      </c>
      <c r="C177" s="114" t="s">
        <v>778</v>
      </c>
      <c r="D177" s="114"/>
      <c r="E177" s="114" t="s">
        <v>610</v>
      </c>
      <c r="F177" s="114" t="s">
        <v>803</v>
      </c>
      <c r="G177" s="114" t="s">
        <v>556</v>
      </c>
      <c r="H177" s="115">
        <v>3</v>
      </c>
      <c r="I177" s="114" t="s">
        <v>551</v>
      </c>
      <c r="J177" s="116">
        <f t="shared" si="28"/>
        <v>1.27</v>
      </c>
      <c r="K177" s="97" t="str">
        <f>IFERROR(IF(VLOOKUP(D177,'Ficha de Produção'!C:C,1,0)=D177,"OK","Custo Produção Não Cadastrado"),"Custo Produção Não Cadastrado")</f>
        <v>Custo Produção Não Cadastrado</v>
      </c>
      <c r="L177" s="97" t="str">
        <f>IFERROR(IF(VLOOKUP(A177,'Ficha de Embalagens'!A:A,1,0)=A177,"OK","Ficha de Embalagens Não Cadastrada"),"Ficha de Embalagens Não Cadastrada")</f>
        <v>Ficha de Embalagens Não Cadastrada</v>
      </c>
      <c r="M177" s="117">
        <f>SUMIFS('Ficha de Produção'!N:N,'Ficha de Produção'!C:C,D177)*H177</f>
        <v>0</v>
      </c>
      <c r="N177" s="117">
        <f>SUMIFS('Ficha de Embalagens'!F:F,'Ficha de Embalagens'!A:A,A177)</f>
        <v>0</v>
      </c>
      <c r="O177" s="97">
        <f t="shared" si="29"/>
        <v>0</v>
      </c>
      <c r="P177" s="97">
        <f t="shared" si="30"/>
        <v>0</v>
      </c>
      <c r="Q177" s="118">
        <f t="shared" si="31"/>
        <v>0</v>
      </c>
      <c r="R177" s="97">
        <f t="shared" si="32"/>
        <v>0</v>
      </c>
      <c r="S177" s="97">
        <f t="shared" si="33"/>
        <v>0</v>
      </c>
      <c r="T177" s="118">
        <f t="shared" si="34"/>
        <v>0</v>
      </c>
      <c r="U177" s="119"/>
      <c r="V177" s="120" t="str">
        <f t="shared" si="35"/>
        <v>Cadastrar Ficha de Produção</v>
      </c>
      <c r="W177" s="121" t="str">
        <f t="shared" si="36"/>
        <v>Cadastrar Ficha de Produção</v>
      </c>
      <c r="AB177" s="125" t="str">
        <f t="shared" si="37"/>
        <v/>
      </c>
      <c r="AC177" s="125" t="str">
        <f t="shared" si="38"/>
        <v/>
      </c>
      <c r="AD177" s="126" t="str">
        <f t="shared" si="39"/>
        <v/>
      </c>
      <c r="AE177" s="127" t="str">
        <f t="shared" si="40"/>
        <v/>
      </c>
      <c r="AF177" s="128" t="str">
        <f t="shared" si="41"/>
        <v/>
      </c>
    </row>
    <row r="178" spans="1:32" ht="15.75" customHeight="1">
      <c r="A178" s="114" t="s">
        <v>255</v>
      </c>
      <c r="B178" s="114" t="s">
        <v>826</v>
      </c>
      <c r="C178" s="114" t="s">
        <v>778</v>
      </c>
      <c r="D178" s="114"/>
      <c r="E178" s="114" t="s">
        <v>610</v>
      </c>
      <c r="F178" s="114" t="s">
        <v>805</v>
      </c>
      <c r="G178" s="114" t="s">
        <v>556</v>
      </c>
      <c r="H178" s="115">
        <v>3</v>
      </c>
      <c r="I178" s="114" t="s">
        <v>551</v>
      </c>
      <c r="J178" s="116">
        <f t="shared" si="28"/>
        <v>1.27</v>
      </c>
      <c r="K178" s="97" t="str">
        <f>IFERROR(IF(VLOOKUP(D178,'Ficha de Produção'!C:C,1,0)=D178,"OK","Custo Produção Não Cadastrado"),"Custo Produção Não Cadastrado")</f>
        <v>Custo Produção Não Cadastrado</v>
      </c>
      <c r="L178" s="97" t="str">
        <f>IFERROR(IF(VLOOKUP(A178,'Ficha de Embalagens'!A:A,1,0)=A178,"OK","Ficha de Embalagens Não Cadastrada"),"Ficha de Embalagens Não Cadastrada")</f>
        <v>Ficha de Embalagens Não Cadastrada</v>
      </c>
      <c r="M178" s="117">
        <f>SUMIFS('Ficha de Produção'!N:N,'Ficha de Produção'!C:C,D178)*H178</f>
        <v>0</v>
      </c>
      <c r="N178" s="117">
        <f>SUMIFS('Ficha de Embalagens'!F:F,'Ficha de Embalagens'!A:A,A178)</f>
        <v>0</v>
      </c>
      <c r="O178" s="97">
        <f t="shared" si="29"/>
        <v>0</v>
      </c>
      <c r="P178" s="97">
        <f t="shared" si="30"/>
        <v>0</v>
      </c>
      <c r="Q178" s="118">
        <f t="shared" si="31"/>
        <v>0</v>
      </c>
      <c r="R178" s="97">
        <f t="shared" si="32"/>
        <v>0</v>
      </c>
      <c r="S178" s="97">
        <f t="shared" si="33"/>
        <v>0</v>
      </c>
      <c r="T178" s="118">
        <f t="shared" si="34"/>
        <v>0</v>
      </c>
      <c r="U178" s="119"/>
      <c r="V178" s="120" t="str">
        <f t="shared" si="35"/>
        <v>Cadastrar Ficha de Produção</v>
      </c>
      <c r="W178" s="121" t="str">
        <f t="shared" si="36"/>
        <v>Cadastrar Ficha de Produção</v>
      </c>
      <c r="AB178" s="125" t="str">
        <f t="shared" si="37"/>
        <v/>
      </c>
      <c r="AC178" s="125" t="str">
        <f t="shared" si="38"/>
        <v/>
      </c>
      <c r="AD178" s="126" t="str">
        <f t="shared" si="39"/>
        <v/>
      </c>
      <c r="AE178" s="127" t="str">
        <f t="shared" si="40"/>
        <v/>
      </c>
      <c r="AF178" s="128" t="str">
        <f t="shared" si="41"/>
        <v/>
      </c>
    </row>
    <row r="179" spans="1:32" ht="15.75" customHeight="1">
      <c r="A179" s="114" t="s">
        <v>256</v>
      </c>
      <c r="B179" s="114" t="s">
        <v>827</v>
      </c>
      <c r="C179" s="114" t="s">
        <v>778</v>
      </c>
      <c r="D179" s="114"/>
      <c r="E179" s="114" t="s">
        <v>610</v>
      </c>
      <c r="F179" s="114" t="s">
        <v>807</v>
      </c>
      <c r="G179" s="114" t="s">
        <v>556</v>
      </c>
      <c r="H179" s="115">
        <v>3</v>
      </c>
      <c r="I179" s="114" t="s">
        <v>551</v>
      </c>
      <c r="J179" s="116">
        <f t="shared" si="28"/>
        <v>1.27</v>
      </c>
      <c r="K179" s="97" t="str">
        <f>IFERROR(IF(VLOOKUP(D179,'Ficha de Produção'!C:C,1,0)=D179,"OK","Custo Produção Não Cadastrado"),"Custo Produção Não Cadastrado")</f>
        <v>Custo Produção Não Cadastrado</v>
      </c>
      <c r="L179" s="97" t="str">
        <f>IFERROR(IF(VLOOKUP(A179,'Ficha de Embalagens'!A:A,1,0)=A179,"OK","Ficha de Embalagens Não Cadastrada"),"Ficha de Embalagens Não Cadastrada")</f>
        <v>Ficha de Embalagens Não Cadastrada</v>
      </c>
      <c r="M179" s="117">
        <f>SUMIFS('Ficha de Produção'!N:N,'Ficha de Produção'!C:C,D179)*H179</f>
        <v>0</v>
      </c>
      <c r="N179" s="117">
        <f>SUMIFS('Ficha de Embalagens'!F:F,'Ficha de Embalagens'!A:A,A179)</f>
        <v>0</v>
      </c>
      <c r="O179" s="97">
        <f t="shared" si="29"/>
        <v>0</v>
      </c>
      <c r="P179" s="97">
        <f t="shared" si="30"/>
        <v>0</v>
      </c>
      <c r="Q179" s="118">
        <f t="shared" si="31"/>
        <v>0</v>
      </c>
      <c r="R179" s="97">
        <f t="shared" si="32"/>
        <v>0</v>
      </c>
      <c r="S179" s="97">
        <f t="shared" si="33"/>
        <v>0</v>
      </c>
      <c r="T179" s="118">
        <f t="shared" si="34"/>
        <v>0</v>
      </c>
      <c r="U179" s="119"/>
      <c r="V179" s="120" t="str">
        <f t="shared" si="35"/>
        <v>Cadastrar Ficha de Produção</v>
      </c>
      <c r="W179" s="121" t="str">
        <f t="shared" si="36"/>
        <v>Cadastrar Ficha de Produção</v>
      </c>
      <c r="AB179" s="125" t="str">
        <f t="shared" si="37"/>
        <v/>
      </c>
      <c r="AC179" s="125" t="str">
        <f t="shared" si="38"/>
        <v/>
      </c>
      <c r="AD179" s="126" t="str">
        <f t="shared" si="39"/>
        <v/>
      </c>
      <c r="AE179" s="127" t="str">
        <f t="shared" si="40"/>
        <v/>
      </c>
      <c r="AF179" s="128" t="str">
        <f t="shared" si="41"/>
        <v/>
      </c>
    </row>
    <row r="180" spans="1:32" ht="15.75" customHeight="1">
      <c r="A180" s="114" t="s">
        <v>257</v>
      </c>
      <c r="B180" s="114" t="s">
        <v>828</v>
      </c>
      <c r="C180" s="114" t="s">
        <v>778</v>
      </c>
      <c r="D180" s="114"/>
      <c r="E180" s="114" t="s">
        <v>829</v>
      </c>
      <c r="F180" s="114" t="s">
        <v>701</v>
      </c>
      <c r="G180" s="114" t="s">
        <v>556</v>
      </c>
      <c r="H180" s="115">
        <v>3</v>
      </c>
      <c r="I180" s="114" t="s">
        <v>551</v>
      </c>
      <c r="J180" s="116">
        <f t="shared" si="28"/>
        <v>1.27</v>
      </c>
      <c r="K180" s="97" t="str">
        <f>IFERROR(IF(VLOOKUP(D180,'Ficha de Produção'!C:C,1,0)=D180,"OK","Custo Produção Não Cadastrado"),"Custo Produção Não Cadastrado")</f>
        <v>Custo Produção Não Cadastrado</v>
      </c>
      <c r="L180" s="97" t="str">
        <f>IFERROR(IF(VLOOKUP(A180,'Ficha de Embalagens'!A:A,1,0)=A180,"OK","Ficha de Embalagens Não Cadastrada"),"Ficha de Embalagens Não Cadastrada")</f>
        <v>Ficha de Embalagens Não Cadastrada</v>
      </c>
      <c r="M180" s="117">
        <f>SUMIFS('Ficha de Produção'!N:N,'Ficha de Produção'!C:C,D180)*H180</f>
        <v>0</v>
      </c>
      <c r="N180" s="117">
        <f>SUMIFS('Ficha de Embalagens'!F:F,'Ficha de Embalagens'!A:A,A180)</f>
        <v>0</v>
      </c>
      <c r="O180" s="97">
        <f t="shared" si="29"/>
        <v>0</v>
      </c>
      <c r="P180" s="97">
        <f t="shared" si="30"/>
        <v>0</v>
      </c>
      <c r="Q180" s="118">
        <f t="shared" si="31"/>
        <v>0</v>
      </c>
      <c r="R180" s="97">
        <f t="shared" si="32"/>
        <v>0</v>
      </c>
      <c r="S180" s="97">
        <f t="shared" si="33"/>
        <v>0</v>
      </c>
      <c r="T180" s="118">
        <f t="shared" si="34"/>
        <v>0</v>
      </c>
      <c r="U180" s="119"/>
      <c r="V180" s="120" t="str">
        <f t="shared" si="35"/>
        <v>Cadastrar Ficha de Produção</v>
      </c>
      <c r="W180" s="121" t="str">
        <f t="shared" si="36"/>
        <v>Cadastrar Ficha de Produção</v>
      </c>
      <c r="AB180" s="125" t="str">
        <f t="shared" si="37"/>
        <v/>
      </c>
      <c r="AC180" s="125" t="str">
        <f t="shared" si="38"/>
        <v/>
      </c>
      <c r="AD180" s="126" t="str">
        <f t="shared" si="39"/>
        <v/>
      </c>
      <c r="AE180" s="127" t="str">
        <f t="shared" si="40"/>
        <v/>
      </c>
      <c r="AF180" s="128" t="str">
        <f t="shared" si="41"/>
        <v/>
      </c>
    </row>
    <row r="181" spans="1:32" ht="15.75" customHeight="1">
      <c r="A181" s="114" t="s">
        <v>258</v>
      </c>
      <c r="B181" s="114" t="s">
        <v>830</v>
      </c>
      <c r="C181" s="114" t="s">
        <v>778</v>
      </c>
      <c r="D181" s="114"/>
      <c r="E181" s="114" t="s">
        <v>829</v>
      </c>
      <c r="F181" s="114" t="s">
        <v>704</v>
      </c>
      <c r="G181" s="114" t="s">
        <v>556</v>
      </c>
      <c r="H181" s="115">
        <v>3</v>
      </c>
      <c r="I181" s="114" t="s">
        <v>551</v>
      </c>
      <c r="J181" s="116">
        <f t="shared" si="28"/>
        <v>1.27</v>
      </c>
      <c r="K181" s="97" t="str">
        <f>IFERROR(IF(VLOOKUP(D181,'Ficha de Produção'!C:C,1,0)=D181,"OK","Custo Produção Não Cadastrado"),"Custo Produção Não Cadastrado")</f>
        <v>Custo Produção Não Cadastrado</v>
      </c>
      <c r="L181" s="97" t="str">
        <f>IFERROR(IF(VLOOKUP(A181,'Ficha de Embalagens'!A:A,1,0)=A181,"OK","Ficha de Embalagens Não Cadastrada"),"Ficha de Embalagens Não Cadastrada")</f>
        <v>Ficha de Embalagens Não Cadastrada</v>
      </c>
      <c r="M181" s="117">
        <f>SUMIFS('Ficha de Produção'!N:N,'Ficha de Produção'!C:C,D181)*H181</f>
        <v>0</v>
      </c>
      <c r="N181" s="117">
        <f>SUMIFS('Ficha de Embalagens'!F:F,'Ficha de Embalagens'!A:A,A181)</f>
        <v>0</v>
      </c>
      <c r="O181" s="97">
        <f t="shared" si="29"/>
        <v>0</v>
      </c>
      <c r="P181" s="97">
        <f t="shared" si="30"/>
        <v>0</v>
      </c>
      <c r="Q181" s="118">
        <f t="shared" si="31"/>
        <v>0</v>
      </c>
      <c r="R181" s="97">
        <f t="shared" si="32"/>
        <v>0</v>
      </c>
      <c r="S181" s="97">
        <f t="shared" si="33"/>
        <v>0</v>
      </c>
      <c r="T181" s="118">
        <f t="shared" si="34"/>
        <v>0</v>
      </c>
      <c r="U181" s="119"/>
      <c r="V181" s="120" t="str">
        <f t="shared" si="35"/>
        <v>Cadastrar Ficha de Produção</v>
      </c>
      <c r="W181" s="121" t="str">
        <f t="shared" si="36"/>
        <v>Cadastrar Ficha de Produção</v>
      </c>
      <c r="AB181" s="125" t="str">
        <f t="shared" si="37"/>
        <v/>
      </c>
      <c r="AC181" s="125" t="str">
        <f t="shared" si="38"/>
        <v/>
      </c>
      <c r="AD181" s="126" t="str">
        <f t="shared" si="39"/>
        <v/>
      </c>
      <c r="AE181" s="127" t="str">
        <f t="shared" si="40"/>
        <v/>
      </c>
      <c r="AF181" s="128" t="str">
        <f t="shared" si="41"/>
        <v/>
      </c>
    </row>
    <row r="182" spans="1:32" ht="15.75" customHeight="1">
      <c r="A182" s="114" t="s">
        <v>259</v>
      </c>
      <c r="B182" s="114" t="s">
        <v>831</v>
      </c>
      <c r="C182" s="114" t="s">
        <v>778</v>
      </c>
      <c r="D182" s="114"/>
      <c r="E182" s="114" t="s">
        <v>550</v>
      </c>
      <c r="F182" s="114" t="s">
        <v>569</v>
      </c>
      <c r="G182" s="114" t="s">
        <v>556</v>
      </c>
      <c r="H182" s="115">
        <v>3</v>
      </c>
      <c r="I182" s="114" t="s">
        <v>551</v>
      </c>
      <c r="J182" s="116">
        <f t="shared" si="28"/>
        <v>1.27</v>
      </c>
      <c r="K182" s="97" t="str">
        <f>IFERROR(IF(VLOOKUP(D182,'Ficha de Produção'!C:C,1,0)=D182,"OK","Custo Produção Não Cadastrado"),"Custo Produção Não Cadastrado")</f>
        <v>Custo Produção Não Cadastrado</v>
      </c>
      <c r="L182" s="97" t="str">
        <f>IFERROR(IF(VLOOKUP(A182,'Ficha de Embalagens'!A:A,1,0)=A182,"OK","Ficha de Embalagens Não Cadastrada"),"Ficha de Embalagens Não Cadastrada")</f>
        <v>Ficha de Embalagens Não Cadastrada</v>
      </c>
      <c r="M182" s="117">
        <f>SUMIFS('Ficha de Produção'!N:N,'Ficha de Produção'!C:C,D182)*H182</f>
        <v>0</v>
      </c>
      <c r="N182" s="117">
        <f>SUMIFS('Ficha de Embalagens'!F:F,'Ficha de Embalagens'!A:A,A182)</f>
        <v>0</v>
      </c>
      <c r="O182" s="97">
        <f t="shared" si="29"/>
        <v>0</v>
      </c>
      <c r="P182" s="97">
        <f t="shared" si="30"/>
        <v>0</v>
      </c>
      <c r="Q182" s="118">
        <f t="shared" si="31"/>
        <v>0</v>
      </c>
      <c r="R182" s="97">
        <f t="shared" si="32"/>
        <v>0</v>
      </c>
      <c r="S182" s="97">
        <f t="shared" si="33"/>
        <v>0</v>
      </c>
      <c r="T182" s="118">
        <f t="shared" si="34"/>
        <v>0</v>
      </c>
      <c r="U182" s="119"/>
      <c r="V182" s="120" t="str">
        <f t="shared" si="35"/>
        <v>Cadastrar Ficha de Produção</v>
      </c>
      <c r="W182" s="121" t="str">
        <f t="shared" si="36"/>
        <v>Cadastrar Ficha de Produção</v>
      </c>
      <c r="AB182" s="125" t="str">
        <f t="shared" si="37"/>
        <v/>
      </c>
      <c r="AC182" s="125" t="str">
        <f t="shared" si="38"/>
        <v/>
      </c>
      <c r="AD182" s="126" t="str">
        <f t="shared" si="39"/>
        <v/>
      </c>
      <c r="AE182" s="127" t="str">
        <f t="shared" si="40"/>
        <v/>
      </c>
      <c r="AF182" s="128" t="str">
        <f t="shared" si="41"/>
        <v/>
      </c>
    </row>
    <row r="183" spans="1:32" ht="15.75" customHeight="1">
      <c r="A183" s="114" t="s">
        <v>260</v>
      </c>
      <c r="B183" s="114" t="s">
        <v>832</v>
      </c>
      <c r="C183" s="114" t="s">
        <v>778</v>
      </c>
      <c r="D183" s="114"/>
      <c r="E183" s="114" t="s">
        <v>829</v>
      </c>
      <c r="F183" s="114" t="s">
        <v>780</v>
      </c>
      <c r="G183" s="114" t="s">
        <v>556</v>
      </c>
      <c r="H183" s="115">
        <v>3</v>
      </c>
      <c r="I183" s="114" t="s">
        <v>551</v>
      </c>
      <c r="J183" s="116">
        <f t="shared" si="28"/>
        <v>1.27</v>
      </c>
      <c r="K183" s="97" t="str">
        <f>IFERROR(IF(VLOOKUP(D183,'Ficha de Produção'!C:C,1,0)=D183,"OK","Custo Produção Não Cadastrado"),"Custo Produção Não Cadastrado")</f>
        <v>Custo Produção Não Cadastrado</v>
      </c>
      <c r="L183" s="97" t="str">
        <f>IFERROR(IF(VLOOKUP(A183,'Ficha de Embalagens'!A:A,1,0)=A183,"OK","Ficha de Embalagens Não Cadastrada"),"Ficha de Embalagens Não Cadastrada")</f>
        <v>Ficha de Embalagens Não Cadastrada</v>
      </c>
      <c r="M183" s="117">
        <f>SUMIFS('Ficha de Produção'!N:N,'Ficha de Produção'!C:C,D183)*H183</f>
        <v>0</v>
      </c>
      <c r="N183" s="117">
        <f>SUMIFS('Ficha de Embalagens'!F:F,'Ficha de Embalagens'!A:A,A183)</f>
        <v>0</v>
      </c>
      <c r="O183" s="97">
        <f t="shared" si="29"/>
        <v>0</v>
      </c>
      <c r="P183" s="97">
        <f t="shared" si="30"/>
        <v>0</v>
      </c>
      <c r="Q183" s="118">
        <f t="shared" si="31"/>
        <v>0</v>
      </c>
      <c r="R183" s="97">
        <f t="shared" si="32"/>
        <v>0</v>
      </c>
      <c r="S183" s="97">
        <f t="shared" si="33"/>
        <v>0</v>
      </c>
      <c r="T183" s="118">
        <f t="shared" si="34"/>
        <v>0</v>
      </c>
      <c r="U183" s="119"/>
      <c r="V183" s="120" t="str">
        <f t="shared" si="35"/>
        <v>Cadastrar Ficha de Produção</v>
      </c>
      <c r="W183" s="121" t="str">
        <f t="shared" si="36"/>
        <v>Cadastrar Ficha de Produção</v>
      </c>
      <c r="AB183" s="125" t="str">
        <f t="shared" si="37"/>
        <v/>
      </c>
      <c r="AC183" s="125" t="str">
        <f t="shared" si="38"/>
        <v/>
      </c>
      <c r="AD183" s="126" t="str">
        <f t="shared" si="39"/>
        <v/>
      </c>
      <c r="AE183" s="127" t="str">
        <f t="shared" si="40"/>
        <v/>
      </c>
      <c r="AF183" s="128" t="str">
        <f t="shared" si="41"/>
        <v/>
      </c>
    </row>
    <row r="184" spans="1:32" ht="15.75" customHeight="1">
      <c r="A184" s="114" t="s">
        <v>261</v>
      </c>
      <c r="B184" s="114" t="s">
        <v>833</v>
      </c>
      <c r="C184" s="114" t="s">
        <v>778</v>
      </c>
      <c r="D184" s="114"/>
      <c r="E184" s="114" t="s">
        <v>829</v>
      </c>
      <c r="F184" s="114" t="s">
        <v>782</v>
      </c>
      <c r="G184" s="114" t="s">
        <v>556</v>
      </c>
      <c r="H184" s="115">
        <v>3</v>
      </c>
      <c r="I184" s="114" t="s">
        <v>551</v>
      </c>
      <c r="J184" s="116">
        <f t="shared" si="28"/>
        <v>1.27</v>
      </c>
      <c r="K184" s="97" t="str">
        <f>IFERROR(IF(VLOOKUP(D184,'Ficha de Produção'!C:C,1,0)=D184,"OK","Custo Produção Não Cadastrado"),"Custo Produção Não Cadastrado")</f>
        <v>Custo Produção Não Cadastrado</v>
      </c>
      <c r="L184" s="97" t="str">
        <f>IFERROR(IF(VLOOKUP(A184,'Ficha de Embalagens'!A:A,1,0)=A184,"OK","Ficha de Embalagens Não Cadastrada"),"Ficha de Embalagens Não Cadastrada")</f>
        <v>Ficha de Embalagens Não Cadastrada</v>
      </c>
      <c r="M184" s="117">
        <f>SUMIFS('Ficha de Produção'!N:N,'Ficha de Produção'!C:C,D184)*H184</f>
        <v>0</v>
      </c>
      <c r="N184" s="117">
        <f>SUMIFS('Ficha de Embalagens'!F:F,'Ficha de Embalagens'!A:A,A184)</f>
        <v>0</v>
      </c>
      <c r="O184" s="97">
        <f t="shared" si="29"/>
        <v>0</v>
      </c>
      <c r="P184" s="97">
        <f t="shared" si="30"/>
        <v>0</v>
      </c>
      <c r="Q184" s="118">
        <f t="shared" si="31"/>
        <v>0</v>
      </c>
      <c r="R184" s="97">
        <f t="shared" si="32"/>
        <v>0</v>
      </c>
      <c r="S184" s="97">
        <f t="shared" si="33"/>
        <v>0</v>
      </c>
      <c r="T184" s="118">
        <f t="shared" si="34"/>
        <v>0</v>
      </c>
      <c r="U184" s="119"/>
      <c r="V184" s="120" t="str">
        <f t="shared" si="35"/>
        <v>Cadastrar Ficha de Produção</v>
      </c>
      <c r="W184" s="121" t="str">
        <f t="shared" si="36"/>
        <v>Cadastrar Ficha de Produção</v>
      </c>
      <c r="AB184" s="125" t="str">
        <f t="shared" si="37"/>
        <v/>
      </c>
      <c r="AC184" s="125" t="str">
        <f t="shared" si="38"/>
        <v/>
      </c>
      <c r="AD184" s="126" t="str">
        <f t="shared" si="39"/>
        <v/>
      </c>
      <c r="AE184" s="127" t="str">
        <f t="shared" si="40"/>
        <v/>
      </c>
      <c r="AF184" s="128" t="str">
        <f t="shared" si="41"/>
        <v/>
      </c>
    </row>
    <row r="185" spans="1:32" ht="15.75" customHeight="1">
      <c r="A185" s="114" t="s">
        <v>262</v>
      </c>
      <c r="B185" s="114" t="s">
        <v>834</v>
      </c>
      <c r="C185" s="114" t="s">
        <v>778</v>
      </c>
      <c r="D185" s="114"/>
      <c r="E185" s="114" t="s">
        <v>829</v>
      </c>
      <c r="F185" s="114" t="s">
        <v>785</v>
      </c>
      <c r="G185" s="114" t="s">
        <v>556</v>
      </c>
      <c r="H185" s="115">
        <v>3</v>
      </c>
      <c r="I185" s="114" t="s">
        <v>551</v>
      </c>
      <c r="J185" s="116">
        <f t="shared" si="28"/>
        <v>1.27</v>
      </c>
      <c r="K185" s="97" t="str">
        <f>IFERROR(IF(VLOOKUP(D185,'Ficha de Produção'!C:C,1,0)=D185,"OK","Custo Produção Não Cadastrado"),"Custo Produção Não Cadastrado")</f>
        <v>Custo Produção Não Cadastrado</v>
      </c>
      <c r="L185" s="97" t="str">
        <f>IFERROR(IF(VLOOKUP(A185,'Ficha de Embalagens'!A:A,1,0)=A185,"OK","Ficha de Embalagens Não Cadastrada"),"Ficha de Embalagens Não Cadastrada")</f>
        <v>Ficha de Embalagens Não Cadastrada</v>
      </c>
      <c r="M185" s="117">
        <f>SUMIFS('Ficha de Produção'!N:N,'Ficha de Produção'!C:C,D185)*H185</f>
        <v>0</v>
      </c>
      <c r="N185" s="117">
        <f>SUMIFS('Ficha de Embalagens'!F:F,'Ficha de Embalagens'!A:A,A185)</f>
        <v>0</v>
      </c>
      <c r="O185" s="97">
        <f t="shared" si="29"/>
        <v>0</v>
      </c>
      <c r="P185" s="97">
        <f t="shared" si="30"/>
        <v>0</v>
      </c>
      <c r="Q185" s="118">
        <f t="shared" si="31"/>
        <v>0</v>
      </c>
      <c r="R185" s="97">
        <f t="shared" si="32"/>
        <v>0</v>
      </c>
      <c r="S185" s="97">
        <f t="shared" si="33"/>
        <v>0</v>
      </c>
      <c r="T185" s="118">
        <f t="shared" si="34"/>
        <v>0</v>
      </c>
      <c r="U185" s="119"/>
      <c r="V185" s="120" t="str">
        <f t="shared" si="35"/>
        <v>Cadastrar Ficha de Produção</v>
      </c>
      <c r="W185" s="121" t="str">
        <f t="shared" si="36"/>
        <v>Cadastrar Ficha de Produção</v>
      </c>
      <c r="AB185" s="125" t="str">
        <f t="shared" si="37"/>
        <v/>
      </c>
      <c r="AC185" s="125" t="str">
        <f t="shared" si="38"/>
        <v/>
      </c>
      <c r="AD185" s="126" t="str">
        <f t="shared" si="39"/>
        <v/>
      </c>
      <c r="AE185" s="127" t="str">
        <f t="shared" si="40"/>
        <v/>
      </c>
      <c r="AF185" s="128" t="str">
        <f t="shared" si="41"/>
        <v/>
      </c>
    </row>
    <row r="186" spans="1:32" ht="15.75" customHeight="1">
      <c r="A186" s="114" t="s">
        <v>263</v>
      </c>
      <c r="B186" s="114" t="s">
        <v>835</v>
      </c>
      <c r="C186" s="114" t="s">
        <v>778</v>
      </c>
      <c r="D186" s="114"/>
      <c r="E186" s="114" t="s">
        <v>829</v>
      </c>
      <c r="F186" s="114" t="s">
        <v>787</v>
      </c>
      <c r="G186" s="114" t="s">
        <v>556</v>
      </c>
      <c r="H186" s="115">
        <v>3</v>
      </c>
      <c r="I186" s="114" t="s">
        <v>551</v>
      </c>
      <c r="J186" s="116">
        <f t="shared" si="28"/>
        <v>1.27</v>
      </c>
      <c r="K186" s="97" t="str">
        <f>IFERROR(IF(VLOOKUP(D186,'Ficha de Produção'!C:C,1,0)=D186,"OK","Custo Produção Não Cadastrado"),"Custo Produção Não Cadastrado")</f>
        <v>Custo Produção Não Cadastrado</v>
      </c>
      <c r="L186" s="97" t="str">
        <f>IFERROR(IF(VLOOKUP(A186,'Ficha de Embalagens'!A:A,1,0)=A186,"OK","Ficha de Embalagens Não Cadastrada"),"Ficha de Embalagens Não Cadastrada")</f>
        <v>Ficha de Embalagens Não Cadastrada</v>
      </c>
      <c r="M186" s="117">
        <f>SUMIFS('Ficha de Produção'!N:N,'Ficha de Produção'!C:C,D186)*H186</f>
        <v>0</v>
      </c>
      <c r="N186" s="117">
        <f>SUMIFS('Ficha de Embalagens'!F:F,'Ficha de Embalagens'!A:A,A186)</f>
        <v>0</v>
      </c>
      <c r="O186" s="97">
        <f t="shared" si="29"/>
        <v>0</v>
      </c>
      <c r="P186" s="97">
        <f t="shared" si="30"/>
        <v>0</v>
      </c>
      <c r="Q186" s="118">
        <f t="shared" si="31"/>
        <v>0</v>
      </c>
      <c r="R186" s="97">
        <f t="shared" si="32"/>
        <v>0</v>
      </c>
      <c r="S186" s="97">
        <f t="shared" si="33"/>
        <v>0</v>
      </c>
      <c r="T186" s="118">
        <f t="shared" si="34"/>
        <v>0</v>
      </c>
      <c r="U186" s="119"/>
      <c r="V186" s="120" t="str">
        <f t="shared" si="35"/>
        <v>Cadastrar Ficha de Produção</v>
      </c>
      <c r="W186" s="121" t="str">
        <f t="shared" si="36"/>
        <v>Cadastrar Ficha de Produção</v>
      </c>
      <c r="AB186" s="125" t="str">
        <f t="shared" si="37"/>
        <v/>
      </c>
      <c r="AC186" s="125" t="str">
        <f t="shared" si="38"/>
        <v/>
      </c>
      <c r="AD186" s="126" t="str">
        <f t="shared" si="39"/>
        <v/>
      </c>
      <c r="AE186" s="127" t="str">
        <f t="shared" si="40"/>
        <v/>
      </c>
      <c r="AF186" s="128" t="str">
        <f t="shared" si="41"/>
        <v/>
      </c>
    </row>
    <row r="187" spans="1:32" ht="15.75" customHeight="1">
      <c r="A187" s="114" t="s">
        <v>264</v>
      </c>
      <c r="B187" s="114" t="s">
        <v>836</v>
      </c>
      <c r="C187" s="114" t="s">
        <v>778</v>
      </c>
      <c r="D187" s="114"/>
      <c r="E187" s="114" t="s">
        <v>829</v>
      </c>
      <c r="F187" s="114" t="s">
        <v>789</v>
      </c>
      <c r="G187" s="114" t="s">
        <v>556</v>
      </c>
      <c r="H187" s="115">
        <v>3</v>
      </c>
      <c r="I187" s="114" t="s">
        <v>551</v>
      </c>
      <c r="J187" s="116">
        <f t="shared" si="28"/>
        <v>1.27</v>
      </c>
      <c r="K187" s="97" t="str">
        <f>IFERROR(IF(VLOOKUP(D187,'Ficha de Produção'!C:C,1,0)=D187,"OK","Custo Produção Não Cadastrado"),"Custo Produção Não Cadastrado")</f>
        <v>Custo Produção Não Cadastrado</v>
      </c>
      <c r="L187" s="97" t="str">
        <f>IFERROR(IF(VLOOKUP(A187,'Ficha de Embalagens'!A:A,1,0)=A187,"OK","Ficha de Embalagens Não Cadastrada"),"Ficha de Embalagens Não Cadastrada")</f>
        <v>Ficha de Embalagens Não Cadastrada</v>
      </c>
      <c r="M187" s="117">
        <f>SUMIFS('Ficha de Produção'!N:N,'Ficha de Produção'!C:C,D187)*H187</f>
        <v>0</v>
      </c>
      <c r="N187" s="117">
        <f>SUMIFS('Ficha de Embalagens'!F:F,'Ficha de Embalagens'!A:A,A187)</f>
        <v>0</v>
      </c>
      <c r="O187" s="97">
        <f t="shared" si="29"/>
        <v>0</v>
      </c>
      <c r="P187" s="97">
        <f t="shared" si="30"/>
        <v>0</v>
      </c>
      <c r="Q187" s="118">
        <f t="shared" si="31"/>
        <v>0</v>
      </c>
      <c r="R187" s="97">
        <f t="shared" si="32"/>
        <v>0</v>
      </c>
      <c r="S187" s="97">
        <f t="shared" si="33"/>
        <v>0</v>
      </c>
      <c r="T187" s="118">
        <f t="shared" si="34"/>
        <v>0</v>
      </c>
      <c r="U187" s="119"/>
      <c r="V187" s="120" t="str">
        <f t="shared" si="35"/>
        <v>Cadastrar Ficha de Produção</v>
      </c>
      <c r="W187" s="121" t="str">
        <f t="shared" si="36"/>
        <v>Cadastrar Ficha de Produção</v>
      </c>
      <c r="AB187" s="125" t="str">
        <f t="shared" si="37"/>
        <v/>
      </c>
      <c r="AC187" s="125" t="str">
        <f t="shared" si="38"/>
        <v/>
      </c>
      <c r="AD187" s="126" t="str">
        <f t="shared" si="39"/>
        <v/>
      </c>
      <c r="AE187" s="127" t="str">
        <f t="shared" si="40"/>
        <v/>
      </c>
      <c r="AF187" s="128" t="str">
        <f t="shared" si="41"/>
        <v/>
      </c>
    </row>
    <row r="188" spans="1:32" ht="15.75" customHeight="1">
      <c r="A188" s="114" t="s">
        <v>265</v>
      </c>
      <c r="B188" s="114" t="s">
        <v>837</v>
      </c>
      <c r="C188" s="114" t="s">
        <v>778</v>
      </c>
      <c r="D188" s="114"/>
      <c r="E188" s="114" t="s">
        <v>829</v>
      </c>
      <c r="F188" s="114" t="s">
        <v>791</v>
      </c>
      <c r="G188" s="114" t="s">
        <v>556</v>
      </c>
      <c r="H188" s="115">
        <v>3</v>
      </c>
      <c r="I188" s="114" t="s">
        <v>551</v>
      </c>
      <c r="J188" s="116">
        <f t="shared" si="28"/>
        <v>1.27</v>
      </c>
      <c r="K188" s="97" t="str">
        <f>IFERROR(IF(VLOOKUP(D188,'Ficha de Produção'!C:C,1,0)=D188,"OK","Custo Produção Não Cadastrado"),"Custo Produção Não Cadastrado")</f>
        <v>Custo Produção Não Cadastrado</v>
      </c>
      <c r="L188" s="97" t="str">
        <f>IFERROR(IF(VLOOKUP(A188,'Ficha de Embalagens'!A:A,1,0)=A188,"OK","Ficha de Embalagens Não Cadastrada"),"Ficha de Embalagens Não Cadastrada")</f>
        <v>Ficha de Embalagens Não Cadastrada</v>
      </c>
      <c r="M188" s="117">
        <f>SUMIFS('Ficha de Produção'!N:N,'Ficha de Produção'!C:C,D188)*H188</f>
        <v>0</v>
      </c>
      <c r="N188" s="117">
        <f>SUMIFS('Ficha de Embalagens'!F:F,'Ficha de Embalagens'!A:A,A188)</f>
        <v>0</v>
      </c>
      <c r="O188" s="97">
        <f t="shared" si="29"/>
        <v>0</v>
      </c>
      <c r="P188" s="97">
        <f t="shared" si="30"/>
        <v>0</v>
      </c>
      <c r="Q188" s="118">
        <f t="shared" si="31"/>
        <v>0</v>
      </c>
      <c r="R188" s="97">
        <f t="shared" si="32"/>
        <v>0</v>
      </c>
      <c r="S188" s="97">
        <f t="shared" si="33"/>
        <v>0</v>
      </c>
      <c r="T188" s="118">
        <f t="shared" si="34"/>
        <v>0</v>
      </c>
      <c r="U188" s="119"/>
      <c r="V188" s="120" t="str">
        <f t="shared" si="35"/>
        <v>Cadastrar Ficha de Produção</v>
      </c>
      <c r="W188" s="121" t="str">
        <f t="shared" si="36"/>
        <v>Cadastrar Ficha de Produção</v>
      </c>
      <c r="AB188" s="125" t="str">
        <f t="shared" si="37"/>
        <v/>
      </c>
      <c r="AC188" s="125" t="str">
        <f t="shared" si="38"/>
        <v/>
      </c>
      <c r="AD188" s="126" t="str">
        <f t="shared" si="39"/>
        <v/>
      </c>
      <c r="AE188" s="127" t="str">
        <f t="shared" si="40"/>
        <v/>
      </c>
      <c r="AF188" s="128" t="str">
        <f t="shared" si="41"/>
        <v/>
      </c>
    </row>
    <row r="189" spans="1:32" ht="15.75" customHeight="1">
      <c r="A189" s="114" t="s">
        <v>266</v>
      </c>
      <c r="B189" s="114" t="s">
        <v>838</v>
      </c>
      <c r="C189" s="114" t="s">
        <v>778</v>
      </c>
      <c r="D189" s="114"/>
      <c r="E189" s="114" t="s">
        <v>829</v>
      </c>
      <c r="F189" s="114" t="s">
        <v>793</v>
      </c>
      <c r="G189" s="114" t="s">
        <v>556</v>
      </c>
      <c r="H189" s="115">
        <v>3</v>
      </c>
      <c r="I189" s="114" t="s">
        <v>551</v>
      </c>
      <c r="J189" s="116">
        <f t="shared" si="28"/>
        <v>1.27</v>
      </c>
      <c r="K189" s="97" t="str">
        <f>IFERROR(IF(VLOOKUP(D189,'Ficha de Produção'!C:C,1,0)=D189,"OK","Custo Produção Não Cadastrado"),"Custo Produção Não Cadastrado")</f>
        <v>Custo Produção Não Cadastrado</v>
      </c>
      <c r="L189" s="97" t="str">
        <f>IFERROR(IF(VLOOKUP(A189,'Ficha de Embalagens'!A:A,1,0)=A189,"OK","Ficha de Embalagens Não Cadastrada"),"Ficha de Embalagens Não Cadastrada")</f>
        <v>Ficha de Embalagens Não Cadastrada</v>
      </c>
      <c r="M189" s="117">
        <f>SUMIFS('Ficha de Produção'!N:N,'Ficha de Produção'!C:C,D189)*H189</f>
        <v>0</v>
      </c>
      <c r="N189" s="117">
        <f>SUMIFS('Ficha de Embalagens'!F:F,'Ficha de Embalagens'!A:A,A189)</f>
        <v>0</v>
      </c>
      <c r="O189" s="97">
        <f t="shared" si="29"/>
        <v>0</v>
      </c>
      <c r="P189" s="97">
        <f t="shared" si="30"/>
        <v>0</v>
      </c>
      <c r="Q189" s="118">
        <f t="shared" si="31"/>
        <v>0</v>
      </c>
      <c r="R189" s="97">
        <f t="shared" si="32"/>
        <v>0</v>
      </c>
      <c r="S189" s="97">
        <f t="shared" si="33"/>
        <v>0</v>
      </c>
      <c r="T189" s="118">
        <f t="shared" si="34"/>
        <v>0</v>
      </c>
      <c r="U189" s="119"/>
      <c r="V189" s="120" t="str">
        <f t="shared" si="35"/>
        <v>Cadastrar Ficha de Produção</v>
      </c>
      <c r="W189" s="121" t="str">
        <f t="shared" si="36"/>
        <v>Cadastrar Ficha de Produção</v>
      </c>
      <c r="AB189" s="125" t="str">
        <f t="shared" si="37"/>
        <v/>
      </c>
      <c r="AC189" s="125" t="str">
        <f t="shared" si="38"/>
        <v/>
      </c>
      <c r="AD189" s="126" t="str">
        <f t="shared" si="39"/>
        <v/>
      </c>
      <c r="AE189" s="127" t="str">
        <f t="shared" si="40"/>
        <v/>
      </c>
      <c r="AF189" s="128" t="str">
        <f t="shared" si="41"/>
        <v/>
      </c>
    </row>
    <row r="190" spans="1:32" ht="15.75" customHeight="1">
      <c r="A190" s="114" t="s">
        <v>267</v>
      </c>
      <c r="B190" s="114" t="s">
        <v>839</v>
      </c>
      <c r="C190" s="114" t="s">
        <v>778</v>
      </c>
      <c r="D190" s="114"/>
      <c r="E190" s="114" t="s">
        <v>829</v>
      </c>
      <c r="F190" s="114" t="s">
        <v>795</v>
      </c>
      <c r="G190" s="114" t="s">
        <v>556</v>
      </c>
      <c r="H190" s="115">
        <v>3</v>
      </c>
      <c r="I190" s="114" t="s">
        <v>551</v>
      </c>
      <c r="J190" s="116">
        <f t="shared" si="28"/>
        <v>1.27</v>
      </c>
      <c r="K190" s="97" t="str">
        <f>IFERROR(IF(VLOOKUP(D190,'Ficha de Produção'!C:C,1,0)=D190,"OK","Custo Produção Não Cadastrado"),"Custo Produção Não Cadastrado")</f>
        <v>Custo Produção Não Cadastrado</v>
      </c>
      <c r="L190" s="97" t="str">
        <f>IFERROR(IF(VLOOKUP(A190,'Ficha de Embalagens'!A:A,1,0)=A190,"OK","Ficha de Embalagens Não Cadastrada"),"Ficha de Embalagens Não Cadastrada")</f>
        <v>Ficha de Embalagens Não Cadastrada</v>
      </c>
      <c r="M190" s="117">
        <f>SUMIFS('Ficha de Produção'!N:N,'Ficha de Produção'!C:C,D190)*H190</f>
        <v>0</v>
      </c>
      <c r="N190" s="117">
        <f>SUMIFS('Ficha de Embalagens'!F:F,'Ficha de Embalagens'!A:A,A190)</f>
        <v>0</v>
      </c>
      <c r="O190" s="97">
        <f t="shared" si="29"/>
        <v>0</v>
      </c>
      <c r="P190" s="97">
        <f t="shared" si="30"/>
        <v>0</v>
      </c>
      <c r="Q190" s="118">
        <f t="shared" si="31"/>
        <v>0</v>
      </c>
      <c r="R190" s="97">
        <f t="shared" si="32"/>
        <v>0</v>
      </c>
      <c r="S190" s="97">
        <f t="shared" si="33"/>
        <v>0</v>
      </c>
      <c r="T190" s="118">
        <f t="shared" si="34"/>
        <v>0</v>
      </c>
      <c r="U190" s="119"/>
      <c r="V190" s="120" t="str">
        <f t="shared" si="35"/>
        <v>Cadastrar Ficha de Produção</v>
      </c>
      <c r="W190" s="121" t="str">
        <f t="shared" si="36"/>
        <v>Cadastrar Ficha de Produção</v>
      </c>
      <c r="AB190" s="125" t="str">
        <f t="shared" si="37"/>
        <v/>
      </c>
      <c r="AC190" s="125" t="str">
        <f t="shared" si="38"/>
        <v/>
      </c>
      <c r="AD190" s="126" t="str">
        <f t="shared" si="39"/>
        <v/>
      </c>
      <c r="AE190" s="127" t="str">
        <f t="shared" si="40"/>
        <v/>
      </c>
      <c r="AF190" s="128" t="str">
        <f t="shared" si="41"/>
        <v/>
      </c>
    </row>
    <row r="191" spans="1:32" ht="15.75" customHeight="1">
      <c r="A191" s="114" t="s">
        <v>268</v>
      </c>
      <c r="B191" s="114" t="s">
        <v>840</v>
      </c>
      <c r="C191" s="114" t="s">
        <v>778</v>
      </c>
      <c r="D191" s="114"/>
      <c r="E191" s="114" t="s">
        <v>841</v>
      </c>
      <c r="F191" s="114" t="s">
        <v>797</v>
      </c>
      <c r="G191" s="114" t="s">
        <v>556</v>
      </c>
      <c r="H191" s="115">
        <v>3</v>
      </c>
      <c r="I191" s="114" t="s">
        <v>551</v>
      </c>
      <c r="J191" s="116">
        <f t="shared" si="28"/>
        <v>1.27</v>
      </c>
      <c r="K191" s="97" t="str">
        <f>IFERROR(IF(VLOOKUP(D191,'Ficha de Produção'!C:C,1,0)=D191,"OK","Custo Produção Não Cadastrado"),"Custo Produção Não Cadastrado")</f>
        <v>Custo Produção Não Cadastrado</v>
      </c>
      <c r="L191" s="97" t="str">
        <f>IFERROR(IF(VLOOKUP(A191,'Ficha de Embalagens'!A:A,1,0)=A191,"OK","Ficha de Embalagens Não Cadastrada"),"Ficha de Embalagens Não Cadastrada")</f>
        <v>Ficha de Embalagens Não Cadastrada</v>
      </c>
      <c r="M191" s="117">
        <f>SUMIFS('Ficha de Produção'!N:N,'Ficha de Produção'!C:C,D191)*H191</f>
        <v>0</v>
      </c>
      <c r="N191" s="117">
        <f>SUMIFS('Ficha de Embalagens'!F:F,'Ficha de Embalagens'!A:A,A191)</f>
        <v>0</v>
      </c>
      <c r="O191" s="97">
        <f t="shared" si="29"/>
        <v>0</v>
      </c>
      <c r="P191" s="97">
        <f t="shared" si="30"/>
        <v>0</v>
      </c>
      <c r="Q191" s="118">
        <f t="shared" si="31"/>
        <v>0</v>
      </c>
      <c r="R191" s="97">
        <f t="shared" si="32"/>
        <v>0</v>
      </c>
      <c r="S191" s="97">
        <f t="shared" si="33"/>
        <v>0</v>
      </c>
      <c r="T191" s="118">
        <f t="shared" si="34"/>
        <v>0</v>
      </c>
      <c r="U191" s="119"/>
      <c r="V191" s="120" t="str">
        <f t="shared" si="35"/>
        <v>Cadastrar Ficha de Produção</v>
      </c>
      <c r="W191" s="121" t="str">
        <f t="shared" si="36"/>
        <v>Cadastrar Ficha de Produção</v>
      </c>
      <c r="AB191" s="125" t="str">
        <f t="shared" si="37"/>
        <v/>
      </c>
      <c r="AC191" s="125" t="str">
        <f t="shared" si="38"/>
        <v/>
      </c>
      <c r="AD191" s="126" t="str">
        <f t="shared" si="39"/>
        <v/>
      </c>
      <c r="AE191" s="127" t="str">
        <f t="shared" si="40"/>
        <v/>
      </c>
      <c r="AF191" s="128" t="str">
        <f t="shared" si="41"/>
        <v/>
      </c>
    </row>
    <row r="192" spans="1:32" ht="15.75" customHeight="1">
      <c r="A192" s="114" t="s">
        <v>269</v>
      </c>
      <c r="B192" s="114" t="s">
        <v>842</v>
      </c>
      <c r="C192" s="114" t="s">
        <v>778</v>
      </c>
      <c r="D192" s="114"/>
      <c r="E192" s="114" t="s">
        <v>829</v>
      </c>
      <c r="F192" s="114" t="s">
        <v>799</v>
      </c>
      <c r="G192" s="114" t="s">
        <v>556</v>
      </c>
      <c r="H192" s="115">
        <v>3</v>
      </c>
      <c r="I192" s="114" t="s">
        <v>551</v>
      </c>
      <c r="J192" s="116">
        <f t="shared" si="28"/>
        <v>1.27</v>
      </c>
      <c r="K192" s="97" t="str">
        <f>IFERROR(IF(VLOOKUP(D192,'Ficha de Produção'!C:C,1,0)=D192,"OK","Custo Produção Não Cadastrado"),"Custo Produção Não Cadastrado")</f>
        <v>Custo Produção Não Cadastrado</v>
      </c>
      <c r="L192" s="97" t="str">
        <f>IFERROR(IF(VLOOKUP(A192,'Ficha de Embalagens'!A:A,1,0)=A192,"OK","Ficha de Embalagens Não Cadastrada"),"Ficha de Embalagens Não Cadastrada")</f>
        <v>Ficha de Embalagens Não Cadastrada</v>
      </c>
      <c r="M192" s="117">
        <f>SUMIFS('Ficha de Produção'!N:N,'Ficha de Produção'!C:C,D192)*H192</f>
        <v>0</v>
      </c>
      <c r="N192" s="117">
        <f>SUMIFS('Ficha de Embalagens'!F:F,'Ficha de Embalagens'!A:A,A192)</f>
        <v>0</v>
      </c>
      <c r="O192" s="97">
        <f t="shared" si="29"/>
        <v>0</v>
      </c>
      <c r="P192" s="97">
        <f t="shared" si="30"/>
        <v>0</v>
      </c>
      <c r="Q192" s="118">
        <f t="shared" si="31"/>
        <v>0</v>
      </c>
      <c r="R192" s="97">
        <f t="shared" si="32"/>
        <v>0</v>
      </c>
      <c r="S192" s="97">
        <f t="shared" si="33"/>
        <v>0</v>
      </c>
      <c r="T192" s="118">
        <f t="shared" si="34"/>
        <v>0</v>
      </c>
      <c r="U192" s="119"/>
      <c r="V192" s="120" t="str">
        <f t="shared" si="35"/>
        <v>Cadastrar Ficha de Produção</v>
      </c>
      <c r="W192" s="121" t="str">
        <f t="shared" si="36"/>
        <v>Cadastrar Ficha de Produção</v>
      </c>
      <c r="AB192" s="125" t="str">
        <f t="shared" si="37"/>
        <v/>
      </c>
      <c r="AC192" s="125" t="str">
        <f t="shared" si="38"/>
        <v/>
      </c>
      <c r="AD192" s="126" t="str">
        <f t="shared" si="39"/>
        <v/>
      </c>
      <c r="AE192" s="127" t="str">
        <f t="shared" si="40"/>
        <v/>
      </c>
      <c r="AF192" s="128" t="str">
        <f t="shared" si="41"/>
        <v/>
      </c>
    </row>
    <row r="193" spans="1:32" ht="15.75" customHeight="1">
      <c r="A193" s="114" t="s">
        <v>270</v>
      </c>
      <c r="B193" s="114" t="s">
        <v>843</v>
      </c>
      <c r="C193" s="114" t="s">
        <v>778</v>
      </c>
      <c r="D193" s="114"/>
      <c r="E193" s="114" t="s">
        <v>829</v>
      </c>
      <c r="F193" s="114" t="s">
        <v>801</v>
      </c>
      <c r="G193" s="114" t="s">
        <v>556</v>
      </c>
      <c r="H193" s="115">
        <v>3</v>
      </c>
      <c r="I193" s="114" t="s">
        <v>551</v>
      </c>
      <c r="J193" s="116">
        <f t="shared" si="28"/>
        <v>1.27</v>
      </c>
      <c r="K193" s="97" t="str">
        <f>IFERROR(IF(VLOOKUP(D193,'Ficha de Produção'!C:C,1,0)=D193,"OK","Custo Produção Não Cadastrado"),"Custo Produção Não Cadastrado")</f>
        <v>Custo Produção Não Cadastrado</v>
      </c>
      <c r="L193" s="97" t="str">
        <f>IFERROR(IF(VLOOKUP(A193,'Ficha de Embalagens'!A:A,1,0)=A193,"OK","Ficha de Embalagens Não Cadastrada"),"Ficha de Embalagens Não Cadastrada")</f>
        <v>Ficha de Embalagens Não Cadastrada</v>
      </c>
      <c r="M193" s="117">
        <f>SUMIFS('Ficha de Produção'!N:N,'Ficha de Produção'!C:C,D193)*H193</f>
        <v>0</v>
      </c>
      <c r="N193" s="117">
        <f>SUMIFS('Ficha de Embalagens'!F:F,'Ficha de Embalagens'!A:A,A193)</f>
        <v>0</v>
      </c>
      <c r="O193" s="97">
        <f t="shared" si="29"/>
        <v>0</v>
      </c>
      <c r="P193" s="97">
        <f t="shared" si="30"/>
        <v>0</v>
      </c>
      <c r="Q193" s="118">
        <f t="shared" si="31"/>
        <v>0</v>
      </c>
      <c r="R193" s="97">
        <f t="shared" si="32"/>
        <v>0</v>
      </c>
      <c r="S193" s="97">
        <f t="shared" si="33"/>
        <v>0</v>
      </c>
      <c r="T193" s="118">
        <f t="shared" si="34"/>
        <v>0</v>
      </c>
      <c r="U193" s="119"/>
      <c r="V193" s="120" t="str">
        <f t="shared" si="35"/>
        <v>Cadastrar Ficha de Produção</v>
      </c>
      <c r="W193" s="121" t="str">
        <f t="shared" si="36"/>
        <v>Cadastrar Ficha de Produção</v>
      </c>
      <c r="AB193" s="125" t="str">
        <f t="shared" si="37"/>
        <v/>
      </c>
      <c r="AC193" s="125" t="str">
        <f t="shared" si="38"/>
        <v/>
      </c>
      <c r="AD193" s="126" t="str">
        <f t="shared" si="39"/>
        <v/>
      </c>
      <c r="AE193" s="127" t="str">
        <f t="shared" si="40"/>
        <v/>
      </c>
      <c r="AF193" s="128" t="str">
        <f t="shared" si="41"/>
        <v/>
      </c>
    </row>
    <row r="194" spans="1:32" ht="15.75" customHeight="1">
      <c r="A194" s="114" t="s">
        <v>271</v>
      </c>
      <c r="B194" s="114" t="s">
        <v>844</v>
      </c>
      <c r="C194" s="114" t="s">
        <v>778</v>
      </c>
      <c r="D194" s="114"/>
      <c r="E194" s="114" t="s">
        <v>829</v>
      </c>
      <c r="F194" s="114" t="s">
        <v>803</v>
      </c>
      <c r="G194" s="114" t="s">
        <v>556</v>
      </c>
      <c r="H194" s="115">
        <v>3</v>
      </c>
      <c r="I194" s="114" t="s">
        <v>551</v>
      </c>
      <c r="J194" s="116">
        <f t="shared" si="28"/>
        <v>1.27</v>
      </c>
      <c r="K194" s="97" t="str">
        <f>IFERROR(IF(VLOOKUP(D194,'Ficha de Produção'!C:C,1,0)=D194,"OK","Custo Produção Não Cadastrado"),"Custo Produção Não Cadastrado")</f>
        <v>Custo Produção Não Cadastrado</v>
      </c>
      <c r="L194" s="97" t="str">
        <f>IFERROR(IF(VLOOKUP(A194,'Ficha de Embalagens'!A:A,1,0)=A194,"OK","Ficha de Embalagens Não Cadastrada"),"Ficha de Embalagens Não Cadastrada")</f>
        <v>Ficha de Embalagens Não Cadastrada</v>
      </c>
      <c r="M194" s="117">
        <f>SUMIFS('Ficha de Produção'!N:N,'Ficha de Produção'!C:C,D194)*H194</f>
        <v>0</v>
      </c>
      <c r="N194" s="117">
        <f>SUMIFS('Ficha de Embalagens'!F:F,'Ficha de Embalagens'!A:A,A194)</f>
        <v>0</v>
      </c>
      <c r="O194" s="97">
        <f t="shared" si="29"/>
        <v>0</v>
      </c>
      <c r="P194" s="97">
        <f t="shared" si="30"/>
        <v>0</v>
      </c>
      <c r="Q194" s="118">
        <f t="shared" si="31"/>
        <v>0</v>
      </c>
      <c r="R194" s="97">
        <f t="shared" si="32"/>
        <v>0</v>
      </c>
      <c r="S194" s="97">
        <f t="shared" si="33"/>
        <v>0</v>
      </c>
      <c r="T194" s="118">
        <f t="shared" si="34"/>
        <v>0</v>
      </c>
      <c r="U194" s="119"/>
      <c r="V194" s="120" t="str">
        <f t="shared" si="35"/>
        <v>Cadastrar Ficha de Produção</v>
      </c>
      <c r="W194" s="121" t="str">
        <f t="shared" si="36"/>
        <v>Cadastrar Ficha de Produção</v>
      </c>
      <c r="AB194" s="125" t="str">
        <f t="shared" si="37"/>
        <v/>
      </c>
      <c r="AC194" s="125" t="str">
        <f t="shared" si="38"/>
        <v/>
      </c>
      <c r="AD194" s="126" t="str">
        <f t="shared" si="39"/>
        <v/>
      </c>
      <c r="AE194" s="127" t="str">
        <f t="shared" si="40"/>
        <v/>
      </c>
      <c r="AF194" s="128" t="str">
        <f t="shared" si="41"/>
        <v/>
      </c>
    </row>
    <row r="195" spans="1:32" ht="15.75" customHeight="1">
      <c r="A195" s="114" t="s">
        <v>272</v>
      </c>
      <c r="B195" s="114" t="s">
        <v>845</v>
      </c>
      <c r="C195" s="114" t="s">
        <v>778</v>
      </c>
      <c r="D195" s="114"/>
      <c r="E195" s="114" t="s">
        <v>829</v>
      </c>
      <c r="F195" s="114" t="s">
        <v>805</v>
      </c>
      <c r="G195" s="114" t="s">
        <v>556</v>
      </c>
      <c r="H195" s="115">
        <v>3</v>
      </c>
      <c r="I195" s="114" t="s">
        <v>551</v>
      </c>
      <c r="J195" s="116">
        <f t="shared" si="28"/>
        <v>1.27</v>
      </c>
      <c r="K195" s="97" t="str">
        <f>IFERROR(IF(VLOOKUP(D195,'Ficha de Produção'!C:C,1,0)=D195,"OK","Custo Produção Não Cadastrado"),"Custo Produção Não Cadastrado")</f>
        <v>Custo Produção Não Cadastrado</v>
      </c>
      <c r="L195" s="97" t="str">
        <f>IFERROR(IF(VLOOKUP(A195,'Ficha de Embalagens'!A:A,1,0)=A195,"OK","Ficha de Embalagens Não Cadastrada"),"Ficha de Embalagens Não Cadastrada")</f>
        <v>Ficha de Embalagens Não Cadastrada</v>
      </c>
      <c r="M195" s="117">
        <f>SUMIFS('Ficha de Produção'!N:N,'Ficha de Produção'!C:C,D195)*H195</f>
        <v>0</v>
      </c>
      <c r="N195" s="117">
        <f>SUMIFS('Ficha de Embalagens'!F:F,'Ficha de Embalagens'!A:A,A195)</f>
        <v>0</v>
      </c>
      <c r="O195" s="97">
        <f t="shared" si="29"/>
        <v>0</v>
      </c>
      <c r="P195" s="97">
        <f t="shared" si="30"/>
        <v>0</v>
      </c>
      <c r="Q195" s="118">
        <f t="shared" si="31"/>
        <v>0</v>
      </c>
      <c r="R195" s="97">
        <f t="shared" si="32"/>
        <v>0</v>
      </c>
      <c r="S195" s="97">
        <f t="shared" si="33"/>
        <v>0</v>
      </c>
      <c r="T195" s="118">
        <f t="shared" si="34"/>
        <v>0</v>
      </c>
      <c r="U195" s="119"/>
      <c r="V195" s="120" t="str">
        <f t="shared" si="35"/>
        <v>Cadastrar Ficha de Produção</v>
      </c>
      <c r="W195" s="121" t="str">
        <f t="shared" si="36"/>
        <v>Cadastrar Ficha de Produção</v>
      </c>
      <c r="AB195" s="125" t="str">
        <f t="shared" si="37"/>
        <v/>
      </c>
      <c r="AC195" s="125" t="str">
        <f t="shared" si="38"/>
        <v/>
      </c>
      <c r="AD195" s="126" t="str">
        <f t="shared" si="39"/>
        <v/>
      </c>
      <c r="AE195" s="127" t="str">
        <f t="shared" si="40"/>
        <v/>
      </c>
      <c r="AF195" s="128" t="str">
        <f t="shared" si="41"/>
        <v/>
      </c>
    </row>
    <row r="196" spans="1:32" ht="15.75" customHeight="1">
      <c r="A196" s="114" t="s">
        <v>273</v>
      </c>
      <c r="B196" s="114" t="s">
        <v>846</v>
      </c>
      <c r="C196" s="114" t="s">
        <v>778</v>
      </c>
      <c r="D196" s="114"/>
      <c r="E196" s="114" t="s">
        <v>829</v>
      </c>
      <c r="F196" s="114" t="s">
        <v>807</v>
      </c>
      <c r="G196" s="114" t="s">
        <v>556</v>
      </c>
      <c r="H196" s="115">
        <v>3</v>
      </c>
      <c r="I196" s="114" t="s">
        <v>551</v>
      </c>
      <c r="J196" s="116">
        <f t="shared" ref="J196:J259" si="42">IF(I196="KG",1,1.27)</f>
        <v>1.27</v>
      </c>
      <c r="K196" s="97" t="str">
        <f>IFERROR(IF(VLOOKUP(D196,'Ficha de Produção'!C:C,1,0)=D196,"OK","Custo Produção Não Cadastrado"),"Custo Produção Não Cadastrado")</f>
        <v>Custo Produção Não Cadastrado</v>
      </c>
      <c r="L196" s="97" t="str">
        <f>IFERROR(IF(VLOOKUP(A196,'Ficha de Embalagens'!A:A,1,0)=A196,"OK","Ficha de Embalagens Não Cadastrada"),"Ficha de Embalagens Não Cadastrada")</f>
        <v>Ficha de Embalagens Não Cadastrada</v>
      </c>
      <c r="M196" s="117">
        <f>SUMIFS('Ficha de Produção'!N:N,'Ficha de Produção'!C:C,D196)*H196</f>
        <v>0</v>
      </c>
      <c r="N196" s="117">
        <f>SUMIFS('Ficha de Embalagens'!F:F,'Ficha de Embalagens'!A:A,A196)</f>
        <v>0</v>
      </c>
      <c r="O196" s="97">
        <f t="shared" ref="O196:O259" si="43">SUM(M196:N196)</f>
        <v>0</v>
      </c>
      <c r="P196" s="97">
        <f t="shared" ref="P196:P259" si="44">IF(AND(K196="OK",L196="OK"),H196*$P$1,0)</f>
        <v>0</v>
      </c>
      <c r="Q196" s="118">
        <f t="shared" ref="Q196:Q259" si="45">P196+O196</f>
        <v>0</v>
      </c>
      <c r="R196" s="97">
        <f t="shared" ref="R196:R259" si="46">U196*$R$1</f>
        <v>0</v>
      </c>
      <c r="S196" s="97">
        <f t="shared" ref="S196:S259" si="47">$S$1*U196</f>
        <v>0</v>
      </c>
      <c r="T196" s="118">
        <f t="shared" ref="T196:T259" si="48">+Q196+R196+S196</f>
        <v>0</v>
      </c>
      <c r="U196" s="119"/>
      <c r="V196" s="120" t="str">
        <f t="shared" ref="V196:V259" si="49">IF(M196=0,"Cadastrar Ficha de Produção",IF(AND(M196&gt;0,U196=""),"Cadastrar Preço Final",IFERROR((U196-T196)/U196,"")))</f>
        <v>Cadastrar Ficha de Produção</v>
      </c>
      <c r="W196" s="121" t="str">
        <f t="shared" ref="W196:W259" si="50">IF(M196=0,"Cadastrar Ficha de Produção",ROUNDUP(Q196/(1-$R$1-$S$1),2))</f>
        <v>Cadastrar Ficha de Produção</v>
      </c>
      <c r="AB196" s="125" t="str">
        <f t="shared" ref="AB196:AB259" si="51">IF(Q196=0,"",Q196)</f>
        <v/>
      </c>
      <c r="AC196" s="125" t="str">
        <f t="shared" ref="AC196:AC259" si="52">IF(U196="","",U196*(1-$R$1-$S$1))</f>
        <v/>
      </c>
      <c r="AD196" s="126" t="str">
        <f t="shared" ref="AD196:AD259" si="53">IF(OR(AB196="",AC196=""),"",AC196-AB196)</f>
        <v/>
      </c>
      <c r="AE196" s="127" t="str">
        <f t="shared" ref="AE196:AE259" si="54">IF(OR(AD196="",AC196=0),"",AD196/AC196)</f>
        <v/>
      </c>
      <c r="AF196" s="128" t="str">
        <f t="shared" ref="AF196:AF259" si="55">IF(Q196=0,"",ROUNDUP((Q196+IF(AA196="",0,AA196/1200))/(1-$R$1-$S$1),2))</f>
        <v/>
      </c>
    </row>
    <row r="197" spans="1:32" ht="15.75" customHeight="1">
      <c r="A197" s="114" t="s">
        <v>274</v>
      </c>
      <c r="B197" s="114" t="s">
        <v>847</v>
      </c>
      <c r="C197" s="114" t="s">
        <v>778</v>
      </c>
      <c r="D197" s="114"/>
      <c r="E197" s="114" t="s">
        <v>565</v>
      </c>
      <c r="F197" s="114" t="s">
        <v>704</v>
      </c>
      <c r="G197" s="114" t="s">
        <v>556</v>
      </c>
      <c r="H197" s="115">
        <v>15</v>
      </c>
      <c r="I197" s="114" t="s">
        <v>551</v>
      </c>
      <c r="J197" s="116">
        <f t="shared" si="42"/>
        <v>1.27</v>
      </c>
      <c r="K197" s="97" t="str">
        <f>IFERROR(IF(VLOOKUP(D197,'Ficha de Produção'!C:C,1,0)=D197,"OK","Custo Produção Não Cadastrado"),"Custo Produção Não Cadastrado")</f>
        <v>Custo Produção Não Cadastrado</v>
      </c>
      <c r="L197" s="97" t="str">
        <f>IFERROR(IF(VLOOKUP(A197,'Ficha de Embalagens'!A:A,1,0)=A197,"OK","Ficha de Embalagens Não Cadastrada"),"Ficha de Embalagens Não Cadastrada")</f>
        <v>Ficha de Embalagens Não Cadastrada</v>
      </c>
      <c r="M197" s="117">
        <f>SUMIFS('Ficha de Produção'!N:N,'Ficha de Produção'!C:C,D197)*H197</f>
        <v>0</v>
      </c>
      <c r="N197" s="117">
        <f>SUMIFS('Ficha de Embalagens'!F:F,'Ficha de Embalagens'!A:A,A197)</f>
        <v>0</v>
      </c>
      <c r="O197" s="97">
        <f t="shared" si="43"/>
        <v>0</v>
      </c>
      <c r="P197" s="97">
        <f t="shared" si="44"/>
        <v>0</v>
      </c>
      <c r="Q197" s="118">
        <f t="shared" si="45"/>
        <v>0</v>
      </c>
      <c r="R197" s="97">
        <f t="shared" si="46"/>
        <v>0</v>
      </c>
      <c r="S197" s="97">
        <f t="shared" si="47"/>
        <v>0</v>
      </c>
      <c r="T197" s="118">
        <f t="shared" si="48"/>
        <v>0</v>
      </c>
      <c r="U197" s="119"/>
      <c r="V197" s="120" t="str">
        <f t="shared" si="49"/>
        <v>Cadastrar Ficha de Produção</v>
      </c>
      <c r="W197" s="121" t="str">
        <f t="shared" si="50"/>
        <v>Cadastrar Ficha de Produção</v>
      </c>
      <c r="AB197" s="125" t="str">
        <f t="shared" si="51"/>
        <v/>
      </c>
      <c r="AC197" s="125" t="str">
        <f t="shared" si="52"/>
        <v/>
      </c>
      <c r="AD197" s="126" t="str">
        <f t="shared" si="53"/>
        <v/>
      </c>
      <c r="AE197" s="127" t="str">
        <f t="shared" si="54"/>
        <v/>
      </c>
      <c r="AF197" s="128" t="str">
        <f t="shared" si="55"/>
        <v/>
      </c>
    </row>
    <row r="198" spans="1:32" ht="15.75" customHeight="1">
      <c r="A198" s="114" t="s">
        <v>275</v>
      </c>
      <c r="B198" s="114" t="s">
        <v>848</v>
      </c>
      <c r="C198" s="114" t="s">
        <v>778</v>
      </c>
      <c r="D198" s="114"/>
      <c r="E198" s="114" t="s">
        <v>565</v>
      </c>
      <c r="F198" s="114" t="s">
        <v>569</v>
      </c>
      <c r="G198" s="114" t="s">
        <v>556</v>
      </c>
      <c r="H198" s="115">
        <v>15</v>
      </c>
      <c r="I198" s="114" t="s">
        <v>551</v>
      </c>
      <c r="J198" s="116">
        <f t="shared" si="42"/>
        <v>1.27</v>
      </c>
      <c r="K198" s="97" t="str">
        <f>IFERROR(IF(VLOOKUP(D198,'Ficha de Produção'!C:C,1,0)=D198,"OK","Custo Produção Não Cadastrado"),"Custo Produção Não Cadastrado")</f>
        <v>Custo Produção Não Cadastrado</v>
      </c>
      <c r="L198" s="97" t="str">
        <f>IFERROR(IF(VLOOKUP(A198,'Ficha de Embalagens'!A:A,1,0)=A198,"OK","Ficha de Embalagens Não Cadastrada"),"Ficha de Embalagens Não Cadastrada")</f>
        <v>Ficha de Embalagens Não Cadastrada</v>
      </c>
      <c r="M198" s="117">
        <f>SUMIFS('Ficha de Produção'!N:N,'Ficha de Produção'!C:C,D198)*H198</f>
        <v>0</v>
      </c>
      <c r="N198" s="117">
        <f>SUMIFS('Ficha de Embalagens'!F:F,'Ficha de Embalagens'!A:A,A198)</f>
        <v>0</v>
      </c>
      <c r="O198" s="97">
        <f t="shared" si="43"/>
        <v>0</v>
      </c>
      <c r="P198" s="97">
        <f t="shared" si="44"/>
        <v>0</v>
      </c>
      <c r="Q198" s="118">
        <f t="shared" si="45"/>
        <v>0</v>
      </c>
      <c r="R198" s="97">
        <f t="shared" si="46"/>
        <v>0</v>
      </c>
      <c r="S198" s="97">
        <f t="shared" si="47"/>
        <v>0</v>
      </c>
      <c r="T198" s="118">
        <f t="shared" si="48"/>
        <v>0</v>
      </c>
      <c r="U198" s="119"/>
      <c r="V198" s="120" t="str">
        <f t="shared" si="49"/>
        <v>Cadastrar Ficha de Produção</v>
      </c>
      <c r="W198" s="121" t="str">
        <f t="shared" si="50"/>
        <v>Cadastrar Ficha de Produção</v>
      </c>
      <c r="AB198" s="125" t="str">
        <f t="shared" si="51"/>
        <v/>
      </c>
      <c r="AC198" s="125" t="str">
        <f t="shared" si="52"/>
        <v/>
      </c>
      <c r="AD198" s="126" t="str">
        <f t="shared" si="53"/>
        <v/>
      </c>
      <c r="AE198" s="127" t="str">
        <f t="shared" si="54"/>
        <v/>
      </c>
      <c r="AF198" s="128" t="str">
        <f t="shared" si="55"/>
        <v/>
      </c>
    </row>
    <row r="199" spans="1:32" ht="15.75" customHeight="1">
      <c r="A199" s="114" t="s">
        <v>276</v>
      </c>
      <c r="B199" s="114" t="s">
        <v>849</v>
      </c>
      <c r="C199" s="114" t="s">
        <v>778</v>
      </c>
      <c r="D199" s="114"/>
      <c r="E199" s="114" t="s">
        <v>565</v>
      </c>
      <c r="F199" s="114" t="s">
        <v>780</v>
      </c>
      <c r="G199" s="114" t="s">
        <v>556</v>
      </c>
      <c r="H199" s="115">
        <v>15</v>
      </c>
      <c r="I199" s="114" t="s">
        <v>551</v>
      </c>
      <c r="J199" s="116">
        <f t="shared" si="42"/>
        <v>1.27</v>
      </c>
      <c r="K199" s="97" t="str">
        <f>IFERROR(IF(VLOOKUP(D199,'Ficha de Produção'!C:C,1,0)=D199,"OK","Custo Produção Não Cadastrado"),"Custo Produção Não Cadastrado")</f>
        <v>Custo Produção Não Cadastrado</v>
      </c>
      <c r="L199" s="97" t="str">
        <f>IFERROR(IF(VLOOKUP(A199,'Ficha de Embalagens'!A:A,1,0)=A199,"OK","Ficha de Embalagens Não Cadastrada"),"Ficha de Embalagens Não Cadastrada")</f>
        <v>Ficha de Embalagens Não Cadastrada</v>
      </c>
      <c r="M199" s="117">
        <f>SUMIFS('Ficha de Produção'!N:N,'Ficha de Produção'!C:C,D199)*H199</f>
        <v>0</v>
      </c>
      <c r="N199" s="117">
        <f>SUMIFS('Ficha de Embalagens'!F:F,'Ficha de Embalagens'!A:A,A199)</f>
        <v>0</v>
      </c>
      <c r="O199" s="97">
        <f t="shared" si="43"/>
        <v>0</v>
      </c>
      <c r="P199" s="97">
        <f t="shared" si="44"/>
        <v>0</v>
      </c>
      <c r="Q199" s="118">
        <f t="shared" si="45"/>
        <v>0</v>
      </c>
      <c r="R199" s="97">
        <f t="shared" si="46"/>
        <v>0</v>
      </c>
      <c r="S199" s="97">
        <f t="shared" si="47"/>
        <v>0</v>
      </c>
      <c r="T199" s="118">
        <f t="shared" si="48"/>
        <v>0</v>
      </c>
      <c r="U199" s="119"/>
      <c r="V199" s="120" t="str">
        <f t="shared" si="49"/>
        <v>Cadastrar Ficha de Produção</v>
      </c>
      <c r="W199" s="121" t="str">
        <f t="shared" si="50"/>
        <v>Cadastrar Ficha de Produção</v>
      </c>
      <c r="AB199" s="125" t="str">
        <f t="shared" si="51"/>
        <v/>
      </c>
      <c r="AC199" s="125" t="str">
        <f t="shared" si="52"/>
        <v/>
      </c>
      <c r="AD199" s="126" t="str">
        <f t="shared" si="53"/>
        <v/>
      </c>
      <c r="AE199" s="127" t="str">
        <f t="shared" si="54"/>
        <v/>
      </c>
      <c r="AF199" s="128" t="str">
        <f t="shared" si="55"/>
        <v/>
      </c>
    </row>
    <row r="200" spans="1:32" ht="15.75" customHeight="1">
      <c r="A200" s="114" t="s">
        <v>277</v>
      </c>
      <c r="B200" s="114" t="s">
        <v>850</v>
      </c>
      <c r="C200" s="114" t="s">
        <v>778</v>
      </c>
      <c r="D200" s="114"/>
      <c r="E200" s="114" t="s">
        <v>565</v>
      </c>
      <c r="F200" s="114" t="s">
        <v>782</v>
      </c>
      <c r="G200" s="114" t="s">
        <v>556</v>
      </c>
      <c r="H200" s="115">
        <v>15</v>
      </c>
      <c r="I200" s="114" t="s">
        <v>551</v>
      </c>
      <c r="J200" s="116">
        <f t="shared" si="42"/>
        <v>1.27</v>
      </c>
      <c r="K200" s="97" t="str">
        <f>IFERROR(IF(VLOOKUP(D200,'Ficha de Produção'!C:C,1,0)=D200,"OK","Custo Produção Não Cadastrado"),"Custo Produção Não Cadastrado")</f>
        <v>Custo Produção Não Cadastrado</v>
      </c>
      <c r="L200" s="97" t="str">
        <f>IFERROR(IF(VLOOKUP(A200,'Ficha de Embalagens'!A:A,1,0)=A200,"OK","Ficha de Embalagens Não Cadastrada"),"Ficha de Embalagens Não Cadastrada")</f>
        <v>Ficha de Embalagens Não Cadastrada</v>
      </c>
      <c r="M200" s="117">
        <f>SUMIFS('Ficha de Produção'!N:N,'Ficha de Produção'!C:C,D200)*H200</f>
        <v>0</v>
      </c>
      <c r="N200" s="117">
        <f>SUMIFS('Ficha de Embalagens'!F:F,'Ficha de Embalagens'!A:A,A200)</f>
        <v>0</v>
      </c>
      <c r="O200" s="97">
        <f t="shared" si="43"/>
        <v>0</v>
      </c>
      <c r="P200" s="97">
        <f t="shared" si="44"/>
        <v>0</v>
      </c>
      <c r="Q200" s="118">
        <f t="shared" si="45"/>
        <v>0</v>
      </c>
      <c r="R200" s="97">
        <f t="shared" si="46"/>
        <v>0</v>
      </c>
      <c r="S200" s="97">
        <f t="shared" si="47"/>
        <v>0</v>
      </c>
      <c r="T200" s="118">
        <f t="shared" si="48"/>
        <v>0</v>
      </c>
      <c r="U200" s="119"/>
      <c r="V200" s="120" t="str">
        <f t="shared" si="49"/>
        <v>Cadastrar Ficha de Produção</v>
      </c>
      <c r="W200" s="121" t="str">
        <f t="shared" si="50"/>
        <v>Cadastrar Ficha de Produção</v>
      </c>
      <c r="AB200" s="125" t="str">
        <f t="shared" si="51"/>
        <v/>
      </c>
      <c r="AC200" s="125" t="str">
        <f t="shared" si="52"/>
        <v/>
      </c>
      <c r="AD200" s="126" t="str">
        <f t="shared" si="53"/>
        <v/>
      </c>
      <c r="AE200" s="127" t="str">
        <f t="shared" si="54"/>
        <v/>
      </c>
      <c r="AF200" s="128" t="str">
        <f t="shared" si="55"/>
        <v/>
      </c>
    </row>
    <row r="201" spans="1:32" ht="15.75" customHeight="1">
      <c r="A201" s="114" t="s">
        <v>278</v>
      </c>
      <c r="B201" s="114" t="s">
        <v>851</v>
      </c>
      <c r="C201" s="114" t="s">
        <v>778</v>
      </c>
      <c r="D201" s="114"/>
      <c r="E201" s="114" t="s">
        <v>565</v>
      </c>
      <c r="F201" s="114" t="s">
        <v>701</v>
      </c>
      <c r="G201" s="114" t="s">
        <v>556</v>
      </c>
      <c r="H201" s="115">
        <v>15</v>
      </c>
      <c r="I201" s="114" t="s">
        <v>551</v>
      </c>
      <c r="J201" s="116">
        <f t="shared" si="42"/>
        <v>1.27</v>
      </c>
      <c r="K201" s="97" t="str">
        <f>IFERROR(IF(VLOOKUP(D201,'Ficha de Produção'!C:C,1,0)=D201,"OK","Custo Produção Não Cadastrado"),"Custo Produção Não Cadastrado")</f>
        <v>Custo Produção Não Cadastrado</v>
      </c>
      <c r="L201" s="97" t="str">
        <f>IFERROR(IF(VLOOKUP(A201,'Ficha de Embalagens'!A:A,1,0)=A201,"OK","Ficha de Embalagens Não Cadastrada"),"Ficha de Embalagens Não Cadastrada")</f>
        <v>Ficha de Embalagens Não Cadastrada</v>
      </c>
      <c r="M201" s="117">
        <f>SUMIFS('Ficha de Produção'!N:N,'Ficha de Produção'!C:C,D201)*H201</f>
        <v>0</v>
      </c>
      <c r="N201" s="117">
        <f>SUMIFS('Ficha de Embalagens'!F:F,'Ficha de Embalagens'!A:A,A201)</f>
        <v>0</v>
      </c>
      <c r="O201" s="97">
        <f t="shared" si="43"/>
        <v>0</v>
      </c>
      <c r="P201" s="97">
        <f t="shared" si="44"/>
        <v>0</v>
      </c>
      <c r="Q201" s="118">
        <f t="shared" si="45"/>
        <v>0</v>
      </c>
      <c r="R201" s="97">
        <f t="shared" si="46"/>
        <v>0</v>
      </c>
      <c r="S201" s="97">
        <f t="shared" si="47"/>
        <v>0</v>
      </c>
      <c r="T201" s="118">
        <f t="shared" si="48"/>
        <v>0</v>
      </c>
      <c r="U201" s="119"/>
      <c r="V201" s="120" t="str">
        <f t="shared" si="49"/>
        <v>Cadastrar Ficha de Produção</v>
      </c>
      <c r="W201" s="121" t="str">
        <f t="shared" si="50"/>
        <v>Cadastrar Ficha de Produção</v>
      </c>
      <c r="AB201" s="125" t="str">
        <f t="shared" si="51"/>
        <v/>
      </c>
      <c r="AC201" s="125" t="str">
        <f t="shared" si="52"/>
        <v/>
      </c>
      <c r="AD201" s="126" t="str">
        <f t="shared" si="53"/>
        <v/>
      </c>
      <c r="AE201" s="127" t="str">
        <f t="shared" si="54"/>
        <v/>
      </c>
      <c r="AF201" s="128" t="str">
        <f t="shared" si="55"/>
        <v/>
      </c>
    </row>
    <row r="202" spans="1:32" ht="15.75" customHeight="1">
      <c r="A202" s="114" t="s">
        <v>279</v>
      </c>
      <c r="B202" s="114" t="s">
        <v>852</v>
      </c>
      <c r="C202" s="114" t="s">
        <v>778</v>
      </c>
      <c r="D202" s="114"/>
      <c r="E202" s="114" t="s">
        <v>565</v>
      </c>
      <c r="F202" s="114" t="s">
        <v>785</v>
      </c>
      <c r="G202" s="114" t="s">
        <v>556</v>
      </c>
      <c r="H202" s="115">
        <v>15</v>
      </c>
      <c r="I202" s="114" t="s">
        <v>551</v>
      </c>
      <c r="J202" s="116">
        <f t="shared" si="42"/>
        <v>1.27</v>
      </c>
      <c r="K202" s="97" t="str">
        <f>IFERROR(IF(VLOOKUP(D202,'Ficha de Produção'!C:C,1,0)=D202,"OK","Custo Produção Não Cadastrado"),"Custo Produção Não Cadastrado")</f>
        <v>Custo Produção Não Cadastrado</v>
      </c>
      <c r="L202" s="97" t="str">
        <f>IFERROR(IF(VLOOKUP(A202,'Ficha de Embalagens'!A:A,1,0)=A202,"OK","Ficha de Embalagens Não Cadastrada"),"Ficha de Embalagens Não Cadastrada")</f>
        <v>Ficha de Embalagens Não Cadastrada</v>
      </c>
      <c r="M202" s="117">
        <f>SUMIFS('Ficha de Produção'!N:N,'Ficha de Produção'!C:C,D202)*H202</f>
        <v>0</v>
      </c>
      <c r="N202" s="117">
        <f>SUMIFS('Ficha de Embalagens'!F:F,'Ficha de Embalagens'!A:A,A202)</f>
        <v>0</v>
      </c>
      <c r="O202" s="97">
        <f t="shared" si="43"/>
        <v>0</v>
      </c>
      <c r="P202" s="97">
        <f t="shared" si="44"/>
        <v>0</v>
      </c>
      <c r="Q202" s="118">
        <f t="shared" si="45"/>
        <v>0</v>
      </c>
      <c r="R202" s="97">
        <f t="shared" si="46"/>
        <v>0</v>
      </c>
      <c r="S202" s="97">
        <f t="shared" si="47"/>
        <v>0</v>
      </c>
      <c r="T202" s="118">
        <f t="shared" si="48"/>
        <v>0</v>
      </c>
      <c r="U202" s="119"/>
      <c r="V202" s="120" t="str">
        <f t="shared" si="49"/>
        <v>Cadastrar Ficha de Produção</v>
      </c>
      <c r="W202" s="121" t="str">
        <f t="shared" si="50"/>
        <v>Cadastrar Ficha de Produção</v>
      </c>
      <c r="AB202" s="125" t="str">
        <f t="shared" si="51"/>
        <v/>
      </c>
      <c r="AC202" s="125" t="str">
        <f t="shared" si="52"/>
        <v/>
      </c>
      <c r="AD202" s="126" t="str">
        <f t="shared" si="53"/>
        <v/>
      </c>
      <c r="AE202" s="127" t="str">
        <f t="shared" si="54"/>
        <v/>
      </c>
      <c r="AF202" s="128" t="str">
        <f t="shared" si="55"/>
        <v/>
      </c>
    </row>
    <row r="203" spans="1:32" ht="15.75" customHeight="1">
      <c r="A203" s="114" t="s">
        <v>280</v>
      </c>
      <c r="B203" s="114" t="s">
        <v>853</v>
      </c>
      <c r="C203" s="114" t="s">
        <v>778</v>
      </c>
      <c r="D203" s="114"/>
      <c r="E203" s="114" t="s">
        <v>565</v>
      </c>
      <c r="F203" s="114" t="s">
        <v>787</v>
      </c>
      <c r="G203" s="114" t="s">
        <v>556</v>
      </c>
      <c r="H203" s="115">
        <v>15</v>
      </c>
      <c r="I203" s="114" t="s">
        <v>551</v>
      </c>
      <c r="J203" s="116">
        <f t="shared" si="42"/>
        <v>1.27</v>
      </c>
      <c r="K203" s="97" t="str">
        <f>IFERROR(IF(VLOOKUP(D203,'Ficha de Produção'!C:C,1,0)=D203,"OK","Custo Produção Não Cadastrado"),"Custo Produção Não Cadastrado")</f>
        <v>Custo Produção Não Cadastrado</v>
      </c>
      <c r="L203" s="97" t="str">
        <f>IFERROR(IF(VLOOKUP(A203,'Ficha de Embalagens'!A:A,1,0)=A203,"OK","Ficha de Embalagens Não Cadastrada"),"Ficha de Embalagens Não Cadastrada")</f>
        <v>Ficha de Embalagens Não Cadastrada</v>
      </c>
      <c r="M203" s="117">
        <f>SUMIFS('Ficha de Produção'!N:N,'Ficha de Produção'!C:C,D203)*H203</f>
        <v>0</v>
      </c>
      <c r="N203" s="117">
        <f>SUMIFS('Ficha de Embalagens'!F:F,'Ficha de Embalagens'!A:A,A203)</f>
        <v>0</v>
      </c>
      <c r="O203" s="97">
        <f t="shared" si="43"/>
        <v>0</v>
      </c>
      <c r="P203" s="97">
        <f t="shared" si="44"/>
        <v>0</v>
      </c>
      <c r="Q203" s="118">
        <f t="shared" si="45"/>
        <v>0</v>
      </c>
      <c r="R203" s="97">
        <f t="shared" si="46"/>
        <v>0</v>
      </c>
      <c r="S203" s="97">
        <f t="shared" si="47"/>
        <v>0</v>
      </c>
      <c r="T203" s="118">
        <f t="shared" si="48"/>
        <v>0</v>
      </c>
      <c r="U203" s="119"/>
      <c r="V203" s="120" t="str">
        <f t="shared" si="49"/>
        <v>Cadastrar Ficha de Produção</v>
      </c>
      <c r="W203" s="121" t="str">
        <f t="shared" si="50"/>
        <v>Cadastrar Ficha de Produção</v>
      </c>
      <c r="AB203" s="125" t="str">
        <f t="shared" si="51"/>
        <v/>
      </c>
      <c r="AC203" s="125" t="str">
        <f t="shared" si="52"/>
        <v/>
      </c>
      <c r="AD203" s="126" t="str">
        <f t="shared" si="53"/>
        <v/>
      </c>
      <c r="AE203" s="127" t="str">
        <f t="shared" si="54"/>
        <v/>
      </c>
      <c r="AF203" s="128" t="str">
        <f t="shared" si="55"/>
        <v/>
      </c>
    </row>
    <row r="204" spans="1:32" ht="15.75" customHeight="1">
      <c r="A204" s="114" t="s">
        <v>281</v>
      </c>
      <c r="B204" s="114" t="s">
        <v>854</v>
      </c>
      <c r="C204" s="114" t="s">
        <v>778</v>
      </c>
      <c r="D204" s="114"/>
      <c r="E204" s="114" t="s">
        <v>565</v>
      </c>
      <c r="F204" s="114" t="s">
        <v>789</v>
      </c>
      <c r="G204" s="114" t="s">
        <v>556</v>
      </c>
      <c r="H204" s="115">
        <v>15</v>
      </c>
      <c r="I204" s="114" t="s">
        <v>551</v>
      </c>
      <c r="J204" s="116">
        <f t="shared" si="42"/>
        <v>1.27</v>
      </c>
      <c r="K204" s="97" t="str">
        <f>IFERROR(IF(VLOOKUP(D204,'Ficha de Produção'!C:C,1,0)=D204,"OK","Custo Produção Não Cadastrado"),"Custo Produção Não Cadastrado")</f>
        <v>Custo Produção Não Cadastrado</v>
      </c>
      <c r="L204" s="97" t="str">
        <f>IFERROR(IF(VLOOKUP(A204,'Ficha de Embalagens'!A:A,1,0)=A204,"OK","Ficha de Embalagens Não Cadastrada"),"Ficha de Embalagens Não Cadastrada")</f>
        <v>Ficha de Embalagens Não Cadastrada</v>
      </c>
      <c r="M204" s="117">
        <f>SUMIFS('Ficha de Produção'!N:N,'Ficha de Produção'!C:C,D204)*H204</f>
        <v>0</v>
      </c>
      <c r="N204" s="117">
        <f>SUMIFS('Ficha de Embalagens'!F:F,'Ficha de Embalagens'!A:A,A204)</f>
        <v>0</v>
      </c>
      <c r="O204" s="97">
        <f t="shared" si="43"/>
        <v>0</v>
      </c>
      <c r="P204" s="97">
        <f t="shared" si="44"/>
        <v>0</v>
      </c>
      <c r="Q204" s="118">
        <f t="shared" si="45"/>
        <v>0</v>
      </c>
      <c r="R204" s="97">
        <f t="shared" si="46"/>
        <v>0</v>
      </c>
      <c r="S204" s="97">
        <f t="shared" si="47"/>
        <v>0</v>
      </c>
      <c r="T204" s="118">
        <f t="shared" si="48"/>
        <v>0</v>
      </c>
      <c r="U204" s="119"/>
      <c r="V204" s="120" t="str">
        <f t="shared" si="49"/>
        <v>Cadastrar Ficha de Produção</v>
      </c>
      <c r="W204" s="121" t="str">
        <f t="shared" si="50"/>
        <v>Cadastrar Ficha de Produção</v>
      </c>
      <c r="AB204" s="125" t="str">
        <f t="shared" si="51"/>
        <v/>
      </c>
      <c r="AC204" s="125" t="str">
        <f t="shared" si="52"/>
        <v/>
      </c>
      <c r="AD204" s="126" t="str">
        <f t="shared" si="53"/>
        <v/>
      </c>
      <c r="AE204" s="127" t="str">
        <f t="shared" si="54"/>
        <v/>
      </c>
      <c r="AF204" s="128" t="str">
        <f t="shared" si="55"/>
        <v/>
      </c>
    </row>
    <row r="205" spans="1:32" ht="15.75" customHeight="1">
      <c r="A205" s="114" t="s">
        <v>282</v>
      </c>
      <c r="B205" s="114" t="s">
        <v>855</v>
      </c>
      <c r="C205" s="114" t="s">
        <v>778</v>
      </c>
      <c r="D205" s="114"/>
      <c r="E205" s="114" t="s">
        <v>565</v>
      </c>
      <c r="F205" s="114" t="s">
        <v>791</v>
      </c>
      <c r="G205" s="114" t="s">
        <v>556</v>
      </c>
      <c r="H205" s="115">
        <v>15</v>
      </c>
      <c r="I205" s="114" t="s">
        <v>551</v>
      </c>
      <c r="J205" s="116">
        <f t="shared" si="42"/>
        <v>1.27</v>
      </c>
      <c r="K205" s="97" t="str">
        <f>IFERROR(IF(VLOOKUP(D205,'Ficha de Produção'!C:C,1,0)=D205,"OK","Custo Produção Não Cadastrado"),"Custo Produção Não Cadastrado")</f>
        <v>Custo Produção Não Cadastrado</v>
      </c>
      <c r="L205" s="97" t="str">
        <f>IFERROR(IF(VLOOKUP(A205,'Ficha de Embalagens'!A:A,1,0)=A205,"OK","Ficha de Embalagens Não Cadastrada"),"Ficha de Embalagens Não Cadastrada")</f>
        <v>Ficha de Embalagens Não Cadastrada</v>
      </c>
      <c r="M205" s="117">
        <f>SUMIFS('Ficha de Produção'!N:N,'Ficha de Produção'!C:C,D205)*H205</f>
        <v>0</v>
      </c>
      <c r="N205" s="117">
        <f>SUMIFS('Ficha de Embalagens'!F:F,'Ficha de Embalagens'!A:A,A205)</f>
        <v>0</v>
      </c>
      <c r="O205" s="97">
        <f t="shared" si="43"/>
        <v>0</v>
      </c>
      <c r="P205" s="97">
        <f t="shared" si="44"/>
        <v>0</v>
      </c>
      <c r="Q205" s="118">
        <f t="shared" si="45"/>
        <v>0</v>
      </c>
      <c r="R205" s="97">
        <f t="shared" si="46"/>
        <v>0</v>
      </c>
      <c r="S205" s="97">
        <f t="shared" si="47"/>
        <v>0</v>
      </c>
      <c r="T205" s="118">
        <f t="shared" si="48"/>
        <v>0</v>
      </c>
      <c r="U205" s="119"/>
      <c r="V205" s="120" t="str">
        <f t="shared" si="49"/>
        <v>Cadastrar Ficha de Produção</v>
      </c>
      <c r="W205" s="121" t="str">
        <f t="shared" si="50"/>
        <v>Cadastrar Ficha de Produção</v>
      </c>
      <c r="AB205" s="125" t="str">
        <f t="shared" si="51"/>
        <v/>
      </c>
      <c r="AC205" s="125" t="str">
        <f t="shared" si="52"/>
        <v/>
      </c>
      <c r="AD205" s="126" t="str">
        <f t="shared" si="53"/>
        <v/>
      </c>
      <c r="AE205" s="127" t="str">
        <f t="shared" si="54"/>
        <v/>
      </c>
      <c r="AF205" s="128" t="str">
        <f t="shared" si="55"/>
        <v/>
      </c>
    </row>
    <row r="206" spans="1:32" ht="15.75" customHeight="1">
      <c r="A206" s="114" t="s">
        <v>283</v>
      </c>
      <c r="B206" s="114" t="s">
        <v>856</v>
      </c>
      <c r="C206" s="114" t="s">
        <v>778</v>
      </c>
      <c r="D206" s="114"/>
      <c r="E206" s="114" t="s">
        <v>565</v>
      </c>
      <c r="F206" s="114" t="s">
        <v>793</v>
      </c>
      <c r="G206" s="114" t="s">
        <v>556</v>
      </c>
      <c r="H206" s="115">
        <v>15</v>
      </c>
      <c r="I206" s="114" t="s">
        <v>551</v>
      </c>
      <c r="J206" s="116">
        <f t="shared" si="42"/>
        <v>1.27</v>
      </c>
      <c r="K206" s="97" t="str">
        <f>IFERROR(IF(VLOOKUP(D206,'Ficha de Produção'!C:C,1,0)=D206,"OK","Custo Produção Não Cadastrado"),"Custo Produção Não Cadastrado")</f>
        <v>Custo Produção Não Cadastrado</v>
      </c>
      <c r="L206" s="97" t="str">
        <f>IFERROR(IF(VLOOKUP(A206,'Ficha de Embalagens'!A:A,1,0)=A206,"OK","Ficha de Embalagens Não Cadastrada"),"Ficha de Embalagens Não Cadastrada")</f>
        <v>Ficha de Embalagens Não Cadastrada</v>
      </c>
      <c r="M206" s="117">
        <f>SUMIFS('Ficha de Produção'!N:N,'Ficha de Produção'!C:C,D206)*H206</f>
        <v>0</v>
      </c>
      <c r="N206" s="117">
        <f>SUMIFS('Ficha de Embalagens'!F:F,'Ficha de Embalagens'!A:A,A206)</f>
        <v>0</v>
      </c>
      <c r="O206" s="97">
        <f t="shared" si="43"/>
        <v>0</v>
      </c>
      <c r="P206" s="97">
        <f t="shared" si="44"/>
        <v>0</v>
      </c>
      <c r="Q206" s="118">
        <f t="shared" si="45"/>
        <v>0</v>
      </c>
      <c r="R206" s="97">
        <f t="shared" si="46"/>
        <v>0</v>
      </c>
      <c r="S206" s="97">
        <f t="shared" si="47"/>
        <v>0</v>
      </c>
      <c r="T206" s="118">
        <f t="shared" si="48"/>
        <v>0</v>
      </c>
      <c r="U206" s="119"/>
      <c r="V206" s="120" t="str">
        <f t="shared" si="49"/>
        <v>Cadastrar Ficha de Produção</v>
      </c>
      <c r="W206" s="121" t="str">
        <f t="shared" si="50"/>
        <v>Cadastrar Ficha de Produção</v>
      </c>
      <c r="AB206" s="125" t="str">
        <f t="shared" si="51"/>
        <v/>
      </c>
      <c r="AC206" s="125" t="str">
        <f t="shared" si="52"/>
        <v/>
      </c>
      <c r="AD206" s="126" t="str">
        <f t="shared" si="53"/>
        <v/>
      </c>
      <c r="AE206" s="127" t="str">
        <f t="shared" si="54"/>
        <v/>
      </c>
      <c r="AF206" s="128" t="str">
        <f t="shared" si="55"/>
        <v/>
      </c>
    </row>
    <row r="207" spans="1:32" ht="15.75" customHeight="1">
      <c r="A207" s="114" t="s">
        <v>284</v>
      </c>
      <c r="B207" s="114" t="s">
        <v>857</v>
      </c>
      <c r="C207" s="114" t="s">
        <v>778</v>
      </c>
      <c r="D207" s="114"/>
      <c r="E207" s="114" t="s">
        <v>565</v>
      </c>
      <c r="F207" s="114" t="s">
        <v>795</v>
      </c>
      <c r="G207" s="114" t="s">
        <v>556</v>
      </c>
      <c r="H207" s="115">
        <v>15</v>
      </c>
      <c r="I207" s="114" t="s">
        <v>551</v>
      </c>
      <c r="J207" s="116">
        <f t="shared" si="42"/>
        <v>1.27</v>
      </c>
      <c r="K207" s="97" t="str">
        <f>IFERROR(IF(VLOOKUP(D207,'Ficha de Produção'!C:C,1,0)=D207,"OK","Custo Produção Não Cadastrado"),"Custo Produção Não Cadastrado")</f>
        <v>Custo Produção Não Cadastrado</v>
      </c>
      <c r="L207" s="97" t="str">
        <f>IFERROR(IF(VLOOKUP(A207,'Ficha de Embalagens'!A:A,1,0)=A207,"OK","Ficha de Embalagens Não Cadastrada"),"Ficha de Embalagens Não Cadastrada")</f>
        <v>Ficha de Embalagens Não Cadastrada</v>
      </c>
      <c r="M207" s="117">
        <f>SUMIFS('Ficha de Produção'!N:N,'Ficha de Produção'!C:C,D207)*H207</f>
        <v>0</v>
      </c>
      <c r="N207" s="117">
        <f>SUMIFS('Ficha de Embalagens'!F:F,'Ficha de Embalagens'!A:A,A207)</f>
        <v>0</v>
      </c>
      <c r="O207" s="97">
        <f t="shared" si="43"/>
        <v>0</v>
      </c>
      <c r="P207" s="97">
        <f t="shared" si="44"/>
        <v>0</v>
      </c>
      <c r="Q207" s="118">
        <f t="shared" si="45"/>
        <v>0</v>
      </c>
      <c r="R207" s="97">
        <f t="shared" si="46"/>
        <v>0</v>
      </c>
      <c r="S207" s="97">
        <f t="shared" si="47"/>
        <v>0</v>
      </c>
      <c r="T207" s="118">
        <f t="shared" si="48"/>
        <v>0</v>
      </c>
      <c r="U207" s="119"/>
      <c r="V207" s="120" t="str">
        <f t="shared" si="49"/>
        <v>Cadastrar Ficha de Produção</v>
      </c>
      <c r="W207" s="121" t="str">
        <f t="shared" si="50"/>
        <v>Cadastrar Ficha de Produção</v>
      </c>
      <c r="AB207" s="125" t="str">
        <f t="shared" si="51"/>
        <v/>
      </c>
      <c r="AC207" s="125" t="str">
        <f t="shared" si="52"/>
        <v/>
      </c>
      <c r="AD207" s="126" t="str">
        <f t="shared" si="53"/>
        <v/>
      </c>
      <c r="AE207" s="127" t="str">
        <f t="shared" si="54"/>
        <v/>
      </c>
      <c r="AF207" s="128" t="str">
        <f t="shared" si="55"/>
        <v/>
      </c>
    </row>
    <row r="208" spans="1:32" ht="15.75" customHeight="1">
      <c r="A208" s="114" t="s">
        <v>285</v>
      </c>
      <c r="B208" s="114" t="s">
        <v>858</v>
      </c>
      <c r="C208" s="114" t="s">
        <v>778</v>
      </c>
      <c r="D208" s="114"/>
      <c r="E208" s="114" t="s">
        <v>565</v>
      </c>
      <c r="F208" s="114" t="s">
        <v>797</v>
      </c>
      <c r="G208" s="114" t="s">
        <v>556</v>
      </c>
      <c r="H208" s="115">
        <v>15</v>
      </c>
      <c r="I208" s="114" t="s">
        <v>551</v>
      </c>
      <c r="J208" s="116">
        <f t="shared" si="42"/>
        <v>1.27</v>
      </c>
      <c r="K208" s="97" t="str">
        <f>IFERROR(IF(VLOOKUP(D208,'Ficha de Produção'!C:C,1,0)=D208,"OK","Custo Produção Não Cadastrado"),"Custo Produção Não Cadastrado")</f>
        <v>Custo Produção Não Cadastrado</v>
      </c>
      <c r="L208" s="97" t="str">
        <f>IFERROR(IF(VLOOKUP(A208,'Ficha de Embalagens'!A:A,1,0)=A208,"OK","Ficha de Embalagens Não Cadastrada"),"Ficha de Embalagens Não Cadastrada")</f>
        <v>Ficha de Embalagens Não Cadastrada</v>
      </c>
      <c r="M208" s="117">
        <f>SUMIFS('Ficha de Produção'!N:N,'Ficha de Produção'!C:C,D208)*H208</f>
        <v>0</v>
      </c>
      <c r="N208" s="117">
        <f>SUMIFS('Ficha de Embalagens'!F:F,'Ficha de Embalagens'!A:A,A208)</f>
        <v>0</v>
      </c>
      <c r="O208" s="97">
        <f t="shared" si="43"/>
        <v>0</v>
      </c>
      <c r="P208" s="97">
        <f t="shared" si="44"/>
        <v>0</v>
      </c>
      <c r="Q208" s="118">
        <f t="shared" si="45"/>
        <v>0</v>
      </c>
      <c r="R208" s="97">
        <f t="shared" si="46"/>
        <v>0</v>
      </c>
      <c r="S208" s="97">
        <f t="shared" si="47"/>
        <v>0</v>
      </c>
      <c r="T208" s="118">
        <f t="shared" si="48"/>
        <v>0</v>
      </c>
      <c r="U208" s="119"/>
      <c r="V208" s="120" t="str">
        <f t="shared" si="49"/>
        <v>Cadastrar Ficha de Produção</v>
      </c>
      <c r="W208" s="121" t="str">
        <f t="shared" si="50"/>
        <v>Cadastrar Ficha de Produção</v>
      </c>
      <c r="AB208" s="125" t="str">
        <f t="shared" si="51"/>
        <v/>
      </c>
      <c r="AC208" s="125" t="str">
        <f t="shared" si="52"/>
        <v/>
      </c>
      <c r="AD208" s="126" t="str">
        <f t="shared" si="53"/>
        <v/>
      </c>
      <c r="AE208" s="127" t="str">
        <f t="shared" si="54"/>
        <v/>
      </c>
      <c r="AF208" s="128" t="str">
        <f t="shared" si="55"/>
        <v/>
      </c>
    </row>
    <row r="209" spans="1:32" ht="15.75" customHeight="1">
      <c r="A209" s="114" t="s">
        <v>286</v>
      </c>
      <c r="B209" s="114" t="s">
        <v>859</v>
      </c>
      <c r="C209" s="114" t="s">
        <v>778</v>
      </c>
      <c r="D209" s="114"/>
      <c r="E209" s="114" t="s">
        <v>565</v>
      </c>
      <c r="F209" s="114" t="s">
        <v>799</v>
      </c>
      <c r="G209" s="114" t="s">
        <v>556</v>
      </c>
      <c r="H209" s="115">
        <v>15</v>
      </c>
      <c r="I209" s="114" t="s">
        <v>551</v>
      </c>
      <c r="J209" s="116">
        <f t="shared" si="42"/>
        <v>1.27</v>
      </c>
      <c r="K209" s="97" t="str">
        <f>IFERROR(IF(VLOOKUP(D209,'Ficha de Produção'!C:C,1,0)=D209,"OK","Custo Produção Não Cadastrado"),"Custo Produção Não Cadastrado")</f>
        <v>Custo Produção Não Cadastrado</v>
      </c>
      <c r="L209" s="97" t="str">
        <f>IFERROR(IF(VLOOKUP(A209,'Ficha de Embalagens'!A:A,1,0)=A209,"OK","Ficha de Embalagens Não Cadastrada"),"Ficha de Embalagens Não Cadastrada")</f>
        <v>Ficha de Embalagens Não Cadastrada</v>
      </c>
      <c r="M209" s="117">
        <f>SUMIFS('Ficha de Produção'!N:N,'Ficha de Produção'!C:C,D209)*H209</f>
        <v>0</v>
      </c>
      <c r="N209" s="117">
        <f>SUMIFS('Ficha de Embalagens'!F:F,'Ficha de Embalagens'!A:A,A209)</f>
        <v>0</v>
      </c>
      <c r="O209" s="97">
        <f t="shared" si="43"/>
        <v>0</v>
      </c>
      <c r="P209" s="97">
        <f t="shared" si="44"/>
        <v>0</v>
      </c>
      <c r="Q209" s="118">
        <f t="shared" si="45"/>
        <v>0</v>
      </c>
      <c r="R209" s="97">
        <f t="shared" si="46"/>
        <v>0</v>
      </c>
      <c r="S209" s="97">
        <f t="shared" si="47"/>
        <v>0</v>
      </c>
      <c r="T209" s="118">
        <f t="shared" si="48"/>
        <v>0</v>
      </c>
      <c r="U209" s="119"/>
      <c r="V209" s="120" t="str">
        <f t="shared" si="49"/>
        <v>Cadastrar Ficha de Produção</v>
      </c>
      <c r="W209" s="121" t="str">
        <f t="shared" si="50"/>
        <v>Cadastrar Ficha de Produção</v>
      </c>
      <c r="AB209" s="125" t="str">
        <f t="shared" si="51"/>
        <v/>
      </c>
      <c r="AC209" s="125" t="str">
        <f t="shared" si="52"/>
        <v/>
      </c>
      <c r="AD209" s="126" t="str">
        <f t="shared" si="53"/>
        <v/>
      </c>
      <c r="AE209" s="127" t="str">
        <f t="shared" si="54"/>
        <v/>
      </c>
      <c r="AF209" s="128" t="str">
        <f t="shared" si="55"/>
        <v/>
      </c>
    </row>
    <row r="210" spans="1:32" ht="15.75" customHeight="1">
      <c r="A210" s="114" t="s">
        <v>287</v>
      </c>
      <c r="B210" s="114" t="s">
        <v>860</v>
      </c>
      <c r="C210" s="114" t="s">
        <v>778</v>
      </c>
      <c r="D210" s="114"/>
      <c r="E210" s="114" t="s">
        <v>565</v>
      </c>
      <c r="F210" s="114" t="s">
        <v>801</v>
      </c>
      <c r="G210" s="114" t="s">
        <v>556</v>
      </c>
      <c r="H210" s="115">
        <v>15</v>
      </c>
      <c r="I210" s="114" t="s">
        <v>551</v>
      </c>
      <c r="J210" s="116">
        <f t="shared" si="42"/>
        <v>1.27</v>
      </c>
      <c r="K210" s="97" t="str">
        <f>IFERROR(IF(VLOOKUP(D210,'Ficha de Produção'!C:C,1,0)=D210,"OK","Custo Produção Não Cadastrado"),"Custo Produção Não Cadastrado")</f>
        <v>Custo Produção Não Cadastrado</v>
      </c>
      <c r="L210" s="97" t="str">
        <f>IFERROR(IF(VLOOKUP(A210,'Ficha de Embalagens'!A:A,1,0)=A210,"OK","Ficha de Embalagens Não Cadastrada"),"Ficha de Embalagens Não Cadastrada")</f>
        <v>Ficha de Embalagens Não Cadastrada</v>
      </c>
      <c r="M210" s="117">
        <f>SUMIFS('Ficha de Produção'!N:N,'Ficha de Produção'!C:C,D210)*H210</f>
        <v>0</v>
      </c>
      <c r="N210" s="117">
        <f>SUMIFS('Ficha de Embalagens'!F:F,'Ficha de Embalagens'!A:A,A210)</f>
        <v>0</v>
      </c>
      <c r="O210" s="97">
        <f t="shared" si="43"/>
        <v>0</v>
      </c>
      <c r="P210" s="97">
        <f t="shared" si="44"/>
        <v>0</v>
      </c>
      <c r="Q210" s="118">
        <f t="shared" si="45"/>
        <v>0</v>
      </c>
      <c r="R210" s="97">
        <f t="shared" si="46"/>
        <v>0</v>
      </c>
      <c r="S210" s="97">
        <f t="shared" si="47"/>
        <v>0</v>
      </c>
      <c r="T210" s="118">
        <f t="shared" si="48"/>
        <v>0</v>
      </c>
      <c r="U210" s="119"/>
      <c r="V210" s="120" t="str">
        <f t="shared" si="49"/>
        <v>Cadastrar Ficha de Produção</v>
      </c>
      <c r="W210" s="121" t="str">
        <f t="shared" si="50"/>
        <v>Cadastrar Ficha de Produção</v>
      </c>
      <c r="AB210" s="125" t="str">
        <f t="shared" si="51"/>
        <v/>
      </c>
      <c r="AC210" s="125" t="str">
        <f t="shared" si="52"/>
        <v/>
      </c>
      <c r="AD210" s="126" t="str">
        <f t="shared" si="53"/>
        <v/>
      </c>
      <c r="AE210" s="127" t="str">
        <f t="shared" si="54"/>
        <v/>
      </c>
      <c r="AF210" s="128" t="str">
        <f t="shared" si="55"/>
        <v/>
      </c>
    </row>
    <row r="211" spans="1:32" ht="15.75" customHeight="1">
      <c r="A211" s="114" t="s">
        <v>288</v>
      </c>
      <c r="B211" s="114" t="s">
        <v>861</v>
      </c>
      <c r="C211" s="114" t="s">
        <v>778</v>
      </c>
      <c r="D211" s="114"/>
      <c r="E211" s="114" t="s">
        <v>565</v>
      </c>
      <c r="F211" s="114" t="s">
        <v>803</v>
      </c>
      <c r="G211" s="114" t="s">
        <v>556</v>
      </c>
      <c r="H211" s="115">
        <v>15</v>
      </c>
      <c r="I211" s="114" t="s">
        <v>551</v>
      </c>
      <c r="J211" s="116">
        <f t="shared" si="42"/>
        <v>1.27</v>
      </c>
      <c r="K211" s="97" t="str">
        <f>IFERROR(IF(VLOOKUP(D211,'Ficha de Produção'!C:C,1,0)=D211,"OK","Custo Produção Não Cadastrado"),"Custo Produção Não Cadastrado")</f>
        <v>Custo Produção Não Cadastrado</v>
      </c>
      <c r="L211" s="97" t="str">
        <f>IFERROR(IF(VLOOKUP(A211,'Ficha de Embalagens'!A:A,1,0)=A211,"OK","Ficha de Embalagens Não Cadastrada"),"Ficha de Embalagens Não Cadastrada")</f>
        <v>Ficha de Embalagens Não Cadastrada</v>
      </c>
      <c r="M211" s="117">
        <f>SUMIFS('Ficha de Produção'!N:N,'Ficha de Produção'!C:C,D211)*H211</f>
        <v>0</v>
      </c>
      <c r="N211" s="117">
        <f>SUMIFS('Ficha de Embalagens'!F:F,'Ficha de Embalagens'!A:A,A211)</f>
        <v>0</v>
      </c>
      <c r="O211" s="97">
        <f t="shared" si="43"/>
        <v>0</v>
      </c>
      <c r="P211" s="97">
        <f t="shared" si="44"/>
        <v>0</v>
      </c>
      <c r="Q211" s="118">
        <f t="shared" si="45"/>
        <v>0</v>
      </c>
      <c r="R211" s="97">
        <f t="shared" si="46"/>
        <v>0</v>
      </c>
      <c r="S211" s="97">
        <f t="shared" si="47"/>
        <v>0</v>
      </c>
      <c r="T211" s="118">
        <f t="shared" si="48"/>
        <v>0</v>
      </c>
      <c r="U211" s="119"/>
      <c r="V211" s="120" t="str">
        <f t="shared" si="49"/>
        <v>Cadastrar Ficha de Produção</v>
      </c>
      <c r="W211" s="121" t="str">
        <f t="shared" si="50"/>
        <v>Cadastrar Ficha de Produção</v>
      </c>
      <c r="AB211" s="125" t="str">
        <f t="shared" si="51"/>
        <v/>
      </c>
      <c r="AC211" s="125" t="str">
        <f t="shared" si="52"/>
        <v/>
      </c>
      <c r="AD211" s="126" t="str">
        <f t="shared" si="53"/>
        <v/>
      </c>
      <c r="AE211" s="127" t="str">
        <f t="shared" si="54"/>
        <v/>
      </c>
      <c r="AF211" s="128" t="str">
        <f t="shared" si="55"/>
        <v/>
      </c>
    </row>
    <row r="212" spans="1:32" ht="15.75" customHeight="1">
      <c r="A212" s="114" t="s">
        <v>289</v>
      </c>
      <c r="B212" s="114" t="s">
        <v>862</v>
      </c>
      <c r="C212" s="114" t="s">
        <v>778</v>
      </c>
      <c r="D212" s="114"/>
      <c r="E212" s="114" t="s">
        <v>565</v>
      </c>
      <c r="F212" s="114" t="s">
        <v>805</v>
      </c>
      <c r="G212" s="114" t="s">
        <v>556</v>
      </c>
      <c r="H212" s="115">
        <v>15</v>
      </c>
      <c r="I212" s="114" t="s">
        <v>551</v>
      </c>
      <c r="J212" s="116">
        <f t="shared" si="42"/>
        <v>1.27</v>
      </c>
      <c r="K212" s="97" t="str">
        <f>IFERROR(IF(VLOOKUP(D212,'Ficha de Produção'!C:C,1,0)=D212,"OK","Custo Produção Não Cadastrado"),"Custo Produção Não Cadastrado")</f>
        <v>Custo Produção Não Cadastrado</v>
      </c>
      <c r="L212" s="97" t="str">
        <f>IFERROR(IF(VLOOKUP(A212,'Ficha de Embalagens'!A:A,1,0)=A212,"OK","Ficha de Embalagens Não Cadastrada"),"Ficha de Embalagens Não Cadastrada")</f>
        <v>Ficha de Embalagens Não Cadastrada</v>
      </c>
      <c r="M212" s="117">
        <f>SUMIFS('Ficha de Produção'!N:N,'Ficha de Produção'!C:C,D212)*H212</f>
        <v>0</v>
      </c>
      <c r="N212" s="117">
        <f>SUMIFS('Ficha de Embalagens'!F:F,'Ficha de Embalagens'!A:A,A212)</f>
        <v>0</v>
      </c>
      <c r="O212" s="97">
        <f t="shared" si="43"/>
        <v>0</v>
      </c>
      <c r="P212" s="97">
        <f t="shared" si="44"/>
        <v>0</v>
      </c>
      <c r="Q212" s="118">
        <f t="shared" si="45"/>
        <v>0</v>
      </c>
      <c r="R212" s="97">
        <f t="shared" si="46"/>
        <v>0</v>
      </c>
      <c r="S212" s="97">
        <f t="shared" si="47"/>
        <v>0</v>
      </c>
      <c r="T212" s="118">
        <f t="shared" si="48"/>
        <v>0</v>
      </c>
      <c r="U212" s="119"/>
      <c r="V212" s="120" t="str">
        <f t="shared" si="49"/>
        <v>Cadastrar Ficha de Produção</v>
      </c>
      <c r="W212" s="121" t="str">
        <f t="shared" si="50"/>
        <v>Cadastrar Ficha de Produção</v>
      </c>
      <c r="AB212" s="125" t="str">
        <f t="shared" si="51"/>
        <v/>
      </c>
      <c r="AC212" s="125" t="str">
        <f t="shared" si="52"/>
        <v/>
      </c>
      <c r="AD212" s="126" t="str">
        <f t="shared" si="53"/>
        <v/>
      </c>
      <c r="AE212" s="127" t="str">
        <f t="shared" si="54"/>
        <v/>
      </c>
      <c r="AF212" s="128" t="str">
        <f t="shared" si="55"/>
        <v/>
      </c>
    </row>
    <row r="213" spans="1:32" ht="15.75" customHeight="1">
      <c r="A213" s="114" t="s">
        <v>290</v>
      </c>
      <c r="B213" s="114" t="s">
        <v>863</v>
      </c>
      <c r="C213" s="114" t="s">
        <v>778</v>
      </c>
      <c r="D213" s="114"/>
      <c r="E213" s="114" t="s">
        <v>565</v>
      </c>
      <c r="F213" s="114" t="s">
        <v>807</v>
      </c>
      <c r="G213" s="114" t="s">
        <v>556</v>
      </c>
      <c r="H213" s="115">
        <v>15</v>
      </c>
      <c r="I213" s="114" t="s">
        <v>551</v>
      </c>
      <c r="J213" s="116">
        <f t="shared" si="42"/>
        <v>1.27</v>
      </c>
      <c r="K213" s="97" t="str">
        <f>IFERROR(IF(VLOOKUP(D213,'Ficha de Produção'!C:C,1,0)=D213,"OK","Custo Produção Não Cadastrado"),"Custo Produção Não Cadastrado")</f>
        <v>Custo Produção Não Cadastrado</v>
      </c>
      <c r="L213" s="97" t="str">
        <f>IFERROR(IF(VLOOKUP(A213,'Ficha de Embalagens'!A:A,1,0)=A213,"OK","Ficha de Embalagens Não Cadastrada"),"Ficha de Embalagens Não Cadastrada")</f>
        <v>Ficha de Embalagens Não Cadastrada</v>
      </c>
      <c r="M213" s="117">
        <f>SUMIFS('Ficha de Produção'!N:N,'Ficha de Produção'!C:C,D213)*H213</f>
        <v>0</v>
      </c>
      <c r="N213" s="117">
        <f>SUMIFS('Ficha de Embalagens'!F:F,'Ficha de Embalagens'!A:A,A213)</f>
        <v>0</v>
      </c>
      <c r="O213" s="97">
        <f t="shared" si="43"/>
        <v>0</v>
      </c>
      <c r="P213" s="97">
        <f t="shared" si="44"/>
        <v>0</v>
      </c>
      <c r="Q213" s="118">
        <f t="shared" si="45"/>
        <v>0</v>
      </c>
      <c r="R213" s="97">
        <f t="shared" si="46"/>
        <v>0</v>
      </c>
      <c r="S213" s="97">
        <f t="shared" si="47"/>
        <v>0</v>
      </c>
      <c r="T213" s="118">
        <f t="shared" si="48"/>
        <v>0</v>
      </c>
      <c r="U213" s="119"/>
      <c r="V213" s="120" t="str">
        <f t="shared" si="49"/>
        <v>Cadastrar Ficha de Produção</v>
      </c>
      <c r="W213" s="121" t="str">
        <f t="shared" si="50"/>
        <v>Cadastrar Ficha de Produção</v>
      </c>
      <c r="AB213" s="125" t="str">
        <f t="shared" si="51"/>
        <v/>
      </c>
      <c r="AC213" s="125" t="str">
        <f t="shared" si="52"/>
        <v/>
      </c>
      <c r="AD213" s="126" t="str">
        <f t="shared" si="53"/>
        <v/>
      </c>
      <c r="AE213" s="127" t="str">
        <f t="shared" si="54"/>
        <v/>
      </c>
      <c r="AF213" s="128" t="str">
        <f t="shared" si="55"/>
        <v/>
      </c>
    </row>
    <row r="214" spans="1:32" ht="15.75" customHeight="1">
      <c r="A214" s="114" t="s">
        <v>291</v>
      </c>
      <c r="B214" s="114" t="s">
        <v>864</v>
      </c>
      <c r="C214" s="114" t="s">
        <v>778</v>
      </c>
      <c r="D214" s="114"/>
      <c r="E214" s="114" t="s">
        <v>565</v>
      </c>
      <c r="F214" s="114" t="s">
        <v>809</v>
      </c>
      <c r="G214" s="114" t="s">
        <v>556</v>
      </c>
      <c r="H214" s="115">
        <v>15</v>
      </c>
      <c r="I214" s="114" t="s">
        <v>551</v>
      </c>
      <c r="J214" s="116">
        <f t="shared" si="42"/>
        <v>1.27</v>
      </c>
      <c r="K214" s="97" t="str">
        <f>IFERROR(IF(VLOOKUP(D214,'Ficha de Produção'!C:C,1,0)=D214,"OK","Custo Produção Não Cadastrado"),"Custo Produção Não Cadastrado")</f>
        <v>Custo Produção Não Cadastrado</v>
      </c>
      <c r="L214" s="97" t="str">
        <f>IFERROR(IF(VLOOKUP(A214,'Ficha de Embalagens'!A:A,1,0)=A214,"OK","Ficha de Embalagens Não Cadastrada"),"Ficha de Embalagens Não Cadastrada")</f>
        <v>Ficha de Embalagens Não Cadastrada</v>
      </c>
      <c r="M214" s="117">
        <f>SUMIFS('Ficha de Produção'!N:N,'Ficha de Produção'!C:C,D214)*H214</f>
        <v>0</v>
      </c>
      <c r="N214" s="117">
        <f>SUMIFS('Ficha de Embalagens'!F:F,'Ficha de Embalagens'!A:A,A214)</f>
        <v>0</v>
      </c>
      <c r="O214" s="97">
        <f t="shared" si="43"/>
        <v>0</v>
      </c>
      <c r="P214" s="97">
        <f t="shared" si="44"/>
        <v>0</v>
      </c>
      <c r="Q214" s="118">
        <f t="shared" si="45"/>
        <v>0</v>
      </c>
      <c r="R214" s="97">
        <f t="shared" si="46"/>
        <v>0</v>
      </c>
      <c r="S214" s="97">
        <f t="shared" si="47"/>
        <v>0</v>
      </c>
      <c r="T214" s="118">
        <f t="shared" si="48"/>
        <v>0</v>
      </c>
      <c r="U214" s="119"/>
      <c r="V214" s="120" t="str">
        <f t="shared" si="49"/>
        <v>Cadastrar Ficha de Produção</v>
      </c>
      <c r="W214" s="121" t="str">
        <f t="shared" si="50"/>
        <v>Cadastrar Ficha de Produção</v>
      </c>
      <c r="AB214" s="125" t="str">
        <f t="shared" si="51"/>
        <v/>
      </c>
      <c r="AC214" s="125" t="str">
        <f t="shared" si="52"/>
        <v/>
      </c>
      <c r="AD214" s="126" t="str">
        <f t="shared" si="53"/>
        <v/>
      </c>
      <c r="AE214" s="127" t="str">
        <f t="shared" si="54"/>
        <v/>
      </c>
      <c r="AF214" s="128" t="str">
        <f t="shared" si="55"/>
        <v/>
      </c>
    </row>
    <row r="215" spans="1:32" ht="15.75" customHeight="1">
      <c r="A215" s="114" t="s">
        <v>292</v>
      </c>
      <c r="B215" s="114" t="s">
        <v>865</v>
      </c>
      <c r="C215" s="114" t="s">
        <v>778</v>
      </c>
      <c r="D215" s="114"/>
      <c r="E215" s="114" t="s">
        <v>610</v>
      </c>
      <c r="F215" s="114" t="s">
        <v>701</v>
      </c>
      <c r="G215" s="114" t="s">
        <v>556</v>
      </c>
      <c r="H215" s="115">
        <v>15</v>
      </c>
      <c r="I215" s="114" t="s">
        <v>551</v>
      </c>
      <c r="J215" s="116">
        <f t="shared" si="42"/>
        <v>1.27</v>
      </c>
      <c r="K215" s="97" t="str">
        <f>IFERROR(IF(VLOOKUP(D215,'Ficha de Produção'!C:C,1,0)=D215,"OK","Custo Produção Não Cadastrado"),"Custo Produção Não Cadastrado")</f>
        <v>Custo Produção Não Cadastrado</v>
      </c>
      <c r="L215" s="97" t="str">
        <f>IFERROR(IF(VLOOKUP(A215,'Ficha de Embalagens'!A:A,1,0)=A215,"OK","Ficha de Embalagens Não Cadastrada"),"Ficha de Embalagens Não Cadastrada")</f>
        <v>Ficha de Embalagens Não Cadastrada</v>
      </c>
      <c r="M215" s="117">
        <f>SUMIFS('Ficha de Produção'!N:N,'Ficha de Produção'!C:C,D215)*H215</f>
        <v>0</v>
      </c>
      <c r="N215" s="117">
        <f>SUMIFS('Ficha de Embalagens'!F:F,'Ficha de Embalagens'!A:A,A215)</f>
        <v>0</v>
      </c>
      <c r="O215" s="97">
        <f t="shared" si="43"/>
        <v>0</v>
      </c>
      <c r="P215" s="97">
        <f t="shared" si="44"/>
        <v>0</v>
      </c>
      <c r="Q215" s="118">
        <f t="shared" si="45"/>
        <v>0</v>
      </c>
      <c r="R215" s="97">
        <f t="shared" si="46"/>
        <v>0</v>
      </c>
      <c r="S215" s="97">
        <f t="shared" si="47"/>
        <v>0</v>
      </c>
      <c r="T215" s="118">
        <f t="shared" si="48"/>
        <v>0</v>
      </c>
      <c r="U215" s="119"/>
      <c r="V215" s="120" t="str">
        <f t="shared" si="49"/>
        <v>Cadastrar Ficha de Produção</v>
      </c>
      <c r="W215" s="121" t="str">
        <f t="shared" si="50"/>
        <v>Cadastrar Ficha de Produção</v>
      </c>
      <c r="AB215" s="125" t="str">
        <f t="shared" si="51"/>
        <v/>
      </c>
      <c r="AC215" s="125" t="str">
        <f t="shared" si="52"/>
        <v/>
      </c>
      <c r="AD215" s="126" t="str">
        <f t="shared" si="53"/>
        <v/>
      </c>
      <c r="AE215" s="127" t="str">
        <f t="shared" si="54"/>
        <v/>
      </c>
      <c r="AF215" s="128" t="str">
        <f t="shared" si="55"/>
        <v/>
      </c>
    </row>
    <row r="216" spans="1:32" ht="15.75" customHeight="1">
      <c r="A216" s="114" t="s">
        <v>293</v>
      </c>
      <c r="B216" s="114" t="s">
        <v>866</v>
      </c>
      <c r="C216" s="114" t="s">
        <v>778</v>
      </c>
      <c r="D216" s="114"/>
      <c r="E216" s="114" t="s">
        <v>610</v>
      </c>
      <c r="F216" s="114" t="s">
        <v>704</v>
      </c>
      <c r="G216" s="114" t="s">
        <v>556</v>
      </c>
      <c r="H216" s="115">
        <v>15</v>
      </c>
      <c r="I216" s="114" t="s">
        <v>551</v>
      </c>
      <c r="J216" s="116">
        <f t="shared" si="42"/>
        <v>1.27</v>
      </c>
      <c r="K216" s="97" t="str">
        <f>IFERROR(IF(VLOOKUP(D216,'Ficha de Produção'!C:C,1,0)=D216,"OK","Custo Produção Não Cadastrado"),"Custo Produção Não Cadastrado")</f>
        <v>Custo Produção Não Cadastrado</v>
      </c>
      <c r="L216" s="97" t="str">
        <f>IFERROR(IF(VLOOKUP(A216,'Ficha de Embalagens'!A:A,1,0)=A216,"OK","Ficha de Embalagens Não Cadastrada"),"Ficha de Embalagens Não Cadastrada")</f>
        <v>Ficha de Embalagens Não Cadastrada</v>
      </c>
      <c r="M216" s="117">
        <f>SUMIFS('Ficha de Produção'!N:N,'Ficha de Produção'!C:C,D216)*H216</f>
        <v>0</v>
      </c>
      <c r="N216" s="117">
        <f>SUMIFS('Ficha de Embalagens'!F:F,'Ficha de Embalagens'!A:A,A216)</f>
        <v>0</v>
      </c>
      <c r="O216" s="97">
        <f t="shared" si="43"/>
        <v>0</v>
      </c>
      <c r="P216" s="97">
        <f t="shared" si="44"/>
        <v>0</v>
      </c>
      <c r="Q216" s="118">
        <f t="shared" si="45"/>
        <v>0</v>
      </c>
      <c r="R216" s="97">
        <f t="shared" si="46"/>
        <v>0</v>
      </c>
      <c r="S216" s="97">
        <f t="shared" si="47"/>
        <v>0</v>
      </c>
      <c r="T216" s="118">
        <f t="shared" si="48"/>
        <v>0</v>
      </c>
      <c r="U216" s="119"/>
      <c r="V216" s="120" t="str">
        <f t="shared" si="49"/>
        <v>Cadastrar Ficha de Produção</v>
      </c>
      <c r="W216" s="121" t="str">
        <f t="shared" si="50"/>
        <v>Cadastrar Ficha de Produção</v>
      </c>
      <c r="AB216" s="125" t="str">
        <f t="shared" si="51"/>
        <v/>
      </c>
      <c r="AC216" s="125" t="str">
        <f t="shared" si="52"/>
        <v/>
      </c>
      <c r="AD216" s="126" t="str">
        <f t="shared" si="53"/>
        <v/>
      </c>
      <c r="AE216" s="127" t="str">
        <f t="shared" si="54"/>
        <v/>
      </c>
      <c r="AF216" s="128" t="str">
        <f t="shared" si="55"/>
        <v/>
      </c>
    </row>
    <row r="217" spans="1:32" ht="15.75" customHeight="1">
      <c r="A217" s="114" t="s">
        <v>294</v>
      </c>
      <c r="B217" s="114" t="s">
        <v>867</v>
      </c>
      <c r="C217" s="114" t="s">
        <v>778</v>
      </c>
      <c r="D217" s="114"/>
      <c r="E217" s="114" t="s">
        <v>610</v>
      </c>
      <c r="F217" s="114" t="s">
        <v>569</v>
      </c>
      <c r="G217" s="114" t="s">
        <v>556</v>
      </c>
      <c r="H217" s="115">
        <v>15</v>
      </c>
      <c r="I217" s="114" t="s">
        <v>551</v>
      </c>
      <c r="J217" s="116">
        <f t="shared" si="42"/>
        <v>1.27</v>
      </c>
      <c r="K217" s="97" t="str">
        <f>IFERROR(IF(VLOOKUP(D217,'Ficha de Produção'!C:C,1,0)=D217,"OK","Custo Produção Não Cadastrado"),"Custo Produção Não Cadastrado")</f>
        <v>Custo Produção Não Cadastrado</v>
      </c>
      <c r="L217" s="97" t="str">
        <f>IFERROR(IF(VLOOKUP(A217,'Ficha de Embalagens'!A:A,1,0)=A217,"OK","Ficha de Embalagens Não Cadastrada"),"Ficha de Embalagens Não Cadastrada")</f>
        <v>Ficha de Embalagens Não Cadastrada</v>
      </c>
      <c r="M217" s="117">
        <f>SUMIFS('Ficha de Produção'!N:N,'Ficha de Produção'!C:C,D217)*H217</f>
        <v>0</v>
      </c>
      <c r="N217" s="117">
        <f>SUMIFS('Ficha de Embalagens'!F:F,'Ficha de Embalagens'!A:A,A217)</f>
        <v>0</v>
      </c>
      <c r="O217" s="97">
        <f t="shared" si="43"/>
        <v>0</v>
      </c>
      <c r="P217" s="97">
        <f t="shared" si="44"/>
        <v>0</v>
      </c>
      <c r="Q217" s="118">
        <f t="shared" si="45"/>
        <v>0</v>
      </c>
      <c r="R217" s="97">
        <f t="shared" si="46"/>
        <v>0</v>
      </c>
      <c r="S217" s="97">
        <f t="shared" si="47"/>
        <v>0</v>
      </c>
      <c r="T217" s="118">
        <f t="shared" si="48"/>
        <v>0</v>
      </c>
      <c r="U217" s="119"/>
      <c r="V217" s="120" t="str">
        <f t="shared" si="49"/>
        <v>Cadastrar Ficha de Produção</v>
      </c>
      <c r="W217" s="121" t="str">
        <f t="shared" si="50"/>
        <v>Cadastrar Ficha de Produção</v>
      </c>
      <c r="AB217" s="125" t="str">
        <f t="shared" si="51"/>
        <v/>
      </c>
      <c r="AC217" s="125" t="str">
        <f t="shared" si="52"/>
        <v/>
      </c>
      <c r="AD217" s="126" t="str">
        <f t="shared" si="53"/>
        <v/>
      </c>
      <c r="AE217" s="127" t="str">
        <f t="shared" si="54"/>
        <v/>
      </c>
      <c r="AF217" s="128" t="str">
        <f t="shared" si="55"/>
        <v/>
      </c>
    </row>
    <row r="218" spans="1:32" ht="15.75" customHeight="1">
      <c r="A218" s="114" t="s">
        <v>295</v>
      </c>
      <c r="B218" s="114" t="s">
        <v>868</v>
      </c>
      <c r="C218" s="114" t="s">
        <v>778</v>
      </c>
      <c r="D218" s="114"/>
      <c r="E218" s="114" t="s">
        <v>610</v>
      </c>
      <c r="F218" s="114" t="s">
        <v>780</v>
      </c>
      <c r="G218" s="114" t="s">
        <v>556</v>
      </c>
      <c r="H218" s="115">
        <v>15</v>
      </c>
      <c r="I218" s="114" t="s">
        <v>551</v>
      </c>
      <c r="J218" s="116">
        <f t="shared" si="42"/>
        <v>1.27</v>
      </c>
      <c r="K218" s="97" t="str">
        <f>IFERROR(IF(VLOOKUP(D218,'Ficha de Produção'!C:C,1,0)=D218,"OK","Custo Produção Não Cadastrado"),"Custo Produção Não Cadastrado")</f>
        <v>Custo Produção Não Cadastrado</v>
      </c>
      <c r="L218" s="97" t="str">
        <f>IFERROR(IF(VLOOKUP(A218,'Ficha de Embalagens'!A:A,1,0)=A218,"OK","Ficha de Embalagens Não Cadastrada"),"Ficha de Embalagens Não Cadastrada")</f>
        <v>Ficha de Embalagens Não Cadastrada</v>
      </c>
      <c r="M218" s="117">
        <f>SUMIFS('Ficha de Produção'!N:N,'Ficha de Produção'!C:C,D218)*H218</f>
        <v>0</v>
      </c>
      <c r="N218" s="117">
        <f>SUMIFS('Ficha de Embalagens'!F:F,'Ficha de Embalagens'!A:A,A218)</f>
        <v>0</v>
      </c>
      <c r="O218" s="97">
        <f t="shared" si="43"/>
        <v>0</v>
      </c>
      <c r="P218" s="97">
        <f t="shared" si="44"/>
        <v>0</v>
      </c>
      <c r="Q218" s="118">
        <f t="shared" si="45"/>
        <v>0</v>
      </c>
      <c r="R218" s="97">
        <f t="shared" si="46"/>
        <v>0</v>
      </c>
      <c r="S218" s="97">
        <f t="shared" si="47"/>
        <v>0</v>
      </c>
      <c r="T218" s="118">
        <f t="shared" si="48"/>
        <v>0</v>
      </c>
      <c r="U218" s="119"/>
      <c r="V218" s="120" t="str">
        <f t="shared" si="49"/>
        <v>Cadastrar Ficha de Produção</v>
      </c>
      <c r="W218" s="121" t="str">
        <f t="shared" si="50"/>
        <v>Cadastrar Ficha de Produção</v>
      </c>
      <c r="AB218" s="125" t="str">
        <f t="shared" si="51"/>
        <v/>
      </c>
      <c r="AC218" s="125" t="str">
        <f t="shared" si="52"/>
        <v/>
      </c>
      <c r="AD218" s="126" t="str">
        <f t="shared" si="53"/>
        <v/>
      </c>
      <c r="AE218" s="127" t="str">
        <f t="shared" si="54"/>
        <v/>
      </c>
      <c r="AF218" s="128" t="str">
        <f t="shared" si="55"/>
        <v/>
      </c>
    </row>
    <row r="219" spans="1:32" ht="15.75" customHeight="1">
      <c r="A219" s="114" t="s">
        <v>296</v>
      </c>
      <c r="B219" s="114" t="s">
        <v>869</v>
      </c>
      <c r="C219" s="114" t="s">
        <v>778</v>
      </c>
      <c r="D219" s="114"/>
      <c r="E219" s="114" t="s">
        <v>610</v>
      </c>
      <c r="F219" s="114" t="s">
        <v>782</v>
      </c>
      <c r="G219" s="114" t="s">
        <v>556</v>
      </c>
      <c r="H219" s="115">
        <v>15</v>
      </c>
      <c r="I219" s="114" t="s">
        <v>551</v>
      </c>
      <c r="J219" s="116">
        <f t="shared" si="42"/>
        <v>1.27</v>
      </c>
      <c r="K219" s="97" t="str">
        <f>IFERROR(IF(VLOOKUP(D219,'Ficha de Produção'!C:C,1,0)=D219,"OK","Custo Produção Não Cadastrado"),"Custo Produção Não Cadastrado")</f>
        <v>Custo Produção Não Cadastrado</v>
      </c>
      <c r="L219" s="97" t="str">
        <f>IFERROR(IF(VLOOKUP(A219,'Ficha de Embalagens'!A:A,1,0)=A219,"OK","Ficha de Embalagens Não Cadastrada"),"Ficha de Embalagens Não Cadastrada")</f>
        <v>Ficha de Embalagens Não Cadastrada</v>
      </c>
      <c r="M219" s="117">
        <f>SUMIFS('Ficha de Produção'!N:N,'Ficha de Produção'!C:C,D219)*H219</f>
        <v>0</v>
      </c>
      <c r="N219" s="117">
        <f>SUMIFS('Ficha de Embalagens'!F:F,'Ficha de Embalagens'!A:A,A219)</f>
        <v>0</v>
      </c>
      <c r="O219" s="97">
        <f t="shared" si="43"/>
        <v>0</v>
      </c>
      <c r="P219" s="97">
        <f t="shared" si="44"/>
        <v>0</v>
      </c>
      <c r="Q219" s="118">
        <f t="shared" si="45"/>
        <v>0</v>
      </c>
      <c r="R219" s="97">
        <f t="shared" si="46"/>
        <v>0</v>
      </c>
      <c r="S219" s="97">
        <f t="shared" si="47"/>
        <v>0</v>
      </c>
      <c r="T219" s="118">
        <f t="shared" si="48"/>
        <v>0</v>
      </c>
      <c r="U219" s="119"/>
      <c r="V219" s="120" t="str">
        <f t="shared" si="49"/>
        <v>Cadastrar Ficha de Produção</v>
      </c>
      <c r="W219" s="121" t="str">
        <f t="shared" si="50"/>
        <v>Cadastrar Ficha de Produção</v>
      </c>
      <c r="AB219" s="125" t="str">
        <f t="shared" si="51"/>
        <v/>
      </c>
      <c r="AC219" s="125" t="str">
        <f t="shared" si="52"/>
        <v/>
      </c>
      <c r="AD219" s="126" t="str">
        <f t="shared" si="53"/>
        <v/>
      </c>
      <c r="AE219" s="127" t="str">
        <f t="shared" si="54"/>
        <v/>
      </c>
      <c r="AF219" s="128" t="str">
        <f t="shared" si="55"/>
        <v/>
      </c>
    </row>
    <row r="220" spans="1:32" ht="15.75" customHeight="1">
      <c r="A220" s="114" t="s">
        <v>297</v>
      </c>
      <c r="B220" s="114" t="s">
        <v>870</v>
      </c>
      <c r="C220" s="114" t="s">
        <v>778</v>
      </c>
      <c r="D220" s="114"/>
      <c r="E220" s="114" t="s">
        <v>610</v>
      </c>
      <c r="F220" s="114" t="s">
        <v>701</v>
      </c>
      <c r="G220" s="114" t="s">
        <v>556</v>
      </c>
      <c r="H220" s="115">
        <v>15</v>
      </c>
      <c r="I220" s="114" t="s">
        <v>551</v>
      </c>
      <c r="J220" s="116">
        <f t="shared" si="42"/>
        <v>1.27</v>
      </c>
      <c r="K220" s="97" t="str">
        <f>IFERROR(IF(VLOOKUP(D220,'Ficha de Produção'!C:C,1,0)=D220,"OK","Custo Produção Não Cadastrado"),"Custo Produção Não Cadastrado")</f>
        <v>Custo Produção Não Cadastrado</v>
      </c>
      <c r="L220" s="97" t="str">
        <f>IFERROR(IF(VLOOKUP(A220,'Ficha de Embalagens'!A:A,1,0)=A220,"OK","Ficha de Embalagens Não Cadastrada"),"Ficha de Embalagens Não Cadastrada")</f>
        <v>Ficha de Embalagens Não Cadastrada</v>
      </c>
      <c r="M220" s="117">
        <f>SUMIFS('Ficha de Produção'!N:N,'Ficha de Produção'!C:C,D220)*H220</f>
        <v>0</v>
      </c>
      <c r="N220" s="117">
        <f>SUMIFS('Ficha de Embalagens'!F:F,'Ficha de Embalagens'!A:A,A220)</f>
        <v>0</v>
      </c>
      <c r="O220" s="97">
        <f t="shared" si="43"/>
        <v>0</v>
      </c>
      <c r="P220" s="97">
        <f t="shared" si="44"/>
        <v>0</v>
      </c>
      <c r="Q220" s="118">
        <f t="shared" si="45"/>
        <v>0</v>
      </c>
      <c r="R220" s="97">
        <f t="shared" si="46"/>
        <v>0</v>
      </c>
      <c r="S220" s="97">
        <f t="shared" si="47"/>
        <v>0</v>
      </c>
      <c r="T220" s="118">
        <f t="shared" si="48"/>
        <v>0</v>
      </c>
      <c r="U220" s="119"/>
      <c r="V220" s="120" t="str">
        <f t="shared" si="49"/>
        <v>Cadastrar Ficha de Produção</v>
      </c>
      <c r="W220" s="121" t="str">
        <f t="shared" si="50"/>
        <v>Cadastrar Ficha de Produção</v>
      </c>
      <c r="AB220" s="125" t="str">
        <f t="shared" si="51"/>
        <v/>
      </c>
      <c r="AC220" s="125" t="str">
        <f t="shared" si="52"/>
        <v/>
      </c>
      <c r="AD220" s="126" t="str">
        <f t="shared" si="53"/>
        <v/>
      </c>
      <c r="AE220" s="127" t="str">
        <f t="shared" si="54"/>
        <v/>
      </c>
      <c r="AF220" s="128" t="str">
        <f t="shared" si="55"/>
        <v/>
      </c>
    </row>
    <row r="221" spans="1:32" ht="15.75" customHeight="1">
      <c r="A221" s="114" t="s">
        <v>298</v>
      </c>
      <c r="B221" s="114" t="s">
        <v>871</v>
      </c>
      <c r="C221" s="114" t="s">
        <v>778</v>
      </c>
      <c r="D221" s="114"/>
      <c r="E221" s="114" t="s">
        <v>610</v>
      </c>
      <c r="F221" s="114" t="s">
        <v>785</v>
      </c>
      <c r="G221" s="114" t="s">
        <v>556</v>
      </c>
      <c r="H221" s="115">
        <v>15</v>
      </c>
      <c r="I221" s="114" t="s">
        <v>551</v>
      </c>
      <c r="J221" s="116">
        <f t="shared" si="42"/>
        <v>1.27</v>
      </c>
      <c r="K221" s="97" t="str">
        <f>IFERROR(IF(VLOOKUP(D221,'Ficha de Produção'!C:C,1,0)=D221,"OK","Custo Produção Não Cadastrado"),"Custo Produção Não Cadastrado")</f>
        <v>Custo Produção Não Cadastrado</v>
      </c>
      <c r="L221" s="97" t="str">
        <f>IFERROR(IF(VLOOKUP(A221,'Ficha de Embalagens'!A:A,1,0)=A221,"OK","Ficha de Embalagens Não Cadastrada"),"Ficha de Embalagens Não Cadastrada")</f>
        <v>Ficha de Embalagens Não Cadastrada</v>
      </c>
      <c r="M221" s="117">
        <f>SUMIFS('Ficha de Produção'!N:N,'Ficha de Produção'!C:C,D221)*H221</f>
        <v>0</v>
      </c>
      <c r="N221" s="117">
        <f>SUMIFS('Ficha de Embalagens'!F:F,'Ficha de Embalagens'!A:A,A221)</f>
        <v>0</v>
      </c>
      <c r="O221" s="97">
        <f t="shared" si="43"/>
        <v>0</v>
      </c>
      <c r="P221" s="97">
        <f t="shared" si="44"/>
        <v>0</v>
      </c>
      <c r="Q221" s="118">
        <f t="shared" si="45"/>
        <v>0</v>
      </c>
      <c r="R221" s="97">
        <f t="shared" si="46"/>
        <v>0</v>
      </c>
      <c r="S221" s="97">
        <f t="shared" si="47"/>
        <v>0</v>
      </c>
      <c r="T221" s="118">
        <f t="shared" si="48"/>
        <v>0</v>
      </c>
      <c r="U221" s="119"/>
      <c r="V221" s="120" t="str">
        <f t="shared" si="49"/>
        <v>Cadastrar Ficha de Produção</v>
      </c>
      <c r="W221" s="121" t="str">
        <f t="shared" si="50"/>
        <v>Cadastrar Ficha de Produção</v>
      </c>
      <c r="AB221" s="125" t="str">
        <f t="shared" si="51"/>
        <v/>
      </c>
      <c r="AC221" s="125" t="str">
        <f t="shared" si="52"/>
        <v/>
      </c>
      <c r="AD221" s="126" t="str">
        <f t="shared" si="53"/>
        <v/>
      </c>
      <c r="AE221" s="127" t="str">
        <f t="shared" si="54"/>
        <v/>
      </c>
      <c r="AF221" s="128" t="str">
        <f t="shared" si="55"/>
        <v/>
      </c>
    </row>
    <row r="222" spans="1:32" ht="15.75" customHeight="1">
      <c r="A222" s="114" t="s">
        <v>299</v>
      </c>
      <c r="B222" s="114" t="s">
        <v>872</v>
      </c>
      <c r="C222" s="114" t="s">
        <v>778</v>
      </c>
      <c r="D222" s="114"/>
      <c r="E222" s="114" t="s">
        <v>610</v>
      </c>
      <c r="F222" s="114" t="s">
        <v>787</v>
      </c>
      <c r="G222" s="114" t="s">
        <v>556</v>
      </c>
      <c r="H222" s="115">
        <v>15</v>
      </c>
      <c r="I222" s="114" t="s">
        <v>551</v>
      </c>
      <c r="J222" s="116">
        <f t="shared" si="42"/>
        <v>1.27</v>
      </c>
      <c r="K222" s="97" t="str">
        <f>IFERROR(IF(VLOOKUP(D222,'Ficha de Produção'!C:C,1,0)=D222,"OK","Custo Produção Não Cadastrado"),"Custo Produção Não Cadastrado")</f>
        <v>Custo Produção Não Cadastrado</v>
      </c>
      <c r="L222" s="97" t="str">
        <f>IFERROR(IF(VLOOKUP(A222,'Ficha de Embalagens'!A:A,1,0)=A222,"OK","Ficha de Embalagens Não Cadastrada"),"Ficha de Embalagens Não Cadastrada")</f>
        <v>Ficha de Embalagens Não Cadastrada</v>
      </c>
      <c r="M222" s="117">
        <f>SUMIFS('Ficha de Produção'!N:N,'Ficha de Produção'!C:C,D222)*H222</f>
        <v>0</v>
      </c>
      <c r="N222" s="117">
        <f>SUMIFS('Ficha de Embalagens'!F:F,'Ficha de Embalagens'!A:A,A222)</f>
        <v>0</v>
      </c>
      <c r="O222" s="97">
        <f t="shared" si="43"/>
        <v>0</v>
      </c>
      <c r="P222" s="97">
        <f t="shared" si="44"/>
        <v>0</v>
      </c>
      <c r="Q222" s="118">
        <f t="shared" si="45"/>
        <v>0</v>
      </c>
      <c r="R222" s="97">
        <f t="shared" si="46"/>
        <v>0</v>
      </c>
      <c r="S222" s="97">
        <f t="shared" si="47"/>
        <v>0</v>
      </c>
      <c r="T222" s="118">
        <f t="shared" si="48"/>
        <v>0</v>
      </c>
      <c r="U222" s="119"/>
      <c r="V222" s="120" t="str">
        <f t="shared" si="49"/>
        <v>Cadastrar Ficha de Produção</v>
      </c>
      <c r="W222" s="121" t="str">
        <f t="shared" si="50"/>
        <v>Cadastrar Ficha de Produção</v>
      </c>
      <c r="AB222" s="125" t="str">
        <f t="shared" si="51"/>
        <v/>
      </c>
      <c r="AC222" s="125" t="str">
        <f t="shared" si="52"/>
        <v/>
      </c>
      <c r="AD222" s="126" t="str">
        <f t="shared" si="53"/>
        <v/>
      </c>
      <c r="AE222" s="127" t="str">
        <f t="shared" si="54"/>
        <v/>
      </c>
      <c r="AF222" s="128" t="str">
        <f t="shared" si="55"/>
        <v/>
      </c>
    </row>
    <row r="223" spans="1:32" ht="15.75" customHeight="1">
      <c r="A223" s="114" t="s">
        <v>300</v>
      </c>
      <c r="B223" s="114" t="s">
        <v>873</v>
      </c>
      <c r="C223" s="114" t="s">
        <v>778</v>
      </c>
      <c r="D223" s="114"/>
      <c r="E223" s="114" t="s">
        <v>610</v>
      </c>
      <c r="F223" s="114" t="s">
        <v>789</v>
      </c>
      <c r="G223" s="114" t="s">
        <v>556</v>
      </c>
      <c r="H223" s="115">
        <v>15</v>
      </c>
      <c r="I223" s="114" t="s">
        <v>551</v>
      </c>
      <c r="J223" s="116">
        <f t="shared" si="42"/>
        <v>1.27</v>
      </c>
      <c r="K223" s="97" t="str">
        <f>IFERROR(IF(VLOOKUP(D223,'Ficha de Produção'!C:C,1,0)=D223,"OK","Custo Produção Não Cadastrado"),"Custo Produção Não Cadastrado")</f>
        <v>Custo Produção Não Cadastrado</v>
      </c>
      <c r="L223" s="97" t="str">
        <f>IFERROR(IF(VLOOKUP(A223,'Ficha de Embalagens'!A:A,1,0)=A223,"OK","Ficha de Embalagens Não Cadastrada"),"Ficha de Embalagens Não Cadastrada")</f>
        <v>Ficha de Embalagens Não Cadastrada</v>
      </c>
      <c r="M223" s="117">
        <f>SUMIFS('Ficha de Produção'!N:N,'Ficha de Produção'!C:C,D223)*H223</f>
        <v>0</v>
      </c>
      <c r="N223" s="117">
        <f>SUMIFS('Ficha de Embalagens'!F:F,'Ficha de Embalagens'!A:A,A223)</f>
        <v>0</v>
      </c>
      <c r="O223" s="97">
        <f t="shared" si="43"/>
        <v>0</v>
      </c>
      <c r="P223" s="97">
        <f t="shared" si="44"/>
        <v>0</v>
      </c>
      <c r="Q223" s="118">
        <f t="shared" si="45"/>
        <v>0</v>
      </c>
      <c r="R223" s="97">
        <f t="shared" si="46"/>
        <v>0</v>
      </c>
      <c r="S223" s="97">
        <f t="shared" si="47"/>
        <v>0</v>
      </c>
      <c r="T223" s="118">
        <f t="shared" si="48"/>
        <v>0</v>
      </c>
      <c r="U223" s="119"/>
      <c r="V223" s="120" t="str">
        <f t="shared" si="49"/>
        <v>Cadastrar Ficha de Produção</v>
      </c>
      <c r="W223" s="121" t="str">
        <f t="shared" si="50"/>
        <v>Cadastrar Ficha de Produção</v>
      </c>
      <c r="AB223" s="125" t="str">
        <f t="shared" si="51"/>
        <v/>
      </c>
      <c r="AC223" s="125" t="str">
        <f t="shared" si="52"/>
        <v/>
      </c>
      <c r="AD223" s="126" t="str">
        <f t="shared" si="53"/>
        <v/>
      </c>
      <c r="AE223" s="127" t="str">
        <f t="shared" si="54"/>
        <v/>
      </c>
      <c r="AF223" s="128" t="str">
        <f t="shared" si="55"/>
        <v/>
      </c>
    </row>
    <row r="224" spans="1:32" ht="15.75" customHeight="1">
      <c r="A224" s="114" t="s">
        <v>301</v>
      </c>
      <c r="B224" s="114" t="s">
        <v>874</v>
      </c>
      <c r="C224" s="114" t="s">
        <v>778</v>
      </c>
      <c r="D224" s="114"/>
      <c r="E224" s="114" t="s">
        <v>610</v>
      </c>
      <c r="F224" s="114" t="s">
        <v>791</v>
      </c>
      <c r="G224" s="114" t="s">
        <v>556</v>
      </c>
      <c r="H224" s="115">
        <v>15</v>
      </c>
      <c r="I224" s="114" t="s">
        <v>551</v>
      </c>
      <c r="J224" s="116">
        <f t="shared" si="42"/>
        <v>1.27</v>
      </c>
      <c r="K224" s="97" t="str">
        <f>IFERROR(IF(VLOOKUP(D224,'Ficha de Produção'!C:C,1,0)=D224,"OK","Custo Produção Não Cadastrado"),"Custo Produção Não Cadastrado")</f>
        <v>Custo Produção Não Cadastrado</v>
      </c>
      <c r="L224" s="97" t="str">
        <f>IFERROR(IF(VLOOKUP(A224,'Ficha de Embalagens'!A:A,1,0)=A224,"OK","Ficha de Embalagens Não Cadastrada"),"Ficha de Embalagens Não Cadastrada")</f>
        <v>Ficha de Embalagens Não Cadastrada</v>
      </c>
      <c r="M224" s="117">
        <f>SUMIFS('Ficha de Produção'!N:N,'Ficha de Produção'!C:C,D224)*H224</f>
        <v>0</v>
      </c>
      <c r="N224" s="117">
        <f>SUMIFS('Ficha de Embalagens'!F:F,'Ficha de Embalagens'!A:A,A224)</f>
        <v>0</v>
      </c>
      <c r="O224" s="97">
        <f t="shared" si="43"/>
        <v>0</v>
      </c>
      <c r="P224" s="97">
        <f t="shared" si="44"/>
        <v>0</v>
      </c>
      <c r="Q224" s="118">
        <f t="shared" si="45"/>
        <v>0</v>
      </c>
      <c r="R224" s="97">
        <f t="shared" si="46"/>
        <v>0</v>
      </c>
      <c r="S224" s="97">
        <f t="shared" si="47"/>
        <v>0</v>
      </c>
      <c r="T224" s="118">
        <f t="shared" si="48"/>
        <v>0</v>
      </c>
      <c r="U224" s="119"/>
      <c r="V224" s="120" t="str">
        <f t="shared" si="49"/>
        <v>Cadastrar Ficha de Produção</v>
      </c>
      <c r="W224" s="121" t="str">
        <f t="shared" si="50"/>
        <v>Cadastrar Ficha de Produção</v>
      </c>
      <c r="AB224" s="125" t="str">
        <f t="shared" si="51"/>
        <v/>
      </c>
      <c r="AC224" s="125" t="str">
        <f t="shared" si="52"/>
        <v/>
      </c>
      <c r="AD224" s="126" t="str">
        <f t="shared" si="53"/>
        <v/>
      </c>
      <c r="AE224" s="127" t="str">
        <f t="shared" si="54"/>
        <v/>
      </c>
      <c r="AF224" s="128" t="str">
        <f t="shared" si="55"/>
        <v/>
      </c>
    </row>
    <row r="225" spans="1:32" ht="15.75" customHeight="1">
      <c r="A225" s="114" t="s">
        <v>302</v>
      </c>
      <c r="B225" s="114" t="s">
        <v>875</v>
      </c>
      <c r="C225" s="114" t="s">
        <v>778</v>
      </c>
      <c r="D225" s="114"/>
      <c r="E225" s="114" t="s">
        <v>610</v>
      </c>
      <c r="F225" s="114" t="s">
        <v>793</v>
      </c>
      <c r="G225" s="114" t="s">
        <v>556</v>
      </c>
      <c r="H225" s="115">
        <v>15</v>
      </c>
      <c r="I225" s="114" t="s">
        <v>551</v>
      </c>
      <c r="J225" s="116">
        <f t="shared" si="42"/>
        <v>1.27</v>
      </c>
      <c r="K225" s="97" t="str">
        <f>IFERROR(IF(VLOOKUP(D225,'Ficha de Produção'!C:C,1,0)=D225,"OK","Custo Produção Não Cadastrado"),"Custo Produção Não Cadastrado")</f>
        <v>Custo Produção Não Cadastrado</v>
      </c>
      <c r="L225" s="97" t="str">
        <f>IFERROR(IF(VLOOKUP(A225,'Ficha de Embalagens'!A:A,1,0)=A225,"OK","Ficha de Embalagens Não Cadastrada"),"Ficha de Embalagens Não Cadastrada")</f>
        <v>Ficha de Embalagens Não Cadastrada</v>
      </c>
      <c r="M225" s="117">
        <f>SUMIFS('Ficha de Produção'!N:N,'Ficha de Produção'!C:C,D225)*H225</f>
        <v>0</v>
      </c>
      <c r="N225" s="117">
        <f>SUMIFS('Ficha de Embalagens'!F:F,'Ficha de Embalagens'!A:A,A225)</f>
        <v>0</v>
      </c>
      <c r="O225" s="97">
        <f t="shared" si="43"/>
        <v>0</v>
      </c>
      <c r="P225" s="97">
        <f t="shared" si="44"/>
        <v>0</v>
      </c>
      <c r="Q225" s="118">
        <f t="shared" si="45"/>
        <v>0</v>
      </c>
      <c r="R225" s="97">
        <f t="shared" si="46"/>
        <v>0</v>
      </c>
      <c r="S225" s="97">
        <f t="shared" si="47"/>
        <v>0</v>
      </c>
      <c r="T225" s="118">
        <f t="shared" si="48"/>
        <v>0</v>
      </c>
      <c r="U225" s="119"/>
      <c r="V225" s="120" t="str">
        <f t="shared" si="49"/>
        <v>Cadastrar Ficha de Produção</v>
      </c>
      <c r="W225" s="121" t="str">
        <f t="shared" si="50"/>
        <v>Cadastrar Ficha de Produção</v>
      </c>
      <c r="AB225" s="125" t="str">
        <f t="shared" si="51"/>
        <v/>
      </c>
      <c r="AC225" s="125" t="str">
        <f t="shared" si="52"/>
        <v/>
      </c>
      <c r="AD225" s="126" t="str">
        <f t="shared" si="53"/>
        <v/>
      </c>
      <c r="AE225" s="127" t="str">
        <f t="shared" si="54"/>
        <v/>
      </c>
      <c r="AF225" s="128" t="str">
        <f t="shared" si="55"/>
        <v/>
      </c>
    </row>
    <row r="226" spans="1:32" ht="15.75" customHeight="1">
      <c r="A226" s="114" t="s">
        <v>303</v>
      </c>
      <c r="B226" s="114" t="s">
        <v>876</v>
      </c>
      <c r="C226" s="114" t="s">
        <v>778</v>
      </c>
      <c r="D226" s="114"/>
      <c r="E226" s="114" t="s">
        <v>610</v>
      </c>
      <c r="F226" s="114" t="s">
        <v>795</v>
      </c>
      <c r="G226" s="114" t="s">
        <v>556</v>
      </c>
      <c r="H226" s="115">
        <v>15</v>
      </c>
      <c r="I226" s="114" t="s">
        <v>551</v>
      </c>
      <c r="J226" s="116">
        <f t="shared" si="42"/>
        <v>1.27</v>
      </c>
      <c r="K226" s="97" t="str">
        <f>IFERROR(IF(VLOOKUP(D226,'Ficha de Produção'!C:C,1,0)=D226,"OK","Custo Produção Não Cadastrado"),"Custo Produção Não Cadastrado")</f>
        <v>Custo Produção Não Cadastrado</v>
      </c>
      <c r="L226" s="97" t="str">
        <f>IFERROR(IF(VLOOKUP(A226,'Ficha de Embalagens'!A:A,1,0)=A226,"OK","Ficha de Embalagens Não Cadastrada"),"Ficha de Embalagens Não Cadastrada")</f>
        <v>Ficha de Embalagens Não Cadastrada</v>
      </c>
      <c r="M226" s="117">
        <f>SUMIFS('Ficha de Produção'!N:N,'Ficha de Produção'!C:C,D226)*H226</f>
        <v>0</v>
      </c>
      <c r="N226" s="117">
        <f>SUMIFS('Ficha de Embalagens'!F:F,'Ficha de Embalagens'!A:A,A226)</f>
        <v>0</v>
      </c>
      <c r="O226" s="97">
        <f t="shared" si="43"/>
        <v>0</v>
      </c>
      <c r="P226" s="97">
        <f t="shared" si="44"/>
        <v>0</v>
      </c>
      <c r="Q226" s="118">
        <f t="shared" si="45"/>
        <v>0</v>
      </c>
      <c r="R226" s="97">
        <f t="shared" si="46"/>
        <v>0</v>
      </c>
      <c r="S226" s="97">
        <f t="shared" si="47"/>
        <v>0</v>
      </c>
      <c r="T226" s="118">
        <f t="shared" si="48"/>
        <v>0</v>
      </c>
      <c r="U226" s="119"/>
      <c r="V226" s="120" t="str">
        <f t="shared" si="49"/>
        <v>Cadastrar Ficha de Produção</v>
      </c>
      <c r="W226" s="121" t="str">
        <f t="shared" si="50"/>
        <v>Cadastrar Ficha de Produção</v>
      </c>
      <c r="AB226" s="125" t="str">
        <f t="shared" si="51"/>
        <v/>
      </c>
      <c r="AC226" s="125" t="str">
        <f t="shared" si="52"/>
        <v/>
      </c>
      <c r="AD226" s="126" t="str">
        <f t="shared" si="53"/>
        <v/>
      </c>
      <c r="AE226" s="127" t="str">
        <f t="shared" si="54"/>
        <v/>
      </c>
      <c r="AF226" s="128" t="str">
        <f t="shared" si="55"/>
        <v/>
      </c>
    </row>
    <row r="227" spans="1:32" ht="15.75" customHeight="1">
      <c r="A227" s="114" t="s">
        <v>304</v>
      </c>
      <c r="B227" s="114" t="s">
        <v>877</v>
      </c>
      <c r="C227" s="114" t="s">
        <v>778</v>
      </c>
      <c r="D227" s="114"/>
      <c r="E227" s="114" t="s">
        <v>610</v>
      </c>
      <c r="F227" s="114" t="s">
        <v>797</v>
      </c>
      <c r="G227" s="114" t="s">
        <v>556</v>
      </c>
      <c r="H227" s="115">
        <v>15</v>
      </c>
      <c r="I227" s="114" t="s">
        <v>551</v>
      </c>
      <c r="J227" s="116">
        <f t="shared" si="42"/>
        <v>1.27</v>
      </c>
      <c r="K227" s="97" t="str">
        <f>IFERROR(IF(VLOOKUP(D227,'Ficha de Produção'!C:C,1,0)=D227,"OK","Custo Produção Não Cadastrado"),"Custo Produção Não Cadastrado")</f>
        <v>Custo Produção Não Cadastrado</v>
      </c>
      <c r="L227" s="97" t="str">
        <f>IFERROR(IF(VLOOKUP(A227,'Ficha de Embalagens'!A:A,1,0)=A227,"OK","Ficha de Embalagens Não Cadastrada"),"Ficha de Embalagens Não Cadastrada")</f>
        <v>Ficha de Embalagens Não Cadastrada</v>
      </c>
      <c r="M227" s="117">
        <f>SUMIFS('Ficha de Produção'!N:N,'Ficha de Produção'!C:C,D227)*H227</f>
        <v>0</v>
      </c>
      <c r="N227" s="117">
        <f>SUMIFS('Ficha de Embalagens'!F:F,'Ficha de Embalagens'!A:A,A227)</f>
        <v>0</v>
      </c>
      <c r="O227" s="97">
        <f t="shared" si="43"/>
        <v>0</v>
      </c>
      <c r="P227" s="97">
        <f t="shared" si="44"/>
        <v>0</v>
      </c>
      <c r="Q227" s="118">
        <f t="shared" si="45"/>
        <v>0</v>
      </c>
      <c r="R227" s="97">
        <f t="shared" si="46"/>
        <v>0</v>
      </c>
      <c r="S227" s="97">
        <f t="shared" si="47"/>
        <v>0</v>
      </c>
      <c r="T227" s="118">
        <f t="shared" si="48"/>
        <v>0</v>
      </c>
      <c r="U227" s="119"/>
      <c r="V227" s="120" t="str">
        <f t="shared" si="49"/>
        <v>Cadastrar Ficha de Produção</v>
      </c>
      <c r="W227" s="121" t="str">
        <f t="shared" si="50"/>
        <v>Cadastrar Ficha de Produção</v>
      </c>
      <c r="AB227" s="125" t="str">
        <f t="shared" si="51"/>
        <v/>
      </c>
      <c r="AC227" s="125" t="str">
        <f t="shared" si="52"/>
        <v/>
      </c>
      <c r="AD227" s="126" t="str">
        <f t="shared" si="53"/>
        <v/>
      </c>
      <c r="AE227" s="127" t="str">
        <f t="shared" si="54"/>
        <v/>
      </c>
      <c r="AF227" s="128" t="str">
        <f t="shared" si="55"/>
        <v/>
      </c>
    </row>
    <row r="228" spans="1:32" ht="15.75" customHeight="1">
      <c r="A228" s="114" t="s">
        <v>305</v>
      </c>
      <c r="B228" s="114" t="s">
        <v>878</v>
      </c>
      <c r="C228" s="114" t="s">
        <v>778</v>
      </c>
      <c r="D228" s="114"/>
      <c r="E228" s="114" t="s">
        <v>610</v>
      </c>
      <c r="F228" s="114" t="s">
        <v>799</v>
      </c>
      <c r="G228" s="114" t="s">
        <v>556</v>
      </c>
      <c r="H228" s="115">
        <v>15</v>
      </c>
      <c r="I228" s="114" t="s">
        <v>551</v>
      </c>
      <c r="J228" s="116">
        <f t="shared" si="42"/>
        <v>1.27</v>
      </c>
      <c r="K228" s="97" t="str">
        <f>IFERROR(IF(VLOOKUP(D228,'Ficha de Produção'!C:C,1,0)=D228,"OK","Custo Produção Não Cadastrado"),"Custo Produção Não Cadastrado")</f>
        <v>Custo Produção Não Cadastrado</v>
      </c>
      <c r="L228" s="97" t="str">
        <f>IFERROR(IF(VLOOKUP(A228,'Ficha de Embalagens'!A:A,1,0)=A228,"OK","Ficha de Embalagens Não Cadastrada"),"Ficha de Embalagens Não Cadastrada")</f>
        <v>Ficha de Embalagens Não Cadastrada</v>
      </c>
      <c r="M228" s="117">
        <f>SUMIFS('Ficha de Produção'!N:N,'Ficha de Produção'!C:C,D228)*H228</f>
        <v>0</v>
      </c>
      <c r="N228" s="117">
        <f>SUMIFS('Ficha de Embalagens'!F:F,'Ficha de Embalagens'!A:A,A228)</f>
        <v>0</v>
      </c>
      <c r="O228" s="97">
        <f t="shared" si="43"/>
        <v>0</v>
      </c>
      <c r="P228" s="97">
        <f t="shared" si="44"/>
        <v>0</v>
      </c>
      <c r="Q228" s="118">
        <f t="shared" si="45"/>
        <v>0</v>
      </c>
      <c r="R228" s="97">
        <f t="shared" si="46"/>
        <v>0</v>
      </c>
      <c r="S228" s="97">
        <f t="shared" si="47"/>
        <v>0</v>
      </c>
      <c r="T228" s="118">
        <f t="shared" si="48"/>
        <v>0</v>
      </c>
      <c r="U228" s="119"/>
      <c r="V228" s="120" t="str">
        <f t="shared" si="49"/>
        <v>Cadastrar Ficha de Produção</v>
      </c>
      <c r="W228" s="121" t="str">
        <f t="shared" si="50"/>
        <v>Cadastrar Ficha de Produção</v>
      </c>
      <c r="AB228" s="125" t="str">
        <f t="shared" si="51"/>
        <v/>
      </c>
      <c r="AC228" s="125" t="str">
        <f t="shared" si="52"/>
        <v/>
      </c>
      <c r="AD228" s="126" t="str">
        <f t="shared" si="53"/>
        <v/>
      </c>
      <c r="AE228" s="127" t="str">
        <f t="shared" si="54"/>
        <v/>
      </c>
      <c r="AF228" s="128" t="str">
        <f t="shared" si="55"/>
        <v/>
      </c>
    </row>
    <row r="229" spans="1:32" ht="15.75" customHeight="1">
      <c r="A229" s="114" t="s">
        <v>306</v>
      </c>
      <c r="B229" s="114" t="s">
        <v>879</v>
      </c>
      <c r="C229" s="114" t="s">
        <v>778</v>
      </c>
      <c r="D229" s="114"/>
      <c r="E229" s="114" t="s">
        <v>610</v>
      </c>
      <c r="F229" s="114" t="s">
        <v>801</v>
      </c>
      <c r="G229" s="114" t="s">
        <v>556</v>
      </c>
      <c r="H229" s="115">
        <v>15</v>
      </c>
      <c r="I229" s="114" t="s">
        <v>551</v>
      </c>
      <c r="J229" s="116">
        <f t="shared" si="42"/>
        <v>1.27</v>
      </c>
      <c r="K229" s="97" t="str">
        <f>IFERROR(IF(VLOOKUP(D229,'Ficha de Produção'!C:C,1,0)=D229,"OK","Custo Produção Não Cadastrado"),"Custo Produção Não Cadastrado")</f>
        <v>Custo Produção Não Cadastrado</v>
      </c>
      <c r="L229" s="97" t="str">
        <f>IFERROR(IF(VLOOKUP(A229,'Ficha de Embalagens'!A:A,1,0)=A229,"OK","Ficha de Embalagens Não Cadastrada"),"Ficha de Embalagens Não Cadastrada")</f>
        <v>Ficha de Embalagens Não Cadastrada</v>
      </c>
      <c r="M229" s="117">
        <f>SUMIFS('Ficha de Produção'!N:N,'Ficha de Produção'!C:C,D229)*H229</f>
        <v>0</v>
      </c>
      <c r="N229" s="117">
        <f>SUMIFS('Ficha de Embalagens'!F:F,'Ficha de Embalagens'!A:A,A229)</f>
        <v>0</v>
      </c>
      <c r="O229" s="97">
        <f t="shared" si="43"/>
        <v>0</v>
      </c>
      <c r="P229" s="97">
        <f t="shared" si="44"/>
        <v>0</v>
      </c>
      <c r="Q229" s="118">
        <f t="shared" si="45"/>
        <v>0</v>
      </c>
      <c r="R229" s="97">
        <f t="shared" si="46"/>
        <v>0</v>
      </c>
      <c r="S229" s="97">
        <f t="shared" si="47"/>
        <v>0</v>
      </c>
      <c r="T229" s="118">
        <f t="shared" si="48"/>
        <v>0</v>
      </c>
      <c r="U229" s="119"/>
      <c r="V229" s="120" t="str">
        <f t="shared" si="49"/>
        <v>Cadastrar Ficha de Produção</v>
      </c>
      <c r="W229" s="121" t="str">
        <f t="shared" si="50"/>
        <v>Cadastrar Ficha de Produção</v>
      </c>
      <c r="AB229" s="125" t="str">
        <f t="shared" si="51"/>
        <v/>
      </c>
      <c r="AC229" s="125" t="str">
        <f t="shared" si="52"/>
        <v/>
      </c>
      <c r="AD229" s="126" t="str">
        <f t="shared" si="53"/>
        <v/>
      </c>
      <c r="AE229" s="127" t="str">
        <f t="shared" si="54"/>
        <v/>
      </c>
      <c r="AF229" s="128" t="str">
        <f t="shared" si="55"/>
        <v/>
      </c>
    </row>
    <row r="230" spans="1:32" ht="15.75" customHeight="1">
      <c r="A230" s="114" t="s">
        <v>307</v>
      </c>
      <c r="B230" s="114" t="s">
        <v>880</v>
      </c>
      <c r="C230" s="114" t="s">
        <v>778</v>
      </c>
      <c r="D230" s="114"/>
      <c r="E230" s="114" t="s">
        <v>610</v>
      </c>
      <c r="F230" s="114" t="s">
        <v>803</v>
      </c>
      <c r="G230" s="114" t="s">
        <v>556</v>
      </c>
      <c r="H230" s="115">
        <v>15</v>
      </c>
      <c r="I230" s="114" t="s">
        <v>551</v>
      </c>
      <c r="J230" s="116">
        <f t="shared" si="42"/>
        <v>1.27</v>
      </c>
      <c r="K230" s="97" t="str">
        <f>IFERROR(IF(VLOOKUP(D230,'Ficha de Produção'!C:C,1,0)=D230,"OK","Custo Produção Não Cadastrado"),"Custo Produção Não Cadastrado")</f>
        <v>Custo Produção Não Cadastrado</v>
      </c>
      <c r="L230" s="97" t="str">
        <f>IFERROR(IF(VLOOKUP(A230,'Ficha de Embalagens'!A:A,1,0)=A230,"OK","Ficha de Embalagens Não Cadastrada"),"Ficha de Embalagens Não Cadastrada")</f>
        <v>Ficha de Embalagens Não Cadastrada</v>
      </c>
      <c r="M230" s="117">
        <f>SUMIFS('Ficha de Produção'!N:N,'Ficha de Produção'!C:C,D230)*H230</f>
        <v>0</v>
      </c>
      <c r="N230" s="117">
        <f>SUMIFS('Ficha de Embalagens'!F:F,'Ficha de Embalagens'!A:A,A230)</f>
        <v>0</v>
      </c>
      <c r="O230" s="97">
        <f t="shared" si="43"/>
        <v>0</v>
      </c>
      <c r="P230" s="97">
        <f t="shared" si="44"/>
        <v>0</v>
      </c>
      <c r="Q230" s="118">
        <f t="shared" si="45"/>
        <v>0</v>
      </c>
      <c r="R230" s="97">
        <f t="shared" si="46"/>
        <v>0</v>
      </c>
      <c r="S230" s="97">
        <f t="shared" si="47"/>
        <v>0</v>
      </c>
      <c r="T230" s="118">
        <f t="shared" si="48"/>
        <v>0</v>
      </c>
      <c r="U230" s="119"/>
      <c r="V230" s="120" t="str">
        <f t="shared" si="49"/>
        <v>Cadastrar Ficha de Produção</v>
      </c>
      <c r="W230" s="121" t="str">
        <f t="shared" si="50"/>
        <v>Cadastrar Ficha de Produção</v>
      </c>
      <c r="AB230" s="125" t="str">
        <f t="shared" si="51"/>
        <v/>
      </c>
      <c r="AC230" s="125" t="str">
        <f t="shared" si="52"/>
        <v/>
      </c>
      <c r="AD230" s="126" t="str">
        <f t="shared" si="53"/>
        <v/>
      </c>
      <c r="AE230" s="127" t="str">
        <f t="shared" si="54"/>
        <v/>
      </c>
      <c r="AF230" s="128" t="str">
        <f t="shared" si="55"/>
        <v/>
      </c>
    </row>
    <row r="231" spans="1:32" ht="15.75" customHeight="1">
      <c r="A231" s="114" t="s">
        <v>308</v>
      </c>
      <c r="B231" s="114" t="s">
        <v>881</v>
      </c>
      <c r="C231" s="114" t="s">
        <v>778</v>
      </c>
      <c r="D231" s="114"/>
      <c r="E231" s="114" t="s">
        <v>610</v>
      </c>
      <c r="F231" s="114" t="s">
        <v>805</v>
      </c>
      <c r="G231" s="114" t="s">
        <v>556</v>
      </c>
      <c r="H231" s="115">
        <v>15</v>
      </c>
      <c r="I231" s="114" t="s">
        <v>551</v>
      </c>
      <c r="J231" s="116">
        <f t="shared" si="42"/>
        <v>1.27</v>
      </c>
      <c r="K231" s="97" t="str">
        <f>IFERROR(IF(VLOOKUP(D231,'Ficha de Produção'!C:C,1,0)=D231,"OK","Custo Produção Não Cadastrado"),"Custo Produção Não Cadastrado")</f>
        <v>Custo Produção Não Cadastrado</v>
      </c>
      <c r="L231" s="97" t="str">
        <f>IFERROR(IF(VLOOKUP(A231,'Ficha de Embalagens'!A:A,1,0)=A231,"OK","Ficha de Embalagens Não Cadastrada"),"Ficha de Embalagens Não Cadastrada")</f>
        <v>Ficha de Embalagens Não Cadastrada</v>
      </c>
      <c r="M231" s="117">
        <f>SUMIFS('Ficha de Produção'!N:N,'Ficha de Produção'!C:C,D231)*H231</f>
        <v>0</v>
      </c>
      <c r="N231" s="117">
        <f>SUMIFS('Ficha de Embalagens'!F:F,'Ficha de Embalagens'!A:A,A231)</f>
        <v>0</v>
      </c>
      <c r="O231" s="97">
        <f t="shared" si="43"/>
        <v>0</v>
      </c>
      <c r="P231" s="97">
        <f t="shared" si="44"/>
        <v>0</v>
      </c>
      <c r="Q231" s="118">
        <f t="shared" si="45"/>
        <v>0</v>
      </c>
      <c r="R231" s="97">
        <f t="shared" si="46"/>
        <v>0</v>
      </c>
      <c r="S231" s="97">
        <f t="shared" si="47"/>
        <v>0</v>
      </c>
      <c r="T231" s="118">
        <f t="shared" si="48"/>
        <v>0</v>
      </c>
      <c r="U231" s="119"/>
      <c r="V231" s="120" t="str">
        <f t="shared" si="49"/>
        <v>Cadastrar Ficha de Produção</v>
      </c>
      <c r="W231" s="121" t="str">
        <f t="shared" si="50"/>
        <v>Cadastrar Ficha de Produção</v>
      </c>
      <c r="AB231" s="125" t="str">
        <f t="shared" si="51"/>
        <v/>
      </c>
      <c r="AC231" s="125" t="str">
        <f t="shared" si="52"/>
        <v/>
      </c>
      <c r="AD231" s="126" t="str">
        <f t="shared" si="53"/>
        <v/>
      </c>
      <c r="AE231" s="127" t="str">
        <f t="shared" si="54"/>
        <v/>
      </c>
      <c r="AF231" s="128" t="str">
        <f t="shared" si="55"/>
        <v/>
      </c>
    </row>
    <row r="232" spans="1:32" ht="15.75" customHeight="1">
      <c r="A232" s="114" t="s">
        <v>309</v>
      </c>
      <c r="B232" s="114" t="s">
        <v>882</v>
      </c>
      <c r="C232" s="114" t="s">
        <v>778</v>
      </c>
      <c r="D232" s="114"/>
      <c r="E232" s="114" t="s">
        <v>610</v>
      </c>
      <c r="F232" s="114" t="s">
        <v>807</v>
      </c>
      <c r="G232" s="114" t="s">
        <v>556</v>
      </c>
      <c r="H232" s="115">
        <v>15</v>
      </c>
      <c r="I232" s="114" t="s">
        <v>551</v>
      </c>
      <c r="J232" s="116">
        <f t="shared" si="42"/>
        <v>1.27</v>
      </c>
      <c r="K232" s="97" t="str">
        <f>IFERROR(IF(VLOOKUP(D232,'Ficha de Produção'!C:C,1,0)=D232,"OK","Custo Produção Não Cadastrado"),"Custo Produção Não Cadastrado")</f>
        <v>Custo Produção Não Cadastrado</v>
      </c>
      <c r="L232" s="97" t="str">
        <f>IFERROR(IF(VLOOKUP(A232,'Ficha de Embalagens'!A:A,1,0)=A232,"OK","Ficha de Embalagens Não Cadastrada"),"Ficha de Embalagens Não Cadastrada")</f>
        <v>Ficha de Embalagens Não Cadastrada</v>
      </c>
      <c r="M232" s="117">
        <f>SUMIFS('Ficha de Produção'!N:N,'Ficha de Produção'!C:C,D232)*H232</f>
        <v>0</v>
      </c>
      <c r="N232" s="117">
        <f>SUMIFS('Ficha de Embalagens'!F:F,'Ficha de Embalagens'!A:A,A232)</f>
        <v>0</v>
      </c>
      <c r="O232" s="97">
        <f t="shared" si="43"/>
        <v>0</v>
      </c>
      <c r="P232" s="97">
        <f t="shared" si="44"/>
        <v>0</v>
      </c>
      <c r="Q232" s="118">
        <f t="shared" si="45"/>
        <v>0</v>
      </c>
      <c r="R232" s="97">
        <f t="shared" si="46"/>
        <v>0</v>
      </c>
      <c r="S232" s="97">
        <f t="shared" si="47"/>
        <v>0</v>
      </c>
      <c r="T232" s="118">
        <f t="shared" si="48"/>
        <v>0</v>
      </c>
      <c r="U232" s="119"/>
      <c r="V232" s="120" t="str">
        <f t="shared" si="49"/>
        <v>Cadastrar Ficha de Produção</v>
      </c>
      <c r="W232" s="121" t="str">
        <f t="shared" si="50"/>
        <v>Cadastrar Ficha de Produção</v>
      </c>
      <c r="AB232" s="125" t="str">
        <f t="shared" si="51"/>
        <v/>
      </c>
      <c r="AC232" s="125" t="str">
        <f t="shared" si="52"/>
        <v/>
      </c>
      <c r="AD232" s="126" t="str">
        <f t="shared" si="53"/>
        <v/>
      </c>
      <c r="AE232" s="127" t="str">
        <f t="shared" si="54"/>
        <v/>
      </c>
      <c r="AF232" s="128" t="str">
        <f t="shared" si="55"/>
        <v/>
      </c>
    </row>
    <row r="233" spans="1:32" ht="15.75" customHeight="1">
      <c r="A233" s="114" t="s">
        <v>310</v>
      </c>
      <c r="B233" s="114" t="s">
        <v>883</v>
      </c>
      <c r="C233" s="114" t="s">
        <v>778</v>
      </c>
      <c r="D233" s="114"/>
      <c r="E233" s="114" t="s">
        <v>829</v>
      </c>
      <c r="F233" s="114" t="s">
        <v>701</v>
      </c>
      <c r="G233" s="114" t="s">
        <v>556</v>
      </c>
      <c r="H233" s="115">
        <v>15</v>
      </c>
      <c r="I233" s="114" t="s">
        <v>551</v>
      </c>
      <c r="J233" s="116">
        <f t="shared" si="42"/>
        <v>1.27</v>
      </c>
      <c r="K233" s="97" t="str">
        <f>IFERROR(IF(VLOOKUP(D233,'Ficha de Produção'!C:C,1,0)=D233,"OK","Custo Produção Não Cadastrado"),"Custo Produção Não Cadastrado")</f>
        <v>Custo Produção Não Cadastrado</v>
      </c>
      <c r="L233" s="97" t="str">
        <f>IFERROR(IF(VLOOKUP(A233,'Ficha de Embalagens'!A:A,1,0)=A233,"OK","Ficha de Embalagens Não Cadastrada"),"Ficha de Embalagens Não Cadastrada")</f>
        <v>Ficha de Embalagens Não Cadastrada</v>
      </c>
      <c r="M233" s="117">
        <f>SUMIFS('Ficha de Produção'!N:N,'Ficha de Produção'!C:C,D233)*H233</f>
        <v>0</v>
      </c>
      <c r="N233" s="117">
        <f>SUMIFS('Ficha de Embalagens'!F:F,'Ficha de Embalagens'!A:A,A233)</f>
        <v>0</v>
      </c>
      <c r="O233" s="97">
        <f t="shared" si="43"/>
        <v>0</v>
      </c>
      <c r="P233" s="97">
        <f t="shared" si="44"/>
        <v>0</v>
      </c>
      <c r="Q233" s="118">
        <f t="shared" si="45"/>
        <v>0</v>
      </c>
      <c r="R233" s="97">
        <f t="shared" si="46"/>
        <v>0</v>
      </c>
      <c r="S233" s="97">
        <f t="shared" si="47"/>
        <v>0</v>
      </c>
      <c r="T233" s="118">
        <f t="shared" si="48"/>
        <v>0</v>
      </c>
      <c r="U233" s="119"/>
      <c r="V233" s="120" t="str">
        <f t="shared" si="49"/>
        <v>Cadastrar Ficha de Produção</v>
      </c>
      <c r="W233" s="121" t="str">
        <f t="shared" si="50"/>
        <v>Cadastrar Ficha de Produção</v>
      </c>
      <c r="AB233" s="125" t="str">
        <f t="shared" si="51"/>
        <v/>
      </c>
      <c r="AC233" s="125" t="str">
        <f t="shared" si="52"/>
        <v/>
      </c>
      <c r="AD233" s="126" t="str">
        <f t="shared" si="53"/>
        <v/>
      </c>
      <c r="AE233" s="127" t="str">
        <f t="shared" si="54"/>
        <v/>
      </c>
      <c r="AF233" s="128" t="str">
        <f t="shared" si="55"/>
        <v/>
      </c>
    </row>
    <row r="234" spans="1:32" ht="15.75" customHeight="1">
      <c r="A234" s="114" t="s">
        <v>311</v>
      </c>
      <c r="B234" s="114" t="s">
        <v>884</v>
      </c>
      <c r="C234" s="114" t="s">
        <v>778</v>
      </c>
      <c r="D234" s="114"/>
      <c r="E234" s="114" t="s">
        <v>829</v>
      </c>
      <c r="F234" s="114" t="s">
        <v>704</v>
      </c>
      <c r="G234" s="114" t="s">
        <v>556</v>
      </c>
      <c r="H234" s="115">
        <v>15</v>
      </c>
      <c r="I234" s="114" t="s">
        <v>551</v>
      </c>
      <c r="J234" s="116">
        <f t="shared" si="42"/>
        <v>1.27</v>
      </c>
      <c r="K234" s="97" t="str">
        <f>IFERROR(IF(VLOOKUP(D234,'Ficha de Produção'!C:C,1,0)=D234,"OK","Custo Produção Não Cadastrado"),"Custo Produção Não Cadastrado")</f>
        <v>Custo Produção Não Cadastrado</v>
      </c>
      <c r="L234" s="97" t="str">
        <f>IFERROR(IF(VLOOKUP(A234,'Ficha de Embalagens'!A:A,1,0)=A234,"OK","Ficha de Embalagens Não Cadastrada"),"Ficha de Embalagens Não Cadastrada")</f>
        <v>Ficha de Embalagens Não Cadastrada</v>
      </c>
      <c r="M234" s="117">
        <f>SUMIFS('Ficha de Produção'!N:N,'Ficha de Produção'!C:C,D234)*H234</f>
        <v>0</v>
      </c>
      <c r="N234" s="117">
        <f>SUMIFS('Ficha de Embalagens'!F:F,'Ficha de Embalagens'!A:A,A234)</f>
        <v>0</v>
      </c>
      <c r="O234" s="97">
        <f t="shared" si="43"/>
        <v>0</v>
      </c>
      <c r="P234" s="97">
        <f t="shared" si="44"/>
        <v>0</v>
      </c>
      <c r="Q234" s="118">
        <f t="shared" si="45"/>
        <v>0</v>
      </c>
      <c r="R234" s="97">
        <f t="shared" si="46"/>
        <v>0</v>
      </c>
      <c r="S234" s="97">
        <f t="shared" si="47"/>
        <v>0</v>
      </c>
      <c r="T234" s="118">
        <f t="shared" si="48"/>
        <v>0</v>
      </c>
      <c r="U234" s="119"/>
      <c r="V234" s="120" t="str">
        <f t="shared" si="49"/>
        <v>Cadastrar Ficha de Produção</v>
      </c>
      <c r="W234" s="121" t="str">
        <f t="shared" si="50"/>
        <v>Cadastrar Ficha de Produção</v>
      </c>
      <c r="AB234" s="125" t="str">
        <f t="shared" si="51"/>
        <v/>
      </c>
      <c r="AC234" s="125" t="str">
        <f t="shared" si="52"/>
        <v/>
      </c>
      <c r="AD234" s="126" t="str">
        <f t="shared" si="53"/>
        <v/>
      </c>
      <c r="AE234" s="127" t="str">
        <f t="shared" si="54"/>
        <v/>
      </c>
      <c r="AF234" s="128" t="str">
        <f t="shared" si="55"/>
        <v/>
      </c>
    </row>
    <row r="235" spans="1:32" ht="15.75" customHeight="1">
      <c r="A235" s="114" t="s">
        <v>312</v>
      </c>
      <c r="B235" s="114" t="s">
        <v>885</v>
      </c>
      <c r="C235" s="114" t="s">
        <v>778</v>
      </c>
      <c r="D235" s="114"/>
      <c r="E235" s="114" t="s">
        <v>841</v>
      </c>
      <c r="F235" s="114" t="s">
        <v>569</v>
      </c>
      <c r="G235" s="114" t="s">
        <v>556</v>
      </c>
      <c r="H235" s="115">
        <v>15</v>
      </c>
      <c r="I235" s="114" t="s">
        <v>551</v>
      </c>
      <c r="J235" s="116">
        <f t="shared" si="42"/>
        <v>1.27</v>
      </c>
      <c r="K235" s="97" t="str">
        <f>IFERROR(IF(VLOOKUP(D235,'Ficha de Produção'!C:C,1,0)=D235,"OK","Custo Produção Não Cadastrado"),"Custo Produção Não Cadastrado")</f>
        <v>Custo Produção Não Cadastrado</v>
      </c>
      <c r="L235" s="97" t="str">
        <f>IFERROR(IF(VLOOKUP(A235,'Ficha de Embalagens'!A:A,1,0)=A235,"OK","Ficha de Embalagens Não Cadastrada"),"Ficha de Embalagens Não Cadastrada")</f>
        <v>Ficha de Embalagens Não Cadastrada</v>
      </c>
      <c r="M235" s="117">
        <f>SUMIFS('Ficha de Produção'!N:N,'Ficha de Produção'!C:C,D235)*H235</f>
        <v>0</v>
      </c>
      <c r="N235" s="117">
        <f>SUMIFS('Ficha de Embalagens'!F:F,'Ficha de Embalagens'!A:A,A235)</f>
        <v>0</v>
      </c>
      <c r="O235" s="97">
        <f t="shared" si="43"/>
        <v>0</v>
      </c>
      <c r="P235" s="97">
        <f t="shared" si="44"/>
        <v>0</v>
      </c>
      <c r="Q235" s="118">
        <f t="shared" si="45"/>
        <v>0</v>
      </c>
      <c r="R235" s="97">
        <f t="shared" si="46"/>
        <v>0</v>
      </c>
      <c r="S235" s="97">
        <f t="shared" si="47"/>
        <v>0</v>
      </c>
      <c r="T235" s="118">
        <f t="shared" si="48"/>
        <v>0</v>
      </c>
      <c r="U235" s="119"/>
      <c r="V235" s="120" t="str">
        <f t="shared" si="49"/>
        <v>Cadastrar Ficha de Produção</v>
      </c>
      <c r="W235" s="121" t="str">
        <f t="shared" si="50"/>
        <v>Cadastrar Ficha de Produção</v>
      </c>
      <c r="AB235" s="125" t="str">
        <f t="shared" si="51"/>
        <v/>
      </c>
      <c r="AC235" s="125" t="str">
        <f t="shared" si="52"/>
        <v/>
      </c>
      <c r="AD235" s="126" t="str">
        <f t="shared" si="53"/>
        <v/>
      </c>
      <c r="AE235" s="127" t="str">
        <f t="shared" si="54"/>
        <v/>
      </c>
      <c r="AF235" s="128" t="str">
        <f t="shared" si="55"/>
        <v/>
      </c>
    </row>
    <row r="236" spans="1:32" ht="15.75" customHeight="1">
      <c r="A236" s="114" t="s">
        <v>313</v>
      </c>
      <c r="B236" s="114" t="s">
        <v>886</v>
      </c>
      <c r="C236" s="114" t="s">
        <v>778</v>
      </c>
      <c r="D236" s="114"/>
      <c r="E236" s="114" t="s">
        <v>829</v>
      </c>
      <c r="F236" s="114" t="s">
        <v>780</v>
      </c>
      <c r="G236" s="114" t="s">
        <v>556</v>
      </c>
      <c r="H236" s="115">
        <v>15</v>
      </c>
      <c r="I236" s="114" t="s">
        <v>551</v>
      </c>
      <c r="J236" s="116">
        <f t="shared" si="42"/>
        <v>1.27</v>
      </c>
      <c r="K236" s="97" t="str">
        <f>IFERROR(IF(VLOOKUP(D236,'Ficha de Produção'!C:C,1,0)=D236,"OK","Custo Produção Não Cadastrado"),"Custo Produção Não Cadastrado")</f>
        <v>Custo Produção Não Cadastrado</v>
      </c>
      <c r="L236" s="97" t="str">
        <f>IFERROR(IF(VLOOKUP(A236,'Ficha de Embalagens'!A:A,1,0)=A236,"OK","Ficha de Embalagens Não Cadastrada"),"Ficha de Embalagens Não Cadastrada")</f>
        <v>Ficha de Embalagens Não Cadastrada</v>
      </c>
      <c r="M236" s="117">
        <f>SUMIFS('Ficha de Produção'!N:N,'Ficha de Produção'!C:C,D236)*H236</f>
        <v>0</v>
      </c>
      <c r="N236" s="117">
        <f>SUMIFS('Ficha de Embalagens'!F:F,'Ficha de Embalagens'!A:A,A236)</f>
        <v>0</v>
      </c>
      <c r="O236" s="97">
        <f t="shared" si="43"/>
        <v>0</v>
      </c>
      <c r="P236" s="97">
        <f t="shared" si="44"/>
        <v>0</v>
      </c>
      <c r="Q236" s="118">
        <f t="shared" si="45"/>
        <v>0</v>
      </c>
      <c r="R236" s="97">
        <f t="shared" si="46"/>
        <v>0</v>
      </c>
      <c r="S236" s="97">
        <f t="shared" si="47"/>
        <v>0</v>
      </c>
      <c r="T236" s="118">
        <f t="shared" si="48"/>
        <v>0</v>
      </c>
      <c r="U236" s="119"/>
      <c r="V236" s="120" t="str">
        <f t="shared" si="49"/>
        <v>Cadastrar Ficha de Produção</v>
      </c>
      <c r="W236" s="121" t="str">
        <f t="shared" si="50"/>
        <v>Cadastrar Ficha de Produção</v>
      </c>
      <c r="AB236" s="125" t="str">
        <f t="shared" si="51"/>
        <v/>
      </c>
      <c r="AC236" s="125" t="str">
        <f t="shared" si="52"/>
        <v/>
      </c>
      <c r="AD236" s="126" t="str">
        <f t="shared" si="53"/>
        <v/>
      </c>
      <c r="AE236" s="127" t="str">
        <f t="shared" si="54"/>
        <v/>
      </c>
      <c r="AF236" s="128" t="str">
        <f t="shared" si="55"/>
        <v/>
      </c>
    </row>
    <row r="237" spans="1:32" ht="15.75" customHeight="1">
      <c r="A237" s="114" t="s">
        <v>314</v>
      </c>
      <c r="B237" s="114" t="s">
        <v>887</v>
      </c>
      <c r="C237" s="114" t="s">
        <v>778</v>
      </c>
      <c r="D237" s="114"/>
      <c r="E237" s="114" t="s">
        <v>829</v>
      </c>
      <c r="F237" s="114" t="s">
        <v>782</v>
      </c>
      <c r="G237" s="114" t="s">
        <v>556</v>
      </c>
      <c r="H237" s="115">
        <v>15</v>
      </c>
      <c r="I237" s="114" t="s">
        <v>551</v>
      </c>
      <c r="J237" s="116">
        <f t="shared" si="42"/>
        <v>1.27</v>
      </c>
      <c r="K237" s="97" t="str">
        <f>IFERROR(IF(VLOOKUP(D237,'Ficha de Produção'!C:C,1,0)=D237,"OK","Custo Produção Não Cadastrado"),"Custo Produção Não Cadastrado")</f>
        <v>Custo Produção Não Cadastrado</v>
      </c>
      <c r="L237" s="97" t="str">
        <f>IFERROR(IF(VLOOKUP(A237,'Ficha de Embalagens'!A:A,1,0)=A237,"OK","Ficha de Embalagens Não Cadastrada"),"Ficha de Embalagens Não Cadastrada")</f>
        <v>Ficha de Embalagens Não Cadastrada</v>
      </c>
      <c r="M237" s="117">
        <f>SUMIFS('Ficha de Produção'!N:N,'Ficha de Produção'!C:C,D237)*H237</f>
        <v>0</v>
      </c>
      <c r="N237" s="117">
        <f>SUMIFS('Ficha de Embalagens'!F:F,'Ficha de Embalagens'!A:A,A237)</f>
        <v>0</v>
      </c>
      <c r="O237" s="97">
        <f t="shared" si="43"/>
        <v>0</v>
      </c>
      <c r="P237" s="97">
        <f t="shared" si="44"/>
        <v>0</v>
      </c>
      <c r="Q237" s="118">
        <f t="shared" si="45"/>
        <v>0</v>
      </c>
      <c r="R237" s="97">
        <f t="shared" si="46"/>
        <v>0</v>
      </c>
      <c r="S237" s="97">
        <f t="shared" si="47"/>
        <v>0</v>
      </c>
      <c r="T237" s="118">
        <f t="shared" si="48"/>
        <v>0</v>
      </c>
      <c r="U237" s="119"/>
      <c r="V237" s="120" t="str">
        <f t="shared" si="49"/>
        <v>Cadastrar Ficha de Produção</v>
      </c>
      <c r="W237" s="121" t="str">
        <f t="shared" si="50"/>
        <v>Cadastrar Ficha de Produção</v>
      </c>
      <c r="AB237" s="125" t="str">
        <f t="shared" si="51"/>
        <v/>
      </c>
      <c r="AC237" s="125" t="str">
        <f t="shared" si="52"/>
        <v/>
      </c>
      <c r="AD237" s="126" t="str">
        <f t="shared" si="53"/>
        <v/>
      </c>
      <c r="AE237" s="127" t="str">
        <f t="shared" si="54"/>
        <v/>
      </c>
      <c r="AF237" s="128" t="str">
        <f t="shared" si="55"/>
        <v/>
      </c>
    </row>
    <row r="238" spans="1:32" ht="15.75" customHeight="1">
      <c r="A238" s="114" t="s">
        <v>315</v>
      </c>
      <c r="B238" s="114" t="s">
        <v>888</v>
      </c>
      <c r="C238" s="114" t="s">
        <v>778</v>
      </c>
      <c r="D238" s="114"/>
      <c r="E238" s="114" t="s">
        <v>829</v>
      </c>
      <c r="F238" s="114" t="s">
        <v>785</v>
      </c>
      <c r="G238" s="114" t="s">
        <v>556</v>
      </c>
      <c r="H238" s="115">
        <v>15</v>
      </c>
      <c r="I238" s="114" t="s">
        <v>551</v>
      </c>
      <c r="J238" s="116">
        <f t="shared" si="42"/>
        <v>1.27</v>
      </c>
      <c r="K238" s="97" t="str">
        <f>IFERROR(IF(VLOOKUP(D238,'Ficha de Produção'!C:C,1,0)=D238,"OK","Custo Produção Não Cadastrado"),"Custo Produção Não Cadastrado")</f>
        <v>Custo Produção Não Cadastrado</v>
      </c>
      <c r="L238" s="97" t="str">
        <f>IFERROR(IF(VLOOKUP(A238,'Ficha de Embalagens'!A:A,1,0)=A238,"OK","Ficha de Embalagens Não Cadastrada"),"Ficha de Embalagens Não Cadastrada")</f>
        <v>Ficha de Embalagens Não Cadastrada</v>
      </c>
      <c r="M238" s="117">
        <f>SUMIFS('Ficha de Produção'!N:N,'Ficha de Produção'!C:C,D238)*H238</f>
        <v>0</v>
      </c>
      <c r="N238" s="117">
        <f>SUMIFS('Ficha de Embalagens'!F:F,'Ficha de Embalagens'!A:A,A238)</f>
        <v>0</v>
      </c>
      <c r="O238" s="97">
        <f t="shared" si="43"/>
        <v>0</v>
      </c>
      <c r="P238" s="97">
        <f t="shared" si="44"/>
        <v>0</v>
      </c>
      <c r="Q238" s="118">
        <f t="shared" si="45"/>
        <v>0</v>
      </c>
      <c r="R238" s="97">
        <f t="shared" si="46"/>
        <v>0</v>
      </c>
      <c r="S238" s="97">
        <f t="shared" si="47"/>
        <v>0</v>
      </c>
      <c r="T238" s="118">
        <f t="shared" si="48"/>
        <v>0</v>
      </c>
      <c r="U238" s="119"/>
      <c r="V238" s="120" t="str">
        <f t="shared" si="49"/>
        <v>Cadastrar Ficha de Produção</v>
      </c>
      <c r="W238" s="121" t="str">
        <f t="shared" si="50"/>
        <v>Cadastrar Ficha de Produção</v>
      </c>
      <c r="AB238" s="125" t="str">
        <f t="shared" si="51"/>
        <v/>
      </c>
      <c r="AC238" s="125" t="str">
        <f t="shared" si="52"/>
        <v/>
      </c>
      <c r="AD238" s="126" t="str">
        <f t="shared" si="53"/>
        <v/>
      </c>
      <c r="AE238" s="127" t="str">
        <f t="shared" si="54"/>
        <v/>
      </c>
      <c r="AF238" s="128" t="str">
        <f t="shared" si="55"/>
        <v/>
      </c>
    </row>
    <row r="239" spans="1:32" ht="15.75" customHeight="1">
      <c r="A239" s="114" t="s">
        <v>316</v>
      </c>
      <c r="B239" s="114" t="s">
        <v>889</v>
      </c>
      <c r="C239" s="114" t="s">
        <v>778</v>
      </c>
      <c r="D239" s="114"/>
      <c r="E239" s="114" t="s">
        <v>829</v>
      </c>
      <c r="F239" s="114" t="s">
        <v>787</v>
      </c>
      <c r="G239" s="114" t="s">
        <v>556</v>
      </c>
      <c r="H239" s="115">
        <v>15</v>
      </c>
      <c r="I239" s="114" t="s">
        <v>551</v>
      </c>
      <c r="J239" s="116">
        <f t="shared" si="42"/>
        <v>1.27</v>
      </c>
      <c r="K239" s="97" t="str">
        <f>IFERROR(IF(VLOOKUP(D239,'Ficha de Produção'!C:C,1,0)=D239,"OK","Custo Produção Não Cadastrado"),"Custo Produção Não Cadastrado")</f>
        <v>Custo Produção Não Cadastrado</v>
      </c>
      <c r="L239" s="97" t="str">
        <f>IFERROR(IF(VLOOKUP(A239,'Ficha de Embalagens'!A:A,1,0)=A239,"OK","Ficha de Embalagens Não Cadastrada"),"Ficha de Embalagens Não Cadastrada")</f>
        <v>Ficha de Embalagens Não Cadastrada</v>
      </c>
      <c r="M239" s="117">
        <f>SUMIFS('Ficha de Produção'!N:N,'Ficha de Produção'!C:C,D239)*H239</f>
        <v>0</v>
      </c>
      <c r="N239" s="117">
        <f>SUMIFS('Ficha de Embalagens'!F:F,'Ficha de Embalagens'!A:A,A239)</f>
        <v>0</v>
      </c>
      <c r="O239" s="97">
        <f t="shared" si="43"/>
        <v>0</v>
      </c>
      <c r="P239" s="97">
        <f t="shared" si="44"/>
        <v>0</v>
      </c>
      <c r="Q239" s="118">
        <f t="shared" si="45"/>
        <v>0</v>
      </c>
      <c r="R239" s="97">
        <f t="shared" si="46"/>
        <v>0</v>
      </c>
      <c r="S239" s="97">
        <f t="shared" si="47"/>
        <v>0</v>
      </c>
      <c r="T239" s="118">
        <f t="shared" si="48"/>
        <v>0</v>
      </c>
      <c r="U239" s="119"/>
      <c r="V239" s="120" t="str">
        <f t="shared" si="49"/>
        <v>Cadastrar Ficha de Produção</v>
      </c>
      <c r="W239" s="121" t="str">
        <f t="shared" si="50"/>
        <v>Cadastrar Ficha de Produção</v>
      </c>
      <c r="AB239" s="125" t="str">
        <f t="shared" si="51"/>
        <v/>
      </c>
      <c r="AC239" s="125" t="str">
        <f t="shared" si="52"/>
        <v/>
      </c>
      <c r="AD239" s="126" t="str">
        <f t="shared" si="53"/>
        <v/>
      </c>
      <c r="AE239" s="127" t="str">
        <f t="shared" si="54"/>
        <v/>
      </c>
      <c r="AF239" s="128" t="str">
        <f t="shared" si="55"/>
        <v/>
      </c>
    </row>
    <row r="240" spans="1:32" ht="15.75" customHeight="1">
      <c r="A240" s="114" t="s">
        <v>317</v>
      </c>
      <c r="B240" s="114" t="s">
        <v>890</v>
      </c>
      <c r="C240" s="114" t="s">
        <v>778</v>
      </c>
      <c r="D240" s="114"/>
      <c r="E240" s="114" t="s">
        <v>829</v>
      </c>
      <c r="F240" s="114" t="s">
        <v>789</v>
      </c>
      <c r="G240" s="114" t="s">
        <v>556</v>
      </c>
      <c r="H240" s="115">
        <v>15</v>
      </c>
      <c r="I240" s="114" t="s">
        <v>551</v>
      </c>
      <c r="J240" s="116">
        <f t="shared" si="42"/>
        <v>1.27</v>
      </c>
      <c r="K240" s="97" t="str">
        <f>IFERROR(IF(VLOOKUP(D240,'Ficha de Produção'!C:C,1,0)=D240,"OK","Custo Produção Não Cadastrado"),"Custo Produção Não Cadastrado")</f>
        <v>Custo Produção Não Cadastrado</v>
      </c>
      <c r="L240" s="97" t="str">
        <f>IFERROR(IF(VLOOKUP(A240,'Ficha de Embalagens'!A:A,1,0)=A240,"OK","Ficha de Embalagens Não Cadastrada"),"Ficha de Embalagens Não Cadastrada")</f>
        <v>Ficha de Embalagens Não Cadastrada</v>
      </c>
      <c r="M240" s="117">
        <f>SUMIFS('Ficha de Produção'!N:N,'Ficha de Produção'!C:C,D240)*H240</f>
        <v>0</v>
      </c>
      <c r="N240" s="117">
        <f>SUMIFS('Ficha de Embalagens'!F:F,'Ficha de Embalagens'!A:A,A240)</f>
        <v>0</v>
      </c>
      <c r="O240" s="97">
        <f t="shared" si="43"/>
        <v>0</v>
      </c>
      <c r="P240" s="97">
        <f t="shared" si="44"/>
        <v>0</v>
      </c>
      <c r="Q240" s="118">
        <f t="shared" si="45"/>
        <v>0</v>
      </c>
      <c r="R240" s="97">
        <f t="shared" si="46"/>
        <v>0</v>
      </c>
      <c r="S240" s="97">
        <f t="shared" si="47"/>
        <v>0</v>
      </c>
      <c r="T240" s="118">
        <f t="shared" si="48"/>
        <v>0</v>
      </c>
      <c r="U240" s="119"/>
      <c r="V240" s="120" t="str">
        <f t="shared" si="49"/>
        <v>Cadastrar Ficha de Produção</v>
      </c>
      <c r="W240" s="121" t="str">
        <f t="shared" si="50"/>
        <v>Cadastrar Ficha de Produção</v>
      </c>
      <c r="AB240" s="125" t="str">
        <f t="shared" si="51"/>
        <v/>
      </c>
      <c r="AC240" s="125" t="str">
        <f t="shared" si="52"/>
        <v/>
      </c>
      <c r="AD240" s="126" t="str">
        <f t="shared" si="53"/>
        <v/>
      </c>
      <c r="AE240" s="127" t="str">
        <f t="shared" si="54"/>
        <v/>
      </c>
      <c r="AF240" s="128" t="str">
        <f t="shared" si="55"/>
        <v/>
      </c>
    </row>
    <row r="241" spans="1:32" ht="15.75" customHeight="1">
      <c r="A241" s="114" t="s">
        <v>318</v>
      </c>
      <c r="B241" s="114" t="s">
        <v>891</v>
      </c>
      <c r="C241" s="114" t="s">
        <v>778</v>
      </c>
      <c r="D241" s="114"/>
      <c r="E241" s="114" t="s">
        <v>829</v>
      </c>
      <c r="F241" s="114" t="s">
        <v>791</v>
      </c>
      <c r="G241" s="114" t="s">
        <v>556</v>
      </c>
      <c r="H241" s="115">
        <v>15</v>
      </c>
      <c r="I241" s="114" t="s">
        <v>551</v>
      </c>
      <c r="J241" s="116">
        <f t="shared" si="42"/>
        <v>1.27</v>
      </c>
      <c r="K241" s="97" t="str">
        <f>IFERROR(IF(VLOOKUP(D241,'Ficha de Produção'!C:C,1,0)=D241,"OK","Custo Produção Não Cadastrado"),"Custo Produção Não Cadastrado")</f>
        <v>Custo Produção Não Cadastrado</v>
      </c>
      <c r="L241" s="97" t="str">
        <f>IFERROR(IF(VLOOKUP(A241,'Ficha de Embalagens'!A:A,1,0)=A241,"OK","Ficha de Embalagens Não Cadastrada"),"Ficha de Embalagens Não Cadastrada")</f>
        <v>Ficha de Embalagens Não Cadastrada</v>
      </c>
      <c r="M241" s="117">
        <f>SUMIFS('Ficha de Produção'!N:N,'Ficha de Produção'!C:C,D241)*H241</f>
        <v>0</v>
      </c>
      <c r="N241" s="117">
        <f>SUMIFS('Ficha de Embalagens'!F:F,'Ficha de Embalagens'!A:A,A241)</f>
        <v>0</v>
      </c>
      <c r="O241" s="97">
        <f t="shared" si="43"/>
        <v>0</v>
      </c>
      <c r="P241" s="97">
        <f t="shared" si="44"/>
        <v>0</v>
      </c>
      <c r="Q241" s="118">
        <f t="shared" si="45"/>
        <v>0</v>
      </c>
      <c r="R241" s="97">
        <f t="shared" si="46"/>
        <v>0</v>
      </c>
      <c r="S241" s="97">
        <f t="shared" si="47"/>
        <v>0</v>
      </c>
      <c r="T241" s="118">
        <f t="shared" si="48"/>
        <v>0</v>
      </c>
      <c r="U241" s="119"/>
      <c r="V241" s="120" t="str">
        <f t="shared" si="49"/>
        <v>Cadastrar Ficha de Produção</v>
      </c>
      <c r="W241" s="121" t="str">
        <f t="shared" si="50"/>
        <v>Cadastrar Ficha de Produção</v>
      </c>
      <c r="AB241" s="125" t="str">
        <f t="shared" si="51"/>
        <v/>
      </c>
      <c r="AC241" s="125" t="str">
        <f t="shared" si="52"/>
        <v/>
      </c>
      <c r="AD241" s="126" t="str">
        <f t="shared" si="53"/>
        <v/>
      </c>
      <c r="AE241" s="127" t="str">
        <f t="shared" si="54"/>
        <v/>
      </c>
      <c r="AF241" s="128" t="str">
        <f t="shared" si="55"/>
        <v/>
      </c>
    </row>
    <row r="242" spans="1:32" ht="15.75" customHeight="1">
      <c r="A242" s="114" t="s">
        <v>319</v>
      </c>
      <c r="B242" s="114" t="s">
        <v>892</v>
      </c>
      <c r="C242" s="114" t="s">
        <v>778</v>
      </c>
      <c r="D242" s="114"/>
      <c r="E242" s="114" t="s">
        <v>829</v>
      </c>
      <c r="F242" s="114" t="s">
        <v>793</v>
      </c>
      <c r="G242" s="114" t="s">
        <v>556</v>
      </c>
      <c r="H242" s="115">
        <v>15</v>
      </c>
      <c r="I242" s="114" t="s">
        <v>551</v>
      </c>
      <c r="J242" s="116">
        <f t="shared" si="42"/>
        <v>1.27</v>
      </c>
      <c r="K242" s="97" t="str">
        <f>IFERROR(IF(VLOOKUP(D242,'Ficha de Produção'!C:C,1,0)=D242,"OK","Custo Produção Não Cadastrado"),"Custo Produção Não Cadastrado")</f>
        <v>Custo Produção Não Cadastrado</v>
      </c>
      <c r="L242" s="97" t="str">
        <f>IFERROR(IF(VLOOKUP(A242,'Ficha de Embalagens'!A:A,1,0)=A242,"OK","Ficha de Embalagens Não Cadastrada"),"Ficha de Embalagens Não Cadastrada")</f>
        <v>Ficha de Embalagens Não Cadastrada</v>
      </c>
      <c r="M242" s="117">
        <f>SUMIFS('Ficha de Produção'!N:N,'Ficha de Produção'!C:C,D242)*H242</f>
        <v>0</v>
      </c>
      <c r="N242" s="117">
        <f>SUMIFS('Ficha de Embalagens'!F:F,'Ficha de Embalagens'!A:A,A242)</f>
        <v>0</v>
      </c>
      <c r="O242" s="97">
        <f t="shared" si="43"/>
        <v>0</v>
      </c>
      <c r="P242" s="97">
        <f t="shared" si="44"/>
        <v>0</v>
      </c>
      <c r="Q242" s="118">
        <f t="shared" si="45"/>
        <v>0</v>
      </c>
      <c r="R242" s="97">
        <f t="shared" si="46"/>
        <v>0</v>
      </c>
      <c r="S242" s="97">
        <f t="shared" si="47"/>
        <v>0</v>
      </c>
      <c r="T242" s="118">
        <f t="shared" si="48"/>
        <v>0</v>
      </c>
      <c r="U242" s="119"/>
      <c r="V242" s="120" t="str">
        <f t="shared" si="49"/>
        <v>Cadastrar Ficha de Produção</v>
      </c>
      <c r="W242" s="121" t="str">
        <f t="shared" si="50"/>
        <v>Cadastrar Ficha de Produção</v>
      </c>
      <c r="AB242" s="125" t="str">
        <f t="shared" si="51"/>
        <v/>
      </c>
      <c r="AC242" s="125" t="str">
        <f t="shared" si="52"/>
        <v/>
      </c>
      <c r="AD242" s="126" t="str">
        <f t="shared" si="53"/>
        <v/>
      </c>
      <c r="AE242" s="127" t="str">
        <f t="shared" si="54"/>
        <v/>
      </c>
      <c r="AF242" s="128" t="str">
        <f t="shared" si="55"/>
        <v/>
      </c>
    </row>
    <row r="243" spans="1:32" ht="15.75" customHeight="1">
      <c r="A243" s="114" t="s">
        <v>320</v>
      </c>
      <c r="B243" s="114" t="s">
        <v>893</v>
      </c>
      <c r="C243" s="114" t="s">
        <v>778</v>
      </c>
      <c r="D243" s="114"/>
      <c r="E243" s="114" t="s">
        <v>829</v>
      </c>
      <c r="F243" s="114" t="s">
        <v>795</v>
      </c>
      <c r="G243" s="114" t="s">
        <v>556</v>
      </c>
      <c r="H243" s="115">
        <v>15</v>
      </c>
      <c r="I243" s="114" t="s">
        <v>551</v>
      </c>
      <c r="J243" s="116">
        <f t="shared" si="42"/>
        <v>1.27</v>
      </c>
      <c r="K243" s="97" t="str">
        <f>IFERROR(IF(VLOOKUP(D243,'Ficha de Produção'!C:C,1,0)=D243,"OK","Custo Produção Não Cadastrado"),"Custo Produção Não Cadastrado")</f>
        <v>Custo Produção Não Cadastrado</v>
      </c>
      <c r="L243" s="97" t="str">
        <f>IFERROR(IF(VLOOKUP(A243,'Ficha de Embalagens'!A:A,1,0)=A243,"OK","Ficha de Embalagens Não Cadastrada"),"Ficha de Embalagens Não Cadastrada")</f>
        <v>Ficha de Embalagens Não Cadastrada</v>
      </c>
      <c r="M243" s="117">
        <f>SUMIFS('Ficha de Produção'!N:N,'Ficha de Produção'!C:C,D243)*H243</f>
        <v>0</v>
      </c>
      <c r="N243" s="117">
        <f>SUMIFS('Ficha de Embalagens'!F:F,'Ficha de Embalagens'!A:A,A243)</f>
        <v>0</v>
      </c>
      <c r="O243" s="97">
        <f t="shared" si="43"/>
        <v>0</v>
      </c>
      <c r="P243" s="97">
        <f t="shared" si="44"/>
        <v>0</v>
      </c>
      <c r="Q243" s="118">
        <f t="shared" si="45"/>
        <v>0</v>
      </c>
      <c r="R243" s="97">
        <f t="shared" si="46"/>
        <v>0</v>
      </c>
      <c r="S243" s="97">
        <f t="shared" si="47"/>
        <v>0</v>
      </c>
      <c r="T243" s="118">
        <f t="shared" si="48"/>
        <v>0</v>
      </c>
      <c r="U243" s="119"/>
      <c r="V243" s="120" t="str">
        <f t="shared" si="49"/>
        <v>Cadastrar Ficha de Produção</v>
      </c>
      <c r="W243" s="121" t="str">
        <f t="shared" si="50"/>
        <v>Cadastrar Ficha de Produção</v>
      </c>
      <c r="AB243" s="125" t="str">
        <f t="shared" si="51"/>
        <v/>
      </c>
      <c r="AC243" s="125" t="str">
        <f t="shared" si="52"/>
        <v/>
      </c>
      <c r="AD243" s="126" t="str">
        <f t="shared" si="53"/>
        <v/>
      </c>
      <c r="AE243" s="127" t="str">
        <f t="shared" si="54"/>
        <v/>
      </c>
      <c r="AF243" s="128" t="str">
        <f t="shared" si="55"/>
        <v/>
      </c>
    </row>
    <row r="244" spans="1:32" ht="15.75" customHeight="1">
      <c r="A244" s="114" t="s">
        <v>321</v>
      </c>
      <c r="B244" s="114" t="s">
        <v>894</v>
      </c>
      <c r="C244" s="114" t="s">
        <v>778</v>
      </c>
      <c r="D244" s="114"/>
      <c r="E244" s="114" t="s">
        <v>841</v>
      </c>
      <c r="F244" s="114" t="s">
        <v>797</v>
      </c>
      <c r="G244" s="114" t="s">
        <v>556</v>
      </c>
      <c r="H244" s="115">
        <v>15</v>
      </c>
      <c r="I244" s="114" t="s">
        <v>551</v>
      </c>
      <c r="J244" s="116">
        <f t="shared" si="42"/>
        <v>1.27</v>
      </c>
      <c r="K244" s="97" t="str">
        <f>IFERROR(IF(VLOOKUP(D244,'Ficha de Produção'!C:C,1,0)=D244,"OK","Custo Produção Não Cadastrado"),"Custo Produção Não Cadastrado")</f>
        <v>Custo Produção Não Cadastrado</v>
      </c>
      <c r="L244" s="97" t="str">
        <f>IFERROR(IF(VLOOKUP(A244,'Ficha de Embalagens'!A:A,1,0)=A244,"OK","Ficha de Embalagens Não Cadastrada"),"Ficha de Embalagens Não Cadastrada")</f>
        <v>Ficha de Embalagens Não Cadastrada</v>
      </c>
      <c r="M244" s="117">
        <f>SUMIFS('Ficha de Produção'!N:N,'Ficha de Produção'!C:C,D244)*H244</f>
        <v>0</v>
      </c>
      <c r="N244" s="117">
        <f>SUMIFS('Ficha de Embalagens'!F:F,'Ficha de Embalagens'!A:A,A244)</f>
        <v>0</v>
      </c>
      <c r="O244" s="97">
        <f t="shared" si="43"/>
        <v>0</v>
      </c>
      <c r="P244" s="97">
        <f t="shared" si="44"/>
        <v>0</v>
      </c>
      <c r="Q244" s="118">
        <f t="shared" si="45"/>
        <v>0</v>
      </c>
      <c r="R244" s="97">
        <f t="shared" si="46"/>
        <v>0</v>
      </c>
      <c r="S244" s="97">
        <f t="shared" si="47"/>
        <v>0</v>
      </c>
      <c r="T244" s="118">
        <f t="shared" si="48"/>
        <v>0</v>
      </c>
      <c r="U244" s="119"/>
      <c r="V244" s="120" t="str">
        <f t="shared" si="49"/>
        <v>Cadastrar Ficha de Produção</v>
      </c>
      <c r="W244" s="121" t="str">
        <f t="shared" si="50"/>
        <v>Cadastrar Ficha de Produção</v>
      </c>
      <c r="AB244" s="125" t="str">
        <f t="shared" si="51"/>
        <v/>
      </c>
      <c r="AC244" s="125" t="str">
        <f t="shared" si="52"/>
        <v/>
      </c>
      <c r="AD244" s="126" t="str">
        <f t="shared" si="53"/>
        <v/>
      </c>
      <c r="AE244" s="127" t="str">
        <f t="shared" si="54"/>
        <v/>
      </c>
      <c r="AF244" s="128" t="str">
        <f t="shared" si="55"/>
        <v/>
      </c>
    </row>
    <row r="245" spans="1:32" ht="15.75" customHeight="1">
      <c r="A245" s="114" t="s">
        <v>322</v>
      </c>
      <c r="B245" s="114" t="s">
        <v>895</v>
      </c>
      <c r="C245" s="114" t="s">
        <v>778</v>
      </c>
      <c r="D245" s="114"/>
      <c r="E245" s="114" t="s">
        <v>829</v>
      </c>
      <c r="F245" s="114" t="s">
        <v>799</v>
      </c>
      <c r="G245" s="114" t="s">
        <v>556</v>
      </c>
      <c r="H245" s="115">
        <v>15</v>
      </c>
      <c r="I245" s="114" t="s">
        <v>551</v>
      </c>
      <c r="J245" s="116">
        <f t="shared" si="42"/>
        <v>1.27</v>
      </c>
      <c r="K245" s="97" t="str">
        <f>IFERROR(IF(VLOOKUP(D245,'Ficha de Produção'!C:C,1,0)=D245,"OK","Custo Produção Não Cadastrado"),"Custo Produção Não Cadastrado")</f>
        <v>Custo Produção Não Cadastrado</v>
      </c>
      <c r="L245" s="97" t="str">
        <f>IFERROR(IF(VLOOKUP(A245,'Ficha de Embalagens'!A:A,1,0)=A245,"OK","Ficha de Embalagens Não Cadastrada"),"Ficha de Embalagens Não Cadastrada")</f>
        <v>Ficha de Embalagens Não Cadastrada</v>
      </c>
      <c r="M245" s="117">
        <f>SUMIFS('Ficha de Produção'!N:N,'Ficha de Produção'!C:C,D245)*H245</f>
        <v>0</v>
      </c>
      <c r="N245" s="117">
        <f>SUMIFS('Ficha de Embalagens'!F:F,'Ficha de Embalagens'!A:A,A245)</f>
        <v>0</v>
      </c>
      <c r="O245" s="97">
        <f t="shared" si="43"/>
        <v>0</v>
      </c>
      <c r="P245" s="97">
        <f t="shared" si="44"/>
        <v>0</v>
      </c>
      <c r="Q245" s="118">
        <f t="shared" si="45"/>
        <v>0</v>
      </c>
      <c r="R245" s="97">
        <f t="shared" si="46"/>
        <v>0</v>
      </c>
      <c r="S245" s="97">
        <f t="shared" si="47"/>
        <v>0</v>
      </c>
      <c r="T245" s="118">
        <f t="shared" si="48"/>
        <v>0</v>
      </c>
      <c r="U245" s="119"/>
      <c r="V245" s="120" t="str">
        <f t="shared" si="49"/>
        <v>Cadastrar Ficha de Produção</v>
      </c>
      <c r="W245" s="121" t="str">
        <f t="shared" si="50"/>
        <v>Cadastrar Ficha de Produção</v>
      </c>
      <c r="AB245" s="125" t="str">
        <f t="shared" si="51"/>
        <v/>
      </c>
      <c r="AC245" s="125" t="str">
        <f t="shared" si="52"/>
        <v/>
      </c>
      <c r="AD245" s="126" t="str">
        <f t="shared" si="53"/>
        <v/>
      </c>
      <c r="AE245" s="127" t="str">
        <f t="shared" si="54"/>
        <v/>
      </c>
      <c r="AF245" s="128" t="str">
        <f t="shared" si="55"/>
        <v/>
      </c>
    </row>
    <row r="246" spans="1:32" ht="15.75" customHeight="1">
      <c r="A246" s="114" t="s">
        <v>323</v>
      </c>
      <c r="B246" s="114" t="s">
        <v>896</v>
      </c>
      <c r="C246" s="114" t="s">
        <v>778</v>
      </c>
      <c r="D246" s="114"/>
      <c r="E246" s="114" t="s">
        <v>829</v>
      </c>
      <c r="F246" s="114" t="s">
        <v>801</v>
      </c>
      <c r="G246" s="114" t="s">
        <v>556</v>
      </c>
      <c r="H246" s="115">
        <v>15</v>
      </c>
      <c r="I246" s="114" t="s">
        <v>551</v>
      </c>
      <c r="J246" s="116">
        <f t="shared" si="42"/>
        <v>1.27</v>
      </c>
      <c r="K246" s="97" t="str">
        <f>IFERROR(IF(VLOOKUP(D246,'Ficha de Produção'!C:C,1,0)=D246,"OK","Custo Produção Não Cadastrado"),"Custo Produção Não Cadastrado")</f>
        <v>Custo Produção Não Cadastrado</v>
      </c>
      <c r="L246" s="97" t="str">
        <f>IFERROR(IF(VLOOKUP(A246,'Ficha de Embalagens'!A:A,1,0)=A246,"OK","Ficha de Embalagens Não Cadastrada"),"Ficha de Embalagens Não Cadastrada")</f>
        <v>Ficha de Embalagens Não Cadastrada</v>
      </c>
      <c r="M246" s="117">
        <f>SUMIFS('Ficha de Produção'!N:N,'Ficha de Produção'!C:C,D246)*H246</f>
        <v>0</v>
      </c>
      <c r="N246" s="117">
        <f>SUMIFS('Ficha de Embalagens'!F:F,'Ficha de Embalagens'!A:A,A246)</f>
        <v>0</v>
      </c>
      <c r="O246" s="97">
        <f t="shared" si="43"/>
        <v>0</v>
      </c>
      <c r="P246" s="97">
        <f t="shared" si="44"/>
        <v>0</v>
      </c>
      <c r="Q246" s="118">
        <f t="shared" si="45"/>
        <v>0</v>
      </c>
      <c r="R246" s="97">
        <f t="shared" si="46"/>
        <v>0</v>
      </c>
      <c r="S246" s="97">
        <f t="shared" si="47"/>
        <v>0</v>
      </c>
      <c r="T246" s="118">
        <f t="shared" si="48"/>
        <v>0</v>
      </c>
      <c r="U246" s="119"/>
      <c r="V246" s="120" t="str">
        <f t="shared" si="49"/>
        <v>Cadastrar Ficha de Produção</v>
      </c>
      <c r="W246" s="121" t="str">
        <f t="shared" si="50"/>
        <v>Cadastrar Ficha de Produção</v>
      </c>
      <c r="AB246" s="125" t="str">
        <f t="shared" si="51"/>
        <v/>
      </c>
      <c r="AC246" s="125" t="str">
        <f t="shared" si="52"/>
        <v/>
      </c>
      <c r="AD246" s="126" t="str">
        <f t="shared" si="53"/>
        <v/>
      </c>
      <c r="AE246" s="127" t="str">
        <f t="shared" si="54"/>
        <v/>
      </c>
      <c r="AF246" s="128" t="str">
        <f t="shared" si="55"/>
        <v/>
      </c>
    </row>
    <row r="247" spans="1:32" ht="15.75" customHeight="1">
      <c r="A247" s="114" t="s">
        <v>324</v>
      </c>
      <c r="B247" s="114" t="s">
        <v>897</v>
      </c>
      <c r="C247" s="114" t="s">
        <v>778</v>
      </c>
      <c r="D247" s="114"/>
      <c r="E247" s="114" t="s">
        <v>829</v>
      </c>
      <c r="F247" s="114" t="s">
        <v>803</v>
      </c>
      <c r="G247" s="114" t="s">
        <v>556</v>
      </c>
      <c r="H247" s="115">
        <v>15</v>
      </c>
      <c r="I247" s="114" t="s">
        <v>551</v>
      </c>
      <c r="J247" s="116">
        <f t="shared" si="42"/>
        <v>1.27</v>
      </c>
      <c r="K247" s="97" t="str">
        <f>IFERROR(IF(VLOOKUP(D247,'Ficha de Produção'!C:C,1,0)=D247,"OK","Custo Produção Não Cadastrado"),"Custo Produção Não Cadastrado")</f>
        <v>Custo Produção Não Cadastrado</v>
      </c>
      <c r="L247" s="97" t="str">
        <f>IFERROR(IF(VLOOKUP(A247,'Ficha de Embalagens'!A:A,1,0)=A247,"OK","Ficha de Embalagens Não Cadastrada"),"Ficha de Embalagens Não Cadastrada")</f>
        <v>Ficha de Embalagens Não Cadastrada</v>
      </c>
      <c r="M247" s="117">
        <f>SUMIFS('Ficha de Produção'!N:N,'Ficha de Produção'!C:C,D247)*H247</f>
        <v>0</v>
      </c>
      <c r="N247" s="117">
        <f>SUMIFS('Ficha de Embalagens'!F:F,'Ficha de Embalagens'!A:A,A247)</f>
        <v>0</v>
      </c>
      <c r="O247" s="97">
        <f t="shared" si="43"/>
        <v>0</v>
      </c>
      <c r="P247" s="97">
        <f t="shared" si="44"/>
        <v>0</v>
      </c>
      <c r="Q247" s="118">
        <f t="shared" si="45"/>
        <v>0</v>
      </c>
      <c r="R247" s="97">
        <f t="shared" si="46"/>
        <v>0</v>
      </c>
      <c r="S247" s="97">
        <f t="shared" si="47"/>
        <v>0</v>
      </c>
      <c r="T247" s="118">
        <f t="shared" si="48"/>
        <v>0</v>
      </c>
      <c r="U247" s="119"/>
      <c r="V247" s="120" t="str">
        <f t="shared" si="49"/>
        <v>Cadastrar Ficha de Produção</v>
      </c>
      <c r="W247" s="121" t="str">
        <f t="shared" si="50"/>
        <v>Cadastrar Ficha de Produção</v>
      </c>
      <c r="AB247" s="125" t="str">
        <f t="shared" si="51"/>
        <v/>
      </c>
      <c r="AC247" s="125" t="str">
        <f t="shared" si="52"/>
        <v/>
      </c>
      <c r="AD247" s="126" t="str">
        <f t="shared" si="53"/>
        <v/>
      </c>
      <c r="AE247" s="127" t="str">
        <f t="shared" si="54"/>
        <v/>
      </c>
      <c r="AF247" s="128" t="str">
        <f t="shared" si="55"/>
        <v/>
      </c>
    </row>
    <row r="248" spans="1:32" ht="15.75" customHeight="1">
      <c r="A248" s="114" t="s">
        <v>325</v>
      </c>
      <c r="B248" s="114" t="s">
        <v>898</v>
      </c>
      <c r="C248" s="114" t="s">
        <v>778</v>
      </c>
      <c r="D248" s="114"/>
      <c r="E248" s="114" t="s">
        <v>829</v>
      </c>
      <c r="F248" s="114" t="s">
        <v>805</v>
      </c>
      <c r="G248" s="114" t="s">
        <v>556</v>
      </c>
      <c r="H248" s="115">
        <v>15</v>
      </c>
      <c r="I248" s="114" t="s">
        <v>551</v>
      </c>
      <c r="J248" s="116">
        <f t="shared" si="42"/>
        <v>1.27</v>
      </c>
      <c r="K248" s="97" t="str">
        <f>IFERROR(IF(VLOOKUP(D248,'Ficha de Produção'!C:C,1,0)=D248,"OK","Custo Produção Não Cadastrado"),"Custo Produção Não Cadastrado")</f>
        <v>Custo Produção Não Cadastrado</v>
      </c>
      <c r="L248" s="97" t="str">
        <f>IFERROR(IF(VLOOKUP(A248,'Ficha de Embalagens'!A:A,1,0)=A248,"OK","Ficha de Embalagens Não Cadastrada"),"Ficha de Embalagens Não Cadastrada")</f>
        <v>Ficha de Embalagens Não Cadastrada</v>
      </c>
      <c r="M248" s="117">
        <f>SUMIFS('Ficha de Produção'!N:N,'Ficha de Produção'!C:C,D248)*H248</f>
        <v>0</v>
      </c>
      <c r="N248" s="117">
        <f>SUMIFS('Ficha de Embalagens'!F:F,'Ficha de Embalagens'!A:A,A248)</f>
        <v>0</v>
      </c>
      <c r="O248" s="97">
        <f t="shared" si="43"/>
        <v>0</v>
      </c>
      <c r="P248" s="97">
        <f t="shared" si="44"/>
        <v>0</v>
      </c>
      <c r="Q248" s="118">
        <f t="shared" si="45"/>
        <v>0</v>
      </c>
      <c r="R248" s="97">
        <f t="shared" si="46"/>
        <v>0</v>
      </c>
      <c r="S248" s="97">
        <f t="shared" si="47"/>
        <v>0</v>
      </c>
      <c r="T248" s="118">
        <f t="shared" si="48"/>
        <v>0</v>
      </c>
      <c r="U248" s="119"/>
      <c r="V248" s="120" t="str">
        <f t="shared" si="49"/>
        <v>Cadastrar Ficha de Produção</v>
      </c>
      <c r="W248" s="121" t="str">
        <f t="shared" si="50"/>
        <v>Cadastrar Ficha de Produção</v>
      </c>
      <c r="AB248" s="125" t="str">
        <f t="shared" si="51"/>
        <v/>
      </c>
      <c r="AC248" s="125" t="str">
        <f t="shared" si="52"/>
        <v/>
      </c>
      <c r="AD248" s="126" t="str">
        <f t="shared" si="53"/>
        <v/>
      </c>
      <c r="AE248" s="127" t="str">
        <f t="shared" si="54"/>
        <v/>
      </c>
      <c r="AF248" s="128" t="str">
        <f t="shared" si="55"/>
        <v/>
      </c>
    </row>
    <row r="249" spans="1:32" ht="15.75" customHeight="1">
      <c r="A249" s="114" t="s">
        <v>326</v>
      </c>
      <c r="B249" s="114" t="s">
        <v>899</v>
      </c>
      <c r="C249" s="114" t="s">
        <v>778</v>
      </c>
      <c r="D249" s="114"/>
      <c r="E249" s="114" t="s">
        <v>829</v>
      </c>
      <c r="F249" s="114" t="s">
        <v>807</v>
      </c>
      <c r="G249" s="114" t="s">
        <v>556</v>
      </c>
      <c r="H249" s="115">
        <v>15</v>
      </c>
      <c r="I249" s="114" t="s">
        <v>551</v>
      </c>
      <c r="J249" s="116">
        <f t="shared" si="42"/>
        <v>1.27</v>
      </c>
      <c r="K249" s="97" t="str">
        <f>IFERROR(IF(VLOOKUP(D249,'Ficha de Produção'!C:C,1,0)=D249,"OK","Custo Produção Não Cadastrado"),"Custo Produção Não Cadastrado")</f>
        <v>Custo Produção Não Cadastrado</v>
      </c>
      <c r="L249" s="97" t="str">
        <f>IFERROR(IF(VLOOKUP(A249,'Ficha de Embalagens'!A:A,1,0)=A249,"OK","Ficha de Embalagens Não Cadastrada"),"Ficha de Embalagens Não Cadastrada")</f>
        <v>Ficha de Embalagens Não Cadastrada</v>
      </c>
      <c r="M249" s="117">
        <f>SUMIFS('Ficha de Produção'!N:N,'Ficha de Produção'!C:C,D249)*H249</f>
        <v>0</v>
      </c>
      <c r="N249" s="117">
        <f>SUMIFS('Ficha de Embalagens'!F:F,'Ficha de Embalagens'!A:A,A249)</f>
        <v>0</v>
      </c>
      <c r="O249" s="97">
        <f t="shared" si="43"/>
        <v>0</v>
      </c>
      <c r="P249" s="97">
        <f t="shared" si="44"/>
        <v>0</v>
      </c>
      <c r="Q249" s="118">
        <f t="shared" si="45"/>
        <v>0</v>
      </c>
      <c r="R249" s="97">
        <f t="shared" si="46"/>
        <v>0</v>
      </c>
      <c r="S249" s="97">
        <f t="shared" si="47"/>
        <v>0</v>
      </c>
      <c r="T249" s="118">
        <f t="shared" si="48"/>
        <v>0</v>
      </c>
      <c r="U249" s="119"/>
      <c r="V249" s="120" t="str">
        <f t="shared" si="49"/>
        <v>Cadastrar Ficha de Produção</v>
      </c>
      <c r="W249" s="121" t="str">
        <f t="shared" si="50"/>
        <v>Cadastrar Ficha de Produção</v>
      </c>
      <c r="AB249" s="125" t="str">
        <f t="shared" si="51"/>
        <v/>
      </c>
      <c r="AC249" s="125" t="str">
        <f t="shared" si="52"/>
        <v/>
      </c>
      <c r="AD249" s="126" t="str">
        <f t="shared" si="53"/>
        <v/>
      </c>
      <c r="AE249" s="127" t="str">
        <f t="shared" si="54"/>
        <v/>
      </c>
      <c r="AF249" s="128" t="str">
        <f t="shared" si="55"/>
        <v/>
      </c>
    </row>
    <row r="250" spans="1:32" ht="15.75" customHeight="1">
      <c r="A250" s="114" t="s">
        <v>327</v>
      </c>
      <c r="B250" s="114" t="s">
        <v>900</v>
      </c>
      <c r="C250" s="114" t="s">
        <v>778</v>
      </c>
      <c r="D250" s="114" t="s">
        <v>901</v>
      </c>
      <c r="E250" s="114" t="s">
        <v>565</v>
      </c>
      <c r="F250" s="114" t="s">
        <v>566</v>
      </c>
      <c r="G250" s="114" t="s">
        <v>544</v>
      </c>
      <c r="H250" s="115">
        <v>3</v>
      </c>
      <c r="I250" s="114" t="s">
        <v>551</v>
      </c>
      <c r="J250" s="116">
        <f t="shared" si="42"/>
        <v>1.27</v>
      </c>
      <c r="K250" s="97" t="str">
        <f>IFERROR(IF(VLOOKUP(D250,'Ficha de Produção'!C:C,1,0)=D250,"OK","Custo Produção Não Cadastrado"),"Custo Produção Não Cadastrado")</f>
        <v>OK</v>
      </c>
      <c r="L250" s="97" t="str">
        <f>IFERROR(IF(VLOOKUP(A250,'Ficha de Embalagens'!A:A,1,0)=A250,"OK","Ficha de Embalagens Não Cadastrada"),"Ficha de Embalagens Não Cadastrada")</f>
        <v>OK</v>
      </c>
      <c r="M250" s="117">
        <f>SUMIFS('Ficha de Produção'!N:N,'Ficha de Produção'!C:C,D250)*H250</f>
        <v>20.91</v>
      </c>
      <c r="N250" s="117">
        <f>SUMIFS('Ficha de Embalagens'!F:F,'Ficha de Embalagens'!A:A,A250)</f>
        <v>3.44</v>
      </c>
      <c r="O250" s="97">
        <f t="shared" si="43"/>
        <v>24.35</v>
      </c>
      <c r="P250" s="97">
        <f t="shared" si="44"/>
        <v>0.92999999999999994</v>
      </c>
      <c r="Q250" s="118">
        <f t="shared" si="45"/>
        <v>25.28</v>
      </c>
      <c r="R250" s="97">
        <f t="shared" si="46"/>
        <v>1.9950000000000001</v>
      </c>
      <c r="S250" s="97">
        <f t="shared" si="47"/>
        <v>2.7930000000000001</v>
      </c>
      <c r="T250" s="118">
        <f t="shared" si="48"/>
        <v>30.068000000000001</v>
      </c>
      <c r="U250" s="119">
        <v>39.9</v>
      </c>
      <c r="V250" s="120">
        <f t="shared" si="49"/>
        <v>0.24641604010025056</v>
      </c>
      <c r="W250" s="121">
        <f t="shared" si="50"/>
        <v>28.73</v>
      </c>
      <c r="AB250" s="125">
        <f t="shared" si="51"/>
        <v>25.28</v>
      </c>
      <c r="AC250" s="125">
        <f t="shared" si="52"/>
        <v>35.111999999999995</v>
      </c>
      <c r="AD250" s="126">
        <f t="shared" si="53"/>
        <v>9.8319999999999936</v>
      </c>
      <c r="AE250" s="127">
        <f t="shared" si="54"/>
        <v>0.28001822738664828</v>
      </c>
      <c r="AF250" s="128">
        <f t="shared" si="55"/>
        <v>28.73</v>
      </c>
    </row>
    <row r="251" spans="1:32" ht="15.75" customHeight="1">
      <c r="A251" s="114" t="s">
        <v>328</v>
      </c>
      <c r="B251" s="114" t="s">
        <v>902</v>
      </c>
      <c r="C251" s="114" t="s">
        <v>778</v>
      </c>
      <c r="D251" s="114" t="s">
        <v>903</v>
      </c>
      <c r="E251" s="114" t="s">
        <v>565</v>
      </c>
      <c r="F251" s="114" t="s">
        <v>904</v>
      </c>
      <c r="G251" s="114" t="s">
        <v>556</v>
      </c>
      <c r="H251" s="115">
        <v>3</v>
      </c>
      <c r="I251" s="114" t="s">
        <v>551</v>
      </c>
      <c r="J251" s="116">
        <f t="shared" si="42"/>
        <v>1.27</v>
      </c>
      <c r="K251" s="97" t="str">
        <f>IFERROR(IF(VLOOKUP(D251,'Ficha de Produção'!C:C,1,0)=D251,"OK","Custo Produção Não Cadastrado"),"Custo Produção Não Cadastrado")</f>
        <v>Custo Produção Não Cadastrado</v>
      </c>
      <c r="L251" s="97" t="str">
        <f>IFERROR(IF(VLOOKUP(A251,'Ficha de Embalagens'!A:A,1,0)=A251,"OK","Ficha de Embalagens Não Cadastrada"),"Ficha de Embalagens Não Cadastrada")</f>
        <v>Ficha de Embalagens Não Cadastrada</v>
      </c>
      <c r="M251" s="117">
        <f>SUMIFS('Ficha de Produção'!N:N,'Ficha de Produção'!C:C,D251)*H251</f>
        <v>0</v>
      </c>
      <c r="N251" s="117">
        <f>SUMIFS('Ficha de Embalagens'!F:F,'Ficha de Embalagens'!A:A,A251)</f>
        <v>0</v>
      </c>
      <c r="O251" s="97">
        <f t="shared" si="43"/>
        <v>0</v>
      </c>
      <c r="P251" s="97">
        <f t="shared" si="44"/>
        <v>0</v>
      </c>
      <c r="Q251" s="118">
        <f t="shared" si="45"/>
        <v>0</v>
      </c>
      <c r="R251" s="97">
        <f t="shared" si="46"/>
        <v>1.9950000000000001</v>
      </c>
      <c r="S251" s="97">
        <f t="shared" si="47"/>
        <v>2.7930000000000001</v>
      </c>
      <c r="T251" s="118">
        <f t="shared" si="48"/>
        <v>4.7880000000000003</v>
      </c>
      <c r="U251" s="119">
        <v>39.9</v>
      </c>
      <c r="V251" s="120" t="str">
        <f t="shared" si="49"/>
        <v>Cadastrar Ficha de Produção</v>
      </c>
      <c r="W251" s="121" t="str">
        <f t="shared" si="50"/>
        <v>Cadastrar Ficha de Produção</v>
      </c>
      <c r="AB251" s="125" t="str">
        <f t="shared" si="51"/>
        <v/>
      </c>
      <c r="AC251" s="125">
        <f t="shared" si="52"/>
        <v>35.111999999999995</v>
      </c>
      <c r="AD251" s="126" t="str">
        <f t="shared" si="53"/>
        <v/>
      </c>
      <c r="AE251" s="127" t="str">
        <f t="shared" si="54"/>
        <v/>
      </c>
      <c r="AF251" s="128" t="str">
        <f t="shared" si="55"/>
        <v/>
      </c>
    </row>
    <row r="252" spans="1:32" ht="15.75" customHeight="1">
      <c r="A252" s="114" t="s">
        <v>329</v>
      </c>
      <c r="B252" s="114" t="s">
        <v>905</v>
      </c>
      <c r="C252" s="114" t="s">
        <v>778</v>
      </c>
      <c r="D252" s="114" t="s">
        <v>906</v>
      </c>
      <c r="E252" s="114" t="s">
        <v>565</v>
      </c>
      <c r="F252" s="114" t="s">
        <v>907</v>
      </c>
      <c r="G252" s="114" t="s">
        <v>556</v>
      </c>
      <c r="H252" s="115">
        <v>3</v>
      </c>
      <c r="I252" s="114" t="s">
        <v>551</v>
      </c>
      <c r="J252" s="116">
        <f t="shared" si="42"/>
        <v>1.27</v>
      </c>
      <c r="K252" s="97" t="str">
        <f>IFERROR(IF(VLOOKUP(D252,'Ficha de Produção'!C:C,1,0)=D252,"OK","Custo Produção Não Cadastrado"),"Custo Produção Não Cadastrado")</f>
        <v>Custo Produção Não Cadastrado</v>
      </c>
      <c r="L252" s="97" t="str">
        <f>IFERROR(IF(VLOOKUP(A252,'Ficha de Embalagens'!A:A,1,0)=A252,"OK","Ficha de Embalagens Não Cadastrada"),"Ficha de Embalagens Não Cadastrada")</f>
        <v>Ficha de Embalagens Não Cadastrada</v>
      </c>
      <c r="M252" s="117">
        <f>SUMIFS('Ficha de Produção'!N:N,'Ficha de Produção'!C:C,D252)*H252</f>
        <v>0</v>
      </c>
      <c r="N252" s="117">
        <f>SUMIFS('Ficha de Embalagens'!F:F,'Ficha de Embalagens'!A:A,A252)</f>
        <v>0</v>
      </c>
      <c r="O252" s="97">
        <f t="shared" si="43"/>
        <v>0</v>
      </c>
      <c r="P252" s="97">
        <f t="shared" si="44"/>
        <v>0</v>
      </c>
      <c r="Q252" s="118">
        <f t="shared" si="45"/>
        <v>0</v>
      </c>
      <c r="R252" s="97">
        <f t="shared" si="46"/>
        <v>1.9950000000000001</v>
      </c>
      <c r="S252" s="97">
        <f t="shared" si="47"/>
        <v>2.7930000000000001</v>
      </c>
      <c r="T252" s="118">
        <f t="shared" si="48"/>
        <v>4.7880000000000003</v>
      </c>
      <c r="U252" s="119">
        <v>39.9</v>
      </c>
      <c r="V252" s="120" t="str">
        <f t="shared" si="49"/>
        <v>Cadastrar Ficha de Produção</v>
      </c>
      <c r="W252" s="121" t="str">
        <f t="shared" si="50"/>
        <v>Cadastrar Ficha de Produção</v>
      </c>
      <c r="AB252" s="125" t="str">
        <f t="shared" si="51"/>
        <v/>
      </c>
      <c r="AC252" s="125">
        <f t="shared" si="52"/>
        <v>35.111999999999995</v>
      </c>
      <c r="AD252" s="126" t="str">
        <f t="shared" si="53"/>
        <v/>
      </c>
      <c r="AE252" s="127" t="str">
        <f t="shared" si="54"/>
        <v/>
      </c>
      <c r="AF252" s="128" t="str">
        <f t="shared" si="55"/>
        <v/>
      </c>
    </row>
    <row r="253" spans="1:32" ht="15.75" customHeight="1">
      <c r="A253" s="114" t="s">
        <v>330</v>
      </c>
      <c r="B253" s="114" t="s">
        <v>908</v>
      </c>
      <c r="C253" s="114" t="s">
        <v>778</v>
      </c>
      <c r="D253" s="114" t="s">
        <v>909</v>
      </c>
      <c r="E253" s="114" t="s">
        <v>565</v>
      </c>
      <c r="F253" s="114" t="s">
        <v>698</v>
      </c>
      <c r="G253" s="114" t="s">
        <v>544</v>
      </c>
      <c r="H253" s="115">
        <v>3</v>
      </c>
      <c r="I253" s="114" t="s">
        <v>551</v>
      </c>
      <c r="J253" s="116">
        <f t="shared" si="42"/>
        <v>1.27</v>
      </c>
      <c r="K253" s="97" t="str">
        <f>IFERROR(IF(VLOOKUP(D253,'Ficha de Produção'!C:C,1,0)=D253,"OK","Custo Produção Não Cadastrado"),"Custo Produção Não Cadastrado")</f>
        <v>OK</v>
      </c>
      <c r="L253" s="97" t="str">
        <f>IFERROR(IF(VLOOKUP(A253,'Ficha de Embalagens'!A:A,1,0)=A253,"OK","Ficha de Embalagens Não Cadastrada"),"Ficha de Embalagens Não Cadastrada")</f>
        <v>OK</v>
      </c>
      <c r="M253" s="117">
        <f>SUMIFS('Ficha de Produção'!N:N,'Ficha de Produção'!C:C,D253)*H253</f>
        <v>15.599999999999994</v>
      </c>
      <c r="N253" s="117">
        <f>SUMIFS('Ficha de Embalagens'!F:F,'Ficha de Embalagens'!A:A,A253)</f>
        <v>3.44</v>
      </c>
      <c r="O253" s="97">
        <f t="shared" si="43"/>
        <v>19.039999999999996</v>
      </c>
      <c r="P253" s="97">
        <f t="shared" si="44"/>
        <v>0.92999999999999994</v>
      </c>
      <c r="Q253" s="118">
        <f t="shared" si="45"/>
        <v>19.969999999999995</v>
      </c>
      <c r="R253" s="97">
        <f t="shared" si="46"/>
        <v>1.9950000000000001</v>
      </c>
      <c r="S253" s="97">
        <f t="shared" si="47"/>
        <v>2.7930000000000001</v>
      </c>
      <c r="T253" s="118">
        <f t="shared" si="48"/>
        <v>24.757999999999996</v>
      </c>
      <c r="U253" s="119">
        <v>39.9</v>
      </c>
      <c r="V253" s="120">
        <f t="shared" si="49"/>
        <v>0.379498746867168</v>
      </c>
      <c r="W253" s="121">
        <f t="shared" si="50"/>
        <v>22.700000000000003</v>
      </c>
      <c r="AB253" s="125">
        <f t="shared" si="51"/>
        <v>19.969999999999995</v>
      </c>
      <c r="AC253" s="125">
        <f t="shared" si="52"/>
        <v>35.111999999999995</v>
      </c>
      <c r="AD253" s="126">
        <f t="shared" si="53"/>
        <v>15.141999999999999</v>
      </c>
      <c r="AE253" s="127">
        <f t="shared" si="54"/>
        <v>0.43124857598541816</v>
      </c>
      <c r="AF253" s="128">
        <f t="shared" si="55"/>
        <v>22.700000000000003</v>
      </c>
    </row>
    <row r="254" spans="1:32" ht="15.75" customHeight="1">
      <c r="A254" s="114" t="s">
        <v>331</v>
      </c>
      <c r="B254" s="114" t="s">
        <v>910</v>
      </c>
      <c r="C254" s="114" t="s">
        <v>778</v>
      </c>
      <c r="D254" s="114" t="s">
        <v>911</v>
      </c>
      <c r="E254" s="114" t="s">
        <v>565</v>
      </c>
      <c r="F254" s="114" t="s">
        <v>701</v>
      </c>
      <c r="G254" s="114" t="s">
        <v>556</v>
      </c>
      <c r="H254" s="115">
        <v>3</v>
      </c>
      <c r="I254" s="114" t="s">
        <v>551</v>
      </c>
      <c r="J254" s="116">
        <f t="shared" si="42"/>
        <v>1.27</v>
      </c>
      <c r="K254" s="97" t="str">
        <f>IFERROR(IF(VLOOKUP(D254,'Ficha de Produção'!C:C,1,0)=D254,"OK","Custo Produção Não Cadastrado"),"Custo Produção Não Cadastrado")</f>
        <v>Custo Produção Não Cadastrado</v>
      </c>
      <c r="L254" s="97" t="str">
        <f>IFERROR(IF(VLOOKUP(A254,'Ficha de Embalagens'!A:A,1,0)=A254,"OK","Ficha de Embalagens Não Cadastrada"),"Ficha de Embalagens Não Cadastrada")</f>
        <v>Ficha de Embalagens Não Cadastrada</v>
      </c>
      <c r="M254" s="117">
        <f>SUMIFS('Ficha de Produção'!N:N,'Ficha de Produção'!C:C,D254)*H254</f>
        <v>0</v>
      </c>
      <c r="N254" s="117">
        <f>SUMIFS('Ficha de Embalagens'!F:F,'Ficha de Embalagens'!A:A,A254)</f>
        <v>0</v>
      </c>
      <c r="O254" s="97">
        <f t="shared" si="43"/>
        <v>0</v>
      </c>
      <c r="P254" s="97">
        <f t="shared" si="44"/>
        <v>0</v>
      </c>
      <c r="Q254" s="118">
        <f t="shared" si="45"/>
        <v>0</v>
      </c>
      <c r="R254" s="97">
        <f t="shared" si="46"/>
        <v>1.9950000000000001</v>
      </c>
      <c r="S254" s="97">
        <f t="shared" si="47"/>
        <v>2.7930000000000001</v>
      </c>
      <c r="T254" s="118">
        <f t="shared" si="48"/>
        <v>4.7880000000000003</v>
      </c>
      <c r="U254" s="119">
        <v>39.9</v>
      </c>
      <c r="V254" s="120" t="str">
        <f t="shared" si="49"/>
        <v>Cadastrar Ficha de Produção</v>
      </c>
      <c r="W254" s="121" t="str">
        <f t="shared" si="50"/>
        <v>Cadastrar Ficha de Produção</v>
      </c>
      <c r="AB254" s="125" t="str">
        <f t="shared" si="51"/>
        <v/>
      </c>
      <c r="AC254" s="125">
        <f t="shared" si="52"/>
        <v>35.111999999999995</v>
      </c>
      <c r="AD254" s="126" t="str">
        <f t="shared" si="53"/>
        <v/>
      </c>
      <c r="AE254" s="127" t="str">
        <f t="shared" si="54"/>
        <v/>
      </c>
      <c r="AF254" s="128" t="str">
        <f t="shared" si="55"/>
        <v/>
      </c>
    </row>
    <row r="255" spans="1:32" ht="15.75" customHeight="1">
      <c r="A255" s="114" t="s">
        <v>332</v>
      </c>
      <c r="B255" s="114" t="s">
        <v>912</v>
      </c>
      <c r="C255" s="114" t="s">
        <v>778</v>
      </c>
      <c r="D255" s="114" t="s">
        <v>913</v>
      </c>
      <c r="E255" s="114" t="s">
        <v>565</v>
      </c>
      <c r="F255" s="114" t="s">
        <v>914</v>
      </c>
      <c r="G255" s="114" t="s">
        <v>556</v>
      </c>
      <c r="H255" s="115">
        <v>3</v>
      </c>
      <c r="I255" s="114" t="s">
        <v>551</v>
      </c>
      <c r="J255" s="116">
        <f t="shared" si="42"/>
        <v>1.27</v>
      </c>
      <c r="K255" s="97" t="str">
        <f>IFERROR(IF(VLOOKUP(D255,'Ficha de Produção'!C:C,1,0)=D255,"OK","Custo Produção Não Cadastrado"),"Custo Produção Não Cadastrado")</f>
        <v>Custo Produção Não Cadastrado</v>
      </c>
      <c r="L255" s="97" t="str">
        <f>IFERROR(IF(VLOOKUP(A255,'Ficha de Embalagens'!A:A,1,0)=A255,"OK","Ficha de Embalagens Não Cadastrada"),"Ficha de Embalagens Não Cadastrada")</f>
        <v>Ficha de Embalagens Não Cadastrada</v>
      </c>
      <c r="M255" s="117">
        <f>SUMIFS('Ficha de Produção'!N:N,'Ficha de Produção'!C:C,D255)*H255</f>
        <v>0</v>
      </c>
      <c r="N255" s="117">
        <f>SUMIFS('Ficha de Embalagens'!F:F,'Ficha de Embalagens'!A:A,A255)</f>
        <v>0</v>
      </c>
      <c r="O255" s="97">
        <f t="shared" si="43"/>
        <v>0</v>
      </c>
      <c r="P255" s="97">
        <f t="shared" si="44"/>
        <v>0</v>
      </c>
      <c r="Q255" s="118">
        <f t="shared" si="45"/>
        <v>0</v>
      </c>
      <c r="R255" s="97">
        <f t="shared" si="46"/>
        <v>1.9950000000000001</v>
      </c>
      <c r="S255" s="97">
        <f t="shared" si="47"/>
        <v>2.7930000000000001</v>
      </c>
      <c r="T255" s="118">
        <f t="shared" si="48"/>
        <v>4.7880000000000003</v>
      </c>
      <c r="U255" s="119">
        <v>39.9</v>
      </c>
      <c r="V255" s="120" t="str">
        <f t="shared" si="49"/>
        <v>Cadastrar Ficha de Produção</v>
      </c>
      <c r="W255" s="121" t="str">
        <f t="shared" si="50"/>
        <v>Cadastrar Ficha de Produção</v>
      </c>
      <c r="AB255" s="125" t="str">
        <f t="shared" si="51"/>
        <v/>
      </c>
      <c r="AC255" s="125">
        <f t="shared" si="52"/>
        <v>35.111999999999995</v>
      </c>
      <c r="AD255" s="126" t="str">
        <f t="shared" si="53"/>
        <v/>
      </c>
      <c r="AE255" s="127" t="str">
        <f t="shared" si="54"/>
        <v/>
      </c>
      <c r="AF255" s="128" t="str">
        <f t="shared" si="55"/>
        <v/>
      </c>
    </row>
    <row r="256" spans="1:32" ht="15.75" customHeight="1">
      <c r="A256" s="114" t="s">
        <v>333</v>
      </c>
      <c r="B256" s="114" t="s">
        <v>915</v>
      </c>
      <c r="C256" s="114" t="s">
        <v>778</v>
      </c>
      <c r="D256" s="114" t="s">
        <v>916</v>
      </c>
      <c r="E256" s="114" t="s">
        <v>565</v>
      </c>
      <c r="F256" s="114" t="s">
        <v>917</v>
      </c>
      <c r="G256" s="114" t="s">
        <v>556</v>
      </c>
      <c r="H256" s="115">
        <v>3</v>
      </c>
      <c r="I256" s="114" t="s">
        <v>551</v>
      </c>
      <c r="J256" s="116">
        <f t="shared" si="42"/>
        <v>1.27</v>
      </c>
      <c r="K256" s="97" t="str">
        <f>IFERROR(IF(VLOOKUP(D256,'Ficha de Produção'!C:C,1,0)=D256,"OK","Custo Produção Não Cadastrado"),"Custo Produção Não Cadastrado")</f>
        <v>Custo Produção Não Cadastrado</v>
      </c>
      <c r="L256" s="97" t="str">
        <f>IFERROR(IF(VLOOKUP(A256,'Ficha de Embalagens'!A:A,1,0)=A256,"OK","Ficha de Embalagens Não Cadastrada"),"Ficha de Embalagens Não Cadastrada")</f>
        <v>Ficha de Embalagens Não Cadastrada</v>
      </c>
      <c r="M256" s="117">
        <f>SUMIFS('Ficha de Produção'!N:N,'Ficha de Produção'!C:C,D256)*H256</f>
        <v>0</v>
      </c>
      <c r="N256" s="117">
        <f>SUMIFS('Ficha de Embalagens'!F:F,'Ficha de Embalagens'!A:A,A256)</f>
        <v>0</v>
      </c>
      <c r="O256" s="97">
        <f t="shared" si="43"/>
        <v>0</v>
      </c>
      <c r="P256" s="97">
        <f t="shared" si="44"/>
        <v>0</v>
      </c>
      <c r="Q256" s="118">
        <f t="shared" si="45"/>
        <v>0</v>
      </c>
      <c r="R256" s="97">
        <f t="shared" si="46"/>
        <v>1.9950000000000001</v>
      </c>
      <c r="S256" s="97">
        <f t="shared" si="47"/>
        <v>2.7930000000000001</v>
      </c>
      <c r="T256" s="118">
        <f t="shared" si="48"/>
        <v>4.7880000000000003</v>
      </c>
      <c r="U256" s="119">
        <v>39.9</v>
      </c>
      <c r="V256" s="120" t="str">
        <f t="shared" si="49"/>
        <v>Cadastrar Ficha de Produção</v>
      </c>
      <c r="W256" s="121" t="str">
        <f t="shared" si="50"/>
        <v>Cadastrar Ficha de Produção</v>
      </c>
      <c r="AB256" s="125" t="str">
        <f t="shared" si="51"/>
        <v/>
      </c>
      <c r="AC256" s="125">
        <f t="shared" si="52"/>
        <v>35.111999999999995</v>
      </c>
      <c r="AD256" s="126" t="str">
        <f t="shared" si="53"/>
        <v/>
      </c>
      <c r="AE256" s="127" t="str">
        <f t="shared" si="54"/>
        <v/>
      </c>
      <c r="AF256" s="128" t="str">
        <f t="shared" si="55"/>
        <v/>
      </c>
    </row>
    <row r="257" spans="1:32" ht="15.75" customHeight="1">
      <c r="A257" s="114" t="s">
        <v>334</v>
      </c>
      <c r="B257" s="114" t="s">
        <v>918</v>
      </c>
      <c r="C257" s="114" t="s">
        <v>778</v>
      </c>
      <c r="D257" s="114" t="s">
        <v>919</v>
      </c>
      <c r="E257" s="114" t="s">
        <v>565</v>
      </c>
      <c r="F257" s="114" t="s">
        <v>920</v>
      </c>
      <c r="G257" s="114" t="s">
        <v>556</v>
      </c>
      <c r="H257" s="115">
        <v>3</v>
      </c>
      <c r="I257" s="114" t="s">
        <v>551</v>
      </c>
      <c r="J257" s="116">
        <f t="shared" si="42"/>
        <v>1.27</v>
      </c>
      <c r="K257" s="97" t="str">
        <f>IFERROR(IF(VLOOKUP(D257,'Ficha de Produção'!C:C,1,0)=D257,"OK","Custo Produção Não Cadastrado"),"Custo Produção Não Cadastrado")</f>
        <v>Custo Produção Não Cadastrado</v>
      </c>
      <c r="L257" s="97" t="str">
        <f>IFERROR(IF(VLOOKUP(A257,'Ficha de Embalagens'!A:A,1,0)=A257,"OK","Ficha de Embalagens Não Cadastrada"),"Ficha de Embalagens Não Cadastrada")</f>
        <v>Ficha de Embalagens Não Cadastrada</v>
      </c>
      <c r="M257" s="117">
        <f>SUMIFS('Ficha de Produção'!N:N,'Ficha de Produção'!C:C,D257)*H257</f>
        <v>0</v>
      </c>
      <c r="N257" s="117">
        <f>SUMIFS('Ficha de Embalagens'!F:F,'Ficha de Embalagens'!A:A,A257)</f>
        <v>0</v>
      </c>
      <c r="O257" s="97">
        <f t="shared" si="43"/>
        <v>0</v>
      </c>
      <c r="P257" s="97">
        <f t="shared" si="44"/>
        <v>0</v>
      </c>
      <c r="Q257" s="118">
        <f t="shared" si="45"/>
        <v>0</v>
      </c>
      <c r="R257" s="97">
        <f t="shared" si="46"/>
        <v>1.9950000000000001</v>
      </c>
      <c r="S257" s="97">
        <f t="shared" si="47"/>
        <v>2.7930000000000001</v>
      </c>
      <c r="T257" s="118">
        <f t="shared" si="48"/>
        <v>4.7880000000000003</v>
      </c>
      <c r="U257" s="119">
        <v>39.9</v>
      </c>
      <c r="V257" s="120" t="str">
        <f t="shared" si="49"/>
        <v>Cadastrar Ficha de Produção</v>
      </c>
      <c r="W257" s="121" t="str">
        <f t="shared" si="50"/>
        <v>Cadastrar Ficha de Produção</v>
      </c>
      <c r="AB257" s="125" t="str">
        <f t="shared" si="51"/>
        <v/>
      </c>
      <c r="AC257" s="125">
        <f t="shared" si="52"/>
        <v>35.111999999999995</v>
      </c>
      <c r="AD257" s="126" t="str">
        <f t="shared" si="53"/>
        <v/>
      </c>
      <c r="AE257" s="127" t="str">
        <f t="shared" si="54"/>
        <v/>
      </c>
      <c r="AF257" s="128" t="str">
        <f t="shared" si="55"/>
        <v/>
      </c>
    </row>
    <row r="258" spans="1:32" ht="15.75" customHeight="1">
      <c r="A258" s="114" t="s">
        <v>335</v>
      </c>
      <c r="B258" s="114" t="s">
        <v>921</v>
      </c>
      <c r="C258" s="114" t="s">
        <v>778</v>
      </c>
      <c r="D258" s="114" t="s">
        <v>922</v>
      </c>
      <c r="E258" s="114" t="s">
        <v>565</v>
      </c>
      <c r="F258" s="114" t="s">
        <v>581</v>
      </c>
      <c r="G258" s="114" t="s">
        <v>556</v>
      </c>
      <c r="H258" s="115">
        <v>3</v>
      </c>
      <c r="I258" s="114" t="s">
        <v>551</v>
      </c>
      <c r="J258" s="116">
        <f t="shared" si="42"/>
        <v>1.27</v>
      </c>
      <c r="K258" s="97" t="str">
        <f>IFERROR(IF(VLOOKUP(D258,'Ficha de Produção'!C:C,1,0)=D258,"OK","Custo Produção Não Cadastrado"),"Custo Produção Não Cadastrado")</f>
        <v>Custo Produção Não Cadastrado</v>
      </c>
      <c r="L258" s="97" t="str">
        <f>IFERROR(IF(VLOOKUP(A258,'Ficha de Embalagens'!A:A,1,0)=A258,"OK","Ficha de Embalagens Não Cadastrada"),"Ficha de Embalagens Não Cadastrada")</f>
        <v>Ficha de Embalagens Não Cadastrada</v>
      </c>
      <c r="M258" s="117">
        <f>SUMIFS('Ficha de Produção'!N:N,'Ficha de Produção'!C:C,D258)*H258</f>
        <v>0</v>
      </c>
      <c r="N258" s="117">
        <f>SUMIFS('Ficha de Embalagens'!F:F,'Ficha de Embalagens'!A:A,A258)</f>
        <v>0</v>
      </c>
      <c r="O258" s="97">
        <f t="shared" si="43"/>
        <v>0</v>
      </c>
      <c r="P258" s="97">
        <f t="shared" si="44"/>
        <v>0</v>
      </c>
      <c r="Q258" s="118">
        <f t="shared" si="45"/>
        <v>0</v>
      </c>
      <c r="R258" s="97">
        <f t="shared" si="46"/>
        <v>1.9950000000000001</v>
      </c>
      <c r="S258" s="97">
        <f t="shared" si="47"/>
        <v>2.7930000000000001</v>
      </c>
      <c r="T258" s="118">
        <f t="shared" si="48"/>
        <v>4.7880000000000003</v>
      </c>
      <c r="U258" s="119">
        <v>39.9</v>
      </c>
      <c r="V258" s="120" t="str">
        <f t="shared" si="49"/>
        <v>Cadastrar Ficha de Produção</v>
      </c>
      <c r="W258" s="121" t="str">
        <f t="shared" si="50"/>
        <v>Cadastrar Ficha de Produção</v>
      </c>
      <c r="AB258" s="125" t="str">
        <f t="shared" si="51"/>
        <v/>
      </c>
      <c r="AC258" s="125">
        <f t="shared" si="52"/>
        <v>35.111999999999995</v>
      </c>
      <c r="AD258" s="126" t="str">
        <f t="shared" si="53"/>
        <v/>
      </c>
      <c r="AE258" s="127" t="str">
        <f t="shared" si="54"/>
        <v/>
      </c>
      <c r="AF258" s="128" t="str">
        <f t="shared" si="55"/>
        <v/>
      </c>
    </row>
    <row r="259" spans="1:32" ht="15.75" customHeight="1">
      <c r="A259" s="114" t="s">
        <v>336</v>
      </c>
      <c r="B259" s="114" t="s">
        <v>923</v>
      </c>
      <c r="C259" s="114" t="s">
        <v>778</v>
      </c>
      <c r="D259" s="114"/>
      <c r="E259" s="114" t="s">
        <v>610</v>
      </c>
      <c r="F259" s="114" t="s">
        <v>566</v>
      </c>
      <c r="G259" s="114" t="s">
        <v>556</v>
      </c>
      <c r="H259" s="115">
        <v>3</v>
      </c>
      <c r="I259" s="114" t="s">
        <v>551</v>
      </c>
      <c r="J259" s="116">
        <f t="shared" si="42"/>
        <v>1.27</v>
      </c>
      <c r="K259" s="97" t="str">
        <f>IFERROR(IF(VLOOKUP(D259,'Ficha de Produção'!C:C,1,0)=D259,"OK","Custo Produção Não Cadastrado"),"Custo Produção Não Cadastrado")</f>
        <v>Custo Produção Não Cadastrado</v>
      </c>
      <c r="L259" s="97" t="str">
        <f>IFERROR(IF(VLOOKUP(A259,'Ficha de Embalagens'!A:A,1,0)=A259,"OK","Ficha de Embalagens Não Cadastrada"),"Ficha de Embalagens Não Cadastrada")</f>
        <v>Ficha de Embalagens Não Cadastrada</v>
      </c>
      <c r="M259" s="117">
        <f>SUMIFS('Ficha de Produção'!N:N,'Ficha de Produção'!C:C,D259)*H259</f>
        <v>0</v>
      </c>
      <c r="N259" s="117">
        <f>SUMIFS('Ficha de Embalagens'!F:F,'Ficha de Embalagens'!A:A,A259)</f>
        <v>0</v>
      </c>
      <c r="O259" s="97">
        <f t="shared" si="43"/>
        <v>0</v>
      </c>
      <c r="P259" s="97">
        <f t="shared" si="44"/>
        <v>0</v>
      </c>
      <c r="Q259" s="118">
        <f t="shared" si="45"/>
        <v>0</v>
      </c>
      <c r="R259" s="97">
        <f t="shared" si="46"/>
        <v>0</v>
      </c>
      <c r="S259" s="97">
        <f t="shared" si="47"/>
        <v>0</v>
      </c>
      <c r="T259" s="118">
        <f t="shared" si="48"/>
        <v>0</v>
      </c>
      <c r="U259" s="119"/>
      <c r="V259" s="120" t="str">
        <f t="shared" si="49"/>
        <v>Cadastrar Ficha de Produção</v>
      </c>
      <c r="W259" s="121" t="str">
        <f t="shared" si="50"/>
        <v>Cadastrar Ficha de Produção</v>
      </c>
      <c r="AB259" s="125" t="str">
        <f t="shared" si="51"/>
        <v/>
      </c>
      <c r="AC259" s="125" t="str">
        <f t="shared" si="52"/>
        <v/>
      </c>
      <c r="AD259" s="126" t="str">
        <f t="shared" si="53"/>
        <v/>
      </c>
      <c r="AE259" s="127" t="str">
        <f t="shared" si="54"/>
        <v/>
      </c>
      <c r="AF259" s="128" t="str">
        <f t="shared" si="55"/>
        <v/>
      </c>
    </row>
    <row r="260" spans="1:32" ht="15.75" customHeight="1">
      <c r="A260" s="114" t="s">
        <v>337</v>
      </c>
      <c r="B260" s="114" t="s">
        <v>924</v>
      </c>
      <c r="C260" s="114" t="s">
        <v>778</v>
      </c>
      <c r="D260" s="114"/>
      <c r="E260" s="114" t="s">
        <v>610</v>
      </c>
      <c r="F260" s="114" t="s">
        <v>904</v>
      </c>
      <c r="G260" s="114" t="s">
        <v>556</v>
      </c>
      <c r="H260" s="115">
        <v>3</v>
      </c>
      <c r="I260" s="114" t="s">
        <v>551</v>
      </c>
      <c r="J260" s="116">
        <f t="shared" ref="J260:J323" si="56">IF(I260="KG",1,1.27)</f>
        <v>1.27</v>
      </c>
      <c r="K260" s="97" t="str">
        <f>IFERROR(IF(VLOOKUP(D260,'Ficha de Produção'!C:C,1,0)=D260,"OK","Custo Produção Não Cadastrado"),"Custo Produção Não Cadastrado")</f>
        <v>Custo Produção Não Cadastrado</v>
      </c>
      <c r="L260" s="97" t="str">
        <f>IFERROR(IF(VLOOKUP(A260,'Ficha de Embalagens'!A:A,1,0)=A260,"OK","Ficha de Embalagens Não Cadastrada"),"Ficha de Embalagens Não Cadastrada")</f>
        <v>Ficha de Embalagens Não Cadastrada</v>
      </c>
      <c r="M260" s="117">
        <f>SUMIFS('Ficha de Produção'!N:N,'Ficha de Produção'!C:C,D260)*H260</f>
        <v>0</v>
      </c>
      <c r="N260" s="117">
        <f>SUMIFS('Ficha de Embalagens'!F:F,'Ficha de Embalagens'!A:A,A260)</f>
        <v>0</v>
      </c>
      <c r="O260" s="97">
        <f t="shared" ref="O260:O323" si="57">SUM(M260:N260)</f>
        <v>0</v>
      </c>
      <c r="P260" s="97">
        <f t="shared" ref="P260:P323" si="58">IF(AND(K260="OK",L260="OK"),H260*$P$1,0)</f>
        <v>0</v>
      </c>
      <c r="Q260" s="118">
        <f t="shared" ref="Q260:Q323" si="59">P260+O260</f>
        <v>0</v>
      </c>
      <c r="R260" s="97">
        <f t="shared" ref="R260:R323" si="60">U260*$R$1</f>
        <v>0</v>
      </c>
      <c r="S260" s="97">
        <f t="shared" ref="S260:S323" si="61">$S$1*U260</f>
        <v>0</v>
      </c>
      <c r="T260" s="118">
        <f t="shared" ref="T260:T323" si="62">+Q260+R260+S260</f>
        <v>0</v>
      </c>
      <c r="U260" s="119"/>
      <c r="V260" s="120" t="str">
        <f t="shared" ref="V260:V323" si="63">IF(M260=0,"Cadastrar Ficha de Produção",IF(AND(M260&gt;0,U260=""),"Cadastrar Preço Final",IFERROR((U260-T260)/U260,"")))</f>
        <v>Cadastrar Ficha de Produção</v>
      </c>
      <c r="W260" s="121" t="str">
        <f t="shared" ref="W260:W323" si="64">IF(M260=0,"Cadastrar Ficha de Produção",ROUNDUP(Q260/(1-$R$1-$S$1),2))</f>
        <v>Cadastrar Ficha de Produção</v>
      </c>
      <c r="AB260" s="125" t="str">
        <f t="shared" ref="AB260:AB323" si="65">IF(Q260=0,"",Q260)</f>
        <v/>
      </c>
      <c r="AC260" s="125" t="str">
        <f t="shared" ref="AC260:AC323" si="66">IF(U260="","",U260*(1-$R$1-$S$1))</f>
        <v/>
      </c>
      <c r="AD260" s="126" t="str">
        <f t="shared" ref="AD260:AD323" si="67">IF(OR(AB260="",AC260=""),"",AC260-AB260)</f>
        <v/>
      </c>
      <c r="AE260" s="127" t="str">
        <f t="shared" ref="AE260:AE323" si="68">IF(OR(AD260="",AC260=0),"",AD260/AC260)</f>
        <v/>
      </c>
      <c r="AF260" s="128" t="str">
        <f t="shared" ref="AF260:AF323" si="69">IF(Q260=0,"",ROUNDUP((Q260+IF(AA260="",0,AA260/1200))/(1-$R$1-$S$1),2))</f>
        <v/>
      </c>
    </row>
    <row r="261" spans="1:32" ht="15.75" customHeight="1">
      <c r="A261" s="114" t="s">
        <v>338</v>
      </c>
      <c r="B261" s="114" t="s">
        <v>925</v>
      </c>
      <c r="C261" s="114" t="s">
        <v>778</v>
      </c>
      <c r="D261" s="114"/>
      <c r="E261" s="114" t="s">
        <v>610</v>
      </c>
      <c r="F261" s="114" t="s">
        <v>907</v>
      </c>
      <c r="G261" s="114" t="s">
        <v>556</v>
      </c>
      <c r="H261" s="115">
        <v>3</v>
      </c>
      <c r="I261" s="114" t="s">
        <v>551</v>
      </c>
      <c r="J261" s="116">
        <f t="shared" si="56"/>
        <v>1.27</v>
      </c>
      <c r="K261" s="97" t="str">
        <f>IFERROR(IF(VLOOKUP(D261,'Ficha de Produção'!C:C,1,0)=D261,"OK","Custo Produção Não Cadastrado"),"Custo Produção Não Cadastrado")</f>
        <v>Custo Produção Não Cadastrado</v>
      </c>
      <c r="L261" s="97" t="str">
        <f>IFERROR(IF(VLOOKUP(A261,'Ficha de Embalagens'!A:A,1,0)=A261,"OK","Ficha de Embalagens Não Cadastrada"),"Ficha de Embalagens Não Cadastrada")</f>
        <v>Ficha de Embalagens Não Cadastrada</v>
      </c>
      <c r="M261" s="117">
        <f>SUMIFS('Ficha de Produção'!N:N,'Ficha de Produção'!C:C,D261)*H261</f>
        <v>0</v>
      </c>
      <c r="N261" s="117">
        <f>SUMIFS('Ficha de Embalagens'!F:F,'Ficha de Embalagens'!A:A,A261)</f>
        <v>0</v>
      </c>
      <c r="O261" s="97">
        <f t="shared" si="57"/>
        <v>0</v>
      </c>
      <c r="P261" s="97">
        <f t="shared" si="58"/>
        <v>0</v>
      </c>
      <c r="Q261" s="118">
        <f t="shared" si="59"/>
        <v>0</v>
      </c>
      <c r="R261" s="97">
        <f t="shared" si="60"/>
        <v>0</v>
      </c>
      <c r="S261" s="97">
        <f t="shared" si="61"/>
        <v>0</v>
      </c>
      <c r="T261" s="118">
        <f t="shared" si="62"/>
        <v>0</v>
      </c>
      <c r="U261" s="119"/>
      <c r="V261" s="120" t="str">
        <f t="shared" si="63"/>
        <v>Cadastrar Ficha de Produção</v>
      </c>
      <c r="W261" s="121" t="str">
        <f t="shared" si="64"/>
        <v>Cadastrar Ficha de Produção</v>
      </c>
      <c r="AB261" s="125" t="str">
        <f t="shared" si="65"/>
        <v/>
      </c>
      <c r="AC261" s="125" t="str">
        <f t="shared" si="66"/>
        <v/>
      </c>
      <c r="AD261" s="126" t="str">
        <f t="shared" si="67"/>
        <v/>
      </c>
      <c r="AE261" s="127" t="str">
        <f t="shared" si="68"/>
        <v/>
      </c>
      <c r="AF261" s="128" t="str">
        <f t="shared" si="69"/>
        <v/>
      </c>
    </row>
    <row r="262" spans="1:32" ht="15.75" customHeight="1">
      <c r="A262" s="114" t="s">
        <v>339</v>
      </c>
      <c r="B262" s="114" t="s">
        <v>926</v>
      </c>
      <c r="C262" s="114" t="s">
        <v>778</v>
      </c>
      <c r="D262" s="114"/>
      <c r="E262" s="114" t="s">
        <v>610</v>
      </c>
      <c r="F262" s="114" t="s">
        <v>698</v>
      </c>
      <c r="G262" s="114" t="s">
        <v>556</v>
      </c>
      <c r="H262" s="115">
        <v>3</v>
      </c>
      <c r="I262" s="114" t="s">
        <v>551</v>
      </c>
      <c r="J262" s="116">
        <f t="shared" si="56"/>
        <v>1.27</v>
      </c>
      <c r="K262" s="97" t="str">
        <f>IFERROR(IF(VLOOKUP(D262,'Ficha de Produção'!C:C,1,0)=D262,"OK","Custo Produção Não Cadastrado"),"Custo Produção Não Cadastrado")</f>
        <v>Custo Produção Não Cadastrado</v>
      </c>
      <c r="L262" s="97" t="str">
        <f>IFERROR(IF(VLOOKUP(A262,'Ficha de Embalagens'!A:A,1,0)=A262,"OK","Ficha de Embalagens Não Cadastrada"),"Ficha de Embalagens Não Cadastrada")</f>
        <v>Ficha de Embalagens Não Cadastrada</v>
      </c>
      <c r="M262" s="117">
        <f>SUMIFS('Ficha de Produção'!N:N,'Ficha de Produção'!C:C,D262)*H262</f>
        <v>0</v>
      </c>
      <c r="N262" s="117">
        <f>SUMIFS('Ficha de Embalagens'!F:F,'Ficha de Embalagens'!A:A,A262)</f>
        <v>0</v>
      </c>
      <c r="O262" s="97">
        <f t="shared" si="57"/>
        <v>0</v>
      </c>
      <c r="P262" s="97">
        <f t="shared" si="58"/>
        <v>0</v>
      </c>
      <c r="Q262" s="118">
        <f t="shared" si="59"/>
        <v>0</v>
      </c>
      <c r="R262" s="97">
        <f t="shared" si="60"/>
        <v>0</v>
      </c>
      <c r="S262" s="97">
        <f t="shared" si="61"/>
        <v>0</v>
      </c>
      <c r="T262" s="118">
        <f t="shared" si="62"/>
        <v>0</v>
      </c>
      <c r="U262" s="119"/>
      <c r="V262" s="120" t="str">
        <f t="shared" si="63"/>
        <v>Cadastrar Ficha de Produção</v>
      </c>
      <c r="W262" s="121" t="str">
        <f t="shared" si="64"/>
        <v>Cadastrar Ficha de Produção</v>
      </c>
      <c r="AB262" s="125" t="str">
        <f t="shared" si="65"/>
        <v/>
      </c>
      <c r="AC262" s="125" t="str">
        <f t="shared" si="66"/>
        <v/>
      </c>
      <c r="AD262" s="126" t="str">
        <f t="shared" si="67"/>
        <v/>
      </c>
      <c r="AE262" s="127" t="str">
        <f t="shared" si="68"/>
        <v/>
      </c>
      <c r="AF262" s="128" t="str">
        <f t="shared" si="69"/>
        <v/>
      </c>
    </row>
    <row r="263" spans="1:32" ht="15.75" customHeight="1">
      <c r="A263" s="114" t="s">
        <v>340</v>
      </c>
      <c r="B263" s="114" t="s">
        <v>927</v>
      </c>
      <c r="C263" s="114" t="s">
        <v>778</v>
      </c>
      <c r="D263" s="114"/>
      <c r="E263" s="114" t="s">
        <v>610</v>
      </c>
      <c r="F263" s="114" t="s">
        <v>701</v>
      </c>
      <c r="G263" s="114" t="s">
        <v>556</v>
      </c>
      <c r="H263" s="115">
        <v>3</v>
      </c>
      <c r="I263" s="114" t="s">
        <v>551</v>
      </c>
      <c r="J263" s="116">
        <f t="shared" si="56"/>
        <v>1.27</v>
      </c>
      <c r="K263" s="97" t="str">
        <f>IFERROR(IF(VLOOKUP(D263,'Ficha de Produção'!C:C,1,0)=D263,"OK","Custo Produção Não Cadastrado"),"Custo Produção Não Cadastrado")</f>
        <v>Custo Produção Não Cadastrado</v>
      </c>
      <c r="L263" s="97" t="str">
        <f>IFERROR(IF(VLOOKUP(A263,'Ficha de Embalagens'!A:A,1,0)=A263,"OK","Ficha de Embalagens Não Cadastrada"),"Ficha de Embalagens Não Cadastrada")</f>
        <v>Ficha de Embalagens Não Cadastrada</v>
      </c>
      <c r="M263" s="117">
        <f>SUMIFS('Ficha de Produção'!N:N,'Ficha de Produção'!C:C,D263)*H263</f>
        <v>0</v>
      </c>
      <c r="N263" s="117">
        <f>SUMIFS('Ficha de Embalagens'!F:F,'Ficha de Embalagens'!A:A,A263)</f>
        <v>0</v>
      </c>
      <c r="O263" s="97">
        <f t="shared" si="57"/>
        <v>0</v>
      </c>
      <c r="P263" s="97">
        <f t="shared" si="58"/>
        <v>0</v>
      </c>
      <c r="Q263" s="118">
        <f t="shared" si="59"/>
        <v>0</v>
      </c>
      <c r="R263" s="97">
        <f t="shared" si="60"/>
        <v>0</v>
      </c>
      <c r="S263" s="97">
        <f t="shared" si="61"/>
        <v>0</v>
      </c>
      <c r="T263" s="118">
        <f t="shared" si="62"/>
        <v>0</v>
      </c>
      <c r="U263" s="119"/>
      <c r="V263" s="120" t="str">
        <f t="shared" si="63"/>
        <v>Cadastrar Ficha de Produção</v>
      </c>
      <c r="W263" s="121" t="str">
        <f t="shared" si="64"/>
        <v>Cadastrar Ficha de Produção</v>
      </c>
      <c r="AB263" s="125" t="str">
        <f t="shared" si="65"/>
        <v/>
      </c>
      <c r="AC263" s="125" t="str">
        <f t="shared" si="66"/>
        <v/>
      </c>
      <c r="AD263" s="126" t="str">
        <f t="shared" si="67"/>
        <v/>
      </c>
      <c r="AE263" s="127" t="str">
        <f t="shared" si="68"/>
        <v/>
      </c>
      <c r="AF263" s="128" t="str">
        <f t="shared" si="69"/>
        <v/>
      </c>
    </row>
    <row r="264" spans="1:32" ht="15.75" customHeight="1">
      <c r="A264" s="114" t="s">
        <v>341</v>
      </c>
      <c r="B264" s="114" t="s">
        <v>928</v>
      </c>
      <c r="C264" s="114" t="s">
        <v>778</v>
      </c>
      <c r="D264" s="114"/>
      <c r="E264" s="114" t="s">
        <v>610</v>
      </c>
      <c r="F264" s="114" t="s">
        <v>914</v>
      </c>
      <c r="G264" s="114" t="s">
        <v>556</v>
      </c>
      <c r="H264" s="115">
        <v>3</v>
      </c>
      <c r="I264" s="114" t="s">
        <v>551</v>
      </c>
      <c r="J264" s="116">
        <f t="shared" si="56"/>
        <v>1.27</v>
      </c>
      <c r="K264" s="97" t="str">
        <f>IFERROR(IF(VLOOKUP(D264,'Ficha de Produção'!C:C,1,0)=D264,"OK","Custo Produção Não Cadastrado"),"Custo Produção Não Cadastrado")</f>
        <v>Custo Produção Não Cadastrado</v>
      </c>
      <c r="L264" s="97" t="str">
        <f>IFERROR(IF(VLOOKUP(A264,'Ficha de Embalagens'!A:A,1,0)=A264,"OK","Ficha de Embalagens Não Cadastrada"),"Ficha de Embalagens Não Cadastrada")</f>
        <v>Ficha de Embalagens Não Cadastrada</v>
      </c>
      <c r="M264" s="117">
        <f>SUMIFS('Ficha de Produção'!N:N,'Ficha de Produção'!C:C,D264)*H264</f>
        <v>0</v>
      </c>
      <c r="N264" s="117">
        <f>SUMIFS('Ficha de Embalagens'!F:F,'Ficha de Embalagens'!A:A,A264)</f>
        <v>0</v>
      </c>
      <c r="O264" s="97">
        <f t="shared" si="57"/>
        <v>0</v>
      </c>
      <c r="P264" s="97">
        <f t="shared" si="58"/>
        <v>0</v>
      </c>
      <c r="Q264" s="118">
        <f t="shared" si="59"/>
        <v>0</v>
      </c>
      <c r="R264" s="97">
        <f t="shared" si="60"/>
        <v>0</v>
      </c>
      <c r="S264" s="97">
        <f t="shared" si="61"/>
        <v>0</v>
      </c>
      <c r="T264" s="118">
        <f t="shared" si="62"/>
        <v>0</v>
      </c>
      <c r="U264" s="119"/>
      <c r="V264" s="120" t="str">
        <f t="shared" si="63"/>
        <v>Cadastrar Ficha de Produção</v>
      </c>
      <c r="W264" s="121" t="str">
        <f t="shared" si="64"/>
        <v>Cadastrar Ficha de Produção</v>
      </c>
      <c r="AB264" s="125" t="str">
        <f t="shared" si="65"/>
        <v/>
      </c>
      <c r="AC264" s="125" t="str">
        <f t="shared" si="66"/>
        <v/>
      </c>
      <c r="AD264" s="126" t="str">
        <f t="shared" si="67"/>
        <v/>
      </c>
      <c r="AE264" s="127" t="str">
        <f t="shared" si="68"/>
        <v/>
      </c>
      <c r="AF264" s="128" t="str">
        <f t="shared" si="69"/>
        <v/>
      </c>
    </row>
    <row r="265" spans="1:32" ht="15.75" customHeight="1">
      <c r="A265" s="114" t="s">
        <v>342</v>
      </c>
      <c r="B265" s="114" t="s">
        <v>929</v>
      </c>
      <c r="C265" s="114" t="s">
        <v>778</v>
      </c>
      <c r="D265" s="114"/>
      <c r="E265" s="114" t="s">
        <v>610</v>
      </c>
      <c r="F265" s="114" t="s">
        <v>917</v>
      </c>
      <c r="G265" s="114" t="s">
        <v>556</v>
      </c>
      <c r="H265" s="115">
        <v>3</v>
      </c>
      <c r="I265" s="114" t="s">
        <v>551</v>
      </c>
      <c r="J265" s="116">
        <f t="shared" si="56"/>
        <v>1.27</v>
      </c>
      <c r="K265" s="97" t="str">
        <f>IFERROR(IF(VLOOKUP(D265,'Ficha de Produção'!C:C,1,0)=D265,"OK","Custo Produção Não Cadastrado"),"Custo Produção Não Cadastrado")</f>
        <v>Custo Produção Não Cadastrado</v>
      </c>
      <c r="L265" s="97" t="str">
        <f>IFERROR(IF(VLOOKUP(A265,'Ficha de Embalagens'!A:A,1,0)=A265,"OK","Ficha de Embalagens Não Cadastrada"),"Ficha de Embalagens Não Cadastrada")</f>
        <v>Ficha de Embalagens Não Cadastrada</v>
      </c>
      <c r="M265" s="117">
        <f>SUMIFS('Ficha de Produção'!N:N,'Ficha de Produção'!C:C,D265)*H265</f>
        <v>0</v>
      </c>
      <c r="N265" s="117">
        <f>SUMIFS('Ficha de Embalagens'!F:F,'Ficha de Embalagens'!A:A,A265)</f>
        <v>0</v>
      </c>
      <c r="O265" s="97">
        <f t="shared" si="57"/>
        <v>0</v>
      </c>
      <c r="P265" s="97">
        <f t="shared" si="58"/>
        <v>0</v>
      </c>
      <c r="Q265" s="118">
        <f t="shared" si="59"/>
        <v>0</v>
      </c>
      <c r="R265" s="97">
        <f t="shared" si="60"/>
        <v>0</v>
      </c>
      <c r="S265" s="97">
        <f t="shared" si="61"/>
        <v>0</v>
      </c>
      <c r="T265" s="118">
        <f t="shared" si="62"/>
        <v>0</v>
      </c>
      <c r="U265" s="119"/>
      <c r="V265" s="120" t="str">
        <f t="shared" si="63"/>
        <v>Cadastrar Ficha de Produção</v>
      </c>
      <c r="W265" s="121" t="str">
        <f t="shared" si="64"/>
        <v>Cadastrar Ficha de Produção</v>
      </c>
      <c r="AB265" s="125" t="str">
        <f t="shared" si="65"/>
        <v/>
      </c>
      <c r="AC265" s="125" t="str">
        <f t="shared" si="66"/>
        <v/>
      </c>
      <c r="AD265" s="126" t="str">
        <f t="shared" si="67"/>
        <v/>
      </c>
      <c r="AE265" s="127" t="str">
        <f t="shared" si="68"/>
        <v/>
      </c>
      <c r="AF265" s="128" t="str">
        <f t="shared" si="69"/>
        <v/>
      </c>
    </row>
    <row r="266" spans="1:32" ht="15.75" customHeight="1">
      <c r="A266" s="114" t="s">
        <v>343</v>
      </c>
      <c r="B266" s="114" t="s">
        <v>930</v>
      </c>
      <c r="C266" s="114" t="s">
        <v>778</v>
      </c>
      <c r="D266" s="114"/>
      <c r="E266" s="114" t="s">
        <v>610</v>
      </c>
      <c r="F266" s="114" t="s">
        <v>920</v>
      </c>
      <c r="G266" s="114" t="s">
        <v>556</v>
      </c>
      <c r="H266" s="115">
        <v>3</v>
      </c>
      <c r="I266" s="114" t="s">
        <v>551</v>
      </c>
      <c r="J266" s="116">
        <f t="shared" si="56"/>
        <v>1.27</v>
      </c>
      <c r="K266" s="97" t="str">
        <f>IFERROR(IF(VLOOKUP(D266,'Ficha de Produção'!C:C,1,0)=D266,"OK","Custo Produção Não Cadastrado"),"Custo Produção Não Cadastrado")</f>
        <v>Custo Produção Não Cadastrado</v>
      </c>
      <c r="L266" s="97" t="str">
        <f>IFERROR(IF(VLOOKUP(A266,'Ficha de Embalagens'!A:A,1,0)=A266,"OK","Ficha de Embalagens Não Cadastrada"),"Ficha de Embalagens Não Cadastrada")</f>
        <v>Ficha de Embalagens Não Cadastrada</v>
      </c>
      <c r="M266" s="117">
        <f>SUMIFS('Ficha de Produção'!N:N,'Ficha de Produção'!C:C,D266)*H266</f>
        <v>0</v>
      </c>
      <c r="N266" s="117">
        <f>SUMIFS('Ficha de Embalagens'!F:F,'Ficha de Embalagens'!A:A,A266)</f>
        <v>0</v>
      </c>
      <c r="O266" s="97">
        <f t="shared" si="57"/>
        <v>0</v>
      </c>
      <c r="P266" s="97">
        <f t="shared" si="58"/>
        <v>0</v>
      </c>
      <c r="Q266" s="118">
        <f t="shared" si="59"/>
        <v>0</v>
      </c>
      <c r="R266" s="97">
        <f t="shared" si="60"/>
        <v>0</v>
      </c>
      <c r="S266" s="97">
        <f t="shared" si="61"/>
        <v>0</v>
      </c>
      <c r="T266" s="118">
        <f t="shared" si="62"/>
        <v>0</v>
      </c>
      <c r="U266" s="119"/>
      <c r="V266" s="120" t="str">
        <f t="shared" si="63"/>
        <v>Cadastrar Ficha de Produção</v>
      </c>
      <c r="W266" s="121" t="str">
        <f t="shared" si="64"/>
        <v>Cadastrar Ficha de Produção</v>
      </c>
      <c r="AB266" s="125" t="str">
        <f t="shared" si="65"/>
        <v/>
      </c>
      <c r="AC266" s="125" t="str">
        <f t="shared" si="66"/>
        <v/>
      </c>
      <c r="AD266" s="126" t="str">
        <f t="shared" si="67"/>
        <v/>
      </c>
      <c r="AE266" s="127" t="str">
        <f t="shared" si="68"/>
        <v/>
      </c>
      <c r="AF266" s="128" t="str">
        <f t="shared" si="69"/>
        <v/>
      </c>
    </row>
    <row r="267" spans="1:32" ht="15.75" customHeight="1">
      <c r="A267" s="114" t="s">
        <v>344</v>
      </c>
      <c r="B267" s="114" t="s">
        <v>931</v>
      </c>
      <c r="C267" s="114" t="s">
        <v>778</v>
      </c>
      <c r="D267" s="114"/>
      <c r="E267" s="114" t="s">
        <v>610</v>
      </c>
      <c r="F267" s="114" t="s">
        <v>581</v>
      </c>
      <c r="G267" s="114" t="s">
        <v>556</v>
      </c>
      <c r="H267" s="115">
        <v>3</v>
      </c>
      <c r="I267" s="114" t="s">
        <v>551</v>
      </c>
      <c r="J267" s="116">
        <f t="shared" si="56"/>
        <v>1.27</v>
      </c>
      <c r="K267" s="97" t="str">
        <f>IFERROR(IF(VLOOKUP(D267,'Ficha de Produção'!C:C,1,0)=D267,"OK","Custo Produção Não Cadastrado"),"Custo Produção Não Cadastrado")</f>
        <v>Custo Produção Não Cadastrado</v>
      </c>
      <c r="L267" s="97" t="str">
        <f>IFERROR(IF(VLOOKUP(A267,'Ficha de Embalagens'!A:A,1,0)=A267,"OK","Ficha de Embalagens Não Cadastrada"),"Ficha de Embalagens Não Cadastrada")</f>
        <v>Ficha de Embalagens Não Cadastrada</v>
      </c>
      <c r="M267" s="117">
        <f>SUMIFS('Ficha de Produção'!N:N,'Ficha de Produção'!C:C,D267)*H267</f>
        <v>0</v>
      </c>
      <c r="N267" s="117">
        <f>SUMIFS('Ficha de Embalagens'!F:F,'Ficha de Embalagens'!A:A,A267)</f>
        <v>0</v>
      </c>
      <c r="O267" s="97">
        <f t="shared" si="57"/>
        <v>0</v>
      </c>
      <c r="P267" s="97">
        <f t="shared" si="58"/>
        <v>0</v>
      </c>
      <c r="Q267" s="118">
        <f t="shared" si="59"/>
        <v>0</v>
      </c>
      <c r="R267" s="97">
        <f t="shared" si="60"/>
        <v>0</v>
      </c>
      <c r="S267" s="97">
        <f t="shared" si="61"/>
        <v>0</v>
      </c>
      <c r="T267" s="118">
        <f t="shared" si="62"/>
        <v>0</v>
      </c>
      <c r="U267" s="119"/>
      <c r="V267" s="120" t="str">
        <f t="shared" si="63"/>
        <v>Cadastrar Ficha de Produção</v>
      </c>
      <c r="W267" s="121" t="str">
        <f t="shared" si="64"/>
        <v>Cadastrar Ficha de Produção</v>
      </c>
      <c r="AB267" s="125" t="str">
        <f t="shared" si="65"/>
        <v/>
      </c>
      <c r="AC267" s="125" t="str">
        <f t="shared" si="66"/>
        <v/>
      </c>
      <c r="AD267" s="126" t="str">
        <f t="shared" si="67"/>
        <v/>
      </c>
      <c r="AE267" s="127" t="str">
        <f t="shared" si="68"/>
        <v/>
      </c>
      <c r="AF267" s="128" t="str">
        <f t="shared" si="69"/>
        <v/>
      </c>
    </row>
    <row r="268" spans="1:32" ht="15.75" customHeight="1">
      <c r="A268" s="114" t="s">
        <v>345</v>
      </c>
      <c r="B268" s="114" t="s">
        <v>932</v>
      </c>
      <c r="C268" s="114" t="s">
        <v>778</v>
      </c>
      <c r="D268" s="114" t="s">
        <v>901</v>
      </c>
      <c r="E268" s="114" t="s">
        <v>565</v>
      </c>
      <c r="F268" s="114" t="s">
        <v>566</v>
      </c>
      <c r="G268" s="114" t="s">
        <v>544</v>
      </c>
      <c r="H268" s="115">
        <v>15</v>
      </c>
      <c r="I268" s="114" t="s">
        <v>551</v>
      </c>
      <c r="J268" s="116">
        <f t="shared" si="56"/>
        <v>1.27</v>
      </c>
      <c r="K268" s="97" t="str">
        <f>IFERROR(IF(VLOOKUP(D268,'Ficha de Produção'!C:C,1,0)=D268,"OK","Custo Produção Não Cadastrado"),"Custo Produção Não Cadastrado")</f>
        <v>OK</v>
      </c>
      <c r="L268" s="97" t="str">
        <f>IFERROR(IF(VLOOKUP(A268,'Ficha de Embalagens'!A:A,1,0)=A268,"OK","Ficha de Embalagens Não Cadastrada"),"Ficha de Embalagens Não Cadastrada")</f>
        <v>OK</v>
      </c>
      <c r="M268" s="117">
        <f>SUMIFS('Ficha de Produção'!N:N,'Ficha de Produção'!C:C,D268)*H268</f>
        <v>104.55</v>
      </c>
      <c r="N268" s="117">
        <f>SUMIFS('Ficha de Embalagens'!F:F,'Ficha de Embalagens'!A:A,A268)</f>
        <v>8.61</v>
      </c>
      <c r="O268" s="97">
        <f t="shared" si="57"/>
        <v>113.16</v>
      </c>
      <c r="P268" s="97">
        <f t="shared" si="58"/>
        <v>4.6500000000000004</v>
      </c>
      <c r="Q268" s="118">
        <f t="shared" si="59"/>
        <v>117.81</v>
      </c>
      <c r="R268" s="97">
        <f t="shared" si="60"/>
        <v>7.495000000000001</v>
      </c>
      <c r="S268" s="97">
        <f t="shared" si="61"/>
        <v>10.493000000000002</v>
      </c>
      <c r="T268" s="118">
        <f t="shared" si="62"/>
        <v>135.798</v>
      </c>
      <c r="U268" s="119">
        <v>149.9</v>
      </c>
      <c r="V268" s="120">
        <f t="shared" si="63"/>
        <v>9.4076050700466998E-2</v>
      </c>
      <c r="W268" s="121">
        <f t="shared" si="64"/>
        <v>133.88</v>
      </c>
      <c r="AB268" s="125">
        <f t="shared" si="65"/>
        <v>117.81</v>
      </c>
      <c r="AC268" s="125">
        <f t="shared" si="66"/>
        <v>131.91199999999998</v>
      </c>
      <c r="AD268" s="126">
        <f t="shared" si="67"/>
        <v>14.101999999999975</v>
      </c>
      <c r="AE268" s="127">
        <f t="shared" si="68"/>
        <v>0.1069046030687123</v>
      </c>
      <c r="AF268" s="128">
        <f t="shared" si="69"/>
        <v>133.88</v>
      </c>
    </row>
    <row r="269" spans="1:32" ht="15.75" customHeight="1">
      <c r="A269" s="114" t="s">
        <v>346</v>
      </c>
      <c r="B269" s="114" t="s">
        <v>933</v>
      </c>
      <c r="C269" s="114" t="s">
        <v>778</v>
      </c>
      <c r="D269" s="114" t="s">
        <v>903</v>
      </c>
      <c r="E269" s="114" t="s">
        <v>565</v>
      </c>
      <c r="F269" s="114" t="s">
        <v>904</v>
      </c>
      <c r="G269" s="114" t="s">
        <v>556</v>
      </c>
      <c r="H269" s="115">
        <v>15</v>
      </c>
      <c r="I269" s="114" t="s">
        <v>551</v>
      </c>
      <c r="J269" s="116">
        <f t="shared" si="56"/>
        <v>1.27</v>
      </c>
      <c r="K269" s="97" t="str">
        <f>IFERROR(IF(VLOOKUP(D269,'Ficha de Produção'!C:C,1,0)=D269,"OK","Custo Produção Não Cadastrado"),"Custo Produção Não Cadastrado")</f>
        <v>Custo Produção Não Cadastrado</v>
      </c>
      <c r="L269" s="97" t="str">
        <f>IFERROR(IF(VLOOKUP(A269,'Ficha de Embalagens'!A:A,1,0)=A269,"OK","Ficha de Embalagens Não Cadastrada"),"Ficha de Embalagens Não Cadastrada")</f>
        <v>Ficha de Embalagens Não Cadastrada</v>
      </c>
      <c r="M269" s="117">
        <f>SUMIFS('Ficha de Produção'!N:N,'Ficha de Produção'!C:C,D269)*H269</f>
        <v>0</v>
      </c>
      <c r="N269" s="117">
        <f>SUMIFS('Ficha de Embalagens'!F:F,'Ficha de Embalagens'!A:A,A269)</f>
        <v>0</v>
      </c>
      <c r="O269" s="97">
        <f t="shared" si="57"/>
        <v>0</v>
      </c>
      <c r="P269" s="97">
        <f t="shared" si="58"/>
        <v>0</v>
      </c>
      <c r="Q269" s="118">
        <f t="shared" si="59"/>
        <v>0</v>
      </c>
      <c r="R269" s="97">
        <f t="shared" si="60"/>
        <v>7.495000000000001</v>
      </c>
      <c r="S269" s="97">
        <f t="shared" si="61"/>
        <v>10.493000000000002</v>
      </c>
      <c r="T269" s="118">
        <f t="shared" si="62"/>
        <v>17.988000000000003</v>
      </c>
      <c r="U269" s="119">
        <v>149.9</v>
      </c>
      <c r="V269" s="120" t="str">
        <f t="shared" si="63"/>
        <v>Cadastrar Ficha de Produção</v>
      </c>
      <c r="W269" s="121" t="str">
        <f t="shared" si="64"/>
        <v>Cadastrar Ficha de Produção</v>
      </c>
      <c r="AB269" s="125" t="str">
        <f t="shared" si="65"/>
        <v/>
      </c>
      <c r="AC269" s="125">
        <f t="shared" si="66"/>
        <v>131.91199999999998</v>
      </c>
      <c r="AD269" s="126" t="str">
        <f t="shared" si="67"/>
        <v/>
      </c>
      <c r="AE269" s="127" t="str">
        <f t="shared" si="68"/>
        <v/>
      </c>
      <c r="AF269" s="128" t="str">
        <f t="shared" si="69"/>
        <v/>
      </c>
    </row>
    <row r="270" spans="1:32" ht="15.75" customHeight="1">
      <c r="A270" s="114" t="s">
        <v>347</v>
      </c>
      <c r="B270" s="114" t="s">
        <v>934</v>
      </c>
      <c r="C270" s="114" t="s">
        <v>778</v>
      </c>
      <c r="D270" s="114" t="s">
        <v>906</v>
      </c>
      <c r="E270" s="114" t="s">
        <v>565</v>
      </c>
      <c r="F270" s="114" t="s">
        <v>907</v>
      </c>
      <c r="G270" s="114" t="s">
        <v>556</v>
      </c>
      <c r="H270" s="115">
        <v>15</v>
      </c>
      <c r="I270" s="114" t="s">
        <v>551</v>
      </c>
      <c r="J270" s="116">
        <f t="shared" si="56"/>
        <v>1.27</v>
      </c>
      <c r="K270" s="97" t="str">
        <f>IFERROR(IF(VLOOKUP(D270,'Ficha de Produção'!C:C,1,0)=D270,"OK","Custo Produção Não Cadastrado"),"Custo Produção Não Cadastrado")</f>
        <v>Custo Produção Não Cadastrado</v>
      </c>
      <c r="L270" s="97" t="str">
        <f>IFERROR(IF(VLOOKUP(A270,'Ficha de Embalagens'!A:A,1,0)=A270,"OK","Ficha de Embalagens Não Cadastrada"),"Ficha de Embalagens Não Cadastrada")</f>
        <v>Ficha de Embalagens Não Cadastrada</v>
      </c>
      <c r="M270" s="117">
        <f>SUMIFS('Ficha de Produção'!N:N,'Ficha de Produção'!C:C,D270)*H270</f>
        <v>0</v>
      </c>
      <c r="N270" s="117">
        <f>SUMIFS('Ficha de Embalagens'!F:F,'Ficha de Embalagens'!A:A,A270)</f>
        <v>0</v>
      </c>
      <c r="O270" s="97">
        <f t="shared" si="57"/>
        <v>0</v>
      </c>
      <c r="P270" s="97">
        <f t="shared" si="58"/>
        <v>0</v>
      </c>
      <c r="Q270" s="118">
        <f t="shared" si="59"/>
        <v>0</v>
      </c>
      <c r="R270" s="97">
        <f t="shared" si="60"/>
        <v>7.495000000000001</v>
      </c>
      <c r="S270" s="97">
        <f t="shared" si="61"/>
        <v>10.493000000000002</v>
      </c>
      <c r="T270" s="118">
        <f t="shared" si="62"/>
        <v>17.988000000000003</v>
      </c>
      <c r="U270" s="119">
        <v>149.9</v>
      </c>
      <c r="V270" s="120" t="str">
        <f t="shared" si="63"/>
        <v>Cadastrar Ficha de Produção</v>
      </c>
      <c r="W270" s="121" t="str">
        <f t="shared" si="64"/>
        <v>Cadastrar Ficha de Produção</v>
      </c>
      <c r="AB270" s="125" t="str">
        <f t="shared" si="65"/>
        <v/>
      </c>
      <c r="AC270" s="125">
        <f t="shared" si="66"/>
        <v>131.91199999999998</v>
      </c>
      <c r="AD270" s="126" t="str">
        <f t="shared" si="67"/>
        <v/>
      </c>
      <c r="AE270" s="127" t="str">
        <f t="shared" si="68"/>
        <v/>
      </c>
      <c r="AF270" s="128" t="str">
        <f t="shared" si="69"/>
        <v/>
      </c>
    </row>
    <row r="271" spans="1:32" ht="15.75" customHeight="1">
      <c r="A271" s="114" t="s">
        <v>348</v>
      </c>
      <c r="B271" s="114" t="s">
        <v>935</v>
      </c>
      <c r="C271" s="114" t="s">
        <v>778</v>
      </c>
      <c r="D271" s="114" t="s">
        <v>909</v>
      </c>
      <c r="E271" s="114" t="s">
        <v>565</v>
      </c>
      <c r="F271" s="114" t="s">
        <v>698</v>
      </c>
      <c r="G271" s="114" t="s">
        <v>544</v>
      </c>
      <c r="H271" s="115">
        <v>15</v>
      </c>
      <c r="I271" s="114" t="s">
        <v>551</v>
      </c>
      <c r="J271" s="116">
        <f t="shared" si="56"/>
        <v>1.27</v>
      </c>
      <c r="K271" s="97" t="str">
        <f>IFERROR(IF(VLOOKUP(D271,'Ficha de Produção'!C:C,1,0)=D271,"OK","Custo Produção Não Cadastrado"),"Custo Produção Não Cadastrado")</f>
        <v>OK</v>
      </c>
      <c r="L271" s="97" t="str">
        <f>IFERROR(IF(VLOOKUP(A271,'Ficha de Embalagens'!A:A,1,0)=A271,"OK","Ficha de Embalagens Não Cadastrada"),"Ficha de Embalagens Não Cadastrada")</f>
        <v>OK</v>
      </c>
      <c r="M271" s="117">
        <f>SUMIFS('Ficha de Produção'!N:N,'Ficha de Produção'!C:C,D271)*H271</f>
        <v>77.999999999999972</v>
      </c>
      <c r="N271" s="117">
        <f>SUMIFS('Ficha de Embalagens'!F:F,'Ficha de Embalagens'!A:A,A271)</f>
        <v>8.61</v>
      </c>
      <c r="O271" s="97">
        <f t="shared" si="57"/>
        <v>86.609999999999971</v>
      </c>
      <c r="P271" s="97">
        <f t="shared" si="58"/>
        <v>4.6500000000000004</v>
      </c>
      <c r="Q271" s="118">
        <f t="shared" si="59"/>
        <v>91.259999999999977</v>
      </c>
      <c r="R271" s="97">
        <f t="shared" si="60"/>
        <v>7.495000000000001</v>
      </c>
      <c r="S271" s="97">
        <f t="shared" si="61"/>
        <v>10.493000000000002</v>
      </c>
      <c r="T271" s="118">
        <f t="shared" si="62"/>
        <v>109.24799999999999</v>
      </c>
      <c r="U271" s="119">
        <v>149.9</v>
      </c>
      <c r="V271" s="120">
        <f t="shared" si="63"/>
        <v>0.27119412941961318</v>
      </c>
      <c r="W271" s="121">
        <f t="shared" si="64"/>
        <v>103.71000000000001</v>
      </c>
      <c r="AB271" s="125">
        <f t="shared" si="65"/>
        <v>91.259999999999977</v>
      </c>
      <c r="AC271" s="125">
        <f t="shared" si="66"/>
        <v>131.91199999999998</v>
      </c>
      <c r="AD271" s="126">
        <f t="shared" si="67"/>
        <v>40.652000000000001</v>
      </c>
      <c r="AE271" s="127">
        <f t="shared" si="68"/>
        <v>0.30817514706774218</v>
      </c>
      <c r="AF271" s="128">
        <f t="shared" si="69"/>
        <v>103.71000000000001</v>
      </c>
    </row>
    <row r="272" spans="1:32" ht="15.75" customHeight="1">
      <c r="A272" s="114" t="s">
        <v>349</v>
      </c>
      <c r="B272" s="114" t="s">
        <v>936</v>
      </c>
      <c r="C272" s="114" t="s">
        <v>778</v>
      </c>
      <c r="D272" s="114" t="s">
        <v>911</v>
      </c>
      <c r="E272" s="114" t="s">
        <v>565</v>
      </c>
      <c r="F272" s="114" t="s">
        <v>701</v>
      </c>
      <c r="G272" s="114" t="s">
        <v>556</v>
      </c>
      <c r="H272" s="115">
        <v>15</v>
      </c>
      <c r="I272" s="114" t="s">
        <v>551</v>
      </c>
      <c r="J272" s="116">
        <f t="shared" si="56"/>
        <v>1.27</v>
      </c>
      <c r="K272" s="97" t="str">
        <f>IFERROR(IF(VLOOKUP(D272,'Ficha de Produção'!C:C,1,0)=D272,"OK","Custo Produção Não Cadastrado"),"Custo Produção Não Cadastrado")</f>
        <v>Custo Produção Não Cadastrado</v>
      </c>
      <c r="L272" s="97" t="str">
        <f>IFERROR(IF(VLOOKUP(A272,'Ficha de Embalagens'!A:A,1,0)=A272,"OK","Ficha de Embalagens Não Cadastrada"),"Ficha de Embalagens Não Cadastrada")</f>
        <v>Ficha de Embalagens Não Cadastrada</v>
      </c>
      <c r="M272" s="117">
        <f>SUMIFS('Ficha de Produção'!N:N,'Ficha de Produção'!C:C,D272)*H272</f>
        <v>0</v>
      </c>
      <c r="N272" s="117">
        <f>SUMIFS('Ficha de Embalagens'!F:F,'Ficha de Embalagens'!A:A,A272)</f>
        <v>0</v>
      </c>
      <c r="O272" s="97">
        <f t="shared" si="57"/>
        <v>0</v>
      </c>
      <c r="P272" s="97">
        <f t="shared" si="58"/>
        <v>0</v>
      </c>
      <c r="Q272" s="118">
        <f t="shared" si="59"/>
        <v>0</v>
      </c>
      <c r="R272" s="97">
        <f t="shared" si="60"/>
        <v>7.495000000000001</v>
      </c>
      <c r="S272" s="97">
        <f t="shared" si="61"/>
        <v>10.493000000000002</v>
      </c>
      <c r="T272" s="118">
        <f t="shared" si="62"/>
        <v>17.988000000000003</v>
      </c>
      <c r="U272" s="119">
        <v>149.9</v>
      </c>
      <c r="V272" s="120" t="str">
        <f t="shared" si="63"/>
        <v>Cadastrar Ficha de Produção</v>
      </c>
      <c r="W272" s="121" t="str">
        <f t="shared" si="64"/>
        <v>Cadastrar Ficha de Produção</v>
      </c>
      <c r="AB272" s="125" t="str">
        <f t="shared" si="65"/>
        <v/>
      </c>
      <c r="AC272" s="125">
        <f t="shared" si="66"/>
        <v>131.91199999999998</v>
      </c>
      <c r="AD272" s="126" t="str">
        <f t="shared" si="67"/>
        <v/>
      </c>
      <c r="AE272" s="127" t="str">
        <f t="shared" si="68"/>
        <v/>
      </c>
      <c r="AF272" s="128" t="str">
        <f t="shared" si="69"/>
        <v/>
      </c>
    </row>
    <row r="273" spans="1:32" ht="15.75" customHeight="1">
      <c r="A273" s="114" t="s">
        <v>350</v>
      </c>
      <c r="B273" s="114" t="s">
        <v>937</v>
      </c>
      <c r="C273" s="114" t="s">
        <v>778</v>
      </c>
      <c r="D273" s="114" t="s">
        <v>913</v>
      </c>
      <c r="E273" s="114" t="s">
        <v>565</v>
      </c>
      <c r="F273" s="114" t="s">
        <v>914</v>
      </c>
      <c r="G273" s="114" t="s">
        <v>556</v>
      </c>
      <c r="H273" s="115">
        <v>15</v>
      </c>
      <c r="I273" s="114" t="s">
        <v>551</v>
      </c>
      <c r="J273" s="116">
        <f t="shared" si="56"/>
        <v>1.27</v>
      </c>
      <c r="K273" s="97" t="str">
        <f>IFERROR(IF(VLOOKUP(D273,'Ficha de Produção'!C:C,1,0)=D273,"OK","Custo Produção Não Cadastrado"),"Custo Produção Não Cadastrado")</f>
        <v>Custo Produção Não Cadastrado</v>
      </c>
      <c r="L273" s="97" t="str">
        <f>IFERROR(IF(VLOOKUP(A273,'Ficha de Embalagens'!A:A,1,0)=A273,"OK","Ficha de Embalagens Não Cadastrada"),"Ficha de Embalagens Não Cadastrada")</f>
        <v>Ficha de Embalagens Não Cadastrada</v>
      </c>
      <c r="M273" s="117">
        <f>SUMIFS('Ficha de Produção'!N:N,'Ficha de Produção'!C:C,D273)*H273</f>
        <v>0</v>
      </c>
      <c r="N273" s="117">
        <f>SUMIFS('Ficha de Embalagens'!F:F,'Ficha de Embalagens'!A:A,A273)</f>
        <v>0</v>
      </c>
      <c r="O273" s="97">
        <f t="shared" si="57"/>
        <v>0</v>
      </c>
      <c r="P273" s="97">
        <f t="shared" si="58"/>
        <v>0</v>
      </c>
      <c r="Q273" s="118">
        <f t="shared" si="59"/>
        <v>0</v>
      </c>
      <c r="R273" s="97">
        <f t="shared" si="60"/>
        <v>7.495000000000001</v>
      </c>
      <c r="S273" s="97">
        <f t="shared" si="61"/>
        <v>10.493000000000002</v>
      </c>
      <c r="T273" s="118">
        <f t="shared" si="62"/>
        <v>17.988000000000003</v>
      </c>
      <c r="U273" s="119">
        <v>149.9</v>
      </c>
      <c r="V273" s="120" t="str">
        <f t="shared" si="63"/>
        <v>Cadastrar Ficha de Produção</v>
      </c>
      <c r="W273" s="121" t="str">
        <f t="shared" si="64"/>
        <v>Cadastrar Ficha de Produção</v>
      </c>
      <c r="AB273" s="125" t="str">
        <f t="shared" si="65"/>
        <v/>
      </c>
      <c r="AC273" s="125">
        <f t="shared" si="66"/>
        <v>131.91199999999998</v>
      </c>
      <c r="AD273" s="126" t="str">
        <f t="shared" si="67"/>
        <v/>
      </c>
      <c r="AE273" s="127" t="str">
        <f t="shared" si="68"/>
        <v/>
      </c>
      <c r="AF273" s="128" t="str">
        <f t="shared" si="69"/>
        <v/>
      </c>
    </row>
    <row r="274" spans="1:32" ht="15.75" customHeight="1">
      <c r="A274" s="114" t="s">
        <v>351</v>
      </c>
      <c r="B274" s="114" t="s">
        <v>938</v>
      </c>
      <c r="C274" s="114" t="s">
        <v>778</v>
      </c>
      <c r="D274" s="114" t="s">
        <v>916</v>
      </c>
      <c r="E274" s="114" t="s">
        <v>565</v>
      </c>
      <c r="F274" s="114" t="s">
        <v>917</v>
      </c>
      <c r="G274" s="114" t="s">
        <v>556</v>
      </c>
      <c r="H274" s="115">
        <v>15</v>
      </c>
      <c r="I274" s="114" t="s">
        <v>551</v>
      </c>
      <c r="J274" s="116">
        <f t="shared" si="56"/>
        <v>1.27</v>
      </c>
      <c r="K274" s="97" t="str">
        <f>IFERROR(IF(VLOOKUP(D274,'Ficha de Produção'!C:C,1,0)=D274,"OK","Custo Produção Não Cadastrado"),"Custo Produção Não Cadastrado")</f>
        <v>Custo Produção Não Cadastrado</v>
      </c>
      <c r="L274" s="97" t="str">
        <f>IFERROR(IF(VLOOKUP(A274,'Ficha de Embalagens'!A:A,1,0)=A274,"OK","Ficha de Embalagens Não Cadastrada"),"Ficha de Embalagens Não Cadastrada")</f>
        <v>Ficha de Embalagens Não Cadastrada</v>
      </c>
      <c r="M274" s="117">
        <f>SUMIFS('Ficha de Produção'!N:N,'Ficha de Produção'!C:C,D274)*H274</f>
        <v>0</v>
      </c>
      <c r="N274" s="117">
        <f>SUMIFS('Ficha de Embalagens'!F:F,'Ficha de Embalagens'!A:A,A274)</f>
        <v>0</v>
      </c>
      <c r="O274" s="97">
        <f t="shared" si="57"/>
        <v>0</v>
      </c>
      <c r="P274" s="97">
        <f t="shared" si="58"/>
        <v>0</v>
      </c>
      <c r="Q274" s="118">
        <f t="shared" si="59"/>
        <v>0</v>
      </c>
      <c r="R274" s="97">
        <f t="shared" si="60"/>
        <v>7.495000000000001</v>
      </c>
      <c r="S274" s="97">
        <f t="shared" si="61"/>
        <v>10.493000000000002</v>
      </c>
      <c r="T274" s="118">
        <f t="shared" si="62"/>
        <v>17.988000000000003</v>
      </c>
      <c r="U274" s="119">
        <v>149.9</v>
      </c>
      <c r="V274" s="120" t="str">
        <f t="shared" si="63"/>
        <v>Cadastrar Ficha de Produção</v>
      </c>
      <c r="W274" s="121" t="str">
        <f t="shared" si="64"/>
        <v>Cadastrar Ficha de Produção</v>
      </c>
      <c r="AB274" s="125" t="str">
        <f t="shared" si="65"/>
        <v/>
      </c>
      <c r="AC274" s="125">
        <f t="shared" si="66"/>
        <v>131.91199999999998</v>
      </c>
      <c r="AD274" s="126" t="str">
        <f t="shared" si="67"/>
        <v/>
      </c>
      <c r="AE274" s="127" t="str">
        <f t="shared" si="68"/>
        <v/>
      </c>
      <c r="AF274" s="128" t="str">
        <f t="shared" si="69"/>
        <v/>
      </c>
    </row>
    <row r="275" spans="1:32" ht="15.75" customHeight="1">
      <c r="A275" s="114" t="s">
        <v>352</v>
      </c>
      <c r="B275" s="114" t="s">
        <v>939</v>
      </c>
      <c r="C275" s="114" t="s">
        <v>778</v>
      </c>
      <c r="D275" s="114" t="s">
        <v>919</v>
      </c>
      <c r="E275" s="114" t="s">
        <v>565</v>
      </c>
      <c r="F275" s="114" t="s">
        <v>920</v>
      </c>
      <c r="G275" s="114" t="s">
        <v>556</v>
      </c>
      <c r="H275" s="115">
        <v>15</v>
      </c>
      <c r="I275" s="114" t="s">
        <v>551</v>
      </c>
      <c r="J275" s="116">
        <f t="shared" si="56"/>
        <v>1.27</v>
      </c>
      <c r="K275" s="97" t="str">
        <f>IFERROR(IF(VLOOKUP(D275,'Ficha de Produção'!C:C,1,0)=D275,"OK","Custo Produção Não Cadastrado"),"Custo Produção Não Cadastrado")</f>
        <v>Custo Produção Não Cadastrado</v>
      </c>
      <c r="L275" s="97" t="str">
        <f>IFERROR(IF(VLOOKUP(A275,'Ficha de Embalagens'!A:A,1,0)=A275,"OK","Ficha de Embalagens Não Cadastrada"),"Ficha de Embalagens Não Cadastrada")</f>
        <v>Ficha de Embalagens Não Cadastrada</v>
      </c>
      <c r="M275" s="117">
        <f>SUMIFS('Ficha de Produção'!N:N,'Ficha de Produção'!C:C,D275)*H275</f>
        <v>0</v>
      </c>
      <c r="N275" s="117">
        <f>SUMIFS('Ficha de Embalagens'!F:F,'Ficha de Embalagens'!A:A,A275)</f>
        <v>0</v>
      </c>
      <c r="O275" s="97">
        <f t="shared" si="57"/>
        <v>0</v>
      </c>
      <c r="P275" s="97">
        <f t="shared" si="58"/>
        <v>0</v>
      </c>
      <c r="Q275" s="118">
        <f t="shared" si="59"/>
        <v>0</v>
      </c>
      <c r="R275" s="97">
        <f t="shared" si="60"/>
        <v>7.495000000000001</v>
      </c>
      <c r="S275" s="97">
        <f t="shared" si="61"/>
        <v>10.493000000000002</v>
      </c>
      <c r="T275" s="118">
        <f t="shared" si="62"/>
        <v>17.988000000000003</v>
      </c>
      <c r="U275" s="119">
        <v>149.9</v>
      </c>
      <c r="V275" s="120" t="str">
        <f t="shared" si="63"/>
        <v>Cadastrar Ficha de Produção</v>
      </c>
      <c r="W275" s="121" t="str">
        <f t="shared" si="64"/>
        <v>Cadastrar Ficha de Produção</v>
      </c>
      <c r="AB275" s="125" t="str">
        <f t="shared" si="65"/>
        <v/>
      </c>
      <c r="AC275" s="125">
        <f t="shared" si="66"/>
        <v>131.91199999999998</v>
      </c>
      <c r="AD275" s="126" t="str">
        <f t="shared" si="67"/>
        <v/>
      </c>
      <c r="AE275" s="127" t="str">
        <f t="shared" si="68"/>
        <v/>
      </c>
      <c r="AF275" s="128" t="str">
        <f t="shared" si="69"/>
        <v/>
      </c>
    </row>
    <row r="276" spans="1:32" ht="15.75" customHeight="1">
      <c r="A276" s="114" t="s">
        <v>353</v>
      </c>
      <c r="B276" s="114" t="s">
        <v>940</v>
      </c>
      <c r="C276" s="114" t="s">
        <v>778</v>
      </c>
      <c r="D276" s="114" t="s">
        <v>922</v>
      </c>
      <c r="E276" s="114" t="s">
        <v>565</v>
      </c>
      <c r="F276" s="114" t="s">
        <v>581</v>
      </c>
      <c r="G276" s="114" t="s">
        <v>556</v>
      </c>
      <c r="H276" s="115">
        <v>15</v>
      </c>
      <c r="I276" s="114" t="s">
        <v>551</v>
      </c>
      <c r="J276" s="116">
        <f t="shared" si="56"/>
        <v>1.27</v>
      </c>
      <c r="K276" s="97" t="str">
        <f>IFERROR(IF(VLOOKUP(D276,'Ficha de Produção'!C:C,1,0)=D276,"OK","Custo Produção Não Cadastrado"),"Custo Produção Não Cadastrado")</f>
        <v>Custo Produção Não Cadastrado</v>
      </c>
      <c r="L276" s="97" t="str">
        <f>IFERROR(IF(VLOOKUP(A276,'Ficha de Embalagens'!A:A,1,0)=A276,"OK","Ficha de Embalagens Não Cadastrada"),"Ficha de Embalagens Não Cadastrada")</f>
        <v>Ficha de Embalagens Não Cadastrada</v>
      </c>
      <c r="M276" s="117">
        <f>SUMIFS('Ficha de Produção'!N:N,'Ficha de Produção'!C:C,D276)*H276</f>
        <v>0</v>
      </c>
      <c r="N276" s="117">
        <f>SUMIFS('Ficha de Embalagens'!F:F,'Ficha de Embalagens'!A:A,A276)</f>
        <v>0</v>
      </c>
      <c r="O276" s="97">
        <f t="shared" si="57"/>
        <v>0</v>
      </c>
      <c r="P276" s="97">
        <f t="shared" si="58"/>
        <v>0</v>
      </c>
      <c r="Q276" s="118">
        <f t="shared" si="59"/>
        <v>0</v>
      </c>
      <c r="R276" s="97">
        <f t="shared" si="60"/>
        <v>7.495000000000001</v>
      </c>
      <c r="S276" s="97">
        <f t="shared" si="61"/>
        <v>10.493000000000002</v>
      </c>
      <c r="T276" s="118">
        <f t="shared" si="62"/>
        <v>17.988000000000003</v>
      </c>
      <c r="U276" s="119">
        <v>149.9</v>
      </c>
      <c r="V276" s="120" t="str">
        <f t="shared" si="63"/>
        <v>Cadastrar Ficha de Produção</v>
      </c>
      <c r="W276" s="121" t="str">
        <f t="shared" si="64"/>
        <v>Cadastrar Ficha de Produção</v>
      </c>
      <c r="AB276" s="125" t="str">
        <f t="shared" si="65"/>
        <v/>
      </c>
      <c r="AC276" s="125">
        <f t="shared" si="66"/>
        <v>131.91199999999998</v>
      </c>
      <c r="AD276" s="126" t="str">
        <f t="shared" si="67"/>
        <v/>
      </c>
      <c r="AE276" s="127" t="str">
        <f t="shared" si="68"/>
        <v/>
      </c>
      <c r="AF276" s="128" t="str">
        <f t="shared" si="69"/>
        <v/>
      </c>
    </row>
    <row r="277" spans="1:32" ht="15.75" customHeight="1">
      <c r="A277" s="114" t="s">
        <v>354</v>
      </c>
      <c r="B277" s="114" t="s">
        <v>941</v>
      </c>
      <c r="C277" s="114" t="s">
        <v>778</v>
      </c>
      <c r="D277" s="114"/>
      <c r="E277" s="114" t="s">
        <v>610</v>
      </c>
      <c r="F277" s="114" t="s">
        <v>566</v>
      </c>
      <c r="G277" s="114" t="s">
        <v>556</v>
      </c>
      <c r="H277" s="115">
        <v>15</v>
      </c>
      <c r="I277" s="114" t="s">
        <v>551</v>
      </c>
      <c r="J277" s="116">
        <f t="shared" si="56"/>
        <v>1.27</v>
      </c>
      <c r="K277" s="97" t="str">
        <f>IFERROR(IF(VLOOKUP(D277,'Ficha de Produção'!C:C,1,0)=D277,"OK","Custo Produção Não Cadastrado"),"Custo Produção Não Cadastrado")</f>
        <v>Custo Produção Não Cadastrado</v>
      </c>
      <c r="L277" s="97" t="str">
        <f>IFERROR(IF(VLOOKUP(A277,'Ficha de Embalagens'!A:A,1,0)=A277,"OK","Ficha de Embalagens Não Cadastrada"),"Ficha de Embalagens Não Cadastrada")</f>
        <v>Ficha de Embalagens Não Cadastrada</v>
      </c>
      <c r="M277" s="117">
        <f>SUMIFS('Ficha de Produção'!N:N,'Ficha de Produção'!C:C,D277)*H277</f>
        <v>0</v>
      </c>
      <c r="N277" s="117">
        <f>SUMIFS('Ficha de Embalagens'!F:F,'Ficha de Embalagens'!A:A,A277)</f>
        <v>0</v>
      </c>
      <c r="O277" s="97">
        <f t="shared" si="57"/>
        <v>0</v>
      </c>
      <c r="P277" s="97">
        <f t="shared" si="58"/>
        <v>0</v>
      </c>
      <c r="Q277" s="118">
        <f t="shared" si="59"/>
        <v>0</v>
      </c>
      <c r="R277" s="97">
        <f t="shared" si="60"/>
        <v>7.495000000000001</v>
      </c>
      <c r="S277" s="97">
        <f t="shared" si="61"/>
        <v>10.493000000000002</v>
      </c>
      <c r="T277" s="118">
        <f t="shared" si="62"/>
        <v>17.988000000000003</v>
      </c>
      <c r="U277" s="119">
        <v>149.9</v>
      </c>
      <c r="V277" s="120" t="str">
        <f t="shared" si="63"/>
        <v>Cadastrar Ficha de Produção</v>
      </c>
      <c r="W277" s="121" t="str">
        <f t="shared" si="64"/>
        <v>Cadastrar Ficha de Produção</v>
      </c>
      <c r="AB277" s="125" t="str">
        <f t="shared" si="65"/>
        <v/>
      </c>
      <c r="AC277" s="125">
        <f t="shared" si="66"/>
        <v>131.91199999999998</v>
      </c>
      <c r="AD277" s="126" t="str">
        <f t="shared" si="67"/>
        <v/>
      </c>
      <c r="AE277" s="127" t="str">
        <f t="shared" si="68"/>
        <v/>
      </c>
      <c r="AF277" s="128" t="str">
        <f t="shared" si="69"/>
        <v/>
      </c>
    </row>
    <row r="278" spans="1:32" ht="15.75" customHeight="1">
      <c r="A278" s="114" t="s">
        <v>355</v>
      </c>
      <c r="B278" s="114" t="s">
        <v>942</v>
      </c>
      <c r="C278" s="114" t="s">
        <v>778</v>
      </c>
      <c r="D278" s="114"/>
      <c r="E278" s="114" t="s">
        <v>610</v>
      </c>
      <c r="F278" s="114" t="s">
        <v>904</v>
      </c>
      <c r="G278" s="114" t="s">
        <v>556</v>
      </c>
      <c r="H278" s="115">
        <v>15</v>
      </c>
      <c r="I278" s="114" t="s">
        <v>551</v>
      </c>
      <c r="J278" s="116">
        <f t="shared" si="56"/>
        <v>1.27</v>
      </c>
      <c r="K278" s="97" t="str">
        <f>IFERROR(IF(VLOOKUP(D278,'Ficha de Produção'!C:C,1,0)=D278,"OK","Custo Produção Não Cadastrado"),"Custo Produção Não Cadastrado")</f>
        <v>Custo Produção Não Cadastrado</v>
      </c>
      <c r="L278" s="97" t="str">
        <f>IFERROR(IF(VLOOKUP(A278,'Ficha de Embalagens'!A:A,1,0)=A278,"OK","Ficha de Embalagens Não Cadastrada"),"Ficha de Embalagens Não Cadastrada")</f>
        <v>Ficha de Embalagens Não Cadastrada</v>
      </c>
      <c r="M278" s="117">
        <f>SUMIFS('Ficha de Produção'!N:N,'Ficha de Produção'!C:C,D278)*H278</f>
        <v>0</v>
      </c>
      <c r="N278" s="117">
        <f>SUMIFS('Ficha de Embalagens'!F:F,'Ficha de Embalagens'!A:A,A278)</f>
        <v>0</v>
      </c>
      <c r="O278" s="97">
        <f t="shared" si="57"/>
        <v>0</v>
      </c>
      <c r="P278" s="97">
        <f t="shared" si="58"/>
        <v>0</v>
      </c>
      <c r="Q278" s="118">
        <f t="shared" si="59"/>
        <v>0</v>
      </c>
      <c r="R278" s="97">
        <f t="shared" si="60"/>
        <v>0</v>
      </c>
      <c r="S278" s="97">
        <f t="shared" si="61"/>
        <v>0</v>
      </c>
      <c r="T278" s="118">
        <f t="shared" si="62"/>
        <v>0</v>
      </c>
      <c r="U278" s="119"/>
      <c r="V278" s="120" t="str">
        <f t="shared" si="63"/>
        <v>Cadastrar Ficha de Produção</v>
      </c>
      <c r="W278" s="121" t="str">
        <f t="shared" si="64"/>
        <v>Cadastrar Ficha de Produção</v>
      </c>
      <c r="AB278" s="125" t="str">
        <f t="shared" si="65"/>
        <v/>
      </c>
      <c r="AC278" s="125" t="str">
        <f t="shared" si="66"/>
        <v/>
      </c>
      <c r="AD278" s="126" t="str">
        <f t="shared" si="67"/>
        <v/>
      </c>
      <c r="AE278" s="127" t="str">
        <f t="shared" si="68"/>
        <v/>
      </c>
      <c r="AF278" s="128" t="str">
        <f t="shared" si="69"/>
        <v/>
      </c>
    </row>
    <row r="279" spans="1:32" ht="15.75" customHeight="1">
      <c r="A279" s="114" t="s">
        <v>356</v>
      </c>
      <c r="B279" s="114" t="s">
        <v>943</v>
      </c>
      <c r="C279" s="114" t="s">
        <v>778</v>
      </c>
      <c r="D279" s="114"/>
      <c r="E279" s="114" t="s">
        <v>610</v>
      </c>
      <c r="F279" s="114" t="s">
        <v>907</v>
      </c>
      <c r="G279" s="114" t="s">
        <v>556</v>
      </c>
      <c r="H279" s="115">
        <v>15</v>
      </c>
      <c r="I279" s="114" t="s">
        <v>551</v>
      </c>
      <c r="J279" s="116">
        <f t="shared" si="56"/>
        <v>1.27</v>
      </c>
      <c r="K279" s="97" t="str">
        <f>IFERROR(IF(VLOOKUP(D279,'Ficha de Produção'!C:C,1,0)=D279,"OK","Custo Produção Não Cadastrado"),"Custo Produção Não Cadastrado")</f>
        <v>Custo Produção Não Cadastrado</v>
      </c>
      <c r="L279" s="97" t="str">
        <f>IFERROR(IF(VLOOKUP(A279,'Ficha de Embalagens'!A:A,1,0)=A279,"OK","Ficha de Embalagens Não Cadastrada"),"Ficha de Embalagens Não Cadastrada")</f>
        <v>Ficha de Embalagens Não Cadastrada</v>
      </c>
      <c r="M279" s="117">
        <f>SUMIFS('Ficha de Produção'!N:N,'Ficha de Produção'!C:C,D279)*H279</f>
        <v>0</v>
      </c>
      <c r="N279" s="117">
        <f>SUMIFS('Ficha de Embalagens'!F:F,'Ficha de Embalagens'!A:A,A279)</f>
        <v>0</v>
      </c>
      <c r="O279" s="97">
        <f t="shared" si="57"/>
        <v>0</v>
      </c>
      <c r="P279" s="97">
        <f t="shared" si="58"/>
        <v>0</v>
      </c>
      <c r="Q279" s="118">
        <f t="shared" si="59"/>
        <v>0</v>
      </c>
      <c r="R279" s="97">
        <f t="shared" si="60"/>
        <v>0</v>
      </c>
      <c r="S279" s="97">
        <f t="shared" si="61"/>
        <v>0</v>
      </c>
      <c r="T279" s="118">
        <f t="shared" si="62"/>
        <v>0</v>
      </c>
      <c r="U279" s="119"/>
      <c r="V279" s="120" t="str">
        <f t="shared" si="63"/>
        <v>Cadastrar Ficha de Produção</v>
      </c>
      <c r="W279" s="121" t="str">
        <f t="shared" si="64"/>
        <v>Cadastrar Ficha de Produção</v>
      </c>
      <c r="AB279" s="125" t="str">
        <f t="shared" si="65"/>
        <v/>
      </c>
      <c r="AC279" s="125" t="str">
        <f t="shared" si="66"/>
        <v/>
      </c>
      <c r="AD279" s="126" t="str">
        <f t="shared" si="67"/>
        <v/>
      </c>
      <c r="AE279" s="127" t="str">
        <f t="shared" si="68"/>
        <v/>
      </c>
      <c r="AF279" s="128" t="str">
        <f t="shared" si="69"/>
        <v/>
      </c>
    </row>
    <row r="280" spans="1:32" ht="15.75" customHeight="1">
      <c r="A280" s="114" t="s">
        <v>357</v>
      </c>
      <c r="B280" s="114" t="s">
        <v>944</v>
      </c>
      <c r="C280" s="114" t="s">
        <v>778</v>
      </c>
      <c r="D280" s="114"/>
      <c r="E280" s="114" t="s">
        <v>610</v>
      </c>
      <c r="F280" s="114" t="s">
        <v>698</v>
      </c>
      <c r="G280" s="114" t="s">
        <v>556</v>
      </c>
      <c r="H280" s="115">
        <v>15</v>
      </c>
      <c r="I280" s="114" t="s">
        <v>551</v>
      </c>
      <c r="J280" s="116">
        <f t="shared" si="56"/>
        <v>1.27</v>
      </c>
      <c r="K280" s="97" t="str">
        <f>IFERROR(IF(VLOOKUP(D280,'Ficha de Produção'!C:C,1,0)=D280,"OK","Custo Produção Não Cadastrado"),"Custo Produção Não Cadastrado")</f>
        <v>Custo Produção Não Cadastrado</v>
      </c>
      <c r="L280" s="97" t="str">
        <f>IFERROR(IF(VLOOKUP(A280,'Ficha de Embalagens'!A:A,1,0)=A280,"OK","Ficha de Embalagens Não Cadastrada"),"Ficha de Embalagens Não Cadastrada")</f>
        <v>Ficha de Embalagens Não Cadastrada</v>
      </c>
      <c r="M280" s="117">
        <f>SUMIFS('Ficha de Produção'!N:N,'Ficha de Produção'!C:C,D280)*H280</f>
        <v>0</v>
      </c>
      <c r="N280" s="117">
        <f>SUMIFS('Ficha de Embalagens'!F:F,'Ficha de Embalagens'!A:A,A280)</f>
        <v>0</v>
      </c>
      <c r="O280" s="97">
        <f t="shared" si="57"/>
        <v>0</v>
      </c>
      <c r="P280" s="97">
        <f t="shared" si="58"/>
        <v>0</v>
      </c>
      <c r="Q280" s="118">
        <f t="shared" si="59"/>
        <v>0</v>
      </c>
      <c r="R280" s="97">
        <f t="shared" si="60"/>
        <v>0</v>
      </c>
      <c r="S280" s="97">
        <f t="shared" si="61"/>
        <v>0</v>
      </c>
      <c r="T280" s="118">
        <f t="shared" si="62"/>
        <v>0</v>
      </c>
      <c r="U280" s="119"/>
      <c r="V280" s="120" t="str">
        <f t="shared" si="63"/>
        <v>Cadastrar Ficha de Produção</v>
      </c>
      <c r="W280" s="121" t="str">
        <f t="shared" si="64"/>
        <v>Cadastrar Ficha de Produção</v>
      </c>
      <c r="AB280" s="125" t="str">
        <f t="shared" si="65"/>
        <v/>
      </c>
      <c r="AC280" s="125" t="str">
        <f t="shared" si="66"/>
        <v/>
      </c>
      <c r="AD280" s="126" t="str">
        <f t="shared" si="67"/>
        <v/>
      </c>
      <c r="AE280" s="127" t="str">
        <f t="shared" si="68"/>
        <v/>
      </c>
      <c r="AF280" s="128" t="str">
        <f t="shared" si="69"/>
        <v/>
      </c>
    </row>
    <row r="281" spans="1:32" ht="15.75" customHeight="1">
      <c r="A281" s="114" t="s">
        <v>358</v>
      </c>
      <c r="B281" s="114" t="s">
        <v>945</v>
      </c>
      <c r="C281" s="114" t="s">
        <v>778</v>
      </c>
      <c r="D281" s="114"/>
      <c r="E281" s="114" t="s">
        <v>610</v>
      </c>
      <c r="F281" s="114" t="s">
        <v>701</v>
      </c>
      <c r="G281" s="114" t="s">
        <v>556</v>
      </c>
      <c r="H281" s="115">
        <v>15</v>
      </c>
      <c r="I281" s="114" t="s">
        <v>551</v>
      </c>
      <c r="J281" s="116">
        <f t="shared" si="56"/>
        <v>1.27</v>
      </c>
      <c r="K281" s="97" t="str">
        <f>IFERROR(IF(VLOOKUP(D281,'Ficha de Produção'!C:C,1,0)=D281,"OK","Custo Produção Não Cadastrado"),"Custo Produção Não Cadastrado")</f>
        <v>Custo Produção Não Cadastrado</v>
      </c>
      <c r="L281" s="97" t="str">
        <f>IFERROR(IF(VLOOKUP(A281,'Ficha de Embalagens'!A:A,1,0)=A281,"OK","Ficha de Embalagens Não Cadastrada"),"Ficha de Embalagens Não Cadastrada")</f>
        <v>Ficha de Embalagens Não Cadastrada</v>
      </c>
      <c r="M281" s="117">
        <f>SUMIFS('Ficha de Produção'!N:N,'Ficha de Produção'!C:C,D281)*H281</f>
        <v>0</v>
      </c>
      <c r="N281" s="117">
        <f>SUMIFS('Ficha de Embalagens'!F:F,'Ficha de Embalagens'!A:A,A281)</f>
        <v>0</v>
      </c>
      <c r="O281" s="97">
        <f t="shared" si="57"/>
        <v>0</v>
      </c>
      <c r="P281" s="97">
        <f t="shared" si="58"/>
        <v>0</v>
      </c>
      <c r="Q281" s="118">
        <f t="shared" si="59"/>
        <v>0</v>
      </c>
      <c r="R281" s="97">
        <f t="shared" si="60"/>
        <v>0</v>
      </c>
      <c r="S281" s="97">
        <f t="shared" si="61"/>
        <v>0</v>
      </c>
      <c r="T281" s="118">
        <f t="shared" si="62"/>
        <v>0</v>
      </c>
      <c r="U281" s="119"/>
      <c r="V281" s="120" t="str">
        <f t="shared" si="63"/>
        <v>Cadastrar Ficha de Produção</v>
      </c>
      <c r="W281" s="121" t="str">
        <f t="shared" si="64"/>
        <v>Cadastrar Ficha de Produção</v>
      </c>
      <c r="AB281" s="125" t="str">
        <f t="shared" si="65"/>
        <v/>
      </c>
      <c r="AC281" s="125" t="str">
        <f t="shared" si="66"/>
        <v/>
      </c>
      <c r="AD281" s="126" t="str">
        <f t="shared" si="67"/>
        <v/>
      </c>
      <c r="AE281" s="127" t="str">
        <f t="shared" si="68"/>
        <v/>
      </c>
      <c r="AF281" s="128" t="str">
        <f t="shared" si="69"/>
        <v/>
      </c>
    </row>
    <row r="282" spans="1:32" ht="15.75" customHeight="1">
      <c r="A282" s="114" t="s">
        <v>359</v>
      </c>
      <c r="B282" s="114" t="s">
        <v>946</v>
      </c>
      <c r="C282" s="114" t="s">
        <v>778</v>
      </c>
      <c r="D282" s="114"/>
      <c r="E282" s="114" t="s">
        <v>610</v>
      </c>
      <c r="F282" s="114" t="s">
        <v>914</v>
      </c>
      <c r="G282" s="114" t="s">
        <v>556</v>
      </c>
      <c r="H282" s="115">
        <v>15</v>
      </c>
      <c r="I282" s="114" t="s">
        <v>551</v>
      </c>
      <c r="J282" s="116">
        <f t="shared" si="56"/>
        <v>1.27</v>
      </c>
      <c r="K282" s="97" t="str">
        <f>IFERROR(IF(VLOOKUP(D282,'Ficha de Produção'!C:C,1,0)=D282,"OK","Custo Produção Não Cadastrado"),"Custo Produção Não Cadastrado")</f>
        <v>Custo Produção Não Cadastrado</v>
      </c>
      <c r="L282" s="97" t="str">
        <f>IFERROR(IF(VLOOKUP(A282,'Ficha de Embalagens'!A:A,1,0)=A282,"OK","Ficha de Embalagens Não Cadastrada"),"Ficha de Embalagens Não Cadastrada")</f>
        <v>Ficha de Embalagens Não Cadastrada</v>
      </c>
      <c r="M282" s="117">
        <f>SUMIFS('Ficha de Produção'!N:N,'Ficha de Produção'!C:C,D282)*H282</f>
        <v>0</v>
      </c>
      <c r="N282" s="117">
        <f>SUMIFS('Ficha de Embalagens'!F:F,'Ficha de Embalagens'!A:A,A282)</f>
        <v>0</v>
      </c>
      <c r="O282" s="97">
        <f t="shared" si="57"/>
        <v>0</v>
      </c>
      <c r="P282" s="97">
        <f t="shared" si="58"/>
        <v>0</v>
      </c>
      <c r="Q282" s="118">
        <f t="shared" si="59"/>
        <v>0</v>
      </c>
      <c r="R282" s="97">
        <f t="shared" si="60"/>
        <v>0</v>
      </c>
      <c r="S282" s="97">
        <f t="shared" si="61"/>
        <v>0</v>
      </c>
      <c r="T282" s="118">
        <f t="shared" si="62"/>
        <v>0</v>
      </c>
      <c r="U282" s="119"/>
      <c r="V282" s="120" t="str">
        <f t="shared" si="63"/>
        <v>Cadastrar Ficha de Produção</v>
      </c>
      <c r="W282" s="121" t="str">
        <f t="shared" si="64"/>
        <v>Cadastrar Ficha de Produção</v>
      </c>
      <c r="AB282" s="125" t="str">
        <f t="shared" si="65"/>
        <v/>
      </c>
      <c r="AC282" s="125" t="str">
        <f t="shared" si="66"/>
        <v/>
      </c>
      <c r="AD282" s="126" t="str">
        <f t="shared" si="67"/>
        <v/>
      </c>
      <c r="AE282" s="127" t="str">
        <f t="shared" si="68"/>
        <v/>
      </c>
      <c r="AF282" s="128" t="str">
        <f t="shared" si="69"/>
        <v/>
      </c>
    </row>
    <row r="283" spans="1:32" ht="15.75" customHeight="1">
      <c r="A283" s="114" t="s">
        <v>360</v>
      </c>
      <c r="B283" s="114" t="s">
        <v>947</v>
      </c>
      <c r="C283" s="114" t="s">
        <v>778</v>
      </c>
      <c r="D283" s="114"/>
      <c r="E283" s="114" t="s">
        <v>610</v>
      </c>
      <c r="F283" s="114" t="s">
        <v>917</v>
      </c>
      <c r="G283" s="114" t="s">
        <v>556</v>
      </c>
      <c r="H283" s="115">
        <v>15</v>
      </c>
      <c r="I283" s="114" t="s">
        <v>551</v>
      </c>
      <c r="J283" s="116">
        <f t="shared" si="56"/>
        <v>1.27</v>
      </c>
      <c r="K283" s="97" t="str">
        <f>IFERROR(IF(VLOOKUP(D283,'Ficha de Produção'!C:C,1,0)=D283,"OK","Custo Produção Não Cadastrado"),"Custo Produção Não Cadastrado")</f>
        <v>Custo Produção Não Cadastrado</v>
      </c>
      <c r="L283" s="97" t="str">
        <f>IFERROR(IF(VLOOKUP(A283,'Ficha de Embalagens'!A:A,1,0)=A283,"OK","Ficha de Embalagens Não Cadastrada"),"Ficha de Embalagens Não Cadastrada")</f>
        <v>Ficha de Embalagens Não Cadastrada</v>
      </c>
      <c r="M283" s="117">
        <f>SUMIFS('Ficha de Produção'!N:N,'Ficha de Produção'!C:C,D283)*H283</f>
        <v>0</v>
      </c>
      <c r="N283" s="117">
        <f>SUMIFS('Ficha de Embalagens'!F:F,'Ficha de Embalagens'!A:A,A283)</f>
        <v>0</v>
      </c>
      <c r="O283" s="97">
        <f t="shared" si="57"/>
        <v>0</v>
      </c>
      <c r="P283" s="97">
        <f t="shared" si="58"/>
        <v>0</v>
      </c>
      <c r="Q283" s="118">
        <f t="shared" si="59"/>
        <v>0</v>
      </c>
      <c r="R283" s="97">
        <f t="shared" si="60"/>
        <v>0</v>
      </c>
      <c r="S283" s="97">
        <f t="shared" si="61"/>
        <v>0</v>
      </c>
      <c r="T283" s="118">
        <f t="shared" si="62"/>
        <v>0</v>
      </c>
      <c r="U283" s="119"/>
      <c r="V283" s="120" t="str">
        <f t="shared" si="63"/>
        <v>Cadastrar Ficha de Produção</v>
      </c>
      <c r="W283" s="121" t="str">
        <f t="shared" si="64"/>
        <v>Cadastrar Ficha de Produção</v>
      </c>
      <c r="AB283" s="125" t="str">
        <f t="shared" si="65"/>
        <v/>
      </c>
      <c r="AC283" s="125" t="str">
        <f t="shared" si="66"/>
        <v/>
      </c>
      <c r="AD283" s="126" t="str">
        <f t="shared" si="67"/>
        <v/>
      </c>
      <c r="AE283" s="127" t="str">
        <f t="shared" si="68"/>
        <v/>
      </c>
      <c r="AF283" s="128" t="str">
        <f t="shared" si="69"/>
        <v/>
      </c>
    </row>
    <row r="284" spans="1:32" ht="15.75" customHeight="1">
      <c r="A284" s="114" t="s">
        <v>361</v>
      </c>
      <c r="B284" s="114" t="s">
        <v>948</v>
      </c>
      <c r="C284" s="114" t="s">
        <v>778</v>
      </c>
      <c r="D284" s="114"/>
      <c r="E284" s="114" t="s">
        <v>610</v>
      </c>
      <c r="F284" s="114" t="s">
        <v>920</v>
      </c>
      <c r="G284" s="114" t="s">
        <v>556</v>
      </c>
      <c r="H284" s="115">
        <v>15</v>
      </c>
      <c r="I284" s="114" t="s">
        <v>551</v>
      </c>
      <c r="J284" s="116">
        <f t="shared" si="56"/>
        <v>1.27</v>
      </c>
      <c r="K284" s="97" t="str">
        <f>IFERROR(IF(VLOOKUP(D284,'Ficha de Produção'!C:C,1,0)=D284,"OK","Custo Produção Não Cadastrado"),"Custo Produção Não Cadastrado")</f>
        <v>Custo Produção Não Cadastrado</v>
      </c>
      <c r="L284" s="97" t="str">
        <f>IFERROR(IF(VLOOKUP(A284,'Ficha de Embalagens'!A:A,1,0)=A284,"OK","Ficha de Embalagens Não Cadastrada"),"Ficha de Embalagens Não Cadastrada")</f>
        <v>Ficha de Embalagens Não Cadastrada</v>
      </c>
      <c r="M284" s="117">
        <f>SUMIFS('Ficha de Produção'!N:N,'Ficha de Produção'!C:C,D284)*H284</f>
        <v>0</v>
      </c>
      <c r="N284" s="117">
        <f>SUMIFS('Ficha de Embalagens'!F:F,'Ficha de Embalagens'!A:A,A284)</f>
        <v>0</v>
      </c>
      <c r="O284" s="97">
        <f t="shared" si="57"/>
        <v>0</v>
      </c>
      <c r="P284" s="97">
        <f t="shared" si="58"/>
        <v>0</v>
      </c>
      <c r="Q284" s="118">
        <f t="shared" si="59"/>
        <v>0</v>
      </c>
      <c r="R284" s="97">
        <f t="shared" si="60"/>
        <v>0</v>
      </c>
      <c r="S284" s="97">
        <f t="shared" si="61"/>
        <v>0</v>
      </c>
      <c r="T284" s="118">
        <f t="shared" si="62"/>
        <v>0</v>
      </c>
      <c r="U284" s="119"/>
      <c r="V284" s="120" t="str">
        <f t="shared" si="63"/>
        <v>Cadastrar Ficha de Produção</v>
      </c>
      <c r="W284" s="121" t="str">
        <f t="shared" si="64"/>
        <v>Cadastrar Ficha de Produção</v>
      </c>
      <c r="AB284" s="125" t="str">
        <f t="shared" si="65"/>
        <v/>
      </c>
      <c r="AC284" s="125" t="str">
        <f t="shared" si="66"/>
        <v/>
      </c>
      <c r="AD284" s="126" t="str">
        <f t="shared" si="67"/>
        <v/>
      </c>
      <c r="AE284" s="127" t="str">
        <f t="shared" si="68"/>
        <v/>
      </c>
      <c r="AF284" s="128" t="str">
        <f t="shared" si="69"/>
        <v/>
      </c>
    </row>
    <row r="285" spans="1:32" ht="15.75" customHeight="1">
      <c r="A285" s="114" t="s">
        <v>362</v>
      </c>
      <c r="B285" s="114" t="s">
        <v>949</v>
      </c>
      <c r="C285" s="114" t="s">
        <v>778</v>
      </c>
      <c r="D285" s="114"/>
      <c r="E285" s="114" t="s">
        <v>610</v>
      </c>
      <c r="F285" s="114" t="s">
        <v>581</v>
      </c>
      <c r="G285" s="114" t="s">
        <v>556</v>
      </c>
      <c r="H285" s="115">
        <v>15</v>
      </c>
      <c r="I285" s="114" t="s">
        <v>551</v>
      </c>
      <c r="J285" s="116">
        <f t="shared" si="56"/>
        <v>1.27</v>
      </c>
      <c r="K285" s="97" t="str">
        <f>IFERROR(IF(VLOOKUP(D285,'Ficha de Produção'!C:C,1,0)=D285,"OK","Custo Produção Não Cadastrado"),"Custo Produção Não Cadastrado")</f>
        <v>Custo Produção Não Cadastrado</v>
      </c>
      <c r="L285" s="97" t="str">
        <f>IFERROR(IF(VLOOKUP(A285,'Ficha de Embalagens'!A:A,1,0)=A285,"OK","Ficha de Embalagens Não Cadastrada"),"Ficha de Embalagens Não Cadastrada")</f>
        <v>Ficha de Embalagens Não Cadastrada</v>
      </c>
      <c r="M285" s="117">
        <f>SUMIFS('Ficha de Produção'!N:N,'Ficha de Produção'!C:C,D285)*H285</f>
        <v>0</v>
      </c>
      <c r="N285" s="117">
        <f>SUMIFS('Ficha de Embalagens'!F:F,'Ficha de Embalagens'!A:A,A285)</f>
        <v>0</v>
      </c>
      <c r="O285" s="97">
        <f t="shared" si="57"/>
        <v>0</v>
      </c>
      <c r="P285" s="97">
        <f t="shared" si="58"/>
        <v>0</v>
      </c>
      <c r="Q285" s="118">
        <f t="shared" si="59"/>
        <v>0</v>
      </c>
      <c r="R285" s="97">
        <f t="shared" si="60"/>
        <v>0</v>
      </c>
      <c r="S285" s="97">
        <f t="shared" si="61"/>
        <v>0</v>
      </c>
      <c r="T285" s="118">
        <f t="shared" si="62"/>
        <v>0</v>
      </c>
      <c r="U285" s="119"/>
      <c r="V285" s="120" t="str">
        <f t="shared" si="63"/>
        <v>Cadastrar Ficha de Produção</v>
      </c>
      <c r="W285" s="121" t="str">
        <f t="shared" si="64"/>
        <v>Cadastrar Ficha de Produção</v>
      </c>
      <c r="AB285" s="125" t="str">
        <f t="shared" si="65"/>
        <v/>
      </c>
      <c r="AC285" s="125" t="str">
        <f t="shared" si="66"/>
        <v/>
      </c>
      <c r="AD285" s="126" t="str">
        <f t="shared" si="67"/>
        <v/>
      </c>
      <c r="AE285" s="127" t="str">
        <f t="shared" si="68"/>
        <v/>
      </c>
      <c r="AF285" s="128" t="str">
        <f t="shared" si="69"/>
        <v/>
      </c>
    </row>
    <row r="286" spans="1:32">
      <c r="A286" s="114" t="s">
        <v>363</v>
      </c>
      <c r="B286" s="114" t="s">
        <v>950</v>
      </c>
      <c r="C286" s="114" t="s">
        <v>951</v>
      </c>
      <c r="D286" s="114" t="s">
        <v>952</v>
      </c>
      <c r="E286" s="114" t="s">
        <v>543</v>
      </c>
      <c r="F286" s="114" t="s">
        <v>566</v>
      </c>
      <c r="G286" s="114" t="s">
        <v>544</v>
      </c>
      <c r="H286" s="115">
        <v>3.6</v>
      </c>
      <c r="I286" s="114" t="s">
        <v>545</v>
      </c>
      <c r="J286" s="116">
        <f t="shared" si="56"/>
        <v>1</v>
      </c>
      <c r="K286" s="97" t="str">
        <f>IFERROR(IF(VLOOKUP(D286,'Ficha de Produção'!C:C,1,0)=D286,"OK","Custo Produção Não Cadastrado"),"Custo Produção Não Cadastrado")</f>
        <v>OK</v>
      </c>
      <c r="L286" s="97" t="str">
        <f>IFERROR(IF(VLOOKUP(A286,'Ficha de Embalagens'!A:A,1,0)=A286,"OK","Ficha de Embalagens Não Cadastrada"),"Ficha de Embalagens Não Cadastrada")</f>
        <v>OK</v>
      </c>
      <c r="M286" s="117">
        <f>SUMIFS('Ficha de Produção'!N:N,'Ficha de Produção'!C:C,D286)*H286</f>
        <v>28.727999999999994</v>
      </c>
      <c r="N286" s="117">
        <f>SUMIFS('Ficha de Embalagens'!F:F,'Ficha de Embalagens'!A:A,A286)</f>
        <v>8.5299999999999994</v>
      </c>
      <c r="O286" s="97">
        <f t="shared" si="57"/>
        <v>37.257999999999996</v>
      </c>
      <c r="P286" s="97">
        <f t="shared" si="58"/>
        <v>1.1160000000000001</v>
      </c>
      <c r="Q286" s="118">
        <f t="shared" si="59"/>
        <v>38.373999999999995</v>
      </c>
      <c r="R286" s="97">
        <f t="shared" si="60"/>
        <v>4.2950000000000008</v>
      </c>
      <c r="S286" s="97">
        <f t="shared" si="61"/>
        <v>6.0130000000000008</v>
      </c>
      <c r="T286" s="118">
        <f t="shared" si="62"/>
        <v>48.681999999999995</v>
      </c>
      <c r="U286" s="130">
        <v>85.9</v>
      </c>
      <c r="V286" s="120">
        <f t="shared" si="63"/>
        <v>0.43327124563445879</v>
      </c>
      <c r="W286" s="121">
        <f t="shared" si="64"/>
        <v>43.61</v>
      </c>
      <c r="AB286" s="125">
        <f t="shared" si="65"/>
        <v>38.373999999999995</v>
      </c>
      <c r="AC286" s="125">
        <f t="shared" si="66"/>
        <v>75.591999999999999</v>
      </c>
      <c r="AD286" s="126">
        <f t="shared" si="67"/>
        <v>37.218000000000004</v>
      </c>
      <c r="AE286" s="127">
        <f t="shared" si="68"/>
        <v>0.4923536882209758</v>
      </c>
      <c r="AF286" s="128">
        <f t="shared" si="69"/>
        <v>43.61</v>
      </c>
    </row>
    <row r="287" spans="1:32" ht="15.75" customHeight="1">
      <c r="A287" s="114" t="s">
        <v>364</v>
      </c>
      <c r="B287" s="114" t="s">
        <v>953</v>
      </c>
      <c r="C287" s="114" t="s">
        <v>951</v>
      </c>
      <c r="D287" s="114" t="s">
        <v>954</v>
      </c>
      <c r="E287" s="114" t="s">
        <v>543</v>
      </c>
      <c r="F287" s="114" t="s">
        <v>698</v>
      </c>
      <c r="G287" s="114" t="s">
        <v>544</v>
      </c>
      <c r="H287" s="115">
        <v>3.6</v>
      </c>
      <c r="I287" s="114" t="s">
        <v>545</v>
      </c>
      <c r="J287" s="116">
        <f t="shared" si="56"/>
        <v>1</v>
      </c>
      <c r="K287" s="97" t="str">
        <f>IFERROR(IF(VLOOKUP(D287,'Ficha de Produção'!C:C,1,0)=D287,"OK","Custo Produção Não Cadastrado"),"Custo Produção Não Cadastrado")</f>
        <v>OK</v>
      </c>
      <c r="L287" s="97" t="str">
        <f>IFERROR(IF(VLOOKUP(A287,'Ficha de Embalagens'!A:A,1,0)=A287,"OK","Ficha de Embalagens Não Cadastrada"),"Ficha de Embalagens Não Cadastrada")</f>
        <v>OK</v>
      </c>
      <c r="M287" s="117">
        <f>SUMIFS('Ficha de Produção'!N:N,'Ficha de Produção'!C:C,D287)*H287</f>
        <v>24.48</v>
      </c>
      <c r="N287" s="117">
        <f>SUMIFS('Ficha de Embalagens'!F:F,'Ficha de Embalagens'!A:A,A287)</f>
        <v>8.5299999999999994</v>
      </c>
      <c r="O287" s="97">
        <f t="shared" si="57"/>
        <v>33.01</v>
      </c>
      <c r="P287" s="97">
        <f t="shared" si="58"/>
        <v>1.1160000000000001</v>
      </c>
      <c r="Q287" s="118">
        <f t="shared" si="59"/>
        <v>34.125999999999998</v>
      </c>
      <c r="R287" s="97">
        <f t="shared" si="60"/>
        <v>4.2950000000000008</v>
      </c>
      <c r="S287" s="97">
        <f t="shared" si="61"/>
        <v>6.0130000000000008</v>
      </c>
      <c r="T287" s="118">
        <f t="shared" si="62"/>
        <v>44.433999999999997</v>
      </c>
      <c r="U287" s="130">
        <v>85.9</v>
      </c>
      <c r="V287" s="120">
        <f t="shared" si="63"/>
        <v>0.48272409778812581</v>
      </c>
      <c r="W287" s="121">
        <f t="shared" si="64"/>
        <v>38.78</v>
      </c>
      <c r="AB287" s="125">
        <f t="shared" si="65"/>
        <v>34.125999999999998</v>
      </c>
      <c r="AC287" s="125">
        <f t="shared" si="66"/>
        <v>75.591999999999999</v>
      </c>
      <c r="AD287" s="126">
        <f t="shared" si="67"/>
        <v>41.466000000000001</v>
      </c>
      <c r="AE287" s="127">
        <f t="shared" si="68"/>
        <v>0.54855011112287022</v>
      </c>
      <c r="AF287" s="128">
        <f t="shared" si="69"/>
        <v>38.78</v>
      </c>
    </row>
    <row r="288" spans="1:32" ht="15.75" customHeight="1">
      <c r="A288" s="114" t="s">
        <v>365</v>
      </c>
      <c r="B288" s="114" t="s">
        <v>955</v>
      </c>
      <c r="C288" s="114" t="s">
        <v>951</v>
      </c>
      <c r="D288" s="114" t="s">
        <v>956</v>
      </c>
      <c r="E288" s="114" t="s">
        <v>543</v>
      </c>
      <c r="F288" s="114" t="s">
        <v>782</v>
      </c>
      <c r="G288" s="114" t="s">
        <v>556</v>
      </c>
      <c r="H288" s="115">
        <v>3.6</v>
      </c>
      <c r="I288" s="114" t="s">
        <v>545</v>
      </c>
      <c r="J288" s="116">
        <f t="shared" si="56"/>
        <v>1</v>
      </c>
      <c r="K288" s="97" t="str">
        <f>IFERROR(IF(VLOOKUP(D288,'Ficha de Produção'!C:C,1,0)=D288,"OK","Custo Produção Não Cadastrado"),"Custo Produção Não Cadastrado")</f>
        <v>Custo Produção Não Cadastrado</v>
      </c>
      <c r="L288" s="97" t="str">
        <f>IFERROR(IF(VLOOKUP(A288,'Ficha de Embalagens'!A:A,1,0)=A288,"OK","Ficha de Embalagens Não Cadastrada"),"Ficha de Embalagens Não Cadastrada")</f>
        <v>OK</v>
      </c>
      <c r="M288" s="117">
        <f>SUMIFS('Ficha de Produção'!N:N,'Ficha de Produção'!C:C,D288)*H288</f>
        <v>0</v>
      </c>
      <c r="N288" s="117">
        <f>SUMIFS('Ficha de Embalagens'!F:F,'Ficha de Embalagens'!A:A,A288)</f>
        <v>8.5299999999999994</v>
      </c>
      <c r="O288" s="97">
        <f t="shared" si="57"/>
        <v>8.5299999999999994</v>
      </c>
      <c r="P288" s="97">
        <f t="shared" si="58"/>
        <v>0</v>
      </c>
      <c r="Q288" s="118">
        <f t="shared" si="59"/>
        <v>8.5299999999999994</v>
      </c>
      <c r="R288" s="97">
        <f t="shared" si="60"/>
        <v>4.2950000000000008</v>
      </c>
      <c r="S288" s="97">
        <f t="shared" si="61"/>
        <v>6.0130000000000008</v>
      </c>
      <c r="T288" s="118">
        <f t="shared" si="62"/>
        <v>18.838000000000001</v>
      </c>
      <c r="U288" s="130">
        <v>85.9</v>
      </c>
      <c r="V288" s="120" t="str">
        <f t="shared" si="63"/>
        <v>Cadastrar Ficha de Produção</v>
      </c>
      <c r="W288" s="121" t="str">
        <f t="shared" si="64"/>
        <v>Cadastrar Ficha de Produção</v>
      </c>
      <c r="AB288" s="125">
        <f t="shared" si="65"/>
        <v>8.5299999999999994</v>
      </c>
      <c r="AC288" s="125">
        <f t="shared" si="66"/>
        <v>75.591999999999999</v>
      </c>
      <c r="AD288" s="126">
        <f t="shared" si="67"/>
        <v>67.061999999999998</v>
      </c>
      <c r="AE288" s="127">
        <f t="shared" si="68"/>
        <v>0.88715737115038629</v>
      </c>
      <c r="AF288" s="128">
        <f t="shared" si="69"/>
        <v>9.6999999999999993</v>
      </c>
    </row>
    <row r="289" spans="1:32" ht="15.75" customHeight="1">
      <c r="A289" s="114" t="s">
        <v>366</v>
      </c>
      <c r="B289" s="114" t="s">
        <v>957</v>
      </c>
      <c r="C289" s="114" t="s">
        <v>951</v>
      </c>
      <c r="D289" s="114" t="s">
        <v>958</v>
      </c>
      <c r="E289" s="114" t="s">
        <v>543</v>
      </c>
      <c r="F289" s="114" t="s">
        <v>959</v>
      </c>
      <c r="G289" s="114" t="s">
        <v>544</v>
      </c>
      <c r="H289" s="115">
        <v>3.6</v>
      </c>
      <c r="I289" s="114" t="s">
        <v>545</v>
      </c>
      <c r="J289" s="116">
        <f t="shared" si="56"/>
        <v>1</v>
      </c>
      <c r="K289" s="97" t="str">
        <f>IFERROR(IF(VLOOKUP(D289,'Ficha de Produção'!C:C,1,0)=D289,"OK","Custo Produção Não Cadastrado"),"Custo Produção Não Cadastrado")</f>
        <v>OK</v>
      </c>
      <c r="L289" s="97" t="str">
        <f>IFERROR(IF(VLOOKUP(A289,'Ficha de Embalagens'!A:A,1,0)=A289,"OK","Ficha de Embalagens Não Cadastrada"),"Ficha de Embalagens Não Cadastrada")</f>
        <v>OK</v>
      </c>
      <c r="M289" s="117">
        <f>SUMIFS('Ficha de Produção'!N:N,'Ficha de Produção'!C:C,D289)*H289</f>
        <v>25.992000000000001</v>
      </c>
      <c r="N289" s="117">
        <f>SUMIFS('Ficha de Embalagens'!F:F,'Ficha de Embalagens'!A:A,A289)</f>
        <v>8.5299999999999994</v>
      </c>
      <c r="O289" s="97">
        <f t="shared" si="57"/>
        <v>34.521999999999998</v>
      </c>
      <c r="P289" s="97">
        <f t="shared" si="58"/>
        <v>1.1160000000000001</v>
      </c>
      <c r="Q289" s="118">
        <f t="shared" si="59"/>
        <v>35.637999999999998</v>
      </c>
      <c r="R289" s="97">
        <f t="shared" si="60"/>
        <v>4.2950000000000008</v>
      </c>
      <c r="S289" s="97">
        <f t="shared" si="61"/>
        <v>6.0130000000000008</v>
      </c>
      <c r="T289" s="118">
        <f t="shared" si="62"/>
        <v>45.945999999999998</v>
      </c>
      <c r="U289" s="130">
        <v>85.9</v>
      </c>
      <c r="V289" s="120">
        <f t="shared" si="63"/>
        <v>0.46512223515715956</v>
      </c>
      <c r="W289" s="121">
        <f t="shared" si="64"/>
        <v>40.5</v>
      </c>
      <c r="AB289" s="125">
        <f t="shared" si="65"/>
        <v>35.637999999999998</v>
      </c>
      <c r="AC289" s="125">
        <f t="shared" si="66"/>
        <v>75.591999999999999</v>
      </c>
      <c r="AD289" s="126">
        <f t="shared" si="67"/>
        <v>39.954000000000001</v>
      </c>
      <c r="AE289" s="127">
        <f t="shared" si="68"/>
        <v>0.52854799449677214</v>
      </c>
      <c r="AF289" s="128">
        <f t="shared" si="69"/>
        <v>40.5</v>
      </c>
    </row>
    <row r="290" spans="1:32" ht="15.75" customHeight="1">
      <c r="A290" s="114" t="s">
        <v>367</v>
      </c>
      <c r="B290" s="114" t="s">
        <v>960</v>
      </c>
      <c r="C290" s="114" t="s">
        <v>951</v>
      </c>
      <c r="D290" s="114" t="s">
        <v>961</v>
      </c>
      <c r="E290" s="114" t="s">
        <v>543</v>
      </c>
      <c r="F290" s="114" t="s">
        <v>962</v>
      </c>
      <c r="G290" s="114" t="s">
        <v>544</v>
      </c>
      <c r="H290" s="115">
        <v>3.6</v>
      </c>
      <c r="I290" s="114" t="s">
        <v>545</v>
      </c>
      <c r="J290" s="116">
        <f t="shared" si="56"/>
        <v>1</v>
      </c>
      <c r="K290" s="97" t="str">
        <f>IFERROR(IF(VLOOKUP(D290,'Ficha de Produção'!C:C,1,0)=D290,"OK","Custo Produção Não Cadastrado"),"Custo Produção Não Cadastrado")</f>
        <v>OK</v>
      </c>
      <c r="L290" s="97" t="str">
        <f>IFERROR(IF(VLOOKUP(A290,'Ficha de Embalagens'!A:A,1,0)=A290,"OK","Ficha de Embalagens Não Cadastrada"),"Ficha de Embalagens Não Cadastrada")</f>
        <v>OK</v>
      </c>
      <c r="M290" s="117">
        <f>SUMIFS('Ficha de Produção'!N:N,'Ficha de Produção'!C:C,D290)*H290</f>
        <v>24.695999999999998</v>
      </c>
      <c r="N290" s="117">
        <f>SUMIFS('Ficha de Embalagens'!F:F,'Ficha de Embalagens'!A:A,A290)</f>
        <v>8.5299999999999994</v>
      </c>
      <c r="O290" s="97">
        <f t="shared" si="57"/>
        <v>33.225999999999999</v>
      </c>
      <c r="P290" s="97">
        <f t="shared" si="58"/>
        <v>1.1160000000000001</v>
      </c>
      <c r="Q290" s="118">
        <f t="shared" si="59"/>
        <v>34.341999999999999</v>
      </c>
      <c r="R290" s="97">
        <f t="shared" si="60"/>
        <v>4.2950000000000008</v>
      </c>
      <c r="S290" s="97">
        <f t="shared" si="61"/>
        <v>6.0130000000000008</v>
      </c>
      <c r="T290" s="118">
        <f t="shared" si="62"/>
        <v>44.65</v>
      </c>
      <c r="U290" s="130">
        <v>85.9</v>
      </c>
      <c r="V290" s="120">
        <f t="shared" si="63"/>
        <v>0.48020954598370202</v>
      </c>
      <c r="W290" s="121">
        <f t="shared" si="64"/>
        <v>39.03</v>
      </c>
      <c r="AB290" s="125">
        <f t="shared" si="65"/>
        <v>34.341999999999999</v>
      </c>
      <c r="AC290" s="125">
        <f t="shared" si="66"/>
        <v>75.591999999999999</v>
      </c>
      <c r="AD290" s="126">
        <f t="shared" si="67"/>
        <v>41.25</v>
      </c>
      <c r="AE290" s="127">
        <f t="shared" si="68"/>
        <v>0.54569266589057042</v>
      </c>
      <c r="AF290" s="128">
        <f t="shared" si="69"/>
        <v>39.03</v>
      </c>
    </row>
    <row r="291" spans="1:32" ht="15.75" customHeight="1">
      <c r="A291" s="114" t="s">
        <v>368</v>
      </c>
      <c r="B291" s="114" t="s">
        <v>963</v>
      </c>
      <c r="C291" s="114" t="s">
        <v>951</v>
      </c>
      <c r="D291" s="114" t="s">
        <v>952</v>
      </c>
      <c r="E291" s="114" t="s">
        <v>543</v>
      </c>
      <c r="F291" s="114" t="s">
        <v>566</v>
      </c>
      <c r="G291" s="114" t="s">
        <v>544</v>
      </c>
      <c r="H291" s="115">
        <v>14</v>
      </c>
      <c r="I291" s="114" t="s">
        <v>545</v>
      </c>
      <c r="J291" s="116">
        <f t="shared" si="56"/>
        <v>1</v>
      </c>
      <c r="K291" s="97" t="str">
        <f>IFERROR(IF(VLOOKUP(D291,'Ficha de Produção'!C:C,1,0)=D291,"OK","Custo Produção Não Cadastrado"),"Custo Produção Não Cadastrado")</f>
        <v>OK</v>
      </c>
      <c r="L291" s="97" t="str">
        <f>IFERROR(IF(VLOOKUP(A291,'Ficha de Embalagens'!A:A,1,0)=A291,"OK","Ficha de Embalagens Não Cadastrada"),"Ficha de Embalagens Não Cadastrada")</f>
        <v>OK</v>
      </c>
      <c r="M291" s="117">
        <f>SUMIFS('Ficha de Produção'!N:N,'Ficha de Produção'!C:C,D291)*H291</f>
        <v>111.71999999999998</v>
      </c>
      <c r="N291" s="117">
        <f>SUMIFS('Ficha de Embalagens'!F:F,'Ficha de Embalagens'!A:A,A291)</f>
        <v>20.11</v>
      </c>
      <c r="O291" s="97">
        <f t="shared" si="57"/>
        <v>131.82999999999998</v>
      </c>
      <c r="P291" s="97">
        <f t="shared" si="58"/>
        <v>4.34</v>
      </c>
      <c r="Q291" s="118">
        <f t="shared" si="59"/>
        <v>136.16999999999999</v>
      </c>
      <c r="R291" s="97">
        <f t="shared" si="60"/>
        <v>18.794999999999998</v>
      </c>
      <c r="S291" s="97">
        <f t="shared" si="61"/>
        <v>26.313000000000002</v>
      </c>
      <c r="T291" s="118">
        <f t="shared" si="62"/>
        <v>181.27799999999996</v>
      </c>
      <c r="U291" s="130">
        <v>375.9</v>
      </c>
      <c r="V291" s="120">
        <f t="shared" si="63"/>
        <v>0.51774940143655235</v>
      </c>
      <c r="W291" s="121">
        <f t="shared" si="64"/>
        <v>154.73999999999998</v>
      </c>
      <c r="AB291" s="125">
        <f t="shared" si="65"/>
        <v>136.16999999999999</v>
      </c>
      <c r="AC291" s="125">
        <f t="shared" si="66"/>
        <v>330.79199999999992</v>
      </c>
      <c r="AD291" s="126">
        <f t="shared" si="67"/>
        <v>194.62199999999993</v>
      </c>
      <c r="AE291" s="127">
        <f t="shared" si="68"/>
        <v>0.58835159254153657</v>
      </c>
      <c r="AF291" s="128">
        <f t="shared" si="69"/>
        <v>154.73999999999998</v>
      </c>
    </row>
    <row r="292" spans="1:32" ht="15.75" customHeight="1">
      <c r="A292" s="114" t="s">
        <v>369</v>
      </c>
      <c r="B292" s="114" t="s">
        <v>964</v>
      </c>
      <c r="C292" s="114" t="s">
        <v>951</v>
      </c>
      <c r="D292" s="114" t="s">
        <v>954</v>
      </c>
      <c r="E292" s="114" t="s">
        <v>543</v>
      </c>
      <c r="F292" s="114" t="s">
        <v>698</v>
      </c>
      <c r="G292" s="114" t="s">
        <v>544</v>
      </c>
      <c r="H292" s="115">
        <v>14</v>
      </c>
      <c r="I292" s="114" t="s">
        <v>545</v>
      </c>
      <c r="J292" s="116">
        <f t="shared" si="56"/>
        <v>1</v>
      </c>
      <c r="K292" s="97" t="str">
        <f>IFERROR(IF(VLOOKUP(D292,'Ficha de Produção'!C:C,1,0)=D292,"OK","Custo Produção Não Cadastrado"),"Custo Produção Não Cadastrado")</f>
        <v>OK</v>
      </c>
      <c r="L292" s="97" t="str">
        <f>IFERROR(IF(VLOOKUP(A292,'Ficha de Embalagens'!A:A,1,0)=A292,"OK","Ficha de Embalagens Não Cadastrada"),"Ficha de Embalagens Não Cadastrada")</f>
        <v>OK</v>
      </c>
      <c r="M292" s="117">
        <f>SUMIFS('Ficha de Produção'!N:N,'Ficha de Produção'!C:C,D292)*H292</f>
        <v>95.2</v>
      </c>
      <c r="N292" s="117">
        <f>SUMIFS('Ficha de Embalagens'!F:F,'Ficha de Embalagens'!A:A,A292)</f>
        <v>20.11</v>
      </c>
      <c r="O292" s="97">
        <f t="shared" si="57"/>
        <v>115.31</v>
      </c>
      <c r="P292" s="97">
        <f t="shared" si="58"/>
        <v>4.34</v>
      </c>
      <c r="Q292" s="118">
        <f t="shared" si="59"/>
        <v>119.65</v>
      </c>
      <c r="R292" s="97">
        <f t="shared" si="60"/>
        <v>18.794999999999998</v>
      </c>
      <c r="S292" s="97">
        <f t="shared" si="61"/>
        <v>26.313000000000002</v>
      </c>
      <c r="T292" s="118">
        <f t="shared" si="62"/>
        <v>164.75799999999998</v>
      </c>
      <c r="U292" s="130">
        <v>375.9</v>
      </c>
      <c r="V292" s="120">
        <f t="shared" si="63"/>
        <v>0.56169725990955044</v>
      </c>
      <c r="W292" s="121">
        <f t="shared" si="64"/>
        <v>135.97</v>
      </c>
      <c r="AB292" s="125">
        <f t="shared" si="65"/>
        <v>119.65</v>
      </c>
      <c r="AC292" s="125">
        <f t="shared" si="66"/>
        <v>330.79199999999992</v>
      </c>
      <c r="AD292" s="126">
        <f t="shared" si="67"/>
        <v>211.14199999999991</v>
      </c>
      <c r="AE292" s="127">
        <f t="shared" si="68"/>
        <v>0.63829234080630715</v>
      </c>
      <c r="AF292" s="128">
        <f t="shared" si="69"/>
        <v>135.97</v>
      </c>
    </row>
    <row r="293" spans="1:32" ht="15.75" customHeight="1">
      <c r="A293" s="114" t="s">
        <v>370</v>
      </c>
      <c r="B293" s="114" t="s">
        <v>965</v>
      </c>
      <c r="C293" s="114" t="s">
        <v>951</v>
      </c>
      <c r="D293" s="114" t="s">
        <v>956</v>
      </c>
      <c r="E293" s="114" t="s">
        <v>543</v>
      </c>
      <c r="F293" s="114" t="s">
        <v>782</v>
      </c>
      <c r="G293" s="114" t="s">
        <v>556</v>
      </c>
      <c r="H293" s="115">
        <v>14</v>
      </c>
      <c r="I293" s="114" t="s">
        <v>545</v>
      </c>
      <c r="J293" s="116">
        <f t="shared" si="56"/>
        <v>1</v>
      </c>
      <c r="K293" s="97" t="str">
        <f>IFERROR(IF(VLOOKUP(D293,'Ficha de Produção'!C:C,1,0)=D293,"OK","Custo Produção Não Cadastrado"),"Custo Produção Não Cadastrado")</f>
        <v>Custo Produção Não Cadastrado</v>
      </c>
      <c r="L293" s="97" t="str">
        <f>IFERROR(IF(VLOOKUP(A293,'Ficha de Embalagens'!A:A,1,0)=A293,"OK","Ficha de Embalagens Não Cadastrada"),"Ficha de Embalagens Não Cadastrada")</f>
        <v>OK</v>
      </c>
      <c r="M293" s="117">
        <f>SUMIFS('Ficha de Produção'!N:N,'Ficha de Produção'!C:C,D293)*H293</f>
        <v>0</v>
      </c>
      <c r="N293" s="117">
        <f>SUMIFS('Ficha de Embalagens'!F:F,'Ficha de Embalagens'!A:A,A293)</f>
        <v>20.11</v>
      </c>
      <c r="O293" s="97">
        <f t="shared" si="57"/>
        <v>20.11</v>
      </c>
      <c r="P293" s="97">
        <f t="shared" si="58"/>
        <v>0</v>
      </c>
      <c r="Q293" s="118">
        <f t="shared" si="59"/>
        <v>20.11</v>
      </c>
      <c r="R293" s="97">
        <f t="shared" si="60"/>
        <v>18.794999999999998</v>
      </c>
      <c r="S293" s="97">
        <f t="shared" si="61"/>
        <v>26.313000000000002</v>
      </c>
      <c r="T293" s="118">
        <f t="shared" si="62"/>
        <v>65.218000000000004</v>
      </c>
      <c r="U293" s="130">
        <v>375.9</v>
      </c>
      <c r="V293" s="120" t="str">
        <f t="shared" si="63"/>
        <v>Cadastrar Ficha de Produção</v>
      </c>
      <c r="W293" s="121" t="str">
        <f t="shared" si="64"/>
        <v>Cadastrar Ficha de Produção</v>
      </c>
      <c r="AB293" s="125">
        <f t="shared" si="65"/>
        <v>20.11</v>
      </c>
      <c r="AC293" s="125">
        <f t="shared" si="66"/>
        <v>330.79199999999992</v>
      </c>
      <c r="AD293" s="126">
        <f t="shared" si="67"/>
        <v>310.6819999999999</v>
      </c>
      <c r="AE293" s="127">
        <f t="shared" si="68"/>
        <v>0.93920651043556069</v>
      </c>
      <c r="AF293" s="128">
        <f t="shared" si="69"/>
        <v>22.860000000000003</v>
      </c>
    </row>
    <row r="294" spans="1:32" ht="15.75" customHeight="1">
      <c r="A294" s="114" t="s">
        <v>371</v>
      </c>
      <c r="B294" s="114" t="s">
        <v>966</v>
      </c>
      <c r="C294" s="114" t="s">
        <v>951</v>
      </c>
      <c r="D294" s="114" t="s">
        <v>958</v>
      </c>
      <c r="E294" s="114" t="s">
        <v>543</v>
      </c>
      <c r="F294" s="114" t="s">
        <v>959</v>
      </c>
      <c r="G294" s="114" t="s">
        <v>544</v>
      </c>
      <c r="H294" s="115">
        <v>14</v>
      </c>
      <c r="I294" s="114" t="s">
        <v>545</v>
      </c>
      <c r="J294" s="116">
        <f t="shared" si="56"/>
        <v>1</v>
      </c>
      <c r="K294" s="97" t="str">
        <f>IFERROR(IF(VLOOKUP(D294,'Ficha de Produção'!C:C,1,0)=D294,"OK","Custo Produção Não Cadastrado"),"Custo Produção Não Cadastrado")</f>
        <v>OK</v>
      </c>
      <c r="L294" s="97" t="str">
        <f>IFERROR(IF(VLOOKUP(A294,'Ficha de Embalagens'!A:A,1,0)=A294,"OK","Ficha de Embalagens Não Cadastrada"),"Ficha de Embalagens Não Cadastrada")</f>
        <v>OK</v>
      </c>
      <c r="M294" s="117">
        <f>SUMIFS('Ficha de Produção'!N:N,'Ficha de Produção'!C:C,D294)*H294</f>
        <v>101.08</v>
      </c>
      <c r="N294" s="117">
        <f>SUMIFS('Ficha de Embalagens'!F:F,'Ficha de Embalagens'!A:A,A294)</f>
        <v>20.11</v>
      </c>
      <c r="O294" s="97">
        <f t="shared" si="57"/>
        <v>121.19</v>
      </c>
      <c r="P294" s="97">
        <f t="shared" si="58"/>
        <v>4.34</v>
      </c>
      <c r="Q294" s="118">
        <f t="shared" si="59"/>
        <v>125.53</v>
      </c>
      <c r="R294" s="97">
        <f t="shared" si="60"/>
        <v>18.794999999999998</v>
      </c>
      <c r="S294" s="97">
        <f t="shared" si="61"/>
        <v>26.313000000000002</v>
      </c>
      <c r="T294" s="118">
        <f t="shared" si="62"/>
        <v>170.63799999999998</v>
      </c>
      <c r="U294" s="130">
        <v>375.9</v>
      </c>
      <c r="V294" s="120">
        <f t="shared" si="63"/>
        <v>0.5460548018089918</v>
      </c>
      <c r="W294" s="121">
        <f t="shared" si="64"/>
        <v>142.64999999999998</v>
      </c>
      <c r="AB294" s="125">
        <f t="shared" si="65"/>
        <v>125.53</v>
      </c>
      <c r="AC294" s="125">
        <f t="shared" si="66"/>
        <v>330.79199999999992</v>
      </c>
      <c r="AD294" s="126">
        <f t="shared" si="67"/>
        <v>205.26199999999992</v>
      </c>
      <c r="AE294" s="127">
        <f t="shared" si="68"/>
        <v>0.62051682023749055</v>
      </c>
      <c r="AF294" s="128">
        <f t="shared" si="69"/>
        <v>142.64999999999998</v>
      </c>
    </row>
    <row r="295" spans="1:32" ht="15.75" customHeight="1">
      <c r="A295" s="114" t="s">
        <v>372</v>
      </c>
      <c r="B295" s="114" t="s">
        <v>967</v>
      </c>
      <c r="C295" s="114" t="s">
        <v>951</v>
      </c>
      <c r="D295" s="114" t="s">
        <v>961</v>
      </c>
      <c r="E295" s="114" t="s">
        <v>543</v>
      </c>
      <c r="F295" s="114" t="s">
        <v>962</v>
      </c>
      <c r="G295" s="114" t="s">
        <v>544</v>
      </c>
      <c r="H295" s="115">
        <v>14</v>
      </c>
      <c r="I295" s="114" t="s">
        <v>545</v>
      </c>
      <c r="J295" s="116">
        <f t="shared" si="56"/>
        <v>1</v>
      </c>
      <c r="K295" s="97" t="str">
        <f>IFERROR(IF(VLOOKUP(D295,'Ficha de Produção'!C:C,1,0)=D295,"OK","Custo Produção Não Cadastrado"),"Custo Produção Não Cadastrado")</f>
        <v>OK</v>
      </c>
      <c r="L295" s="97" t="str">
        <f>IFERROR(IF(VLOOKUP(A295,'Ficha de Embalagens'!A:A,1,0)=A295,"OK","Ficha de Embalagens Não Cadastrada"),"Ficha de Embalagens Não Cadastrada")</f>
        <v>OK</v>
      </c>
      <c r="M295" s="117">
        <f>SUMIFS('Ficha de Produção'!N:N,'Ficha de Produção'!C:C,D295)*H295</f>
        <v>96.039999999999992</v>
      </c>
      <c r="N295" s="117">
        <f>SUMIFS('Ficha de Embalagens'!F:F,'Ficha de Embalagens'!A:A,A295)</f>
        <v>20.11</v>
      </c>
      <c r="O295" s="97">
        <f t="shared" si="57"/>
        <v>116.14999999999999</v>
      </c>
      <c r="P295" s="97">
        <f t="shared" si="58"/>
        <v>4.34</v>
      </c>
      <c r="Q295" s="118">
        <f t="shared" si="59"/>
        <v>120.49</v>
      </c>
      <c r="R295" s="97">
        <f t="shared" si="60"/>
        <v>18.794999999999998</v>
      </c>
      <c r="S295" s="97">
        <f t="shared" si="61"/>
        <v>26.313000000000002</v>
      </c>
      <c r="T295" s="118">
        <f t="shared" si="62"/>
        <v>165.59800000000001</v>
      </c>
      <c r="U295" s="130">
        <v>375.9</v>
      </c>
      <c r="V295" s="120">
        <f t="shared" si="63"/>
        <v>0.55946262303804195</v>
      </c>
      <c r="W295" s="121">
        <f t="shared" si="64"/>
        <v>136.92999999999998</v>
      </c>
      <c r="AB295" s="125">
        <f t="shared" si="65"/>
        <v>120.49</v>
      </c>
      <c r="AC295" s="125">
        <f t="shared" si="66"/>
        <v>330.79199999999992</v>
      </c>
      <c r="AD295" s="126">
        <f t="shared" si="67"/>
        <v>210.30199999999991</v>
      </c>
      <c r="AE295" s="127">
        <f t="shared" si="68"/>
        <v>0.6357529807250476</v>
      </c>
      <c r="AF295" s="128">
        <f t="shared" si="69"/>
        <v>136.92999999999998</v>
      </c>
    </row>
    <row r="296" spans="1:32" ht="15.75" customHeight="1">
      <c r="A296" s="114" t="s">
        <v>373</v>
      </c>
      <c r="B296" s="114" t="s">
        <v>968</v>
      </c>
      <c r="C296" s="114" t="s">
        <v>951</v>
      </c>
      <c r="D296" s="114"/>
      <c r="E296" s="114" t="s">
        <v>543</v>
      </c>
      <c r="F296" s="114" t="s">
        <v>566</v>
      </c>
      <c r="G296" s="114" t="s">
        <v>556</v>
      </c>
      <c r="H296" s="115">
        <v>3.6</v>
      </c>
      <c r="I296" s="114" t="s">
        <v>545</v>
      </c>
      <c r="J296" s="116">
        <f t="shared" si="56"/>
        <v>1</v>
      </c>
      <c r="K296" s="97" t="str">
        <f>IFERROR(IF(VLOOKUP(D296,'Ficha de Produção'!C:C,1,0)=D296,"OK","Custo Produção Não Cadastrado"),"Custo Produção Não Cadastrado")</f>
        <v>Custo Produção Não Cadastrado</v>
      </c>
      <c r="L296" s="97" t="str">
        <f>IFERROR(IF(VLOOKUP(A296,'Ficha de Embalagens'!A:A,1,0)=A296,"OK","Ficha de Embalagens Não Cadastrada"),"Ficha de Embalagens Não Cadastrada")</f>
        <v>Ficha de Embalagens Não Cadastrada</v>
      </c>
      <c r="M296" s="117">
        <f>SUMIFS('Ficha de Produção'!N:N,'Ficha de Produção'!C:C,D296)*H296</f>
        <v>0</v>
      </c>
      <c r="N296" s="117">
        <f>SUMIFS('Ficha de Embalagens'!F:F,'Ficha de Embalagens'!A:A,A296)</f>
        <v>0</v>
      </c>
      <c r="O296" s="97">
        <f t="shared" si="57"/>
        <v>0</v>
      </c>
      <c r="P296" s="97">
        <f t="shared" si="58"/>
        <v>0</v>
      </c>
      <c r="Q296" s="118">
        <f t="shared" si="59"/>
        <v>0</v>
      </c>
      <c r="R296" s="97">
        <f t="shared" si="60"/>
        <v>0</v>
      </c>
      <c r="S296" s="97">
        <f t="shared" si="61"/>
        <v>0</v>
      </c>
      <c r="T296" s="118">
        <f t="shared" si="62"/>
        <v>0</v>
      </c>
      <c r="U296" s="119"/>
      <c r="V296" s="120" t="str">
        <f t="shared" si="63"/>
        <v>Cadastrar Ficha de Produção</v>
      </c>
      <c r="W296" s="121" t="str">
        <f t="shared" si="64"/>
        <v>Cadastrar Ficha de Produção</v>
      </c>
      <c r="AB296" s="125" t="str">
        <f t="shared" si="65"/>
        <v/>
      </c>
      <c r="AC296" s="125" t="str">
        <f t="shared" si="66"/>
        <v/>
      </c>
      <c r="AD296" s="126" t="str">
        <f t="shared" si="67"/>
        <v/>
      </c>
      <c r="AE296" s="127" t="str">
        <f t="shared" si="68"/>
        <v/>
      </c>
      <c r="AF296" s="128" t="str">
        <f t="shared" si="69"/>
        <v/>
      </c>
    </row>
    <row r="297" spans="1:32" ht="15.75" customHeight="1">
      <c r="A297" s="114" t="s">
        <v>374</v>
      </c>
      <c r="B297" s="114" t="s">
        <v>969</v>
      </c>
      <c r="C297" s="114" t="s">
        <v>951</v>
      </c>
      <c r="D297" s="114"/>
      <c r="E297" s="114" t="s">
        <v>543</v>
      </c>
      <c r="F297" s="114" t="s">
        <v>970</v>
      </c>
      <c r="G297" s="114" t="s">
        <v>556</v>
      </c>
      <c r="H297" s="115">
        <v>3.6</v>
      </c>
      <c r="I297" s="114" t="s">
        <v>545</v>
      </c>
      <c r="J297" s="116">
        <f t="shared" si="56"/>
        <v>1</v>
      </c>
      <c r="K297" s="97" t="str">
        <f>IFERROR(IF(VLOOKUP(D297,'Ficha de Produção'!C:C,1,0)=D297,"OK","Custo Produção Não Cadastrado"),"Custo Produção Não Cadastrado")</f>
        <v>Custo Produção Não Cadastrado</v>
      </c>
      <c r="L297" s="97" t="str">
        <f>IFERROR(IF(VLOOKUP(A297,'Ficha de Embalagens'!A:A,1,0)=A297,"OK","Ficha de Embalagens Não Cadastrada"),"Ficha de Embalagens Não Cadastrada")</f>
        <v>Ficha de Embalagens Não Cadastrada</v>
      </c>
      <c r="M297" s="117">
        <f>SUMIFS('Ficha de Produção'!N:N,'Ficha de Produção'!C:C,D297)*H297</f>
        <v>0</v>
      </c>
      <c r="N297" s="117">
        <f>SUMIFS('Ficha de Embalagens'!F:F,'Ficha de Embalagens'!A:A,A297)</f>
        <v>0</v>
      </c>
      <c r="O297" s="97">
        <f t="shared" si="57"/>
        <v>0</v>
      </c>
      <c r="P297" s="97">
        <f t="shared" si="58"/>
        <v>0</v>
      </c>
      <c r="Q297" s="118">
        <f t="shared" si="59"/>
        <v>0</v>
      </c>
      <c r="R297" s="97">
        <f t="shared" si="60"/>
        <v>0</v>
      </c>
      <c r="S297" s="97">
        <f t="shared" si="61"/>
        <v>0</v>
      </c>
      <c r="T297" s="118">
        <f t="shared" si="62"/>
        <v>0</v>
      </c>
      <c r="U297" s="119"/>
      <c r="V297" s="120" t="str">
        <f t="shared" si="63"/>
        <v>Cadastrar Ficha de Produção</v>
      </c>
      <c r="W297" s="121" t="str">
        <f t="shared" si="64"/>
        <v>Cadastrar Ficha de Produção</v>
      </c>
      <c r="AB297" s="125" t="str">
        <f t="shared" si="65"/>
        <v/>
      </c>
      <c r="AC297" s="125" t="str">
        <f t="shared" si="66"/>
        <v/>
      </c>
      <c r="AD297" s="126" t="str">
        <f t="shared" si="67"/>
        <v/>
      </c>
      <c r="AE297" s="127" t="str">
        <f t="shared" si="68"/>
        <v/>
      </c>
      <c r="AF297" s="128" t="str">
        <f t="shared" si="69"/>
        <v/>
      </c>
    </row>
    <row r="298" spans="1:32" ht="15.75" customHeight="1">
      <c r="A298" s="114" t="s">
        <v>375</v>
      </c>
      <c r="B298" s="114" t="s">
        <v>971</v>
      </c>
      <c r="C298" s="114" t="s">
        <v>951</v>
      </c>
      <c r="D298" s="114"/>
      <c r="E298" s="114" t="s">
        <v>543</v>
      </c>
      <c r="F298" s="114" t="s">
        <v>698</v>
      </c>
      <c r="G298" s="114" t="s">
        <v>556</v>
      </c>
      <c r="H298" s="115">
        <v>3.6</v>
      </c>
      <c r="I298" s="114" t="s">
        <v>545</v>
      </c>
      <c r="J298" s="116">
        <f t="shared" si="56"/>
        <v>1</v>
      </c>
      <c r="K298" s="97" t="str">
        <f>IFERROR(IF(VLOOKUP(D298,'Ficha de Produção'!C:C,1,0)=D298,"OK","Custo Produção Não Cadastrado"),"Custo Produção Não Cadastrado")</f>
        <v>Custo Produção Não Cadastrado</v>
      </c>
      <c r="L298" s="97" t="str">
        <f>IFERROR(IF(VLOOKUP(A298,'Ficha de Embalagens'!A:A,1,0)=A298,"OK","Ficha de Embalagens Não Cadastrada"),"Ficha de Embalagens Não Cadastrada")</f>
        <v>Ficha de Embalagens Não Cadastrada</v>
      </c>
      <c r="M298" s="117">
        <f>SUMIFS('Ficha de Produção'!N:N,'Ficha de Produção'!C:C,D298)*H298</f>
        <v>0</v>
      </c>
      <c r="N298" s="117">
        <f>SUMIFS('Ficha de Embalagens'!F:F,'Ficha de Embalagens'!A:A,A298)</f>
        <v>0</v>
      </c>
      <c r="O298" s="97">
        <f t="shared" si="57"/>
        <v>0</v>
      </c>
      <c r="P298" s="97">
        <f t="shared" si="58"/>
        <v>0</v>
      </c>
      <c r="Q298" s="118">
        <f t="shared" si="59"/>
        <v>0</v>
      </c>
      <c r="R298" s="97">
        <f t="shared" si="60"/>
        <v>0</v>
      </c>
      <c r="S298" s="97">
        <f t="shared" si="61"/>
        <v>0</v>
      </c>
      <c r="T298" s="118">
        <f t="shared" si="62"/>
        <v>0</v>
      </c>
      <c r="U298" s="119"/>
      <c r="V298" s="120" t="str">
        <f t="shared" si="63"/>
        <v>Cadastrar Ficha de Produção</v>
      </c>
      <c r="W298" s="121" t="str">
        <f t="shared" si="64"/>
        <v>Cadastrar Ficha de Produção</v>
      </c>
      <c r="AB298" s="125" t="str">
        <f t="shared" si="65"/>
        <v/>
      </c>
      <c r="AC298" s="125" t="str">
        <f t="shared" si="66"/>
        <v/>
      </c>
      <c r="AD298" s="126" t="str">
        <f t="shared" si="67"/>
        <v/>
      </c>
      <c r="AE298" s="127" t="str">
        <f t="shared" si="68"/>
        <v/>
      </c>
      <c r="AF298" s="128" t="str">
        <f t="shared" si="69"/>
        <v/>
      </c>
    </row>
    <row r="299" spans="1:32" ht="15.75" customHeight="1">
      <c r="A299" s="114" t="s">
        <v>376</v>
      </c>
      <c r="B299" s="114" t="s">
        <v>972</v>
      </c>
      <c r="C299" s="114" t="s">
        <v>951</v>
      </c>
      <c r="D299" s="114"/>
      <c r="E299" s="114" t="s">
        <v>543</v>
      </c>
      <c r="F299" s="114" t="s">
        <v>917</v>
      </c>
      <c r="G299" s="114" t="s">
        <v>556</v>
      </c>
      <c r="H299" s="115">
        <v>3.6</v>
      </c>
      <c r="I299" s="114" t="s">
        <v>545</v>
      </c>
      <c r="J299" s="116">
        <f t="shared" si="56"/>
        <v>1</v>
      </c>
      <c r="K299" s="97" t="str">
        <f>IFERROR(IF(VLOOKUP(D299,'Ficha de Produção'!C:C,1,0)=D299,"OK","Custo Produção Não Cadastrado"),"Custo Produção Não Cadastrado")</f>
        <v>Custo Produção Não Cadastrado</v>
      </c>
      <c r="L299" s="97" t="str">
        <f>IFERROR(IF(VLOOKUP(A299,'Ficha de Embalagens'!A:A,1,0)=A299,"OK","Ficha de Embalagens Não Cadastrada"),"Ficha de Embalagens Não Cadastrada")</f>
        <v>Ficha de Embalagens Não Cadastrada</v>
      </c>
      <c r="M299" s="117">
        <f>SUMIFS('Ficha de Produção'!N:N,'Ficha de Produção'!C:C,D299)*H299</f>
        <v>0</v>
      </c>
      <c r="N299" s="117">
        <f>SUMIFS('Ficha de Embalagens'!F:F,'Ficha de Embalagens'!A:A,A299)</f>
        <v>0</v>
      </c>
      <c r="O299" s="97">
        <f t="shared" si="57"/>
        <v>0</v>
      </c>
      <c r="P299" s="97">
        <f t="shared" si="58"/>
        <v>0</v>
      </c>
      <c r="Q299" s="118">
        <f t="shared" si="59"/>
        <v>0</v>
      </c>
      <c r="R299" s="97">
        <f t="shared" si="60"/>
        <v>0</v>
      </c>
      <c r="S299" s="97">
        <f t="shared" si="61"/>
        <v>0</v>
      </c>
      <c r="T299" s="118">
        <f t="shared" si="62"/>
        <v>0</v>
      </c>
      <c r="U299" s="119"/>
      <c r="V299" s="120" t="str">
        <f t="shared" si="63"/>
        <v>Cadastrar Ficha de Produção</v>
      </c>
      <c r="W299" s="121" t="str">
        <f t="shared" si="64"/>
        <v>Cadastrar Ficha de Produção</v>
      </c>
      <c r="AB299" s="125" t="str">
        <f t="shared" si="65"/>
        <v/>
      </c>
      <c r="AC299" s="125" t="str">
        <f t="shared" si="66"/>
        <v/>
      </c>
      <c r="AD299" s="126" t="str">
        <f t="shared" si="67"/>
        <v/>
      </c>
      <c r="AE299" s="127" t="str">
        <f t="shared" si="68"/>
        <v/>
      </c>
      <c r="AF299" s="128" t="str">
        <f t="shared" si="69"/>
        <v/>
      </c>
    </row>
    <row r="300" spans="1:32" ht="15.75" customHeight="1">
      <c r="A300" s="114" t="s">
        <v>377</v>
      </c>
      <c r="B300" s="114" t="s">
        <v>973</v>
      </c>
      <c r="C300" s="114" t="s">
        <v>951</v>
      </c>
      <c r="D300" s="114"/>
      <c r="E300" s="114" t="s">
        <v>543</v>
      </c>
      <c r="F300" s="114" t="s">
        <v>920</v>
      </c>
      <c r="G300" s="114" t="s">
        <v>556</v>
      </c>
      <c r="H300" s="115">
        <v>3.6</v>
      </c>
      <c r="I300" s="114" t="s">
        <v>545</v>
      </c>
      <c r="J300" s="116">
        <f t="shared" si="56"/>
        <v>1</v>
      </c>
      <c r="K300" s="97" t="str">
        <f>IFERROR(IF(VLOOKUP(D300,'Ficha de Produção'!C:C,1,0)=D300,"OK","Custo Produção Não Cadastrado"),"Custo Produção Não Cadastrado")</f>
        <v>Custo Produção Não Cadastrado</v>
      </c>
      <c r="L300" s="97" t="str">
        <f>IFERROR(IF(VLOOKUP(A300,'Ficha de Embalagens'!A:A,1,0)=A300,"OK","Ficha de Embalagens Não Cadastrada"),"Ficha de Embalagens Não Cadastrada")</f>
        <v>Ficha de Embalagens Não Cadastrada</v>
      </c>
      <c r="M300" s="117">
        <f>SUMIFS('Ficha de Produção'!N:N,'Ficha de Produção'!C:C,D300)*H300</f>
        <v>0</v>
      </c>
      <c r="N300" s="117">
        <f>SUMIFS('Ficha de Embalagens'!F:F,'Ficha de Embalagens'!A:A,A300)</f>
        <v>0</v>
      </c>
      <c r="O300" s="97">
        <f t="shared" si="57"/>
        <v>0</v>
      </c>
      <c r="P300" s="97">
        <f t="shared" si="58"/>
        <v>0</v>
      </c>
      <c r="Q300" s="118">
        <f t="shared" si="59"/>
        <v>0</v>
      </c>
      <c r="R300" s="97">
        <f t="shared" si="60"/>
        <v>0</v>
      </c>
      <c r="S300" s="97">
        <f t="shared" si="61"/>
        <v>0</v>
      </c>
      <c r="T300" s="118">
        <f t="shared" si="62"/>
        <v>0</v>
      </c>
      <c r="U300" s="119"/>
      <c r="V300" s="120" t="str">
        <f t="shared" si="63"/>
        <v>Cadastrar Ficha de Produção</v>
      </c>
      <c r="W300" s="121" t="str">
        <f t="shared" si="64"/>
        <v>Cadastrar Ficha de Produção</v>
      </c>
      <c r="AB300" s="125" t="str">
        <f t="shared" si="65"/>
        <v/>
      </c>
      <c r="AC300" s="125" t="str">
        <f t="shared" si="66"/>
        <v/>
      </c>
      <c r="AD300" s="126" t="str">
        <f t="shared" si="67"/>
        <v/>
      </c>
      <c r="AE300" s="127" t="str">
        <f t="shared" si="68"/>
        <v/>
      </c>
      <c r="AF300" s="128" t="str">
        <f t="shared" si="69"/>
        <v/>
      </c>
    </row>
    <row r="301" spans="1:32" ht="15.75" customHeight="1">
      <c r="A301" s="114" t="s">
        <v>378</v>
      </c>
      <c r="B301" s="114" t="s">
        <v>974</v>
      </c>
      <c r="C301" s="114" t="s">
        <v>951</v>
      </c>
      <c r="D301" s="114"/>
      <c r="E301" s="114" t="s">
        <v>543</v>
      </c>
      <c r="F301" s="114" t="s">
        <v>975</v>
      </c>
      <c r="G301" s="114" t="s">
        <v>556</v>
      </c>
      <c r="H301" s="115">
        <v>3.6</v>
      </c>
      <c r="I301" s="114" t="s">
        <v>545</v>
      </c>
      <c r="J301" s="116">
        <f t="shared" si="56"/>
        <v>1</v>
      </c>
      <c r="K301" s="97" t="str">
        <f>IFERROR(IF(VLOOKUP(D301,'Ficha de Produção'!C:C,1,0)=D301,"OK","Custo Produção Não Cadastrado"),"Custo Produção Não Cadastrado")</f>
        <v>Custo Produção Não Cadastrado</v>
      </c>
      <c r="L301" s="97" t="str">
        <f>IFERROR(IF(VLOOKUP(A301,'Ficha de Embalagens'!A:A,1,0)=A301,"OK","Ficha de Embalagens Não Cadastrada"),"Ficha de Embalagens Não Cadastrada")</f>
        <v>Ficha de Embalagens Não Cadastrada</v>
      </c>
      <c r="M301" s="117">
        <f>SUMIFS('Ficha de Produção'!N:N,'Ficha de Produção'!C:C,D301)*H301</f>
        <v>0</v>
      </c>
      <c r="N301" s="117">
        <f>SUMIFS('Ficha de Embalagens'!F:F,'Ficha de Embalagens'!A:A,A301)</f>
        <v>0</v>
      </c>
      <c r="O301" s="97">
        <f t="shared" si="57"/>
        <v>0</v>
      </c>
      <c r="P301" s="97">
        <f t="shared" si="58"/>
        <v>0</v>
      </c>
      <c r="Q301" s="118">
        <f t="shared" si="59"/>
        <v>0</v>
      </c>
      <c r="R301" s="97">
        <f t="shared" si="60"/>
        <v>0</v>
      </c>
      <c r="S301" s="97">
        <f t="shared" si="61"/>
        <v>0</v>
      </c>
      <c r="T301" s="118">
        <f t="shared" si="62"/>
        <v>0</v>
      </c>
      <c r="U301" s="119"/>
      <c r="V301" s="120" t="str">
        <f t="shared" si="63"/>
        <v>Cadastrar Ficha de Produção</v>
      </c>
      <c r="W301" s="121" t="str">
        <f t="shared" si="64"/>
        <v>Cadastrar Ficha de Produção</v>
      </c>
      <c r="AB301" s="125" t="str">
        <f t="shared" si="65"/>
        <v/>
      </c>
      <c r="AC301" s="125" t="str">
        <f t="shared" si="66"/>
        <v/>
      </c>
      <c r="AD301" s="126" t="str">
        <f t="shared" si="67"/>
        <v/>
      </c>
      <c r="AE301" s="127" t="str">
        <f t="shared" si="68"/>
        <v/>
      </c>
      <c r="AF301" s="128" t="str">
        <f t="shared" si="69"/>
        <v/>
      </c>
    </row>
    <row r="302" spans="1:32" ht="15.75" customHeight="1">
      <c r="A302" s="114" t="s">
        <v>379</v>
      </c>
      <c r="B302" s="114" t="s">
        <v>976</v>
      </c>
      <c r="C302" s="114" t="s">
        <v>951</v>
      </c>
      <c r="D302" s="114"/>
      <c r="E302" s="114" t="s">
        <v>543</v>
      </c>
      <c r="F302" s="114" t="s">
        <v>566</v>
      </c>
      <c r="G302" s="114" t="s">
        <v>556</v>
      </c>
      <c r="H302" s="115">
        <v>14</v>
      </c>
      <c r="I302" s="114" t="s">
        <v>545</v>
      </c>
      <c r="J302" s="116">
        <f t="shared" si="56"/>
        <v>1</v>
      </c>
      <c r="K302" s="97" t="str">
        <f>IFERROR(IF(VLOOKUP(D302,'Ficha de Produção'!C:C,1,0)=D302,"OK","Custo Produção Não Cadastrado"),"Custo Produção Não Cadastrado")</f>
        <v>Custo Produção Não Cadastrado</v>
      </c>
      <c r="L302" s="97" t="str">
        <f>IFERROR(IF(VLOOKUP(A302,'Ficha de Embalagens'!A:A,1,0)=A302,"OK","Ficha de Embalagens Não Cadastrada"),"Ficha de Embalagens Não Cadastrada")</f>
        <v>Ficha de Embalagens Não Cadastrada</v>
      </c>
      <c r="M302" s="117">
        <f>SUMIFS('Ficha de Produção'!N:N,'Ficha de Produção'!C:C,D302)*H302</f>
        <v>0</v>
      </c>
      <c r="N302" s="117">
        <f>SUMIFS('Ficha de Embalagens'!F:F,'Ficha de Embalagens'!A:A,A302)</f>
        <v>0</v>
      </c>
      <c r="O302" s="97">
        <f t="shared" si="57"/>
        <v>0</v>
      </c>
      <c r="P302" s="97">
        <f t="shared" si="58"/>
        <v>0</v>
      </c>
      <c r="Q302" s="118">
        <f t="shared" si="59"/>
        <v>0</v>
      </c>
      <c r="R302" s="97">
        <f t="shared" si="60"/>
        <v>0</v>
      </c>
      <c r="S302" s="97">
        <f t="shared" si="61"/>
        <v>0</v>
      </c>
      <c r="T302" s="118">
        <f t="shared" si="62"/>
        <v>0</v>
      </c>
      <c r="U302" s="119"/>
      <c r="V302" s="120" t="str">
        <f t="shared" si="63"/>
        <v>Cadastrar Ficha de Produção</v>
      </c>
      <c r="W302" s="121" t="str">
        <f t="shared" si="64"/>
        <v>Cadastrar Ficha de Produção</v>
      </c>
      <c r="AB302" s="125" t="str">
        <f t="shared" si="65"/>
        <v/>
      </c>
      <c r="AC302" s="125" t="str">
        <f t="shared" si="66"/>
        <v/>
      </c>
      <c r="AD302" s="126" t="str">
        <f t="shared" si="67"/>
        <v/>
      </c>
      <c r="AE302" s="127" t="str">
        <f t="shared" si="68"/>
        <v/>
      </c>
      <c r="AF302" s="128" t="str">
        <f t="shared" si="69"/>
        <v/>
      </c>
    </row>
    <row r="303" spans="1:32" ht="15.75" customHeight="1">
      <c r="A303" s="114" t="s">
        <v>380</v>
      </c>
      <c r="B303" s="114" t="s">
        <v>977</v>
      </c>
      <c r="C303" s="114" t="s">
        <v>951</v>
      </c>
      <c r="D303" s="114"/>
      <c r="E303" s="114" t="s">
        <v>543</v>
      </c>
      <c r="F303" s="114" t="s">
        <v>970</v>
      </c>
      <c r="G303" s="114" t="s">
        <v>556</v>
      </c>
      <c r="H303" s="115">
        <v>14</v>
      </c>
      <c r="I303" s="114" t="s">
        <v>545</v>
      </c>
      <c r="J303" s="116">
        <f t="shared" si="56"/>
        <v>1</v>
      </c>
      <c r="K303" s="97" t="str">
        <f>IFERROR(IF(VLOOKUP(D303,'Ficha de Produção'!C:C,1,0)=D303,"OK","Custo Produção Não Cadastrado"),"Custo Produção Não Cadastrado")</f>
        <v>Custo Produção Não Cadastrado</v>
      </c>
      <c r="L303" s="97" t="str">
        <f>IFERROR(IF(VLOOKUP(A303,'Ficha de Embalagens'!A:A,1,0)=A303,"OK","Ficha de Embalagens Não Cadastrada"),"Ficha de Embalagens Não Cadastrada")</f>
        <v>Ficha de Embalagens Não Cadastrada</v>
      </c>
      <c r="M303" s="117">
        <f>SUMIFS('Ficha de Produção'!N:N,'Ficha de Produção'!C:C,D303)*H303</f>
        <v>0</v>
      </c>
      <c r="N303" s="117">
        <f>SUMIFS('Ficha de Embalagens'!F:F,'Ficha de Embalagens'!A:A,A303)</f>
        <v>0</v>
      </c>
      <c r="O303" s="97">
        <f t="shared" si="57"/>
        <v>0</v>
      </c>
      <c r="P303" s="97">
        <f t="shared" si="58"/>
        <v>0</v>
      </c>
      <c r="Q303" s="118">
        <f t="shared" si="59"/>
        <v>0</v>
      </c>
      <c r="R303" s="97">
        <f t="shared" si="60"/>
        <v>0</v>
      </c>
      <c r="S303" s="97">
        <f t="shared" si="61"/>
        <v>0</v>
      </c>
      <c r="T303" s="118">
        <f t="shared" si="62"/>
        <v>0</v>
      </c>
      <c r="U303" s="119"/>
      <c r="V303" s="120" t="str">
        <f t="shared" si="63"/>
        <v>Cadastrar Ficha de Produção</v>
      </c>
      <c r="W303" s="121" t="str">
        <f t="shared" si="64"/>
        <v>Cadastrar Ficha de Produção</v>
      </c>
      <c r="AB303" s="125" t="str">
        <f t="shared" si="65"/>
        <v/>
      </c>
      <c r="AC303" s="125" t="str">
        <f t="shared" si="66"/>
        <v/>
      </c>
      <c r="AD303" s="126" t="str">
        <f t="shared" si="67"/>
        <v/>
      </c>
      <c r="AE303" s="127" t="str">
        <f t="shared" si="68"/>
        <v/>
      </c>
      <c r="AF303" s="128" t="str">
        <f t="shared" si="69"/>
        <v/>
      </c>
    </row>
    <row r="304" spans="1:32" ht="15.75" customHeight="1">
      <c r="A304" s="114" t="s">
        <v>381</v>
      </c>
      <c r="B304" s="114" t="s">
        <v>978</v>
      </c>
      <c r="C304" s="114" t="s">
        <v>951</v>
      </c>
      <c r="D304" s="114"/>
      <c r="E304" s="114" t="s">
        <v>543</v>
      </c>
      <c r="F304" s="114" t="s">
        <v>698</v>
      </c>
      <c r="G304" s="114" t="s">
        <v>556</v>
      </c>
      <c r="H304" s="115">
        <v>14</v>
      </c>
      <c r="I304" s="114" t="s">
        <v>545</v>
      </c>
      <c r="J304" s="116">
        <f t="shared" si="56"/>
        <v>1</v>
      </c>
      <c r="K304" s="97" t="str">
        <f>IFERROR(IF(VLOOKUP(D304,'Ficha de Produção'!C:C,1,0)=D304,"OK","Custo Produção Não Cadastrado"),"Custo Produção Não Cadastrado")</f>
        <v>Custo Produção Não Cadastrado</v>
      </c>
      <c r="L304" s="97" t="str">
        <f>IFERROR(IF(VLOOKUP(A304,'Ficha de Embalagens'!A:A,1,0)=A304,"OK","Ficha de Embalagens Não Cadastrada"),"Ficha de Embalagens Não Cadastrada")</f>
        <v>Ficha de Embalagens Não Cadastrada</v>
      </c>
      <c r="M304" s="117">
        <f>SUMIFS('Ficha de Produção'!N:N,'Ficha de Produção'!C:C,D304)*H304</f>
        <v>0</v>
      </c>
      <c r="N304" s="117">
        <f>SUMIFS('Ficha de Embalagens'!F:F,'Ficha de Embalagens'!A:A,A304)</f>
        <v>0</v>
      </c>
      <c r="O304" s="97">
        <f t="shared" si="57"/>
        <v>0</v>
      </c>
      <c r="P304" s="97">
        <f t="shared" si="58"/>
        <v>0</v>
      </c>
      <c r="Q304" s="118">
        <f t="shared" si="59"/>
        <v>0</v>
      </c>
      <c r="R304" s="97">
        <f t="shared" si="60"/>
        <v>0</v>
      </c>
      <c r="S304" s="97">
        <f t="shared" si="61"/>
        <v>0</v>
      </c>
      <c r="T304" s="118">
        <f t="shared" si="62"/>
        <v>0</v>
      </c>
      <c r="U304" s="119"/>
      <c r="V304" s="120" t="str">
        <f t="shared" si="63"/>
        <v>Cadastrar Ficha de Produção</v>
      </c>
      <c r="W304" s="121" t="str">
        <f t="shared" si="64"/>
        <v>Cadastrar Ficha de Produção</v>
      </c>
      <c r="AB304" s="125" t="str">
        <f t="shared" si="65"/>
        <v/>
      </c>
      <c r="AC304" s="125" t="str">
        <f t="shared" si="66"/>
        <v/>
      </c>
      <c r="AD304" s="126" t="str">
        <f t="shared" si="67"/>
        <v/>
      </c>
      <c r="AE304" s="127" t="str">
        <f t="shared" si="68"/>
        <v/>
      </c>
      <c r="AF304" s="128" t="str">
        <f t="shared" si="69"/>
        <v/>
      </c>
    </row>
    <row r="305" spans="1:32" ht="15.75" customHeight="1">
      <c r="A305" s="114" t="s">
        <v>382</v>
      </c>
      <c r="B305" s="114" t="s">
        <v>979</v>
      </c>
      <c r="C305" s="114" t="s">
        <v>951</v>
      </c>
      <c r="D305" s="114"/>
      <c r="E305" s="114" t="s">
        <v>543</v>
      </c>
      <c r="F305" s="114" t="s">
        <v>917</v>
      </c>
      <c r="G305" s="114" t="s">
        <v>556</v>
      </c>
      <c r="H305" s="115">
        <v>14</v>
      </c>
      <c r="I305" s="114" t="s">
        <v>545</v>
      </c>
      <c r="J305" s="116">
        <f t="shared" si="56"/>
        <v>1</v>
      </c>
      <c r="K305" s="97" t="str">
        <f>IFERROR(IF(VLOOKUP(D305,'Ficha de Produção'!C:C,1,0)=D305,"OK","Custo Produção Não Cadastrado"),"Custo Produção Não Cadastrado")</f>
        <v>Custo Produção Não Cadastrado</v>
      </c>
      <c r="L305" s="97" t="str">
        <f>IFERROR(IF(VLOOKUP(A305,'Ficha de Embalagens'!A:A,1,0)=A305,"OK","Ficha de Embalagens Não Cadastrada"),"Ficha de Embalagens Não Cadastrada")</f>
        <v>Ficha de Embalagens Não Cadastrada</v>
      </c>
      <c r="M305" s="117">
        <f>SUMIFS('Ficha de Produção'!N:N,'Ficha de Produção'!C:C,D305)*H305</f>
        <v>0</v>
      </c>
      <c r="N305" s="117">
        <f>SUMIFS('Ficha de Embalagens'!F:F,'Ficha de Embalagens'!A:A,A305)</f>
        <v>0</v>
      </c>
      <c r="O305" s="97">
        <f t="shared" si="57"/>
        <v>0</v>
      </c>
      <c r="P305" s="97">
        <f t="shared" si="58"/>
        <v>0</v>
      </c>
      <c r="Q305" s="118">
        <f t="shared" si="59"/>
        <v>0</v>
      </c>
      <c r="R305" s="97">
        <f t="shared" si="60"/>
        <v>0</v>
      </c>
      <c r="S305" s="97">
        <f t="shared" si="61"/>
        <v>0</v>
      </c>
      <c r="T305" s="118">
        <f t="shared" si="62"/>
        <v>0</v>
      </c>
      <c r="U305" s="119"/>
      <c r="V305" s="120" t="str">
        <f t="shared" si="63"/>
        <v>Cadastrar Ficha de Produção</v>
      </c>
      <c r="W305" s="121" t="str">
        <f t="shared" si="64"/>
        <v>Cadastrar Ficha de Produção</v>
      </c>
      <c r="AB305" s="125" t="str">
        <f t="shared" si="65"/>
        <v/>
      </c>
      <c r="AC305" s="125" t="str">
        <f t="shared" si="66"/>
        <v/>
      </c>
      <c r="AD305" s="126" t="str">
        <f t="shared" si="67"/>
        <v/>
      </c>
      <c r="AE305" s="127" t="str">
        <f t="shared" si="68"/>
        <v/>
      </c>
      <c r="AF305" s="128" t="str">
        <f t="shared" si="69"/>
        <v/>
      </c>
    </row>
    <row r="306" spans="1:32" ht="15.75" customHeight="1">
      <c r="A306" s="114" t="s">
        <v>383</v>
      </c>
      <c r="B306" s="114" t="s">
        <v>980</v>
      </c>
      <c r="C306" s="114" t="s">
        <v>951</v>
      </c>
      <c r="D306" s="114"/>
      <c r="E306" s="114" t="s">
        <v>543</v>
      </c>
      <c r="F306" s="114" t="s">
        <v>920</v>
      </c>
      <c r="G306" s="114" t="s">
        <v>556</v>
      </c>
      <c r="H306" s="115">
        <v>14</v>
      </c>
      <c r="I306" s="114" t="s">
        <v>545</v>
      </c>
      <c r="J306" s="116">
        <f t="shared" si="56"/>
        <v>1</v>
      </c>
      <c r="K306" s="97" t="str">
        <f>IFERROR(IF(VLOOKUP(D306,'Ficha de Produção'!C:C,1,0)=D306,"OK","Custo Produção Não Cadastrado"),"Custo Produção Não Cadastrado")</f>
        <v>Custo Produção Não Cadastrado</v>
      </c>
      <c r="L306" s="97" t="str">
        <f>IFERROR(IF(VLOOKUP(A306,'Ficha de Embalagens'!A:A,1,0)=A306,"OK","Ficha de Embalagens Não Cadastrada"),"Ficha de Embalagens Não Cadastrada")</f>
        <v>Ficha de Embalagens Não Cadastrada</v>
      </c>
      <c r="M306" s="117">
        <f>SUMIFS('Ficha de Produção'!N:N,'Ficha de Produção'!C:C,D306)*H306</f>
        <v>0</v>
      </c>
      <c r="N306" s="117">
        <f>SUMIFS('Ficha de Embalagens'!F:F,'Ficha de Embalagens'!A:A,A306)</f>
        <v>0</v>
      </c>
      <c r="O306" s="97">
        <f t="shared" si="57"/>
        <v>0</v>
      </c>
      <c r="P306" s="97">
        <f t="shared" si="58"/>
        <v>0</v>
      </c>
      <c r="Q306" s="118">
        <f t="shared" si="59"/>
        <v>0</v>
      </c>
      <c r="R306" s="97">
        <f t="shared" si="60"/>
        <v>0</v>
      </c>
      <c r="S306" s="97">
        <f t="shared" si="61"/>
        <v>0</v>
      </c>
      <c r="T306" s="118">
        <f t="shared" si="62"/>
        <v>0</v>
      </c>
      <c r="U306" s="119"/>
      <c r="V306" s="120" t="str">
        <f t="shared" si="63"/>
        <v>Cadastrar Ficha de Produção</v>
      </c>
      <c r="W306" s="121" t="str">
        <f t="shared" si="64"/>
        <v>Cadastrar Ficha de Produção</v>
      </c>
      <c r="AB306" s="125" t="str">
        <f t="shared" si="65"/>
        <v/>
      </c>
      <c r="AC306" s="125" t="str">
        <f t="shared" si="66"/>
        <v/>
      </c>
      <c r="AD306" s="126" t="str">
        <f t="shared" si="67"/>
        <v/>
      </c>
      <c r="AE306" s="127" t="str">
        <f t="shared" si="68"/>
        <v/>
      </c>
      <c r="AF306" s="128" t="str">
        <f t="shared" si="69"/>
        <v/>
      </c>
    </row>
    <row r="307" spans="1:32" ht="15.75" customHeight="1">
      <c r="A307" s="114" t="s">
        <v>384</v>
      </c>
      <c r="B307" s="114" t="s">
        <v>981</v>
      </c>
      <c r="C307" s="114" t="s">
        <v>951</v>
      </c>
      <c r="D307" s="114"/>
      <c r="E307" s="114" t="s">
        <v>543</v>
      </c>
      <c r="F307" s="114" t="s">
        <v>975</v>
      </c>
      <c r="G307" s="114" t="s">
        <v>556</v>
      </c>
      <c r="H307" s="115">
        <v>14</v>
      </c>
      <c r="I307" s="114" t="s">
        <v>545</v>
      </c>
      <c r="J307" s="116">
        <f t="shared" si="56"/>
        <v>1</v>
      </c>
      <c r="K307" s="97" t="str">
        <f>IFERROR(IF(VLOOKUP(D307,'Ficha de Produção'!C:C,1,0)=D307,"OK","Custo Produção Não Cadastrado"),"Custo Produção Não Cadastrado")</f>
        <v>Custo Produção Não Cadastrado</v>
      </c>
      <c r="L307" s="97" t="str">
        <f>IFERROR(IF(VLOOKUP(A307,'Ficha de Embalagens'!A:A,1,0)=A307,"OK","Ficha de Embalagens Não Cadastrada"),"Ficha de Embalagens Não Cadastrada")</f>
        <v>Ficha de Embalagens Não Cadastrada</v>
      </c>
      <c r="M307" s="117">
        <f>SUMIFS('Ficha de Produção'!N:N,'Ficha de Produção'!C:C,D307)*H307</f>
        <v>0</v>
      </c>
      <c r="N307" s="117">
        <f>SUMIFS('Ficha de Embalagens'!F:F,'Ficha de Embalagens'!A:A,A307)</f>
        <v>0</v>
      </c>
      <c r="O307" s="97">
        <f t="shared" si="57"/>
        <v>0</v>
      </c>
      <c r="P307" s="97">
        <f t="shared" si="58"/>
        <v>0</v>
      </c>
      <c r="Q307" s="118">
        <f t="shared" si="59"/>
        <v>0</v>
      </c>
      <c r="R307" s="97">
        <f t="shared" si="60"/>
        <v>0</v>
      </c>
      <c r="S307" s="97">
        <f t="shared" si="61"/>
        <v>0</v>
      </c>
      <c r="T307" s="118">
        <f t="shared" si="62"/>
        <v>0</v>
      </c>
      <c r="U307" s="119"/>
      <c r="V307" s="120" t="str">
        <f t="shared" si="63"/>
        <v>Cadastrar Ficha de Produção</v>
      </c>
      <c r="W307" s="121" t="str">
        <f t="shared" si="64"/>
        <v>Cadastrar Ficha de Produção</v>
      </c>
      <c r="AB307" s="125" t="str">
        <f t="shared" si="65"/>
        <v/>
      </c>
      <c r="AC307" s="125" t="str">
        <f t="shared" si="66"/>
        <v/>
      </c>
      <c r="AD307" s="126" t="str">
        <f t="shared" si="67"/>
        <v/>
      </c>
      <c r="AE307" s="127" t="str">
        <f t="shared" si="68"/>
        <v/>
      </c>
      <c r="AF307" s="128" t="str">
        <f t="shared" si="69"/>
        <v/>
      </c>
    </row>
    <row r="308" spans="1:32" ht="15.75" customHeight="1">
      <c r="A308" s="114" t="s">
        <v>385</v>
      </c>
      <c r="B308" s="114" t="s">
        <v>982</v>
      </c>
      <c r="C308" s="114" t="s">
        <v>983</v>
      </c>
      <c r="D308" s="114"/>
      <c r="E308" s="114" t="s">
        <v>543</v>
      </c>
      <c r="F308" s="114" t="s">
        <v>704</v>
      </c>
      <c r="G308" s="114" t="s">
        <v>556</v>
      </c>
      <c r="H308" s="115">
        <v>0.75</v>
      </c>
      <c r="I308" s="114" t="s">
        <v>551</v>
      </c>
      <c r="J308" s="116">
        <f t="shared" si="56"/>
        <v>1.27</v>
      </c>
      <c r="K308" s="97" t="str">
        <f>IFERROR(IF(VLOOKUP(D308,'Ficha de Produção'!C:C,1,0)=D308,"OK","Custo Produção Não Cadastrado"),"Custo Produção Não Cadastrado")</f>
        <v>Custo Produção Não Cadastrado</v>
      </c>
      <c r="L308" s="97" t="str">
        <f>IFERROR(IF(VLOOKUP(A308,'Ficha de Embalagens'!A:A,1,0)=A308,"OK","Ficha de Embalagens Não Cadastrada"),"Ficha de Embalagens Não Cadastrada")</f>
        <v>Ficha de Embalagens Não Cadastrada</v>
      </c>
      <c r="M308" s="117">
        <f>SUMIFS('Ficha de Produção'!N:N,'Ficha de Produção'!C:C,D308)*H308</f>
        <v>0</v>
      </c>
      <c r="N308" s="117">
        <f>SUMIFS('Ficha de Embalagens'!F:F,'Ficha de Embalagens'!A:A,A308)</f>
        <v>0</v>
      </c>
      <c r="O308" s="97">
        <f t="shared" si="57"/>
        <v>0</v>
      </c>
      <c r="P308" s="97">
        <f t="shared" si="58"/>
        <v>0</v>
      </c>
      <c r="Q308" s="118">
        <f t="shared" si="59"/>
        <v>0</v>
      </c>
      <c r="R308" s="97">
        <f t="shared" si="60"/>
        <v>0</v>
      </c>
      <c r="S308" s="97">
        <f t="shared" si="61"/>
        <v>0</v>
      </c>
      <c r="T308" s="118">
        <f t="shared" si="62"/>
        <v>0</v>
      </c>
      <c r="U308" s="119"/>
      <c r="V308" s="120" t="str">
        <f t="shared" si="63"/>
        <v>Cadastrar Ficha de Produção</v>
      </c>
      <c r="W308" s="121" t="str">
        <f t="shared" si="64"/>
        <v>Cadastrar Ficha de Produção</v>
      </c>
      <c r="AB308" s="125" t="str">
        <f t="shared" si="65"/>
        <v/>
      </c>
      <c r="AC308" s="125" t="str">
        <f t="shared" si="66"/>
        <v/>
      </c>
      <c r="AD308" s="126" t="str">
        <f t="shared" si="67"/>
        <v/>
      </c>
      <c r="AE308" s="127" t="str">
        <f t="shared" si="68"/>
        <v/>
      </c>
      <c r="AF308" s="128" t="str">
        <f t="shared" si="69"/>
        <v/>
      </c>
    </row>
    <row r="309" spans="1:32" ht="15.75" customHeight="1">
      <c r="A309" s="114" t="s">
        <v>386</v>
      </c>
      <c r="B309" s="114" t="s">
        <v>984</v>
      </c>
      <c r="C309" s="114" t="s">
        <v>983</v>
      </c>
      <c r="D309" s="114"/>
      <c r="E309" s="114" t="s">
        <v>543</v>
      </c>
      <c r="F309" s="114" t="s">
        <v>569</v>
      </c>
      <c r="G309" s="114" t="s">
        <v>556</v>
      </c>
      <c r="H309" s="115">
        <v>0.75</v>
      </c>
      <c r="I309" s="114" t="s">
        <v>551</v>
      </c>
      <c r="J309" s="116">
        <f t="shared" si="56"/>
        <v>1.27</v>
      </c>
      <c r="K309" s="97" t="str">
        <f>IFERROR(IF(VLOOKUP(D309,'Ficha de Produção'!C:C,1,0)=D309,"OK","Custo Produção Não Cadastrado"),"Custo Produção Não Cadastrado")</f>
        <v>Custo Produção Não Cadastrado</v>
      </c>
      <c r="L309" s="97" t="str">
        <f>IFERROR(IF(VLOOKUP(A309,'Ficha de Embalagens'!A:A,1,0)=A309,"OK","Ficha de Embalagens Não Cadastrada"),"Ficha de Embalagens Não Cadastrada")</f>
        <v>Ficha de Embalagens Não Cadastrada</v>
      </c>
      <c r="M309" s="117">
        <f>SUMIFS('Ficha de Produção'!N:N,'Ficha de Produção'!C:C,D309)*H309</f>
        <v>0</v>
      </c>
      <c r="N309" s="117">
        <f>SUMIFS('Ficha de Embalagens'!F:F,'Ficha de Embalagens'!A:A,A309)</f>
        <v>0</v>
      </c>
      <c r="O309" s="97">
        <f t="shared" si="57"/>
        <v>0</v>
      </c>
      <c r="P309" s="97">
        <f t="shared" si="58"/>
        <v>0</v>
      </c>
      <c r="Q309" s="118">
        <f t="shared" si="59"/>
        <v>0</v>
      </c>
      <c r="R309" s="97">
        <f t="shared" si="60"/>
        <v>0</v>
      </c>
      <c r="S309" s="97">
        <f t="shared" si="61"/>
        <v>0</v>
      </c>
      <c r="T309" s="118">
        <f t="shared" si="62"/>
        <v>0</v>
      </c>
      <c r="U309" s="119"/>
      <c r="V309" s="120" t="str">
        <f t="shared" si="63"/>
        <v>Cadastrar Ficha de Produção</v>
      </c>
      <c r="W309" s="121" t="str">
        <f t="shared" si="64"/>
        <v>Cadastrar Ficha de Produção</v>
      </c>
      <c r="AB309" s="125" t="str">
        <f t="shared" si="65"/>
        <v/>
      </c>
      <c r="AC309" s="125" t="str">
        <f t="shared" si="66"/>
        <v/>
      </c>
      <c r="AD309" s="126" t="str">
        <f t="shared" si="67"/>
        <v/>
      </c>
      <c r="AE309" s="127" t="str">
        <f t="shared" si="68"/>
        <v/>
      </c>
      <c r="AF309" s="128" t="str">
        <f t="shared" si="69"/>
        <v/>
      </c>
    </row>
    <row r="310" spans="1:32" ht="15.75" customHeight="1">
      <c r="A310" s="114" t="s">
        <v>387</v>
      </c>
      <c r="B310" s="114" t="s">
        <v>985</v>
      </c>
      <c r="C310" s="114" t="s">
        <v>983</v>
      </c>
      <c r="D310" s="114"/>
      <c r="E310" s="114" t="s">
        <v>543</v>
      </c>
      <c r="F310" s="114" t="s">
        <v>986</v>
      </c>
      <c r="G310" s="114" t="s">
        <v>556</v>
      </c>
      <c r="H310" s="115">
        <v>0.75</v>
      </c>
      <c r="I310" s="114" t="s">
        <v>551</v>
      </c>
      <c r="J310" s="116">
        <f t="shared" si="56"/>
        <v>1.27</v>
      </c>
      <c r="K310" s="97" t="str">
        <f>IFERROR(IF(VLOOKUP(D310,'Ficha de Produção'!C:C,1,0)=D310,"OK","Custo Produção Não Cadastrado"),"Custo Produção Não Cadastrado")</f>
        <v>Custo Produção Não Cadastrado</v>
      </c>
      <c r="L310" s="97" t="str">
        <f>IFERROR(IF(VLOOKUP(A310,'Ficha de Embalagens'!A:A,1,0)=A310,"OK","Ficha de Embalagens Não Cadastrada"),"Ficha de Embalagens Não Cadastrada")</f>
        <v>Ficha de Embalagens Não Cadastrada</v>
      </c>
      <c r="M310" s="117">
        <f>SUMIFS('Ficha de Produção'!N:N,'Ficha de Produção'!C:C,D310)*H310</f>
        <v>0</v>
      </c>
      <c r="N310" s="117">
        <f>SUMIFS('Ficha de Embalagens'!F:F,'Ficha de Embalagens'!A:A,A310)</f>
        <v>0</v>
      </c>
      <c r="O310" s="97">
        <f t="shared" si="57"/>
        <v>0</v>
      </c>
      <c r="P310" s="97">
        <f t="shared" si="58"/>
        <v>0</v>
      </c>
      <c r="Q310" s="118">
        <f t="shared" si="59"/>
        <v>0</v>
      </c>
      <c r="R310" s="97">
        <f t="shared" si="60"/>
        <v>0</v>
      </c>
      <c r="S310" s="97">
        <f t="shared" si="61"/>
        <v>0</v>
      </c>
      <c r="T310" s="118">
        <f t="shared" si="62"/>
        <v>0</v>
      </c>
      <c r="U310" s="119"/>
      <c r="V310" s="120" t="str">
        <f t="shared" si="63"/>
        <v>Cadastrar Ficha de Produção</v>
      </c>
      <c r="W310" s="121" t="str">
        <f t="shared" si="64"/>
        <v>Cadastrar Ficha de Produção</v>
      </c>
      <c r="AB310" s="125" t="str">
        <f t="shared" si="65"/>
        <v/>
      </c>
      <c r="AC310" s="125" t="str">
        <f t="shared" si="66"/>
        <v/>
      </c>
      <c r="AD310" s="126" t="str">
        <f t="shared" si="67"/>
        <v/>
      </c>
      <c r="AE310" s="127" t="str">
        <f t="shared" si="68"/>
        <v/>
      </c>
      <c r="AF310" s="128" t="str">
        <f t="shared" si="69"/>
        <v/>
      </c>
    </row>
    <row r="311" spans="1:32" ht="15.75" customHeight="1">
      <c r="A311" s="114" t="s">
        <v>388</v>
      </c>
      <c r="B311" s="114" t="s">
        <v>987</v>
      </c>
      <c r="C311" s="114" t="s">
        <v>983</v>
      </c>
      <c r="D311" s="114"/>
      <c r="E311" s="114" t="s">
        <v>543</v>
      </c>
      <c r="F311" s="114" t="s">
        <v>988</v>
      </c>
      <c r="G311" s="114" t="s">
        <v>556</v>
      </c>
      <c r="H311" s="115">
        <v>0.75</v>
      </c>
      <c r="I311" s="114" t="s">
        <v>551</v>
      </c>
      <c r="J311" s="116">
        <f t="shared" si="56"/>
        <v>1.27</v>
      </c>
      <c r="K311" s="97" t="str">
        <f>IFERROR(IF(VLOOKUP(D311,'Ficha de Produção'!C:C,1,0)=D311,"OK","Custo Produção Não Cadastrado"),"Custo Produção Não Cadastrado")</f>
        <v>Custo Produção Não Cadastrado</v>
      </c>
      <c r="L311" s="97" t="str">
        <f>IFERROR(IF(VLOOKUP(A311,'Ficha de Embalagens'!A:A,1,0)=A311,"OK","Ficha de Embalagens Não Cadastrada"),"Ficha de Embalagens Não Cadastrada")</f>
        <v>Ficha de Embalagens Não Cadastrada</v>
      </c>
      <c r="M311" s="117">
        <f>SUMIFS('Ficha de Produção'!N:N,'Ficha de Produção'!C:C,D311)*H311</f>
        <v>0</v>
      </c>
      <c r="N311" s="117">
        <f>SUMIFS('Ficha de Embalagens'!F:F,'Ficha de Embalagens'!A:A,A311)</f>
        <v>0</v>
      </c>
      <c r="O311" s="97">
        <f t="shared" si="57"/>
        <v>0</v>
      </c>
      <c r="P311" s="97">
        <f t="shared" si="58"/>
        <v>0</v>
      </c>
      <c r="Q311" s="118">
        <f t="shared" si="59"/>
        <v>0</v>
      </c>
      <c r="R311" s="97">
        <f t="shared" si="60"/>
        <v>0</v>
      </c>
      <c r="S311" s="97">
        <f t="shared" si="61"/>
        <v>0</v>
      </c>
      <c r="T311" s="118">
        <f t="shared" si="62"/>
        <v>0</v>
      </c>
      <c r="U311" s="119"/>
      <c r="V311" s="120" t="str">
        <f t="shared" si="63"/>
        <v>Cadastrar Ficha de Produção</v>
      </c>
      <c r="W311" s="121" t="str">
        <f t="shared" si="64"/>
        <v>Cadastrar Ficha de Produção</v>
      </c>
      <c r="AB311" s="125" t="str">
        <f t="shared" si="65"/>
        <v/>
      </c>
      <c r="AC311" s="125" t="str">
        <f t="shared" si="66"/>
        <v/>
      </c>
      <c r="AD311" s="126" t="str">
        <f t="shared" si="67"/>
        <v/>
      </c>
      <c r="AE311" s="127" t="str">
        <f t="shared" si="68"/>
        <v/>
      </c>
      <c r="AF311" s="128" t="str">
        <f t="shared" si="69"/>
        <v/>
      </c>
    </row>
    <row r="312" spans="1:32" ht="15.75" customHeight="1">
      <c r="A312" s="114" t="s">
        <v>389</v>
      </c>
      <c r="B312" s="114" t="s">
        <v>989</v>
      </c>
      <c r="C312" s="114" t="s">
        <v>983</v>
      </c>
      <c r="D312" s="114"/>
      <c r="E312" s="114" t="s">
        <v>543</v>
      </c>
      <c r="F312" s="114" t="s">
        <v>907</v>
      </c>
      <c r="G312" s="114" t="s">
        <v>556</v>
      </c>
      <c r="H312" s="115">
        <v>0.75</v>
      </c>
      <c r="I312" s="114" t="s">
        <v>551</v>
      </c>
      <c r="J312" s="116">
        <f t="shared" si="56"/>
        <v>1.27</v>
      </c>
      <c r="K312" s="97" t="str">
        <f>IFERROR(IF(VLOOKUP(D312,'Ficha de Produção'!C:C,1,0)=D312,"OK","Custo Produção Não Cadastrado"),"Custo Produção Não Cadastrado")</f>
        <v>Custo Produção Não Cadastrado</v>
      </c>
      <c r="L312" s="97" t="str">
        <f>IFERROR(IF(VLOOKUP(A312,'Ficha de Embalagens'!A:A,1,0)=A312,"OK","Ficha de Embalagens Não Cadastrada"),"Ficha de Embalagens Não Cadastrada")</f>
        <v>Ficha de Embalagens Não Cadastrada</v>
      </c>
      <c r="M312" s="117">
        <f>SUMIFS('Ficha de Produção'!N:N,'Ficha de Produção'!C:C,D312)*H312</f>
        <v>0</v>
      </c>
      <c r="N312" s="117">
        <f>SUMIFS('Ficha de Embalagens'!F:F,'Ficha de Embalagens'!A:A,A312)</f>
        <v>0</v>
      </c>
      <c r="O312" s="97">
        <f t="shared" si="57"/>
        <v>0</v>
      </c>
      <c r="P312" s="97">
        <f t="shared" si="58"/>
        <v>0</v>
      </c>
      <c r="Q312" s="118">
        <f t="shared" si="59"/>
        <v>0</v>
      </c>
      <c r="R312" s="97">
        <f t="shared" si="60"/>
        <v>0</v>
      </c>
      <c r="S312" s="97">
        <f t="shared" si="61"/>
        <v>0</v>
      </c>
      <c r="T312" s="118">
        <f t="shared" si="62"/>
        <v>0</v>
      </c>
      <c r="U312" s="119"/>
      <c r="V312" s="120" t="str">
        <f t="shared" si="63"/>
        <v>Cadastrar Ficha de Produção</v>
      </c>
      <c r="W312" s="121" t="str">
        <f t="shared" si="64"/>
        <v>Cadastrar Ficha de Produção</v>
      </c>
      <c r="AB312" s="125" t="str">
        <f t="shared" si="65"/>
        <v/>
      </c>
      <c r="AC312" s="125" t="str">
        <f t="shared" si="66"/>
        <v/>
      </c>
      <c r="AD312" s="126" t="str">
        <f t="shared" si="67"/>
        <v/>
      </c>
      <c r="AE312" s="127" t="str">
        <f t="shared" si="68"/>
        <v/>
      </c>
      <c r="AF312" s="128" t="str">
        <f t="shared" si="69"/>
        <v/>
      </c>
    </row>
    <row r="313" spans="1:32" ht="15.75" customHeight="1">
      <c r="A313" s="114" t="s">
        <v>390</v>
      </c>
      <c r="B313" s="114" t="s">
        <v>990</v>
      </c>
      <c r="C313" s="114" t="s">
        <v>983</v>
      </c>
      <c r="D313" s="114"/>
      <c r="E313" s="114" t="s">
        <v>543</v>
      </c>
      <c r="F313" s="114" t="s">
        <v>991</v>
      </c>
      <c r="G313" s="114" t="s">
        <v>556</v>
      </c>
      <c r="H313" s="115">
        <v>0.75</v>
      </c>
      <c r="I313" s="114" t="s">
        <v>551</v>
      </c>
      <c r="J313" s="116">
        <f t="shared" si="56"/>
        <v>1.27</v>
      </c>
      <c r="K313" s="97" t="str">
        <f>IFERROR(IF(VLOOKUP(D313,'Ficha de Produção'!C:C,1,0)=D313,"OK","Custo Produção Não Cadastrado"),"Custo Produção Não Cadastrado")</f>
        <v>Custo Produção Não Cadastrado</v>
      </c>
      <c r="L313" s="97" t="str">
        <f>IFERROR(IF(VLOOKUP(A313,'Ficha de Embalagens'!A:A,1,0)=A313,"OK","Ficha de Embalagens Não Cadastrada"),"Ficha de Embalagens Não Cadastrada")</f>
        <v>Ficha de Embalagens Não Cadastrada</v>
      </c>
      <c r="M313" s="117">
        <f>SUMIFS('Ficha de Produção'!N:N,'Ficha de Produção'!C:C,D313)*H313</f>
        <v>0</v>
      </c>
      <c r="N313" s="117">
        <f>SUMIFS('Ficha de Embalagens'!F:F,'Ficha de Embalagens'!A:A,A313)</f>
        <v>0</v>
      </c>
      <c r="O313" s="97">
        <f t="shared" si="57"/>
        <v>0</v>
      </c>
      <c r="P313" s="97">
        <f t="shared" si="58"/>
        <v>0</v>
      </c>
      <c r="Q313" s="118">
        <f t="shared" si="59"/>
        <v>0</v>
      </c>
      <c r="R313" s="97">
        <f t="shared" si="60"/>
        <v>0</v>
      </c>
      <c r="S313" s="97">
        <f t="shared" si="61"/>
        <v>0</v>
      </c>
      <c r="T313" s="118">
        <f t="shared" si="62"/>
        <v>0</v>
      </c>
      <c r="U313" s="119"/>
      <c r="V313" s="120" t="str">
        <f t="shared" si="63"/>
        <v>Cadastrar Ficha de Produção</v>
      </c>
      <c r="W313" s="121" t="str">
        <f t="shared" si="64"/>
        <v>Cadastrar Ficha de Produção</v>
      </c>
      <c r="AB313" s="125" t="str">
        <f t="shared" si="65"/>
        <v/>
      </c>
      <c r="AC313" s="125" t="str">
        <f t="shared" si="66"/>
        <v/>
      </c>
      <c r="AD313" s="126" t="str">
        <f t="shared" si="67"/>
        <v/>
      </c>
      <c r="AE313" s="127" t="str">
        <f t="shared" si="68"/>
        <v/>
      </c>
      <c r="AF313" s="128" t="str">
        <f t="shared" si="69"/>
        <v/>
      </c>
    </row>
    <row r="314" spans="1:32" ht="15.75" customHeight="1">
      <c r="A314" s="114" t="s">
        <v>391</v>
      </c>
      <c r="B314" s="114" t="s">
        <v>992</v>
      </c>
      <c r="C314" s="114" t="s">
        <v>983</v>
      </c>
      <c r="D314" s="114"/>
      <c r="E314" s="114" t="s">
        <v>543</v>
      </c>
      <c r="F314" s="114" t="s">
        <v>675</v>
      </c>
      <c r="G314" s="114" t="s">
        <v>556</v>
      </c>
      <c r="H314" s="115">
        <v>0.75</v>
      </c>
      <c r="I314" s="114" t="s">
        <v>551</v>
      </c>
      <c r="J314" s="116">
        <f t="shared" si="56"/>
        <v>1.27</v>
      </c>
      <c r="K314" s="97" t="str">
        <f>IFERROR(IF(VLOOKUP(D314,'Ficha de Produção'!C:C,1,0)=D314,"OK","Custo Produção Não Cadastrado"),"Custo Produção Não Cadastrado")</f>
        <v>Custo Produção Não Cadastrado</v>
      </c>
      <c r="L314" s="97" t="str">
        <f>IFERROR(IF(VLOOKUP(A314,'Ficha de Embalagens'!A:A,1,0)=A314,"OK","Ficha de Embalagens Não Cadastrada"),"Ficha de Embalagens Não Cadastrada")</f>
        <v>Ficha de Embalagens Não Cadastrada</v>
      </c>
      <c r="M314" s="117">
        <f>SUMIFS('Ficha de Produção'!N:N,'Ficha de Produção'!C:C,D314)*H314</f>
        <v>0</v>
      </c>
      <c r="N314" s="117">
        <f>SUMIFS('Ficha de Embalagens'!F:F,'Ficha de Embalagens'!A:A,A314)</f>
        <v>0</v>
      </c>
      <c r="O314" s="97">
        <f t="shared" si="57"/>
        <v>0</v>
      </c>
      <c r="P314" s="97">
        <f t="shared" si="58"/>
        <v>0</v>
      </c>
      <c r="Q314" s="118">
        <f t="shared" si="59"/>
        <v>0</v>
      </c>
      <c r="R314" s="97">
        <f t="shared" si="60"/>
        <v>0</v>
      </c>
      <c r="S314" s="97">
        <f t="shared" si="61"/>
        <v>0</v>
      </c>
      <c r="T314" s="118">
        <f t="shared" si="62"/>
        <v>0</v>
      </c>
      <c r="U314" s="119"/>
      <c r="V314" s="120" t="str">
        <f t="shared" si="63"/>
        <v>Cadastrar Ficha de Produção</v>
      </c>
      <c r="W314" s="121" t="str">
        <f t="shared" si="64"/>
        <v>Cadastrar Ficha de Produção</v>
      </c>
      <c r="AB314" s="125" t="str">
        <f t="shared" si="65"/>
        <v/>
      </c>
      <c r="AC314" s="125" t="str">
        <f t="shared" si="66"/>
        <v/>
      </c>
      <c r="AD314" s="126" t="str">
        <f t="shared" si="67"/>
        <v/>
      </c>
      <c r="AE314" s="127" t="str">
        <f t="shared" si="68"/>
        <v/>
      </c>
      <c r="AF314" s="128" t="str">
        <f t="shared" si="69"/>
        <v/>
      </c>
    </row>
    <row r="315" spans="1:32" ht="15.75" customHeight="1">
      <c r="A315" s="114" t="s">
        <v>392</v>
      </c>
      <c r="B315" s="114" t="s">
        <v>993</v>
      </c>
      <c r="C315" s="114" t="s">
        <v>983</v>
      </c>
      <c r="D315" s="114"/>
      <c r="E315" s="114" t="s">
        <v>543</v>
      </c>
      <c r="F315" s="114" t="s">
        <v>584</v>
      </c>
      <c r="G315" s="114" t="s">
        <v>556</v>
      </c>
      <c r="H315" s="115">
        <v>0.75</v>
      </c>
      <c r="I315" s="114" t="s">
        <v>551</v>
      </c>
      <c r="J315" s="116">
        <f t="shared" si="56"/>
        <v>1.27</v>
      </c>
      <c r="K315" s="97" t="str">
        <f>IFERROR(IF(VLOOKUP(D315,'Ficha de Produção'!C:C,1,0)=D315,"OK","Custo Produção Não Cadastrado"),"Custo Produção Não Cadastrado")</f>
        <v>Custo Produção Não Cadastrado</v>
      </c>
      <c r="L315" s="97" t="str">
        <f>IFERROR(IF(VLOOKUP(A315,'Ficha de Embalagens'!A:A,1,0)=A315,"OK","Ficha de Embalagens Não Cadastrada"),"Ficha de Embalagens Não Cadastrada")</f>
        <v>Ficha de Embalagens Não Cadastrada</v>
      </c>
      <c r="M315" s="117">
        <f>SUMIFS('Ficha de Produção'!N:N,'Ficha de Produção'!C:C,D315)*H315</f>
        <v>0</v>
      </c>
      <c r="N315" s="117">
        <f>SUMIFS('Ficha de Embalagens'!F:F,'Ficha de Embalagens'!A:A,A315)</f>
        <v>0</v>
      </c>
      <c r="O315" s="97">
        <f t="shared" si="57"/>
        <v>0</v>
      </c>
      <c r="P315" s="97">
        <f t="shared" si="58"/>
        <v>0</v>
      </c>
      <c r="Q315" s="118">
        <f t="shared" si="59"/>
        <v>0</v>
      </c>
      <c r="R315" s="97">
        <f t="shared" si="60"/>
        <v>0</v>
      </c>
      <c r="S315" s="97">
        <f t="shared" si="61"/>
        <v>0</v>
      </c>
      <c r="T315" s="118">
        <f t="shared" si="62"/>
        <v>0</v>
      </c>
      <c r="U315" s="119"/>
      <c r="V315" s="120" t="str">
        <f t="shared" si="63"/>
        <v>Cadastrar Ficha de Produção</v>
      </c>
      <c r="W315" s="121" t="str">
        <f t="shared" si="64"/>
        <v>Cadastrar Ficha de Produção</v>
      </c>
      <c r="AB315" s="125" t="str">
        <f t="shared" si="65"/>
        <v/>
      </c>
      <c r="AC315" s="125" t="str">
        <f t="shared" si="66"/>
        <v/>
      </c>
      <c r="AD315" s="126" t="str">
        <f t="shared" si="67"/>
        <v/>
      </c>
      <c r="AE315" s="127" t="str">
        <f t="shared" si="68"/>
        <v/>
      </c>
      <c r="AF315" s="128" t="str">
        <f t="shared" si="69"/>
        <v/>
      </c>
    </row>
    <row r="316" spans="1:32" ht="15.75" customHeight="1">
      <c r="A316" s="114" t="s">
        <v>393</v>
      </c>
      <c r="B316" s="114" t="s">
        <v>994</v>
      </c>
      <c r="C316" s="114" t="s">
        <v>983</v>
      </c>
      <c r="D316" s="114"/>
      <c r="E316" s="114" t="s">
        <v>543</v>
      </c>
      <c r="F316" s="114" t="s">
        <v>689</v>
      </c>
      <c r="G316" s="114" t="s">
        <v>556</v>
      </c>
      <c r="H316" s="115">
        <v>0.75</v>
      </c>
      <c r="I316" s="114" t="s">
        <v>551</v>
      </c>
      <c r="J316" s="116">
        <f t="shared" si="56"/>
        <v>1.27</v>
      </c>
      <c r="K316" s="97" t="str">
        <f>IFERROR(IF(VLOOKUP(D316,'Ficha de Produção'!C:C,1,0)=D316,"OK","Custo Produção Não Cadastrado"),"Custo Produção Não Cadastrado")</f>
        <v>Custo Produção Não Cadastrado</v>
      </c>
      <c r="L316" s="97" t="str">
        <f>IFERROR(IF(VLOOKUP(A316,'Ficha de Embalagens'!A:A,1,0)=A316,"OK","Ficha de Embalagens Não Cadastrada"),"Ficha de Embalagens Não Cadastrada")</f>
        <v>Ficha de Embalagens Não Cadastrada</v>
      </c>
      <c r="M316" s="117">
        <f>SUMIFS('Ficha de Produção'!N:N,'Ficha de Produção'!C:C,D316)*H316</f>
        <v>0</v>
      </c>
      <c r="N316" s="117">
        <f>SUMIFS('Ficha de Embalagens'!F:F,'Ficha de Embalagens'!A:A,A316)</f>
        <v>0</v>
      </c>
      <c r="O316" s="97">
        <f t="shared" si="57"/>
        <v>0</v>
      </c>
      <c r="P316" s="97">
        <f t="shared" si="58"/>
        <v>0</v>
      </c>
      <c r="Q316" s="118">
        <f t="shared" si="59"/>
        <v>0</v>
      </c>
      <c r="R316" s="97">
        <f t="shared" si="60"/>
        <v>0</v>
      </c>
      <c r="S316" s="97">
        <f t="shared" si="61"/>
        <v>0</v>
      </c>
      <c r="T316" s="118">
        <f t="shared" si="62"/>
        <v>0</v>
      </c>
      <c r="U316" s="119"/>
      <c r="V316" s="120" t="str">
        <f t="shared" si="63"/>
        <v>Cadastrar Ficha de Produção</v>
      </c>
      <c r="W316" s="121" t="str">
        <f t="shared" si="64"/>
        <v>Cadastrar Ficha de Produção</v>
      </c>
      <c r="AB316" s="125" t="str">
        <f t="shared" si="65"/>
        <v/>
      </c>
      <c r="AC316" s="125" t="str">
        <f t="shared" si="66"/>
        <v/>
      </c>
      <c r="AD316" s="126" t="str">
        <f t="shared" si="67"/>
        <v/>
      </c>
      <c r="AE316" s="127" t="str">
        <f t="shared" si="68"/>
        <v/>
      </c>
      <c r="AF316" s="128" t="str">
        <f t="shared" si="69"/>
        <v/>
      </c>
    </row>
    <row r="317" spans="1:32" ht="15.75" customHeight="1">
      <c r="A317" s="114" t="s">
        <v>394</v>
      </c>
      <c r="B317" s="114" t="s">
        <v>995</v>
      </c>
      <c r="C317" s="114" t="s">
        <v>983</v>
      </c>
      <c r="D317" s="114"/>
      <c r="E317" s="114" t="s">
        <v>543</v>
      </c>
      <c r="F317" s="114" t="s">
        <v>996</v>
      </c>
      <c r="G317" s="114" t="s">
        <v>556</v>
      </c>
      <c r="H317" s="115">
        <v>0.75</v>
      </c>
      <c r="I317" s="114" t="s">
        <v>551</v>
      </c>
      <c r="J317" s="116">
        <f t="shared" si="56"/>
        <v>1.27</v>
      </c>
      <c r="K317" s="97" t="str">
        <f>IFERROR(IF(VLOOKUP(D317,'Ficha de Produção'!C:C,1,0)=D317,"OK","Custo Produção Não Cadastrado"),"Custo Produção Não Cadastrado")</f>
        <v>Custo Produção Não Cadastrado</v>
      </c>
      <c r="L317" s="97" t="str">
        <f>IFERROR(IF(VLOOKUP(A317,'Ficha de Embalagens'!A:A,1,0)=A317,"OK","Ficha de Embalagens Não Cadastrada"),"Ficha de Embalagens Não Cadastrada")</f>
        <v>Ficha de Embalagens Não Cadastrada</v>
      </c>
      <c r="M317" s="117">
        <f>SUMIFS('Ficha de Produção'!N:N,'Ficha de Produção'!C:C,D317)*H317</f>
        <v>0</v>
      </c>
      <c r="N317" s="117">
        <f>SUMIFS('Ficha de Embalagens'!F:F,'Ficha de Embalagens'!A:A,A317)</f>
        <v>0</v>
      </c>
      <c r="O317" s="97">
        <f t="shared" si="57"/>
        <v>0</v>
      </c>
      <c r="P317" s="97">
        <f t="shared" si="58"/>
        <v>0</v>
      </c>
      <c r="Q317" s="118">
        <f t="shared" si="59"/>
        <v>0</v>
      </c>
      <c r="R317" s="97">
        <f t="shared" si="60"/>
        <v>0</v>
      </c>
      <c r="S317" s="97">
        <f t="shared" si="61"/>
        <v>0</v>
      </c>
      <c r="T317" s="118">
        <f t="shared" si="62"/>
        <v>0</v>
      </c>
      <c r="U317" s="119"/>
      <c r="V317" s="120" t="str">
        <f t="shared" si="63"/>
        <v>Cadastrar Ficha de Produção</v>
      </c>
      <c r="W317" s="121" t="str">
        <f t="shared" si="64"/>
        <v>Cadastrar Ficha de Produção</v>
      </c>
      <c r="AB317" s="125" t="str">
        <f t="shared" si="65"/>
        <v/>
      </c>
      <c r="AC317" s="125" t="str">
        <f t="shared" si="66"/>
        <v/>
      </c>
      <c r="AD317" s="126" t="str">
        <f t="shared" si="67"/>
        <v/>
      </c>
      <c r="AE317" s="127" t="str">
        <f t="shared" si="68"/>
        <v/>
      </c>
      <c r="AF317" s="128" t="str">
        <f t="shared" si="69"/>
        <v/>
      </c>
    </row>
    <row r="318" spans="1:32" ht="15.75" customHeight="1">
      <c r="A318" s="114" t="s">
        <v>395</v>
      </c>
      <c r="B318" s="114" t="s">
        <v>997</v>
      </c>
      <c r="C318" s="114" t="s">
        <v>983</v>
      </c>
      <c r="D318" s="114"/>
      <c r="E318" s="114" t="s">
        <v>543</v>
      </c>
      <c r="F318" s="114" t="s">
        <v>581</v>
      </c>
      <c r="G318" s="114" t="s">
        <v>556</v>
      </c>
      <c r="H318" s="115">
        <v>0.75</v>
      </c>
      <c r="I318" s="114" t="s">
        <v>551</v>
      </c>
      <c r="J318" s="116">
        <f t="shared" si="56"/>
        <v>1.27</v>
      </c>
      <c r="K318" s="97" t="str">
        <f>IFERROR(IF(VLOOKUP(D318,'Ficha de Produção'!C:C,1,0)=D318,"OK","Custo Produção Não Cadastrado"),"Custo Produção Não Cadastrado")</f>
        <v>Custo Produção Não Cadastrado</v>
      </c>
      <c r="L318" s="97" t="str">
        <f>IFERROR(IF(VLOOKUP(A318,'Ficha de Embalagens'!A:A,1,0)=A318,"OK","Ficha de Embalagens Não Cadastrada"),"Ficha de Embalagens Não Cadastrada")</f>
        <v>Ficha de Embalagens Não Cadastrada</v>
      </c>
      <c r="M318" s="117">
        <f>SUMIFS('Ficha de Produção'!N:N,'Ficha de Produção'!C:C,D318)*H318</f>
        <v>0</v>
      </c>
      <c r="N318" s="117">
        <f>SUMIFS('Ficha de Embalagens'!F:F,'Ficha de Embalagens'!A:A,A318)</f>
        <v>0</v>
      </c>
      <c r="O318" s="97">
        <f t="shared" si="57"/>
        <v>0</v>
      </c>
      <c r="P318" s="97">
        <f t="shared" si="58"/>
        <v>0</v>
      </c>
      <c r="Q318" s="118">
        <f t="shared" si="59"/>
        <v>0</v>
      </c>
      <c r="R318" s="97">
        <f t="shared" si="60"/>
        <v>0</v>
      </c>
      <c r="S318" s="97">
        <f t="shared" si="61"/>
        <v>0</v>
      </c>
      <c r="T318" s="118">
        <f t="shared" si="62"/>
        <v>0</v>
      </c>
      <c r="U318" s="119"/>
      <c r="V318" s="120" t="str">
        <f t="shared" si="63"/>
        <v>Cadastrar Ficha de Produção</v>
      </c>
      <c r="W318" s="121" t="str">
        <f t="shared" si="64"/>
        <v>Cadastrar Ficha de Produção</v>
      </c>
      <c r="AB318" s="125" t="str">
        <f t="shared" si="65"/>
        <v/>
      </c>
      <c r="AC318" s="125" t="str">
        <f t="shared" si="66"/>
        <v/>
      </c>
      <c r="AD318" s="126" t="str">
        <f t="shared" si="67"/>
        <v/>
      </c>
      <c r="AE318" s="127" t="str">
        <f t="shared" si="68"/>
        <v/>
      </c>
      <c r="AF318" s="128" t="str">
        <f t="shared" si="69"/>
        <v/>
      </c>
    </row>
    <row r="319" spans="1:32" ht="15.75" customHeight="1">
      <c r="A319" s="114" t="s">
        <v>396</v>
      </c>
      <c r="B319" s="114" t="s">
        <v>998</v>
      </c>
      <c r="C319" s="114" t="s">
        <v>983</v>
      </c>
      <c r="D319" s="114"/>
      <c r="E319" s="114" t="s">
        <v>543</v>
      </c>
      <c r="F319" s="114" t="s">
        <v>999</v>
      </c>
      <c r="G319" s="114" t="s">
        <v>556</v>
      </c>
      <c r="H319" s="115">
        <v>0.75</v>
      </c>
      <c r="I319" s="114" t="s">
        <v>551</v>
      </c>
      <c r="J319" s="116">
        <f t="shared" si="56"/>
        <v>1.27</v>
      </c>
      <c r="K319" s="97" t="str">
        <f>IFERROR(IF(VLOOKUP(D319,'Ficha de Produção'!C:C,1,0)=D319,"OK","Custo Produção Não Cadastrado"),"Custo Produção Não Cadastrado")</f>
        <v>Custo Produção Não Cadastrado</v>
      </c>
      <c r="L319" s="97" t="str">
        <f>IFERROR(IF(VLOOKUP(A319,'Ficha de Embalagens'!A:A,1,0)=A319,"OK","Ficha de Embalagens Não Cadastrada"),"Ficha de Embalagens Não Cadastrada")</f>
        <v>Ficha de Embalagens Não Cadastrada</v>
      </c>
      <c r="M319" s="117">
        <f>SUMIFS('Ficha de Produção'!N:N,'Ficha de Produção'!C:C,D319)*H319</f>
        <v>0</v>
      </c>
      <c r="N319" s="117">
        <f>SUMIFS('Ficha de Embalagens'!F:F,'Ficha de Embalagens'!A:A,A319)</f>
        <v>0</v>
      </c>
      <c r="O319" s="97">
        <f t="shared" si="57"/>
        <v>0</v>
      </c>
      <c r="P319" s="97">
        <f t="shared" si="58"/>
        <v>0</v>
      </c>
      <c r="Q319" s="118">
        <f t="shared" si="59"/>
        <v>0</v>
      </c>
      <c r="R319" s="97">
        <f t="shared" si="60"/>
        <v>0</v>
      </c>
      <c r="S319" s="97">
        <f t="shared" si="61"/>
        <v>0</v>
      </c>
      <c r="T319" s="118">
        <f t="shared" si="62"/>
        <v>0</v>
      </c>
      <c r="U319" s="119"/>
      <c r="V319" s="120" t="str">
        <f t="shared" si="63"/>
        <v>Cadastrar Ficha de Produção</v>
      </c>
      <c r="W319" s="121" t="str">
        <f t="shared" si="64"/>
        <v>Cadastrar Ficha de Produção</v>
      </c>
      <c r="AB319" s="125" t="str">
        <f t="shared" si="65"/>
        <v/>
      </c>
      <c r="AC319" s="125" t="str">
        <f t="shared" si="66"/>
        <v/>
      </c>
      <c r="AD319" s="126" t="str">
        <f t="shared" si="67"/>
        <v/>
      </c>
      <c r="AE319" s="127" t="str">
        <f t="shared" si="68"/>
        <v/>
      </c>
      <c r="AF319" s="128" t="str">
        <f t="shared" si="69"/>
        <v/>
      </c>
    </row>
    <row r="320" spans="1:32" ht="15.75" customHeight="1">
      <c r="A320" s="114" t="s">
        <v>397</v>
      </c>
      <c r="B320" s="114" t="s">
        <v>1000</v>
      </c>
      <c r="C320" s="114" t="s">
        <v>983</v>
      </c>
      <c r="D320" s="114"/>
      <c r="E320" s="114" t="s">
        <v>543</v>
      </c>
      <c r="F320" s="114" t="s">
        <v>704</v>
      </c>
      <c r="G320" s="114" t="s">
        <v>556</v>
      </c>
      <c r="H320" s="115">
        <v>3</v>
      </c>
      <c r="I320" s="114" t="s">
        <v>551</v>
      </c>
      <c r="J320" s="116">
        <f t="shared" si="56"/>
        <v>1.27</v>
      </c>
      <c r="K320" s="97" t="str">
        <f>IFERROR(IF(VLOOKUP(D320,'Ficha de Produção'!C:C,1,0)=D320,"OK","Custo Produção Não Cadastrado"),"Custo Produção Não Cadastrado")</f>
        <v>Custo Produção Não Cadastrado</v>
      </c>
      <c r="L320" s="97" t="str">
        <f>IFERROR(IF(VLOOKUP(A320,'Ficha de Embalagens'!A:A,1,0)=A320,"OK","Ficha de Embalagens Não Cadastrada"),"Ficha de Embalagens Não Cadastrada")</f>
        <v>Ficha de Embalagens Não Cadastrada</v>
      </c>
      <c r="M320" s="117">
        <f>SUMIFS('Ficha de Produção'!N:N,'Ficha de Produção'!C:C,D320)*H320</f>
        <v>0</v>
      </c>
      <c r="N320" s="117">
        <f>SUMIFS('Ficha de Embalagens'!F:F,'Ficha de Embalagens'!A:A,A320)</f>
        <v>0</v>
      </c>
      <c r="O320" s="97">
        <f t="shared" si="57"/>
        <v>0</v>
      </c>
      <c r="P320" s="97">
        <f t="shared" si="58"/>
        <v>0</v>
      </c>
      <c r="Q320" s="118">
        <f t="shared" si="59"/>
        <v>0</v>
      </c>
      <c r="R320" s="97">
        <f t="shared" si="60"/>
        <v>0</v>
      </c>
      <c r="S320" s="97">
        <f t="shared" si="61"/>
        <v>0</v>
      </c>
      <c r="T320" s="118">
        <f t="shared" si="62"/>
        <v>0</v>
      </c>
      <c r="U320" s="119"/>
      <c r="V320" s="120" t="str">
        <f t="shared" si="63"/>
        <v>Cadastrar Ficha de Produção</v>
      </c>
      <c r="W320" s="121" t="str">
        <f t="shared" si="64"/>
        <v>Cadastrar Ficha de Produção</v>
      </c>
      <c r="AB320" s="125" t="str">
        <f t="shared" si="65"/>
        <v/>
      </c>
      <c r="AC320" s="125" t="str">
        <f t="shared" si="66"/>
        <v/>
      </c>
      <c r="AD320" s="126" t="str">
        <f t="shared" si="67"/>
        <v/>
      </c>
      <c r="AE320" s="127" t="str">
        <f t="shared" si="68"/>
        <v/>
      </c>
      <c r="AF320" s="128" t="str">
        <f t="shared" si="69"/>
        <v/>
      </c>
    </row>
    <row r="321" spans="1:32" ht="15.75" customHeight="1">
      <c r="A321" s="114" t="s">
        <v>398</v>
      </c>
      <c r="B321" s="114" t="s">
        <v>1001</v>
      </c>
      <c r="C321" s="114" t="s">
        <v>983</v>
      </c>
      <c r="D321" s="114"/>
      <c r="E321" s="114" t="s">
        <v>543</v>
      </c>
      <c r="F321" s="114" t="s">
        <v>569</v>
      </c>
      <c r="G321" s="114" t="s">
        <v>556</v>
      </c>
      <c r="H321" s="115">
        <v>3</v>
      </c>
      <c r="I321" s="114" t="s">
        <v>551</v>
      </c>
      <c r="J321" s="116">
        <f t="shared" si="56"/>
        <v>1.27</v>
      </c>
      <c r="K321" s="97" t="str">
        <f>IFERROR(IF(VLOOKUP(D321,'Ficha de Produção'!C:C,1,0)=D321,"OK","Custo Produção Não Cadastrado"),"Custo Produção Não Cadastrado")</f>
        <v>Custo Produção Não Cadastrado</v>
      </c>
      <c r="L321" s="97" t="str">
        <f>IFERROR(IF(VLOOKUP(A321,'Ficha de Embalagens'!A:A,1,0)=A321,"OK","Ficha de Embalagens Não Cadastrada"),"Ficha de Embalagens Não Cadastrada")</f>
        <v>Ficha de Embalagens Não Cadastrada</v>
      </c>
      <c r="M321" s="117">
        <f>SUMIFS('Ficha de Produção'!N:N,'Ficha de Produção'!C:C,D321)*H321</f>
        <v>0</v>
      </c>
      <c r="N321" s="117">
        <f>SUMIFS('Ficha de Embalagens'!F:F,'Ficha de Embalagens'!A:A,A321)</f>
        <v>0</v>
      </c>
      <c r="O321" s="97">
        <f t="shared" si="57"/>
        <v>0</v>
      </c>
      <c r="P321" s="97">
        <f t="shared" si="58"/>
        <v>0</v>
      </c>
      <c r="Q321" s="118">
        <f t="shared" si="59"/>
        <v>0</v>
      </c>
      <c r="R321" s="97">
        <f t="shared" si="60"/>
        <v>0</v>
      </c>
      <c r="S321" s="97">
        <f t="shared" si="61"/>
        <v>0</v>
      </c>
      <c r="T321" s="118">
        <f t="shared" si="62"/>
        <v>0</v>
      </c>
      <c r="U321" s="119"/>
      <c r="V321" s="120" t="str">
        <f t="shared" si="63"/>
        <v>Cadastrar Ficha de Produção</v>
      </c>
      <c r="W321" s="121" t="str">
        <f t="shared" si="64"/>
        <v>Cadastrar Ficha de Produção</v>
      </c>
      <c r="AB321" s="125" t="str">
        <f t="shared" si="65"/>
        <v/>
      </c>
      <c r="AC321" s="125" t="str">
        <f t="shared" si="66"/>
        <v/>
      </c>
      <c r="AD321" s="126" t="str">
        <f t="shared" si="67"/>
        <v/>
      </c>
      <c r="AE321" s="127" t="str">
        <f t="shared" si="68"/>
        <v/>
      </c>
      <c r="AF321" s="128" t="str">
        <f t="shared" si="69"/>
        <v/>
      </c>
    </row>
    <row r="322" spans="1:32" ht="15.75" customHeight="1">
      <c r="A322" s="114" t="s">
        <v>399</v>
      </c>
      <c r="B322" s="114" t="s">
        <v>1002</v>
      </c>
      <c r="C322" s="114" t="s">
        <v>983</v>
      </c>
      <c r="D322" s="114"/>
      <c r="E322" s="114" t="s">
        <v>543</v>
      </c>
      <c r="F322" s="114" t="s">
        <v>986</v>
      </c>
      <c r="G322" s="114" t="s">
        <v>556</v>
      </c>
      <c r="H322" s="115">
        <v>3</v>
      </c>
      <c r="I322" s="114" t="s">
        <v>551</v>
      </c>
      <c r="J322" s="116">
        <f t="shared" si="56"/>
        <v>1.27</v>
      </c>
      <c r="K322" s="97" t="str">
        <f>IFERROR(IF(VLOOKUP(D322,'Ficha de Produção'!C:C,1,0)=D322,"OK","Custo Produção Não Cadastrado"),"Custo Produção Não Cadastrado")</f>
        <v>Custo Produção Não Cadastrado</v>
      </c>
      <c r="L322" s="97" t="str">
        <f>IFERROR(IF(VLOOKUP(A322,'Ficha de Embalagens'!A:A,1,0)=A322,"OK","Ficha de Embalagens Não Cadastrada"),"Ficha de Embalagens Não Cadastrada")</f>
        <v>Ficha de Embalagens Não Cadastrada</v>
      </c>
      <c r="M322" s="117">
        <f>SUMIFS('Ficha de Produção'!N:N,'Ficha de Produção'!C:C,D322)*H322</f>
        <v>0</v>
      </c>
      <c r="N322" s="117">
        <f>SUMIFS('Ficha de Embalagens'!F:F,'Ficha de Embalagens'!A:A,A322)</f>
        <v>0</v>
      </c>
      <c r="O322" s="97">
        <f t="shared" si="57"/>
        <v>0</v>
      </c>
      <c r="P322" s="97">
        <f t="shared" si="58"/>
        <v>0</v>
      </c>
      <c r="Q322" s="118">
        <f t="shared" si="59"/>
        <v>0</v>
      </c>
      <c r="R322" s="97">
        <f t="shared" si="60"/>
        <v>0</v>
      </c>
      <c r="S322" s="97">
        <f t="shared" si="61"/>
        <v>0</v>
      </c>
      <c r="T322" s="118">
        <f t="shared" si="62"/>
        <v>0</v>
      </c>
      <c r="U322" s="119"/>
      <c r="V322" s="120" t="str">
        <f t="shared" si="63"/>
        <v>Cadastrar Ficha de Produção</v>
      </c>
      <c r="W322" s="121" t="str">
        <f t="shared" si="64"/>
        <v>Cadastrar Ficha de Produção</v>
      </c>
      <c r="AB322" s="125" t="str">
        <f t="shared" si="65"/>
        <v/>
      </c>
      <c r="AC322" s="125" t="str">
        <f t="shared" si="66"/>
        <v/>
      </c>
      <c r="AD322" s="126" t="str">
        <f t="shared" si="67"/>
        <v/>
      </c>
      <c r="AE322" s="127" t="str">
        <f t="shared" si="68"/>
        <v/>
      </c>
      <c r="AF322" s="128" t="str">
        <f t="shared" si="69"/>
        <v/>
      </c>
    </row>
    <row r="323" spans="1:32" ht="15.75" customHeight="1">
      <c r="A323" s="114" t="s">
        <v>400</v>
      </c>
      <c r="B323" s="114" t="s">
        <v>1003</v>
      </c>
      <c r="C323" s="114" t="s">
        <v>983</v>
      </c>
      <c r="D323" s="114"/>
      <c r="E323" s="114" t="s">
        <v>543</v>
      </c>
      <c r="F323" s="114" t="s">
        <v>988</v>
      </c>
      <c r="G323" s="114" t="s">
        <v>556</v>
      </c>
      <c r="H323" s="115">
        <v>3</v>
      </c>
      <c r="I323" s="114" t="s">
        <v>551</v>
      </c>
      <c r="J323" s="116">
        <f t="shared" si="56"/>
        <v>1.27</v>
      </c>
      <c r="K323" s="97" t="str">
        <f>IFERROR(IF(VLOOKUP(D323,'Ficha de Produção'!C:C,1,0)=D323,"OK","Custo Produção Não Cadastrado"),"Custo Produção Não Cadastrado")</f>
        <v>Custo Produção Não Cadastrado</v>
      </c>
      <c r="L323" s="97" t="str">
        <f>IFERROR(IF(VLOOKUP(A323,'Ficha de Embalagens'!A:A,1,0)=A323,"OK","Ficha de Embalagens Não Cadastrada"),"Ficha de Embalagens Não Cadastrada")</f>
        <v>Ficha de Embalagens Não Cadastrada</v>
      </c>
      <c r="M323" s="117">
        <f>SUMIFS('Ficha de Produção'!N:N,'Ficha de Produção'!C:C,D323)*H323</f>
        <v>0</v>
      </c>
      <c r="N323" s="117">
        <f>SUMIFS('Ficha de Embalagens'!F:F,'Ficha de Embalagens'!A:A,A323)</f>
        <v>0</v>
      </c>
      <c r="O323" s="97">
        <f t="shared" si="57"/>
        <v>0</v>
      </c>
      <c r="P323" s="97">
        <f t="shared" si="58"/>
        <v>0</v>
      </c>
      <c r="Q323" s="118">
        <f t="shared" si="59"/>
        <v>0</v>
      </c>
      <c r="R323" s="97">
        <f t="shared" si="60"/>
        <v>0</v>
      </c>
      <c r="S323" s="97">
        <f t="shared" si="61"/>
        <v>0</v>
      </c>
      <c r="T323" s="118">
        <f t="shared" si="62"/>
        <v>0</v>
      </c>
      <c r="U323" s="119"/>
      <c r="V323" s="120" t="str">
        <f t="shared" si="63"/>
        <v>Cadastrar Ficha de Produção</v>
      </c>
      <c r="W323" s="121" t="str">
        <f t="shared" si="64"/>
        <v>Cadastrar Ficha de Produção</v>
      </c>
      <c r="AB323" s="125" t="str">
        <f t="shared" si="65"/>
        <v/>
      </c>
      <c r="AC323" s="125" t="str">
        <f t="shared" si="66"/>
        <v/>
      </c>
      <c r="AD323" s="126" t="str">
        <f t="shared" si="67"/>
        <v/>
      </c>
      <c r="AE323" s="127" t="str">
        <f t="shared" si="68"/>
        <v/>
      </c>
      <c r="AF323" s="128" t="str">
        <f t="shared" si="69"/>
        <v/>
      </c>
    </row>
    <row r="324" spans="1:32" ht="15.75" customHeight="1">
      <c r="A324" s="114" t="s">
        <v>401</v>
      </c>
      <c r="B324" s="114" t="s">
        <v>1004</v>
      </c>
      <c r="C324" s="114" t="s">
        <v>983</v>
      </c>
      <c r="D324" s="114"/>
      <c r="E324" s="114" t="s">
        <v>543</v>
      </c>
      <c r="F324" s="114" t="s">
        <v>907</v>
      </c>
      <c r="G324" s="114" t="s">
        <v>556</v>
      </c>
      <c r="H324" s="115">
        <v>3</v>
      </c>
      <c r="I324" s="114" t="s">
        <v>551</v>
      </c>
      <c r="J324" s="116">
        <f t="shared" ref="J324:J387" si="70">IF(I324="KG",1,1.27)</f>
        <v>1.27</v>
      </c>
      <c r="K324" s="97" t="str">
        <f>IFERROR(IF(VLOOKUP(D324,'Ficha de Produção'!C:C,1,0)=D324,"OK","Custo Produção Não Cadastrado"),"Custo Produção Não Cadastrado")</f>
        <v>Custo Produção Não Cadastrado</v>
      </c>
      <c r="L324" s="97" t="str">
        <f>IFERROR(IF(VLOOKUP(A324,'Ficha de Embalagens'!A:A,1,0)=A324,"OK","Ficha de Embalagens Não Cadastrada"),"Ficha de Embalagens Não Cadastrada")</f>
        <v>Ficha de Embalagens Não Cadastrada</v>
      </c>
      <c r="M324" s="117">
        <f>SUMIFS('Ficha de Produção'!N:N,'Ficha de Produção'!C:C,D324)*H324</f>
        <v>0</v>
      </c>
      <c r="N324" s="117">
        <f>SUMIFS('Ficha de Embalagens'!F:F,'Ficha de Embalagens'!A:A,A324)</f>
        <v>0</v>
      </c>
      <c r="O324" s="97">
        <f t="shared" ref="O324:O387" si="71">SUM(M324:N324)</f>
        <v>0</v>
      </c>
      <c r="P324" s="97">
        <f t="shared" ref="P324:P387" si="72">IF(AND(K324="OK",L324="OK"),H324*$P$1,0)</f>
        <v>0</v>
      </c>
      <c r="Q324" s="118">
        <f t="shared" ref="Q324:Q387" si="73">P324+O324</f>
        <v>0</v>
      </c>
      <c r="R324" s="97">
        <f t="shared" ref="R324:R387" si="74">U324*$R$1</f>
        <v>0</v>
      </c>
      <c r="S324" s="97">
        <f t="shared" ref="S324:S387" si="75">$S$1*U324</f>
        <v>0</v>
      </c>
      <c r="T324" s="118">
        <f t="shared" ref="T324:T387" si="76">+Q324+R324+S324</f>
        <v>0</v>
      </c>
      <c r="U324" s="119"/>
      <c r="V324" s="120" t="str">
        <f t="shared" ref="V324:V387" si="77">IF(M324=0,"Cadastrar Ficha de Produção",IF(AND(M324&gt;0,U324=""),"Cadastrar Preço Final",IFERROR((U324-T324)/U324,"")))</f>
        <v>Cadastrar Ficha de Produção</v>
      </c>
      <c r="W324" s="121" t="str">
        <f t="shared" ref="W324:W387" si="78">IF(M324=0,"Cadastrar Ficha de Produção",ROUNDUP(Q324/(1-$R$1-$S$1),2))</f>
        <v>Cadastrar Ficha de Produção</v>
      </c>
      <c r="AB324" s="125" t="str">
        <f t="shared" ref="AB324:AB387" si="79">IF(Q324=0,"",Q324)</f>
        <v/>
      </c>
      <c r="AC324" s="125" t="str">
        <f t="shared" ref="AC324:AC387" si="80">IF(U324="","",U324*(1-$R$1-$S$1))</f>
        <v/>
      </c>
      <c r="AD324" s="126" t="str">
        <f t="shared" ref="AD324:AD387" si="81">IF(OR(AB324="",AC324=""),"",AC324-AB324)</f>
        <v/>
      </c>
      <c r="AE324" s="127" t="str">
        <f t="shared" ref="AE324:AE387" si="82">IF(OR(AD324="",AC324=0),"",AD324/AC324)</f>
        <v/>
      </c>
      <c r="AF324" s="128" t="str">
        <f t="shared" ref="AF324:AF387" si="83">IF(Q324=0,"",ROUNDUP((Q324+IF(AA324="",0,AA324/1200))/(1-$R$1-$S$1),2))</f>
        <v/>
      </c>
    </row>
    <row r="325" spans="1:32" ht="15.75" customHeight="1">
      <c r="A325" s="114" t="s">
        <v>402</v>
      </c>
      <c r="B325" s="114" t="s">
        <v>1005</v>
      </c>
      <c r="C325" s="114" t="s">
        <v>983</v>
      </c>
      <c r="D325" s="114"/>
      <c r="E325" s="114" t="s">
        <v>543</v>
      </c>
      <c r="F325" s="114" t="s">
        <v>991</v>
      </c>
      <c r="G325" s="114" t="s">
        <v>556</v>
      </c>
      <c r="H325" s="115">
        <v>3</v>
      </c>
      <c r="I325" s="114" t="s">
        <v>551</v>
      </c>
      <c r="J325" s="116">
        <f t="shared" si="70"/>
        <v>1.27</v>
      </c>
      <c r="K325" s="97" t="str">
        <f>IFERROR(IF(VLOOKUP(D325,'Ficha de Produção'!C:C,1,0)=D325,"OK","Custo Produção Não Cadastrado"),"Custo Produção Não Cadastrado")</f>
        <v>Custo Produção Não Cadastrado</v>
      </c>
      <c r="L325" s="97" t="str">
        <f>IFERROR(IF(VLOOKUP(A325,'Ficha de Embalagens'!A:A,1,0)=A325,"OK","Ficha de Embalagens Não Cadastrada"),"Ficha de Embalagens Não Cadastrada")</f>
        <v>Ficha de Embalagens Não Cadastrada</v>
      </c>
      <c r="M325" s="117">
        <f>SUMIFS('Ficha de Produção'!N:N,'Ficha de Produção'!C:C,D325)*H325</f>
        <v>0</v>
      </c>
      <c r="N325" s="117">
        <f>SUMIFS('Ficha de Embalagens'!F:F,'Ficha de Embalagens'!A:A,A325)</f>
        <v>0</v>
      </c>
      <c r="O325" s="97">
        <f t="shared" si="71"/>
        <v>0</v>
      </c>
      <c r="P325" s="97">
        <f t="shared" si="72"/>
        <v>0</v>
      </c>
      <c r="Q325" s="118">
        <f t="shared" si="73"/>
        <v>0</v>
      </c>
      <c r="R325" s="97">
        <f t="shared" si="74"/>
        <v>0</v>
      </c>
      <c r="S325" s="97">
        <f t="shared" si="75"/>
        <v>0</v>
      </c>
      <c r="T325" s="118">
        <f t="shared" si="76"/>
        <v>0</v>
      </c>
      <c r="U325" s="119"/>
      <c r="V325" s="120" t="str">
        <f t="shared" si="77"/>
        <v>Cadastrar Ficha de Produção</v>
      </c>
      <c r="W325" s="121" t="str">
        <f t="shared" si="78"/>
        <v>Cadastrar Ficha de Produção</v>
      </c>
      <c r="AB325" s="125" t="str">
        <f t="shared" si="79"/>
        <v/>
      </c>
      <c r="AC325" s="125" t="str">
        <f t="shared" si="80"/>
        <v/>
      </c>
      <c r="AD325" s="126" t="str">
        <f t="shared" si="81"/>
        <v/>
      </c>
      <c r="AE325" s="127" t="str">
        <f t="shared" si="82"/>
        <v/>
      </c>
      <c r="AF325" s="128" t="str">
        <f t="shared" si="83"/>
        <v/>
      </c>
    </row>
    <row r="326" spans="1:32" ht="15.75" customHeight="1">
      <c r="A326" s="114" t="s">
        <v>403</v>
      </c>
      <c r="B326" s="114" t="s">
        <v>1006</v>
      </c>
      <c r="C326" s="114" t="s">
        <v>983</v>
      </c>
      <c r="D326" s="114"/>
      <c r="E326" s="114" t="s">
        <v>543</v>
      </c>
      <c r="F326" s="114" t="s">
        <v>675</v>
      </c>
      <c r="G326" s="114" t="s">
        <v>556</v>
      </c>
      <c r="H326" s="115">
        <v>3</v>
      </c>
      <c r="I326" s="114" t="s">
        <v>551</v>
      </c>
      <c r="J326" s="116">
        <f t="shared" si="70"/>
        <v>1.27</v>
      </c>
      <c r="K326" s="97" t="str">
        <f>IFERROR(IF(VLOOKUP(D326,'Ficha de Produção'!C:C,1,0)=D326,"OK","Custo Produção Não Cadastrado"),"Custo Produção Não Cadastrado")</f>
        <v>Custo Produção Não Cadastrado</v>
      </c>
      <c r="L326" s="97" t="str">
        <f>IFERROR(IF(VLOOKUP(A326,'Ficha de Embalagens'!A:A,1,0)=A326,"OK","Ficha de Embalagens Não Cadastrada"),"Ficha de Embalagens Não Cadastrada")</f>
        <v>Ficha de Embalagens Não Cadastrada</v>
      </c>
      <c r="M326" s="117">
        <f>SUMIFS('Ficha de Produção'!N:N,'Ficha de Produção'!C:C,D326)*H326</f>
        <v>0</v>
      </c>
      <c r="N326" s="117">
        <f>SUMIFS('Ficha de Embalagens'!F:F,'Ficha de Embalagens'!A:A,A326)</f>
        <v>0</v>
      </c>
      <c r="O326" s="97">
        <f t="shared" si="71"/>
        <v>0</v>
      </c>
      <c r="P326" s="97">
        <f t="shared" si="72"/>
        <v>0</v>
      </c>
      <c r="Q326" s="118">
        <f t="shared" si="73"/>
        <v>0</v>
      </c>
      <c r="R326" s="97">
        <f t="shared" si="74"/>
        <v>0</v>
      </c>
      <c r="S326" s="97">
        <f t="shared" si="75"/>
        <v>0</v>
      </c>
      <c r="T326" s="118">
        <f t="shared" si="76"/>
        <v>0</v>
      </c>
      <c r="U326" s="119"/>
      <c r="V326" s="120" t="str">
        <f t="shared" si="77"/>
        <v>Cadastrar Ficha de Produção</v>
      </c>
      <c r="W326" s="121" t="str">
        <f t="shared" si="78"/>
        <v>Cadastrar Ficha de Produção</v>
      </c>
      <c r="AB326" s="125" t="str">
        <f t="shared" si="79"/>
        <v/>
      </c>
      <c r="AC326" s="125" t="str">
        <f t="shared" si="80"/>
        <v/>
      </c>
      <c r="AD326" s="126" t="str">
        <f t="shared" si="81"/>
        <v/>
      </c>
      <c r="AE326" s="127" t="str">
        <f t="shared" si="82"/>
        <v/>
      </c>
      <c r="AF326" s="128" t="str">
        <f t="shared" si="83"/>
        <v/>
      </c>
    </row>
    <row r="327" spans="1:32" ht="15.75" customHeight="1">
      <c r="A327" s="114" t="s">
        <v>404</v>
      </c>
      <c r="B327" s="114" t="s">
        <v>1007</v>
      </c>
      <c r="C327" s="114" t="s">
        <v>983</v>
      </c>
      <c r="D327" s="114"/>
      <c r="E327" s="114" t="s">
        <v>543</v>
      </c>
      <c r="F327" s="114" t="s">
        <v>584</v>
      </c>
      <c r="G327" s="114" t="s">
        <v>556</v>
      </c>
      <c r="H327" s="115">
        <v>3</v>
      </c>
      <c r="I327" s="114" t="s">
        <v>551</v>
      </c>
      <c r="J327" s="116">
        <f t="shared" si="70"/>
        <v>1.27</v>
      </c>
      <c r="K327" s="97" t="str">
        <f>IFERROR(IF(VLOOKUP(D327,'Ficha de Produção'!C:C,1,0)=D327,"OK","Custo Produção Não Cadastrado"),"Custo Produção Não Cadastrado")</f>
        <v>Custo Produção Não Cadastrado</v>
      </c>
      <c r="L327" s="97" t="str">
        <f>IFERROR(IF(VLOOKUP(A327,'Ficha de Embalagens'!A:A,1,0)=A327,"OK","Ficha de Embalagens Não Cadastrada"),"Ficha de Embalagens Não Cadastrada")</f>
        <v>Ficha de Embalagens Não Cadastrada</v>
      </c>
      <c r="M327" s="117">
        <f>SUMIFS('Ficha de Produção'!N:N,'Ficha de Produção'!C:C,D327)*H327</f>
        <v>0</v>
      </c>
      <c r="N327" s="117">
        <f>SUMIFS('Ficha de Embalagens'!F:F,'Ficha de Embalagens'!A:A,A327)</f>
        <v>0</v>
      </c>
      <c r="O327" s="97">
        <f t="shared" si="71"/>
        <v>0</v>
      </c>
      <c r="P327" s="97">
        <f t="shared" si="72"/>
        <v>0</v>
      </c>
      <c r="Q327" s="118">
        <f t="shared" si="73"/>
        <v>0</v>
      </c>
      <c r="R327" s="97">
        <f t="shared" si="74"/>
        <v>0</v>
      </c>
      <c r="S327" s="97">
        <f t="shared" si="75"/>
        <v>0</v>
      </c>
      <c r="T327" s="118">
        <f t="shared" si="76"/>
        <v>0</v>
      </c>
      <c r="U327" s="119"/>
      <c r="V327" s="120" t="str">
        <f t="shared" si="77"/>
        <v>Cadastrar Ficha de Produção</v>
      </c>
      <c r="W327" s="121" t="str">
        <f t="shared" si="78"/>
        <v>Cadastrar Ficha de Produção</v>
      </c>
      <c r="AB327" s="125" t="str">
        <f t="shared" si="79"/>
        <v/>
      </c>
      <c r="AC327" s="125" t="str">
        <f t="shared" si="80"/>
        <v/>
      </c>
      <c r="AD327" s="126" t="str">
        <f t="shared" si="81"/>
        <v/>
      </c>
      <c r="AE327" s="127" t="str">
        <f t="shared" si="82"/>
        <v/>
      </c>
      <c r="AF327" s="128" t="str">
        <f t="shared" si="83"/>
        <v/>
      </c>
    </row>
    <row r="328" spans="1:32" ht="15.75" customHeight="1">
      <c r="A328" s="114" t="s">
        <v>405</v>
      </c>
      <c r="B328" s="114" t="s">
        <v>1008</v>
      </c>
      <c r="C328" s="114" t="s">
        <v>983</v>
      </c>
      <c r="D328" s="114"/>
      <c r="E328" s="114" t="s">
        <v>543</v>
      </c>
      <c r="F328" s="114" t="s">
        <v>689</v>
      </c>
      <c r="G328" s="114" t="s">
        <v>556</v>
      </c>
      <c r="H328" s="115">
        <v>3</v>
      </c>
      <c r="I328" s="114" t="s">
        <v>551</v>
      </c>
      <c r="J328" s="116">
        <f t="shared" si="70"/>
        <v>1.27</v>
      </c>
      <c r="K328" s="97" t="str">
        <f>IFERROR(IF(VLOOKUP(D328,'Ficha de Produção'!C:C,1,0)=D328,"OK","Custo Produção Não Cadastrado"),"Custo Produção Não Cadastrado")</f>
        <v>Custo Produção Não Cadastrado</v>
      </c>
      <c r="L328" s="97" t="str">
        <f>IFERROR(IF(VLOOKUP(A328,'Ficha de Embalagens'!A:A,1,0)=A328,"OK","Ficha de Embalagens Não Cadastrada"),"Ficha de Embalagens Não Cadastrada")</f>
        <v>Ficha de Embalagens Não Cadastrada</v>
      </c>
      <c r="M328" s="117">
        <f>SUMIFS('Ficha de Produção'!N:N,'Ficha de Produção'!C:C,D328)*H328</f>
        <v>0</v>
      </c>
      <c r="N328" s="117">
        <f>SUMIFS('Ficha de Embalagens'!F:F,'Ficha de Embalagens'!A:A,A328)</f>
        <v>0</v>
      </c>
      <c r="O328" s="97">
        <f t="shared" si="71"/>
        <v>0</v>
      </c>
      <c r="P328" s="97">
        <f t="shared" si="72"/>
        <v>0</v>
      </c>
      <c r="Q328" s="118">
        <f t="shared" si="73"/>
        <v>0</v>
      </c>
      <c r="R328" s="97">
        <f t="shared" si="74"/>
        <v>0</v>
      </c>
      <c r="S328" s="97">
        <f t="shared" si="75"/>
        <v>0</v>
      </c>
      <c r="T328" s="118">
        <f t="shared" si="76"/>
        <v>0</v>
      </c>
      <c r="U328" s="119"/>
      <c r="V328" s="120" t="str">
        <f t="shared" si="77"/>
        <v>Cadastrar Ficha de Produção</v>
      </c>
      <c r="W328" s="121" t="str">
        <f t="shared" si="78"/>
        <v>Cadastrar Ficha de Produção</v>
      </c>
      <c r="AB328" s="125" t="str">
        <f t="shared" si="79"/>
        <v/>
      </c>
      <c r="AC328" s="125" t="str">
        <f t="shared" si="80"/>
        <v/>
      </c>
      <c r="AD328" s="126" t="str">
        <f t="shared" si="81"/>
        <v/>
      </c>
      <c r="AE328" s="127" t="str">
        <f t="shared" si="82"/>
        <v/>
      </c>
      <c r="AF328" s="128" t="str">
        <f t="shared" si="83"/>
        <v/>
      </c>
    </row>
    <row r="329" spans="1:32" ht="15.75" customHeight="1">
      <c r="A329" s="114" t="s">
        <v>406</v>
      </c>
      <c r="B329" s="114" t="s">
        <v>1009</v>
      </c>
      <c r="C329" s="114" t="s">
        <v>983</v>
      </c>
      <c r="D329" s="114"/>
      <c r="E329" s="114" t="s">
        <v>543</v>
      </c>
      <c r="F329" s="114" t="s">
        <v>996</v>
      </c>
      <c r="G329" s="114" t="s">
        <v>556</v>
      </c>
      <c r="H329" s="115">
        <v>3</v>
      </c>
      <c r="I329" s="114" t="s">
        <v>551</v>
      </c>
      <c r="J329" s="116">
        <f t="shared" si="70"/>
        <v>1.27</v>
      </c>
      <c r="K329" s="97" t="str">
        <f>IFERROR(IF(VLOOKUP(D329,'Ficha de Produção'!C:C,1,0)=D329,"OK","Custo Produção Não Cadastrado"),"Custo Produção Não Cadastrado")</f>
        <v>Custo Produção Não Cadastrado</v>
      </c>
      <c r="L329" s="97" t="str">
        <f>IFERROR(IF(VLOOKUP(A329,'Ficha de Embalagens'!A:A,1,0)=A329,"OK","Ficha de Embalagens Não Cadastrada"),"Ficha de Embalagens Não Cadastrada")</f>
        <v>Ficha de Embalagens Não Cadastrada</v>
      </c>
      <c r="M329" s="117">
        <f>SUMIFS('Ficha de Produção'!N:N,'Ficha de Produção'!C:C,D329)*H329</f>
        <v>0</v>
      </c>
      <c r="N329" s="117">
        <f>SUMIFS('Ficha de Embalagens'!F:F,'Ficha de Embalagens'!A:A,A329)</f>
        <v>0</v>
      </c>
      <c r="O329" s="97">
        <f t="shared" si="71"/>
        <v>0</v>
      </c>
      <c r="P329" s="97">
        <f t="shared" si="72"/>
        <v>0</v>
      </c>
      <c r="Q329" s="118">
        <f t="shared" si="73"/>
        <v>0</v>
      </c>
      <c r="R329" s="97">
        <f t="shared" si="74"/>
        <v>0</v>
      </c>
      <c r="S329" s="97">
        <f t="shared" si="75"/>
        <v>0</v>
      </c>
      <c r="T329" s="118">
        <f t="shared" si="76"/>
        <v>0</v>
      </c>
      <c r="U329" s="119"/>
      <c r="V329" s="120" t="str">
        <f t="shared" si="77"/>
        <v>Cadastrar Ficha de Produção</v>
      </c>
      <c r="W329" s="121" t="str">
        <f t="shared" si="78"/>
        <v>Cadastrar Ficha de Produção</v>
      </c>
      <c r="AB329" s="125" t="str">
        <f t="shared" si="79"/>
        <v/>
      </c>
      <c r="AC329" s="125" t="str">
        <f t="shared" si="80"/>
        <v/>
      </c>
      <c r="AD329" s="126" t="str">
        <f t="shared" si="81"/>
        <v/>
      </c>
      <c r="AE329" s="127" t="str">
        <f t="shared" si="82"/>
        <v/>
      </c>
      <c r="AF329" s="128" t="str">
        <f t="shared" si="83"/>
        <v/>
      </c>
    </row>
    <row r="330" spans="1:32" ht="15.75" customHeight="1">
      <c r="A330" s="114" t="s">
        <v>407</v>
      </c>
      <c r="B330" s="114" t="s">
        <v>1010</v>
      </c>
      <c r="C330" s="114" t="s">
        <v>983</v>
      </c>
      <c r="D330" s="114"/>
      <c r="E330" s="114" t="s">
        <v>543</v>
      </c>
      <c r="F330" s="114" t="s">
        <v>581</v>
      </c>
      <c r="G330" s="114" t="s">
        <v>556</v>
      </c>
      <c r="H330" s="115">
        <v>3</v>
      </c>
      <c r="I330" s="114" t="s">
        <v>551</v>
      </c>
      <c r="J330" s="116">
        <f t="shared" si="70"/>
        <v>1.27</v>
      </c>
      <c r="K330" s="97" t="str">
        <f>IFERROR(IF(VLOOKUP(D330,'Ficha de Produção'!C:C,1,0)=D330,"OK","Custo Produção Não Cadastrado"),"Custo Produção Não Cadastrado")</f>
        <v>Custo Produção Não Cadastrado</v>
      </c>
      <c r="L330" s="97" t="str">
        <f>IFERROR(IF(VLOOKUP(A330,'Ficha de Embalagens'!A:A,1,0)=A330,"OK","Ficha de Embalagens Não Cadastrada"),"Ficha de Embalagens Não Cadastrada")</f>
        <v>Ficha de Embalagens Não Cadastrada</v>
      </c>
      <c r="M330" s="117">
        <f>SUMIFS('Ficha de Produção'!N:N,'Ficha de Produção'!C:C,D330)*H330</f>
        <v>0</v>
      </c>
      <c r="N330" s="117">
        <f>SUMIFS('Ficha de Embalagens'!F:F,'Ficha de Embalagens'!A:A,A330)</f>
        <v>0</v>
      </c>
      <c r="O330" s="97">
        <f t="shared" si="71"/>
        <v>0</v>
      </c>
      <c r="P330" s="97">
        <f t="shared" si="72"/>
        <v>0</v>
      </c>
      <c r="Q330" s="118">
        <f t="shared" si="73"/>
        <v>0</v>
      </c>
      <c r="R330" s="97">
        <f t="shared" si="74"/>
        <v>0</v>
      </c>
      <c r="S330" s="97">
        <f t="shared" si="75"/>
        <v>0</v>
      </c>
      <c r="T330" s="118">
        <f t="shared" si="76"/>
        <v>0</v>
      </c>
      <c r="U330" s="119"/>
      <c r="V330" s="120" t="str">
        <f t="shared" si="77"/>
        <v>Cadastrar Ficha de Produção</v>
      </c>
      <c r="W330" s="121" t="str">
        <f t="shared" si="78"/>
        <v>Cadastrar Ficha de Produção</v>
      </c>
      <c r="AB330" s="125" t="str">
        <f t="shared" si="79"/>
        <v/>
      </c>
      <c r="AC330" s="125" t="str">
        <f t="shared" si="80"/>
        <v/>
      </c>
      <c r="AD330" s="126" t="str">
        <f t="shared" si="81"/>
        <v/>
      </c>
      <c r="AE330" s="127" t="str">
        <f t="shared" si="82"/>
        <v/>
      </c>
      <c r="AF330" s="128" t="str">
        <f t="shared" si="83"/>
        <v/>
      </c>
    </row>
    <row r="331" spans="1:32" ht="15.75" customHeight="1">
      <c r="A331" s="114" t="s">
        <v>408</v>
      </c>
      <c r="B331" s="114" t="s">
        <v>1011</v>
      </c>
      <c r="C331" s="114" t="s">
        <v>983</v>
      </c>
      <c r="D331" s="114"/>
      <c r="E331" s="114" t="s">
        <v>543</v>
      </c>
      <c r="F331" s="114" t="s">
        <v>999</v>
      </c>
      <c r="G331" s="114" t="s">
        <v>556</v>
      </c>
      <c r="H331" s="115">
        <v>3</v>
      </c>
      <c r="I331" s="114" t="s">
        <v>551</v>
      </c>
      <c r="J331" s="116">
        <f t="shared" si="70"/>
        <v>1.27</v>
      </c>
      <c r="K331" s="97" t="str">
        <f>IFERROR(IF(VLOOKUP(D331,'Ficha de Produção'!C:C,1,0)=D331,"OK","Custo Produção Não Cadastrado"),"Custo Produção Não Cadastrado")</f>
        <v>Custo Produção Não Cadastrado</v>
      </c>
      <c r="L331" s="97" t="str">
        <f>IFERROR(IF(VLOOKUP(A331,'Ficha de Embalagens'!A:A,1,0)=A331,"OK","Ficha de Embalagens Não Cadastrada"),"Ficha de Embalagens Não Cadastrada")</f>
        <v>Ficha de Embalagens Não Cadastrada</v>
      </c>
      <c r="M331" s="117">
        <f>SUMIFS('Ficha de Produção'!N:N,'Ficha de Produção'!C:C,D331)*H331</f>
        <v>0</v>
      </c>
      <c r="N331" s="117">
        <f>SUMIFS('Ficha de Embalagens'!F:F,'Ficha de Embalagens'!A:A,A331)</f>
        <v>0</v>
      </c>
      <c r="O331" s="97">
        <f t="shared" si="71"/>
        <v>0</v>
      </c>
      <c r="P331" s="97">
        <f t="shared" si="72"/>
        <v>0</v>
      </c>
      <c r="Q331" s="118">
        <f t="shared" si="73"/>
        <v>0</v>
      </c>
      <c r="R331" s="97">
        <f t="shared" si="74"/>
        <v>0</v>
      </c>
      <c r="S331" s="97">
        <f t="shared" si="75"/>
        <v>0</v>
      </c>
      <c r="T331" s="118">
        <f t="shared" si="76"/>
        <v>0</v>
      </c>
      <c r="U331" s="119"/>
      <c r="V331" s="120" t="str">
        <f t="shared" si="77"/>
        <v>Cadastrar Ficha de Produção</v>
      </c>
      <c r="W331" s="121" t="str">
        <f t="shared" si="78"/>
        <v>Cadastrar Ficha de Produção</v>
      </c>
      <c r="AB331" s="125" t="str">
        <f t="shared" si="79"/>
        <v/>
      </c>
      <c r="AC331" s="125" t="str">
        <f t="shared" si="80"/>
        <v/>
      </c>
      <c r="AD331" s="126" t="str">
        <f t="shared" si="81"/>
        <v/>
      </c>
      <c r="AE331" s="127" t="str">
        <f t="shared" si="82"/>
        <v/>
      </c>
      <c r="AF331" s="128" t="str">
        <f t="shared" si="83"/>
        <v/>
      </c>
    </row>
    <row r="332" spans="1:32" ht="15.75" customHeight="1">
      <c r="A332" s="114" t="s">
        <v>409</v>
      </c>
      <c r="B332" s="114" t="s">
        <v>1012</v>
      </c>
      <c r="C332" s="114" t="s">
        <v>1013</v>
      </c>
      <c r="D332" s="114"/>
      <c r="E332" s="114" t="s">
        <v>565</v>
      </c>
      <c r="F332" s="114" t="s">
        <v>704</v>
      </c>
      <c r="G332" s="114" t="s">
        <v>556</v>
      </c>
      <c r="H332" s="115">
        <v>0.75</v>
      </c>
      <c r="I332" s="114" t="s">
        <v>551</v>
      </c>
      <c r="J332" s="116">
        <f t="shared" si="70"/>
        <v>1.27</v>
      </c>
      <c r="K332" s="97" t="str">
        <f>IFERROR(IF(VLOOKUP(D332,'Ficha de Produção'!C:C,1,0)=D332,"OK","Custo Produção Não Cadastrado"),"Custo Produção Não Cadastrado")</f>
        <v>Custo Produção Não Cadastrado</v>
      </c>
      <c r="L332" s="97" t="str">
        <f>IFERROR(IF(VLOOKUP(A332,'Ficha de Embalagens'!A:A,1,0)=A332,"OK","Ficha de Embalagens Não Cadastrada"),"Ficha de Embalagens Não Cadastrada")</f>
        <v>Ficha de Embalagens Não Cadastrada</v>
      </c>
      <c r="M332" s="117">
        <f>SUMIFS('Ficha de Produção'!N:N,'Ficha de Produção'!C:C,D332)*H332</f>
        <v>0</v>
      </c>
      <c r="N332" s="117">
        <f>SUMIFS('Ficha de Embalagens'!F:F,'Ficha de Embalagens'!A:A,A332)</f>
        <v>0</v>
      </c>
      <c r="O332" s="97">
        <f t="shared" si="71"/>
        <v>0</v>
      </c>
      <c r="P332" s="97">
        <f t="shared" si="72"/>
        <v>0</v>
      </c>
      <c r="Q332" s="118">
        <f t="shared" si="73"/>
        <v>0</v>
      </c>
      <c r="R332" s="97">
        <f t="shared" si="74"/>
        <v>0</v>
      </c>
      <c r="S332" s="97">
        <f t="shared" si="75"/>
        <v>0</v>
      </c>
      <c r="T332" s="118">
        <f t="shared" si="76"/>
        <v>0</v>
      </c>
      <c r="U332" s="119"/>
      <c r="V332" s="120" t="str">
        <f t="shared" si="77"/>
        <v>Cadastrar Ficha de Produção</v>
      </c>
      <c r="W332" s="121" t="str">
        <f t="shared" si="78"/>
        <v>Cadastrar Ficha de Produção</v>
      </c>
      <c r="AB332" s="125" t="str">
        <f t="shared" si="79"/>
        <v/>
      </c>
      <c r="AC332" s="125" t="str">
        <f t="shared" si="80"/>
        <v/>
      </c>
      <c r="AD332" s="126" t="str">
        <f t="shared" si="81"/>
        <v/>
      </c>
      <c r="AE332" s="127" t="str">
        <f t="shared" si="82"/>
        <v/>
      </c>
      <c r="AF332" s="128" t="str">
        <f t="shared" si="83"/>
        <v/>
      </c>
    </row>
    <row r="333" spans="1:32" ht="15.75" customHeight="1">
      <c r="A333" s="114" t="s">
        <v>410</v>
      </c>
      <c r="B333" s="114" t="s">
        <v>1014</v>
      </c>
      <c r="C333" s="114" t="s">
        <v>1013</v>
      </c>
      <c r="D333" s="114"/>
      <c r="E333" s="114" t="s">
        <v>565</v>
      </c>
      <c r="F333" s="114" t="s">
        <v>569</v>
      </c>
      <c r="G333" s="114" t="s">
        <v>556</v>
      </c>
      <c r="H333" s="115">
        <v>0.75</v>
      </c>
      <c r="I333" s="114" t="s">
        <v>551</v>
      </c>
      <c r="J333" s="116">
        <f t="shared" si="70"/>
        <v>1.27</v>
      </c>
      <c r="K333" s="97" t="str">
        <f>IFERROR(IF(VLOOKUP(D333,'Ficha de Produção'!C:C,1,0)=D333,"OK","Custo Produção Não Cadastrado"),"Custo Produção Não Cadastrado")</f>
        <v>Custo Produção Não Cadastrado</v>
      </c>
      <c r="L333" s="97" t="str">
        <f>IFERROR(IF(VLOOKUP(A333,'Ficha de Embalagens'!A:A,1,0)=A333,"OK","Ficha de Embalagens Não Cadastrada"),"Ficha de Embalagens Não Cadastrada")</f>
        <v>Ficha de Embalagens Não Cadastrada</v>
      </c>
      <c r="M333" s="117">
        <f>SUMIFS('Ficha de Produção'!N:N,'Ficha de Produção'!C:C,D333)*H333</f>
        <v>0</v>
      </c>
      <c r="N333" s="117">
        <f>SUMIFS('Ficha de Embalagens'!F:F,'Ficha de Embalagens'!A:A,A333)</f>
        <v>0</v>
      </c>
      <c r="O333" s="97">
        <f t="shared" si="71"/>
        <v>0</v>
      </c>
      <c r="P333" s="97">
        <f t="shared" si="72"/>
        <v>0</v>
      </c>
      <c r="Q333" s="118">
        <f t="shared" si="73"/>
        <v>0</v>
      </c>
      <c r="R333" s="97">
        <f t="shared" si="74"/>
        <v>0</v>
      </c>
      <c r="S333" s="97">
        <f t="shared" si="75"/>
        <v>0</v>
      </c>
      <c r="T333" s="118">
        <f t="shared" si="76"/>
        <v>0</v>
      </c>
      <c r="U333" s="119"/>
      <c r="V333" s="120" t="str">
        <f t="shared" si="77"/>
        <v>Cadastrar Ficha de Produção</v>
      </c>
      <c r="W333" s="121" t="str">
        <f t="shared" si="78"/>
        <v>Cadastrar Ficha de Produção</v>
      </c>
      <c r="AB333" s="125" t="str">
        <f t="shared" si="79"/>
        <v/>
      </c>
      <c r="AC333" s="125" t="str">
        <f t="shared" si="80"/>
        <v/>
      </c>
      <c r="AD333" s="126" t="str">
        <f t="shared" si="81"/>
        <v/>
      </c>
      <c r="AE333" s="127" t="str">
        <f t="shared" si="82"/>
        <v/>
      </c>
      <c r="AF333" s="128" t="str">
        <f t="shared" si="83"/>
        <v/>
      </c>
    </row>
    <row r="334" spans="1:32" ht="15.75" customHeight="1">
      <c r="A334" s="114" t="s">
        <v>411</v>
      </c>
      <c r="B334" s="114" t="s">
        <v>1015</v>
      </c>
      <c r="C334" s="114" t="s">
        <v>1013</v>
      </c>
      <c r="D334" s="114"/>
      <c r="E334" s="114" t="s">
        <v>565</v>
      </c>
      <c r="F334" s="114" t="s">
        <v>986</v>
      </c>
      <c r="G334" s="114" t="s">
        <v>556</v>
      </c>
      <c r="H334" s="115">
        <v>0.75</v>
      </c>
      <c r="I334" s="114" t="s">
        <v>551</v>
      </c>
      <c r="J334" s="116">
        <f t="shared" si="70"/>
        <v>1.27</v>
      </c>
      <c r="K334" s="97" t="str">
        <f>IFERROR(IF(VLOOKUP(D334,'Ficha de Produção'!C:C,1,0)=D334,"OK","Custo Produção Não Cadastrado"),"Custo Produção Não Cadastrado")</f>
        <v>Custo Produção Não Cadastrado</v>
      </c>
      <c r="L334" s="97" t="str">
        <f>IFERROR(IF(VLOOKUP(A334,'Ficha de Embalagens'!A:A,1,0)=A334,"OK","Ficha de Embalagens Não Cadastrada"),"Ficha de Embalagens Não Cadastrada")</f>
        <v>Ficha de Embalagens Não Cadastrada</v>
      </c>
      <c r="M334" s="117">
        <f>SUMIFS('Ficha de Produção'!N:N,'Ficha de Produção'!C:C,D334)*H334</f>
        <v>0</v>
      </c>
      <c r="N334" s="117">
        <f>SUMIFS('Ficha de Embalagens'!F:F,'Ficha de Embalagens'!A:A,A334)</f>
        <v>0</v>
      </c>
      <c r="O334" s="97">
        <f t="shared" si="71"/>
        <v>0</v>
      </c>
      <c r="P334" s="97">
        <f t="shared" si="72"/>
        <v>0</v>
      </c>
      <c r="Q334" s="118">
        <f t="shared" si="73"/>
        <v>0</v>
      </c>
      <c r="R334" s="97">
        <f t="shared" si="74"/>
        <v>0</v>
      </c>
      <c r="S334" s="97">
        <f t="shared" si="75"/>
        <v>0</v>
      </c>
      <c r="T334" s="118">
        <f t="shared" si="76"/>
        <v>0</v>
      </c>
      <c r="U334" s="119"/>
      <c r="V334" s="120" t="str">
        <f t="shared" si="77"/>
        <v>Cadastrar Ficha de Produção</v>
      </c>
      <c r="W334" s="121" t="str">
        <f t="shared" si="78"/>
        <v>Cadastrar Ficha de Produção</v>
      </c>
      <c r="AB334" s="125" t="str">
        <f t="shared" si="79"/>
        <v/>
      </c>
      <c r="AC334" s="125" t="str">
        <f t="shared" si="80"/>
        <v/>
      </c>
      <c r="AD334" s="126" t="str">
        <f t="shared" si="81"/>
        <v/>
      </c>
      <c r="AE334" s="127" t="str">
        <f t="shared" si="82"/>
        <v/>
      </c>
      <c r="AF334" s="128" t="str">
        <f t="shared" si="83"/>
        <v/>
      </c>
    </row>
    <row r="335" spans="1:32" ht="15.75" customHeight="1">
      <c r="A335" s="114" t="s">
        <v>412</v>
      </c>
      <c r="B335" s="114" t="s">
        <v>1016</v>
      </c>
      <c r="C335" s="114" t="s">
        <v>1013</v>
      </c>
      <c r="D335" s="114"/>
      <c r="E335" s="114" t="s">
        <v>565</v>
      </c>
      <c r="F335" s="114" t="s">
        <v>988</v>
      </c>
      <c r="G335" s="114" t="s">
        <v>556</v>
      </c>
      <c r="H335" s="115">
        <v>0.75</v>
      </c>
      <c r="I335" s="114" t="s">
        <v>551</v>
      </c>
      <c r="J335" s="116">
        <f t="shared" si="70"/>
        <v>1.27</v>
      </c>
      <c r="K335" s="97" t="str">
        <f>IFERROR(IF(VLOOKUP(D335,'Ficha de Produção'!C:C,1,0)=D335,"OK","Custo Produção Não Cadastrado"),"Custo Produção Não Cadastrado")</f>
        <v>Custo Produção Não Cadastrado</v>
      </c>
      <c r="L335" s="97" t="str">
        <f>IFERROR(IF(VLOOKUP(A335,'Ficha de Embalagens'!A:A,1,0)=A335,"OK","Ficha de Embalagens Não Cadastrada"),"Ficha de Embalagens Não Cadastrada")</f>
        <v>Ficha de Embalagens Não Cadastrada</v>
      </c>
      <c r="M335" s="117">
        <f>SUMIFS('Ficha de Produção'!N:N,'Ficha de Produção'!C:C,D335)*H335</f>
        <v>0</v>
      </c>
      <c r="N335" s="117">
        <f>SUMIFS('Ficha de Embalagens'!F:F,'Ficha de Embalagens'!A:A,A335)</f>
        <v>0</v>
      </c>
      <c r="O335" s="97">
        <f t="shared" si="71"/>
        <v>0</v>
      </c>
      <c r="P335" s="97">
        <f t="shared" si="72"/>
        <v>0</v>
      </c>
      <c r="Q335" s="118">
        <f t="shared" si="73"/>
        <v>0</v>
      </c>
      <c r="R335" s="97">
        <f t="shared" si="74"/>
        <v>0</v>
      </c>
      <c r="S335" s="97">
        <f t="shared" si="75"/>
        <v>0</v>
      </c>
      <c r="T335" s="118">
        <f t="shared" si="76"/>
        <v>0</v>
      </c>
      <c r="U335" s="119"/>
      <c r="V335" s="120" t="str">
        <f t="shared" si="77"/>
        <v>Cadastrar Ficha de Produção</v>
      </c>
      <c r="W335" s="121" t="str">
        <f t="shared" si="78"/>
        <v>Cadastrar Ficha de Produção</v>
      </c>
      <c r="AB335" s="125" t="str">
        <f t="shared" si="79"/>
        <v/>
      </c>
      <c r="AC335" s="125" t="str">
        <f t="shared" si="80"/>
        <v/>
      </c>
      <c r="AD335" s="126" t="str">
        <f t="shared" si="81"/>
        <v/>
      </c>
      <c r="AE335" s="127" t="str">
        <f t="shared" si="82"/>
        <v/>
      </c>
      <c r="AF335" s="128" t="str">
        <f t="shared" si="83"/>
        <v/>
      </c>
    </row>
    <row r="336" spans="1:32" ht="15.75" customHeight="1">
      <c r="A336" s="114" t="s">
        <v>413</v>
      </c>
      <c r="B336" s="114" t="s">
        <v>1017</v>
      </c>
      <c r="C336" s="114" t="s">
        <v>1013</v>
      </c>
      <c r="D336" s="114"/>
      <c r="E336" s="114" t="s">
        <v>565</v>
      </c>
      <c r="F336" s="114" t="s">
        <v>907</v>
      </c>
      <c r="G336" s="114" t="s">
        <v>556</v>
      </c>
      <c r="H336" s="115">
        <v>0.75</v>
      </c>
      <c r="I336" s="114" t="s">
        <v>551</v>
      </c>
      <c r="J336" s="116">
        <f t="shared" si="70"/>
        <v>1.27</v>
      </c>
      <c r="K336" s="97" t="str">
        <f>IFERROR(IF(VLOOKUP(D336,'Ficha de Produção'!C:C,1,0)=D336,"OK","Custo Produção Não Cadastrado"),"Custo Produção Não Cadastrado")</f>
        <v>Custo Produção Não Cadastrado</v>
      </c>
      <c r="L336" s="97" t="str">
        <f>IFERROR(IF(VLOOKUP(A336,'Ficha de Embalagens'!A:A,1,0)=A336,"OK","Ficha de Embalagens Não Cadastrada"),"Ficha de Embalagens Não Cadastrada")</f>
        <v>Ficha de Embalagens Não Cadastrada</v>
      </c>
      <c r="M336" s="117">
        <f>SUMIFS('Ficha de Produção'!N:N,'Ficha de Produção'!C:C,D336)*H336</f>
        <v>0</v>
      </c>
      <c r="N336" s="117">
        <f>SUMIFS('Ficha de Embalagens'!F:F,'Ficha de Embalagens'!A:A,A336)</f>
        <v>0</v>
      </c>
      <c r="O336" s="97">
        <f t="shared" si="71"/>
        <v>0</v>
      </c>
      <c r="P336" s="97">
        <f t="shared" si="72"/>
        <v>0</v>
      </c>
      <c r="Q336" s="118">
        <f t="shared" si="73"/>
        <v>0</v>
      </c>
      <c r="R336" s="97">
        <f t="shared" si="74"/>
        <v>0</v>
      </c>
      <c r="S336" s="97">
        <f t="shared" si="75"/>
        <v>0</v>
      </c>
      <c r="T336" s="118">
        <f t="shared" si="76"/>
        <v>0</v>
      </c>
      <c r="U336" s="119"/>
      <c r="V336" s="120" t="str">
        <f t="shared" si="77"/>
        <v>Cadastrar Ficha de Produção</v>
      </c>
      <c r="W336" s="121" t="str">
        <f t="shared" si="78"/>
        <v>Cadastrar Ficha de Produção</v>
      </c>
      <c r="AB336" s="125" t="str">
        <f t="shared" si="79"/>
        <v/>
      </c>
      <c r="AC336" s="125" t="str">
        <f t="shared" si="80"/>
        <v/>
      </c>
      <c r="AD336" s="126" t="str">
        <f t="shared" si="81"/>
        <v/>
      </c>
      <c r="AE336" s="127" t="str">
        <f t="shared" si="82"/>
        <v/>
      </c>
      <c r="AF336" s="128" t="str">
        <f t="shared" si="83"/>
        <v/>
      </c>
    </row>
    <row r="337" spans="1:32" ht="15.75" customHeight="1">
      <c r="A337" s="114" t="s">
        <v>414</v>
      </c>
      <c r="B337" s="114" t="s">
        <v>1018</v>
      </c>
      <c r="C337" s="114" t="s">
        <v>1013</v>
      </c>
      <c r="D337" s="114"/>
      <c r="E337" s="114" t="s">
        <v>565</v>
      </c>
      <c r="F337" s="114" t="s">
        <v>991</v>
      </c>
      <c r="G337" s="114" t="s">
        <v>556</v>
      </c>
      <c r="H337" s="115">
        <v>0.75</v>
      </c>
      <c r="I337" s="114" t="s">
        <v>551</v>
      </c>
      <c r="J337" s="116">
        <f t="shared" si="70"/>
        <v>1.27</v>
      </c>
      <c r="K337" s="97" t="str">
        <f>IFERROR(IF(VLOOKUP(D337,'Ficha de Produção'!C:C,1,0)=D337,"OK","Custo Produção Não Cadastrado"),"Custo Produção Não Cadastrado")</f>
        <v>Custo Produção Não Cadastrado</v>
      </c>
      <c r="L337" s="97" t="str">
        <f>IFERROR(IF(VLOOKUP(A337,'Ficha de Embalagens'!A:A,1,0)=A337,"OK","Ficha de Embalagens Não Cadastrada"),"Ficha de Embalagens Não Cadastrada")</f>
        <v>Ficha de Embalagens Não Cadastrada</v>
      </c>
      <c r="M337" s="117">
        <f>SUMIFS('Ficha de Produção'!N:N,'Ficha de Produção'!C:C,D337)*H337</f>
        <v>0</v>
      </c>
      <c r="N337" s="117">
        <f>SUMIFS('Ficha de Embalagens'!F:F,'Ficha de Embalagens'!A:A,A337)</f>
        <v>0</v>
      </c>
      <c r="O337" s="97">
        <f t="shared" si="71"/>
        <v>0</v>
      </c>
      <c r="P337" s="97">
        <f t="shared" si="72"/>
        <v>0</v>
      </c>
      <c r="Q337" s="118">
        <f t="shared" si="73"/>
        <v>0</v>
      </c>
      <c r="R337" s="97">
        <f t="shared" si="74"/>
        <v>0</v>
      </c>
      <c r="S337" s="97">
        <f t="shared" si="75"/>
        <v>0</v>
      </c>
      <c r="T337" s="118">
        <f t="shared" si="76"/>
        <v>0</v>
      </c>
      <c r="U337" s="119"/>
      <c r="V337" s="120" t="str">
        <f t="shared" si="77"/>
        <v>Cadastrar Ficha de Produção</v>
      </c>
      <c r="W337" s="121" t="str">
        <f t="shared" si="78"/>
        <v>Cadastrar Ficha de Produção</v>
      </c>
      <c r="AB337" s="125" t="str">
        <f t="shared" si="79"/>
        <v/>
      </c>
      <c r="AC337" s="125" t="str">
        <f t="shared" si="80"/>
        <v/>
      </c>
      <c r="AD337" s="126" t="str">
        <f t="shared" si="81"/>
        <v/>
      </c>
      <c r="AE337" s="127" t="str">
        <f t="shared" si="82"/>
        <v/>
      </c>
      <c r="AF337" s="128" t="str">
        <f t="shared" si="83"/>
        <v/>
      </c>
    </row>
    <row r="338" spans="1:32" ht="15.75" customHeight="1">
      <c r="A338" s="114" t="s">
        <v>415</v>
      </c>
      <c r="B338" s="114" t="s">
        <v>1019</v>
      </c>
      <c r="C338" s="114" t="s">
        <v>1013</v>
      </c>
      <c r="D338" s="114"/>
      <c r="E338" s="114" t="s">
        <v>565</v>
      </c>
      <c r="F338" s="114" t="s">
        <v>675</v>
      </c>
      <c r="G338" s="114" t="s">
        <v>556</v>
      </c>
      <c r="H338" s="115">
        <v>0.75</v>
      </c>
      <c r="I338" s="114" t="s">
        <v>551</v>
      </c>
      <c r="J338" s="116">
        <f t="shared" si="70"/>
        <v>1.27</v>
      </c>
      <c r="K338" s="97" t="str">
        <f>IFERROR(IF(VLOOKUP(D338,'Ficha de Produção'!C:C,1,0)=D338,"OK","Custo Produção Não Cadastrado"),"Custo Produção Não Cadastrado")</f>
        <v>Custo Produção Não Cadastrado</v>
      </c>
      <c r="L338" s="97" t="str">
        <f>IFERROR(IF(VLOOKUP(A338,'Ficha de Embalagens'!A:A,1,0)=A338,"OK","Ficha de Embalagens Não Cadastrada"),"Ficha de Embalagens Não Cadastrada")</f>
        <v>Ficha de Embalagens Não Cadastrada</v>
      </c>
      <c r="M338" s="117">
        <f>SUMIFS('Ficha de Produção'!N:N,'Ficha de Produção'!C:C,D338)*H338</f>
        <v>0</v>
      </c>
      <c r="N338" s="117">
        <f>SUMIFS('Ficha de Embalagens'!F:F,'Ficha de Embalagens'!A:A,A338)</f>
        <v>0</v>
      </c>
      <c r="O338" s="97">
        <f t="shared" si="71"/>
        <v>0</v>
      </c>
      <c r="P338" s="97">
        <f t="shared" si="72"/>
        <v>0</v>
      </c>
      <c r="Q338" s="118">
        <f t="shared" si="73"/>
        <v>0</v>
      </c>
      <c r="R338" s="97">
        <f t="shared" si="74"/>
        <v>0</v>
      </c>
      <c r="S338" s="97">
        <f t="shared" si="75"/>
        <v>0</v>
      </c>
      <c r="T338" s="118">
        <f t="shared" si="76"/>
        <v>0</v>
      </c>
      <c r="U338" s="119"/>
      <c r="V338" s="120" t="str">
        <f t="shared" si="77"/>
        <v>Cadastrar Ficha de Produção</v>
      </c>
      <c r="W338" s="121" t="str">
        <f t="shared" si="78"/>
        <v>Cadastrar Ficha de Produção</v>
      </c>
      <c r="AB338" s="125" t="str">
        <f t="shared" si="79"/>
        <v/>
      </c>
      <c r="AC338" s="125" t="str">
        <f t="shared" si="80"/>
        <v/>
      </c>
      <c r="AD338" s="126" t="str">
        <f t="shared" si="81"/>
        <v/>
      </c>
      <c r="AE338" s="127" t="str">
        <f t="shared" si="82"/>
        <v/>
      </c>
      <c r="AF338" s="128" t="str">
        <f t="shared" si="83"/>
        <v/>
      </c>
    </row>
    <row r="339" spans="1:32" ht="15.75" customHeight="1">
      <c r="A339" s="114" t="s">
        <v>416</v>
      </c>
      <c r="B339" s="114" t="s">
        <v>1020</v>
      </c>
      <c r="C339" s="114" t="s">
        <v>1013</v>
      </c>
      <c r="D339" s="114"/>
      <c r="E339" s="114" t="s">
        <v>565</v>
      </c>
      <c r="F339" s="114" t="s">
        <v>584</v>
      </c>
      <c r="G339" s="114" t="s">
        <v>556</v>
      </c>
      <c r="H339" s="115">
        <v>0.75</v>
      </c>
      <c r="I339" s="114" t="s">
        <v>551</v>
      </c>
      <c r="J339" s="116">
        <f t="shared" si="70"/>
        <v>1.27</v>
      </c>
      <c r="K339" s="97" t="str">
        <f>IFERROR(IF(VLOOKUP(D339,'Ficha de Produção'!C:C,1,0)=D339,"OK","Custo Produção Não Cadastrado"),"Custo Produção Não Cadastrado")</f>
        <v>Custo Produção Não Cadastrado</v>
      </c>
      <c r="L339" s="97" t="str">
        <f>IFERROR(IF(VLOOKUP(A339,'Ficha de Embalagens'!A:A,1,0)=A339,"OK","Ficha de Embalagens Não Cadastrada"),"Ficha de Embalagens Não Cadastrada")</f>
        <v>Ficha de Embalagens Não Cadastrada</v>
      </c>
      <c r="M339" s="117">
        <f>SUMIFS('Ficha de Produção'!N:N,'Ficha de Produção'!C:C,D339)*H339</f>
        <v>0</v>
      </c>
      <c r="N339" s="117">
        <f>SUMIFS('Ficha de Embalagens'!F:F,'Ficha de Embalagens'!A:A,A339)</f>
        <v>0</v>
      </c>
      <c r="O339" s="97">
        <f t="shared" si="71"/>
        <v>0</v>
      </c>
      <c r="P339" s="97">
        <f t="shared" si="72"/>
        <v>0</v>
      </c>
      <c r="Q339" s="118">
        <f t="shared" si="73"/>
        <v>0</v>
      </c>
      <c r="R339" s="97">
        <f t="shared" si="74"/>
        <v>0</v>
      </c>
      <c r="S339" s="97">
        <f t="shared" si="75"/>
        <v>0</v>
      </c>
      <c r="T339" s="118">
        <f t="shared" si="76"/>
        <v>0</v>
      </c>
      <c r="U339" s="119"/>
      <c r="V339" s="120" t="str">
        <f t="shared" si="77"/>
        <v>Cadastrar Ficha de Produção</v>
      </c>
      <c r="W339" s="121" t="str">
        <f t="shared" si="78"/>
        <v>Cadastrar Ficha de Produção</v>
      </c>
      <c r="AB339" s="125" t="str">
        <f t="shared" si="79"/>
        <v/>
      </c>
      <c r="AC339" s="125" t="str">
        <f t="shared" si="80"/>
        <v/>
      </c>
      <c r="AD339" s="126" t="str">
        <f t="shared" si="81"/>
        <v/>
      </c>
      <c r="AE339" s="127" t="str">
        <f t="shared" si="82"/>
        <v/>
      </c>
      <c r="AF339" s="128" t="str">
        <f t="shared" si="83"/>
        <v/>
      </c>
    </row>
    <row r="340" spans="1:32" ht="15.75" customHeight="1">
      <c r="A340" s="114" t="s">
        <v>417</v>
      </c>
      <c r="B340" s="114" t="s">
        <v>1021</v>
      </c>
      <c r="C340" s="114" t="s">
        <v>1013</v>
      </c>
      <c r="D340" s="114"/>
      <c r="E340" s="114" t="s">
        <v>565</v>
      </c>
      <c r="F340" s="114" t="s">
        <v>689</v>
      </c>
      <c r="G340" s="114" t="s">
        <v>556</v>
      </c>
      <c r="H340" s="115">
        <v>0.75</v>
      </c>
      <c r="I340" s="114" t="s">
        <v>551</v>
      </c>
      <c r="J340" s="116">
        <f t="shared" si="70"/>
        <v>1.27</v>
      </c>
      <c r="K340" s="97" t="str">
        <f>IFERROR(IF(VLOOKUP(D340,'Ficha de Produção'!C:C,1,0)=D340,"OK","Custo Produção Não Cadastrado"),"Custo Produção Não Cadastrado")</f>
        <v>Custo Produção Não Cadastrado</v>
      </c>
      <c r="L340" s="97" t="str">
        <f>IFERROR(IF(VLOOKUP(A340,'Ficha de Embalagens'!A:A,1,0)=A340,"OK","Ficha de Embalagens Não Cadastrada"),"Ficha de Embalagens Não Cadastrada")</f>
        <v>Ficha de Embalagens Não Cadastrada</v>
      </c>
      <c r="M340" s="117">
        <f>SUMIFS('Ficha de Produção'!N:N,'Ficha de Produção'!C:C,D340)*H340</f>
        <v>0</v>
      </c>
      <c r="N340" s="117">
        <f>SUMIFS('Ficha de Embalagens'!F:F,'Ficha de Embalagens'!A:A,A340)</f>
        <v>0</v>
      </c>
      <c r="O340" s="97">
        <f t="shared" si="71"/>
        <v>0</v>
      </c>
      <c r="P340" s="97">
        <f t="shared" si="72"/>
        <v>0</v>
      </c>
      <c r="Q340" s="118">
        <f t="shared" si="73"/>
        <v>0</v>
      </c>
      <c r="R340" s="97">
        <f t="shared" si="74"/>
        <v>0</v>
      </c>
      <c r="S340" s="97">
        <f t="shared" si="75"/>
        <v>0</v>
      </c>
      <c r="T340" s="118">
        <f t="shared" si="76"/>
        <v>0</v>
      </c>
      <c r="U340" s="119"/>
      <c r="V340" s="120" t="str">
        <f t="shared" si="77"/>
        <v>Cadastrar Ficha de Produção</v>
      </c>
      <c r="W340" s="121" t="str">
        <f t="shared" si="78"/>
        <v>Cadastrar Ficha de Produção</v>
      </c>
      <c r="AB340" s="125" t="str">
        <f t="shared" si="79"/>
        <v/>
      </c>
      <c r="AC340" s="125" t="str">
        <f t="shared" si="80"/>
        <v/>
      </c>
      <c r="AD340" s="126" t="str">
        <f t="shared" si="81"/>
        <v/>
      </c>
      <c r="AE340" s="127" t="str">
        <f t="shared" si="82"/>
        <v/>
      </c>
      <c r="AF340" s="128" t="str">
        <f t="shared" si="83"/>
        <v/>
      </c>
    </row>
    <row r="341" spans="1:32" ht="15.75" customHeight="1">
      <c r="A341" s="114" t="s">
        <v>418</v>
      </c>
      <c r="B341" s="114" t="s">
        <v>1022</v>
      </c>
      <c r="C341" s="114" t="s">
        <v>1013</v>
      </c>
      <c r="D341" s="114"/>
      <c r="E341" s="114" t="s">
        <v>565</v>
      </c>
      <c r="F341" s="114" t="s">
        <v>996</v>
      </c>
      <c r="G341" s="114" t="s">
        <v>556</v>
      </c>
      <c r="H341" s="115">
        <v>0.75</v>
      </c>
      <c r="I341" s="114" t="s">
        <v>551</v>
      </c>
      <c r="J341" s="116">
        <f t="shared" si="70"/>
        <v>1.27</v>
      </c>
      <c r="K341" s="97" t="str">
        <f>IFERROR(IF(VLOOKUP(D341,'Ficha de Produção'!C:C,1,0)=D341,"OK","Custo Produção Não Cadastrado"),"Custo Produção Não Cadastrado")</f>
        <v>Custo Produção Não Cadastrado</v>
      </c>
      <c r="L341" s="97" t="str">
        <f>IFERROR(IF(VLOOKUP(A341,'Ficha de Embalagens'!A:A,1,0)=A341,"OK","Ficha de Embalagens Não Cadastrada"),"Ficha de Embalagens Não Cadastrada")</f>
        <v>Ficha de Embalagens Não Cadastrada</v>
      </c>
      <c r="M341" s="117">
        <f>SUMIFS('Ficha de Produção'!N:N,'Ficha de Produção'!C:C,D341)*H341</f>
        <v>0</v>
      </c>
      <c r="N341" s="117">
        <f>SUMIFS('Ficha de Embalagens'!F:F,'Ficha de Embalagens'!A:A,A341)</f>
        <v>0</v>
      </c>
      <c r="O341" s="97">
        <f t="shared" si="71"/>
        <v>0</v>
      </c>
      <c r="P341" s="97">
        <f t="shared" si="72"/>
        <v>0</v>
      </c>
      <c r="Q341" s="118">
        <f t="shared" si="73"/>
        <v>0</v>
      </c>
      <c r="R341" s="97">
        <f t="shared" si="74"/>
        <v>0</v>
      </c>
      <c r="S341" s="97">
        <f t="shared" si="75"/>
        <v>0</v>
      </c>
      <c r="T341" s="118">
        <f t="shared" si="76"/>
        <v>0</v>
      </c>
      <c r="U341" s="119"/>
      <c r="V341" s="120" t="str">
        <f t="shared" si="77"/>
        <v>Cadastrar Ficha de Produção</v>
      </c>
      <c r="W341" s="121" t="str">
        <f t="shared" si="78"/>
        <v>Cadastrar Ficha de Produção</v>
      </c>
      <c r="AB341" s="125" t="str">
        <f t="shared" si="79"/>
        <v/>
      </c>
      <c r="AC341" s="125" t="str">
        <f t="shared" si="80"/>
        <v/>
      </c>
      <c r="AD341" s="126" t="str">
        <f t="shared" si="81"/>
        <v/>
      </c>
      <c r="AE341" s="127" t="str">
        <f t="shared" si="82"/>
        <v/>
      </c>
      <c r="AF341" s="128" t="str">
        <f t="shared" si="83"/>
        <v/>
      </c>
    </row>
    <row r="342" spans="1:32" ht="15.75" customHeight="1">
      <c r="A342" s="114" t="s">
        <v>419</v>
      </c>
      <c r="B342" s="114" t="s">
        <v>1023</v>
      </c>
      <c r="C342" s="114" t="s">
        <v>1013</v>
      </c>
      <c r="D342" s="114"/>
      <c r="E342" s="114" t="s">
        <v>565</v>
      </c>
      <c r="F342" s="114" t="s">
        <v>581</v>
      </c>
      <c r="G342" s="114" t="s">
        <v>556</v>
      </c>
      <c r="H342" s="115">
        <v>0.75</v>
      </c>
      <c r="I342" s="114" t="s">
        <v>551</v>
      </c>
      <c r="J342" s="116">
        <f t="shared" si="70"/>
        <v>1.27</v>
      </c>
      <c r="K342" s="97" t="str">
        <f>IFERROR(IF(VLOOKUP(D342,'Ficha de Produção'!C:C,1,0)=D342,"OK","Custo Produção Não Cadastrado"),"Custo Produção Não Cadastrado")</f>
        <v>Custo Produção Não Cadastrado</v>
      </c>
      <c r="L342" s="97" t="str">
        <f>IFERROR(IF(VLOOKUP(A342,'Ficha de Embalagens'!A:A,1,0)=A342,"OK","Ficha de Embalagens Não Cadastrada"),"Ficha de Embalagens Não Cadastrada")</f>
        <v>Ficha de Embalagens Não Cadastrada</v>
      </c>
      <c r="M342" s="117">
        <f>SUMIFS('Ficha de Produção'!N:N,'Ficha de Produção'!C:C,D342)*H342</f>
        <v>0</v>
      </c>
      <c r="N342" s="117">
        <f>SUMIFS('Ficha de Embalagens'!F:F,'Ficha de Embalagens'!A:A,A342)</f>
        <v>0</v>
      </c>
      <c r="O342" s="97">
        <f t="shared" si="71"/>
        <v>0</v>
      </c>
      <c r="P342" s="97">
        <f t="shared" si="72"/>
        <v>0</v>
      </c>
      <c r="Q342" s="118">
        <f t="shared" si="73"/>
        <v>0</v>
      </c>
      <c r="R342" s="97">
        <f t="shared" si="74"/>
        <v>0</v>
      </c>
      <c r="S342" s="97">
        <f t="shared" si="75"/>
        <v>0</v>
      </c>
      <c r="T342" s="118">
        <f t="shared" si="76"/>
        <v>0</v>
      </c>
      <c r="U342" s="119"/>
      <c r="V342" s="120" t="str">
        <f t="shared" si="77"/>
        <v>Cadastrar Ficha de Produção</v>
      </c>
      <c r="W342" s="121" t="str">
        <f t="shared" si="78"/>
        <v>Cadastrar Ficha de Produção</v>
      </c>
      <c r="AB342" s="125" t="str">
        <f t="shared" si="79"/>
        <v/>
      </c>
      <c r="AC342" s="125" t="str">
        <f t="shared" si="80"/>
        <v/>
      </c>
      <c r="AD342" s="126" t="str">
        <f t="shared" si="81"/>
        <v/>
      </c>
      <c r="AE342" s="127" t="str">
        <f t="shared" si="82"/>
        <v/>
      </c>
      <c r="AF342" s="128" t="str">
        <f t="shared" si="83"/>
        <v/>
      </c>
    </row>
    <row r="343" spans="1:32" ht="15.75" customHeight="1">
      <c r="A343" s="114" t="s">
        <v>420</v>
      </c>
      <c r="B343" s="114" t="s">
        <v>1024</v>
      </c>
      <c r="C343" s="114" t="s">
        <v>1013</v>
      </c>
      <c r="D343" s="114"/>
      <c r="E343" s="114" t="s">
        <v>565</v>
      </c>
      <c r="F343" s="114" t="s">
        <v>999</v>
      </c>
      <c r="G343" s="114" t="s">
        <v>556</v>
      </c>
      <c r="H343" s="115">
        <v>0.75</v>
      </c>
      <c r="I343" s="114" t="s">
        <v>551</v>
      </c>
      <c r="J343" s="116">
        <f t="shared" si="70"/>
        <v>1.27</v>
      </c>
      <c r="K343" s="97" t="str">
        <f>IFERROR(IF(VLOOKUP(D343,'Ficha de Produção'!C:C,1,0)=D343,"OK","Custo Produção Não Cadastrado"),"Custo Produção Não Cadastrado")</f>
        <v>Custo Produção Não Cadastrado</v>
      </c>
      <c r="L343" s="97" t="str">
        <f>IFERROR(IF(VLOOKUP(A343,'Ficha de Embalagens'!A:A,1,0)=A343,"OK","Ficha de Embalagens Não Cadastrada"),"Ficha de Embalagens Não Cadastrada")</f>
        <v>Ficha de Embalagens Não Cadastrada</v>
      </c>
      <c r="M343" s="117">
        <f>SUMIFS('Ficha de Produção'!N:N,'Ficha de Produção'!C:C,D343)*H343</f>
        <v>0</v>
      </c>
      <c r="N343" s="117">
        <f>SUMIFS('Ficha de Embalagens'!F:F,'Ficha de Embalagens'!A:A,A343)</f>
        <v>0</v>
      </c>
      <c r="O343" s="97">
        <f t="shared" si="71"/>
        <v>0</v>
      </c>
      <c r="P343" s="97">
        <f t="shared" si="72"/>
        <v>0</v>
      </c>
      <c r="Q343" s="118">
        <f t="shared" si="73"/>
        <v>0</v>
      </c>
      <c r="R343" s="97">
        <f t="shared" si="74"/>
        <v>0</v>
      </c>
      <c r="S343" s="97">
        <f t="shared" si="75"/>
        <v>0</v>
      </c>
      <c r="T343" s="118">
        <f t="shared" si="76"/>
        <v>0</v>
      </c>
      <c r="U343" s="119"/>
      <c r="V343" s="120" t="str">
        <f t="shared" si="77"/>
        <v>Cadastrar Ficha de Produção</v>
      </c>
      <c r="W343" s="121" t="str">
        <f t="shared" si="78"/>
        <v>Cadastrar Ficha de Produção</v>
      </c>
      <c r="AB343" s="125" t="str">
        <f t="shared" si="79"/>
        <v/>
      </c>
      <c r="AC343" s="125" t="str">
        <f t="shared" si="80"/>
        <v/>
      </c>
      <c r="AD343" s="126" t="str">
        <f t="shared" si="81"/>
        <v/>
      </c>
      <c r="AE343" s="127" t="str">
        <f t="shared" si="82"/>
        <v/>
      </c>
      <c r="AF343" s="128" t="str">
        <f t="shared" si="83"/>
        <v/>
      </c>
    </row>
    <row r="344" spans="1:32" ht="15.75" customHeight="1">
      <c r="A344" s="114" t="s">
        <v>421</v>
      </c>
      <c r="B344" s="114" t="s">
        <v>1025</v>
      </c>
      <c r="C344" s="114" t="s">
        <v>1013</v>
      </c>
      <c r="D344" s="114" t="s">
        <v>1026</v>
      </c>
      <c r="E344" s="114" t="s">
        <v>610</v>
      </c>
      <c r="F344" s="114" t="s">
        <v>704</v>
      </c>
      <c r="G344" s="114" t="s">
        <v>544</v>
      </c>
      <c r="H344" s="115">
        <v>0.75</v>
      </c>
      <c r="I344" s="114" t="s">
        <v>551</v>
      </c>
      <c r="J344" s="116">
        <f t="shared" si="70"/>
        <v>1.27</v>
      </c>
      <c r="K344" s="97" t="str">
        <f>IFERROR(IF(VLOOKUP(D344,'Ficha de Produção'!C:C,1,0)=D344,"OK","Custo Produção Não Cadastrado"),"Custo Produção Não Cadastrado")</f>
        <v>OK</v>
      </c>
      <c r="L344" s="97" t="str">
        <f>IFERROR(IF(VLOOKUP(A344,'Ficha de Embalagens'!A:A,1,0)=A344,"OK","Ficha de Embalagens Não Cadastrada"),"Ficha de Embalagens Não Cadastrada")</f>
        <v>OK</v>
      </c>
      <c r="M344" s="117">
        <f>SUMIFS('Ficha de Produção'!N:N,'Ficha de Produção'!C:C,D344)*H344</f>
        <v>9.24</v>
      </c>
      <c r="N344" s="117">
        <f>SUMIFS('Ficha de Embalagens'!F:F,'Ficha de Embalagens'!A:A,A344)</f>
        <v>4.43</v>
      </c>
      <c r="O344" s="97">
        <f t="shared" si="71"/>
        <v>13.67</v>
      </c>
      <c r="P344" s="97">
        <f t="shared" si="72"/>
        <v>0.23249999999999998</v>
      </c>
      <c r="Q344" s="118">
        <f t="shared" si="73"/>
        <v>13.9025</v>
      </c>
      <c r="R344" s="97">
        <f t="shared" si="74"/>
        <v>1.2250000000000001</v>
      </c>
      <c r="S344" s="97">
        <f t="shared" si="75"/>
        <v>1.7150000000000001</v>
      </c>
      <c r="T344" s="118">
        <f t="shared" si="76"/>
        <v>16.842500000000001</v>
      </c>
      <c r="U344" s="119">
        <v>24.5</v>
      </c>
      <c r="V344" s="120">
        <f t="shared" si="77"/>
        <v>0.31255102040816324</v>
      </c>
      <c r="W344" s="121">
        <f t="shared" si="78"/>
        <v>15.799999999999999</v>
      </c>
      <c r="AB344" s="125">
        <f t="shared" si="79"/>
        <v>13.9025</v>
      </c>
      <c r="AC344" s="125">
        <f t="shared" si="80"/>
        <v>21.56</v>
      </c>
      <c r="AD344" s="126">
        <f t="shared" si="81"/>
        <v>7.6574999999999989</v>
      </c>
      <c r="AE344" s="127">
        <f t="shared" si="82"/>
        <v>0.3551716141001855</v>
      </c>
      <c r="AF344" s="128">
        <f t="shared" si="83"/>
        <v>15.799999999999999</v>
      </c>
    </row>
    <row r="345" spans="1:32" ht="15.75" customHeight="1">
      <c r="A345" s="114" t="s">
        <v>422</v>
      </c>
      <c r="B345" s="114" t="s">
        <v>1027</v>
      </c>
      <c r="C345" s="114" t="s">
        <v>1013</v>
      </c>
      <c r="D345" s="114" t="s">
        <v>1028</v>
      </c>
      <c r="E345" s="114" t="s">
        <v>610</v>
      </c>
      <c r="F345" s="114" t="s">
        <v>569</v>
      </c>
      <c r="G345" s="114" t="s">
        <v>556</v>
      </c>
      <c r="H345" s="115">
        <v>0.75</v>
      </c>
      <c r="I345" s="114" t="s">
        <v>551</v>
      </c>
      <c r="J345" s="116">
        <f t="shared" si="70"/>
        <v>1.27</v>
      </c>
      <c r="K345" s="97" t="str">
        <f>IFERROR(IF(VLOOKUP(D345,'Ficha de Produção'!C:C,1,0)=D345,"OK","Custo Produção Não Cadastrado"),"Custo Produção Não Cadastrado")</f>
        <v>Custo Produção Não Cadastrado</v>
      </c>
      <c r="L345" s="97" t="str">
        <f>IFERROR(IF(VLOOKUP(A345,'Ficha de Embalagens'!A:A,1,0)=A345,"OK","Ficha de Embalagens Não Cadastrada"),"Ficha de Embalagens Não Cadastrada")</f>
        <v>Ficha de Embalagens Não Cadastrada</v>
      </c>
      <c r="M345" s="117">
        <f>SUMIFS('Ficha de Produção'!N:N,'Ficha de Produção'!C:C,D345)*H345</f>
        <v>0</v>
      </c>
      <c r="N345" s="117">
        <f>SUMIFS('Ficha de Embalagens'!F:F,'Ficha de Embalagens'!A:A,A345)</f>
        <v>0</v>
      </c>
      <c r="O345" s="97">
        <f t="shared" si="71"/>
        <v>0</v>
      </c>
      <c r="P345" s="97">
        <f t="shared" si="72"/>
        <v>0</v>
      </c>
      <c r="Q345" s="118">
        <f t="shared" si="73"/>
        <v>0</v>
      </c>
      <c r="R345" s="97">
        <f t="shared" si="74"/>
        <v>0</v>
      </c>
      <c r="S345" s="97">
        <f t="shared" si="75"/>
        <v>0</v>
      </c>
      <c r="T345" s="118">
        <f t="shared" si="76"/>
        <v>0</v>
      </c>
      <c r="U345" s="119"/>
      <c r="V345" s="120" t="str">
        <f t="shared" si="77"/>
        <v>Cadastrar Ficha de Produção</v>
      </c>
      <c r="W345" s="121" t="str">
        <f t="shared" si="78"/>
        <v>Cadastrar Ficha de Produção</v>
      </c>
      <c r="AB345" s="125" t="str">
        <f t="shared" si="79"/>
        <v/>
      </c>
      <c r="AC345" s="125" t="str">
        <f t="shared" si="80"/>
        <v/>
      </c>
      <c r="AD345" s="126" t="str">
        <f t="shared" si="81"/>
        <v/>
      </c>
      <c r="AE345" s="127" t="str">
        <f t="shared" si="82"/>
        <v/>
      </c>
      <c r="AF345" s="128" t="str">
        <f t="shared" si="83"/>
        <v/>
      </c>
    </row>
    <row r="346" spans="1:32" ht="15.75" customHeight="1">
      <c r="A346" s="114" t="s">
        <v>423</v>
      </c>
      <c r="B346" s="114" t="s">
        <v>1029</v>
      </c>
      <c r="C346" s="114" t="s">
        <v>1013</v>
      </c>
      <c r="D346" s="114" t="s">
        <v>1030</v>
      </c>
      <c r="E346" s="114" t="s">
        <v>610</v>
      </c>
      <c r="F346" s="114" t="s">
        <v>986</v>
      </c>
      <c r="G346" s="114" t="s">
        <v>544</v>
      </c>
      <c r="H346" s="115">
        <v>0.75</v>
      </c>
      <c r="I346" s="114" t="s">
        <v>551</v>
      </c>
      <c r="J346" s="116">
        <f t="shared" si="70"/>
        <v>1.27</v>
      </c>
      <c r="K346" s="97" t="str">
        <f>IFERROR(IF(VLOOKUP(D346,'Ficha de Produção'!C:C,1,0)=D346,"OK","Custo Produção Não Cadastrado"),"Custo Produção Não Cadastrado")</f>
        <v>OK</v>
      </c>
      <c r="L346" s="97" t="str">
        <f>IFERROR(IF(VLOOKUP(A346,'Ficha de Embalagens'!A:A,1,0)=A346,"OK","Ficha de Embalagens Não Cadastrada"),"Ficha de Embalagens Não Cadastrada")</f>
        <v>OK</v>
      </c>
      <c r="M346" s="117">
        <f>SUMIFS('Ficha de Produção'!N:N,'Ficha de Produção'!C:C,D346)*H346</f>
        <v>8.9999999999999982</v>
      </c>
      <c r="N346" s="117">
        <f>SUMIFS('Ficha de Embalagens'!F:F,'Ficha de Embalagens'!A:A,A346)</f>
        <v>4.43</v>
      </c>
      <c r="O346" s="97">
        <f t="shared" si="71"/>
        <v>13.429999999999998</v>
      </c>
      <c r="P346" s="97">
        <f t="shared" si="72"/>
        <v>0.23249999999999998</v>
      </c>
      <c r="Q346" s="118">
        <f t="shared" si="73"/>
        <v>13.662499999999998</v>
      </c>
      <c r="R346" s="97">
        <f t="shared" si="74"/>
        <v>1.2250000000000001</v>
      </c>
      <c r="S346" s="97">
        <f t="shared" si="75"/>
        <v>1.7150000000000001</v>
      </c>
      <c r="T346" s="118">
        <f t="shared" si="76"/>
        <v>16.602499999999999</v>
      </c>
      <c r="U346" s="119">
        <v>24.5</v>
      </c>
      <c r="V346" s="120">
        <f t="shared" si="77"/>
        <v>0.32234693877551024</v>
      </c>
      <c r="W346" s="121">
        <f t="shared" si="78"/>
        <v>15.53</v>
      </c>
      <c r="AB346" s="125">
        <f t="shared" si="79"/>
        <v>13.662499999999998</v>
      </c>
      <c r="AC346" s="125">
        <f t="shared" si="80"/>
        <v>21.56</v>
      </c>
      <c r="AD346" s="126">
        <f t="shared" si="81"/>
        <v>7.8975000000000009</v>
      </c>
      <c r="AE346" s="127">
        <f t="shared" si="82"/>
        <v>0.36630333951762528</v>
      </c>
      <c r="AF346" s="128">
        <f t="shared" si="83"/>
        <v>15.53</v>
      </c>
    </row>
    <row r="347" spans="1:32" ht="15.75" customHeight="1">
      <c r="A347" s="114" t="s">
        <v>424</v>
      </c>
      <c r="B347" s="114" t="s">
        <v>1031</v>
      </c>
      <c r="C347" s="114" t="s">
        <v>1013</v>
      </c>
      <c r="D347" s="114" t="s">
        <v>1032</v>
      </c>
      <c r="E347" s="114" t="s">
        <v>610</v>
      </c>
      <c r="F347" s="114" t="s">
        <v>988</v>
      </c>
      <c r="G347" s="114" t="s">
        <v>544</v>
      </c>
      <c r="H347" s="115">
        <v>0.75</v>
      </c>
      <c r="I347" s="114" t="s">
        <v>551</v>
      </c>
      <c r="J347" s="116">
        <f t="shared" si="70"/>
        <v>1.27</v>
      </c>
      <c r="K347" s="97" t="str">
        <f>IFERROR(IF(VLOOKUP(D347,'Ficha de Produção'!C:C,1,0)=D347,"OK","Custo Produção Não Cadastrado"),"Custo Produção Não Cadastrado")</f>
        <v>OK</v>
      </c>
      <c r="L347" s="97" t="str">
        <f>IFERROR(IF(VLOOKUP(A347,'Ficha de Embalagens'!A:A,1,0)=A347,"OK","Ficha de Embalagens Não Cadastrada"),"Ficha de Embalagens Não Cadastrada")</f>
        <v>OK</v>
      </c>
      <c r="M347" s="117">
        <f>SUMIFS('Ficha de Produção'!N:N,'Ficha de Produção'!C:C,D347)*H347</f>
        <v>7.8149999999999995</v>
      </c>
      <c r="N347" s="117">
        <f>SUMIFS('Ficha de Embalagens'!F:F,'Ficha de Embalagens'!A:A,A347)</f>
        <v>4.43</v>
      </c>
      <c r="O347" s="97">
        <f t="shared" si="71"/>
        <v>12.244999999999999</v>
      </c>
      <c r="P347" s="97">
        <f t="shared" si="72"/>
        <v>0.23249999999999998</v>
      </c>
      <c r="Q347" s="118">
        <f t="shared" si="73"/>
        <v>12.477499999999999</v>
      </c>
      <c r="R347" s="97">
        <f t="shared" si="74"/>
        <v>1.2250000000000001</v>
      </c>
      <c r="S347" s="97">
        <f t="shared" si="75"/>
        <v>1.7150000000000001</v>
      </c>
      <c r="T347" s="118">
        <f t="shared" si="76"/>
        <v>15.417499999999999</v>
      </c>
      <c r="U347" s="119">
        <v>24.5</v>
      </c>
      <c r="V347" s="120">
        <f t="shared" si="77"/>
        <v>0.37071428571428577</v>
      </c>
      <c r="W347" s="121">
        <f t="shared" si="78"/>
        <v>14.18</v>
      </c>
      <c r="AB347" s="125">
        <f t="shared" si="79"/>
        <v>12.477499999999999</v>
      </c>
      <c r="AC347" s="125">
        <f t="shared" si="80"/>
        <v>21.56</v>
      </c>
      <c r="AD347" s="126">
        <f t="shared" si="81"/>
        <v>9.0824999999999996</v>
      </c>
      <c r="AE347" s="127">
        <f t="shared" si="82"/>
        <v>0.42126623376623379</v>
      </c>
      <c r="AF347" s="128">
        <f t="shared" si="83"/>
        <v>14.18</v>
      </c>
    </row>
    <row r="348" spans="1:32" ht="15.75" customHeight="1">
      <c r="A348" s="114" t="s">
        <v>425</v>
      </c>
      <c r="B348" s="114" t="s">
        <v>1033</v>
      </c>
      <c r="C348" s="114" t="s">
        <v>1013</v>
      </c>
      <c r="D348" s="114" t="s">
        <v>1034</v>
      </c>
      <c r="E348" s="114" t="s">
        <v>610</v>
      </c>
      <c r="F348" s="114" t="s">
        <v>907</v>
      </c>
      <c r="G348" s="114" t="s">
        <v>544</v>
      </c>
      <c r="H348" s="115">
        <v>0.75</v>
      </c>
      <c r="I348" s="114" t="s">
        <v>551</v>
      </c>
      <c r="J348" s="116">
        <f t="shared" si="70"/>
        <v>1.27</v>
      </c>
      <c r="K348" s="97" t="str">
        <f>IFERROR(IF(VLOOKUP(D348,'Ficha de Produção'!C:C,1,0)=D348,"OK","Custo Produção Não Cadastrado"),"Custo Produção Não Cadastrado")</f>
        <v>OK</v>
      </c>
      <c r="L348" s="97" t="str">
        <f>IFERROR(IF(VLOOKUP(A348,'Ficha de Embalagens'!A:A,1,0)=A348,"OK","Ficha de Embalagens Não Cadastrada"),"Ficha de Embalagens Não Cadastrada")</f>
        <v>OK</v>
      </c>
      <c r="M348" s="117">
        <f>SUMIFS('Ficha de Produção'!N:N,'Ficha de Produção'!C:C,D348)*H348</f>
        <v>7.4625000000000021</v>
      </c>
      <c r="N348" s="117">
        <f>SUMIFS('Ficha de Embalagens'!F:F,'Ficha de Embalagens'!A:A,A348)</f>
        <v>4.43</v>
      </c>
      <c r="O348" s="97">
        <f t="shared" si="71"/>
        <v>11.892500000000002</v>
      </c>
      <c r="P348" s="97">
        <f t="shared" si="72"/>
        <v>0.23249999999999998</v>
      </c>
      <c r="Q348" s="118">
        <f t="shared" si="73"/>
        <v>12.125000000000002</v>
      </c>
      <c r="R348" s="97">
        <f t="shared" si="74"/>
        <v>1.2250000000000001</v>
      </c>
      <c r="S348" s="97">
        <f t="shared" si="75"/>
        <v>1.7150000000000001</v>
      </c>
      <c r="T348" s="118">
        <f t="shared" si="76"/>
        <v>15.065000000000001</v>
      </c>
      <c r="U348" s="119">
        <v>24.5</v>
      </c>
      <c r="V348" s="120">
        <f t="shared" si="77"/>
        <v>0.38510204081632649</v>
      </c>
      <c r="W348" s="121">
        <f t="shared" si="78"/>
        <v>13.78</v>
      </c>
      <c r="AB348" s="125">
        <f t="shared" si="79"/>
        <v>12.125000000000002</v>
      </c>
      <c r="AC348" s="125">
        <f t="shared" si="80"/>
        <v>21.56</v>
      </c>
      <c r="AD348" s="126">
        <f t="shared" si="81"/>
        <v>9.4349999999999969</v>
      </c>
      <c r="AE348" s="127">
        <f t="shared" si="82"/>
        <v>0.43761595547309823</v>
      </c>
      <c r="AF348" s="128">
        <f t="shared" si="83"/>
        <v>13.78</v>
      </c>
    </row>
    <row r="349" spans="1:32" ht="15.75" customHeight="1">
      <c r="A349" s="114" t="s">
        <v>426</v>
      </c>
      <c r="B349" s="114" t="s">
        <v>1035</v>
      </c>
      <c r="C349" s="114" t="s">
        <v>1013</v>
      </c>
      <c r="D349" s="114" t="s">
        <v>1036</v>
      </c>
      <c r="E349" s="114" t="s">
        <v>610</v>
      </c>
      <c r="F349" s="114" t="s">
        <v>991</v>
      </c>
      <c r="G349" s="114" t="s">
        <v>544</v>
      </c>
      <c r="H349" s="115">
        <v>0.75</v>
      </c>
      <c r="I349" s="114" t="s">
        <v>551</v>
      </c>
      <c r="J349" s="116">
        <f t="shared" si="70"/>
        <v>1.27</v>
      </c>
      <c r="K349" s="97" t="str">
        <f>IFERROR(IF(VLOOKUP(D349,'Ficha de Produção'!C:C,1,0)=D349,"OK","Custo Produção Não Cadastrado"),"Custo Produção Não Cadastrado")</f>
        <v>OK</v>
      </c>
      <c r="L349" s="97" t="str">
        <f>IFERROR(IF(VLOOKUP(A349,'Ficha de Embalagens'!A:A,1,0)=A349,"OK","Ficha de Embalagens Não Cadastrada"),"Ficha de Embalagens Não Cadastrada")</f>
        <v>OK</v>
      </c>
      <c r="M349" s="117">
        <f>SUMIFS('Ficha de Produção'!N:N,'Ficha de Produção'!C:C,D349)*H349</f>
        <v>7.7174999999999976</v>
      </c>
      <c r="N349" s="117">
        <f>SUMIFS('Ficha de Embalagens'!F:F,'Ficha de Embalagens'!A:A,A349)</f>
        <v>4.43</v>
      </c>
      <c r="O349" s="97">
        <f t="shared" si="71"/>
        <v>12.147499999999997</v>
      </c>
      <c r="P349" s="97">
        <f t="shared" si="72"/>
        <v>0.23249999999999998</v>
      </c>
      <c r="Q349" s="118">
        <f t="shared" si="73"/>
        <v>12.379999999999997</v>
      </c>
      <c r="R349" s="97">
        <f t="shared" si="74"/>
        <v>1.2250000000000001</v>
      </c>
      <c r="S349" s="97">
        <f t="shared" si="75"/>
        <v>1.7150000000000001</v>
      </c>
      <c r="T349" s="118">
        <f t="shared" si="76"/>
        <v>15.319999999999997</v>
      </c>
      <c r="U349" s="119">
        <v>24.5</v>
      </c>
      <c r="V349" s="120">
        <f t="shared" si="77"/>
        <v>0.37469387755102052</v>
      </c>
      <c r="W349" s="121">
        <f t="shared" si="78"/>
        <v>14.07</v>
      </c>
      <c r="AB349" s="125">
        <f t="shared" si="79"/>
        <v>12.379999999999997</v>
      </c>
      <c r="AC349" s="125">
        <f t="shared" si="80"/>
        <v>21.56</v>
      </c>
      <c r="AD349" s="126">
        <f t="shared" si="81"/>
        <v>9.1800000000000015</v>
      </c>
      <c r="AE349" s="127">
        <f t="shared" si="82"/>
        <v>0.42578849721706874</v>
      </c>
      <c r="AF349" s="128">
        <f t="shared" si="83"/>
        <v>14.07</v>
      </c>
    </row>
    <row r="350" spans="1:32" ht="15.75" customHeight="1">
      <c r="A350" s="114" t="s">
        <v>427</v>
      </c>
      <c r="B350" s="114" t="s">
        <v>1037</v>
      </c>
      <c r="C350" s="114" t="s">
        <v>1013</v>
      </c>
      <c r="D350" s="114" t="s">
        <v>1038</v>
      </c>
      <c r="E350" s="114" t="s">
        <v>610</v>
      </c>
      <c r="F350" s="114" t="s">
        <v>675</v>
      </c>
      <c r="G350" s="114" t="s">
        <v>556</v>
      </c>
      <c r="H350" s="115">
        <v>0.75</v>
      </c>
      <c r="I350" s="114" t="s">
        <v>551</v>
      </c>
      <c r="J350" s="116">
        <f t="shared" si="70"/>
        <v>1.27</v>
      </c>
      <c r="K350" s="97" t="str">
        <f>IFERROR(IF(VLOOKUP(D350,'Ficha de Produção'!C:C,1,0)=D350,"OK","Custo Produção Não Cadastrado"),"Custo Produção Não Cadastrado")</f>
        <v>Custo Produção Não Cadastrado</v>
      </c>
      <c r="L350" s="97" t="str">
        <f>IFERROR(IF(VLOOKUP(A350,'Ficha de Embalagens'!A:A,1,0)=A350,"OK","Ficha de Embalagens Não Cadastrada"),"Ficha de Embalagens Não Cadastrada")</f>
        <v>Ficha de Embalagens Não Cadastrada</v>
      </c>
      <c r="M350" s="117">
        <f>SUMIFS('Ficha de Produção'!N:N,'Ficha de Produção'!C:C,D350)*H350</f>
        <v>0</v>
      </c>
      <c r="N350" s="117">
        <f>SUMIFS('Ficha de Embalagens'!F:F,'Ficha de Embalagens'!A:A,A350)</f>
        <v>0</v>
      </c>
      <c r="O350" s="97">
        <f t="shared" si="71"/>
        <v>0</v>
      </c>
      <c r="P350" s="97">
        <f t="shared" si="72"/>
        <v>0</v>
      </c>
      <c r="Q350" s="118">
        <f t="shared" si="73"/>
        <v>0</v>
      </c>
      <c r="R350" s="97">
        <f t="shared" si="74"/>
        <v>0</v>
      </c>
      <c r="S350" s="97">
        <f t="shared" si="75"/>
        <v>0</v>
      </c>
      <c r="T350" s="118">
        <f t="shared" si="76"/>
        <v>0</v>
      </c>
      <c r="U350" s="119"/>
      <c r="V350" s="120" t="str">
        <f t="shared" si="77"/>
        <v>Cadastrar Ficha de Produção</v>
      </c>
      <c r="W350" s="121" t="str">
        <f t="shared" si="78"/>
        <v>Cadastrar Ficha de Produção</v>
      </c>
      <c r="AB350" s="125" t="str">
        <f t="shared" si="79"/>
        <v/>
      </c>
      <c r="AC350" s="125" t="str">
        <f t="shared" si="80"/>
        <v/>
      </c>
      <c r="AD350" s="126" t="str">
        <f t="shared" si="81"/>
        <v/>
      </c>
      <c r="AE350" s="127" t="str">
        <f t="shared" si="82"/>
        <v/>
      </c>
      <c r="AF350" s="128" t="str">
        <f t="shared" si="83"/>
        <v/>
      </c>
    </row>
    <row r="351" spans="1:32" ht="15.75" customHeight="1">
      <c r="A351" s="114" t="s">
        <v>428</v>
      </c>
      <c r="B351" s="114" t="s">
        <v>1039</v>
      </c>
      <c r="C351" s="114" t="s">
        <v>1013</v>
      </c>
      <c r="D351" s="114" t="s">
        <v>1040</v>
      </c>
      <c r="E351" s="114" t="s">
        <v>610</v>
      </c>
      <c r="F351" s="114" t="s">
        <v>584</v>
      </c>
      <c r="G351" s="114" t="s">
        <v>556</v>
      </c>
      <c r="H351" s="115">
        <v>0.75</v>
      </c>
      <c r="I351" s="114" t="s">
        <v>551</v>
      </c>
      <c r="J351" s="116">
        <f t="shared" si="70"/>
        <v>1.27</v>
      </c>
      <c r="K351" s="97" t="str">
        <f>IFERROR(IF(VLOOKUP(D351,'Ficha de Produção'!C:C,1,0)=D351,"OK","Custo Produção Não Cadastrado"),"Custo Produção Não Cadastrado")</f>
        <v>Custo Produção Não Cadastrado</v>
      </c>
      <c r="L351" s="97" t="str">
        <f>IFERROR(IF(VLOOKUP(A351,'Ficha de Embalagens'!A:A,1,0)=A351,"OK","Ficha de Embalagens Não Cadastrada"),"Ficha de Embalagens Não Cadastrada")</f>
        <v>Ficha de Embalagens Não Cadastrada</v>
      </c>
      <c r="M351" s="117">
        <f>SUMIFS('Ficha de Produção'!N:N,'Ficha de Produção'!C:C,D351)*H351</f>
        <v>0</v>
      </c>
      <c r="N351" s="117">
        <f>SUMIFS('Ficha de Embalagens'!F:F,'Ficha de Embalagens'!A:A,A351)</f>
        <v>0</v>
      </c>
      <c r="O351" s="97">
        <f t="shared" si="71"/>
        <v>0</v>
      </c>
      <c r="P351" s="97">
        <f t="shared" si="72"/>
        <v>0</v>
      </c>
      <c r="Q351" s="118">
        <f t="shared" si="73"/>
        <v>0</v>
      </c>
      <c r="R351" s="97">
        <f t="shared" si="74"/>
        <v>0</v>
      </c>
      <c r="S351" s="97">
        <f t="shared" si="75"/>
        <v>0</v>
      </c>
      <c r="T351" s="118">
        <f t="shared" si="76"/>
        <v>0</v>
      </c>
      <c r="U351" s="119"/>
      <c r="V351" s="120" t="str">
        <f t="shared" si="77"/>
        <v>Cadastrar Ficha de Produção</v>
      </c>
      <c r="W351" s="121" t="str">
        <f t="shared" si="78"/>
        <v>Cadastrar Ficha de Produção</v>
      </c>
      <c r="AB351" s="125" t="str">
        <f t="shared" si="79"/>
        <v/>
      </c>
      <c r="AC351" s="125" t="str">
        <f t="shared" si="80"/>
        <v/>
      </c>
      <c r="AD351" s="126" t="str">
        <f t="shared" si="81"/>
        <v/>
      </c>
      <c r="AE351" s="127" t="str">
        <f t="shared" si="82"/>
        <v/>
      </c>
      <c r="AF351" s="128" t="str">
        <f t="shared" si="83"/>
        <v/>
      </c>
    </row>
    <row r="352" spans="1:32" ht="15.75" customHeight="1">
      <c r="A352" s="114" t="s">
        <v>429</v>
      </c>
      <c r="B352" s="114" t="s">
        <v>1041</v>
      </c>
      <c r="C352" s="114" t="s">
        <v>1013</v>
      </c>
      <c r="D352" s="114" t="s">
        <v>1042</v>
      </c>
      <c r="E352" s="114" t="s">
        <v>610</v>
      </c>
      <c r="F352" s="114" t="s">
        <v>689</v>
      </c>
      <c r="G352" s="114" t="s">
        <v>556</v>
      </c>
      <c r="H352" s="115">
        <v>0.75</v>
      </c>
      <c r="I352" s="114" t="s">
        <v>551</v>
      </c>
      <c r="J352" s="116">
        <f t="shared" si="70"/>
        <v>1.27</v>
      </c>
      <c r="K352" s="97" t="str">
        <f>IFERROR(IF(VLOOKUP(D352,'Ficha de Produção'!C:C,1,0)=D352,"OK","Custo Produção Não Cadastrado"),"Custo Produção Não Cadastrado")</f>
        <v>Custo Produção Não Cadastrado</v>
      </c>
      <c r="L352" s="97" t="str">
        <f>IFERROR(IF(VLOOKUP(A352,'Ficha de Embalagens'!A:A,1,0)=A352,"OK","Ficha de Embalagens Não Cadastrada"),"Ficha de Embalagens Não Cadastrada")</f>
        <v>Ficha de Embalagens Não Cadastrada</v>
      </c>
      <c r="M352" s="117">
        <f>SUMIFS('Ficha de Produção'!N:N,'Ficha de Produção'!C:C,D352)*H352</f>
        <v>0</v>
      </c>
      <c r="N352" s="117">
        <f>SUMIFS('Ficha de Embalagens'!F:F,'Ficha de Embalagens'!A:A,A352)</f>
        <v>0</v>
      </c>
      <c r="O352" s="97">
        <f t="shared" si="71"/>
        <v>0</v>
      </c>
      <c r="P352" s="97">
        <f t="shared" si="72"/>
        <v>0</v>
      </c>
      <c r="Q352" s="118">
        <f t="shared" si="73"/>
        <v>0</v>
      </c>
      <c r="R352" s="97">
        <f t="shared" si="74"/>
        <v>0</v>
      </c>
      <c r="S352" s="97">
        <f t="shared" si="75"/>
        <v>0</v>
      </c>
      <c r="T352" s="118">
        <f t="shared" si="76"/>
        <v>0</v>
      </c>
      <c r="U352" s="119"/>
      <c r="V352" s="120" t="str">
        <f t="shared" si="77"/>
        <v>Cadastrar Ficha de Produção</v>
      </c>
      <c r="W352" s="121" t="str">
        <f t="shared" si="78"/>
        <v>Cadastrar Ficha de Produção</v>
      </c>
      <c r="AB352" s="125" t="str">
        <f t="shared" si="79"/>
        <v/>
      </c>
      <c r="AC352" s="125" t="str">
        <f t="shared" si="80"/>
        <v/>
      </c>
      <c r="AD352" s="126" t="str">
        <f t="shared" si="81"/>
        <v/>
      </c>
      <c r="AE352" s="127" t="str">
        <f t="shared" si="82"/>
        <v/>
      </c>
      <c r="AF352" s="128" t="str">
        <f t="shared" si="83"/>
        <v/>
      </c>
    </row>
    <row r="353" spans="1:32" ht="15.75" customHeight="1">
      <c r="A353" s="114" t="s">
        <v>430</v>
      </c>
      <c r="B353" s="114" t="s">
        <v>1043</v>
      </c>
      <c r="C353" s="114" t="s">
        <v>1013</v>
      </c>
      <c r="D353" s="114" t="s">
        <v>1044</v>
      </c>
      <c r="E353" s="114" t="s">
        <v>610</v>
      </c>
      <c r="F353" s="114" t="s">
        <v>996</v>
      </c>
      <c r="G353" s="114" t="s">
        <v>556</v>
      </c>
      <c r="H353" s="115">
        <v>0.75</v>
      </c>
      <c r="I353" s="114" t="s">
        <v>551</v>
      </c>
      <c r="J353" s="116">
        <f t="shared" si="70"/>
        <v>1.27</v>
      </c>
      <c r="K353" s="97" t="str">
        <f>IFERROR(IF(VLOOKUP(D353,'Ficha de Produção'!C:C,1,0)=D353,"OK","Custo Produção Não Cadastrado"),"Custo Produção Não Cadastrado")</f>
        <v>Custo Produção Não Cadastrado</v>
      </c>
      <c r="L353" s="97" t="str">
        <f>IFERROR(IF(VLOOKUP(A353,'Ficha de Embalagens'!A:A,1,0)=A353,"OK","Ficha de Embalagens Não Cadastrada"),"Ficha de Embalagens Não Cadastrada")</f>
        <v>Ficha de Embalagens Não Cadastrada</v>
      </c>
      <c r="M353" s="117">
        <f>SUMIFS('Ficha de Produção'!N:N,'Ficha de Produção'!C:C,D353)*H353</f>
        <v>0</v>
      </c>
      <c r="N353" s="117">
        <f>SUMIFS('Ficha de Embalagens'!F:F,'Ficha de Embalagens'!A:A,A353)</f>
        <v>0</v>
      </c>
      <c r="O353" s="97">
        <f t="shared" si="71"/>
        <v>0</v>
      </c>
      <c r="P353" s="97">
        <f t="shared" si="72"/>
        <v>0</v>
      </c>
      <c r="Q353" s="118">
        <f t="shared" si="73"/>
        <v>0</v>
      </c>
      <c r="R353" s="97">
        <f t="shared" si="74"/>
        <v>0</v>
      </c>
      <c r="S353" s="97">
        <f t="shared" si="75"/>
        <v>0</v>
      </c>
      <c r="T353" s="118">
        <f t="shared" si="76"/>
        <v>0</v>
      </c>
      <c r="U353" s="119"/>
      <c r="V353" s="120" t="str">
        <f t="shared" si="77"/>
        <v>Cadastrar Ficha de Produção</v>
      </c>
      <c r="W353" s="121" t="str">
        <f t="shared" si="78"/>
        <v>Cadastrar Ficha de Produção</v>
      </c>
      <c r="AB353" s="125" t="str">
        <f t="shared" si="79"/>
        <v/>
      </c>
      <c r="AC353" s="125" t="str">
        <f t="shared" si="80"/>
        <v/>
      </c>
      <c r="AD353" s="126" t="str">
        <f t="shared" si="81"/>
        <v/>
      </c>
      <c r="AE353" s="127" t="str">
        <f t="shared" si="82"/>
        <v/>
      </c>
      <c r="AF353" s="128" t="str">
        <f t="shared" si="83"/>
        <v/>
      </c>
    </row>
    <row r="354" spans="1:32" ht="15.75" customHeight="1">
      <c r="A354" s="114" t="s">
        <v>431</v>
      </c>
      <c r="B354" s="114" t="s">
        <v>1045</v>
      </c>
      <c r="C354" s="114" t="s">
        <v>1013</v>
      </c>
      <c r="D354" s="114" t="s">
        <v>1046</v>
      </c>
      <c r="E354" s="114" t="s">
        <v>610</v>
      </c>
      <c r="F354" s="114" t="s">
        <v>581</v>
      </c>
      <c r="G354" s="114" t="s">
        <v>544</v>
      </c>
      <c r="H354" s="115">
        <v>0.75</v>
      </c>
      <c r="I354" s="114" t="s">
        <v>551</v>
      </c>
      <c r="J354" s="116">
        <f t="shared" si="70"/>
        <v>1.27</v>
      </c>
      <c r="K354" s="97" t="str">
        <f>IFERROR(IF(VLOOKUP(D354,'Ficha de Produção'!C:C,1,0)=D354,"OK","Custo Produção Não Cadastrado"),"Custo Produção Não Cadastrado")</f>
        <v>OK</v>
      </c>
      <c r="L354" s="97" t="str">
        <f>IFERROR(IF(VLOOKUP(A354,'Ficha de Embalagens'!A:A,1,0)=A354,"OK","Ficha de Embalagens Não Cadastrada"),"Ficha de Embalagens Não Cadastrada")</f>
        <v>OK</v>
      </c>
      <c r="M354" s="117">
        <f>SUMIFS('Ficha de Produção'!N:N,'Ficha de Produção'!C:C,D354)*H354</f>
        <v>7.98</v>
      </c>
      <c r="N354" s="117">
        <f>SUMIFS('Ficha de Embalagens'!F:F,'Ficha de Embalagens'!A:A,A354)</f>
        <v>4.43</v>
      </c>
      <c r="O354" s="97">
        <f t="shared" si="71"/>
        <v>12.41</v>
      </c>
      <c r="P354" s="97">
        <f t="shared" si="72"/>
        <v>0.23249999999999998</v>
      </c>
      <c r="Q354" s="118">
        <f t="shared" si="73"/>
        <v>12.6425</v>
      </c>
      <c r="R354" s="97">
        <f t="shared" si="74"/>
        <v>1.2250000000000001</v>
      </c>
      <c r="S354" s="97">
        <f t="shared" si="75"/>
        <v>1.7150000000000001</v>
      </c>
      <c r="T354" s="118">
        <f t="shared" si="76"/>
        <v>15.5825</v>
      </c>
      <c r="U354" s="119">
        <v>24.5</v>
      </c>
      <c r="V354" s="120">
        <f t="shared" si="77"/>
        <v>0.36397959183673473</v>
      </c>
      <c r="W354" s="121">
        <f t="shared" si="78"/>
        <v>14.37</v>
      </c>
      <c r="AB354" s="125">
        <f t="shared" si="79"/>
        <v>12.6425</v>
      </c>
      <c r="AC354" s="125">
        <f t="shared" si="80"/>
        <v>21.56</v>
      </c>
      <c r="AD354" s="126">
        <f t="shared" si="81"/>
        <v>8.9174999999999986</v>
      </c>
      <c r="AE354" s="127">
        <f t="shared" si="82"/>
        <v>0.41361317254174396</v>
      </c>
      <c r="AF354" s="128">
        <f t="shared" si="83"/>
        <v>14.37</v>
      </c>
    </row>
    <row r="355" spans="1:32" ht="15.75" customHeight="1">
      <c r="A355" s="114" t="s">
        <v>432</v>
      </c>
      <c r="B355" s="114" t="s">
        <v>1047</v>
      </c>
      <c r="C355" s="114" t="s">
        <v>1013</v>
      </c>
      <c r="D355" s="114" t="s">
        <v>1048</v>
      </c>
      <c r="E355" s="114" t="s">
        <v>610</v>
      </c>
      <c r="F355" s="114" t="s">
        <v>999</v>
      </c>
      <c r="G355" s="114" t="s">
        <v>544</v>
      </c>
      <c r="H355" s="115">
        <v>0.75</v>
      </c>
      <c r="I355" s="114" t="s">
        <v>551</v>
      </c>
      <c r="J355" s="116">
        <f t="shared" si="70"/>
        <v>1.27</v>
      </c>
      <c r="K355" s="97" t="str">
        <f>IFERROR(IF(VLOOKUP(D355,'Ficha de Produção'!C:C,1,0)=D355,"OK","Custo Produção Não Cadastrado"),"Custo Produção Não Cadastrado")</f>
        <v>OK</v>
      </c>
      <c r="L355" s="97" t="str">
        <f>IFERROR(IF(VLOOKUP(A355,'Ficha de Embalagens'!A:A,1,0)=A355,"OK","Ficha de Embalagens Não Cadastrada"),"Ficha de Embalagens Não Cadastrada")</f>
        <v>OK</v>
      </c>
      <c r="M355" s="117">
        <f>SUMIFS('Ficha de Produção'!N:N,'Ficha de Produção'!C:C,D355)*H355</f>
        <v>8.0175000000000018</v>
      </c>
      <c r="N355" s="117">
        <f>SUMIFS('Ficha de Embalagens'!F:F,'Ficha de Embalagens'!A:A,A355)</f>
        <v>4.43</v>
      </c>
      <c r="O355" s="97">
        <f t="shared" si="71"/>
        <v>12.447500000000002</v>
      </c>
      <c r="P355" s="97">
        <f t="shared" si="72"/>
        <v>0.23249999999999998</v>
      </c>
      <c r="Q355" s="118">
        <f t="shared" si="73"/>
        <v>12.680000000000001</v>
      </c>
      <c r="R355" s="97">
        <f t="shared" si="74"/>
        <v>1.2250000000000001</v>
      </c>
      <c r="S355" s="97">
        <f t="shared" si="75"/>
        <v>1.7150000000000001</v>
      </c>
      <c r="T355" s="118">
        <f t="shared" si="76"/>
        <v>15.620000000000001</v>
      </c>
      <c r="U355" s="119">
        <v>24.5</v>
      </c>
      <c r="V355" s="120">
        <f t="shared" si="77"/>
        <v>0.3624489795918367</v>
      </c>
      <c r="W355" s="121">
        <f t="shared" si="78"/>
        <v>14.41</v>
      </c>
      <c r="AB355" s="125">
        <f t="shared" si="79"/>
        <v>12.680000000000001</v>
      </c>
      <c r="AC355" s="125">
        <f t="shared" si="80"/>
        <v>21.56</v>
      </c>
      <c r="AD355" s="126">
        <f t="shared" si="81"/>
        <v>8.8799999999999972</v>
      </c>
      <c r="AE355" s="127">
        <f t="shared" si="82"/>
        <v>0.41187384044526892</v>
      </c>
      <c r="AF355" s="128">
        <f t="shared" si="83"/>
        <v>14.41</v>
      </c>
    </row>
    <row r="356" spans="1:32" ht="15.75" customHeight="1">
      <c r="A356" s="114" t="s">
        <v>433</v>
      </c>
      <c r="B356" s="114" t="s">
        <v>1049</v>
      </c>
      <c r="C356" s="114" t="s">
        <v>1013</v>
      </c>
      <c r="D356" s="114"/>
      <c r="E356" s="114" t="s">
        <v>565</v>
      </c>
      <c r="F356" s="114" t="s">
        <v>704</v>
      </c>
      <c r="G356" s="114" t="s">
        <v>556</v>
      </c>
      <c r="H356" s="115">
        <v>3</v>
      </c>
      <c r="I356" s="114" t="s">
        <v>551</v>
      </c>
      <c r="J356" s="116">
        <f t="shared" si="70"/>
        <v>1.27</v>
      </c>
      <c r="K356" s="97" t="str">
        <f>IFERROR(IF(VLOOKUP(D356,'Ficha de Produção'!C:C,1,0)=D356,"OK","Custo Produção Não Cadastrado"),"Custo Produção Não Cadastrado")</f>
        <v>Custo Produção Não Cadastrado</v>
      </c>
      <c r="L356" s="97" t="str">
        <f>IFERROR(IF(VLOOKUP(A356,'Ficha de Embalagens'!A:A,1,0)=A356,"OK","Ficha de Embalagens Não Cadastrada"),"Ficha de Embalagens Não Cadastrada")</f>
        <v>Ficha de Embalagens Não Cadastrada</v>
      </c>
      <c r="M356" s="117">
        <f>SUMIFS('Ficha de Produção'!N:N,'Ficha de Produção'!C:C,D356)*H356</f>
        <v>0</v>
      </c>
      <c r="N356" s="117">
        <f>SUMIFS('Ficha de Embalagens'!F:F,'Ficha de Embalagens'!A:A,A356)</f>
        <v>0</v>
      </c>
      <c r="O356" s="97">
        <f t="shared" si="71"/>
        <v>0</v>
      </c>
      <c r="P356" s="97">
        <f t="shared" si="72"/>
        <v>0</v>
      </c>
      <c r="Q356" s="118">
        <f t="shared" si="73"/>
        <v>0</v>
      </c>
      <c r="R356" s="97">
        <f t="shared" si="74"/>
        <v>0</v>
      </c>
      <c r="S356" s="97">
        <f t="shared" si="75"/>
        <v>0</v>
      </c>
      <c r="T356" s="118">
        <f t="shared" si="76"/>
        <v>0</v>
      </c>
      <c r="U356" s="119"/>
      <c r="V356" s="120" t="str">
        <f t="shared" si="77"/>
        <v>Cadastrar Ficha de Produção</v>
      </c>
      <c r="W356" s="121" t="str">
        <f t="shared" si="78"/>
        <v>Cadastrar Ficha de Produção</v>
      </c>
      <c r="AB356" s="125" t="str">
        <f t="shared" si="79"/>
        <v/>
      </c>
      <c r="AC356" s="125" t="str">
        <f t="shared" si="80"/>
        <v/>
      </c>
      <c r="AD356" s="126" t="str">
        <f t="shared" si="81"/>
        <v/>
      </c>
      <c r="AE356" s="127" t="str">
        <f t="shared" si="82"/>
        <v/>
      </c>
      <c r="AF356" s="128" t="str">
        <f t="shared" si="83"/>
        <v/>
      </c>
    </row>
    <row r="357" spans="1:32" ht="15.75" customHeight="1">
      <c r="A357" s="114" t="s">
        <v>434</v>
      </c>
      <c r="B357" s="114" t="s">
        <v>1050</v>
      </c>
      <c r="C357" s="114" t="s">
        <v>1013</v>
      </c>
      <c r="D357" s="114"/>
      <c r="E357" s="114" t="s">
        <v>565</v>
      </c>
      <c r="F357" s="114" t="s">
        <v>569</v>
      </c>
      <c r="G357" s="114" t="s">
        <v>556</v>
      </c>
      <c r="H357" s="115">
        <v>3</v>
      </c>
      <c r="I357" s="114" t="s">
        <v>551</v>
      </c>
      <c r="J357" s="116">
        <f t="shared" si="70"/>
        <v>1.27</v>
      </c>
      <c r="K357" s="97" t="str">
        <f>IFERROR(IF(VLOOKUP(D357,'Ficha de Produção'!C:C,1,0)=D357,"OK","Custo Produção Não Cadastrado"),"Custo Produção Não Cadastrado")</f>
        <v>Custo Produção Não Cadastrado</v>
      </c>
      <c r="L357" s="97" t="str">
        <f>IFERROR(IF(VLOOKUP(A357,'Ficha de Embalagens'!A:A,1,0)=A357,"OK","Ficha de Embalagens Não Cadastrada"),"Ficha de Embalagens Não Cadastrada")</f>
        <v>Ficha de Embalagens Não Cadastrada</v>
      </c>
      <c r="M357" s="117">
        <f>SUMIFS('Ficha de Produção'!N:N,'Ficha de Produção'!C:C,D357)*H357</f>
        <v>0</v>
      </c>
      <c r="N357" s="117">
        <f>SUMIFS('Ficha de Embalagens'!F:F,'Ficha de Embalagens'!A:A,A357)</f>
        <v>0</v>
      </c>
      <c r="O357" s="97">
        <f t="shared" si="71"/>
        <v>0</v>
      </c>
      <c r="P357" s="97">
        <f t="shared" si="72"/>
        <v>0</v>
      </c>
      <c r="Q357" s="118">
        <f t="shared" si="73"/>
        <v>0</v>
      </c>
      <c r="R357" s="97">
        <f t="shared" si="74"/>
        <v>0</v>
      </c>
      <c r="S357" s="97">
        <f t="shared" si="75"/>
        <v>0</v>
      </c>
      <c r="T357" s="118">
        <f t="shared" si="76"/>
        <v>0</v>
      </c>
      <c r="U357" s="119"/>
      <c r="V357" s="120" t="str">
        <f t="shared" si="77"/>
        <v>Cadastrar Ficha de Produção</v>
      </c>
      <c r="W357" s="121" t="str">
        <f t="shared" si="78"/>
        <v>Cadastrar Ficha de Produção</v>
      </c>
      <c r="AB357" s="125" t="str">
        <f t="shared" si="79"/>
        <v/>
      </c>
      <c r="AC357" s="125" t="str">
        <f t="shared" si="80"/>
        <v/>
      </c>
      <c r="AD357" s="126" t="str">
        <f t="shared" si="81"/>
        <v/>
      </c>
      <c r="AE357" s="127" t="str">
        <f t="shared" si="82"/>
        <v/>
      </c>
      <c r="AF357" s="128" t="str">
        <f t="shared" si="83"/>
        <v/>
      </c>
    </row>
    <row r="358" spans="1:32" ht="15.75" customHeight="1">
      <c r="A358" s="114" t="s">
        <v>435</v>
      </c>
      <c r="B358" s="114" t="s">
        <v>1051</v>
      </c>
      <c r="C358" s="114" t="s">
        <v>1013</v>
      </c>
      <c r="D358" s="114"/>
      <c r="E358" s="114" t="s">
        <v>565</v>
      </c>
      <c r="F358" s="114" t="s">
        <v>986</v>
      </c>
      <c r="G358" s="114" t="s">
        <v>556</v>
      </c>
      <c r="H358" s="115">
        <v>3</v>
      </c>
      <c r="I358" s="114" t="s">
        <v>551</v>
      </c>
      <c r="J358" s="116">
        <f t="shared" si="70"/>
        <v>1.27</v>
      </c>
      <c r="K358" s="97" t="str">
        <f>IFERROR(IF(VLOOKUP(D358,'Ficha de Produção'!C:C,1,0)=D358,"OK","Custo Produção Não Cadastrado"),"Custo Produção Não Cadastrado")</f>
        <v>Custo Produção Não Cadastrado</v>
      </c>
      <c r="L358" s="97" t="str">
        <f>IFERROR(IF(VLOOKUP(A358,'Ficha de Embalagens'!A:A,1,0)=A358,"OK","Ficha de Embalagens Não Cadastrada"),"Ficha de Embalagens Não Cadastrada")</f>
        <v>Ficha de Embalagens Não Cadastrada</v>
      </c>
      <c r="M358" s="117">
        <f>SUMIFS('Ficha de Produção'!N:N,'Ficha de Produção'!C:C,D358)*H358</f>
        <v>0</v>
      </c>
      <c r="N358" s="117">
        <f>SUMIFS('Ficha de Embalagens'!F:F,'Ficha de Embalagens'!A:A,A358)</f>
        <v>0</v>
      </c>
      <c r="O358" s="97">
        <f t="shared" si="71"/>
        <v>0</v>
      </c>
      <c r="P358" s="97">
        <f t="shared" si="72"/>
        <v>0</v>
      </c>
      <c r="Q358" s="118">
        <f t="shared" si="73"/>
        <v>0</v>
      </c>
      <c r="R358" s="97">
        <f t="shared" si="74"/>
        <v>0</v>
      </c>
      <c r="S358" s="97">
        <f t="shared" si="75"/>
        <v>0</v>
      </c>
      <c r="T358" s="118">
        <f t="shared" si="76"/>
        <v>0</v>
      </c>
      <c r="U358" s="119"/>
      <c r="V358" s="120" t="str">
        <f t="shared" si="77"/>
        <v>Cadastrar Ficha de Produção</v>
      </c>
      <c r="W358" s="121" t="str">
        <f t="shared" si="78"/>
        <v>Cadastrar Ficha de Produção</v>
      </c>
      <c r="AB358" s="125" t="str">
        <f t="shared" si="79"/>
        <v/>
      </c>
      <c r="AC358" s="125" t="str">
        <f t="shared" si="80"/>
        <v/>
      </c>
      <c r="AD358" s="126" t="str">
        <f t="shared" si="81"/>
        <v/>
      </c>
      <c r="AE358" s="127" t="str">
        <f t="shared" si="82"/>
        <v/>
      </c>
      <c r="AF358" s="128" t="str">
        <f t="shared" si="83"/>
        <v/>
      </c>
    </row>
    <row r="359" spans="1:32" ht="15.75" customHeight="1">
      <c r="A359" s="114" t="s">
        <v>436</v>
      </c>
      <c r="B359" s="114" t="s">
        <v>1052</v>
      </c>
      <c r="C359" s="114" t="s">
        <v>1013</v>
      </c>
      <c r="D359" s="114"/>
      <c r="E359" s="114" t="s">
        <v>565</v>
      </c>
      <c r="F359" s="114" t="s">
        <v>988</v>
      </c>
      <c r="G359" s="114" t="s">
        <v>556</v>
      </c>
      <c r="H359" s="115">
        <v>3</v>
      </c>
      <c r="I359" s="114" t="s">
        <v>551</v>
      </c>
      <c r="J359" s="116">
        <f t="shared" si="70"/>
        <v>1.27</v>
      </c>
      <c r="K359" s="97" t="str">
        <f>IFERROR(IF(VLOOKUP(D359,'Ficha de Produção'!C:C,1,0)=D359,"OK","Custo Produção Não Cadastrado"),"Custo Produção Não Cadastrado")</f>
        <v>Custo Produção Não Cadastrado</v>
      </c>
      <c r="L359" s="97" t="str">
        <f>IFERROR(IF(VLOOKUP(A359,'Ficha de Embalagens'!A:A,1,0)=A359,"OK","Ficha de Embalagens Não Cadastrada"),"Ficha de Embalagens Não Cadastrada")</f>
        <v>Ficha de Embalagens Não Cadastrada</v>
      </c>
      <c r="M359" s="117">
        <f>SUMIFS('Ficha de Produção'!N:N,'Ficha de Produção'!C:C,D359)*H359</f>
        <v>0</v>
      </c>
      <c r="N359" s="117">
        <f>SUMIFS('Ficha de Embalagens'!F:F,'Ficha de Embalagens'!A:A,A359)</f>
        <v>0</v>
      </c>
      <c r="O359" s="97">
        <f t="shared" si="71"/>
        <v>0</v>
      </c>
      <c r="P359" s="97">
        <f t="shared" si="72"/>
        <v>0</v>
      </c>
      <c r="Q359" s="118">
        <f t="shared" si="73"/>
        <v>0</v>
      </c>
      <c r="R359" s="97">
        <f t="shared" si="74"/>
        <v>0</v>
      </c>
      <c r="S359" s="97">
        <f t="shared" si="75"/>
        <v>0</v>
      </c>
      <c r="T359" s="118">
        <f t="shared" si="76"/>
        <v>0</v>
      </c>
      <c r="U359" s="119"/>
      <c r="V359" s="120" t="str">
        <f t="shared" si="77"/>
        <v>Cadastrar Ficha de Produção</v>
      </c>
      <c r="W359" s="121" t="str">
        <f t="shared" si="78"/>
        <v>Cadastrar Ficha de Produção</v>
      </c>
      <c r="AB359" s="125" t="str">
        <f t="shared" si="79"/>
        <v/>
      </c>
      <c r="AC359" s="125" t="str">
        <f t="shared" si="80"/>
        <v/>
      </c>
      <c r="AD359" s="126" t="str">
        <f t="shared" si="81"/>
        <v/>
      </c>
      <c r="AE359" s="127" t="str">
        <f t="shared" si="82"/>
        <v/>
      </c>
      <c r="AF359" s="128" t="str">
        <f t="shared" si="83"/>
        <v/>
      </c>
    </row>
    <row r="360" spans="1:32" ht="15.75" customHeight="1">
      <c r="A360" s="114" t="s">
        <v>437</v>
      </c>
      <c r="B360" s="114" t="s">
        <v>1053</v>
      </c>
      <c r="C360" s="114" t="s">
        <v>1013</v>
      </c>
      <c r="D360" s="114"/>
      <c r="E360" s="114" t="s">
        <v>565</v>
      </c>
      <c r="F360" s="114" t="s">
        <v>907</v>
      </c>
      <c r="G360" s="114" t="s">
        <v>556</v>
      </c>
      <c r="H360" s="115">
        <v>3</v>
      </c>
      <c r="I360" s="114" t="s">
        <v>551</v>
      </c>
      <c r="J360" s="116">
        <f t="shared" si="70"/>
        <v>1.27</v>
      </c>
      <c r="K360" s="97" t="str">
        <f>IFERROR(IF(VLOOKUP(D360,'Ficha de Produção'!C:C,1,0)=D360,"OK","Custo Produção Não Cadastrado"),"Custo Produção Não Cadastrado")</f>
        <v>Custo Produção Não Cadastrado</v>
      </c>
      <c r="L360" s="97" t="str">
        <f>IFERROR(IF(VLOOKUP(A360,'Ficha de Embalagens'!A:A,1,0)=A360,"OK","Ficha de Embalagens Não Cadastrada"),"Ficha de Embalagens Não Cadastrada")</f>
        <v>Ficha de Embalagens Não Cadastrada</v>
      </c>
      <c r="M360" s="117">
        <f>SUMIFS('Ficha de Produção'!N:N,'Ficha de Produção'!C:C,D360)*H360</f>
        <v>0</v>
      </c>
      <c r="N360" s="117">
        <f>SUMIFS('Ficha de Embalagens'!F:F,'Ficha de Embalagens'!A:A,A360)</f>
        <v>0</v>
      </c>
      <c r="O360" s="97">
        <f t="shared" si="71"/>
        <v>0</v>
      </c>
      <c r="P360" s="97">
        <f t="shared" si="72"/>
        <v>0</v>
      </c>
      <c r="Q360" s="118">
        <f t="shared" si="73"/>
        <v>0</v>
      </c>
      <c r="R360" s="97">
        <f t="shared" si="74"/>
        <v>0</v>
      </c>
      <c r="S360" s="97">
        <f t="shared" si="75"/>
        <v>0</v>
      </c>
      <c r="T360" s="118">
        <f t="shared" si="76"/>
        <v>0</v>
      </c>
      <c r="U360" s="119"/>
      <c r="V360" s="120" t="str">
        <f t="shared" si="77"/>
        <v>Cadastrar Ficha de Produção</v>
      </c>
      <c r="W360" s="121" t="str">
        <f t="shared" si="78"/>
        <v>Cadastrar Ficha de Produção</v>
      </c>
      <c r="AB360" s="125" t="str">
        <f t="shared" si="79"/>
        <v/>
      </c>
      <c r="AC360" s="125" t="str">
        <f t="shared" si="80"/>
        <v/>
      </c>
      <c r="AD360" s="126" t="str">
        <f t="shared" si="81"/>
        <v/>
      </c>
      <c r="AE360" s="127" t="str">
        <f t="shared" si="82"/>
        <v/>
      </c>
      <c r="AF360" s="128" t="str">
        <f t="shared" si="83"/>
        <v/>
      </c>
    </row>
    <row r="361" spans="1:32" ht="15.75" customHeight="1">
      <c r="A361" s="114" t="s">
        <v>438</v>
      </c>
      <c r="B361" s="114" t="s">
        <v>1054</v>
      </c>
      <c r="C361" s="114" t="s">
        <v>1013</v>
      </c>
      <c r="D361" s="114"/>
      <c r="E361" s="114" t="s">
        <v>565</v>
      </c>
      <c r="F361" s="114" t="s">
        <v>991</v>
      </c>
      <c r="G361" s="114" t="s">
        <v>556</v>
      </c>
      <c r="H361" s="115">
        <v>3</v>
      </c>
      <c r="I361" s="114" t="s">
        <v>551</v>
      </c>
      <c r="J361" s="116">
        <f t="shared" si="70"/>
        <v>1.27</v>
      </c>
      <c r="K361" s="97" t="str">
        <f>IFERROR(IF(VLOOKUP(D361,'Ficha de Produção'!C:C,1,0)=D361,"OK","Custo Produção Não Cadastrado"),"Custo Produção Não Cadastrado")</f>
        <v>Custo Produção Não Cadastrado</v>
      </c>
      <c r="L361" s="97" t="str">
        <f>IFERROR(IF(VLOOKUP(A361,'Ficha de Embalagens'!A:A,1,0)=A361,"OK","Ficha de Embalagens Não Cadastrada"),"Ficha de Embalagens Não Cadastrada")</f>
        <v>Ficha de Embalagens Não Cadastrada</v>
      </c>
      <c r="M361" s="117">
        <f>SUMIFS('Ficha de Produção'!N:N,'Ficha de Produção'!C:C,D361)*H361</f>
        <v>0</v>
      </c>
      <c r="N361" s="117">
        <f>SUMIFS('Ficha de Embalagens'!F:F,'Ficha de Embalagens'!A:A,A361)</f>
        <v>0</v>
      </c>
      <c r="O361" s="97">
        <f t="shared" si="71"/>
        <v>0</v>
      </c>
      <c r="P361" s="97">
        <f t="shared" si="72"/>
        <v>0</v>
      </c>
      <c r="Q361" s="118">
        <f t="shared" si="73"/>
        <v>0</v>
      </c>
      <c r="R361" s="97">
        <f t="shared" si="74"/>
        <v>0</v>
      </c>
      <c r="S361" s="97">
        <f t="shared" si="75"/>
        <v>0</v>
      </c>
      <c r="T361" s="118">
        <f t="shared" si="76"/>
        <v>0</v>
      </c>
      <c r="U361" s="119"/>
      <c r="V361" s="120" t="str">
        <f t="shared" si="77"/>
        <v>Cadastrar Ficha de Produção</v>
      </c>
      <c r="W361" s="121" t="str">
        <f t="shared" si="78"/>
        <v>Cadastrar Ficha de Produção</v>
      </c>
      <c r="AB361" s="125" t="str">
        <f t="shared" si="79"/>
        <v/>
      </c>
      <c r="AC361" s="125" t="str">
        <f t="shared" si="80"/>
        <v/>
      </c>
      <c r="AD361" s="126" t="str">
        <f t="shared" si="81"/>
        <v/>
      </c>
      <c r="AE361" s="127" t="str">
        <f t="shared" si="82"/>
        <v/>
      </c>
      <c r="AF361" s="128" t="str">
        <f t="shared" si="83"/>
        <v/>
      </c>
    </row>
    <row r="362" spans="1:32" ht="15.75" customHeight="1">
      <c r="A362" s="114" t="s">
        <v>439</v>
      </c>
      <c r="B362" s="114" t="s">
        <v>1055</v>
      </c>
      <c r="C362" s="114" t="s">
        <v>1013</v>
      </c>
      <c r="D362" s="114"/>
      <c r="E362" s="114" t="s">
        <v>565</v>
      </c>
      <c r="F362" s="114" t="s">
        <v>675</v>
      </c>
      <c r="G362" s="114" t="s">
        <v>556</v>
      </c>
      <c r="H362" s="115">
        <v>3</v>
      </c>
      <c r="I362" s="114" t="s">
        <v>551</v>
      </c>
      <c r="J362" s="116">
        <f t="shared" si="70"/>
        <v>1.27</v>
      </c>
      <c r="K362" s="97" t="str">
        <f>IFERROR(IF(VLOOKUP(D362,'Ficha de Produção'!C:C,1,0)=D362,"OK","Custo Produção Não Cadastrado"),"Custo Produção Não Cadastrado")</f>
        <v>Custo Produção Não Cadastrado</v>
      </c>
      <c r="L362" s="97" t="str">
        <f>IFERROR(IF(VLOOKUP(A362,'Ficha de Embalagens'!A:A,1,0)=A362,"OK","Ficha de Embalagens Não Cadastrada"),"Ficha de Embalagens Não Cadastrada")</f>
        <v>Ficha de Embalagens Não Cadastrada</v>
      </c>
      <c r="M362" s="117">
        <f>SUMIFS('Ficha de Produção'!N:N,'Ficha de Produção'!C:C,D362)*H362</f>
        <v>0</v>
      </c>
      <c r="N362" s="117">
        <f>SUMIFS('Ficha de Embalagens'!F:F,'Ficha de Embalagens'!A:A,A362)</f>
        <v>0</v>
      </c>
      <c r="O362" s="97">
        <f t="shared" si="71"/>
        <v>0</v>
      </c>
      <c r="P362" s="97">
        <f t="shared" si="72"/>
        <v>0</v>
      </c>
      <c r="Q362" s="118">
        <f t="shared" si="73"/>
        <v>0</v>
      </c>
      <c r="R362" s="97">
        <f t="shared" si="74"/>
        <v>0</v>
      </c>
      <c r="S362" s="97">
        <f t="shared" si="75"/>
        <v>0</v>
      </c>
      <c r="T362" s="118">
        <f t="shared" si="76"/>
        <v>0</v>
      </c>
      <c r="U362" s="119"/>
      <c r="V362" s="120" t="str">
        <f t="shared" si="77"/>
        <v>Cadastrar Ficha de Produção</v>
      </c>
      <c r="W362" s="121" t="str">
        <f t="shared" si="78"/>
        <v>Cadastrar Ficha de Produção</v>
      </c>
      <c r="AB362" s="125" t="str">
        <f t="shared" si="79"/>
        <v/>
      </c>
      <c r="AC362" s="125" t="str">
        <f t="shared" si="80"/>
        <v/>
      </c>
      <c r="AD362" s="126" t="str">
        <f t="shared" si="81"/>
        <v/>
      </c>
      <c r="AE362" s="127" t="str">
        <f t="shared" si="82"/>
        <v/>
      </c>
      <c r="AF362" s="128" t="str">
        <f t="shared" si="83"/>
        <v/>
      </c>
    </row>
    <row r="363" spans="1:32" ht="15.75" customHeight="1">
      <c r="A363" s="114" t="s">
        <v>440</v>
      </c>
      <c r="B363" s="114" t="s">
        <v>1056</v>
      </c>
      <c r="C363" s="114" t="s">
        <v>1013</v>
      </c>
      <c r="D363" s="114"/>
      <c r="E363" s="114" t="s">
        <v>565</v>
      </c>
      <c r="F363" s="114" t="s">
        <v>584</v>
      </c>
      <c r="G363" s="114" t="s">
        <v>556</v>
      </c>
      <c r="H363" s="115">
        <v>3</v>
      </c>
      <c r="I363" s="114" t="s">
        <v>551</v>
      </c>
      <c r="J363" s="116">
        <f t="shared" si="70"/>
        <v>1.27</v>
      </c>
      <c r="K363" s="97" t="str">
        <f>IFERROR(IF(VLOOKUP(D363,'Ficha de Produção'!C:C,1,0)=D363,"OK","Custo Produção Não Cadastrado"),"Custo Produção Não Cadastrado")</f>
        <v>Custo Produção Não Cadastrado</v>
      </c>
      <c r="L363" s="97" t="str">
        <f>IFERROR(IF(VLOOKUP(A363,'Ficha de Embalagens'!A:A,1,0)=A363,"OK","Ficha de Embalagens Não Cadastrada"),"Ficha de Embalagens Não Cadastrada")</f>
        <v>Ficha de Embalagens Não Cadastrada</v>
      </c>
      <c r="M363" s="117">
        <f>SUMIFS('Ficha de Produção'!N:N,'Ficha de Produção'!C:C,D363)*H363</f>
        <v>0</v>
      </c>
      <c r="N363" s="117">
        <f>SUMIFS('Ficha de Embalagens'!F:F,'Ficha de Embalagens'!A:A,A363)</f>
        <v>0</v>
      </c>
      <c r="O363" s="97">
        <f t="shared" si="71"/>
        <v>0</v>
      </c>
      <c r="P363" s="97">
        <f t="shared" si="72"/>
        <v>0</v>
      </c>
      <c r="Q363" s="118">
        <f t="shared" si="73"/>
        <v>0</v>
      </c>
      <c r="R363" s="97">
        <f t="shared" si="74"/>
        <v>0</v>
      </c>
      <c r="S363" s="97">
        <f t="shared" si="75"/>
        <v>0</v>
      </c>
      <c r="T363" s="118">
        <f t="shared" si="76"/>
        <v>0</v>
      </c>
      <c r="U363" s="119"/>
      <c r="V363" s="120" t="str">
        <f t="shared" si="77"/>
        <v>Cadastrar Ficha de Produção</v>
      </c>
      <c r="W363" s="121" t="str">
        <f t="shared" si="78"/>
        <v>Cadastrar Ficha de Produção</v>
      </c>
      <c r="AB363" s="125" t="str">
        <f t="shared" si="79"/>
        <v/>
      </c>
      <c r="AC363" s="125" t="str">
        <f t="shared" si="80"/>
        <v/>
      </c>
      <c r="AD363" s="126" t="str">
        <f t="shared" si="81"/>
        <v/>
      </c>
      <c r="AE363" s="127" t="str">
        <f t="shared" si="82"/>
        <v/>
      </c>
      <c r="AF363" s="128" t="str">
        <f t="shared" si="83"/>
        <v/>
      </c>
    </row>
    <row r="364" spans="1:32" ht="15.75" customHeight="1">
      <c r="A364" s="114" t="s">
        <v>441</v>
      </c>
      <c r="B364" s="114" t="s">
        <v>1057</v>
      </c>
      <c r="C364" s="114" t="s">
        <v>1013</v>
      </c>
      <c r="D364" s="114"/>
      <c r="E364" s="114" t="s">
        <v>565</v>
      </c>
      <c r="F364" s="114" t="s">
        <v>689</v>
      </c>
      <c r="G364" s="114" t="s">
        <v>556</v>
      </c>
      <c r="H364" s="115">
        <v>3</v>
      </c>
      <c r="I364" s="114" t="s">
        <v>551</v>
      </c>
      <c r="J364" s="116">
        <f t="shared" si="70"/>
        <v>1.27</v>
      </c>
      <c r="K364" s="97" t="str">
        <f>IFERROR(IF(VLOOKUP(D364,'Ficha de Produção'!C:C,1,0)=D364,"OK","Custo Produção Não Cadastrado"),"Custo Produção Não Cadastrado")</f>
        <v>Custo Produção Não Cadastrado</v>
      </c>
      <c r="L364" s="97" t="str">
        <f>IFERROR(IF(VLOOKUP(A364,'Ficha de Embalagens'!A:A,1,0)=A364,"OK","Ficha de Embalagens Não Cadastrada"),"Ficha de Embalagens Não Cadastrada")</f>
        <v>Ficha de Embalagens Não Cadastrada</v>
      </c>
      <c r="M364" s="117">
        <f>SUMIFS('Ficha de Produção'!N:N,'Ficha de Produção'!C:C,D364)*H364</f>
        <v>0</v>
      </c>
      <c r="N364" s="117">
        <f>SUMIFS('Ficha de Embalagens'!F:F,'Ficha de Embalagens'!A:A,A364)</f>
        <v>0</v>
      </c>
      <c r="O364" s="97">
        <f t="shared" si="71"/>
        <v>0</v>
      </c>
      <c r="P364" s="97">
        <f t="shared" si="72"/>
        <v>0</v>
      </c>
      <c r="Q364" s="118">
        <f t="shared" si="73"/>
        <v>0</v>
      </c>
      <c r="R364" s="97">
        <f t="shared" si="74"/>
        <v>0</v>
      </c>
      <c r="S364" s="97">
        <f t="shared" si="75"/>
        <v>0</v>
      </c>
      <c r="T364" s="118">
        <f t="shared" si="76"/>
        <v>0</v>
      </c>
      <c r="U364" s="119"/>
      <c r="V364" s="120" t="str">
        <f t="shared" si="77"/>
        <v>Cadastrar Ficha de Produção</v>
      </c>
      <c r="W364" s="121" t="str">
        <f t="shared" si="78"/>
        <v>Cadastrar Ficha de Produção</v>
      </c>
      <c r="AB364" s="125" t="str">
        <f t="shared" si="79"/>
        <v/>
      </c>
      <c r="AC364" s="125" t="str">
        <f t="shared" si="80"/>
        <v/>
      </c>
      <c r="AD364" s="126" t="str">
        <f t="shared" si="81"/>
        <v/>
      </c>
      <c r="AE364" s="127" t="str">
        <f t="shared" si="82"/>
        <v/>
      </c>
      <c r="AF364" s="128" t="str">
        <f t="shared" si="83"/>
        <v/>
      </c>
    </row>
    <row r="365" spans="1:32" ht="15.75" customHeight="1">
      <c r="A365" s="114" t="s">
        <v>442</v>
      </c>
      <c r="B365" s="114" t="s">
        <v>1058</v>
      </c>
      <c r="C365" s="114" t="s">
        <v>1013</v>
      </c>
      <c r="D365" s="114"/>
      <c r="E365" s="114" t="s">
        <v>565</v>
      </c>
      <c r="F365" s="114" t="s">
        <v>996</v>
      </c>
      <c r="G365" s="114" t="s">
        <v>556</v>
      </c>
      <c r="H365" s="115">
        <v>3</v>
      </c>
      <c r="I365" s="114" t="s">
        <v>551</v>
      </c>
      <c r="J365" s="116">
        <f t="shared" si="70"/>
        <v>1.27</v>
      </c>
      <c r="K365" s="97" t="str">
        <f>IFERROR(IF(VLOOKUP(D365,'Ficha de Produção'!C:C,1,0)=D365,"OK","Custo Produção Não Cadastrado"),"Custo Produção Não Cadastrado")</f>
        <v>Custo Produção Não Cadastrado</v>
      </c>
      <c r="L365" s="97" t="str">
        <f>IFERROR(IF(VLOOKUP(A365,'Ficha de Embalagens'!A:A,1,0)=A365,"OK","Ficha de Embalagens Não Cadastrada"),"Ficha de Embalagens Não Cadastrada")</f>
        <v>Ficha de Embalagens Não Cadastrada</v>
      </c>
      <c r="M365" s="117">
        <f>SUMIFS('Ficha de Produção'!N:N,'Ficha de Produção'!C:C,D365)*H365</f>
        <v>0</v>
      </c>
      <c r="N365" s="117">
        <f>SUMIFS('Ficha de Embalagens'!F:F,'Ficha de Embalagens'!A:A,A365)</f>
        <v>0</v>
      </c>
      <c r="O365" s="97">
        <f t="shared" si="71"/>
        <v>0</v>
      </c>
      <c r="P365" s="97">
        <f t="shared" si="72"/>
        <v>0</v>
      </c>
      <c r="Q365" s="118">
        <f t="shared" si="73"/>
        <v>0</v>
      </c>
      <c r="R365" s="97">
        <f t="shared" si="74"/>
        <v>0</v>
      </c>
      <c r="S365" s="97">
        <f t="shared" si="75"/>
        <v>0</v>
      </c>
      <c r="T365" s="118">
        <f t="shared" si="76"/>
        <v>0</v>
      </c>
      <c r="U365" s="119"/>
      <c r="V365" s="120" t="str">
        <f t="shared" si="77"/>
        <v>Cadastrar Ficha de Produção</v>
      </c>
      <c r="W365" s="121" t="str">
        <f t="shared" si="78"/>
        <v>Cadastrar Ficha de Produção</v>
      </c>
      <c r="AB365" s="125" t="str">
        <f t="shared" si="79"/>
        <v/>
      </c>
      <c r="AC365" s="125" t="str">
        <f t="shared" si="80"/>
        <v/>
      </c>
      <c r="AD365" s="126" t="str">
        <f t="shared" si="81"/>
        <v/>
      </c>
      <c r="AE365" s="127" t="str">
        <f t="shared" si="82"/>
        <v/>
      </c>
      <c r="AF365" s="128" t="str">
        <f t="shared" si="83"/>
        <v/>
      </c>
    </row>
    <row r="366" spans="1:32" ht="15.75" customHeight="1">
      <c r="A366" s="114" t="s">
        <v>443</v>
      </c>
      <c r="B366" s="114" t="s">
        <v>1059</v>
      </c>
      <c r="C366" s="114" t="s">
        <v>1013</v>
      </c>
      <c r="D366" s="114"/>
      <c r="E366" s="114" t="s">
        <v>565</v>
      </c>
      <c r="F366" s="114" t="s">
        <v>581</v>
      </c>
      <c r="G366" s="114" t="s">
        <v>556</v>
      </c>
      <c r="H366" s="115">
        <v>3</v>
      </c>
      <c r="I366" s="114" t="s">
        <v>551</v>
      </c>
      <c r="J366" s="116">
        <f t="shared" si="70"/>
        <v>1.27</v>
      </c>
      <c r="K366" s="97" t="str">
        <f>IFERROR(IF(VLOOKUP(D366,'Ficha de Produção'!C:C,1,0)=D366,"OK","Custo Produção Não Cadastrado"),"Custo Produção Não Cadastrado")</f>
        <v>Custo Produção Não Cadastrado</v>
      </c>
      <c r="L366" s="97" t="str">
        <f>IFERROR(IF(VLOOKUP(A366,'Ficha de Embalagens'!A:A,1,0)=A366,"OK","Ficha de Embalagens Não Cadastrada"),"Ficha de Embalagens Não Cadastrada")</f>
        <v>Ficha de Embalagens Não Cadastrada</v>
      </c>
      <c r="M366" s="117">
        <f>SUMIFS('Ficha de Produção'!N:N,'Ficha de Produção'!C:C,D366)*H366</f>
        <v>0</v>
      </c>
      <c r="N366" s="117">
        <f>SUMIFS('Ficha de Embalagens'!F:F,'Ficha de Embalagens'!A:A,A366)</f>
        <v>0</v>
      </c>
      <c r="O366" s="97">
        <f t="shared" si="71"/>
        <v>0</v>
      </c>
      <c r="P366" s="97">
        <f t="shared" si="72"/>
        <v>0</v>
      </c>
      <c r="Q366" s="118">
        <f t="shared" si="73"/>
        <v>0</v>
      </c>
      <c r="R366" s="97">
        <f t="shared" si="74"/>
        <v>0</v>
      </c>
      <c r="S366" s="97">
        <f t="shared" si="75"/>
        <v>0</v>
      </c>
      <c r="T366" s="118">
        <f t="shared" si="76"/>
        <v>0</v>
      </c>
      <c r="U366" s="119"/>
      <c r="V366" s="120" t="str">
        <f t="shared" si="77"/>
        <v>Cadastrar Ficha de Produção</v>
      </c>
      <c r="W366" s="121" t="str">
        <f t="shared" si="78"/>
        <v>Cadastrar Ficha de Produção</v>
      </c>
      <c r="AB366" s="125" t="str">
        <f t="shared" si="79"/>
        <v/>
      </c>
      <c r="AC366" s="125" t="str">
        <f t="shared" si="80"/>
        <v/>
      </c>
      <c r="AD366" s="126" t="str">
        <f t="shared" si="81"/>
        <v/>
      </c>
      <c r="AE366" s="127" t="str">
        <f t="shared" si="82"/>
        <v/>
      </c>
      <c r="AF366" s="128" t="str">
        <f t="shared" si="83"/>
        <v/>
      </c>
    </row>
    <row r="367" spans="1:32" ht="15.75" customHeight="1">
      <c r="A367" s="114" t="s">
        <v>444</v>
      </c>
      <c r="B367" s="114" t="s">
        <v>1060</v>
      </c>
      <c r="C367" s="114" t="s">
        <v>1013</v>
      </c>
      <c r="D367" s="114"/>
      <c r="E367" s="114" t="s">
        <v>565</v>
      </c>
      <c r="F367" s="114" t="s">
        <v>999</v>
      </c>
      <c r="G367" s="114" t="s">
        <v>556</v>
      </c>
      <c r="H367" s="115">
        <v>3</v>
      </c>
      <c r="I367" s="114" t="s">
        <v>551</v>
      </c>
      <c r="J367" s="116">
        <f t="shared" si="70"/>
        <v>1.27</v>
      </c>
      <c r="K367" s="97" t="str">
        <f>IFERROR(IF(VLOOKUP(D367,'Ficha de Produção'!C:C,1,0)=D367,"OK","Custo Produção Não Cadastrado"),"Custo Produção Não Cadastrado")</f>
        <v>Custo Produção Não Cadastrado</v>
      </c>
      <c r="L367" s="97" t="str">
        <f>IFERROR(IF(VLOOKUP(A367,'Ficha de Embalagens'!A:A,1,0)=A367,"OK","Ficha de Embalagens Não Cadastrada"),"Ficha de Embalagens Não Cadastrada")</f>
        <v>Ficha de Embalagens Não Cadastrada</v>
      </c>
      <c r="M367" s="117">
        <f>SUMIFS('Ficha de Produção'!N:N,'Ficha de Produção'!C:C,D367)*H367</f>
        <v>0</v>
      </c>
      <c r="N367" s="117">
        <f>SUMIFS('Ficha de Embalagens'!F:F,'Ficha de Embalagens'!A:A,A367)</f>
        <v>0</v>
      </c>
      <c r="O367" s="97">
        <f t="shared" si="71"/>
        <v>0</v>
      </c>
      <c r="P367" s="97">
        <f t="shared" si="72"/>
        <v>0</v>
      </c>
      <c r="Q367" s="118">
        <f t="shared" si="73"/>
        <v>0</v>
      </c>
      <c r="R367" s="97">
        <f t="shared" si="74"/>
        <v>0</v>
      </c>
      <c r="S367" s="97">
        <f t="shared" si="75"/>
        <v>0</v>
      </c>
      <c r="T367" s="118">
        <f t="shared" si="76"/>
        <v>0</v>
      </c>
      <c r="U367" s="119"/>
      <c r="V367" s="120" t="str">
        <f t="shared" si="77"/>
        <v>Cadastrar Ficha de Produção</v>
      </c>
      <c r="W367" s="121" t="str">
        <f t="shared" si="78"/>
        <v>Cadastrar Ficha de Produção</v>
      </c>
      <c r="AB367" s="125" t="str">
        <f t="shared" si="79"/>
        <v/>
      </c>
      <c r="AC367" s="125" t="str">
        <f t="shared" si="80"/>
        <v/>
      </c>
      <c r="AD367" s="126" t="str">
        <f t="shared" si="81"/>
        <v/>
      </c>
      <c r="AE367" s="127" t="str">
        <f t="shared" si="82"/>
        <v/>
      </c>
      <c r="AF367" s="128" t="str">
        <f t="shared" si="83"/>
        <v/>
      </c>
    </row>
    <row r="368" spans="1:32" ht="15.75" customHeight="1">
      <c r="A368" s="114" t="s">
        <v>445</v>
      </c>
      <c r="B368" s="114" t="s">
        <v>1061</v>
      </c>
      <c r="C368" s="114" t="s">
        <v>1013</v>
      </c>
      <c r="D368" s="114" t="s">
        <v>1026</v>
      </c>
      <c r="E368" s="114" t="s">
        <v>610</v>
      </c>
      <c r="F368" s="114" t="s">
        <v>704</v>
      </c>
      <c r="G368" s="114" t="s">
        <v>544</v>
      </c>
      <c r="H368" s="115">
        <v>3</v>
      </c>
      <c r="I368" s="114" t="s">
        <v>551</v>
      </c>
      <c r="J368" s="116">
        <f t="shared" si="70"/>
        <v>1.27</v>
      </c>
      <c r="K368" s="97" t="str">
        <f>IFERROR(IF(VLOOKUP(D368,'Ficha de Produção'!C:C,1,0)=D368,"OK","Custo Produção Não Cadastrado"),"Custo Produção Não Cadastrado")</f>
        <v>OK</v>
      </c>
      <c r="L368" s="97" t="str">
        <f>IFERROR(IF(VLOOKUP(A368,'Ficha de Embalagens'!A:A,1,0)=A368,"OK","Ficha de Embalagens Não Cadastrada"),"Ficha de Embalagens Não Cadastrada")</f>
        <v>OK</v>
      </c>
      <c r="M368" s="117">
        <f>SUMIFS('Ficha de Produção'!N:N,'Ficha de Produção'!C:C,D368)*H368</f>
        <v>36.96</v>
      </c>
      <c r="N368" s="117">
        <f>SUMIFS('Ficha de Embalagens'!F:F,'Ficha de Embalagens'!A:A,A368)</f>
        <v>8.5299999999999994</v>
      </c>
      <c r="O368" s="97">
        <f t="shared" si="71"/>
        <v>45.49</v>
      </c>
      <c r="P368" s="97">
        <f t="shared" si="72"/>
        <v>0.92999999999999994</v>
      </c>
      <c r="Q368" s="118">
        <f t="shared" si="73"/>
        <v>46.42</v>
      </c>
      <c r="R368" s="97">
        <f t="shared" si="74"/>
        <v>3.3950000000000005</v>
      </c>
      <c r="S368" s="97">
        <f t="shared" si="75"/>
        <v>4.753000000000001</v>
      </c>
      <c r="T368" s="118">
        <f t="shared" si="76"/>
        <v>54.568000000000005</v>
      </c>
      <c r="U368" s="119">
        <v>67.900000000000006</v>
      </c>
      <c r="V368" s="120">
        <f t="shared" si="77"/>
        <v>0.19634756995581737</v>
      </c>
      <c r="W368" s="121">
        <f t="shared" si="78"/>
        <v>52.75</v>
      </c>
      <c r="AB368" s="125">
        <f t="shared" si="79"/>
        <v>46.42</v>
      </c>
      <c r="AC368" s="125">
        <f t="shared" si="80"/>
        <v>59.751999999999995</v>
      </c>
      <c r="AD368" s="126">
        <f t="shared" si="81"/>
        <v>13.331999999999994</v>
      </c>
      <c r="AE368" s="127">
        <f t="shared" si="82"/>
        <v>0.22312223858615601</v>
      </c>
      <c r="AF368" s="128">
        <f t="shared" si="83"/>
        <v>52.75</v>
      </c>
    </row>
    <row r="369" spans="1:32" ht="15.75" customHeight="1">
      <c r="A369" s="114" t="s">
        <v>446</v>
      </c>
      <c r="B369" s="114" t="s">
        <v>1062</v>
      </c>
      <c r="C369" s="114" t="s">
        <v>1013</v>
      </c>
      <c r="D369" s="114" t="s">
        <v>1028</v>
      </c>
      <c r="E369" s="114" t="s">
        <v>610</v>
      </c>
      <c r="F369" s="114" t="s">
        <v>569</v>
      </c>
      <c r="G369" s="114" t="s">
        <v>556</v>
      </c>
      <c r="H369" s="115">
        <v>3</v>
      </c>
      <c r="I369" s="114" t="s">
        <v>551</v>
      </c>
      <c r="J369" s="116">
        <f t="shared" si="70"/>
        <v>1.27</v>
      </c>
      <c r="K369" s="97" t="str">
        <f>IFERROR(IF(VLOOKUP(D369,'Ficha de Produção'!C:C,1,0)=D369,"OK","Custo Produção Não Cadastrado"),"Custo Produção Não Cadastrado")</f>
        <v>Custo Produção Não Cadastrado</v>
      </c>
      <c r="L369" s="97" t="str">
        <f>IFERROR(IF(VLOOKUP(A369,'Ficha de Embalagens'!A:A,1,0)=A369,"OK","Ficha de Embalagens Não Cadastrada"),"Ficha de Embalagens Não Cadastrada")</f>
        <v>Ficha de Embalagens Não Cadastrada</v>
      </c>
      <c r="M369" s="117">
        <f>SUMIFS('Ficha de Produção'!N:N,'Ficha de Produção'!C:C,D369)*H369</f>
        <v>0</v>
      </c>
      <c r="N369" s="117">
        <f>SUMIFS('Ficha de Embalagens'!F:F,'Ficha de Embalagens'!A:A,A369)</f>
        <v>0</v>
      </c>
      <c r="O369" s="97">
        <f t="shared" si="71"/>
        <v>0</v>
      </c>
      <c r="P369" s="97">
        <f t="shared" si="72"/>
        <v>0</v>
      </c>
      <c r="Q369" s="118">
        <f t="shared" si="73"/>
        <v>0</v>
      </c>
      <c r="R369" s="97">
        <f t="shared" si="74"/>
        <v>0</v>
      </c>
      <c r="S369" s="97">
        <f t="shared" si="75"/>
        <v>0</v>
      </c>
      <c r="T369" s="118">
        <f t="shared" si="76"/>
        <v>0</v>
      </c>
      <c r="U369" s="119"/>
      <c r="V369" s="120" t="str">
        <f t="shared" si="77"/>
        <v>Cadastrar Ficha de Produção</v>
      </c>
      <c r="W369" s="121" t="str">
        <f t="shared" si="78"/>
        <v>Cadastrar Ficha de Produção</v>
      </c>
      <c r="AB369" s="125" t="str">
        <f t="shared" si="79"/>
        <v/>
      </c>
      <c r="AC369" s="125" t="str">
        <f t="shared" si="80"/>
        <v/>
      </c>
      <c r="AD369" s="126" t="str">
        <f t="shared" si="81"/>
        <v/>
      </c>
      <c r="AE369" s="127" t="str">
        <f t="shared" si="82"/>
        <v/>
      </c>
      <c r="AF369" s="128" t="str">
        <f t="shared" si="83"/>
        <v/>
      </c>
    </row>
    <row r="370" spans="1:32" ht="15.75" customHeight="1">
      <c r="A370" s="114" t="s">
        <v>447</v>
      </c>
      <c r="B370" s="114" t="s">
        <v>1063</v>
      </c>
      <c r="C370" s="114" t="s">
        <v>1013</v>
      </c>
      <c r="D370" s="114" t="s">
        <v>1030</v>
      </c>
      <c r="E370" s="114" t="s">
        <v>610</v>
      </c>
      <c r="F370" s="114" t="s">
        <v>986</v>
      </c>
      <c r="G370" s="114" t="s">
        <v>544</v>
      </c>
      <c r="H370" s="115">
        <v>3</v>
      </c>
      <c r="I370" s="114" t="s">
        <v>551</v>
      </c>
      <c r="J370" s="116">
        <f t="shared" si="70"/>
        <v>1.27</v>
      </c>
      <c r="K370" s="97" t="str">
        <f>IFERROR(IF(VLOOKUP(D370,'Ficha de Produção'!C:C,1,0)=D370,"OK","Custo Produção Não Cadastrado"),"Custo Produção Não Cadastrado")</f>
        <v>OK</v>
      </c>
      <c r="L370" s="97" t="str">
        <f>IFERROR(IF(VLOOKUP(A370,'Ficha de Embalagens'!A:A,1,0)=A370,"OK","Ficha de Embalagens Não Cadastrada"),"Ficha de Embalagens Não Cadastrada")</f>
        <v>OK</v>
      </c>
      <c r="M370" s="117">
        <f>SUMIFS('Ficha de Produção'!N:N,'Ficha de Produção'!C:C,D370)*H370</f>
        <v>35.999999999999993</v>
      </c>
      <c r="N370" s="117">
        <f>SUMIFS('Ficha de Embalagens'!F:F,'Ficha de Embalagens'!A:A,A370)</f>
        <v>8.5299999999999994</v>
      </c>
      <c r="O370" s="97">
        <f t="shared" si="71"/>
        <v>44.529999999999994</v>
      </c>
      <c r="P370" s="97">
        <f t="shared" si="72"/>
        <v>0.92999999999999994</v>
      </c>
      <c r="Q370" s="118">
        <f t="shared" si="73"/>
        <v>45.459999999999994</v>
      </c>
      <c r="R370" s="97">
        <f t="shared" si="74"/>
        <v>3.3950000000000005</v>
      </c>
      <c r="S370" s="97">
        <f t="shared" si="75"/>
        <v>4.753000000000001</v>
      </c>
      <c r="T370" s="118">
        <f t="shared" si="76"/>
        <v>53.607999999999997</v>
      </c>
      <c r="U370" s="119">
        <v>67.900000000000006</v>
      </c>
      <c r="V370" s="120">
        <f t="shared" si="77"/>
        <v>0.21048600883652441</v>
      </c>
      <c r="W370" s="121">
        <f t="shared" si="78"/>
        <v>51.66</v>
      </c>
      <c r="AB370" s="125">
        <f t="shared" si="79"/>
        <v>45.459999999999994</v>
      </c>
      <c r="AC370" s="125">
        <f t="shared" si="80"/>
        <v>59.751999999999995</v>
      </c>
      <c r="AD370" s="126">
        <f t="shared" si="81"/>
        <v>14.292000000000002</v>
      </c>
      <c r="AE370" s="127">
        <f t="shared" si="82"/>
        <v>0.23918864640514129</v>
      </c>
      <c r="AF370" s="128">
        <f t="shared" si="83"/>
        <v>51.66</v>
      </c>
    </row>
    <row r="371" spans="1:32" ht="15.75" customHeight="1">
      <c r="A371" s="114" t="s">
        <v>448</v>
      </c>
      <c r="B371" s="114" t="s">
        <v>1064</v>
      </c>
      <c r="C371" s="114" t="s">
        <v>1013</v>
      </c>
      <c r="D371" s="114" t="s">
        <v>1032</v>
      </c>
      <c r="E371" s="114" t="s">
        <v>610</v>
      </c>
      <c r="F371" s="114" t="s">
        <v>988</v>
      </c>
      <c r="G371" s="114" t="s">
        <v>544</v>
      </c>
      <c r="H371" s="115">
        <v>3</v>
      </c>
      <c r="I371" s="114" t="s">
        <v>551</v>
      </c>
      <c r="J371" s="116">
        <f t="shared" si="70"/>
        <v>1.27</v>
      </c>
      <c r="K371" s="97" t="str">
        <f>IFERROR(IF(VLOOKUP(D371,'Ficha de Produção'!C:C,1,0)=D371,"OK","Custo Produção Não Cadastrado"),"Custo Produção Não Cadastrado")</f>
        <v>OK</v>
      </c>
      <c r="L371" s="97" t="str">
        <f>IFERROR(IF(VLOOKUP(A371,'Ficha de Embalagens'!A:A,1,0)=A371,"OK","Ficha de Embalagens Não Cadastrada"),"Ficha de Embalagens Não Cadastrada")</f>
        <v>OK</v>
      </c>
      <c r="M371" s="117">
        <f>SUMIFS('Ficha de Produção'!N:N,'Ficha de Produção'!C:C,D371)*H371</f>
        <v>31.259999999999998</v>
      </c>
      <c r="N371" s="117">
        <f>SUMIFS('Ficha de Embalagens'!F:F,'Ficha de Embalagens'!A:A,A371)</f>
        <v>8.5299999999999994</v>
      </c>
      <c r="O371" s="97">
        <f t="shared" si="71"/>
        <v>39.79</v>
      </c>
      <c r="P371" s="97">
        <f t="shared" si="72"/>
        <v>0.92999999999999994</v>
      </c>
      <c r="Q371" s="118">
        <f t="shared" si="73"/>
        <v>40.72</v>
      </c>
      <c r="R371" s="97">
        <f t="shared" si="74"/>
        <v>3.3950000000000005</v>
      </c>
      <c r="S371" s="97">
        <f t="shared" si="75"/>
        <v>4.753000000000001</v>
      </c>
      <c r="T371" s="118">
        <f t="shared" si="76"/>
        <v>48.868000000000002</v>
      </c>
      <c r="U371" s="119">
        <v>67.900000000000006</v>
      </c>
      <c r="V371" s="120">
        <f t="shared" si="77"/>
        <v>0.28029455081001475</v>
      </c>
      <c r="W371" s="121">
        <f t="shared" si="78"/>
        <v>46.28</v>
      </c>
      <c r="AB371" s="125">
        <f t="shared" si="79"/>
        <v>40.72</v>
      </c>
      <c r="AC371" s="125">
        <f t="shared" si="80"/>
        <v>59.751999999999995</v>
      </c>
      <c r="AD371" s="126">
        <f t="shared" si="81"/>
        <v>19.031999999999996</v>
      </c>
      <c r="AE371" s="127">
        <f t="shared" si="82"/>
        <v>0.31851653501138033</v>
      </c>
      <c r="AF371" s="128">
        <f t="shared" si="83"/>
        <v>46.28</v>
      </c>
    </row>
    <row r="372" spans="1:32" ht="15.75" customHeight="1">
      <c r="A372" s="114" t="s">
        <v>449</v>
      </c>
      <c r="B372" s="114" t="s">
        <v>1065</v>
      </c>
      <c r="C372" s="114" t="s">
        <v>1013</v>
      </c>
      <c r="D372" s="114" t="s">
        <v>1034</v>
      </c>
      <c r="E372" s="114" t="s">
        <v>610</v>
      </c>
      <c r="F372" s="114" t="s">
        <v>907</v>
      </c>
      <c r="G372" s="114" t="s">
        <v>544</v>
      </c>
      <c r="H372" s="115">
        <v>3</v>
      </c>
      <c r="I372" s="114" t="s">
        <v>551</v>
      </c>
      <c r="J372" s="116">
        <f t="shared" si="70"/>
        <v>1.27</v>
      </c>
      <c r="K372" s="97" t="str">
        <f>IFERROR(IF(VLOOKUP(D372,'Ficha de Produção'!C:C,1,0)=D372,"OK","Custo Produção Não Cadastrado"),"Custo Produção Não Cadastrado")</f>
        <v>OK</v>
      </c>
      <c r="L372" s="97" t="str">
        <f>IFERROR(IF(VLOOKUP(A372,'Ficha de Embalagens'!A:A,1,0)=A372,"OK","Ficha de Embalagens Não Cadastrada"),"Ficha de Embalagens Não Cadastrada")</f>
        <v>OK</v>
      </c>
      <c r="M372" s="117">
        <f>SUMIFS('Ficha de Produção'!N:N,'Ficha de Produção'!C:C,D372)*H372</f>
        <v>29.850000000000009</v>
      </c>
      <c r="N372" s="117">
        <f>SUMIFS('Ficha de Embalagens'!F:F,'Ficha de Embalagens'!A:A,A372)</f>
        <v>8.5299999999999994</v>
      </c>
      <c r="O372" s="97">
        <f t="shared" si="71"/>
        <v>38.38000000000001</v>
      </c>
      <c r="P372" s="97">
        <f t="shared" si="72"/>
        <v>0.92999999999999994</v>
      </c>
      <c r="Q372" s="118">
        <f t="shared" si="73"/>
        <v>39.310000000000009</v>
      </c>
      <c r="R372" s="97">
        <f t="shared" si="74"/>
        <v>3.3950000000000005</v>
      </c>
      <c r="S372" s="97">
        <f t="shared" si="75"/>
        <v>4.753000000000001</v>
      </c>
      <c r="T372" s="118">
        <f t="shared" si="76"/>
        <v>47.458000000000013</v>
      </c>
      <c r="U372" s="119">
        <v>67.900000000000006</v>
      </c>
      <c r="V372" s="120">
        <f t="shared" si="77"/>
        <v>0.30106038291605292</v>
      </c>
      <c r="W372" s="121">
        <f t="shared" si="78"/>
        <v>44.68</v>
      </c>
      <c r="AB372" s="125">
        <f t="shared" si="79"/>
        <v>39.310000000000009</v>
      </c>
      <c r="AC372" s="125">
        <f t="shared" si="80"/>
        <v>59.751999999999995</v>
      </c>
      <c r="AD372" s="126">
        <f t="shared" si="81"/>
        <v>20.441999999999986</v>
      </c>
      <c r="AE372" s="127">
        <f t="shared" si="82"/>
        <v>0.34211407149551459</v>
      </c>
      <c r="AF372" s="128">
        <f t="shared" si="83"/>
        <v>44.68</v>
      </c>
    </row>
    <row r="373" spans="1:32" ht="15.75" customHeight="1">
      <c r="A373" s="114" t="s">
        <v>450</v>
      </c>
      <c r="B373" s="114" t="s">
        <v>1066</v>
      </c>
      <c r="C373" s="114" t="s">
        <v>1013</v>
      </c>
      <c r="D373" s="114" t="s">
        <v>1036</v>
      </c>
      <c r="E373" s="114" t="s">
        <v>610</v>
      </c>
      <c r="F373" s="114" t="s">
        <v>991</v>
      </c>
      <c r="G373" s="114" t="s">
        <v>544</v>
      </c>
      <c r="H373" s="115">
        <v>3</v>
      </c>
      <c r="I373" s="114" t="s">
        <v>551</v>
      </c>
      <c r="J373" s="116">
        <f t="shared" si="70"/>
        <v>1.27</v>
      </c>
      <c r="K373" s="97" t="str">
        <f>IFERROR(IF(VLOOKUP(D373,'Ficha de Produção'!C:C,1,0)=D373,"OK","Custo Produção Não Cadastrado"),"Custo Produção Não Cadastrado")</f>
        <v>OK</v>
      </c>
      <c r="L373" s="97" t="str">
        <f>IFERROR(IF(VLOOKUP(A373,'Ficha de Embalagens'!A:A,1,0)=A373,"OK","Ficha de Embalagens Não Cadastrada"),"Ficha de Embalagens Não Cadastrada")</f>
        <v>OK</v>
      </c>
      <c r="M373" s="117">
        <f>SUMIFS('Ficha de Produção'!N:N,'Ficha de Produção'!C:C,D373)*H373</f>
        <v>30.86999999999999</v>
      </c>
      <c r="N373" s="117">
        <f>SUMIFS('Ficha de Embalagens'!F:F,'Ficha de Embalagens'!A:A,A373)</f>
        <v>8.5299999999999994</v>
      </c>
      <c r="O373" s="97">
        <f t="shared" si="71"/>
        <v>39.399999999999991</v>
      </c>
      <c r="P373" s="97">
        <f t="shared" si="72"/>
        <v>0.92999999999999994</v>
      </c>
      <c r="Q373" s="118">
        <f t="shared" si="73"/>
        <v>40.329999999999991</v>
      </c>
      <c r="R373" s="97">
        <f t="shared" si="74"/>
        <v>3.3950000000000005</v>
      </c>
      <c r="S373" s="97">
        <f t="shared" si="75"/>
        <v>4.753000000000001</v>
      </c>
      <c r="T373" s="118">
        <f t="shared" si="76"/>
        <v>48.477999999999994</v>
      </c>
      <c r="U373" s="119">
        <v>67.900000000000006</v>
      </c>
      <c r="V373" s="120">
        <f t="shared" si="77"/>
        <v>0.28603829160530203</v>
      </c>
      <c r="W373" s="121">
        <f t="shared" si="78"/>
        <v>45.83</v>
      </c>
      <c r="AB373" s="125">
        <f t="shared" si="79"/>
        <v>40.329999999999991</v>
      </c>
      <c r="AC373" s="125">
        <f t="shared" si="80"/>
        <v>59.751999999999995</v>
      </c>
      <c r="AD373" s="126">
        <f t="shared" si="81"/>
        <v>19.422000000000004</v>
      </c>
      <c r="AE373" s="127">
        <f t="shared" si="82"/>
        <v>0.32504351318784319</v>
      </c>
      <c r="AF373" s="128">
        <f t="shared" si="83"/>
        <v>45.83</v>
      </c>
    </row>
    <row r="374" spans="1:32" ht="15.75" customHeight="1">
      <c r="A374" s="114" t="s">
        <v>451</v>
      </c>
      <c r="B374" s="114" t="s">
        <v>1067</v>
      </c>
      <c r="C374" s="114" t="s">
        <v>1013</v>
      </c>
      <c r="D374" s="114" t="s">
        <v>1038</v>
      </c>
      <c r="E374" s="114" t="s">
        <v>610</v>
      </c>
      <c r="F374" s="114" t="s">
        <v>675</v>
      </c>
      <c r="G374" s="114" t="s">
        <v>556</v>
      </c>
      <c r="H374" s="115">
        <v>3</v>
      </c>
      <c r="I374" s="114" t="s">
        <v>551</v>
      </c>
      <c r="J374" s="116">
        <f t="shared" si="70"/>
        <v>1.27</v>
      </c>
      <c r="K374" s="97" t="str">
        <f>IFERROR(IF(VLOOKUP(D374,'Ficha de Produção'!C:C,1,0)=D374,"OK","Custo Produção Não Cadastrado"),"Custo Produção Não Cadastrado")</f>
        <v>Custo Produção Não Cadastrado</v>
      </c>
      <c r="L374" s="97" t="str">
        <f>IFERROR(IF(VLOOKUP(A374,'Ficha de Embalagens'!A:A,1,0)=A374,"OK","Ficha de Embalagens Não Cadastrada"),"Ficha de Embalagens Não Cadastrada")</f>
        <v>Ficha de Embalagens Não Cadastrada</v>
      </c>
      <c r="M374" s="117">
        <f>SUMIFS('Ficha de Produção'!N:N,'Ficha de Produção'!C:C,D374)*H374</f>
        <v>0</v>
      </c>
      <c r="N374" s="117">
        <f>SUMIFS('Ficha de Embalagens'!F:F,'Ficha de Embalagens'!A:A,A374)</f>
        <v>0</v>
      </c>
      <c r="O374" s="97">
        <f t="shared" si="71"/>
        <v>0</v>
      </c>
      <c r="P374" s="97">
        <f t="shared" si="72"/>
        <v>0</v>
      </c>
      <c r="Q374" s="118">
        <f t="shared" si="73"/>
        <v>0</v>
      </c>
      <c r="R374" s="97">
        <f t="shared" si="74"/>
        <v>0</v>
      </c>
      <c r="S374" s="97">
        <f t="shared" si="75"/>
        <v>0</v>
      </c>
      <c r="T374" s="118">
        <f t="shared" si="76"/>
        <v>0</v>
      </c>
      <c r="U374" s="119"/>
      <c r="V374" s="120" t="str">
        <f t="shared" si="77"/>
        <v>Cadastrar Ficha de Produção</v>
      </c>
      <c r="W374" s="121" t="str">
        <f t="shared" si="78"/>
        <v>Cadastrar Ficha de Produção</v>
      </c>
      <c r="AB374" s="125" t="str">
        <f t="shared" si="79"/>
        <v/>
      </c>
      <c r="AC374" s="125" t="str">
        <f t="shared" si="80"/>
        <v/>
      </c>
      <c r="AD374" s="126" t="str">
        <f t="shared" si="81"/>
        <v/>
      </c>
      <c r="AE374" s="127" t="str">
        <f t="shared" si="82"/>
        <v/>
      </c>
      <c r="AF374" s="128" t="str">
        <f t="shared" si="83"/>
        <v/>
      </c>
    </row>
    <row r="375" spans="1:32" ht="15.75" customHeight="1">
      <c r="A375" s="114" t="s">
        <v>452</v>
      </c>
      <c r="B375" s="114" t="s">
        <v>1068</v>
      </c>
      <c r="C375" s="114" t="s">
        <v>1013</v>
      </c>
      <c r="D375" s="114" t="s">
        <v>1040</v>
      </c>
      <c r="E375" s="114" t="s">
        <v>610</v>
      </c>
      <c r="F375" s="114" t="s">
        <v>584</v>
      </c>
      <c r="G375" s="114" t="s">
        <v>556</v>
      </c>
      <c r="H375" s="115">
        <v>3</v>
      </c>
      <c r="I375" s="114" t="s">
        <v>551</v>
      </c>
      <c r="J375" s="116">
        <f t="shared" si="70"/>
        <v>1.27</v>
      </c>
      <c r="K375" s="97" t="str">
        <f>IFERROR(IF(VLOOKUP(D375,'Ficha de Produção'!C:C,1,0)=D375,"OK","Custo Produção Não Cadastrado"),"Custo Produção Não Cadastrado")</f>
        <v>Custo Produção Não Cadastrado</v>
      </c>
      <c r="L375" s="97" t="str">
        <f>IFERROR(IF(VLOOKUP(A375,'Ficha de Embalagens'!A:A,1,0)=A375,"OK","Ficha de Embalagens Não Cadastrada"),"Ficha de Embalagens Não Cadastrada")</f>
        <v>Ficha de Embalagens Não Cadastrada</v>
      </c>
      <c r="M375" s="117">
        <f>SUMIFS('Ficha de Produção'!N:N,'Ficha de Produção'!C:C,D375)*H375</f>
        <v>0</v>
      </c>
      <c r="N375" s="117">
        <f>SUMIFS('Ficha de Embalagens'!F:F,'Ficha de Embalagens'!A:A,A375)</f>
        <v>0</v>
      </c>
      <c r="O375" s="97">
        <f t="shared" si="71"/>
        <v>0</v>
      </c>
      <c r="P375" s="97">
        <f t="shared" si="72"/>
        <v>0</v>
      </c>
      <c r="Q375" s="118">
        <f t="shared" si="73"/>
        <v>0</v>
      </c>
      <c r="R375" s="97">
        <f t="shared" si="74"/>
        <v>0</v>
      </c>
      <c r="S375" s="97">
        <f t="shared" si="75"/>
        <v>0</v>
      </c>
      <c r="T375" s="118">
        <f t="shared" si="76"/>
        <v>0</v>
      </c>
      <c r="U375" s="119"/>
      <c r="V375" s="120" t="str">
        <f t="shared" si="77"/>
        <v>Cadastrar Ficha de Produção</v>
      </c>
      <c r="W375" s="121" t="str">
        <f t="shared" si="78"/>
        <v>Cadastrar Ficha de Produção</v>
      </c>
      <c r="AB375" s="125" t="str">
        <f t="shared" si="79"/>
        <v/>
      </c>
      <c r="AC375" s="125" t="str">
        <f t="shared" si="80"/>
        <v/>
      </c>
      <c r="AD375" s="126" t="str">
        <f t="shared" si="81"/>
        <v/>
      </c>
      <c r="AE375" s="127" t="str">
        <f t="shared" si="82"/>
        <v/>
      </c>
      <c r="AF375" s="128" t="str">
        <f t="shared" si="83"/>
        <v/>
      </c>
    </row>
    <row r="376" spans="1:32" ht="15.75" customHeight="1">
      <c r="A376" s="114" t="s">
        <v>453</v>
      </c>
      <c r="B376" s="114" t="s">
        <v>1069</v>
      </c>
      <c r="C376" s="114" t="s">
        <v>1013</v>
      </c>
      <c r="D376" s="114" t="s">
        <v>1042</v>
      </c>
      <c r="E376" s="114" t="s">
        <v>610</v>
      </c>
      <c r="F376" s="114" t="s">
        <v>689</v>
      </c>
      <c r="G376" s="114" t="s">
        <v>556</v>
      </c>
      <c r="H376" s="115">
        <v>3</v>
      </c>
      <c r="I376" s="114" t="s">
        <v>551</v>
      </c>
      <c r="J376" s="116">
        <f t="shared" si="70"/>
        <v>1.27</v>
      </c>
      <c r="K376" s="97" t="str">
        <f>IFERROR(IF(VLOOKUP(D376,'Ficha de Produção'!C:C,1,0)=D376,"OK","Custo Produção Não Cadastrado"),"Custo Produção Não Cadastrado")</f>
        <v>Custo Produção Não Cadastrado</v>
      </c>
      <c r="L376" s="97" t="str">
        <f>IFERROR(IF(VLOOKUP(A376,'Ficha de Embalagens'!A:A,1,0)=A376,"OK","Ficha de Embalagens Não Cadastrada"),"Ficha de Embalagens Não Cadastrada")</f>
        <v>Ficha de Embalagens Não Cadastrada</v>
      </c>
      <c r="M376" s="117">
        <f>SUMIFS('Ficha de Produção'!N:N,'Ficha de Produção'!C:C,D376)*H376</f>
        <v>0</v>
      </c>
      <c r="N376" s="117">
        <f>SUMIFS('Ficha de Embalagens'!F:F,'Ficha de Embalagens'!A:A,A376)</f>
        <v>0</v>
      </c>
      <c r="O376" s="97">
        <f t="shared" si="71"/>
        <v>0</v>
      </c>
      <c r="P376" s="97">
        <f t="shared" si="72"/>
        <v>0</v>
      </c>
      <c r="Q376" s="118">
        <f t="shared" si="73"/>
        <v>0</v>
      </c>
      <c r="R376" s="97">
        <f t="shared" si="74"/>
        <v>0</v>
      </c>
      <c r="S376" s="97">
        <f t="shared" si="75"/>
        <v>0</v>
      </c>
      <c r="T376" s="118">
        <f t="shared" si="76"/>
        <v>0</v>
      </c>
      <c r="U376" s="119"/>
      <c r="V376" s="120" t="str">
        <f t="shared" si="77"/>
        <v>Cadastrar Ficha de Produção</v>
      </c>
      <c r="W376" s="121" t="str">
        <f t="shared" si="78"/>
        <v>Cadastrar Ficha de Produção</v>
      </c>
      <c r="AB376" s="125" t="str">
        <f t="shared" si="79"/>
        <v/>
      </c>
      <c r="AC376" s="125" t="str">
        <f t="shared" si="80"/>
        <v/>
      </c>
      <c r="AD376" s="126" t="str">
        <f t="shared" si="81"/>
        <v/>
      </c>
      <c r="AE376" s="127" t="str">
        <f t="shared" si="82"/>
        <v/>
      </c>
      <c r="AF376" s="128" t="str">
        <f t="shared" si="83"/>
        <v/>
      </c>
    </row>
    <row r="377" spans="1:32" ht="15.75" customHeight="1">
      <c r="A377" s="114" t="s">
        <v>454</v>
      </c>
      <c r="B377" s="114" t="s">
        <v>1070</v>
      </c>
      <c r="C377" s="114" t="s">
        <v>1013</v>
      </c>
      <c r="D377" s="114" t="s">
        <v>1044</v>
      </c>
      <c r="E377" s="114" t="s">
        <v>610</v>
      </c>
      <c r="F377" s="114" t="s">
        <v>996</v>
      </c>
      <c r="G377" s="114" t="s">
        <v>556</v>
      </c>
      <c r="H377" s="115">
        <v>3</v>
      </c>
      <c r="I377" s="114" t="s">
        <v>551</v>
      </c>
      <c r="J377" s="116">
        <f t="shared" si="70"/>
        <v>1.27</v>
      </c>
      <c r="K377" s="97" t="str">
        <f>IFERROR(IF(VLOOKUP(D377,'Ficha de Produção'!C:C,1,0)=D377,"OK","Custo Produção Não Cadastrado"),"Custo Produção Não Cadastrado")</f>
        <v>Custo Produção Não Cadastrado</v>
      </c>
      <c r="L377" s="97" t="str">
        <f>IFERROR(IF(VLOOKUP(A377,'Ficha de Embalagens'!A:A,1,0)=A377,"OK","Ficha de Embalagens Não Cadastrada"),"Ficha de Embalagens Não Cadastrada")</f>
        <v>Ficha de Embalagens Não Cadastrada</v>
      </c>
      <c r="M377" s="117">
        <f>SUMIFS('Ficha de Produção'!N:N,'Ficha de Produção'!C:C,D377)*H377</f>
        <v>0</v>
      </c>
      <c r="N377" s="117">
        <f>SUMIFS('Ficha de Embalagens'!F:F,'Ficha de Embalagens'!A:A,A377)</f>
        <v>0</v>
      </c>
      <c r="O377" s="97">
        <f t="shared" si="71"/>
        <v>0</v>
      </c>
      <c r="P377" s="97">
        <f t="shared" si="72"/>
        <v>0</v>
      </c>
      <c r="Q377" s="118">
        <f t="shared" si="73"/>
        <v>0</v>
      </c>
      <c r="R377" s="97">
        <f t="shared" si="74"/>
        <v>0</v>
      </c>
      <c r="S377" s="97">
        <f t="shared" si="75"/>
        <v>0</v>
      </c>
      <c r="T377" s="118">
        <f t="shared" si="76"/>
        <v>0</v>
      </c>
      <c r="U377" s="119"/>
      <c r="V377" s="120" t="str">
        <f t="shared" si="77"/>
        <v>Cadastrar Ficha de Produção</v>
      </c>
      <c r="W377" s="121" t="str">
        <f t="shared" si="78"/>
        <v>Cadastrar Ficha de Produção</v>
      </c>
      <c r="AB377" s="125" t="str">
        <f t="shared" si="79"/>
        <v/>
      </c>
      <c r="AC377" s="125" t="str">
        <f t="shared" si="80"/>
        <v/>
      </c>
      <c r="AD377" s="126" t="str">
        <f t="shared" si="81"/>
        <v/>
      </c>
      <c r="AE377" s="127" t="str">
        <f t="shared" si="82"/>
        <v/>
      </c>
      <c r="AF377" s="128" t="str">
        <f t="shared" si="83"/>
        <v/>
      </c>
    </row>
    <row r="378" spans="1:32" ht="15.75" customHeight="1">
      <c r="A378" s="114" t="s">
        <v>455</v>
      </c>
      <c r="B378" s="114" t="s">
        <v>1071</v>
      </c>
      <c r="C378" s="114" t="s">
        <v>1013</v>
      </c>
      <c r="D378" s="114" t="s">
        <v>1046</v>
      </c>
      <c r="E378" s="114" t="s">
        <v>610</v>
      </c>
      <c r="F378" s="114" t="s">
        <v>581</v>
      </c>
      <c r="G378" s="114" t="s">
        <v>544</v>
      </c>
      <c r="H378" s="115">
        <v>3</v>
      </c>
      <c r="I378" s="114" t="s">
        <v>551</v>
      </c>
      <c r="J378" s="116">
        <f t="shared" si="70"/>
        <v>1.27</v>
      </c>
      <c r="K378" s="97" t="str">
        <f>IFERROR(IF(VLOOKUP(D378,'Ficha de Produção'!C:C,1,0)=D378,"OK","Custo Produção Não Cadastrado"),"Custo Produção Não Cadastrado")</f>
        <v>OK</v>
      </c>
      <c r="L378" s="97" t="str">
        <f>IFERROR(IF(VLOOKUP(A378,'Ficha de Embalagens'!A:A,1,0)=A378,"OK","Ficha de Embalagens Não Cadastrada"),"Ficha de Embalagens Não Cadastrada")</f>
        <v>OK</v>
      </c>
      <c r="M378" s="117">
        <f>SUMIFS('Ficha de Produção'!N:N,'Ficha de Produção'!C:C,D378)*H378</f>
        <v>31.92</v>
      </c>
      <c r="N378" s="117">
        <f>SUMIFS('Ficha de Embalagens'!F:F,'Ficha de Embalagens'!A:A,A378)</f>
        <v>8.5299999999999994</v>
      </c>
      <c r="O378" s="97">
        <f t="shared" si="71"/>
        <v>40.450000000000003</v>
      </c>
      <c r="P378" s="97">
        <f t="shared" si="72"/>
        <v>0.92999999999999994</v>
      </c>
      <c r="Q378" s="118">
        <f t="shared" si="73"/>
        <v>41.38</v>
      </c>
      <c r="R378" s="97">
        <f t="shared" si="74"/>
        <v>3.3950000000000005</v>
      </c>
      <c r="S378" s="97">
        <f t="shared" si="75"/>
        <v>4.753000000000001</v>
      </c>
      <c r="T378" s="118">
        <f t="shared" si="76"/>
        <v>49.528000000000006</v>
      </c>
      <c r="U378" s="119">
        <v>67.900000000000006</v>
      </c>
      <c r="V378" s="120">
        <f t="shared" si="77"/>
        <v>0.27057437407952867</v>
      </c>
      <c r="W378" s="121">
        <f t="shared" si="78"/>
        <v>47.03</v>
      </c>
      <c r="AB378" s="125">
        <f t="shared" si="79"/>
        <v>41.38</v>
      </c>
      <c r="AC378" s="125">
        <f t="shared" si="80"/>
        <v>59.751999999999995</v>
      </c>
      <c r="AD378" s="126">
        <f t="shared" si="81"/>
        <v>18.371999999999993</v>
      </c>
      <c r="AE378" s="127">
        <f t="shared" si="82"/>
        <v>0.30747087963582798</v>
      </c>
      <c r="AF378" s="128">
        <f t="shared" si="83"/>
        <v>47.03</v>
      </c>
    </row>
    <row r="379" spans="1:32" ht="15.75" customHeight="1">
      <c r="A379" s="114" t="s">
        <v>456</v>
      </c>
      <c r="B379" s="114" t="s">
        <v>1072</v>
      </c>
      <c r="C379" s="114" t="s">
        <v>1013</v>
      </c>
      <c r="D379" s="114" t="s">
        <v>1048</v>
      </c>
      <c r="E379" s="114" t="s">
        <v>610</v>
      </c>
      <c r="F379" s="114" t="s">
        <v>999</v>
      </c>
      <c r="G379" s="114" t="s">
        <v>544</v>
      </c>
      <c r="H379" s="115">
        <v>3</v>
      </c>
      <c r="I379" s="114" t="s">
        <v>551</v>
      </c>
      <c r="J379" s="116">
        <f t="shared" si="70"/>
        <v>1.27</v>
      </c>
      <c r="K379" s="97" t="str">
        <f>IFERROR(IF(VLOOKUP(D379,'Ficha de Produção'!C:C,1,0)=D379,"OK","Custo Produção Não Cadastrado"),"Custo Produção Não Cadastrado")</f>
        <v>OK</v>
      </c>
      <c r="L379" s="97" t="str">
        <f>IFERROR(IF(VLOOKUP(A379,'Ficha de Embalagens'!A:A,1,0)=A379,"OK","Ficha de Embalagens Não Cadastrada"),"Ficha de Embalagens Não Cadastrada")</f>
        <v>OK</v>
      </c>
      <c r="M379" s="117">
        <f>SUMIFS('Ficha de Produção'!N:N,'Ficha de Produção'!C:C,D379)*H379</f>
        <v>32.070000000000007</v>
      </c>
      <c r="N379" s="117">
        <f>SUMIFS('Ficha de Embalagens'!F:F,'Ficha de Embalagens'!A:A,A379)</f>
        <v>8.5299999999999994</v>
      </c>
      <c r="O379" s="97">
        <f t="shared" si="71"/>
        <v>40.600000000000009</v>
      </c>
      <c r="P379" s="97">
        <f t="shared" si="72"/>
        <v>0.92999999999999994</v>
      </c>
      <c r="Q379" s="118">
        <f t="shared" si="73"/>
        <v>41.530000000000008</v>
      </c>
      <c r="R379" s="97">
        <f t="shared" si="74"/>
        <v>3.3950000000000005</v>
      </c>
      <c r="S379" s="97">
        <f t="shared" si="75"/>
        <v>4.753000000000001</v>
      </c>
      <c r="T379" s="118">
        <f t="shared" si="76"/>
        <v>49.678000000000011</v>
      </c>
      <c r="U379" s="119">
        <v>67.900000000000006</v>
      </c>
      <c r="V379" s="120">
        <f t="shared" si="77"/>
        <v>0.26836524300441816</v>
      </c>
      <c r="W379" s="121">
        <f t="shared" si="78"/>
        <v>47.199999999999996</v>
      </c>
      <c r="AB379" s="125">
        <f t="shared" si="79"/>
        <v>41.530000000000008</v>
      </c>
      <c r="AC379" s="125">
        <f t="shared" si="80"/>
        <v>59.751999999999995</v>
      </c>
      <c r="AD379" s="126">
        <f t="shared" si="81"/>
        <v>18.221999999999987</v>
      </c>
      <c r="AE379" s="127">
        <f t="shared" si="82"/>
        <v>0.30496050341411146</v>
      </c>
      <c r="AF379" s="128">
        <f t="shared" si="83"/>
        <v>47.199999999999996</v>
      </c>
    </row>
    <row r="380" spans="1:32" ht="15.75" customHeight="1">
      <c r="A380" s="114" t="s">
        <v>457</v>
      </c>
      <c r="B380" s="114" t="s">
        <v>1073</v>
      </c>
      <c r="C380" s="114" t="s">
        <v>1074</v>
      </c>
      <c r="D380" s="114"/>
      <c r="E380" s="114" t="s">
        <v>1075</v>
      </c>
      <c r="F380" s="114" t="s">
        <v>704</v>
      </c>
      <c r="G380" s="114" t="s">
        <v>556</v>
      </c>
      <c r="H380" s="115">
        <v>4</v>
      </c>
      <c r="I380" s="114" t="s">
        <v>545</v>
      </c>
      <c r="J380" s="116">
        <f t="shared" si="70"/>
        <v>1</v>
      </c>
      <c r="K380" s="97" t="str">
        <f>IFERROR(IF(VLOOKUP(D380,'Ficha de Produção'!C:C,1,0)=D380,"OK","Custo Produção Não Cadastrado"),"Custo Produção Não Cadastrado")</f>
        <v>Custo Produção Não Cadastrado</v>
      </c>
      <c r="L380" s="97" t="str">
        <f>IFERROR(IF(VLOOKUP(A380,'Ficha de Embalagens'!A:A,1,0)=A380,"OK","Ficha de Embalagens Não Cadastrada"),"Ficha de Embalagens Não Cadastrada")</f>
        <v>Ficha de Embalagens Não Cadastrada</v>
      </c>
      <c r="M380" s="117">
        <f>SUMIFS('Ficha de Produção'!N:N,'Ficha de Produção'!C:C,D380)*H380</f>
        <v>0</v>
      </c>
      <c r="N380" s="117">
        <f>SUMIFS('Ficha de Embalagens'!F:F,'Ficha de Embalagens'!A:A,A380)</f>
        <v>0</v>
      </c>
      <c r="O380" s="97">
        <f t="shared" si="71"/>
        <v>0</v>
      </c>
      <c r="P380" s="97">
        <f t="shared" si="72"/>
        <v>0</v>
      </c>
      <c r="Q380" s="118">
        <f t="shared" si="73"/>
        <v>0</v>
      </c>
      <c r="R380" s="97">
        <f t="shared" si="74"/>
        <v>0</v>
      </c>
      <c r="S380" s="97">
        <f t="shared" si="75"/>
        <v>0</v>
      </c>
      <c r="T380" s="118">
        <f t="shared" si="76"/>
        <v>0</v>
      </c>
      <c r="U380" s="119"/>
      <c r="V380" s="120" t="str">
        <f t="shared" si="77"/>
        <v>Cadastrar Ficha de Produção</v>
      </c>
      <c r="W380" s="121" t="str">
        <f t="shared" si="78"/>
        <v>Cadastrar Ficha de Produção</v>
      </c>
      <c r="AB380" s="125" t="str">
        <f t="shared" si="79"/>
        <v/>
      </c>
      <c r="AC380" s="125" t="str">
        <f t="shared" si="80"/>
        <v/>
      </c>
      <c r="AD380" s="126" t="str">
        <f t="shared" si="81"/>
        <v/>
      </c>
      <c r="AE380" s="127" t="str">
        <f t="shared" si="82"/>
        <v/>
      </c>
      <c r="AF380" s="128" t="str">
        <f t="shared" si="83"/>
        <v/>
      </c>
    </row>
    <row r="381" spans="1:32" ht="15.75" customHeight="1">
      <c r="A381" s="114" t="s">
        <v>458</v>
      </c>
      <c r="B381" s="114" t="s">
        <v>1076</v>
      </c>
      <c r="C381" s="114" t="s">
        <v>1074</v>
      </c>
      <c r="D381" s="114"/>
      <c r="E381" s="114" t="s">
        <v>1075</v>
      </c>
      <c r="F381" s="114" t="s">
        <v>704</v>
      </c>
      <c r="G381" s="114" t="s">
        <v>556</v>
      </c>
      <c r="H381" s="115">
        <v>20</v>
      </c>
      <c r="I381" s="114" t="s">
        <v>545</v>
      </c>
      <c r="J381" s="116">
        <f t="shared" si="70"/>
        <v>1</v>
      </c>
      <c r="K381" s="97" t="str">
        <f>IFERROR(IF(VLOOKUP(D381,'Ficha de Produção'!C:C,1,0)=D381,"OK","Custo Produção Não Cadastrado"),"Custo Produção Não Cadastrado")</f>
        <v>Custo Produção Não Cadastrado</v>
      </c>
      <c r="L381" s="97" t="str">
        <f>IFERROR(IF(VLOOKUP(A381,'Ficha de Embalagens'!A:A,1,0)=A381,"OK","Ficha de Embalagens Não Cadastrada"),"Ficha de Embalagens Não Cadastrada")</f>
        <v>Ficha de Embalagens Não Cadastrada</v>
      </c>
      <c r="M381" s="117">
        <f>SUMIFS('Ficha de Produção'!N:N,'Ficha de Produção'!C:C,D381)*H381</f>
        <v>0</v>
      </c>
      <c r="N381" s="117">
        <f>SUMIFS('Ficha de Embalagens'!F:F,'Ficha de Embalagens'!A:A,A381)</f>
        <v>0</v>
      </c>
      <c r="O381" s="97">
        <f t="shared" si="71"/>
        <v>0</v>
      </c>
      <c r="P381" s="97">
        <f t="shared" si="72"/>
        <v>0</v>
      </c>
      <c r="Q381" s="118">
        <f t="shared" si="73"/>
        <v>0</v>
      </c>
      <c r="R381" s="97">
        <f t="shared" si="74"/>
        <v>0</v>
      </c>
      <c r="S381" s="97">
        <f t="shared" si="75"/>
        <v>0</v>
      </c>
      <c r="T381" s="118">
        <f t="shared" si="76"/>
        <v>0</v>
      </c>
      <c r="U381" s="119"/>
      <c r="V381" s="120" t="str">
        <f t="shared" si="77"/>
        <v>Cadastrar Ficha de Produção</v>
      </c>
      <c r="W381" s="121" t="str">
        <f t="shared" si="78"/>
        <v>Cadastrar Ficha de Produção</v>
      </c>
      <c r="AB381" s="125" t="str">
        <f t="shared" si="79"/>
        <v/>
      </c>
      <c r="AC381" s="125" t="str">
        <f t="shared" si="80"/>
        <v/>
      </c>
      <c r="AD381" s="126" t="str">
        <f t="shared" si="81"/>
        <v/>
      </c>
      <c r="AE381" s="127" t="str">
        <f t="shared" si="82"/>
        <v/>
      </c>
      <c r="AF381" s="128" t="str">
        <f t="shared" si="83"/>
        <v/>
      </c>
    </row>
    <row r="382" spans="1:32" ht="15.75" customHeight="1">
      <c r="A382" s="114" t="s">
        <v>459</v>
      </c>
      <c r="B382" s="114" t="s">
        <v>1077</v>
      </c>
      <c r="C382" s="114" t="s">
        <v>1074</v>
      </c>
      <c r="D382" s="114"/>
      <c r="E382" s="114" t="s">
        <v>1078</v>
      </c>
      <c r="F382" s="114" t="s">
        <v>566</v>
      </c>
      <c r="G382" s="114" t="s">
        <v>556</v>
      </c>
      <c r="H382" s="115">
        <v>4</v>
      </c>
      <c r="I382" s="114" t="s">
        <v>545</v>
      </c>
      <c r="J382" s="116">
        <f t="shared" si="70"/>
        <v>1</v>
      </c>
      <c r="K382" s="97" t="str">
        <f>IFERROR(IF(VLOOKUP(D382,'Ficha de Produção'!C:C,1,0)=D382,"OK","Custo Produção Não Cadastrado"),"Custo Produção Não Cadastrado")</f>
        <v>Custo Produção Não Cadastrado</v>
      </c>
      <c r="L382" s="97" t="str">
        <f>IFERROR(IF(VLOOKUP(A382,'Ficha de Embalagens'!A:A,1,0)=A382,"OK","Ficha de Embalagens Não Cadastrada"),"Ficha de Embalagens Não Cadastrada")</f>
        <v>Ficha de Embalagens Não Cadastrada</v>
      </c>
      <c r="M382" s="117">
        <f>SUMIFS('Ficha de Produção'!N:N,'Ficha de Produção'!C:C,D382)*H382</f>
        <v>0</v>
      </c>
      <c r="N382" s="117">
        <f>SUMIFS('Ficha de Embalagens'!F:F,'Ficha de Embalagens'!A:A,A382)</f>
        <v>0</v>
      </c>
      <c r="O382" s="97">
        <f t="shared" si="71"/>
        <v>0</v>
      </c>
      <c r="P382" s="97">
        <f t="shared" si="72"/>
        <v>0</v>
      </c>
      <c r="Q382" s="118">
        <f t="shared" si="73"/>
        <v>0</v>
      </c>
      <c r="R382" s="97">
        <f t="shared" si="74"/>
        <v>0</v>
      </c>
      <c r="S382" s="97">
        <f t="shared" si="75"/>
        <v>0</v>
      </c>
      <c r="T382" s="118">
        <f t="shared" si="76"/>
        <v>0</v>
      </c>
      <c r="U382" s="119"/>
      <c r="V382" s="120" t="str">
        <f t="shared" si="77"/>
        <v>Cadastrar Ficha de Produção</v>
      </c>
      <c r="W382" s="121" t="str">
        <f t="shared" si="78"/>
        <v>Cadastrar Ficha de Produção</v>
      </c>
      <c r="AB382" s="125" t="str">
        <f t="shared" si="79"/>
        <v/>
      </c>
      <c r="AC382" s="125" t="str">
        <f t="shared" si="80"/>
        <v/>
      </c>
      <c r="AD382" s="126" t="str">
        <f t="shared" si="81"/>
        <v/>
      </c>
      <c r="AE382" s="127" t="str">
        <f t="shared" si="82"/>
        <v/>
      </c>
      <c r="AF382" s="128" t="str">
        <f t="shared" si="83"/>
        <v/>
      </c>
    </row>
    <row r="383" spans="1:32" ht="15.75" customHeight="1">
      <c r="A383" s="114" t="s">
        <v>460</v>
      </c>
      <c r="B383" s="114" t="s">
        <v>1079</v>
      </c>
      <c r="C383" s="114" t="s">
        <v>1074</v>
      </c>
      <c r="D383" s="114"/>
      <c r="E383" s="114" t="s">
        <v>1078</v>
      </c>
      <c r="F383" s="114" t="s">
        <v>1080</v>
      </c>
      <c r="G383" s="114" t="s">
        <v>556</v>
      </c>
      <c r="H383" s="115">
        <v>4</v>
      </c>
      <c r="I383" s="114" t="s">
        <v>545</v>
      </c>
      <c r="J383" s="116">
        <f t="shared" si="70"/>
        <v>1</v>
      </c>
      <c r="K383" s="97" t="str">
        <f>IFERROR(IF(VLOOKUP(D383,'Ficha de Produção'!C:C,1,0)=D383,"OK","Custo Produção Não Cadastrado"),"Custo Produção Não Cadastrado")</f>
        <v>Custo Produção Não Cadastrado</v>
      </c>
      <c r="L383" s="97" t="str">
        <f>IFERROR(IF(VLOOKUP(A383,'Ficha de Embalagens'!A:A,1,0)=A383,"OK","Ficha de Embalagens Não Cadastrada"),"Ficha de Embalagens Não Cadastrada")</f>
        <v>Ficha de Embalagens Não Cadastrada</v>
      </c>
      <c r="M383" s="117">
        <f>SUMIFS('Ficha de Produção'!N:N,'Ficha de Produção'!C:C,D383)*H383</f>
        <v>0</v>
      </c>
      <c r="N383" s="117">
        <f>SUMIFS('Ficha de Embalagens'!F:F,'Ficha de Embalagens'!A:A,A383)</f>
        <v>0</v>
      </c>
      <c r="O383" s="97">
        <f t="shared" si="71"/>
        <v>0</v>
      </c>
      <c r="P383" s="97">
        <f t="shared" si="72"/>
        <v>0</v>
      </c>
      <c r="Q383" s="118">
        <f t="shared" si="73"/>
        <v>0</v>
      </c>
      <c r="R383" s="97">
        <f t="shared" si="74"/>
        <v>0</v>
      </c>
      <c r="S383" s="97">
        <f t="shared" si="75"/>
        <v>0</v>
      </c>
      <c r="T383" s="118">
        <f t="shared" si="76"/>
        <v>0</v>
      </c>
      <c r="U383" s="119"/>
      <c r="V383" s="120" t="str">
        <f t="shared" si="77"/>
        <v>Cadastrar Ficha de Produção</v>
      </c>
      <c r="W383" s="121" t="str">
        <f t="shared" si="78"/>
        <v>Cadastrar Ficha de Produção</v>
      </c>
      <c r="AB383" s="125" t="str">
        <f t="shared" si="79"/>
        <v/>
      </c>
      <c r="AC383" s="125" t="str">
        <f t="shared" si="80"/>
        <v/>
      </c>
      <c r="AD383" s="126" t="str">
        <f t="shared" si="81"/>
        <v/>
      </c>
      <c r="AE383" s="127" t="str">
        <f t="shared" si="82"/>
        <v/>
      </c>
      <c r="AF383" s="128" t="str">
        <f t="shared" si="83"/>
        <v/>
      </c>
    </row>
    <row r="384" spans="1:32" ht="15.75" customHeight="1">
      <c r="A384" s="114" t="s">
        <v>461</v>
      </c>
      <c r="B384" s="114" t="s">
        <v>1081</v>
      </c>
      <c r="C384" s="114" t="s">
        <v>1074</v>
      </c>
      <c r="D384" s="114"/>
      <c r="E384" s="114" t="s">
        <v>1078</v>
      </c>
      <c r="F384" s="114" t="s">
        <v>920</v>
      </c>
      <c r="G384" s="114" t="s">
        <v>556</v>
      </c>
      <c r="H384" s="115">
        <v>4</v>
      </c>
      <c r="I384" s="114" t="s">
        <v>545</v>
      </c>
      <c r="J384" s="116">
        <f t="shared" si="70"/>
        <v>1</v>
      </c>
      <c r="K384" s="97" t="str">
        <f>IFERROR(IF(VLOOKUP(D384,'Ficha de Produção'!C:C,1,0)=D384,"OK","Custo Produção Não Cadastrado"),"Custo Produção Não Cadastrado")</f>
        <v>Custo Produção Não Cadastrado</v>
      </c>
      <c r="L384" s="97" t="str">
        <f>IFERROR(IF(VLOOKUP(A384,'Ficha de Embalagens'!A:A,1,0)=A384,"OK","Ficha de Embalagens Não Cadastrada"),"Ficha de Embalagens Não Cadastrada")</f>
        <v>Ficha de Embalagens Não Cadastrada</v>
      </c>
      <c r="M384" s="117">
        <f>SUMIFS('Ficha de Produção'!N:N,'Ficha de Produção'!C:C,D384)*H384</f>
        <v>0</v>
      </c>
      <c r="N384" s="117">
        <f>SUMIFS('Ficha de Embalagens'!F:F,'Ficha de Embalagens'!A:A,A384)</f>
        <v>0</v>
      </c>
      <c r="O384" s="97">
        <f t="shared" si="71"/>
        <v>0</v>
      </c>
      <c r="P384" s="97">
        <f t="shared" si="72"/>
        <v>0</v>
      </c>
      <c r="Q384" s="118">
        <f t="shared" si="73"/>
        <v>0</v>
      </c>
      <c r="R384" s="97">
        <f t="shared" si="74"/>
        <v>0</v>
      </c>
      <c r="S384" s="97">
        <f t="shared" si="75"/>
        <v>0</v>
      </c>
      <c r="T384" s="118">
        <f t="shared" si="76"/>
        <v>0</v>
      </c>
      <c r="U384" s="119"/>
      <c r="V384" s="120" t="str">
        <f t="shared" si="77"/>
        <v>Cadastrar Ficha de Produção</v>
      </c>
      <c r="W384" s="121" t="str">
        <f t="shared" si="78"/>
        <v>Cadastrar Ficha de Produção</v>
      </c>
      <c r="AB384" s="125" t="str">
        <f t="shared" si="79"/>
        <v/>
      </c>
      <c r="AC384" s="125" t="str">
        <f t="shared" si="80"/>
        <v/>
      </c>
      <c r="AD384" s="126" t="str">
        <f t="shared" si="81"/>
        <v/>
      </c>
      <c r="AE384" s="127" t="str">
        <f t="shared" si="82"/>
        <v/>
      </c>
      <c r="AF384" s="128" t="str">
        <f t="shared" si="83"/>
        <v/>
      </c>
    </row>
    <row r="385" spans="1:32" ht="15.75" customHeight="1">
      <c r="A385" s="114" t="s">
        <v>462</v>
      </c>
      <c r="B385" s="114" t="s">
        <v>1082</v>
      </c>
      <c r="C385" s="114" t="s">
        <v>1074</v>
      </c>
      <c r="D385" s="114"/>
      <c r="E385" s="114" t="s">
        <v>1078</v>
      </c>
      <c r="F385" s="114" t="s">
        <v>991</v>
      </c>
      <c r="G385" s="114" t="s">
        <v>556</v>
      </c>
      <c r="H385" s="115">
        <v>4</v>
      </c>
      <c r="I385" s="114" t="s">
        <v>545</v>
      </c>
      <c r="J385" s="116">
        <f t="shared" si="70"/>
        <v>1</v>
      </c>
      <c r="K385" s="97" t="str">
        <f>IFERROR(IF(VLOOKUP(D385,'Ficha de Produção'!C:C,1,0)=D385,"OK","Custo Produção Não Cadastrado"),"Custo Produção Não Cadastrado")</f>
        <v>Custo Produção Não Cadastrado</v>
      </c>
      <c r="L385" s="97" t="str">
        <f>IFERROR(IF(VLOOKUP(A385,'Ficha de Embalagens'!A:A,1,0)=A385,"OK","Ficha de Embalagens Não Cadastrada"),"Ficha de Embalagens Não Cadastrada")</f>
        <v>Ficha de Embalagens Não Cadastrada</v>
      </c>
      <c r="M385" s="117">
        <f>SUMIFS('Ficha de Produção'!N:N,'Ficha de Produção'!C:C,D385)*H385</f>
        <v>0</v>
      </c>
      <c r="N385" s="117">
        <f>SUMIFS('Ficha de Embalagens'!F:F,'Ficha de Embalagens'!A:A,A385)</f>
        <v>0</v>
      </c>
      <c r="O385" s="97">
        <f t="shared" si="71"/>
        <v>0</v>
      </c>
      <c r="P385" s="97">
        <f t="shared" si="72"/>
        <v>0</v>
      </c>
      <c r="Q385" s="118">
        <f t="shared" si="73"/>
        <v>0</v>
      </c>
      <c r="R385" s="97">
        <f t="shared" si="74"/>
        <v>0</v>
      </c>
      <c r="S385" s="97">
        <f t="shared" si="75"/>
        <v>0</v>
      </c>
      <c r="T385" s="118">
        <f t="shared" si="76"/>
        <v>0</v>
      </c>
      <c r="U385" s="119"/>
      <c r="V385" s="120" t="str">
        <f t="shared" si="77"/>
        <v>Cadastrar Ficha de Produção</v>
      </c>
      <c r="W385" s="121" t="str">
        <f t="shared" si="78"/>
        <v>Cadastrar Ficha de Produção</v>
      </c>
      <c r="AB385" s="125" t="str">
        <f t="shared" si="79"/>
        <v/>
      </c>
      <c r="AC385" s="125" t="str">
        <f t="shared" si="80"/>
        <v/>
      </c>
      <c r="AD385" s="126" t="str">
        <f t="shared" si="81"/>
        <v/>
      </c>
      <c r="AE385" s="127" t="str">
        <f t="shared" si="82"/>
        <v/>
      </c>
      <c r="AF385" s="128" t="str">
        <f t="shared" si="83"/>
        <v/>
      </c>
    </row>
    <row r="386" spans="1:32" ht="15.75" customHeight="1">
      <c r="A386" s="114" t="s">
        <v>463</v>
      </c>
      <c r="B386" s="114" t="s">
        <v>1083</v>
      </c>
      <c r="C386" s="114" t="s">
        <v>1074</v>
      </c>
      <c r="D386" s="114"/>
      <c r="E386" s="114" t="s">
        <v>1078</v>
      </c>
      <c r="F386" s="114" t="s">
        <v>1084</v>
      </c>
      <c r="G386" s="114" t="s">
        <v>556</v>
      </c>
      <c r="H386" s="115">
        <v>4</v>
      </c>
      <c r="I386" s="114" t="s">
        <v>545</v>
      </c>
      <c r="J386" s="116">
        <f t="shared" si="70"/>
        <v>1</v>
      </c>
      <c r="K386" s="97" t="str">
        <f>IFERROR(IF(VLOOKUP(D386,'Ficha de Produção'!C:C,1,0)=D386,"OK","Custo Produção Não Cadastrado"),"Custo Produção Não Cadastrado")</f>
        <v>Custo Produção Não Cadastrado</v>
      </c>
      <c r="L386" s="97" t="str">
        <f>IFERROR(IF(VLOOKUP(A386,'Ficha de Embalagens'!A:A,1,0)=A386,"OK","Ficha de Embalagens Não Cadastrada"),"Ficha de Embalagens Não Cadastrada")</f>
        <v>Ficha de Embalagens Não Cadastrada</v>
      </c>
      <c r="M386" s="117">
        <f>SUMIFS('Ficha de Produção'!N:N,'Ficha de Produção'!C:C,D386)*H386</f>
        <v>0</v>
      </c>
      <c r="N386" s="117">
        <f>SUMIFS('Ficha de Embalagens'!F:F,'Ficha de Embalagens'!A:A,A386)</f>
        <v>0</v>
      </c>
      <c r="O386" s="97">
        <f t="shared" si="71"/>
        <v>0</v>
      </c>
      <c r="P386" s="97">
        <f t="shared" si="72"/>
        <v>0</v>
      </c>
      <c r="Q386" s="118">
        <f t="shared" si="73"/>
        <v>0</v>
      </c>
      <c r="R386" s="97">
        <f t="shared" si="74"/>
        <v>0</v>
      </c>
      <c r="S386" s="97">
        <f t="shared" si="75"/>
        <v>0</v>
      </c>
      <c r="T386" s="118">
        <f t="shared" si="76"/>
        <v>0</v>
      </c>
      <c r="U386" s="119"/>
      <c r="V386" s="120" t="str">
        <f t="shared" si="77"/>
        <v>Cadastrar Ficha de Produção</v>
      </c>
      <c r="W386" s="121" t="str">
        <f t="shared" si="78"/>
        <v>Cadastrar Ficha de Produção</v>
      </c>
      <c r="AB386" s="125" t="str">
        <f t="shared" si="79"/>
        <v/>
      </c>
      <c r="AC386" s="125" t="str">
        <f t="shared" si="80"/>
        <v/>
      </c>
      <c r="AD386" s="126" t="str">
        <f t="shared" si="81"/>
        <v/>
      </c>
      <c r="AE386" s="127" t="str">
        <f t="shared" si="82"/>
        <v/>
      </c>
      <c r="AF386" s="128" t="str">
        <f t="shared" si="83"/>
        <v/>
      </c>
    </row>
    <row r="387" spans="1:32" ht="15.75" customHeight="1">
      <c r="A387" s="114" t="s">
        <v>464</v>
      </c>
      <c r="B387" s="114" t="s">
        <v>1085</v>
      </c>
      <c r="C387" s="114" t="s">
        <v>1074</v>
      </c>
      <c r="D387" s="114"/>
      <c r="E387" s="114" t="s">
        <v>1078</v>
      </c>
      <c r="F387" s="114" t="s">
        <v>1086</v>
      </c>
      <c r="G387" s="114" t="s">
        <v>556</v>
      </c>
      <c r="H387" s="115">
        <v>4</v>
      </c>
      <c r="I387" s="114" t="s">
        <v>545</v>
      </c>
      <c r="J387" s="116">
        <f t="shared" si="70"/>
        <v>1</v>
      </c>
      <c r="K387" s="97" t="str">
        <f>IFERROR(IF(VLOOKUP(D387,'Ficha de Produção'!C:C,1,0)=D387,"OK","Custo Produção Não Cadastrado"),"Custo Produção Não Cadastrado")</f>
        <v>Custo Produção Não Cadastrado</v>
      </c>
      <c r="L387" s="97" t="str">
        <f>IFERROR(IF(VLOOKUP(A387,'Ficha de Embalagens'!A:A,1,0)=A387,"OK","Ficha de Embalagens Não Cadastrada"),"Ficha de Embalagens Não Cadastrada")</f>
        <v>Ficha de Embalagens Não Cadastrada</v>
      </c>
      <c r="M387" s="117">
        <f>SUMIFS('Ficha de Produção'!N:N,'Ficha de Produção'!C:C,D387)*H387</f>
        <v>0</v>
      </c>
      <c r="N387" s="117">
        <f>SUMIFS('Ficha de Embalagens'!F:F,'Ficha de Embalagens'!A:A,A387)</f>
        <v>0</v>
      </c>
      <c r="O387" s="97">
        <f t="shared" si="71"/>
        <v>0</v>
      </c>
      <c r="P387" s="97">
        <f t="shared" si="72"/>
        <v>0</v>
      </c>
      <c r="Q387" s="118">
        <f t="shared" si="73"/>
        <v>0</v>
      </c>
      <c r="R387" s="97">
        <f t="shared" si="74"/>
        <v>0</v>
      </c>
      <c r="S387" s="97">
        <f t="shared" si="75"/>
        <v>0</v>
      </c>
      <c r="T387" s="118">
        <f t="shared" si="76"/>
        <v>0</v>
      </c>
      <c r="U387" s="119"/>
      <c r="V387" s="120" t="str">
        <f t="shared" si="77"/>
        <v>Cadastrar Ficha de Produção</v>
      </c>
      <c r="W387" s="121" t="str">
        <f t="shared" si="78"/>
        <v>Cadastrar Ficha de Produção</v>
      </c>
      <c r="AB387" s="125" t="str">
        <f t="shared" si="79"/>
        <v/>
      </c>
      <c r="AC387" s="125" t="str">
        <f t="shared" si="80"/>
        <v/>
      </c>
      <c r="AD387" s="126" t="str">
        <f t="shared" si="81"/>
        <v/>
      </c>
      <c r="AE387" s="127" t="str">
        <f t="shared" si="82"/>
        <v/>
      </c>
      <c r="AF387" s="128" t="str">
        <f t="shared" si="83"/>
        <v/>
      </c>
    </row>
    <row r="388" spans="1:32" ht="15.75" customHeight="1">
      <c r="A388" s="114" t="s">
        <v>465</v>
      </c>
      <c r="B388" s="114" t="s">
        <v>1087</v>
      </c>
      <c r="C388" s="114" t="s">
        <v>1074</v>
      </c>
      <c r="D388" s="114"/>
      <c r="E388" s="114" t="s">
        <v>1078</v>
      </c>
      <c r="F388" s="114" t="s">
        <v>566</v>
      </c>
      <c r="G388" s="114" t="s">
        <v>556</v>
      </c>
      <c r="H388" s="115">
        <v>20</v>
      </c>
      <c r="I388" s="114" t="s">
        <v>545</v>
      </c>
      <c r="J388" s="116">
        <f t="shared" ref="J388:J451" si="84">IF(I388="KG",1,1.27)</f>
        <v>1</v>
      </c>
      <c r="K388" s="97" t="str">
        <f>IFERROR(IF(VLOOKUP(D388,'Ficha de Produção'!C:C,1,0)=D388,"OK","Custo Produção Não Cadastrado"),"Custo Produção Não Cadastrado")</f>
        <v>Custo Produção Não Cadastrado</v>
      </c>
      <c r="L388" s="97" t="str">
        <f>IFERROR(IF(VLOOKUP(A388,'Ficha de Embalagens'!A:A,1,0)=A388,"OK","Ficha de Embalagens Não Cadastrada"),"Ficha de Embalagens Não Cadastrada")</f>
        <v>Ficha de Embalagens Não Cadastrada</v>
      </c>
      <c r="M388" s="117">
        <f>SUMIFS('Ficha de Produção'!N:N,'Ficha de Produção'!C:C,D388)*H388</f>
        <v>0</v>
      </c>
      <c r="N388" s="117">
        <f>SUMIFS('Ficha de Embalagens'!F:F,'Ficha de Embalagens'!A:A,A388)</f>
        <v>0</v>
      </c>
      <c r="O388" s="97">
        <f t="shared" ref="O388:O451" si="85">SUM(M388:N388)</f>
        <v>0</v>
      </c>
      <c r="P388" s="97">
        <f t="shared" ref="P388:P425" si="86">IF(AND(K388="OK",L388="OK"),H388*$P$1,0)</f>
        <v>0</v>
      </c>
      <c r="Q388" s="118">
        <f t="shared" ref="Q388:Q451" si="87">P388+O388</f>
        <v>0</v>
      </c>
      <c r="R388" s="97">
        <f t="shared" ref="R388:R425" si="88">U388*$R$1</f>
        <v>0</v>
      </c>
      <c r="S388" s="97">
        <f t="shared" ref="S388:S425" si="89">$S$1*U388</f>
        <v>0</v>
      </c>
      <c r="T388" s="118">
        <f t="shared" ref="T388:T451" si="90">+Q388+R388+S388</f>
        <v>0</v>
      </c>
      <c r="U388" s="119"/>
      <c r="V388" s="120" t="str">
        <f t="shared" ref="V388:V451" si="91">IF(M388=0,"Cadastrar Ficha de Produção",IF(AND(M388&gt;0,U388=""),"Cadastrar Preço Final",IFERROR((U388-T388)/U388,"")))</f>
        <v>Cadastrar Ficha de Produção</v>
      </c>
      <c r="W388" s="121" t="str">
        <f t="shared" ref="W388:W425" si="92">IF(M388=0,"Cadastrar Ficha de Produção",ROUNDUP(Q388/(1-$R$1-$S$1),2))</f>
        <v>Cadastrar Ficha de Produção</v>
      </c>
      <c r="AB388" s="125" t="str">
        <f t="shared" ref="AB388:AB424" si="93">IF(Q388=0,"",Q388)</f>
        <v/>
      </c>
      <c r="AC388" s="125" t="str">
        <f t="shared" ref="AC388:AC424" si="94">IF(U388="","",U388*(1-$R$1-$S$1))</f>
        <v/>
      </c>
      <c r="AD388" s="126" t="str">
        <f t="shared" ref="AD388:AD451" si="95">IF(OR(AB388="",AC388=""),"",AC388-AB388)</f>
        <v/>
      </c>
      <c r="AE388" s="127" t="str">
        <f t="shared" ref="AE388:AE451" si="96">IF(OR(AD388="",AC388=0),"",AD388/AC388)</f>
        <v/>
      </c>
      <c r="AF388" s="128" t="str">
        <f t="shared" ref="AF388:AF424" si="97">IF(Q388=0,"",ROUNDUP((Q388+IF(AA388="",0,AA388/1200))/(1-$R$1-$S$1),2))</f>
        <v/>
      </c>
    </row>
    <row r="389" spans="1:32" ht="15.75" customHeight="1">
      <c r="A389" s="114" t="s">
        <v>466</v>
      </c>
      <c r="B389" s="114" t="s">
        <v>1088</v>
      </c>
      <c r="C389" s="114" t="s">
        <v>1074</v>
      </c>
      <c r="D389" s="114"/>
      <c r="E389" s="114" t="s">
        <v>1078</v>
      </c>
      <c r="F389" s="114" t="s">
        <v>1080</v>
      </c>
      <c r="G389" s="114" t="s">
        <v>556</v>
      </c>
      <c r="H389" s="115">
        <v>20</v>
      </c>
      <c r="I389" s="114" t="s">
        <v>545</v>
      </c>
      <c r="J389" s="116">
        <f t="shared" si="84"/>
        <v>1</v>
      </c>
      <c r="K389" s="97" t="str">
        <f>IFERROR(IF(VLOOKUP(D389,'Ficha de Produção'!C:C,1,0)=D389,"OK","Custo Produção Não Cadastrado"),"Custo Produção Não Cadastrado")</f>
        <v>Custo Produção Não Cadastrado</v>
      </c>
      <c r="L389" s="97" t="str">
        <f>IFERROR(IF(VLOOKUP(A389,'Ficha de Embalagens'!A:A,1,0)=A389,"OK","Ficha de Embalagens Não Cadastrada"),"Ficha de Embalagens Não Cadastrada")</f>
        <v>Ficha de Embalagens Não Cadastrada</v>
      </c>
      <c r="M389" s="117">
        <f>SUMIFS('Ficha de Produção'!N:N,'Ficha de Produção'!C:C,D389)*H389</f>
        <v>0</v>
      </c>
      <c r="N389" s="117">
        <f>SUMIFS('Ficha de Embalagens'!F:F,'Ficha de Embalagens'!A:A,A389)</f>
        <v>0</v>
      </c>
      <c r="O389" s="97">
        <f t="shared" si="85"/>
        <v>0</v>
      </c>
      <c r="P389" s="97">
        <f t="shared" si="86"/>
        <v>0</v>
      </c>
      <c r="Q389" s="118">
        <f t="shared" si="87"/>
        <v>0</v>
      </c>
      <c r="R389" s="97">
        <f t="shared" si="88"/>
        <v>0</v>
      </c>
      <c r="S389" s="97">
        <f t="shared" si="89"/>
        <v>0</v>
      </c>
      <c r="T389" s="118">
        <f t="shared" si="90"/>
        <v>0</v>
      </c>
      <c r="U389" s="119"/>
      <c r="V389" s="120" t="str">
        <f t="shared" si="91"/>
        <v>Cadastrar Ficha de Produção</v>
      </c>
      <c r="W389" s="121" t="str">
        <f t="shared" si="92"/>
        <v>Cadastrar Ficha de Produção</v>
      </c>
      <c r="AB389" s="125" t="str">
        <f t="shared" si="93"/>
        <v/>
      </c>
      <c r="AC389" s="125" t="str">
        <f t="shared" si="94"/>
        <v/>
      </c>
      <c r="AD389" s="126" t="str">
        <f t="shared" si="95"/>
        <v/>
      </c>
      <c r="AE389" s="127" t="str">
        <f t="shared" si="96"/>
        <v/>
      </c>
      <c r="AF389" s="128" t="str">
        <f t="shared" si="97"/>
        <v/>
      </c>
    </row>
    <row r="390" spans="1:32" ht="15.75" customHeight="1">
      <c r="A390" s="114" t="s">
        <v>467</v>
      </c>
      <c r="B390" s="114" t="s">
        <v>1089</v>
      </c>
      <c r="C390" s="114" t="s">
        <v>1074</v>
      </c>
      <c r="D390" s="114"/>
      <c r="E390" s="114" t="s">
        <v>1078</v>
      </c>
      <c r="F390" s="114" t="s">
        <v>920</v>
      </c>
      <c r="G390" s="114" t="s">
        <v>556</v>
      </c>
      <c r="H390" s="115">
        <v>20</v>
      </c>
      <c r="I390" s="114" t="s">
        <v>545</v>
      </c>
      <c r="J390" s="116">
        <f t="shared" si="84"/>
        <v>1</v>
      </c>
      <c r="K390" s="97" t="str">
        <f>IFERROR(IF(VLOOKUP(D390,'Ficha de Produção'!C:C,1,0)=D390,"OK","Custo Produção Não Cadastrado"),"Custo Produção Não Cadastrado")</f>
        <v>Custo Produção Não Cadastrado</v>
      </c>
      <c r="L390" s="97" t="str">
        <f>IFERROR(IF(VLOOKUP(A390,'Ficha de Embalagens'!A:A,1,0)=A390,"OK","Ficha de Embalagens Não Cadastrada"),"Ficha de Embalagens Não Cadastrada")</f>
        <v>Ficha de Embalagens Não Cadastrada</v>
      </c>
      <c r="M390" s="117">
        <f>SUMIFS('Ficha de Produção'!N:N,'Ficha de Produção'!C:C,D390)*H390</f>
        <v>0</v>
      </c>
      <c r="N390" s="117">
        <f>SUMIFS('Ficha de Embalagens'!F:F,'Ficha de Embalagens'!A:A,A390)</f>
        <v>0</v>
      </c>
      <c r="O390" s="97">
        <f t="shared" si="85"/>
        <v>0</v>
      </c>
      <c r="P390" s="97">
        <f t="shared" si="86"/>
        <v>0</v>
      </c>
      <c r="Q390" s="118">
        <f t="shared" si="87"/>
        <v>0</v>
      </c>
      <c r="R390" s="97">
        <f t="shared" si="88"/>
        <v>0</v>
      </c>
      <c r="S390" s="97">
        <f t="shared" si="89"/>
        <v>0</v>
      </c>
      <c r="T390" s="118">
        <f t="shared" si="90"/>
        <v>0</v>
      </c>
      <c r="U390" s="119"/>
      <c r="V390" s="120" t="str">
        <f t="shared" si="91"/>
        <v>Cadastrar Ficha de Produção</v>
      </c>
      <c r="W390" s="121" t="str">
        <f t="shared" si="92"/>
        <v>Cadastrar Ficha de Produção</v>
      </c>
      <c r="AB390" s="125" t="str">
        <f t="shared" si="93"/>
        <v/>
      </c>
      <c r="AC390" s="125" t="str">
        <f t="shared" si="94"/>
        <v/>
      </c>
      <c r="AD390" s="126" t="str">
        <f t="shared" si="95"/>
        <v/>
      </c>
      <c r="AE390" s="127" t="str">
        <f t="shared" si="96"/>
        <v/>
      </c>
      <c r="AF390" s="128" t="str">
        <f t="shared" si="97"/>
        <v/>
      </c>
    </row>
    <row r="391" spans="1:32" ht="15.75" customHeight="1">
      <c r="A391" s="114" t="s">
        <v>468</v>
      </c>
      <c r="B391" s="114" t="s">
        <v>1090</v>
      </c>
      <c r="C391" s="114" t="s">
        <v>1074</v>
      </c>
      <c r="D391" s="114"/>
      <c r="E391" s="114" t="s">
        <v>1078</v>
      </c>
      <c r="F391" s="114" t="s">
        <v>991</v>
      </c>
      <c r="G391" s="114" t="s">
        <v>556</v>
      </c>
      <c r="H391" s="115">
        <v>20</v>
      </c>
      <c r="I391" s="114" t="s">
        <v>545</v>
      </c>
      <c r="J391" s="116">
        <f t="shared" si="84"/>
        <v>1</v>
      </c>
      <c r="K391" s="97" t="str">
        <f>IFERROR(IF(VLOOKUP(D391,'Ficha de Produção'!C:C,1,0)=D391,"OK","Custo Produção Não Cadastrado"),"Custo Produção Não Cadastrado")</f>
        <v>Custo Produção Não Cadastrado</v>
      </c>
      <c r="L391" s="97" t="str">
        <f>IFERROR(IF(VLOOKUP(A391,'Ficha de Embalagens'!A:A,1,0)=A391,"OK","Ficha de Embalagens Não Cadastrada"),"Ficha de Embalagens Não Cadastrada")</f>
        <v>Ficha de Embalagens Não Cadastrada</v>
      </c>
      <c r="M391" s="117">
        <f>SUMIFS('Ficha de Produção'!N:N,'Ficha de Produção'!C:C,D391)*H391</f>
        <v>0</v>
      </c>
      <c r="N391" s="117">
        <f>SUMIFS('Ficha de Embalagens'!F:F,'Ficha de Embalagens'!A:A,A391)</f>
        <v>0</v>
      </c>
      <c r="O391" s="97">
        <f t="shared" si="85"/>
        <v>0</v>
      </c>
      <c r="P391" s="97">
        <f t="shared" si="86"/>
        <v>0</v>
      </c>
      <c r="Q391" s="118">
        <f t="shared" si="87"/>
        <v>0</v>
      </c>
      <c r="R391" s="97">
        <f t="shared" si="88"/>
        <v>0</v>
      </c>
      <c r="S391" s="97">
        <f t="shared" si="89"/>
        <v>0</v>
      </c>
      <c r="T391" s="118">
        <f t="shared" si="90"/>
        <v>0</v>
      </c>
      <c r="U391" s="119"/>
      <c r="V391" s="120" t="str">
        <f t="shared" si="91"/>
        <v>Cadastrar Ficha de Produção</v>
      </c>
      <c r="W391" s="121" t="str">
        <f t="shared" si="92"/>
        <v>Cadastrar Ficha de Produção</v>
      </c>
      <c r="AB391" s="125" t="str">
        <f t="shared" si="93"/>
        <v/>
      </c>
      <c r="AC391" s="125" t="str">
        <f t="shared" si="94"/>
        <v/>
      </c>
      <c r="AD391" s="126" t="str">
        <f t="shared" si="95"/>
        <v/>
      </c>
      <c r="AE391" s="127" t="str">
        <f t="shared" si="96"/>
        <v/>
      </c>
      <c r="AF391" s="128" t="str">
        <f t="shared" si="97"/>
        <v/>
      </c>
    </row>
    <row r="392" spans="1:32" ht="15.75" customHeight="1">
      <c r="A392" s="114" t="s">
        <v>469</v>
      </c>
      <c r="B392" s="114" t="s">
        <v>1091</v>
      </c>
      <c r="C392" s="114" t="s">
        <v>1074</v>
      </c>
      <c r="D392" s="114"/>
      <c r="E392" s="114" t="s">
        <v>1078</v>
      </c>
      <c r="F392" s="114" t="s">
        <v>1084</v>
      </c>
      <c r="G392" s="114" t="s">
        <v>556</v>
      </c>
      <c r="H392" s="115">
        <v>20</v>
      </c>
      <c r="I392" s="114" t="s">
        <v>545</v>
      </c>
      <c r="J392" s="116">
        <f t="shared" si="84"/>
        <v>1</v>
      </c>
      <c r="K392" s="97" t="str">
        <f>IFERROR(IF(VLOOKUP(D392,'Ficha de Produção'!C:C,1,0)=D392,"OK","Custo Produção Não Cadastrado"),"Custo Produção Não Cadastrado")</f>
        <v>Custo Produção Não Cadastrado</v>
      </c>
      <c r="L392" s="97" t="str">
        <f>IFERROR(IF(VLOOKUP(A392,'Ficha de Embalagens'!A:A,1,0)=A392,"OK","Ficha de Embalagens Não Cadastrada"),"Ficha de Embalagens Não Cadastrada")</f>
        <v>Ficha de Embalagens Não Cadastrada</v>
      </c>
      <c r="M392" s="117">
        <f>SUMIFS('Ficha de Produção'!N:N,'Ficha de Produção'!C:C,D392)*H392</f>
        <v>0</v>
      </c>
      <c r="N392" s="117">
        <f>SUMIFS('Ficha de Embalagens'!F:F,'Ficha de Embalagens'!A:A,A392)</f>
        <v>0</v>
      </c>
      <c r="O392" s="97">
        <f t="shared" si="85"/>
        <v>0</v>
      </c>
      <c r="P392" s="97">
        <f t="shared" si="86"/>
        <v>0</v>
      </c>
      <c r="Q392" s="118">
        <f t="shared" si="87"/>
        <v>0</v>
      </c>
      <c r="R392" s="97">
        <f t="shared" si="88"/>
        <v>0</v>
      </c>
      <c r="S392" s="97">
        <f t="shared" si="89"/>
        <v>0</v>
      </c>
      <c r="T392" s="118">
        <f t="shared" si="90"/>
        <v>0</v>
      </c>
      <c r="U392" s="119"/>
      <c r="V392" s="120" t="str">
        <f t="shared" si="91"/>
        <v>Cadastrar Ficha de Produção</v>
      </c>
      <c r="W392" s="121" t="str">
        <f t="shared" si="92"/>
        <v>Cadastrar Ficha de Produção</v>
      </c>
      <c r="AB392" s="125" t="str">
        <f t="shared" si="93"/>
        <v/>
      </c>
      <c r="AC392" s="125" t="str">
        <f t="shared" si="94"/>
        <v/>
      </c>
      <c r="AD392" s="126" t="str">
        <f t="shared" si="95"/>
        <v/>
      </c>
      <c r="AE392" s="127" t="str">
        <f t="shared" si="96"/>
        <v/>
      </c>
      <c r="AF392" s="128" t="str">
        <f t="shared" si="97"/>
        <v/>
      </c>
    </row>
    <row r="393" spans="1:32" ht="15.75" customHeight="1">
      <c r="A393" s="114" t="s">
        <v>470</v>
      </c>
      <c r="B393" s="114" t="s">
        <v>1092</v>
      </c>
      <c r="C393" s="114" t="s">
        <v>1074</v>
      </c>
      <c r="D393" s="114"/>
      <c r="E393" s="114" t="s">
        <v>1078</v>
      </c>
      <c r="F393" s="114" t="s">
        <v>1086</v>
      </c>
      <c r="G393" s="114" t="s">
        <v>556</v>
      </c>
      <c r="H393" s="115">
        <v>20</v>
      </c>
      <c r="I393" s="114" t="s">
        <v>545</v>
      </c>
      <c r="J393" s="116">
        <f t="shared" si="84"/>
        <v>1</v>
      </c>
      <c r="K393" s="97" t="str">
        <f>IFERROR(IF(VLOOKUP(D393,'Ficha de Produção'!C:C,1,0)=D393,"OK","Custo Produção Não Cadastrado"),"Custo Produção Não Cadastrado")</f>
        <v>Custo Produção Não Cadastrado</v>
      </c>
      <c r="L393" s="97" t="str">
        <f>IFERROR(IF(VLOOKUP(A393,'Ficha de Embalagens'!A:A,1,0)=A393,"OK","Ficha de Embalagens Não Cadastrada"),"Ficha de Embalagens Não Cadastrada")</f>
        <v>Ficha de Embalagens Não Cadastrada</v>
      </c>
      <c r="M393" s="117">
        <f>SUMIFS('Ficha de Produção'!N:N,'Ficha de Produção'!C:C,D393)*H393</f>
        <v>0</v>
      </c>
      <c r="N393" s="117">
        <f>SUMIFS('Ficha de Embalagens'!F:F,'Ficha de Embalagens'!A:A,A393)</f>
        <v>0</v>
      </c>
      <c r="O393" s="97">
        <f t="shared" si="85"/>
        <v>0</v>
      </c>
      <c r="P393" s="97">
        <f t="shared" si="86"/>
        <v>0</v>
      </c>
      <c r="Q393" s="118">
        <f t="shared" si="87"/>
        <v>0</v>
      </c>
      <c r="R393" s="97">
        <f t="shared" si="88"/>
        <v>0</v>
      </c>
      <c r="S393" s="97">
        <f t="shared" si="89"/>
        <v>0</v>
      </c>
      <c r="T393" s="118">
        <f t="shared" si="90"/>
        <v>0</v>
      </c>
      <c r="U393" s="119"/>
      <c r="V393" s="120" t="str">
        <f t="shared" si="91"/>
        <v>Cadastrar Ficha de Produção</v>
      </c>
      <c r="W393" s="121" t="str">
        <f t="shared" si="92"/>
        <v>Cadastrar Ficha de Produção</v>
      </c>
      <c r="AB393" s="125" t="str">
        <f t="shared" si="93"/>
        <v/>
      </c>
      <c r="AC393" s="125" t="str">
        <f t="shared" si="94"/>
        <v/>
      </c>
      <c r="AD393" s="126" t="str">
        <f t="shared" si="95"/>
        <v/>
      </c>
      <c r="AE393" s="127" t="str">
        <f t="shared" si="96"/>
        <v/>
      </c>
      <c r="AF393" s="128" t="str">
        <f t="shared" si="97"/>
        <v/>
      </c>
    </row>
    <row r="394" spans="1:32" ht="15.75" customHeight="1">
      <c r="A394" s="114" t="s">
        <v>471</v>
      </c>
      <c r="B394" s="114" t="s">
        <v>1093</v>
      </c>
      <c r="C394" s="114" t="s">
        <v>1094</v>
      </c>
      <c r="D394" s="114"/>
      <c r="E394" s="114" t="s">
        <v>554</v>
      </c>
      <c r="F394" s="114" t="s">
        <v>555</v>
      </c>
      <c r="G394" s="114" t="s">
        <v>556</v>
      </c>
      <c r="H394" s="115">
        <v>3</v>
      </c>
      <c r="I394" s="114" t="s">
        <v>551</v>
      </c>
      <c r="J394" s="116">
        <f t="shared" si="84"/>
        <v>1.27</v>
      </c>
      <c r="K394" s="97" t="str">
        <f>IFERROR(IF(VLOOKUP(D394,'Ficha de Produção'!C:C,1,0)=D394,"OK","Custo Produção Não Cadastrado"),"Custo Produção Não Cadastrado")</f>
        <v>Custo Produção Não Cadastrado</v>
      </c>
      <c r="L394" s="97" t="str">
        <f>IFERROR(IF(VLOOKUP(A394,'Ficha de Embalagens'!A:A,1,0)=A394,"OK","Ficha de Embalagens Não Cadastrada"),"Ficha de Embalagens Não Cadastrada")</f>
        <v>Ficha de Embalagens Não Cadastrada</v>
      </c>
      <c r="M394" s="117">
        <f>SUMIFS('Ficha de Produção'!N:N,'Ficha de Produção'!C:C,D394)*H394</f>
        <v>0</v>
      </c>
      <c r="N394" s="117">
        <f>SUMIFS('Ficha de Embalagens'!F:F,'Ficha de Embalagens'!A:A,A394)</f>
        <v>0</v>
      </c>
      <c r="O394" s="97">
        <f t="shared" si="85"/>
        <v>0</v>
      </c>
      <c r="P394" s="97">
        <f t="shared" si="86"/>
        <v>0</v>
      </c>
      <c r="Q394" s="118">
        <f t="shared" si="87"/>
        <v>0</v>
      </c>
      <c r="R394" s="97">
        <f t="shared" si="88"/>
        <v>0</v>
      </c>
      <c r="S394" s="97">
        <f t="shared" si="89"/>
        <v>0</v>
      </c>
      <c r="T394" s="118">
        <f t="shared" si="90"/>
        <v>0</v>
      </c>
      <c r="U394" s="119"/>
      <c r="V394" s="120" t="str">
        <f t="shared" si="91"/>
        <v>Cadastrar Ficha de Produção</v>
      </c>
      <c r="W394" s="121" t="str">
        <f t="shared" si="92"/>
        <v>Cadastrar Ficha de Produção</v>
      </c>
      <c r="AB394" s="125" t="str">
        <f t="shared" si="93"/>
        <v/>
      </c>
      <c r="AC394" s="125" t="str">
        <f t="shared" si="94"/>
        <v/>
      </c>
      <c r="AD394" s="126" t="str">
        <f t="shared" si="95"/>
        <v/>
      </c>
      <c r="AE394" s="127" t="str">
        <f t="shared" si="96"/>
        <v/>
      </c>
      <c r="AF394" s="128" t="str">
        <f t="shared" si="97"/>
        <v/>
      </c>
    </row>
    <row r="395" spans="1:32" ht="15.75" customHeight="1">
      <c r="A395" s="114" t="s">
        <v>472</v>
      </c>
      <c r="B395" s="114" t="s">
        <v>1095</v>
      </c>
      <c r="C395" s="114" t="s">
        <v>1094</v>
      </c>
      <c r="D395" s="114"/>
      <c r="E395" s="114" t="s">
        <v>554</v>
      </c>
      <c r="F395" s="114" t="s">
        <v>1096</v>
      </c>
      <c r="G395" s="114" t="s">
        <v>556</v>
      </c>
      <c r="H395" s="115">
        <v>3</v>
      </c>
      <c r="I395" s="114" t="s">
        <v>551</v>
      </c>
      <c r="J395" s="116">
        <f t="shared" si="84"/>
        <v>1.27</v>
      </c>
      <c r="K395" s="97" t="str">
        <f>IFERROR(IF(VLOOKUP(D395,'Ficha de Produção'!C:C,1,0)=D395,"OK","Custo Produção Não Cadastrado"),"Custo Produção Não Cadastrado")</f>
        <v>Custo Produção Não Cadastrado</v>
      </c>
      <c r="L395" s="97" t="str">
        <f>IFERROR(IF(VLOOKUP(A395,'Ficha de Embalagens'!A:A,1,0)=A395,"OK","Ficha de Embalagens Não Cadastrada"),"Ficha de Embalagens Não Cadastrada")</f>
        <v>Ficha de Embalagens Não Cadastrada</v>
      </c>
      <c r="M395" s="117">
        <f>SUMIFS('Ficha de Produção'!N:N,'Ficha de Produção'!C:C,D395)*H395</f>
        <v>0</v>
      </c>
      <c r="N395" s="117">
        <f>SUMIFS('Ficha de Embalagens'!F:F,'Ficha de Embalagens'!A:A,A395)</f>
        <v>0</v>
      </c>
      <c r="O395" s="97">
        <f t="shared" si="85"/>
        <v>0</v>
      </c>
      <c r="P395" s="97">
        <f t="shared" si="86"/>
        <v>0</v>
      </c>
      <c r="Q395" s="118">
        <f t="shared" si="87"/>
        <v>0</v>
      </c>
      <c r="R395" s="97">
        <f t="shared" si="88"/>
        <v>0</v>
      </c>
      <c r="S395" s="97">
        <f t="shared" si="89"/>
        <v>0</v>
      </c>
      <c r="T395" s="118">
        <f t="shared" si="90"/>
        <v>0</v>
      </c>
      <c r="U395" s="119"/>
      <c r="V395" s="120" t="str">
        <f t="shared" si="91"/>
        <v>Cadastrar Ficha de Produção</v>
      </c>
      <c r="W395" s="121" t="str">
        <f t="shared" si="92"/>
        <v>Cadastrar Ficha de Produção</v>
      </c>
      <c r="AB395" s="125" t="str">
        <f t="shared" si="93"/>
        <v/>
      </c>
      <c r="AC395" s="125" t="str">
        <f t="shared" si="94"/>
        <v/>
      </c>
      <c r="AD395" s="126" t="str">
        <f t="shared" si="95"/>
        <v/>
      </c>
      <c r="AE395" s="127" t="str">
        <f t="shared" si="96"/>
        <v/>
      </c>
      <c r="AF395" s="128" t="str">
        <f t="shared" si="97"/>
        <v/>
      </c>
    </row>
    <row r="396" spans="1:32" ht="15.75" customHeight="1">
      <c r="A396" s="114" t="s">
        <v>473</v>
      </c>
      <c r="B396" s="114" t="s">
        <v>1097</v>
      </c>
      <c r="C396" s="114" t="s">
        <v>1094</v>
      </c>
      <c r="D396" s="114"/>
      <c r="E396" s="114" t="s">
        <v>554</v>
      </c>
      <c r="F396" s="114" t="s">
        <v>1098</v>
      </c>
      <c r="G396" s="114" t="s">
        <v>556</v>
      </c>
      <c r="H396" s="115">
        <v>3</v>
      </c>
      <c r="I396" s="114" t="s">
        <v>551</v>
      </c>
      <c r="J396" s="116">
        <f t="shared" si="84"/>
        <v>1.27</v>
      </c>
      <c r="K396" s="97" t="str">
        <f>IFERROR(IF(VLOOKUP(D396,'Ficha de Produção'!C:C,1,0)=D396,"OK","Custo Produção Não Cadastrado"),"Custo Produção Não Cadastrado")</f>
        <v>Custo Produção Não Cadastrado</v>
      </c>
      <c r="L396" s="97" t="str">
        <f>IFERROR(IF(VLOOKUP(A396,'Ficha de Embalagens'!A:A,1,0)=A396,"OK","Ficha de Embalagens Não Cadastrada"),"Ficha de Embalagens Não Cadastrada")</f>
        <v>Ficha de Embalagens Não Cadastrada</v>
      </c>
      <c r="M396" s="117">
        <f>SUMIFS('Ficha de Produção'!N:N,'Ficha de Produção'!C:C,D396)*H396</f>
        <v>0</v>
      </c>
      <c r="N396" s="117">
        <f>SUMIFS('Ficha de Embalagens'!F:F,'Ficha de Embalagens'!A:A,A396)</f>
        <v>0</v>
      </c>
      <c r="O396" s="97">
        <f t="shared" si="85"/>
        <v>0</v>
      </c>
      <c r="P396" s="97">
        <f t="shared" si="86"/>
        <v>0</v>
      </c>
      <c r="Q396" s="118">
        <f t="shared" si="87"/>
        <v>0</v>
      </c>
      <c r="R396" s="97">
        <f t="shared" si="88"/>
        <v>0</v>
      </c>
      <c r="S396" s="97">
        <f t="shared" si="89"/>
        <v>0</v>
      </c>
      <c r="T396" s="118">
        <f t="shared" si="90"/>
        <v>0</v>
      </c>
      <c r="U396" s="119"/>
      <c r="V396" s="120" t="str">
        <f t="shared" si="91"/>
        <v>Cadastrar Ficha de Produção</v>
      </c>
      <c r="W396" s="121" t="str">
        <f t="shared" si="92"/>
        <v>Cadastrar Ficha de Produção</v>
      </c>
      <c r="AB396" s="125" t="str">
        <f t="shared" si="93"/>
        <v/>
      </c>
      <c r="AC396" s="125" t="str">
        <f t="shared" si="94"/>
        <v/>
      </c>
      <c r="AD396" s="126" t="str">
        <f t="shared" si="95"/>
        <v/>
      </c>
      <c r="AE396" s="127" t="str">
        <f t="shared" si="96"/>
        <v/>
      </c>
      <c r="AF396" s="128" t="str">
        <f t="shared" si="97"/>
        <v/>
      </c>
    </row>
    <row r="397" spans="1:32" ht="15.75" customHeight="1">
      <c r="A397" s="114" t="s">
        <v>474</v>
      </c>
      <c r="B397" s="114" t="s">
        <v>1099</v>
      </c>
      <c r="C397" s="114" t="s">
        <v>1094</v>
      </c>
      <c r="D397" s="114"/>
      <c r="E397" s="114" t="s">
        <v>554</v>
      </c>
      <c r="F397" s="114" t="s">
        <v>1100</v>
      </c>
      <c r="G397" s="114" t="s">
        <v>556</v>
      </c>
      <c r="H397" s="115">
        <v>3</v>
      </c>
      <c r="I397" s="114" t="s">
        <v>551</v>
      </c>
      <c r="J397" s="116">
        <f t="shared" si="84"/>
        <v>1.27</v>
      </c>
      <c r="K397" s="97" t="str">
        <f>IFERROR(IF(VLOOKUP(D397,'Ficha de Produção'!C:C,1,0)=D397,"OK","Custo Produção Não Cadastrado"),"Custo Produção Não Cadastrado")</f>
        <v>Custo Produção Não Cadastrado</v>
      </c>
      <c r="L397" s="97" t="str">
        <f>IFERROR(IF(VLOOKUP(A397,'Ficha de Embalagens'!A:A,1,0)=A397,"OK","Ficha de Embalagens Não Cadastrada"),"Ficha de Embalagens Não Cadastrada")</f>
        <v>Ficha de Embalagens Não Cadastrada</v>
      </c>
      <c r="M397" s="117">
        <f>SUMIFS('Ficha de Produção'!N:N,'Ficha de Produção'!C:C,D397)*H397</f>
        <v>0</v>
      </c>
      <c r="N397" s="117">
        <f>SUMIFS('Ficha de Embalagens'!F:F,'Ficha de Embalagens'!A:A,A397)</f>
        <v>0</v>
      </c>
      <c r="O397" s="97">
        <f t="shared" si="85"/>
        <v>0</v>
      </c>
      <c r="P397" s="97">
        <f t="shared" si="86"/>
        <v>0</v>
      </c>
      <c r="Q397" s="118">
        <f t="shared" si="87"/>
        <v>0</v>
      </c>
      <c r="R397" s="97">
        <f t="shared" si="88"/>
        <v>0</v>
      </c>
      <c r="S397" s="97">
        <f t="shared" si="89"/>
        <v>0</v>
      </c>
      <c r="T397" s="118">
        <f t="shared" si="90"/>
        <v>0</v>
      </c>
      <c r="U397" s="119"/>
      <c r="V397" s="120" t="str">
        <f t="shared" si="91"/>
        <v>Cadastrar Ficha de Produção</v>
      </c>
      <c r="W397" s="121" t="str">
        <f t="shared" si="92"/>
        <v>Cadastrar Ficha de Produção</v>
      </c>
      <c r="AB397" s="125" t="str">
        <f t="shared" si="93"/>
        <v/>
      </c>
      <c r="AC397" s="125" t="str">
        <f t="shared" si="94"/>
        <v/>
      </c>
      <c r="AD397" s="126" t="str">
        <f t="shared" si="95"/>
        <v/>
      </c>
      <c r="AE397" s="127" t="str">
        <f t="shared" si="96"/>
        <v/>
      </c>
      <c r="AF397" s="128" t="str">
        <f t="shared" si="97"/>
        <v/>
      </c>
    </row>
    <row r="398" spans="1:32" ht="15.75" customHeight="1">
      <c r="A398" s="114" t="s">
        <v>475</v>
      </c>
      <c r="B398" s="114" t="s">
        <v>1101</v>
      </c>
      <c r="C398" s="114" t="s">
        <v>1094</v>
      </c>
      <c r="D398" s="114"/>
      <c r="E398" s="114" t="s">
        <v>554</v>
      </c>
      <c r="F398" s="114" t="s">
        <v>1102</v>
      </c>
      <c r="G398" s="114" t="s">
        <v>556</v>
      </c>
      <c r="H398" s="115">
        <v>20</v>
      </c>
      <c r="I398" s="114" t="s">
        <v>545</v>
      </c>
      <c r="J398" s="116">
        <f t="shared" si="84"/>
        <v>1</v>
      </c>
      <c r="K398" s="97" t="str">
        <f>IFERROR(IF(VLOOKUP(D398,'Ficha de Produção'!C:C,1,0)=D398,"OK","Custo Produção Não Cadastrado"),"Custo Produção Não Cadastrado")</f>
        <v>Custo Produção Não Cadastrado</v>
      </c>
      <c r="L398" s="97" t="str">
        <f>IFERROR(IF(VLOOKUP(A398,'Ficha de Embalagens'!A:A,1,0)=A398,"OK","Ficha de Embalagens Não Cadastrada"),"Ficha de Embalagens Não Cadastrada")</f>
        <v>Ficha de Embalagens Não Cadastrada</v>
      </c>
      <c r="M398" s="117">
        <f>SUMIFS('Ficha de Produção'!N:N,'Ficha de Produção'!C:C,D398)*H398</f>
        <v>0</v>
      </c>
      <c r="N398" s="117">
        <f>SUMIFS('Ficha de Embalagens'!F:F,'Ficha de Embalagens'!A:A,A398)</f>
        <v>0</v>
      </c>
      <c r="O398" s="97">
        <f t="shared" si="85"/>
        <v>0</v>
      </c>
      <c r="P398" s="97">
        <f t="shared" si="86"/>
        <v>0</v>
      </c>
      <c r="Q398" s="118">
        <f t="shared" si="87"/>
        <v>0</v>
      </c>
      <c r="R398" s="97">
        <f t="shared" si="88"/>
        <v>0</v>
      </c>
      <c r="S398" s="97">
        <f t="shared" si="89"/>
        <v>0</v>
      </c>
      <c r="T398" s="118">
        <f t="shared" si="90"/>
        <v>0</v>
      </c>
      <c r="U398" s="119"/>
      <c r="V398" s="120" t="str">
        <f t="shared" si="91"/>
        <v>Cadastrar Ficha de Produção</v>
      </c>
      <c r="W398" s="121" t="str">
        <f t="shared" si="92"/>
        <v>Cadastrar Ficha de Produção</v>
      </c>
      <c r="AB398" s="125" t="str">
        <f t="shared" si="93"/>
        <v/>
      </c>
      <c r="AC398" s="125" t="str">
        <f t="shared" si="94"/>
        <v/>
      </c>
      <c r="AD398" s="126" t="str">
        <f t="shared" si="95"/>
        <v/>
      </c>
      <c r="AE398" s="127" t="str">
        <f t="shared" si="96"/>
        <v/>
      </c>
      <c r="AF398" s="128" t="str">
        <f t="shared" si="97"/>
        <v/>
      </c>
    </row>
    <row r="399" spans="1:32" ht="15.75" customHeight="1">
      <c r="A399" s="114" t="s">
        <v>476</v>
      </c>
      <c r="B399" s="114" t="s">
        <v>1103</v>
      </c>
      <c r="C399" s="114" t="s">
        <v>1094</v>
      </c>
      <c r="D399" s="114"/>
      <c r="E399" s="114" t="s">
        <v>554</v>
      </c>
      <c r="F399" s="114" t="s">
        <v>1104</v>
      </c>
      <c r="G399" s="114" t="s">
        <v>556</v>
      </c>
      <c r="H399" s="115">
        <v>3</v>
      </c>
      <c r="I399" s="114" t="s">
        <v>551</v>
      </c>
      <c r="J399" s="116">
        <f t="shared" si="84"/>
        <v>1.27</v>
      </c>
      <c r="K399" s="97" t="str">
        <f>IFERROR(IF(VLOOKUP(D399,'Ficha de Produção'!C:C,1,0)=D399,"OK","Custo Produção Não Cadastrado"),"Custo Produção Não Cadastrado")</f>
        <v>Custo Produção Não Cadastrado</v>
      </c>
      <c r="L399" s="97" t="str">
        <f>IFERROR(IF(VLOOKUP(A399,'Ficha de Embalagens'!A:A,1,0)=A399,"OK","Ficha de Embalagens Não Cadastrada"),"Ficha de Embalagens Não Cadastrada")</f>
        <v>Ficha de Embalagens Não Cadastrada</v>
      </c>
      <c r="M399" s="117">
        <f>SUMIFS('Ficha de Produção'!N:N,'Ficha de Produção'!C:C,D399)*H399</f>
        <v>0</v>
      </c>
      <c r="N399" s="117">
        <f>SUMIFS('Ficha de Embalagens'!F:F,'Ficha de Embalagens'!A:A,A399)</f>
        <v>0</v>
      </c>
      <c r="O399" s="97">
        <f t="shared" si="85"/>
        <v>0</v>
      </c>
      <c r="P399" s="97">
        <f t="shared" si="86"/>
        <v>0</v>
      </c>
      <c r="Q399" s="118">
        <f t="shared" si="87"/>
        <v>0</v>
      </c>
      <c r="R399" s="97">
        <f t="shared" si="88"/>
        <v>0</v>
      </c>
      <c r="S399" s="97">
        <f t="shared" si="89"/>
        <v>0</v>
      </c>
      <c r="T399" s="118">
        <f t="shared" si="90"/>
        <v>0</v>
      </c>
      <c r="U399" s="119"/>
      <c r="V399" s="120" t="str">
        <f t="shared" si="91"/>
        <v>Cadastrar Ficha de Produção</v>
      </c>
      <c r="W399" s="121" t="str">
        <f t="shared" si="92"/>
        <v>Cadastrar Ficha de Produção</v>
      </c>
      <c r="AB399" s="125" t="str">
        <f t="shared" si="93"/>
        <v/>
      </c>
      <c r="AC399" s="125" t="str">
        <f t="shared" si="94"/>
        <v/>
      </c>
      <c r="AD399" s="126" t="str">
        <f t="shared" si="95"/>
        <v/>
      </c>
      <c r="AE399" s="127" t="str">
        <f t="shared" si="96"/>
        <v/>
      </c>
      <c r="AF399" s="128" t="str">
        <f t="shared" si="97"/>
        <v/>
      </c>
    </row>
    <row r="400" spans="1:32" ht="15.75" customHeight="1">
      <c r="A400" s="114" t="s">
        <v>477</v>
      </c>
      <c r="B400" s="114" t="s">
        <v>1105</v>
      </c>
      <c r="C400" s="114" t="s">
        <v>1094</v>
      </c>
      <c r="D400" s="114"/>
      <c r="E400" s="114" t="s">
        <v>554</v>
      </c>
      <c r="F400" s="114" t="s">
        <v>1106</v>
      </c>
      <c r="G400" s="114" t="s">
        <v>556</v>
      </c>
      <c r="H400" s="115">
        <v>3</v>
      </c>
      <c r="I400" s="114" t="s">
        <v>551</v>
      </c>
      <c r="J400" s="116">
        <f t="shared" si="84"/>
        <v>1.27</v>
      </c>
      <c r="K400" s="97" t="str">
        <f>IFERROR(IF(VLOOKUP(D400,'Ficha de Produção'!C:C,1,0)=D400,"OK","Custo Produção Não Cadastrado"),"Custo Produção Não Cadastrado")</f>
        <v>Custo Produção Não Cadastrado</v>
      </c>
      <c r="L400" s="97" t="str">
        <f>IFERROR(IF(VLOOKUP(A400,'Ficha de Embalagens'!A:A,1,0)=A400,"OK","Ficha de Embalagens Não Cadastrada"),"Ficha de Embalagens Não Cadastrada")</f>
        <v>Ficha de Embalagens Não Cadastrada</v>
      </c>
      <c r="M400" s="117">
        <f>SUMIFS('Ficha de Produção'!N:N,'Ficha de Produção'!C:C,D400)*H400</f>
        <v>0</v>
      </c>
      <c r="N400" s="117">
        <f>SUMIFS('Ficha de Embalagens'!F:F,'Ficha de Embalagens'!A:A,A400)</f>
        <v>0</v>
      </c>
      <c r="O400" s="97">
        <f t="shared" si="85"/>
        <v>0</v>
      </c>
      <c r="P400" s="97">
        <f t="shared" si="86"/>
        <v>0</v>
      </c>
      <c r="Q400" s="118">
        <f t="shared" si="87"/>
        <v>0</v>
      </c>
      <c r="R400" s="97">
        <f t="shared" si="88"/>
        <v>0</v>
      </c>
      <c r="S400" s="97">
        <f t="shared" si="89"/>
        <v>0</v>
      </c>
      <c r="T400" s="118">
        <f t="shared" si="90"/>
        <v>0</v>
      </c>
      <c r="U400" s="119"/>
      <c r="V400" s="120" t="str">
        <f t="shared" si="91"/>
        <v>Cadastrar Ficha de Produção</v>
      </c>
      <c r="W400" s="121" t="str">
        <f t="shared" si="92"/>
        <v>Cadastrar Ficha de Produção</v>
      </c>
      <c r="AB400" s="125" t="str">
        <f t="shared" si="93"/>
        <v/>
      </c>
      <c r="AC400" s="125" t="str">
        <f t="shared" si="94"/>
        <v/>
      </c>
      <c r="AD400" s="126" t="str">
        <f t="shared" si="95"/>
        <v/>
      </c>
      <c r="AE400" s="127" t="str">
        <f t="shared" si="96"/>
        <v/>
      </c>
      <c r="AF400" s="128" t="str">
        <f t="shared" si="97"/>
        <v/>
      </c>
    </row>
    <row r="401" spans="1:32" ht="15.75" customHeight="1">
      <c r="A401" s="114" t="s">
        <v>478</v>
      </c>
      <c r="B401" s="114" t="s">
        <v>1107</v>
      </c>
      <c r="C401" s="114" t="s">
        <v>1094</v>
      </c>
      <c r="D401" s="114"/>
      <c r="E401" s="114" t="s">
        <v>554</v>
      </c>
      <c r="F401" s="114" t="s">
        <v>1108</v>
      </c>
      <c r="G401" s="114" t="s">
        <v>556</v>
      </c>
      <c r="H401" s="115">
        <v>3</v>
      </c>
      <c r="I401" s="114" t="s">
        <v>551</v>
      </c>
      <c r="J401" s="116">
        <f t="shared" si="84"/>
        <v>1.27</v>
      </c>
      <c r="K401" s="97" t="str">
        <f>IFERROR(IF(VLOOKUP(D401,'Ficha de Produção'!C:C,1,0)=D401,"OK","Custo Produção Não Cadastrado"),"Custo Produção Não Cadastrado")</f>
        <v>Custo Produção Não Cadastrado</v>
      </c>
      <c r="L401" s="97" t="str">
        <f>IFERROR(IF(VLOOKUP(A401,'Ficha de Embalagens'!A:A,1,0)=A401,"OK","Ficha de Embalagens Não Cadastrada"),"Ficha de Embalagens Não Cadastrada")</f>
        <v>Ficha de Embalagens Não Cadastrada</v>
      </c>
      <c r="M401" s="117">
        <f>SUMIFS('Ficha de Produção'!N:N,'Ficha de Produção'!C:C,D401)*H401</f>
        <v>0</v>
      </c>
      <c r="N401" s="117">
        <f>SUMIFS('Ficha de Embalagens'!F:F,'Ficha de Embalagens'!A:A,A401)</f>
        <v>0</v>
      </c>
      <c r="O401" s="97">
        <f t="shared" si="85"/>
        <v>0</v>
      </c>
      <c r="P401" s="97">
        <f t="shared" si="86"/>
        <v>0</v>
      </c>
      <c r="Q401" s="118">
        <f t="shared" si="87"/>
        <v>0</v>
      </c>
      <c r="R401" s="97">
        <f t="shared" si="88"/>
        <v>0</v>
      </c>
      <c r="S401" s="97">
        <f t="shared" si="89"/>
        <v>0</v>
      </c>
      <c r="T401" s="118">
        <f t="shared" si="90"/>
        <v>0</v>
      </c>
      <c r="U401" s="119"/>
      <c r="V401" s="120" t="str">
        <f t="shared" si="91"/>
        <v>Cadastrar Ficha de Produção</v>
      </c>
      <c r="W401" s="121" t="str">
        <f t="shared" si="92"/>
        <v>Cadastrar Ficha de Produção</v>
      </c>
      <c r="AB401" s="125" t="str">
        <f t="shared" si="93"/>
        <v/>
      </c>
      <c r="AC401" s="125" t="str">
        <f t="shared" si="94"/>
        <v/>
      </c>
      <c r="AD401" s="126" t="str">
        <f t="shared" si="95"/>
        <v/>
      </c>
      <c r="AE401" s="127" t="str">
        <f t="shared" si="96"/>
        <v/>
      </c>
      <c r="AF401" s="128" t="str">
        <f t="shared" si="97"/>
        <v/>
      </c>
    </row>
    <row r="402" spans="1:32" ht="15.75" customHeight="1">
      <c r="A402" s="114" t="s">
        <v>479</v>
      </c>
      <c r="B402" s="114" t="s">
        <v>1109</v>
      </c>
      <c r="C402" s="114" t="s">
        <v>1094</v>
      </c>
      <c r="D402" s="114"/>
      <c r="E402" s="114" t="s">
        <v>554</v>
      </c>
      <c r="F402" s="114" t="s">
        <v>555</v>
      </c>
      <c r="G402" s="114" t="s">
        <v>556</v>
      </c>
      <c r="H402" s="115">
        <v>0.75</v>
      </c>
      <c r="I402" s="114" t="s">
        <v>551</v>
      </c>
      <c r="J402" s="116">
        <f t="shared" si="84"/>
        <v>1.27</v>
      </c>
      <c r="K402" s="97" t="str">
        <f>IFERROR(IF(VLOOKUP(D402,'Ficha de Produção'!C:C,1,0)=D402,"OK","Custo Produção Não Cadastrado"),"Custo Produção Não Cadastrado")</f>
        <v>Custo Produção Não Cadastrado</v>
      </c>
      <c r="L402" s="97" t="str">
        <f>IFERROR(IF(VLOOKUP(A402,'Ficha de Embalagens'!A:A,1,0)=A402,"OK","Ficha de Embalagens Não Cadastrada"),"Ficha de Embalagens Não Cadastrada")</f>
        <v>Ficha de Embalagens Não Cadastrada</v>
      </c>
      <c r="M402" s="117">
        <f>SUMIFS('Ficha de Produção'!N:N,'Ficha de Produção'!C:C,D402)*H402</f>
        <v>0</v>
      </c>
      <c r="N402" s="117">
        <f>SUMIFS('Ficha de Embalagens'!F:F,'Ficha de Embalagens'!A:A,A402)</f>
        <v>0</v>
      </c>
      <c r="O402" s="97">
        <f t="shared" si="85"/>
        <v>0</v>
      </c>
      <c r="P402" s="97">
        <f t="shared" si="86"/>
        <v>0</v>
      </c>
      <c r="Q402" s="118">
        <f t="shared" si="87"/>
        <v>0</v>
      </c>
      <c r="R402" s="97">
        <f t="shared" si="88"/>
        <v>0</v>
      </c>
      <c r="S402" s="97">
        <f t="shared" si="89"/>
        <v>0</v>
      </c>
      <c r="T402" s="118">
        <f t="shared" si="90"/>
        <v>0</v>
      </c>
      <c r="U402" s="119"/>
      <c r="V402" s="120" t="str">
        <f t="shared" si="91"/>
        <v>Cadastrar Ficha de Produção</v>
      </c>
      <c r="W402" s="121" t="str">
        <f t="shared" si="92"/>
        <v>Cadastrar Ficha de Produção</v>
      </c>
      <c r="AB402" s="125" t="str">
        <f t="shared" si="93"/>
        <v/>
      </c>
      <c r="AC402" s="125" t="str">
        <f t="shared" si="94"/>
        <v/>
      </c>
      <c r="AD402" s="126" t="str">
        <f t="shared" si="95"/>
        <v/>
      </c>
      <c r="AE402" s="127" t="str">
        <f t="shared" si="96"/>
        <v/>
      </c>
      <c r="AF402" s="128" t="str">
        <f t="shared" si="97"/>
        <v/>
      </c>
    </row>
    <row r="403" spans="1:32" ht="15.75" customHeight="1">
      <c r="A403" s="114" t="s">
        <v>480</v>
      </c>
      <c r="B403" s="114" t="s">
        <v>1110</v>
      </c>
      <c r="C403" s="114" t="s">
        <v>1094</v>
      </c>
      <c r="D403" s="114"/>
      <c r="E403" s="114" t="s">
        <v>554</v>
      </c>
      <c r="F403" s="114" t="s">
        <v>1096</v>
      </c>
      <c r="G403" s="114" t="s">
        <v>556</v>
      </c>
      <c r="H403" s="115">
        <v>0.75</v>
      </c>
      <c r="I403" s="114" t="s">
        <v>551</v>
      </c>
      <c r="J403" s="116">
        <f t="shared" si="84"/>
        <v>1.27</v>
      </c>
      <c r="K403" s="97" t="str">
        <f>IFERROR(IF(VLOOKUP(D403,'Ficha de Produção'!C:C,1,0)=D403,"OK","Custo Produção Não Cadastrado"),"Custo Produção Não Cadastrado")</f>
        <v>Custo Produção Não Cadastrado</v>
      </c>
      <c r="L403" s="97" t="str">
        <f>IFERROR(IF(VLOOKUP(A403,'Ficha de Embalagens'!A:A,1,0)=A403,"OK","Ficha de Embalagens Não Cadastrada"),"Ficha de Embalagens Não Cadastrada")</f>
        <v>Ficha de Embalagens Não Cadastrada</v>
      </c>
      <c r="M403" s="117">
        <f>SUMIFS('Ficha de Produção'!N:N,'Ficha de Produção'!C:C,D403)*H403</f>
        <v>0</v>
      </c>
      <c r="N403" s="117">
        <f>SUMIFS('Ficha de Embalagens'!F:F,'Ficha de Embalagens'!A:A,A403)</f>
        <v>0</v>
      </c>
      <c r="O403" s="97">
        <f t="shared" si="85"/>
        <v>0</v>
      </c>
      <c r="P403" s="97">
        <f t="shared" si="86"/>
        <v>0</v>
      </c>
      <c r="Q403" s="118">
        <f t="shared" si="87"/>
        <v>0</v>
      </c>
      <c r="R403" s="97">
        <f t="shared" si="88"/>
        <v>0</v>
      </c>
      <c r="S403" s="97">
        <f t="shared" si="89"/>
        <v>0</v>
      </c>
      <c r="T403" s="118">
        <f t="shared" si="90"/>
        <v>0</v>
      </c>
      <c r="U403" s="119"/>
      <c r="V403" s="120" t="str">
        <f t="shared" si="91"/>
        <v>Cadastrar Ficha de Produção</v>
      </c>
      <c r="W403" s="121" t="str">
        <f t="shared" si="92"/>
        <v>Cadastrar Ficha de Produção</v>
      </c>
      <c r="AB403" s="125" t="str">
        <f t="shared" si="93"/>
        <v/>
      </c>
      <c r="AC403" s="125" t="str">
        <f t="shared" si="94"/>
        <v/>
      </c>
      <c r="AD403" s="126" t="str">
        <f t="shared" si="95"/>
        <v/>
      </c>
      <c r="AE403" s="127" t="str">
        <f t="shared" si="96"/>
        <v/>
      </c>
      <c r="AF403" s="128" t="str">
        <f t="shared" si="97"/>
        <v/>
      </c>
    </row>
    <row r="404" spans="1:32" ht="15.75" customHeight="1">
      <c r="A404" s="114" t="s">
        <v>481</v>
      </c>
      <c r="B404" s="114" t="s">
        <v>1111</v>
      </c>
      <c r="C404" s="114" t="s">
        <v>1094</v>
      </c>
      <c r="D404" s="114"/>
      <c r="E404" s="114" t="s">
        <v>554</v>
      </c>
      <c r="F404" s="114" t="s">
        <v>1098</v>
      </c>
      <c r="G404" s="114" t="s">
        <v>556</v>
      </c>
      <c r="H404" s="115">
        <v>0.75</v>
      </c>
      <c r="I404" s="114" t="s">
        <v>551</v>
      </c>
      <c r="J404" s="116">
        <f t="shared" si="84"/>
        <v>1.27</v>
      </c>
      <c r="K404" s="97" t="str">
        <f>IFERROR(IF(VLOOKUP(D404,'Ficha de Produção'!C:C,1,0)=D404,"OK","Custo Produção Não Cadastrado"),"Custo Produção Não Cadastrado")</f>
        <v>Custo Produção Não Cadastrado</v>
      </c>
      <c r="L404" s="97" t="str">
        <f>IFERROR(IF(VLOOKUP(A404,'Ficha de Embalagens'!A:A,1,0)=A404,"OK","Ficha de Embalagens Não Cadastrada"),"Ficha de Embalagens Não Cadastrada")</f>
        <v>Ficha de Embalagens Não Cadastrada</v>
      </c>
      <c r="M404" s="117">
        <f>SUMIFS('Ficha de Produção'!N:N,'Ficha de Produção'!C:C,D404)*H404</f>
        <v>0</v>
      </c>
      <c r="N404" s="117">
        <f>SUMIFS('Ficha de Embalagens'!F:F,'Ficha de Embalagens'!A:A,A404)</f>
        <v>0</v>
      </c>
      <c r="O404" s="97">
        <f t="shared" si="85"/>
        <v>0</v>
      </c>
      <c r="P404" s="97">
        <f t="shared" si="86"/>
        <v>0</v>
      </c>
      <c r="Q404" s="118">
        <f t="shared" si="87"/>
        <v>0</v>
      </c>
      <c r="R404" s="97">
        <f t="shared" si="88"/>
        <v>0</v>
      </c>
      <c r="S404" s="97">
        <f t="shared" si="89"/>
        <v>0</v>
      </c>
      <c r="T404" s="118">
        <f t="shared" si="90"/>
        <v>0</v>
      </c>
      <c r="U404" s="119"/>
      <c r="V404" s="120" t="str">
        <f t="shared" si="91"/>
        <v>Cadastrar Ficha de Produção</v>
      </c>
      <c r="W404" s="121" t="str">
        <f t="shared" si="92"/>
        <v>Cadastrar Ficha de Produção</v>
      </c>
      <c r="AB404" s="125" t="str">
        <f t="shared" si="93"/>
        <v/>
      </c>
      <c r="AC404" s="125" t="str">
        <f t="shared" si="94"/>
        <v/>
      </c>
      <c r="AD404" s="126" t="str">
        <f t="shared" si="95"/>
        <v/>
      </c>
      <c r="AE404" s="127" t="str">
        <f t="shared" si="96"/>
        <v/>
      </c>
      <c r="AF404" s="128" t="str">
        <f t="shared" si="97"/>
        <v/>
      </c>
    </row>
    <row r="405" spans="1:32" ht="15.75" customHeight="1">
      <c r="A405" s="114" t="s">
        <v>482</v>
      </c>
      <c r="B405" s="114" t="s">
        <v>1112</v>
      </c>
      <c r="C405" s="114" t="s">
        <v>1094</v>
      </c>
      <c r="D405" s="114"/>
      <c r="E405" s="114" t="s">
        <v>554</v>
      </c>
      <c r="F405" s="114" t="s">
        <v>1100</v>
      </c>
      <c r="G405" s="114" t="s">
        <v>556</v>
      </c>
      <c r="H405" s="115">
        <v>0.75</v>
      </c>
      <c r="I405" s="114" t="s">
        <v>551</v>
      </c>
      <c r="J405" s="116">
        <f t="shared" si="84"/>
        <v>1.27</v>
      </c>
      <c r="K405" s="97" t="str">
        <f>IFERROR(IF(VLOOKUP(D405,'Ficha de Produção'!C:C,1,0)=D405,"OK","Custo Produção Não Cadastrado"),"Custo Produção Não Cadastrado")</f>
        <v>Custo Produção Não Cadastrado</v>
      </c>
      <c r="L405" s="97" t="str">
        <f>IFERROR(IF(VLOOKUP(A405,'Ficha de Embalagens'!A:A,1,0)=A405,"OK","Ficha de Embalagens Não Cadastrada"),"Ficha de Embalagens Não Cadastrada")</f>
        <v>Ficha de Embalagens Não Cadastrada</v>
      </c>
      <c r="M405" s="117">
        <f>SUMIFS('Ficha de Produção'!N:N,'Ficha de Produção'!C:C,D405)*H405</f>
        <v>0</v>
      </c>
      <c r="N405" s="117">
        <f>SUMIFS('Ficha de Embalagens'!F:F,'Ficha de Embalagens'!A:A,A405)</f>
        <v>0</v>
      </c>
      <c r="O405" s="97">
        <f t="shared" si="85"/>
        <v>0</v>
      </c>
      <c r="P405" s="97">
        <f t="shared" si="86"/>
        <v>0</v>
      </c>
      <c r="Q405" s="118">
        <f t="shared" si="87"/>
        <v>0</v>
      </c>
      <c r="R405" s="97">
        <f t="shared" si="88"/>
        <v>0</v>
      </c>
      <c r="S405" s="97">
        <f t="shared" si="89"/>
        <v>0</v>
      </c>
      <c r="T405" s="118">
        <f t="shared" si="90"/>
        <v>0</v>
      </c>
      <c r="U405" s="119"/>
      <c r="V405" s="120" t="str">
        <f t="shared" si="91"/>
        <v>Cadastrar Ficha de Produção</v>
      </c>
      <c r="W405" s="121" t="str">
        <f t="shared" si="92"/>
        <v>Cadastrar Ficha de Produção</v>
      </c>
      <c r="AB405" s="125" t="str">
        <f t="shared" si="93"/>
        <v/>
      </c>
      <c r="AC405" s="125" t="str">
        <f t="shared" si="94"/>
        <v/>
      </c>
      <c r="AD405" s="126" t="str">
        <f t="shared" si="95"/>
        <v/>
      </c>
      <c r="AE405" s="127" t="str">
        <f t="shared" si="96"/>
        <v/>
      </c>
      <c r="AF405" s="128" t="str">
        <f t="shared" si="97"/>
        <v/>
      </c>
    </row>
    <row r="406" spans="1:32" ht="15.75" customHeight="1">
      <c r="A406" s="114" t="s">
        <v>483</v>
      </c>
      <c r="B406" s="114" t="s">
        <v>1113</v>
      </c>
      <c r="C406" s="114" t="s">
        <v>1094</v>
      </c>
      <c r="D406" s="114"/>
      <c r="E406" s="114" t="s">
        <v>554</v>
      </c>
      <c r="F406" s="114" t="s">
        <v>1102</v>
      </c>
      <c r="G406" s="114" t="s">
        <v>556</v>
      </c>
      <c r="H406" s="115">
        <v>0.75</v>
      </c>
      <c r="I406" s="114" t="s">
        <v>551</v>
      </c>
      <c r="J406" s="116">
        <f t="shared" si="84"/>
        <v>1.27</v>
      </c>
      <c r="K406" s="97" t="str">
        <f>IFERROR(IF(VLOOKUP(D406,'Ficha de Produção'!C:C,1,0)=D406,"OK","Custo Produção Não Cadastrado"),"Custo Produção Não Cadastrado")</f>
        <v>Custo Produção Não Cadastrado</v>
      </c>
      <c r="L406" s="97" t="str">
        <f>IFERROR(IF(VLOOKUP(A406,'Ficha de Embalagens'!A:A,1,0)=A406,"OK","Ficha de Embalagens Não Cadastrada"),"Ficha de Embalagens Não Cadastrada")</f>
        <v>Ficha de Embalagens Não Cadastrada</v>
      </c>
      <c r="M406" s="117">
        <f>SUMIFS('Ficha de Produção'!N:N,'Ficha de Produção'!C:C,D406)*H406</f>
        <v>0</v>
      </c>
      <c r="N406" s="117">
        <f>SUMIFS('Ficha de Embalagens'!F:F,'Ficha de Embalagens'!A:A,A406)</f>
        <v>0</v>
      </c>
      <c r="O406" s="97">
        <f t="shared" si="85"/>
        <v>0</v>
      </c>
      <c r="P406" s="97">
        <f t="shared" si="86"/>
        <v>0</v>
      </c>
      <c r="Q406" s="118">
        <f t="shared" si="87"/>
        <v>0</v>
      </c>
      <c r="R406" s="97">
        <f t="shared" si="88"/>
        <v>0</v>
      </c>
      <c r="S406" s="97">
        <f t="shared" si="89"/>
        <v>0</v>
      </c>
      <c r="T406" s="118">
        <f t="shared" si="90"/>
        <v>0</v>
      </c>
      <c r="U406" s="119"/>
      <c r="V406" s="120" t="str">
        <f t="shared" si="91"/>
        <v>Cadastrar Ficha de Produção</v>
      </c>
      <c r="W406" s="121" t="str">
        <f t="shared" si="92"/>
        <v>Cadastrar Ficha de Produção</v>
      </c>
      <c r="AB406" s="125" t="str">
        <f t="shared" si="93"/>
        <v/>
      </c>
      <c r="AC406" s="125" t="str">
        <f t="shared" si="94"/>
        <v/>
      </c>
      <c r="AD406" s="126" t="str">
        <f t="shared" si="95"/>
        <v/>
      </c>
      <c r="AE406" s="127" t="str">
        <f t="shared" si="96"/>
        <v/>
      </c>
      <c r="AF406" s="128" t="str">
        <f t="shared" si="97"/>
        <v/>
      </c>
    </row>
    <row r="407" spans="1:32" ht="15.75" customHeight="1">
      <c r="A407" s="114" t="s">
        <v>484</v>
      </c>
      <c r="B407" s="114" t="s">
        <v>1114</v>
      </c>
      <c r="C407" s="114" t="s">
        <v>1094</v>
      </c>
      <c r="D407" s="114"/>
      <c r="E407" s="114" t="s">
        <v>554</v>
      </c>
      <c r="F407" s="114" t="s">
        <v>1104</v>
      </c>
      <c r="G407" s="114" t="s">
        <v>556</v>
      </c>
      <c r="H407" s="115">
        <v>0.75</v>
      </c>
      <c r="I407" s="114" t="s">
        <v>551</v>
      </c>
      <c r="J407" s="116">
        <f t="shared" si="84"/>
        <v>1.27</v>
      </c>
      <c r="K407" s="97" t="str">
        <f>IFERROR(IF(VLOOKUP(D407,'Ficha de Produção'!C:C,1,0)=D407,"OK","Custo Produção Não Cadastrado"),"Custo Produção Não Cadastrado")</f>
        <v>Custo Produção Não Cadastrado</v>
      </c>
      <c r="L407" s="97" t="str">
        <f>IFERROR(IF(VLOOKUP(A407,'Ficha de Embalagens'!A:A,1,0)=A407,"OK","Ficha de Embalagens Não Cadastrada"),"Ficha de Embalagens Não Cadastrada")</f>
        <v>Ficha de Embalagens Não Cadastrada</v>
      </c>
      <c r="M407" s="117">
        <f>SUMIFS('Ficha de Produção'!N:N,'Ficha de Produção'!C:C,D407)*H407</f>
        <v>0</v>
      </c>
      <c r="N407" s="117">
        <f>SUMIFS('Ficha de Embalagens'!F:F,'Ficha de Embalagens'!A:A,A407)</f>
        <v>0</v>
      </c>
      <c r="O407" s="97">
        <f t="shared" si="85"/>
        <v>0</v>
      </c>
      <c r="P407" s="97">
        <f t="shared" si="86"/>
        <v>0</v>
      </c>
      <c r="Q407" s="118">
        <f t="shared" si="87"/>
        <v>0</v>
      </c>
      <c r="R407" s="97">
        <f t="shared" si="88"/>
        <v>0</v>
      </c>
      <c r="S407" s="97">
        <f t="shared" si="89"/>
        <v>0</v>
      </c>
      <c r="T407" s="118">
        <f t="shared" si="90"/>
        <v>0</v>
      </c>
      <c r="U407" s="119"/>
      <c r="V407" s="120" t="str">
        <f t="shared" si="91"/>
        <v>Cadastrar Ficha de Produção</v>
      </c>
      <c r="W407" s="121" t="str">
        <f t="shared" si="92"/>
        <v>Cadastrar Ficha de Produção</v>
      </c>
      <c r="AB407" s="125" t="str">
        <f t="shared" si="93"/>
        <v/>
      </c>
      <c r="AC407" s="125" t="str">
        <f t="shared" si="94"/>
        <v/>
      </c>
      <c r="AD407" s="126" t="str">
        <f t="shared" si="95"/>
        <v/>
      </c>
      <c r="AE407" s="127" t="str">
        <f t="shared" si="96"/>
        <v/>
      </c>
      <c r="AF407" s="128" t="str">
        <f t="shared" si="97"/>
        <v/>
      </c>
    </row>
    <row r="408" spans="1:32" ht="15.75" customHeight="1">
      <c r="A408" s="114" t="s">
        <v>485</v>
      </c>
      <c r="B408" s="114" t="s">
        <v>1115</v>
      </c>
      <c r="C408" s="114" t="s">
        <v>1094</v>
      </c>
      <c r="D408" s="114"/>
      <c r="E408" s="114" t="s">
        <v>554</v>
      </c>
      <c r="F408" s="114" t="s">
        <v>1106</v>
      </c>
      <c r="G408" s="114" t="s">
        <v>556</v>
      </c>
      <c r="H408" s="115">
        <v>0.75</v>
      </c>
      <c r="I408" s="114" t="s">
        <v>551</v>
      </c>
      <c r="J408" s="116">
        <f t="shared" si="84"/>
        <v>1.27</v>
      </c>
      <c r="K408" s="97" t="str">
        <f>IFERROR(IF(VLOOKUP(D408,'Ficha de Produção'!C:C,1,0)=D408,"OK","Custo Produção Não Cadastrado"),"Custo Produção Não Cadastrado")</f>
        <v>Custo Produção Não Cadastrado</v>
      </c>
      <c r="L408" s="97" t="str">
        <f>IFERROR(IF(VLOOKUP(A408,'Ficha de Embalagens'!A:A,1,0)=A408,"OK","Ficha de Embalagens Não Cadastrada"),"Ficha de Embalagens Não Cadastrada")</f>
        <v>Ficha de Embalagens Não Cadastrada</v>
      </c>
      <c r="M408" s="117">
        <f>SUMIFS('Ficha de Produção'!N:N,'Ficha de Produção'!C:C,D408)*H408</f>
        <v>0</v>
      </c>
      <c r="N408" s="117">
        <f>SUMIFS('Ficha de Embalagens'!F:F,'Ficha de Embalagens'!A:A,A408)</f>
        <v>0</v>
      </c>
      <c r="O408" s="97">
        <f t="shared" si="85"/>
        <v>0</v>
      </c>
      <c r="P408" s="97">
        <f t="shared" si="86"/>
        <v>0</v>
      </c>
      <c r="Q408" s="118">
        <f t="shared" si="87"/>
        <v>0</v>
      </c>
      <c r="R408" s="97">
        <f t="shared" si="88"/>
        <v>0</v>
      </c>
      <c r="S408" s="97">
        <f t="shared" si="89"/>
        <v>0</v>
      </c>
      <c r="T408" s="118">
        <f t="shared" si="90"/>
        <v>0</v>
      </c>
      <c r="U408" s="119"/>
      <c r="V408" s="120" t="str">
        <f t="shared" si="91"/>
        <v>Cadastrar Ficha de Produção</v>
      </c>
      <c r="W408" s="121" t="str">
        <f t="shared" si="92"/>
        <v>Cadastrar Ficha de Produção</v>
      </c>
      <c r="AB408" s="125" t="str">
        <f t="shared" si="93"/>
        <v/>
      </c>
      <c r="AC408" s="125" t="str">
        <f t="shared" si="94"/>
        <v/>
      </c>
      <c r="AD408" s="126" t="str">
        <f t="shared" si="95"/>
        <v/>
      </c>
      <c r="AE408" s="127" t="str">
        <f t="shared" si="96"/>
        <v/>
      </c>
      <c r="AF408" s="128" t="str">
        <f t="shared" si="97"/>
        <v/>
      </c>
    </row>
    <row r="409" spans="1:32" ht="15.75" customHeight="1">
      <c r="A409" s="114" t="s">
        <v>486</v>
      </c>
      <c r="B409" s="114" t="s">
        <v>1116</v>
      </c>
      <c r="C409" s="114" t="s">
        <v>1094</v>
      </c>
      <c r="D409" s="114"/>
      <c r="E409" s="114" t="s">
        <v>554</v>
      </c>
      <c r="F409" s="114" t="s">
        <v>1108</v>
      </c>
      <c r="G409" s="114" t="s">
        <v>556</v>
      </c>
      <c r="H409" s="115">
        <v>0.75</v>
      </c>
      <c r="I409" s="114" t="s">
        <v>551</v>
      </c>
      <c r="J409" s="116">
        <f t="shared" si="84"/>
        <v>1.27</v>
      </c>
      <c r="K409" s="97" t="str">
        <f>IFERROR(IF(VLOOKUP(D409,'Ficha de Produção'!C:C,1,0)=D409,"OK","Custo Produção Não Cadastrado"),"Custo Produção Não Cadastrado")</f>
        <v>Custo Produção Não Cadastrado</v>
      </c>
      <c r="L409" s="97" t="str">
        <f>IFERROR(IF(VLOOKUP(A409,'Ficha de Embalagens'!A:A,1,0)=A409,"OK","Ficha de Embalagens Não Cadastrada"),"Ficha de Embalagens Não Cadastrada")</f>
        <v>Ficha de Embalagens Não Cadastrada</v>
      </c>
      <c r="M409" s="117">
        <f>SUMIFS('Ficha de Produção'!N:N,'Ficha de Produção'!C:C,D409)*H409</f>
        <v>0</v>
      </c>
      <c r="N409" s="117">
        <f>SUMIFS('Ficha de Embalagens'!F:F,'Ficha de Embalagens'!A:A,A409)</f>
        <v>0</v>
      </c>
      <c r="O409" s="97">
        <f t="shared" si="85"/>
        <v>0</v>
      </c>
      <c r="P409" s="97">
        <f t="shared" si="86"/>
        <v>0</v>
      </c>
      <c r="Q409" s="118">
        <f t="shared" si="87"/>
        <v>0</v>
      </c>
      <c r="R409" s="97">
        <f t="shared" si="88"/>
        <v>0</v>
      </c>
      <c r="S409" s="97">
        <f t="shared" si="89"/>
        <v>0</v>
      </c>
      <c r="T409" s="118">
        <f t="shared" si="90"/>
        <v>0</v>
      </c>
      <c r="U409" s="119"/>
      <c r="V409" s="120" t="str">
        <f t="shared" si="91"/>
        <v>Cadastrar Ficha de Produção</v>
      </c>
      <c r="W409" s="121" t="str">
        <f t="shared" si="92"/>
        <v>Cadastrar Ficha de Produção</v>
      </c>
      <c r="AB409" s="125" t="str">
        <f t="shared" si="93"/>
        <v/>
      </c>
      <c r="AC409" s="125" t="str">
        <f t="shared" si="94"/>
        <v/>
      </c>
      <c r="AD409" s="126" t="str">
        <f t="shared" si="95"/>
        <v/>
      </c>
      <c r="AE409" s="127" t="str">
        <f t="shared" si="96"/>
        <v/>
      </c>
      <c r="AF409" s="128" t="str">
        <f t="shared" si="97"/>
        <v/>
      </c>
    </row>
    <row r="410" spans="1:32" ht="15.75" customHeight="1">
      <c r="A410" s="114" t="s">
        <v>487</v>
      </c>
      <c r="B410" s="114" t="s">
        <v>1117</v>
      </c>
      <c r="C410" s="114" t="s">
        <v>1118</v>
      </c>
      <c r="D410" s="114"/>
      <c r="E410" s="114" t="s">
        <v>543</v>
      </c>
      <c r="F410" s="114" t="s">
        <v>555</v>
      </c>
      <c r="G410" s="114" t="s">
        <v>556</v>
      </c>
      <c r="H410" s="115">
        <v>3</v>
      </c>
      <c r="I410" s="114" t="s">
        <v>551</v>
      </c>
      <c r="J410" s="116">
        <f t="shared" si="84"/>
        <v>1.27</v>
      </c>
      <c r="K410" s="97" t="str">
        <f>IFERROR(IF(VLOOKUP(D410,'Ficha de Produção'!C:C,1,0)=D410,"OK","Custo Produção Não Cadastrado"),"Custo Produção Não Cadastrado")</f>
        <v>Custo Produção Não Cadastrado</v>
      </c>
      <c r="L410" s="97" t="str">
        <f>IFERROR(IF(VLOOKUP(A410,'Ficha de Embalagens'!A:A,1,0)=A410,"OK","Ficha de Embalagens Não Cadastrada"),"Ficha de Embalagens Não Cadastrada")</f>
        <v>OK</v>
      </c>
      <c r="M410" s="117">
        <f>SUMIFS('Ficha de Produção'!N:N,'Ficha de Produção'!C:C,D410)*H410</f>
        <v>0</v>
      </c>
      <c r="N410" s="117">
        <f>SUMIFS('Ficha de Embalagens'!F:F,'Ficha de Embalagens'!A:A,A410)</f>
        <v>3.06</v>
      </c>
      <c r="O410" s="97">
        <f t="shared" si="85"/>
        <v>3.06</v>
      </c>
      <c r="P410" s="97">
        <f t="shared" si="86"/>
        <v>0</v>
      </c>
      <c r="Q410" s="118">
        <f t="shared" si="87"/>
        <v>3.06</v>
      </c>
      <c r="R410" s="97">
        <f t="shared" si="88"/>
        <v>0</v>
      </c>
      <c r="S410" s="97">
        <f t="shared" si="89"/>
        <v>0</v>
      </c>
      <c r="T410" s="118">
        <f t="shared" si="90"/>
        <v>3.06</v>
      </c>
      <c r="U410" s="119"/>
      <c r="V410" s="120" t="str">
        <f t="shared" si="91"/>
        <v>Cadastrar Ficha de Produção</v>
      </c>
      <c r="W410" s="121" t="str">
        <f t="shared" si="92"/>
        <v>Cadastrar Ficha de Produção</v>
      </c>
      <c r="AB410" s="125">
        <f t="shared" si="93"/>
        <v>3.06</v>
      </c>
      <c r="AC410" s="125" t="str">
        <f t="shared" si="94"/>
        <v/>
      </c>
      <c r="AD410" s="126" t="str">
        <f t="shared" si="95"/>
        <v/>
      </c>
      <c r="AE410" s="127" t="str">
        <f t="shared" si="96"/>
        <v/>
      </c>
      <c r="AF410" s="128">
        <f t="shared" si="97"/>
        <v>3.48</v>
      </c>
    </row>
    <row r="411" spans="1:32" ht="15.75" customHeight="1">
      <c r="A411" s="114" t="s">
        <v>488</v>
      </c>
      <c r="B411" s="114" t="s">
        <v>1119</v>
      </c>
      <c r="C411" s="114" t="s">
        <v>1118</v>
      </c>
      <c r="D411" s="114"/>
      <c r="E411" s="114" t="s">
        <v>543</v>
      </c>
      <c r="F411" s="114" t="s">
        <v>555</v>
      </c>
      <c r="G411" s="114" t="s">
        <v>556</v>
      </c>
      <c r="H411" s="115">
        <v>15</v>
      </c>
      <c r="I411" s="114" t="s">
        <v>551</v>
      </c>
      <c r="J411" s="116">
        <f t="shared" si="84"/>
        <v>1.27</v>
      </c>
      <c r="K411" s="97" t="str">
        <f>IFERROR(IF(VLOOKUP(D411,'Ficha de Produção'!C:C,1,0)=D411,"OK","Custo Produção Não Cadastrado"),"Custo Produção Não Cadastrado")</f>
        <v>Custo Produção Não Cadastrado</v>
      </c>
      <c r="L411" s="97" t="str">
        <f>IFERROR(IF(VLOOKUP(A411,'Ficha de Embalagens'!A:A,1,0)=A411,"OK","Ficha de Embalagens Não Cadastrada"),"Ficha de Embalagens Não Cadastrada")</f>
        <v>OK</v>
      </c>
      <c r="M411" s="117">
        <f>SUMIFS('Ficha de Produção'!N:N,'Ficha de Produção'!C:C,D411)*H411</f>
        <v>0</v>
      </c>
      <c r="N411" s="117">
        <f>SUMIFS('Ficha de Embalagens'!F:F,'Ficha de Embalagens'!A:A,A411)</f>
        <v>8.61</v>
      </c>
      <c r="O411" s="97">
        <f t="shared" si="85"/>
        <v>8.61</v>
      </c>
      <c r="P411" s="97">
        <f t="shared" si="86"/>
        <v>0</v>
      </c>
      <c r="Q411" s="118">
        <f t="shared" si="87"/>
        <v>8.61</v>
      </c>
      <c r="R411" s="97">
        <f t="shared" si="88"/>
        <v>0</v>
      </c>
      <c r="S411" s="97">
        <f t="shared" si="89"/>
        <v>0</v>
      </c>
      <c r="T411" s="118">
        <f t="shared" si="90"/>
        <v>8.61</v>
      </c>
      <c r="U411" s="119"/>
      <c r="V411" s="120" t="str">
        <f t="shared" si="91"/>
        <v>Cadastrar Ficha de Produção</v>
      </c>
      <c r="W411" s="121" t="str">
        <f t="shared" si="92"/>
        <v>Cadastrar Ficha de Produção</v>
      </c>
      <c r="AB411" s="125">
        <f t="shared" si="93"/>
        <v>8.61</v>
      </c>
      <c r="AC411" s="125" t="str">
        <f t="shared" si="94"/>
        <v/>
      </c>
      <c r="AD411" s="126" t="str">
        <f t="shared" si="95"/>
        <v/>
      </c>
      <c r="AE411" s="127" t="str">
        <f t="shared" si="96"/>
        <v/>
      </c>
      <c r="AF411" s="128">
        <f t="shared" si="97"/>
        <v>9.7899999999999991</v>
      </c>
    </row>
    <row r="412" spans="1:32" ht="15.75" customHeight="1">
      <c r="A412" s="114" t="s">
        <v>489</v>
      </c>
      <c r="B412" s="114" t="s">
        <v>1120</v>
      </c>
      <c r="C412" s="114" t="s">
        <v>1121</v>
      </c>
      <c r="D412" s="114"/>
      <c r="E412" s="114" t="s">
        <v>1122</v>
      </c>
      <c r="F412" s="114" t="s">
        <v>555</v>
      </c>
      <c r="G412" s="114" t="s">
        <v>556</v>
      </c>
      <c r="H412" s="115">
        <v>4</v>
      </c>
      <c r="I412" s="114" t="s">
        <v>545</v>
      </c>
      <c r="J412" s="116">
        <f t="shared" si="84"/>
        <v>1</v>
      </c>
      <c r="K412" s="97" t="str">
        <f>IFERROR(IF(VLOOKUP(D412,'Ficha de Produção'!C:C,1,0)=D412,"OK","Custo Produção Não Cadastrado"),"Custo Produção Não Cadastrado")</f>
        <v>Custo Produção Não Cadastrado</v>
      </c>
      <c r="L412" s="97" t="str">
        <f>IFERROR(IF(VLOOKUP(A412,'Ficha de Embalagens'!A:A,1,0)=A412,"OK","Ficha de Embalagens Não Cadastrada"),"Ficha de Embalagens Não Cadastrada")</f>
        <v>Ficha de Embalagens Não Cadastrada</v>
      </c>
      <c r="M412" s="117">
        <f>SUMIFS('Ficha de Produção'!N:N,'Ficha de Produção'!C:C,D412)*H412</f>
        <v>0</v>
      </c>
      <c r="N412" s="117">
        <f>SUMIFS('Ficha de Embalagens'!F:F,'Ficha de Embalagens'!A:A,A412)</f>
        <v>0</v>
      </c>
      <c r="O412" s="97">
        <f t="shared" si="85"/>
        <v>0</v>
      </c>
      <c r="P412" s="97">
        <f t="shared" si="86"/>
        <v>0</v>
      </c>
      <c r="Q412" s="118">
        <f t="shared" si="87"/>
        <v>0</v>
      </c>
      <c r="R412" s="97">
        <f t="shared" si="88"/>
        <v>0</v>
      </c>
      <c r="S412" s="97">
        <f t="shared" si="89"/>
        <v>0</v>
      </c>
      <c r="T412" s="118">
        <f t="shared" si="90"/>
        <v>0</v>
      </c>
      <c r="U412" s="119"/>
      <c r="V412" s="120" t="str">
        <f t="shared" si="91"/>
        <v>Cadastrar Ficha de Produção</v>
      </c>
      <c r="W412" s="121" t="str">
        <f t="shared" si="92"/>
        <v>Cadastrar Ficha de Produção</v>
      </c>
      <c r="AB412" s="125" t="str">
        <f t="shared" si="93"/>
        <v/>
      </c>
      <c r="AC412" s="125" t="str">
        <f t="shared" si="94"/>
        <v/>
      </c>
      <c r="AD412" s="126" t="str">
        <f t="shared" si="95"/>
        <v/>
      </c>
      <c r="AE412" s="127" t="str">
        <f t="shared" si="96"/>
        <v/>
      </c>
      <c r="AF412" s="128" t="str">
        <f t="shared" si="97"/>
        <v/>
      </c>
    </row>
    <row r="413" spans="1:32" ht="15.75" customHeight="1">
      <c r="A413" s="114" t="s">
        <v>490</v>
      </c>
      <c r="B413" s="114" t="s">
        <v>1123</v>
      </c>
      <c r="C413" s="114" t="s">
        <v>1121</v>
      </c>
      <c r="D413" s="114"/>
      <c r="E413" s="114" t="s">
        <v>1122</v>
      </c>
      <c r="F413" s="114" t="s">
        <v>555</v>
      </c>
      <c r="G413" s="114" t="s">
        <v>556</v>
      </c>
      <c r="H413" s="115">
        <v>20</v>
      </c>
      <c r="I413" s="114" t="s">
        <v>545</v>
      </c>
      <c r="J413" s="116">
        <f t="shared" si="84"/>
        <v>1</v>
      </c>
      <c r="K413" s="97" t="str">
        <f>IFERROR(IF(VLOOKUP(D413,'Ficha de Produção'!C:C,1,0)=D413,"OK","Custo Produção Não Cadastrado"),"Custo Produção Não Cadastrado")</f>
        <v>Custo Produção Não Cadastrado</v>
      </c>
      <c r="L413" s="97" t="str">
        <f>IFERROR(IF(VLOOKUP(A413,'Ficha de Embalagens'!A:A,1,0)=A413,"OK","Ficha de Embalagens Não Cadastrada"),"Ficha de Embalagens Não Cadastrada")</f>
        <v>Ficha de Embalagens Não Cadastrada</v>
      </c>
      <c r="M413" s="117">
        <f>SUMIFS('Ficha de Produção'!N:N,'Ficha de Produção'!C:C,D413)*H413</f>
        <v>0</v>
      </c>
      <c r="N413" s="117">
        <f>SUMIFS('Ficha de Embalagens'!F:F,'Ficha de Embalagens'!A:A,A413)</f>
        <v>0</v>
      </c>
      <c r="O413" s="97">
        <f t="shared" si="85"/>
        <v>0</v>
      </c>
      <c r="P413" s="97">
        <f t="shared" si="86"/>
        <v>0</v>
      </c>
      <c r="Q413" s="118">
        <f t="shared" si="87"/>
        <v>0</v>
      </c>
      <c r="R413" s="97">
        <f t="shared" si="88"/>
        <v>0</v>
      </c>
      <c r="S413" s="97">
        <f t="shared" si="89"/>
        <v>0</v>
      </c>
      <c r="T413" s="118">
        <f t="shared" si="90"/>
        <v>0</v>
      </c>
      <c r="U413" s="119"/>
      <c r="V413" s="120" t="str">
        <f t="shared" si="91"/>
        <v>Cadastrar Ficha de Produção</v>
      </c>
      <c r="W413" s="121" t="str">
        <f t="shared" si="92"/>
        <v>Cadastrar Ficha de Produção</v>
      </c>
      <c r="AB413" s="125" t="str">
        <f t="shared" si="93"/>
        <v/>
      </c>
      <c r="AC413" s="125" t="str">
        <f t="shared" si="94"/>
        <v/>
      </c>
      <c r="AD413" s="126" t="str">
        <f t="shared" si="95"/>
        <v/>
      </c>
      <c r="AE413" s="127" t="str">
        <f t="shared" si="96"/>
        <v/>
      </c>
      <c r="AF413" s="128" t="str">
        <f t="shared" si="97"/>
        <v/>
      </c>
    </row>
    <row r="414" spans="1:32" ht="15.75" customHeight="1">
      <c r="A414" s="114" t="s">
        <v>491</v>
      </c>
      <c r="B414" s="114" t="s">
        <v>1124</v>
      </c>
      <c r="C414" s="114" t="s">
        <v>778</v>
      </c>
      <c r="D414" s="114"/>
      <c r="E414" s="114" t="s">
        <v>543</v>
      </c>
      <c r="F414" s="114" t="s">
        <v>543</v>
      </c>
      <c r="G414" s="114" t="s">
        <v>556</v>
      </c>
      <c r="H414" s="115">
        <v>3</v>
      </c>
      <c r="I414" s="114" t="s">
        <v>551</v>
      </c>
      <c r="J414" s="116">
        <f t="shared" si="84"/>
        <v>1.27</v>
      </c>
      <c r="K414" s="97" t="str">
        <f>IFERROR(IF(VLOOKUP(D414,'Ficha de Produção'!C:C,1,0)=D414,"OK","Custo Produção Não Cadastrado"),"Custo Produção Não Cadastrado")</f>
        <v>Custo Produção Não Cadastrado</v>
      </c>
      <c r="L414" s="97" t="str">
        <f>IFERROR(IF(VLOOKUP(A414,'Ficha de Embalagens'!A:A,1,0)=A414,"OK","Ficha de Embalagens Não Cadastrada"),"Ficha de Embalagens Não Cadastrada")</f>
        <v>Ficha de Embalagens Não Cadastrada</v>
      </c>
      <c r="M414" s="117">
        <f>SUMIFS('Ficha de Produção'!N:N,'Ficha de Produção'!C:C,D414)*H414</f>
        <v>0</v>
      </c>
      <c r="N414" s="117">
        <f>SUMIFS('Ficha de Embalagens'!F:F,'Ficha de Embalagens'!A:A,A414)</f>
        <v>0</v>
      </c>
      <c r="O414" s="97">
        <f t="shared" si="85"/>
        <v>0</v>
      </c>
      <c r="P414" s="97">
        <f t="shared" si="86"/>
        <v>0</v>
      </c>
      <c r="Q414" s="118">
        <f t="shared" si="87"/>
        <v>0</v>
      </c>
      <c r="R414" s="97">
        <f t="shared" si="88"/>
        <v>0</v>
      </c>
      <c r="S414" s="97">
        <f t="shared" si="89"/>
        <v>0</v>
      </c>
      <c r="T414" s="118">
        <f t="shared" si="90"/>
        <v>0</v>
      </c>
      <c r="U414" s="119"/>
      <c r="V414" s="120" t="str">
        <f t="shared" si="91"/>
        <v>Cadastrar Ficha de Produção</v>
      </c>
      <c r="W414" s="121" t="str">
        <f t="shared" si="92"/>
        <v>Cadastrar Ficha de Produção</v>
      </c>
      <c r="AB414" s="125" t="str">
        <f t="shared" si="93"/>
        <v/>
      </c>
      <c r="AC414" s="125" t="str">
        <f t="shared" si="94"/>
        <v/>
      </c>
      <c r="AD414" s="126" t="str">
        <f t="shared" si="95"/>
        <v/>
      </c>
      <c r="AE414" s="127" t="str">
        <f t="shared" si="96"/>
        <v/>
      </c>
      <c r="AF414" s="128" t="str">
        <f t="shared" si="97"/>
        <v/>
      </c>
    </row>
    <row r="415" spans="1:32" ht="15.75" customHeight="1">
      <c r="A415" s="114" t="s">
        <v>492</v>
      </c>
      <c r="B415" s="114" t="s">
        <v>1125</v>
      </c>
      <c r="C415" s="114" t="s">
        <v>778</v>
      </c>
      <c r="D415" s="114"/>
      <c r="E415" s="114" t="s">
        <v>543</v>
      </c>
      <c r="F415" s="114" t="s">
        <v>543</v>
      </c>
      <c r="G415" s="114" t="s">
        <v>556</v>
      </c>
      <c r="H415" s="115">
        <v>15</v>
      </c>
      <c r="I415" s="114" t="s">
        <v>551</v>
      </c>
      <c r="J415" s="116">
        <f t="shared" si="84"/>
        <v>1.27</v>
      </c>
      <c r="K415" s="97" t="str">
        <f>IFERROR(IF(VLOOKUP(D415,'Ficha de Produção'!C:C,1,0)=D415,"OK","Custo Produção Não Cadastrado"),"Custo Produção Não Cadastrado")</f>
        <v>Custo Produção Não Cadastrado</v>
      </c>
      <c r="L415" s="97" t="str">
        <f>IFERROR(IF(VLOOKUP(A415,'Ficha de Embalagens'!A:A,1,0)=A415,"OK","Ficha de Embalagens Não Cadastrada"),"Ficha de Embalagens Não Cadastrada")</f>
        <v>Ficha de Embalagens Não Cadastrada</v>
      </c>
      <c r="M415" s="117">
        <f>SUMIFS('Ficha de Produção'!N:N,'Ficha de Produção'!C:C,D415)*H415</f>
        <v>0</v>
      </c>
      <c r="N415" s="117">
        <f>SUMIFS('Ficha de Embalagens'!F:F,'Ficha de Embalagens'!A:A,A415)</f>
        <v>0</v>
      </c>
      <c r="O415" s="97">
        <f t="shared" si="85"/>
        <v>0</v>
      </c>
      <c r="P415" s="97">
        <f t="shared" si="86"/>
        <v>0</v>
      </c>
      <c r="Q415" s="118">
        <f t="shared" si="87"/>
        <v>0</v>
      </c>
      <c r="R415" s="97">
        <f t="shared" si="88"/>
        <v>0</v>
      </c>
      <c r="S415" s="97">
        <f t="shared" si="89"/>
        <v>0</v>
      </c>
      <c r="T415" s="118">
        <f t="shared" si="90"/>
        <v>0</v>
      </c>
      <c r="U415" s="119"/>
      <c r="V415" s="120" t="str">
        <f t="shared" si="91"/>
        <v>Cadastrar Ficha de Produção</v>
      </c>
      <c r="W415" s="121" t="str">
        <f t="shared" si="92"/>
        <v>Cadastrar Ficha de Produção</v>
      </c>
      <c r="AB415" s="125" t="str">
        <f t="shared" si="93"/>
        <v/>
      </c>
      <c r="AC415" s="125" t="str">
        <f t="shared" si="94"/>
        <v/>
      </c>
      <c r="AD415" s="126" t="str">
        <f t="shared" si="95"/>
        <v/>
      </c>
      <c r="AE415" s="127" t="str">
        <f t="shared" si="96"/>
        <v/>
      </c>
      <c r="AF415" s="128" t="str">
        <f t="shared" si="97"/>
        <v/>
      </c>
    </row>
    <row r="416" spans="1:32" ht="15.75" customHeight="1">
      <c r="A416" s="114" t="s">
        <v>493</v>
      </c>
      <c r="B416" s="114" t="s">
        <v>1126</v>
      </c>
      <c r="C416" s="114" t="s">
        <v>778</v>
      </c>
      <c r="D416" s="114"/>
      <c r="E416" s="114" t="s">
        <v>543</v>
      </c>
      <c r="F416" s="114" t="s">
        <v>543</v>
      </c>
      <c r="G416" s="114" t="s">
        <v>556</v>
      </c>
      <c r="H416" s="115">
        <v>3</v>
      </c>
      <c r="I416" s="114" t="s">
        <v>551</v>
      </c>
      <c r="J416" s="116">
        <f t="shared" si="84"/>
        <v>1.27</v>
      </c>
      <c r="K416" s="97" t="str">
        <f>IFERROR(IF(VLOOKUP(D416,'Ficha de Produção'!C:C,1,0)=D416,"OK","Custo Produção Não Cadastrado"),"Custo Produção Não Cadastrado")</f>
        <v>Custo Produção Não Cadastrado</v>
      </c>
      <c r="L416" s="97" t="str">
        <f>IFERROR(IF(VLOOKUP(A416,'Ficha de Embalagens'!A:A,1,0)=A416,"OK","Ficha de Embalagens Não Cadastrada"),"Ficha de Embalagens Não Cadastrada")</f>
        <v>Ficha de Embalagens Não Cadastrada</v>
      </c>
      <c r="M416" s="117">
        <f>SUMIFS('Ficha de Produção'!N:N,'Ficha de Produção'!C:C,D416)*H416</f>
        <v>0</v>
      </c>
      <c r="N416" s="117">
        <f>SUMIFS('Ficha de Embalagens'!F:F,'Ficha de Embalagens'!A:A,A416)</f>
        <v>0</v>
      </c>
      <c r="O416" s="97">
        <f t="shared" si="85"/>
        <v>0</v>
      </c>
      <c r="P416" s="97">
        <f t="shared" si="86"/>
        <v>0</v>
      </c>
      <c r="Q416" s="118">
        <f t="shared" si="87"/>
        <v>0</v>
      </c>
      <c r="R416" s="97">
        <f t="shared" si="88"/>
        <v>0</v>
      </c>
      <c r="S416" s="97">
        <f t="shared" si="89"/>
        <v>0</v>
      </c>
      <c r="T416" s="118">
        <f t="shared" si="90"/>
        <v>0</v>
      </c>
      <c r="U416" s="119"/>
      <c r="V416" s="120" t="str">
        <f t="shared" si="91"/>
        <v>Cadastrar Ficha de Produção</v>
      </c>
      <c r="W416" s="121" t="str">
        <f t="shared" si="92"/>
        <v>Cadastrar Ficha de Produção</v>
      </c>
      <c r="AB416" s="125" t="str">
        <f t="shared" si="93"/>
        <v/>
      </c>
      <c r="AC416" s="125" t="str">
        <f t="shared" si="94"/>
        <v/>
      </c>
      <c r="AD416" s="126" t="str">
        <f t="shared" si="95"/>
        <v/>
      </c>
      <c r="AE416" s="127" t="str">
        <f t="shared" si="96"/>
        <v/>
      </c>
      <c r="AF416" s="128" t="str">
        <f t="shared" si="97"/>
        <v/>
      </c>
    </row>
    <row r="417" spans="1:32" ht="15.75" customHeight="1">
      <c r="A417" s="114" t="s">
        <v>494</v>
      </c>
      <c r="B417" s="114" t="s">
        <v>1127</v>
      </c>
      <c r="C417" s="114" t="s">
        <v>778</v>
      </c>
      <c r="D417" s="114"/>
      <c r="E417" s="114" t="s">
        <v>543</v>
      </c>
      <c r="F417" s="114" t="s">
        <v>543</v>
      </c>
      <c r="G417" s="114" t="s">
        <v>556</v>
      </c>
      <c r="H417" s="115">
        <v>15</v>
      </c>
      <c r="I417" s="114" t="s">
        <v>551</v>
      </c>
      <c r="J417" s="116">
        <f t="shared" si="84"/>
        <v>1.27</v>
      </c>
      <c r="K417" s="97" t="str">
        <f>IFERROR(IF(VLOOKUP(D417,'Ficha de Produção'!C:C,1,0)=D417,"OK","Custo Produção Não Cadastrado"),"Custo Produção Não Cadastrado")</f>
        <v>Custo Produção Não Cadastrado</v>
      </c>
      <c r="L417" s="97" t="str">
        <f>IFERROR(IF(VLOOKUP(A417,'Ficha de Embalagens'!A:A,1,0)=A417,"OK","Ficha de Embalagens Não Cadastrada"),"Ficha de Embalagens Não Cadastrada")</f>
        <v>Ficha de Embalagens Não Cadastrada</v>
      </c>
      <c r="M417" s="117">
        <f>SUMIFS('Ficha de Produção'!N:N,'Ficha de Produção'!C:C,D417)*H417</f>
        <v>0</v>
      </c>
      <c r="N417" s="117">
        <f>SUMIFS('Ficha de Embalagens'!F:F,'Ficha de Embalagens'!A:A,A417)</f>
        <v>0</v>
      </c>
      <c r="O417" s="97">
        <f t="shared" si="85"/>
        <v>0</v>
      </c>
      <c r="P417" s="97">
        <f t="shared" si="86"/>
        <v>0</v>
      </c>
      <c r="Q417" s="118">
        <f t="shared" si="87"/>
        <v>0</v>
      </c>
      <c r="R417" s="97">
        <f t="shared" si="88"/>
        <v>0</v>
      </c>
      <c r="S417" s="97">
        <f t="shared" si="89"/>
        <v>0</v>
      </c>
      <c r="T417" s="118">
        <f t="shared" si="90"/>
        <v>0</v>
      </c>
      <c r="U417" s="119"/>
      <c r="V417" s="120" t="str">
        <f t="shared" si="91"/>
        <v>Cadastrar Ficha de Produção</v>
      </c>
      <c r="W417" s="121" t="str">
        <f t="shared" si="92"/>
        <v>Cadastrar Ficha de Produção</v>
      </c>
      <c r="AB417" s="125" t="str">
        <f t="shared" si="93"/>
        <v/>
      </c>
      <c r="AC417" s="125" t="str">
        <f t="shared" si="94"/>
        <v/>
      </c>
      <c r="AD417" s="126" t="str">
        <f t="shared" si="95"/>
        <v/>
      </c>
      <c r="AE417" s="127" t="str">
        <f t="shared" si="96"/>
        <v/>
      </c>
      <c r="AF417" s="128" t="str">
        <f t="shared" si="97"/>
        <v/>
      </c>
    </row>
    <row r="418" spans="1:32" ht="15.75" customHeight="1">
      <c r="A418" s="114" t="s">
        <v>495</v>
      </c>
      <c r="B418" s="114" t="s">
        <v>1128</v>
      </c>
      <c r="C418" s="114" t="s">
        <v>1129</v>
      </c>
      <c r="D418" s="114"/>
      <c r="E418" s="114" t="s">
        <v>1129</v>
      </c>
      <c r="F418" s="114" t="s">
        <v>543</v>
      </c>
      <c r="G418" s="114" t="s">
        <v>556</v>
      </c>
      <c r="H418" s="115">
        <v>4</v>
      </c>
      <c r="I418" s="114" t="s">
        <v>545</v>
      </c>
      <c r="J418" s="116">
        <f t="shared" si="84"/>
        <v>1</v>
      </c>
      <c r="K418" s="97" t="str">
        <f>IFERROR(IF(VLOOKUP(D418,'Ficha de Produção'!C:C,1,0)=D418,"OK","Custo Produção Não Cadastrado"),"Custo Produção Não Cadastrado")</f>
        <v>Custo Produção Não Cadastrado</v>
      </c>
      <c r="L418" s="97" t="str">
        <f>IFERROR(IF(VLOOKUP(A418,'Ficha de Embalagens'!A:A,1,0)=A418,"OK","Ficha de Embalagens Não Cadastrada"),"Ficha de Embalagens Não Cadastrada")</f>
        <v>Ficha de Embalagens Não Cadastrada</v>
      </c>
      <c r="M418" s="117">
        <f>SUMIFS('Ficha de Produção'!N:N,'Ficha de Produção'!C:C,D418)*H418</f>
        <v>0</v>
      </c>
      <c r="N418" s="117">
        <f>SUMIFS('Ficha de Embalagens'!F:F,'Ficha de Embalagens'!A:A,A418)</f>
        <v>0</v>
      </c>
      <c r="O418" s="97">
        <f t="shared" si="85"/>
        <v>0</v>
      </c>
      <c r="P418" s="97">
        <f t="shared" si="86"/>
        <v>0</v>
      </c>
      <c r="Q418" s="118">
        <f t="shared" si="87"/>
        <v>0</v>
      </c>
      <c r="R418" s="97">
        <f t="shared" si="88"/>
        <v>0</v>
      </c>
      <c r="S418" s="97">
        <f t="shared" si="89"/>
        <v>0</v>
      </c>
      <c r="T418" s="118">
        <f t="shared" si="90"/>
        <v>0</v>
      </c>
      <c r="U418" s="119"/>
      <c r="V418" s="120" t="str">
        <f t="shared" si="91"/>
        <v>Cadastrar Ficha de Produção</v>
      </c>
      <c r="W418" s="121" t="str">
        <f t="shared" si="92"/>
        <v>Cadastrar Ficha de Produção</v>
      </c>
      <c r="AB418" s="125" t="str">
        <f t="shared" si="93"/>
        <v/>
      </c>
      <c r="AC418" s="125" t="str">
        <f t="shared" si="94"/>
        <v/>
      </c>
      <c r="AD418" s="126" t="str">
        <f t="shared" si="95"/>
        <v/>
      </c>
      <c r="AE418" s="127" t="str">
        <f t="shared" si="96"/>
        <v/>
      </c>
      <c r="AF418" s="128" t="str">
        <f t="shared" si="97"/>
        <v/>
      </c>
    </row>
    <row r="419" spans="1:32" ht="15.75" customHeight="1">
      <c r="A419" s="114" t="s">
        <v>496</v>
      </c>
      <c r="B419" s="114" t="s">
        <v>1130</v>
      </c>
      <c r="C419" s="114" t="s">
        <v>1129</v>
      </c>
      <c r="D419" s="114"/>
      <c r="E419" s="114" t="s">
        <v>1129</v>
      </c>
      <c r="F419" s="114" t="s">
        <v>543</v>
      </c>
      <c r="G419" s="114" t="s">
        <v>556</v>
      </c>
      <c r="H419" s="115">
        <v>20</v>
      </c>
      <c r="I419" s="114" t="s">
        <v>545</v>
      </c>
      <c r="J419" s="116">
        <f t="shared" si="84"/>
        <v>1</v>
      </c>
      <c r="K419" s="97" t="str">
        <f>IFERROR(IF(VLOOKUP(D419,'Ficha de Produção'!C:C,1,0)=D419,"OK","Custo Produção Não Cadastrado"),"Custo Produção Não Cadastrado")</f>
        <v>Custo Produção Não Cadastrado</v>
      </c>
      <c r="L419" s="97" t="str">
        <f>IFERROR(IF(VLOOKUP(A419,'Ficha de Embalagens'!A:A,1,0)=A419,"OK","Ficha de Embalagens Não Cadastrada"),"Ficha de Embalagens Não Cadastrada")</f>
        <v>Ficha de Embalagens Não Cadastrada</v>
      </c>
      <c r="M419" s="117">
        <f>SUMIFS('Ficha de Produção'!N:N,'Ficha de Produção'!C:C,D419)*H419</f>
        <v>0</v>
      </c>
      <c r="N419" s="117">
        <f>SUMIFS('Ficha de Embalagens'!F:F,'Ficha de Embalagens'!A:A,A419)</f>
        <v>0</v>
      </c>
      <c r="O419" s="97">
        <f t="shared" si="85"/>
        <v>0</v>
      </c>
      <c r="P419" s="97">
        <f t="shared" si="86"/>
        <v>0</v>
      </c>
      <c r="Q419" s="118">
        <f t="shared" si="87"/>
        <v>0</v>
      </c>
      <c r="R419" s="97">
        <f t="shared" si="88"/>
        <v>0</v>
      </c>
      <c r="S419" s="97">
        <f t="shared" si="89"/>
        <v>0</v>
      </c>
      <c r="T419" s="118">
        <f t="shared" si="90"/>
        <v>0</v>
      </c>
      <c r="U419" s="119"/>
      <c r="V419" s="120" t="str">
        <f t="shared" si="91"/>
        <v>Cadastrar Ficha de Produção</v>
      </c>
      <c r="W419" s="121" t="str">
        <f t="shared" si="92"/>
        <v>Cadastrar Ficha de Produção</v>
      </c>
      <c r="AB419" s="125" t="str">
        <f t="shared" si="93"/>
        <v/>
      </c>
      <c r="AC419" s="125" t="str">
        <f t="shared" si="94"/>
        <v/>
      </c>
      <c r="AD419" s="126" t="str">
        <f t="shared" si="95"/>
        <v/>
      </c>
      <c r="AE419" s="127" t="str">
        <f t="shared" si="96"/>
        <v/>
      </c>
      <c r="AF419" s="128" t="str">
        <f t="shared" si="97"/>
        <v/>
      </c>
    </row>
    <row r="420" spans="1:32" ht="15.75" customHeight="1">
      <c r="A420" s="114" t="s">
        <v>497</v>
      </c>
      <c r="B420" s="114" t="s">
        <v>1131</v>
      </c>
      <c r="C420" s="114" t="s">
        <v>1132</v>
      </c>
      <c r="D420" s="114"/>
      <c r="E420" s="114" t="s">
        <v>543</v>
      </c>
      <c r="F420" s="114" t="s">
        <v>704</v>
      </c>
      <c r="G420" s="114" t="s">
        <v>556</v>
      </c>
      <c r="H420" s="115">
        <v>0.75</v>
      </c>
      <c r="I420" s="114" t="s">
        <v>551</v>
      </c>
      <c r="J420" s="116">
        <f t="shared" si="84"/>
        <v>1.27</v>
      </c>
      <c r="K420" s="97" t="str">
        <f>IFERROR(IF(VLOOKUP(D420,'Ficha de Produção'!C:C,1,0)=D420,"OK","Custo Produção Não Cadastrado"),"Custo Produção Não Cadastrado")</f>
        <v>Custo Produção Não Cadastrado</v>
      </c>
      <c r="L420" s="97" t="str">
        <f>IFERROR(IF(VLOOKUP(A420,'Ficha de Embalagens'!A:A,1,0)=A420,"OK","Ficha de Embalagens Não Cadastrada"),"Ficha de Embalagens Não Cadastrada")</f>
        <v>Ficha de Embalagens Não Cadastrada</v>
      </c>
      <c r="M420" s="117">
        <f>SUMIFS('Ficha de Produção'!N:N,'Ficha de Produção'!C:C,D420)*H420</f>
        <v>0</v>
      </c>
      <c r="N420" s="117">
        <f>SUMIFS('Ficha de Embalagens'!F:F,'Ficha de Embalagens'!A:A,A420)</f>
        <v>0</v>
      </c>
      <c r="O420" s="97">
        <f t="shared" si="85"/>
        <v>0</v>
      </c>
      <c r="P420" s="97">
        <f t="shared" si="86"/>
        <v>0</v>
      </c>
      <c r="Q420" s="118">
        <f t="shared" si="87"/>
        <v>0</v>
      </c>
      <c r="R420" s="97">
        <f t="shared" si="88"/>
        <v>0</v>
      </c>
      <c r="S420" s="97">
        <f t="shared" si="89"/>
        <v>0</v>
      </c>
      <c r="T420" s="118">
        <f t="shared" si="90"/>
        <v>0</v>
      </c>
      <c r="U420" s="119"/>
      <c r="V420" s="120" t="str">
        <f t="shared" si="91"/>
        <v>Cadastrar Ficha de Produção</v>
      </c>
      <c r="W420" s="121" t="str">
        <f t="shared" si="92"/>
        <v>Cadastrar Ficha de Produção</v>
      </c>
      <c r="AB420" s="125" t="str">
        <f t="shared" si="93"/>
        <v/>
      </c>
      <c r="AC420" s="125" t="str">
        <f t="shared" si="94"/>
        <v/>
      </c>
      <c r="AD420" s="126" t="str">
        <f t="shared" si="95"/>
        <v/>
      </c>
      <c r="AE420" s="127" t="str">
        <f t="shared" si="96"/>
        <v/>
      </c>
      <c r="AF420" s="128" t="str">
        <f t="shared" si="97"/>
        <v/>
      </c>
    </row>
    <row r="421" spans="1:32" ht="15.75" customHeight="1">
      <c r="A421" s="114" t="s">
        <v>498</v>
      </c>
      <c r="B421" s="114" t="s">
        <v>1133</v>
      </c>
      <c r="C421" s="114" t="s">
        <v>1132</v>
      </c>
      <c r="D421" s="114"/>
      <c r="E421" s="114" t="s">
        <v>543</v>
      </c>
      <c r="F421" s="114" t="s">
        <v>991</v>
      </c>
      <c r="G421" s="114" t="s">
        <v>556</v>
      </c>
      <c r="H421" s="115">
        <v>0.75</v>
      </c>
      <c r="I421" s="114" t="s">
        <v>551</v>
      </c>
      <c r="J421" s="116">
        <f t="shared" si="84"/>
        <v>1.27</v>
      </c>
      <c r="K421" s="97" t="str">
        <f>IFERROR(IF(VLOOKUP(D421,'Ficha de Produção'!C:C,1,0)=D421,"OK","Custo Produção Não Cadastrado"),"Custo Produção Não Cadastrado")</f>
        <v>Custo Produção Não Cadastrado</v>
      </c>
      <c r="L421" s="97" t="str">
        <f>IFERROR(IF(VLOOKUP(A421,'Ficha de Embalagens'!A:A,1,0)=A421,"OK","Ficha de Embalagens Não Cadastrada"),"Ficha de Embalagens Não Cadastrada")</f>
        <v>Ficha de Embalagens Não Cadastrada</v>
      </c>
      <c r="M421" s="117">
        <f>SUMIFS('Ficha de Produção'!N:N,'Ficha de Produção'!C:C,D421)*H421</f>
        <v>0</v>
      </c>
      <c r="N421" s="117">
        <f>SUMIFS('Ficha de Embalagens'!F:F,'Ficha de Embalagens'!A:A,A421)</f>
        <v>0</v>
      </c>
      <c r="O421" s="97">
        <f t="shared" si="85"/>
        <v>0</v>
      </c>
      <c r="P421" s="97">
        <f t="shared" si="86"/>
        <v>0</v>
      </c>
      <c r="Q421" s="118">
        <f t="shared" si="87"/>
        <v>0</v>
      </c>
      <c r="R421" s="97">
        <f t="shared" si="88"/>
        <v>0</v>
      </c>
      <c r="S421" s="97">
        <f t="shared" si="89"/>
        <v>0</v>
      </c>
      <c r="T421" s="118">
        <f t="shared" si="90"/>
        <v>0</v>
      </c>
      <c r="U421" s="119"/>
      <c r="V421" s="120" t="str">
        <f t="shared" si="91"/>
        <v>Cadastrar Ficha de Produção</v>
      </c>
      <c r="W421" s="121" t="str">
        <f t="shared" si="92"/>
        <v>Cadastrar Ficha de Produção</v>
      </c>
      <c r="AB421" s="125" t="str">
        <f t="shared" si="93"/>
        <v/>
      </c>
      <c r="AC421" s="125" t="str">
        <f t="shared" si="94"/>
        <v/>
      </c>
      <c r="AD421" s="126" t="str">
        <f t="shared" si="95"/>
        <v/>
      </c>
      <c r="AE421" s="127" t="str">
        <f t="shared" si="96"/>
        <v/>
      </c>
      <c r="AF421" s="128" t="str">
        <f t="shared" si="97"/>
        <v/>
      </c>
    </row>
    <row r="422" spans="1:32" ht="15.75" customHeight="1">
      <c r="A422" s="114" t="s">
        <v>499</v>
      </c>
      <c r="B422" s="114" t="s">
        <v>1134</v>
      </c>
      <c r="C422" s="114" t="s">
        <v>1132</v>
      </c>
      <c r="D422" s="114"/>
      <c r="E422" s="114" t="s">
        <v>543</v>
      </c>
      <c r="F422" s="114" t="s">
        <v>675</v>
      </c>
      <c r="G422" s="114" t="s">
        <v>556</v>
      </c>
      <c r="H422" s="115">
        <v>0.75</v>
      </c>
      <c r="I422" s="114" t="s">
        <v>551</v>
      </c>
      <c r="J422" s="116">
        <f t="shared" si="84"/>
        <v>1.27</v>
      </c>
      <c r="K422" s="97" t="str">
        <f>IFERROR(IF(VLOOKUP(D422,'Ficha de Produção'!C:C,1,0)=D422,"OK","Custo Produção Não Cadastrado"),"Custo Produção Não Cadastrado")</f>
        <v>Custo Produção Não Cadastrado</v>
      </c>
      <c r="L422" s="97" t="str">
        <f>IFERROR(IF(VLOOKUP(A422,'Ficha de Embalagens'!A:A,1,0)=A422,"OK","Ficha de Embalagens Não Cadastrada"),"Ficha de Embalagens Não Cadastrada")</f>
        <v>Ficha de Embalagens Não Cadastrada</v>
      </c>
      <c r="M422" s="117">
        <f>SUMIFS('Ficha de Produção'!N:N,'Ficha de Produção'!C:C,D422)*H422</f>
        <v>0</v>
      </c>
      <c r="N422" s="117">
        <f>SUMIFS('Ficha de Embalagens'!F:F,'Ficha de Embalagens'!A:A,A422)</f>
        <v>0</v>
      </c>
      <c r="O422" s="97">
        <f t="shared" si="85"/>
        <v>0</v>
      </c>
      <c r="P422" s="97">
        <f t="shared" si="86"/>
        <v>0</v>
      </c>
      <c r="Q422" s="118">
        <f t="shared" si="87"/>
        <v>0</v>
      </c>
      <c r="R422" s="97">
        <f t="shared" si="88"/>
        <v>0</v>
      </c>
      <c r="S422" s="97">
        <f t="shared" si="89"/>
        <v>0</v>
      </c>
      <c r="T422" s="118">
        <f t="shared" si="90"/>
        <v>0</v>
      </c>
      <c r="U422" s="119"/>
      <c r="V422" s="120" t="str">
        <f t="shared" si="91"/>
        <v>Cadastrar Ficha de Produção</v>
      </c>
      <c r="W422" s="121" t="str">
        <f t="shared" si="92"/>
        <v>Cadastrar Ficha de Produção</v>
      </c>
      <c r="AB422" s="125" t="str">
        <f t="shared" si="93"/>
        <v/>
      </c>
      <c r="AC422" s="125" t="str">
        <f t="shared" si="94"/>
        <v/>
      </c>
      <c r="AD422" s="126" t="str">
        <f t="shared" si="95"/>
        <v/>
      </c>
      <c r="AE422" s="127" t="str">
        <f t="shared" si="96"/>
        <v/>
      </c>
      <c r="AF422" s="128" t="str">
        <f t="shared" si="97"/>
        <v/>
      </c>
    </row>
    <row r="423" spans="1:32" ht="15.75" customHeight="1">
      <c r="A423" s="114" t="s">
        <v>500</v>
      </c>
      <c r="B423" s="114" t="s">
        <v>1135</v>
      </c>
      <c r="C423" s="114" t="s">
        <v>1132</v>
      </c>
      <c r="D423" s="114"/>
      <c r="E423" s="114" t="s">
        <v>543</v>
      </c>
      <c r="F423" s="114" t="s">
        <v>704</v>
      </c>
      <c r="G423" s="114" t="s">
        <v>556</v>
      </c>
      <c r="H423" s="115">
        <v>3</v>
      </c>
      <c r="I423" s="114" t="s">
        <v>551</v>
      </c>
      <c r="J423" s="116">
        <f t="shared" si="84"/>
        <v>1.27</v>
      </c>
      <c r="K423" s="97" t="str">
        <f>IFERROR(IF(VLOOKUP(D423,'Ficha de Produção'!C:C,1,0)=D423,"OK","Custo Produção Não Cadastrado"),"Custo Produção Não Cadastrado")</f>
        <v>Custo Produção Não Cadastrado</v>
      </c>
      <c r="L423" s="97" t="str">
        <f>IFERROR(IF(VLOOKUP(A423,'Ficha de Embalagens'!A:A,1,0)=A423,"OK","Ficha de Embalagens Não Cadastrada"),"Ficha de Embalagens Não Cadastrada")</f>
        <v>Ficha de Embalagens Não Cadastrada</v>
      </c>
      <c r="M423" s="117">
        <f>SUMIFS('Ficha de Produção'!N:N,'Ficha de Produção'!C:C,D423)*H423</f>
        <v>0</v>
      </c>
      <c r="N423" s="117">
        <f>SUMIFS('Ficha de Embalagens'!F:F,'Ficha de Embalagens'!A:A,A423)</f>
        <v>0</v>
      </c>
      <c r="O423" s="97">
        <f t="shared" si="85"/>
        <v>0</v>
      </c>
      <c r="P423" s="97">
        <f t="shared" si="86"/>
        <v>0</v>
      </c>
      <c r="Q423" s="118">
        <f t="shared" si="87"/>
        <v>0</v>
      </c>
      <c r="R423" s="97">
        <f t="shared" si="88"/>
        <v>0</v>
      </c>
      <c r="S423" s="97">
        <f t="shared" si="89"/>
        <v>0</v>
      </c>
      <c r="T423" s="118">
        <f t="shared" si="90"/>
        <v>0</v>
      </c>
      <c r="U423" s="119"/>
      <c r="V423" s="120" t="str">
        <f t="shared" si="91"/>
        <v>Cadastrar Ficha de Produção</v>
      </c>
      <c r="W423" s="121" t="str">
        <f t="shared" si="92"/>
        <v>Cadastrar Ficha de Produção</v>
      </c>
      <c r="AB423" s="125" t="str">
        <f t="shared" si="93"/>
        <v/>
      </c>
      <c r="AC423" s="125" t="str">
        <f t="shared" si="94"/>
        <v/>
      </c>
      <c r="AD423" s="126" t="str">
        <f t="shared" si="95"/>
        <v/>
      </c>
      <c r="AE423" s="127" t="str">
        <f t="shared" si="96"/>
        <v/>
      </c>
      <c r="AF423" s="128" t="str">
        <f t="shared" si="97"/>
        <v/>
      </c>
    </row>
    <row r="424" spans="1:32" ht="15.75" customHeight="1">
      <c r="A424" s="114" t="s">
        <v>501</v>
      </c>
      <c r="B424" s="114" t="s">
        <v>1136</v>
      </c>
      <c r="C424" s="114" t="s">
        <v>1132</v>
      </c>
      <c r="D424" s="114"/>
      <c r="E424" s="114" t="s">
        <v>543</v>
      </c>
      <c r="F424" s="114" t="s">
        <v>991</v>
      </c>
      <c r="G424" s="114" t="s">
        <v>556</v>
      </c>
      <c r="H424" s="115">
        <v>3</v>
      </c>
      <c r="I424" s="114" t="s">
        <v>551</v>
      </c>
      <c r="J424" s="116">
        <f t="shared" si="84"/>
        <v>1.27</v>
      </c>
      <c r="K424" s="97" t="str">
        <f>IFERROR(IF(VLOOKUP(D424,'Ficha de Produção'!C:C,1,0)=D424,"OK","Custo Produção Não Cadastrado"),"Custo Produção Não Cadastrado")</f>
        <v>Custo Produção Não Cadastrado</v>
      </c>
      <c r="L424" s="97" t="str">
        <f>IFERROR(IF(VLOOKUP(A424,'Ficha de Embalagens'!A:A,1,0)=A424,"OK","Ficha de Embalagens Não Cadastrada"),"Ficha de Embalagens Não Cadastrada")</f>
        <v>Ficha de Embalagens Não Cadastrada</v>
      </c>
      <c r="M424" s="117">
        <f>SUMIFS('Ficha de Produção'!N:N,'Ficha de Produção'!C:C,D424)*H424</f>
        <v>0</v>
      </c>
      <c r="N424" s="117">
        <f>SUMIFS('Ficha de Embalagens'!F:F,'Ficha de Embalagens'!A:A,A424)</f>
        <v>0</v>
      </c>
      <c r="O424" s="97">
        <f t="shared" si="85"/>
        <v>0</v>
      </c>
      <c r="P424" s="97">
        <f t="shared" si="86"/>
        <v>0</v>
      </c>
      <c r="Q424" s="118">
        <f t="shared" si="87"/>
        <v>0</v>
      </c>
      <c r="R424" s="97">
        <f t="shared" si="88"/>
        <v>0</v>
      </c>
      <c r="S424" s="97">
        <f t="shared" si="89"/>
        <v>0</v>
      </c>
      <c r="T424" s="118">
        <f t="shared" si="90"/>
        <v>0</v>
      </c>
      <c r="U424" s="119"/>
      <c r="V424" s="120" t="str">
        <f t="shared" si="91"/>
        <v>Cadastrar Ficha de Produção</v>
      </c>
      <c r="W424" s="121" t="str">
        <f t="shared" si="92"/>
        <v>Cadastrar Ficha de Produção</v>
      </c>
      <c r="AB424" s="125" t="str">
        <f t="shared" si="93"/>
        <v/>
      </c>
      <c r="AC424" s="125" t="str">
        <f t="shared" si="94"/>
        <v/>
      </c>
      <c r="AD424" s="126" t="str">
        <f t="shared" si="95"/>
        <v/>
      </c>
      <c r="AE424" s="127" t="str">
        <f t="shared" si="96"/>
        <v/>
      </c>
      <c r="AF424" s="128" t="str">
        <f t="shared" si="97"/>
        <v/>
      </c>
    </row>
    <row r="425" spans="1:32" ht="15.75" customHeight="1">
      <c r="A425" s="114" t="s">
        <v>502</v>
      </c>
      <c r="B425" s="114" t="s">
        <v>1137</v>
      </c>
      <c r="C425" s="114" t="s">
        <v>1132</v>
      </c>
      <c r="D425" s="114"/>
      <c r="E425" s="114" t="s">
        <v>543</v>
      </c>
      <c r="F425" s="114" t="s">
        <v>675</v>
      </c>
      <c r="G425" s="114" t="s">
        <v>556</v>
      </c>
      <c r="H425" s="115">
        <v>3</v>
      </c>
      <c r="I425" s="114" t="s">
        <v>551</v>
      </c>
      <c r="J425" s="116">
        <f t="shared" si="84"/>
        <v>1.27</v>
      </c>
      <c r="K425" s="97" t="str">
        <f>IFERROR(IF(VLOOKUP(D425,'Ficha de Produção'!C:C,1,0)=D425,"OK","Custo Produção Não Cadastrado"),"Custo Produção Não Cadastrado")</f>
        <v>Custo Produção Não Cadastrado</v>
      </c>
      <c r="L425" s="97" t="str">
        <f>IFERROR(IF(VLOOKUP(A425,'Ficha de Embalagens'!A:A,1,0)=A425,"OK","Ficha de Embalagens Não Cadastrada"),"Ficha de Embalagens Não Cadastrada")</f>
        <v>Ficha de Embalagens Não Cadastrada</v>
      </c>
      <c r="M425" s="117">
        <f>SUMIFS('Ficha de Produção'!N:N,'Ficha de Produção'!C:C,D425)*H425</f>
        <v>0</v>
      </c>
      <c r="N425" s="117">
        <f>SUMIFS('Ficha de Embalagens'!F:F,'Ficha de Embalagens'!A:A,A425)</f>
        <v>0</v>
      </c>
      <c r="O425" s="97">
        <f t="shared" si="85"/>
        <v>0</v>
      </c>
      <c r="P425" s="97">
        <f t="shared" si="86"/>
        <v>0</v>
      </c>
      <c r="Q425" s="118">
        <f t="shared" si="87"/>
        <v>0</v>
      </c>
      <c r="R425" s="97">
        <f t="shared" si="88"/>
        <v>0</v>
      </c>
      <c r="S425" s="97">
        <f t="shared" si="89"/>
        <v>0</v>
      </c>
      <c r="T425" s="118">
        <f t="shared" si="90"/>
        <v>0</v>
      </c>
      <c r="U425" s="119"/>
      <c r="V425" s="120" t="str">
        <f t="shared" si="91"/>
        <v>Cadastrar Ficha de Produção</v>
      </c>
      <c r="W425" s="121" t="str">
        <f t="shared" si="92"/>
        <v>Cadastrar Ficha de Produção</v>
      </c>
    </row>
  </sheetData>
  <autoFilter ref="A3:W425" xr:uid="{00000000-0009-0000-0000-000002000000}"/>
  <mergeCells count="2">
    <mergeCell ref="AB1:AF1"/>
    <mergeCell ref="AB2:AF2"/>
  </mergeCells>
  <conditionalFormatting sqref="K4:L425">
    <cfRule type="cellIs" dxfId="14" priority="7" operator="equal">
      <formula>"OK"</formula>
    </cfRule>
  </conditionalFormatting>
  <conditionalFormatting sqref="V4:V425">
    <cfRule type="cellIs" dxfId="13" priority="2" operator="equal">
      <formula>"Cadastrar Preço Final"</formula>
    </cfRule>
    <cfRule type="cellIs" dxfId="12" priority="3" operator="equal">
      <formula>"Cadastrar Ficha de Produção"</formula>
    </cfRule>
    <cfRule type="cellIs" dxfId="11" priority="4" operator="greaterThanOrEqual">
      <formula>0.3</formula>
    </cfRule>
    <cfRule type="cellIs" dxfId="10" priority="5" operator="between">
      <formula>0.2</formula>
      <formula>0.2999</formula>
    </cfRule>
    <cfRule type="cellIs" dxfId="9" priority="6" operator="lessThan">
      <formula>0.2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20"/>
  <sheetViews>
    <sheetView showGridLines="0" zoomScale="70" zoomScaleNormal="70" workbookViewId="0">
      <pane xSplit="3" ySplit="8" topLeftCell="D53" activePane="bottomRight" state="frozen"/>
      <selection pane="topRight" activeCell="D1" sqref="D1"/>
      <selection pane="bottomLeft" activeCell="A53" sqref="A53"/>
      <selection pane="bottomRight" activeCell="I9" sqref="I9"/>
    </sheetView>
  </sheetViews>
  <sheetFormatPr baseColWidth="10" defaultColWidth="12.5" defaultRowHeight="15"/>
  <cols>
    <col min="1" max="1" width="13.5" customWidth="1"/>
    <col min="2" max="2" width="47.33203125" customWidth="1"/>
    <col min="3" max="3" width="38" customWidth="1"/>
    <col min="4" max="4" width="17.83203125" customWidth="1"/>
    <col min="6" max="6" width="13.5" customWidth="1"/>
    <col min="9" max="9" width="13" customWidth="1"/>
    <col min="10" max="10" width="7.33203125" customWidth="1"/>
    <col min="11" max="11" width="11.83203125" customWidth="1"/>
    <col min="12" max="12" width="11.1640625" customWidth="1"/>
    <col min="13" max="13" width="11.5" customWidth="1"/>
    <col min="14" max="14" width="14.1640625" customWidth="1"/>
    <col min="16" max="16" width="8.33203125" customWidth="1"/>
    <col min="18" max="18" width="14" customWidth="1"/>
    <col min="19" max="19" width="12.83203125" customWidth="1"/>
    <col min="20" max="20" width="15.5" customWidth="1"/>
    <col min="22" max="22" width="12.33203125" customWidth="1"/>
    <col min="24" max="24" width="11.1640625" customWidth="1"/>
    <col min="25" max="25" width="14.5" customWidth="1"/>
    <col min="26" max="26" width="8.5" customWidth="1"/>
  </cols>
  <sheetData>
    <row r="1" spans="1:29" ht="76.5" customHeight="1">
      <c r="A1" s="295" t="s">
        <v>1138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R1" s="131"/>
    </row>
    <row r="2" spans="1:29" ht="12" customHeight="1">
      <c r="A2" s="132"/>
      <c r="B2" s="132"/>
      <c r="C2" s="132"/>
      <c r="D2" s="132"/>
      <c r="E2" s="133"/>
      <c r="F2" s="132"/>
      <c r="G2" s="132"/>
      <c r="H2" s="132"/>
      <c r="I2" s="132"/>
      <c r="J2" s="132"/>
      <c r="K2" s="132"/>
      <c r="L2" s="132"/>
      <c r="M2" s="132"/>
      <c r="N2" s="132"/>
      <c r="O2" s="132"/>
      <c r="R2" s="131"/>
    </row>
    <row r="3" spans="1:29" ht="23.25" customHeight="1">
      <c r="A3" s="296" t="s">
        <v>1139</v>
      </c>
      <c r="B3" s="296"/>
      <c r="C3" s="134">
        <v>30000</v>
      </c>
      <c r="D3" s="135"/>
      <c r="E3" s="133"/>
      <c r="F3" s="133"/>
      <c r="G3" s="136"/>
      <c r="H3" s="133"/>
      <c r="I3" s="132"/>
      <c r="J3" s="132"/>
      <c r="K3" s="132"/>
      <c r="L3" s="132"/>
      <c r="M3" s="132"/>
      <c r="N3" s="132"/>
      <c r="O3" s="132"/>
      <c r="R3" s="131"/>
      <c r="S3" s="137"/>
    </row>
    <row r="4" spans="1:29" ht="4.5" customHeight="1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</row>
    <row r="5" spans="1:29" ht="23.25" customHeight="1">
      <c r="A5" s="296" t="s">
        <v>1140</v>
      </c>
      <c r="B5" s="296"/>
      <c r="C5" s="134">
        <f>IFERROR((I9+C3)/N120,0)</f>
        <v>292481.08293351613</v>
      </c>
      <c r="D5" s="135"/>
      <c r="E5" s="80"/>
      <c r="F5" s="132"/>
      <c r="G5" s="132"/>
      <c r="H5" s="132"/>
      <c r="I5" s="132"/>
      <c r="J5" s="136"/>
      <c r="K5" s="297" t="s">
        <v>1141</v>
      </c>
      <c r="L5" s="297"/>
      <c r="M5" s="297"/>
      <c r="N5" s="297"/>
      <c r="O5" s="297"/>
      <c r="P5" s="80"/>
      <c r="Q5" s="297" t="s">
        <v>1142</v>
      </c>
      <c r="R5" s="297"/>
      <c r="S5" s="297"/>
      <c r="T5" s="297"/>
      <c r="U5" s="297"/>
      <c r="V5" s="297"/>
      <c r="W5" s="297"/>
      <c r="X5" s="297"/>
      <c r="Y5" s="297"/>
      <c r="Z5" s="80"/>
    </row>
    <row r="6" spans="1:29" ht="4.5" customHeight="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</row>
    <row r="7" spans="1:29" ht="18" customHeight="1">
      <c r="A7" s="138" t="s">
        <v>0</v>
      </c>
      <c r="B7" s="139" t="s">
        <v>1</v>
      </c>
      <c r="C7" s="138" t="s">
        <v>0</v>
      </c>
      <c r="D7" s="139" t="s">
        <v>1</v>
      </c>
      <c r="E7" s="138" t="s">
        <v>0</v>
      </c>
      <c r="F7" s="139" t="s">
        <v>1</v>
      </c>
      <c r="G7" s="139" t="s">
        <v>1</v>
      </c>
      <c r="H7" s="139" t="s">
        <v>1</v>
      </c>
      <c r="I7" s="139" t="s">
        <v>1</v>
      </c>
      <c r="J7" s="132"/>
      <c r="K7" s="139" t="s">
        <v>1</v>
      </c>
      <c r="L7" s="139" t="s">
        <v>1</v>
      </c>
      <c r="M7" s="139" t="s">
        <v>1</v>
      </c>
      <c r="N7" s="139" t="s">
        <v>1</v>
      </c>
      <c r="O7" s="139" t="s">
        <v>1</v>
      </c>
      <c r="Q7" s="139" t="s">
        <v>1</v>
      </c>
      <c r="R7" s="139" t="s">
        <v>1</v>
      </c>
      <c r="S7" s="139" t="s">
        <v>1</v>
      </c>
      <c r="T7" s="139" t="s">
        <v>1</v>
      </c>
      <c r="U7" s="139" t="s">
        <v>1</v>
      </c>
      <c r="V7" s="139" t="s">
        <v>1</v>
      </c>
      <c r="W7" s="139" t="s">
        <v>1</v>
      </c>
      <c r="X7" s="139" t="s">
        <v>1</v>
      </c>
      <c r="Y7" s="139" t="s">
        <v>1</v>
      </c>
    </row>
    <row r="8" spans="1:29" ht="31.5" customHeight="1">
      <c r="A8" s="140" t="s">
        <v>1143</v>
      </c>
      <c r="B8" s="140" t="s">
        <v>1144</v>
      </c>
      <c r="C8" s="140" t="s">
        <v>1145</v>
      </c>
      <c r="D8" s="140" t="s">
        <v>1146</v>
      </c>
      <c r="E8" s="141" t="s">
        <v>1147</v>
      </c>
      <c r="F8" s="140" t="s">
        <v>1148</v>
      </c>
      <c r="G8" s="140" t="s">
        <v>32</v>
      </c>
      <c r="H8" s="140" t="s">
        <v>62</v>
      </c>
      <c r="I8" s="140" t="s">
        <v>1149</v>
      </c>
      <c r="J8" s="142"/>
      <c r="K8" s="140" t="s">
        <v>1150</v>
      </c>
      <c r="L8" s="140" t="s">
        <v>1151</v>
      </c>
      <c r="M8" s="140" t="s">
        <v>1152</v>
      </c>
      <c r="N8" s="140" t="s">
        <v>1153</v>
      </c>
      <c r="O8" s="140" t="s">
        <v>1154</v>
      </c>
      <c r="P8" s="143"/>
      <c r="Q8" s="144" t="s">
        <v>9</v>
      </c>
      <c r="R8" s="144" t="s">
        <v>8</v>
      </c>
      <c r="S8" s="144" t="s">
        <v>1155</v>
      </c>
      <c r="T8" s="144" t="s">
        <v>1156</v>
      </c>
      <c r="U8" s="144" t="s">
        <v>32</v>
      </c>
      <c r="V8" s="144" t="s">
        <v>62</v>
      </c>
      <c r="W8" s="144" t="s">
        <v>1157</v>
      </c>
      <c r="X8" s="144" t="s">
        <v>1158</v>
      </c>
      <c r="Y8" s="144" t="s">
        <v>1159</v>
      </c>
      <c r="AB8" s="140" t="s">
        <v>1160</v>
      </c>
      <c r="AC8" s="140" t="s">
        <v>1161</v>
      </c>
    </row>
    <row r="9" spans="1:29" ht="14.25" customHeight="1">
      <c r="A9" s="48" t="s">
        <v>119</v>
      </c>
      <c r="B9" s="145" t="str">
        <f>IFERROR(VLOOKUP(A9,'Tabela de Produtos'!A:B,2,0),"Preencher Cód. Produto")</f>
        <v>BRAZIMIL LÁTEX ECONÔMICO INT FOSCO 15L BRANCO NEVE</v>
      </c>
      <c r="C9" s="146">
        <v>654</v>
      </c>
      <c r="D9" s="147">
        <f>IFERROR(VLOOKUP(A9,'Tabela de Produtos'!A:U,21,0),"Preencher Cód. Produto")</f>
        <v>69.900000000000006</v>
      </c>
      <c r="E9" s="147">
        <v>69.900000000000006</v>
      </c>
      <c r="F9" s="147">
        <f>IFERROR(VLOOKUP(A9,'Tabela de Produtos'!A:T,20,0),"Preencher Cód. Produto")</f>
        <v>39.798000000000002</v>
      </c>
      <c r="G9" s="148">
        <f>SUM('Formação de Preço de Venda'!$BA$12:$BD$12)</f>
        <v>7.0000000000000007E-2</v>
      </c>
      <c r="H9" s="148">
        <f>'Formação de Preço de Venda'!$BE$12</f>
        <v>0.05</v>
      </c>
      <c r="I9" s="298">
        <f>ROUND('Despesas Fixas'!F4+'Custos de Produção'!K4+Salários!J21+'Despesas Não Fabris'!G4+Depreciações!K4,2)</f>
        <v>55345.98</v>
      </c>
      <c r="J9" s="149"/>
      <c r="K9" s="150">
        <f t="shared" ref="K9:K40" si="0">IFERROR((ROUND(E9-F9,2)),0)</f>
        <v>30.1</v>
      </c>
      <c r="L9" s="148">
        <f>IFERROR(ROUND(K9/E9,4),0)</f>
        <v>0.43059999999999998</v>
      </c>
      <c r="M9" s="120">
        <f t="shared" ref="M9:M40" si="1">IFERROR((C9*E9)/SUMPRODUCT($C$9:$C$118,$E$9:$E$118),0)</f>
        <v>0.14687703407515967</v>
      </c>
      <c r="N9" s="148">
        <f>ROUND(L9*M9,4)</f>
        <v>6.3200000000000006E-2</v>
      </c>
      <c r="O9" s="120" t="str">
        <f>IFERROR(VLOOKUP(A9,'Tabela de Produtos'!A:V,23,0),"-")</f>
        <v>-</v>
      </c>
      <c r="P9" s="149"/>
      <c r="Q9" s="151">
        <f t="shared" ref="Q9:Q40" si="2">IFERROR($Q$120*M9,0)</f>
        <v>42958.753984365649</v>
      </c>
      <c r="R9" s="152">
        <f t="shared" ref="R9:R40" si="3">ROUNDUP(IFERROR(Q9/E9,0),0)</f>
        <v>615</v>
      </c>
      <c r="S9" s="153">
        <f t="shared" ref="S9:S40" si="4">R9-C9</f>
        <v>-39</v>
      </c>
      <c r="T9" s="151">
        <f t="shared" ref="T9:T40" si="5">IFERROR(R9*F9,0)-U9-V9</f>
        <v>19320.719521876119</v>
      </c>
      <c r="U9" s="151">
        <f t="shared" ref="U9:U40" si="6">Q9*G9</f>
        <v>3007.1127789055959</v>
      </c>
      <c r="V9" s="151">
        <f t="shared" ref="V9:V40" si="7">Q9*H9</f>
        <v>2147.9376992182824</v>
      </c>
      <c r="W9" s="151">
        <f t="shared" ref="W9:W40" si="8">Q9-T9-U9-V9</f>
        <v>18482.983984365652</v>
      </c>
      <c r="X9" s="299">
        <f>I9</f>
        <v>55345.98</v>
      </c>
      <c r="Y9" s="300">
        <f>W120-X9</f>
        <v>27520.863933516252</v>
      </c>
      <c r="AB9" s="148">
        <v>0.14820700000000001</v>
      </c>
      <c r="AC9" s="154">
        <f t="shared" ref="AC9:AC40" si="9">ROUNDUP((AB9*$C$5)/E9,0)</f>
        <v>621</v>
      </c>
    </row>
    <row r="10" spans="1:29">
      <c r="A10" s="48" t="s">
        <v>82</v>
      </c>
      <c r="B10" s="145" t="str">
        <f>IFERROR(VLOOKUP(A10,'Tabela de Produtos'!A:B,2,0),"Preencher Cód. Produto")</f>
        <v>BRAZIMIL MASSA CORRIDA 20,0 KG</v>
      </c>
      <c r="C10" s="146">
        <v>973</v>
      </c>
      <c r="D10" s="147">
        <f>IFERROR(VLOOKUP(A10,'Tabela de Produtos'!A:U,21,0),"Preencher Cód. Produto")</f>
        <v>38.9</v>
      </c>
      <c r="E10" s="147">
        <v>38.9</v>
      </c>
      <c r="F10" s="147">
        <f>IFERROR(VLOOKUP(A10,'Tabela de Produtos'!A:T,20,0),"Preencher Cód. Produto")</f>
        <v>34.478000000000002</v>
      </c>
      <c r="G10" s="148">
        <f>SUM('Formação de Preço de Venda'!$BA$12:$BD$12)</f>
        <v>7.0000000000000007E-2</v>
      </c>
      <c r="H10" s="148">
        <f>'Formação de Preço de Venda'!$BE$12</f>
        <v>0.05</v>
      </c>
      <c r="I10" s="298"/>
      <c r="J10" s="149"/>
      <c r="K10" s="150">
        <f t="shared" si="0"/>
        <v>4.42</v>
      </c>
      <c r="L10" s="120">
        <f>IFERROR(ROUND(K10/E10,4),0)</f>
        <v>0.11360000000000001</v>
      </c>
      <c r="M10" s="120">
        <f t="shared" si="1"/>
        <v>0.1216077943727949</v>
      </c>
      <c r="N10" s="120">
        <f>ROUND(L10*M10,4)</f>
        <v>1.38E-2</v>
      </c>
      <c r="O10" s="120" t="str">
        <f>IFERROR(VLOOKUP(A10,'Tabela de Produtos'!A:V,23,0),"-")</f>
        <v>-</v>
      </c>
      <c r="P10" s="149"/>
      <c r="Q10" s="151">
        <f t="shared" si="2"/>
        <v>35567.979391311397</v>
      </c>
      <c r="R10" s="152">
        <f t="shared" si="3"/>
        <v>915</v>
      </c>
      <c r="S10" s="153">
        <f t="shared" si="4"/>
        <v>-58</v>
      </c>
      <c r="T10" s="151">
        <f t="shared" si="5"/>
        <v>27279.212473042637</v>
      </c>
      <c r="U10" s="151">
        <f t="shared" si="6"/>
        <v>2489.7585573917981</v>
      </c>
      <c r="V10" s="151">
        <f t="shared" si="7"/>
        <v>1778.39896956557</v>
      </c>
      <c r="W10" s="151">
        <f t="shared" si="8"/>
        <v>4020.6093913113918</v>
      </c>
      <c r="X10" s="299"/>
      <c r="Y10" s="299"/>
      <c r="AB10" s="148">
        <v>0.122603</v>
      </c>
      <c r="AC10" s="154">
        <f t="shared" si="9"/>
        <v>922</v>
      </c>
    </row>
    <row r="11" spans="1:29">
      <c r="A11" t="s">
        <v>120</v>
      </c>
      <c r="B11" s="145" t="str">
        <f>IFERROR(VLOOKUP(A11,'Tabela de Produtos'!A:B,2,0),"Preencher Cód. Produto")</f>
        <v>BRAZIMIL LÁTEX ECONÔMICO INT FOSCO 15L BRANCO GELO</v>
      </c>
      <c r="C11" s="146">
        <v>147</v>
      </c>
      <c r="D11" s="147">
        <f>IFERROR(VLOOKUP(A11,'Tabela de Produtos'!A:U,21,0),"Preencher Cód. Produto")</f>
        <v>69.900000000000006</v>
      </c>
      <c r="E11" s="147">
        <v>69.900000000000006</v>
      </c>
      <c r="F11" s="147">
        <f>IFERROR(VLOOKUP(A11,'Tabela de Produtos'!A:T,20,0),"Preencher Cód. Produto")</f>
        <v>45.49799999999999</v>
      </c>
      <c r="G11" s="148">
        <f>SUM('Formação de Preço de Venda'!$BA$12:$BD$12)</f>
        <v>7.0000000000000007E-2</v>
      </c>
      <c r="H11" s="148">
        <f>'Formação de Preço de Venda'!$BE$12</f>
        <v>0.05</v>
      </c>
      <c r="I11" s="298"/>
      <c r="J11" s="149"/>
      <c r="K11" s="150">
        <f t="shared" si="0"/>
        <v>24.4</v>
      </c>
      <c r="L11" s="120">
        <f>IFERROR(ROUND(K11/E11,4),0)</f>
        <v>0.34910000000000002</v>
      </c>
      <c r="M11" s="120">
        <f t="shared" si="1"/>
        <v>3.3013645273774421E-2</v>
      </c>
      <c r="N11" s="120">
        <f>ROUND(L11*M11,4)</f>
        <v>1.15E-2</v>
      </c>
      <c r="O11" s="120" t="str">
        <f>IFERROR(VLOOKUP(A11,'Tabela de Produtos'!A:V,23,0),"-")</f>
        <v>-</v>
      </c>
      <c r="P11" s="149"/>
      <c r="Q11" s="151">
        <f t="shared" si="2"/>
        <v>9655.8667212564997</v>
      </c>
      <c r="R11" s="152">
        <f t="shared" si="3"/>
        <v>139</v>
      </c>
      <c r="S11" s="153">
        <f t="shared" si="4"/>
        <v>-8</v>
      </c>
      <c r="T11" s="151">
        <f t="shared" si="5"/>
        <v>5165.5179934492189</v>
      </c>
      <c r="U11" s="151">
        <f t="shared" si="6"/>
        <v>675.91067048795503</v>
      </c>
      <c r="V11" s="151">
        <f t="shared" si="7"/>
        <v>482.79333606282501</v>
      </c>
      <c r="W11" s="151">
        <f t="shared" si="8"/>
        <v>3331.6447212565008</v>
      </c>
      <c r="X11" s="299"/>
      <c r="Y11" s="299"/>
      <c r="AB11" s="148">
        <v>3.3147000000000003E-2</v>
      </c>
      <c r="AC11" s="154">
        <f t="shared" si="9"/>
        <v>139</v>
      </c>
    </row>
    <row r="12" spans="1:29">
      <c r="A12" t="s">
        <v>88</v>
      </c>
      <c r="B12" s="145" t="str">
        <f>IFERROR(VLOOKUP(A12,'Tabela de Produtos'!A:B,2,0),"Preencher Cód. Produto")</f>
        <v>BRAZIMIL MASSA ACRÍLICA 20KG</v>
      </c>
      <c r="C12" s="146">
        <v>230</v>
      </c>
      <c r="D12" s="147">
        <f>IFERROR(VLOOKUP(A12,'Tabela de Produtos'!A:U,21,0),"Preencher Cód. Produto")</f>
        <v>69.900000000000006</v>
      </c>
      <c r="E12" s="147">
        <v>69.900000000000006</v>
      </c>
      <c r="F12" s="147">
        <f>IFERROR(VLOOKUP(A12,'Tabela de Produtos'!A:T,20,0),"Preencher Cód. Produto")</f>
        <v>55.397999999999996</v>
      </c>
      <c r="G12" s="148">
        <f>SUM('Formação de Preço de Venda'!$BA$12:$BD$12)</f>
        <v>7.0000000000000007E-2</v>
      </c>
      <c r="H12" s="148">
        <f>'Formação de Preço de Venda'!$BE$12</f>
        <v>0.05</v>
      </c>
      <c r="I12" s="298"/>
      <c r="J12" s="149"/>
      <c r="K12" s="150">
        <f t="shared" si="0"/>
        <v>14.5</v>
      </c>
      <c r="L12" s="120">
        <f>IFERROR(ROUND(K12/E12,4),0)</f>
        <v>0.2074</v>
      </c>
      <c r="M12" s="120">
        <f t="shared" si="1"/>
        <v>5.1654002809306918E-2</v>
      </c>
      <c r="N12" s="120">
        <f>ROUND(L12*M12,4)</f>
        <v>1.0699999999999999E-2</v>
      </c>
      <c r="O12" s="120" t="str">
        <f>IFERROR(VLOOKUP(A12,'Tabela de Produtos'!A:V,23,0),"-")</f>
        <v>-</v>
      </c>
      <c r="P12" s="149"/>
      <c r="Q12" s="151">
        <f t="shared" si="2"/>
        <v>15107.818679516971</v>
      </c>
      <c r="R12" s="152">
        <f t="shared" si="3"/>
        <v>217</v>
      </c>
      <c r="S12" s="153">
        <f t="shared" si="4"/>
        <v>-13</v>
      </c>
      <c r="T12" s="151">
        <f t="shared" si="5"/>
        <v>10208.427758457963</v>
      </c>
      <c r="U12" s="151">
        <f t="shared" si="6"/>
        <v>1057.547307566188</v>
      </c>
      <c r="V12" s="151">
        <f t="shared" si="7"/>
        <v>755.39093397584861</v>
      </c>
      <c r="W12" s="151">
        <f t="shared" si="8"/>
        <v>3086.4526795169713</v>
      </c>
      <c r="X12" s="299"/>
      <c r="Y12" s="299"/>
      <c r="AB12" s="148">
        <v>5.2111999999999999E-2</v>
      </c>
      <c r="AC12" s="154">
        <f t="shared" si="9"/>
        <v>219</v>
      </c>
    </row>
    <row r="13" spans="1:29">
      <c r="A13" t="s">
        <v>84</v>
      </c>
      <c r="B13" s="145" t="str">
        <f>IFERROR(VLOOKUP(A13,'Tabela de Produtos'!A:B,2,0),"Preencher Cód. Produto")</f>
        <v>BRAZIMIL SELADOR ACRILICO 15L</v>
      </c>
      <c r="C13" s="146">
        <v>203</v>
      </c>
      <c r="D13" s="147">
        <f>IFERROR(VLOOKUP(A13,'Tabela de Produtos'!A:U,21,0),"Preencher Cód. Produto")</f>
        <v>66.489999999999995</v>
      </c>
      <c r="E13" s="147">
        <v>66.489999999999995</v>
      </c>
      <c r="F13" s="147">
        <f>IFERROR(VLOOKUP(A13,'Tabela de Produtos'!A:T,20,0),"Preencher Cód. Produto")</f>
        <v>34.438800000000001</v>
      </c>
      <c r="G13" s="148">
        <f>SUM('Formação de Preço de Venda'!$BA$12:$BD$12)</f>
        <v>7.0000000000000007E-2</v>
      </c>
      <c r="H13" s="148">
        <f>'Formação de Preço de Venda'!$BE$12</f>
        <v>0.05</v>
      </c>
      <c r="I13" s="298"/>
      <c r="J13" s="149"/>
      <c r="K13" s="150">
        <f t="shared" si="0"/>
        <v>32.049999999999997</v>
      </c>
      <c r="L13" s="120">
        <f>IFERROR(K13/E13,0)</f>
        <v>0.48202737253722366</v>
      </c>
      <c r="M13" s="120">
        <f t="shared" si="1"/>
        <v>4.3366197256859848E-2</v>
      </c>
      <c r="N13" s="120">
        <f>L13*M13</f>
        <v>2.0903694120655108E-2</v>
      </c>
      <c r="O13" s="120" t="str">
        <f>IFERROR(VLOOKUP(A13,'Tabela de Produtos'!A:V,23,0),"-")</f>
        <v>-</v>
      </c>
      <c r="P13" s="149"/>
      <c r="Q13" s="151">
        <f t="shared" si="2"/>
        <v>12683.792336394845</v>
      </c>
      <c r="R13" s="152">
        <f t="shared" si="3"/>
        <v>191</v>
      </c>
      <c r="S13" s="153">
        <f t="shared" si="4"/>
        <v>-12</v>
      </c>
      <c r="T13" s="151">
        <f t="shared" si="5"/>
        <v>5055.7557196326179</v>
      </c>
      <c r="U13" s="151">
        <f t="shared" si="6"/>
        <v>887.86546354763925</v>
      </c>
      <c r="V13" s="151">
        <f t="shared" si="7"/>
        <v>634.18961681974224</v>
      </c>
      <c r="W13" s="151">
        <f t="shared" si="8"/>
        <v>6105.9815363948455</v>
      </c>
      <c r="X13" s="299"/>
      <c r="Y13" s="299"/>
      <c r="AB13" s="148">
        <v>4.3559E-2</v>
      </c>
      <c r="AC13" s="154">
        <f t="shared" si="9"/>
        <v>192</v>
      </c>
    </row>
    <row r="14" spans="1:29">
      <c r="A14" t="s">
        <v>89</v>
      </c>
      <c r="B14" s="145" t="str">
        <f>IFERROR(VLOOKUP(A14,'Tabela de Produtos'!A:B,2,0),"Preencher Cód. Produto")</f>
        <v>BRAZIMIL LÁTEX ECONÔMICO INT FOSCO 3L BRANCO NEVE</v>
      </c>
      <c r="C14" s="146">
        <v>496</v>
      </c>
      <c r="D14" s="147">
        <f>IFERROR(VLOOKUP(A14,'Tabela de Produtos'!A:U,21,0),"Preencher Cód. Produto")</f>
        <v>17.989999999999998</v>
      </c>
      <c r="E14" s="147">
        <v>17.989999999999998</v>
      </c>
      <c r="F14" s="147">
        <f>IFERROR(VLOOKUP(A14,'Tabela de Produtos'!A:T,20,0),"Preencher Cód. Produto")</f>
        <v>10.158799999999999</v>
      </c>
      <c r="G14" s="148">
        <f>SUM('Formação de Preço de Venda'!$BA$12:$BD$12)</f>
        <v>7.0000000000000007E-2</v>
      </c>
      <c r="H14" s="148">
        <f>'Formação de Preço de Venda'!$BE$12</f>
        <v>0.05</v>
      </c>
      <c r="I14" s="298"/>
      <c r="J14" s="149"/>
      <c r="K14" s="150">
        <f t="shared" si="0"/>
        <v>7.83</v>
      </c>
      <c r="L14" s="120">
        <f t="shared" ref="L14:L45" si="10">IFERROR(ROUND(K14/E14,4),0)</f>
        <v>0.43519999999999998</v>
      </c>
      <c r="M14" s="120">
        <f t="shared" si="1"/>
        <v>2.8668951497639976E-2</v>
      </c>
      <c r="N14" s="120">
        <f t="shared" ref="N14:N45" si="11">ROUND(L14*M14,4)</f>
        <v>1.2500000000000001E-2</v>
      </c>
      <c r="O14" s="120" t="str">
        <f>IFERROR(VLOOKUP(A14,'Tabela de Produtos'!A:V,23,0),"-")</f>
        <v>-</v>
      </c>
      <c r="P14" s="149"/>
      <c r="Q14" s="151">
        <f t="shared" si="2"/>
        <v>8385.1259805981899</v>
      </c>
      <c r="R14" s="152">
        <f t="shared" si="3"/>
        <v>467</v>
      </c>
      <c r="S14" s="153">
        <f t="shared" si="4"/>
        <v>-29</v>
      </c>
      <c r="T14" s="151">
        <f t="shared" si="5"/>
        <v>3737.9444823282174</v>
      </c>
      <c r="U14" s="151">
        <f t="shared" si="6"/>
        <v>586.95881864187334</v>
      </c>
      <c r="V14" s="151">
        <f t="shared" si="7"/>
        <v>419.25629902990954</v>
      </c>
      <c r="W14" s="151">
        <f t="shared" si="8"/>
        <v>3640.96638059819</v>
      </c>
      <c r="X14" s="299"/>
      <c r="Y14" s="299"/>
      <c r="AB14" s="148">
        <v>2.8898E-2</v>
      </c>
      <c r="AC14" s="154">
        <f t="shared" si="9"/>
        <v>470</v>
      </c>
    </row>
    <row r="15" spans="1:29">
      <c r="A15" t="s">
        <v>83</v>
      </c>
      <c r="B15" s="145" t="str">
        <f>IFERROR(VLOOKUP(A15,'Tabela de Produtos'!A:B,2,0),"Preencher Cód. Produto")</f>
        <v>BRAZIMIL SELADOR ACRILICO 3L</v>
      </c>
      <c r="C15" s="146">
        <v>610</v>
      </c>
      <c r="D15" s="147">
        <f>IFERROR(VLOOKUP(A15,'Tabela de Produtos'!A:U,21,0),"Preencher Cód. Produto")</f>
        <v>16.989999999999998</v>
      </c>
      <c r="E15" s="147">
        <v>16.989999999999998</v>
      </c>
      <c r="F15" s="147">
        <f>IFERROR(VLOOKUP(A15,'Tabela de Produtos'!A:T,20,0),"Preencher Cód. Produto")</f>
        <v>8.6687999999999992</v>
      </c>
      <c r="G15" s="148">
        <f>SUM('Formação de Preço de Venda'!$BA$12:$BD$12)</f>
        <v>7.0000000000000007E-2</v>
      </c>
      <c r="H15" s="148">
        <f>'Formação de Preço de Venda'!$BE$12</f>
        <v>0.05</v>
      </c>
      <c r="I15" s="298"/>
      <c r="J15" s="149"/>
      <c r="K15" s="150">
        <f t="shared" si="0"/>
        <v>8.32</v>
      </c>
      <c r="L15" s="120">
        <f t="shared" si="10"/>
        <v>0.48970000000000002</v>
      </c>
      <c r="M15" s="120">
        <f t="shared" si="1"/>
        <v>3.3298309368375682E-2</v>
      </c>
      <c r="N15" s="120">
        <f t="shared" si="11"/>
        <v>1.6299999999999999E-2</v>
      </c>
      <c r="O15" s="120" t="str">
        <f>IFERROR(VLOOKUP(A15,'Tabela de Produtos'!A:V,23,0),"-")</f>
        <v>-</v>
      </c>
      <c r="P15" s="149"/>
      <c r="Q15" s="151">
        <f t="shared" si="2"/>
        <v>9739.1255839177647</v>
      </c>
      <c r="R15" s="152">
        <f t="shared" si="3"/>
        <v>574</v>
      </c>
      <c r="S15" s="153">
        <f t="shared" si="4"/>
        <v>-36</v>
      </c>
      <c r="T15" s="151">
        <f t="shared" si="5"/>
        <v>3807.1961299298669</v>
      </c>
      <c r="U15" s="151">
        <f t="shared" si="6"/>
        <v>681.73879087424359</v>
      </c>
      <c r="V15" s="151">
        <f t="shared" si="7"/>
        <v>486.95627919588827</v>
      </c>
      <c r="W15" s="151">
        <f t="shared" si="8"/>
        <v>4763.2343839177656</v>
      </c>
      <c r="X15" s="299"/>
      <c r="Y15" s="299"/>
      <c r="AB15" s="148">
        <v>3.3571999999999998E-2</v>
      </c>
      <c r="AC15" s="154">
        <f t="shared" si="9"/>
        <v>578</v>
      </c>
    </row>
    <row r="16" spans="1:29">
      <c r="A16" t="s">
        <v>203</v>
      </c>
      <c r="B16" s="145" t="str">
        <f>IFERROR(VLOOKUP(A16,'Tabela de Produtos'!A:B,2,0),"Preencher Cód. Produto")</f>
        <v>BRAZIMIL LÁTEX STANDARD INT/EXT SEMIBRILHO 15L BRANCO NEVE</v>
      </c>
      <c r="C16" s="146">
        <v>63</v>
      </c>
      <c r="D16" s="147">
        <f>IFERROR(VLOOKUP(A16,'Tabela de Produtos'!A:U,21,0),"Preencher Cód. Produto")</f>
        <v>175.9</v>
      </c>
      <c r="E16" s="147">
        <v>175.9</v>
      </c>
      <c r="F16" s="147">
        <f>IFERROR(VLOOKUP(A16,'Tabela de Produtos'!A:T,20,0),"Preencher Cód. Produto")</f>
        <v>143.71800000000002</v>
      </c>
      <c r="G16" s="148">
        <f>SUM('Formação de Preço de Venda'!$BA$12:$BD$12)</f>
        <v>7.0000000000000007E-2</v>
      </c>
      <c r="H16" s="148">
        <f>'Formação de Preço de Venda'!$BE$12</f>
        <v>0.05</v>
      </c>
      <c r="I16" s="298"/>
      <c r="J16" s="149"/>
      <c r="K16" s="150">
        <f t="shared" si="0"/>
        <v>32.18</v>
      </c>
      <c r="L16" s="120">
        <f t="shared" si="10"/>
        <v>0.18290000000000001</v>
      </c>
      <c r="M16" s="120">
        <f t="shared" si="1"/>
        <v>3.560453834247039E-2</v>
      </c>
      <c r="N16" s="120">
        <f t="shared" si="11"/>
        <v>6.4999999999999997E-3</v>
      </c>
      <c r="O16" s="120" t="str">
        <f>IFERROR(VLOOKUP(A16,'Tabela de Produtos'!A:V,23,0),"-")</f>
        <v>-</v>
      </c>
      <c r="P16" s="149"/>
      <c r="Q16" s="151">
        <f t="shared" si="2"/>
        <v>10413.653931753637</v>
      </c>
      <c r="R16" s="152">
        <f t="shared" si="3"/>
        <v>60</v>
      </c>
      <c r="S16" s="153">
        <f t="shared" si="4"/>
        <v>-3</v>
      </c>
      <c r="T16" s="151">
        <f t="shared" si="5"/>
        <v>7373.4415281895654</v>
      </c>
      <c r="U16" s="151">
        <f t="shared" si="6"/>
        <v>728.95577522275471</v>
      </c>
      <c r="V16" s="151">
        <f t="shared" si="7"/>
        <v>520.6826965876819</v>
      </c>
      <c r="W16" s="151">
        <f t="shared" si="8"/>
        <v>1790.5739317536352</v>
      </c>
      <c r="X16" s="299"/>
      <c r="Y16" s="299"/>
      <c r="AB16" s="148">
        <v>3.5803000000000001E-2</v>
      </c>
      <c r="AC16" s="154">
        <f t="shared" si="9"/>
        <v>60</v>
      </c>
    </row>
    <row r="17" spans="1:29">
      <c r="A17" t="s">
        <v>132</v>
      </c>
      <c r="B17" s="145" t="str">
        <f>IFERROR(VLOOKUP(A17,'Tabela de Produtos'!A:B,2,0),"Preencher Cód. Produto")</f>
        <v>BRAZIMIL LÁTEX ECONÔMICO INT FOSCO 15L DAMASCO</v>
      </c>
      <c r="C17" s="146">
        <v>135</v>
      </c>
      <c r="D17" s="147">
        <f>IFERROR(VLOOKUP(A17,'Tabela de Produtos'!A:U,21,0),"Preencher Cód. Produto")</f>
        <v>69.900000000000006</v>
      </c>
      <c r="E17" s="147">
        <v>69.900000000000006</v>
      </c>
      <c r="F17" s="147">
        <f>IFERROR(VLOOKUP(A17,'Tabela de Produtos'!A:T,20,0),"Preencher Cód. Produto")</f>
        <v>51.798000000000002</v>
      </c>
      <c r="G17" s="148">
        <f>SUM('Formação de Preço de Venda'!$BA$12:$BD$12)</f>
        <v>7.0000000000000007E-2</v>
      </c>
      <c r="H17" s="148">
        <f>'Formação de Preço de Venda'!$BE$12</f>
        <v>0.05</v>
      </c>
      <c r="I17" s="298"/>
      <c r="J17" s="149"/>
      <c r="K17" s="150">
        <f t="shared" si="0"/>
        <v>18.100000000000001</v>
      </c>
      <c r="L17" s="148">
        <f t="shared" si="10"/>
        <v>0.25890000000000002</v>
      </c>
      <c r="M17" s="120">
        <f t="shared" si="1"/>
        <v>3.0318653822854057E-2</v>
      </c>
      <c r="N17" s="120">
        <f t="shared" si="11"/>
        <v>7.7999999999999996E-3</v>
      </c>
      <c r="O17" s="120" t="str">
        <f>IFERROR(VLOOKUP(A17,'Tabela de Produtos'!A:V,23,0),"-")</f>
        <v>-</v>
      </c>
      <c r="P17" s="149"/>
      <c r="Q17" s="151">
        <f t="shared" si="2"/>
        <v>8867.632703194744</v>
      </c>
      <c r="R17" s="152">
        <f t="shared" si="3"/>
        <v>127</v>
      </c>
      <c r="S17" s="153">
        <f t="shared" si="4"/>
        <v>-8</v>
      </c>
      <c r="T17" s="151">
        <f t="shared" si="5"/>
        <v>5514.2300756166314</v>
      </c>
      <c r="U17" s="151">
        <f t="shared" si="6"/>
        <v>620.73428922363212</v>
      </c>
      <c r="V17" s="151">
        <f t="shared" si="7"/>
        <v>443.38163515973724</v>
      </c>
      <c r="W17" s="151">
        <f t="shared" si="8"/>
        <v>2289.2867031947435</v>
      </c>
      <c r="X17" s="299"/>
      <c r="Y17" s="299"/>
      <c r="AB17" s="148">
        <v>3.0438E-2</v>
      </c>
      <c r="AC17" s="154">
        <f t="shared" si="9"/>
        <v>128</v>
      </c>
    </row>
    <row r="18" spans="1:29">
      <c r="A18" t="s">
        <v>125</v>
      </c>
      <c r="B18" s="145" t="str">
        <f>IFERROR(VLOOKUP(A18,'Tabela de Produtos'!A:B,2,0),"Preencher Cód. Produto")</f>
        <v>BRAZIMIL LÁTEX ECONÔMICO INT FOSCO 15L AZUL CEU</v>
      </c>
      <c r="C18" s="146">
        <v>62</v>
      </c>
      <c r="D18" s="147">
        <f>IFERROR(VLOOKUP(A18,'Tabela de Produtos'!A:U,21,0),"Preencher Cód. Produto")</f>
        <v>69.900000000000006</v>
      </c>
      <c r="E18" s="147">
        <v>69.900000000000006</v>
      </c>
      <c r="F18" s="147">
        <f>IFERROR(VLOOKUP(A18,'Tabela de Produtos'!A:T,20,0),"Preencher Cód. Produto")</f>
        <v>45.947999999999993</v>
      </c>
      <c r="G18" s="148">
        <f>SUM('Formação de Preço de Venda'!$BA$12:$BD$12)</f>
        <v>7.0000000000000007E-2</v>
      </c>
      <c r="H18" s="148">
        <f>'Formação de Preço de Venda'!$BE$12</f>
        <v>0.05</v>
      </c>
      <c r="I18" s="298"/>
      <c r="J18" s="149"/>
      <c r="K18" s="150">
        <f t="shared" si="0"/>
        <v>23.95</v>
      </c>
      <c r="L18" s="120">
        <f t="shared" si="10"/>
        <v>0.34260000000000002</v>
      </c>
      <c r="M18" s="120">
        <f t="shared" si="1"/>
        <v>1.3924122496421864E-2</v>
      </c>
      <c r="N18" s="120">
        <f t="shared" si="11"/>
        <v>4.7999999999999996E-3</v>
      </c>
      <c r="O18" s="120" t="str">
        <f>IFERROR(VLOOKUP(A18,'Tabela de Produtos'!A:V,23,0),"-")</f>
        <v>-</v>
      </c>
      <c r="P18" s="149"/>
      <c r="Q18" s="151">
        <f t="shared" si="2"/>
        <v>4072.542426652401</v>
      </c>
      <c r="R18" s="152">
        <f t="shared" si="3"/>
        <v>59</v>
      </c>
      <c r="S18" s="153">
        <f t="shared" si="4"/>
        <v>-3</v>
      </c>
      <c r="T18" s="151">
        <f t="shared" si="5"/>
        <v>2222.2269088017119</v>
      </c>
      <c r="U18" s="151">
        <f t="shared" si="6"/>
        <v>285.07796986566808</v>
      </c>
      <c r="V18" s="151">
        <f t="shared" si="7"/>
        <v>203.62712133262005</v>
      </c>
      <c r="W18" s="151">
        <f t="shared" si="8"/>
        <v>1361.6104266524007</v>
      </c>
      <c r="X18" s="299"/>
      <c r="Y18" s="299"/>
      <c r="AB18" s="148">
        <v>1.3918E-2</v>
      </c>
      <c r="AC18" s="154">
        <f t="shared" si="9"/>
        <v>59</v>
      </c>
    </row>
    <row r="19" spans="1:29">
      <c r="A19" t="s">
        <v>186</v>
      </c>
      <c r="B19" s="145" t="str">
        <f>IFERROR(VLOOKUP(A19,'Tabela de Produtos'!A:B,2,0),"Preencher Cód. Produto")</f>
        <v>BRAZIMIL LÁTEX STANDARD INT/EXT FOSCO 15L BRANCO GELO</v>
      </c>
      <c r="C19" s="146">
        <v>121</v>
      </c>
      <c r="D19" s="147">
        <f>IFERROR(VLOOKUP(A19,'Tabela de Produtos'!A:U,21,0),"Preencher Cód. Produto")</f>
        <v>60</v>
      </c>
      <c r="E19" s="147">
        <v>60</v>
      </c>
      <c r="F19" s="147">
        <f>IFERROR(VLOOKUP(A19,'Tabela de Produtos'!A:T,20,0),"Preencher Cód. Produto")</f>
        <v>58.71</v>
      </c>
      <c r="G19" s="148">
        <f>SUM('Formação de Preço de Venda'!$BA$12:$BD$12)</f>
        <v>7.0000000000000007E-2</v>
      </c>
      <c r="H19" s="148">
        <f>'Formação de Preço de Venda'!$BE$12</f>
        <v>0.05</v>
      </c>
      <c r="I19" s="298"/>
      <c r="J19" s="149"/>
      <c r="K19" s="150">
        <f t="shared" si="0"/>
        <v>1.29</v>
      </c>
      <c r="L19" s="120">
        <f t="shared" si="10"/>
        <v>2.1499999999999998E-2</v>
      </c>
      <c r="M19" s="120">
        <f t="shared" si="1"/>
        <v>2.3325748609539603E-2</v>
      </c>
      <c r="N19" s="120">
        <f t="shared" si="11"/>
        <v>5.0000000000000001E-4</v>
      </c>
      <c r="O19" s="120" t="str">
        <f>IFERROR(VLOOKUP(A19,'Tabela de Produtos'!A:V,23,0),"-")</f>
        <v>-</v>
      </c>
      <c r="P19" s="149"/>
      <c r="Q19" s="151">
        <f t="shared" si="2"/>
        <v>6822.3402135531014</v>
      </c>
      <c r="R19" s="152">
        <f t="shared" si="3"/>
        <v>114</v>
      </c>
      <c r="S19" s="153">
        <f t="shared" si="4"/>
        <v>-7</v>
      </c>
      <c r="T19" s="151">
        <f t="shared" si="5"/>
        <v>5874.2591743736284</v>
      </c>
      <c r="U19" s="151">
        <f t="shared" si="6"/>
        <v>477.56381494871715</v>
      </c>
      <c r="V19" s="151">
        <f t="shared" si="7"/>
        <v>341.11701067765512</v>
      </c>
      <c r="W19" s="151">
        <f t="shared" si="8"/>
        <v>129.40021355310074</v>
      </c>
      <c r="X19" s="299"/>
      <c r="Y19" s="299"/>
      <c r="AB19" s="148">
        <v>2.3479E-2</v>
      </c>
      <c r="AC19" s="154">
        <f t="shared" si="9"/>
        <v>115</v>
      </c>
    </row>
    <row r="20" spans="1:29">
      <c r="A20" t="s">
        <v>81</v>
      </c>
      <c r="B20" s="145" t="str">
        <f>IFERROR(VLOOKUP(A20,'Tabela de Produtos'!A:B,2,0),"Preencher Cód. Produto")</f>
        <v>BRAZIMIL MASSA CORRIDA 4,0KG</v>
      </c>
      <c r="C20" s="146">
        <v>277</v>
      </c>
      <c r="D20" s="147">
        <f>IFERROR(VLOOKUP(A20,'Tabela de Produtos'!A:U,21,0),"Preencher Cód. Produto")</f>
        <v>15.99</v>
      </c>
      <c r="E20" s="147">
        <v>15.99</v>
      </c>
      <c r="F20" s="147">
        <f>IFERROR(VLOOKUP(A20,'Tabela de Produtos'!A:T,20,0),"Preencher Cód. Produto")</f>
        <v>9.2188000000000017</v>
      </c>
      <c r="G20" s="148">
        <f>SUM('Formação de Preço de Venda'!$BA$12:$BD$12)</f>
        <v>7.0000000000000007E-2</v>
      </c>
      <c r="H20" s="148">
        <f>'Formação de Preço de Venda'!$BE$12</f>
        <v>0.05</v>
      </c>
      <c r="I20" s="298"/>
      <c r="J20" s="149"/>
      <c r="K20" s="150">
        <f t="shared" si="0"/>
        <v>6.77</v>
      </c>
      <c r="L20" s="120">
        <f t="shared" si="10"/>
        <v>0.4234</v>
      </c>
      <c r="M20" s="120">
        <f t="shared" si="1"/>
        <v>1.4230730787029078E-2</v>
      </c>
      <c r="N20" s="120">
        <f t="shared" si="11"/>
        <v>6.0000000000000001E-3</v>
      </c>
      <c r="O20" s="120" t="str">
        <f>IFERROR(VLOOKUP(A20,'Tabela de Produtos'!A:V,23,0),"-")</f>
        <v>-</v>
      </c>
      <c r="P20" s="149"/>
      <c r="Q20" s="151">
        <f t="shared" si="2"/>
        <v>4162.2195515255926</v>
      </c>
      <c r="R20" s="152">
        <f t="shared" si="3"/>
        <v>261</v>
      </c>
      <c r="S20" s="153">
        <f t="shared" si="4"/>
        <v>-16</v>
      </c>
      <c r="T20" s="151">
        <f t="shared" si="5"/>
        <v>1906.640453816929</v>
      </c>
      <c r="U20" s="151">
        <f t="shared" si="6"/>
        <v>291.3553686067915</v>
      </c>
      <c r="V20" s="151">
        <f t="shared" si="7"/>
        <v>208.11097757627965</v>
      </c>
      <c r="W20" s="151">
        <f t="shared" si="8"/>
        <v>1756.1127515255926</v>
      </c>
      <c r="X20" s="299"/>
      <c r="Y20" s="299"/>
      <c r="AB20" s="148">
        <v>1.4343E-2</v>
      </c>
      <c r="AC20" s="154">
        <f t="shared" si="9"/>
        <v>263</v>
      </c>
    </row>
    <row r="21" spans="1:29">
      <c r="A21" t="s">
        <v>167</v>
      </c>
      <c r="B21" s="145" t="str">
        <f>IFERROR(VLOOKUP(A21,'Tabela de Produtos'!A:B,2,0),"Preencher Cód. Produto")</f>
        <v>BRAZIMIL LÁTEX STANDARD INT/EXT SEMIBRILHO 3L BRANCO NEVE</v>
      </c>
      <c r="C21" s="146">
        <v>141</v>
      </c>
      <c r="D21" s="147">
        <f>IFERROR(VLOOKUP(A21,'Tabela de Produtos'!A:U,21,0),"Preencher Cód. Produto")</f>
        <v>46.9</v>
      </c>
      <c r="E21" s="147">
        <v>46.9</v>
      </c>
      <c r="F21" s="147">
        <f>IFERROR(VLOOKUP(A21,'Tabela de Produtos'!A:T,20,0),"Preencher Cód. Produto")</f>
        <v>31.867999999999999</v>
      </c>
      <c r="G21" s="148">
        <f>SUM('Formação de Preço de Venda'!$BA$12:$BD$12)</f>
        <v>7.0000000000000007E-2</v>
      </c>
      <c r="H21" s="148">
        <f>'Formação de Preço de Venda'!$BE$12</f>
        <v>0.05</v>
      </c>
      <c r="I21" s="298"/>
      <c r="J21" s="149"/>
      <c r="K21" s="150">
        <f t="shared" si="0"/>
        <v>15.03</v>
      </c>
      <c r="L21" s="120">
        <f t="shared" si="10"/>
        <v>0.32050000000000001</v>
      </c>
      <c r="M21" s="120">
        <f t="shared" si="1"/>
        <v>2.1246672586780223E-2</v>
      </c>
      <c r="N21" s="120">
        <f t="shared" si="11"/>
        <v>6.7999999999999996E-3</v>
      </c>
      <c r="O21" s="120" t="str">
        <f>IFERROR(VLOOKUP(A21,'Tabela de Produtos'!A:V,23,0),"-")</f>
        <v>-</v>
      </c>
      <c r="P21" s="149"/>
      <c r="Q21" s="151">
        <f t="shared" si="2"/>
        <v>6214.2498069153298</v>
      </c>
      <c r="R21" s="152">
        <f t="shared" si="3"/>
        <v>133</v>
      </c>
      <c r="S21" s="153">
        <f t="shared" si="4"/>
        <v>-8</v>
      </c>
      <c r="T21" s="151">
        <f t="shared" si="5"/>
        <v>3492.7340231701596</v>
      </c>
      <c r="U21" s="151">
        <f t="shared" si="6"/>
        <v>434.99748648407314</v>
      </c>
      <c r="V21" s="151">
        <f t="shared" si="7"/>
        <v>310.71249034576653</v>
      </c>
      <c r="W21" s="151">
        <f t="shared" si="8"/>
        <v>1975.8058069153303</v>
      </c>
      <c r="X21" s="299"/>
      <c r="Y21" s="299"/>
      <c r="AB21" s="148">
        <v>2.1301E-2</v>
      </c>
      <c r="AC21" s="154">
        <f t="shared" si="9"/>
        <v>133</v>
      </c>
    </row>
    <row r="22" spans="1:29">
      <c r="A22" t="s">
        <v>90</v>
      </c>
      <c r="B22" s="145" t="str">
        <f>IFERROR(VLOOKUP(A22,'Tabela de Produtos'!A:B,2,0),"Preencher Cód. Produto")</f>
        <v>BRAZIMIL LÁTEX ECONÔMICO INT FOSCO 3L BRANCO GELO</v>
      </c>
      <c r="C22" s="146">
        <v>161</v>
      </c>
      <c r="D22" s="147">
        <f>IFERROR(VLOOKUP(A22,'Tabela de Produtos'!A:U,21,0),"Preencher Cód. Produto")</f>
        <v>17.989999999999998</v>
      </c>
      <c r="E22" s="147">
        <v>17.989999999999998</v>
      </c>
      <c r="F22" s="147">
        <f>IFERROR(VLOOKUP(A22,'Tabela de Produtos'!A:T,20,0),"Preencher Cód. Produto")</f>
        <v>11.298799999999998</v>
      </c>
      <c r="G22" s="148">
        <f>SUM('Formação de Preço de Venda'!$BA$12:$BD$12)</f>
        <v>7.0000000000000007E-2</v>
      </c>
      <c r="H22" s="148">
        <f>'Formação de Preço de Venda'!$BE$12</f>
        <v>0.05</v>
      </c>
      <c r="I22" s="298"/>
      <c r="J22" s="149"/>
      <c r="K22" s="150">
        <f t="shared" si="0"/>
        <v>6.69</v>
      </c>
      <c r="L22" s="120">
        <f t="shared" si="10"/>
        <v>0.37190000000000001</v>
      </c>
      <c r="M22" s="120">
        <f t="shared" si="1"/>
        <v>9.3058491756452342E-3</v>
      </c>
      <c r="N22" s="120">
        <f t="shared" si="11"/>
        <v>3.5000000000000001E-3</v>
      </c>
      <c r="O22" s="120" t="str">
        <f>IFERROR(VLOOKUP(A22,'Tabela de Produtos'!A:V,23,0),"-")</f>
        <v>-</v>
      </c>
      <c r="P22" s="149"/>
      <c r="Q22" s="151">
        <f t="shared" si="2"/>
        <v>2721.7848445086865</v>
      </c>
      <c r="R22" s="152">
        <f t="shared" si="3"/>
        <v>152</v>
      </c>
      <c r="S22" s="153">
        <f t="shared" si="4"/>
        <v>-9</v>
      </c>
      <c r="T22" s="151">
        <f t="shared" si="5"/>
        <v>1390.8034186589573</v>
      </c>
      <c r="U22" s="151">
        <f t="shared" si="6"/>
        <v>190.52493911560808</v>
      </c>
      <c r="V22" s="151">
        <f t="shared" si="7"/>
        <v>136.08924222543433</v>
      </c>
      <c r="W22" s="151">
        <f t="shared" si="8"/>
        <v>1004.3672445086869</v>
      </c>
      <c r="X22" s="299"/>
      <c r="Y22" s="299"/>
      <c r="AB22" s="148">
        <v>9.3489999999999997E-3</v>
      </c>
      <c r="AC22" s="154">
        <f t="shared" si="9"/>
        <v>152</v>
      </c>
    </row>
    <row r="23" spans="1:29">
      <c r="A23" t="s">
        <v>121</v>
      </c>
      <c r="B23" s="145" t="str">
        <f>IFERROR(VLOOKUP(A23,'Tabela de Produtos'!A:B,2,0),"Preencher Cód. Produto")</f>
        <v>BRAZIMIL LÁTEX ECONÔMICO INT FOSCO 15L AREIA</v>
      </c>
      <c r="C23" s="146">
        <v>40</v>
      </c>
      <c r="D23" s="147">
        <f>IFERROR(VLOOKUP(A23,'Tabela de Produtos'!A:U,21,0),"Preencher Cód. Produto")</f>
        <v>69.900000000000006</v>
      </c>
      <c r="E23" s="147">
        <v>69.900000000000006</v>
      </c>
      <c r="F23" s="147">
        <f>IFERROR(VLOOKUP(A23,'Tabela de Produtos'!A:T,20,0),"Preencher Cód. Produto")</f>
        <v>47.597999999999999</v>
      </c>
      <c r="G23" s="148">
        <f>SUM('Formação de Preço de Venda'!$BA$12:$BD$12)</f>
        <v>7.0000000000000007E-2</v>
      </c>
      <c r="H23" s="148">
        <f>'Formação de Preço de Venda'!$BE$12</f>
        <v>0.05</v>
      </c>
      <c r="I23" s="298"/>
      <c r="J23" s="149"/>
      <c r="K23" s="150">
        <f t="shared" si="0"/>
        <v>22.3</v>
      </c>
      <c r="L23" s="120">
        <f t="shared" si="10"/>
        <v>0.31900000000000001</v>
      </c>
      <c r="M23" s="120">
        <f t="shared" si="1"/>
        <v>8.9833048364012028E-3</v>
      </c>
      <c r="N23" s="120">
        <f t="shared" si="11"/>
        <v>2.8999999999999998E-3</v>
      </c>
      <c r="O23" s="120" t="str">
        <f>IFERROR(VLOOKUP(A23,'Tabela de Produtos'!A:V,23,0),"-")</f>
        <v>-</v>
      </c>
      <c r="P23" s="149"/>
      <c r="Q23" s="151">
        <f t="shared" si="2"/>
        <v>2627.4467268725166</v>
      </c>
      <c r="R23" s="152">
        <f t="shared" si="3"/>
        <v>38</v>
      </c>
      <c r="S23" s="153">
        <f t="shared" si="4"/>
        <v>-2</v>
      </c>
      <c r="T23" s="151">
        <f t="shared" si="5"/>
        <v>1493.4303927752978</v>
      </c>
      <c r="U23" s="151">
        <f t="shared" si="6"/>
        <v>183.92127088107617</v>
      </c>
      <c r="V23" s="151">
        <f t="shared" si="7"/>
        <v>131.37233634362585</v>
      </c>
      <c r="W23" s="151">
        <f t="shared" si="8"/>
        <v>818.72272687251666</v>
      </c>
      <c r="X23" s="299"/>
      <c r="Y23" s="299"/>
      <c r="AB23" s="148">
        <v>8.9239999999999996E-3</v>
      </c>
      <c r="AC23" s="154">
        <f t="shared" si="9"/>
        <v>38</v>
      </c>
    </row>
    <row r="24" spans="1:29">
      <c r="A24" t="s">
        <v>91</v>
      </c>
      <c r="B24" s="145" t="str">
        <f>IFERROR(VLOOKUP(A24,'Tabela de Produtos'!A:B,2,0),"Preencher Cód. Produto")</f>
        <v>BRAZIMIL LÁTEX ECONÔMICO INT FOSCO 3L AREIA</v>
      </c>
      <c r="C24" s="146">
        <v>88</v>
      </c>
      <c r="D24" s="147">
        <f>IFERROR(VLOOKUP(A24,'Tabela de Produtos'!A:U,21,0),"Preencher Cód. Produto")</f>
        <v>17.989999999999998</v>
      </c>
      <c r="E24" s="147">
        <v>17.989999999999998</v>
      </c>
      <c r="F24" s="147">
        <f>IFERROR(VLOOKUP(A24,'Tabela de Produtos'!A:T,20,0),"Preencher Cód. Produto")</f>
        <v>11.7188</v>
      </c>
      <c r="G24" s="148">
        <f>SUM('Formação de Preço de Venda'!$BA$12:$BD$12)</f>
        <v>7.0000000000000007E-2</v>
      </c>
      <c r="H24" s="148">
        <f>'Formação de Preço de Venda'!$BE$12</f>
        <v>0.05</v>
      </c>
      <c r="I24" s="298"/>
      <c r="J24" s="149"/>
      <c r="K24" s="150">
        <f t="shared" si="0"/>
        <v>6.27</v>
      </c>
      <c r="L24" s="120">
        <f t="shared" si="10"/>
        <v>0.34849999999999998</v>
      </c>
      <c r="M24" s="120">
        <f t="shared" si="1"/>
        <v>5.0864268786135446E-3</v>
      </c>
      <c r="N24" s="120">
        <f t="shared" si="11"/>
        <v>1.8E-3</v>
      </c>
      <c r="O24" s="120" t="str">
        <f>IFERROR(VLOOKUP(A24,'Tabela de Produtos'!A:V,23,0),"-")</f>
        <v>-</v>
      </c>
      <c r="P24" s="149"/>
      <c r="Q24" s="151">
        <f t="shared" si="2"/>
        <v>1487.6836417190336</v>
      </c>
      <c r="R24" s="152">
        <f t="shared" si="3"/>
        <v>83</v>
      </c>
      <c r="S24" s="153">
        <f t="shared" si="4"/>
        <v>-5</v>
      </c>
      <c r="T24" s="151">
        <f t="shared" si="5"/>
        <v>794.13836299371599</v>
      </c>
      <c r="U24" s="151">
        <f t="shared" si="6"/>
        <v>104.13785492033236</v>
      </c>
      <c r="V24" s="151">
        <f t="shared" si="7"/>
        <v>74.384182085951679</v>
      </c>
      <c r="W24" s="151">
        <f t="shared" si="8"/>
        <v>515.02324171903354</v>
      </c>
      <c r="X24" s="299"/>
      <c r="Y24" s="299"/>
      <c r="AB24" s="148">
        <v>5.1000000000000004E-3</v>
      </c>
      <c r="AC24" s="154">
        <f t="shared" si="9"/>
        <v>83</v>
      </c>
    </row>
    <row r="25" spans="1:29">
      <c r="A25" t="s">
        <v>95</v>
      </c>
      <c r="B25" s="145" t="str">
        <f>IFERROR(VLOOKUP(A25,'Tabela de Produtos'!A:B,2,0),"Preencher Cód. Produto")</f>
        <v>BRAZIMIL LÁTEX ECONÔMICO INT FOSCO 3L AZUL CEU</v>
      </c>
      <c r="C25" s="146">
        <v>107</v>
      </c>
      <c r="D25" s="147">
        <f>IFERROR(VLOOKUP(A25,'Tabela de Produtos'!A:U,21,0),"Preencher Cód. Produto")</f>
        <v>17.989999999999998</v>
      </c>
      <c r="E25" s="147">
        <v>17.989999999999998</v>
      </c>
      <c r="F25" s="147">
        <f>IFERROR(VLOOKUP(A25,'Tabela de Produtos'!A:T,20,0),"Preencher Cód. Produto")</f>
        <v>11.388799999999998</v>
      </c>
      <c r="G25" s="148">
        <f>SUM('Formação de Preço de Venda'!$BA$12:$BD$12)</f>
        <v>7.0000000000000007E-2</v>
      </c>
      <c r="H25" s="148">
        <f>'Formação de Preço de Venda'!$BE$12</f>
        <v>0.05</v>
      </c>
      <c r="I25" s="298"/>
      <c r="J25" s="149"/>
      <c r="K25" s="150">
        <f t="shared" si="0"/>
        <v>6.6</v>
      </c>
      <c r="L25" s="120">
        <f t="shared" si="10"/>
        <v>0.3669</v>
      </c>
      <c r="M25" s="120">
        <f t="shared" si="1"/>
        <v>6.1846326819505592E-3</v>
      </c>
      <c r="N25" s="120">
        <f t="shared" si="11"/>
        <v>2.3E-3</v>
      </c>
      <c r="O25" s="120" t="str">
        <f>IFERROR(VLOOKUP(A25,'Tabela de Produtos'!A:V,23,0),"-")</f>
        <v>-</v>
      </c>
      <c r="P25" s="149"/>
      <c r="Q25" s="151">
        <f t="shared" si="2"/>
        <v>1808.8880643629157</v>
      </c>
      <c r="R25" s="152">
        <f t="shared" si="3"/>
        <v>101</v>
      </c>
      <c r="S25" s="153">
        <f t="shared" si="4"/>
        <v>-6</v>
      </c>
      <c r="T25" s="151">
        <f t="shared" si="5"/>
        <v>933.20223227644988</v>
      </c>
      <c r="U25" s="151">
        <f t="shared" si="6"/>
        <v>126.62216450540411</v>
      </c>
      <c r="V25" s="151">
        <f t="shared" si="7"/>
        <v>90.444403218145794</v>
      </c>
      <c r="W25" s="151">
        <f t="shared" si="8"/>
        <v>658.61926436291583</v>
      </c>
      <c r="X25" s="299"/>
      <c r="Y25" s="299"/>
      <c r="AB25" s="148">
        <v>6.215E-3</v>
      </c>
      <c r="AC25" s="154">
        <f t="shared" si="9"/>
        <v>102</v>
      </c>
    </row>
    <row r="26" spans="1:29">
      <c r="A26" t="s">
        <v>189</v>
      </c>
      <c r="B26" s="145" t="str">
        <f>IFERROR(VLOOKUP(A26,'Tabela de Produtos'!A:B,2,0),"Preencher Cód. Produto")</f>
        <v>BRAZIMIL LÁTEX STANDARD INT/EXT FOSCO 15L MARFIM</v>
      </c>
      <c r="C26" s="146">
        <v>79</v>
      </c>
      <c r="D26" s="147">
        <f>IFERROR(VLOOKUP(A26,'Tabela de Produtos'!A:U,21,0),"Preencher Cód. Produto")</f>
        <v>60</v>
      </c>
      <c r="E26" s="147">
        <v>60</v>
      </c>
      <c r="F26" s="147">
        <f>IFERROR(VLOOKUP(A26,'Tabela de Produtos'!A:T,20,0),"Preencher Cód. Produto")</f>
        <v>59.76</v>
      </c>
      <c r="G26" s="148">
        <f>SUM('Formação de Preço de Venda'!$BA$12:$BD$12)</f>
        <v>7.0000000000000007E-2</v>
      </c>
      <c r="H26" s="148">
        <f>'Formação de Preço de Venda'!$BE$12</f>
        <v>0.05</v>
      </c>
      <c r="I26" s="298"/>
      <c r="J26" s="149"/>
      <c r="K26" s="150">
        <f t="shared" si="0"/>
        <v>0.24</v>
      </c>
      <c r="L26" s="120">
        <f t="shared" si="10"/>
        <v>4.0000000000000001E-3</v>
      </c>
      <c r="M26" s="120">
        <f t="shared" si="1"/>
        <v>1.5229207769864698E-2</v>
      </c>
      <c r="N26" s="120">
        <f t="shared" si="11"/>
        <v>1E-4</v>
      </c>
      <c r="O26" s="120" t="str">
        <f>IFERROR(VLOOKUP(A26,'Tabela de Produtos'!A:V,23,0),"-")</f>
        <v>-</v>
      </c>
      <c r="P26" s="149"/>
      <c r="Q26" s="151">
        <f t="shared" si="2"/>
        <v>4454.2551807495447</v>
      </c>
      <c r="R26" s="152">
        <f t="shared" si="3"/>
        <v>75</v>
      </c>
      <c r="S26" s="153">
        <f t="shared" si="4"/>
        <v>-4</v>
      </c>
      <c r="T26" s="151">
        <f t="shared" si="5"/>
        <v>3947.4893783100547</v>
      </c>
      <c r="U26" s="151">
        <f t="shared" si="6"/>
        <v>311.79786265246815</v>
      </c>
      <c r="V26" s="151">
        <f t="shared" si="7"/>
        <v>222.71275903747724</v>
      </c>
      <c r="W26" s="151">
        <f t="shared" si="8"/>
        <v>-27.744819250455379</v>
      </c>
      <c r="X26" s="299"/>
      <c r="Y26" s="299"/>
      <c r="AB26" s="148">
        <v>1.5193E-2</v>
      </c>
      <c r="AC26" s="154">
        <f t="shared" si="9"/>
        <v>75</v>
      </c>
    </row>
    <row r="27" spans="1:29">
      <c r="A27" t="s">
        <v>130</v>
      </c>
      <c r="B27" s="145" t="str">
        <f>IFERROR(VLOOKUP(A27,'Tabela de Produtos'!A:B,2,0),"Preencher Cód. Produto")</f>
        <v>BRAZIMIL LÁTEX ECONÔMICO INT FOSCO 15L MARFIM</v>
      </c>
      <c r="C27" s="146">
        <v>45</v>
      </c>
      <c r="D27" s="147">
        <f>IFERROR(VLOOKUP(A27,'Tabela de Produtos'!A:U,21,0),"Preencher Cód. Produto")</f>
        <v>69.900000000000006</v>
      </c>
      <c r="E27" s="147">
        <v>69.900000000000006</v>
      </c>
      <c r="F27" s="147">
        <f>IFERROR(VLOOKUP(A27,'Tabela de Produtos'!A:T,20,0),"Preencher Cód. Produto")</f>
        <v>46.547999999999995</v>
      </c>
      <c r="G27" s="148">
        <f>SUM('Formação de Preço de Venda'!$BA$12:$BD$12)</f>
        <v>7.0000000000000007E-2</v>
      </c>
      <c r="H27" s="148">
        <f>'Formação de Preço de Venda'!$BE$12</f>
        <v>0.05</v>
      </c>
      <c r="I27" s="298"/>
      <c r="J27" s="149"/>
      <c r="K27" s="150">
        <f t="shared" si="0"/>
        <v>23.35</v>
      </c>
      <c r="L27" s="120">
        <f t="shared" si="10"/>
        <v>0.33400000000000002</v>
      </c>
      <c r="M27" s="120">
        <f t="shared" si="1"/>
        <v>1.0106217940951354E-2</v>
      </c>
      <c r="N27" s="120">
        <f t="shared" si="11"/>
        <v>3.3999999999999998E-3</v>
      </c>
      <c r="O27" s="120" t="str">
        <f>IFERROR(VLOOKUP(A27,'Tabela de Produtos'!A:V,23,0),"-")</f>
        <v>-</v>
      </c>
      <c r="P27" s="149"/>
      <c r="Q27" s="151">
        <f t="shared" si="2"/>
        <v>2955.8775677315816</v>
      </c>
      <c r="R27" s="152">
        <f t="shared" si="3"/>
        <v>43</v>
      </c>
      <c r="S27" s="153">
        <f t="shared" si="4"/>
        <v>-2</v>
      </c>
      <c r="T27" s="151">
        <f t="shared" si="5"/>
        <v>1646.8586918722101</v>
      </c>
      <c r="U27" s="151">
        <f t="shared" si="6"/>
        <v>206.91142974121072</v>
      </c>
      <c r="V27" s="151">
        <f t="shared" si="7"/>
        <v>147.79387838657908</v>
      </c>
      <c r="W27" s="151">
        <f t="shared" si="8"/>
        <v>954.31356773158177</v>
      </c>
      <c r="X27" s="299"/>
      <c r="Y27" s="299"/>
      <c r="AB27" s="148">
        <v>9.9869999999999994E-3</v>
      </c>
      <c r="AC27" s="154">
        <f t="shared" si="9"/>
        <v>42</v>
      </c>
    </row>
    <row r="28" spans="1:29">
      <c r="A28" t="s">
        <v>100</v>
      </c>
      <c r="B28" s="145" t="str">
        <f>IFERROR(VLOOKUP(A28,'Tabela de Produtos'!A:B,2,0),"Preencher Cód. Produto")</f>
        <v>BRAZIMIL LÁTEX ECONÔMICO INT FOSCO 3L MARFIM</v>
      </c>
      <c r="C28" s="146">
        <v>88</v>
      </c>
      <c r="D28" s="147">
        <f>IFERROR(VLOOKUP(A28,'Tabela de Produtos'!A:U,21,0),"Preencher Cód. Produto")</f>
        <v>17.989999999999998</v>
      </c>
      <c r="E28" s="147">
        <v>17.989999999999998</v>
      </c>
      <c r="F28" s="147">
        <f>IFERROR(VLOOKUP(A28,'Tabela de Produtos'!A:T,20,0),"Preencher Cód. Produto")</f>
        <v>11.508799999999999</v>
      </c>
      <c r="G28" s="148">
        <f>SUM('Formação de Preço de Venda'!$BA$12:$BD$12)</f>
        <v>7.0000000000000007E-2</v>
      </c>
      <c r="H28" s="148">
        <f>'Formação de Preço de Venda'!$BE$12</f>
        <v>0.05</v>
      </c>
      <c r="I28" s="298"/>
      <c r="J28" s="149"/>
      <c r="K28" s="150">
        <f t="shared" si="0"/>
        <v>6.48</v>
      </c>
      <c r="L28" s="120">
        <f t="shared" si="10"/>
        <v>0.36020000000000002</v>
      </c>
      <c r="M28" s="120">
        <f t="shared" si="1"/>
        <v>5.0864268786135446E-3</v>
      </c>
      <c r="N28" s="120">
        <f t="shared" si="11"/>
        <v>1.8E-3</v>
      </c>
      <c r="O28" s="120" t="str">
        <f>IFERROR(VLOOKUP(A28,'Tabela de Produtos'!A:V,23,0),"-")</f>
        <v>-</v>
      </c>
      <c r="P28" s="149"/>
      <c r="Q28" s="151">
        <f t="shared" si="2"/>
        <v>1487.6836417190336</v>
      </c>
      <c r="R28" s="152">
        <f t="shared" si="3"/>
        <v>83</v>
      </c>
      <c r="S28" s="153">
        <f t="shared" si="4"/>
        <v>-5</v>
      </c>
      <c r="T28" s="151">
        <f t="shared" si="5"/>
        <v>776.70836299371592</v>
      </c>
      <c r="U28" s="151">
        <f t="shared" si="6"/>
        <v>104.13785492033236</v>
      </c>
      <c r="V28" s="151">
        <f t="shared" si="7"/>
        <v>74.384182085951679</v>
      </c>
      <c r="W28" s="151">
        <f t="shared" si="8"/>
        <v>532.4532417190336</v>
      </c>
      <c r="X28" s="299"/>
      <c r="Y28" s="299"/>
      <c r="AB28" s="148">
        <v>5.1000000000000004E-3</v>
      </c>
      <c r="AC28" s="154">
        <f t="shared" si="9"/>
        <v>83</v>
      </c>
    </row>
    <row r="29" spans="1:29">
      <c r="A29" t="s">
        <v>103</v>
      </c>
      <c r="B29" s="145" t="str">
        <f>IFERROR(VLOOKUP(A29,'Tabela de Produtos'!A:B,2,0),"Preencher Cód. Produto")</f>
        <v>BRAZIMIL LÁTEX ECONÔMICO INT FOSCO 3L PEROLA</v>
      </c>
      <c r="C29" s="146">
        <v>106</v>
      </c>
      <c r="D29" s="147">
        <f>IFERROR(VLOOKUP(A29,'Tabela de Produtos'!A:U,21,0),"Preencher Cód. Produto")</f>
        <v>17.989999999999998</v>
      </c>
      <c r="E29" s="147">
        <v>17.989999999999998</v>
      </c>
      <c r="F29" s="147">
        <f>IFERROR(VLOOKUP(A29,'Tabela de Produtos'!A:T,20,0),"Preencher Cód. Produto")</f>
        <v>11.448799999999999</v>
      </c>
      <c r="G29" s="148">
        <f>SUM('Formação de Preço de Venda'!$BA$12:$BD$12)</f>
        <v>7.0000000000000007E-2</v>
      </c>
      <c r="H29" s="148">
        <f>'Formação de Preço de Venda'!$BE$12</f>
        <v>0.05</v>
      </c>
      <c r="I29" s="298"/>
      <c r="J29" s="149"/>
      <c r="K29" s="150">
        <f t="shared" si="0"/>
        <v>6.54</v>
      </c>
      <c r="L29" s="120">
        <f t="shared" si="10"/>
        <v>0.36349999999999999</v>
      </c>
      <c r="M29" s="120">
        <f t="shared" si="1"/>
        <v>6.1268323765117693E-3</v>
      </c>
      <c r="N29" s="120">
        <f t="shared" si="11"/>
        <v>2.2000000000000001E-3</v>
      </c>
      <c r="O29" s="120" t="str">
        <f>IFERROR(VLOOKUP(A29,'Tabela de Produtos'!A:V,23,0),"-")</f>
        <v>-</v>
      </c>
      <c r="P29" s="149"/>
      <c r="Q29" s="151">
        <f t="shared" si="2"/>
        <v>1791.9825684342904</v>
      </c>
      <c r="R29" s="152">
        <f t="shared" si="3"/>
        <v>100</v>
      </c>
      <c r="S29" s="153">
        <f t="shared" si="4"/>
        <v>-6</v>
      </c>
      <c r="T29" s="151">
        <f t="shared" si="5"/>
        <v>929.84209178788501</v>
      </c>
      <c r="U29" s="151">
        <f t="shared" si="6"/>
        <v>125.43877979040035</v>
      </c>
      <c r="V29" s="151">
        <f t="shared" si="7"/>
        <v>89.599128421714525</v>
      </c>
      <c r="W29" s="151">
        <f t="shared" si="8"/>
        <v>647.10256843429056</v>
      </c>
      <c r="X29" s="299"/>
      <c r="Y29" s="299"/>
      <c r="AB29" s="148">
        <v>6.1619999999999999E-3</v>
      </c>
      <c r="AC29" s="154">
        <f t="shared" si="9"/>
        <v>101</v>
      </c>
    </row>
    <row r="30" spans="1:29">
      <c r="A30" t="s">
        <v>185</v>
      </c>
      <c r="B30" s="145" t="str">
        <f>IFERROR(VLOOKUP(A30,'Tabela de Produtos'!A:B,2,0),"Preencher Cód. Produto")</f>
        <v>BRAZIMIL LÁTEX STANDARD INT/EXT FOSCO 15L BRANCO NEVE</v>
      </c>
      <c r="C30" s="146">
        <v>75</v>
      </c>
      <c r="D30" s="147">
        <f>IFERROR(VLOOKUP(A30,'Tabela de Produtos'!A:U,21,0),"Preencher Cód. Produto")</f>
        <v>60</v>
      </c>
      <c r="E30" s="147">
        <v>60</v>
      </c>
      <c r="F30" s="147">
        <f>IFERROR(VLOOKUP(A30,'Tabela de Produtos'!A:T,20,0),"Preencher Cód. Produto")</f>
        <v>69.510000000000005</v>
      </c>
      <c r="G30" s="148">
        <f>SUM('Formação de Preço de Venda'!$BA$12:$BD$12)</f>
        <v>7.0000000000000007E-2</v>
      </c>
      <c r="H30" s="148">
        <f>'Formação de Preço de Venda'!$BE$12</f>
        <v>0.05</v>
      </c>
      <c r="I30" s="298"/>
      <c r="J30" s="149"/>
      <c r="K30" s="150">
        <f t="shared" si="0"/>
        <v>-9.51</v>
      </c>
      <c r="L30" s="120">
        <f t="shared" si="10"/>
        <v>-0.1585</v>
      </c>
      <c r="M30" s="120">
        <f t="shared" si="1"/>
        <v>1.4458108642276613E-2</v>
      </c>
      <c r="N30" s="120">
        <f t="shared" si="11"/>
        <v>-2.3E-3</v>
      </c>
      <c r="O30" s="120" t="str">
        <f>IFERROR(VLOOKUP(A30,'Tabela de Produtos'!A:V,23,0),"-")</f>
        <v>-</v>
      </c>
      <c r="P30" s="149"/>
      <c r="Q30" s="151">
        <f t="shared" si="2"/>
        <v>4228.7232728634926</v>
      </c>
      <c r="R30" s="152">
        <f t="shared" si="3"/>
        <v>71</v>
      </c>
      <c r="S30" s="153">
        <f t="shared" si="4"/>
        <v>-4</v>
      </c>
      <c r="T30" s="151">
        <f t="shared" si="5"/>
        <v>4427.7632072563802</v>
      </c>
      <c r="U30" s="151">
        <f t="shared" si="6"/>
        <v>296.01062910044453</v>
      </c>
      <c r="V30" s="151">
        <f t="shared" si="7"/>
        <v>211.43616364317464</v>
      </c>
      <c r="W30" s="151">
        <f t="shared" si="8"/>
        <v>-706.48672713650672</v>
      </c>
      <c r="X30" s="299"/>
      <c r="Y30" s="299"/>
      <c r="AB30" s="148">
        <v>1.4449E-2</v>
      </c>
      <c r="AC30" s="154">
        <f t="shared" si="9"/>
        <v>71</v>
      </c>
    </row>
    <row r="31" spans="1:29">
      <c r="A31" t="s">
        <v>368</v>
      </c>
      <c r="B31" s="145" t="str">
        <f>IFERROR(VLOOKUP(A31,'Tabela de Produtos'!A:B,2,0),"Preencher Cód. Produto")</f>
        <v>BRAZIMIL BORRACHA LIQUIDA MULTIFUNÇÃO 14KG BRANCO NEVE</v>
      </c>
      <c r="C31" s="146">
        <v>6</v>
      </c>
      <c r="D31" s="147">
        <f>IFERROR(VLOOKUP(A31,'Tabela de Produtos'!A:U,21,0),"Preencher Cód. Produto")</f>
        <v>375.9</v>
      </c>
      <c r="E31" s="147">
        <v>375.9</v>
      </c>
      <c r="F31" s="147">
        <f>IFERROR(VLOOKUP(A31,'Tabela de Produtos'!A:T,20,0),"Preencher Cód. Produto")</f>
        <v>181.27799999999996</v>
      </c>
      <c r="G31" s="148">
        <f>SUM('Formação de Preço de Venda'!$BA$12:$BD$12)</f>
        <v>7.0000000000000007E-2</v>
      </c>
      <c r="H31" s="148">
        <f>'Formação de Preço de Venda'!$BE$12</f>
        <v>0.05</v>
      </c>
      <c r="I31" s="298"/>
      <c r="J31" s="149"/>
      <c r="K31" s="150">
        <f t="shared" si="0"/>
        <v>194.62</v>
      </c>
      <c r="L31" s="120">
        <f t="shared" si="10"/>
        <v>0.51770000000000005</v>
      </c>
      <c r="M31" s="120">
        <f t="shared" si="1"/>
        <v>7.2464040515090372E-3</v>
      </c>
      <c r="N31" s="120">
        <f t="shared" si="11"/>
        <v>3.8E-3</v>
      </c>
      <c r="O31" s="120" t="str">
        <f>IFERROR(VLOOKUP(A31,'Tabela de Produtos'!A:V,23,0),"-")</f>
        <v>-</v>
      </c>
      <c r="P31" s="149"/>
      <c r="Q31" s="151">
        <f t="shared" si="2"/>
        <v>2119.4361043591821</v>
      </c>
      <c r="R31" s="152">
        <f t="shared" si="3"/>
        <v>6</v>
      </c>
      <c r="S31" s="153">
        <f t="shared" si="4"/>
        <v>0</v>
      </c>
      <c r="T31" s="151">
        <f t="shared" si="5"/>
        <v>833.3356674768977</v>
      </c>
      <c r="U31" s="151">
        <f t="shared" si="6"/>
        <v>148.36052730514277</v>
      </c>
      <c r="V31" s="151">
        <f t="shared" si="7"/>
        <v>105.97180521795912</v>
      </c>
      <c r="W31" s="151">
        <f t="shared" si="8"/>
        <v>1031.7681043591824</v>
      </c>
      <c r="X31" s="299"/>
      <c r="Y31" s="299"/>
      <c r="AB31" s="148">
        <v>6.1619999999999999E-3</v>
      </c>
      <c r="AC31" s="154">
        <f t="shared" si="9"/>
        <v>5</v>
      </c>
    </row>
    <row r="32" spans="1:29">
      <c r="A32" t="s">
        <v>93</v>
      </c>
      <c r="B32" s="145" t="str">
        <f>IFERROR(VLOOKUP(A32,'Tabela de Produtos'!A:B,2,0),"Preencher Cód. Produto")</f>
        <v>BRAZIMIL LÁTEX ECONÔMICO INT FOSCO 3L VERDE PRIMAVERA</v>
      </c>
      <c r="C32" s="146">
        <v>93</v>
      </c>
      <c r="D32" s="147">
        <f>IFERROR(VLOOKUP(A32,'Tabela de Produtos'!A:U,21,0),"Preencher Cód. Produto")</f>
        <v>17.989999999999998</v>
      </c>
      <c r="E32" s="147">
        <v>17.989999999999998</v>
      </c>
      <c r="F32" s="147">
        <f>IFERROR(VLOOKUP(A32,'Tabela de Produtos'!A:T,20,0),"Preencher Cód. Produto")</f>
        <v>12.2888</v>
      </c>
      <c r="G32" s="148">
        <f>SUM('Formação de Preço de Venda'!$BA$12:$BD$12)</f>
        <v>7.0000000000000007E-2</v>
      </c>
      <c r="H32" s="148">
        <f>'Formação de Preço de Venda'!$BE$12</f>
        <v>0.05</v>
      </c>
      <c r="I32" s="298"/>
      <c r="J32" s="149"/>
      <c r="K32" s="150">
        <f t="shared" si="0"/>
        <v>5.7</v>
      </c>
      <c r="L32" s="120">
        <f t="shared" si="10"/>
        <v>0.31680000000000003</v>
      </c>
      <c r="M32" s="120">
        <f t="shared" si="1"/>
        <v>5.3754284058074959E-3</v>
      </c>
      <c r="N32" s="120">
        <f t="shared" si="11"/>
        <v>1.6999999999999999E-3</v>
      </c>
      <c r="O32" s="120" t="str">
        <f>IFERROR(VLOOKUP(A32,'Tabela de Produtos'!A:V,23,0),"-")</f>
        <v>-</v>
      </c>
      <c r="P32" s="149"/>
      <c r="Q32" s="151">
        <f t="shared" si="2"/>
        <v>1572.2111213621606</v>
      </c>
      <c r="R32" s="152">
        <f t="shared" si="3"/>
        <v>88</v>
      </c>
      <c r="S32" s="153">
        <f t="shared" si="4"/>
        <v>-5</v>
      </c>
      <c r="T32" s="151">
        <f t="shared" si="5"/>
        <v>892.74906543654083</v>
      </c>
      <c r="U32" s="151">
        <f t="shared" si="6"/>
        <v>110.05477849535126</v>
      </c>
      <c r="V32" s="151">
        <f t="shared" si="7"/>
        <v>78.610556068108039</v>
      </c>
      <c r="W32" s="151">
        <f t="shared" si="8"/>
        <v>490.7967213621605</v>
      </c>
      <c r="X32" s="299"/>
      <c r="Y32" s="299"/>
      <c r="AB32" s="148">
        <v>5.4180000000000001E-3</v>
      </c>
      <c r="AC32" s="154">
        <f t="shared" si="9"/>
        <v>89</v>
      </c>
    </row>
    <row r="33" spans="1:29">
      <c r="A33" t="s">
        <v>133</v>
      </c>
      <c r="B33" s="145" t="str">
        <f>IFERROR(VLOOKUP(A33,'Tabela de Produtos'!A:B,2,0),"Preencher Cód. Produto")</f>
        <v>BRAZIMIL LÁTEX ECONÔMICO INT FOSCO 15L PEROLA</v>
      </c>
      <c r="C33" s="146">
        <v>49</v>
      </c>
      <c r="D33" s="147">
        <f>IFERROR(VLOOKUP(A33,'Tabela de Produtos'!A:U,21,0),"Preencher Cód. Produto")</f>
        <v>69.900000000000006</v>
      </c>
      <c r="E33" s="147">
        <v>69.900000000000006</v>
      </c>
      <c r="F33" s="147">
        <f>IFERROR(VLOOKUP(A33,'Tabela de Produtos'!A:T,20,0),"Preencher Cód. Produto")</f>
        <v>46.24799999999999</v>
      </c>
      <c r="G33" s="148">
        <f>SUM('Formação de Preço de Venda'!$BA$12:$BD$12)</f>
        <v>7.0000000000000007E-2</v>
      </c>
      <c r="H33" s="148">
        <f>'Formação de Preço de Venda'!$BE$12</f>
        <v>0.05</v>
      </c>
      <c r="I33" s="298"/>
      <c r="J33" s="149"/>
      <c r="K33" s="150">
        <f t="shared" si="0"/>
        <v>23.65</v>
      </c>
      <c r="L33" s="120">
        <f t="shared" si="10"/>
        <v>0.33829999999999999</v>
      </c>
      <c r="M33" s="120">
        <f t="shared" si="1"/>
        <v>1.1004548424591474E-2</v>
      </c>
      <c r="N33" s="120">
        <f t="shared" si="11"/>
        <v>3.7000000000000002E-3</v>
      </c>
      <c r="O33" s="120" t="str">
        <f>IFERROR(VLOOKUP(A33,'Tabela de Produtos'!A:V,23,0),"-")</f>
        <v>-</v>
      </c>
      <c r="P33" s="149"/>
      <c r="Q33" s="151">
        <f t="shared" si="2"/>
        <v>3218.6222404188334</v>
      </c>
      <c r="R33" s="152">
        <f t="shared" si="3"/>
        <v>47</v>
      </c>
      <c r="S33" s="153">
        <f t="shared" si="4"/>
        <v>-2</v>
      </c>
      <c r="T33" s="151">
        <f t="shared" si="5"/>
        <v>1787.4213311497397</v>
      </c>
      <c r="U33" s="151">
        <f t="shared" si="6"/>
        <v>225.30355682931835</v>
      </c>
      <c r="V33" s="151">
        <f t="shared" si="7"/>
        <v>160.93111202094167</v>
      </c>
      <c r="W33" s="151">
        <f t="shared" si="8"/>
        <v>1044.9662404188339</v>
      </c>
      <c r="X33" s="299"/>
      <c r="Y33" s="299"/>
      <c r="AB33" s="148">
        <v>1.1102000000000001E-2</v>
      </c>
      <c r="AC33" s="154">
        <f t="shared" si="9"/>
        <v>47</v>
      </c>
    </row>
    <row r="34" spans="1:29">
      <c r="A34" t="s">
        <v>128</v>
      </c>
      <c r="B34" s="145" t="str">
        <f>IFERROR(VLOOKUP(A34,'Tabela de Produtos'!A:B,2,0),"Preencher Cód. Produto")</f>
        <v>BRAZIMIL LÁTEX ECONÔMICO INT FOSCO 15L CROMO SUAVE</v>
      </c>
      <c r="C34" s="146">
        <v>57</v>
      </c>
      <c r="D34" s="147">
        <f>IFERROR(VLOOKUP(A34,'Tabela de Produtos'!A:U,21,0),"Preencher Cód. Produto")</f>
        <v>69.900000000000006</v>
      </c>
      <c r="E34" s="147">
        <v>69.900000000000006</v>
      </c>
      <c r="F34" s="147">
        <f>IFERROR(VLOOKUP(A34,'Tabela de Produtos'!A:T,20,0),"Preencher Cód. Produto")</f>
        <v>50.898000000000003</v>
      </c>
      <c r="G34" s="148">
        <f>SUM('Formação de Preço de Venda'!$BA$12:$BD$12)</f>
        <v>7.0000000000000007E-2</v>
      </c>
      <c r="H34" s="148">
        <f>'Formação de Preço de Venda'!$BE$12</f>
        <v>0.05</v>
      </c>
      <c r="I34" s="298"/>
      <c r="J34" s="149"/>
      <c r="K34" s="150">
        <f t="shared" si="0"/>
        <v>19</v>
      </c>
      <c r="L34" s="120">
        <f t="shared" si="10"/>
        <v>0.27179999999999999</v>
      </c>
      <c r="M34" s="120">
        <f t="shared" si="1"/>
        <v>1.2801209391871713E-2</v>
      </c>
      <c r="N34" s="120">
        <f t="shared" si="11"/>
        <v>3.5000000000000001E-3</v>
      </c>
      <c r="O34" s="120" t="str">
        <f>IFERROR(VLOOKUP(A34,'Tabela de Produtos'!A:V,23,0),"-")</f>
        <v>-</v>
      </c>
      <c r="P34" s="149"/>
      <c r="Q34" s="151">
        <f t="shared" si="2"/>
        <v>3744.111585793336</v>
      </c>
      <c r="R34" s="152">
        <f t="shared" si="3"/>
        <v>54</v>
      </c>
      <c r="S34" s="153">
        <f t="shared" si="4"/>
        <v>-3</v>
      </c>
      <c r="T34" s="151">
        <f t="shared" si="5"/>
        <v>2299.1986097047998</v>
      </c>
      <c r="U34" s="151">
        <f t="shared" si="6"/>
        <v>262.08781100553352</v>
      </c>
      <c r="V34" s="151">
        <f t="shared" si="7"/>
        <v>187.20557928966682</v>
      </c>
      <c r="W34" s="151">
        <f t="shared" si="8"/>
        <v>995.61958579333589</v>
      </c>
      <c r="X34" s="299"/>
      <c r="Y34" s="299"/>
      <c r="AB34" s="148">
        <v>1.2801999999999999E-2</v>
      </c>
      <c r="AC34" s="154">
        <f t="shared" si="9"/>
        <v>54</v>
      </c>
    </row>
    <row r="35" spans="1:29">
      <c r="A35" t="s">
        <v>123</v>
      </c>
      <c r="B35" s="145" t="str">
        <f>IFERROR(VLOOKUP(A35,'Tabela de Produtos'!A:B,2,0),"Preencher Cód. Produto")</f>
        <v>BRAZIMIL LÁTEX ECONÔMICO INT FOSCO 15L VERDE PRIMAVERA</v>
      </c>
      <c r="C35" s="146">
        <v>47</v>
      </c>
      <c r="D35" s="147">
        <f>IFERROR(VLOOKUP(A35,'Tabela de Produtos'!A:U,21,0),"Preencher Cód. Produto")</f>
        <v>69.900000000000006</v>
      </c>
      <c r="E35" s="147">
        <v>69.900000000000006</v>
      </c>
      <c r="F35" s="147">
        <f>IFERROR(VLOOKUP(A35,'Tabela de Produtos'!A:T,20,0),"Preencher Cód. Produto")</f>
        <v>50.448</v>
      </c>
      <c r="G35" s="148">
        <f>SUM('Formação de Preço de Venda'!$BA$12:$BD$12)</f>
        <v>7.0000000000000007E-2</v>
      </c>
      <c r="H35" s="148">
        <f>'Formação de Preço de Venda'!$BE$12</f>
        <v>0.05</v>
      </c>
      <c r="I35" s="298"/>
      <c r="J35" s="149"/>
      <c r="K35" s="150">
        <f t="shared" si="0"/>
        <v>19.45</v>
      </c>
      <c r="L35" s="120">
        <f t="shared" si="10"/>
        <v>0.27829999999999999</v>
      </c>
      <c r="M35" s="120">
        <f t="shared" si="1"/>
        <v>1.0555383182771412E-2</v>
      </c>
      <c r="N35" s="120">
        <f t="shared" si="11"/>
        <v>2.8999999999999998E-3</v>
      </c>
      <c r="O35" s="120" t="str">
        <f>IFERROR(VLOOKUP(A35,'Tabela de Produtos'!A:V,23,0),"-")</f>
        <v>-</v>
      </c>
      <c r="P35" s="149"/>
      <c r="Q35" s="151">
        <f t="shared" si="2"/>
        <v>3087.2499040752068</v>
      </c>
      <c r="R35" s="152">
        <f t="shared" si="3"/>
        <v>45</v>
      </c>
      <c r="S35" s="153">
        <f t="shared" si="4"/>
        <v>-2</v>
      </c>
      <c r="T35" s="151">
        <f t="shared" si="5"/>
        <v>1899.6900115109752</v>
      </c>
      <c r="U35" s="151">
        <f t="shared" si="6"/>
        <v>216.1074932852645</v>
      </c>
      <c r="V35" s="151">
        <f t="shared" si="7"/>
        <v>154.36249520376035</v>
      </c>
      <c r="W35" s="151">
        <f t="shared" si="8"/>
        <v>817.08990407520685</v>
      </c>
      <c r="X35" s="299"/>
      <c r="Y35" s="299"/>
      <c r="AB35" s="148">
        <v>1.0518E-2</v>
      </c>
      <c r="AC35" s="154">
        <f t="shared" si="9"/>
        <v>45</v>
      </c>
    </row>
    <row r="36" spans="1:29">
      <c r="A36" t="s">
        <v>96</v>
      </c>
      <c r="B36" s="145" t="str">
        <f>IFERROR(VLOOKUP(A36,'Tabela de Produtos'!A:B,2,0),"Preencher Cód. Produto")</f>
        <v>BRAZIMIL LÁTEX ECONÔMICO INT FOSCO 3L AZUL OCEANO</v>
      </c>
      <c r="C36" s="146">
        <v>97</v>
      </c>
      <c r="D36" s="147">
        <f>IFERROR(VLOOKUP(A36,'Tabela de Produtos'!A:U,21,0),"Preencher Cód. Produto")</f>
        <v>17.989999999999998</v>
      </c>
      <c r="E36" s="147">
        <v>17.989999999999998</v>
      </c>
      <c r="F36" s="147">
        <f>IFERROR(VLOOKUP(A36,'Tabela de Produtos'!A:T,20,0),"Preencher Cód. Produto")</f>
        <v>12.558799999999998</v>
      </c>
      <c r="G36" s="148">
        <f>SUM('Formação de Preço de Venda'!$BA$12:$BD$12)</f>
        <v>7.0000000000000007E-2</v>
      </c>
      <c r="H36" s="148">
        <f>'Formação de Preço de Venda'!$BE$12</f>
        <v>0.05</v>
      </c>
      <c r="I36" s="298"/>
      <c r="J36" s="149"/>
      <c r="K36" s="150">
        <f t="shared" si="0"/>
        <v>5.43</v>
      </c>
      <c r="L36" s="120">
        <f t="shared" si="10"/>
        <v>0.30180000000000001</v>
      </c>
      <c r="M36" s="120">
        <f t="shared" si="1"/>
        <v>5.6066296275626565E-3</v>
      </c>
      <c r="N36" s="120">
        <f t="shared" si="11"/>
        <v>1.6999999999999999E-3</v>
      </c>
      <c r="O36" s="120" t="str">
        <f>IFERROR(VLOOKUP(A36,'Tabela de Produtos'!A:V,23,0),"-")</f>
        <v>-</v>
      </c>
      <c r="P36" s="149"/>
      <c r="Q36" s="151">
        <f t="shared" si="2"/>
        <v>1639.8331050766619</v>
      </c>
      <c r="R36" s="152">
        <f t="shared" si="3"/>
        <v>92</v>
      </c>
      <c r="S36" s="153">
        <f t="shared" si="4"/>
        <v>-5</v>
      </c>
      <c r="T36" s="151">
        <f t="shared" si="5"/>
        <v>958.62962739080024</v>
      </c>
      <c r="U36" s="151">
        <f t="shared" si="6"/>
        <v>114.78831735536635</v>
      </c>
      <c r="V36" s="151">
        <f t="shared" si="7"/>
        <v>81.991655253833102</v>
      </c>
      <c r="W36" s="151">
        <f t="shared" si="8"/>
        <v>484.42350507666231</v>
      </c>
      <c r="X36" s="299"/>
      <c r="Y36" s="299"/>
      <c r="AB36" s="148">
        <v>5.6309999999999997E-3</v>
      </c>
      <c r="AC36" s="154">
        <f t="shared" si="9"/>
        <v>92</v>
      </c>
    </row>
    <row r="37" spans="1:29">
      <c r="A37" t="s">
        <v>87</v>
      </c>
      <c r="B37" s="145" t="str">
        <f>IFERROR(VLOOKUP(A37,'Tabela de Produtos'!A:B,2,0),"Preencher Cód. Produto")</f>
        <v>BRAZIMIL MASSA ACRÍLICA 4KG</v>
      </c>
      <c r="C37" s="146">
        <v>130</v>
      </c>
      <c r="D37" s="147">
        <f>IFERROR(VLOOKUP(A37,'Tabela de Produtos'!A:U,21,0),"Preencher Cód. Produto")</f>
        <v>19.989999999999998</v>
      </c>
      <c r="E37" s="147">
        <v>19.989999999999998</v>
      </c>
      <c r="F37" s="147">
        <f>IFERROR(VLOOKUP(A37,'Tabela de Produtos'!A:T,20,0),"Preencher Cód. Produto")</f>
        <v>13.1388</v>
      </c>
      <c r="G37" s="148">
        <f>SUM('Formação de Preço de Venda'!$BA$12:$BD$12)</f>
        <v>7.0000000000000007E-2</v>
      </c>
      <c r="H37" s="148">
        <f>'Formação de Preço de Venda'!$BE$12</f>
        <v>0.05</v>
      </c>
      <c r="I37" s="298"/>
      <c r="J37" s="149"/>
      <c r="K37" s="150">
        <f t="shared" si="0"/>
        <v>6.85</v>
      </c>
      <c r="L37" s="120">
        <f t="shared" si="10"/>
        <v>0.3427</v>
      </c>
      <c r="M37" s="120">
        <f t="shared" si="1"/>
        <v>8.3493970952631617E-3</v>
      </c>
      <c r="N37" s="120">
        <f t="shared" si="11"/>
        <v>2.8999999999999998E-3</v>
      </c>
      <c r="O37" s="120" t="str">
        <f>IFERROR(VLOOKUP(A37,'Tabela de Produtos'!A:V,23,0),"-")</f>
        <v>-</v>
      </c>
      <c r="P37" s="149"/>
      <c r="Q37" s="151">
        <f t="shared" si="2"/>
        <v>2442.0407042645234</v>
      </c>
      <c r="R37" s="152">
        <f t="shared" si="3"/>
        <v>123</v>
      </c>
      <c r="S37" s="153">
        <f t="shared" si="4"/>
        <v>-7</v>
      </c>
      <c r="T37" s="151">
        <f t="shared" si="5"/>
        <v>1323.0275154882572</v>
      </c>
      <c r="U37" s="151">
        <f t="shared" si="6"/>
        <v>170.94284929851665</v>
      </c>
      <c r="V37" s="151">
        <f t="shared" si="7"/>
        <v>122.10203521322617</v>
      </c>
      <c r="W37" s="151">
        <f t="shared" si="8"/>
        <v>825.96830426452334</v>
      </c>
      <c r="X37" s="299"/>
      <c r="Y37" s="299"/>
      <c r="AB37" s="148">
        <v>8.3929999999999994E-3</v>
      </c>
      <c r="AC37" s="154">
        <f t="shared" si="9"/>
        <v>123</v>
      </c>
    </row>
    <row r="38" spans="1:29">
      <c r="A38" t="s">
        <v>92</v>
      </c>
      <c r="B38" s="145" t="str">
        <f>IFERROR(VLOOKUP(A38,'Tabela de Produtos'!A:B,2,0),"Preencher Cód. Produto")</f>
        <v>BRAZIMIL LÁTEX ECONÔMICO INT FOSCO 3L PALHA</v>
      </c>
      <c r="C38" s="146">
        <v>77</v>
      </c>
      <c r="D38" s="147">
        <f>IFERROR(VLOOKUP(A38,'Tabela de Produtos'!A:U,21,0),"Preencher Cód. Produto")</f>
        <v>17.989999999999998</v>
      </c>
      <c r="E38" s="147">
        <v>17.989999999999998</v>
      </c>
      <c r="F38" s="147">
        <f>IFERROR(VLOOKUP(A38,'Tabela de Produtos'!A:T,20,0),"Preencher Cód. Produto")</f>
        <v>11.448799999999999</v>
      </c>
      <c r="G38" s="148">
        <f>SUM('Formação de Preço de Venda'!$BA$12:$BD$12)</f>
        <v>7.0000000000000007E-2</v>
      </c>
      <c r="H38" s="148">
        <f>'Formação de Preço de Venda'!$BE$12</f>
        <v>0.05</v>
      </c>
      <c r="I38" s="298"/>
      <c r="J38" s="149"/>
      <c r="K38" s="150">
        <f t="shared" si="0"/>
        <v>6.54</v>
      </c>
      <c r="L38" s="120">
        <f t="shared" si="10"/>
        <v>0.36349999999999999</v>
      </c>
      <c r="M38" s="120">
        <f t="shared" si="1"/>
        <v>4.4506235187868511E-3</v>
      </c>
      <c r="N38" s="120">
        <f t="shared" si="11"/>
        <v>1.6000000000000001E-3</v>
      </c>
      <c r="O38" s="120" t="str">
        <f>IFERROR(VLOOKUP(A38,'Tabela de Produtos'!A:V,23,0),"-")</f>
        <v>-</v>
      </c>
      <c r="P38" s="149"/>
      <c r="Q38" s="151">
        <f t="shared" si="2"/>
        <v>1301.7231865041545</v>
      </c>
      <c r="R38" s="152">
        <f t="shared" si="3"/>
        <v>73</v>
      </c>
      <c r="S38" s="153">
        <f t="shared" si="4"/>
        <v>-4</v>
      </c>
      <c r="T38" s="151">
        <f t="shared" si="5"/>
        <v>679.55561761950128</v>
      </c>
      <c r="U38" s="151">
        <f t="shared" si="6"/>
        <v>91.120623055290821</v>
      </c>
      <c r="V38" s="151">
        <f t="shared" si="7"/>
        <v>65.086159325207731</v>
      </c>
      <c r="W38" s="151">
        <f t="shared" si="8"/>
        <v>465.96078650415461</v>
      </c>
      <c r="X38" s="299"/>
      <c r="Y38" s="299"/>
      <c r="AB38" s="148">
        <v>4.4619999999999998E-3</v>
      </c>
      <c r="AC38" s="154">
        <f t="shared" si="9"/>
        <v>73</v>
      </c>
    </row>
    <row r="39" spans="1:29">
      <c r="A39" t="s">
        <v>99</v>
      </c>
      <c r="B39" s="145" t="str">
        <f>IFERROR(VLOOKUP(A39,'Tabela de Produtos'!A:B,2,0),"Preencher Cód. Produto")</f>
        <v>BRAZIMIL LÁTEX ECONÔMICO INT FOSCO 3L ROSA BEBE</v>
      </c>
      <c r="C39" s="146">
        <v>112</v>
      </c>
      <c r="D39" s="147">
        <f>IFERROR(VLOOKUP(A39,'Tabela de Produtos'!A:U,21,0),"Preencher Cód. Produto")</f>
        <v>17.989999999999998</v>
      </c>
      <c r="E39" s="147">
        <v>17.989999999999998</v>
      </c>
      <c r="F39" s="147">
        <f>IFERROR(VLOOKUP(A39,'Tabela de Produtos'!A:T,20,0),"Preencher Cód. Produto")</f>
        <v>11.478799999999998</v>
      </c>
      <c r="G39" s="148">
        <f>SUM('Formação de Preço de Venda'!$BA$12:$BD$12)</f>
        <v>7.0000000000000007E-2</v>
      </c>
      <c r="H39" s="148">
        <f>'Formação de Preço de Venda'!$BE$12</f>
        <v>0.05</v>
      </c>
      <c r="I39" s="298"/>
      <c r="J39" s="149"/>
      <c r="K39" s="150">
        <f t="shared" si="0"/>
        <v>6.51</v>
      </c>
      <c r="L39" s="120">
        <f t="shared" si="10"/>
        <v>0.3619</v>
      </c>
      <c r="M39" s="120">
        <f t="shared" si="1"/>
        <v>6.4736342091445114E-3</v>
      </c>
      <c r="N39" s="120">
        <f t="shared" si="11"/>
        <v>2.3E-3</v>
      </c>
      <c r="O39" s="120" t="str">
        <f>IFERROR(VLOOKUP(A39,'Tabela de Produtos'!A:V,23,0),"-")</f>
        <v>-</v>
      </c>
      <c r="P39" s="149"/>
      <c r="Q39" s="151">
        <f t="shared" si="2"/>
        <v>1893.4155440060429</v>
      </c>
      <c r="R39" s="152">
        <f t="shared" si="3"/>
        <v>106</v>
      </c>
      <c r="S39" s="153">
        <f t="shared" si="4"/>
        <v>-6</v>
      </c>
      <c r="T39" s="151">
        <f t="shared" si="5"/>
        <v>989.54293471927463</v>
      </c>
      <c r="U39" s="151">
        <f t="shared" si="6"/>
        <v>132.539088080423</v>
      </c>
      <c r="V39" s="151">
        <f t="shared" si="7"/>
        <v>94.670777200302155</v>
      </c>
      <c r="W39" s="151">
        <f t="shared" si="8"/>
        <v>676.66274400604311</v>
      </c>
      <c r="X39" s="299"/>
      <c r="Y39" s="299"/>
      <c r="AB39" s="148">
        <v>6.4809999999999998E-3</v>
      </c>
      <c r="AC39" s="154">
        <f t="shared" si="9"/>
        <v>106</v>
      </c>
    </row>
    <row r="40" spans="1:29">
      <c r="A40" t="s">
        <v>101</v>
      </c>
      <c r="B40" s="145" t="str">
        <f>IFERROR(VLOOKUP(A40,'Tabela de Produtos'!A:B,2,0),"Preencher Cód. Produto")</f>
        <v>BRAZIMIL LÁTEX ECONÔMICO INT FOSCO 3L AMARELO IPE</v>
      </c>
      <c r="C40" s="146">
        <v>79</v>
      </c>
      <c r="D40" s="147">
        <f>IFERROR(VLOOKUP(A40,'Tabela de Produtos'!A:U,21,0),"Preencher Cód. Produto")</f>
        <v>17.989999999999998</v>
      </c>
      <c r="E40" s="147">
        <v>17.989999999999998</v>
      </c>
      <c r="F40" s="147">
        <f>IFERROR(VLOOKUP(A40,'Tabela de Produtos'!A:T,20,0),"Preencher Cód. Produto")</f>
        <v>12.3788</v>
      </c>
      <c r="G40" s="148">
        <f>SUM('Formação de Preço de Venda'!$BA$12:$BD$12)</f>
        <v>7.0000000000000007E-2</v>
      </c>
      <c r="H40" s="148">
        <f>'Formação de Preço de Venda'!$BE$12</f>
        <v>0.05</v>
      </c>
      <c r="I40" s="298"/>
      <c r="J40" s="149"/>
      <c r="K40" s="150">
        <f t="shared" si="0"/>
        <v>5.61</v>
      </c>
      <c r="L40" s="120">
        <f t="shared" si="10"/>
        <v>0.31180000000000002</v>
      </c>
      <c r="M40" s="120">
        <f t="shared" si="1"/>
        <v>4.5662241296644318E-3</v>
      </c>
      <c r="N40" s="120">
        <f t="shared" si="11"/>
        <v>1.4E-3</v>
      </c>
      <c r="O40" s="120" t="str">
        <f>IFERROR(VLOOKUP(A40,'Tabela de Produtos'!A:V,23,0),"-")</f>
        <v>-</v>
      </c>
      <c r="P40" s="149"/>
      <c r="Q40" s="151">
        <f t="shared" si="2"/>
        <v>1335.5341783614051</v>
      </c>
      <c r="R40" s="152">
        <f t="shared" si="3"/>
        <v>75</v>
      </c>
      <c r="S40" s="153">
        <f t="shared" si="4"/>
        <v>-4</v>
      </c>
      <c r="T40" s="151">
        <f t="shared" si="5"/>
        <v>768.14589859663124</v>
      </c>
      <c r="U40" s="151">
        <f t="shared" si="6"/>
        <v>93.487392485298372</v>
      </c>
      <c r="V40" s="151">
        <f t="shared" si="7"/>
        <v>66.776708918070256</v>
      </c>
      <c r="W40" s="151">
        <f t="shared" si="8"/>
        <v>407.12417836140526</v>
      </c>
      <c r="X40" s="299"/>
      <c r="Y40" s="299"/>
      <c r="AB40" s="148">
        <v>4.568E-3</v>
      </c>
      <c r="AC40" s="154">
        <f t="shared" si="9"/>
        <v>75</v>
      </c>
    </row>
    <row r="41" spans="1:29">
      <c r="A41" t="s">
        <v>129</v>
      </c>
      <c r="B41" s="145" t="str">
        <f>IFERROR(VLOOKUP(A41,'Tabela de Produtos'!A:B,2,0),"Preencher Cód. Produto")</f>
        <v>BRAZIMIL LÁTEX ECONÔMICO INT FOSCO 15L ROSA BEBE</v>
      </c>
      <c r="C41" s="146">
        <v>38</v>
      </c>
      <c r="D41" s="147">
        <f>IFERROR(VLOOKUP(A41,'Tabela de Produtos'!A:U,21,0),"Preencher Cód. Produto")</f>
        <v>69.900000000000006</v>
      </c>
      <c r="E41" s="147">
        <v>69.900000000000006</v>
      </c>
      <c r="F41" s="147">
        <f>IFERROR(VLOOKUP(A41,'Tabela de Produtos'!A:T,20,0),"Preencher Cód. Produto")</f>
        <v>46.397999999999996</v>
      </c>
      <c r="G41" s="148">
        <f>SUM('Formação de Preço de Venda'!$BA$12:$BD$12)</f>
        <v>7.0000000000000007E-2</v>
      </c>
      <c r="H41" s="148">
        <f>'Formação de Preço de Venda'!$BE$12</f>
        <v>0.05</v>
      </c>
      <c r="I41" s="298"/>
      <c r="J41" s="149"/>
      <c r="K41" s="150">
        <f t="shared" ref="K41:K72" si="12">IFERROR((ROUND(E41-F41,2)),0)</f>
        <v>23.5</v>
      </c>
      <c r="L41" s="120">
        <f t="shared" si="10"/>
        <v>0.3362</v>
      </c>
      <c r="M41" s="120">
        <f t="shared" ref="M41:M72" si="13">IFERROR((C41*E41)/SUMPRODUCT($C$9:$C$118,$E$9:$E$118),0)</f>
        <v>8.5341395945811426E-3</v>
      </c>
      <c r="N41" s="120">
        <f t="shared" si="11"/>
        <v>2.8999999999999998E-3</v>
      </c>
      <c r="O41" s="120" t="str">
        <f>IFERROR(VLOOKUP(A41,'Tabela de Produtos'!A:V,23,0),"-")</f>
        <v>-</v>
      </c>
      <c r="P41" s="149"/>
      <c r="Q41" s="151">
        <f t="shared" ref="Q41:Q72" si="14">IFERROR($Q$120*M41,0)</f>
        <v>2496.0743905288909</v>
      </c>
      <c r="R41" s="152">
        <f t="shared" ref="R41:R72" si="15">ROUNDUP(IFERROR(Q41/E41,0),0)</f>
        <v>36</v>
      </c>
      <c r="S41" s="153">
        <f t="shared" ref="S41:S72" si="16">R41-C41</f>
        <v>-2</v>
      </c>
      <c r="T41" s="151">
        <f t="shared" ref="T41:T72" si="17">IFERROR(R41*F41,0)-U41-V41</f>
        <v>1370.799073136533</v>
      </c>
      <c r="U41" s="151">
        <f t="shared" ref="U41:U72" si="18">Q41*G41</f>
        <v>174.7252073370224</v>
      </c>
      <c r="V41" s="151">
        <f t="shared" ref="V41:V72" si="19">Q41*H41</f>
        <v>124.80371952644455</v>
      </c>
      <c r="W41" s="151">
        <f t="shared" ref="W41:W72" si="20">Q41-T41-U41-V41</f>
        <v>825.74639052889097</v>
      </c>
      <c r="X41" s="299"/>
      <c r="Y41" s="299"/>
      <c r="AB41" s="148">
        <v>8.4989999999999996E-3</v>
      </c>
      <c r="AC41" s="154">
        <f t="shared" ref="AC41:AC72" si="21">ROUNDUP((AB41*$C$5)/E41,0)</f>
        <v>36</v>
      </c>
    </row>
    <row r="42" spans="1:29">
      <c r="A42" t="s">
        <v>124</v>
      </c>
      <c r="B42" s="145" t="str">
        <f>IFERROR(VLOOKUP(A42,'Tabela de Produtos'!A:B,2,0),"Preencher Cód. Produto")</f>
        <v>BRAZIMIL LÁTEX ECONÔMICO INT FOSCO 15L VERDE FOLHA</v>
      </c>
      <c r="C42" s="146">
        <v>35</v>
      </c>
      <c r="D42" s="147">
        <f>IFERROR(VLOOKUP(A42,'Tabela de Produtos'!A:U,21,0),"Preencher Cód. Produto")</f>
        <v>69.900000000000006</v>
      </c>
      <c r="E42" s="147">
        <v>69.900000000000006</v>
      </c>
      <c r="F42" s="147">
        <f>IFERROR(VLOOKUP(A42,'Tabela de Produtos'!A:T,20,0),"Preencher Cód. Produto")</f>
        <v>55.997999999999998</v>
      </c>
      <c r="G42" s="148">
        <f>SUM('Formação de Preço de Venda'!$BA$12:$BD$12)</f>
        <v>7.0000000000000007E-2</v>
      </c>
      <c r="H42" s="148">
        <f>'Formação de Preço de Venda'!$BE$12</f>
        <v>0.05</v>
      </c>
      <c r="I42" s="298"/>
      <c r="J42" s="149"/>
      <c r="K42" s="150">
        <f t="shared" si="12"/>
        <v>13.9</v>
      </c>
      <c r="L42" s="120">
        <f t="shared" si="10"/>
        <v>0.19889999999999999</v>
      </c>
      <c r="M42" s="120">
        <f t="shared" si="13"/>
        <v>7.8603917318510515E-3</v>
      </c>
      <c r="N42" s="120">
        <f t="shared" si="11"/>
        <v>1.6000000000000001E-3</v>
      </c>
      <c r="O42" s="120" t="str">
        <f>IFERROR(VLOOKUP(A42,'Tabela de Produtos'!A:V,23,0),"-")</f>
        <v>-</v>
      </c>
      <c r="P42" s="149"/>
      <c r="Q42" s="151">
        <f t="shared" si="14"/>
        <v>2299.015886013452</v>
      </c>
      <c r="R42" s="152">
        <f t="shared" si="15"/>
        <v>33</v>
      </c>
      <c r="S42" s="153">
        <f t="shared" si="16"/>
        <v>-2</v>
      </c>
      <c r="T42" s="151">
        <f t="shared" si="17"/>
        <v>1572.0520936783857</v>
      </c>
      <c r="U42" s="151">
        <f t="shared" si="18"/>
        <v>160.93111202094167</v>
      </c>
      <c r="V42" s="151">
        <f t="shared" si="19"/>
        <v>114.95079430067261</v>
      </c>
      <c r="W42" s="151">
        <f t="shared" si="20"/>
        <v>451.08188601345199</v>
      </c>
      <c r="X42" s="299"/>
      <c r="Y42" s="299"/>
      <c r="AB42" s="148">
        <v>7.8619999999999992E-3</v>
      </c>
      <c r="AC42" s="154">
        <f t="shared" si="21"/>
        <v>33</v>
      </c>
    </row>
    <row r="43" spans="1:29">
      <c r="A43" t="s">
        <v>122</v>
      </c>
      <c r="B43" s="145" t="str">
        <f>IFERROR(VLOOKUP(A43,'Tabela de Produtos'!A:B,2,0),"Preencher Cód. Produto")</f>
        <v>BRAZIMIL LÁTEX ECONÔMICO INT FOSCO 15L PALHA</v>
      </c>
      <c r="C43" s="146">
        <v>21</v>
      </c>
      <c r="D43" s="147">
        <f>IFERROR(VLOOKUP(A43,'Tabela de Produtos'!A:U,21,0),"Preencher Cód. Produto")</f>
        <v>69.900000000000006</v>
      </c>
      <c r="E43" s="147">
        <v>69.900000000000006</v>
      </c>
      <c r="F43" s="147">
        <f>IFERROR(VLOOKUP(A43,'Tabela de Produtos'!A:T,20,0),"Preencher Cód. Produto")</f>
        <v>46.24799999999999</v>
      </c>
      <c r="G43" s="148">
        <f>SUM('Formação de Preço de Venda'!$BA$12:$BD$12)</f>
        <v>7.0000000000000007E-2</v>
      </c>
      <c r="H43" s="148">
        <f>'Formação de Preço de Venda'!$BE$12</f>
        <v>0.05</v>
      </c>
      <c r="I43" s="298"/>
      <c r="J43" s="149"/>
      <c r="K43" s="150">
        <f t="shared" si="12"/>
        <v>23.65</v>
      </c>
      <c r="L43" s="120">
        <f t="shared" si="10"/>
        <v>0.33829999999999999</v>
      </c>
      <c r="M43" s="120">
        <f t="shared" si="13"/>
        <v>4.7162350391106314E-3</v>
      </c>
      <c r="N43" s="120">
        <f t="shared" si="11"/>
        <v>1.6000000000000001E-3</v>
      </c>
      <c r="O43" s="120" t="str">
        <f>IFERROR(VLOOKUP(A43,'Tabela de Produtos'!A:V,23,0),"-")</f>
        <v>-</v>
      </c>
      <c r="P43" s="149"/>
      <c r="Q43" s="151">
        <f t="shared" si="14"/>
        <v>1379.4095316080713</v>
      </c>
      <c r="R43" s="152">
        <f t="shared" si="15"/>
        <v>20</v>
      </c>
      <c r="S43" s="153">
        <f t="shared" si="16"/>
        <v>-1</v>
      </c>
      <c r="T43" s="151">
        <f t="shared" si="17"/>
        <v>759.4308562070313</v>
      </c>
      <c r="U43" s="151">
        <f t="shared" si="18"/>
        <v>96.558667212564998</v>
      </c>
      <c r="V43" s="151">
        <f t="shared" si="19"/>
        <v>68.97047658040357</v>
      </c>
      <c r="W43" s="151">
        <f t="shared" si="20"/>
        <v>454.44953160807154</v>
      </c>
      <c r="X43" s="299"/>
      <c r="Y43" s="299"/>
      <c r="AB43" s="148">
        <v>4.6750000000000003E-3</v>
      </c>
      <c r="AC43" s="154">
        <f t="shared" si="21"/>
        <v>20</v>
      </c>
    </row>
    <row r="44" spans="1:29">
      <c r="A44" t="s">
        <v>445</v>
      </c>
      <c r="B44" s="145" t="str">
        <f>IFERROR(VLOOKUP(A44,'Tabela de Produtos'!A:B,2,0),"Preencher Cód. Produto")</f>
        <v>BRAZIMIL ESMALTE SINTETICO BRILHANTE MADEIRAS E METAIS 3L BRANCO</v>
      </c>
      <c r="C44" s="146">
        <v>51</v>
      </c>
      <c r="D44" s="147">
        <f>IFERROR(VLOOKUP(A44,'Tabela de Produtos'!A:U,21,0),"Preencher Cód. Produto")</f>
        <v>67.900000000000006</v>
      </c>
      <c r="E44" s="147">
        <v>67.900000000000006</v>
      </c>
      <c r="F44" s="147">
        <f>IFERROR(VLOOKUP(A44,'Tabela de Produtos'!A:T,20,0),"Preencher Cód. Produto")</f>
        <v>54.568000000000005</v>
      </c>
      <c r="G44" s="148">
        <f>SUM('Formação de Preço de Venda'!$BA$12:$BD$12)</f>
        <v>7.0000000000000007E-2</v>
      </c>
      <c r="H44" s="148">
        <f>'Formação de Preço de Venda'!$BE$12</f>
        <v>0.05</v>
      </c>
      <c r="I44" s="298"/>
      <c r="J44" s="149"/>
      <c r="K44" s="150">
        <f t="shared" si="12"/>
        <v>13.33</v>
      </c>
      <c r="L44" s="120">
        <f t="shared" si="10"/>
        <v>0.1963</v>
      </c>
      <c r="M44" s="120">
        <f t="shared" si="13"/>
        <v>1.1125996537186596E-2</v>
      </c>
      <c r="N44" s="120">
        <f t="shared" si="11"/>
        <v>2.2000000000000001E-3</v>
      </c>
      <c r="O44" s="120" t="str">
        <f>IFERROR(VLOOKUP(A44,'Tabela de Produtos'!A:V,23,0),"-")</f>
        <v>-</v>
      </c>
      <c r="P44" s="149"/>
      <c r="Q44" s="151">
        <f t="shared" si="14"/>
        <v>3254.143515910886</v>
      </c>
      <c r="R44" s="152">
        <f t="shared" si="15"/>
        <v>48</v>
      </c>
      <c r="S44" s="153">
        <f t="shared" si="16"/>
        <v>-3</v>
      </c>
      <c r="T44" s="151">
        <f t="shared" si="17"/>
        <v>2228.7667780906941</v>
      </c>
      <c r="U44" s="151">
        <f t="shared" si="18"/>
        <v>227.79004611376203</v>
      </c>
      <c r="V44" s="151">
        <f t="shared" si="19"/>
        <v>162.70717579554432</v>
      </c>
      <c r="W44" s="151">
        <f t="shared" si="20"/>
        <v>634.87951591088552</v>
      </c>
      <c r="X44" s="299"/>
      <c r="Y44" s="299"/>
      <c r="AB44" s="148">
        <v>1.1049E-2</v>
      </c>
      <c r="AC44" s="154">
        <f t="shared" si="21"/>
        <v>48</v>
      </c>
    </row>
    <row r="45" spans="1:29">
      <c r="A45" t="s">
        <v>94</v>
      </c>
      <c r="B45" s="145" t="str">
        <f>IFERROR(VLOOKUP(A45,'Tabela de Produtos'!A:B,2,0),"Preencher Cód. Produto")</f>
        <v>BRAZIMIL LÁTEX ECONÔMICO INT FOSCO 3L VERDE FOLHA</v>
      </c>
      <c r="C45" s="146">
        <v>92</v>
      </c>
      <c r="D45" s="147">
        <f>IFERROR(VLOOKUP(A45,'Tabela de Produtos'!A:U,21,0),"Preencher Cód. Produto")</f>
        <v>17.989999999999998</v>
      </c>
      <c r="E45" s="147">
        <v>17.989999999999998</v>
      </c>
      <c r="F45" s="147">
        <f>IFERROR(VLOOKUP(A45,'Tabela de Produtos'!A:T,20,0),"Preencher Cód. Produto")</f>
        <v>13.3988</v>
      </c>
      <c r="G45" s="148">
        <f>SUM('Formação de Preço de Venda'!$BA$12:$BD$12)</f>
        <v>7.0000000000000007E-2</v>
      </c>
      <c r="H45" s="148">
        <f>'Formação de Preço de Venda'!$BE$12</f>
        <v>0.05</v>
      </c>
      <c r="I45" s="298"/>
      <c r="J45" s="149"/>
      <c r="K45" s="150">
        <f t="shared" si="12"/>
        <v>4.59</v>
      </c>
      <c r="L45" s="120">
        <f t="shared" si="10"/>
        <v>0.25509999999999999</v>
      </c>
      <c r="M45" s="120">
        <f t="shared" si="13"/>
        <v>5.3176281003687051E-3</v>
      </c>
      <c r="N45" s="120">
        <f t="shared" si="11"/>
        <v>1.4E-3</v>
      </c>
      <c r="O45" s="120" t="str">
        <f>IFERROR(VLOOKUP(A45,'Tabela de Produtos'!A:V,23,0),"-")</f>
        <v>-</v>
      </c>
      <c r="P45" s="149"/>
      <c r="Q45" s="151">
        <f t="shared" si="14"/>
        <v>1555.3056254335349</v>
      </c>
      <c r="R45" s="152">
        <f t="shared" si="15"/>
        <v>87</v>
      </c>
      <c r="S45" s="153">
        <f t="shared" si="16"/>
        <v>-5</v>
      </c>
      <c r="T45" s="151">
        <f t="shared" si="17"/>
        <v>979.05892494797581</v>
      </c>
      <c r="U45" s="151">
        <f t="shared" si="18"/>
        <v>108.87139378034746</v>
      </c>
      <c r="V45" s="151">
        <f t="shared" si="19"/>
        <v>77.765281271676756</v>
      </c>
      <c r="W45" s="151">
        <f t="shared" si="20"/>
        <v>389.61002543353487</v>
      </c>
      <c r="X45" s="299"/>
      <c r="Y45" s="299"/>
      <c r="AB45" s="148">
        <v>5.3119999999999999E-3</v>
      </c>
      <c r="AC45" s="154">
        <f t="shared" si="21"/>
        <v>87</v>
      </c>
    </row>
    <row r="46" spans="1:29">
      <c r="A46" t="s">
        <v>131</v>
      </c>
      <c r="B46" s="145" t="str">
        <f>IFERROR(VLOOKUP(A46,'Tabela de Produtos'!A:B,2,0),"Preencher Cód. Produto")</f>
        <v>BRAZIMIL LÁTEX ECONÔMICO INT FOSCO 15L AMARELO IPE</v>
      </c>
      <c r="C46" s="146">
        <v>26</v>
      </c>
      <c r="D46" s="147">
        <f>IFERROR(VLOOKUP(A46,'Tabela de Produtos'!A:U,21,0),"Preencher Cód. Produto")</f>
        <v>69.900000000000006</v>
      </c>
      <c r="E46" s="147">
        <v>69.900000000000006</v>
      </c>
      <c r="F46" s="147">
        <f>IFERROR(VLOOKUP(A46,'Tabela de Produtos'!A:T,20,0),"Preencher Cód. Produto")</f>
        <v>50.898000000000003</v>
      </c>
      <c r="G46" s="148">
        <f>SUM('Formação de Preço de Venda'!$BA$12:$BD$12)</f>
        <v>7.0000000000000007E-2</v>
      </c>
      <c r="H46" s="148">
        <f>'Formação de Preço de Venda'!$BE$12</f>
        <v>0.05</v>
      </c>
      <c r="I46" s="298"/>
      <c r="J46" s="149"/>
      <c r="K46" s="150">
        <f t="shared" si="12"/>
        <v>19</v>
      </c>
      <c r="L46" s="120">
        <f t="shared" ref="L46:L77" si="22">IFERROR(ROUND(K46/E46,4),0)</f>
        <v>0.27179999999999999</v>
      </c>
      <c r="M46" s="120">
        <f t="shared" si="13"/>
        <v>5.8391481436607818E-3</v>
      </c>
      <c r="N46" s="120">
        <f t="shared" ref="N46:N77" si="23">ROUND(L46*M46,4)</f>
        <v>1.6000000000000001E-3</v>
      </c>
      <c r="O46" s="120" t="str">
        <f>IFERROR(VLOOKUP(A46,'Tabela de Produtos'!A:V,23,0),"-")</f>
        <v>-</v>
      </c>
      <c r="P46" s="149"/>
      <c r="Q46" s="151">
        <f t="shared" si="14"/>
        <v>1707.8403724671359</v>
      </c>
      <c r="R46" s="152">
        <f t="shared" si="15"/>
        <v>25</v>
      </c>
      <c r="S46" s="153">
        <f t="shared" si="16"/>
        <v>-1</v>
      </c>
      <c r="T46" s="151">
        <f t="shared" si="17"/>
        <v>1067.5091553039438</v>
      </c>
      <c r="U46" s="151">
        <f t="shared" si="18"/>
        <v>119.54882607269953</v>
      </c>
      <c r="V46" s="151">
        <f t="shared" si="19"/>
        <v>85.392018623356805</v>
      </c>
      <c r="W46" s="151">
        <f t="shared" si="20"/>
        <v>435.39037246713582</v>
      </c>
      <c r="X46" s="299"/>
      <c r="Y46" s="299"/>
      <c r="AB46" s="148">
        <v>5.7369999999999999E-3</v>
      </c>
      <c r="AC46" s="154">
        <f t="shared" si="21"/>
        <v>25</v>
      </c>
    </row>
    <row r="47" spans="1:29">
      <c r="A47" t="s">
        <v>126</v>
      </c>
      <c r="B47" s="145" t="str">
        <f>IFERROR(VLOOKUP(A47,'Tabela de Produtos'!A:B,2,0),"Preencher Cód. Produto")</f>
        <v>BRAZIMIL LÁTEX ECONÔMICO INT FOSCO 15L AZUL OCEANO</v>
      </c>
      <c r="C47" s="146">
        <v>24</v>
      </c>
      <c r="D47" s="147">
        <f>IFERROR(VLOOKUP(A47,'Tabela de Produtos'!A:U,21,0),"Preencher Cód. Produto")</f>
        <v>69.900000000000006</v>
      </c>
      <c r="E47" s="147">
        <v>69.900000000000006</v>
      </c>
      <c r="F47" s="147">
        <f>IFERROR(VLOOKUP(A47,'Tabela de Produtos'!A:T,20,0),"Preencher Cód. Produto")</f>
        <v>51.797999999999995</v>
      </c>
      <c r="G47" s="148">
        <f>SUM('Formação de Preço de Venda'!$BA$12:$BD$12)</f>
        <v>7.0000000000000007E-2</v>
      </c>
      <c r="H47" s="148">
        <f>'Formação de Preço de Venda'!$BE$12</f>
        <v>0.05</v>
      </c>
      <c r="I47" s="298"/>
      <c r="J47" s="149"/>
      <c r="K47" s="150">
        <f t="shared" si="12"/>
        <v>18.100000000000001</v>
      </c>
      <c r="L47" s="120">
        <f t="shared" si="22"/>
        <v>0.25890000000000002</v>
      </c>
      <c r="M47" s="120">
        <f t="shared" si="13"/>
        <v>5.3899829018407217E-3</v>
      </c>
      <c r="N47" s="120">
        <f t="shared" si="23"/>
        <v>1.4E-3</v>
      </c>
      <c r="O47" s="120" t="str">
        <f>IFERROR(VLOOKUP(A47,'Tabela de Produtos'!A:V,23,0),"-")</f>
        <v>-</v>
      </c>
      <c r="P47" s="149"/>
      <c r="Q47" s="151">
        <f t="shared" si="14"/>
        <v>1576.46803612351</v>
      </c>
      <c r="R47" s="152">
        <f t="shared" si="15"/>
        <v>23</v>
      </c>
      <c r="S47" s="153">
        <f t="shared" si="16"/>
        <v>-1</v>
      </c>
      <c r="T47" s="151">
        <f t="shared" si="17"/>
        <v>1002.1778356651787</v>
      </c>
      <c r="U47" s="151">
        <f t="shared" si="18"/>
        <v>110.35276252864571</v>
      </c>
      <c r="V47" s="151">
        <f t="shared" si="19"/>
        <v>78.823401806175511</v>
      </c>
      <c r="W47" s="151">
        <f t="shared" si="20"/>
        <v>385.11403612351012</v>
      </c>
      <c r="X47" s="299"/>
      <c r="Y47" s="299"/>
      <c r="AB47" s="148">
        <v>5.4180000000000001E-3</v>
      </c>
      <c r="AC47" s="154">
        <f t="shared" si="21"/>
        <v>23</v>
      </c>
    </row>
    <row r="48" spans="1:29">
      <c r="A48" t="s">
        <v>363</v>
      </c>
      <c r="B48" s="145" t="str">
        <f>IFERROR(VLOOKUP(A48,'Tabela de Produtos'!A:B,2,0),"Preencher Cód. Produto")</f>
        <v>BRAZIMIL BORRACHA LIQUIDA MULTIFUNÇÃO 3,6KG BRANCO NEVE</v>
      </c>
      <c r="C48" s="146">
        <v>16</v>
      </c>
      <c r="D48" s="147">
        <f>IFERROR(VLOOKUP(A48,'Tabela de Produtos'!A:U,21,0),"Preencher Cód. Produto")</f>
        <v>85.9</v>
      </c>
      <c r="E48" s="147">
        <v>85.9</v>
      </c>
      <c r="F48" s="147">
        <f>IFERROR(VLOOKUP(A48,'Tabela de Produtos'!A:T,20,0),"Preencher Cód. Produto")</f>
        <v>48.681999999999995</v>
      </c>
      <c r="G48" s="148">
        <f>SUM('Formação de Preço de Venda'!$BA$12:$BD$12)</f>
        <v>7.0000000000000007E-2</v>
      </c>
      <c r="H48" s="148">
        <f>'Formação de Preço de Venda'!$BE$12</f>
        <v>0.05</v>
      </c>
      <c r="I48" s="298"/>
      <c r="J48" s="149"/>
      <c r="K48" s="150">
        <f t="shared" si="12"/>
        <v>37.22</v>
      </c>
      <c r="L48" s="120">
        <f t="shared" si="22"/>
        <v>0.43330000000000002</v>
      </c>
      <c r="M48" s="120">
        <f t="shared" si="13"/>
        <v>4.4158276706544397E-3</v>
      </c>
      <c r="N48" s="120">
        <f t="shared" si="23"/>
        <v>1.9E-3</v>
      </c>
      <c r="O48" s="120" t="str">
        <f>IFERROR(VLOOKUP(A48,'Tabela de Produtos'!A:V,23,0),"-")</f>
        <v>-</v>
      </c>
      <c r="P48" s="149"/>
      <c r="Q48" s="151">
        <f t="shared" si="14"/>
        <v>1291.5460591607966</v>
      </c>
      <c r="R48" s="152">
        <f t="shared" si="15"/>
        <v>16</v>
      </c>
      <c r="S48" s="153">
        <f t="shared" si="16"/>
        <v>0</v>
      </c>
      <c r="T48" s="151">
        <f t="shared" si="17"/>
        <v>623.92647290070431</v>
      </c>
      <c r="U48" s="151">
        <f t="shared" si="18"/>
        <v>90.408224141255772</v>
      </c>
      <c r="V48" s="151">
        <f t="shared" si="19"/>
        <v>64.577302958039837</v>
      </c>
      <c r="W48" s="151">
        <f t="shared" si="20"/>
        <v>512.63405916079671</v>
      </c>
      <c r="X48" s="299"/>
      <c r="Y48" s="299"/>
      <c r="AB48" s="148">
        <v>4.3030000000000004E-3</v>
      </c>
      <c r="AC48" s="154">
        <f t="shared" si="21"/>
        <v>15</v>
      </c>
    </row>
    <row r="49" spans="1:29">
      <c r="A49" t="s">
        <v>423</v>
      </c>
      <c r="B49" s="145" t="str">
        <f>IFERROR(VLOOKUP(A49,'Tabela de Produtos'!A:B,2,0),"Preencher Cód. Produto")</f>
        <v>BRAZIMIL ESMALTE SINTETICO BRILHANTE MADEIRAS E METAIS 0,75L VERMELHO FERRARI</v>
      </c>
      <c r="C49" s="146">
        <v>97</v>
      </c>
      <c r="D49" s="147">
        <f>IFERROR(VLOOKUP(A49,'Tabela de Produtos'!A:U,21,0),"Preencher Cód. Produto")</f>
        <v>24.5</v>
      </c>
      <c r="E49" s="147">
        <v>24.5</v>
      </c>
      <c r="F49" s="147">
        <f>IFERROR(VLOOKUP(A49,'Tabela de Produtos'!A:T,20,0),"Preencher Cód. Produto")</f>
        <v>16.602499999999999</v>
      </c>
      <c r="G49" s="148">
        <f>SUM('Formação de Preço de Venda'!$BA$12:$BD$12)</f>
        <v>7.0000000000000007E-2</v>
      </c>
      <c r="H49" s="148">
        <f>'Formação de Preço de Venda'!$BE$12</f>
        <v>0.05</v>
      </c>
      <c r="I49" s="298"/>
      <c r="J49" s="149"/>
      <c r="K49" s="150">
        <f t="shared" si="12"/>
        <v>7.9</v>
      </c>
      <c r="L49" s="120">
        <f t="shared" si="22"/>
        <v>0.32240000000000002</v>
      </c>
      <c r="M49" s="120">
        <f t="shared" si="13"/>
        <v>7.63548781963786E-3</v>
      </c>
      <c r="N49" s="120">
        <f t="shared" si="23"/>
        <v>2.5000000000000001E-3</v>
      </c>
      <c r="O49" s="120" t="str">
        <f>IFERROR(VLOOKUP(A49,'Tabela de Produtos'!A:V,23,0),"-")</f>
        <v>-</v>
      </c>
      <c r="P49" s="149"/>
      <c r="Q49" s="151">
        <f t="shared" si="14"/>
        <v>2233.2357462133532</v>
      </c>
      <c r="R49" s="152">
        <f t="shared" si="15"/>
        <v>92</v>
      </c>
      <c r="S49" s="153">
        <f t="shared" si="16"/>
        <v>-5</v>
      </c>
      <c r="T49" s="151">
        <f t="shared" si="17"/>
        <v>1259.4417104543975</v>
      </c>
      <c r="U49" s="151">
        <f t="shared" si="18"/>
        <v>156.32650223493474</v>
      </c>
      <c r="V49" s="151">
        <f t="shared" si="19"/>
        <v>111.66178731066766</v>
      </c>
      <c r="W49" s="151">
        <f t="shared" si="20"/>
        <v>705.80574621335325</v>
      </c>
      <c r="X49" s="299"/>
      <c r="Y49" s="299"/>
      <c r="AB49" s="148">
        <v>7.6490000000000004E-3</v>
      </c>
      <c r="AC49" s="154">
        <f t="shared" si="21"/>
        <v>92</v>
      </c>
    </row>
    <row r="50" spans="1:29">
      <c r="A50" t="s">
        <v>97</v>
      </c>
      <c r="B50" s="145" t="str">
        <f>IFERROR(VLOOKUP(A50,'Tabela de Produtos'!A:B,2,0),"Preencher Cód. Produto")</f>
        <v>BRAZIMIL LÁTEX ECONÔMICO INT FOSCO 3L AMARELO CANARIO</v>
      </c>
      <c r="C50" s="146">
        <v>92</v>
      </c>
      <c r="D50" s="147">
        <f>IFERROR(VLOOKUP(A50,'Tabela de Produtos'!A:U,21,0),"Preencher Cód. Produto")</f>
        <v>17.989999999999998</v>
      </c>
      <c r="E50" s="147">
        <v>17.989999999999998</v>
      </c>
      <c r="F50" s="147">
        <f>IFERROR(VLOOKUP(A50,'Tabela de Produtos'!A:T,20,0),"Preencher Cód. Produto")</f>
        <v>11.658799999999999</v>
      </c>
      <c r="G50" s="148">
        <f>SUM('Formação de Preço de Venda'!$BA$12:$BD$12)</f>
        <v>7.0000000000000007E-2</v>
      </c>
      <c r="H50" s="148">
        <f>'Formação de Preço de Venda'!$BE$12</f>
        <v>0.05</v>
      </c>
      <c r="I50" s="298"/>
      <c r="J50" s="149"/>
      <c r="K50" s="150">
        <f t="shared" si="12"/>
        <v>6.33</v>
      </c>
      <c r="L50" s="120">
        <f t="shared" si="22"/>
        <v>0.35189999999999999</v>
      </c>
      <c r="M50" s="120">
        <f t="shared" si="13"/>
        <v>5.3176281003687051E-3</v>
      </c>
      <c r="N50" s="120">
        <f t="shared" si="23"/>
        <v>1.9E-3</v>
      </c>
      <c r="O50" s="120" t="str">
        <f>IFERROR(VLOOKUP(A50,'Tabela de Produtos'!A:V,23,0),"-")</f>
        <v>-</v>
      </c>
      <c r="P50" s="149"/>
      <c r="Q50" s="151">
        <f t="shared" si="14"/>
        <v>1555.3056254335349</v>
      </c>
      <c r="R50" s="152">
        <f t="shared" si="15"/>
        <v>87</v>
      </c>
      <c r="S50" s="153">
        <f t="shared" si="16"/>
        <v>-5</v>
      </c>
      <c r="T50" s="151">
        <f t="shared" si="17"/>
        <v>827.6789249479757</v>
      </c>
      <c r="U50" s="151">
        <f t="shared" si="18"/>
        <v>108.87139378034746</v>
      </c>
      <c r="V50" s="151">
        <f t="shared" si="19"/>
        <v>77.765281271676756</v>
      </c>
      <c r="W50" s="151">
        <f t="shared" si="20"/>
        <v>540.99002543353504</v>
      </c>
      <c r="X50" s="299"/>
      <c r="Y50" s="299"/>
      <c r="AB50" s="148">
        <v>5.3119999999999999E-3</v>
      </c>
      <c r="AC50" s="154">
        <f t="shared" si="21"/>
        <v>87</v>
      </c>
    </row>
    <row r="51" spans="1:29">
      <c r="A51" t="s">
        <v>98</v>
      </c>
      <c r="B51" s="145" t="str">
        <f>IFERROR(VLOOKUP(A51,'Tabela de Produtos'!A:B,2,0),"Preencher Cód. Produto")</f>
        <v>BRAZIMIL LÁTEX ECONÔMICO INT FOSCO 3L CROMO SUAVE</v>
      </c>
      <c r="C51" s="146">
        <v>66</v>
      </c>
      <c r="D51" s="147">
        <f>IFERROR(VLOOKUP(A51,'Tabela de Produtos'!A:U,21,0),"Preencher Cód. Produto")</f>
        <v>17.989999999999998</v>
      </c>
      <c r="E51" s="147">
        <v>17.989999999999998</v>
      </c>
      <c r="F51" s="147">
        <f>IFERROR(VLOOKUP(A51,'Tabela de Produtos'!A:T,20,0),"Preencher Cód. Produto")</f>
        <v>12.3788</v>
      </c>
      <c r="G51" s="148">
        <f>SUM('Formação de Preço de Venda'!$BA$12:$BD$12)</f>
        <v>7.0000000000000007E-2</v>
      </c>
      <c r="H51" s="148">
        <f>'Formação de Preço de Venda'!$BE$12</f>
        <v>0.05</v>
      </c>
      <c r="I51" s="298"/>
      <c r="J51" s="149"/>
      <c r="K51" s="150">
        <f t="shared" si="12"/>
        <v>5.61</v>
      </c>
      <c r="L51" s="120">
        <f t="shared" si="22"/>
        <v>0.31180000000000002</v>
      </c>
      <c r="M51" s="120">
        <f t="shared" si="13"/>
        <v>3.8148201589601584E-3</v>
      </c>
      <c r="N51" s="120">
        <f t="shared" si="23"/>
        <v>1.1999999999999999E-3</v>
      </c>
      <c r="O51" s="120" t="str">
        <f>IFERROR(VLOOKUP(A51,'Tabela de Produtos'!A:V,23,0),"-")</f>
        <v>-</v>
      </c>
      <c r="P51" s="149"/>
      <c r="Q51" s="151">
        <f t="shared" si="14"/>
        <v>1115.7627312892753</v>
      </c>
      <c r="R51" s="152">
        <f t="shared" si="15"/>
        <v>63</v>
      </c>
      <c r="S51" s="153">
        <f t="shared" si="16"/>
        <v>-3</v>
      </c>
      <c r="T51" s="151">
        <f t="shared" si="17"/>
        <v>645.97287224528702</v>
      </c>
      <c r="U51" s="151">
        <f t="shared" si="18"/>
        <v>78.103391190249283</v>
      </c>
      <c r="V51" s="151">
        <f t="shared" si="19"/>
        <v>55.78813656446377</v>
      </c>
      <c r="W51" s="151">
        <f t="shared" si="20"/>
        <v>335.89833128927523</v>
      </c>
      <c r="X51" s="299"/>
      <c r="Y51" s="299"/>
      <c r="AB51" s="148">
        <v>3.8249999999999998E-3</v>
      </c>
      <c r="AC51" s="154">
        <f t="shared" si="21"/>
        <v>63</v>
      </c>
    </row>
    <row r="52" spans="1:29">
      <c r="A52" t="s">
        <v>204</v>
      </c>
      <c r="B52" s="145" t="str">
        <f>IFERROR(VLOOKUP(A52,'Tabela de Produtos'!A:B,2,0),"Preencher Cód. Produto")</f>
        <v>BRAZIMIL LÁTEX STANDARD INT/EXT SEMIBRILHO 15L BRANCO GELO</v>
      </c>
      <c r="C52" s="146">
        <v>12</v>
      </c>
      <c r="D52" s="147">
        <f>IFERROR(VLOOKUP(A52,'Tabela de Produtos'!A:U,21,0),"Preencher Cód. Produto")</f>
        <v>175.9</v>
      </c>
      <c r="E52" s="147">
        <v>175.9</v>
      </c>
      <c r="F52" s="147">
        <f>IFERROR(VLOOKUP(A52,'Tabela de Produtos'!A:T,20,0),"Preencher Cód. Produto")</f>
        <v>161.56799999999998</v>
      </c>
      <c r="G52" s="148">
        <f>SUM('Formação de Preço de Venda'!$BA$12:$BD$12)</f>
        <v>7.0000000000000007E-2</v>
      </c>
      <c r="H52" s="148">
        <f>'Formação de Preço de Venda'!$BE$12</f>
        <v>0.05</v>
      </c>
      <c r="I52" s="298"/>
      <c r="J52" s="149"/>
      <c r="K52" s="150">
        <f t="shared" si="12"/>
        <v>14.33</v>
      </c>
      <c r="L52" s="120">
        <f t="shared" si="22"/>
        <v>8.1500000000000003E-2</v>
      </c>
      <c r="M52" s="120">
        <f t="shared" si="13"/>
        <v>6.7818168271372168E-3</v>
      </c>
      <c r="N52" s="120">
        <f t="shared" si="23"/>
        <v>5.9999999999999995E-4</v>
      </c>
      <c r="O52" s="120" t="str">
        <f>IFERROR(VLOOKUP(A52,'Tabela de Produtos'!A:V,23,0),"-")</f>
        <v>-</v>
      </c>
      <c r="P52" s="149"/>
      <c r="Q52" s="151">
        <f t="shared" si="14"/>
        <v>1983.5531298578355</v>
      </c>
      <c r="R52" s="152">
        <f t="shared" si="15"/>
        <v>12</v>
      </c>
      <c r="S52" s="153">
        <f t="shared" si="16"/>
        <v>0</v>
      </c>
      <c r="T52" s="151">
        <f t="shared" si="17"/>
        <v>1700.7896244170595</v>
      </c>
      <c r="U52" s="151">
        <f t="shared" si="18"/>
        <v>138.84871909004849</v>
      </c>
      <c r="V52" s="151">
        <f t="shared" si="19"/>
        <v>99.177656492891785</v>
      </c>
      <c r="W52" s="151">
        <f t="shared" si="20"/>
        <v>44.737129857835768</v>
      </c>
      <c r="X52" s="299"/>
      <c r="Y52" s="299"/>
      <c r="AB52" s="148">
        <v>6.587E-3</v>
      </c>
      <c r="AC52" s="154">
        <f t="shared" si="21"/>
        <v>11</v>
      </c>
    </row>
    <row r="53" spans="1:29">
      <c r="A53" t="s">
        <v>184</v>
      </c>
      <c r="B53" s="145" t="str">
        <f>IFERROR(VLOOKUP(A53,'Tabela de Produtos'!A:B,2,0),"Preencher Cód. Produto")</f>
        <v>BRAZIMIL LÁTEX STANDARD INT/EXT SEMIBRILHO 3L CINZA INTENSO</v>
      </c>
      <c r="C53" s="146">
        <v>42</v>
      </c>
      <c r="D53" s="147">
        <f>IFERROR(VLOOKUP(A53,'Tabela de Produtos'!A:U,21,0),"Preencher Cód. Produto")</f>
        <v>46.9</v>
      </c>
      <c r="E53" s="147">
        <v>46.9</v>
      </c>
      <c r="F53" s="147">
        <f>IFERROR(VLOOKUP(A53,'Tabela de Produtos'!A:T,20,0),"Preencher Cód. Produto")</f>
        <v>33.787999999999997</v>
      </c>
      <c r="G53" s="148">
        <f>SUM('Formação de Preço de Venda'!$BA$12:$BD$12)</f>
        <v>7.0000000000000007E-2</v>
      </c>
      <c r="H53" s="148">
        <f>'Formação de Preço de Venda'!$BE$12</f>
        <v>0.05</v>
      </c>
      <c r="I53" s="298"/>
      <c r="J53" s="149"/>
      <c r="K53" s="150">
        <f t="shared" si="12"/>
        <v>13.11</v>
      </c>
      <c r="L53" s="120">
        <f t="shared" si="22"/>
        <v>0.27950000000000003</v>
      </c>
      <c r="M53" s="120">
        <f t="shared" si="13"/>
        <v>6.3287960896792157E-3</v>
      </c>
      <c r="N53" s="120">
        <f t="shared" si="23"/>
        <v>1.8E-3</v>
      </c>
      <c r="O53" s="120" t="str">
        <f>IFERROR(VLOOKUP(A53,'Tabela de Produtos'!A:V,23,0),"-")</f>
        <v>-</v>
      </c>
      <c r="P53" s="149"/>
      <c r="Q53" s="151">
        <f t="shared" si="14"/>
        <v>1851.0531339747793</v>
      </c>
      <c r="R53" s="152">
        <f t="shared" si="15"/>
        <v>40</v>
      </c>
      <c r="S53" s="153">
        <f t="shared" si="16"/>
        <v>-2</v>
      </c>
      <c r="T53" s="151">
        <f t="shared" si="17"/>
        <v>1129.3936239230266</v>
      </c>
      <c r="U53" s="151">
        <f t="shared" si="18"/>
        <v>129.57371937823456</v>
      </c>
      <c r="V53" s="151">
        <f t="shared" si="19"/>
        <v>92.552656698738971</v>
      </c>
      <c r="W53" s="151">
        <f t="shared" si="20"/>
        <v>499.53313397477922</v>
      </c>
      <c r="X53" s="299"/>
      <c r="Y53" s="299"/>
      <c r="AB53" s="148">
        <v>6.3749999999999996E-3</v>
      </c>
      <c r="AC53" s="154">
        <f t="shared" si="21"/>
        <v>40</v>
      </c>
    </row>
    <row r="54" spans="1:29">
      <c r="A54" t="s">
        <v>206</v>
      </c>
      <c r="B54" s="145" t="str">
        <f>IFERROR(VLOOKUP(A54,'Tabela de Produtos'!A:B,2,0),"Preencher Cód. Produto")</f>
        <v>BRAZIMIL LÁTEX STANDARD INT/EXT SEMIBRILHO 15L AREIA</v>
      </c>
      <c r="C54" s="146">
        <v>11</v>
      </c>
      <c r="D54" s="147">
        <f>IFERROR(VLOOKUP(A54,'Tabela de Produtos'!A:U,21,0),"Preencher Cód. Produto")</f>
        <v>175.9</v>
      </c>
      <c r="E54" s="147">
        <v>175.9</v>
      </c>
      <c r="F54" s="147">
        <f>IFERROR(VLOOKUP(A54,'Tabela de Produtos'!A:T,20,0),"Preencher Cód. Produto")</f>
        <v>155.41800000000001</v>
      </c>
      <c r="G54" s="148">
        <f>SUM('Formação de Preço de Venda'!$BA$12:$BD$12)</f>
        <v>7.0000000000000007E-2</v>
      </c>
      <c r="H54" s="148">
        <f>'Formação de Preço de Venda'!$BE$12</f>
        <v>0.05</v>
      </c>
      <c r="I54" s="298"/>
      <c r="J54" s="149"/>
      <c r="K54" s="150">
        <f t="shared" si="12"/>
        <v>20.48</v>
      </c>
      <c r="L54" s="120">
        <f t="shared" si="22"/>
        <v>0.1164</v>
      </c>
      <c r="M54" s="120">
        <f t="shared" si="13"/>
        <v>6.2166654248757818E-3</v>
      </c>
      <c r="N54" s="120">
        <f t="shared" si="23"/>
        <v>6.9999999999999999E-4</v>
      </c>
      <c r="O54" s="120" t="str">
        <f>IFERROR(VLOOKUP(A54,'Tabela de Produtos'!A:V,23,0),"-")</f>
        <v>-</v>
      </c>
      <c r="P54" s="149"/>
      <c r="Q54" s="151">
        <f t="shared" si="14"/>
        <v>1818.2570357030158</v>
      </c>
      <c r="R54" s="152">
        <f t="shared" si="15"/>
        <v>11</v>
      </c>
      <c r="S54" s="153">
        <f t="shared" si="16"/>
        <v>0</v>
      </c>
      <c r="T54" s="151">
        <f t="shared" si="17"/>
        <v>1491.4071557156381</v>
      </c>
      <c r="U54" s="151">
        <f t="shared" si="18"/>
        <v>127.27799249921112</v>
      </c>
      <c r="V54" s="151">
        <f t="shared" si="19"/>
        <v>90.912851785150792</v>
      </c>
      <c r="W54" s="151">
        <f t="shared" si="20"/>
        <v>108.65903570301589</v>
      </c>
      <c r="X54" s="299"/>
      <c r="Y54" s="299"/>
      <c r="AB54" s="148">
        <v>6.215E-3</v>
      </c>
      <c r="AC54" s="154">
        <f t="shared" si="21"/>
        <v>11</v>
      </c>
    </row>
    <row r="55" spans="1:29">
      <c r="A55" t="s">
        <v>183</v>
      </c>
      <c r="B55" s="145" t="str">
        <f>IFERROR(VLOOKUP(A55,'Tabela de Produtos'!A:B,2,0),"Preencher Cód. Produto")</f>
        <v>BRAZIMIL LÁTEX STANDARD INT/EXT SEMIBRILHO 3L CINZA MEDIO</v>
      </c>
      <c r="C55" s="146">
        <v>37</v>
      </c>
      <c r="D55" s="147">
        <f>IFERROR(VLOOKUP(A55,'Tabela de Produtos'!A:U,21,0),"Preencher Cód. Produto")</f>
        <v>46.9</v>
      </c>
      <c r="E55" s="147">
        <v>46.9</v>
      </c>
      <c r="F55" s="147">
        <f>IFERROR(VLOOKUP(A55,'Tabela de Produtos'!A:T,20,0),"Preencher Cód. Produto")</f>
        <v>33.757999999999996</v>
      </c>
      <c r="G55" s="148">
        <f>SUM('Formação de Preço de Venda'!$BA$12:$BD$12)</f>
        <v>7.0000000000000007E-2</v>
      </c>
      <c r="H55" s="148">
        <f>'Formação de Preço de Venda'!$BE$12</f>
        <v>0.05</v>
      </c>
      <c r="I55" s="298"/>
      <c r="J55" s="149"/>
      <c r="K55" s="150">
        <f t="shared" si="12"/>
        <v>13.14</v>
      </c>
      <c r="L55" s="120">
        <f t="shared" si="22"/>
        <v>0.2802</v>
      </c>
      <c r="M55" s="120">
        <f t="shared" si="13"/>
        <v>5.5753679837650238E-3</v>
      </c>
      <c r="N55" s="120">
        <f t="shared" si="23"/>
        <v>1.6000000000000001E-3</v>
      </c>
      <c r="O55" s="120" t="str">
        <f>IFERROR(VLOOKUP(A55,'Tabela de Produtos'!A:V,23,0),"-")</f>
        <v>-</v>
      </c>
      <c r="P55" s="149"/>
      <c r="Q55" s="151">
        <f t="shared" si="14"/>
        <v>1630.6896656444485</v>
      </c>
      <c r="R55" s="152">
        <f t="shared" si="15"/>
        <v>35</v>
      </c>
      <c r="S55" s="153">
        <f t="shared" si="16"/>
        <v>-2</v>
      </c>
      <c r="T55" s="151">
        <f t="shared" si="17"/>
        <v>985.84724012266588</v>
      </c>
      <c r="U55" s="151">
        <f t="shared" si="18"/>
        <v>114.14827659511141</v>
      </c>
      <c r="V55" s="151">
        <f t="shared" si="19"/>
        <v>81.534483282222425</v>
      </c>
      <c r="W55" s="151">
        <f t="shared" si="20"/>
        <v>449.15966564444881</v>
      </c>
      <c r="X55" s="299"/>
      <c r="Y55" s="299"/>
      <c r="AB55" s="148">
        <v>5.5250000000000004E-3</v>
      </c>
      <c r="AC55" s="154">
        <f t="shared" si="21"/>
        <v>35</v>
      </c>
    </row>
    <row r="56" spans="1:29">
      <c r="A56" t="s">
        <v>443</v>
      </c>
      <c r="B56" s="145" t="str">
        <f>IFERROR(VLOOKUP(A56,'Tabela de Produtos'!A:B,2,0),"Preencher Cód. Produto")</f>
        <v>BRAZIMIL ESMALTE SINTETICO MADEIRAS E METAIS FOSCO 3L VERDE FOLHA</v>
      </c>
      <c r="C56" s="146">
        <v>0</v>
      </c>
      <c r="D56" s="147">
        <f>IFERROR(VLOOKUP(A56,'Tabela de Produtos'!A:U,21,0),"Preencher Cód. Produto")</f>
        <v>0</v>
      </c>
      <c r="E56" s="147">
        <v>0</v>
      </c>
      <c r="F56" s="147">
        <f>IFERROR(VLOOKUP(A56,'Tabela de Produtos'!A:T,20,0),"Preencher Cód. Produto")</f>
        <v>0</v>
      </c>
      <c r="G56" s="148">
        <f>SUM('Formação de Preço de Venda'!$BA$12:$BD$12)</f>
        <v>7.0000000000000007E-2</v>
      </c>
      <c r="H56" s="148">
        <f>'Formação de Preço de Venda'!$BE$12</f>
        <v>0.05</v>
      </c>
      <c r="I56" s="298"/>
      <c r="J56" s="149"/>
      <c r="K56" s="150">
        <f t="shared" si="12"/>
        <v>0</v>
      </c>
      <c r="L56" s="120">
        <f t="shared" si="22"/>
        <v>0</v>
      </c>
      <c r="M56" s="120">
        <f t="shared" si="13"/>
        <v>0</v>
      </c>
      <c r="N56" s="120">
        <f t="shared" si="23"/>
        <v>0</v>
      </c>
      <c r="O56" s="120" t="str">
        <f>IFERROR(VLOOKUP(A56,'Tabela de Produtos'!A:V,23,0),"-")</f>
        <v>-</v>
      </c>
      <c r="P56" s="149"/>
      <c r="Q56" s="151">
        <f t="shared" si="14"/>
        <v>0</v>
      </c>
      <c r="R56" s="152">
        <f t="shared" si="15"/>
        <v>0</v>
      </c>
      <c r="S56" s="153">
        <f t="shared" si="16"/>
        <v>0</v>
      </c>
      <c r="T56" s="151">
        <f t="shared" si="17"/>
        <v>0</v>
      </c>
      <c r="U56" s="151">
        <f t="shared" si="18"/>
        <v>0</v>
      </c>
      <c r="V56" s="151">
        <f t="shared" si="19"/>
        <v>0</v>
      </c>
      <c r="W56" s="151">
        <f t="shared" si="20"/>
        <v>0</v>
      </c>
      <c r="X56" s="299"/>
      <c r="Y56" s="299"/>
      <c r="AB56" s="148">
        <v>6.3749999999999996E-3</v>
      </c>
      <c r="AC56" s="154" t="e">
        <f t="shared" si="21"/>
        <v>#DIV/0!</v>
      </c>
    </row>
    <row r="57" spans="1:29">
      <c r="A57" t="s">
        <v>421</v>
      </c>
      <c r="B57" s="145" t="str">
        <f>IFERROR(VLOOKUP(A57,'Tabela de Produtos'!A:B,2,0),"Preencher Cód. Produto")</f>
        <v>BRAZIMIL ESMALTE SINTETICO BRILHANTE MADEIRAS E METAIS 0,75L BRANCO</v>
      </c>
      <c r="C57" s="146">
        <v>79</v>
      </c>
      <c r="D57" s="147">
        <f>IFERROR(VLOOKUP(A57,'Tabela de Produtos'!A:U,21,0),"Preencher Cód. Produto")</f>
        <v>24.5</v>
      </c>
      <c r="E57" s="147">
        <v>24.5</v>
      </c>
      <c r="F57" s="147">
        <f>IFERROR(VLOOKUP(A57,'Tabela de Produtos'!A:T,20,0),"Preencher Cód. Produto")</f>
        <v>16.842500000000001</v>
      </c>
      <c r="G57" s="148">
        <f>SUM('Formação de Preço de Venda'!$BA$12:$BD$12)</f>
        <v>7.0000000000000007E-2</v>
      </c>
      <c r="H57" s="148">
        <f>'Formação de Preço de Venda'!$BE$12</f>
        <v>0.05</v>
      </c>
      <c r="I57" s="298"/>
      <c r="J57" s="149"/>
      <c r="K57" s="150">
        <f t="shared" si="12"/>
        <v>7.66</v>
      </c>
      <c r="L57" s="120">
        <f t="shared" si="22"/>
        <v>0.31269999999999998</v>
      </c>
      <c r="M57" s="120">
        <f t="shared" si="13"/>
        <v>6.2185931726947523E-3</v>
      </c>
      <c r="N57" s="120">
        <f t="shared" si="23"/>
        <v>1.9E-3</v>
      </c>
      <c r="O57" s="120" t="str">
        <f>IFERROR(VLOOKUP(A57,'Tabela de Produtos'!A:V,23,0),"-")</f>
        <v>-</v>
      </c>
      <c r="P57" s="149"/>
      <c r="Q57" s="151">
        <f t="shared" si="14"/>
        <v>1818.8208654727309</v>
      </c>
      <c r="R57" s="152">
        <f t="shared" si="15"/>
        <v>75</v>
      </c>
      <c r="S57" s="153">
        <f t="shared" si="16"/>
        <v>-4</v>
      </c>
      <c r="T57" s="151">
        <f t="shared" si="17"/>
        <v>1044.9289961432723</v>
      </c>
      <c r="U57" s="151">
        <f t="shared" si="18"/>
        <v>127.31746058309118</v>
      </c>
      <c r="V57" s="151">
        <f t="shared" si="19"/>
        <v>90.941043273636552</v>
      </c>
      <c r="W57" s="151">
        <f t="shared" si="20"/>
        <v>555.63336547273093</v>
      </c>
      <c r="X57" s="299"/>
      <c r="Y57" s="299"/>
      <c r="AB57" s="148">
        <v>6.215E-3</v>
      </c>
      <c r="AC57" s="154">
        <f t="shared" si="21"/>
        <v>75</v>
      </c>
    </row>
    <row r="58" spans="1:29">
      <c r="A58" t="s">
        <v>448</v>
      </c>
      <c r="B58" s="145" t="str">
        <f>IFERROR(VLOOKUP(A58,'Tabela de Produtos'!A:B,2,0),"Preencher Cód. Produto")</f>
        <v>BRAZIMIL ESMALTE SINTETICO BRILHANTE MADEIRAS E METAIS 3L AZUL DEL REY</v>
      </c>
      <c r="C58" s="146">
        <v>28</v>
      </c>
      <c r="D58" s="147">
        <f>IFERROR(VLOOKUP(A58,'Tabela de Produtos'!A:U,21,0),"Preencher Cód. Produto")</f>
        <v>67.900000000000006</v>
      </c>
      <c r="E58" s="147">
        <v>67.900000000000006</v>
      </c>
      <c r="F58" s="147">
        <f>IFERROR(VLOOKUP(A58,'Tabela de Produtos'!A:T,20,0),"Preencher Cód. Produto")</f>
        <v>48.868000000000002</v>
      </c>
      <c r="G58" s="148">
        <f>SUM('Formação de Preço de Venda'!$BA$12:$BD$12)</f>
        <v>7.0000000000000007E-2</v>
      </c>
      <c r="H58" s="148">
        <f>'Formação de Preço de Venda'!$BE$12</f>
        <v>0.05</v>
      </c>
      <c r="I58" s="298"/>
      <c r="J58" s="149"/>
      <c r="K58" s="150">
        <f t="shared" si="12"/>
        <v>19.03</v>
      </c>
      <c r="L58" s="120">
        <f t="shared" si="22"/>
        <v>0.28029999999999999</v>
      </c>
      <c r="M58" s="120">
        <f t="shared" si="13"/>
        <v>6.1083902557102889E-3</v>
      </c>
      <c r="N58" s="120">
        <f t="shared" si="23"/>
        <v>1.6999999999999999E-3</v>
      </c>
      <c r="O58" s="120" t="str">
        <f>IFERROR(VLOOKUP(A58,'Tabela de Produtos'!A:V,23,0),"-")</f>
        <v>-</v>
      </c>
      <c r="P58" s="149"/>
      <c r="Q58" s="151">
        <f t="shared" si="14"/>
        <v>1786.5885969706828</v>
      </c>
      <c r="R58" s="152">
        <f t="shared" si="15"/>
        <v>27</v>
      </c>
      <c r="S58" s="153">
        <f t="shared" si="16"/>
        <v>-1</v>
      </c>
      <c r="T58" s="151">
        <f t="shared" si="17"/>
        <v>1105.0453683635183</v>
      </c>
      <c r="U58" s="151">
        <f t="shared" si="18"/>
        <v>125.06120178794781</v>
      </c>
      <c r="V58" s="151">
        <f t="shared" si="19"/>
        <v>89.329429848534147</v>
      </c>
      <c r="W58" s="151">
        <f t="shared" si="20"/>
        <v>467.15259697068268</v>
      </c>
      <c r="X58" s="299"/>
      <c r="Y58" s="299"/>
      <c r="AB58" s="148">
        <v>6.1619999999999999E-3</v>
      </c>
      <c r="AC58" s="154">
        <f t="shared" si="21"/>
        <v>27</v>
      </c>
    </row>
    <row r="59" spans="1:29">
      <c r="A59" t="s">
        <v>364</v>
      </c>
      <c r="B59" s="145" t="str">
        <f>IFERROR(VLOOKUP(A59,'Tabela de Produtos'!A:B,2,0),"Preencher Cód. Produto")</f>
        <v>BRAZIMIL BORRACHA LIQUIDA MULTIFUNÇÃO 3,6KG CINZA MEDIO</v>
      </c>
      <c r="C59" s="146">
        <v>2</v>
      </c>
      <c r="D59" s="147">
        <f>IFERROR(VLOOKUP(A59,'Tabela de Produtos'!A:U,21,0),"Preencher Cód. Produto")</f>
        <v>85.9</v>
      </c>
      <c r="E59" s="147">
        <v>85.9</v>
      </c>
      <c r="F59" s="147">
        <f>IFERROR(VLOOKUP(A59,'Tabela de Produtos'!A:T,20,0),"Preencher Cód. Produto")</f>
        <v>44.433999999999997</v>
      </c>
      <c r="G59" s="148">
        <f>SUM('Formação de Preço de Venda'!$BA$12:$BD$12)</f>
        <v>7.0000000000000007E-2</v>
      </c>
      <c r="H59" s="148">
        <f>'Formação de Preço de Venda'!$BE$12</f>
        <v>0.05</v>
      </c>
      <c r="I59" s="298"/>
      <c r="J59" s="149"/>
      <c r="K59" s="150">
        <f t="shared" si="12"/>
        <v>41.47</v>
      </c>
      <c r="L59" s="120">
        <f t="shared" si="22"/>
        <v>0.48280000000000001</v>
      </c>
      <c r="M59" s="120">
        <f t="shared" si="13"/>
        <v>5.5197845883180497E-4</v>
      </c>
      <c r="N59" s="120">
        <f t="shared" si="23"/>
        <v>2.9999999999999997E-4</v>
      </c>
      <c r="O59" s="120" t="str">
        <f>IFERROR(VLOOKUP(A59,'Tabela de Produtos'!A:V,23,0),"-")</f>
        <v>-</v>
      </c>
      <c r="P59" s="149"/>
      <c r="Q59" s="151">
        <f t="shared" si="14"/>
        <v>161.44325739509958</v>
      </c>
      <c r="R59" s="152">
        <f t="shared" si="15"/>
        <v>2</v>
      </c>
      <c r="S59" s="153">
        <f t="shared" si="16"/>
        <v>0</v>
      </c>
      <c r="T59" s="151">
        <f t="shared" si="17"/>
        <v>69.494809112588044</v>
      </c>
      <c r="U59" s="151">
        <f t="shared" si="18"/>
        <v>11.301028017656972</v>
      </c>
      <c r="V59" s="151">
        <f t="shared" si="19"/>
        <v>8.0721628697549797</v>
      </c>
      <c r="W59" s="151">
        <f t="shared" si="20"/>
        <v>72.575257395099584</v>
      </c>
      <c r="X59" s="299"/>
      <c r="Y59" s="299"/>
      <c r="AB59" s="148">
        <v>4.2499999999999998E-4</v>
      </c>
      <c r="AC59" s="154">
        <f t="shared" si="21"/>
        <v>2</v>
      </c>
    </row>
    <row r="60" spans="1:29">
      <c r="A60" t="s">
        <v>178</v>
      </c>
      <c r="B60" s="145" t="str">
        <f>IFERROR(VLOOKUP(A60,'Tabela de Produtos'!A:B,2,0),"Preencher Cód. Produto")</f>
        <v>BRAZIMIL LÁTEX STANDARD INT/EXT SEMIBRILHO 3L PEROLA</v>
      </c>
      <c r="C60" s="146">
        <v>38</v>
      </c>
      <c r="D60" s="147">
        <f>IFERROR(VLOOKUP(A60,'Tabela de Produtos'!A:U,21,0),"Preencher Cód. Produto")</f>
        <v>46.9</v>
      </c>
      <c r="E60" s="147">
        <v>46.9</v>
      </c>
      <c r="F60" s="147">
        <f>IFERROR(VLOOKUP(A60,'Tabela de Produtos'!A:T,20,0),"Preencher Cód. Produto")</f>
        <v>35.498000000000005</v>
      </c>
      <c r="G60" s="148">
        <f>SUM('Formação de Preço de Venda'!$BA$12:$BD$12)</f>
        <v>7.0000000000000007E-2</v>
      </c>
      <c r="H60" s="148">
        <f>'Formação de Preço de Venda'!$BE$12</f>
        <v>0.05</v>
      </c>
      <c r="I60" s="298"/>
      <c r="J60" s="149"/>
      <c r="K60" s="150">
        <f t="shared" si="12"/>
        <v>11.4</v>
      </c>
      <c r="L60" s="120">
        <f t="shared" si="22"/>
        <v>0.24310000000000001</v>
      </c>
      <c r="M60" s="120">
        <f t="shared" si="13"/>
        <v>5.7260536049478618E-3</v>
      </c>
      <c r="N60" s="120">
        <f t="shared" si="23"/>
        <v>1.4E-3</v>
      </c>
      <c r="O60" s="120" t="str">
        <f>IFERROR(VLOOKUP(A60,'Tabela de Produtos'!A:V,23,0),"-")</f>
        <v>-</v>
      </c>
      <c r="P60" s="149"/>
      <c r="Q60" s="151">
        <f t="shared" si="14"/>
        <v>1674.7623593105145</v>
      </c>
      <c r="R60" s="152">
        <f t="shared" si="15"/>
        <v>36</v>
      </c>
      <c r="S60" s="153">
        <f t="shared" si="16"/>
        <v>-2</v>
      </c>
      <c r="T60" s="151">
        <f t="shared" si="17"/>
        <v>1076.9565168827382</v>
      </c>
      <c r="U60" s="151">
        <f t="shared" si="18"/>
        <v>117.23336515173602</v>
      </c>
      <c r="V60" s="151">
        <f t="shared" si="19"/>
        <v>83.738117965525731</v>
      </c>
      <c r="W60" s="151">
        <f t="shared" si="20"/>
        <v>396.83435931051451</v>
      </c>
      <c r="X60" s="299"/>
      <c r="Y60" s="299"/>
      <c r="AB60" s="148">
        <v>5.7369999999999999E-3</v>
      </c>
      <c r="AC60" s="154">
        <f t="shared" si="21"/>
        <v>36</v>
      </c>
    </row>
    <row r="61" spans="1:29">
      <c r="A61" t="s">
        <v>127</v>
      </c>
      <c r="B61" s="145" t="str">
        <f>IFERROR(VLOOKUP(A61,'Tabela de Produtos'!A:B,2,0),"Preencher Cód. Produto")</f>
        <v>BRAZIMIL LÁTEX ECONÔMICO INT FOSCO 15L AMARELO CANARIO</v>
      </c>
      <c r="C61" s="146">
        <v>23</v>
      </c>
      <c r="D61" s="147">
        <f>IFERROR(VLOOKUP(A61,'Tabela de Produtos'!A:U,21,0),"Preencher Cód. Produto")</f>
        <v>69.900000000000006</v>
      </c>
      <c r="E61" s="147">
        <v>69.900000000000006</v>
      </c>
      <c r="F61" s="147">
        <f>IFERROR(VLOOKUP(A61,'Tabela de Produtos'!A:T,20,0),"Preencher Cód. Produto")</f>
        <v>47.297999999999995</v>
      </c>
      <c r="G61" s="148">
        <f>SUM('Formação de Preço de Venda'!$BA$12:$BD$12)</f>
        <v>7.0000000000000007E-2</v>
      </c>
      <c r="H61" s="148">
        <f>'Formação de Preço de Venda'!$BE$12</f>
        <v>0.05</v>
      </c>
      <c r="I61" s="298"/>
      <c r="J61" s="149"/>
      <c r="K61" s="150">
        <f t="shared" si="12"/>
        <v>22.6</v>
      </c>
      <c r="L61" s="120">
        <f t="shared" si="22"/>
        <v>0.32329999999999998</v>
      </c>
      <c r="M61" s="120">
        <f t="shared" si="13"/>
        <v>5.1654002809306916E-3</v>
      </c>
      <c r="N61" s="120">
        <f t="shared" si="23"/>
        <v>1.6999999999999999E-3</v>
      </c>
      <c r="O61" s="120" t="str">
        <f>IFERROR(VLOOKUP(A61,'Tabela de Produtos'!A:V,23,0),"-")</f>
        <v>-</v>
      </c>
      <c r="P61" s="149"/>
      <c r="Q61" s="151">
        <f t="shared" si="14"/>
        <v>1510.781867951697</v>
      </c>
      <c r="R61" s="152">
        <f t="shared" si="15"/>
        <v>22</v>
      </c>
      <c r="S61" s="153">
        <f t="shared" si="16"/>
        <v>-1</v>
      </c>
      <c r="T61" s="151">
        <f t="shared" si="17"/>
        <v>859.26217584579626</v>
      </c>
      <c r="U61" s="151">
        <f t="shared" si="18"/>
        <v>105.7547307566188</v>
      </c>
      <c r="V61" s="151">
        <f t="shared" si="19"/>
        <v>75.53909339758485</v>
      </c>
      <c r="W61" s="151">
        <f t="shared" si="20"/>
        <v>470.22586795169713</v>
      </c>
      <c r="X61" s="299"/>
      <c r="Y61" s="299"/>
      <c r="AB61" s="148">
        <v>5.2059999999999997E-3</v>
      </c>
      <c r="AC61" s="154">
        <f t="shared" si="21"/>
        <v>22</v>
      </c>
    </row>
    <row r="62" spans="1:29">
      <c r="A62" t="s">
        <v>102</v>
      </c>
      <c r="B62" s="145" t="str">
        <f>IFERROR(VLOOKUP(A62,'Tabela de Produtos'!A:B,2,0),"Preencher Cód. Produto")</f>
        <v>BRAZIMIL LÁTEX ECONÔMICO INT FOSCO 3L DAMASCO</v>
      </c>
      <c r="C62" s="146">
        <v>73</v>
      </c>
      <c r="D62" s="147">
        <f>IFERROR(VLOOKUP(A62,'Tabela de Produtos'!A:U,21,0),"Preencher Cód. Produto")</f>
        <v>17.989999999999998</v>
      </c>
      <c r="E62" s="147">
        <v>17.989999999999998</v>
      </c>
      <c r="F62" s="147">
        <f>IFERROR(VLOOKUP(A62,'Tabela de Produtos'!A:T,20,0),"Preencher Cód. Produto")</f>
        <v>12.5588</v>
      </c>
      <c r="G62" s="148">
        <f>SUM('Formação de Preço de Venda'!$BA$12:$BD$12)</f>
        <v>7.0000000000000007E-2</v>
      </c>
      <c r="H62" s="148">
        <f>'Formação de Preço de Venda'!$BE$12</f>
        <v>0.05</v>
      </c>
      <c r="I62" s="298"/>
      <c r="J62" s="149"/>
      <c r="K62" s="150">
        <f t="shared" si="12"/>
        <v>5.43</v>
      </c>
      <c r="L62" s="120">
        <f t="shared" si="22"/>
        <v>0.30180000000000001</v>
      </c>
      <c r="M62" s="120">
        <f t="shared" si="13"/>
        <v>4.2194222970316905E-3</v>
      </c>
      <c r="N62" s="120">
        <f t="shared" si="23"/>
        <v>1.2999999999999999E-3</v>
      </c>
      <c r="O62" s="120" t="str">
        <f>IFERROR(VLOOKUP(A62,'Tabela de Produtos'!A:V,23,0),"-")</f>
        <v>-</v>
      </c>
      <c r="P62" s="149"/>
      <c r="Q62" s="151">
        <f t="shared" si="14"/>
        <v>1234.1012027896529</v>
      </c>
      <c r="R62" s="152">
        <f t="shared" si="15"/>
        <v>69</v>
      </c>
      <c r="S62" s="153">
        <f t="shared" si="16"/>
        <v>-4</v>
      </c>
      <c r="T62" s="151">
        <f t="shared" si="17"/>
        <v>718.46505566524161</v>
      </c>
      <c r="U62" s="151">
        <f t="shared" si="18"/>
        <v>86.387084195275719</v>
      </c>
      <c r="V62" s="151">
        <f t="shared" si="19"/>
        <v>61.705060139482647</v>
      </c>
      <c r="W62" s="151">
        <f t="shared" si="20"/>
        <v>367.54400278965289</v>
      </c>
      <c r="X62" s="299"/>
      <c r="Y62" s="299"/>
      <c r="AB62" s="148">
        <v>4.2500000000000003E-3</v>
      </c>
      <c r="AC62" s="154">
        <f t="shared" si="21"/>
        <v>70</v>
      </c>
    </row>
    <row r="63" spans="1:29">
      <c r="A63" t="s">
        <v>170</v>
      </c>
      <c r="B63" s="145" t="str">
        <f>IFERROR(VLOOKUP(A63,'Tabela de Produtos'!A:B,2,0),"Preencher Cód. Produto")</f>
        <v>BRAZIMIL LÁTEX STANDARD INT/EXT SEMIBRILHO 3L AREIA</v>
      </c>
      <c r="C63" s="146">
        <v>28</v>
      </c>
      <c r="D63" s="147">
        <f>IFERROR(VLOOKUP(A63,'Tabela de Produtos'!A:U,21,0),"Preencher Cód. Produto")</f>
        <v>46.9</v>
      </c>
      <c r="E63" s="147">
        <v>46.9</v>
      </c>
      <c r="F63" s="147">
        <f>IFERROR(VLOOKUP(A63,'Tabela de Produtos'!A:T,20,0),"Preencher Cód. Produto")</f>
        <v>34.207999999999998</v>
      </c>
      <c r="G63" s="148">
        <f>SUM('Formação de Preço de Venda'!$BA$12:$BD$12)</f>
        <v>7.0000000000000007E-2</v>
      </c>
      <c r="H63" s="148">
        <f>'Formação de Preço de Venda'!$BE$12</f>
        <v>0.05</v>
      </c>
      <c r="I63" s="298"/>
      <c r="J63" s="149"/>
      <c r="K63" s="150">
        <f t="shared" si="12"/>
        <v>12.69</v>
      </c>
      <c r="L63" s="120">
        <f t="shared" si="22"/>
        <v>0.27060000000000001</v>
      </c>
      <c r="M63" s="120">
        <f t="shared" si="13"/>
        <v>4.2191973931194771E-3</v>
      </c>
      <c r="N63" s="120">
        <f t="shared" si="23"/>
        <v>1.1000000000000001E-3</v>
      </c>
      <c r="O63" s="120" t="str">
        <f>IFERROR(VLOOKUP(A63,'Tabela de Produtos'!A:V,23,0),"-")</f>
        <v>-</v>
      </c>
      <c r="P63" s="149"/>
      <c r="Q63" s="151">
        <f t="shared" si="14"/>
        <v>1234.0354226498528</v>
      </c>
      <c r="R63" s="152">
        <f t="shared" si="15"/>
        <v>27</v>
      </c>
      <c r="S63" s="153">
        <f t="shared" si="16"/>
        <v>-1</v>
      </c>
      <c r="T63" s="151">
        <f t="shared" si="17"/>
        <v>775.5317492820177</v>
      </c>
      <c r="U63" s="151">
        <f t="shared" si="18"/>
        <v>86.382479585489705</v>
      </c>
      <c r="V63" s="151">
        <f t="shared" si="19"/>
        <v>61.701771132492638</v>
      </c>
      <c r="W63" s="151">
        <f t="shared" si="20"/>
        <v>310.41942264985272</v>
      </c>
      <c r="X63" s="299"/>
      <c r="Y63" s="299"/>
      <c r="AB63" s="148">
        <v>4.143E-3</v>
      </c>
      <c r="AC63" s="154">
        <f t="shared" si="21"/>
        <v>26</v>
      </c>
    </row>
    <row r="64" spans="1:29">
      <c r="A64" t="s">
        <v>171</v>
      </c>
      <c r="B64" s="145" t="str">
        <f>IFERROR(VLOOKUP(A64,'Tabela de Produtos'!A:B,2,0),"Preencher Cód. Produto")</f>
        <v>BRAZIMIL LÁTEX STANDARD INT/EXT SEMIBRILHO 3L MARFIM</v>
      </c>
      <c r="C64" s="146">
        <v>29</v>
      </c>
      <c r="D64" s="147">
        <f>IFERROR(VLOOKUP(A64,'Tabela de Produtos'!A:U,21,0),"Preencher Cód. Produto")</f>
        <v>46.9</v>
      </c>
      <c r="E64" s="147">
        <v>46.9</v>
      </c>
      <c r="F64" s="147">
        <f>IFERROR(VLOOKUP(A64,'Tabela de Produtos'!A:T,20,0),"Preencher Cód. Produto")</f>
        <v>35.558</v>
      </c>
      <c r="G64" s="148">
        <f>SUM('Formação de Preço de Venda'!$BA$12:$BD$12)</f>
        <v>7.0000000000000007E-2</v>
      </c>
      <c r="H64" s="148">
        <f>'Formação de Preço de Venda'!$BE$12</f>
        <v>0.05</v>
      </c>
      <c r="I64" s="298"/>
      <c r="J64" s="149"/>
      <c r="K64" s="150">
        <f t="shared" si="12"/>
        <v>11.34</v>
      </c>
      <c r="L64" s="120">
        <f t="shared" si="22"/>
        <v>0.24179999999999999</v>
      </c>
      <c r="M64" s="120">
        <f t="shared" si="13"/>
        <v>4.3698830143023152E-3</v>
      </c>
      <c r="N64" s="120">
        <f t="shared" si="23"/>
        <v>1.1000000000000001E-3</v>
      </c>
      <c r="O64" s="120" t="str">
        <f>IFERROR(VLOOKUP(A64,'Tabela de Produtos'!A:V,23,0),"-")</f>
        <v>-</v>
      </c>
      <c r="P64" s="149"/>
      <c r="Q64" s="151">
        <f t="shared" si="14"/>
        <v>1278.1081163159188</v>
      </c>
      <c r="R64" s="152">
        <f t="shared" si="15"/>
        <v>28</v>
      </c>
      <c r="S64" s="153">
        <f t="shared" si="16"/>
        <v>-1</v>
      </c>
      <c r="T64" s="151">
        <f t="shared" si="17"/>
        <v>842.25102604208985</v>
      </c>
      <c r="U64" s="151">
        <f t="shared" si="18"/>
        <v>89.467568142114317</v>
      </c>
      <c r="V64" s="151">
        <f t="shared" si="19"/>
        <v>63.905405815795945</v>
      </c>
      <c r="W64" s="151">
        <f t="shared" si="20"/>
        <v>282.48411631591864</v>
      </c>
      <c r="X64" s="299"/>
      <c r="Y64" s="299"/>
      <c r="AB64" s="148">
        <v>4.3559999999999996E-3</v>
      </c>
      <c r="AC64" s="154">
        <f t="shared" si="21"/>
        <v>28</v>
      </c>
    </row>
    <row r="65" spans="1:29">
      <c r="A65" t="s">
        <v>181</v>
      </c>
      <c r="B65" s="145" t="str">
        <f>IFERROR(VLOOKUP(A65,'Tabela de Produtos'!A:B,2,0),"Preencher Cód. Produto")</f>
        <v>BRAZIMIL LÁTEX STANDARD INT/EXT SEMIBRILHO 3L VERMELHO GARANTIDO</v>
      </c>
      <c r="C65" s="146">
        <v>31</v>
      </c>
      <c r="D65" s="147">
        <f>IFERROR(VLOOKUP(A65,'Tabela de Produtos'!A:U,21,0),"Preencher Cód. Produto")</f>
        <v>46.9</v>
      </c>
      <c r="E65" s="147">
        <v>46.9</v>
      </c>
      <c r="F65" s="147">
        <f>IFERROR(VLOOKUP(A65,'Tabela de Produtos'!A:T,20,0),"Preencher Cód. Produto")</f>
        <v>37.027999999999999</v>
      </c>
      <c r="G65" s="148">
        <f>SUM('Formação de Preço de Venda'!$BA$12:$BD$12)</f>
        <v>7.0000000000000007E-2</v>
      </c>
      <c r="H65" s="148">
        <f>'Formação de Preço de Venda'!$BE$12</f>
        <v>0.05</v>
      </c>
      <c r="I65" s="298"/>
      <c r="J65" s="149"/>
      <c r="K65" s="150">
        <f t="shared" si="12"/>
        <v>9.8699999999999992</v>
      </c>
      <c r="L65" s="120">
        <f t="shared" si="22"/>
        <v>0.2104</v>
      </c>
      <c r="M65" s="120">
        <f t="shared" si="13"/>
        <v>4.6712542566679921E-3</v>
      </c>
      <c r="N65" s="120">
        <f t="shared" si="23"/>
        <v>1E-3</v>
      </c>
      <c r="O65" s="120" t="str">
        <f>IFERROR(VLOOKUP(A65,'Tabela de Produtos'!A:V,23,0),"-")</f>
        <v>-</v>
      </c>
      <c r="P65" s="149"/>
      <c r="Q65" s="151">
        <f t="shared" si="14"/>
        <v>1366.2535036480513</v>
      </c>
      <c r="R65" s="152">
        <f t="shared" si="15"/>
        <v>30</v>
      </c>
      <c r="S65" s="153">
        <f t="shared" si="16"/>
        <v>-1</v>
      </c>
      <c r="T65" s="151">
        <f t="shared" si="17"/>
        <v>946.88957956223373</v>
      </c>
      <c r="U65" s="151">
        <f t="shared" si="18"/>
        <v>95.637745255363598</v>
      </c>
      <c r="V65" s="151">
        <f t="shared" si="19"/>
        <v>68.312675182402572</v>
      </c>
      <c r="W65" s="151">
        <f t="shared" si="20"/>
        <v>255.41350364805135</v>
      </c>
      <c r="X65" s="299"/>
      <c r="Y65" s="299"/>
      <c r="AB65" s="148">
        <v>4.6750000000000003E-3</v>
      </c>
      <c r="AC65" s="154">
        <f t="shared" si="21"/>
        <v>30</v>
      </c>
    </row>
    <row r="66" spans="1:29">
      <c r="A66" t="s">
        <v>369</v>
      </c>
      <c r="B66" s="145" t="str">
        <f>IFERROR(VLOOKUP(A66,'Tabela de Produtos'!A:B,2,0),"Preencher Cód. Produto")</f>
        <v>BRAZIMIL BORRACHA LIQUIDA MULTIFUNÇÃO 14KG CINZA MEDIO</v>
      </c>
      <c r="C66" s="146">
        <v>3</v>
      </c>
      <c r="D66" s="147">
        <f>IFERROR(VLOOKUP(A66,'Tabela de Produtos'!A:U,21,0),"Preencher Cód. Produto")</f>
        <v>375.9</v>
      </c>
      <c r="E66" s="147">
        <v>375.9</v>
      </c>
      <c r="F66" s="147">
        <f>IFERROR(VLOOKUP(A66,'Tabela de Produtos'!A:T,20,0),"Preencher Cód. Produto")</f>
        <v>164.75799999999998</v>
      </c>
      <c r="G66" s="148">
        <f>SUM('Formação de Preço de Venda'!$BA$12:$BD$12)</f>
        <v>7.0000000000000007E-2</v>
      </c>
      <c r="H66" s="148">
        <f>'Formação de Preço de Venda'!$BE$12</f>
        <v>0.05</v>
      </c>
      <c r="I66" s="298"/>
      <c r="J66" s="149"/>
      <c r="K66" s="150">
        <f t="shared" si="12"/>
        <v>211.14</v>
      </c>
      <c r="L66" s="120">
        <f t="shared" si="22"/>
        <v>0.56169999999999998</v>
      </c>
      <c r="M66" s="120">
        <f t="shared" si="13"/>
        <v>3.6232020257545186E-3</v>
      </c>
      <c r="N66" s="120">
        <f t="shared" si="23"/>
        <v>2E-3</v>
      </c>
      <c r="O66" s="120" t="str">
        <f>IFERROR(VLOOKUP(A66,'Tabela de Produtos'!A:V,23,0),"-")</f>
        <v>-</v>
      </c>
      <c r="P66" s="149"/>
      <c r="Q66" s="151">
        <f t="shared" si="14"/>
        <v>1059.718052179591</v>
      </c>
      <c r="R66" s="152">
        <f t="shared" si="15"/>
        <v>3</v>
      </c>
      <c r="S66" s="153">
        <f t="shared" si="16"/>
        <v>0</v>
      </c>
      <c r="T66" s="151">
        <f t="shared" si="17"/>
        <v>367.10783373844902</v>
      </c>
      <c r="U66" s="151">
        <f t="shared" si="18"/>
        <v>74.180263652571384</v>
      </c>
      <c r="V66" s="151">
        <f t="shared" si="19"/>
        <v>52.985902608979558</v>
      </c>
      <c r="W66" s="151">
        <f t="shared" si="20"/>
        <v>565.44405217959104</v>
      </c>
      <c r="X66" s="299"/>
      <c r="Y66" s="299"/>
      <c r="AB66" s="148">
        <v>2.6029999999999998E-3</v>
      </c>
      <c r="AC66" s="154">
        <f t="shared" si="21"/>
        <v>3</v>
      </c>
    </row>
    <row r="67" spans="1:29">
      <c r="A67" t="s">
        <v>169</v>
      </c>
      <c r="B67" s="145" t="str">
        <f>IFERROR(VLOOKUP(A67,'Tabela de Produtos'!A:B,2,0),"Preencher Cód. Produto")</f>
        <v>BRAZIMIL LÁTEX STANDARD INT/EXT SEMIBRILHO 3L FLAMINGO</v>
      </c>
      <c r="C67" s="146">
        <v>31</v>
      </c>
      <c r="D67" s="147">
        <f>IFERROR(VLOOKUP(A67,'Tabela de Produtos'!A:U,21,0),"Preencher Cód. Produto")</f>
        <v>46.9</v>
      </c>
      <c r="E67" s="147">
        <v>46.9</v>
      </c>
      <c r="F67" s="147">
        <f>IFERROR(VLOOKUP(A67,'Tabela de Produtos'!A:T,20,0),"Preencher Cód. Produto")</f>
        <v>35.468000000000004</v>
      </c>
      <c r="G67" s="148">
        <f>SUM('Formação de Preço de Venda'!$BA$12:$BD$12)</f>
        <v>7.0000000000000007E-2</v>
      </c>
      <c r="H67" s="148">
        <f>'Formação de Preço de Venda'!$BE$12</f>
        <v>0.05</v>
      </c>
      <c r="I67" s="298"/>
      <c r="J67" s="149"/>
      <c r="K67" s="150">
        <f t="shared" si="12"/>
        <v>11.43</v>
      </c>
      <c r="L67" s="120">
        <f t="shared" si="22"/>
        <v>0.2437</v>
      </c>
      <c r="M67" s="120">
        <f t="shared" si="13"/>
        <v>4.6712542566679921E-3</v>
      </c>
      <c r="N67" s="120">
        <f t="shared" si="23"/>
        <v>1.1000000000000001E-3</v>
      </c>
      <c r="O67" s="120" t="str">
        <f>IFERROR(VLOOKUP(A67,'Tabela de Produtos'!A:V,23,0),"-")</f>
        <v>-</v>
      </c>
      <c r="P67" s="149"/>
      <c r="Q67" s="151">
        <f t="shared" si="14"/>
        <v>1366.2535036480513</v>
      </c>
      <c r="R67" s="152">
        <f t="shared" si="15"/>
        <v>30</v>
      </c>
      <c r="S67" s="153">
        <f t="shared" si="16"/>
        <v>-1</v>
      </c>
      <c r="T67" s="151">
        <f t="shared" si="17"/>
        <v>900.08957956223401</v>
      </c>
      <c r="U67" s="151">
        <f t="shared" si="18"/>
        <v>95.637745255363598</v>
      </c>
      <c r="V67" s="151">
        <f t="shared" si="19"/>
        <v>68.312675182402572</v>
      </c>
      <c r="W67" s="151">
        <f t="shared" si="20"/>
        <v>302.21350364805107</v>
      </c>
      <c r="X67" s="299"/>
      <c r="Y67" s="299"/>
      <c r="AB67" s="148">
        <v>4.568E-3</v>
      </c>
      <c r="AC67" s="154">
        <f t="shared" si="21"/>
        <v>29</v>
      </c>
    </row>
    <row r="68" spans="1:29">
      <c r="A68" t="s">
        <v>450</v>
      </c>
      <c r="B68" s="145" t="str">
        <f>IFERROR(VLOOKUP(A68,'Tabela de Produtos'!A:B,2,0),"Preencher Cód. Produto")</f>
        <v>BRAZIMIL ESMALTE SINTETICO BRILHANTE MADEIRAS E METAIS 3L CINZA</v>
      </c>
      <c r="C68" s="146">
        <v>23</v>
      </c>
      <c r="D68" s="147">
        <f>IFERROR(VLOOKUP(A68,'Tabela de Produtos'!A:U,21,0),"Preencher Cód. Produto")</f>
        <v>67.900000000000006</v>
      </c>
      <c r="E68" s="147">
        <v>67.900000000000006</v>
      </c>
      <c r="F68" s="147">
        <f>IFERROR(VLOOKUP(A68,'Tabela de Produtos'!A:T,20,0),"Preencher Cód. Produto")</f>
        <v>48.477999999999994</v>
      </c>
      <c r="G68" s="148">
        <f>SUM('Formação de Preço de Venda'!$BA$12:$BD$12)</f>
        <v>7.0000000000000007E-2</v>
      </c>
      <c r="H68" s="148">
        <f>'Formação de Preço de Venda'!$BE$12</f>
        <v>0.05</v>
      </c>
      <c r="I68" s="298"/>
      <c r="J68" s="149"/>
      <c r="K68" s="150">
        <f t="shared" si="12"/>
        <v>19.420000000000002</v>
      </c>
      <c r="L68" s="120">
        <f t="shared" si="22"/>
        <v>0.28599999999999998</v>
      </c>
      <c r="M68" s="120">
        <f t="shared" si="13"/>
        <v>5.0176062814763084E-3</v>
      </c>
      <c r="N68" s="120">
        <f t="shared" si="23"/>
        <v>1.4E-3</v>
      </c>
      <c r="O68" s="120" t="str">
        <f>IFERROR(VLOOKUP(A68,'Tabela de Produtos'!A:V,23,0),"-")</f>
        <v>-</v>
      </c>
      <c r="P68" s="149"/>
      <c r="Q68" s="151">
        <f t="shared" si="14"/>
        <v>1467.5549189402036</v>
      </c>
      <c r="R68" s="152">
        <f t="shared" si="15"/>
        <v>22</v>
      </c>
      <c r="S68" s="153">
        <f t="shared" si="16"/>
        <v>-1</v>
      </c>
      <c r="T68" s="151">
        <f t="shared" si="17"/>
        <v>890.40940972717533</v>
      </c>
      <c r="U68" s="151">
        <f t="shared" si="18"/>
        <v>102.72884432581426</v>
      </c>
      <c r="V68" s="151">
        <f t="shared" si="19"/>
        <v>73.377745947010183</v>
      </c>
      <c r="W68" s="151">
        <f t="shared" si="20"/>
        <v>401.03891894020381</v>
      </c>
      <c r="X68" s="299"/>
      <c r="Y68" s="299"/>
      <c r="AB68" s="148">
        <v>4.8869999999999999E-3</v>
      </c>
      <c r="AC68" s="154">
        <f t="shared" si="21"/>
        <v>22</v>
      </c>
    </row>
    <row r="69" spans="1:29">
      <c r="A69" t="s">
        <v>219</v>
      </c>
      <c r="B69" s="145" t="str">
        <f>IFERROR(VLOOKUP(A69,'Tabela de Produtos'!A:B,2,0),"Preencher Cód. Produto")</f>
        <v>BRAZIMIL LÁTEX STANDARD INT/EXT SEMIBRILHO 15L CINZA MEDIO</v>
      </c>
      <c r="C69" s="146">
        <v>8</v>
      </c>
      <c r="D69" s="147">
        <f>IFERROR(VLOOKUP(A69,'Tabela de Produtos'!A:U,21,0),"Preencher Cód. Produto")</f>
        <v>175.9</v>
      </c>
      <c r="E69" s="147">
        <v>175.9</v>
      </c>
      <c r="F69" s="147">
        <f>IFERROR(VLOOKUP(A69,'Tabela de Produtos'!A:T,20,0),"Preencher Cód. Produto")</f>
        <v>153.16799999999995</v>
      </c>
      <c r="G69" s="148">
        <f>SUM('Formação de Preço de Venda'!$BA$12:$BD$12)</f>
        <v>7.0000000000000007E-2</v>
      </c>
      <c r="H69" s="148">
        <f>'Formação de Preço de Venda'!$BE$12</f>
        <v>0.05</v>
      </c>
      <c r="I69" s="298"/>
      <c r="J69" s="149"/>
      <c r="K69" s="150">
        <f t="shared" si="12"/>
        <v>22.73</v>
      </c>
      <c r="L69" s="120">
        <f t="shared" si="22"/>
        <v>0.12920000000000001</v>
      </c>
      <c r="M69" s="120">
        <f t="shared" si="13"/>
        <v>4.5212112180914778E-3</v>
      </c>
      <c r="N69" s="120">
        <f t="shared" si="23"/>
        <v>5.9999999999999995E-4</v>
      </c>
      <c r="O69" s="120" t="str">
        <f>IFERROR(VLOOKUP(A69,'Tabela de Produtos'!A:V,23,0),"-")</f>
        <v>-</v>
      </c>
      <c r="P69" s="149"/>
      <c r="Q69" s="151">
        <f t="shared" si="14"/>
        <v>1322.368753238557</v>
      </c>
      <c r="R69" s="152">
        <f t="shared" si="15"/>
        <v>8</v>
      </c>
      <c r="S69" s="153">
        <f t="shared" si="16"/>
        <v>0</v>
      </c>
      <c r="T69" s="151">
        <f t="shared" si="17"/>
        <v>1066.6597496113727</v>
      </c>
      <c r="U69" s="151">
        <f t="shared" si="18"/>
        <v>92.565812726698994</v>
      </c>
      <c r="V69" s="151">
        <f t="shared" si="19"/>
        <v>66.118437661927857</v>
      </c>
      <c r="W69" s="151">
        <f t="shared" si="20"/>
        <v>97.024753238557452</v>
      </c>
      <c r="X69" s="299"/>
      <c r="Y69" s="299"/>
      <c r="AB69" s="148">
        <v>4.3030000000000004E-3</v>
      </c>
      <c r="AC69" s="154">
        <f t="shared" si="21"/>
        <v>8</v>
      </c>
    </row>
    <row r="70" spans="1:29">
      <c r="A70" t="s">
        <v>449</v>
      </c>
      <c r="B70" s="145" t="str">
        <f>IFERROR(VLOOKUP(A70,'Tabela de Produtos'!A:B,2,0),"Preencher Cód. Produto")</f>
        <v>BRAZIMIL ESMALTE SINTETICO BRILHANTE MADEIRAS E METAIS 3L PRETO</v>
      </c>
      <c r="C70" s="146">
        <v>22</v>
      </c>
      <c r="D70" s="147">
        <f>IFERROR(VLOOKUP(A70,'Tabela de Produtos'!A:U,21,0),"Preencher Cód. Produto")</f>
        <v>67.900000000000006</v>
      </c>
      <c r="E70" s="147">
        <v>67.900000000000006</v>
      </c>
      <c r="F70" s="147">
        <f>IFERROR(VLOOKUP(A70,'Tabela de Produtos'!A:T,20,0),"Preencher Cód. Produto")</f>
        <v>47.458000000000013</v>
      </c>
      <c r="G70" s="148">
        <f>SUM('Formação de Preço de Venda'!$BA$12:$BD$12)</f>
        <v>7.0000000000000007E-2</v>
      </c>
      <c r="H70" s="148">
        <f>'Formação de Preço de Venda'!$BE$12</f>
        <v>0.05</v>
      </c>
      <c r="I70" s="298"/>
      <c r="J70" s="149"/>
      <c r="K70" s="150">
        <f t="shared" si="12"/>
        <v>20.440000000000001</v>
      </c>
      <c r="L70" s="120">
        <f t="shared" si="22"/>
        <v>0.30099999999999999</v>
      </c>
      <c r="M70" s="120">
        <f t="shared" si="13"/>
        <v>4.7994494866295126E-3</v>
      </c>
      <c r="N70" s="120">
        <f t="shared" si="23"/>
        <v>1.4E-3</v>
      </c>
      <c r="O70" s="120" t="str">
        <f>IFERROR(VLOOKUP(A70,'Tabela de Produtos'!A:V,23,0),"-")</f>
        <v>-</v>
      </c>
      <c r="P70" s="149"/>
      <c r="Q70" s="151">
        <f t="shared" si="14"/>
        <v>1403.7481833341078</v>
      </c>
      <c r="R70" s="152">
        <f t="shared" si="15"/>
        <v>21</v>
      </c>
      <c r="S70" s="153">
        <f t="shared" si="16"/>
        <v>-1</v>
      </c>
      <c r="T70" s="151">
        <f t="shared" si="17"/>
        <v>828.16821799990737</v>
      </c>
      <c r="U70" s="151">
        <f t="shared" si="18"/>
        <v>98.262372833387559</v>
      </c>
      <c r="V70" s="151">
        <f t="shared" si="19"/>
        <v>70.187409166705393</v>
      </c>
      <c r="W70" s="151">
        <f t="shared" si="20"/>
        <v>407.13018333410753</v>
      </c>
      <c r="X70" s="299"/>
      <c r="Y70" s="299"/>
      <c r="AB70" s="148">
        <v>4.6750000000000003E-3</v>
      </c>
      <c r="AC70" s="154">
        <f t="shared" si="21"/>
        <v>21</v>
      </c>
    </row>
    <row r="71" spans="1:29">
      <c r="A71" t="s">
        <v>425</v>
      </c>
      <c r="B71" s="145" t="str">
        <f>IFERROR(VLOOKUP(A71,'Tabela de Produtos'!A:B,2,0),"Preencher Cód. Produto")</f>
        <v>BRAZIMIL ESMALTE SINTETICO BRILHANTE MADEIRAS E METAIS 0,75L PRETO</v>
      </c>
      <c r="C71" s="146">
        <v>53</v>
      </c>
      <c r="D71" s="147">
        <f>IFERROR(VLOOKUP(A71,'Tabela de Produtos'!A:U,21,0),"Preencher Cód. Produto")</f>
        <v>24.5</v>
      </c>
      <c r="E71" s="147">
        <v>24.5</v>
      </c>
      <c r="F71" s="147">
        <f>IFERROR(VLOOKUP(A71,'Tabela de Produtos'!A:T,20,0),"Preencher Cód. Produto")</f>
        <v>15.065000000000001</v>
      </c>
      <c r="G71" s="148">
        <f>SUM('Formação de Preço de Venda'!$BA$12:$BD$12)</f>
        <v>7.0000000000000007E-2</v>
      </c>
      <c r="H71" s="148">
        <f>'Formação de Preço de Venda'!$BE$12</f>
        <v>0.05</v>
      </c>
      <c r="I71" s="298"/>
      <c r="J71" s="149"/>
      <c r="K71" s="150">
        <f t="shared" si="12"/>
        <v>9.44</v>
      </c>
      <c r="L71" s="120">
        <f t="shared" si="22"/>
        <v>0.38529999999999998</v>
      </c>
      <c r="M71" s="120">
        <f t="shared" si="13"/>
        <v>4.1719675715547067E-3</v>
      </c>
      <c r="N71" s="120">
        <f t="shared" si="23"/>
        <v>1.6000000000000001E-3</v>
      </c>
      <c r="O71" s="120" t="str">
        <f>IFERROR(VLOOKUP(A71,'Tabela de Produtos'!A:V,23,0),"-")</f>
        <v>-</v>
      </c>
      <c r="P71" s="149"/>
      <c r="Q71" s="151">
        <f t="shared" si="14"/>
        <v>1220.2215932918321</v>
      </c>
      <c r="R71" s="152">
        <f t="shared" si="15"/>
        <v>50</v>
      </c>
      <c r="S71" s="153">
        <f t="shared" si="16"/>
        <v>-3</v>
      </c>
      <c r="T71" s="151">
        <f t="shared" si="17"/>
        <v>606.8234088049802</v>
      </c>
      <c r="U71" s="151">
        <f t="shared" si="18"/>
        <v>85.415511530428248</v>
      </c>
      <c r="V71" s="151">
        <f t="shared" si="19"/>
        <v>61.011079664591605</v>
      </c>
      <c r="W71" s="151">
        <f t="shared" si="20"/>
        <v>466.97159329183199</v>
      </c>
      <c r="X71" s="299"/>
      <c r="Y71" s="299"/>
      <c r="AB71" s="148">
        <v>4.143E-3</v>
      </c>
      <c r="AC71" s="154">
        <f t="shared" si="21"/>
        <v>50</v>
      </c>
    </row>
    <row r="72" spans="1:29">
      <c r="A72" t="s">
        <v>214</v>
      </c>
      <c r="B72" s="145" t="str">
        <f>IFERROR(VLOOKUP(A72,'Tabela de Produtos'!A:B,2,0),"Preencher Cód. Produto")</f>
        <v>BRAZIMIL LÁTEX STANDARD INT/EXT SEMIBRILHO 15L PEROLA</v>
      </c>
      <c r="C72" s="146">
        <v>7</v>
      </c>
      <c r="D72" s="147">
        <f>IFERROR(VLOOKUP(A72,'Tabela de Produtos'!A:U,21,0),"Preencher Cód. Produto")</f>
        <v>175.9</v>
      </c>
      <c r="E72" s="147">
        <v>175.9</v>
      </c>
      <c r="F72" s="147">
        <f>IFERROR(VLOOKUP(A72,'Tabela de Produtos'!A:T,20,0),"Preencher Cód. Produto")</f>
        <v>161.86799999999999</v>
      </c>
      <c r="G72" s="148">
        <f>SUM('Formação de Preço de Venda'!$BA$12:$BD$12)</f>
        <v>7.0000000000000007E-2</v>
      </c>
      <c r="H72" s="148">
        <f>'Formação de Preço de Venda'!$BE$12</f>
        <v>0.05</v>
      </c>
      <c r="I72" s="298"/>
      <c r="J72" s="149"/>
      <c r="K72" s="150">
        <f t="shared" si="12"/>
        <v>14.03</v>
      </c>
      <c r="L72" s="120">
        <f t="shared" si="22"/>
        <v>7.9799999999999996E-2</v>
      </c>
      <c r="M72" s="120">
        <f t="shared" si="13"/>
        <v>3.9560598158300429E-3</v>
      </c>
      <c r="N72" s="120">
        <f t="shared" si="23"/>
        <v>2.9999999999999997E-4</v>
      </c>
      <c r="O72" s="120" t="str">
        <f>IFERROR(VLOOKUP(A72,'Tabela de Produtos'!A:V,23,0),"-")</f>
        <v>-</v>
      </c>
      <c r="P72" s="149"/>
      <c r="Q72" s="151">
        <f t="shared" si="14"/>
        <v>1157.0726590837373</v>
      </c>
      <c r="R72" s="152">
        <f t="shared" si="15"/>
        <v>7</v>
      </c>
      <c r="S72" s="153">
        <f t="shared" si="16"/>
        <v>0</v>
      </c>
      <c r="T72" s="151">
        <f t="shared" si="17"/>
        <v>994.22728090995156</v>
      </c>
      <c r="U72" s="151">
        <f t="shared" si="18"/>
        <v>80.995086135861627</v>
      </c>
      <c r="V72" s="151">
        <f t="shared" si="19"/>
        <v>57.853632954186871</v>
      </c>
      <c r="W72" s="151">
        <f t="shared" si="20"/>
        <v>23.996659083737278</v>
      </c>
      <c r="X72" s="299"/>
      <c r="Y72" s="299"/>
      <c r="AB72" s="148">
        <v>3.9839999999999997E-3</v>
      </c>
      <c r="AC72" s="154">
        <f t="shared" si="21"/>
        <v>7</v>
      </c>
    </row>
    <row r="73" spans="1:29">
      <c r="A73" t="s">
        <v>207</v>
      </c>
      <c r="B73" s="145" t="str">
        <f>IFERROR(VLOOKUP(A73,'Tabela de Produtos'!A:B,2,0),"Preencher Cód. Produto")</f>
        <v>BRAZIMIL LÁTEX STANDARD INT/EXT SEMIBRILHO 15L MARFIM</v>
      </c>
      <c r="C73" s="146">
        <v>7</v>
      </c>
      <c r="D73" s="147">
        <f>IFERROR(VLOOKUP(A73,'Tabela de Produtos'!A:U,21,0),"Preencher Cód. Produto")</f>
        <v>175.9</v>
      </c>
      <c r="E73" s="147">
        <v>175.9</v>
      </c>
      <c r="F73" s="147">
        <f>IFERROR(VLOOKUP(A73,'Tabela de Produtos'!A:T,20,0),"Preencher Cód. Produto")</f>
        <v>162.16799999999995</v>
      </c>
      <c r="G73" s="148">
        <f>SUM('Formação de Preço de Venda'!$BA$12:$BD$12)</f>
        <v>7.0000000000000007E-2</v>
      </c>
      <c r="H73" s="148">
        <f>'Formação de Preço de Venda'!$BE$12</f>
        <v>0.05</v>
      </c>
      <c r="I73" s="298"/>
      <c r="J73" s="149"/>
      <c r="K73" s="150">
        <f t="shared" ref="K73:K104" si="24">IFERROR((ROUND(E73-F73,2)),0)</f>
        <v>13.73</v>
      </c>
      <c r="L73" s="120">
        <f t="shared" si="22"/>
        <v>7.8100000000000003E-2</v>
      </c>
      <c r="M73" s="120">
        <f t="shared" ref="M73:M104" si="25">IFERROR((C73*E73)/SUMPRODUCT($C$9:$C$118,$E$9:$E$118),0)</f>
        <v>3.9560598158300429E-3</v>
      </c>
      <c r="N73" s="120">
        <f t="shared" si="23"/>
        <v>2.9999999999999997E-4</v>
      </c>
      <c r="O73" s="120" t="str">
        <f>IFERROR(VLOOKUP(A73,'Tabela de Produtos'!A:V,23,0),"-")</f>
        <v>-</v>
      </c>
      <c r="P73" s="149"/>
      <c r="Q73" s="151">
        <f t="shared" ref="Q73:Q104" si="26">IFERROR($Q$120*M73,0)</f>
        <v>1157.0726590837373</v>
      </c>
      <c r="R73" s="152">
        <f t="shared" ref="R73:R104" si="27">ROUNDUP(IFERROR(Q73/E73,0),0)</f>
        <v>7</v>
      </c>
      <c r="S73" s="153">
        <f t="shared" ref="S73:S104" si="28">R73-C73</f>
        <v>0</v>
      </c>
      <c r="T73" s="151">
        <f t="shared" ref="T73:T104" si="29">IFERROR(R73*F73,0)-U73-V73</f>
        <v>996.32728090995124</v>
      </c>
      <c r="U73" s="151">
        <f t="shared" ref="U73:U104" si="30">Q73*G73</f>
        <v>80.995086135861627</v>
      </c>
      <c r="V73" s="151">
        <f t="shared" ref="V73:V104" si="31">Q73*H73</f>
        <v>57.853632954186871</v>
      </c>
      <c r="W73" s="151">
        <f t="shared" ref="W73:W104" si="32">Q73-T73-U73-V73</f>
        <v>21.896659083737596</v>
      </c>
      <c r="X73" s="299"/>
      <c r="Y73" s="299"/>
      <c r="AB73" s="148">
        <v>3.506E-3</v>
      </c>
      <c r="AC73" s="154">
        <f t="shared" ref="AC73:AC104" si="33">ROUNDUP((AB73*$C$5)/E73,0)</f>
        <v>6</v>
      </c>
    </row>
    <row r="74" spans="1:29">
      <c r="A74" t="s">
        <v>220</v>
      </c>
      <c r="B74" s="145" t="str">
        <f>IFERROR(VLOOKUP(A74,'Tabela de Produtos'!A:B,2,0),"Preencher Cód. Produto")</f>
        <v>BRAZIMIL LÁTEX STANDARD INT/EXT SEMIBRILHO 15L CINZA INTENSO</v>
      </c>
      <c r="C74" s="146">
        <v>7</v>
      </c>
      <c r="D74" s="147">
        <f>IFERROR(VLOOKUP(A74,'Tabela de Produtos'!A:U,21,0),"Preencher Cód. Produto")</f>
        <v>175.9</v>
      </c>
      <c r="E74" s="147">
        <v>175.9</v>
      </c>
      <c r="F74" s="147">
        <f>IFERROR(VLOOKUP(A74,'Tabela de Produtos'!A:T,20,0),"Preencher Cód. Produto")</f>
        <v>153.31799999999998</v>
      </c>
      <c r="G74" s="148">
        <f>SUM('Formação de Preço de Venda'!$BA$12:$BD$12)</f>
        <v>7.0000000000000007E-2</v>
      </c>
      <c r="H74" s="148">
        <f>'Formação de Preço de Venda'!$BE$12</f>
        <v>0.05</v>
      </c>
      <c r="I74" s="298"/>
      <c r="J74" s="149"/>
      <c r="K74" s="150">
        <f t="shared" si="24"/>
        <v>22.58</v>
      </c>
      <c r="L74" s="120">
        <f t="shared" si="22"/>
        <v>0.12839999999999999</v>
      </c>
      <c r="M74" s="120">
        <f t="shared" si="25"/>
        <v>3.9560598158300429E-3</v>
      </c>
      <c r="N74" s="120">
        <f t="shared" si="23"/>
        <v>5.0000000000000001E-4</v>
      </c>
      <c r="O74" s="120" t="str">
        <f>IFERROR(VLOOKUP(A74,'Tabela de Produtos'!A:V,23,0),"-")</f>
        <v>-</v>
      </c>
      <c r="P74" s="149"/>
      <c r="Q74" s="151">
        <f t="shared" si="26"/>
        <v>1157.0726590837373</v>
      </c>
      <c r="R74" s="152">
        <f t="shared" si="27"/>
        <v>7</v>
      </c>
      <c r="S74" s="153">
        <f t="shared" si="28"/>
        <v>0</v>
      </c>
      <c r="T74" s="151">
        <f t="shared" si="29"/>
        <v>934.37728090995142</v>
      </c>
      <c r="U74" s="151">
        <f t="shared" si="30"/>
        <v>80.995086135861627</v>
      </c>
      <c r="V74" s="151">
        <f t="shared" si="31"/>
        <v>57.853632954186871</v>
      </c>
      <c r="W74" s="151">
        <f t="shared" si="32"/>
        <v>83.846659083737393</v>
      </c>
      <c r="X74" s="299"/>
      <c r="Y74" s="299"/>
      <c r="AB74" s="148">
        <v>3.5590000000000001E-3</v>
      </c>
      <c r="AC74" s="154">
        <f t="shared" si="33"/>
        <v>6</v>
      </c>
    </row>
    <row r="75" spans="1:29">
      <c r="A75" t="s">
        <v>182</v>
      </c>
      <c r="B75" s="145" t="str">
        <f>IFERROR(VLOOKUP(A75,'Tabela de Produtos'!A:B,2,0),"Preencher Cód. Produto")</f>
        <v>BRAZIMIL LÁTEX STANDARD INT/EXT SEMIBRILHO 3L AZUL CAPRICHOSO</v>
      </c>
      <c r="C75" s="146">
        <v>21</v>
      </c>
      <c r="D75" s="147">
        <f>IFERROR(VLOOKUP(A75,'Tabela de Produtos'!A:U,21,0),"Preencher Cód. Produto")</f>
        <v>46.9</v>
      </c>
      <c r="E75" s="147">
        <v>46.9</v>
      </c>
      <c r="F75" s="147">
        <f>IFERROR(VLOOKUP(A75,'Tabela de Produtos'!A:T,20,0),"Preencher Cód. Produto")</f>
        <v>32.588000000000001</v>
      </c>
      <c r="G75" s="148">
        <f>SUM('Formação de Preço de Venda'!$BA$12:$BD$12)</f>
        <v>7.0000000000000007E-2</v>
      </c>
      <c r="H75" s="148">
        <f>'Formação de Preço de Venda'!$BE$12</f>
        <v>0.05</v>
      </c>
      <c r="I75" s="298"/>
      <c r="J75" s="149"/>
      <c r="K75" s="150">
        <f t="shared" si="24"/>
        <v>14.31</v>
      </c>
      <c r="L75" s="120">
        <f t="shared" si="22"/>
        <v>0.30509999999999998</v>
      </c>
      <c r="M75" s="120">
        <f t="shared" si="25"/>
        <v>3.1643980448396078E-3</v>
      </c>
      <c r="N75" s="120">
        <f t="shared" si="23"/>
        <v>1E-3</v>
      </c>
      <c r="O75" s="120" t="str">
        <f>IFERROR(VLOOKUP(A75,'Tabela de Produtos'!A:V,23,0),"-")</f>
        <v>-</v>
      </c>
      <c r="P75" s="149"/>
      <c r="Q75" s="151">
        <f t="shared" si="26"/>
        <v>925.52656698738963</v>
      </c>
      <c r="R75" s="152">
        <f t="shared" si="27"/>
        <v>20</v>
      </c>
      <c r="S75" s="153">
        <f t="shared" si="28"/>
        <v>-1</v>
      </c>
      <c r="T75" s="151">
        <f t="shared" si="29"/>
        <v>540.69681196151328</v>
      </c>
      <c r="U75" s="151">
        <f t="shared" si="30"/>
        <v>64.786859689117279</v>
      </c>
      <c r="V75" s="151">
        <f t="shared" si="31"/>
        <v>46.276328349369486</v>
      </c>
      <c r="W75" s="151">
        <f t="shared" si="32"/>
        <v>273.76656698738964</v>
      </c>
      <c r="X75" s="299"/>
      <c r="Y75" s="299"/>
      <c r="AB75" s="148">
        <v>3.1870000000000002E-3</v>
      </c>
      <c r="AC75" s="154">
        <f t="shared" si="33"/>
        <v>20</v>
      </c>
    </row>
    <row r="76" spans="1:29">
      <c r="A76" t="s">
        <v>172</v>
      </c>
      <c r="B76" s="145" t="str">
        <f>IFERROR(VLOOKUP(A76,'Tabela de Produtos'!A:B,2,0),"Preencher Cód. Produto")</f>
        <v>BRAZIMIL LÁTEX STANDARD INT/EXT SEMIBRILHO 3L ROSA PETALA</v>
      </c>
      <c r="C76" s="146">
        <v>22</v>
      </c>
      <c r="D76" s="147">
        <f>IFERROR(VLOOKUP(A76,'Tabela de Produtos'!A:U,21,0),"Preencher Cód. Produto")</f>
        <v>46.9</v>
      </c>
      <c r="E76" s="147">
        <v>46.9</v>
      </c>
      <c r="F76" s="147">
        <f>IFERROR(VLOOKUP(A76,'Tabela de Produtos'!A:T,20,0),"Preencher Cód. Produto")</f>
        <v>33.997999999999998</v>
      </c>
      <c r="G76" s="148">
        <f>SUM('Formação de Preço de Venda'!$BA$12:$BD$12)</f>
        <v>7.0000000000000007E-2</v>
      </c>
      <c r="H76" s="148">
        <f>'Formação de Preço de Venda'!$BE$12</f>
        <v>0.05</v>
      </c>
      <c r="I76" s="298"/>
      <c r="J76" s="149"/>
      <c r="K76" s="150">
        <f t="shared" si="24"/>
        <v>12.9</v>
      </c>
      <c r="L76" s="120">
        <f t="shared" si="22"/>
        <v>0.27510000000000001</v>
      </c>
      <c r="M76" s="120">
        <f t="shared" si="25"/>
        <v>3.3150836660224463E-3</v>
      </c>
      <c r="N76" s="120">
        <f t="shared" si="23"/>
        <v>8.9999999999999998E-4</v>
      </c>
      <c r="O76" s="120" t="str">
        <f>IFERROR(VLOOKUP(A76,'Tabela de Produtos'!A:V,23,0),"-")</f>
        <v>-</v>
      </c>
      <c r="P76" s="149"/>
      <c r="Q76" s="151">
        <f t="shared" si="26"/>
        <v>969.59926065345576</v>
      </c>
      <c r="R76" s="152">
        <f t="shared" si="27"/>
        <v>21</v>
      </c>
      <c r="S76" s="153">
        <f t="shared" si="28"/>
        <v>-1</v>
      </c>
      <c r="T76" s="151">
        <f t="shared" si="29"/>
        <v>597.60608872158525</v>
      </c>
      <c r="U76" s="151">
        <f t="shared" si="30"/>
        <v>67.871948245741905</v>
      </c>
      <c r="V76" s="151">
        <f t="shared" si="31"/>
        <v>48.479963032672792</v>
      </c>
      <c r="W76" s="151">
        <f t="shared" si="32"/>
        <v>255.64126065345579</v>
      </c>
      <c r="X76" s="299"/>
      <c r="Y76" s="299"/>
      <c r="AB76" s="148">
        <v>3.2929999999999999E-3</v>
      </c>
      <c r="AC76" s="154">
        <f t="shared" si="33"/>
        <v>21</v>
      </c>
    </row>
    <row r="77" spans="1:29">
      <c r="A77" t="s">
        <v>176</v>
      </c>
      <c r="B77" s="145" t="str">
        <f>IFERROR(VLOOKUP(A77,'Tabela de Produtos'!A:B,2,0),"Preencher Cód. Produto")</f>
        <v>BRAZIMIL LÁTEX STANDARD INT/EXT SEMIBRILHO 3L AZUL CARIBE</v>
      </c>
      <c r="C77" s="146">
        <v>14</v>
      </c>
      <c r="D77" s="147">
        <f>IFERROR(VLOOKUP(A77,'Tabela de Produtos'!A:U,21,0),"Preencher Cód. Produto")</f>
        <v>46.9</v>
      </c>
      <c r="E77" s="147">
        <v>46.9</v>
      </c>
      <c r="F77" s="147">
        <f>IFERROR(VLOOKUP(A77,'Tabela de Produtos'!A:T,20,0),"Preencher Cód. Produto")</f>
        <v>34.268000000000001</v>
      </c>
      <c r="G77" s="148">
        <f>SUM('Formação de Preço de Venda'!$BA$12:$BD$12)</f>
        <v>7.0000000000000007E-2</v>
      </c>
      <c r="H77" s="148">
        <f>'Formação de Preço de Venda'!$BE$12</f>
        <v>0.05</v>
      </c>
      <c r="I77" s="298"/>
      <c r="J77" s="149"/>
      <c r="K77" s="150">
        <f t="shared" si="24"/>
        <v>12.63</v>
      </c>
      <c r="L77" s="120">
        <f t="shared" si="22"/>
        <v>0.26929999999999998</v>
      </c>
      <c r="M77" s="120">
        <f t="shared" si="25"/>
        <v>2.1095986965597386E-3</v>
      </c>
      <c r="N77" s="120">
        <f t="shared" si="23"/>
        <v>5.9999999999999995E-4</v>
      </c>
      <c r="O77" s="120" t="str">
        <f>IFERROR(VLOOKUP(A77,'Tabela de Produtos'!A:V,23,0),"-")</f>
        <v>-</v>
      </c>
      <c r="P77" s="149"/>
      <c r="Q77" s="151">
        <f t="shared" si="26"/>
        <v>617.01771132492638</v>
      </c>
      <c r="R77" s="152">
        <f t="shared" si="27"/>
        <v>14</v>
      </c>
      <c r="S77" s="153">
        <f t="shared" si="28"/>
        <v>0</v>
      </c>
      <c r="T77" s="151">
        <f t="shared" si="29"/>
        <v>405.70987464100881</v>
      </c>
      <c r="U77" s="151">
        <f t="shared" si="30"/>
        <v>43.191239792744852</v>
      </c>
      <c r="V77" s="151">
        <f t="shared" si="31"/>
        <v>30.850885566246319</v>
      </c>
      <c r="W77" s="151">
        <f t="shared" si="32"/>
        <v>137.2657113249264</v>
      </c>
      <c r="X77" s="299"/>
      <c r="Y77" s="299"/>
      <c r="AB77" s="148">
        <v>2.1250000000000002E-3</v>
      </c>
      <c r="AC77" s="154">
        <f t="shared" si="33"/>
        <v>14</v>
      </c>
    </row>
    <row r="78" spans="1:29">
      <c r="A78" t="s">
        <v>349</v>
      </c>
      <c r="B78" s="145" t="str">
        <f>IFERROR(VLOOKUP(A78,'Tabela de Produtos'!A:B,2,0),"Preencher Cód. Produto")</f>
        <v>BRAZIMIL TINTA PISO PREMIUM  INT/EXT FOSCO 15L CINZA INTENSO</v>
      </c>
      <c r="C78" s="146">
        <v>7</v>
      </c>
      <c r="D78" s="147">
        <f>IFERROR(VLOOKUP(A78,'Tabela de Produtos'!A:U,21,0),"Preencher Cód. Produto")</f>
        <v>149.9</v>
      </c>
      <c r="E78" s="147">
        <v>149.9</v>
      </c>
      <c r="F78" s="147">
        <f>IFERROR(VLOOKUP(A78,'Tabela de Produtos'!A:T,20,0),"Preencher Cód. Produto")</f>
        <v>17.988000000000003</v>
      </c>
      <c r="G78" s="148">
        <f>SUM('Formação de Preço de Venda'!$BA$12:$BD$12)</f>
        <v>7.0000000000000007E-2</v>
      </c>
      <c r="H78" s="148">
        <f>'Formação de Preço de Venda'!$BE$12</f>
        <v>0.05</v>
      </c>
      <c r="I78" s="298"/>
      <c r="J78" s="149"/>
      <c r="K78" s="150">
        <f t="shared" si="24"/>
        <v>131.91</v>
      </c>
      <c r="L78" s="120">
        <f t="shared" ref="L78:L109" si="34">IFERROR(ROUND(K78/E78,4),0)</f>
        <v>0.88</v>
      </c>
      <c r="M78" s="120">
        <f t="shared" si="25"/>
        <v>3.3713096440757444E-3</v>
      </c>
      <c r="N78" s="120">
        <f t="shared" ref="N78:N109" si="35">ROUND(L78*M78,4)</f>
        <v>3.0000000000000001E-3</v>
      </c>
      <c r="O78" s="120" t="str">
        <f>IFERROR(VLOOKUP(A78,'Tabela de Produtos'!A:V,23,0),"-")</f>
        <v>-</v>
      </c>
      <c r="P78" s="149"/>
      <c r="Q78" s="151">
        <f t="shared" si="26"/>
        <v>986.04429560348058</v>
      </c>
      <c r="R78" s="152">
        <f t="shared" si="27"/>
        <v>7</v>
      </c>
      <c r="S78" s="153">
        <f t="shared" si="28"/>
        <v>0</v>
      </c>
      <c r="T78" s="151">
        <f t="shared" si="29"/>
        <v>7.5906845275823471</v>
      </c>
      <c r="U78" s="151">
        <f t="shared" si="30"/>
        <v>69.023100692243645</v>
      </c>
      <c r="V78" s="151">
        <f t="shared" si="31"/>
        <v>49.302214780174033</v>
      </c>
      <c r="W78" s="151">
        <f t="shared" si="32"/>
        <v>860.12829560348052</v>
      </c>
      <c r="X78" s="299"/>
      <c r="Y78" s="299"/>
      <c r="AB78" s="148">
        <v>3.1340000000000001E-3</v>
      </c>
      <c r="AC78" s="154">
        <f t="shared" si="33"/>
        <v>7</v>
      </c>
    </row>
    <row r="79" spans="1:29">
      <c r="A79" t="s">
        <v>175</v>
      </c>
      <c r="B79" s="145" t="str">
        <f>IFERROR(VLOOKUP(A79,'Tabela de Produtos'!A:B,2,0),"Preencher Cód. Produto")</f>
        <v>BRAZIMIL LÁTEX STANDARD INT/EXT SEMIBRILHO 3L LARANJA</v>
      </c>
      <c r="C79" s="146">
        <v>13</v>
      </c>
      <c r="D79" s="147">
        <f>IFERROR(VLOOKUP(A79,'Tabela de Produtos'!A:U,21,0),"Preencher Cód. Produto")</f>
        <v>46.9</v>
      </c>
      <c r="E79" s="147">
        <v>46.9</v>
      </c>
      <c r="F79" s="147">
        <f>IFERROR(VLOOKUP(A79,'Tabela de Produtos'!A:T,20,0),"Preencher Cód. Produto")</f>
        <v>33.277999999999999</v>
      </c>
      <c r="G79" s="148">
        <f>SUM('Formação de Preço de Venda'!$BA$12:$BD$12)</f>
        <v>7.0000000000000007E-2</v>
      </c>
      <c r="H79" s="148">
        <f>'Formação de Preço de Venda'!$BE$12</f>
        <v>0.05</v>
      </c>
      <c r="I79" s="298"/>
      <c r="J79" s="149"/>
      <c r="K79" s="150">
        <f t="shared" si="24"/>
        <v>13.62</v>
      </c>
      <c r="L79" s="120">
        <f t="shared" si="34"/>
        <v>0.29039999999999999</v>
      </c>
      <c r="M79" s="120">
        <f t="shared" si="25"/>
        <v>1.9589130753769001E-3</v>
      </c>
      <c r="N79" s="120">
        <f t="shared" si="35"/>
        <v>5.9999999999999995E-4</v>
      </c>
      <c r="O79" s="120" t="str">
        <f>IFERROR(VLOOKUP(A79,'Tabela de Produtos'!A:V,23,0),"-")</f>
        <v>-</v>
      </c>
      <c r="P79" s="149"/>
      <c r="Q79" s="151">
        <f t="shared" si="26"/>
        <v>572.94501765886025</v>
      </c>
      <c r="R79" s="152">
        <f t="shared" si="27"/>
        <v>13</v>
      </c>
      <c r="S79" s="153">
        <f t="shared" si="28"/>
        <v>0</v>
      </c>
      <c r="T79" s="151">
        <f t="shared" si="29"/>
        <v>363.86059788093672</v>
      </c>
      <c r="U79" s="151">
        <f t="shared" si="30"/>
        <v>40.106151236120219</v>
      </c>
      <c r="V79" s="151">
        <f t="shared" si="31"/>
        <v>28.647250882943013</v>
      </c>
      <c r="W79" s="151">
        <f t="shared" si="32"/>
        <v>140.3310176588603</v>
      </c>
      <c r="X79" s="299"/>
      <c r="Y79" s="299"/>
      <c r="AB79" s="148">
        <v>1.9120000000000001E-3</v>
      </c>
      <c r="AC79" s="154">
        <f t="shared" si="33"/>
        <v>12</v>
      </c>
    </row>
    <row r="80" spans="1:29">
      <c r="A80" t="s">
        <v>423</v>
      </c>
      <c r="B80" s="145" t="str">
        <f>IFERROR(VLOOKUP(A80,'Tabela de Produtos'!A:B,2,0),"Preencher Cód. Produto")</f>
        <v>BRAZIMIL ESMALTE SINTETICO BRILHANTE MADEIRAS E METAIS 0,75L VERMELHO FERRARI</v>
      </c>
      <c r="C80" s="146">
        <v>37</v>
      </c>
      <c r="D80" s="147">
        <f>IFERROR(VLOOKUP(A80,'Tabela de Produtos'!A:U,21,0),"Preencher Cód. Produto")</f>
        <v>24.5</v>
      </c>
      <c r="E80" s="147">
        <v>24.5</v>
      </c>
      <c r="F80" s="147">
        <f>IFERROR(VLOOKUP(A80,'Tabela de Produtos'!A:T,20,0),"Preencher Cód. Produto")</f>
        <v>16.602499999999999</v>
      </c>
      <c r="G80" s="148">
        <f>SUM('Formação de Preço de Venda'!$BA$12:$BD$12)</f>
        <v>7.0000000000000007E-2</v>
      </c>
      <c r="H80" s="148">
        <f>'Formação de Preço de Venda'!$BE$12</f>
        <v>0.05</v>
      </c>
      <c r="I80" s="298"/>
      <c r="J80" s="149"/>
      <c r="K80" s="150">
        <f t="shared" si="24"/>
        <v>7.9</v>
      </c>
      <c r="L80" s="120">
        <f t="shared" si="34"/>
        <v>0.32240000000000002</v>
      </c>
      <c r="M80" s="120">
        <f t="shared" si="25"/>
        <v>2.9125056631608332E-3</v>
      </c>
      <c r="N80" s="120">
        <f t="shared" si="35"/>
        <v>8.9999999999999998E-4</v>
      </c>
      <c r="O80" s="120" t="str">
        <f>IFERROR(VLOOKUP(A80,'Tabela de Produtos'!A:V,23,0),"-")</f>
        <v>-</v>
      </c>
      <c r="P80" s="149"/>
      <c r="Q80" s="151">
        <f t="shared" si="26"/>
        <v>851.85281041127905</v>
      </c>
      <c r="R80" s="152">
        <f t="shared" si="27"/>
        <v>35</v>
      </c>
      <c r="S80" s="153">
        <f t="shared" si="28"/>
        <v>-2</v>
      </c>
      <c r="T80" s="151">
        <f t="shared" si="29"/>
        <v>478.86516275064645</v>
      </c>
      <c r="U80" s="151">
        <f t="shared" si="30"/>
        <v>59.62969672878954</v>
      </c>
      <c r="V80" s="151">
        <f t="shared" si="31"/>
        <v>42.592640520563954</v>
      </c>
      <c r="W80" s="151">
        <f t="shared" si="32"/>
        <v>270.76531041127907</v>
      </c>
      <c r="X80" s="299"/>
      <c r="Y80" s="299"/>
      <c r="AB80" s="148">
        <v>2.869E-3</v>
      </c>
      <c r="AC80" s="154">
        <f t="shared" si="33"/>
        <v>35</v>
      </c>
    </row>
    <row r="81" spans="1:29">
      <c r="A81" t="s">
        <v>174</v>
      </c>
      <c r="B81" s="145" t="str">
        <f>IFERROR(VLOOKUP(A81,'Tabela de Produtos'!A:B,2,0),"Preencher Cód. Produto")</f>
        <v>BRAZIMIL LÁTEX STANDARD INT/EXT SEMIBRILHO 3L VERDE FOLHA</v>
      </c>
      <c r="C81" s="146">
        <v>19</v>
      </c>
      <c r="D81" s="147">
        <f>IFERROR(VLOOKUP(A81,'Tabela de Produtos'!A:U,21,0),"Preencher Cód. Produto")</f>
        <v>46.9</v>
      </c>
      <c r="E81" s="147">
        <v>46.9</v>
      </c>
      <c r="F81" s="147">
        <f>IFERROR(VLOOKUP(A81,'Tabela de Produtos'!A:T,20,0),"Preencher Cód. Produto")</f>
        <v>33.787999999999997</v>
      </c>
      <c r="G81" s="148">
        <f>SUM('Formação de Preço de Venda'!$BA$12:$BD$12)</f>
        <v>7.0000000000000007E-2</v>
      </c>
      <c r="H81" s="148">
        <f>'Formação de Preço de Venda'!$BE$12</f>
        <v>0.05</v>
      </c>
      <c r="I81" s="298"/>
      <c r="J81" s="149"/>
      <c r="K81" s="150">
        <f t="shared" si="24"/>
        <v>13.11</v>
      </c>
      <c r="L81" s="120">
        <f t="shared" si="34"/>
        <v>0.27950000000000003</v>
      </c>
      <c r="M81" s="120">
        <f t="shared" si="25"/>
        <v>2.8630268024739309E-3</v>
      </c>
      <c r="N81" s="120">
        <f t="shared" si="35"/>
        <v>8.0000000000000004E-4</v>
      </c>
      <c r="O81" s="120" t="str">
        <f>IFERROR(VLOOKUP(A81,'Tabela de Produtos'!A:V,23,0),"-")</f>
        <v>-</v>
      </c>
      <c r="P81" s="149"/>
      <c r="Q81" s="151">
        <f t="shared" si="26"/>
        <v>837.38117965525726</v>
      </c>
      <c r="R81" s="152">
        <f t="shared" si="27"/>
        <v>18</v>
      </c>
      <c r="S81" s="153">
        <f t="shared" si="28"/>
        <v>-1</v>
      </c>
      <c r="T81" s="151">
        <f t="shared" si="29"/>
        <v>507.69825844136909</v>
      </c>
      <c r="U81" s="151">
        <f t="shared" si="30"/>
        <v>58.616682575868012</v>
      </c>
      <c r="V81" s="151">
        <f t="shared" si="31"/>
        <v>41.869058982762866</v>
      </c>
      <c r="W81" s="151">
        <f t="shared" si="32"/>
        <v>229.19717965525729</v>
      </c>
      <c r="X81" s="299"/>
      <c r="Y81" s="299"/>
      <c r="AB81" s="148">
        <v>2.7620000000000001E-3</v>
      </c>
      <c r="AC81" s="154">
        <f t="shared" si="33"/>
        <v>18</v>
      </c>
    </row>
    <row r="82" spans="1:29">
      <c r="A82" t="s">
        <v>210</v>
      </c>
      <c r="B82" s="145" t="str">
        <f>IFERROR(VLOOKUP(A82,'Tabela de Produtos'!A:B,2,0),"Preencher Cód. Produto")</f>
        <v>BRAZIMIL LÁTEX STANDARD INT/EXT SEMIBRILHO 15L VERDE FOLHA</v>
      </c>
      <c r="C82" s="146">
        <v>4</v>
      </c>
      <c r="D82" s="147">
        <f>IFERROR(VLOOKUP(A82,'Tabela de Produtos'!A:U,21,0),"Preencher Cód. Produto")</f>
        <v>175.9</v>
      </c>
      <c r="E82" s="147">
        <v>175.9</v>
      </c>
      <c r="F82" s="147">
        <f>IFERROR(VLOOKUP(A82,'Tabela de Produtos'!A:T,20,0),"Preencher Cód. Produto")</f>
        <v>153.31799999999998</v>
      </c>
      <c r="G82" s="148">
        <f>SUM('Formação de Preço de Venda'!$BA$12:$BD$12)</f>
        <v>7.0000000000000007E-2</v>
      </c>
      <c r="H82" s="148">
        <f>'Formação de Preço de Venda'!$BE$12</f>
        <v>0.05</v>
      </c>
      <c r="I82" s="298"/>
      <c r="J82" s="149"/>
      <c r="K82" s="150">
        <f t="shared" si="24"/>
        <v>22.58</v>
      </c>
      <c r="L82" s="120">
        <f t="shared" si="34"/>
        <v>0.12839999999999999</v>
      </c>
      <c r="M82" s="120">
        <f t="shared" si="25"/>
        <v>2.2606056090457389E-3</v>
      </c>
      <c r="N82" s="120">
        <f t="shared" si="35"/>
        <v>2.9999999999999997E-4</v>
      </c>
      <c r="O82" s="120" t="str">
        <f>IFERROR(VLOOKUP(A82,'Tabela de Produtos'!A:V,23,0),"-")</f>
        <v>-</v>
      </c>
      <c r="P82" s="149"/>
      <c r="Q82" s="151">
        <f t="shared" si="26"/>
        <v>661.18437661927851</v>
      </c>
      <c r="R82" s="152">
        <f t="shared" si="27"/>
        <v>4</v>
      </c>
      <c r="S82" s="153">
        <f t="shared" si="28"/>
        <v>0</v>
      </c>
      <c r="T82" s="151">
        <f t="shared" si="29"/>
        <v>533.9298748056865</v>
      </c>
      <c r="U82" s="151">
        <f t="shared" si="30"/>
        <v>46.282906363349497</v>
      </c>
      <c r="V82" s="151">
        <f t="shared" si="31"/>
        <v>33.059218830963928</v>
      </c>
      <c r="W82" s="151">
        <f t="shared" si="32"/>
        <v>47.912376619278589</v>
      </c>
      <c r="X82" s="299"/>
      <c r="Y82" s="299"/>
      <c r="AB82" s="148">
        <v>2.019E-3</v>
      </c>
      <c r="AC82" s="154">
        <f t="shared" si="33"/>
        <v>4</v>
      </c>
    </row>
    <row r="83" spans="1:29">
      <c r="A83" t="s">
        <v>366</v>
      </c>
      <c r="B83" s="145" t="str">
        <f>IFERROR(VLOOKUP(A83,'Tabela de Produtos'!A:B,2,0),"Preencher Cód. Produto")</f>
        <v>BRAZIMIL BORRACHA LIQUIDA MULTIFUNÇÃO 3,6KG CERAMICA</v>
      </c>
      <c r="C83" s="146">
        <v>4</v>
      </c>
      <c r="D83" s="147">
        <f>IFERROR(VLOOKUP(A83,'Tabela de Produtos'!A:U,21,0),"Preencher Cód. Produto")</f>
        <v>85.9</v>
      </c>
      <c r="E83" s="147">
        <v>85.9</v>
      </c>
      <c r="F83" s="147">
        <f>IFERROR(VLOOKUP(A83,'Tabela de Produtos'!A:T,20,0),"Preencher Cód. Produto")</f>
        <v>45.945999999999998</v>
      </c>
      <c r="G83" s="148">
        <f>SUM('Formação de Preço de Venda'!$BA$12:$BD$12)</f>
        <v>7.0000000000000007E-2</v>
      </c>
      <c r="H83" s="148">
        <f>'Formação de Preço de Venda'!$BE$12</f>
        <v>0.05</v>
      </c>
      <c r="I83" s="298"/>
      <c r="J83" s="149"/>
      <c r="K83" s="150">
        <f t="shared" si="24"/>
        <v>39.950000000000003</v>
      </c>
      <c r="L83" s="120">
        <f t="shared" si="34"/>
        <v>0.46510000000000001</v>
      </c>
      <c r="M83" s="120">
        <f t="shared" si="25"/>
        <v>1.1039569176636099E-3</v>
      </c>
      <c r="N83" s="120">
        <f t="shared" si="35"/>
        <v>5.0000000000000001E-4</v>
      </c>
      <c r="O83" s="120" t="str">
        <f>IFERROR(VLOOKUP(A83,'Tabela de Produtos'!A:V,23,0),"-")</f>
        <v>-</v>
      </c>
      <c r="P83" s="149"/>
      <c r="Q83" s="151">
        <f t="shared" si="26"/>
        <v>322.88651479019916</v>
      </c>
      <c r="R83" s="152">
        <f t="shared" si="27"/>
        <v>4</v>
      </c>
      <c r="S83" s="153">
        <f t="shared" si="28"/>
        <v>0</v>
      </c>
      <c r="T83" s="151">
        <f t="shared" si="29"/>
        <v>145.03761822517609</v>
      </c>
      <c r="U83" s="151">
        <f t="shared" si="30"/>
        <v>22.602056035313943</v>
      </c>
      <c r="V83" s="151">
        <f t="shared" si="31"/>
        <v>16.144325739509959</v>
      </c>
      <c r="W83" s="151">
        <f t="shared" si="32"/>
        <v>139.10251479019917</v>
      </c>
      <c r="X83" s="299"/>
      <c r="Y83" s="299"/>
      <c r="AB83" s="148">
        <v>8.4999999999999995E-4</v>
      </c>
      <c r="AC83" s="154">
        <f t="shared" si="33"/>
        <v>3</v>
      </c>
    </row>
    <row r="84" spans="1:29">
      <c r="A84" t="s">
        <v>447</v>
      </c>
      <c r="B84" s="145" t="str">
        <f>IFERROR(VLOOKUP(A84,'Tabela de Produtos'!A:B,2,0),"Preencher Cód. Produto")</f>
        <v>BRAZIMIL ESMALTE SINTETICO BRILHANTE MADEIRAS E METAIS 3L VERMELHO FERRARI</v>
      </c>
      <c r="C84" s="146">
        <v>11</v>
      </c>
      <c r="D84" s="147">
        <f>IFERROR(VLOOKUP(A84,'Tabela de Produtos'!A:U,21,0),"Preencher Cód. Produto")</f>
        <v>67.900000000000006</v>
      </c>
      <c r="E84" s="147">
        <v>67.900000000000006</v>
      </c>
      <c r="F84" s="147">
        <f>IFERROR(VLOOKUP(A84,'Tabela de Produtos'!A:T,20,0),"Preencher Cód. Produto")</f>
        <v>53.607999999999997</v>
      </c>
      <c r="G84" s="148">
        <f>SUM('Formação de Preço de Venda'!$BA$12:$BD$12)</f>
        <v>7.0000000000000007E-2</v>
      </c>
      <c r="H84" s="148">
        <f>'Formação de Preço de Venda'!$BE$12</f>
        <v>0.05</v>
      </c>
      <c r="I84" s="298"/>
      <c r="J84" s="149"/>
      <c r="K84" s="150">
        <f t="shared" si="24"/>
        <v>14.29</v>
      </c>
      <c r="L84" s="120">
        <f t="shared" si="34"/>
        <v>0.21049999999999999</v>
      </c>
      <c r="M84" s="120">
        <f t="shared" si="25"/>
        <v>2.3997247433147563E-3</v>
      </c>
      <c r="N84" s="120">
        <f t="shared" si="35"/>
        <v>5.0000000000000001E-4</v>
      </c>
      <c r="O84" s="120" t="str">
        <f>IFERROR(VLOOKUP(A84,'Tabela de Produtos'!A:V,23,0),"-")</f>
        <v>-</v>
      </c>
      <c r="P84" s="149"/>
      <c r="Q84" s="151">
        <f t="shared" si="26"/>
        <v>701.8740916670539</v>
      </c>
      <c r="R84" s="152">
        <f t="shared" si="27"/>
        <v>11</v>
      </c>
      <c r="S84" s="153">
        <f t="shared" si="28"/>
        <v>0</v>
      </c>
      <c r="T84" s="151">
        <f t="shared" si="29"/>
        <v>505.46310899995348</v>
      </c>
      <c r="U84" s="151">
        <f t="shared" si="30"/>
        <v>49.13118641669378</v>
      </c>
      <c r="V84" s="151">
        <f t="shared" si="31"/>
        <v>35.093704583352697</v>
      </c>
      <c r="W84" s="151">
        <f t="shared" si="32"/>
        <v>112.18609166705397</v>
      </c>
      <c r="X84" s="299"/>
      <c r="Y84" s="299"/>
      <c r="AB84" s="148">
        <v>2.3370000000000001E-3</v>
      </c>
      <c r="AC84" s="154">
        <f t="shared" si="33"/>
        <v>11</v>
      </c>
    </row>
    <row r="85" spans="1:29">
      <c r="A85" t="s">
        <v>346</v>
      </c>
      <c r="B85" s="145" t="str">
        <f>IFERROR(VLOOKUP(A85,'Tabela de Produtos'!A:B,2,0),"Preencher Cód. Produto")</f>
        <v>BRAZIMIL TINTA PISO PREMIUM  INT/EXT FOSCO 15L CONCRETO</v>
      </c>
      <c r="C85" s="146">
        <v>5</v>
      </c>
      <c r="D85" s="147">
        <f>IFERROR(VLOOKUP(A85,'Tabela de Produtos'!A:U,21,0),"Preencher Cód. Produto")</f>
        <v>149.9</v>
      </c>
      <c r="E85" s="147">
        <v>149.9</v>
      </c>
      <c r="F85" s="147">
        <f>IFERROR(VLOOKUP(A85,'Tabela de Produtos'!A:T,20,0),"Preencher Cód. Produto")</f>
        <v>17.988000000000003</v>
      </c>
      <c r="G85" s="148">
        <f>SUM('Formação de Preço de Venda'!$BA$12:$BD$12)</f>
        <v>7.0000000000000007E-2</v>
      </c>
      <c r="H85" s="148">
        <f>'Formação de Preço de Venda'!$BE$12</f>
        <v>0.05</v>
      </c>
      <c r="I85" s="298"/>
      <c r="J85" s="149"/>
      <c r="K85" s="150">
        <f t="shared" si="24"/>
        <v>131.91</v>
      </c>
      <c r="L85" s="120">
        <f t="shared" si="34"/>
        <v>0.88</v>
      </c>
      <c r="M85" s="120">
        <f t="shared" si="25"/>
        <v>2.4080783171969602E-3</v>
      </c>
      <c r="N85" s="120">
        <f t="shared" si="35"/>
        <v>2.0999999999999999E-3</v>
      </c>
      <c r="O85" s="120" t="str">
        <f>IFERROR(VLOOKUP(A85,'Tabela de Produtos'!A:V,23,0),"-")</f>
        <v>-</v>
      </c>
      <c r="P85" s="149"/>
      <c r="Q85" s="151">
        <f t="shared" si="26"/>
        <v>704.31735400248613</v>
      </c>
      <c r="R85" s="152">
        <f t="shared" si="27"/>
        <v>5</v>
      </c>
      <c r="S85" s="153">
        <f t="shared" si="28"/>
        <v>0</v>
      </c>
      <c r="T85" s="151">
        <f t="shared" si="29"/>
        <v>5.4219175197016725</v>
      </c>
      <c r="U85" s="151">
        <f t="shared" si="30"/>
        <v>49.302214780174033</v>
      </c>
      <c r="V85" s="151">
        <f t="shared" si="31"/>
        <v>35.215867700124306</v>
      </c>
      <c r="W85" s="151">
        <f t="shared" si="32"/>
        <v>614.37735400248607</v>
      </c>
      <c r="X85" s="299"/>
      <c r="Y85" s="299"/>
      <c r="AB85" s="148">
        <v>2.2309999999999999E-3</v>
      </c>
      <c r="AC85" s="154">
        <f t="shared" si="33"/>
        <v>5</v>
      </c>
    </row>
    <row r="86" spans="1:29">
      <c r="A86" t="s">
        <v>455</v>
      </c>
      <c r="B86" s="145" t="str">
        <f>IFERROR(VLOOKUP(A86,'Tabela de Produtos'!A:B,2,0),"Preencher Cód. Produto")</f>
        <v>BRAZIMIL ESMALTE SINTETICO BRILHANTE MADEIRAS E METAIS 3L VERDE FOLHA</v>
      </c>
      <c r="C86" s="146">
        <v>10</v>
      </c>
      <c r="D86" s="147">
        <f>IFERROR(VLOOKUP(A86,'Tabela de Produtos'!A:U,21,0),"Preencher Cód. Produto")</f>
        <v>67.900000000000006</v>
      </c>
      <c r="E86" s="147">
        <v>67.900000000000006</v>
      </c>
      <c r="F86" s="147">
        <f>IFERROR(VLOOKUP(A86,'Tabela de Produtos'!A:T,20,0),"Preencher Cód. Produto")</f>
        <v>49.528000000000006</v>
      </c>
      <c r="G86" s="148">
        <f>SUM('Formação de Preço de Venda'!$BA$12:$BD$12)</f>
        <v>7.0000000000000007E-2</v>
      </c>
      <c r="H86" s="148">
        <f>'Formação de Preço de Venda'!$BE$12</f>
        <v>0.05</v>
      </c>
      <c r="I86" s="298"/>
      <c r="J86" s="149"/>
      <c r="K86" s="150">
        <f t="shared" si="24"/>
        <v>18.37</v>
      </c>
      <c r="L86" s="120">
        <f t="shared" si="34"/>
        <v>0.27050000000000002</v>
      </c>
      <c r="M86" s="120">
        <f t="shared" si="25"/>
        <v>2.1815679484679601E-3</v>
      </c>
      <c r="N86" s="120">
        <f t="shared" si="35"/>
        <v>5.9999999999999995E-4</v>
      </c>
      <c r="O86" s="120" t="str">
        <f>IFERROR(VLOOKUP(A86,'Tabela de Produtos'!A:V,23,0),"-")</f>
        <v>-</v>
      </c>
      <c r="P86" s="149"/>
      <c r="Q86" s="151">
        <f t="shared" si="26"/>
        <v>638.0673560609581</v>
      </c>
      <c r="R86" s="152">
        <f t="shared" si="27"/>
        <v>10</v>
      </c>
      <c r="S86" s="153">
        <f t="shared" si="28"/>
        <v>0</v>
      </c>
      <c r="T86" s="151">
        <f t="shared" si="29"/>
        <v>418.71191727268513</v>
      </c>
      <c r="U86" s="151">
        <f t="shared" si="30"/>
        <v>44.664714924267074</v>
      </c>
      <c r="V86" s="151">
        <f t="shared" si="31"/>
        <v>31.903367803047907</v>
      </c>
      <c r="W86" s="151">
        <f t="shared" si="32"/>
        <v>142.78735606095802</v>
      </c>
      <c r="X86" s="299"/>
      <c r="Y86" s="299"/>
      <c r="AB86" s="148">
        <v>2.1250000000000002E-3</v>
      </c>
      <c r="AC86" s="154">
        <f t="shared" si="33"/>
        <v>10</v>
      </c>
    </row>
    <row r="87" spans="1:29">
      <c r="A87" t="s">
        <v>456</v>
      </c>
      <c r="B87" s="145" t="str">
        <f>IFERROR(VLOOKUP(A87,'Tabela de Produtos'!A:B,2,0),"Preencher Cód. Produto")</f>
        <v>BRAZIMIL ESMALTE SINTETICO BRILHANTE MADEIRAS E METAIS 3L AMARELO OURO</v>
      </c>
      <c r="C87" s="146">
        <v>10</v>
      </c>
      <c r="D87" s="147">
        <f>IFERROR(VLOOKUP(A87,'Tabela de Produtos'!A:U,21,0),"Preencher Cód. Produto")</f>
        <v>67.900000000000006</v>
      </c>
      <c r="E87" s="147">
        <v>67.900000000000006</v>
      </c>
      <c r="F87" s="147">
        <f>IFERROR(VLOOKUP(A87,'Tabela de Produtos'!A:T,20,0),"Preencher Cód. Produto")</f>
        <v>49.678000000000011</v>
      </c>
      <c r="G87" s="148">
        <f>SUM('Formação de Preço de Venda'!$BA$12:$BD$12)</f>
        <v>7.0000000000000007E-2</v>
      </c>
      <c r="H87" s="148">
        <f>'Formação de Preço de Venda'!$BE$12</f>
        <v>0.05</v>
      </c>
      <c r="I87" s="298"/>
      <c r="J87" s="149"/>
      <c r="K87" s="150">
        <f t="shared" si="24"/>
        <v>18.22</v>
      </c>
      <c r="L87" s="120">
        <f t="shared" si="34"/>
        <v>0.26829999999999998</v>
      </c>
      <c r="M87" s="120">
        <f t="shared" si="25"/>
        <v>2.1815679484679601E-3</v>
      </c>
      <c r="N87" s="120">
        <f t="shared" si="35"/>
        <v>5.9999999999999995E-4</v>
      </c>
      <c r="O87" s="120" t="str">
        <f>IFERROR(VLOOKUP(A87,'Tabela de Produtos'!A:V,23,0),"-")</f>
        <v>-</v>
      </c>
      <c r="P87" s="149"/>
      <c r="Q87" s="151">
        <f t="shared" si="26"/>
        <v>638.0673560609581</v>
      </c>
      <c r="R87" s="152">
        <f t="shared" si="27"/>
        <v>10</v>
      </c>
      <c r="S87" s="153">
        <f t="shared" si="28"/>
        <v>0</v>
      </c>
      <c r="T87" s="151">
        <f t="shared" si="29"/>
        <v>420.21191727268513</v>
      </c>
      <c r="U87" s="151">
        <f t="shared" si="30"/>
        <v>44.664714924267074</v>
      </c>
      <c r="V87" s="151">
        <f t="shared" si="31"/>
        <v>31.903367803047907</v>
      </c>
      <c r="W87" s="151">
        <f t="shared" si="32"/>
        <v>141.28735606095802</v>
      </c>
      <c r="X87" s="299"/>
      <c r="Y87" s="299"/>
      <c r="AB87" s="148">
        <v>2.1250000000000002E-3</v>
      </c>
      <c r="AC87" s="154">
        <f t="shared" si="33"/>
        <v>10</v>
      </c>
    </row>
    <row r="88" spans="1:29">
      <c r="A88" t="s">
        <v>205</v>
      </c>
      <c r="B88" s="145" t="str">
        <f>IFERROR(VLOOKUP(A88,'Tabela de Produtos'!A:B,2,0),"Preencher Cód. Produto")</f>
        <v>BRAZIMIL LÁTEX STANDARD INT/EXT SEMIBRILHO 15L FLAMINGO</v>
      </c>
      <c r="C88" s="146">
        <v>4</v>
      </c>
      <c r="D88" s="147">
        <f>IFERROR(VLOOKUP(A88,'Tabela de Produtos'!A:U,21,0),"Preencher Cód. Produto")</f>
        <v>175.9</v>
      </c>
      <c r="E88" s="147">
        <v>175.9</v>
      </c>
      <c r="F88" s="147">
        <f>IFERROR(VLOOKUP(A88,'Tabela de Produtos'!A:T,20,0),"Preencher Cód. Produto")</f>
        <v>161.71800000000002</v>
      </c>
      <c r="G88" s="148">
        <f>SUM('Formação de Preço de Venda'!$BA$12:$BD$12)</f>
        <v>7.0000000000000007E-2</v>
      </c>
      <c r="H88" s="148">
        <f>'Formação de Preço de Venda'!$BE$12</f>
        <v>0.05</v>
      </c>
      <c r="I88" s="298"/>
      <c r="J88" s="149"/>
      <c r="K88" s="150">
        <f t="shared" si="24"/>
        <v>14.18</v>
      </c>
      <c r="L88" s="120">
        <f t="shared" si="34"/>
        <v>8.0600000000000005E-2</v>
      </c>
      <c r="M88" s="120">
        <f t="shared" si="25"/>
        <v>2.2606056090457389E-3</v>
      </c>
      <c r="N88" s="120">
        <f t="shared" si="35"/>
        <v>2.0000000000000001E-4</v>
      </c>
      <c r="O88" s="120" t="str">
        <f>IFERROR(VLOOKUP(A88,'Tabela de Produtos'!A:V,23,0),"-")</f>
        <v>-</v>
      </c>
      <c r="P88" s="149"/>
      <c r="Q88" s="151">
        <f t="shared" si="26"/>
        <v>661.18437661927851</v>
      </c>
      <c r="R88" s="152">
        <f t="shared" si="27"/>
        <v>4</v>
      </c>
      <c r="S88" s="153">
        <f t="shared" si="28"/>
        <v>0</v>
      </c>
      <c r="T88" s="151">
        <f t="shared" si="29"/>
        <v>567.52987480568663</v>
      </c>
      <c r="U88" s="151">
        <f t="shared" si="30"/>
        <v>46.282906363349497</v>
      </c>
      <c r="V88" s="151">
        <f t="shared" si="31"/>
        <v>33.059218830963928</v>
      </c>
      <c r="W88" s="151">
        <f t="shared" si="32"/>
        <v>14.312376619278453</v>
      </c>
      <c r="X88" s="299"/>
      <c r="Y88" s="299"/>
      <c r="AB88" s="148">
        <v>1.859E-3</v>
      </c>
      <c r="AC88" s="154">
        <f t="shared" si="33"/>
        <v>4</v>
      </c>
    </row>
    <row r="89" spans="1:29">
      <c r="A89" t="s">
        <v>345</v>
      </c>
      <c r="B89" s="145" t="str">
        <f>IFERROR(VLOOKUP(A89,'Tabela de Produtos'!A:B,2,0),"Preencher Cód. Produto")</f>
        <v>BRAZIMIL TINTA PISO PREMIUM  INT/EXT FOSCO 15L BRANCO NEVE</v>
      </c>
      <c r="C89" s="146">
        <v>3</v>
      </c>
      <c r="D89" s="147">
        <f>IFERROR(VLOOKUP(A89,'Tabela de Produtos'!A:U,21,0),"Preencher Cód. Produto")</f>
        <v>149.9</v>
      </c>
      <c r="E89" s="147">
        <v>149.9</v>
      </c>
      <c r="F89" s="147">
        <f>IFERROR(VLOOKUP(A89,'Tabela de Produtos'!A:T,20,0),"Preencher Cód. Produto")</f>
        <v>135.798</v>
      </c>
      <c r="G89" s="148">
        <f>SUM('Formação de Preço de Venda'!$BA$12:$BD$12)</f>
        <v>7.0000000000000007E-2</v>
      </c>
      <c r="H89" s="148">
        <f>'Formação de Preço de Venda'!$BE$12</f>
        <v>0.05</v>
      </c>
      <c r="I89" s="298"/>
      <c r="J89" s="149"/>
      <c r="K89" s="150">
        <f t="shared" si="24"/>
        <v>14.1</v>
      </c>
      <c r="L89" s="120">
        <f t="shared" si="34"/>
        <v>9.4100000000000003E-2</v>
      </c>
      <c r="M89" s="120">
        <f t="shared" si="25"/>
        <v>1.4448469903181763E-3</v>
      </c>
      <c r="N89" s="120">
        <f t="shared" si="35"/>
        <v>1E-4</v>
      </c>
      <c r="O89" s="120" t="str">
        <f>IFERROR(VLOOKUP(A89,'Tabela de Produtos'!A:V,23,0),"-")</f>
        <v>-</v>
      </c>
      <c r="P89" s="149"/>
      <c r="Q89" s="151">
        <f t="shared" si="26"/>
        <v>422.59041240149168</v>
      </c>
      <c r="R89" s="152">
        <f t="shared" si="27"/>
        <v>3</v>
      </c>
      <c r="S89" s="153">
        <f t="shared" si="28"/>
        <v>0</v>
      </c>
      <c r="T89" s="151">
        <f t="shared" si="29"/>
        <v>356.683150511821</v>
      </c>
      <c r="U89" s="151">
        <f t="shared" si="30"/>
        <v>29.581328868104421</v>
      </c>
      <c r="V89" s="151">
        <f t="shared" si="31"/>
        <v>21.129520620074587</v>
      </c>
      <c r="W89" s="151">
        <f t="shared" si="32"/>
        <v>15.196412401491671</v>
      </c>
      <c r="X89" s="299"/>
      <c r="Y89" s="299"/>
      <c r="AB89" s="148">
        <v>1.3810000000000001E-3</v>
      </c>
      <c r="AC89" s="154">
        <f t="shared" si="33"/>
        <v>3</v>
      </c>
    </row>
    <row r="90" spans="1:29">
      <c r="A90" t="s">
        <v>217</v>
      </c>
      <c r="B90" s="145" t="str">
        <f>IFERROR(VLOOKUP(A90,'Tabela de Produtos'!A:B,2,0),"Preencher Cód. Produto")</f>
        <v>BRAZIMIL LÁTEX STANDARD INT/EXT SEMIBRILHO 15L VERMELHO GARANTIDO</v>
      </c>
      <c r="C90" s="146">
        <v>4</v>
      </c>
      <c r="D90" s="147">
        <f>IFERROR(VLOOKUP(A90,'Tabela de Produtos'!A:U,21,0),"Preencher Cód. Produto")</f>
        <v>175.9</v>
      </c>
      <c r="E90" s="147">
        <v>175.9</v>
      </c>
      <c r="F90" s="147">
        <f>IFERROR(VLOOKUP(A90,'Tabela de Produtos'!A:T,20,0),"Preencher Cód. Produto")</f>
        <v>169.51799999999997</v>
      </c>
      <c r="G90" s="148">
        <f>SUM('Formação de Preço de Venda'!$BA$12:$BD$12)</f>
        <v>7.0000000000000007E-2</v>
      </c>
      <c r="H90" s="148">
        <f>'Formação de Preço de Venda'!$BE$12</f>
        <v>0.05</v>
      </c>
      <c r="I90" s="298"/>
      <c r="J90" s="149"/>
      <c r="K90" s="150">
        <f t="shared" si="24"/>
        <v>6.38</v>
      </c>
      <c r="L90" s="120">
        <f t="shared" si="34"/>
        <v>3.6299999999999999E-2</v>
      </c>
      <c r="M90" s="120">
        <f t="shared" si="25"/>
        <v>2.2606056090457389E-3</v>
      </c>
      <c r="N90" s="120">
        <f t="shared" si="35"/>
        <v>1E-4</v>
      </c>
      <c r="O90" s="120" t="str">
        <f>IFERROR(VLOOKUP(A90,'Tabela de Produtos'!A:V,23,0),"-")</f>
        <v>-</v>
      </c>
      <c r="P90" s="149"/>
      <c r="Q90" s="151">
        <f t="shared" si="26"/>
        <v>661.18437661927851</v>
      </c>
      <c r="R90" s="152">
        <f t="shared" si="27"/>
        <v>4</v>
      </c>
      <c r="S90" s="153">
        <f t="shared" si="28"/>
        <v>0</v>
      </c>
      <c r="T90" s="151">
        <f t="shared" si="29"/>
        <v>598.72987480568645</v>
      </c>
      <c r="U90" s="151">
        <f t="shared" si="30"/>
        <v>46.282906363349497</v>
      </c>
      <c r="V90" s="151">
        <f t="shared" si="31"/>
        <v>33.059218830963928</v>
      </c>
      <c r="W90" s="151">
        <f t="shared" si="32"/>
        <v>-16.887623380721365</v>
      </c>
      <c r="X90" s="299"/>
      <c r="Y90" s="299"/>
      <c r="AB90" s="148">
        <v>1.9120000000000001E-3</v>
      </c>
      <c r="AC90" s="154">
        <f t="shared" si="33"/>
        <v>4</v>
      </c>
    </row>
    <row r="91" spans="1:29">
      <c r="A91" t="s">
        <v>426</v>
      </c>
      <c r="B91" s="145" t="str">
        <f>IFERROR(VLOOKUP(A91,'Tabela de Produtos'!A:B,2,0),"Preencher Cód. Produto")</f>
        <v>BRAZIMIL ESMALTE SINTETICO BRILHANTE MADEIRAS E METAIS 0,75L CINZA</v>
      </c>
      <c r="C91" s="146">
        <v>25</v>
      </c>
      <c r="D91" s="147">
        <f>IFERROR(VLOOKUP(A91,'Tabela de Produtos'!A:U,21,0),"Preencher Cód. Produto")</f>
        <v>24.5</v>
      </c>
      <c r="E91" s="147">
        <v>24.5</v>
      </c>
      <c r="F91" s="147">
        <f>IFERROR(VLOOKUP(A91,'Tabela de Produtos'!A:T,20,0),"Preencher Cód. Produto")</f>
        <v>15.319999999999997</v>
      </c>
      <c r="G91" s="148">
        <f>SUM('Formação de Preço de Venda'!$BA$12:$BD$12)</f>
        <v>7.0000000000000007E-2</v>
      </c>
      <c r="H91" s="148">
        <f>'Formação de Preço de Venda'!$BE$12</f>
        <v>0.05</v>
      </c>
      <c r="I91" s="298"/>
      <c r="J91" s="149"/>
      <c r="K91" s="150">
        <f t="shared" si="24"/>
        <v>9.18</v>
      </c>
      <c r="L91" s="120">
        <f t="shared" si="34"/>
        <v>0.37469999999999998</v>
      </c>
      <c r="M91" s="120">
        <f t="shared" si="25"/>
        <v>1.9679092318654278E-3</v>
      </c>
      <c r="N91" s="120">
        <f t="shared" si="35"/>
        <v>6.9999999999999999E-4</v>
      </c>
      <c r="O91" s="120" t="str">
        <f>IFERROR(VLOOKUP(A91,'Tabela de Produtos'!A:V,23,0),"-")</f>
        <v>-</v>
      </c>
      <c r="P91" s="149"/>
      <c r="Q91" s="151">
        <f t="shared" si="26"/>
        <v>575.57622325086425</v>
      </c>
      <c r="R91" s="152">
        <f t="shared" si="27"/>
        <v>24</v>
      </c>
      <c r="S91" s="153">
        <f t="shared" si="28"/>
        <v>-1</v>
      </c>
      <c r="T91" s="151">
        <f t="shared" si="29"/>
        <v>298.61085320989622</v>
      </c>
      <c r="U91" s="151">
        <f t="shared" si="30"/>
        <v>40.290335627560502</v>
      </c>
      <c r="V91" s="151">
        <f t="shared" si="31"/>
        <v>28.778811162543214</v>
      </c>
      <c r="W91" s="151">
        <f t="shared" si="32"/>
        <v>207.89622325086432</v>
      </c>
      <c r="X91" s="299"/>
      <c r="Y91" s="299"/>
      <c r="AB91" s="148">
        <v>1.9120000000000001E-3</v>
      </c>
      <c r="AC91" s="154">
        <f t="shared" si="33"/>
        <v>23</v>
      </c>
    </row>
    <row r="92" spans="1:29">
      <c r="A92" t="s">
        <v>188</v>
      </c>
      <c r="B92" s="145" t="str">
        <f>IFERROR(VLOOKUP(A92,'Tabela de Produtos'!A:B,2,0),"Preencher Cód. Produto")</f>
        <v>BRAZIMIL LÁTEX STANDARD INT/EXT FOSCO 15L AREIA</v>
      </c>
      <c r="C92" s="146">
        <v>10</v>
      </c>
      <c r="D92" s="147">
        <f>IFERROR(VLOOKUP(A92,'Tabela de Produtos'!A:U,21,0),"Preencher Cód. Produto")</f>
        <v>60</v>
      </c>
      <c r="E92" s="147">
        <v>60</v>
      </c>
      <c r="F92" s="147">
        <f>IFERROR(VLOOKUP(A92,'Tabela de Produtos'!A:T,20,0),"Preencher Cód. Produto")</f>
        <v>15.809999999999999</v>
      </c>
      <c r="G92" s="148">
        <f>SUM('Formação de Preço de Venda'!$BA$12:$BD$12)</f>
        <v>7.0000000000000007E-2</v>
      </c>
      <c r="H92" s="148">
        <f>'Formação de Preço de Venda'!$BE$12</f>
        <v>0.05</v>
      </c>
      <c r="I92" s="298"/>
      <c r="J92" s="149"/>
      <c r="K92" s="150">
        <f t="shared" si="24"/>
        <v>44.19</v>
      </c>
      <c r="L92" s="120">
        <f t="shared" si="34"/>
        <v>0.73650000000000004</v>
      </c>
      <c r="M92" s="120">
        <f t="shared" si="25"/>
        <v>1.927747818970215E-3</v>
      </c>
      <c r="N92" s="120">
        <f t="shared" si="35"/>
        <v>1.4E-3</v>
      </c>
      <c r="O92" s="120" t="str">
        <f>IFERROR(VLOOKUP(A92,'Tabela de Produtos'!A:V,23,0),"-")</f>
        <v>-</v>
      </c>
      <c r="P92" s="149"/>
      <c r="Q92" s="151">
        <f t="shared" si="26"/>
        <v>563.82976971513233</v>
      </c>
      <c r="R92" s="152">
        <f t="shared" si="27"/>
        <v>10</v>
      </c>
      <c r="S92" s="153">
        <f t="shared" si="28"/>
        <v>0</v>
      </c>
      <c r="T92" s="151">
        <f t="shared" si="29"/>
        <v>90.440427634184104</v>
      </c>
      <c r="U92" s="151">
        <f t="shared" si="30"/>
        <v>39.468083880059268</v>
      </c>
      <c r="V92" s="151">
        <f t="shared" si="31"/>
        <v>28.191488485756619</v>
      </c>
      <c r="W92" s="151">
        <f t="shared" si="32"/>
        <v>405.72976971513231</v>
      </c>
      <c r="X92" s="299"/>
      <c r="Y92" s="299"/>
      <c r="AB92" s="148">
        <v>1.9120000000000001E-3</v>
      </c>
      <c r="AC92" s="154">
        <f t="shared" si="33"/>
        <v>10</v>
      </c>
    </row>
    <row r="93" spans="1:29">
      <c r="A93" t="s">
        <v>179</v>
      </c>
      <c r="B93" s="145" t="str">
        <f>IFERROR(VLOOKUP(A93,'Tabela de Produtos'!A:B,2,0),"Preencher Cód. Produto")</f>
        <v>BRAZIMIL LÁTEX STANDARD INT/EXT SEMIBRILHO 3L AZUL INTENSO</v>
      </c>
      <c r="C93" s="146">
        <v>12</v>
      </c>
      <c r="D93" s="147">
        <f>IFERROR(VLOOKUP(A93,'Tabela de Produtos'!A:U,21,0),"Preencher Cód. Produto")</f>
        <v>46.9</v>
      </c>
      <c r="E93" s="147">
        <v>46.9</v>
      </c>
      <c r="F93" s="147">
        <f>IFERROR(VLOOKUP(A93,'Tabela de Produtos'!A:T,20,0),"Preencher Cód. Produto")</f>
        <v>32.588000000000001</v>
      </c>
      <c r="G93" s="148">
        <f>SUM('Formação de Preço de Venda'!$BA$12:$BD$12)</f>
        <v>7.0000000000000007E-2</v>
      </c>
      <c r="H93" s="148">
        <f>'Formação de Preço de Venda'!$BE$12</f>
        <v>0.05</v>
      </c>
      <c r="I93" s="298"/>
      <c r="J93" s="149"/>
      <c r="K93" s="150">
        <f t="shared" si="24"/>
        <v>14.31</v>
      </c>
      <c r="L93" s="120">
        <f t="shared" si="34"/>
        <v>0.30509999999999998</v>
      </c>
      <c r="M93" s="120">
        <f t="shared" si="25"/>
        <v>1.8082274541940616E-3</v>
      </c>
      <c r="N93" s="120">
        <f t="shared" si="35"/>
        <v>5.9999999999999995E-4</v>
      </c>
      <c r="O93" s="120" t="str">
        <f>IFERROR(VLOOKUP(A93,'Tabela de Produtos'!A:V,23,0),"-")</f>
        <v>-</v>
      </c>
      <c r="P93" s="149"/>
      <c r="Q93" s="151">
        <f t="shared" si="26"/>
        <v>528.87232399279412</v>
      </c>
      <c r="R93" s="152">
        <f t="shared" si="27"/>
        <v>12</v>
      </c>
      <c r="S93" s="153">
        <f t="shared" si="28"/>
        <v>0</v>
      </c>
      <c r="T93" s="151">
        <f t="shared" si="29"/>
        <v>327.59132112086479</v>
      </c>
      <c r="U93" s="151">
        <f t="shared" si="30"/>
        <v>37.021062679495593</v>
      </c>
      <c r="V93" s="151">
        <f t="shared" si="31"/>
        <v>26.443616199639706</v>
      </c>
      <c r="W93" s="151">
        <f t="shared" si="32"/>
        <v>137.81632399279403</v>
      </c>
      <c r="X93" s="299"/>
      <c r="Y93" s="299"/>
      <c r="AB93" s="148">
        <v>1.6999999999999999E-3</v>
      </c>
      <c r="AC93" s="154">
        <f t="shared" si="33"/>
        <v>11</v>
      </c>
    </row>
    <row r="94" spans="1:29">
      <c r="A94" t="s">
        <v>180</v>
      </c>
      <c r="B94" s="145" t="str">
        <f>IFERROR(VLOOKUP(A94,'Tabela de Produtos'!A:B,2,0),"Preencher Cód. Produto")</f>
        <v>BRAZIMIL LÁTEX STANDARD INT/EXT SEMIBRILHO 3L LILAS</v>
      </c>
      <c r="C94" s="146">
        <v>13</v>
      </c>
      <c r="D94" s="147">
        <f>IFERROR(VLOOKUP(A94,'Tabela de Produtos'!A:U,21,0),"Preencher Cód. Produto")</f>
        <v>46.9</v>
      </c>
      <c r="E94" s="147">
        <v>46.9</v>
      </c>
      <c r="F94" s="147">
        <f>IFERROR(VLOOKUP(A94,'Tabela de Produtos'!A:T,20,0),"Preencher Cód. Produto")</f>
        <v>31.268000000000004</v>
      </c>
      <c r="G94" s="148">
        <f>SUM('Formação de Preço de Venda'!$BA$12:$BD$12)</f>
        <v>7.0000000000000007E-2</v>
      </c>
      <c r="H94" s="148">
        <f>'Formação de Preço de Venda'!$BE$12</f>
        <v>0.05</v>
      </c>
      <c r="I94" s="298"/>
      <c r="J94" s="149"/>
      <c r="K94" s="150">
        <f t="shared" si="24"/>
        <v>15.63</v>
      </c>
      <c r="L94" s="120">
        <f t="shared" si="34"/>
        <v>0.33329999999999999</v>
      </c>
      <c r="M94" s="120">
        <f t="shared" si="25"/>
        <v>1.9589130753769001E-3</v>
      </c>
      <c r="N94" s="120">
        <f t="shared" si="35"/>
        <v>6.9999999999999999E-4</v>
      </c>
      <c r="O94" s="120" t="str">
        <f>IFERROR(VLOOKUP(A94,'Tabela de Produtos'!A:V,23,0),"-")</f>
        <v>-</v>
      </c>
      <c r="P94" s="149"/>
      <c r="Q94" s="151">
        <f t="shared" si="26"/>
        <v>572.94501765886025</v>
      </c>
      <c r="R94" s="152">
        <f t="shared" si="27"/>
        <v>13</v>
      </c>
      <c r="S94" s="153">
        <f t="shared" si="28"/>
        <v>0</v>
      </c>
      <c r="T94" s="151">
        <f t="shared" si="29"/>
        <v>337.73059788093678</v>
      </c>
      <c r="U94" s="151">
        <f t="shared" si="30"/>
        <v>40.106151236120219</v>
      </c>
      <c r="V94" s="151">
        <f t="shared" si="31"/>
        <v>28.647250882943013</v>
      </c>
      <c r="W94" s="151">
        <f t="shared" si="32"/>
        <v>166.46101765886024</v>
      </c>
      <c r="X94" s="299"/>
      <c r="Y94" s="299"/>
      <c r="AB94" s="148">
        <v>1.9120000000000001E-3</v>
      </c>
      <c r="AC94" s="154">
        <f t="shared" si="33"/>
        <v>12</v>
      </c>
    </row>
    <row r="95" spans="1:29">
      <c r="A95" t="s">
        <v>211</v>
      </c>
      <c r="B95" s="145" t="str">
        <f>IFERROR(VLOOKUP(A95,'Tabela de Produtos'!A:B,2,0),"Preencher Cód. Produto")</f>
        <v>BRAZIMIL LÁTEX STANDARD INT/EXT SEMIBRILHO 15L LARANJA</v>
      </c>
      <c r="C95" s="146">
        <v>4</v>
      </c>
      <c r="D95" s="147">
        <f>IFERROR(VLOOKUP(A95,'Tabela de Produtos'!A:U,21,0),"Preencher Cód. Produto")</f>
        <v>175.9</v>
      </c>
      <c r="E95" s="147">
        <v>175.9</v>
      </c>
      <c r="F95" s="147">
        <f>IFERROR(VLOOKUP(A95,'Tabela de Produtos'!A:T,20,0),"Preencher Cód. Produto")</f>
        <v>150.76799999999997</v>
      </c>
      <c r="G95" s="148">
        <f>SUM('Formação de Preço de Venda'!$BA$12:$BD$12)</f>
        <v>7.0000000000000007E-2</v>
      </c>
      <c r="H95" s="148">
        <f>'Formação de Preço de Venda'!$BE$12</f>
        <v>0.05</v>
      </c>
      <c r="I95" s="298"/>
      <c r="J95" s="149"/>
      <c r="K95" s="150">
        <f t="shared" si="24"/>
        <v>25.13</v>
      </c>
      <c r="L95" s="120">
        <f t="shared" si="34"/>
        <v>0.1429</v>
      </c>
      <c r="M95" s="120">
        <f t="shared" si="25"/>
        <v>2.2606056090457389E-3</v>
      </c>
      <c r="N95" s="120">
        <f t="shared" si="35"/>
        <v>2.9999999999999997E-4</v>
      </c>
      <c r="O95" s="120" t="str">
        <f>IFERROR(VLOOKUP(A95,'Tabela de Produtos'!A:V,23,0),"-")</f>
        <v>-</v>
      </c>
      <c r="P95" s="149"/>
      <c r="Q95" s="151">
        <f t="shared" si="26"/>
        <v>661.18437661927851</v>
      </c>
      <c r="R95" s="152">
        <f t="shared" si="27"/>
        <v>4</v>
      </c>
      <c r="S95" s="153">
        <f t="shared" si="28"/>
        <v>0</v>
      </c>
      <c r="T95" s="151">
        <f t="shared" si="29"/>
        <v>523.72987480568645</v>
      </c>
      <c r="U95" s="151">
        <f t="shared" si="30"/>
        <v>46.282906363349497</v>
      </c>
      <c r="V95" s="151">
        <f t="shared" si="31"/>
        <v>33.059218830963928</v>
      </c>
      <c r="W95" s="151">
        <f t="shared" si="32"/>
        <v>58.112376619278635</v>
      </c>
      <c r="X95" s="299"/>
      <c r="Y95" s="299"/>
      <c r="AB95" s="148">
        <v>1.859E-3</v>
      </c>
      <c r="AC95" s="154">
        <f t="shared" si="33"/>
        <v>4</v>
      </c>
    </row>
    <row r="96" spans="1:29">
      <c r="A96" t="s">
        <v>212</v>
      </c>
      <c r="B96" s="145" t="str">
        <f>IFERROR(VLOOKUP(A96,'Tabela de Produtos'!A:B,2,0),"Preencher Cód. Produto")</f>
        <v>BRAZIMIL LÁTEX STANDARD INT/EXT SEMIBRILHO 15L AZUL CARIBE</v>
      </c>
      <c r="C96" s="146">
        <v>4</v>
      </c>
      <c r="D96" s="147">
        <f>IFERROR(VLOOKUP(A96,'Tabela de Produtos'!A:U,21,0),"Preencher Cód. Produto")</f>
        <v>175.9</v>
      </c>
      <c r="E96" s="147">
        <v>175.9</v>
      </c>
      <c r="F96" s="147">
        <f>IFERROR(VLOOKUP(A96,'Tabela de Produtos'!A:T,20,0),"Preencher Cód. Produto")</f>
        <v>155.71799999999996</v>
      </c>
      <c r="G96" s="148">
        <f>SUM('Formação de Preço de Venda'!$BA$12:$BD$12)</f>
        <v>7.0000000000000007E-2</v>
      </c>
      <c r="H96" s="148">
        <f>'Formação de Preço de Venda'!$BE$12</f>
        <v>0.05</v>
      </c>
      <c r="I96" s="298"/>
      <c r="J96" s="149"/>
      <c r="K96" s="150">
        <f t="shared" si="24"/>
        <v>20.18</v>
      </c>
      <c r="L96" s="120">
        <f t="shared" si="34"/>
        <v>0.1147</v>
      </c>
      <c r="M96" s="120">
        <f t="shared" si="25"/>
        <v>2.2606056090457389E-3</v>
      </c>
      <c r="N96" s="120">
        <f t="shared" si="35"/>
        <v>2.9999999999999997E-4</v>
      </c>
      <c r="O96" s="120" t="str">
        <f>IFERROR(VLOOKUP(A96,'Tabela de Produtos'!A:V,23,0),"-")</f>
        <v>-</v>
      </c>
      <c r="P96" s="149"/>
      <c r="Q96" s="151">
        <f t="shared" si="26"/>
        <v>661.18437661927851</v>
      </c>
      <c r="R96" s="152">
        <f t="shared" si="27"/>
        <v>4</v>
      </c>
      <c r="S96" s="153">
        <f t="shared" si="28"/>
        <v>0</v>
      </c>
      <c r="T96" s="151">
        <f t="shared" si="29"/>
        <v>543.5298748056864</v>
      </c>
      <c r="U96" s="151">
        <f t="shared" si="30"/>
        <v>46.282906363349497</v>
      </c>
      <c r="V96" s="151">
        <f t="shared" si="31"/>
        <v>33.059218830963928</v>
      </c>
      <c r="W96" s="151">
        <f t="shared" si="32"/>
        <v>38.31237661927868</v>
      </c>
      <c r="X96" s="299"/>
      <c r="Y96" s="299"/>
      <c r="AB96" s="148">
        <v>1.8060000000000001E-3</v>
      </c>
      <c r="AC96" s="154">
        <f t="shared" si="33"/>
        <v>4</v>
      </c>
    </row>
    <row r="97" spans="1:29">
      <c r="A97" t="s">
        <v>218</v>
      </c>
      <c r="B97" s="145" t="str">
        <f>IFERROR(VLOOKUP(A97,'Tabela de Produtos'!A:B,2,0),"Preencher Cód. Produto")</f>
        <v>BRAZIMIL LÁTEX STANDARD INT/EXT SEMIBRILHO 15L AZUL CAPRICHOSO</v>
      </c>
      <c r="C97" s="146">
        <v>3</v>
      </c>
      <c r="D97" s="147">
        <f>IFERROR(VLOOKUP(A97,'Tabela de Produtos'!A:U,21,0),"Preencher Cód. Produto")</f>
        <v>175.9</v>
      </c>
      <c r="E97" s="147">
        <v>175.9</v>
      </c>
      <c r="F97" s="147">
        <f>IFERROR(VLOOKUP(A97,'Tabela de Produtos'!A:T,20,0),"Preencher Cód. Produto")</f>
        <v>147.31799999999998</v>
      </c>
      <c r="G97" s="148">
        <f>SUM('Formação de Preço de Venda'!$BA$12:$BD$12)</f>
        <v>7.0000000000000007E-2</v>
      </c>
      <c r="H97" s="148">
        <f>'Formação de Preço de Venda'!$BE$12</f>
        <v>0.05</v>
      </c>
      <c r="I97" s="298"/>
      <c r="J97" s="149"/>
      <c r="K97" s="150">
        <f t="shared" si="24"/>
        <v>28.58</v>
      </c>
      <c r="L97" s="120">
        <f t="shared" si="34"/>
        <v>0.16250000000000001</v>
      </c>
      <c r="M97" s="120">
        <f t="shared" si="25"/>
        <v>1.6954542067843042E-3</v>
      </c>
      <c r="N97" s="120">
        <f t="shared" si="35"/>
        <v>2.9999999999999997E-4</v>
      </c>
      <c r="O97" s="120" t="str">
        <f>IFERROR(VLOOKUP(A97,'Tabela de Produtos'!A:V,23,0),"-")</f>
        <v>-</v>
      </c>
      <c r="P97" s="149"/>
      <c r="Q97" s="151">
        <f t="shared" si="26"/>
        <v>495.88828246445888</v>
      </c>
      <c r="R97" s="152">
        <f t="shared" si="27"/>
        <v>3</v>
      </c>
      <c r="S97" s="153">
        <f t="shared" si="28"/>
        <v>0</v>
      </c>
      <c r="T97" s="151">
        <f t="shared" si="29"/>
        <v>382.44740610426487</v>
      </c>
      <c r="U97" s="151">
        <f t="shared" si="30"/>
        <v>34.712179772512123</v>
      </c>
      <c r="V97" s="151">
        <f t="shared" si="31"/>
        <v>24.794414123222946</v>
      </c>
      <c r="W97" s="151">
        <f t="shared" si="32"/>
        <v>53.934282464458946</v>
      </c>
      <c r="X97" s="299"/>
      <c r="Y97" s="299"/>
      <c r="AB97" s="148">
        <v>1.6999999999999999E-3</v>
      </c>
      <c r="AC97" s="154">
        <f t="shared" si="33"/>
        <v>3</v>
      </c>
    </row>
    <row r="98" spans="1:29">
      <c r="A98" t="s">
        <v>432</v>
      </c>
      <c r="B98" s="145" t="str">
        <f>IFERROR(VLOOKUP(A98,'Tabela de Produtos'!A:B,2,0),"Preencher Cód. Produto")</f>
        <v>BRAZIMIL ESMALTE SINTETICO BRILHANTE MADEIRAS E METAIS 0,75L AMARELO OURO</v>
      </c>
      <c r="C98" s="146">
        <v>21</v>
      </c>
      <c r="D98" s="147">
        <f>IFERROR(VLOOKUP(A98,'Tabela de Produtos'!A:U,21,0),"Preencher Cód. Produto")</f>
        <v>24.5</v>
      </c>
      <c r="E98" s="147">
        <v>24.5</v>
      </c>
      <c r="F98" s="147">
        <f>IFERROR(VLOOKUP(A98,'Tabela de Produtos'!A:T,20,0),"Preencher Cód. Produto")</f>
        <v>15.620000000000001</v>
      </c>
      <c r="G98" s="148">
        <f>SUM('Formação de Preço de Venda'!$BA$12:$BD$12)</f>
        <v>7.0000000000000007E-2</v>
      </c>
      <c r="H98" s="148">
        <f>'Formação de Preço de Venda'!$BE$12</f>
        <v>0.05</v>
      </c>
      <c r="I98" s="298"/>
      <c r="J98" s="149"/>
      <c r="K98" s="150">
        <f t="shared" si="24"/>
        <v>8.8800000000000008</v>
      </c>
      <c r="L98" s="120">
        <f t="shared" si="34"/>
        <v>0.3624</v>
      </c>
      <c r="M98" s="120">
        <f t="shared" si="25"/>
        <v>1.6530437547669593E-3</v>
      </c>
      <c r="N98" s="120">
        <f t="shared" si="35"/>
        <v>5.9999999999999995E-4</v>
      </c>
      <c r="O98" s="120" t="str">
        <f>IFERROR(VLOOKUP(A98,'Tabela de Produtos'!A:V,23,0),"-")</f>
        <v>-</v>
      </c>
      <c r="P98" s="149"/>
      <c r="Q98" s="151">
        <f t="shared" si="26"/>
        <v>483.48402753072594</v>
      </c>
      <c r="R98" s="152">
        <f t="shared" si="27"/>
        <v>20</v>
      </c>
      <c r="S98" s="153">
        <f t="shared" si="28"/>
        <v>-1</v>
      </c>
      <c r="T98" s="151">
        <f t="shared" si="29"/>
        <v>254.38191669631294</v>
      </c>
      <c r="U98" s="151">
        <f t="shared" si="30"/>
        <v>33.843881927150818</v>
      </c>
      <c r="V98" s="151">
        <f t="shared" si="31"/>
        <v>24.174201376536299</v>
      </c>
      <c r="W98" s="151">
        <f t="shared" si="32"/>
        <v>171.08402753072588</v>
      </c>
      <c r="X98" s="299"/>
      <c r="Y98" s="299"/>
      <c r="AB98" s="148">
        <v>1.5939999999999999E-3</v>
      </c>
      <c r="AC98" s="154">
        <f t="shared" si="33"/>
        <v>20</v>
      </c>
    </row>
    <row r="99" spans="1:29">
      <c r="A99" t="s">
        <v>424</v>
      </c>
      <c r="B99" s="145" t="str">
        <f>IFERROR(VLOOKUP(A99,'Tabela de Produtos'!A:B,2,0),"Preencher Cód. Produto")</f>
        <v>BRAZIMIL ESMALTE SINTETICO BRILHANTE MADEIRAS E METAIS 0,75L AZUL DEL REY</v>
      </c>
      <c r="C99" s="146">
        <v>21</v>
      </c>
      <c r="D99" s="147">
        <f>IFERROR(VLOOKUP(A99,'Tabela de Produtos'!A:U,21,0),"Preencher Cód. Produto")</f>
        <v>24.5</v>
      </c>
      <c r="E99" s="147">
        <v>24.5</v>
      </c>
      <c r="F99" s="147">
        <f>IFERROR(VLOOKUP(A99,'Tabela de Produtos'!A:T,20,0),"Preencher Cód. Produto")</f>
        <v>15.417499999999999</v>
      </c>
      <c r="G99" s="148">
        <f>SUM('Formação de Preço de Venda'!$BA$12:$BD$12)</f>
        <v>7.0000000000000007E-2</v>
      </c>
      <c r="H99" s="148">
        <f>'Formação de Preço de Venda'!$BE$12</f>
        <v>0.05</v>
      </c>
      <c r="I99" s="298"/>
      <c r="J99" s="149"/>
      <c r="K99" s="150">
        <f t="shared" si="24"/>
        <v>9.08</v>
      </c>
      <c r="L99" s="120">
        <f t="shared" si="34"/>
        <v>0.37059999999999998</v>
      </c>
      <c r="M99" s="120">
        <f t="shared" si="25"/>
        <v>1.6530437547669593E-3</v>
      </c>
      <c r="N99" s="120">
        <f t="shared" si="35"/>
        <v>5.9999999999999995E-4</v>
      </c>
      <c r="O99" s="120" t="str">
        <f>IFERROR(VLOOKUP(A99,'Tabela de Produtos'!A:V,23,0),"-")</f>
        <v>-</v>
      </c>
      <c r="P99" s="149"/>
      <c r="Q99" s="151">
        <f t="shared" si="26"/>
        <v>483.48402753072594</v>
      </c>
      <c r="R99" s="152">
        <f t="shared" si="27"/>
        <v>20</v>
      </c>
      <c r="S99" s="153">
        <f t="shared" si="28"/>
        <v>-1</v>
      </c>
      <c r="T99" s="151">
        <f t="shared" si="29"/>
        <v>250.33191669631287</v>
      </c>
      <c r="U99" s="151">
        <f t="shared" si="30"/>
        <v>33.843881927150818</v>
      </c>
      <c r="V99" s="151">
        <f t="shared" si="31"/>
        <v>24.174201376536299</v>
      </c>
      <c r="W99" s="151">
        <f t="shared" si="32"/>
        <v>175.13402753072594</v>
      </c>
      <c r="X99" s="299"/>
      <c r="Y99" s="299"/>
      <c r="AB99" s="148">
        <v>1.5939999999999999E-3</v>
      </c>
      <c r="AC99" s="154">
        <f t="shared" si="33"/>
        <v>20</v>
      </c>
    </row>
    <row r="100" spans="1:29">
      <c r="A100" t="s">
        <v>371</v>
      </c>
      <c r="B100" s="145" t="str">
        <f>IFERROR(VLOOKUP(A100,'Tabela de Produtos'!A:B,2,0),"Preencher Cód. Produto")</f>
        <v>BRAZIMIL BORRACHA LIQUIDA MULTIFUNÇÃO 14KG CERAMICA</v>
      </c>
      <c r="C100" s="146">
        <v>1</v>
      </c>
      <c r="D100" s="147">
        <f>IFERROR(VLOOKUP(A100,'Tabela de Produtos'!A:U,21,0),"Preencher Cód. Produto")</f>
        <v>375.9</v>
      </c>
      <c r="E100" s="147">
        <v>375.9</v>
      </c>
      <c r="F100" s="147">
        <f>IFERROR(VLOOKUP(A100,'Tabela de Produtos'!A:T,20,0),"Preencher Cód. Produto")</f>
        <v>170.63799999999998</v>
      </c>
      <c r="G100" s="148">
        <f>SUM('Formação de Preço de Venda'!$BA$12:$BD$12)</f>
        <v>7.0000000000000007E-2</v>
      </c>
      <c r="H100" s="148">
        <f>'Formação de Preço de Venda'!$BE$12</f>
        <v>0.05</v>
      </c>
      <c r="I100" s="298"/>
      <c r="J100" s="149"/>
      <c r="K100" s="150">
        <f t="shared" si="24"/>
        <v>205.26</v>
      </c>
      <c r="L100" s="120">
        <f t="shared" si="34"/>
        <v>0.54600000000000004</v>
      </c>
      <c r="M100" s="120">
        <f t="shared" si="25"/>
        <v>1.2077340085848397E-3</v>
      </c>
      <c r="N100" s="120">
        <f t="shared" si="35"/>
        <v>6.9999999999999999E-4</v>
      </c>
      <c r="O100" s="120" t="str">
        <f>IFERROR(VLOOKUP(A100,'Tabela de Produtos'!A:V,23,0),"-")</f>
        <v>-</v>
      </c>
      <c r="P100" s="149"/>
      <c r="Q100" s="151">
        <f t="shared" si="26"/>
        <v>353.23935072653035</v>
      </c>
      <c r="R100" s="152">
        <f t="shared" si="27"/>
        <v>1</v>
      </c>
      <c r="S100" s="153">
        <f t="shared" si="28"/>
        <v>0</v>
      </c>
      <c r="T100" s="151">
        <f t="shared" si="29"/>
        <v>128.24927791281632</v>
      </c>
      <c r="U100" s="151">
        <f t="shared" si="30"/>
        <v>24.726754550857127</v>
      </c>
      <c r="V100" s="151">
        <f t="shared" si="31"/>
        <v>17.661967536326518</v>
      </c>
      <c r="W100" s="151">
        <f t="shared" si="32"/>
        <v>182.60135072653037</v>
      </c>
      <c r="X100" s="299"/>
      <c r="Y100" s="299"/>
      <c r="AB100" s="148">
        <v>2.12E-4</v>
      </c>
      <c r="AC100" s="154">
        <f t="shared" si="33"/>
        <v>1</v>
      </c>
    </row>
    <row r="101" spans="1:29">
      <c r="A101" t="s">
        <v>177</v>
      </c>
      <c r="B101" s="145" t="str">
        <f>IFERROR(VLOOKUP(A101,'Tabela de Produtos'!A:B,2,0),"Preencher Cód. Produto")</f>
        <v>BRAZIMIL LÁTEX STANDARD INT/EXT SEMIBRILHO 3L VERDE LIMA</v>
      </c>
      <c r="C101" s="146">
        <v>10</v>
      </c>
      <c r="D101" s="147">
        <f>IFERROR(VLOOKUP(A101,'Tabela de Produtos'!A:U,21,0),"Preencher Cód. Produto")</f>
        <v>46.9</v>
      </c>
      <c r="E101" s="147">
        <v>46.9</v>
      </c>
      <c r="F101" s="147">
        <f>IFERROR(VLOOKUP(A101,'Tabela de Produtos'!A:T,20,0),"Preencher Cód. Produto")</f>
        <v>34.268000000000001</v>
      </c>
      <c r="G101" s="148">
        <f>SUM('Formação de Preço de Venda'!$BA$12:$BD$12)</f>
        <v>7.0000000000000007E-2</v>
      </c>
      <c r="H101" s="148">
        <f>'Formação de Preço de Venda'!$BE$12</f>
        <v>0.05</v>
      </c>
      <c r="I101" s="298"/>
      <c r="J101" s="149"/>
      <c r="K101" s="150">
        <f t="shared" si="24"/>
        <v>12.63</v>
      </c>
      <c r="L101" s="120">
        <f t="shared" si="34"/>
        <v>0.26929999999999998</v>
      </c>
      <c r="M101" s="120">
        <f t="shared" si="25"/>
        <v>1.5068562118283847E-3</v>
      </c>
      <c r="N101" s="120">
        <f t="shared" si="35"/>
        <v>4.0000000000000002E-4</v>
      </c>
      <c r="O101" s="120" t="str">
        <f>IFERROR(VLOOKUP(A101,'Tabela de Produtos'!A:V,23,0),"-")</f>
        <v>-</v>
      </c>
      <c r="P101" s="149"/>
      <c r="Q101" s="151">
        <f t="shared" si="26"/>
        <v>440.72693666066175</v>
      </c>
      <c r="R101" s="152">
        <f t="shared" si="27"/>
        <v>10</v>
      </c>
      <c r="S101" s="153">
        <f t="shared" si="28"/>
        <v>0</v>
      </c>
      <c r="T101" s="151">
        <f t="shared" si="29"/>
        <v>289.79276760072059</v>
      </c>
      <c r="U101" s="151">
        <f t="shared" si="30"/>
        <v>30.850885566246326</v>
      </c>
      <c r="V101" s="151">
        <f t="shared" si="31"/>
        <v>22.03634683303309</v>
      </c>
      <c r="W101" s="151">
        <f t="shared" si="32"/>
        <v>98.046936660661743</v>
      </c>
      <c r="X101" s="299"/>
      <c r="Y101" s="299"/>
      <c r="AB101" s="148">
        <v>1.487E-3</v>
      </c>
      <c r="AC101" s="154">
        <f t="shared" si="33"/>
        <v>10</v>
      </c>
    </row>
    <row r="102" spans="1:29">
      <c r="A102" t="s">
        <v>173</v>
      </c>
      <c r="B102" s="145" t="str">
        <f>IFERROR(VLOOKUP(A102,'Tabela de Produtos'!A:B,2,0),"Preencher Cód. Produto")</f>
        <v>BRAZIMIL LÁTEX STANDARD INT/EXT SEMIBRILHO 3L ACAI AMAZONICO</v>
      </c>
      <c r="C102" s="146">
        <v>10</v>
      </c>
      <c r="D102" s="147">
        <f>IFERROR(VLOOKUP(A102,'Tabela de Produtos'!A:U,21,0),"Preencher Cód. Produto")</f>
        <v>46.9</v>
      </c>
      <c r="E102" s="147">
        <v>46.9</v>
      </c>
      <c r="F102" s="147">
        <f>IFERROR(VLOOKUP(A102,'Tabela de Produtos'!A:T,20,0),"Preencher Cód. Produto")</f>
        <v>31.718</v>
      </c>
      <c r="G102" s="148">
        <f>SUM('Formação de Preço de Venda'!$BA$12:$BD$12)</f>
        <v>7.0000000000000007E-2</v>
      </c>
      <c r="H102" s="148">
        <f>'Formação de Preço de Venda'!$BE$12</f>
        <v>0.05</v>
      </c>
      <c r="I102" s="298"/>
      <c r="J102" s="149"/>
      <c r="K102" s="150">
        <f t="shared" si="24"/>
        <v>15.18</v>
      </c>
      <c r="L102" s="120">
        <f t="shared" si="34"/>
        <v>0.32369999999999999</v>
      </c>
      <c r="M102" s="120">
        <f t="shared" si="25"/>
        <v>1.5068562118283847E-3</v>
      </c>
      <c r="N102" s="120">
        <f t="shared" si="35"/>
        <v>5.0000000000000001E-4</v>
      </c>
      <c r="O102" s="120" t="str">
        <f>IFERROR(VLOOKUP(A102,'Tabela de Produtos'!A:V,23,0),"-")</f>
        <v>-</v>
      </c>
      <c r="P102" s="149"/>
      <c r="Q102" s="151">
        <f t="shared" si="26"/>
        <v>440.72693666066175</v>
      </c>
      <c r="R102" s="152">
        <f t="shared" si="27"/>
        <v>10</v>
      </c>
      <c r="S102" s="153">
        <f t="shared" si="28"/>
        <v>0</v>
      </c>
      <c r="T102" s="151">
        <f t="shared" si="29"/>
        <v>264.29276760072059</v>
      </c>
      <c r="U102" s="151">
        <f t="shared" si="30"/>
        <v>30.850885566246326</v>
      </c>
      <c r="V102" s="151">
        <f t="shared" si="31"/>
        <v>22.03634683303309</v>
      </c>
      <c r="W102" s="151">
        <f t="shared" si="32"/>
        <v>123.54693666066174</v>
      </c>
      <c r="X102" s="299"/>
      <c r="Y102" s="299"/>
      <c r="AB102" s="148">
        <v>1.487E-3</v>
      </c>
      <c r="AC102" s="154">
        <f t="shared" si="33"/>
        <v>10</v>
      </c>
    </row>
    <row r="103" spans="1:29">
      <c r="A103" t="s">
        <v>348</v>
      </c>
      <c r="B103" s="145" t="str">
        <f>IFERROR(VLOOKUP(A103,'Tabela de Produtos'!A:B,2,0),"Preencher Cód. Produto")</f>
        <v>BRAZIMIL TINTA PISO PREMIUM  INT/EXT FOSCO 15L CINZA MEDIO</v>
      </c>
      <c r="C103" s="146">
        <v>2</v>
      </c>
      <c r="D103" s="147">
        <f>IFERROR(VLOOKUP(A103,'Tabela de Produtos'!A:U,21,0),"Preencher Cód. Produto")</f>
        <v>149.9</v>
      </c>
      <c r="E103" s="147">
        <v>149.9</v>
      </c>
      <c r="F103" s="147">
        <f>IFERROR(VLOOKUP(A103,'Tabela de Produtos'!A:T,20,0),"Preencher Cód. Produto")</f>
        <v>109.24799999999999</v>
      </c>
      <c r="G103" s="148">
        <f>SUM('Formação de Preço de Venda'!$BA$12:$BD$12)</f>
        <v>7.0000000000000007E-2</v>
      </c>
      <c r="H103" s="148">
        <f>'Formação de Preço de Venda'!$BE$12</f>
        <v>0.05</v>
      </c>
      <c r="I103" s="298"/>
      <c r="J103" s="149"/>
      <c r="K103" s="150">
        <f t="shared" si="24"/>
        <v>40.65</v>
      </c>
      <c r="L103" s="120">
        <f t="shared" si="34"/>
        <v>0.2712</v>
      </c>
      <c r="M103" s="120">
        <f t="shared" si="25"/>
        <v>9.6323132687878418E-4</v>
      </c>
      <c r="N103" s="120">
        <f t="shared" si="35"/>
        <v>2.9999999999999997E-4</v>
      </c>
      <c r="O103" s="120" t="str">
        <f>IFERROR(VLOOKUP(A103,'Tabela de Produtos'!A:V,23,0),"-")</f>
        <v>-</v>
      </c>
      <c r="P103" s="149"/>
      <c r="Q103" s="151">
        <f t="shared" si="26"/>
        <v>281.72694160099445</v>
      </c>
      <c r="R103" s="152">
        <f t="shared" si="27"/>
        <v>2</v>
      </c>
      <c r="S103" s="153">
        <f t="shared" si="28"/>
        <v>0</v>
      </c>
      <c r="T103" s="151">
        <f t="shared" si="29"/>
        <v>184.68876700788064</v>
      </c>
      <c r="U103" s="151">
        <f t="shared" si="30"/>
        <v>19.720885912069612</v>
      </c>
      <c r="V103" s="151">
        <f t="shared" si="31"/>
        <v>14.086347080049723</v>
      </c>
      <c r="W103" s="151">
        <f t="shared" si="32"/>
        <v>63.230941600994484</v>
      </c>
      <c r="X103" s="299"/>
      <c r="Y103" s="299"/>
      <c r="AB103" s="148">
        <v>6.9099999999999999E-4</v>
      </c>
      <c r="AC103" s="154">
        <f t="shared" si="33"/>
        <v>2</v>
      </c>
    </row>
    <row r="104" spans="1:29">
      <c r="A104" t="s">
        <v>365</v>
      </c>
      <c r="B104" s="145" t="str">
        <f>IFERROR(VLOOKUP(A104,'Tabela de Produtos'!A:B,2,0),"Preencher Cód. Produto")</f>
        <v>BRAZIMIL BORRACHA LIQUIDA MULTIFUNÇÃO 3,6KG CINZA PLATINA</v>
      </c>
      <c r="C104" s="146">
        <v>4</v>
      </c>
      <c r="D104" s="147">
        <f>IFERROR(VLOOKUP(A104,'Tabela de Produtos'!A:U,21,0),"Preencher Cód. Produto")</f>
        <v>85.9</v>
      </c>
      <c r="E104" s="147">
        <v>85.9</v>
      </c>
      <c r="F104" s="147">
        <f>IFERROR(VLOOKUP(A104,'Tabela de Produtos'!A:T,20,0),"Preencher Cód. Produto")</f>
        <v>18.838000000000001</v>
      </c>
      <c r="G104" s="148">
        <f>SUM('Formação de Preço de Venda'!$BA$12:$BD$12)</f>
        <v>7.0000000000000007E-2</v>
      </c>
      <c r="H104" s="148">
        <f>'Formação de Preço de Venda'!$BE$12</f>
        <v>0.05</v>
      </c>
      <c r="I104" s="298"/>
      <c r="J104" s="149"/>
      <c r="K104" s="150">
        <f t="shared" si="24"/>
        <v>67.06</v>
      </c>
      <c r="L104" s="120">
        <f t="shared" si="34"/>
        <v>0.78069999999999995</v>
      </c>
      <c r="M104" s="120">
        <f t="shared" si="25"/>
        <v>1.1039569176636099E-3</v>
      </c>
      <c r="N104" s="120">
        <f t="shared" si="35"/>
        <v>8.9999999999999998E-4</v>
      </c>
      <c r="O104" s="120" t="str">
        <f>IFERROR(VLOOKUP(A104,'Tabela de Produtos'!A:V,23,0),"-")</f>
        <v>-</v>
      </c>
      <c r="P104" s="149"/>
      <c r="Q104" s="151">
        <f t="shared" si="26"/>
        <v>322.88651479019916</v>
      </c>
      <c r="R104" s="152">
        <f t="shared" si="27"/>
        <v>4</v>
      </c>
      <c r="S104" s="153">
        <f t="shared" si="28"/>
        <v>0</v>
      </c>
      <c r="T104" s="151">
        <f t="shared" si="29"/>
        <v>36.605618225176102</v>
      </c>
      <c r="U104" s="151">
        <f t="shared" si="30"/>
        <v>22.602056035313943</v>
      </c>
      <c r="V104" s="151">
        <f t="shared" si="31"/>
        <v>16.144325739509959</v>
      </c>
      <c r="W104" s="151">
        <f t="shared" si="32"/>
        <v>247.53451479019918</v>
      </c>
      <c r="X104" s="299"/>
      <c r="Y104" s="299"/>
      <c r="AB104" s="148">
        <v>8.4999999999999995E-4</v>
      </c>
      <c r="AC104" s="154">
        <f t="shared" si="33"/>
        <v>3</v>
      </c>
    </row>
    <row r="105" spans="1:29">
      <c r="A105" t="s">
        <v>431</v>
      </c>
      <c r="B105" s="145" t="str">
        <f>IFERROR(VLOOKUP(A105,'Tabela de Produtos'!A:B,2,0),"Preencher Cód. Produto")</f>
        <v>BRAZIMIL ESMALTE SINTETICO BRILHANTE MADEIRAS E METAIS 0,75L VERDE FOLHA</v>
      </c>
      <c r="C105" s="146">
        <v>17</v>
      </c>
      <c r="D105" s="147">
        <f>IFERROR(VLOOKUP(A105,'Tabela de Produtos'!A:U,21,0),"Preencher Cód. Produto")</f>
        <v>24.5</v>
      </c>
      <c r="E105" s="147">
        <v>24.5</v>
      </c>
      <c r="F105" s="147">
        <f>IFERROR(VLOOKUP(A105,'Tabela de Produtos'!A:T,20,0),"Preencher Cód. Produto")</f>
        <v>15.5825</v>
      </c>
      <c r="G105" s="148">
        <f>SUM('Formação de Preço de Venda'!$BA$12:$BD$12)</f>
        <v>7.0000000000000007E-2</v>
      </c>
      <c r="H105" s="148">
        <f>'Formação de Preço de Venda'!$BE$12</f>
        <v>0.05</v>
      </c>
      <c r="I105" s="298"/>
      <c r="J105" s="149"/>
      <c r="K105" s="150">
        <f t="shared" ref="K105:K118" si="36">IFERROR((ROUND(E105-F105,2)),0)</f>
        <v>8.92</v>
      </c>
      <c r="L105" s="120">
        <f t="shared" si="34"/>
        <v>0.36409999999999998</v>
      </c>
      <c r="M105" s="120">
        <f t="shared" ref="M105:M118" si="37">IFERROR((C105*E105)/SUMPRODUCT($C$9:$C$118,$E$9:$E$118),0)</f>
        <v>1.3381782776684908E-3</v>
      </c>
      <c r="N105" s="120">
        <f t="shared" si="35"/>
        <v>5.0000000000000001E-4</v>
      </c>
      <c r="O105" s="120" t="str">
        <f>IFERROR(VLOOKUP(A105,'Tabela de Produtos'!A:V,23,0),"-")</f>
        <v>-</v>
      </c>
      <c r="P105" s="149"/>
      <c r="Q105" s="151">
        <f t="shared" ref="Q105:Q118" si="38">IFERROR($Q$120*M105,0)</f>
        <v>391.39183181058763</v>
      </c>
      <c r="R105" s="152">
        <f t="shared" ref="R105:R136" si="39">ROUNDUP(IFERROR(Q105/E105,0),0)</f>
        <v>16</v>
      </c>
      <c r="S105" s="153">
        <f t="shared" ref="S105:S136" si="40">R105-C105</f>
        <v>-1</v>
      </c>
      <c r="T105" s="151">
        <f t="shared" ref="T105:T136" si="41">IFERROR(R105*F105,0)-U105-V105</f>
        <v>202.35298018272948</v>
      </c>
      <c r="U105" s="151">
        <f t="shared" ref="U105:U118" si="42">Q105*G105</f>
        <v>27.397428226741138</v>
      </c>
      <c r="V105" s="151">
        <f t="shared" ref="V105:V118" si="43">Q105*H105</f>
        <v>19.569591590529384</v>
      </c>
      <c r="W105" s="151">
        <f t="shared" ref="W105:W136" si="44">Q105-T105-U105-V105</f>
        <v>142.07183181058764</v>
      </c>
      <c r="X105" s="299"/>
      <c r="Y105" s="299"/>
      <c r="AB105" s="148">
        <v>1.2750000000000001E-3</v>
      </c>
      <c r="AC105" s="154">
        <f t="shared" ref="AC105:AC136" si="45">ROUNDUP((AB105*$C$5)/E105,0)</f>
        <v>16</v>
      </c>
    </row>
    <row r="106" spans="1:29">
      <c r="A106" t="s">
        <v>213</v>
      </c>
      <c r="B106" s="145" t="str">
        <f>IFERROR(VLOOKUP(A106,'Tabela de Produtos'!A:B,2,0),"Preencher Cód. Produto")</f>
        <v>BRAZIMIL LÁTEX STANDARD INT/EXT SEMIBRILHO 15L VERDE LIMA</v>
      </c>
      <c r="C106" s="146">
        <v>3</v>
      </c>
      <c r="D106" s="147">
        <f>IFERROR(VLOOKUP(A106,'Tabela de Produtos'!A:U,21,0),"Preencher Cód. Produto")</f>
        <v>175.9</v>
      </c>
      <c r="E106" s="147">
        <v>175.9</v>
      </c>
      <c r="F106" s="147">
        <f>IFERROR(VLOOKUP(A106,'Tabela de Produtos'!A:T,20,0),"Preencher Cód. Produto")</f>
        <v>155.71799999999996</v>
      </c>
      <c r="G106" s="148">
        <f>SUM('Formação de Preço de Venda'!$BA$12:$BD$12)</f>
        <v>7.0000000000000007E-2</v>
      </c>
      <c r="H106" s="148">
        <f>'Formação de Preço de Venda'!$BE$12</f>
        <v>0.05</v>
      </c>
      <c r="I106" s="298"/>
      <c r="J106" s="149"/>
      <c r="K106" s="150">
        <f t="shared" si="36"/>
        <v>20.18</v>
      </c>
      <c r="L106" s="120">
        <f t="shared" si="34"/>
        <v>0.1147</v>
      </c>
      <c r="M106" s="120">
        <f t="shared" si="37"/>
        <v>1.6954542067843042E-3</v>
      </c>
      <c r="N106" s="120">
        <f t="shared" si="35"/>
        <v>2.0000000000000001E-4</v>
      </c>
      <c r="O106" s="120" t="str">
        <f>IFERROR(VLOOKUP(A106,'Tabela de Produtos'!A:V,23,0),"-")</f>
        <v>-</v>
      </c>
      <c r="P106" s="149"/>
      <c r="Q106" s="151">
        <f t="shared" si="38"/>
        <v>495.88828246445888</v>
      </c>
      <c r="R106" s="152">
        <f t="shared" si="39"/>
        <v>3</v>
      </c>
      <c r="S106" s="153">
        <f t="shared" si="40"/>
        <v>0</v>
      </c>
      <c r="T106" s="151">
        <f t="shared" si="41"/>
        <v>407.6474061042648</v>
      </c>
      <c r="U106" s="151">
        <f t="shared" si="42"/>
        <v>34.712179772512123</v>
      </c>
      <c r="V106" s="151">
        <f t="shared" si="43"/>
        <v>24.794414123222946</v>
      </c>
      <c r="W106" s="151">
        <f t="shared" si="44"/>
        <v>28.73428246445901</v>
      </c>
      <c r="X106" s="299"/>
      <c r="Y106" s="299"/>
      <c r="AB106" s="148">
        <v>1.222E-3</v>
      </c>
      <c r="AC106" s="154">
        <f t="shared" si="45"/>
        <v>3</v>
      </c>
    </row>
    <row r="107" spans="1:29">
      <c r="A107" t="s">
        <v>208</v>
      </c>
      <c r="B107" s="145" t="str">
        <f>IFERROR(VLOOKUP(A107,'Tabela de Produtos'!A:B,2,0),"Preencher Cód. Produto")</f>
        <v>BRAZIMIL LÁTEX STANDARD INT/EXT SEMIBRILHO 15L ROSA PETALA</v>
      </c>
      <c r="C107" s="146">
        <v>3</v>
      </c>
      <c r="D107" s="147">
        <f>IFERROR(VLOOKUP(A107,'Tabela de Produtos'!A:U,21,0),"Preencher Cód. Produto")</f>
        <v>175.9</v>
      </c>
      <c r="E107" s="147">
        <v>175.9</v>
      </c>
      <c r="F107" s="147">
        <f>IFERROR(VLOOKUP(A107,'Tabela de Produtos'!A:T,20,0),"Preencher Cód. Produto")</f>
        <v>154.36799999999999</v>
      </c>
      <c r="G107" s="148">
        <f>SUM('Formação de Preço de Venda'!$BA$12:$BD$12)</f>
        <v>7.0000000000000007E-2</v>
      </c>
      <c r="H107" s="148">
        <f>'Formação de Preço de Venda'!$BE$12</f>
        <v>0.05</v>
      </c>
      <c r="I107" s="298"/>
      <c r="J107" s="149"/>
      <c r="K107" s="150">
        <f t="shared" si="36"/>
        <v>21.53</v>
      </c>
      <c r="L107" s="120">
        <f t="shared" si="34"/>
        <v>0.12239999999999999</v>
      </c>
      <c r="M107" s="120">
        <f t="shared" si="37"/>
        <v>1.6954542067843042E-3</v>
      </c>
      <c r="N107" s="120">
        <f t="shared" si="35"/>
        <v>2.0000000000000001E-4</v>
      </c>
      <c r="O107" s="120" t="str">
        <f>IFERROR(VLOOKUP(A107,'Tabela de Produtos'!A:V,23,0),"-")</f>
        <v>-</v>
      </c>
      <c r="P107" s="149"/>
      <c r="Q107" s="151">
        <f t="shared" si="38"/>
        <v>495.88828246445888</v>
      </c>
      <c r="R107" s="152">
        <f t="shared" si="39"/>
        <v>3</v>
      </c>
      <c r="S107" s="153">
        <f t="shared" si="40"/>
        <v>0</v>
      </c>
      <c r="T107" s="151">
        <f t="shared" si="41"/>
        <v>403.59740610426491</v>
      </c>
      <c r="U107" s="151">
        <f t="shared" si="42"/>
        <v>34.712179772512123</v>
      </c>
      <c r="V107" s="151">
        <f t="shared" si="43"/>
        <v>24.794414123222946</v>
      </c>
      <c r="W107" s="151">
        <f t="shared" si="44"/>
        <v>32.784282464458911</v>
      </c>
      <c r="X107" s="299"/>
      <c r="Y107" s="299"/>
      <c r="AB107" s="148">
        <v>1.222E-3</v>
      </c>
      <c r="AC107" s="154">
        <f t="shared" si="45"/>
        <v>3</v>
      </c>
    </row>
    <row r="108" spans="1:29">
      <c r="A108" t="s">
        <v>216</v>
      </c>
      <c r="B108" s="145" t="str">
        <f>IFERROR(VLOOKUP(A108,'Tabela de Produtos'!A:B,2,0),"Preencher Cód. Produto")</f>
        <v>BRAZIMIL LÁTEX STANDARD INT/EXT SEMIBRILHO 15L LILAS</v>
      </c>
      <c r="C108" s="146">
        <v>2</v>
      </c>
      <c r="D108" s="147">
        <f>IFERROR(VLOOKUP(A108,'Tabela de Produtos'!A:U,21,0),"Preencher Cód. Produto")</f>
        <v>175.9</v>
      </c>
      <c r="E108" s="147">
        <v>175.9</v>
      </c>
      <c r="F108" s="147">
        <f>IFERROR(VLOOKUP(A108,'Tabela de Produtos'!A:T,20,0),"Preencher Cód. Produto")</f>
        <v>140.71800000000002</v>
      </c>
      <c r="G108" s="148">
        <f>SUM('Formação de Preço de Venda'!$BA$12:$BD$12)</f>
        <v>7.0000000000000007E-2</v>
      </c>
      <c r="H108" s="148">
        <f>'Formação de Preço de Venda'!$BE$12</f>
        <v>0.05</v>
      </c>
      <c r="I108" s="298"/>
      <c r="J108" s="149"/>
      <c r="K108" s="150">
        <f t="shared" si="36"/>
        <v>35.18</v>
      </c>
      <c r="L108" s="120">
        <f t="shared" si="34"/>
        <v>0.2</v>
      </c>
      <c r="M108" s="120">
        <f t="shared" si="37"/>
        <v>1.1303028045228695E-3</v>
      </c>
      <c r="N108" s="120">
        <f t="shared" si="35"/>
        <v>2.0000000000000001E-4</v>
      </c>
      <c r="O108" s="120" t="str">
        <f>IFERROR(VLOOKUP(A108,'Tabela de Produtos'!A:V,23,0),"-")</f>
        <v>-</v>
      </c>
      <c r="P108" s="149"/>
      <c r="Q108" s="151">
        <f t="shared" si="38"/>
        <v>330.59218830963925</v>
      </c>
      <c r="R108" s="152">
        <f t="shared" si="39"/>
        <v>2</v>
      </c>
      <c r="S108" s="153">
        <f t="shared" si="40"/>
        <v>0</v>
      </c>
      <c r="T108" s="151">
        <f t="shared" si="41"/>
        <v>241.76493740284332</v>
      </c>
      <c r="U108" s="151">
        <f t="shared" si="42"/>
        <v>23.141453181674748</v>
      </c>
      <c r="V108" s="151">
        <f t="shared" si="43"/>
        <v>16.529609415481964</v>
      </c>
      <c r="W108" s="151">
        <f t="shared" si="44"/>
        <v>49.156188309639226</v>
      </c>
      <c r="X108" s="299"/>
      <c r="Y108" s="299"/>
      <c r="AB108" s="148">
        <v>1.116E-3</v>
      </c>
      <c r="AC108" s="154">
        <f t="shared" si="45"/>
        <v>2</v>
      </c>
    </row>
    <row r="109" spans="1:29">
      <c r="A109" t="s">
        <v>209</v>
      </c>
      <c r="B109" s="145" t="str">
        <f>IFERROR(VLOOKUP(A109,'Tabela de Produtos'!A:B,2,0),"Preencher Cód. Produto")</f>
        <v>BRAZIMIL LÁTEX STANDARD INT/EXT SEMIBRILHO 15L ACAI AMAZONICO</v>
      </c>
      <c r="C109" s="146">
        <v>2</v>
      </c>
      <c r="D109" s="147">
        <f>IFERROR(VLOOKUP(A109,'Tabela de Produtos'!A:U,21,0),"Preencher Cód. Produto")</f>
        <v>175.9</v>
      </c>
      <c r="E109" s="147">
        <v>175.9</v>
      </c>
      <c r="F109" s="147">
        <f>IFERROR(VLOOKUP(A109,'Tabela de Produtos'!A:T,20,0),"Preencher Cód. Produto")</f>
        <v>142.96800000000002</v>
      </c>
      <c r="G109" s="148">
        <f>SUM('Formação de Preço de Venda'!$BA$12:$BD$12)</f>
        <v>7.0000000000000007E-2</v>
      </c>
      <c r="H109" s="148">
        <f>'Formação de Preço de Venda'!$BE$12</f>
        <v>0.05</v>
      </c>
      <c r="I109" s="298"/>
      <c r="J109" s="149"/>
      <c r="K109" s="150">
        <f t="shared" si="36"/>
        <v>32.93</v>
      </c>
      <c r="L109" s="120">
        <f t="shared" si="34"/>
        <v>0.18720000000000001</v>
      </c>
      <c r="M109" s="120">
        <f t="shared" si="37"/>
        <v>1.1303028045228695E-3</v>
      </c>
      <c r="N109" s="120">
        <f t="shared" si="35"/>
        <v>2.0000000000000001E-4</v>
      </c>
      <c r="O109" s="120" t="str">
        <f>IFERROR(VLOOKUP(A109,'Tabela de Produtos'!A:V,23,0),"-")</f>
        <v>-</v>
      </c>
      <c r="P109" s="149"/>
      <c r="Q109" s="151">
        <f t="shared" si="38"/>
        <v>330.59218830963925</v>
      </c>
      <c r="R109" s="152">
        <f t="shared" si="39"/>
        <v>2</v>
      </c>
      <c r="S109" s="153">
        <f t="shared" si="40"/>
        <v>0</v>
      </c>
      <c r="T109" s="151">
        <f t="shared" si="41"/>
        <v>246.26493740284332</v>
      </c>
      <c r="U109" s="151">
        <f t="shared" si="42"/>
        <v>23.141453181674748</v>
      </c>
      <c r="V109" s="151">
        <f t="shared" si="43"/>
        <v>16.529609415481964</v>
      </c>
      <c r="W109" s="151">
        <f t="shared" si="44"/>
        <v>44.656188309639226</v>
      </c>
      <c r="X109" s="299"/>
      <c r="Y109" s="299"/>
      <c r="AB109" s="148">
        <v>1.062E-3</v>
      </c>
      <c r="AC109" s="154">
        <f t="shared" si="45"/>
        <v>2</v>
      </c>
    </row>
    <row r="110" spans="1:29">
      <c r="A110" t="s">
        <v>330</v>
      </c>
      <c r="B110" s="145" t="str">
        <f>IFERROR(VLOOKUP(A110,'Tabela de Produtos'!A:B,2,0),"Preencher Cód. Produto")</f>
        <v>BRAZIMIL TINTA PISO PREMIUM  INT/EXT FOSCO 3L CINZA MEDIO</v>
      </c>
      <c r="C110" s="146">
        <v>5</v>
      </c>
      <c r="D110" s="147">
        <f>IFERROR(VLOOKUP(A110,'Tabela de Produtos'!A:U,21,0),"Preencher Cód. Produto")</f>
        <v>39.9</v>
      </c>
      <c r="E110" s="147">
        <v>39.9</v>
      </c>
      <c r="F110" s="147">
        <f>IFERROR(VLOOKUP(A110,'Tabela de Produtos'!A:T,20,0),"Preencher Cód. Produto")</f>
        <v>24.757999999999996</v>
      </c>
      <c r="G110" s="148">
        <f>SUM('Formação de Preço de Venda'!$BA$12:$BD$12)</f>
        <v>7.0000000000000007E-2</v>
      </c>
      <c r="H110" s="148">
        <f>'Formação de Preço de Venda'!$BE$12</f>
        <v>0.05</v>
      </c>
      <c r="I110" s="298"/>
      <c r="J110" s="149"/>
      <c r="K110" s="150">
        <f t="shared" si="36"/>
        <v>15.14</v>
      </c>
      <c r="L110" s="120">
        <f t="shared" ref="L110:L141" si="46">IFERROR(ROUND(K110/E110,4),0)</f>
        <v>0.37940000000000002</v>
      </c>
      <c r="M110" s="120">
        <f t="shared" si="37"/>
        <v>6.4097614980759647E-4</v>
      </c>
      <c r="N110" s="120">
        <f t="shared" ref="N110:N141" si="47">ROUND(L110*M110,4)</f>
        <v>2.0000000000000001E-4</v>
      </c>
      <c r="O110" s="120" t="str">
        <f>IFERROR(VLOOKUP(A110,'Tabela de Produtos'!A:V,23,0),"-")</f>
        <v>-</v>
      </c>
      <c r="P110" s="149"/>
      <c r="Q110" s="151">
        <f t="shared" si="38"/>
        <v>187.47339843028149</v>
      </c>
      <c r="R110" s="152">
        <f t="shared" si="39"/>
        <v>5</v>
      </c>
      <c r="S110" s="153">
        <f t="shared" si="40"/>
        <v>0</v>
      </c>
      <c r="T110" s="151">
        <f t="shared" si="41"/>
        <v>101.29319218836619</v>
      </c>
      <c r="U110" s="151">
        <f t="shared" si="42"/>
        <v>13.123137890119706</v>
      </c>
      <c r="V110" s="151">
        <f t="shared" si="43"/>
        <v>9.3736699215140753</v>
      </c>
      <c r="W110" s="151">
        <f t="shared" si="44"/>
        <v>63.683398430281514</v>
      </c>
      <c r="X110" s="299"/>
      <c r="Y110" s="299"/>
      <c r="AB110" s="148">
        <v>5.8399999999999999E-4</v>
      </c>
      <c r="AC110" s="154">
        <f t="shared" si="45"/>
        <v>5</v>
      </c>
    </row>
    <row r="111" spans="1:29">
      <c r="A111" t="s">
        <v>215</v>
      </c>
      <c r="B111" s="145" t="str">
        <f>IFERROR(VLOOKUP(A111,'Tabela de Produtos'!A:B,2,0),"Preencher Cód. Produto")</f>
        <v>BRAZIMIL LÁTEX STANDARD INT/EXT SEMIBRILHO 15L AZUL INTENSO</v>
      </c>
      <c r="C111" s="146">
        <v>1</v>
      </c>
      <c r="D111" s="147">
        <f>IFERROR(VLOOKUP(A111,'Tabela de Produtos'!A:U,21,0),"Preencher Cód. Produto")</f>
        <v>175.9</v>
      </c>
      <c r="E111" s="147">
        <v>175.9</v>
      </c>
      <c r="F111" s="147">
        <f>IFERROR(VLOOKUP(A111,'Tabela de Produtos'!A:T,20,0),"Preencher Cód. Produto")</f>
        <v>147.31799999999998</v>
      </c>
      <c r="G111" s="148">
        <f>SUM('Formação de Preço de Venda'!$BA$12:$BD$12)</f>
        <v>7.0000000000000007E-2</v>
      </c>
      <c r="H111" s="148">
        <f>'Formação de Preço de Venda'!$BE$12</f>
        <v>0.05</v>
      </c>
      <c r="I111" s="298"/>
      <c r="J111" s="149"/>
      <c r="K111" s="150">
        <f t="shared" si="36"/>
        <v>28.58</v>
      </c>
      <c r="L111" s="120">
        <f t="shared" si="46"/>
        <v>0.16250000000000001</v>
      </c>
      <c r="M111" s="120">
        <f t="shared" si="37"/>
        <v>5.6515140226143473E-4</v>
      </c>
      <c r="N111" s="120">
        <f t="shared" si="47"/>
        <v>1E-4</v>
      </c>
      <c r="O111" s="120" t="str">
        <f>IFERROR(VLOOKUP(A111,'Tabela de Produtos'!A:V,23,0),"-")</f>
        <v>-</v>
      </c>
      <c r="P111" s="149"/>
      <c r="Q111" s="151">
        <f t="shared" si="38"/>
        <v>165.29609415481963</v>
      </c>
      <c r="R111" s="152">
        <f t="shared" si="39"/>
        <v>1</v>
      </c>
      <c r="S111" s="153">
        <f t="shared" si="40"/>
        <v>0</v>
      </c>
      <c r="T111" s="151">
        <f t="shared" si="41"/>
        <v>127.48246870142162</v>
      </c>
      <c r="U111" s="151">
        <f t="shared" si="42"/>
        <v>11.570726590837374</v>
      </c>
      <c r="V111" s="151">
        <f t="shared" si="43"/>
        <v>8.2648047077409821</v>
      </c>
      <c r="W111" s="151">
        <f t="shared" si="44"/>
        <v>17.978094154819647</v>
      </c>
      <c r="X111" s="299"/>
      <c r="Y111" s="299"/>
      <c r="AB111" s="148">
        <v>5.31E-4</v>
      </c>
      <c r="AC111" s="154">
        <f t="shared" si="45"/>
        <v>1</v>
      </c>
    </row>
    <row r="112" spans="1:29">
      <c r="A112" t="s">
        <v>419</v>
      </c>
      <c r="B112" s="145" t="str">
        <f>IFERROR(VLOOKUP(A112,'Tabela de Produtos'!A:B,2,0),"Preencher Cód. Produto")</f>
        <v>BRAZIMIL ESMALTE SINTETICO MADEIRAS E METAIS  FOSCO 0,75L VERDE FOLHA</v>
      </c>
      <c r="C112" s="146">
        <v>0</v>
      </c>
      <c r="D112" s="147">
        <f>IFERROR(VLOOKUP(A112,'Tabela de Produtos'!A:U,21,0),"Preencher Cód. Produto")</f>
        <v>0</v>
      </c>
      <c r="E112" s="147">
        <v>0</v>
      </c>
      <c r="F112" s="147">
        <f>IFERROR(VLOOKUP(A112,'Tabela de Produtos'!A:T,20,0),"Preencher Cód. Produto")</f>
        <v>0</v>
      </c>
      <c r="G112" s="148">
        <f>SUM('Formação de Preço de Venda'!$BA$12:$BD$12)</f>
        <v>7.0000000000000007E-2</v>
      </c>
      <c r="H112" s="148">
        <f>'Formação de Preço de Venda'!$BE$12</f>
        <v>0.05</v>
      </c>
      <c r="I112" s="298"/>
      <c r="J112" s="149"/>
      <c r="K112" s="150">
        <f t="shared" si="36"/>
        <v>0</v>
      </c>
      <c r="L112" s="120">
        <f t="shared" si="46"/>
        <v>0</v>
      </c>
      <c r="M112" s="120">
        <f t="shared" si="37"/>
        <v>0</v>
      </c>
      <c r="N112" s="120">
        <f t="shared" si="47"/>
        <v>0</v>
      </c>
      <c r="O112" s="120" t="str">
        <f>IFERROR(VLOOKUP(A112,'Tabela de Produtos'!A:V,23,0),"-")</f>
        <v>-</v>
      </c>
      <c r="P112" s="149"/>
      <c r="Q112" s="151">
        <f t="shared" si="38"/>
        <v>0</v>
      </c>
      <c r="R112" s="152">
        <f t="shared" si="39"/>
        <v>0</v>
      </c>
      <c r="S112" s="153">
        <f t="shared" si="40"/>
        <v>0</v>
      </c>
      <c r="T112" s="151">
        <f t="shared" si="41"/>
        <v>0</v>
      </c>
      <c r="U112" s="151">
        <f t="shared" si="42"/>
        <v>0</v>
      </c>
      <c r="V112" s="151">
        <f t="shared" si="43"/>
        <v>0</v>
      </c>
      <c r="W112" s="151">
        <f t="shared" si="44"/>
        <v>0</v>
      </c>
      <c r="X112" s="299"/>
      <c r="Y112" s="299"/>
      <c r="AB112" s="148">
        <v>3.19E-4</v>
      </c>
      <c r="AC112" s="154" t="e">
        <f t="shared" si="45"/>
        <v>#DIV/0!</v>
      </c>
    </row>
    <row r="113" spans="1:29">
      <c r="A113" t="s">
        <v>370</v>
      </c>
      <c r="B113" s="145" t="str">
        <f>IFERROR(VLOOKUP(A113,'Tabela de Produtos'!A:B,2,0),"Preencher Cód. Produto")</f>
        <v>BRAZIMIL BORRACHA LIQUIDA MULTIFUNÇÃO 14KG CINZA PLATINA</v>
      </c>
      <c r="C113" s="146">
        <v>1</v>
      </c>
      <c r="D113" s="147">
        <f>IFERROR(VLOOKUP(A113,'Tabela de Produtos'!A:U,21,0),"Preencher Cód. Produto")</f>
        <v>375.9</v>
      </c>
      <c r="E113" s="147">
        <v>375.9</v>
      </c>
      <c r="F113" s="147">
        <f>IFERROR(VLOOKUP(A113,'Tabela de Produtos'!A:T,20,0),"Preencher Cód. Produto")</f>
        <v>65.218000000000004</v>
      </c>
      <c r="G113" s="148">
        <f>SUM('Formação de Preço de Venda'!$BA$12:$BD$12)</f>
        <v>7.0000000000000007E-2</v>
      </c>
      <c r="H113" s="148">
        <f>'Formação de Preço de Venda'!$BE$12</f>
        <v>0.05</v>
      </c>
      <c r="I113" s="298"/>
      <c r="J113" s="149"/>
      <c r="K113" s="150">
        <f t="shared" si="36"/>
        <v>310.68</v>
      </c>
      <c r="L113" s="120">
        <f t="shared" si="46"/>
        <v>0.82650000000000001</v>
      </c>
      <c r="M113" s="120">
        <f t="shared" si="37"/>
        <v>1.2077340085848397E-3</v>
      </c>
      <c r="N113" s="120">
        <f t="shared" si="47"/>
        <v>1E-3</v>
      </c>
      <c r="O113" s="120" t="str">
        <f>IFERROR(VLOOKUP(A113,'Tabela de Produtos'!A:V,23,0),"-")</f>
        <v>-</v>
      </c>
      <c r="P113" s="149"/>
      <c r="Q113" s="151">
        <f t="shared" si="38"/>
        <v>353.23935072653035</v>
      </c>
      <c r="R113" s="152">
        <f t="shared" si="39"/>
        <v>1</v>
      </c>
      <c r="S113" s="153">
        <f t="shared" si="40"/>
        <v>0</v>
      </c>
      <c r="T113" s="151">
        <f t="shared" si="41"/>
        <v>22.829277912816362</v>
      </c>
      <c r="U113" s="151">
        <f t="shared" si="42"/>
        <v>24.726754550857127</v>
      </c>
      <c r="V113" s="151">
        <f t="shared" si="43"/>
        <v>17.661967536326518</v>
      </c>
      <c r="W113" s="151">
        <f t="shared" si="44"/>
        <v>288.02135072653033</v>
      </c>
      <c r="X113" s="299"/>
      <c r="Y113" s="299"/>
      <c r="AB113" s="148">
        <v>1.06E-4</v>
      </c>
      <c r="AC113" s="154">
        <f t="shared" si="45"/>
        <v>1</v>
      </c>
    </row>
    <row r="114" spans="1:29" ht="15.75" customHeight="1">
      <c r="A114" t="s">
        <v>278</v>
      </c>
      <c r="B114" s="145" t="str">
        <f>IFERROR(VLOOKUP(A114,'Tabela de Produtos'!A:B,2,0),"Preencher Cód. Produto")</f>
        <v>BRAZIMIL TINTA ACRILICA PREM INT/EXT FOSCO 15L CINZA INTENSO</v>
      </c>
      <c r="C114" s="146">
        <v>0</v>
      </c>
      <c r="D114" s="147">
        <f>IFERROR(VLOOKUP(A114,'Tabela de Produtos'!A:U,21,0),"Preencher Cód. Produto")</f>
        <v>0</v>
      </c>
      <c r="E114" s="147">
        <v>0</v>
      </c>
      <c r="F114" s="147">
        <f>IFERROR(VLOOKUP(A114,'Tabela de Produtos'!A:T,20,0),"Preencher Cód. Produto")</f>
        <v>0</v>
      </c>
      <c r="G114" s="148">
        <f>SUM('Formação de Preço de Venda'!$BA$12:$BD$12)</f>
        <v>7.0000000000000007E-2</v>
      </c>
      <c r="H114" s="148">
        <f>'Formação de Preço de Venda'!$BE$12</f>
        <v>0.05</v>
      </c>
      <c r="I114" s="298"/>
      <c r="J114" s="149"/>
      <c r="K114" s="150">
        <f t="shared" si="36"/>
        <v>0</v>
      </c>
      <c r="L114" s="120">
        <f t="shared" si="46"/>
        <v>0</v>
      </c>
      <c r="M114" s="120">
        <f t="shared" si="37"/>
        <v>0</v>
      </c>
      <c r="N114" s="120">
        <f t="shared" si="47"/>
        <v>0</v>
      </c>
      <c r="O114" s="120" t="str">
        <f>IFERROR(VLOOKUP(A114,'Tabela de Produtos'!A:V,23,0),"-")</f>
        <v>-</v>
      </c>
      <c r="P114" s="149"/>
      <c r="Q114" s="151">
        <f t="shared" si="38"/>
        <v>0</v>
      </c>
      <c r="R114" s="152">
        <f t="shared" si="39"/>
        <v>0</v>
      </c>
      <c r="S114" s="153">
        <f t="shared" si="40"/>
        <v>0</v>
      </c>
      <c r="T114" s="151">
        <f t="shared" si="41"/>
        <v>0</v>
      </c>
      <c r="U114" s="151">
        <f t="shared" si="42"/>
        <v>0</v>
      </c>
      <c r="V114" s="151">
        <f t="shared" si="43"/>
        <v>0</v>
      </c>
      <c r="W114" s="151">
        <f t="shared" si="44"/>
        <v>0</v>
      </c>
      <c r="X114" s="299"/>
      <c r="Y114" s="299"/>
      <c r="AB114" s="148">
        <v>1.06E-4</v>
      </c>
      <c r="AC114" s="154" t="e">
        <f t="shared" si="45"/>
        <v>#DIV/0!</v>
      </c>
    </row>
    <row r="115" spans="1:29" ht="15.75" customHeight="1">
      <c r="A115" t="s">
        <v>413</v>
      </c>
      <c r="B115" s="145" t="str">
        <f>IFERROR(VLOOKUP(A115,'Tabela de Produtos'!A:B,2,0),"Preencher Cód. Produto")</f>
        <v>BRAZIMIL ESMALTE SINTETICO MADEIRAS E METAIS  FOSCO 0,75L PRETO</v>
      </c>
      <c r="C115" s="146">
        <v>0</v>
      </c>
      <c r="D115" s="147">
        <f>IFERROR(VLOOKUP(A115,'Tabela de Produtos'!A:U,21,0),"Preencher Cód. Produto")</f>
        <v>0</v>
      </c>
      <c r="E115" s="147">
        <v>0</v>
      </c>
      <c r="F115" s="147">
        <f>IFERROR(VLOOKUP(A115,'Tabela de Produtos'!A:T,20,0),"Preencher Cód. Produto")</f>
        <v>0</v>
      </c>
      <c r="G115" s="148">
        <f>SUM('Formação de Preço de Venda'!$BA$12:$BD$12)</f>
        <v>7.0000000000000007E-2</v>
      </c>
      <c r="H115" s="148">
        <f>'Formação de Preço de Venda'!$BE$12</f>
        <v>0.05</v>
      </c>
      <c r="I115" s="298"/>
      <c r="J115" s="149"/>
      <c r="K115" s="150">
        <f t="shared" si="36"/>
        <v>0</v>
      </c>
      <c r="L115" s="120">
        <f t="shared" si="46"/>
        <v>0</v>
      </c>
      <c r="M115" s="120">
        <f t="shared" si="37"/>
        <v>0</v>
      </c>
      <c r="N115" s="120">
        <f t="shared" si="47"/>
        <v>0</v>
      </c>
      <c r="O115" s="120" t="str">
        <f>IFERROR(VLOOKUP(A115,'Tabela de Produtos'!A:V,23,0),"-")</f>
        <v>-</v>
      </c>
      <c r="P115" s="149"/>
      <c r="Q115" s="151">
        <f t="shared" si="38"/>
        <v>0</v>
      </c>
      <c r="R115" s="152">
        <f t="shared" si="39"/>
        <v>0</v>
      </c>
      <c r="S115" s="153">
        <f t="shared" si="40"/>
        <v>0</v>
      </c>
      <c r="T115" s="151">
        <f t="shared" si="41"/>
        <v>0</v>
      </c>
      <c r="U115" s="151">
        <f t="shared" si="42"/>
        <v>0</v>
      </c>
      <c r="V115" s="151">
        <f t="shared" si="43"/>
        <v>0</v>
      </c>
      <c r="W115" s="151">
        <f t="shared" si="44"/>
        <v>0</v>
      </c>
      <c r="X115" s="299"/>
      <c r="Y115" s="299"/>
      <c r="AB115" s="148">
        <v>5.3000000000000001E-5</v>
      </c>
      <c r="AC115" s="154" t="e">
        <f t="shared" si="45"/>
        <v>#DIV/0!</v>
      </c>
    </row>
    <row r="116" spans="1:29" ht="15.75" customHeight="1">
      <c r="A116" t="s">
        <v>414</v>
      </c>
      <c r="B116" s="145" t="str">
        <f>IFERROR(VLOOKUP(A116,'Tabela de Produtos'!A:B,2,0),"Preencher Cód. Produto")</f>
        <v>BRAZIMIL ESMALTE SINTETICO MADEIRAS E METAIS  FOSCO 0,75L CINZA</v>
      </c>
      <c r="C116" s="146">
        <v>0</v>
      </c>
      <c r="D116" s="147">
        <f>IFERROR(VLOOKUP(A116,'Tabela de Produtos'!A:U,21,0),"Preencher Cód. Produto")</f>
        <v>0</v>
      </c>
      <c r="E116" s="147">
        <v>0</v>
      </c>
      <c r="F116" s="147">
        <f>IFERROR(VLOOKUP(A116,'Tabela de Produtos'!A:T,20,0),"Preencher Cód. Produto")</f>
        <v>0</v>
      </c>
      <c r="G116" s="148">
        <f>SUM('Formação de Preço de Venda'!$BA$12:$BD$12)</f>
        <v>7.0000000000000007E-2</v>
      </c>
      <c r="H116" s="148">
        <f>'Formação de Preço de Venda'!$BE$12</f>
        <v>0.05</v>
      </c>
      <c r="I116" s="298"/>
      <c r="J116" s="149"/>
      <c r="K116" s="150">
        <f t="shared" si="36"/>
        <v>0</v>
      </c>
      <c r="L116" s="120">
        <f t="shared" si="46"/>
        <v>0</v>
      </c>
      <c r="M116" s="120">
        <f t="shared" si="37"/>
        <v>0</v>
      </c>
      <c r="N116" s="120">
        <f t="shared" si="47"/>
        <v>0</v>
      </c>
      <c r="O116" s="120" t="str">
        <f>IFERROR(VLOOKUP(A116,'Tabela de Produtos'!A:V,23,0),"-")</f>
        <v>-</v>
      </c>
      <c r="P116" s="149"/>
      <c r="Q116" s="151">
        <f t="shared" si="38"/>
        <v>0</v>
      </c>
      <c r="R116" s="152">
        <f t="shared" si="39"/>
        <v>0</v>
      </c>
      <c r="S116" s="153">
        <f t="shared" si="40"/>
        <v>0</v>
      </c>
      <c r="T116" s="151">
        <f t="shared" si="41"/>
        <v>0</v>
      </c>
      <c r="U116" s="151">
        <f t="shared" si="42"/>
        <v>0</v>
      </c>
      <c r="V116" s="151">
        <f t="shared" si="43"/>
        <v>0</v>
      </c>
      <c r="W116" s="151">
        <f t="shared" si="44"/>
        <v>0</v>
      </c>
      <c r="X116" s="299"/>
      <c r="Y116" s="299"/>
      <c r="AB116" s="148">
        <v>5.3000000000000001E-5</v>
      </c>
      <c r="AC116" s="154" t="e">
        <f t="shared" si="45"/>
        <v>#DIV/0!</v>
      </c>
    </row>
    <row r="117" spans="1:29" ht="15.75" customHeight="1">
      <c r="A117" t="s">
        <v>149</v>
      </c>
      <c r="B117" s="145" t="str">
        <f>IFERROR(VLOOKUP(A117,'Tabela de Produtos'!A:B,2,0),"Preencher Cód. Produto")</f>
        <v>BRAZIMIL LÁTEX STANDARD INT/EXT FOSCO 3L BRANCO NEVE</v>
      </c>
      <c r="C117" s="146">
        <v>0</v>
      </c>
      <c r="D117" s="147">
        <f>IFERROR(VLOOKUP(A117,'Tabela de Produtos'!A:U,21,0),"Preencher Cód. Produto")</f>
        <v>25</v>
      </c>
      <c r="E117" s="147">
        <v>25</v>
      </c>
      <c r="F117" s="147">
        <f>IFERROR(VLOOKUP(A117,'Tabela de Produtos'!A:T,20,0),"Preencher Cód. Produto")</f>
        <v>17.18</v>
      </c>
      <c r="G117" s="148">
        <f>SUM('Formação de Preço de Venda'!$BA$12:$BD$12)</f>
        <v>7.0000000000000007E-2</v>
      </c>
      <c r="H117" s="148">
        <f>'Formação de Preço de Venda'!$BE$12</f>
        <v>0.05</v>
      </c>
      <c r="I117" s="298"/>
      <c r="J117" s="149"/>
      <c r="K117" s="150">
        <f t="shared" si="36"/>
        <v>7.82</v>
      </c>
      <c r="L117" s="120">
        <f t="shared" si="46"/>
        <v>0.31280000000000002</v>
      </c>
      <c r="M117" s="120">
        <f t="shared" si="37"/>
        <v>0</v>
      </c>
      <c r="N117" s="120">
        <f t="shared" si="47"/>
        <v>0</v>
      </c>
      <c r="O117" s="120" t="str">
        <f>IFERROR(VLOOKUP(A117,'Tabela de Produtos'!A:V,23,0),"-")</f>
        <v>-</v>
      </c>
      <c r="P117" s="149"/>
      <c r="Q117" s="151">
        <f t="shared" si="38"/>
        <v>0</v>
      </c>
      <c r="R117" s="152">
        <f t="shared" si="39"/>
        <v>0</v>
      </c>
      <c r="S117" s="153">
        <f t="shared" si="40"/>
        <v>0</v>
      </c>
      <c r="T117" s="151">
        <f t="shared" si="41"/>
        <v>0</v>
      </c>
      <c r="U117" s="151">
        <f t="shared" si="42"/>
        <v>0</v>
      </c>
      <c r="V117" s="151">
        <f t="shared" si="43"/>
        <v>0</v>
      </c>
      <c r="W117" s="151">
        <f t="shared" si="44"/>
        <v>0</v>
      </c>
      <c r="X117" s="299"/>
      <c r="Y117" s="299"/>
      <c r="AB117" s="148">
        <v>0</v>
      </c>
      <c r="AC117" s="154">
        <f t="shared" si="45"/>
        <v>0</v>
      </c>
    </row>
    <row r="118" spans="1:29" ht="15.75" customHeight="1">
      <c r="B118" s="145" t="str">
        <f>IFERROR(VLOOKUP(A118,'Tabela de Produtos'!A:B,2,0),"Preencher Cód. Produto")</f>
        <v>Preencher Cód. Produto</v>
      </c>
      <c r="C118" s="146">
        <v>0</v>
      </c>
      <c r="D118" s="147" t="str">
        <f>IFERROR(VLOOKUP(A118,'Tabela de Produtos'!A:U,21,0),"Preencher Cód. Produto")</f>
        <v>Preencher Cód. Produto</v>
      </c>
      <c r="E118" s="147">
        <v>0</v>
      </c>
      <c r="F118" s="147" t="str">
        <f>IFERROR(VLOOKUP(A118,'Tabela de Produtos'!A:T,20,0),"Preencher Cód. Produto")</f>
        <v>Preencher Cód. Produto</v>
      </c>
      <c r="G118" s="148">
        <f>SUM('Formação de Preço de Venda'!$BA$12:$BD$12)</f>
        <v>7.0000000000000007E-2</v>
      </c>
      <c r="H118" s="148">
        <f>'Formação de Preço de Venda'!$BE$12</f>
        <v>0.05</v>
      </c>
      <c r="I118" s="298"/>
      <c r="J118" s="149"/>
      <c r="K118" s="150">
        <f t="shared" si="36"/>
        <v>0</v>
      </c>
      <c r="L118" s="120">
        <f t="shared" si="46"/>
        <v>0</v>
      </c>
      <c r="M118" s="120">
        <f t="shared" si="37"/>
        <v>0</v>
      </c>
      <c r="N118" s="120">
        <f t="shared" si="47"/>
        <v>0</v>
      </c>
      <c r="O118" s="120" t="str">
        <f>IFERROR(VLOOKUP(A118,'Tabela de Produtos'!A:V,23,0),"-")</f>
        <v>-</v>
      </c>
      <c r="P118" s="149"/>
      <c r="Q118" s="151">
        <f t="shared" si="38"/>
        <v>0</v>
      </c>
      <c r="R118" s="152">
        <f t="shared" si="39"/>
        <v>0</v>
      </c>
      <c r="S118" s="153">
        <f t="shared" si="40"/>
        <v>0</v>
      </c>
      <c r="T118" s="151">
        <f t="shared" si="41"/>
        <v>0</v>
      </c>
      <c r="U118" s="151">
        <f t="shared" si="42"/>
        <v>0</v>
      </c>
      <c r="V118" s="151">
        <f t="shared" si="43"/>
        <v>0</v>
      </c>
      <c r="W118" s="151">
        <f t="shared" si="44"/>
        <v>0</v>
      </c>
      <c r="X118" s="299"/>
      <c r="Y118" s="299"/>
      <c r="AB118" s="148"/>
      <c r="AC118" s="154" t="e">
        <f t="shared" si="45"/>
        <v>#DIV/0!</v>
      </c>
    </row>
    <row r="119" spans="1:29" ht="15.75" customHeight="1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T119" s="151"/>
      <c r="U119" s="151"/>
      <c r="V119" s="151"/>
      <c r="W119" s="151"/>
      <c r="X119" s="155"/>
      <c r="Y119" s="155"/>
    </row>
    <row r="120" spans="1:29" ht="15.75" customHeight="1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56" t="s">
        <v>1162</v>
      </c>
      <c r="L120" s="156"/>
      <c r="M120" s="156">
        <f>SUM(M9:M118)</f>
        <v>0.99999999999999967</v>
      </c>
      <c r="N120" s="157">
        <f>ROUND(SUM(N9:N118),4)</f>
        <v>0.2918</v>
      </c>
      <c r="O120" s="158"/>
      <c r="P120" s="149"/>
      <c r="Q120" s="159">
        <f>C5</f>
        <v>292481.08293351613</v>
      </c>
      <c r="R120" s="159">
        <f t="shared" ref="R120:W120" si="48">SUM(R9:R118)</f>
        <v>6779</v>
      </c>
      <c r="S120" s="159">
        <f t="shared" si="48"/>
        <v>-383</v>
      </c>
      <c r="T120" s="159">
        <f t="shared" si="48"/>
        <v>174516.50904797809</v>
      </c>
      <c r="U120" s="159">
        <f t="shared" si="48"/>
        <v>20473.675805346138</v>
      </c>
      <c r="V120" s="159">
        <f t="shared" si="48"/>
        <v>14624.054146675815</v>
      </c>
      <c r="W120" s="159">
        <f t="shared" si="48"/>
        <v>82866.843933516255</v>
      </c>
      <c r="X120" s="159"/>
      <c r="Y120" s="159"/>
    </row>
  </sheetData>
  <mergeCells count="8">
    <mergeCell ref="I9:I118"/>
    <mergeCell ref="X9:X118"/>
    <mergeCell ref="Y9:Y118"/>
    <mergeCell ref="A1:N1"/>
    <mergeCell ref="A3:B3"/>
    <mergeCell ref="A5:B5"/>
    <mergeCell ref="K5:O5"/>
    <mergeCell ref="Q5:Y5"/>
  </mergeCells>
  <conditionalFormatting sqref="O9:O118">
    <cfRule type="cellIs" dxfId="8" priority="2" operator="greaterThan">
      <formula>0.4</formula>
    </cfRule>
  </conditionalFormatting>
  <conditionalFormatting sqref="S9:S118">
    <cfRule type="cellIs" dxfId="7" priority="3" operator="greaterThan">
      <formula>0</formula>
    </cfRule>
    <cfRule type="cellIs" dxfId="6" priority="4" operator="greaterThanOrEqual">
      <formula>0</formula>
    </cfRule>
  </conditionalFormatting>
  <pageMargins left="0.51180555555555596" right="0.51180555555555596" top="0.78749999999999998" bottom="0.78749999999999998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baseColWidth="10" defaultColWidth="12.5" defaultRowHeight="15"/>
  <cols>
    <col min="1" max="1" width="8.5" customWidth="1"/>
    <col min="2" max="2" width="55.83203125" customWidth="1"/>
    <col min="8" max="8" width="16.5" customWidth="1"/>
    <col min="11" max="11" width="10.5" customWidth="1"/>
    <col min="14" max="14" width="13.5" customWidth="1"/>
    <col min="15" max="15" width="11.1640625" customWidth="1"/>
    <col min="17" max="17" width="9.5" customWidth="1"/>
    <col min="18" max="26" width="8.5" customWidth="1"/>
  </cols>
  <sheetData>
    <row r="1" spans="1:14" ht="33.75" customHeight="1">
      <c r="C1" s="301" t="s">
        <v>1163</v>
      </c>
      <c r="D1" s="301"/>
      <c r="E1" s="301"/>
      <c r="F1" s="301"/>
      <c r="G1" s="301"/>
      <c r="I1" s="120"/>
      <c r="J1" s="301" t="s">
        <v>1164</v>
      </c>
      <c r="K1" s="301"/>
      <c r="L1" s="301"/>
      <c r="M1" s="301"/>
      <c r="N1" s="301"/>
    </row>
    <row r="2" spans="1:14" ht="60.75" customHeight="1">
      <c r="A2" s="160" t="s">
        <v>1165</v>
      </c>
      <c r="B2" s="160" t="s">
        <v>1166</v>
      </c>
      <c r="C2" s="161" t="s">
        <v>1167</v>
      </c>
      <c r="D2" s="162" t="s">
        <v>1168</v>
      </c>
      <c r="E2" s="163" t="s">
        <v>503</v>
      </c>
      <c r="F2" s="164" t="s">
        <v>1169</v>
      </c>
      <c r="G2" s="165" t="s">
        <v>1170</v>
      </c>
      <c r="H2" s="166" t="s">
        <v>1171</v>
      </c>
      <c r="I2" s="165" t="s">
        <v>1172</v>
      </c>
      <c r="J2" s="161" t="s">
        <v>1173</v>
      </c>
      <c r="K2" s="164" t="s">
        <v>1167</v>
      </c>
      <c r="L2" s="162" t="s">
        <v>1168</v>
      </c>
      <c r="M2" s="163" t="s">
        <v>503</v>
      </c>
      <c r="N2" s="165" t="s">
        <v>1174</v>
      </c>
    </row>
    <row r="3" spans="1:14" ht="14.25" customHeight="1">
      <c r="A3" s="167" t="s">
        <v>81</v>
      </c>
      <c r="B3" s="168" t="s">
        <v>540</v>
      </c>
      <c r="C3" s="169" t="e">
        <f>VLOOKUP(A3,'Tabela de Produtos'!A:U,22,0)</f>
        <v>#REF!</v>
      </c>
      <c r="D3" s="170"/>
      <c r="E3" s="169" t="e">
        <f t="shared" ref="E3:E48" si="0">C3*D3</f>
        <v>#REF!</v>
      </c>
      <c r="F3" s="171" t="e">
        <f t="shared" ref="F3:F48" si="1">(C3-G3)/C3</f>
        <v>#REF!</v>
      </c>
      <c r="G3" s="172" t="e">
        <f>VLOOKUP(A3,'Tabela de Produtos'!A:T,21,0)</f>
        <v>#REF!</v>
      </c>
      <c r="H3" s="173">
        <v>17.579999999999998</v>
      </c>
      <c r="I3" s="172" t="e">
        <f t="shared" ref="I3:I38" si="2">C3-H3</f>
        <v>#REF!</v>
      </c>
      <c r="J3" s="174">
        <v>0.2</v>
      </c>
      <c r="K3" s="169" t="e">
        <f t="shared" ref="K3:K48" si="3">(1+J3)*C3</f>
        <v>#REF!</v>
      </c>
      <c r="L3" s="170"/>
      <c r="M3" s="169" t="e">
        <f t="shared" ref="M3:M48" si="4">K3*L3</f>
        <v>#REF!</v>
      </c>
      <c r="N3" s="175" t="e">
        <f t="shared" ref="N3:N48" si="5">(K3-G3)/C3</f>
        <v>#REF!</v>
      </c>
    </row>
    <row r="4" spans="1:14" ht="14.25" customHeight="1">
      <c r="A4" s="167" t="s">
        <v>82</v>
      </c>
      <c r="B4" s="168" t="s">
        <v>546</v>
      </c>
      <c r="C4" s="169" t="e">
        <f>VLOOKUP(A4,'Tabela de Produtos'!A:U,22,0)</f>
        <v>#REF!</v>
      </c>
      <c r="D4" s="170"/>
      <c r="E4" s="169" t="e">
        <f t="shared" si="0"/>
        <v>#REF!</v>
      </c>
      <c r="F4" s="171" t="e">
        <f t="shared" si="1"/>
        <v>#REF!</v>
      </c>
      <c r="G4" s="172" t="e">
        <f>VLOOKUP(A4,'Tabela de Produtos'!A:T,21,0)</f>
        <v>#REF!</v>
      </c>
      <c r="H4" s="173">
        <v>43.29</v>
      </c>
      <c r="I4" s="172" t="e">
        <f t="shared" si="2"/>
        <v>#REF!</v>
      </c>
      <c r="J4" s="174">
        <v>0.2</v>
      </c>
      <c r="K4" s="176" t="e">
        <f t="shared" si="3"/>
        <v>#REF!</v>
      </c>
      <c r="L4" s="170"/>
      <c r="M4" s="169" t="e">
        <f t="shared" si="4"/>
        <v>#REF!</v>
      </c>
      <c r="N4" s="175" t="e">
        <f t="shared" si="5"/>
        <v>#REF!</v>
      </c>
    </row>
    <row r="5" spans="1:14" ht="14.25" customHeight="1">
      <c r="A5" s="167" t="s">
        <v>83</v>
      </c>
      <c r="B5" s="168" t="s">
        <v>547</v>
      </c>
      <c r="C5" s="169" t="e">
        <f>VLOOKUP(A5,'Tabela de Produtos'!A:U,22,0)</f>
        <v>#REF!</v>
      </c>
      <c r="D5" s="170"/>
      <c r="E5" s="169" t="e">
        <f t="shared" si="0"/>
        <v>#REF!</v>
      </c>
      <c r="F5" s="171" t="e">
        <f t="shared" si="1"/>
        <v>#REF!</v>
      </c>
      <c r="G5" s="172" t="e">
        <f>VLOOKUP(A5,'Tabela de Produtos'!A:T,21,0)</f>
        <v>#REF!</v>
      </c>
      <c r="H5" s="173">
        <v>17.579999999999998</v>
      </c>
      <c r="I5" s="172" t="e">
        <f t="shared" si="2"/>
        <v>#REF!</v>
      </c>
      <c r="J5" s="174">
        <v>0.2</v>
      </c>
      <c r="K5" s="176" t="e">
        <f t="shared" si="3"/>
        <v>#REF!</v>
      </c>
      <c r="L5" s="170"/>
      <c r="M5" s="169" t="e">
        <f t="shared" si="4"/>
        <v>#REF!</v>
      </c>
      <c r="N5" s="175" t="e">
        <f t="shared" si="5"/>
        <v>#REF!</v>
      </c>
    </row>
    <row r="6" spans="1:14" ht="14.25" customHeight="1">
      <c r="A6" s="167" t="s">
        <v>84</v>
      </c>
      <c r="B6" s="168" t="s">
        <v>552</v>
      </c>
      <c r="C6" s="169" t="e">
        <f>VLOOKUP(A6,'Tabela de Produtos'!A:U,22,0)</f>
        <v>#REF!</v>
      </c>
      <c r="D6" s="170"/>
      <c r="E6" s="169" t="e">
        <f t="shared" si="0"/>
        <v>#REF!</v>
      </c>
      <c r="F6" s="171" t="e">
        <f t="shared" si="1"/>
        <v>#REF!</v>
      </c>
      <c r="G6" s="172" t="e">
        <f>VLOOKUP(A6,'Tabela de Produtos'!A:T,21,0)</f>
        <v>#REF!</v>
      </c>
      <c r="H6" s="173">
        <v>70.47</v>
      </c>
      <c r="I6" s="172" t="e">
        <f t="shared" si="2"/>
        <v>#REF!</v>
      </c>
      <c r="J6" s="174">
        <v>0.2</v>
      </c>
      <c r="K6" s="176" t="e">
        <f t="shared" si="3"/>
        <v>#REF!</v>
      </c>
      <c r="L6" s="170"/>
      <c r="M6" s="169" t="e">
        <f t="shared" si="4"/>
        <v>#REF!</v>
      </c>
      <c r="N6" s="175" t="e">
        <f t="shared" si="5"/>
        <v>#REF!</v>
      </c>
    </row>
    <row r="7" spans="1:14" ht="14.25" customHeight="1">
      <c r="A7" s="167" t="s">
        <v>87</v>
      </c>
      <c r="B7" s="168" t="s">
        <v>558</v>
      </c>
      <c r="C7" s="169" t="e">
        <f>VLOOKUP(A7,'Tabela de Produtos'!A:U,22,0)</f>
        <v>#REF!</v>
      </c>
      <c r="D7" s="170"/>
      <c r="E7" s="169" t="e">
        <f t="shared" si="0"/>
        <v>#REF!</v>
      </c>
      <c r="F7" s="171" t="e">
        <f t="shared" si="1"/>
        <v>#REF!</v>
      </c>
      <c r="G7" s="172" t="e">
        <f>VLOOKUP(A7,'Tabela de Produtos'!A:T,21,0)</f>
        <v>#REF!</v>
      </c>
      <c r="H7" s="173">
        <v>23.49</v>
      </c>
      <c r="I7" s="172" t="e">
        <f t="shared" si="2"/>
        <v>#REF!</v>
      </c>
      <c r="J7" s="174">
        <v>0.2</v>
      </c>
      <c r="K7" s="176" t="e">
        <f t="shared" si="3"/>
        <v>#REF!</v>
      </c>
      <c r="L7" s="170"/>
      <c r="M7" s="169" t="e">
        <f t="shared" si="4"/>
        <v>#REF!</v>
      </c>
      <c r="N7" s="175" t="e">
        <f t="shared" si="5"/>
        <v>#REF!</v>
      </c>
    </row>
    <row r="8" spans="1:14" ht="14.25" customHeight="1">
      <c r="A8" s="167" t="s">
        <v>88</v>
      </c>
      <c r="B8" s="168" t="s">
        <v>561</v>
      </c>
      <c r="C8" s="169" t="e">
        <f>VLOOKUP(A8,'Tabela de Produtos'!A:U,22,0)</f>
        <v>#REF!</v>
      </c>
      <c r="D8" s="170"/>
      <c r="E8" s="169" t="e">
        <f t="shared" si="0"/>
        <v>#REF!</v>
      </c>
      <c r="F8" s="171" t="e">
        <f t="shared" si="1"/>
        <v>#REF!</v>
      </c>
      <c r="G8" s="172" t="e">
        <f>VLOOKUP(A8,'Tabela de Produtos'!A:T,21,0)</f>
        <v>#REF!</v>
      </c>
      <c r="H8" s="173">
        <v>78.319999999999993</v>
      </c>
      <c r="I8" s="172" t="e">
        <f t="shared" si="2"/>
        <v>#REF!</v>
      </c>
      <c r="J8" s="174">
        <v>0.2</v>
      </c>
      <c r="K8" s="176" t="e">
        <f t="shared" si="3"/>
        <v>#REF!</v>
      </c>
      <c r="L8" s="170"/>
      <c r="M8" s="169" t="e">
        <f t="shared" si="4"/>
        <v>#REF!</v>
      </c>
      <c r="N8" s="175" t="e">
        <f t="shared" si="5"/>
        <v>#REF!</v>
      </c>
    </row>
    <row r="9" spans="1:14" ht="14.25" customHeight="1">
      <c r="A9" s="167" t="s">
        <v>89</v>
      </c>
      <c r="B9" s="168" t="s">
        <v>562</v>
      </c>
      <c r="C9" s="169" t="e">
        <f>VLOOKUP(A9,'Tabela de Produtos'!A:U,22,0)</f>
        <v>#REF!</v>
      </c>
      <c r="D9" s="170"/>
      <c r="E9" s="169" t="e">
        <f t="shared" si="0"/>
        <v>#REF!</v>
      </c>
      <c r="F9" s="171" t="e">
        <f t="shared" si="1"/>
        <v>#REF!</v>
      </c>
      <c r="G9" s="172" t="e">
        <f>VLOOKUP(A9,'Tabela de Produtos'!A:T,21,0)</f>
        <v>#REF!</v>
      </c>
      <c r="H9" s="173">
        <v>18.39</v>
      </c>
      <c r="I9" s="172" t="e">
        <f t="shared" si="2"/>
        <v>#REF!</v>
      </c>
      <c r="J9" s="174">
        <v>0.2</v>
      </c>
      <c r="K9" s="176" t="e">
        <f t="shared" si="3"/>
        <v>#REF!</v>
      </c>
      <c r="L9" s="170"/>
      <c r="M9" s="169" t="e">
        <f t="shared" si="4"/>
        <v>#REF!</v>
      </c>
      <c r="N9" s="175" t="e">
        <f t="shared" si="5"/>
        <v>#REF!</v>
      </c>
    </row>
    <row r="10" spans="1:14" ht="14.25" customHeight="1">
      <c r="A10" s="167" t="s">
        <v>90</v>
      </c>
      <c r="B10" s="168" t="s">
        <v>567</v>
      </c>
      <c r="C10" s="169" t="e">
        <f>VLOOKUP(A10,'Tabela de Produtos'!A:U,22,0)</f>
        <v>#REF!</v>
      </c>
      <c r="D10" s="170"/>
      <c r="E10" s="169" t="e">
        <f t="shared" si="0"/>
        <v>#REF!</v>
      </c>
      <c r="F10" s="171" t="e">
        <f t="shared" si="1"/>
        <v>#REF!</v>
      </c>
      <c r="G10" s="172" t="e">
        <f>VLOOKUP(A10,'Tabela de Produtos'!A:T,21,0)</f>
        <v>#REF!</v>
      </c>
      <c r="H10" s="173">
        <v>18.39</v>
      </c>
      <c r="I10" s="172" t="e">
        <f t="shared" si="2"/>
        <v>#REF!</v>
      </c>
      <c r="J10" s="174">
        <v>0.2</v>
      </c>
      <c r="K10" s="176" t="e">
        <f t="shared" si="3"/>
        <v>#REF!</v>
      </c>
      <c r="L10" s="170"/>
      <c r="M10" s="169" t="e">
        <f t="shared" si="4"/>
        <v>#REF!</v>
      </c>
      <c r="N10" s="175" t="e">
        <f t="shared" si="5"/>
        <v>#REF!</v>
      </c>
    </row>
    <row r="11" spans="1:14" ht="14.25" customHeight="1">
      <c r="A11" s="167" t="s">
        <v>91</v>
      </c>
      <c r="B11" s="168" t="s">
        <v>570</v>
      </c>
      <c r="C11" s="169" t="e">
        <f>VLOOKUP(A11,'Tabela de Produtos'!A:U,22,0)</f>
        <v>#REF!</v>
      </c>
      <c r="D11" s="170"/>
      <c r="E11" s="169" t="e">
        <f t="shared" si="0"/>
        <v>#REF!</v>
      </c>
      <c r="F11" s="171" t="e">
        <f t="shared" si="1"/>
        <v>#REF!</v>
      </c>
      <c r="G11" s="172" t="e">
        <f>VLOOKUP(A11,'Tabela de Produtos'!A:T,21,0)</f>
        <v>#REF!</v>
      </c>
      <c r="H11" s="173">
        <v>18.39</v>
      </c>
      <c r="I11" s="172" t="e">
        <f t="shared" si="2"/>
        <v>#REF!</v>
      </c>
      <c r="J11" s="174">
        <v>0.2</v>
      </c>
      <c r="K11" s="176" t="e">
        <f t="shared" si="3"/>
        <v>#REF!</v>
      </c>
      <c r="L11" s="170"/>
      <c r="M11" s="169" t="e">
        <f t="shared" si="4"/>
        <v>#REF!</v>
      </c>
      <c r="N11" s="175" t="e">
        <f t="shared" si="5"/>
        <v>#REF!</v>
      </c>
    </row>
    <row r="12" spans="1:14" ht="14.25" customHeight="1">
      <c r="A12" s="167" t="s">
        <v>92</v>
      </c>
      <c r="B12" s="168" t="s">
        <v>573</v>
      </c>
      <c r="C12" s="169" t="e">
        <f>VLOOKUP(A12,'Tabela de Produtos'!A:U,22,0)</f>
        <v>#REF!</v>
      </c>
      <c r="D12" s="170"/>
      <c r="E12" s="169" t="e">
        <f t="shared" si="0"/>
        <v>#REF!</v>
      </c>
      <c r="F12" s="171" t="e">
        <f t="shared" si="1"/>
        <v>#REF!</v>
      </c>
      <c r="G12" s="172" t="e">
        <f>VLOOKUP(A12,'Tabela de Produtos'!A:T,21,0)</f>
        <v>#REF!</v>
      </c>
      <c r="H12" s="173">
        <v>18.39</v>
      </c>
      <c r="I12" s="172" t="e">
        <f t="shared" si="2"/>
        <v>#REF!</v>
      </c>
      <c r="J12" s="174">
        <v>0.2</v>
      </c>
      <c r="K12" s="176" t="e">
        <f t="shared" si="3"/>
        <v>#REF!</v>
      </c>
      <c r="L12" s="170"/>
      <c r="M12" s="169" t="e">
        <f t="shared" si="4"/>
        <v>#REF!</v>
      </c>
      <c r="N12" s="175" t="e">
        <f t="shared" si="5"/>
        <v>#REF!</v>
      </c>
    </row>
    <row r="13" spans="1:14" ht="14.25" customHeight="1">
      <c r="A13" s="167" t="s">
        <v>93</v>
      </c>
      <c r="B13" s="168" t="s">
        <v>576</v>
      </c>
      <c r="C13" s="169" t="e">
        <f>VLOOKUP(A13,'Tabela de Produtos'!A:U,22,0)</f>
        <v>#REF!</v>
      </c>
      <c r="D13" s="170"/>
      <c r="E13" s="169" t="e">
        <f t="shared" si="0"/>
        <v>#REF!</v>
      </c>
      <c r="F13" s="171" t="e">
        <f t="shared" si="1"/>
        <v>#REF!</v>
      </c>
      <c r="G13" s="172" t="e">
        <f>VLOOKUP(A13,'Tabela de Produtos'!A:T,21,0)</f>
        <v>#REF!</v>
      </c>
      <c r="H13" s="173">
        <v>18.39</v>
      </c>
      <c r="I13" s="172" t="e">
        <f t="shared" si="2"/>
        <v>#REF!</v>
      </c>
      <c r="J13" s="174">
        <v>0.2</v>
      </c>
      <c r="K13" s="176" t="e">
        <f t="shared" si="3"/>
        <v>#REF!</v>
      </c>
      <c r="L13" s="170"/>
      <c r="M13" s="169" t="e">
        <f t="shared" si="4"/>
        <v>#REF!</v>
      </c>
      <c r="N13" s="175" t="e">
        <f t="shared" si="5"/>
        <v>#REF!</v>
      </c>
    </row>
    <row r="14" spans="1:14" ht="14.25" customHeight="1">
      <c r="A14" s="167" t="s">
        <v>94</v>
      </c>
      <c r="B14" s="168" t="s">
        <v>579</v>
      </c>
      <c r="C14" s="169" t="e">
        <f>VLOOKUP(A14,'Tabela de Produtos'!A:U,22,0)</f>
        <v>#REF!</v>
      </c>
      <c r="D14" s="170"/>
      <c r="E14" s="169" t="e">
        <f t="shared" si="0"/>
        <v>#REF!</v>
      </c>
      <c r="F14" s="171" t="e">
        <f t="shared" si="1"/>
        <v>#REF!</v>
      </c>
      <c r="G14" s="172" t="e">
        <f>VLOOKUP(A14,'Tabela de Produtos'!A:T,21,0)</f>
        <v>#REF!</v>
      </c>
      <c r="H14" s="173">
        <v>18.39</v>
      </c>
      <c r="I14" s="172" t="e">
        <f t="shared" si="2"/>
        <v>#REF!</v>
      </c>
      <c r="J14" s="174">
        <v>0.2</v>
      </c>
      <c r="K14" s="176" t="e">
        <f t="shared" si="3"/>
        <v>#REF!</v>
      </c>
      <c r="L14" s="170"/>
      <c r="M14" s="169" t="e">
        <f t="shared" si="4"/>
        <v>#REF!</v>
      </c>
      <c r="N14" s="175" t="e">
        <f t="shared" si="5"/>
        <v>#REF!</v>
      </c>
    </row>
    <row r="15" spans="1:14" ht="14.25" customHeight="1">
      <c r="A15" s="167" t="s">
        <v>95</v>
      </c>
      <c r="B15" s="168" t="s">
        <v>582</v>
      </c>
      <c r="C15" s="169" t="e">
        <f>VLOOKUP(A15,'Tabela de Produtos'!A:U,22,0)</f>
        <v>#REF!</v>
      </c>
      <c r="D15" s="170"/>
      <c r="E15" s="169" t="e">
        <f t="shared" si="0"/>
        <v>#REF!</v>
      </c>
      <c r="F15" s="171" t="e">
        <f t="shared" si="1"/>
        <v>#REF!</v>
      </c>
      <c r="G15" s="172" t="e">
        <f>VLOOKUP(A15,'Tabela de Produtos'!A:T,21,0)</f>
        <v>#REF!</v>
      </c>
      <c r="H15" s="173">
        <v>18.39</v>
      </c>
      <c r="I15" s="172" t="e">
        <f t="shared" si="2"/>
        <v>#REF!</v>
      </c>
      <c r="J15" s="174">
        <v>0.2</v>
      </c>
      <c r="K15" s="176" t="e">
        <f t="shared" si="3"/>
        <v>#REF!</v>
      </c>
      <c r="L15" s="170"/>
      <c r="M15" s="169" t="e">
        <f t="shared" si="4"/>
        <v>#REF!</v>
      </c>
      <c r="N15" s="175" t="e">
        <f t="shared" si="5"/>
        <v>#REF!</v>
      </c>
    </row>
    <row r="16" spans="1:14" ht="14.25" customHeight="1">
      <c r="A16" s="167" t="s">
        <v>96</v>
      </c>
      <c r="B16" s="168" t="s">
        <v>585</v>
      </c>
      <c r="C16" s="169" t="e">
        <f>VLOOKUP(A16,'Tabela de Produtos'!A:U,22,0)</f>
        <v>#REF!</v>
      </c>
      <c r="D16" s="170"/>
      <c r="E16" s="169" t="e">
        <f t="shared" si="0"/>
        <v>#REF!</v>
      </c>
      <c r="F16" s="171" t="e">
        <f t="shared" si="1"/>
        <v>#REF!</v>
      </c>
      <c r="G16" s="172" t="e">
        <f>VLOOKUP(A16,'Tabela de Produtos'!A:T,21,0)</f>
        <v>#REF!</v>
      </c>
      <c r="H16" s="173">
        <v>18.39</v>
      </c>
      <c r="I16" s="172" t="e">
        <f t="shared" si="2"/>
        <v>#REF!</v>
      </c>
      <c r="J16" s="174">
        <v>0.2</v>
      </c>
      <c r="K16" s="176" t="e">
        <f t="shared" si="3"/>
        <v>#REF!</v>
      </c>
      <c r="L16" s="170"/>
      <c r="M16" s="169" t="e">
        <f t="shared" si="4"/>
        <v>#REF!</v>
      </c>
      <c r="N16" s="175" t="e">
        <f t="shared" si="5"/>
        <v>#REF!</v>
      </c>
    </row>
    <row r="17" spans="1:14" ht="14.25" customHeight="1">
      <c r="A17" s="167" t="s">
        <v>97</v>
      </c>
      <c r="B17" s="168" t="s">
        <v>588</v>
      </c>
      <c r="C17" s="169" t="e">
        <f>VLOOKUP(A17,'Tabela de Produtos'!A:U,22,0)</f>
        <v>#REF!</v>
      </c>
      <c r="D17" s="170"/>
      <c r="E17" s="169" t="e">
        <f t="shared" si="0"/>
        <v>#REF!</v>
      </c>
      <c r="F17" s="171" t="e">
        <f t="shared" si="1"/>
        <v>#REF!</v>
      </c>
      <c r="G17" s="172" t="e">
        <f>VLOOKUP(A17,'Tabela de Produtos'!A:T,21,0)</f>
        <v>#REF!</v>
      </c>
      <c r="H17" s="173">
        <v>18.39</v>
      </c>
      <c r="I17" s="172" t="e">
        <f t="shared" si="2"/>
        <v>#REF!</v>
      </c>
      <c r="J17" s="174">
        <v>0.2</v>
      </c>
      <c r="K17" s="176" t="e">
        <f t="shared" si="3"/>
        <v>#REF!</v>
      </c>
      <c r="L17" s="170"/>
      <c r="M17" s="169" t="e">
        <f t="shared" si="4"/>
        <v>#REF!</v>
      </c>
      <c r="N17" s="175" t="e">
        <f t="shared" si="5"/>
        <v>#REF!</v>
      </c>
    </row>
    <row r="18" spans="1:14" ht="14.25" customHeight="1">
      <c r="A18" s="167" t="s">
        <v>98</v>
      </c>
      <c r="B18" s="168" t="s">
        <v>591</v>
      </c>
      <c r="C18" s="169" t="e">
        <f>VLOOKUP(A18,'Tabela de Produtos'!A:U,22,0)</f>
        <v>#REF!</v>
      </c>
      <c r="D18" s="170"/>
      <c r="E18" s="169" t="e">
        <f t="shared" si="0"/>
        <v>#REF!</v>
      </c>
      <c r="F18" s="171" t="e">
        <f t="shared" si="1"/>
        <v>#REF!</v>
      </c>
      <c r="G18" s="172" t="e">
        <f>VLOOKUP(A18,'Tabela de Produtos'!A:T,21,0)</f>
        <v>#REF!</v>
      </c>
      <c r="H18" s="173">
        <v>18.39</v>
      </c>
      <c r="I18" s="172" t="e">
        <f t="shared" si="2"/>
        <v>#REF!</v>
      </c>
      <c r="J18" s="174">
        <v>0.2</v>
      </c>
      <c r="K18" s="176" t="e">
        <f t="shared" si="3"/>
        <v>#REF!</v>
      </c>
      <c r="L18" s="170"/>
      <c r="M18" s="169" t="e">
        <f t="shared" si="4"/>
        <v>#REF!</v>
      </c>
      <c r="N18" s="175" t="e">
        <f t="shared" si="5"/>
        <v>#REF!</v>
      </c>
    </row>
    <row r="19" spans="1:14">
      <c r="A19" s="167" t="s">
        <v>99</v>
      </c>
      <c r="B19" s="168" t="s">
        <v>594</v>
      </c>
      <c r="C19" s="169" t="e">
        <f>VLOOKUP(A19,'Tabela de Produtos'!A:U,22,0)</f>
        <v>#REF!</v>
      </c>
      <c r="D19" s="170"/>
      <c r="E19" s="169" t="e">
        <f t="shared" si="0"/>
        <v>#REF!</v>
      </c>
      <c r="F19" s="177" t="e">
        <f t="shared" si="1"/>
        <v>#REF!</v>
      </c>
      <c r="G19" s="172" t="e">
        <f>VLOOKUP(A19,'Tabela de Produtos'!A:T,21,0)</f>
        <v>#REF!</v>
      </c>
      <c r="H19" s="173">
        <v>18.39</v>
      </c>
      <c r="I19" s="172" t="e">
        <f t="shared" si="2"/>
        <v>#REF!</v>
      </c>
      <c r="J19" s="174">
        <v>0.2</v>
      </c>
      <c r="K19" s="176" t="e">
        <f t="shared" si="3"/>
        <v>#REF!</v>
      </c>
      <c r="L19" s="170"/>
      <c r="M19" s="169" t="e">
        <f t="shared" si="4"/>
        <v>#REF!</v>
      </c>
      <c r="N19" s="175" t="e">
        <f t="shared" si="5"/>
        <v>#REF!</v>
      </c>
    </row>
    <row r="20" spans="1:14" ht="14.25" customHeight="1">
      <c r="A20" s="167" t="s">
        <v>100</v>
      </c>
      <c r="B20" s="168" t="s">
        <v>597</v>
      </c>
      <c r="C20" s="169" t="e">
        <f>VLOOKUP(A20,'Tabela de Produtos'!A:U,22,0)</f>
        <v>#REF!</v>
      </c>
      <c r="D20" s="170"/>
      <c r="E20" s="169" t="e">
        <f t="shared" si="0"/>
        <v>#REF!</v>
      </c>
      <c r="F20" s="171" t="e">
        <f t="shared" si="1"/>
        <v>#REF!</v>
      </c>
      <c r="G20" s="172" t="e">
        <f>VLOOKUP(A20,'Tabela de Produtos'!A:T,21,0)</f>
        <v>#REF!</v>
      </c>
      <c r="H20" s="173">
        <v>18.39</v>
      </c>
      <c r="I20" s="172" t="e">
        <f t="shared" si="2"/>
        <v>#REF!</v>
      </c>
      <c r="J20" s="174">
        <v>0.2</v>
      </c>
      <c r="K20" s="176" t="e">
        <f t="shared" si="3"/>
        <v>#REF!</v>
      </c>
      <c r="L20" s="170"/>
      <c r="M20" s="169" t="e">
        <f t="shared" si="4"/>
        <v>#REF!</v>
      </c>
      <c r="N20" s="175" t="e">
        <f t="shared" si="5"/>
        <v>#REF!</v>
      </c>
    </row>
    <row r="21" spans="1:14" ht="15.75" customHeight="1">
      <c r="A21" s="167" t="s">
        <v>101</v>
      </c>
      <c r="B21" s="168" t="s">
        <v>600</v>
      </c>
      <c r="C21" s="169" t="e">
        <f>VLOOKUP(A21,'Tabela de Produtos'!A:U,22,0)</f>
        <v>#REF!</v>
      </c>
      <c r="D21" s="170"/>
      <c r="E21" s="169" t="e">
        <f t="shared" si="0"/>
        <v>#REF!</v>
      </c>
      <c r="F21" s="171" t="e">
        <f t="shared" si="1"/>
        <v>#REF!</v>
      </c>
      <c r="G21" s="172" t="e">
        <f>VLOOKUP(A21,'Tabela de Produtos'!A:T,21,0)</f>
        <v>#REF!</v>
      </c>
      <c r="H21" s="173">
        <v>18.39</v>
      </c>
      <c r="I21" s="172" t="e">
        <f t="shared" si="2"/>
        <v>#REF!</v>
      </c>
      <c r="J21" s="174">
        <v>0.2</v>
      </c>
      <c r="K21" s="176" t="e">
        <f t="shared" si="3"/>
        <v>#REF!</v>
      </c>
      <c r="L21" s="170"/>
      <c r="M21" s="169" t="e">
        <f t="shared" si="4"/>
        <v>#REF!</v>
      </c>
      <c r="N21" s="175" t="e">
        <f t="shared" si="5"/>
        <v>#REF!</v>
      </c>
    </row>
    <row r="22" spans="1:14" ht="15.75" customHeight="1">
      <c r="A22" s="167" t="s">
        <v>102</v>
      </c>
      <c r="B22" s="168" t="s">
        <v>603</v>
      </c>
      <c r="C22" s="169" t="e">
        <f>VLOOKUP(A22,'Tabela de Produtos'!A:U,22,0)</f>
        <v>#REF!</v>
      </c>
      <c r="D22" s="170"/>
      <c r="E22" s="169" t="e">
        <f t="shared" si="0"/>
        <v>#REF!</v>
      </c>
      <c r="F22" s="171" t="e">
        <f t="shared" si="1"/>
        <v>#REF!</v>
      </c>
      <c r="G22" s="172" t="e">
        <f>VLOOKUP(A22,'Tabela de Produtos'!A:T,21,0)</f>
        <v>#REF!</v>
      </c>
      <c r="H22" s="173">
        <v>18.39</v>
      </c>
      <c r="I22" s="172" t="e">
        <f t="shared" si="2"/>
        <v>#REF!</v>
      </c>
      <c r="J22" s="174">
        <v>0.2</v>
      </c>
      <c r="K22" s="176" t="e">
        <f t="shared" si="3"/>
        <v>#REF!</v>
      </c>
      <c r="L22" s="170"/>
      <c r="M22" s="169" t="e">
        <f t="shared" si="4"/>
        <v>#REF!</v>
      </c>
      <c r="N22" s="175" t="e">
        <f t="shared" si="5"/>
        <v>#REF!</v>
      </c>
    </row>
    <row r="23" spans="1:14" ht="15.75" customHeight="1">
      <c r="A23" s="167" t="s">
        <v>103</v>
      </c>
      <c r="B23" s="168" t="s">
        <v>606</v>
      </c>
      <c r="C23" s="169" t="e">
        <f>VLOOKUP(A23,'Tabela de Produtos'!A:U,22,0)</f>
        <v>#REF!</v>
      </c>
      <c r="D23" s="170"/>
      <c r="E23" s="169" t="e">
        <f t="shared" si="0"/>
        <v>#REF!</v>
      </c>
      <c r="F23" s="171" t="e">
        <f t="shared" si="1"/>
        <v>#REF!</v>
      </c>
      <c r="G23" s="172" t="e">
        <f>VLOOKUP(A23,'Tabela de Produtos'!A:T,21,0)</f>
        <v>#REF!</v>
      </c>
      <c r="H23" s="173">
        <v>18.39</v>
      </c>
      <c r="I23" s="172" t="e">
        <f t="shared" si="2"/>
        <v>#REF!</v>
      </c>
      <c r="J23" s="174">
        <v>0.2</v>
      </c>
      <c r="K23" s="176" t="e">
        <f t="shared" si="3"/>
        <v>#REF!</v>
      </c>
      <c r="L23" s="170"/>
      <c r="M23" s="169" t="e">
        <f t="shared" si="4"/>
        <v>#REF!</v>
      </c>
      <c r="N23" s="175" t="e">
        <f t="shared" si="5"/>
        <v>#REF!</v>
      </c>
    </row>
    <row r="24" spans="1:14" ht="15.75" customHeight="1">
      <c r="A24" s="167" t="s">
        <v>119</v>
      </c>
      <c r="B24" s="168" t="s">
        <v>504</v>
      </c>
      <c r="C24" s="169" t="e">
        <f>VLOOKUP(A24,'Tabela de Produtos'!A:U,22,0)</f>
        <v>#REF!</v>
      </c>
      <c r="D24" s="170"/>
      <c r="E24" s="169" t="e">
        <f t="shared" si="0"/>
        <v>#REF!</v>
      </c>
      <c r="F24" s="171" t="e">
        <f t="shared" si="1"/>
        <v>#REF!</v>
      </c>
      <c r="G24" s="172" t="e">
        <f>VLOOKUP(A24,'Tabela de Produtos'!A:T,21,0)</f>
        <v>#REF!</v>
      </c>
      <c r="H24" s="173">
        <v>67.98</v>
      </c>
      <c r="I24" s="172" t="e">
        <f t="shared" si="2"/>
        <v>#REF!</v>
      </c>
      <c r="J24" s="174">
        <v>0.2</v>
      </c>
      <c r="K24" s="176" t="e">
        <f t="shared" si="3"/>
        <v>#REF!</v>
      </c>
      <c r="L24" s="170"/>
      <c r="M24" s="169" t="e">
        <f t="shared" si="4"/>
        <v>#REF!</v>
      </c>
      <c r="N24" s="175" t="e">
        <f t="shared" si="5"/>
        <v>#REF!</v>
      </c>
    </row>
    <row r="25" spans="1:14" ht="15.75" customHeight="1">
      <c r="A25" s="167" t="s">
        <v>120</v>
      </c>
      <c r="B25" s="168" t="s">
        <v>625</v>
      </c>
      <c r="C25" s="169" t="e">
        <f>VLOOKUP(A25,'Tabela de Produtos'!A:U,22,0)</f>
        <v>#REF!</v>
      </c>
      <c r="D25" s="170"/>
      <c r="E25" s="169" t="e">
        <f t="shared" si="0"/>
        <v>#REF!</v>
      </c>
      <c r="F25" s="171" t="e">
        <f t="shared" si="1"/>
        <v>#REF!</v>
      </c>
      <c r="G25" s="172" t="e">
        <f>VLOOKUP(A25,'Tabela de Produtos'!A:T,21,0)</f>
        <v>#REF!</v>
      </c>
      <c r="H25" s="173">
        <v>67.98</v>
      </c>
      <c r="I25" s="172" t="e">
        <f t="shared" si="2"/>
        <v>#REF!</v>
      </c>
      <c r="J25" s="174">
        <v>0.2</v>
      </c>
      <c r="K25" s="176" t="e">
        <f t="shared" si="3"/>
        <v>#REF!</v>
      </c>
      <c r="L25" s="170"/>
      <c r="M25" s="169" t="e">
        <f t="shared" si="4"/>
        <v>#REF!</v>
      </c>
      <c r="N25" s="175" t="e">
        <f t="shared" si="5"/>
        <v>#REF!</v>
      </c>
    </row>
    <row r="26" spans="1:14" ht="15.75" customHeight="1">
      <c r="A26" s="167" t="s">
        <v>121</v>
      </c>
      <c r="B26" s="168" t="s">
        <v>626</v>
      </c>
      <c r="C26" s="169" t="e">
        <f>VLOOKUP(A26,'Tabela de Produtos'!A:U,22,0)</f>
        <v>#REF!</v>
      </c>
      <c r="D26" s="170"/>
      <c r="E26" s="169" t="e">
        <f t="shared" si="0"/>
        <v>#REF!</v>
      </c>
      <c r="F26" s="171" t="e">
        <f t="shared" si="1"/>
        <v>#REF!</v>
      </c>
      <c r="G26" s="172" t="e">
        <f>VLOOKUP(A26,'Tabela de Produtos'!A:T,21,0)</f>
        <v>#REF!</v>
      </c>
      <c r="H26" s="173">
        <v>67.98</v>
      </c>
      <c r="I26" s="172" t="e">
        <f t="shared" si="2"/>
        <v>#REF!</v>
      </c>
      <c r="J26" s="174">
        <v>0.2</v>
      </c>
      <c r="K26" s="176" t="e">
        <f t="shared" si="3"/>
        <v>#REF!</v>
      </c>
      <c r="L26" s="170"/>
      <c r="M26" s="169" t="e">
        <f t="shared" si="4"/>
        <v>#REF!</v>
      </c>
      <c r="N26" s="175" t="e">
        <f t="shared" si="5"/>
        <v>#REF!</v>
      </c>
    </row>
    <row r="27" spans="1:14" ht="15.75" customHeight="1">
      <c r="A27" s="167" t="s">
        <v>122</v>
      </c>
      <c r="B27" s="168" t="s">
        <v>627</v>
      </c>
      <c r="C27" s="169" t="e">
        <f>VLOOKUP(A27,'Tabela de Produtos'!A:U,22,0)</f>
        <v>#REF!</v>
      </c>
      <c r="D27" s="170"/>
      <c r="E27" s="169" t="e">
        <f t="shared" si="0"/>
        <v>#REF!</v>
      </c>
      <c r="F27" s="171" t="e">
        <f t="shared" si="1"/>
        <v>#REF!</v>
      </c>
      <c r="G27" s="172" t="e">
        <f>VLOOKUP(A27,'Tabela de Produtos'!A:T,21,0)</f>
        <v>#REF!</v>
      </c>
      <c r="H27" s="173">
        <v>67.98</v>
      </c>
      <c r="I27" s="172" t="e">
        <f t="shared" si="2"/>
        <v>#REF!</v>
      </c>
      <c r="J27" s="174">
        <v>0.2</v>
      </c>
      <c r="K27" s="176" t="e">
        <f t="shared" si="3"/>
        <v>#REF!</v>
      </c>
      <c r="L27" s="170"/>
      <c r="M27" s="169" t="e">
        <f t="shared" si="4"/>
        <v>#REF!</v>
      </c>
      <c r="N27" s="175" t="e">
        <f t="shared" si="5"/>
        <v>#REF!</v>
      </c>
    </row>
    <row r="28" spans="1:14" ht="15.75" customHeight="1">
      <c r="A28" s="167" t="s">
        <v>123</v>
      </c>
      <c r="B28" s="168" t="s">
        <v>628</v>
      </c>
      <c r="C28" s="169" t="e">
        <f>VLOOKUP(A28,'Tabela de Produtos'!A:U,22,0)</f>
        <v>#REF!</v>
      </c>
      <c r="D28" s="170"/>
      <c r="E28" s="169" t="e">
        <f t="shared" si="0"/>
        <v>#REF!</v>
      </c>
      <c r="F28" s="171" t="e">
        <f t="shared" si="1"/>
        <v>#REF!</v>
      </c>
      <c r="G28" s="172" t="e">
        <f>VLOOKUP(A28,'Tabela de Produtos'!A:T,21,0)</f>
        <v>#REF!</v>
      </c>
      <c r="H28" s="173">
        <v>67.98</v>
      </c>
      <c r="I28" s="172" t="e">
        <f t="shared" si="2"/>
        <v>#REF!</v>
      </c>
      <c r="J28" s="174">
        <v>0.2</v>
      </c>
      <c r="K28" s="176" t="e">
        <f t="shared" si="3"/>
        <v>#REF!</v>
      </c>
      <c r="L28" s="170"/>
      <c r="M28" s="169" t="e">
        <f t="shared" si="4"/>
        <v>#REF!</v>
      </c>
      <c r="N28" s="175" t="e">
        <f t="shared" si="5"/>
        <v>#REF!</v>
      </c>
    </row>
    <row r="29" spans="1:14" ht="15.75" customHeight="1">
      <c r="A29" s="167" t="s">
        <v>124</v>
      </c>
      <c r="B29" s="168" t="s">
        <v>629</v>
      </c>
      <c r="C29" s="169" t="e">
        <f>VLOOKUP(A29,'Tabela de Produtos'!A:U,22,0)</f>
        <v>#REF!</v>
      </c>
      <c r="D29" s="170"/>
      <c r="E29" s="169" t="e">
        <f t="shared" si="0"/>
        <v>#REF!</v>
      </c>
      <c r="F29" s="171" t="e">
        <f t="shared" si="1"/>
        <v>#REF!</v>
      </c>
      <c r="G29" s="172" t="e">
        <f>VLOOKUP(A29,'Tabela de Produtos'!A:T,21,0)</f>
        <v>#REF!</v>
      </c>
      <c r="H29" s="173">
        <v>67.98</v>
      </c>
      <c r="I29" s="172" t="e">
        <f t="shared" si="2"/>
        <v>#REF!</v>
      </c>
      <c r="J29" s="174">
        <v>0.2</v>
      </c>
      <c r="K29" s="176" t="e">
        <f t="shared" si="3"/>
        <v>#REF!</v>
      </c>
      <c r="L29" s="170"/>
      <c r="M29" s="169" t="e">
        <f t="shared" si="4"/>
        <v>#REF!</v>
      </c>
      <c r="N29" s="175" t="e">
        <f t="shared" si="5"/>
        <v>#REF!</v>
      </c>
    </row>
    <row r="30" spans="1:14" ht="15.75" customHeight="1">
      <c r="A30" s="167" t="s">
        <v>125</v>
      </c>
      <c r="B30" s="168" t="s">
        <v>630</v>
      </c>
      <c r="C30" s="169" t="e">
        <f>VLOOKUP(A30,'Tabela de Produtos'!A:U,22,0)</f>
        <v>#REF!</v>
      </c>
      <c r="D30" s="170"/>
      <c r="E30" s="169" t="e">
        <f t="shared" si="0"/>
        <v>#REF!</v>
      </c>
      <c r="F30" s="171" t="e">
        <f t="shared" si="1"/>
        <v>#REF!</v>
      </c>
      <c r="G30" s="172" t="e">
        <f>VLOOKUP(A30,'Tabela de Produtos'!A:T,21,0)</f>
        <v>#REF!</v>
      </c>
      <c r="H30" s="173">
        <v>67.98</v>
      </c>
      <c r="I30" s="172" t="e">
        <f t="shared" si="2"/>
        <v>#REF!</v>
      </c>
      <c r="J30" s="174">
        <v>0.2</v>
      </c>
      <c r="K30" s="176" t="e">
        <f t="shared" si="3"/>
        <v>#REF!</v>
      </c>
      <c r="L30" s="170"/>
      <c r="M30" s="169" t="e">
        <f t="shared" si="4"/>
        <v>#REF!</v>
      </c>
      <c r="N30" s="175" t="e">
        <f t="shared" si="5"/>
        <v>#REF!</v>
      </c>
    </row>
    <row r="31" spans="1:14" ht="15.75" customHeight="1">
      <c r="A31" s="167" t="s">
        <v>126</v>
      </c>
      <c r="B31" s="168" t="s">
        <v>631</v>
      </c>
      <c r="C31" s="169" t="e">
        <f>VLOOKUP(A31,'Tabela de Produtos'!A:U,22,0)</f>
        <v>#REF!</v>
      </c>
      <c r="D31" s="170"/>
      <c r="E31" s="169" t="e">
        <f t="shared" si="0"/>
        <v>#REF!</v>
      </c>
      <c r="F31" s="171" t="e">
        <f t="shared" si="1"/>
        <v>#REF!</v>
      </c>
      <c r="G31" s="172" t="e">
        <f>VLOOKUP(A31,'Tabela de Produtos'!A:T,21,0)</f>
        <v>#REF!</v>
      </c>
      <c r="H31" s="173">
        <v>67.98</v>
      </c>
      <c r="I31" s="172" t="e">
        <f t="shared" si="2"/>
        <v>#REF!</v>
      </c>
      <c r="J31" s="174">
        <v>0.2</v>
      </c>
      <c r="K31" s="176" t="e">
        <f t="shared" si="3"/>
        <v>#REF!</v>
      </c>
      <c r="L31" s="170"/>
      <c r="M31" s="169" t="e">
        <f t="shared" si="4"/>
        <v>#REF!</v>
      </c>
      <c r="N31" s="175" t="e">
        <f t="shared" si="5"/>
        <v>#REF!</v>
      </c>
    </row>
    <row r="32" spans="1:14" ht="15.75" customHeight="1">
      <c r="A32" s="167" t="s">
        <v>127</v>
      </c>
      <c r="B32" s="168" t="s">
        <v>632</v>
      </c>
      <c r="C32" s="169" t="e">
        <f>VLOOKUP(A32,'Tabela de Produtos'!A:U,22,0)</f>
        <v>#REF!</v>
      </c>
      <c r="D32" s="170"/>
      <c r="E32" s="169" t="e">
        <f t="shared" si="0"/>
        <v>#REF!</v>
      </c>
      <c r="F32" s="171" t="e">
        <f t="shared" si="1"/>
        <v>#REF!</v>
      </c>
      <c r="G32" s="172" t="e">
        <f>VLOOKUP(A32,'Tabela de Produtos'!A:T,21,0)</f>
        <v>#REF!</v>
      </c>
      <c r="H32" s="173">
        <v>67.98</v>
      </c>
      <c r="I32" s="172" t="e">
        <f t="shared" si="2"/>
        <v>#REF!</v>
      </c>
      <c r="J32" s="174">
        <v>0.2</v>
      </c>
      <c r="K32" s="176" t="e">
        <f t="shared" si="3"/>
        <v>#REF!</v>
      </c>
      <c r="L32" s="170"/>
      <c r="M32" s="169" t="e">
        <f t="shared" si="4"/>
        <v>#REF!</v>
      </c>
      <c r="N32" s="175" t="e">
        <f t="shared" si="5"/>
        <v>#REF!</v>
      </c>
    </row>
    <row r="33" spans="1:14" ht="15.75" customHeight="1">
      <c r="A33" s="167" t="s">
        <v>128</v>
      </c>
      <c r="B33" s="168" t="s">
        <v>633</v>
      </c>
      <c r="C33" s="169" t="e">
        <f>VLOOKUP(A33,'Tabela de Produtos'!A:U,22,0)</f>
        <v>#REF!</v>
      </c>
      <c r="D33" s="170"/>
      <c r="E33" s="169" t="e">
        <f t="shared" si="0"/>
        <v>#REF!</v>
      </c>
      <c r="F33" s="171" t="e">
        <f t="shared" si="1"/>
        <v>#REF!</v>
      </c>
      <c r="G33" s="172" t="e">
        <f>VLOOKUP(A33,'Tabela de Produtos'!A:T,21,0)</f>
        <v>#REF!</v>
      </c>
      <c r="H33" s="173">
        <v>67.98</v>
      </c>
      <c r="I33" s="172" t="e">
        <f t="shared" si="2"/>
        <v>#REF!</v>
      </c>
      <c r="J33" s="174">
        <v>0.2</v>
      </c>
      <c r="K33" s="176" t="e">
        <f t="shared" si="3"/>
        <v>#REF!</v>
      </c>
      <c r="L33" s="170"/>
      <c r="M33" s="169" t="e">
        <f t="shared" si="4"/>
        <v>#REF!</v>
      </c>
      <c r="N33" s="175" t="e">
        <f t="shared" si="5"/>
        <v>#REF!</v>
      </c>
    </row>
    <row r="34" spans="1:14" ht="15.75" customHeight="1">
      <c r="A34" s="167" t="s">
        <v>129</v>
      </c>
      <c r="B34" s="168" t="s">
        <v>634</v>
      </c>
      <c r="C34" s="169" t="e">
        <f>VLOOKUP(A34,'Tabela de Produtos'!A:U,22,0)</f>
        <v>#REF!</v>
      </c>
      <c r="D34" s="170"/>
      <c r="E34" s="169" t="e">
        <f t="shared" si="0"/>
        <v>#REF!</v>
      </c>
      <c r="F34" s="171" t="e">
        <f t="shared" si="1"/>
        <v>#REF!</v>
      </c>
      <c r="G34" s="172" t="e">
        <f>VLOOKUP(A34,'Tabela de Produtos'!A:T,21,0)</f>
        <v>#REF!</v>
      </c>
      <c r="H34" s="173">
        <v>67.98</v>
      </c>
      <c r="I34" s="172" t="e">
        <f t="shared" si="2"/>
        <v>#REF!</v>
      </c>
      <c r="J34" s="174">
        <v>0.2</v>
      </c>
      <c r="K34" s="176" t="e">
        <f t="shared" si="3"/>
        <v>#REF!</v>
      </c>
      <c r="L34" s="170"/>
      <c r="M34" s="169" t="e">
        <f t="shared" si="4"/>
        <v>#REF!</v>
      </c>
      <c r="N34" s="175" t="e">
        <f t="shared" si="5"/>
        <v>#REF!</v>
      </c>
    </row>
    <row r="35" spans="1:14" ht="15.75" customHeight="1">
      <c r="A35" s="167" t="s">
        <v>130</v>
      </c>
      <c r="B35" s="168" t="s">
        <v>635</v>
      </c>
      <c r="C35" s="169" t="e">
        <f>VLOOKUP(A35,'Tabela de Produtos'!A:U,22,0)</f>
        <v>#REF!</v>
      </c>
      <c r="D35" s="170"/>
      <c r="E35" s="169" t="e">
        <f t="shared" si="0"/>
        <v>#REF!</v>
      </c>
      <c r="F35" s="171" t="e">
        <f t="shared" si="1"/>
        <v>#REF!</v>
      </c>
      <c r="G35" s="172" t="e">
        <f>VLOOKUP(A35,'Tabela de Produtos'!A:T,21,0)</f>
        <v>#REF!</v>
      </c>
      <c r="H35" s="173">
        <v>67.98</v>
      </c>
      <c r="I35" s="172" t="e">
        <f t="shared" si="2"/>
        <v>#REF!</v>
      </c>
      <c r="J35" s="174">
        <v>0.2</v>
      </c>
      <c r="K35" s="176" t="e">
        <f t="shared" si="3"/>
        <v>#REF!</v>
      </c>
      <c r="L35" s="170"/>
      <c r="M35" s="169" t="e">
        <f t="shared" si="4"/>
        <v>#REF!</v>
      </c>
      <c r="N35" s="175" t="e">
        <f t="shared" si="5"/>
        <v>#REF!</v>
      </c>
    </row>
    <row r="36" spans="1:14" ht="15.75" customHeight="1">
      <c r="A36" s="167" t="s">
        <v>131</v>
      </c>
      <c r="B36" s="168" t="s">
        <v>636</v>
      </c>
      <c r="C36" s="169" t="e">
        <f>VLOOKUP(A36,'Tabela de Produtos'!A:U,22,0)</f>
        <v>#REF!</v>
      </c>
      <c r="D36" s="170"/>
      <c r="E36" s="169" t="e">
        <f t="shared" si="0"/>
        <v>#REF!</v>
      </c>
      <c r="F36" s="171" t="e">
        <f t="shared" si="1"/>
        <v>#REF!</v>
      </c>
      <c r="G36" s="172" t="e">
        <f>VLOOKUP(A36,'Tabela de Produtos'!A:T,21,0)</f>
        <v>#REF!</v>
      </c>
      <c r="H36" s="173">
        <v>67.98</v>
      </c>
      <c r="I36" s="172" t="e">
        <f t="shared" si="2"/>
        <v>#REF!</v>
      </c>
      <c r="J36" s="174">
        <v>0.2</v>
      </c>
      <c r="K36" s="176" t="e">
        <f t="shared" si="3"/>
        <v>#REF!</v>
      </c>
      <c r="L36" s="170"/>
      <c r="M36" s="169" t="e">
        <f t="shared" si="4"/>
        <v>#REF!</v>
      </c>
      <c r="N36" s="175" t="e">
        <f t="shared" si="5"/>
        <v>#REF!</v>
      </c>
    </row>
    <row r="37" spans="1:14" ht="15.75" customHeight="1">
      <c r="A37" s="167" t="s">
        <v>132</v>
      </c>
      <c r="B37" s="168" t="s">
        <v>637</v>
      </c>
      <c r="C37" s="169" t="e">
        <f>VLOOKUP(A37,'Tabela de Produtos'!A:U,22,0)</f>
        <v>#REF!</v>
      </c>
      <c r="D37" s="170"/>
      <c r="E37" s="169" t="e">
        <f t="shared" si="0"/>
        <v>#REF!</v>
      </c>
      <c r="F37" s="171" t="e">
        <f t="shared" si="1"/>
        <v>#REF!</v>
      </c>
      <c r="G37" s="172" t="e">
        <f>VLOOKUP(A37,'Tabela de Produtos'!A:T,21,0)</f>
        <v>#REF!</v>
      </c>
      <c r="H37" s="173">
        <v>67.98</v>
      </c>
      <c r="I37" s="172" t="e">
        <f t="shared" si="2"/>
        <v>#REF!</v>
      </c>
      <c r="J37" s="174">
        <v>0.2</v>
      </c>
      <c r="K37" s="176" t="e">
        <f t="shared" si="3"/>
        <v>#REF!</v>
      </c>
      <c r="L37" s="170"/>
      <c r="M37" s="169" t="e">
        <f t="shared" si="4"/>
        <v>#REF!</v>
      </c>
      <c r="N37" s="175" t="e">
        <f t="shared" si="5"/>
        <v>#REF!</v>
      </c>
    </row>
    <row r="38" spans="1:14" ht="15.75" customHeight="1">
      <c r="A38" s="167" t="s">
        <v>133</v>
      </c>
      <c r="B38" s="168" t="s">
        <v>638</v>
      </c>
      <c r="C38" s="169" t="e">
        <f>VLOOKUP(A38,'Tabela de Produtos'!A:U,22,0)</f>
        <v>#REF!</v>
      </c>
      <c r="D38" s="170"/>
      <c r="E38" s="169" t="e">
        <f t="shared" si="0"/>
        <v>#REF!</v>
      </c>
      <c r="F38" s="171" t="e">
        <f t="shared" si="1"/>
        <v>#REF!</v>
      </c>
      <c r="G38" s="172" t="e">
        <f>VLOOKUP(A38,'Tabela de Produtos'!A:T,21,0)</f>
        <v>#REF!</v>
      </c>
      <c r="H38" s="173">
        <v>67.98</v>
      </c>
      <c r="I38" s="172" t="e">
        <f t="shared" si="2"/>
        <v>#REF!</v>
      </c>
      <c r="J38" s="174">
        <v>0.2</v>
      </c>
      <c r="K38" s="176" t="e">
        <f t="shared" si="3"/>
        <v>#REF!</v>
      </c>
      <c r="L38" s="170"/>
      <c r="M38" s="169" t="e">
        <f t="shared" si="4"/>
        <v>#REF!</v>
      </c>
      <c r="N38" s="175" t="e">
        <f t="shared" si="5"/>
        <v>#REF!</v>
      </c>
    </row>
    <row r="39" spans="1:14" ht="15.75" customHeight="1">
      <c r="A39" s="167" t="s">
        <v>363</v>
      </c>
      <c r="B39" s="168" t="s">
        <v>1175</v>
      </c>
      <c r="C39" s="169" t="e">
        <f>VLOOKUP(A39,'Tabela de Produtos'!A:U,22,0)</f>
        <v>#REF!</v>
      </c>
      <c r="D39" s="170"/>
      <c r="E39" s="169" t="e">
        <f t="shared" si="0"/>
        <v>#REF!</v>
      </c>
      <c r="F39" s="171" t="e">
        <f t="shared" si="1"/>
        <v>#REF!</v>
      </c>
      <c r="G39" s="172" t="e">
        <f>VLOOKUP(A39,'Tabela de Produtos'!A:T,21,0)</f>
        <v>#REF!</v>
      </c>
      <c r="H39" s="173"/>
      <c r="I39" s="172"/>
      <c r="J39" s="174">
        <v>0.2</v>
      </c>
      <c r="K39" s="176" t="e">
        <f t="shared" si="3"/>
        <v>#REF!</v>
      </c>
      <c r="L39" s="170"/>
      <c r="M39" s="169" t="e">
        <f t="shared" si="4"/>
        <v>#REF!</v>
      </c>
      <c r="N39" s="175" t="e">
        <f t="shared" si="5"/>
        <v>#REF!</v>
      </c>
    </row>
    <row r="40" spans="1:14" ht="15.75" customHeight="1">
      <c r="A40" s="167" t="s">
        <v>364</v>
      </c>
      <c r="B40" s="168" t="s">
        <v>1176</v>
      </c>
      <c r="C40" s="169" t="e">
        <f>VLOOKUP(A40,'Tabela de Produtos'!A:U,22,0)</f>
        <v>#REF!</v>
      </c>
      <c r="D40" s="170"/>
      <c r="E40" s="169" t="e">
        <f t="shared" si="0"/>
        <v>#REF!</v>
      </c>
      <c r="F40" s="171" t="e">
        <f t="shared" si="1"/>
        <v>#REF!</v>
      </c>
      <c r="G40" s="172" t="e">
        <f>VLOOKUP(A40,'Tabela de Produtos'!A:T,21,0)</f>
        <v>#REF!</v>
      </c>
      <c r="H40" s="173"/>
      <c r="I40" s="172"/>
      <c r="J40" s="174">
        <v>0.2</v>
      </c>
      <c r="K40" s="176" t="e">
        <f t="shared" si="3"/>
        <v>#REF!</v>
      </c>
      <c r="L40" s="170"/>
      <c r="M40" s="169" t="e">
        <f t="shared" si="4"/>
        <v>#REF!</v>
      </c>
      <c r="N40" s="175" t="e">
        <f t="shared" si="5"/>
        <v>#REF!</v>
      </c>
    </row>
    <row r="41" spans="1:14" ht="15.75" customHeight="1">
      <c r="A41" s="167" t="s">
        <v>365</v>
      </c>
      <c r="B41" s="168" t="s">
        <v>1177</v>
      </c>
      <c r="C41" s="169" t="e">
        <f>VLOOKUP(A41,'Tabela de Produtos'!A:U,22,0)</f>
        <v>#REF!</v>
      </c>
      <c r="D41" s="170"/>
      <c r="E41" s="169" t="e">
        <f t="shared" si="0"/>
        <v>#REF!</v>
      </c>
      <c r="F41" s="171" t="e">
        <f t="shared" si="1"/>
        <v>#REF!</v>
      </c>
      <c r="G41" s="172" t="e">
        <f>VLOOKUP(A41,'Tabela de Produtos'!A:T,21,0)</f>
        <v>#REF!</v>
      </c>
      <c r="H41" s="173"/>
      <c r="I41" s="172"/>
      <c r="J41" s="174">
        <v>0.2</v>
      </c>
      <c r="K41" s="176" t="e">
        <f t="shared" si="3"/>
        <v>#REF!</v>
      </c>
      <c r="L41" s="170"/>
      <c r="M41" s="169" t="e">
        <f t="shared" si="4"/>
        <v>#REF!</v>
      </c>
      <c r="N41" s="175" t="e">
        <f t="shared" si="5"/>
        <v>#REF!</v>
      </c>
    </row>
    <row r="42" spans="1:14" ht="15.75" customHeight="1">
      <c r="A42" s="167" t="s">
        <v>366</v>
      </c>
      <c r="B42" s="168" t="s">
        <v>1178</v>
      </c>
      <c r="C42" s="169" t="e">
        <f>VLOOKUP(A42,'Tabela de Produtos'!A:U,22,0)</f>
        <v>#REF!</v>
      </c>
      <c r="D42" s="170"/>
      <c r="E42" s="169" t="e">
        <f t="shared" si="0"/>
        <v>#REF!</v>
      </c>
      <c r="F42" s="171" t="e">
        <f t="shared" si="1"/>
        <v>#REF!</v>
      </c>
      <c r="G42" s="172" t="e">
        <f>VLOOKUP(A42,'Tabela de Produtos'!A:T,21,0)</f>
        <v>#REF!</v>
      </c>
      <c r="H42" s="173"/>
      <c r="I42" s="172"/>
      <c r="J42" s="174">
        <v>0.2</v>
      </c>
      <c r="K42" s="176" t="e">
        <f t="shared" si="3"/>
        <v>#REF!</v>
      </c>
      <c r="L42" s="170"/>
      <c r="M42" s="169" t="e">
        <f t="shared" si="4"/>
        <v>#REF!</v>
      </c>
      <c r="N42" s="175" t="e">
        <f t="shared" si="5"/>
        <v>#REF!</v>
      </c>
    </row>
    <row r="43" spans="1:14" ht="15.75" customHeight="1">
      <c r="A43" s="167" t="s">
        <v>367</v>
      </c>
      <c r="B43" s="168" t="s">
        <v>1179</v>
      </c>
      <c r="C43" s="169" t="e">
        <f>VLOOKUP(A43,'Tabela de Produtos'!A:U,22,0)</f>
        <v>#REF!</v>
      </c>
      <c r="D43" s="170"/>
      <c r="E43" s="169" t="e">
        <f t="shared" si="0"/>
        <v>#REF!</v>
      </c>
      <c r="F43" s="171" t="e">
        <f t="shared" si="1"/>
        <v>#REF!</v>
      </c>
      <c r="G43" s="172" t="e">
        <f>VLOOKUP(A43,'Tabela de Produtos'!A:T,21,0)</f>
        <v>#REF!</v>
      </c>
      <c r="H43" s="173"/>
      <c r="I43" s="172"/>
      <c r="J43" s="174">
        <v>0.2</v>
      </c>
      <c r="K43" s="176" t="e">
        <f t="shared" si="3"/>
        <v>#REF!</v>
      </c>
      <c r="L43" s="170"/>
      <c r="M43" s="169" t="e">
        <f t="shared" si="4"/>
        <v>#REF!</v>
      </c>
      <c r="N43" s="175" t="e">
        <f t="shared" si="5"/>
        <v>#REF!</v>
      </c>
    </row>
    <row r="44" spans="1:14" ht="15.75" customHeight="1">
      <c r="A44" s="167" t="s">
        <v>368</v>
      </c>
      <c r="B44" s="168" t="s">
        <v>963</v>
      </c>
      <c r="C44" s="169" t="e">
        <f>VLOOKUP(A44,'Tabela de Produtos'!A:U,22,0)</f>
        <v>#REF!</v>
      </c>
      <c r="D44" s="170"/>
      <c r="E44" s="169" t="e">
        <f t="shared" si="0"/>
        <v>#REF!</v>
      </c>
      <c r="F44" s="171" t="e">
        <f t="shared" si="1"/>
        <v>#REF!</v>
      </c>
      <c r="G44" s="172" t="e">
        <f>VLOOKUP(A44,'Tabela de Produtos'!A:T,21,0)</f>
        <v>#REF!</v>
      </c>
      <c r="H44" s="173"/>
      <c r="I44" s="172"/>
      <c r="J44" s="174">
        <v>0.2</v>
      </c>
      <c r="K44" s="176" t="e">
        <f t="shared" si="3"/>
        <v>#REF!</v>
      </c>
      <c r="L44" s="170"/>
      <c r="M44" s="169" t="e">
        <f t="shared" si="4"/>
        <v>#REF!</v>
      </c>
      <c r="N44" s="175" t="e">
        <f t="shared" si="5"/>
        <v>#REF!</v>
      </c>
    </row>
    <row r="45" spans="1:14" ht="15.75" customHeight="1">
      <c r="A45" s="167" t="s">
        <v>369</v>
      </c>
      <c r="B45" s="168" t="s">
        <v>964</v>
      </c>
      <c r="C45" s="169" t="e">
        <f>VLOOKUP(A45,'Tabela de Produtos'!A:U,22,0)</f>
        <v>#REF!</v>
      </c>
      <c r="D45" s="170"/>
      <c r="E45" s="169" t="e">
        <f t="shared" si="0"/>
        <v>#REF!</v>
      </c>
      <c r="F45" s="171" t="e">
        <f t="shared" si="1"/>
        <v>#REF!</v>
      </c>
      <c r="G45" s="172" t="e">
        <f>VLOOKUP(A45,'Tabela de Produtos'!A:T,21,0)</f>
        <v>#REF!</v>
      </c>
      <c r="H45" s="173"/>
      <c r="I45" s="172"/>
      <c r="J45" s="174">
        <v>0.2</v>
      </c>
      <c r="K45" s="176" t="e">
        <f t="shared" si="3"/>
        <v>#REF!</v>
      </c>
      <c r="L45" s="170"/>
      <c r="M45" s="169" t="e">
        <f t="shared" si="4"/>
        <v>#REF!</v>
      </c>
      <c r="N45" s="175" t="e">
        <f t="shared" si="5"/>
        <v>#REF!</v>
      </c>
    </row>
    <row r="46" spans="1:14" ht="15.75" customHeight="1">
      <c r="A46" s="167" t="s">
        <v>370</v>
      </c>
      <c r="B46" s="168" t="s">
        <v>965</v>
      </c>
      <c r="C46" s="169" t="e">
        <f>VLOOKUP(A46,'Tabela de Produtos'!A:U,22,0)</f>
        <v>#REF!</v>
      </c>
      <c r="D46" s="170"/>
      <c r="E46" s="169" t="e">
        <f t="shared" si="0"/>
        <v>#REF!</v>
      </c>
      <c r="F46" s="171" t="e">
        <f t="shared" si="1"/>
        <v>#REF!</v>
      </c>
      <c r="G46" s="172" t="e">
        <f>VLOOKUP(A46,'Tabela de Produtos'!A:T,21,0)</f>
        <v>#REF!</v>
      </c>
      <c r="H46" s="173"/>
      <c r="I46" s="172"/>
      <c r="J46" s="174">
        <v>0.2</v>
      </c>
      <c r="K46" s="176" t="e">
        <f t="shared" si="3"/>
        <v>#REF!</v>
      </c>
      <c r="L46" s="170"/>
      <c r="M46" s="169" t="e">
        <f t="shared" si="4"/>
        <v>#REF!</v>
      </c>
      <c r="N46" s="175" t="e">
        <f t="shared" si="5"/>
        <v>#REF!</v>
      </c>
    </row>
    <row r="47" spans="1:14" ht="15.75" customHeight="1">
      <c r="A47" s="167" t="s">
        <v>371</v>
      </c>
      <c r="B47" s="168" t="s">
        <v>966</v>
      </c>
      <c r="C47" s="169" t="e">
        <f>VLOOKUP(A47,'Tabela de Produtos'!A:U,22,0)</f>
        <v>#REF!</v>
      </c>
      <c r="D47" s="170"/>
      <c r="E47" s="169" t="e">
        <f t="shared" si="0"/>
        <v>#REF!</v>
      </c>
      <c r="F47" s="171" t="e">
        <f t="shared" si="1"/>
        <v>#REF!</v>
      </c>
      <c r="G47" s="172" t="e">
        <f>VLOOKUP(A47,'Tabela de Produtos'!A:T,21,0)</f>
        <v>#REF!</v>
      </c>
      <c r="H47" s="173"/>
      <c r="I47" s="172"/>
      <c r="J47" s="174">
        <v>0.2</v>
      </c>
      <c r="K47" s="176" t="e">
        <f t="shared" si="3"/>
        <v>#REF!</v>
      </c>
      <c r="L47" s="170"/>
      <c r="M47" s="169" t="e">
        <f t="shared" si="4"/>
        <v>#REF!</v>
      </c>
      <c r="N47" s="175" t="e">
        <f t="shared" si="5"/>
        <v>#REF!</v>
      </c>
    </row>
    <row r="48" spans="1:14" ht="15.75" customHeight="1">
      <c r="A48" s="178" t="s">
        <v>372</v>
      </c>
      <c r="B48" s="179" t="s">
        <v>967</v>
      </c>
      <c r="C48" s="180" t="e">
        <f>VLOOKUP(A48,'Tabela de Produtos'!A:U,22,0)</f>
        <v>#REF!</v>
      </c>
      <c r="D48" s="181"/>
      <c r="E48" s="180" t="e">
        <f t="shared" si="0"/>
        <v>#REF!</v>
      </c>
      <c r="F48" s="182" t="e">
        <f t="shared" si="1"/>
        <v>#REF!</v>
      </c>
      <c r="G48" s="183" t="e">
        <f>VLOOKUP(A48,'Tabela de Produtos'!A:T,21,0)</f>
        <v>#REF!</v>
      </c>
      <c r="H48" s="184"/>
      <c r="I48" s="183"/>
      <c r="J48" s="185">
        <v>0.2</v>
      </c>
      <c r="K48" s="186" t="e">
        <f t="shared" si="3"/>
        <v>#REF!</v>
      </c>
      <c r="L48" s="181"/>
      <c r="M48" s="180" t="e">
        <f t="shared" si="4"/>
        <v>#REF!</v>
      </c>
      <c r="N48" s="187" t="e">
        <f t="shared" si="5"/>
        <v>#REF!</v>
      </c>
    </row>
    <row r="50" spans="2:13" ht="15.75" customHeight="1">
      <c r="B50" s="188" t="s">
        <v>503</v>
      </c>
      <c r="C50" s="189"/>
      <c r="D50" s="190"/>
      <c r="E50" s="189" t="e">
        <f>SUM(E3:E49)</f>
        <v>#REF!</v>
      </c>
      <c r="F50" s="191"/>
      <c r="G50" s="189"/>
      <c r="H50" s="188"/>
      <c r="I50" s="192"/>
      <c r="J50" s="188"/>
      <c r="K50" s="188"/>
      <c r="L50" s="190"/>
      <c r="M50" s="189" t="e">
        <f>SUM(M3:M49)</f>
        <v>#REF!</v>
      </c>
    </row>
  </sheetData>
  <mergeCells count="2">
    <mergeCell ref="C1:G1"/>
    <mergeCell ref="J1:N1"/>
  </mergeCells>
  <conditionalFormatting sqref="F3:F48 N3:N48">
    <cfRule type="cellIs" dxfId="5" priority="2" operator="greaterThanOrEqual">
      <formula>0.2</formula>
    </cfRule>
    <cfRule type="cellIs" dxfId="4" priority="3" operator="between">
      <formula>0.18</formula>
      <formula>0.1999</formula>
    </cfRule>
    <cfRule type="cellIs" dxfId="3" priority="4" operator="lessThan">
      <formula>0.18</formula>
    </cfRule>
  </conditionalFormatting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C000"/>
  </sheetPr>
  <dimension ref="A1:S920"/>
  <sheetViews>
    <sheetView zoomScaleNormal="100" workbookViewId="0">
      <selection activeCell="A11" sqref="A11"/>
    </sheetView>
  </sheetViews>
  <sheetFormatPr baseColWidth="10" defaultColWidth="9.1640625" defaultRowHeight="15"/>
  <cols>
    <col min="1" max="1" width="28.5" style="193" customWidth="1"/>
    <col min="2" max="2" width="38.33203125" style="193" customWidth="1"/>
    <col min="3" max="3" width="14.83203125" style="193" customWidth="1"/>
    <col min="4" max="4" width="29.83203125" style="193" customWidth="1"/>
    <col min="5" max="5" width="12.33203125" style="193" customWidth="1"/>
    <col min="6" max="6" width="36.1640625" style="193" customWidth="1"/>
    <col min="7" max="7" width="13.33203125" style="194" customWidth="1"/>
    <col min="8" max="9" width="9.5" style="195" customWidth="1"/>
    <col min="10" max="10" width="12.5" style="196" customWidth="1"/>
    <col min="11" max="12" width="10.1640625" style="197" customWidth="1"/>
    <col min="13" max="13" width="14.33203125" style="198" customWidth="1"/>
    <col min="14" max="14" width="10.5" style="198" customWidth="1"/>
    <col min="15" max="16384" width="9.1640625" style="193"/>
  </cols>
  <sheetData>
    <row r="1" spans="1:19" ht="15" customHeight="1">
      <c r="L1" s="199" t="s">
        <v>1180</v>
      </c>
      <c r="M1" s="200">
        <f>SUBTOTAL(9,M3:M1048576)</f>
        <v>813.98088957055234</v>
      </c>
      <c r="N1" s="200">
        <f>SUBTOTAL(9,N3:N1048576)</f>
        <v>1.2100000000000002</v>
      </c>
      <c r="O1" s="201"/>
      <c r="Q1" s="201"/>
      <c r="R1" s="201"/>
      <c r="S1" s="201"/>
    </row>
    <row r="2" spans="1:19" s="204" customFormat="1" ht="45" customHeight="1">
      <c r="A2" s="202" t="s">
        <v>1181</v>
      </c>
      <c r="B2" s="202" t="s">
        <v>1182</v>
      </c>
      <c r="C2" s="202" t="s">
        <v>1183</v>
      </c>
      <c r="D2" s="202" t="s">
        <v>1184</v>
      </c>
      <c r="E2" s="202" t="s">
        <v>1185</v>
      </c>
      <c r="F2" s="202" t="s">
        <v>1186</v>
      </c>
      <c r="G2" s="203" t="s">
        <v>1187</v>
      </c>
      <c r="H2" s="203" t="s">
        <v>1188</v>
      </c>
      <c r="I2" s="203" t="s">
        <v>1189</v>
      </c>
      <c r="J2" s="203" t="s">
        <v>1190</v>
      </c>
      <c r="K2" s="203" t="s">
        <v>1191</v>
      </c>
      <c r="L2" s="203" t="s">
        <v>1192</v>
      </c>
      <c r="M2" s="203" t="s">
        <v>1193</v>
      </c>
      <c r="N2" s="203" t="s">
        <v>1194</v>
      </c>
    </row>
    <row r="3" spans="1:19">
      <c r="A3" s="205" t="s">
        <v>1195</v>
      </c>
      <c r="B3" s="205" t="s">
        <v>1196</v>
      </c>
      <c r="C3" s="205" t="s">
        <v>564</v>
      </c>
      <c r="D3" s="205" t="s">
        <v>704</v>
      </c>
      <c r="E3" s="205" t="s">
        <v>1197</v>
      </c>
      <c r="F3" s="205" t="s">
        <v>1198</v>
      </c>
      <c r="G3" s="206">
        <v>400</v>
      </c>
      <c r="H3" s="207">
        <f t="shared" ref="H3:H66" si="0">SUMIFS(G:G,C:C,C3)</f>
        <v>853</v>
      </c>
      <c r="I3" s="207">
        <f>IF(F3="CONCENTRADO SEMI BRILHO",G3/'De-Para'!$B$9,G3/VLOOKUP(B3,'De-Para'!A:B,2,0))</f>
        <v>314.96062992125985</v>
      </c>
      <c r="J3" s="206">
        <f t="shared" ref="J3:J66" si="1">SUMIFS(I:I,C:C,C3)</f>
        <v>671.65354330708658</v>
      </c>
      <c r="K3" s="208">
        <f t="shared" ref="K3:K66" si="2">G3/H3</f>
        <v>0.46893317702227433</v>
      </c>
      <c r="L3" s="209">
        <f>VLOOKUP(E3,'Custos Matéria Prima Embalagens'!B:G,6,0)</f>
        <v>0</v>
      </c>
      <c r="M3" s="209">
        <f t="shared" ref="M3:M66" si="3">L3*G3</f>
        <v>0</v>
      </c>
      <c r="N3" s="209">
        <f t="shared" ref="N3:N66" si="4">IF(B3="CONCENTRADO",ROUND(M3/H3,2),ROUND(M3/J3,2))</f>
        <v>0</v>
      </c>
      <c r="O3" s="193">
        <v>380</v>
      </c>
    </row>
    <row r="4" spans="1:19">
      <c r="A4" s="129" t="s">
        <v>1195</v>
      </c>
      <c r="B4" s="129" t="s">
        <v>1196</v>
      </c>
      <c r="C4" s="129" t="s">
        <v>564</v>
      </c>
      <c r="D4" s="129" t="s">
        <v>704</v>
      </c>
      <c r="E4" s="129" t="s">
        <v>1199</v>
      </c>
      <c r="F4" s="129" t="s">
        <v>1200</v>
      </c>
      <c r="G4" s="210">
        <v>0.5</v>
      </c>
      <c r="H4" s="211">
        <f t="shared" si="0"/>
        <v>853</v>
      </c>
      <c r="I4" s="207">
        <f>IF(F4="CONCENTRADO SEMI BRILHO",G4/'De-Para'!$B$9,G4/VLOOKUP(B4,'De-Para'!A:B,2,0))</f>
        <v>0.39370078740157477</v>
      </c>
      <c r="J4" s="206">
        <f t="shared" si="1"/>
        <v>671.65354330708658</v>
      </c>
      <c r="K4" s="212">
        <f t="shared" si="2"/>
        <v>5.8616647127784287E-4</v>
      </c>
      <c r="L4" s="209">
        <f>VLOOKUP(E4,'Custos Matéria Prima Embalagens'!B:G,6,0)</f>
        <v>17.939999999999998</v>
      </c>
      <c r="M4" s="209">
        <f t="shared" si="3"/>
        <v>8.9699999999999989</v>
      </c>
      <c r="N4" s="209">
        <f t="shared" si="4"/>
        <v>0.01</v>
      </c>
      <c r="O4" s="193">
        <v>0.5</v>
      </c>
    </row>
    <row r="5" spans="1:19">
      <c r="A5" s="129" t="s">
        <v>1195</v>
      </c>
      <c r="B5" s="129" t="s">
        <v>1196</v>
      </c>
      <c r="C5" s="129" t="s">
        <v>564</v>
      </c>
      <c r="D5" s="129" t="s">
        <v>704</v>
      </c>
      <c r="E5" s="129" t="s">
        <v>1201</v>
      </c>
      <c r="F5" s="129" t="s">
        <v>1202</v>
      </c>
      <c r="G5" s="210">
        <v>2.5</v>
      </c>
      <c r="H5" s="211">
        <f t="shared" si="0"/>
        <v>853</v>
      </c>
      <c r="I5" s="207">
        <f>IF(F5="CONCENTRADO SEMI BRILHO",G5/'De-Para'!$B$9,G5/VLOOKUP(B5,'De-Para'!A:B,2,0))</f>
        <v>1.9685039370078741</v>
      </c>
      <c r="J5" s="206">
        <f t="shared" si="1"/>
        <v>671.65354330708658</v>
      </c>
      <c r="K5" s="212">
        <f t="shared" si="2"/>
        <v>2.9308323563892145E-3</v>
      </c>
      <c r="L5" s="209">
        <f>VLOOKUP(E5,'Custos Matéria Prima Embalagens'!B:G,6,0)</f>
        <v>7.18</v>
      </c>
      <c r="M5" s="209">
        <f t="shared" si="3"/>
        <v>17.95</v>
      </c>
      <c r="N5" s="209">
        <f t="shared" si="4"/>
        <v>0.03</v>
      </c>
      <c r="O5" s="193">
        <v>2.5</v>
      </c>
    </row>
    <row r="6" spans="1:19">
      <c r="A6" s="129" t="s">
        <v>1195</v>
      </c>
      <c r="B6" s="129" t="s">
        <v>1196</v>
      </c>
      <c r="C6" s="129" t="s">
        <v>564</v>
      </c>
      <c r="D6" s="129" t="s">
        <v>704</v>
      </c>
      <c r="E6" s="129" t="s">
        <v>1203</v>
      </c>
      <c r="F6" s="129" t="s">
        <v>1204</v>
      </c>
      <c r="G6" s="210">
        <v>3</v>
      </c>
      <c r="H6" s="211">
        <f t="shared" si="0"/>
        <v>853</v>
      </c>
      <c r="I6" s="207">
        <f>IF(F6="CONCENTRADO SEMI BRILHO",G6/'De-Para'!$B$9,G6/VLOOKUP(B6,'De-Para'!A:B,2,0))</f>
        <v>2.3622047244094486</v>
      </c>
      <c r="J6" s="206">
        <f t="shared" si="1"/>
        <v>671.65354330708658</v>
      </c>
      <c r="K6" s="212">
        <f t="shared" si="2"/>
        <v>3.5169988276670576E-3</v>
      </c>
      <c r="L6" s="209">
        <f>VLOOKUP(E6,'Custos Matéria Prima Embalagens'!B:G,6,0)</f>
        <v>4.9399999999999995</v>
      </c>
      <c r="M6" s="209">
        <f t="shared" si="3"/>
        <v>14.819999999999999</v>
      </c>
      <c r="N6" s="209">
        <f t="shared" si="4"/>
        <v>0.02</v>
      </c>
      <c r="O6" s="193">
        <v>3</v>
      </c>
    </row>
    <row r="7" spans="1:19">
      <c r="A7" s="129" t="s">
        <v>1195</v>
      </c>
      <c r="B7" s="129" t="s">
        <v>1196</v>
      </c>
      <c r="C7" s="129" t="s">
        <v>564</v>
      </c>
      <c r="D7" s="129" t="s">
        <v>704</v>
      </c>
      <c r="E7" s="129" t="s">
        <v>1205</v>
      </c>
      <c r="F7" s="129" t="s">
        <v>1206</v>
      </c>
      <c r="G7" s="210">
        <v>2</v>
      </c>
      <c r="H7" s="211">
        <f t="shared" si="0"/>
        <v>853</v>
      </c>
      <c r="I7" s="207">
        <f>IF(F7="CONCENTRADO SEMI BRILHO",G7/'De-Para'!$B$9,G7/VLOOKUP(B7,'De-Para'!A:B,2,0))</f>
        <v>1.5748031496062991</v>
      </c>
      <c r="J7" s="206">
        <f t="shared" si="1"/>
        <v>671.65354330708658</v>
      </c>
      <c r="K7" s="212">
        <f t="shared" si="2"/>
        <v>2.3446658851113715E-3</v>
      </c>
      <c r="L7" s="209">
        <f>VLOOKUP(E7,'Custos Matéria Prima Embalagens'!B:G,6,0)</f>
        <v>7.33</v>
      </c>
      <c r="M7" s="209">
        <f t="shared" si="3"/>
        <v>14.66</v>
      </c>
      <c r="N7" s="209">
        <f t="shared" si="4"/>
        <v>0.02</v>
      </c>
      <c r="O7" s="193">
        <v>2</v>
      </c>
    </row>
    <row r="8" spans="1:19">
      <c r="A8" s="129" t="s">
        <v>1195</v>
      </c>
      <c r="B8" s="129" t="s">
        <v>1196</v>
      </c>
      <c r="C8" s="129" t="s">
        <v>564</v>
      </c>
      <c r="D8" s="129" t="s">
        <v>704</v>
      </c>
      <c r="E8" s="129" t="s">
        <v>1207</v>
      </c>
      <c r="F8" s="129" t="s">
        <v>1208</v>
      </c>
      <c r="G8" s="210">
        <v>2</v>
      </c>
      <c r="H8" s="211">
        <f t="shared" si="0"/>
        <v>853</v>
      </c>
      <c r="I8" s="207">
        <f>IF(F8="CONCENTRADO SEMI BRILHO",G8/'De-Para'!$B$9,G8/VLOOKUP(B8,'De-Para'!A:B,2,0))</f>
        <v>1.5748031496062991</v>
      </c>
      <c r="J8" s="206">
        <f t="shared" si="1"/>
        <v>671.65354330708658</v>
      </c>
      <c r="K8" s="212">
        <f t="shared" si="2"/>
        <v>2.3446658851113715E-3</v>
      </c>
      <c r="L8" s="209">
        <f>VLOOKUP(E8,'Custos Matéria Prima Embalagens'!B:G,6,0)</f>
        <v>6.8599999999999994</v>
      </c>
      <c r="M8" s="209">
        <f t="shared" si="3"/>
        <v>13.719999999999999</v>
      </c>
      <c r="N8" s="209">
        <f t="shared" si="4"/>
        <v>0.02</v>
      </c>
      <c r="O8" s="193">
        <v>2</v>
      </c>
    </row>
    <row r="9" spans="1:19">
      <c r="A9" s="129" t="s">
        <v>1195</v>
      </c>
      <c r="B9" s="129" t="s">
        <v>1196</v>
      </c>
      <c r="C9" s="129" t="s">
        <v>564</v>
      </c>
      <c r="D9" s="129" t="s">
        <v>704</v>
      </c>
      <c r="E9" s="129" t="s">
        <v>1209</v>
      </c>
      <c r="F9" s="129" t="s">
        <v>1210</v>
      </c>
      <c r="G9" s="210">
        <v>2.5</v>
      </c>
      <c r="H9" s="211">
        <f t="shared" si="0"/>
        <v>853</v>
      </c>
      <c r="I9" s="207">
        <f>IF(F9="CONCENTRADO SEMI BRILHO",G9/'De-Para'!$B$9,G9/VLOOKUP(B9,'De-Para'!A:B,2,0))</f>
        <v>1.9685039370078741</v>
      </c>
      <c r="J9" s="206">
        <f t="shared" si="1"/>
        <v>671.65354330708658</v>
      </c>
      <c r="K9" s="212">
        <f t="shared" si="2"/>
        <v>2.9308323563892145E-3</v>
      </c>
      <c r="L9" s="209">
        <f>VLOOKUP(E9,'Custos Matéria Prima Embalagens'!B:G,6,0)</f>
        <v>7</v>
      </c>
      <c r="M9" s="209">
        <f t="shared" si="3"/>
        <v>17.5</v>
      </c>
      <c r="N9" s="209">
        <f t="shared" si="4"/>
        <v>0.03</v>
      </c>
      <c r="O9" s="193">
        <v>2.5</v>
      </c>
    </row>
    <row r="10" spans="1:19">
      <c r="A10" s="129" t="s">
        <v>1195</v>
      </c>
      <c r="B10" s="129" t="s">
        <v>1196</v>
      </c>
      <c r="C10" s="129" t="s">
        <v>564</v>
      </c>
      <c r="D10" s="129" t="s">
        <v>704</v>
      </c>
      <c r="E10" s="129" t="s">
        <v>1211</v>
      </c>
      <c r="F10" s="129" t="s">
        <v>1212</v>
      </c>
      <c r="G10" s="210">
        <v>50</v>
      </c>
      <c r="H10" s="211">
        <f t="shared" si="0"/>
        <v>853</v>
      </c>
      <c r="I10" s="207">
        <f>IF(F10="CONCENTRADO SEMI BRILHO",G10/'De-Para'!$B$9,G10/VLOOKUP(B10,'De-Para'!A:B,2,0))</f>
        <v>39.370078740157481</v>
      </c>
      <c r="J10" s="206">
        <f t="shared" si="1"/>
        <v>671.65354330708658</v>
      </c>
      <c r="K10" s="212">
        <f t="shared" si="2"/>
        <v>5.8616647127784291E-2</v>
      </c>
      <c r="L10" s="209">
        <f>VLOOKUP(E10,'Custos Matéria Prima Embalagens'!B:G,6,0)</f>
        <v>3.09</v>
      </c>
      <c r="M10" s="209">
        <f t="shared" si="3"/>
        <v>154.5</v>
      </c>
      <c r="N10" s="209">
        <f t="shared" si="4"/>
        <v>0.23</v>
      </c>
      <c r="O10" s="193">
        <v>50</v>
      </c>
    </row>
    <row r="11" spans="1:19">
      <c r="A11" s="129" t="s">
        <v>1195</v>
      </c>
      <c r="B11" s="129" t="s">
        <v>1196</v>
      </c>
      <c r="C11" s="129" t="s">
        <v>564</v>
      </c>
      <c r="D11" s="129" t="s">
        <v>704</v>
      </c>
      <c r="E11" s="129" t="s">
        <v>1213</v>
      </c>
      <c r="F11" s="129" t="s">
        <v>1214</v>
      </c>
      <c r="G11" s="210">
        <v>0</v>
      </c>
      <c r="H11" s="211">
        <f t="shared" si="0"/>
        <v>853</v>
      </c>
      <c r="I11" s="207">
        <f>IF(F11="CONCENTRADO SEMI BRILHO",G11/'De-Para'!$B$9,G11/VLOOKUP(B11,'De-Para'!A:B,2,0))</f>
        <v>0</v>
      </c>
      <c r="J11" s="206">
        <f t="shared" si="1"/>
        <v>671.65354330708658</v>
      </c>
      <c r="K11" s="212">
        <f t="shared" si="2"/>
        <v>0</v>
      </c>
      <c r="L11" s="209">
        <f>VLOOKUP(E11,'Custos Matéria Prima Embalagens'!B:G,6,0)</f>
        <v>19.3</v>
      </c>
      <c r="M11" s="209">
        <f t="shared" si="3"/>
        <v>0</v>
      </c>
      <c r="N11" s="209">
        <f t="shared" si="4"/>
        <v>0</v>
      </c>
      <c r="O11" s="193">
        <v>5</v>
      </c>
    </row>
    <row r="12" spans="1:19">
      <c r="A12" s="129" t="s">
        <v>1195</v>
      </c>
      <c r="B12" s="129" t="s">
        <v>1196</v>
      </c>
      <c r="C12" s="129" t="s">
        <v>564</v>
      </c>
      <c r="D12" s="129" t="s">
        <v>704</v>
      </c>
      <c r="E12" s="129" t="s">
        <v>1215</v>
      </c>
      <c r="F12" s="129" t="s">
        <v>1216</v>
      </c>
      <c r="G12" s="210">
        <v>275</v>
      </c>
      <c r="H12" s="211">
        <f t="shared" si="0"/>
        <v>853</v>
      </c>
      <c r="I12" s="207">
        <f>IF(F12="CONCENTRADO SEMI BRILHO",G12/'De-Para'!$B$9,G12/VLOOKUP(B12,'De-Para'!A:B,2,0))</f>
        <v>216.53543307086613</v>
      </c>
      <c r="J12" s="206">
        <f t="shared" si="1"/>
        <v>671.65354330708658</v>
      </c>
      <c r="K12" s="212">
        <f t="shared" si="2"/>
        <v>0.32239155920281359</v>
      </c>
      <c r="L12" s="209">
        <f>VLOOKUP(E12,'Custos Matéria Prima Embalagens'!B:G,6,0)</f>
        <v>0.8</v>
      </c>
      <c r="M12" s="209">
        <f t="shared" si="3"/>
        <v>220</v>
      </c>
      <c r="N12" s="209">
        <f t="shared" si="4"/>
        <v>0.33</v>
      </c>
      <c r="O12" s="193">
        <v>350</v>
      </c>
    </row>
    <row r="13" spans="1:19">
      <c r="A13" s="129" t="s">
        <v>1195</v>
      </c>
      <c r="B13" s="129" t="s">
        <v>1196</v>
      </c>
      <c r="C13" s="129" t="s">
        <v>564</v>
      </c>
      <c r="D13" s="129" t="s">
        <v>704</v>
      </c>
      <c r="E13" s="129" t="s">
        <v>1217</v>
      </c>
      <c r="F13" s="129" t="s">
        <v>1218</v>
      </c>
      <c r="G13" s="210">
        <v>20</v>
      </c>
      <c r="H13" s="211">
        <f t="shared" si="0"/>
        <v>853</v>
      </c>
      <c r="I13" s="207">
        <f>IF(F13="CONCENTRADO SEMI BRILHO",G13/'De-Para'!$B$9,G13/VLOOKUP(B13,'De-Para'!A:B,2,0))</f>
        <v>15.748031496062993</v>
      </c>
      <c r="J13" s="206">
        <f t="shared" si="1"/>
        <v>671.65354330708658</v>
      </c>
      <c r="K13" s="212">
        <f t="shared" si="2"/>
        <v>2.3446658851113716E-2</v>
      </c>
      <c r="L13" s="209">
        <f>VLOOKUP(E13,'Custos Matéria Prima Embalagens'!B:G,6,0)</f>
        <v>8.43</v>
      </c>
      <c r="M13" s="209">
        <f t="shared" si="3"/>
        <v>168.6</v>
      </c>
      <c r="N13" s="209">
        <f t="shared" si="4"/>
        <v>0.25</v>
      </c>
      <c r="O13" s="193">
        <v>30</v>
      </c>
    </row>
    <row r="14" spans="1:19">
      <c r="A14" s="129" t="s">
        <v>1195</v>
      </c>
      <c r="B14" s="129" t="s">
        <v>1196</v>
      </c>
      <c r="C14" s="129" t="s">
        <v>564</v>
      </c>
      <c r="D14" s="129" t="s">
        <v>704</v>
      </c>
      <c r="E14" s="129" t="s">
        <v>1219</v>
      </c>
      <c r="F14" s="129" t="s">
        <v>1220</v>
      </c>
      <c r="G14" s="210">
        <v>2.5</v>
      </c>
      <c r="H14" s="211">
        <f t="shared" si="0"/>
        <v>853</v>
      </c>
      <c r="I14" s="207">
        <f>IF(F14="CONCENTRADO SEMI BRILHO",G14/'De-Para'!$B$9,G14/VLOOKUP(B14,'De-Para'!A:B,2,0))</f>
        <v>1.9685039370078741</v>
      </c>
      <c r="J14" s="206">
        <f t="shared" si="1"/>
        <v>671.65354330708658</v>
      </c>
      <c r="K14" s="212">
        <f t="shared" si="2"/>
        <v>2.9308323563892145E-3</v>
      </c>
      <c r="L14" s="209">
        <f>VLOOKUP(E14,'Custos Matéria Prima Embalagens'!B:G,6,0)</f>
        <v>4.9800000000000004</v>
      </c>
      <c r="M14" s="209">
        <f t="shared" si="3"/>
        <v>12.450000000000001</v>
      </c>
      <c r="N14" s="209">
        <f t="shared" si="4"/>
        <v>0.02</v>
      </c>
      <c r="O14" s="193">
        <v>2.5</v>
      </c>
    </row>
    <row r="15" spans="1:19">
      <c r="A15" s="129" t="s">
        <v>1195</v>
      </c>
      <c r="B15" s="129" t="s">
        <v>1196</v>
      </c>
      <c r="C15" s="129" t="s">
        <v>564</v>
      </c>
      <c r="D15" s="129" t="s">
        <v>704</v>
      </c>
      <c r="E15" s="129" t="s">
        <v>1221</v>
      </c>
      <c r="F15" s="129" t="s">
        <v>1222</v>
      </c>
      <c r="G15" s="210">
        <v>10.5</v>
      </c>
      <c r="H15" s="211">
        <f t="shared" si="0"/>
        <v>853</v>
      </c>
      <c r="I15" s="207">
        <f>IF(F15="CONCENTRADO SEMI BRILHO",G15/'De-Para'!$B$9,G15/VLOOKUP(B15,'De-Para'!A:B,2,0))</f>
        <v>8.2677165354330704</v>
      </c>
      <c r="J15" s="206">
        <f t="shared" si="1"/>
        <v>671.65354330708658</v>
      </c>
      <c r="K15" s="212">
        <f t="shared" si="2"/>
        <v>1.23094958968347E-2</v>
      </c>
      <c r="L15" s="209">
        <f>VLOOKUP(E15,'Custos Matéria Prima Embalagens'!B:G,6,0)</f>
        <v>7.9049999999999994</v>
      </c>
      <c r="M15" s="209">
        <f t="shared" si="3"/>
        <v>83.002499999999998</v>
      </c>
      <c r="N15" s="209">
        <f t="shared" si="4"/>
        <v>0.12</v>
      </c>
      <c r="O15" s="193">
        <v>13.5</v>
      </c>
    </row>
    <row r="16" spans="1:19">
      <c r="A16" s="129" t="s">
        <v>1195</v>
      </c>
      <c r="B16" s="129" t="s">
        <v>1196</v>
      </c>
      <c r="C16" s="129" t="s">
        <v>564</v>
      </c>
      <c r="D16" s="129" t="s">
        <v>704</v>
      </c>
      <c r="E16" s="129" t="s">
        <v>1223</v>
      </c>
      <c r="F16" s="129" t="s">
        <v>1224</v>
      </c>
      <c r="G16" s="210">
        <v>7.5</v>
      </c>
      <c r="H16" s="211">
        <f t="shared" si="0"/>
        <v>853</v>
      </c>
      <c r="I16" s="207">
        <f>IF(F16="CONCENTRADO SEMI BRILHO",G16/'De-Para'!$B$9,G16/VLOOKUP(B16,'De-Para'!A:B,2,0))</f>
        <v>5.9055118110236222</v>
      </c>
      <c r="J16" s="206">
        <f t="shared" si="1"/>
        <v>671.65354330708658</v>
      </c>
      <c r="K16" s="212">
        <f t="shared" si="2"/>
        <v>8.7924970691676436E-3</v>
      </c>
      <c r="L16" s="209">
        <f>VLOOKUP(E16,'Custos Matéria Prima Embalagens'!B:G,6,0)</f>
        <v>4.8499999999999996</v>
      </c>
      <c r="M16" s="209">
        <f t="shared" si="3"/>
        <v>36.375</v>
      </c>
      <c r="N16" s="209">
        <f t="shared" si="4"/>
        <v>0.05</v>
      </c>
      <c r="O16" s="193">
        <v>7.5</v>
      </c>
    </row>
    <row r="17" spans="1:15">
      <c r="A17" s="129" t="s">
        <v>1195</v>
      </c>
      <c r="B17" s="129" t="s">
        <v>1196</v>
      </c>
      <c r="C17" s="129" t="s">
        <v>564</v>
      </c>
      <c r="D17" s="129" t="s">
        <v>704</v>
      </c>
      <c r="E17" s="129" t="s">
        <v>1225</v>
      </c>
      <c r="F17" s="129" t="s">
        <v>1226</v>
      </c>
      <c r="G17" s="210">
        <v>75</v>
      </c>
      <c r="H17" s="211">
        <f t="shared" si="0"/>
        <v>853</v>
      </c>
      <c r="I17" s="207">
        <f>IF(F17="CONCENTRADO SEMI BRILHO",G17/'De-Para'!$B$9,G17/VLOOKUP(B17,'De-Para'!A:B,2,0))</f>
        <v>59.055118110236222</v>
      </c>
      <c r="J17" s="206">
        <f t="shared" si="1"/>
        <v>671.65354330708658</v>
      </c>
      <c r="K17" s="212">
        <f t="shared" si="2"/>
        <v>8.792497069167643E-2</v>
      </c>
      <c r="L17" s="209">
        <f>VLOOKUP(E17,'Custos Matéria Prima Embalagens'!B:G,6,0)</f>
        <v>0.68577852760736202</v>
      </c>
      <c r="M17" s="209">
        <f t="shared" si="3"/>
        <v>51.433389570552151</v>
      </c>
      <c r="N17" s="209">
        <f t="shared" si="4"/>
        <v>0.08</v>
      </c>
      <c r="O17" s="193">
        <v>3</v>
      </c>
    </row>
    <row r="18" spans="1:15" hidden="1">
      <c r="A18" s="129" t="s">
        <v>1195</v>
      </c>
      <c r="B18" s="129" t="s">
        <v>1196</v>
      </c>
      <c r="C18" s="129" t="s">
        <v>568</v>
      </c>
      <c r="D18" s="129" t="s">
        <v>569</v>
      </c>
      <c r="E18" s="129" t="s">
        <v>1197</v>
      </c>
      <c r="F18" s="129" t="s">
        <v>1198</v>
      </c>
      <c r="G18" s="210">
        <v>460</v>
      </c>
      <c r="H18" s="211">
        <f t="shared" si="0"/>
        <v>909.07500000000005</v>
      </c>
      <c r="I18" s="207">
        <f>IF(F18="CONCENTRADO SEMI BRILHO",G18/'De-Para'!$B$9,G18/VLOOKUP(B18,'De-Para'!A:B,2,0))</f>
        <v>362.20472440944883</v>
      </c>
      <c r="J18" s="206">
        <f t="shared" si="1"/>
        <v>715.80708661417316</v>
      </c>
      <c r="K18" s="212">
        <f t="shared" si="2"/>
        <v>0.50600885515496519</v>
      </c>
      <c r="L18" s="209">
        <f>VLOOKUP(E18,'Custos Matéria Prima Embalagens'!B:G,6,0)</f>
        <v>0</v>
      </c>
      <c r="M18" s="209">
        <f t="shared" si="3"/>
        <v>0</v>
      </c>
      <c r="N18" s="209">
        <f t="shared" si="4"/>
        <v>0</v>
      </c>
    </row>
    <row r="19" spans="1:15" hidden="1">
      <c r="A19" s="129" t="s">
        <v>1195</v>
      </c>
      <c r="B19" s="129" t="s">
        <v>1196</v>
      </c>
      <c r="C19" s="129" t="s">
        <v>568</v>
      </c>
      <c r="D19" s="129" t="s">
        <v>569</v>
      </c>
      <c r="E19" s="129" t="s">
        <v>1201</v>
      </c>
      <c r="F19" s="129" t="s">
        <v>1202</v>
      </c>
      <c r="G19" s="210">
        <v>2.5</v>
      </c>
      <c r="H19" s="211">
        <f t="shared" si="0"/>
        <v>909.07500000000005</v>
      </c>
      <c r="I19" s="207">
        <f>IF(F19="CONCENTRADO SEMI BRILHO",G19/'De-Para'!$B$9,G19/VLOOKUP(B19,'De-Para'!A:B,2,0))</f>
        <v>1.9685039370078741</v>
      </c>
      <c r="J19" s="206">
        <f t="shared" si="1"/>
        <v>715.80708661417316</v>
      </c>
      <c r="K19" s="212">
        <f t="shared" si="2"/>
        <v>2.7500481258422023E-3</v>
      </c>
      <c r="L19" s="209">
        <f>VLOOKUP(E19,'Custos Matéria Prima Embalagens'!B:G,6,0)</f>
        <v>7.18</v>
      </c>
      <c r="M19" s="209">
        <f t="shared" si="3"/>
        <v>17.95</v>
      </c>
      <c r="N19" s="209">
        <f t="shared" si="4"/>
        <v>0.03</v>
      </c>
    </row>
    <row r="20" spans="1:15" hidden="1">
      <c r="A20" s="129" t="s">
        <v>1195</v>
      </c>
      <c r="B20" s="129" t="s">
        <v>1196</v>
      </c>
      <c r="C20" s="129" t="s">
        <v>568</v>
      </c>
      <c r="D20" s="129" t="s">
        <v>569</v>
      </c>
      <c r="E20" s="129" t="s">
        <v>1203</v>
      </c>
      <c r="F20" s="129" t="s">
        <v>1204</v>
      </c>
      <c r="G20" s="210">
        <v>3</v>
      </c>
      <c r="H20" s="211">
        <f t="shared" si="0"/>
        <v>909.07500000000005</v>
      </c>
      <c r="I20" s="207">
        <f>IF(F20="CONCENTRADO SEMI BRILHO",G20/'De-Para'!$B$9,G20/VLOOKUP(B20,'De-Para'!A:B,2,0))</f>
        <v>2.3622047244094486</v>
      </c>
      <c r="J20" s="206">
        <f t="shared" si="1"/>
        <v>715.80708661417316</v>
      </c>
      <c r="K20" s="212">
        <f t="shared" si="2"/>
        <v>3.3000577510106425E-3</v>
      </c>
      <c r="L20" s="209">
        <f>VLOOKUP(E20,'Custos Matéria Prima Embalagens'!B:G,6,0)</f>
        <v>4.9399999999999995</v>
      </c>
      <c r="M20" s="209">
        <f t="shared" si="3"/>
        <v>14.819999999999999</v>
      </c>
      <c r="N20" s="209">
        <f t="shared" si="4"/>
        <v>0.02</v>
      </c>
    </row>
    <row r="21" spans="1:15" hidden="1">
      <c r="A21" s="129" t="s">
        <v>1195</v>
      </c>
      <c r="B21" s="129" t="s">
        <v>1196</v>
      </c>
      <c r="C21" s="129" t="s">
        <v>568</v>
      </c>
      <c r="D21" s="129" t="s">
        <v>569</v>
      </c>
      <c r="E21" s="129" t="s">
        <v>1205</v>
      </c>
      <c r="F21" s="129" t="s">
        <v>1206</v>
      </c>
      <c r="G21" s="210">
        <v>2</v>
      </c>
      <c r="H21" s="211">
        <f t="shared" si="0"/>
        <v>909.07500000000005</v>
      </c>
      <c r="I21" s="207">
        <f>IF(F21="CONCENTRADO SEMI BRILHO",G21/'De-Para'!$B$9,G21/VLOOKUP(B21,'De-Para'!A:B,2,0))</f>
        <v>1.5748031496062991</v>
      </c>
      <c r="J21" s="206">
        <f t="shared" si="1"/>
        <v>715.80708661417316</v>
      </c>
      <c r="K21" s="212">
        <f t="shared" si="2"/>
        <v>2.2000385006737616E-3</v>
      </c>
      <c r="L21" s="209">
        <f>VLOOKUP(E21,'Custos Matéria Prima Embalagens'!B:G,6,0)</f>
        <v>7.33</v>
      </c>
      <c r="M21" s="209">
        <f t="shared" si="3"/>
        <v>14.66</v>
      </c>
      <c r="N21" s="209">
        <f t="shared" si="4"/>
        <v>0.02</v>
      </c>
    </row>
    <row r="22" spans="1:15" hidden="1">
      <c r="A22" s="129" t="s">
        <v>1195</v>
      </c>
      <c r="B22" s="129" t="s">
        <v>1196</v>
      </c>
      <c r="C22" s="129" t="s">
        <v>568</v>
      </c>
      <c r="D22" s="129" t="s">
        <v>569</v>
      </c>
      <c r="E22" s="129" t="s">
        <v>1207</v>
      </c>
      <c r="F22" s="129" t="s">
        <v>1208</v>
      </c>
      <c r="G22" s="210">
        <v>3</v>
      </c>
      <c r="H22" s="211">
        <f t="shared" si="0"/>
        <v>909.07500000000005</v>
      </c>
      <c r="I22" s="207">
        <f>IF(F22="CONCENTRADO SEMI BRILHO",G22/'De-Para'!$B$9,G22/VLOOKUP(B22,'De-Para'!A:B,2,0))</f>
        <v>2.3622047244094486</v>
      </c>
      <c r="J22" s="206">
        <f t="shared" si="1"/>
        <v>715.80708661417316</v>
      </c>
      <c r="K22" s="212">
        <f t="shared" si="2"/>
        <v>3.3000577510106425E-3</v>
      </c>
      <c r="L22" s="209">
        <f>VLOOKUP(E22,'Custos Matéria Prima Embalagens'!B:G,6,0)</f>
        <v>6.8599999999999994</v>
      </c>
      <c r="M22" s="209">
        <f t="shared" si="3"/>
        <v>20.58</v>
      </c>
      <c r="N22" s="209">
        <f t="shared" si="4"/>
        <v>0.03</v>
      </c>
    </row>
    <row r="23" spans="1:15" hidden="1">
      <c r="A23" s="129" t="s">
        <v>1195</v>
      </c>
      <c r="B23" s="129" t="s">
        <v>1196</v>
      </c>
      <c r="C23" s="129" t="s">
        <v>568</v>
      </c>
      <c r="D23" s="129" t="s">
        <v>569</v>
      </c>
      <c r="E23" s="129" t="s">
        <v>1209</v>
      </c>
      <c r="F23" s="129" t="s">
        <v>1210</v>
      </c>
      <c r="G23" s="210">
        <v>2.5</v>
      </c>
      <c r="H23" s="211">
        <f t="shared" si="0"/>
        <v>909.07500000000005</v>
      </c>
      <c r="I23" s="207">
        <f>IF(F23="CONCENTRADO SEMI BRILHO",G23/'De-Para'!$B$9,G23/VLOOKUP(B23,'De-Para'!A:B,2,0))</f>
        <v>1.9685039370078741</v>
      </c>
      <c r="J23" s="206">
        <f t="shared" si="1"/>
        <v>715.80708661417316</v>
      </c>
      <c r="K23" s="212">
        <f t="shared" si="2"/>
        <v>2.7500481258422023E-3</v>
      </c>
      <c r="L23" s="209">
        <f>VLOOKUP(E23,'Custos Matéria Prima Embalagens'!B:G,6,0)</f>
        <v>7</v>
      </c>
      <c r="M23" s="209">
        <f t="shared" si="3"/>
        <v>17.5</v>
      </c>
      <c r="N23" s="209">
        <f t="shared" si="4"/>
        <v>0.02</v>
      </c>
    </row>
    <row r="24" spans="1:15" hidden="1">
      <c r="A24" s="129" t="s">
        <v>1195</v>
      </c>
      <c r="B24" s="129" t="s">
        <v>1196</v>
      </c>
      <c r="C24" s="129" t="s">
        <v>568</v>
      </c>
      <c r="D24" s="129" t="s">
        <v>569</v>
      </c>
      <c r="E24" s="129" t="s">
        <v>1215</v>
      </c>
      <c r="F24" s="129" t="s">
        <v>1216</v>
      </c>
      <c r="G24" s="210">
        <v>50</v>
      </c>
      <c r="H24" s="211">
        <f t="shared" si="0"/>
        <v>909.07500000000005</v>
      </c>
      <c r="I24" s="207">
        <f>IF(F24="CONCENTRADO SEMI BRILHO",G24/'De-Para'!$B$9,G24/VLOOKUP(B24,'De-Para'!A:B,2,0))</f>
        <v>39.370078740157481</v>
      </c>
      <c r="J24" s="206">
        <f t="shared" si="1"/>
        <v>715.80708661417316</v>
      </c>
      <c r="K24" s="212">
        <f t="shared" si="2"/>
        <v>5.500096251684404E-2</v>
      </c>
      <c r="L24" s="209">
        <f>VLOOKUP(E24,'Custos Matéria Prima Embalagens'!B:G,6,0)</f>
        <v>0.8</v>
      </c>
      <c r="M24" s="209">
        <f t="shared" si="3"/>
        <v>40</v>
      </c>
      <c r="N24" s="209">
        <f t="shared" si="4"/>
        <v>0.06</v>
      </c>
    </row>
    <row r="25" spans="1:15" hidden="1">
      <c r="A25" s="129" t="s">
        <v>1195</v>
      </c>
      <c r="B25" s="129" t="s">
        <v>1196</v>
      </c>
      <c r="C25" s="129" t="s">
        <v>568</v>
      </c>
      <c r="D25" s="129" t="s">
        <v>569</v>
      </c>
      <c r="E25" s="129" t="s">
        <v>1227</v>
      </c>
      <c r="F25" s="129" t="s">
        <v>1228</v>
      </c>
      <c r="G25" s="210">
        <v>325</v>
      </c>
      <c r="H25" s="211">
        <f t="shared" si="0"/>
        <v>909.07500000000005</v>
      </c>
      <c r="I25" s="207">
        <f>IF(F25="CONCENTRADO SEMI BRILHO",G25/'De-Para'!$B$9,G25/VLOOKUP(B25,'De-Para'!A:B,2,0))</f>
        <v>255.90551181102362</v>
      </c>
      <c r="J25" s="206">
        <f t="shared" si="1"/>
        <v>715.80708661417316</v>
      </c>
      <c r="K25" s="212">
        <f t="shared" si="2"/>
        <v>0.3575062563594863</v>
      </c>
      <c r="L25" s="209">
        <f>VLOOKUP(E25,'Custos Matéria Prima Embalagens'!B:G,6,0)</f>
        <v>1.520495555555555</v>
      </c>
      <c r="M25" s="209">
        <f t="shared" si="3"/>
        <v>494.16105555555538</v>
      </c>
      <c r="N25" s="209">
        <f t="shared" si="4"/>
        <v>0.69</v>
      </c>
    </row>
    <row r="26" spans="1:15" hidden="1">
      <c r="A26" s="129" t="s">
        <v>1195</v>
      </c>
      <c r="B26" s="129" t="s">
        <v>1196</v>
      </c>
      <c r="C26" s="129" t="s">
        <v>568</v>
      </c>
      <c r="D26" s="129" t="s">
        <v>569</v>
      </c>
      <c r="E26" s="129" t="s">
        <v>1217</v>
      </c>
      <c r="F26" s="129" t="s">
        <v>1218</v>
      </c>
      <c r="G26" s="210">
        <v>30</v>
      </c>
      <c r="H26" s="211">
        <f t="shared" si="0"/>
        <v>909.07500000000005</v>
      </c>
      <c r="I26" s="207">
        <f>IF(F26="CONCENTRADO SEMI BRILHO",G26/'De-Para'!$B$9,G26/VLOOKUP(B26,'De-Para'!A:B,2,0))</f>
        <v>23.622047244094489</v>
      </c>
      <c r="J26" s="206">
        <f t="shared" si="1"/>
        <v>715.80708661417316</v>
      </c>
      <c r="K26" s="212">
        <f t="shared" si="2"/>
        <v>3.3000577510106426E-2</v>
      </c>
      <c r="L26" s="209">
        <f>VLOOKUP(E26,'Custos Matéria Prima Embalagens'!B:G,6,0)</f>
        <v>8.43</v>
      </c>
      <c r="M26" s="209">
        <f t="shared" si="3"/>
        <v>252.89999999999998</v>
      </c>
      <c r="N26" s="209">
        <f t="shared" si="4"/>
        <v>0.35</v>
      </c>
    </row>
    <row r="27" spans="1:15" hidden="1">
      <c r="A27" s="129" t="s">
        <v>1195</v>
      </c>
      <c r="B27" s="129" t="s">
        <v>1196</v>
      </c>
      <c r="C27" s="129" t="s">
        <v>568</v>
      </c>
      <c r="D27" s="129" t="s">
        <v>569</v>
      </c>
      <c r="E27" s="129" t="s">
        <v>1219</v>
      </c>
      <c r="F27" s="129" t="s">
        <v>1220</v>
      </c>
      <c r="G27" s="210">
        <v>3</v>
      </c>
      <c r="H27" s="211">
        <f t="shared" si="0"/>
        <v>909.07500000000005</v>
      </c>
      <c r="I27" s="207">
        <f>IF(F27="CONCENTRADO SEMI BRILHO",G27/'De-Para'!$B$9,G27/VLOOKUP(B27,'De-Para'!A:B,2,0))</f>
        <v>2.3622047244094486</v>
      </c>
      <c r="J27" s="206">
        <f t="shared" si="1"/>
        <v>715.80708661417316</v>
      </c>
      <c r="K27" s="212">
        <f t="shared" si="2"/>
        <v>3.3000577510106425E-3</v>
      </c>
      <c r="L27" s="209">
        <f>VLOOKUP(E27,'Custos Matéria Prima Embalagens'!B:G,6,0)</f>
        <v>4.9800000000000004</v>
      </c>
      <c r="M27" s="209">
        <f t="shared" si="3"/>
        <v>14.940000000000001</v>
      </c>
      <c r="N27" s="209">
        <f t="shared" si="4"/>
        <v>0.02</v>
      </c>
    </row>
    <row r="28" spans="1:15" hidden="1">
      <c r="A28" s="129" t="s">
        <v>1195</v>
      </c>
      <c r="B28" s="129" t="s">
        <v>1196</v>
      </c>
      <c r="C28" s="129" t="s">
        <v>568</v>
      </c>
      <c r="D28" s="129" t="s">
        <v>569</v>
      </c>
      <c r="E28" s="129" t="s">
        <v>1221</v>
      </c>
      <c r="F28" s="129" t="s">
        <v>1222</v>
      </c>
      <c r="G28" s="210">
        <v>15.5</v>
      </c>
      <c r="H28" s="211">
        <f t="shared" si="0"/>
        <v>909.07500000000005</v>
      </c>
      <c r="I28" s="207">
        <f>IF(F28="CONCENTRADO SEMI BRILHO",G28/'De-Para'!$B$9,G28/VLOOKUP(B28,'De-Para'!A:B,2,0))</f>
        <v>12.204724409448819</v>
      </c>
      <c r="J28" s="206">
        <f t="shared" si="1"/>
        <v>715.80708661417316</v>
      </c>
      <c r="K28" s="212">
        <f t="shared" si="2"/>
        <v>1.7050298380221655E-2</v>
      </c>
      <c r="L28" s="209">
        <f>VLOOKUP(E28,'Custos Matéria Prima Embalagens'!B:G,6,0)</f>
        <v>7.9049999999999994</v>
      </c>
      <c r="M28" s="209">
        <f t="shared" si="3"/>
        <v>122.52749999999999</v>
      </c>
      <c r="N28" s="209">
        <f t="shared" si="4"/>
        <v>0.17</v>
      </c>
    </row>
    <row r="29" spans="1:15" hidden="1">
      <c r="A29" s="129" t="s">
        <v>1195</v>
      </c>
      <c r="B29" s="129" t="s">
        <v>1196</v>
      </c>
      <c r="C29" s="129" t="s">
        <v>568</v>
      </c>
      <c r="D29" s="129" t="s">
        <v>569</v>
      </c>
      <c r="E29" s="129" t="s">
        <v>1223</v>
      </c>
      <c r="F29" s="129" t="s">
        <v>1224</v>
      </c>
      <c r="G29" s="210">
        <v>7.5</v>
      </c>
      <c r="H29" s="211">
        <f t="shared" si="0"/>
        <v>909.07500000000005</v>
      </c>
      <c r="I29" s="207">
        <f>IF(F29="CONCENTRADO SEMI BRILHO",G29/'De-Para'!$B$9,G29/VLOOKUP(B29,'De-Para'!A:B,2,0))</f>
        <v>5.9055118110236222</v>
      </c>
      <c r="J29" s="206">
        <f t="shared" si="1"/>
        <v>715.80708661417316</v>
      </c>
      <c r="K29" s="212">
        <f t="shared" si="2"/>
        <v>8.2501443775266064E-3</v>
      </c>
      <c r="L29" s="209">
        <f>VLOOKUP(E29,'Custos Matéria Prima Embalagens'!B:G,6,0)</f>
        <v>4.8499999999999996</v>
      </c>
      <c r="M29" s="209">
        <f t="shared" si="3"/>
        <v>36.375</v>
      </c>
      <c r="N29" s="209">
        <f t="shared" si="4"/>
        <v>0.05</v>
      </c>
    </row>
    <row r="30" spans="1:15" hidden="1">
      <c r="A30" s="129" t="s">
        <v>1195</v>
      </c>
      <c r="B30" s="129" t="s">
        <v>1196</v>
      </c>
      <c r="C30" s="129" t="s">
        <v>568</v>
      </c>
      <c r="D30" s="129" t="s">
        <v>569</v>
      </c>
      <c r="E30" s="129" t="s">
        <v>1229</v>
      </c>
      <c r="F30" s="129" t="s">
        <v>1230</v>
      </c>
      <c r="G30" s="210">
        <v>5</v>
      </c>
      <c r="H30" s="211">
        <f t="shared" si="0"/>
        <v>909.07500000000005</v>
      </c>
      <c r="I30" s="207">
        <f>IF(F30="CONCENTRADO SEMI BRILHO",G30/'De-Para'!$B$9,G30/VLOOKUP(B30,'De-Para'!A:B,2,0))</f>
        <v>3.9370078740157481</v>
      </c>
      <c r="J30" s="206">
        <f t="shared" si="1"/>
        <v>715.80708661417316</v>
      </c>
      <c r="K30" s="212">
        <f t="shared" si="2"/>
        <v>5.5000962516844045E-3</v>
      </c>
      <c r="L30" s="209">
        <f>VLOOKUP(E30,'Custos Matéria Prima Embalagens'!B:G,6,0)</f>
        <v>19.22</v>
      </c>
      <c r="M30" s="209">
        <f t="shared" si="3"/>
        <v>96.1</v>
      </c>
      <c r="N30" s="209">
        <f t="shared" si="4"/>
        <v>0.13</v>
      </c>
    </row>
    <row r="31" spans="1:15" hidden="1">
      <c r="A31" s="129" t="s">
        <v>1195</v>
      </c>
      <c r="B31" s="129" t="s">
        <v>1196</v>
      </c>
      <c r="C31" s="129" t="s">
        <v>568</v>
      </c>
      <c r="D31" s="129" t="s">
        <v>569</v>
      </c>
      <c r="E31" s="129" t="s">
        <v>1231</v>
      </c>
      <c r="F31" s="129" t="s">
        <v>1232</v>
      </c>
      <c r="G31" s="210">
        <v>7.4999999999999997E-2</v>
      </c>
      <c r="H31" s="211">
        <f t="shared" si="0"/>
        <v>909.07500000000005</v>
      </c>
      <c r="I31" s="207">
        <f>IF(F31="CONCENTRADO SEMI BRILHO",G31/'De-Para'!$B$9,G31/VLOOKUP(B31,'De-Para'!A:B,2,0))</f>
        <v>5.905511811023622E-2</v>
      </c>
      <c r="J31" s="206">
        <f t="shared" si="1"/>
        <v>715.80708661417316</v>
      </c>
      <c r="K31" s="212">
        <f t="shared" si="2"/>
        <v>8.2501443775266062E-5</v>
      </c>
      <c r="L31" s="209">
        <f>VLOOKUP(E31,'Custos Matéria Prima Embalagens'!B:G,6,0)</f>
        <v>15.2</v>
      </c>
      <c r="M31" s="209">
        <f t="shared" si="3"/>
        <v>1.1399999999999999</v>
      </c>
      <c r="N31" s="209">
        <f t="shared" si="4"/>
        <v>0</v>
      </c>
    </row>
    <row r="32" spans="1:15" hidden="1">
      <c r="A32" s="129" t="s">
        <v>1195</v>
      </c>
      <c r="B32" s="129" t="s">
        <v>1196</v>
      </c>
      <c r="C32" s="129" t="s">
        <v>571</v>
      </c>
      <c r="D32" s="129" t="s">
        <v>572</v>
      </c>
      <c r="E32" s="129" t="s">
        <v>1197</v>
      </c>
      <c r="F32" s="129" t="s">
        <v>1198</v>
      </c>
      <c r="G32" s="210">
        <v>460</v>
      </c>
      <c r="H32" s="211">
        <f t="shared" si="0"/>
        <v>912.32499999999993</v>
      </c>
      <c r="I32" s="207">
        <f>IF(F32="CONCENTRADO SEMI BRILHO",G32/'De-Para'!$B$9,G32/VLOOKUP(B32,'De-Para'!A:B,2,0))</f>
        <v>362.20472440944883</v>
      </c>
      <c r="J32" s="206">
        <f t="shared" si="1"/>
        <v>718.36614173228338</v>
      </c>
      <c r="K32" s="212">
        <f t="shared" si="2"/>
        <v>0.50420628613706742</v>
      </c>
      <c r="L32" s="209">
        <f>VLOOKUP(E32,'Custos Matéria Prima Embalagens'!B:G,6,0)</f>
        <v>0</v>
      </c>
      <c r="M32" s="209">
        <f t="shared" si="3"/>
        <v>0</v>
      </c>
      <c r="N32" s="209">
        <f t="shared" si="4"/>
        <v>0</v>
      </c>
    </row>
    <row r="33" spans="1:14" hidden="1">
      <c r="A33" s="129" t="s">
        <v>1195</v>
      </c>
      <c r="B33" s="129" t="s">
        <v>1196</v>
      </c>
      <c r="C33" s="129" t="s">
        <v>571</v>
      </c>
      <c r="D33" s="129" t="s">
        <v>572</v>
      </c>
      <c r="E33" s="129" t="s">
        <v>1201</v>
      </c>
      <c r="F33" s="129" t="s">
        <v>1202</v>
      </c>
      <c r="G33" s="210">
        <v>2.5</v>
      </c>
      <c r="H33" s="211">
        <f t="shared" si="0"/>
        <v>912.32499999999993</v>
      </c>
      <c r="I33" s="207">
        <f>IF(F33="CONCENTRADO SEMI BRILHO",G33/'De-Para'!$B$9,G33/VLOOKUP(B33,'De-Para'!A:B,2,0))</f>
        <v>1.9685039370078741</v>
      </c>
      <c r="J33" s="206">
        <f t="shared" si="1"/>
        <v>718.36614173228338</v>
      </c>
      <c r="K33" s="212">
        <f t="shared" si="2"/>
        <v>2.7402515550927578E-3</v>
      </c>
      <c r="L33" s="209">
        <f>VLOOKUP(E33,'Custos Matéria Prima Embalagens'!B:G,6,0)</f>
        <v>7.18</v>
      </c>
      <c r="M33" s="209">
        <f t="shared" si="3"/>
        <v>17.95</v>
      </c>
      <c r="N33" s="209">
        <f t="shared" si="4"/>
        <v>0.02</v>
      </c>
    </row>
    <row r="34" spans="1:14" hidden="1">
      <c r="A34" s="129" t="s">
        <v>1195</v>
      </c>
      <c r="B34" s="129" t="s">
        <v>1196</v>
      </c>
      <c r="C34" s="129" t="s">
        <v>571</v>
      </c>
      <c r="D34" s="129" t="s">
        <v>572</v>
      </c>
      <c r="E34" s="129" t="s">
        <v>1203</v>
      </c>
      <c r="F34" s="129" t="s">
        <v>1204</v>
      </c>
      <c r="G34" s="210">
        <v>3</v>
      </c>
      <c r="H34" s="211">
        <f t="shared" si="0"/>
        <v>912.32499999999993</v>
      </c>
      <c r="I34" s="207">
        <f>IF(F34="CONCENTRADO SEMI BRILHO",G34/'De-Para'!$B$9,G34/VLOOKUP(B34,'De-Para'!A:B,2,0))</f>
        <v>2.3622047244094486</v>
      </c>
      <c r="J34" s="206">
        <f t="shared" si="1"/>
        <v>718.36614173228338</v>
      </c>
      <c r="K34" s="212">
        <f t="shared" si="2"/>
        <v>3.2883018661113094E-3</v>
      </c>
      <c r="L34" s="209">
        <f>VLOOKUP(E34,'Custos Matéria Prima Embalagens'!B:G,6,0)</f>
        <v>4.9399999999999995</v>
      </c>
      <c r="M34" s="209">
        <f t="shared" si="3"/>
        <v>14.819999999999999</v>
      </c>
      <c r="N34" s="209">
        <f t="shared" si="4"/>
        <v>0.02</v>
      </c>
    </row>
    <row r="35" spans="1:14" hidden="1">
      <c r="A35" s="129" t="s">
        <v>1195</v>
      </c>
      <c r="B35" s="129" t="s">
        <v>1196</v>
      </c>
      <c r="C35" s="129" t="s">
        <v>571</v>
      </c>
      <c r="D35" s="129" t="s">
        <v>572</v>
      </c>
      <c r="E35" s="129" t="s">
        <v>1205</v>
      </c>
      <c r="F35" s="129" t="s">
        <v>1206</v>
      </c>
      <c r="G35" s="210">
        <v>2</v>
      </c>
      <c r="H35" s="211">
        <f t="shared" si="0"/>
        <v>912.32499999999993</v>
      </c>
      <c r="I35" s="207">
        <f>IF(F35="CONCENTRADO SEMI BRILHO",G35/'De-Para'!$B$9,G35/VLOOKUP(B35,'De-Para'!A:B,2,0))</f>
        <v>1.5748031496062991</v>
      </c>
      <c r="J35" s="206">
        <f t="shared" si="1"/>
        <v>718.36614173228338</v>
      </c>
      <c r="K35" s="212">
        <f t="shared" si="2"/>
        <v>2.1922012440742061E-3</v>
      </c>
      <c r="L35" s="209">
        <f>VLOOKUP(E35,'Custos Matéria Prima Embalagens'!B:G,6,0)</f>
        <v>7.33</v>
      </c>
      <c r="M35" s="209">
        <f t="shared" si="3"/>
        <v>14.66</v>
      </c>
      <c r="N35" s="209">
        <f t="shared" si="4"/>
        <v>0.02</v>
      </c>
    </row>
    <row r="36" spans="1:14" hidden="1">
      <c r="A36" s="129" t="s">
        <v>1195</v>
      </c>
      <c r="B36" s="129" t="s">
        <v>1196</v>
      </c>
      <c r="C36" s="129" t="s">
        <v>571</v>
      </c>
      <c r="D36" s="129" t="s">
        <v>572</v>
      </c>
      <c r="E36" s="129" t="s">
        <v>1207</v>
      </c>
      <c r="F36" s="129" t="s">
        <v>1208</v>
      </c>
      <c r="G36" s="210">
        <v>3</v>
      </c>
      <c r="H36" s="211">
        <f t="shared" si="0"/>
        <v>912.32499999999993</v>
      </c>
      <c r="I36" s="207">
        <f>IF(F36="CONCENTRADO SEMI BRILHO",G36/'De-Para'!$B$9,G36/VLOOKUP(B36,'De-Para'!A:B,2,0))</f>
        <v>2.3622047244094486</v>
      </c>
      <c r="J36" s="206">
        <f t="shared" si="1"/>
        <v>718.36614173228338</v>
      </c>
      <c r="K36" s="212">
        <f t="shared" si="2"/>
        <v>3.2883018661113094E-3</v>
      </c>
      <c r="L36" s="209">
        <f>VLOOKUP(E36,'Custos Matéria Prima Embalagens'!B:G,6,0)</f>
        <v>6.8599999999999994</v>
      </c>
      <c r="M36" s="209">
        <f t="shared" si="3"/>
        <v>20.58</v>
      </c>
      <c r="N36" s="209">
        <f t="shared" si="4"/>
        <v>0.03</v>
      </c>
    </row>
    <row r="37" spans="1:14" hidden="1">
      <c r="A37" s="129" t="s">
        <v>1195</v>
      </c>
      <c r="B37" s="129" t="s">
        <v>1196</v>
      </c>
      <c r="C37" s="129" t="s">
        <v>571</v>
      </c>
      <c r="D37" s="129" t="s">
        <v>572</v>
      </c>
      <c r="E37" s="129" t="s">
        <v>1209</v>
      </c>
      <c r="F37" s="129" t="s">
        <v>1210</v>
      </c>
      <c r="G37" s="210">
        <v>2.5</v>
      </c>
      <c r="H37" s="211">
        <f t="shared" si="0"/>
        <v>912.32499999999993</v>
      </c>
      <c r="I37" s="207">
        <f>IF(F37="CONCENTRADO SEMI BRILHO",G37/'De-Para'!$B$9,G37/VLOOKUP(B37,'De-Para'!A:B,2,0))</f>
        <v>1.9685039370078741</v>
      </c>
      <c r="J37" s="206">
        <f t="shared" si="1"/>
        <v>718.36614173228338</v>
      </c>
      <c r="K37" s="212">
        <f t="shared" si="2"/>
        <v>2.7402515550927578E-3</v>
      </c>
      <c r="L37" s="209">
        <f>VLOOKUP(E37,'Custos Matéria Prima Embalagens'!B:G,6,0)</f>
        <v>7</v>
      </c>
      <c r="M37" s="209">
        <f t="shared" si="3"/>
        <v>17.5</v>
      </c>
      <c r="N37" s="209">
        <f t="shared" si="4"/>
        <v>0.02</v>
      </c>
    </row>
    <row r="38" spans="1:14" hidden="1">
      <c r="A38" s="129" t="s">
        <v>1195</v>
      </c>
      <c r="B38" s="129" t="s">
        <v>1196</v>
      </c>
      <c r="C38" s="129" t="s">
        <v>571</v>
      </c>
      <c r="D38" s="129" t="s">
        <v>572</v>
      </c>
      <c r="E38" s="129" t="s">
        <v>1215</v>
      </c>
      <c r="F38" s="129" t="s">
        <v>1216</v>
      </c>
      <c r="G38" s="210">
        <v>50</v>
      </c>
      <c r="H38" s="211">
        <f t="shared" si="0"/>
        <v>912.32499999999993</v>
      </c>
      <c r="I38" s="207">
        <f>IF(F38="CONCENTRADO SEMI BRILHO",G38/'De-Para'!$B$9,G38/VLOOKUP(B38,'De-Para'!A:B,2,0))</f>
        <v>39.370078740157481</v>
      </c>
      <c r="J38" s="206">
        <f t="shared" si="1"/>
        <v>718.36614173228338</v>
      </c>
      <c r="K38" s="212">
        <f t="shared" si="2"/>
        <v>5.4805031101855153E-2</v>
      </c>
      <c r="L38" s="209">
        <f>VLOOKUP(E38,'Custos Matéria Prima Embalagens'!B:G,6,0)</f>
        <v>0.8</v>
      </c>
      <c r="M38" s="209">
        <f t="shared" si="3"/>
        <v>40</v>
      </c>
      <c r="N38" s="209">
        <f t="shared" si="4"/>
        <v>0.06</v>
      </c>
    </row>
    <row r="39" spans="1:14" hidden="1">
      <c r="A39" s="129" t="s">
        <v>1195</v>
      </c>
      <c r="B39" s="129" t="s">
        <v>1196</v>
      </c>
      <c r="C39" s="129" t="s">
        <v>571</v>
      </c>
      <c r="D39" s="129" t="s">
        <v>572</v>
      </c>
      <c r="E39" s="129" t="s">
        <v>1227</v>
      </c>
      <c r="F39" s="129" t="s">
        <v>1228</v>
      </c>
      <c r="G39" s="210">
        <v>325</v>
      </c>
      <c r="H39" s="211">
        <f t="shared" si="0"/>
        <v>912.32499999999993</v>
      </c>
      <c r="I39" s="207">
        <f>IF(F39="CONCENTRADO SEMI BRILHO",G39/'De-Para'!$B$9,G39/VLOOKUP(B39,'De-Para'!A:B,2,0))</f>
        <v>255.90551181102362</v>
      </c>
      <c r="J39" s="206">
        <f t="shared" si="1"/>
        <v>718.36614173228338</v>
      </c>
      <c r="K39" s="212">
        <f t="shared" si="2"/>
        <v>0.35623270216205849</v>
      </c>
      <c r="L39" s="209">
        <f>VLOOKUP(E39,'Custos Matéria Prima Embalagens'!B:G,6,0)</f>
        <v>1.520495555555555</v>
      </c>
      <c r="M39" s="209">
        <f t="shared" si="3"/>
        <v>494.16105555555538</v>
      </c>
      <c r="N39" s="209">
        <f t="shared" si="4"/>
        <v>0.69</v>
      </c>
    </row>
    <row r="40" spans="1:14" hidden="1">
      <c r="A40" s="129" t="s">
        <v>1195</v>
      </c>
      <c r="B40" s="129" t="s">
        <v>1196</v>
      </c>
      <c r="C40" s="129" t="s">
        <v>571</v>
      </c>
      <c r="D40" s="129" t="s">
        <v>572</v>
      </c>
      <c r="E40" s="129" t="s">
        <v>1217</v>
      </c>
      <c r="F40" s="129" t="s">
        <v>1218</v>
      </c>
      <c r="G40" s="210">
        <v>30</v>
      </c>
      <c r="H40" s="211">
        <f t="shared" si="0"/>
        <v>912.32499999999993</v>
      </c>
      <c r="I40" s="207">
        <f>IF(F40="CONCENTRADO SEMI BRILHO",G40/'De-Para'!$B$9,G40/VLOOKUP(B40,'De-Para'!A:B,2,0))</f>
        <v>23.622047244094489</v>
      </c>
      <c r="J40" s="206">
        <f t="shared" si="1"/>
        <v>718.36614173228338</v>
      </c>
      <c r="K40" s="212">
        <f t="shared" si="2"/>
        <v>3.2883018661113095E-2</v>
      </c>
      <c r="L40" s="209">
        <f>VLOOKUP(E40,'Custos Matéria Prima Embalagens'!B:G,6,0)</f>
        <v>8.43</v>
      </c>
      <c r="M40" s="209">
        <f t="shared" si="3"/>
        <v>252.89999999999998</v>
      </c>
      <c r="N40" s="209">
        <f t="shared" si="4"/>
        <v>0.35</v>
      </c>
    </row>
    <row r="41" spans="1:14" hidden="1">
      <c r="A41" s="129" t="s">
        <v>1195</v>
      </c>
      <c r="B41" s="129" t="s">
        <v>1196</v>
      </c>
      <c r="C41" s="129" t="s">
        <v>571</v>
      </c>
      <c r="D41" s="129" t="s">
        <v>572</v>
      </c>
      <c r="E41" s="129" t="s">
        <v>1219</v>
      </c>
      <c r="F41" s="129" t="s">
        <v>1220</v>
      </c>
      <c r="G41" s="210">
        <v>3</v>
      </c>
      <c r="H41" s="211">
        <f t="shared" si="0"/>
        <v>912.32499999999993</v>
      </c>
      <c r="I41" s="207">
        <f>IF(F41="CONCENTRADO SEMI BRILHO",G41/'De-Para'!$B$9,G41/VLOOKUP(B41,'De-Para'!A:B,2,0))</f>
        <v>2.3622047244094486</v>
      </c>
      <c r="J41" s="206">
        <f t="shared" si="1"/>
        <v>718.36614173228338</v>
      </c>
      <c r="K41" s="212">
        <f t="shared" si="2"/>
        <v>3.2883018661113094E-3</v>
      </c>
      <c r="L41" s="209">
        <f>VLOOKUP(E41,'Custos Matéria Prima Embalagens'!B:G,6,0)</f>
        <v>4.9800000000000004</v>
      </c>
      <c r="M41" s="209">
        <f t="shared" si="3"/>
        <v>14.940000000000001</v>
      </c>
      <c r="N41" s="209">
        <f t="shared" si="4"/>
        <v>0.02</v>
      </c>
    </row>
    <row r="42" spans="1:14" hidden="1">
      <c r="A42" s="129" t="s">
        <v>1195</v>
      </c>
      <c r="B42" s="129" t="s">
        <v>1196</v>
      </c>
      <c r="C42" s="129" t="s">
        <v>571</v>
      </c>
      <c r="D42" s="129" t="s">
        <v>572</v>
      </c>
      <c r="E42" s="129" t="s">
        <v>1221</v>
      </c>
      <c r="F42" s="129" t="s">
        <v>1222</v>
      </c>
      <c r="G42" s="210">
        <v>15.5</v>
      </c>
      <c r="H42" s="211">
        <f t="shared" si="0"/>
        <v>912.32499999999993</v>
      </c>
      <c r="I42" s="207">
        <f>IF(F42="CONCENTRADO SEMI BRILHO",G42/'De-Para'!$B$9,G42/VLOOKUP(B42,'De-Para'!A:B,2,0))</f>
        <v>12.204724409448819</v>
      </c>
      <c r="J42" s="206">
        <f t="shared" si="1"/>
        <v>718.36614173228338</v>
      </c>
      <c r="K42" s="212">
        <f t="shared" si="2"/>
        <v>1.6989559641575096E-2</v>
      </c>
      <c r="L42" s="209">
        <f>VLOOKUP(E42,'Custos Matéria Prima Embalagens'!B:G,6,0)</f>
        <v>7.9049999999999994</v>
      </c>
      <c r="M42" s="209">
        <f t="shared" si="3"/>
        <v>122.52749999999999</v>
      </c>
      <c r="N42" s="209">
        <f t="shared" si="4"/>
        <v>0.17</v>
      </c>
    </row>
    <row r="43" spans="1:14" hidden="1">
      <c r="A43" s="129" t="s">
        <v>1195</v>
      </c>
      <c r="B43" s="129" t="s">
        <v>1196</v>
      </c>
      <c r="C43" s="129" t="s">
        <v>571</v>
      </c>
      <c r="D43" s="129" t="s">
        <v>572</v>
      </c>
      <c r="E43" s="129" t="s">
        <v>1223</v>
      </c>
      <c r="F43" s="129" t="s">
        <v>1224</v>
      </c>
      <c r="G43" s="210">
        <v>7.5</v>
      </c>
      <c r="H43" s="211">
        <f t="shared" si="0"/>
        <v>912.32499999999993</v>
      </c>
      <c r="I43" s="207">
        <f>IF(F43="CONCENTRADO SEMI BRILHO",G43/'De-Para'!$B$9,G43/VLOOKUP(B43,'De-Para'!A:B,2,0))</f>
        <v>5.9055118110236222</v>
      </c>
      <c r="J43" s="206">
        <f t="shared" si="1"/>
        <v>718.36614173228338</v>
      </c>
      <c r="K43" s="212">
        <f t="shared" si="2"/>
        <v>8.2207546652782737E-3</v>
      </c>
      <c r="L43" s="209">
        <f>VLOOKUP(E43,'Custos Matéria Prima Embalagens'!B:G,6,0)</f>
        <v>4.8499999999999996</v>
      </c>
      <c r="M43" s="209">
        <f t="shared" si="3"/>
        <v>36.375</v>
      </c>
      <c r="N43" s="209">
        <f t="shared" si="4"/>
        <v>0.05</v>
      </c>
    </row>
    <row r="44" spans="1:14" hidden="1">
      <c r="A44" s="129" t="s">
        <v>1195</v>
      </c>
      <c r="B44" s="129" t="s">
        <v>1196</v>
      </c>
      <c r="C44" s="129" t="s">
        <v>571</v>
      </c>
      <c r="D44" s="129" t="s">
        <v>572</v>
      </c>
      <c r="E44" s="129" t="s">
        <v>1229</v>
      </c>
      <c r="F44" s="129" t="s">
        <v>1230</v>
      </c>
      <c r="G44" s="210">
        <v>5</v>
      </c>
      <c r="H44" s="211">
        <f t="shared" si="0"/>
        <v>912.32499999999993</v>
      </c>
      <c r="I44" s="207">
        <f>IF(F44="CONCENTRADO SEMI BRILHO",G44/'De-Para'!$B$9,G44/VLOOKUP(B44,'De-Para'!A:B,2,0))</f>
        <v>3.9370078740157481</v>
      </c>
      <c r="J44" s="206">
        <f t="shared" si="1"/>
        <v>718.36614173228338</v>
      </c>
      <c r="K44" s="212">
        <f t="shared" si="2"/>
        <v>5.4805031101855155E-3</v>
      </c>
      <c r="L44" s="209">
        <f>VLOOKUP(E44,'Custos Matéria Prima Embalagens'!B:G,6,0)</f>
        <v>19.22</v>
      </c>
      <c r="M44" s="209">
        <f t="shared" si="3"/>
        <v>96.1</v>
      </c>
      <c r="N44" s="209">
        <f t="shared" si="4"/>
        <v>0.13</v>
      </c>
    </row>
    <row r="45" spans="1:14" hidden="1">
      <c r="A45" s="129" t="s">
        <v>1195</v>
      </c>
      <c r="B45" s="129" t="s">
        <v>1196</v>
      </c>
      <c r="C45" s="129" t="s">
        <v>571</v>
      </c>
      <c r="D45" s="129" t="s">
        <v>572</v>
      </c>
      <c r="E45" s="129" t="s">
        <v>1233</v>
      </c>
      <c r="F45" s="129" t="s">
        <v>1234</v>
      </c>
      <c r="G45" s="210">
        <v>2.5</v>
      </c>
      <c r="H45" s="211">
        <f t="shared" si="0"/>
        <v>912.32499999999993</v>
      </c>
      <c r="I45" s="207">
        <f>IF(F45="CONCENTRADO SEMI BRILHO",G45/'De-Para'!$B$9,G45/VLOOKUP(B45,'De-Para'!A:B,2,0))</f>
        <v>1.9685039370078741</v>
      </c>
      <c r="J45" s="206">
        <f t="shared" si="1"/>
        <v>718.36614173228338</v>
      </c>
      <c r="K45" s="212">
        <f t="shared" si="2"/>
        <v>2.7402515550927578E-3</v>
      </c>
      <c r="L45" s="209">
        <f>VLOOKUP(E45,'Custos Matéria Prima Embalagens'!B:G,6,0)</f>
        <v>31.93</v>
      </c>
      <c r="M45" s="209">
        <f t="shared" si="3"/>
        <v>79.825000000000003</v>
      </c>
      <c r="N45" s="209">
        <f t="shared" si="4"/>
        <v>0.11</v>
      </c>
    </row>
    <row r="46" spans="1:14" hidden="1">
      <c r="A46" s="129" t="s">
        <v>1195</v>
      </c>
      <c r="B46" s="129" t="s">
        <v>1196</v>
      </c>
      <c r="C46" s="129" t="s">
        <v>571</v>
      </c>
      <c r="D46" s="129" t="s">
        <v>572</v>
      </c>
      <c r="E46" s="129" t="s">
        <v>1235</v>
      </c>
      <c r="F46" s="129" t="s">
        <v>1236</v>
      </c>
      <c r="G46" s="210">
        <v>0.65</v>
      </c>
      <c r="H46" s="211">
        <f t="shared" si="0"/>
        <v>912.32499999999993</v>
      </c>
      <c r="I46" s="207">
        <f>IF(F46="CONCENTRADO SEMI BRILHO",G46/'De-Para'!$B$9,G46/VLOOKUP(B46,'De-Para'!A:B,2,0))</f>
        <v>0.51181102362204722</v>
      </c>
      <c r="J46" s="206">
        <f t="shared" si="1"/>
        <v>718.36614173228338</v>
      </c>
      <c r="K46" s="212">
        <f t="shared" si="2"/>
        <v>7.1246540432411706E-4</v>
      </c>
      <c r="L46" s="209">
        <f>VLOOKUP(E46,'Custos Matéria Prima Embalagens'!B:G,6,0)</f>
        <v>46.089999999999996</v>
      </c>
      <c r="M46" s="209">
        <f t="shared" si="3"/>
        <v>29.958499999999997</v>
      </c>
      <c r="N46" s="209">
        <f t="shared" si="4"/>
        <v>0.04</v>
      </c>
    </row>
    <row r="47" spans="1:14" hidden="1">
      <c r="A47" s="129" t="s">
        <v>1195</v>
      </c>
      <c r="B47" s="129" t="s">
        <v>1196</v>
      </c>
      <c r="C47" s="129" t="s">
        <v>571</v>
      </c>
      <c r="D47" s="129" t="s">
        <v>572</v>
      </c>
      <c r="E47" s="129" t="s">
        <v>1231</v>
      </c>
      <c r="F47" s="129" t="s">
        <v>1232</v>
      </c>
      <c r="G47" s="210">
        <v>0.17499999999999999</v>
      </c>
      <c r="H47" s="211">
        <f t="shared" si="0"/>
        <v>912.32499999999993</v>
      </c>
      <c r="I47" s="207">
        <f>IF(F47="CONCENTRADO SEMI BRILHO",G47/'De-Para'!$B$9,G47/VLOOKUP(B47,'De-Para'!A:B,2,0))</f>
        <v>0.13779527559055116</v>
      </c>
      <c r="J47" s="206">
        <f t="shared" si="1"/>
        <v>718.36614173228338</v>
      </c>
      <c r="K47" s="212">
        <f t="shared" si="2"/>
        <v>1.9181760885649302E-4</v>
      </c>
      <c r="L47" s="209">
        <f>VLOOKUP(E47,'Custos Matéria Prima Embalagens'!B:G,6,0)</f>
        <v>15.2</v>
      </c>
      <c r="M47" s="209">
        <f t="shared" si="3"/>
        <v>2.6599999999999997</v>
      </c>
      <c r="N47" s="209">
        <f t="shared" si="4"/>
        <v>0</v>
      </c>
    </row>
    <row r="48" spans="1:14" hidden="1">
      <c r="A48" s="129" t="s">
        <v>1195</v>
      </c>
      <c r="B48" s="129" t="s">
        <v>1196</v>
      </c>
      <c r="C48" s="129" t="s">
        <v>574</v>
      </c>
      <c r="D48" s="129" t="s">
        <v>575</v>
      </c>
      <c r="E48" s="129" t="s">
        <v>1197</v>
      </c>
      <c r="F48" s="129" t="s">
        <v>1198</v>
      </c>
      <c r="G48" s="210">
        <v>460</v>
      </c>
      <c r="H48" s="211">
        <f t="shared" si="0"/>
        <v>910.25</v>
      </c>
      <c r="I48" s="207">
        <f>IF(F48="CONCENTRADO SEMI BRILHO",G48/'De-Para'!$B$9,G48/VLOOKUP(B48,'De-Para'!A:B,2,0))</f>
        <v>362.20472440944883</v>
      </c>
      <c r="J48" s="206">
        <f t="shared" si="1"/>
        <v>716.73228346456688</v>
      </c>
      <c r="K48" s="212">
        <f t="shared" si="2"/>
        <v>0.50535567151881355</v>
      </c>
      <c r="L48" s="209">
        <f>VLOOKUP(E48,'Custos Matéria Prima Embalagens'!B:G,6,0)</f>
        <v>0</v>
      </c>
      <c r="M48" s="209">
        <f t="shared" si="3"/>
        <v>0</v>
      </c>
      <c r="N48" s="209">
        <f t="shared" si="4"/>
        <v>0</v>
      </c>
    </row>
    <row r="49" spans="1:14" hidden="1">
      <c r="A49" s="129" t="s">
        <v>1195</v>
      </c>
      <c r="B49" s="129" t="s">
        <v>1196</v>
      </c>
      <c r="C49" s="129" t="s">
        <v>574</v>
      </c>
      <c r="D49" s="129" t="s">
        <v>575</v>
      </c>
      <c r="E49" s="129" t="s">
        <v>1201</v>
      </c>
      <c r="F49" s="129" t="s">
        <v>1202</v>
      </c>
      <c r="G49" s="210">
        <v>2.5</v>
      </c>
      <c r="H49" s="211">
        <f t="shared" si="0"/>
        <v>910.25</v>
      </c>
      <c r="I49" s="207">
        <f>IF(F49="CONCENTRADO SEMI BRILHO",G49/'De-Para'!$B$9,G49/VLOOKUP(B49,'De-Para'!A:B,2,0))</f>
        <v>1.9685039370078741</v>
      </c>
      <c r="J49" s="206">
        <f t="shared" si="1"/>
        <v>716.73228346456688</v>
      </c>
      <c r="K49" s="212">
        <f t="shared" si="2"/>
        <v>2.7464982147761604E-3</v>
      </c>
      <c r="L49" s="209">
        <f>VLOOKUP(E49,'Custos Matéria Prima Embalagens'!B:G,6,0)</f>
        <v>7.18</v>
      </c>
      <c r="M49" s="209">
        <f t="shared" si="3"/>
        <v>17.95</v>
      </c>
      <c r="N49" s="209">
        <f t="shared" si="4"/>
        <v>0.03</v>
      </c>
    </row>
    <row r="50" spans="1:14" hidden="1">
      <c r="A50" s="129" t="s">
        <v>1195</v>
      </c>
      <c r="B50" s="129" t="s">
        <v>1196</v>
      </c>
      <c r="C50" s="129" t="s">
        <v>574</v>
      </c>
      <c r="D50" s="129" t="s">
        <v>575</v>
      </c>
      <c r="E50" s="129" t="s">
        <v>1203</v>
      </c>
      <c r="F50" s="129" t="s">
        <v>1204</v>
      </c>
      <c r="G50" s="210">
        <v>3</v>
      </c>
      <c r="H50" s="211">
        <f t="shared" si="0"/>
        <v>910.25</v>
      </c>
      <c r="I50" s="207">
        <f>IF(F50="CONCENTRADO SEMI BRILHO",G50/'De-Para'!$B$9,G50/VLOOKUP(B50,'De-Para'!A:B,2,0))</f>
        <v>2.3622047244094486</v>
      </c>
      <c r="J50" s="206">
        <f t="shared" si="1"/>
        <v>716.73228346456688</v>
      </c>
      <c r="K50" s="212">
        <f t="shared" si="2"/>
        <v>3.2957978577313925E-3</v>
      </c>
      <c r="L50" s="209">
        <f>VLOOKUP(E50,'Custos Matéria Prima Embalagens'!B:G,6,0)</f>
        <v>4.9399999999999995</v>
      </c>
      <c r="M50" s="209">
        <f t="shared" si="3"/>
        <v>14.819999999999999</v>
      </c>
      <c r="N50" s="209">
        <f t="shared" si="4"/>
        <v>0.02</v>
      </c>
    </row>
    <row r="51" spans="1:14" hidden="1">
      <c r="A51" s="129" t="s">
        <v>1195</v>
      </c>
      <c r="B51" s="129" t="s">
        <v>1196</v>
      </c>
      <c r="C51" s="129" t="s">
        <v>574</v>
      </c>
      <c r="D51" s="129" t="s">
        <v>575</v>
      </c>
      <c r="E51" s="129" t="s">
        <v>1205</v>
      </c>
      <c r="F51" s="129" t="s">
        <v>1206</v>
      </c>
      <c r="G51" s="210">
        <v>2</v>
      </c>
      <c r="H51" s="211">
        <f t="shared" si="0"/>
        <v>910.25</v>
      </c>
      <c r="I51" s="207">
        <f>IF(F51="CONCENTRADO SEMI BRILHO",G51/'De-Para'!$B$9,G51/VLOOKUP(B51,'De-Para'!A:B,2,0))</f>
        <v>1.5748031496062991</v>
      </c>
      <c r="J51" s="206">
        <f t="shared" si="1"/>
        <v>716.73228346456688</v>
      </c>
      <c r="K51" s="212">
        <f t="shared" si="2"/>
        <v>2.1971985718209283E-3</v>
      </c>
      <c r="L51" s="209">
        <f>VLOOKUP(E51,'Custos Matéria Prima Embalagens'!B:G,6,0)</f>
        <v>7.33</v>
      </c>
      <c r="M51" s="209">
        <f t="shared" si="3"/>
        <v>14.66</v>
      </c>
      <c r="N51" s="209">
        <f t="shared" si="4"/>
        <v>0.02</v>
      </c>
    </row>
    <row r="52" spans="1:14" hidden="1">
      <c r="A52" s="129" t="s">
        <v>1195</v>
      </c>
      <c r="B52" s="129" t="s">
        <v>1196</v>
      </c>
      <c r="C52" s="129" t="s">
        <v>574</v>
      </c>
      <c r="D52" s="129" t="s">
        <v>575</v>
      </c>
      <c r="E52" s="129" t="s">
        <v>1207</v>
      </c>
      <c r="F52" s="129" t="s">
        <v>1208</v>
      </c>
      <c r="G52" s="210">
        <v>3</v>
      </c>
      <c r="H52" s="211">
        <f t="shared" si="0"/>
        <v>910.25</v>
      </c>
      <c r="I52" s="207">
        <f>IF(F52="CONCENTRADO SEMI BRILHO",G52/'De-Para'!$B$9,G52/VLOOKUP(B52,'De-Para'!A:B,2,0))</f>
        <v>2.3622047244094486</v>
      </c>
      <c r="J52" s="206">
        <f t="shared" si="1"/>
        <v>716.73228346456688</v>
      </c>
      <c r="K52" s="212">
        <f t="shared" si="2"/>
        <v>3.2957978577313925E-3</v>
      </c>
      <c r="L52" s="209">
        <f>VLOOKUP(E52,'Custos Matéria Prima Embalagens'!B:G,6,0)</f>
        <v>6.8599999999999994</v>
      </c>
      <c r="M52" s="209">
        <f t="shared" si="3"/>
        <v>20.58</v>
      </c>
      <c r="N52" s="209">
        <f t="shared" si="4"/>
        <v>0.03</v>
      </c>
    </row>
    <row r="53" spans="1:14" hidden="1">
      <c r="A53" s="129" t="s">
        <v>1195</v>
      </c>
      <c r="B53" s="129" t="s">
        <v>1196</v>
      </c>
      <c r="C53" s="129" t="s">
        <v>574</v>
      </c>
      <c r="D53" s="129" t="s">
        <v>575</v>
      </c>
      <c r="E53" s="129" t="s">
        <v>1209</v>
      </c>
      <c r="F53" s="129" t="s">
        <v>1210</v>
      </c>
      <c r="G53" s="210">
        <v>2.5</v>
      </c>
      <c r="H53" s="211">
        <f t="shared" si="0"/>
        <v>910.25</v>
      </c>
      <c r="I53" s="207">
        <f>IF(F53="CONCENTRADO SEMI BRILHO",G53/'De-Para'!$B$9,G53/VLOOKUP(B53,'De-Para'!A:B,2,0))</f>
        <v>1.9685039370078741</v>
      </c>
      <c r="J53" s="206">
        <f t="shared" si="1"/>
        <v>716.73228346456688</v>
      </c>
      <c r="K53" s="212">
        <f t="shared" si="2"/>
        <v>2.7464982147761604E-3</v>
      </c>
      <c r="L53" s="209">
        <f>VLOOKUP(E53,'Custos Matéria Prima Embalagens'!B:G,6,0)</f>
        <v>7</v>
      </c>
      <c r="M53" s="209">
        <f t="shared" si="3"/>
        <v>17.5</v>
      </c>
      <c r="N53" s="209">
        <f t="shared" si="4"/>
        <v>0.02</v>
      </c>
    </row>
    <row r="54" spans="1:14" hidden="1">
      <c r="A54" s="129" t="s">
        <v>1195</v>
      </c>
      <c r="B54" s="129" t="s">
        <v>1196</v>
      </c>
      <c r="C54" s="129" t="s">
        <v>574</v>
      </c>
      <c r="D54" s="129" t="s">
        <v>575</v>
      </c>
      <c r="E54" s="129" t="s">
        <v>1215</v>
      </c>
      <c r="F54" s="129" t="s">
        <v>1216</v>
      </c>
      <c r="G54" s="210">
        <v>50</v>
      </c>
      <c r="H54" s="211">
        <f t="shared" si="0"/>
        <v>910.25</v>
      </c>
      <c r="I54" s="207">
        <f>IF(F54="CONCENTRADO SEMI BRILHO",G54/'De-Para'!$B$9,G54/VLOOKUP(B54,'De-Para'!A:B,2,0))</f>
        <v>39.370078740157481</v>
      </c>
      <c r="J54" s="206">
        <f t="shared" si="1"/>
        <v>716.73228346456688</v>
      </c>
      <c r="K54" s="212">
        <f t="shared" si="2"/>
        <v>5.4929964295523208E-2</v>
      </c>
      <c r="L54" s="209">
        <f>VLOOKUP(E54,'Custos Matéria Prima Embalagens'!B:G,6,0)</f>
        <v>0.8</v>
      </c>
      <c r="M54" s="209">
        <f t="shared" si="3"/>
        <v>40</v>
      </c>
      <c r="N54" s="209">
        <f t="shared" si="4"/>
        <v>0.06</v>
      </c>
    </row>
    <row r="55" spans="1:14" hidden="1">
      <c r="A55" s="129" t="s">
        <v>1195</v>
      </c>
      <c r="B55" s="129" t="s">
        <v>1196</v>
      </c>
      <c r="C55" s="129" t="s">
        <v>574</v>
      </c>
      <c r="D55" s="129" t="s">
        <v>575</v>
      </c>
      <c r="E55" s="129" t="s">
        <v>1227</v>
      </c>
      <c r="F55" s="129" t="s">
        <v>1228</v>
      </c>
      <c r="G55" s="210">
        <v>325</v>
      </c>
      <c r="H55" s="211">
        <f t="shared" si="0"/>
        <v>910.25</v>
      </c>
      <c r="I55" s="207">
        <f>IF(F55="CONCENTRADO SEMI BRILHO",G55/'De-Para'!$B$9,G55/VLOOKUP(B55,'De-Para'!A:B,2,0))</f>
        <v>255.90551181102362</v>
      </c>
      <c r="J55" s="206">
        <f t="shared" si="1"/>
        <v>716.73228346456688</v>
      </c>
      <c r="K55" s="212">
        <f t="shared" si="2"/>
        <v>0.35704476792090084</v>
      </c>
      <c r="L55" s="209">
        <f>VLOOKUP(E55,'Custos Matéria Prima Embalagens'!B:G,6,0)</f>
        <v>1.520495555555555</v>
      </c>
      <c r="M55" s="209">
        <f t="shared" si="3"/>
        <v>494.16105555555538</v>
      </c>
      <c r="N55" s="209">
        <f t="shared" si="4"/>
        <v>0.69</v>
      </c>
    </row>
    <row r="56" spans="1:14" hidden="1">
      <c r="A56" s="129" t="s">
        <v>1195</v>
      </c>
      <c r="B56" s="129" t="s">
        <v>1196</v>
      </c>
      <c r="C56" s="129" t="s">
        <v>574</v>
      </c>
      <c r="D56" s="129" t="s">
        <v>575</v>
      </c>
      <c r="E56" s="129" t="s">
        <v>1217</v>
      </c>
      <c r="F56" s="129" t="s">
        <v>1218</v>
      </c>
      <c r="G56" s="210">
        <v>30</v>
      </c>
      <c r="H56" s="211">
        <f t="shared" si="0"/>
        <v>910.25</v>
      </c>
      <c r="I56" s="207">
        <f>IF(F56="CONCENTRADO SEMI BRILHO",G56/'De-Para'!$B$9,G56/VLOOKUP(B56,'De-Para'!A:B,2,0))</f>
        <v>23.622047244094489</v>
      </c>
      <c r="J56" s="206">
        <f t="shared" si="1"/>
        <v>716.73228346456688</v>
      </c>
      <c r="K56" s="212">
        <f t="shared" si="2"/>
        <v>3.2957978577313925E-2</v>
      </c>
      <c r="L56" s="209">
        <f>VLOOKUP(E56,'Custos Matéria Prima Embalagens'!B:G,6,0)</f>
        <v>8.43</v>
      </c>
      <c r="M56" s="209">
        <f t="shared" si="3"/>
        <v>252.89999999999998</v>
      </c>
      <c r="N56" s="209">
        <f t="shared" si="4"/>
        <v>0.35</v>
      </c>
    </row>
    <row r="57" spans="1:14" hidden="1">
      <c r="A57" s="129" t="s">
        <v>1195</v>
      </c>
      <c r="B57" s="129" t="s">
        <v>1196</v>
      </c>
      <c r="C57" s="129" t="s">
        <v>574</v>
      </c>
      <c r="D57" s="129" t="s">
        <v>575</v>
      </c>
      <c r="E57" s="129" t="s">
        <v>1219</v>
      </c>
      <c r="F57" s="129" t="s">
        <v>1220</v>
      </c>
      <c r="G57" s="210">
        <v>3</v>
      </c>
      <c r="H57" s="211">
        <f t="shared" si="0"/>
        <v>910.25</v>
      </c>
      <c r="I57" s="207">
        <f>IF(F57="CONCENTRADO SEMI BRILHO",G57/'De-Para'!$B$9,G57/VLOOKUP(B57,'De-Para'!A:B,2,0))</f>
        <v>2.3622047244094486</v>
      </c>
      <c r="J57" s="206">
        <f t="shared" si="1"/>
        <v>716.73228346456688</v>
      </c>
      <c r="K57" s="212">
        <f t="shared" si="2"/>
        <v>3.2957978577313925E-3</v>
      </c>
      <c r="L57" s="209">
        <f>VLOOKUP(E57,'Custos Matéria Prima Embalagens'!B:G,6,0)</f>
        <v>4.9800000000000004</v>
      </c>
      <c r="M57" s="209">
        <f t="shared" si="3"/>
        <v>14.940000000000001</v>
      </c>
      <c r="N57" s="209">
        <f t="shared" si="4"/>
        <v>0.02</v>
      </c>
    </row>
    <row r="58" spans="1:14" hidden="1">
      <c r="A58" s="129" t="s">
        <v>1195</v>
      </c>
      <c r="B58" s="129" t="s">
        <v>1196</v>
      </c>
      <c r="C58" s="129" t="s">
        <v>574</v>
      </c>
      <c r="D58" s="129" t="s">
        <v>575</v>
      </c>
      <c r="E58" s="129" t="s">
        <v>1221</v>
      </c>
      <c r="F58" s="129" t="s">
        <v>1222</v>
      </c>
      <c r="G58" s="210">
        <v>15.5</v>
      </c>
      <c r="H58" s="211">
        <f t="shared" si="0"/>
        <v>910.25</v>
      </c>
      <c r="I58" s="207">
        <f>IF(F58="CONCENTRADO SEMI BRILHO",G58/'De-Para'!$B$9,G58/VLOOKUP(B58,'De-Para'!A:B,2,0))</f>
        <v>12.204724409448819</v>
      </c>
      <c r="J58" s="206">
        <f t="shared" si="1"/>
        <v>716.73228346456688</v>
      </c>
      <c r="K58" s="212">
        <f t="shared" si="2"/>
        <v>1.7028288931612196E-2</v>
      </c>
      <c r="L58" s="209">
        <f>VLOOKUP(E58,'Custos Matéria Prima Embalagens'!B:G,6,0)</f>
        <v>7.9049999999999994</v>
      </c>
      <c r="M58" s="209">
        <f t="shared" si="3"/>
        <v>122.52749999999999</v>
      </c>
      <c r="N58" s="209">
        <f t="shared" si="4"/>
        <v>0.17</v>
      </c>
    </row>
    <row r="59" spans="1:14" hidden="1">
      <c r="A59" s="129" t="s">
        <v>1195</v>
      </c>
      <c r="B59" s="129" t="s">
        <v>1196</v>
      </c>
      <c r="C59" s="129" t="s">
        <v>574</v>
      </c>
      <c r="D59" s="129" t="s">
        <v>575</v>
      </c>
      <c r="E59" s="129" t="s">
        <v>1223</v>
      </c>
      <c r="F59" s="129" t="s">
        <v>1224</v>
      </c>
      <c r="G59" s="210">
        <v>7.5</v>
      </c>
      <c r="H59" s="211">
        <f t="shared" si="0"/>
        <v>910.25</v>
      </c>
      <c r="I59" s="207">
        <f>IF(F59="CONCENTRADO SEMI BRILHO",G59/'De-Para'!$B$9,G59/VLOOKUP(B59,'De-Para'!A:B,2,0))</f>
        <v>5.9055118110236222</v>
      </c>
      <c r="J59" s="206">
        <f t="shared" si="1"/>
        <v>716.73228346456688</v>
      </c>
      <c r="K59" s="212">
        <f t="shared" si="2"/>
        <v>8.2394946443284812E-3</v>
      </c>
      <c r="L59" s="209">
        <f>VLOOKUP(E59,'Custos Matéria Prima Embalagens'!B:G,6,0)</f>
        <v>4.8499999999999996</v>
      </c>
      <c r="M59" s="209">
        <f t="shared" si="3"/>
        <v>36.375</v>
      </c>
      <c r="N59" s="209">
        <f t="shared" si="4"/>
        <v>0.05</v>
      </c>
    </row>
    <row r="60" spans="1:14" hidden="1">
      <c r="A60" s="129" t="s">
        <v>1195</v>
      </c>
      <c r="B60" s="129" t="s">
        <v>1196</v>
      </c>
      <c r="C60" s="129" t="s">
        <v>574</v>
      </c>
      <c r="D60" s="129" t="s">
        <v>575</v>
      </c>
      <c r="E60" s="129" t="s">
        <v>1229</v>
      </c>
      <c r="F60" s="129" t="s">
        <v>1230</v>
      </c>
      <c r="G60" s="210">
        <v>5</v>
      </c>
      <c r="H60" s="211">
        <f t="shared" si="0"/>
        <v>910.25</v>
      </c>
      <c r="I60" s="207">
        <f>IF(F60="CONCENTRADO SEMI BRILHO",G60/'De-Para'!$B$9,G60/VLOOKUP(B60,'De-Para'!A:B,2,0))</f>
        <v>3.9370078740157481</v>
      </c>
      <c r="J60" s="206">
        <f t="shared" si="1"/>
        <v>716.73228346456688</v>
      </c>
      <c r="K60" s="212">
        <f t="shared" si="2"/>
        <v>5.4929964295523208E-3</v>
      </c>
      <c r="L60" s="209">
        <f>VLOOKUP(E60,'Custos Matéria Prima Embalagens'!B:G,6,0)</f>
        <v>19.22</v>
      </c>
      <c r="M60" s="209">
        <f t="shared" si="3"/>
        <v>96.1</v>
      </c>
      <c r="N60" s="209">
        <f t="shared" si="4"/>
        <v>0.13</v>
      </c>
    </row>
    <row r="61" spans="1:14" hidden="1">
      <c r="A61" s="129" t="s">
        <v>1195</v>
      </c>
      <c r="B61" s="129" t="s">
        <v>1196</v>
      </c>
      <c r="C61" s="129" t="s">
        <v>574</v>
      </c>
      <c r="D61" s="129" t="s">
        <v>575</v>
      </c>
      <c r="E61" s="129" t="s">
        <v>1233</v>
      </c>
      <c r="F61" s="129" t="s">
        <v>1234</v>
      </c>
      <c r="G61" s="210">
        <v>1.2</v>
      </c>
      <c r="H61" s="211">
        <f t="shared" si="0"/>
        <v>910.25</v>
      </c>
      <c r="I61" s="207">
        <f>IF(F61="CONCENTRADO SEMI BRILHO",G61/'De-Para'!$B$9,G61/VLOOKUP(B61,'De-Para'!A:B,2,0))</f>
        <v>0.94488188976377951</v>
      </c>
      <c r="J61" s="206">
        <f t="shared" si="1"/>
        <v>716.73228346456688</v>
      </c>
      <c r="K61" s="212">
        <f t="shared" si="2"/>
        <v>1.318319143092557E-3</v>
      </c>
      <c r="L61" s="209">
        <f>VLOOKUP(E61,'Custos Matéria Prima Embalagens'!B:G,6,0)</f>
        <v>31.93</v>
      </c>
      <c r="M61" s="209">
        <f t="shared" si="3"/>
        <v>38.315999999999995</v>
      </c>
      <c r="N61" s="209">
        <f t="shared" si="4"/>
        <v>0.05</v>
      </c>
    </row>
    <row r="62" spans="1:14" hidden="1">
      <c r="A62" s="129" t="s">
        <v>1195</v>
      </c>
      <c r="B62" s="129" t="s">
        <v>1196</v>
      </c>
      <c r="C62" s="129" t="s">
        <v>574</v>
      </c>
      <c r="D62" s="129" t="s">
        <v>575</v>
      </c>
      <c r="E62" s="129" t="s">
        <v>1237</v>
      </c>
      <c r="F62" s="129" t="s">
        <v>1238</v>
      </c>
      <c r="G62" s="210">
        <v>0.05</v>
      </c>
      <c r="H62" s="211">
        <f t="shared" si="0"/>
        <v>910.25</v>
      </c>
      <c r="I62" s="207">
        <f>IF(F62="CONCENTRADO SEMI BRILHO",G62/'De-Para'!$B$9,G62/VLOOKUP(B62,'De-Para'!A:B,2,0))</f>
        <v>3.937007874015748E-2</v>
      </c>
      <c r="J62" s="206">
        <f t="shared" si="1"/>
        <v>716.73228346456688</v>
      </c>
      <c r="K62" s="212">
        <f t="shared" si="2"/>
        <v>5.4929964295523208E-5</v>
      </c>
      <c r="L62" s="209">
        <f>VLOOKUP(E62,'Custos Matéria Prima Embalagens'!B:G,6,0)</f>
        <v>39</v>
      </c>
      <c r="M62" s="209">
        <f t="shared" si="3"/>
        <v>1.9500000000000002</v>
      </c>
      <c r="N62" s="209">
        <f t="shared" si="4"/>
        <v>0</v>
      </c>
    </row>
    <row r="63" spans="1:14" hidden="1">
      <c r="A63" s="129" t="s">
        <v>1195</v>
      </c>
      <c r="B63" s="129" t="s">
        <v>1196</v>
      </c>
      <c r="C63" s="129" t="s">
        <v>577</v>
      </c>
      <c r="D63" s="129" t="s">
        <v>578</v>
      </c>
      <c r="E63" s="129" t="s">
        <v>1197</v>
      </c>
      <c r="F63" s="129" t="s">
        <v>1198</v>
      </c>
      <c r="G63" s="210">
        <v>460</v>
      </c>
      <c r="H63" s="211">
        <f t="shared" si="0"/>
        <v>916.58</v>
      </c>
      <c r="I63" s="207">
        <f>IF(F63="CONCENTRADO SEMI BRILHO",G63/'De-Para'!$B$9,G63/VLOOKUP(B63,'De-Para'!A:B,2,0))</f>
        <v>362.20472440944883</v>
      </c>
      <c r="J63" s="206">
        <f t="shared" si="1"/>
        <v>721.71653543307082</v>
      </c>
      <c r="K63" s="212">
        <f t="shared" si="2"/>
        <v>0.50186563093237901</v>
      </c>
      <c r="L63" s="209">
        <f>VLOOKUP(E63,'Custos Matéria Prima Embalagens'!B:G,6,0)</f>
        <v>0</v>
      </c>
      <c r="M63" s="209">
        <f t="shared" si="3"/>
        <v>0</v>
      </c>
      <c r="N63" s="209">
        <f t="shared" si="4"/>
        <v>0</v>
      </c>
    </row>
    <row r="64" spans="1:14" hidden="1">
      <c r="A64" s="129" t="s">
        <v>1195</v>
      </c>
      <c r="B64" s="129" t="s">
        <v>1196</v>
      </c>
      <c r="C64" s="129" t="s">
        <v>577</v>
      </c>
      <c r="D64" s="129" t="s">
        <v>578</v>
      </c>
      <c r="E64" s="129" t="s">
        <v>1201</v>
      </c>
      <c r="F64" s="129" t="s">
        <v>1202</v>
      </c>
      <c r="G64" s="210">
        <v>2.5</v>
      </c>
      <c r="H64" s="211">
        <f t="shared" si="0"/>
        <v>916.58</v>
      </c>
      <c r="I64" s="207">
        <f>IF(F64="CONCENTRADO SEMI BRILHO",G64/'De-Para'!$B$9,G64/VLOOKUP(B64,'De-Para'!A:B,2,0))</f>
        <v>1.9685039370078741</v>
      </c>
      <c r="J64" s="206">
        <f t="shared" si="1"/>
        <v>721.71653543307082</v>
      </c>
      <c r="K64" s="212">
        <f t="shared" si="2"/>
        <v>2.7275306028933643E-3</v>
      </c>
      <c r="L64" s="209">
        <f>VLOOKUP(E64,'Custos Matéria Prima Embalagens'!B:G,6,0)</f>
        <v>7.18</v>
      </c>
      <c r="M64" s="209">
        <f t="shared" si="3"/>
        <v>17.95</v>
      </c>
      <c r="N64" s="209">
        <f t="shared" si="4"/>
        <v>0.02</v>
      </c>
    </row>
    <row r="65" spans="1:14" hidden="1">
      <c r="A65" s="129" t="s">
        <v>1195</v>
      </c>
      <c r="B65" s="129" t="s">
        <v>1196</v>
      </c>
      <c r="C65" s="129" t="s">
        <v>577</v>
      </c>
      <c r="D65" s="129" t="s">
        <v>578</v>
      </c>
      <c r="E65" s="129" t="s">
        <v>1203</v>
      </c>
      <c r="F65" s="129" t="s">
        <v>1204</v>
      </c>
      <c r="G65" s="210">
        <v>3</v>
      </c>
      <c r="H65" s="211">
        <f t="shared" si="0"/>
        <v>916.58</v>
      </c>
      <c r="I65" s="207">
        <f>IF(F65="CONCENTRADO SEMI BRILHO",G65/'De-Para'!$B$9,G65/VLOOKUP(B65,'De-Para'!A:B,2,0))</f>
        <v>2.3622047244094486</v>
      </c>
      <c r="J65" s="206">
        <f t="shared" si="1"/>
        <v>721.71653543307082</v>
      </c>
      <c r="K65" s="212">
        <f t="shared" si="2"/>
        <v>3.2730367234720371E-3</v>
      </c>
      <c r="L65" s="209">
        <f>VLOOKUP(E65,'Custos Matéria Prima Embalagens'!B:G,6,0)</f>
        <v>4.9399999999999995</v>
      </c>
      <c r="M65" s="209">
        <f t="shared" si="3"/>
        <v>14.819999999999999</v>
      </c>
      <c r="N65" s="209">
        <f t="shared" si="4"/>
        <v>0.02</v>
      </c>
    </row>
    <row r="66" spans="1:14" hidden="1">
      <c r="A66" s="129" t="s">
        <v>1195</v>
      </c>
      <c r="B66" s="129" t="s">
        <v>1196</v>
      </c>
      <c r="C66" s="129" t="s">
        <v>577</v>
      </c>
      <c r="D66" s="129" t="s">
        <v>578</v>
      </c>
      <c r="E66" s="129" t="s">
        <v>1205</v>
      </c>
      <c r="F66" s="129" t="s">
        <v>1206</v>
      </c>
      <c r="G66" s="210">
        <v>2</v>
      </c>
      <c r="H66" s="211">
        <f t="shared" si="0"/>
        <v>916.58</v>
      </c>
      <c r="I66" s="207">
        <f>IF(F66="CONCENTRADO SEMI BRILHO",G66/'De-Para'!$B$9,G66/VLOOKUP(B66,'De-Para'!A:B,2,0))</f>
        <v>1.5748031496062991</v>
      </c>
      <c r="J66" s="206">
        <f t="shared" si="1"/>
        <v>721.71653543307082</v>
      </c>
      <c r="K66" s="212">
        <f t="shared" si="2"/>
        <v>2.1820244823146915E-3</v>
      </c>
      <c r="L66" s="209">
        <f>VLOOKUP(E66,'Custos Matéria Prima Embalagens'!B:G,6,0)</f>
        <v>7.33</v>
      </c>
      <c r="M66" s="209">
        <f t="shared" si="3"/>
        <v>14.66</v>
      </c>
      <c r="N66" s="209">
        <f t="shared" si="4"/>
        <v>0.02</v>
      </c>
    </row>
    <row r="67" spans="1:14" hidden="1">
      <c r="A67" s="129" t="s">
        <v>1195</v>
      </c>
      <c r="B67" s="129" t="s">
        <v>1196</v>
      </c>
      <c r="C67" s="129" t="s">
        <v>577</v>
      </c>
      <c r="D67" s="129" t="s">
        <v>578</v>
      </c>
      <c r="E67" s="129" t="s">
        <v>1207</v>
      </c>
      <c r="F67" s="129" t="s">
        <v>1208</v>
      </c>
      <c r="G67" s="210">
        <v>3</v>
      </c>
      <c r="H67" s="211">
        <f t="shared" ref="H67:H130" si="5">SUMIFS(G:G,C:C,C67)</f>
        <v>916.58</v>
      </c>
      <c r="I67" s="207">
        <f>IF(F67="CONCENTRADO SEMI BRILHO",G67/'De-Para'!$B$9,G67/VLOOKUP(B67,'De-Para'!A:B,2,0))</f>
        <v>2.3622047244094486</v>
      </c>
      <c r="J67" s="206">
        <f t="shared" ref="J67:J130" si="6">SUMIFS(I:I,C:C,C67)</f>
        <v>721.71653543307082</v>
      </c>
      <c r="K67" s="212">
        <f t="shared" ref="K67:K130" si="7">G67/H67</f>
        <v>3.2730367234720371E-3</v>
      </c>
      <c r="L67" s="209">
        <f>VLOOKUP(E67,'Custos Matéria Prima Embalagens'!B:G,6,0)</f>
        <v>6.8599999999999994</v>
      </c>
      <c r="M67" s="209">
        <f t="shared" ref="M67:M130" si="8">L67*G67</f>
        <v>20.58</v>
      </c>
      <c r="N67" s="209">
        <f t="shared" ref="N67:N130" si="9">IF(B67="CONCENTRADO",ROUND(M67/H67,2),ROUND(M67/J67,2))</f>
        <v>0.03</v>
      </c>
    </row>
    <row r="68" spans="1:14" hidden="1">
      <c r="A68" s="129" t="s">
        <v>1195</v>
      </c>
      <c r="B68" s="129" t="s">
        <v>1196</v>
      </c>
      <c r="C68" s="129" t="s">
        <v>577</v>
      </c>
      <c r="D68" s="129" t="s">
        <v>578</v>
      </c>
      <c r="E68" s="129" t="s">
        <v>1209</v>
      </c>
      <c r="F68" s="129" t="s">
        <v>1210</v>
      </c>
      <c r="G68" s="210">
        <v>2.5</v>
      </c>
      <c r="H68" s="211">
        <f t="shared" si="5"/>
        <v>916.58</v>
      </c>
      <c r="I68" s="207">
        <f>IF(F68="CONCENTRADO SEMI BRILHO",G68/'De-Para'!$B$9,G68/VLOOKUP(B68,'De-Para'!A:B,2,0))</f>
        <v>1.9685039370078741</v>
      </c>
      <c r="J68" s="206">
        <f t="shared" si="6"/>
        <v>721.71653543307082</v>
      </c>
      <c r="K68" s="212">
        <f t="shared" si="7"/>
        <v>2.7275306028933643E-3</v>
      </c>
      <c r="L68" s="209">
        <f>VLOOKUP(E68,'Custos Matéria Prima Embalagens'!B:G,6,0)</f>
        <v>7</v>
      </c>
      <c r="M68" s="209">
        <f t="shared" si="8"/>
        <v>17.5</v>
      </c>
      <c r="N68" s="209">
        <f t="shared" si="9"/>
        <v>0.02</v>
      </c>
    </row>
    <row r="69" spans="1:14" hidden="1">
      <c r="A69" s="129" t="s">
        <v>1195</v>
      </c>
      <c r="B69" s="129" t="s">
        <v>1196</v>
      </c>
      <c r="C69" s="129" t="s">
        <v>577</v>
      </c>
      <c r="D69" s="129" t="s">
        <v>578</v>
      </c>
      <c r="E69" s="129" t="s">
        <v>1215</v>
      </c>
      <c r="F69" s="129" t="s">
        <v>1216</v>
      </c>
      <c r="G69" s="210">
        <v>50</v>
      </c>
      <c r="H69" s="211">
        <f t="shared" si="5"/>
        <v>916.58</v>
      </c>
      <c r="I69" s="207">
        <f>IF(F69="CONCENTRADO SEMI BRILHO",G69/'De-Para'!$B$9,G69/VLOOKUP(B69,'De-Para'!A:B,2,0))</f>
        <v>39.370078740157481</v>
      </c>
      <c r="J69" s="206">
        <f t="shared" si="6"/>
        <v>721.71653543307082</v>
      </c>
      <c r="K69" s="212">
        <f t="shared" si="7"/>
        <v>5.4550612057867286E-2</v>
      </c>
      <c r="L69" s="209">
        <f>VLOOKUP(E69,'Custos Matéria Prima Embalagens'!B:G,6,0)</f>
        <v>0.8</v>
      </c>
      <c r="M69" s="209">
        <f t="shared" si="8"/>
        <v>40</v>
      </c>
      <c r="N69" s="209">
        <f t="shared" si="9"/>
        <v>0.06</v>
      </c>
    </row>
    <row r="70" spans="1:14" hidden="1">
      <c r="A70" s="129" t="s">
        <v>1195</v>
      </c>
      <c r="B70" s="129" t="s">
        <v>1196</v>
      </c>
      <c r="C70" s="129" t="s">
        <v>577</v>
      </c>
      <c r="D70" s="129" t="s">
        <v>578</v>
      </c>
      <c r="E70" s="129" t="s">
        <v>1227</v>
      </c>
      <c r="F70" s="129" t="s">
        <v>1228</v>
      </c>
      <c r="G70" s="210">
        <v>325</v>
      </c>
      <c r="H70" s="211">
        <f t="shared" si="5"/>
        <v>916.58</v>
      </c>
      <c r="I70" s="207">
        <f>IF(F70="CONCENTRADO SEMI BRILHO",G70/'De-Para'!$B$9,G70/VLOOKUP(B70,'De-Para'!A:B,2,0))</f>
        <v>255.90551181102362</v>
      </c>
      <c r="J70" s="206">
        <f t="shared" si="6"/>
        <v>721.71653543307082</v>
      </c>
      <c r="K70" s="212">
        <f t="shared" si="7"/>
        <v>0.35457897837613739</v>
      </c>
      <c r="L70" s="209">
        <f>VLOOKUP(E70,'Custos Matéria Prima Embalagens'!B:G,6,0)</f>
        <v>1.520495555555555</v>
      </c>
      <c r="M70" s="209">
        <f t="shared" si="8"/>
        <v>494.16105555555538</v>
      </c>
      <c r="N70" s="209">
        <f t="shared" si="9"/>
        <v>0.68</v>
      </c>
    </row>
    <row r="71" spans="1:14" hidden="1">
      <c r="A71" s="129" t="s">
        <v>1195</v>
      </c>
      <c r="B71" s="129" t="s">
        <v>1196</v>
      </c>
      <c r="C71" s="129" t="s">
        <v>577</v>
      </c>
      <c r="D71" s="129" t="s">
        <v>578</v>
      </c>
      <c r="E71" s="129" t="s">
        <v>1217</v>
      </c>
      <c r="F71" s="129" t="s">
        <v>1218</v>
      </c>
      <c r="G71" s="210">
        <v>30</v>
      </c>
      <c r="H71" s="211">
        <f t="shared" si="5"/>
        <v>916.58</v>
      </c>
      <c r="I71" s="207">
        <f>IF(F71="CONCENTRADO SEMI BRILHO",G71/'De-Para'!$B$9,G71/VLOOKUP(B71,'De-Para'!A:B,2,0))</f>
        <v>23.622047244094489</v>
      </c>
      <c r="J71" s="206">
        <f t="shared" si="6"/>
        <v>721.71653543307082</v>
      </c>
      <c r="K71" s="212">
        <f t="shared" si="7"/>
        <v>3.2730367234720371E-2</v>
      </c>
      <c r="L71" s="209">
        <f>VLOOKUP(E71,'Custos Matéria Prima Embalagens'!B:G,6,0)</f>
        <v>8.43</v>
      </c>
      <c r="M71" s="209">
        <f t="shared" si="8"/>
        <v>252.89999999999998</v>
      </c>
      <c r="N71" s="209">
        <f t="shared" si="9"/>
        <v>0.35</v>
      </c>
    </row>
    <row r="72" spans="1:14" hidden="1">
      <c r="A72" s="129" t="s">
        <v>1195</v>
      </c>
      <c r="B72" s="129" t="s">
        <v>1196</v>
      </c>
      <c r="C72" s="129" t="s">
        <v>577</v>
      </c>
      <c r="D72" s="129" t="s">
        <v>578</v>
      </c>
      <c r="E72" s="129" t="s">
        <v>1219</v>
      </c>
      <c r="F72" s="129" t="s">
        <v>1220</v>
      </c>
      <c r="G72" s="210">
        <v>3</v>
      </c>
      <c r="H72" s="211">
        <f t="shared" si="5"/>
        <v>916.58</v>
      </c>
      <c r="I72" s="207">
        <f>IF(F72="CONCENTRADO SEMI BRILHO",G72/'De-Para'!$B$9,G72/VLOOKUP(B72,'De-Para'!A:B,2,0))</f>
        <v>2.3622047244094486</v>
      </c>
      <c r="J72" s="206">
        <f t="shared" si="6"/>
        <v>721.71653543307082</v>
      </c>
      <c r="K72" s="212">
        <f t="shared" si="7"/>
        <v>3.2730367234720371E-3</v>
      </c>
      <c r="L72" s="209">
        <f>VLOOKUP(E72,'Custos Matéria Prima Embalagens'!B:G,6,0)</f>
        <v>4.9800000000000004</v>
      </c>
      <c r="M72" s="209">
        <f t="shared" si="8"/>
        <v>14.940000000000001</v>
      </c>
      <c r="N72" s="209">
        <f t="shared" si="9"/>
        <v>0.02</v>
      </c>
    </row>
    <row r="73" spans="1:14" hidden="1">
      <c r="A73" s="129" t="s">
        <v>1195</v>
      </c>
      <c r="B73" s="129" t="s">
        <v>1196</v>
      </c>
      <c r="C73" s="129" t="s">
        <v>577</v>
      </c>
      <c r="D73" s="129" t="s">
        <v>578</v>
      </c>
      <c r="E73" s="129" t="s">
        <v>1221</v>
      </c>
      <c r="F73" s="129" t="s">
        <v>1222</v>
      </c>
      <c r="G73" s="210">
        <v>15.5</v>
      </c>
      <c r="H73" s="211">
        <f t="shared" si="5"/>
        <v>916.58</v>
      </c>
      <c r="I73" s="207">
        <f>IF(F73="CONCENTRADO SEMI BRILHO",G73/'De-Para'!$B$9,G73/VLOOKUP(B73,'De-Para'!A:B,2,0))</f>
        <v>12.204724409448819</v>
      </c>
      <c r="J73" s="206">
        <f t="shared" si="6"/>
        <v>721.71653543307082</v>
      </c>
      <c r="K73" s="212">
        <f t="shared" si="7"/>
        <v>1.6910689737938859E-2</v>
      </c>
      <c r="L73" s="209">
        <f>VLOOKUP(E73,'Custos Matéria Prima Embalagens'!B:G,6,0)</f>
        <v>7.9049999999999994</v>
      </c>
      <c r="M73" s="209">
        <f t="shared" si="8"/>
        <v>122.52749999999999</v>
      </c>
      <c r="N73" s="209">
        <f t="shared" si="9"/>
        <v>0.17</v>
      </c>
    </row>
    <row r="74" spans="1:14" hidden="1">
      <c r="A74" s="129" t="s">
        <v>1195</v>
      </c>
      <c r="B74" s="129" t="s">
        <v>1196</v>
      </c>
      <c r="C74" s="129" t="s">
        <v>577</v>
      </c>
      <c r="D74" s="129" t="s">
        <v>578</v>
      </c>
      <c r="E74" s="129" t="s">
        <v>1223</v>
      </c>
      <c r="F74" s="129" t="s">
        <v>1224</v>
      </c>
      <c r="G74" s="210">
        <v>7.5</v>
      </c>
      <c r="H74" s="211">
        <f t="shared" si="5"/>
        <v>916.58</v>
      </c>
      <c r="I74" s="207">
        <f>IF(F74="CONCENTRADO SEMI BRILHO",G74/'De-Para'!$B$9,G74/VLOOKUP(B74,'De-Para'!A:B,2,0))</f>
        <v>5.9055118110236222</v>
      </c>
      <c r="J74" s="206">
        <f t="shared" si="6"/>
        <v>721.71653543307082</v>
      </c>
      <c r="K74" s="212">
        <f t="shared" si="7"/>
        <v>8.1825918086800929E-3</v>
      </c>
      <c r="L74" s="209">
        <f>VLOOKUP(E74,'Custos Matéria Prima Embalagens'!B:G,6,0)</f>
        <v>4.8499999999999996</v>
      </c>
      <c r="M74" s="209">
        <f t="shared" si="8"/>
        <v>36.375</v>
      </c>
      <c r="N74" s="209">
        <f t="shared" si="9"/>
        <v>0.05</v>
      </c>
    </row>
    <row r="75" spans="1:14" hidden="1">
      <c r="A75" s="129" t="s">
        <v>1195</v>
      </c>
      <c r="B75" s="129" t="s">
        <v>1196</v>
      </c>
      <c r="C75" s="129" t="s">
        <v>577</v>
      </c>
      <c r="D75" s="129" t="s">
        <v>578</v>
      </c>
      <c r="E75" s="129" t="s">
        <v>1229</v>
      </c>
      <c r="F75" s="129" t="s">
        <v>1230</v>
      </c>
      <c r="G75" s="210">
        <v>5</v>
      </c>
      <c r="H75" s="211">
        <f t="shared" si="5"/>
        <v>916.58</v>
      </c>
      <c r="I75" s="207">
        <f>IF(F75="CONCENTRADO SEMI BRILHO",G75/'De-Para'!$B$9,G75/VLOOKUP(B75,'De-Para'!A:B,2,0))</f>
        <v>3.9370078740157481</v>
      </c>
      <c r="J75" s="206">
        <f t="shared" si="6"/>
        <v>721.71653543307082</v>
      </c>
      <c r="K75" s="212">
        <f t="shared" si="7"/>
        <v>5.4550612057867286E-3</v>
      </c>
      <c r="L75" s="209">
        <f>VLOOKUP(E75,'Custos Matéria Prima Embalagens'!B:G,6,0)</f>
        <v>19.22</v>
      </c>
      <c r="M75" s="209">
        <f t="shared" si="8"/>
        <v>96.1</v>
      </c>
      <c r="N75" s="209">
        <f t="shared" si="9"/>
        <v>0.13</v>
      </c>
    </row>
    <row r="76" spans="1:14" hidden="1">
      <c r="A76" s="129" t="s">
        <v>1195</v>
      </c>
      <c r="B76" s="129" t="s">
        <v>1196</v>
      </c>
      <c r="C76" s="129" t="s">
        <v>577</v>
      </c>
      <c r="D76" s="129" t="s">
        <v>578</v>
      </c>
      <c r="E76" s="129" t="s">
        <v>1233</v>
      </c>
      <c r="F76" s="129" t="s">
        <v>1234</v>
      </c>
      <c r="G76" s="210">
        <v>6.5</v>
      </c>
      <c r="H76" s="211">
        <f t="shared" si="5"/>
        <v>916.58</v>
      </c>
      <c r="I76" s="207">
        <f>IF(F76="CONCENTRADO SEMI BRILHO",G76/'De-Para'!$B$9,G76/VLOOKUP(B76,'De-Para'!A:B,2,0))</f>
        <v>5.1181102362204722</v>
      </c>
      <c r="J76" s="206">
        <f t="shared" si="6"/>
        <v>721.71653543307082</v>
      </c>
      <c r="K76" s="212">
        <f t="shared" si="7"/>
        <v>7.0915795675227473E-3</v>
      </c>
      <c r="L76" s="209">
        <f>VLOOKUP(E76,'Custos Matéria Prima Embalagens'!B:G,6,0)</f>
        <v>31.93</v>
      </c>
      <c r="M76" s="209">
        <f t="shared" si="8"/>
        <v>207.54499999999999</v>
      </c>
      <c r="N76" s="209">
        <f t="shared" si="9"/>
        <v>0.28999999999999998</v>
      </c>
    </row>
    <row r="77" spans="1:14" hidden="1">
      <c r="A77" s="129" t="s">
        <v>1195</v>
      </c>
      <c r="B77" s="129" t="s">
        <v>1196</v>
      </c>
      <c r="C77" s="129" t="s">
        <v>577</v>
      </c>
      <c r="D77" s="129" t="s">
        <v>578</v>
      </c>
      <c r="E77" s="129" t="s">
        <v>1237</v>
      </c>
      <c r="F77" s="129" t="s">
        <v>1238</v>
      </c>
      <c r="G77" s="210">
        <v>1</v>
      </c>
      <c r="H77" s="211">
        <f t="shared" si="5"/>
        <v>916.58</v>
      </c>
      <c r="I77" s="207">
        <f>IF(F77="CONCENTRADO SEMI BRILHO",G77/'De-Para'!$B$9,G77/VLOOKUP(B77,'De-Para'!A:B,2,0))</f>
        <v>0.78740157480314954</v>
      </c>
      <c r="J77" s="206">
        <f t="shared" si="6"/>
        <v>721.71653543307082</v>
      </c>
      <c r="K77" s="212">
        <f t="shared" si="7"/>
        <v>1.0910122411573458E-3</v>
      </c>
      <c r="L77" s="209">
        <f>VLOOKUP(E77,'Custos Matéria Prima Embalagens'!B:G,6,0)</f>
        <v>39</v>
      </c>
      <c r="M77" s="209">
        <f t="shared" si="8"/>
        <v>39</v>
      </c>
      <c r="N77" s="209">
        <f t="shared" si="9"/>
        <v>0.05</v>
      </c>
    </row>
    <row r="78" spans="1:14" hidden="1">
      <c r="A78" s="129" t="s">
        <v>1195</v>
      </c>
      <c r="B78" s="129" t="s">
        <v>1196</v>
      </c>
      <c r="C78" s="129" t="s">
        <v>577</v>
      </c>
      <c r="D78" s="129" t="s">
        <v>578</v>
      </c>
      <c r="E78" s="129" t="s">
        <v>1235</v>
      </c>
      <c r="F78" s="129" t="s">
        <v>1236</v>
      </c>
      <c r="G78" s="210">
        <v>0.08</v>
      </c>
      <c r="H78" s="211">
        <f t="shared" si="5"/>
        <v>916.58</v>
      </c>
      <c r="I78" s="207">
        <f>IF(F78="CONCENTRADO SEMI BRILHO",G78/'De-Para'!$B$9,G78/VLOOKUP(B78,'De-Para'!A:B,2,0))</f>
        <v>6.2992125984251968E-2</v>
      </c>
      <c r="J78" s="206">
        <f t="shared" si="6"/>
        <v>721.71653543307082</v>
      </c>
      <c r="K78" s="212">
        <f t="shared" si="7"/>
        <v>8.7280979292587659E-5</v>
      </c>
      <c r="L78" s="209">
        <f>VLOOKUP(E78,'Custos Matéria Prima Embalagens'!B:G,6,0)</f>
        <v>46.089999999999996</v>
      </c>
      <c r="M78" s="209">
        <f t="shared" si="8"/>
        <v>3.6871999999999998</v>
      </c>
      <c r="N78" s="209">
        <f t="shared" si="9"/>
        <v>0.01</v>
      </c>
    </row>
    <row r="79" spans="1:14" hidden="1">
      <c r="A79" s="129" t="s">
        <v>1195</v>
      </c>
      <c r="B79" s="129" t="s">
        <v>1196</v>
      </c>
      <c r="C79" s="129" t="s">
        <v>580</v>
      </c>
      <c r="D79" s="129" t="s">
        <v>581</v>
      </c>
      <c r="E79" s="129" t="s">
        <v>1197</v>
      </c>
      <c r="F79" s="129" t="s">
        <v>1198</v>
      </c>
      <c r="G79" s="210">
        <v>460</v>
      </c>
      <c r="H79" s="211">
        <f t="shared" si="5"/>
        <v>908.8</v>
      </c>
      <c r="I79" s="207">
        <f>IF(F79="CONCENTRADO SEMI BRILHO",G79/'De-Para'!$B$9,G79/VLOOKUP(B79,'De-Para'!A:B,2,0))</f>
        <v>362.20472440944883</v>
      </c>
      <c r="J79" s="206">
        <f t="shared" si="6"/>
        <v>715.59055118110246</v>
      </c>
      <c r="K79" s="212">
        <f t="shared" si="7"/>
        <v>0.50616197183098599</v>
      </c>
      <c r="L79" s="209">
        <f>VLOOKUP(E79,'Custos Matéria Prima Embalagens'!B:G,6,0)</f>
        <v>0</v>
      </c>
      <c r="M79" s="209">
        <f t="shared" si="8"/>
        <v>0</v>
      </c>
      <c r="N79" s="209">
        <f t="shared" si="9"/>
        <v>0</v>
      </c>
    </row>
    <row r="80" spans="1:14" hidden="1">
      <c r="A80" s="129" t="s">
        <v>1195</v>
      </c>
      <c r="B80" s="129" t="s">
        <v>1196</v>
      </c>
      <c r="C80" s="129" t="s">
        <v>580</v>
      </c>
      <c r="D80" s="129" t="s">
        <v>581</v>
      </c>
      <c r="E80" s="129" t="s">
        <v>1201</v>
      </c>
      <c r="F80" s="129" t="s">
        <v>1202</v>
      </c>
      <c r="G80" s="210">
        <v>2.5</v>
      </c>
      <c r="H80" s="211">
        <f t="shared" si="5"/>
        <v>908.8</v>
      </c>
      <c r="I80" s="207">
        <f>IF(F80="CONCENTRADO SEMI BRILHO",G80/'De-Para'!$B$9,G80/VLOOKUP(B80,'De-Para'!A:B,2,0))</f>
        <v>1.9685039370078741</v>
      </c>
      <c r="J80" s="206">
        <f t="shared" si="6"/>
        <v>715.59055118110246</v>
      </c>
      <c r="K80" s="212">
        <f t="shared" si="7"/>
        <v>2.7508802816901411E-3</v>
      </c>
      <c r="L80" s="209">
        <f>VLOOKUP(E80,'Custos Matéria Prima Embalagens'!B:G,6,0)</f>
        <v>7.18</v>
      </c>
      <c r="M80" s="209">
        <f t="shared" si="8"/>
        <v>17.95</v>
      </c>
      <c r="N80" s="209">
        <f t="shared" si="9"/>
        <v>0.03</v>
      </c>
    </row>
    <row r="81" spans="1:14" hidden="1">
      <c r="A81" s="129" t="s">
        <v>1195</v>
      </c>
      <c r="B81" s="129" t="s">
        <v>1196</v>
      </c>
      <c r="C81" s="129" t="s">
        <v>580</v>
      </c>
      <c r="D81" s="129" t="s">
        <v>581</v>
      </c>
      <c r="E81" s="129" t="s">
        <v>1203</v>
      </c>
      <c r="F81" s="129" t="s">
        <v>1204</v>
      </c>
      <c r="G81" s="210">
        <v>3</v>
      </c>
      <c r="H81" s="211">
        <f t="shared" si="5"/>
        <v>908.8</v>
      </c>
      <c r="I81" s="207">
        <f>IF(F81="CONCENTRADO SEMI BRILHO",G81/'De-Para'!$B$9,G81/VLOOKUP(B81,'De-Para'!A:B,2,0))</f>
        <v>2.3622047244094486</v>
      </c>
      <c r="J81" s="206">
        <f t="shared" si="6"/>
        <v>715.59055118110246</v>
      </c>
      <c r="K81" s="212">
        <f t="shared" si="7"/>
        <v>3.3010563380281694E-3</v>
      </c>
      <c r="L81" s="209">
        <f>VLOOKUP(E81,'Custos Matéria Prima Embalagens'!B:G,6,0)</f>
        <v>4.9399999999999995</v>
      </c>
      <c r="M81" s="209">
        <f t="shared" si="8"/>
        <v>14.819999999999999</v>
      </c>
      <c r="N81" s="209">
        <f t="shared" si="9"/>
        <v>0.02</v>
      </c>
    </row>
    <row r="82" spans="1:14" hidden="1">
      <c r="A82" s="129" t="s">
        <v>1195</v>
      </c>
      <c r="B82" s="129" t="s">
        <v>1196</v>
      </c>
      <c r="C82" s="129" t="s">
        <v>580</v>
      </c>
      <c r="D82" s="129" t="s">
        <v>581</v>
      </c>
      <c r="E82" s="129" t="s">
        <v>1205</v>
      </c>
      <c r="F82" s="129" t="s">
        <v>1206</v>
      </c>
      <c r="G82" s="210">
        <v>2</v>
      </c>
      <c r="H82" s="211">
        <f t="shared" si="5"/>
        <v>908.8</v>
      </c>
      <c r="I82" s="207">
        <f>IF(F82="CONCENTRADO SEMI BRILHO",G82/'De-Para'!$B$9,G82/VLOOKUP(B82,'De-Para'!A:B,2,0))</f>
        <v>1.5748031496062991</v>
      </c>
      <c r="J82" s="206">
        <f t="shared" si="6"/>
        <v>715.59055118110246</v>
      </c>
      <c r="K82" s="212">
        <f t="shared" si="7"/>
        <v>2.2007042253521128E-3</v>
      </c>
      <c r="L82" s="209">
        <f>VLOOKUP(E82,'Custos Matéria Prima Embalagens'!B:G,6,0)</f>
        <v>7.33</v>
      </c>
      <c r="M82" s="209">
        <f t="shared" si="8"/>
        <v>14.66</v>
      </c>
      <c r="N82" s="209">
        <f t="shared" si="9"/>
        <v>0.02</v>
      </c>
    </row>
    <row r="83" spans="1:14" hidden="1">
      <c r="A83" s="129" t="s">
        <v>1195</v>
      </c>
      <c r="B83" s="129" t="s">
        <v>1196</v>
      </c>
      <c r="C83" s="129" t="s">
        <v>580</v>
      </c>
      <c r="D83" s="129" t="s">
        <v>581</v>
      </c>
      <c r="E83" s="129" t="s">
        <v>1207</v>
      </c>
      <c r="F83" s="129" t="s">
        <v>1208</v>
      </c>
      <c r="G83" s="210">
        <v>3</v>
      </c>
      <c r="H83" s="211">
        <f t="shared" si="5"/>
        <v>908.8</v>
      </c>
      <c r="I83" s="207">
        <f>IF(F83="CONCENTRADO SEMI BRILHO",G83/'De-Para'!$B$9,G83/VLOOKUP(B83,'De-Para'!A:B,2,0))</f>
        <v>2.3622047244094486</v>
      </c>
      <c r="J83" s="206">
        <f t="shared" si="6"/>
        <v>715.59055118110246</v>
      </c>
      <c r="K83" s="212">
        <f t="shared" si="7"/>
        <v>3.3010563380281694E-3</v>
      </c>
      <c r="L83" s="209">
        <f>VLOOKUP(E83,'Custos Matéria Prima Embalagens'!B:G,6,0)</f>
        <v>6.8599999999999994</v>
      </c>
      <c r="M83" s="209">
        <f t="shared" si="8"/>
        <v>20.58</v>
      </c>
      <c r="N83" s="209">
        <f t="shared" si="9"/>
        <v>0.03</v>
      </c>
    </row>
    <row r="84" spans="1:14" hidden="1">
      <c r="A84" s="129" t="s">
        <v>1195</v>
      </c>
      <c r="B84" s="129" t="s">
        <v>1196</v>
      </c>
      <c r="C84" s="129" t="s">
        <v>580</v>
      </c>
      <c r="D84" s="129" t="s">
        <v>581</v>
      </c>
      <c r="E84" s="129" t="s">
        <v>1209</v>
      </c>
      <c r="F84" s="129" t="s">
        <v>1210</v>
      </c>
      <c r="G84" s="210">
        <v>2.5</v>
      </c>
      <c r="H84" s="211">
        <f t="shared" si="5"/>
        <v>908.8</v>
      </c>
      <c r="I84" s="207">
        <f>IF(F84="CONCENTRADO SEMI BRILHO",G84/'De-Para'!$B$9,G84/VLOOKUP(B84,'De-Para'!A:B,2,0))</f>
        <v>1.9685039370078741</v>
      </c>
      <c r="J84" s="206">
        <f t="shared" si="6"/>
        <v>715.59055118110246</v>
      </c>
      <c r="K84" s="212">
        <f t="shared" si="7"/>
        <v>2.7508802816901411E-3</v>
      </c>
      <c r="L84" s="209">
        <f>VLOOKUP(E84,'Custos Matéria Prima Embalagens'!B:G,6,0)</f>
        <v>7</v>
      </c>
      <c r="M84" s="209">
        <f t="shared" si="8"/>
        <v>17.5</v>
      </c>
      <c r="N84" s="209">
        <f t="shared" si="9"/>
        <v>0.02</v>
      </c>
    </row>
    <row r="85" spans="1:14" hidden="1">
      <c r="A85" s="129" t="s">
        <v>1195</v>
      </c>
      <c r="B85" s="129" t="s">
        <v>1196</v>
      </c>
      <c r="C85" s="129" t="s">
        <v>580</v>
      </c>
      <c r="D85" s="129" t="s">
        <v>581</v>
      </c>
      <c r="E85" s="129" t="s">
        <v>1227</v>
      </c>
      <c r="F85" s="129" t="s">
        <v>1228</v>
      </c>
      <c r="G85" s="210">
        <v>100</v>
      </c>
      <c r="H85" s="211">
        <f t="shared" si="5"/>
        <v>908.8</v>
      </c>
      <c r="I85" s="207">
        <f>IF(F85="CONCENTRADO SEMI BRILHO",G85/'De-Para'!$B$9,G85/VLOOKUP(B85,'De-Para'!A:B,2,0))</f>
        <v>78.740157480314963</v>
      </c>
      <c r="J85" s="206">
        <f t="shared" si="6"/>
        <v>715.59055118110246</v>
      </c>
      <c r="K85" s="212">
        <f t="shared" si="7"/>
        <v>0.11003521126760564</v>
      </c>
      <c r="L85" s="209">
        <f>VLOOKUP(E85,'Custos Matéria Prima Embalagens'!B:G,6,0)</f>
        <v>1.520495555555555</v>
      </c>
      <c r="M85" s="209">
        <f t="shared" si="8"/>
        <v>152.04955555555551</v>
      </c>
      <c r="N85" s="209">
        <f t="shared" si="9"/>
        <v>0.21</v>
      </c>
    </row>
    <row r="86" spans="1:14" hidden="1">
      <c r="A86" s="129" t="s">
        <v>1195</v>
      </c>
      <c r="B86" s="129" t="s">
        <v>1196</v>
      </c>
      <c r="C86" s="129" t="s">
        <v>580</v>
      </c>
      <c r="D86" s="129" t="s">
        <v>581</v>
      </c>
      <c r="E86" s="129" t="s">
        <v>1225</v>
      </c>
      <c r="F86" s="129" t="s">
        <v>1226</v>
      </c>
      <c r="G86" s="210">
        <v>100</v>
      </c>
      <c r="H86" s="211">
        <f t="shared" si="5"/>
        <v>908.8</v>
      </c>
      <c r="I86" s="207">
        <f>IF(F86="CONCENTRADO SEMI BRILHO",G86/'De-Para'!$B$9,G86/VLOOKUP(B86,'De-Para'!A:B,2,0))</f>
        <v>78.740157480314963</v>
      </c>
      <c r="J86" s="206">
        <f t="shared" si="6"/>
        <v>715.59055118110246</v>
      </c>
      <c r="K86" s="212">
        <f t="shared" si="7"/>
        <v>0.11003521126760564</v>
      </c>
      <c r="L86" s="209">
        <f>VLOOKUP(E86,'Custos Matéria Prima Embalagens'!B:G,6,0)</f>
        <v>0.68577852760736202</v>
      </c>
      <c r="M86" s="209">
        <f t="shared" si="8"/>
        <v>68.577852760736207</v>
      </c>
      <c r="N86" s="209">
        <f t="shared" si="9"/>
        <v>0.1</v>
      </c>
    </row>
    <row r="87" spans="1:14" hidden="1">
      <c r="A87" s="129" t="s">
        <v>1195</v>
      </c>
      <c r="B87" s="129" t="s">
        <v>1196</v>
      </c>
      <c r="C87" s="129" t="s">
        <v>580</v>
      </c>
      <c r="D87" s="129" t="s">
        <v>581</v>
      </c>
      <c r="E87" s="129" t="s">
        <v>1215</v>
      </c>
      <c r="F87" s="129" t="s">
        <v>1216</v>
      </c>
      <c r="G87" s="210">
        <v>150</v>
      </c>
      <c r="H87" s="211">
        <f t="shared" si="5"/>
        <v>908.8</v>
      </c>
      <c r="I87" s="207">
        <f>IF(F87="CONCENTRADO SEMI BRILHO",G87/'De-Para'!$B$9,G87/VLOOKUP(B87,'De-Para'!A:B,2,0))</f>
        <v>118.11023622047244</v>
      </c>
      <c r="J87" s="206">
        <f t="shared" si="6"/>
        <v>715.59055118110246</v>
      </c>
      <c r="K87" s="212">
        <f t="shared" si="7"/>
        <v>0.16505281690140847</v>
      </c>
      <c r="L87" s="209">
        <f>VLOOKUP(E87,'Custos Matéria Prima Embalagens'!B:G,6,0)</f>
        <v>0.8</v>
      </c>
      <c r="M87" s="209">
        <f t="shared" si="8"/>
        <v>120</v>
      </c>
      <c r="N87" s="209">
        <f t="shared" si="9"/>
        <v>0.17</v>
      </c>
    </row>
    <row r="88" spans="1:14" hidden="1">
      <c r="A88" s="129" t="s">
        <v>1195</v>
      </c>
      <c r="B88" s="129" t="s">
        <v>1196</v>
      </c>
      <c r="C88" s="129" t="s">
        <v>580</v>
      </c>
      <c r="D88" s="129" t="s">
        <v>581</v>
      </c>
      <c r="E88" s="129" t="s">
        <v>1217</v>
      </c>
      <c r="F88" s="129" t="s">
        <v>1218</v>
      </c>
      <c r="G88" s="210">
        <v>40</v>
      </c>
      <c r="H88" s="211">
        <f t="shared" si="5"/>
        <v>908.8</v>
      </c>
      <c r="I88" s="207">
        <f>IF(F88="CONCENTRADO SEMI BRILHO",G88/'De-Para'!$B$9,G88/VLOOKUP(B88,'De-Para'!A:B,2,0))</f>
        <v>31.496062992125985</v>
      </c>
      <c r="J88" s="206">
        <f t="shared" si="6"/>
        <v>715.59055118110246</v>
      </c>
      <c r="K88" s="212">
        <f t="shared" si="7"/>
        <v>4.4014084507042257E-2</v>
      </c>
      <c r="L88" s="209">
        <f>VLOOKUP(E88,'Custos Matéria Prima Embalagens'!B:G,6,0)</f>
        <v>8.43</v>
      </c>
      <c r="M88" s="209">
        <f t="shared" si="8"/>
        <v>337.2</v>
      </c>
      <c r="N88" s="209">
        <f t="shared" si="9"/>
        <v>0.47</v>
      </c>
    </row>
    <row r="89" spans="1:14" hidden="1">
      <c r="A89" s="129" t="s">
        <v>1195</v>
      </c>
      <c r="B89" s="129" t="s">
        <v>1196</v>
      </c>
      <c r="C89" s="129" t="s">
        <v>580</v>
      </c>
      <c r="D89" s="129" t="s">
        <v>581</v>
      </c>
      <c r="E89" s="129" t="s">
        <v>1219</v>
      </c>
      <c r="F89" s="129" t="s">
        <v>1220</v>
      </c>
      <c r="G89" s="210">
        <v>3</v>
      </c>
      <c r="H89" s="211">
        <f t="shared" si="5"/>
        <v>908.8</v>
      </c>
      <c r="I89" s="207">
        <f>IF(F89="CONCENTRADO SEMI BRILHO",G89/'De-Para'!$B$9,G89/VLOOKUP(B89,'De-Para'!A:B,2,0))</f>
        <v>2.3622047244094486</v>
      </c>
      <c r="J89" s="206">
        <f t="shared" si="6"/>
        <v>715.59055118110246</v>
      </c>
      <c r="K89" s="212">
        <f t="shared" si="7"/>
        <v>3.3010563380281694E-3</v>
      </c>
      <c r="L89" s="209">
        <f>VLOOKUP(E89,'Custos Matéria Prima Embalagens'!B:G,6,0)</f>
        <v>4.9800000000000004</v>
      </c>
      <c r="M89" s="209">
        <f t="shared" si="8"/>
        <v>14.940000000000001</v>
      </c>
      <c r="N89" s="209">
        <f t="shared" si="9"/>
        <v>0.02</v>
      </c>
    </row>
    <row r="90" spans="1:14" hidden="1">
      <c r="A90" s="129" t="s">
        <v>1195</v>
      </c>
      <c r="B90" s="129" t="s">
        <v>1196</v>
      </c>
      <c r="C90" s="129" t="s">
        <v>580</v>
      </c>
      <c r="D90" s="129" t="s">
        <v>581</v>
      </c>
      <c r="E90" s="129" t="s">
        <v>1221</v>
      </c>
      <c r="F90" s="129" t="s">
        <v>1222</v>
      </c>
      <c r="G90" s="210">
        <v>13.5</v>
      </c>
      <c r="H90" s="211">
        <f t="shared" si="5"/>
        <v>908.8</v>
      </c>
      <c r="I90" s="207">
        <f>IF(F90="CONCENTRADO SEMI BRILHO",G90/'De-Para'!$B$9,G90/VLOOKUP(B90,'De-Para'!A:B,2,0))</f>
        <v>10.62992125984252</v>
      </c>
      <c r="J90" s="206">
        <f t="shared" si="6"/>
        <v>715.59055118110246</v>
      </c>
      <c r="K90" s="212">
        <f t="shared" si="7"/>
        <v>1.4854753521126762E-2</v>
      </c>
      <c r="L90" s="209">
        <f>VLOOKUP(E90,'Custos Matéria Prima Embalagens'!B:G,6,0)</f>
        <v>7.9049999999999994</v>
      </c>
      <c r="M90" s="209">
        <f t="shared" si="8"/>
        <v>106.71749999999999</v>
      </c>
      <c r="N90" s="209">
        <f t="shared" si="9"/>
        <v>0.15</v>
      </c>
    </row>
    <row r="91" spans="1:14" hidden="1">
      <c r="A91" s="129" t="s">
        <v>1195</v>
      </c>
      <c r="B91" s="129" t="s">
        <v>1196</v>
      </c>
      <c r="C91" s="129" t="s">
        <v>580</v>
      </c>
      <c r="D91" s="129" t="s">
        <v>581</v>
      </c>
      <c r="E91" s="129" t="s">
        <v>1223</v>
      </c>
      <c r="F91" s="129" t="s">
        <v>1224</v>
      </c>
      <c r="G91" s="210">
        <v>7.5</v>
      </c>
      <c r="H91" s="211">
        <f t="shared" si="5"/>
        <v>908.8</v>
      </c>
      <c r="I91" s="207">
        <f>IF(F91="CONCENTRADO SEMI BRILHO",G91/'De-Para'!$B$9,G91/VLOOKUP(B91,'De-Para'!A:B,2,0))</f>
        <v>5.9055118110236222</v>
      </c>
      <c r="J91" s="206">
        <f t="shared" si="6"/>
        <v>715.59055118110246</v>
      </c>
      <c r="K91" s="212">
        <f t="shared" si="7"/>
        <v>8.2526408450704237E-3</v>
      </c>
      <c r="L91" s="209">
        <f>VLOOKUP(E91,'Custos Matéria Prima Embalagens'!B:G,6,0)</f>
        <v>4.8499999999999996</v>
      </c>
      <c r="M91" s="209">
        <f t="shared" si="8"/>
        <v>36.375</v>
      </c>
      <c r="N91" s="209">
        <f t="shared" si="9"/>
        <v>0.05</v>
      </c>
    </row>
    <row r="92" spans="1:14" hidden="1">
      <c r="A92" s="129" t="s">
        <v>1195</v>
      </c>
      <c r="B92" s="129" t="s">
        <v>1196</v>
      </c>
      <c r="C92" s="129" t="s">
        <v>580</v>
      </c>
      <c r="D92" s="129" t="s">
        <v>581</v>
      </c>
      <c r="E92" s="129" t="s">
        <v>1229</v>
      </c>
      <c r="F92" s="129" t="s">
        <v>1230</v>
      </c>
      <c r="G92" s="210">
        <v>5</v>
      </c>
      <c r="H92" s="211">
        <f t="shared" si="5"/>
        <v>908.8</v>
      </c>
      <c r="I92" s="207">
        <f>IF(F92="CONCENTRADO SEMI BRILHO",G92/'De-Para'!$B$9,G92/VLOOKUP(B92,'De-Para'!A:B,2,0))</f>
        <v>3.9370078740157481</v>
      </c>
      <c r="J92" s="206">
        <f t="shared" si="6"/>
        <v>715.59055118110246</v>
      </c>
      <c r="K92" s="212">
        <f t="shared" si="7"/>
        <v>5.5017605633802822E-3</v>
      </c>
      <c r="L92" s="209">
        <f>VLOOKUP(E92,'Custos Matéria Prima Embalagens'!B:G,6,0)</f>
        <v>19.22</v>
      </c>
      <c r="M92" s="209">
        <f t="shared" si="8"/>
        <v>96.1</v>
      </c>
      <c r="N92" s="209">
        <f t="shared" si="9"/>
        <v>0.13</v>
      </c>
    </row>
    <row r="93" spans="1:14" hidden="1">
      <c r="A93" s="129" t="s">
        <v>1195</v>
      </c>
      <c r="B93" s="129" t="s">
        <v>1196</v>
      </c>
      <c r="C93" s="129" t="s">
        <v>580</v>
      </c>
      <c r="D93" s="129" t="s">
        <v>581</v>
      </c>
      <c r="E93" s="129" t="s">
        <v>1233</v>
      </c>
      <c r="F93" s="129" t="s">
        <v>1234</v>
      </c>
      <c r="G93" s="210">
        <v>1.3</v>
      </c>
      <c r="H93" s="211">
        <f t="shared" si="5"/>
        <v>908.8</v>
      </c>
      <c r="I93" s="207">
        <f>IF(F93="CONCENTRADO SEMI BRILHO",G93/'De-Para'!$B$9,G93/VLOOKUP(B93,'De-Para'!A:B,2,0))</f>
        <v>1.0236220472440944</v>
      </c>
      <c r="J93" s="206">
        <f t="shared" si="6"/>
        <v>715.59055118110246</v>
      </c>
      <c r="K93" s="212">
        <f t="shared" si="7"/>
        <v>1.4304577464788733E-3</v>
      </c>
      <c r="L93" s="209">
        <f>VLOOKUP(E93,'Custos Matéria Prima Embalagens'!B:G,6,0)</f>
        <v>31.93</v>
      </c>
      <c r="M93" s="209">
        <f t="shared" si="8"/>
        <v>41.509</v>
      </c>
      <c r="N93" s="209">
        <f t="shared" si="9"/>
        <v>0.06</v>
      </c>
    </row>
    <row r="94" spans="1:14" hidden="1">
      <c r="A94" s="129" t="s">
        <v>1195</v>
      </c>
      <c r="B94" s="129" t="s">
        <v>1196</v>
      </c>
      <c r="C94" s="129" t="s">
        <v>580</v>
      </c>
      <c r="D94" s="129" t="s">
        <v>581</v>
      </c>
      <c r="E94" s="129" t="s">
        <v>1237</v>
      </c>
      <c r="F94" s="129" t="s">
        <v>1238</v>
      </c>
      <c r="G94" s="210">
        <v>14</v>
      </c>
      <c r="H94" s="211">
        <f t="shared" si="5"/>
        <v>908.8</v>
      </c>
      <c r="I94" s="207">
        <f>IF(F94="CONCENTRADO SEMI BRILHO",G94/'De-Para'!$B$9,G94/VLOOKUP(B94,'De-Para'!A:B,2,0))</f>
        <v>11.023622047244094</v>
      </c>
      <c r="J94" s="206">
        <f t="shared" si="6"/>
        <v>715.59055118110246</v>
      </c>
      <c r="K94" s="212">
        <f t="shared" si="7"/>
        <v>1.5404929577464789E-2</v>
      </c>
      <c r="L94" s="209">
        <f>VLOOKUP(E94,'Custos Matéria Prima Embalagens'!B:G,6,0)</f>
        <v>39</v>
      </c>
      <c r="M94" s="209">
        <f t="shared" si="8"/>
        <v>546</v>
      </c>
      <c r="N94" s="209">
        <f t="shared" si="9"/>
        <v>0.76</v>
      </c>
    </row>
    <row r="95" spans="1:14" hidden="1">
      <c r="A95" s="129" t="s">
        <v>1195</v>
      </c>
      <c r="B95" s="129" t="s">
        <v>1196</v>
      </c>
      <c r="C95" s="129" t="s">
        <v>580</v>
      </c>
      <c r="D95" s="129" t="s">
        <v>581</v>
      </c>
      <c r="E95" s="129" t="s">
        <v>1239</v>
      </c>
      <c r="F95" s="129" t="s">
        <v>1240</v>
      </c>
      <c r="G95" s="210">
        <v>1</v>
      </c>
      <c r="H95" s="211">
        <f t="shared" si="5"/>
        <v>908.8</v>
      </c>
      <c r="I95" s="207">
        <f>IF(F95="CONCENTRADO SEMI BRILHO",G95/'De-Para'!$B$9,G95/VLOOKUP(B95,'De-Para'!A:B,2,0))</f>
        <v>0.78740157480314954</v>
      </c>
      <c r="J95" s="206">
        <f t="shared" si="6"/>
        <v>715.59055118110246</v>
      </c>
      <c r="K95" s="212">
        <f t="shared" si="7"/>
        <v>1.1003521126760564E-3</v>
      </c>
      <c r="L95" s="209">
        <f>VLOOKUP(E95,'Custos Matéria Prima Embalagens'!B:G,6,0)</f>
        <v>21.11</v>
      </c>
      <c r="M95" s="209">
        <f t="shared" si="8"/>
        <v>21.11</v>
      </c>
      <c r="N95" s="209">
        <f t="shared" si="9"/>
        <v>0.03</v>
      </c>
    </row>
    <row r="96" spans="1:14" hidden="1">
      <c r="A96" s="129" t="s">
        <v>1195</v>
      </c>
      <c r="B96" s="129" t="s">
        <v>1196</v>
      </c>
      <c r="C96" s="129" t="s">
        <v>580</v>
      </c>
      <c r="D96" s="129" t="s">
        <v>581</v>
      </c>
      <c r="E96" s="129" t="s">
        <v>1241</v>
      </c>
      <c r="F96" s="129" t="s">
        <v>1242</v>
      </c>
      <c r="G96" s="210">
        <v>0.5</v>
      </c>
      <c r="H96" s="211">
        <f t="shared" si="5"/>
        <v>908.8</v>
      </c>
      <c r="I96" s="207">
        <f>IF(F96="CONCENTRADO SEMI BRILHO",G96/'De-Para'!$B$9,G96/VLOOKUP(B96,'De-Para'!A:B,2,0))</f>
        <v>0.39370078740157477</v>
      </c>
      <c r="J96" s="206">
        <f t="shared" si="6"/>
        <v>715.59055118110246</v>
      </c>
      <c r="K96" s="212">
        <f t="shared" si="7"/>
        <v>5.5017605633802819E-4</v>
      </c>
      <c r="L96" s="209">
        <f>VLOOKUP(E96,'Custos Matéria Prima Embalagens'!B:G,6,0)</f>
        <v>31.25</v>
      </c>
      <c r="M96" s="209">
        <f t="shared" si="8"/>
        <v>15.625</v>
      </c>
      <c r="N96" s="209">
        <f t="shared" si="9"/>
        <v>0.02</v>
      </c>
    </row>
    <row r="97" spans="1:14" hidden="1">
      <c r="A97" s="129" t="s">
        <v>1195</v>
      </c>
      <c r="B97" s="129" t="s">
        <v>1196</v>
      </c>
      <c r="C97" s="129" t="s">
        <v>583</v>
      </c>
      <c r="D97" s="129" t="s">
        <v>1243</v>
      </c>
      <c r="E97" s="129" t="s">
        <v>1197</v>
      </c>
      <c r="F97" s="129" t="s">
        <v>1198</v>
      </c>
      <c r="G97" s="210">
        <v>460</v>
      </c>
      <c r="H97" s="211">
        <f t="shared" si="5"/>
        <v>909.80799999999999</v>
      </c>
      <c r="I97" s="207">
        <f>IF(F97="CONCENTRADO SEMI BRILHO",G97/'De-Para'!$B$9,G97/VLOOKUP(B97,'De-Para'!A:B,2,0))</f>
        <v>362.20472440944883</v>
      </c>
      <c r="J97" s="206">
        <f t="shared" si="6"/>
        <v>716.3842519685038</v>
      </c>
      <c r="K97" s="212">
        <f t="shared" si="7"/>
        <v>0.50560118178780578</v>
      </c>
      <c r="L97" s="209">
        <f>VLOOKUP(E97,'Custos Matéria Prima Embalagens'!B:G,6,0)</f>
        <v>0</v>
      </c>
      <c r="M97" s="209">
        <f t="shared" si="8"/>
        <v>0</v>
      </c>
      <c r="N97" s="209">
        <f t="shared" si="9"/>
        <v>0</v>
      </c>
    </row>
    <row r="98" spans="1:14" hidden="1">
      <c r="A98" s="129" t="s">
        <v>1195</v>
      </c>
      <c r="B98" s="129" t="s">
        <v>1196</v>
      </c>
      <c r="C98" s="129" t="s">
        <v>583</v>
      </c>
      <c r="D98" s="129" t="s">
        <v>1243</v>
      </c>
      <c r="E98" s="129" t="s">
        <v>1201</v>
      </c>
      <c r="F98" s="129" t="s">
        <v>1202</v>
      </c>
      <c r="G98" s="210">
        <v>2.5</v>
      </c>
      <c r="H98" s="211">
        <f t="shared" si="5"/>
        <v>909.80799999999999</v>
      </c>
      <c r="I98" s="207">
        <f>IF(F98="CONCENTRADO SEMI BRILHO",G98/'De-Para'!$B$9,G98/VLOOKUP(B98,'De-Para'!A:B,2,0))</f>
        <v>1.9685039370078741</v>
      </c>
      <c r="J98" s="206">
        <f t="shared" si="6"/>
        <v>716.3842519685038</v>
      </c>
      <c r="K98" s="212">
        <f t="shared" si="7"/>
        <v>2.7478325097163359E-3</v>
      </c>
      <c r="L98" s="209">
        <f>VLOOKUP(E98,'Custos Matéria Prima Embalagens'!B:G,6,0)</f>
        <v>7.18</v>
      </c>
      <c r="M98" s="209">
        <f t="shared" si="8"/>
        <v>17.95</v>
      </c>
      <c r="N98" s="209">
        <f t="shared" si="9"/>
        <v>0.03</v>
      </c>
    </row>
    <row r="99" spans="1:14" hidden="1">
      <c r="A99" s="129" t="s">
        <v>1195</v>
      </c>
      <c r="B99" s="129" t="s">
        <v>1196</v>
      </c>
      <c r="C99" s="129" t="s">
        <v>583</v>
      </c>
      <c r="D99" s="129" t="s">
        <v>1243</v>
      </c>
      <c r="E99" s="129" t="s">
        <v>1203</v>
      </c>
      <c r="F99" s="129" t="s">
        <v>1204</v>
      </c>
      <c r="G99" s="210">
        <v>3</v>
      </c>
      <c r="H99" s="211">
        <f t="shared" si="5"/>
        <v>909.80799999999999</v>
      </c>
      <c r="I99" s="207">
        <f>IF(F99="CONCENTRADO SEMI BRILHO",G99/'De-Para'!$B$9,G99/VLOOKUP(B99,'De-Para'!A:B,2,0))</f>
        <v>2.3622047244094486</v>
      </c>
      <c r="J99" s="206">
        <f t="shared" si="6"/>
        <v>716.3842519685038</v>
      </c>
      <c r="K99" s="212">
        <f t="shared" si="7"/>
        <v>3.2973990116596029E-3</v>
      </c>
      <c r="L99" s="209">
        <f>VLOOKUP(E99,'Custos Matéria Prima Embalagens'!B:G,6,0)</f>
        <v>4.9399999999999995</v>
      </c>
      <c r="M99" s="209">
        <f t="shared" si="8"/>
        <v>14.819999999999999</v>
      </c>
      <c r="N99" s="209">
        <f t="shared" si="9"/>
        <v>0.02</v>
      </c>
    </row>
    <row r="100" spans="1:14" hidden="1">
      <c r="A100" s="129" t="s">
        <v>1195</v>
      </c>
      <c r="B100" s="129" t="s">
        <v>1196</v>
      </c>
      <c r="C100" s="129" t="s">
        <v>583</v>
      </c>
      <c r="D100" s="129" t="s">
        <v>1243</v>
      </c>
      <c r="E100" s="129" t="s">
        <v>1205</v>
      </c>
      <c r="F100" s="129" t="s">
        <v>1206</v>
      </c>
      <c r="G100" s="210">
        <v>2</v>
      </c>
      <c r="H100" s="211">
        <f t="shared" si="5"/>
        <v>909.80799999999999</v>
      </c>
      <c r="I100" s="207">
        <f>IF(F100="CONCENTRADO SEMI BRILHO",G100/'De-Para'!$B$9,G100/VLOOKUP(B100,'De-Para'!A:B,2,0))</f>
        <v>1.5748031496062991</v>
      </c>
      <c r="J100" s="206">
        <f t="shared" si="6"/>
        <v>716.3842519685038</v>
      </c>
      <c r="K100" s="212">
        <f t="shared" si="7"/>
        <v>2.1982660077730686E-3</v>
      </c>
      <c r="L100" s="209">
        <f>VLOOKUP(E100,'Custos Matéria Prima Embalagens'!B:G,6,0)</f>
        <v>7.33</v>
      </c>
      <c r="M100" s="209">
        <f t="shared" si="8"/>
        <v>14.66</v>
      </c>
      <c r="N100" s="209">
        <f t="shared" si="9"/>
        <v>0.02</v>
      </c>
    </row>
    <row r="101" spans="1:14" hidden="1">
      <c r="A101" s="129" t="s">
        <v>1195</v>
      </c>
      <c r="B101" s="129" t="s">
        <v>1196</v>
      </c>
      <c r="C101" s="129" t="s">
        <v>583</v>
      </c>
      <c r="D101" s="129" t="s">
        <v>1243</v>
      </c>
      <c r="E101" s="129" t="s">
        <v>1207</v>
      </c>
      <c r="F101" s="129" t="s">
        <v>1208</v>
      </c>
      <c r="G101" s="210">
        <v>3</v>
      </c>
      <c r="H101" s="211">
        <f t="shared" si="5"/>
        <v>909.80799999999999</v>
      </c>
      <c r="I101" s="207">
        <f>IF(F101="CONCENTRADO SEMI BRILHO",G101/'De-Para'!$B$9,G101/VLOOKUP(B101,'De-Para'!A:B,2,0))</f>
        <v>2.3622047244094486</v>
      </c>
      <c r="J101" s="206">
        <f t="shared" si="6"/>
        <v>716.3842519685038</v>
      </c>
      <c r="K101" s="212">
        <f t="shared" si="7"/>
        <v>3.2973990116596029E-3</v>
      </c>
      <c r="L101" s="209">
        <f>VLOOKUP(E101,'Custos Matéria Prima Embalagens'!B:G,6,0)</f>
        <v>6.8599999999999994</v>
      </c>
      <c r="M101" s="209">
        <f t="shared" si="8"/>
        <v>20.58</v>
      </c>
      <c r="N101" s="209">
        <f t="shared" si="9"/>
        <v>0.03</v>
      </c>
    </row>
    <row r="102" spans="1:14" hidden="1">
      <c r="A102" s="129" t="s">
        <v>1195</v>
      </c>
      <c r="B102" s="129" t="s">
        <v>1196</v>
      </c>
      <c r="C102" s="129" t="s">
        <v>583</v>
      </c>
      <c r="D102" s="129" t="s">
        <v>1243</v>
      </c>
      <c r="E102" s="129" t="s">
        <v>1209</v>
      </c>
      <c r="F102" s="129" t="s">
        <v>1210</v>
      </c>
      <c r="G102" s="210">
        <v>2.5</v>
      </c>
      <c r="H102" s="211">
        <f t="shared" si="5"/>
        <v>909.80799999999999</v>
      </c>
      <c r="I102" s="207">
        <f>IF(F102="CONCENTRADO SEMI BRILHO",G102/'De-Para'!$B$9,G102/VLOOKUP(B102,'De-Para'!A:B,2,0))</f>
        <v>1.9685039370078741</v>
      </c>
      <c r="J102" s="206">
        <f t="shared" si="6"/>
        <v>716.3842519685038</v>
      </c>
      <c r="K102" s="212">
        <f t="shared" si="7"/>
        <v>2.7478325097163359E-3</v>
      </c>
      <c r="L102" s="209">
        <f>VLOOKUP(E102,'Custos Matéria Prima Embalagens'!B:G,6,0)</f>
        <v>7</v>
      </c>
      <c r="M102" s="209">
        <f t="shared" si="8"/>
        <v>17.5</v>
      </c>
      <c r="N102" s="209">
        <f t="shared" si="9"/>
        <v>0.02</v>
      </c>
    </row>
    <row r="103" spans="1:14" hidden="1">
      <c r="A103" s="129" t="s">
        <v>1195</v>
      </c>
      <c r="B103" s="129" t="s">
        <v>1196</v>
      </c>
      <c r="C103" s="129" t="s">
        <v>583</v>
      </c>
      <c r="D103" s="129" t="s">
        <v>1243</v>
      </c>
      <c r="E103" s="129" t="s">
        <v>1215</v>
      </c>
      <c r="F103" s="129" t="s">
        <v>1216</v>
      </c>
      <c r="G103" s="210">
        <v>50</v>
      </c>
      <c r="H103" s="211">
        <f t="shared" si="5"/>
        <v>909.80799999999999</v>
      </c>
      <c r="I103" s="207">
        <f>IF(F103="CONCENTRADO SEMI BRILHO",G103/'De-Para'!$B$9,G103/VLOOKUP(B103,'De-Para'!A:B,2,0))</f>
        <v>39.370078740157481</v>
      </c>
      <c r="J103" s="206">
        <f t="shared" si="6"/>
        <v>716.3842519685038</v>
      </c>
      <c r="K103" s="212">
        <f t="shared" si="7"/>
        <v>5.4956650194326717E-2</v>
      </c>
      <c r="L103" s="209">
        <f>VLOOKUP(E103,'Custos Matéria Prima Embalagens'!B:G,6,0)</f>
        <v>0.8</v>
      </c>
      <c r="M103" s="209">
        <f t="shared" si="8"/>
        <v>40</v>
      </c>
      <c r="N103" s="209">
        <f t="shared" si="9"/>
        <v>0.06</v>
      </c>
    </row>
    <row r="104" spans="1:14" hidden="1">
      <c r="A104" s="129" t="s">
        <v>1195</v>
      </c>
      <c r="B104" s="129" t="s">
        <v>1196</v>
      </c>
      <c r="C104" s="129" t="s">
        <v>583</v>
      </c>
      <c r="D104" s="129" t="s">
        <v>1243</v>
      </c>
      <c r="E104" s="129" t="s">
        <v>1227</v>
      </c>
      <c r="F104" s="129" t="s">
        <v>1228</v>
      </c>
      <c r="G104" s="210">
        <v>325</v>
      </c>
      <c r="H104" s="211">
        <f t="shared" si="5"/>
        <v>909.80799999999999</v>
      </c>
      <c r="I104" s="207">
        <f>IF(F104="CONCENTRADO SEMI BRILHO",G104/'De-Para'!$B$9,G104/VLOOKUP(B104,'De-Para'!A:B,2,0))</f>
        <v>255.90551181102362</v>
      </c>
      <c r="J104" s="206">
        <f t="shared" si="6"/>
        <v>716.3842519685038</v>
      </c>
      <c r="K104" s="212">
        <f t="shared" si="7"/>
        <v>0.35721822626312366</v>
      </c>
      <c r="L104" s="209">
        <f>VLOOKUP(E104,'Custos Matéria Prima Embalagens'!B:G,6,0)</f>
        <v>1.520495555555555</v>
      </c>
      <c r="M104" s="209">
        <f t="shared" si="8"/>
        <v>494.16105555555538</v>
      </c>
      <c r="N104" s="209">
        <f t="shared" si="9"/>
        <v>0.69</v>
      </c>
    </row>
    <row r="105" spans="1:14" hidden="1">
      <c r="A105" s="129" t="s">
        <v>1195</v>
      </c>
      <c r="B105" s="129" t="s">
        <v>1196</v>
      </c>
      <c r="C105" s="129" t="s">
        <v>583</v>
      </c>
      <c r="D105" s="129" t="s">
        <v>1243</v>
      </c>
      <c r="E105" s="129" t="s">
        <v>1217</v>
      </c>
      <c r="F105" s="129" t="s">
        <v>1218</v>
      </c>
      <c r="G105" s="210">
        <v>30</v>
      </c>
      <c r="H105" s="211">
        <f t="shared" si="5"/>
        <v>909.80799999999999</v>
      </c>
      <c r="I105" s="207">
        <f>IF(F105="CONCENTRADO SEMI BRILHO",G105/'De-Para'!$B$9,G105/VLOOKUP(B105,'De-Para'!A:B,2,0))</f>
        <v>23.622047244094489</v>
      </c>
      <c r="J105" s="206">
        <f t="shared" si="6"/>
        <v>716.3842519685038</v>
      </c>
      <c r="K105" s="212">
        <f t="shared" si="7"/>
        <v>3.2973990116596026E-2</v>
      </c>
      <c r="L105" s="209">
        <f>VLOOKUP(E105,'Custos Matéria Prima Embalagens'!B:G,6,0)</f>
        <v>8.43</v>
      </c>
      <c r="M105" s="209">
        <f t="shared" si="8"/>
        <v>252.89999999999998</v>
      </c>
      <c r="N105" s="209">
        <f t="shared" si="9"/>
        <v>0.35</v>
      </c>
    </row>
    <row r="106" spans="1:14" hidden="1">
      <c r="A106" s="129" t="s">
        <v>1195</v>
      </c>
      <c r="B106" s="129" t="s">
        <v>1196</v>
      </c>
      <c r="C106" s="129" t="s">
        <v>583</v>
      </c>
      <c r="D106" s="129" t="s">
        <v>1243</v>
      </c>
      <c r="E106" s="129" t="s">
        <v>1219</v>
      </c>
      <c r="F106" s="129" t="s">
        <v>1220</v>
      </c>
      <c r="G106" s="210">
        <v>3</v>
      </c>
      <c r="H106" s="211">
        <f t="shared" si="5"/>
        <v>909.80799999999999</v>
      </c>
      <c r="I106" s="207">
        <f>IF(F106="CONCENTRADO SEMI BRILHO",G106/'De-Para'!$B$9,G106/VLOOKUP(B106,'De-Para'!A:B,2,0))</f>
        <v>2.3622047244094486</v>
      </c>
      <c r="J106" s="206">
        <f t="shared" si="6"/>
        <v>716.3842519685038</v>
      </c>
      <c r="K106" s="212">
        <f t="shared" si="7"/>
        <v>3.2973990116596029E-3</v>
      </c>
      <c r="L106" s="209">
        <f>VLOOKUP(E106,'Custos Matéria Prima Embalagens'!B:G,6,0)</f>
        <v>4.9800000000000004</v>
      </c>
      <c r="M106" s="209">
        <f t="shared" si="8"/>
        <v>14.940000000000001</v>
      </c>
      <c r="N106" s="209">
        <f t="shared" si="9"/>
        <v>0.02</v>
      </c>
    </row>
    <row r="107" spans="1:14" hidden="1">
      <c r="A107" s="129" t="s">
        <v>1195</v>
      </c>
      <c r="B107" s="129" t="s">
        <v>1196</v>
      </c>
      <c r="C107" s="129" t="s">
        <v>583</v>
      </c>
      <c r="D107" s="129" t="s">
        <v>1243</v>
      </c>
      <c r="E107" s="129" t="s">
        <v>1221</v>
      </c>
      <c r="F107" s="129" t="s">
        <v>1222</v>
      </c>
      <c r="G107" s="210">
        <v>15.5</v>
      </c>
      <c r="H107" s="211">
        <f t="shared" si="5"/>
        <v>909.80799999999999</v>
      </c>
      <c r="I107" s="207">
        <f>IF(F107="CONCENTRADO SEMI BRILHO",G107/'De-Para'!$B$9,G107/VLOOKUP(B107,'De-Para'!A:B,2,0))</f>
        <v>12.204724409448819</v>
      </c>
      <c r="J107" s="206">
        <f t="shared" si="6"/>
        <v>716.3842519685038</v>
      </c>
      <c r="K107" s="212">
        <f t="shared" si="7"/>
        <v>1.7036561560241283E-2</v>
      </c>
      <c r="L107" s="209">
        <f>VLOOKUP(E107,'Custos Matéria Prima Embalagens'!B:G,6,0)</f>
        <v>7.9049999999999994</v>
      </c>
      <c r="M107" s="209">
        <f t="shared" si="8"/>
        <v>122.52749999999999</v>
      </c>
      <c r="N107" s="209">
        <f t="shared" si="9"/>
        <v>0.17</v>
      </c>
    </row>
    <row r="108" spans="1:14" hidden="1">
      <c r="A108" s="129" t="s">
        <v>1195</v>
      </c>
      <c r="B108" s="129" t="s">
        <v>1196</v>
      </c>
      <c r="C108" s="129" t="s">
        <v>583</v>
      </c>
      <c r="D108" s="129" t="s">
        <v>1243</v>
      </c>
      <c r="E108" s="129" t="s">
        <v>1223</v>
      </c>
      <c r="F108" s="129" t="s">
        <v>1224</v>
      </c>
      <c r="G108" s="210">
        <v>7.5</v>
      </c>
      <c r="H108" s="211">
        <f t="shared" si="5"/>
        <v>909.80799999999999</v>
      </c>
      <c r="I108" s="207">
        <f>IF(F108="CONCENTRADO SEMI BRILHO",G108/'De-Para'!$B$9,G108/VLOOKUP(B108,'De-Para'!A:B,2,0))</f>
        <v>5.9055118110236222</v>
      </c>
      <c r="J108" s="206">
        <f t="shared" si="6"/>
        <v>716.3842519685038</v>
      </c>
      <c r="K108" s="212">
        <f t="shared" si="7"/>
        <v>8.2434975291490065E-3</v>
      </c>
      <c r="L108" s="209">
        <f>VLOOKUP(E108,'Custos Matéria Prima Embalagens'!B:G,6,0)</f>
        <v>4.8499999999999996</v>
      </c>
      <c r="M108" s="209">
        <f t="shared" si="8"/>
        <v>36.375</v>
      </c>
      <c r="N108" s="209">
        <f t="shared" si="9"/>
        <v>0.05</v>
      </c>
    </row>
    <row r="109" spans="1:14" hidden="1">
      <c r="A109" s="129" t="s">
        <v>1195</v>
      </c>
      <c r="B109" s="129" t="s">
        <v>1196</v>
      </c>
      <c r="C109" s="129" t="s">
        <v>583</v>
      </c>
      <c r="D109" s="129" t="s">
        <v>1243</v>
      </c>
      <c r="E109" s="129" t="s">
        <v>1229</v>
      </c>
      <c r="F109" s="129" t="s">
        <v>1230</v>
      </c>
      <c r="G109" s="210">
        <v>5</v>
      </c>
      <c r="H109" s="211">
        <f t="shared" si="5"/>
        <v>909.80799999999999</v>
      </c>
      <c r="I109" s="207">
        <f>IF(F109="CONCENTRADO SEMI BRILHO",G109/'De-Para'!$B$9,G109/VLOOKUP(B109,'De-Para'!A:B,2,0))</f>
        <v>3.9370078740157481</v>
      </c>
      <c r="J109" s="206">
        <f t="shared" si="6"/>
        <v>716.3842519685038</v>
      </c>
      <c r="K109" s="212">
        <f t="shared" si="7"/>
        <v>5.4956650194326719E-3</v>
      </c>
      <c r="L109" s="209">
        <f>VLOOKUP(E109,'Custos Matéria Prima Embalagens'!B:G,6,0)</f>
        <v>19.22</v>
      </c>
      <c r="M109" s="209">
        <f t="shared" si="8"/>
        <v>96.1</v>
      </c>
      <c r="N109" s="209">
        <f t="shared" si="9"/>
        <v>0.13</v>
      </c>
    </row>
    <row r="110" spans="1:14" hidden="1">
      <c r="A110" s="129" t="s">
        <v>1195</v>
      </c>
      <c r="B110" s="129" t="s">
        <v>1196</v>
      </c>
      <c r="C110" s="129" t="s">
        <v>583</v>
      </c>
      <c r="D110" s="129" t="s">
        <v>1243</v>
      </c>
      <c r="E110" s="129" t="s">
        <v>1241</v>
      </c>
      <c r="F110" s="129" t="s">
        <v>1242</v>
      </c>
      <c r="G110" s="210">
        <v>0.8</v>
      </c>
      <c r="H110" s="211">
        <f t="shared" si="5"/>
        <v>909.80799999999999</v>
      </c>
      <c r="I110" s="207">
        <f>IF(F110="CONCENTRADO SEMI BRILHO",G110/'De-Para'!$B$9,G110/VLOOKUP(B110,'De-Para'!A:B,2,0))</f>
        <v>0.62992125984251968</v>
      </c>
      <c r="J110" s="206">
        <f t="shared" si="6"/>
        <v>716.3842519685038</v>
      </c>
      <c r="K110" s="212">
        <f t="shared" si="7"/>
        <v>8.7930640310922748E-4</v>
      </c>
      <c r="L110" s="209">
        <f>VLOOKUP(E110,'Custos Matéria Prima Embalagens'!B:G,6,0)</f>
        <v>31.25</v>
      </c>
      <c r="M110" s="209">
        <f t="shared" si="8"/>
        <v>25</v>
      </c>
      <c r="N110" s="209">
        <f t="shared" si="9"/>
        <v>0.03</v>
      </c>
    </row>
    <row r="111" spans="1:14" hidden="1">
      <c r="A111" s="129" t="s">
        <v>1195</v>
      </c>
      <c r="B111" s="129" t="s">
        <v>1196</v>
      </c>
      <c r="C111" s="129" t="s">
        <v>583</v>
      </c>
      <c r="D111" s="129" t="s">
        <v>1243</v>
      </c>
      <c r="E111" s="129" t="s">
        <v>1237</v>
      </c>
      <c r="F111" s="129" t="s">
        <v>1238</v>
      </c>
      <c r="G111" s="210">
        <v>8.0000000000000002E-3</v>
      </c>
      <c r="H111" s="211">
        <f t="shared" si="5"/>
        <v>909.80799999999999</v>
      </c>
      <c r="I111" s="207">
        <f>IF(F111="CONCENTRADO SEMI BRILHO",G111/'De-Para'!$B$9,G111/VLOOKUP(B111,'De-Para'!A:B,2,0))</f>
        <v>6.2992125984251968E-3</v>
      </c>
      <c r="J111" s="206">
        <f t="shared" si="6"/>
        <v>716.3842519685038</v>
      </c>
      <c r="K111" s="212">
        <f t="shared" si="7"/>
        <v>8.7930640310922743E-6</v>
      </c>
      <c r="L111" s="209">
        <f>VLOOKUP(E111,'Custos Matéria Prima Embalagens'!B:G,6,0)</f>
        <v>39</v>
      </c>
      <c r="M111" s="209">
        <f t="shared" si="8"/>
        <v>0.312</v>
      </c>
      <c r="N111" s="209">
        <f t="shared" si="9"/>
        <v>0</v>
      </c>
    </row>
    <row r="112" spans="1:14" hidden="1">
      <c r="A112" s="129" t="s">
        <v>1195</v>
      </c>
      <c r="B112" s="129" t="s">
        <v>1196</v>
      </c>
      <c r="C112" s="129" t="s">
        <v>586</v>
      </c>
      <c r="D112" s="129" t="s">
        <v>587</v>
      </c>
      <c r="E112" s="129" t="s">
        <v>1197</v>
      </c>
      <c r="F112" s="129" t="s">
        <v>1198</v>
      </c>
      <c r="G112" s="210">
        <v>460</v>
      </c>
      <c r="H112" s="211">
        <f t="shared" si="5"/>
        <v>922.8</v>
      </c>
      <c r="I112" s="207">
        <f>IF(F112="CONCENTRADO SEMI BRILHO",G112/'De-Para'!$B$9,G112/VLOOKUP(B112,'De-Para'!A:B,2,0))</f>
        <v>362.20472440944883</v>
      </c>
      <c r="J112" s="206">
        <f t="shared" si="6"/>
        <v>726.61417322834643</v>
      </c>
      <c r="K112" s="212">
        <f t="shared" si="7"/>
        <v>0.49848287819679238</v>
      </c>
      <c r="L112" s="209">
        <f>VLOOKUP(E112,'Custos Matéria Prima Embalagens'!B:G,6,0)</f>
        <v>0</v>
      </c>
      <c r="M112" s="209">
        <f t="shared" si="8"/>
        <v>0</v>
      </c>
      <c r="N112" s="209">
        <f t="shared" si="9"/>
        <v>0</v>
      </c>
    </row>
    <row r="113" spans="1:14" hidden="1">
      <c r="A113" s="129" t="s">
        <v>1195</v>
      </c>
      <c r="B113" s="129" t="s">
        <v>1196</v>
      </c>
      <c r="C113" s="129" t="s">
        <v>586</v>
      </c>
      <c r="D113" s="129" t="s">
        <v>587</v>
      </c>
      <c r="E113" s="129" t="s">
        <v>1201</v>
      </c>
      <c r="F113" s="129" t="s">
        <v>1202</v>
      </c>
      <c r="G113" s="210">
        <v>2.5</v>
      </c>
      <c r="H113" s="211">
        <f t="shared" si="5"/>
        <v>922.8</v>
      </c>
      <c r="I113" s="207">
        <f>IF(F113="CONCENTRADO SEMI BRILHO",G113/'De-Para'!$B$9,G113/VLOOKUP(B113,'De-Para'!A:B,2,0))</f>
        <v>1.9685039370078741</v>
      </c>
      <c r="J113" s="206">
        <f t="shared" si="6"/>
        <v>726.61417322834643</v>
      </c>
      <c r="K113" s="212">
        <f t="shared" si="7"/>
        <v>2.7091460771564804E-3</v>
      </c>
      <c r="L113" s="209">
        <f>VLOOKUP(E113,'Custos Matéria Prima Embalagens'!B:G,6,0)</f>
        <v>7.18</v>
      </c>
      <c r="M113" s="209">
        <f t="shared" si="8"/>
        <v>17.95</v>
      </c>
      <c r="N113" s="209">
        <f t="shared" si="9"/>
        <v>0.02</v>
      </c>
    </row>
    <row r="114" spans="1:14" hidden="1">
      <c r="A114" s="129" t="s">
        <v>1195</v>
      </c>
      <c r="B114" s="129" t="s">
        <v>1196</v>
      </c>
      <c r="C114" s="129" t="s">
        <v>586</v>
      </c>
      <c r="D114" s="129" t="s">
        <v>587</v>
      </c>
      <c r="E114" s="129" t="s">
        <v>1203</v>
      </c>
      <c r="F114" s="129" t="s">
        <v>1204</v>
      </c>
      <c r="G114" s="210">
        <v>3</v>
      </c>
      <c r="H114" s="211">
        <f t="shared" si="5"/>
        <v>922.8</v>
      </c>
      <c r="I114" s="207">
        <f>IF(F114="CONCENTRADO SEMI BRILHO",G114/'De-Para'!$B$9,G114/VLOOKUP(B114,'De-Para'!A:B,2,0))</f>
        <v>2.3622047244094486</v>
      </c>
      <c r="J114" s="206">
        <f t="shared" si="6"/>
        <v>726.61417322834643</v>
      </c>
      <c r="K114" s="212">
        <f t="shared" si="7"/>
        <v>3.2509752925877766E-3</v>
      </c>
      <c r="L114" s="209">
        <f>VLOOKUP(E114,'Custos Matéria Prima Embalagens'!B:G,6,0)</f>
        <v>4.9399999999999995</v>
      </c>
      <c r="M114" s="209">
        <f t="shared" si="8"/>
        <v>14.819999999999999</v>
      </c>
      <c r="N114" s="209">
        <f t="shared" si="9"/>
        <v>0.02</v>
      </c>
    </row>
    <row r="115" spans="1:14" hidden="1">
      <c r="A115" s="129" t="s">
        <v>1195</v>
      </c>
      <c r="B115" s="129" t="s">
        <v>1196</v>
      </c>
      <c r="C115" s="129" t="s">
        <v>586</v>
      </c>
      <c r="D115" s="129" t="s">
        <v>587</v>
      </c>
      <c r="E115" s="129" t="s">
        <v>1205</v>
      </c>
      <c r="F115" s="129" t="s">
        <v>1206</v>
      </c>
      <c r="G115" s="210">
        <v>2</v>
      </c>
      <c r="H115" s="211">
        <f t="shared" si="5"/>
        <v>922.8</v>
      </c>
      <c r="I115" s="207">
        <f>IF(F115="CONCENTRADO SEMI BRILHO",G115/'De-Para'!$B$9,G115/VLOOKUP(B115,'De-Para'!A:B,2,0))</f>
        <v>1.5748031496062991</v>
      </c>
      <c r="J115" s="206">
        <f t="shared" si="6"/>
        <v>726.61417322834643</v>
      </c>
      <c r="K115" s="212">
        <f t="shared" si="7"/>
        <v>2.1673168617251841E-3</v>
      </c>
      <c r="L115" s="209">
        <f>VLOOKUP(E115,'Custos Matéria Prima Embalagens'!B:G,6,0)</f>
        <v>7.33</v>
      </c>
      <c r="M115" s="209">
        <f t="shared" si="8"/>
        <v>14.66</v>
      </c>
      <c r="N115" s="209">
        <f t="shared" si="9"/>
        <v>0.02</v>
      </c>
    </row>
    <row r="116" spans="1:14" hidden="1">
      <c r="A116" s="129" t="s">
        <v>1195</v>
      </c>
      <c r="B116" s="129" t="s">
        <v>1196</v>
      </c>
      <c r="C116" s="129" t="s">
        <v>586</v>
      </c>
      <c r="D116" s="129" t="s">
        <v>587</v>
      </c>
      <c r="E116" s="129" t="s">
        <v>1207</v>
      </c>
      <c r="F116" s="129" t="s">
        <v>1208</v>
      </c>
      <c r="G116" s="210">
        <v>3</v>
      </c>
      <c r="H116" s="211">
        <f t="shared" si="5"/>
        <v>922.8</v>
      </c>
      <c r="I116" s="207">
        <f>IF(F116="CONCENTRADO SEMI BRILHO",G116/'De-Para'!$B$9,G116/VLOOKUP(B116,'De-Para'!A:B,2,0))</f>
        <v>2.3622047244094486</v>
      </c>
      <c r="J116" s="206">
        <f t="shared" si="6"/>
        <v>726.61417322834643</v>
      </c>
      <c r="K116" s="212">
        <f t="shared" si="7"/>
        <v>3.2509752925877766E-3</v>
      </c>
      <c r="L116" s="209">
        <f>VLOOKUP(E116,'Custos Matéria Prima Embalagens'!B:G,6,0)</f>
        <v>6.8599999999999994</v>
      </c>
      <c r="M116" s="209">
        <f t="shared" si="8"/>
        <v>20.58</v>
      </c>
      <c r="N116" s="209">
        <f t="shared" si="9"/>
        <v>0.03</v>
      </c>
    </row>
    <row r="117" spans="1:14" hidden="1">
      <c r="A117" s="129" t="s">
        <v>1195</v>
      </c>
      <c r="B117" s="129" t="s">
        <v>1196</v>
      </c>
      <c r="C117" s="129" t="s">
        <v>586</v>
      </c>
      <c r="D117" s="129" t="s">
        <v>587</v>
      </c>
      <c r="E117" s="129" t="s">
        <v>1209</v>
      </c>
      <c r="F117" s="129" t="s">
        <v>1210</v>
      </c>
      <c r="G117" s="210">
        <v>2.5</v>
      </c>
      <c r="H117" s="211">
        <f t="shared" si="5"/>
        <v>922.8</v>
      </c>
      <c r="I117" s="207">
        <f>IF(F117="CONCENTRADO SEMI BRILHO",G117/'De-Para'!$B$9,G117/VLOOKUP(B117,'De-Para'!A:B,2,0))</f>
        <v>1.9685039370078741</v>
      </c>
      <c r="J117" s="206">
        <f t="shared" si="6"/>
        <v>726.61417322834643</v>
      </c>
      <c r="K117" s="212">
        <f t="shared" si="7"/>
        <v>2.7091460771564804E-3</v>
      </c>
      <c r="L117" s="209">
        <f>VLOOKUP(E117,'Custos Matéria Prima Embalagens'!B:G,6,0)</f>
        <v>7</v>
      </c>
      <c r="M117" s="209">
        <f t="shared" si="8"/>
        <v>17.5</v>
      </c>
      <c r="N117" s="209">
        <f t="shared" si="9"/>
        <v>0.02</v>
      </c>
    </row>
    <row r="118" spans="1:14" hidden="1">
      <c r="A118" s="129" t="s">
        <v>1195</v>
      </c>
      <c r="B118" s="129" t="s">
        <v>1196</v>
      </c>
      <c r="C118" s="129" t="s">
        <v>586</v>
      </c>
      <c r="D118" s="129" t="s">
        <v>587</v>
      </c>
      <c r="E118" s="129" t="s">
        <v>1215</v>
      </c>
      <c r="F118" s="129" t="s">
        <v>1216</v>
      </c>
      <c r="G118" s="210">
        <v>50</v>
      </c>
      <c r="H118" s="211">
        <f t="shared" si="5"/>
        <v>922.8</v>
      </c>
      <c r="I118" s="207">
        <f>IF(F118="CONCENTRADO SEMI BRILHO",G118/'De-Para'!$B$9,G118/VLOOKUP(B118,'De-Para'!A:B,2,0))</f>
        <v>39.370078740157481</v>
      </c>
      <c r="J118" s="206">
        <f t="shared" si="6"/>
        <v>726.61417322834643</v>
      </c>
      <c r="K118" s="212">
        <f t="shared" si="7"/>
        <v>5.4182921543129606E-2</v>
      </c>
      <c r="L118" s="209">
        <f>VLOOKUP(E118,'Custos Matéria Prima Embalagens'!B:G,6,0)</f>
        <v>0.8</v>
      </c>
      <c r="M118" s="209">
        <f t="shared" si="8"/>
        <v>40</v>
      </c>
      <c r="N118" s="209">
        <f t="shared" si="9"/>
        <v>0.06</v>
      </c>
    </row>
    <row r="119" spans="1:14" hidden="1">
      <c r="A119" s="129" t="s">
        <v>1195</v>
      </c>
      <c r="B119" s="129" t="s">
        <v>1196</v>
      </c>
      <c r="C119" s="129" t="s">
        <v>586</v>
      </c>
      <c r="D119" s="129" t="s">
        <v>587</v>
      </c>
      <c r="E119" s="129" t="s">
        <v>1227</v>
      </c>
      <c r="F119" s="129" t="s">
        <v>1228</v>
      </c>
      <c r="G119" s="210">
        <v>325</v>
      </c>
      <c r="H119" s="211">
        <f t="shared" si="5"/>
        <v>922.8</v>
      </c>
      <c r="I119" s="207">
        <f>IF(F119="CONCENTRADO SEMI BRILHO",G119/'De-Para'!$B$9,G119/VLOOKUP(B119,'De-Para'!A:B,2,0))</f>
        <v>255.90551181102362</v>
      </c>
      <c r="J119" s="206">
        <f t="shared" si="6"/>
        <v>726.61417322834643</v>
      </c>
      <c r="K119" s="212">
        <f t="shared" si="7"/>
        <v>0.35218899003034243</v>
      </c>
      <c r="L119" s="209">
        <f>VLOOKUP(E119,'Custos Matéria Prima Embalagens'!B:G,6,0)</f>
        <v>1.520495555555555</v>
      </c>
      <c r="M119" s="209">
        <f t="shared" si="8"/>
        <v>494.16105555555538</v>
      </c>
      <c r="N119" s="209">
        <f t="shared" si="9"/>
        <v>0.68</v>
      </c>
    </row>
    <row r="120" spans="1:14" hidden="1">
      <c r="A120" s="129" t="s">
        <v>1195</v>
      </c>
      <c r="B120" s="129" t="s">
        <v>1196</v>
      </c>
      <c r="C120" s="129" t="s">
        <v>586</v>
      </c>
      <c r="D120" s="129" t="s">
        <v>587</v>
      </c>
      <c r="E120" s="129" t="s">
        <v>1217</v>
      </c>
      <c r="F120" s="129" t="s">
        <v>1218</v>
      </c>
      <c r="G120" s="210">
        <v>35</v>
      </c>
      <c r="H120" s="211">
        <f t="shared" si="5"/>
        <v>922.8</v>
      </c>
      <c r="I120" s="207">
        <f>IF(F120="CONCENTRADO SEMI BRILHO",G120/'De-Para'!$B$9,G120/VLOOKUP(B120,'De-Para'!A:B,2,0))</f>
        <v>27.559055118110237</v>
      </c>
      <c r="J120" s="206">
        <f t="shared" si="6"/>
        <v>726.61417322834643</v>
      </c>
      <c r="K120" s="212">
        <f t="shared" si="7"/>
        <v>3.7928045080190723E-2</v>
      </c>
      <c r="L120" s="209">
        <f>VLOOKUP(E120,'Custos Matéria Prima Embalagens'!B:G,6,0)</f>
        <v>8.43</v>
      </c>
      <c r="M120" s="209">
        <f t="shared" si="8"/>
        <v>295.05</v>
      </c>
      <c r="N120" s="209">
        <f t="shared" si="9"/>
        <v>0.41</v>
      </c>
    </row>
    <row r="121" spans="1:14" hidden="1">
      <c r="A121" s="129" t="s">
        <v>1195</v>
      </c>
      <c r="B121" s="129" t="s">
        <v>1196</v>
      </c>
      <c r="C121" s="129" t="s">
        <v>586</v>
      </c>
      <c r="D121" s="129" t="s">
        <v>587</v>
      </c>
      <c r="E121" s="129" t="s">
        <v>1219</v>
      </c>
      <c r="F121" s="129" t="s">
        <v>1220</v>
      </c>
      <c r="G121" s="210">
        <v>3</v>
      </c>
      <c r="H121" s="211">
        <f t="shared" si="5"/>
        <v>922.8</v>
      </c>
      <c r="I121" s="207">
        <f>IF(F121="CONCENTRADO SEMI BRILHO",G121/'De-Para'!$B$9,G121/VLOOKUP(B121,'De-Para'!A:B,2,0))</f>
        <v>2.3622047244094486</v>
      </c>
      <c r="J121" s="206">
        <f t="shared" si="6"/>
        <v>726.61417322834643</v>
      </c>
      <c r="K121" s="212">
        <f t="shared" si="7"/>
        <v>3.2509752925877766E-3</v>
      </c>
      <c r="L121" s="209">
        <f>VLOOKUP(E121,'Custos Matéria Prima Embalagens'!B:G,6,0)</f>
        <v>4.9800000000000004</v>
      </c>
      <c r="M121" s="209">
        <f t="shared" si="8"/>
        <v>14.940000000000001</v>
      </c>
      <c r="N121" s="209">
        <f t="shared" si="9"/>
        <v>0.02</v>
      </c>
    </row>
    <row r="122" spans="1:14" hidden="1">
      <c r="A122" s="129" t="s">
        <v>1195</v>
      </c>
      <c r="B122" s="129" t="s">
        <v>1196</v>
      </c>
      <c r="C122" s="129" t="s">
        <v>586</v>
      </c>
      <c r="D122" s="129" t="s">
        <v>587</v>
      </c>
      <c r="E122" s="129" t="s">
        <v>1221</v>
      </c>
      <c r="F122" s="129" t="s">
        <v>1222</v>
      </c>
      <c r="G122" s="210">
        <v>15.5</v>
      </c>
      <c r="H122" s="211">
        <f t="shared" si="5"/>
        <v>922.8</v>
      </c>
      <c r="I122" s="207">
        <f>IF(F122="CONCENTRADO SEMI BRILHO",G122/'De-Para'!$B$9,G122/VLOOKUP(B122,'De-Para'!A:B,2,0))</f>
        <v>12.204724409448819</v>
      </c>
      <c r="J122" s="206">
        <f t="shared" si="6"/>
        <v>726.61417322834643</v>
      </c>
      <c r="K122" s="212">
        <f t="shared" si="7"/>
        <v>1.6796705678370178E-2</v>
      </c>
      <c r="L122" s="209">
        <f>VLOOKUP(E122,'Custos Matéria Prima Embalagens'!B:G,6,0)</f>
        <v>7.9049999999999994</v>
      </c>
      <c r="M122" s="209">
        <f t="shared" si="8"/>
        <v>122.52749999999999</v>
      </c>
      <c r="N122" s="209">
        <f t="shared" si="9"/>
        <v>0.17</v>
      </c>
    </row>
    <row r="123" spans="1:14" hidden="1">
      <c r="A123" s="129" t="s">
        <v>1195</v>
      </c>
      <c r="B123" s="129" t="s">
        <v>1196</v>
      </c>
      <c r="C123" s="129" t="s">
        <v>586</v>
      </c>
      <c r="D123" s="129" t="s">
        <v>587</v>
      </c>
      <c r="E123" s="129" t="s">
        <v>1223</v>
      </c>
      <c r="F123" s="129" t="s">
        <v>1224</v>
      </c>
      <c r="G123" s="210">
        <v>7.5</v>
      </c>
      <c r="H123" s="211">
        <f t="shared" si="5"/>
        <v>922.8</v>
      </c>
      <c r="I123" s="207">
        <f>IF(F123="CONCENTRADO SEMI BRILHO",G123/'De-Para'!$B$9,G123/VLOOKUP(B123,'De-Para'!A:B,2,0))</f>
        <v>5.9055118110236222</v>
      </c>
      <c r="J123" s="206">
        <f t="shared" si="6"/>
        <v>726.61417322834643</v>
      </c>
      <c r="K123" s="212">
        <f t="shared" si="7"/>
        <v>8.1274382314694416E-3</v>
      </c>
      <c r="L123" s="209">
        <f>VLOOKUP(E123,'Custos Matéria Prima Embalagens'!B:G,6,0)</f>
        <v>4.8499999999999996</v>
      </c>
      <c r="M123" s="209">
        <f t="shared" si="8"/>
        <v>36.375</v>
      </c>
      <c r="N123" s="209">
        <f t="shared" si="9"/>
        <v>0.05</v>
      </c>
    </row>
    <row r="124" spans="1:14" hidden="1">
      <c r="A124" s="129" t="s">
        <v>1195</v>
      </c>
      <c r="B124" s="129" t="s">
        <v>1196</v>
      </c>
      <c r="C124" s="129" t="s">
        <v>586</v>
      </c>
      <c r="D124" s="129" t="s">
        <v>587</v>
      </c>
      <c r="E124" s="129" t="s">
        <v>1229</v>
      </c>
      <c r="F124" s="129" t="s">
        <v>1230</v>
      </c>
      <c r="G124" s="210">
        <v>5</v>
      </c>
      <c r="H124" s="211">
        <f t="shared" si="5"/>
        <v>922.8</v>
      </c>
      <c r="I124" s="207">
        <f>IF(F124="CONCENTRADO SEMI BRILHO",G124/'De-Para'!$B$9,G124/VLOOKUP(B124,'De-Para'!A:B,2,0))</f>
        <v>3.9370078740157481</v>
      </c>
      <c r="J124" s="206">
        <f t="shared" si="6"/>
        <v>726.61417322834643</v>
      </c>
      <c r="K124" s="212">
        <f t="shared" si="7"/>
        <v>5.4182921543129607E-3</v>
      </c>
      <c r="L124" s="209">
        <f>VLOOKUP(E124,'Custos Matéria Prima Embalagens'!B:G,6,0)</f>
        <v>19.22</v>
      </c>
      <c r="M124" s="209">
        <f t="shared" si="8"/>
        <v>96.1</v>
      </c>
      <c r="N124" s="209">
        <f t="shared" si="9"/>
        <v>0.13</v>
      </c>
    </row>
    <row r="125" spans="1:14" hidden="1">
      <c r="A125" s="129" t="s">
        <v>1195</v>
      </c>
      <c r="B125" s="129" t="s">
        <v>1196</v>
      </c>
      <c r="C125" s="129" t="s">
        <v>586</v>
      </c>
      <c r="D125" s="129" t="s">
        <v>587</v>
      </c>
      <c r="E125" s="129" t="s">
        <v>1241</v>
      </c>
      <c r="F125" s="129" t="s">
        <v>1242</v>
      </c>
      <c r="G125" s="210">
        <v>8</v>
      </c>
      <c r="H125" s="211">
        <f t="shared" si="5"/>
        <v>922.8</v>
      </c>
      <c r="I125" s="207">
        <f>IF(F125="CONCENTRADO SEMI BRILHO",G125/'De-Para'!$B$9,G125/VLOOKUP(B125,'De-Para'!A:B,2,0))</f>
        <v>6.2992125984251963</v>
      </c>
      <c r="J125" s="206">
        <f t="shared" si="6"/>
        <v>726.61417322834643</v>
      </c>
      <c r="K125" s="212">
        <f t="shared" si="7"/>
        <v>8.6692674469007365E-3</v>
      </c>
      <c r="L125" s="209">
        <f>VLOOKUP(E125,'Custos Matéria Prima Embalagens'!B:G,6,0)</f>
        <v>31.25</v>
      </c>
      <c r="M125" s="209">
        <f t="shared" si="8"/>
        <v>250</v>
      </c>
      <c r="N125" s="209">
        <f t="shared" si="9"/>
        <v>0.34</v>
      </c>
    </row>
    <row r="126" spans="1:14" hidden="1">
      <c r="A126" s="129" t="s">
        <v>1195</v>
      </c>
      <c r="B126" s="129" t="s">
        <v>1196</v>
      </c>
      <c r="C126" s="129" t="s">
        <v>586</v>
      </c>
      <c r="D126" s="129" t="s">
        <v>587</v>
      </c>
      <c r="E126" s="129" t="s">
        <v>1244</v>
      </c>
      <c r="F126" s="129" t="s">
        <v>1245</v>
      </c>
      <c r="G126" s="210">
        <v>0.8</v>
      </c>
      <c r="H126" s="211">
        <f t="shared" si="5"/>
        <v>922.8</v>
      </c>
      <c r="I126" s="207">
        <f>IF(F126="CONCENTRADO SEMI BRILHO",G126/'De-Para'!$B$9,G126/VLOOKUP(B126,'De-Para'!A:B,2,0))</f>
        <v>0.62992125984251968</v>
      </c>
      <c r="J126" s="206">
        <f t="shared" si="6"/>
        <v>726.61417322834643</v>
      </c>
      <c r="K126" s="212">
        <f t="shared" si="7"/>
        <v>8.6692674469007378E-4</v>
      </c>
      <c r="L126" s="209">
        <f>VLOOKUP(E126,'Custos Matéria Prima Embalagens'!B:G,6,0)</f>
        <v>40.33</v>
      </c>
      <c r="M126" s="209">
        <f t="shared" si="8"/>
        <v>32.264000000000003</v>
      </c>
      <c r="N126" s="209">
        <f t="shared" si="9"/>
        <v>0.04</v>
      </c>
    </row>
    <row r="127" spans="1:14" hidden="1">
      <c r="A127" s="129" t="s">
        <v>1195</v>
      </c>
      <c r="B127" s="129" t="s">
        <v>1196</v>
      </c>
      <c r="C127" s="129" t="s">
        <v>589</v>
      </c>
      <c r="D127" s="129" t="s">
        <v>1246</v>
      </c>
      <c r="E127" s="129" t="s">
        <v>1197</v>
      </c>
      <c r="F127" s="129" t="s">
        <v>1198</v>
      </c>
      <c r="G127" s="210">
        <v>460</v>
      </c>
      <c r="H127" s="211">
        <f t="shared" si="5"/>
        <v>913</v>
      </c>
      <c r="I127" s="207">
        <f>IF(F127="CONCENTRADO SEMI BRILHO",G127/'De-Para'!$B$9,G127/VLOOKUP(B127,'De-Para'!A:B,2,0))</f>
        <v>362.20472440944883</v>
      </c>
      <c r="J127" s="206">
        <f t="shared" si="6"/>
        <v>718.8976377952755</v>
      </c>
      <c r="K127" s="212">
        <f t="shared" si="7"/>
        <v>0.50383351588170866</v>
      </c>
      <c r="L127" s="209">
        <f>VLOOKUP(E127,'Custos Matéria Prima Embalagens'!B:G,6,0)</f>
        <v>0</v>
      </c>
      <c r="M127" s="209">
        <f t="shared" si="8"/>
        <v>0</v>
      </c>
      <c r="N127" s="209">
        <f t="shared" si="9"/>
        <v>0</v>
      </c>
    </row>
    <row r="128" spans="1:14" hidden="1">
      <c r="A128" s="129" t="s">
        <v>1195</v>
      </c>
      <c r="B128" s="129" t="s">
        <v>1196</v>
      </c>
      <c r="C128" s="129" t="s">
        <v>589</v>
      </c>
      <c r="D128" s="129" t="s">
        <v>1246</v>
      </c>
      <c r="E128" s="129" t="s">
        <v>1201</v>
      </c>
      <c r="F128" s="129" t="s">
        <v>1202</v>
      </c>
      <c r="G128" s="210">
        <v>2.5</v>
      </c>
      <c r="H128" s="211">
        <f t="shared" si="5"/>
        <v>913</v>
      </c>
      <c r="I128" s="207">
        <f>IF(F128="CONCENTRADO SEMI BRILHO",G128/'De-Para'!$B$9,G128/VLOOKUP(B128,'De-Para'!A:B,2,0))</f>
        <v>1.9685039370078741</v>
      </c>
      <c r="J128" s="206">
        <f t="shared" si="6"/>
        <v>718.8976377952755</v>
      </c>
      <c r="K128" s="212">
        <f t="shared" si="7"/>
        <v>2.7382256297918948E-3</v>
      </c>
      <c r="L128" s="209">
        <f>VLOOKUP(E128,'Custos Matéria Prima Embalagens'!B:G,6,0)</f>
        <v>7.18</v>
      </c>
      <c r="M128" s="209">
        <f t="shared" si="8"/>
        <v>17.95</v>
      </c>
      <c r="N128" s="209">
        <f t="shared" si="9"/>
        <v>0.02</v>
      </c>
    </row>
    <row r="129" spans="1:14" hidden="1">
      <c r="A129" s="129" t="s">
        <v>1195</v>
      </c>
      <c r="B129" s="129" t="s">
        <v>1196</v>
      </c>
      <c r="C129" s="129" t="s">
        <v>589</v>
      </c>
      <c r="D129" s="129" t="s">
        <v>1246</v>
      </c>
      <c r="E129" s="129" t="s">
        <v>1203</v>
      </c>
      <c r="F129" s="129" t="s">
        <v>1204</v>
      </c>
      <c r="G129" s="210">
        <v>3</v>
      </c>
      <c r="H129" s="211">
        <f t="shared" si="5"/>
        <v>913</v>
      </c>
      <c r="I129" s="207">
        <f>IF(F129="CONCENTRADO SEMI BRILHO",G129/'De-Para'!$B$9,G129/VLOOKUP(B129,'De-Para'!A:B,2,0))</f>
        <v>2.3622047244094486</v>
      </c>
      <c r="J129" s="206">
        <f t="shared" si="6"/>
        <v>718.8976377952755</v>
      </c>
      <c r="K129" s="212">
        <f t="shared" si="7"/>
        <v>3.2858707557502738E-3</v>
      </c>
      <c r="L129" s="209">
        <f>VLOOKUP(E129,'Custos Matéria Prima Embalagens'!B:G,6,0)</f>
        <v>4.9399999999999995</v>
      </c>
      <c r="M129" s="209">
        <f t="shared" si="8"/>
        <v>14.819999999999999</v>
      </c>
      <c r="N129" s="209">
        <f t="shared" si="9"/>
        <v>0.02</v>
      </c>
    </row>
    <row r="130" spans="1:14" hidden="1">
      <c r="A130" s="129" t="s">
        <v>1195</v>
      </c>
      <c r="B130" s="129" t="s">
        <v>1196</v>
      </c>
      <c r="C130" s="129" t="s">
        <v>589</v>
      </c>
      <c r="D130" s="129" t="s">
        <v>1246</v>
      </c>
      <c r="E130" s="129" t="s">
        <v>1205</v>
      </c>
      <c r="F130" s="129" t="s">
        <v>1206</v>
      </c>
      <c r="G130" s="210">
        <v>2</v>
      </c>
      <c r="H130" s="211">
        <f t="shared" si="5"/>
        <v>913</v>
      </c>
      <c r="I130" s="207">
        <f>IF(F130="CONCENTRADO SEMI BRILHO",G130/'De-Para'!$B$9,G130/VLOOKUP(B130,'De-Para'!A:B,2,0))</f>
        <v>1.5748031496062991</v>
      </c>
      <c r="J130" s="206">
        <f t="shared" si="6"/>
        <v>718.8976377952755</v>
      </c>
      <c r="K130" s="212">
        <f t="shared" si="7"/>
        <v>2.1905805038335158E-3</v>
      </c>
      <c r="L130" s="209">
        <f>VLOOKUP(E130,'Custos Matéria Prima Embalagens'!B:G,6,0)</f>
        <v>7.33</v>
      </c>
      <c r="M130" s="209">
        <f t="shared" si="8"/>
        <v>14.66</v>
      </c>
      <c r="N130" s="209">
        <f t="shared" si="9"/>
        <v>0.02</v>
      </c>
    </row>
    <row r="131" spans="1:14" hidden="1">
      <c r="A131" s="129" t="s">
        <v>1195</v>
      </c>
      <c r="B131" s="129" t="s">
        <v>1196</v>
      </c>
      <c r="C131" s="129" t="s">
        <v>589</v>
      </c>
      <c r="D131" s="129" t="s">
        <v>1246</v>
      </c>
      <c r="E131" s="129" t="s">
        <v>1207</v>
      </c>
      <c r="F131" s="129" t="s">
        <v>1208</v>
      </c>
      <c r="G131" s="210">
        <v>3</v>
      </c>
      <c r="H131" s="211">
        <f t="shared" ref="H131:H194" si="10">SUMIFS(G:G,C:C,C131)</f>
        <v>913</v>
      </c>
      <c r="I131" s="207">
        <f>IF(F131="CONCENTRADO SEMI BRILHO",G131/'De-Para'!$B$9,G131/VLOOKUP(B131,'De-Para'!A:B,2,0))</f>
        <v>2.3622047244094486</v>
      </c>
      <c r="J131" s="206">
        <f t="shared" ref="J131:J194" si="11">SUMIFS(I:I,C:C,C131)</f>
        <v>718.8976377952755</v>
      </c>
      <c r="K131" s="212">
        <f t="shared" ref="K131:K194" si="12">G131/H131</f>
        <v>3.2858707557502738E-3</v>
      </c>
      <c r="L131" s="209">
        <f>VLOOKUP(E131,'Custos Matéria Prima Embalagens'!B:G,6,0)</f>
        <v>6.8599999999999994</v>
      </c>
      <c r="M131" s="209">
        <f t="shared" ref="M131:M194" si="13">L131*G131</f>
        <v>20.58</v>
      </c>
      <c r="N131" s="209">
        <f t="shared" ref="N131:N194" si="14">IF(B131="CONCENTRADO",ROUND(M131/H131,2),ROUND(M131/J131,2))</f>
        <v>0.03</v>
      </c>
    </row>
    <row r="132" spans="1:14" hidden="1">
      <c r="A132" s="129" t="s">
        <v>1195</v>
      </c>
      <c r="B132" s="129" t="s">
        <v>1196</v>
      </c>
      <c r="C132" s="129" t="s">
        <v>589</v>
      </c>
      <c r="D132" s="129" t="s">
        <v>1246</v>
      </c>
      <c r="E132" s="129" t="s">
        <v>1209</v>
      </c>
      <c r="F132" s="129" t="s">
        <v>1210</v>
      </c>
      <c r="G132" s="210">
        <v>2.5</v>
      </c>
      <c r="H132" s="211">
        <f t="shared" si="10"/>
        <v>913</v>
      </c>
      <c r="I132" s="207">
        <f>IF(F132="CONCENTRADO SEMI BRILHO",G132/'De-Para'!$B$9,G132/VLOOKUP(B132,'De-Para'!A:B,2,0))</f>
        <v>1.9685039370078741</v>
      </c>
      <c r="J132" s="206">
        <f t="shared" si="11"/>
        <v>718.8976377952755</v>
      </c>
      <c r="K132" s="212">
        <f t="shared" si="12"/>
        <v>2.7382256297918948E-3</v>
      </c>
      <c r="L132" s="209">
        <f>VLOOKUP(E132,'Custos Matéria Prima Embalagens'!B:G,6,0)</f>
        <v>7</v>
      </c>
      <c r="M132" s="209">
        <f t="shared" si="13"/>
        <v>17.5</v>
      </c>
      <c r="N132" s="209">
        <f t="shared" si="14"/>
        <v>0.02</v>
      </c>
    </row>
    <row r="133" spans="1:14" hidden="1">
      <c r="A133" s="129" t="s">
        <v>1195</v>
      </c>
      <c r="B133" s="129" t="s">
        <v>1196</v>
      </c>
      <c r="C133" s="129" t="s">
        <v>589</v>
      </c>
      <c r="D133" s="129" t="s">
        <v>1246</v>
      </c>
      <c r="E133" s="129" t="s">
        <v>1215</v>
      </c>
      <c r="F133" s="129" t="s">
        <v>1216</v>
      </c>
      <c r="G133" s="210">
        <v>50</v>
      </c>
      <c r="H133" s="211">
        <f t="shared" si="10"/>
        <v>913</v>
      </c>
      <c r="I133" s="207">
        <f>IF(F133="CONCENTRADO SEMI BRILHO",G133/'De-Para'!$B$9,G133/VLOOKUP(B133,'De-Para'!A:B,2,0))</f>
        <v>39.370078740157481</v>
      </c>
      <c r="J133" s="206">
        <f t="shared" si="11"/>
        <v>718.8976377952755</v>
      </c>
      <c r="K133" s="212">
        <f t="shared" si="12"/>
        <v>5.4764512595837894E-2</v>
      </c>
      <c r="L133" s="209">
        <f>VLOOKUP(E133,'Custos Matéria Prima Embalagens'!B:G,6,0)</f>
        <v>0.8</v>
      </c>
      <c r="M133" s="209">
        <f t="shared" si="13"/>
        <v>40</v>
      </c>
      <c r="N133" s="209">
        <f t="shared" si="14"/>
        <v>0.06</v>
      </c>
    </row>
    <row r="134" spans="1:14" hidden="1">
      <c r="A134" s="129" t="s">
        <v>1195</v>
      </c>
      <c r="B134" s="129" t="s">
        <v>1196</v>
      </c>
      <c r="C134" s="129" t="s">
        <v>589</v>
      </c>
      <c r="D134" s="129" t="s">
        <v>1246</v>
      </c>
      <c r="E134" s="129" t="s">
        <v>1227</v>
      </c>
      <c r="F134" s="129" t="s">
        <v>1228</v>
      </c>
      <c r="G134" s="210">
        <v>325</v>
      </c>
      <c r="H134" s="211">
        <f t="shared" si="10"/>
        <v>913</v>
      </c>
      <c r="I134" s="207">
        <f>IF(F134="CONCENTRADO SEMI BRILHO",G134/'De-Para'!$B$9,G134/VLOOKUP(B134,'De-Para'!A:B,2,0))</f>
        <v>255.90551181102362</v>
      </c>
      <c r="J134" s="206">
        <f t="shared" si="11"/>
        <v>718.8976377952755</v>
      </c>
      <c r="K134" s="212">
        <f t="shared" si="12"/>
        <v>0.35596933187294633</v>
      </c>
      <c r="L134" s="209">
        <f>VLOOKUP(E134,'Custos Matéria Prima Embalagens'!B:G,6,0)</f>
        <v>1.520495555555555</v>
      </c>
      <c r="M134" s="209">
        <f t="shared" si="13"/>
        <v>494.16105555555538</v>
      </c>
      <c r="N134" s="209">
        <f t="shared" si="14"/>
        <v>0.69</v>
      </c>
    </row>
    <row r="135" spans="1:14" hidden="1">
      <c r="A135" s="129" t="s">
        <v>1195</v>
      </c>
      <c r="B135" s="129" t="s">
        <v>1196</v>
      </c>
      <c r="C135" s="129" t="s">
        <v>589</v>
      </c>
      <c r="D135" s="129" t="s">
        <v>1246</v>
      </c>
      <c r="E135" s="129" t="s">
        <v>1217</v>
      </c>
      <c r="F135" s="129" t="s">
        <v>1218</v>
      </c>
      <c r="G135" s="210">
        <v>30</v>
      </c>
      <c r="H135" s="211">
        <f t="shared" si="10"/>
        <v>913</v>
      </c>
      <c r="I135" s="207">
        <f>IF(F135="CONCENTRADO SEMI BRILHO",G135/'De-Para'!$B$9,G135/VLOOKUP(B135,'De-Para'!A:B,2,0))</f>
        <v>23.622047244094489</v>
      </c>
      <c r="J135" s="206">
        <f t="shared" si="11"/>
        <v>718.8976377952755</v>
      </c>
      <c r="K135" s="212">
        <f t="shared" si="12"/>
        <v>3.2858707557502739E-2</v>
      </c>
      <c r="L135" s="209">
        <f>VLOOKUP(E135,'Custos Matéria Prima Embalagens'!B:G,6,0)</f>
        <v>8.43</v>
      </c>
      <c r="M135" s="209">
        <f t="shared" si="13"/>
        <v>252.89999999999998</v>
      </c>
      <c r="N135" s="209">
        <f t="shared" si="14"/>
        <v>0.35</v>
      </c>
    </row>
    <row r="136" spans="1:14" hidden="1">
      <c r="A136" s="129" t="s">
        <v>1195</v>
      </c>
      <c r="B136" s="129" t="s">
        <v>1196</v>
      </c>
      <c r="C136" s="129" t="s">
        <v>589</v>
      </c>
      <c r="D136" s="129" t="s">
        <v>1246</v>
      </c>
      <c r="E136" s="129" t="s">
        <v>1219</v>
      </c>
      <c r="F136" s="129" t="s">
        <v>1220</v>
      </c>
      <c r="G136" s="210">
        <v>3</v>
      </c>
      <c r="H136" s="211">
        <f t="shared" si="10"/>
        <v>913</v>
      </c>
      <c r="I136" s="207">
        <f>IF(F136="CONCENTRADO SEMI BRILHO",G136/'De-Para'!$B$9,G136/VLOOKUP(B136,'De-Para'!A:B,2,0))</f>
        <v>2.3622047244094486</v>
      </c>
      <c r="J136" s="206">
        <f t="shared" si="11"/>
        <v>718.8976377952755</v>
      </c>
      <c r="K136" s="212">
        <f t="shared" si="12"/>
        <v>3.2858707557502738E-3</v>
      </c>
      <c r="L136" s="209">
        <f>VLOOKUP(E136,'Custos Matéria Prima Embalagens'!B:G,6,0)</f>
        <v>4.9800000000000004</v>
      </c>
      <c r="M136" s="209">
        <f t="shared" si="13"/>
        <v>14.940000000000001</v>
      </c>
      <c r="N136" s="209">
        <f t="shared" si="14"/>
        <v>0.02</v>
      </c>
    </row>
    <row r="137" spans="1:14" hidden="1">
      <c r="A137" s="129" t="s">
        <v>1195</v>
      </c>
      <c r="B137" s="129" t="s">
        <v>1196</v>
      </c>
      <c r="C137" s="129" t="s">
        <v>589</v>
      </c>
      <c r="D137" s="129" t="s">
        <v>1246</v>
      </c>
      <c r="E137" s="129" t="s">
        <v>1221</v>
      </c>
      <c r="F137" s="129" t="s">
        <v>1222</v>
      </c>
      <c r="G137" s="210">
        <v>15.5</v>
      </c>
      <c r="H137" s="211">
        <f t="shared" si="10"/>
        <v>913</v>
      </c>
      <c r="I137" s="207">
        <f>IF(F137="CONCENTRADO SEMI BRILHO",G137/'De-Para'!$B$9,G137/VLOOKUP(B137,'De-Para'!A:B,2,0))</f>
        <v>12.204724409448819</v>
      </c>
      <c r="J137" s="206">
        <f t="shared" si="11"/>
        <v>718.8976377952755</v>
      </c>
      <c r="K137" s="212">
        <f t="shared" si="12"/>
        <v>1.6976998904709748E-2</v>
      </c>
      <c r="L137" s="209">
        <f>VLOOKUP(E137,'Custos Matéria Prima Embalagens'!B:G,6,0)</f>
        <v>7.9049999999999994</v>
      </c>
      <c r="M137" s="209">
        <f t="shared" si="13"/>
        <v>122.52749999999999</v>
      </c>
      <c r="N137" s="209">
        <f t="shared" si="14"/>
        <v>0.17</v>
      </c>
    </row>
    <row r="138" spans="1:14" hidden="1">
      <c r="A138" s="129" t="s">
        <v>1195</v>
      </c>
      <c r="B138" s="129" t="s">
        <v>1196</v>
      </c>
      <c r="C138" s="129" t="s">
        <v>589</v>
      </c>
      <c r="D138" s="129" t="s">
        <v>1246</v>
      </c>
      <c r="E138" s="129" t="s">
        <v>1223</v>
      </c>
      <c r="F138" s="129" t="s">
        <v>1224</v>
      </c>
      <c r="G138" s="210">
        <v>7.5</v>
      </c>
      <c r="H138" s="211">
        <f t="shared" si="10"/>
        <v>913</v>
      </c>
      <c r="I138" s="207">
        <f>IF(F138="CONCENTRADO SEMI BRILHO",G138/'De-Para'!$B$9,G138/VLOOKUP(B138,'De-Para'!A:B,2,0))</f>
        <v>5.9055118110236222</v>
      </c>
      <c r="J138" s="206">
        <f t="shared" si="11"/>
        <v>718.8976377952755</v>
      </c>
      <c r="K138" s="212">
        <f t="shared" si="12"/>
        <v>8.2146768893756848E-3</v>
      </c>
      <c r="L138" s="209">
        <f>VLOOKUP(E138,'Custos Matéria Prima Embalagens'!B:G,6,0)</f>
        <v>4.8499999999999996</v>
      </c>
      <c r="M138" s="209">
        <f t="shared" si="13"/>
        <v>36.375</v>
      </c>
      <c r="N138" s="209">
        <f t="shared" si="14"/>
        <v>0.05</v>
      </c>
    </row>
    <row r="139" spans="1:14" hidden="1">
      <c r="A139" s="129" t="s">
        <v>1195</v>
      </c>
      <c r="B139" s="129" t="s">
        <v>1196</v>
      </c>
      <c r="C139" s="129" t="s">
        <v>589</v>
      </c>
      <c r="D139" s="129" t="s">
        <v>1246</v>
      </c>
      <c r="E139" s="129" t="s">
        <v>1229</v>
      </c>
      <c r="F139" s="129" t="s">
        <v>1230</v>
      </c>
      <c r="G139" s="210">
        <v>4</v>
      </c>
      <c r="H139" s="211">
        <f t="shared" si="10"/>
        <v>913</v>
      </c>
      <c r="I139" s="207">
        <f>IF(F139="CONCENTRADO SEMI BRILHO",G139/'De-Para'!$B$9,G139/VLOOKUP(B139,'De-Para'!A:B,2,0))</f>
        <v>3.1496062992125982</v>
      </c>
      <c r="J139" s="206">
        <f t="shared" si="11"/>
        <v>718.8976377952755</v>
      </c>
      <c r="K139" s="212">
        <f t="shared" si="12"/>
        <v>4.3811610076670317E-3</v>
      </c>
      <c r="L139" s="209">
        <f>VLOOKUP(E139,'Custos Matéria Prima Embalagens'!B:G,6,0)</f>
        <v>19.22</v>
      </c>
      <c r="M139" s="209">
        <f t="shared" si="13"/>
        <v>76.88</v>
      </c>
      <c r="N139" s="209">
        <f t="shared" si="14"/>
        <v>0.11</v>
      </c>
    </row>
    <row r="140" spans="1:14" hidden="1">
      <c r="A140" s="129" t="s">
        <v>1195</v>
      </c>
      <c r="B140" s="129" t="s">
        <v>1196</v>
      </c>
      <c r="C140" s="129" t="s">
        <v>589</v>
      </c>
      <c r="D140" s="129" t="s">
        <v>1246</v>
      </c>
      <c r="E140" s="129" t="s">
        <v>1239</v>
      </c>
      <c r="F140" s="129" t="s">
        <v>1247</v>
      </c>
      <c r="G140" s="210">
        <v>5</v>
      </c>
      <c r="H140" s="211">
        <f t="shared" si="10"/>
        <v>913</v>
      </c>
      <c r="I140" s="207">
        <f>IF(F140="CONCENTRADO SEMI BRILHO",G140/'De-Para'!$B$9,G140/VLOOKUP(B140,'De-Para'!A:B,2,0))</f>
        <v>3.9370078740157481</v>
      </c>
      <c r="J140" s="206">
        <f t="shared" si="11"/>
        <v>718.8976377952755</v>
      </c>
      <c r="K140" s="212">
        <f t="shared" si="12"/>
        <v>5.4764512595837896E-3</v>
      </c>
      <c r="L140" s="209">
        <f>VLOOKUP(E140,'Custos Matéria Prima Embalagens'!B:G,6,0)</f>
        <v>21.11</v>
      </c>
      <c r="M140" s="209">
        <f t="shared" si="13"/>
        <v>105.55</v>
      </c>
      <c r="N140" s="209">
        <f t="shared" si="14"/>
        <v>0.15</v>
      </c>
    </row>
    <row r="141" spans="1:14" hidden="1">
      <c r="A141" s="129" t="s">
        <v>1195</v>
      </c>
      <c r="B141" s="129" t="s">
        <v>1196</v>
      </c>
      <c r="C141" s="129" t="s">
        <v>592</v>
      </c>
      <c r="D141" s="129" t="s">
        <v>593</v>
      </c>
      <c r="E141" s="129" t="s">
        <v>1197</v>
      </c>
      <c r="F141" s="129" t="s">
        <v>1198</v>
      </c>
      <c r="G141" s="210">
        <v>460</v>
      </c>
      <c r="H141" s="211">
        <f t="shared" si="10"/>
        <v>917.64</v>
      </c>
      <c r="I141" s="207">
        <f>IF(F141="CONCENTRADO SEMI BRILHO",G141/'De-Para'!$B$9,G141/VLOOKUP(B141,'De-Para'!A:B,2,0))</f>
        <v>362.20472440944883</v>
      </c>
      <c r="J141" s="206">
        <f t="shared" si="11"/>
        <v>722.55118110236219</v>
      </c>
      <c r="K141" s="212">
        <f t="shared" si="12"/>
        <v>0.50128590732749223</v>
      </c>
      <c r="L141" s="209">
        <f>VLOOKUP(E141,'Custos Matéria Prima Embalagens'!B:G,6,0)</f>
        <v>0</v>
      </c>
      <c r="M141" s="209">
        <f t="shared" si="13"/>
        <v>0</v>
      </c>
      <c r="N141" s="209">
        <f t="shared" si="14"/>
        <v>0</v>
      </c>
    </row>
    <row r="142" spans="1:14" hidden="1">
      <c r="A142" s="129" t="s">
        <v>1195</v>
      </c>
      <c r="B142" s="129" t="s">
        <v>1196</v>
      </c>
      <c r="C142" s="129" t="s">
        <v>592</v>
      </c>
      <c r="D142" s="129" t="s">
        <v>593</v>
      </c>
      <c r="E142" s="129" t="s">
        <v>1201</v>
      </c>
      <c r="F142" s="129" t="s">
        <v>1202</v>
      </c>
      <c r="G142" s="210">
        <v>2.5</v>
      </c>
      <c r="H142" s="211">
        <f t="shared" si="10"/>
        <v>917.64</v>
      </c>
      <c r="I142" s="207">
        <f>IF(F142="CONCENTRADO SEMI BRILHO",G142/'De-Para'!$B$9,G142/VLOOKUP(B142,'De-Para'!A:B,2,0))</f>
        <v>1.9685039370078741</v>
      </c>
      <c r="J142" s="206">
        <f t="shared" si="11"/>
        <v>722.55118110236219</v>
      </c>
      <c r="K142" s="212">
        <f t="shared" si="12"/>
        <v>2.7243799311276753E-3</v>
      </c>
      <c r="L142" s="209">
        <f>VLOOKUP(E142,'Custos Matéria Prima Embalagens'!B:G,6,0)</f>
        <v>7.18</v>
      </c>
      <c r="M142" s="209">
        <f t="shared" si="13"/>
        <v>17.95</v>
      </c>
      <c r="N142" s="209">
        <f t="shared" si="14"/>
        <v>0.02</v>
      </c>
    </row>
    <row r="143" spans="1:14" hidden="1">
      <c r="A143" s="129" t="s">
        <v>1195</v>
      </c>
      <c r="B143" s="129" t="s">
        <v>1196</v>
      </c>
      <c r="C143" s="129" t="s">
        <v>592</v>
      </c>
      <c r="D143" s="129" t="s">
        <v>593</v>
      </c>
      <c r="E143" s="129" t="s">
        <v>1203</v>
      </c>
      <c r="F143" s="129" t="s">
        <v>1204</v>
      </c>
      <c r="G143" s="210">
        <v>3</v>
      </c>
      <c r="H143" s="211">
        <f t="shared" si="10"/>
        <v>917.64</v>
      </c>
      <c r="I143" s="207">
        <f>IF(F143="CONCENTRADO SEMI BRILHO",G143/'De-Para'!$B$9,G143/VLOOKUP(B143,'De-Para'!A:B,2,0))</f>
        <v>2.3622047244094486</v>
      </c>
      <c r="J143" s="206">
        <f t="shared" si="11"/>
        <v>722.55118110236219</v>
      </c>
      <c r="K143" s="212">
        <f t="shared" si="12"/>
        <v>3.2692559173532103E-3</v>
      </c>
      <c r="L143" s="209">
        <f>VLOOKUP(E143,'Custos Matéria Prima Embalagens'!B:G,6,0)</f>
        <v>4.9399999999999995</v>
      </c>
      <c r="M143" s="209">
        <f t="shared" si="13"/>
        <v>14.819999999999999</v>
      </c>
      <c r="N143" s="209">
        <f t="shared" si="14"/>
        <v>0.02</v>
      </c>
    </row>
    <row r="144" spans="1:14" hidden="1">
      <c r="A144" s="129" t="s">
        <v>1195</v>
      </c>
      <c r="B144" s="129" t="s">
        <v>1196</v>
      </c>
      <c r="C144" s="129" t="s">
        <v>592</v>
      </c>
      <c r="D144" s="129" t="s">
        <v>593</v>
      </c>
      <c r="E144" s="129" t="s">
        <v>1205</v>
      </c>
      <c r="F144" s="129" t="s">
        <v>1206</v>
      </c>
      <c r="G144" s="210">
        <v>2</v>
      </c>
      <c r="H144" s="211">
        <f t="shared" si="10"/>
        <v>917.64</v>
      </c>
      <c r="I144" s="207">
        <f>IF(F144="CONCENTRADO SEMI BRILHO",G144/'De-Para'!$B$9,G144/VLOOKUP(B144,'De-Para'!A:B,2,0))</f>
        <v>1.5748031496062991</v>
      </c>
      <c r="J144" s="206">
        <f t="shared" si="11"/>
        <v>722.55118110236219</v>
      </c>
      <c r="K144" s="212">
        <f t="shared" si="12"/>
        <v>2.1795039449021402E-3</v>
      </c>
      <c r="L144" s="209">
        <f>VLOOKUP(E144,'Custos Matéria Prima Embalagens'!B:G,6,0)</f>
        <v>7.33</v>
      </c>
      <c r="M144" s="209">
        <f t="shared" si="13"/>
        <v>14.66</v>
      </c>
      <c r="N144" s="209">
        <f t="shared" si="14"/>
        <v>0.02</v>
      </c>
    </row>
    <row r="145" spans="1:14" hidden="1">
      <c r="A145" s="129" t="s">
        <v>1195</v>
      </c>
      <c r="B145" s="129" t="s">
        <v>1196</v>
      </c>
      <c r="C145" s="129" t="s">
        <v>592</v>
      </c>
      <c r="D145" s="129" t="s">
        <v>593</v>
      </c>
      <c r="E145" s="129" t="s">
        <v>1207</v>
      </c>
      <c r="F145" s="129" t="s">
        <v>1208</v>
      </c>
      <c r="G145" s="210">
        <v>3</v>
      </c>
      <c r="H145" s="211">
        <f t="shared" si="10"/>
        <v>917.64</v>
      </c>
      <c r="I145" s="207">
        <f>IF(F145="CONCENTRADO SEMI BRILHO",G145/'De-Para'!$B$9,G145/VLOOKUP(B145,'De-Para'!A:B,2,0))</f>
        <v>2.3622047244094486</v>
      </c>
      <c r="J145" s="206">
        <f t="shared" si="11"/>
        <v>722.55118110236219</v>
      </c>
      <c r="K145" s="212">
        <f t="shared" si="12"/>
        <v>3.2692559173532103E-3</v>
      </c>
      <c r="L145" s="209">
        <f>VLOOKUP(E145,'Custos Matéria Prima Embalagens'!B:G,6,0)</f>
        <v>6.8599999999999994</v>
      </c>
      <c r="M145" s="209">
        <f t="shared" si="13"/>
        <v>20.58</v>
      </c>
      <c r="N145" s="209">
        <f t="shared" si="14"/>
        <v>0.03</v>
      </c>
    </row>
    <row r="146" spans="1:14" hidden="1">
      <c r="A146" s="129" t="s">
        <v>1195</v>
      </c>
      <c r="B146" s="129" t="s">
        <v>1196</v>
      </c>
      <c r="C146" s="129" t="s">
        <v>592</v>
      </c>
      <c r="D146" s="129" t="s">
        <v>593</v>
      </c>
      <c r="E146" s="129" t="s">
        <v>1209</v>
      </c>
      <c r="F146" s="129" t="s">
        <v>1210</v>
      </c>
      <c r="G146" s="210">
        <v>2.5</v>
      </c>
      <c r="H146" s="211">
        <f t="shared" si="10"/>
        <v>917.64</v>
      </c>
      <c r="I146" s="207">
        <f>IF(F146="CONCENTRADO SEMI BRILHO",G146/'De-Para'!$B$9,G146/VLOOKUP(B146,'De-Para'!A:B,2,0))</f>
        <v>1.9685039370078741</v>
      </c>
      <c r="J146" s="206">
        <f t="shared" si="11"/>
        <v>722.55118110236219</v>
      </c>
      <c r="K146" s="212">
        <f t="shared" si="12"/>
        <v>2.7243799311276753E-3</v>
      </c>
      <c r="L146" s="209">
        <f>VLOOKUP(E146,'Custos Matéria Prima Embalagens'!B:G,6,0)</f>
        <v>7</v>
      </c>
      <c r="M146" s="209">
        <f t="shared" si="13"/>
        <v>17.5</v>
      </c>
      <c r="N146" s="209">
        <f t="shared" si="14"/>
        <v>0.02</v>
      </c>
    </row>
    <row r="147" spans="1:14" hidden="1">
      <c r="A147" s="129" t="s">
        <v>1195</v>
      </c>
      <c r="B147" s="129" t="s">
        <v>1196</v>
      </c>
      <c r="C147" s="129" t="s">
        <v>592</v>
      </c>
      <c r="D147" s="129" t="s">
        <v>593</v>
      </c>
      <c r="E147" s="129" t="s">
        <v>1215</v>
      </c>
      <c r="F147" s="129" t="s">
        <v>1216</v>
      </c>
      <c r="G147" s="210">
        <v>50</v>
      </c>
      <c r="H147" s="211">
        <f t="shared" si="10"/>
        <v>917.64</v>
      </c>
      <c r="I147" s="207">
        <f>IF(F147="CONCENTRADO SEMI BRILHO",G147/'De-Para'!$B$9,G147/VLOOKUP(B147,'De-Para'!A:B,2,0))</f>
        <v>39.370078740157481</v>
      </c>
      <c r="J147" s="206">
        <f t="shared" si="11"/>
        <v>722.55118110236219</v>
      </c>
      <c r="K147" s="212">
        <f t="shared" si="12"/>
        <v>5.4487598622553507E-2</v>
      </c>
      <c r="L147" s="209">
        <f>VLOOKUP(E147,'Custos Matéria Prima Embalagens'!B:G,6,0)</f>
        <v>0.8</v>
      </c>
      <c r="M147" s="209">
        <f t="shared" si="13"/>
        <v>40</v>
      </c>
      <c r="N147" s="209">
        <f t="shared" si="14"/>
        <v>0.06</v>
      </c>
    </row>
    <row r="148" spans="1:14" hidden="1">
      <c r="A148" s="129" t="s">
        <v>1195</v>
      </c>
      <c r="B148" s="129" t="s">
        <v>1196</v>
      </c>
      <c r="C148" s="129" t="s">
        <v>592</v>
      </c>
      <c r="D148" s="129" t="s">
        <v>593</v>
      </c>
      <c r="E148" s="129" t="s">
        <v>1227</v>
      </c>
      <c r="F148" s="129" t="s">
        <v>1228</v>
      </c>
      <c r="G148" s="210">
        <v>325</v>
      </c>
      <c r="H148" s="211">
        <f t="shared" si="10"/>
        <v>917.64</v>
      </c>
      <c r="I148" s="207">
        <f>IF(F148="CONCENTRADO SEMI BRILHO",G148/'De-Para'!$B$9,G148/VLOOKUP(B148,'De-Para'!A:B,2,0))</f>
        <v>255.90551181102362</v>
      </c>
      <c r="J148" s="206">
        <f t="shared" si="11"/>
        <v>722.55118110236219</v>
      </c>
      <c r="K148" s="212">
        <f t="shared" si="12"/>
        <v>0.35416939104659778</v>
      </c>
      <c r="L148" s="209">
        <f>VLOOKUP(E148,'Custos Matéria Prima Embalagens'!B:G,6,0)</f>
        <v>1.520495555555555</v>
      </c>
      <c r="M148" s="209">
        <f t="shared" si="13"/>
        <v>494.16105555555538</v>
      </c>
      <c r="N148" s="209">
        <f t="shared" si="14"/>
        <v>0.68</v>
      </c>
    </row>
    <row r="149" spans="1:14" hidden="1">
      <c r="A149" s="129" t="s">
        <v>1195</v>
      </c>
      <c r="B149" s="129" t="s">
        <v>1196</v>
      </c>
      <c r="C149" s="129" t="s">
        <v>592</v>
      </c>
      <c r="D149" s="129" t="s">
        <v>593</v>
      </c>
      <c r="E149" s="129" t="s">
        <v>1217</v>
      </c>
      <c r="F149" s="129" t="s">
        <v>1218</v>
      </c>
      <c r="G149" s="210">
        <v>30</v>
      </c>
      <c r="H149" s="211">
        <f t="shared" si="10"/>
        <v>917.64</v>
      </c>
      <c r="I149" s="207">
        <f>IF(F149="CONCENTRADO SEMI BRILHO",G149/'De-Para'!$B$9,G149/VLOOKUP(B149,'De-Para'!A:B,2,0))</f>
        <v>23.622047244094489</v>
      </c>
      <c r="J149" s="206">
        <f t="shared" si="11"/>
        <v>722.55118110236219</v>
      </c>
      <c r="K149" s="212">
        <f t="shared" si="12"/>
        <v>3.2692559173532101E-2</v>
      </c>
      <c r="L149" s="209">
        <f>VLOOKUP(E149,'Custos Matéria Prima Embalagens'!B:G,6,0)</f>
        <v>8.43</v>
      </c>
      <c r="M149" s="209">
        <f t="shared" si="13"/>
        <v>252.89999999999998</v>
      </c>
      <c r="N149" s="209">
        <f t="shared" si="14"/>
        <v>0.35</v>
      </c>
    </row>
    <row r="150" spans="1:14" hidden="1">
      <c r="A150" s="129" t="s">
        <v>1195</v>
      </c>
      <c r="B150" s="129" t="s">
        <v>1196</v>
      </c>
      <c r="C150" s="129" t="s">
        <v>592</v>
      </c>
      <c r="D150" s="129" t="s">
        <v>593</v>
      </c>
      <c r="E150" s="129" t="s">
        <v>1219</v>
      </c>
      <c r="F150" s="129" t="s">
        <v>1220</v>
      </c>
      <c r="G150" s="210">
        <v>3</v>
      </c>
      <c r="H150" s="211">
        <f t="shared" si="10"/>
        <v>917.64</v>
      </c>
      <c r="I150" s="207">
        <f>IF(F150="CONCENTRADO SEMI BRILHO",G150/'De-Para'!$B$9,G150/VLOOKUP(B150,'De-Para'!A:B,2,0))</f>
        <v>2.3622047244094486</v>
      </c>
      <c r="J150" s="206">
        <f t="shared" si="11"/>
        <v>722.55118110236219</v>
      </c>
      <c r="K150" s="212">
        <f t="shared" si="12"/>
        <v>3.2692559173532103E-3</v>
      </c>
      <c r="L150" s="209">
        <f>VLOOKUP(E150,'Custos Matéria Prima Embalagens'!B:G,6,0)</f>
        <v>4.9800000000000004</v>
      </c>
      <c r="M150" s="209">
        <f t="shared" si="13"/>
        <v>14.940000000000001</v>
      </c>
      <c r="N150" s="209">
        <f t="shared" si="14"/>
        <v>0.02</v>
      </c>
    </row>
    <row r="151" spans="1:14" hidden="1">
      <c r="A151" s="129" t="s">
        <v>1195</v>
      </c>
      <c r="B151" s="129" t="s">
        <v>1196</v>
      </c>
      <c r="C151" s="129" t="s">
        <v>592</v>
      </c>
      <c r="D151" s="129" t="s">
        <v>593</v>
      </c>
      <c r="E151" s="129" t="s">
        <v>1221</v>
      </c>
      <c r="F151" s="129" t="s">
        <v>1222</v>
      </c>
      <c r="G151" s="210">
        <v>15.5</v>
      </c>
      <c r="H151" s="211">
        <f t="shared" si="10"/>
        <v>917.64</v>
      </c>
      <c r="I151" s="207">
        <f>IF(F151="CONCENTRADO SEMI BRILHO",G151/'De-Para'!$B$9,G151/VLOOKUP(B151,'De-Para'!A:B,2,0))</f>
        <v>12.204724409448819</v>
      </c>
      <c r="J151" s="206">
        <f t="shared" si="11"/>
        <v>722.55118110236219</v>
      </c>
      <c r="K151" s="212">
        <f t="shared" si="12"/>
        <v>1.6891155572991586E-2</v>
      </c>
      <c r="L151" s="209">
        <f>VLOOKUP(E151,'Custos Matéria Prima Embalagens'!B:G,6,0)</f>
        <v>7.9049999999999994</v>
      </c>
      <c r="M151" s="209">
        <f t="shared" si="13"/>
        <v>122.52749999999999</v>
      </c>
      <c r="N151" s="209">
        <f t="shared" si="14"/>
        <v>0.17</v>
      </c>
    </row>
    <row r="152" spans="1:14" hidden="1">
      <c r="A152" s="129" t="s">
        <v>1195</v>
      </c>
      <c r="B152" s="129" t="s">
        <v>1196</v>
      </c>
      <c r="C152" s="129" t="s">
        <v>592</v>
      </c>
      <c r="D152" s="129" t="s">
        <v>593</v>
      </c>
      <c r="E152" s="129" t="s">
        <v>1223</v>
      </c>
      <c r="F152" s="129" t="s">
        <v>1224</v>
      </c>
      <c r="G152" s="210">
        <v>7.5</v>
      </c>
      <c r="H152" s="211">
        <f t="shared" si="10"/>
        <v>917.64</v>
      </c>
      <c r="I152" s="207">
        <f>IF(F152="CONCENTRADO SEMI BRILHO",G152/'De-Para'!$B$9,G152/VLOOKUP(B152,'De-Para'!A:B,2,0))</f>
        <v>5.9055118110236222</v>
      </c>
      <c r="J152" s="206">
        <f t="shared" si="11"/>
        <v>722.55118110236219</v>
      </c>
      <c r="K152" s="212">
        <f t="shared" si="12"/>
        <v>8.1731397933830253E-3</v>
      </c>
      <c r="L152" s="209">
        <f>VLOOKUP(E152,'Custos Matéria Prima Embalagens'!B:G,6,0)</f>
        <v>4.8499999999999996</v>
      </c>
      <c r="M152" s="209">
        <f t="shared" si="13"/>
        <v>36.375</v>
      </c>
      <c r="N152" s="209">
        <f t="shared" si="14"/>
        <v>0.05</v>
      </c>
    </row>
    <row r="153" spans="1:14" hidden="1">
      <c r="A153" s="129" t="s">
        <v>1195</v>
      </c>
      <c r="B153" s="129" t="s">
        <v>1196</v>
      </c>
      <c r="C153" s="129" t="s">
        <v>592</v>
      </c>
      <c r="D153" s="129" t="s">
        <v>593</v>
      </c>
      <c r="E153" s="129" t="s">
        <v>1229</v>
      </c>
      <c r="F153" s="129" t="s">
        <v>1230</v>
      </c>
      <c r="G153" s="210">
        <v>5</v>
      </c>
      <c r="H153" s="211">
        <f t="shared" si="10"/>
        <v>917.64</v>
      </c>
      <c r="I153" s="207">
        <f>IF(F153="CONCENTRADO SEMI BRILHO",G153/'De-Para'!$B$9,G153/VLOOKUP(B153,'De-Para'!A:B,2,0))</f>
        <v>3.9370078740157481</v>
      </c>
      <c r="J153" s="206">
        <f t="shared" si="11"/>
        <v>722.55118110236219</v>
      </c>
      <c r="K153" s="212">
        <f t="shared" si="12"/>
        <v>5.4487598622553505E-3</v>
      </c>
      <c r="L153" s="209">
        <f>VLOOKUP(E153,'Custos Matéria Prima Embalagens'!B:G,6,0)</f>
        <v>19.22</v>
      </c>
      <c r="M153" s="209">
        <f t="shared" si="13"/>
        <v>96.1</v>
      </c>
      <c r="N153" s="209">
        <f t="shared" si="14"/>
        <v>0.13</v>
      </c>
    </row>
    <row r="154" spans="1:14" hidden="1">
      <c r="A154" s="129" t="s">
        <v>1195</v>
      </c>
      <c r="B154" s="129" t="s">
        <v>1196</v>
      </c>
      <c r="C154" s="129" t="s">
        <v>592</v>
      </c>
      <c r="D154" s="129" t="s">
        <v>593</v>
      </c>
      <c r="E154" s="129" t="s">
        <v>1233</v>
      </c>
      <c r="F154" s="129" t="s">
        <v>1234</v>
      </c>
      <c r="G154" s="210">
        <v>8</v>
      </c>
      <c r="H154" s="211">
        <f t="shared" si="10"/>
        <v>917.64</v>
      </c>
      <c r="I154" s="207">
        <f>IF(F154="CONCENTRADO SEMI BRILHO",G154/'De-Para'!$B$9,G154/VLOOKUP(B154,'De-Para'!A:B,2,0))</f>
        <v>6.2992125984251963</v>
      </c>
      <c r="J154" s="206">
        <f t="shared" si="11"/>
        <v>722.55118110236219</v>
      </c>
      <c r="K154" s="212">
        <f t="shared" si="12"/>
        <v>8.7180157796085608E-3</v>
      </c>
      <c r="L154" s="209">
        <f>VLOOKUP(E154,'Custos Matéria Prima Embalagens'!B:G,6,0)</f>
        <v>31.93</v>
      </c>
      <c r="M154" s="209">
        <f t="shared" si="13"/>
        <v>255.44</v>
      </c>
      <c r="N154" s="209">
        <f t="shared" si="14"/>
        <v>0.35</v>
      </c>
    </row>
    <row r="155" spans="1:14" hidden="1">
      <c r="A155" s="129" t="s">
        <v>1195</v>
      </c>
      <c r="B155" s="129" t="s">
        <v>1196</v>
      </c>
      <c r="C155" s="129" t="s">
        <v>592</v>
      </c>
      <c r="D155" s="129" t="s">
        <v>593</v>
      </c>
      <c r="E155" s="129" t="s">
        <v>1235</v>
      </c>
      <c r="F155" s="129" t="s">
        <v>1236</v>
      </c>
      <c r="G155" s="210">
        <v>0.24</v>
      </c>
      <c r="H155" s="211">
        <f t="shared" si="10"/>
        <v>917.64</v>
      </c>
      <c r="I155" s="207">
        <f>IF(F155="CONCENTRADO SEMI BRILHO",G155/'De-Para'!$B$9,G155/VLOOKUP(B155,'De-Para'!A:B,2,0))</f>
        <v>0.1889763779527559</v>
      </c>
      <c r="J155" s="206">
        <f t="shared" si="11"/>
        <v>722.55118110236219</v>
      </c>
      <c r="K155" s="212">
        <f t="shared" si="12"/>
        <v>2.6154047338825681E-4</v>
      </c>
      <c r="L155" s="209">
        <f>VLOOKUP(E155,'Custos Matéria Prima Embalagens'!B:G,6,0)</f>
        <v>46.089999999999996</v>
      </c>
      <c r="M155" s="209">
        <f t="shared" si="13"/>
        <v>11.061599999999999</v>
      </c>
      <c r="N155" s="209">
        <f t="shared" si="14"/>
        <v>0.02</v>
      </c>
    </row>
    <row r="156" spans="1:14" hidden="1">
      <c r="A156" s="129" t="s">
        <v>1195</v>
      </c>
      <c r="B156" s="129" t="s">
        <v>1196</v>
      </c>
      <c r="C156" s="129" t="s">
        <v>592</v>
      </c>
      <c r="D156" s="129" t="s">
        <v>593</v>
      </c>
      <c r="E156" s="129" t="s">
        <v>1239</v>
      </c>
      <c r="F156" s="129" t="s">
        <v>1240</v>
      </c>
      <c r="G156" s="210">
        <v>0.4</v>
      </c>
      <c r="H156" s="211">
        <f t="shared" si="10"/>
        <v>917.64</v>
      </c>
      <c r="I156" s="207">
        <f>IF(F156="CONCENTRADO SEMI BRILHO",G156/'De-Para'!$B$9,G156/VLOOKUP(B156,'De-Para'!A:B,2,0))</f>
        <v>0.31496062992125984</v>
      </c>
      <c r="J156" s="206">
        <f t="shared" si="11"/>
        <v>722.55118110236219</v>
      </c>
      <c r="K156" s="212">
        <f t="shared" si="12"/>
        <v>4.3590078898042811E-4</v>
      </c>
      <c r="L156" s="209">
        <f>VLOOKUP(E156,'Custos Matéria Prima Embalagens'!B:G,6,0)</f>
        <v>21.11</v>
      </c>
      <c r="M156" s="209">
        <f t="shared" si="13"/>
        <v>8.4440000000000008</v>
      </c>
      <c r="N156" s="209">
        <f t="shared" si="14"/>
        <v>0.01</v>
      </c>
    </row>
    <row r="157" spans="1:14" hidden="1">
      <c r="A157" s="129" t="s">
        <v>1195</v>
      </c>
      <c r="B157" s="129" t="s">
        <v>1196</v>
      </c>
      <c r="C157" s="129" t="s">
        <v>595</v>
      </c>
      <c r="D157" s="129" t="s">
        <v>1248</v>
      </c>
      <c r="E157" s="129" t="s">
        <v>1197</v>
      </c>
      <c r="F157" s="129" t="s">
        <v>1198</v>
      </c>
      <c r="G157" s="210">
        <v>460</v>
      </c>
      <c r="H157" s="211">
        <f t="shared" si="10"/>
        <v>910</v>
      </c>
      <c r="I157" s="207">
        <f>IF(F157="CONCENTRADO SEMI BRILHO",G157/'De-Para'!$B$9,G157/VLOOKUP(B157,'De-Para'!A:B,2,0))</f>
        <v>362.20472440944883</v>
      </c>
      <c r="J157" s="206">
        <f t="shared" si="11"/>
        <v>716.53543307086613</v>
      </c>
      <c r="K157" s="212">
        <f t="shared" si="12"/>
        <v>0.50549450549450547</v>
      </c>
      <c r="L157" s="209">
        <f>VLOOKUP(E157,'Custos Matéria Prima Embalagens'!B:G,6,0)</f>
        <v>0</v>
      </c>
      <c r="M157" s="209">
        <f t="shared" si="13"/>
        <v>0</v>
      </c>
      <c r="N157" s="209">
        <f t="shared" si="14"/>
        <v>0</v>
      </c>
    </row>
    <row r="158" spans="1:14" hidden="1">
      <c r="A158" s="129" t="s">
        <v>1195</v>
      </c>
      <c r="B158" s="129" t="s">
        <v>1196</v>
      </c>
      <c r="C158" s="129" t="s">
        <v>595</v>
      </c>
      <c r="D158" s="129" t="s">
        <v>1248</v>
      </c>
      <c r="E158" s="129" t="s">
        <v>1201</v>
      </c>
      <c r="F158" s="129" t="s">
        <v>1202</v>
      </c>
      <c r="G158" s="210">
        <v>2.5</v>
      </c>
      <c r="H158" s="211">
        <f t="shared" si="10"/>
        <v>910</v>
      </c>
      <c r="I158" s="207">
        <f>IF(F158="CONCENTRADO SEMI BRILHO",G158/'De-Para'!$B$9,G158/VLOOKUP(B158,'De-Para'!A:B,2,0))</f>
        <v>1.9685039370078741</v>
      </c>
      <c r="J158" s="206">
        <f t="shared" si="11"/>
        <v>716.53543307086613</v>
      </c>
      <c r="K158" s="212">
        <f t="shared" si="12"/>
        <v>2.7472527472527475E-3</v>
      </c>
      <c r="L158" s="209">
        <f>VLOOKUP(E158,'Custos Matéria Prima Embalagens'!B:G,6,0)</f>
        <v>7.18</v>
      </c>
      <c r="M158" s="209">
        <f t="shared" si="13"/>
        <v>17.95</v>
      </c>
      <c r="N158" s="209">
        <f t="shared" si="14"/>
        <v>0.03</v>
      </c>
    </row>
    <row r="159" spans="1:14" hidden="1">
      <c r="A159" s="129" t="s">
        <v>1195</v>
      </c>
      <c r="B159" s="129" t="s">
        <v>1196</v>
      </c>
      <c r="C159" s="129" t="s">
        <v>595</v>
      </c>
      <c r="D159" s="129" t="s">
        <v>1248</v>
      </c>
      <c r="E159" s="129" t="s">
        <v>1203</v>
      </c>
      <c r="F159" s="129" t="s">
        <v>1204</v>
      </c>
      <c r="G159" s="210">
        <v>3</v>
      </c>
      <c r="H159" s="211">
        <f t="shared" si="10"/>
        <v>910</v>
      </c>
      <c r="I159" s="207">
        <f>IF(F159="CONCENTRADO SEMI BRILHO",G159/'De-Para'!$B$9,G159/VLOOKUP(B159,'De-Para'!A:B,2,0))</f>
        <v>2.3622047244094486</v>
      </c>
      <c r="J159" s="206">
        <f t="shared" si="11"/>
        <v>716.53543307086613</v>
      </c>
      <c r="K159" s="212">
        <f t="shared" si="12"/>
        <v>3.2967032967032967E-3</v>
      </c>
      <c r="L159" s="209">
        <f>VLOOKUP(E159,'Custos Matéria Prima Embalagens'!B:G,6,0)</f>
        <v>4.9399999999999995</v>
      </c>
      <c r="M159" s="209">
        <f t="shared" si="13"/>
        <v>14.819999999999999</v>
      </c>
      <c r="N159" s="209">
        <f t="shared" si="14"/>
        <v>0.02</v>
      </c>
    </row>
    <row r="160" spans="1:14" hidden="1">
      <c r="A160" s="129" t="s">
        <v>1195</v>
      </c>
      <c r="B160" s="129" t="s">
        <v>1196</v>
      </c>
      <c r="C160" s="129" t="s">
        <v>595</v>
      </c>
      <c r="D160" s="129" t="s">
        <v>1248</v>
      </c>
      <c r="E160" s="129" t="s">
        <v>1205</v>
      </c>
      <c r="F160" s="129" t="s">
        <v>1206</v>
      </c>
      <c r="G160" s="210">
        <v>2</v>
      </c>
      <c r="H160" s="211">
        <f t="shared" si="10"/>
        <v>910</v>
      </c>
      <c r="I160" s="207">
        <f>IF(F160="CONCENTRADO SEMI BRILHO",G160/'De-Para'!$B$9,G160/VLOOKUP(B160,'De-Para'!A:B,2,0))</f>
        <v>1.5748031496062991</v>
      </c>
      <c r="J160" s="206">
        <f t="shared" si="11"/>
        <v>716.53543307086613</v>
      </c>
      <c r="K160" s="212">
        <f t="shared" si="12"/>
        <v>2.1978021978021978E-3</v>
      </c>
      <c r="L160" s="209">
        <f>VLOOKUP(E160,'Custos Matéria Prima Embalagens'!B:G,6,0)</f>
        <v>7.33</v>
      </c>
      <c r="M160" s="209">
        <f t="shared" si="13"/>
        <v>14.66</v>
      </c>
      <c r="N160" s="209">
        <f t="shared" si="14"/>
        <v>0.02</v>
      </c>
    </row>
    <row r="161" spans="1:14" hidden="1">
      <c r="A161" s="129" t="s">
        <v>1195</v>
      </c>
      <c r="B161" s="129" t="s">
        <v>1196</v>
      </c>
      <c r="C161" s="129" t="s">
        <v>595</v>
      </c>
      <c r="D161" s="129" t="s">
        <v>1248</v>
      </c>
      <c r="E161" s="129" t="s">
        <v>1207</v>
      </c>
      <c r="F161" s="129" t="s">
        <v>1208</v>
      </c>
      <c r="G161" s="210">
        <v>3</v>
      </c>
      <c r="H161" s="211">
        <f t="shared" si="10"/>
        <v>910</v>
      </c>
      <c r="I161" s="207">
        <f>IF(F161="CONCENTRADO SEMI BRILHO",G161/'De-Para'!$B$9,G161/VLOOKUP(B161,'De-Para'!A:B,2,0))</f>
        <v>2.3622047244094486</v>
      </c>
      <c r="J161" s="206">
        <f t="shared" si="11"/>
        <v>716.53543307086613</v>
      </c>
      <c r="K161" s="212">
        <f t="shared" si="12"/>
        <v>3.2967032967032967E-3</v>
      </c>
      <c r="L161" s="209">
        <f>VLOOKUP(E161,'Custos Matéria Prima Embalagens'!B:G,6,0)</f>
        <v>6.8599999999999994</v>
      </c>
      <c r="M161" s="209">
        <f t="shared" si="13"/>
        <v>20.58</v>
      </c>
      <c r="N161" s="209">
        <f t="shared" si="14"/>
        <v>0.03</v>
      </c>
    </row>
    <row r="162" spans="1:14" hidden="1">
      <c r="A162" s="129" t="s">
        <v>1195</v>
      </c>
      <c r="B162" s="129" t="s">
        <v>1196</v>
      </c>
      <c r="C162" s="129" t="s">
        <v>595</v>
      </c>
      <c r="D162" s="129" t="s">
        <v>1248</v>
      </c>
      <c r="E162" s="129" t="s">
        <v>1209</v>
      </c>
      <c r="F162" s="129" t="s">
        <v>1210</v>
      </c>
      <c r="G162" s="210">
        <v>2.5</v>
      </c>
      <c r="H162" s="211">
        <f t="shared" si="10"/>
        <v>910</v>
      </c>
      <c r="I162" s="207">
        <f>IF(F162="CONCENTRADO SEMI BRILHO",G162/'De-Para'!$B$9,G162/VLOOKUP(B162,'De-Para'!A:B,2,0))</f>
        <v>1.9685039370078741</v>
      </c>
      <c r="J162" s="206">
        <f t="shared" si="11"/>
        <v>716.53543307086613</v>
      </c>
      <c r="K162" s="212">
        <f t="shared" si="12"/>
        <v>2.7472527472527475E-3</v>
      </c>
      <c r="L162" s="209">
        <f>VLOOKUP(E162,'Custos Matéria Prima Embalagens'!B:G,6,0)</f>
        <v>7</v>
      </c>
      <c r="M162" s="209">
        <f t="shared" si="13"/>
        <v>17.5</v>
      </c>
      <c r="N162" s="209">
        <f t="shared" si="14"/>
        <v>0.02</v>
      </c>
    </row>
    <row r="163" spans="1:14" hidden="1">
      <c r="A163" s="129" t="s">
        <v>1195</v>
      </c>
      <c r="B163" s="129" t="s">
        <v>1196</v>
      </c>
      <c r="C163" s="129" t="s">
        <v>595</v>
      </c>
      <c r="D163" s="129" t="s">
        <v>1248</v>
      </c>
      <c r="E163" s="129" t="s">
        <v>1215</v>
      </c>
      <c r="F163" s="129" t="s">
        <v>1216</v>
      </c>
      <c r="G163" s="210">
        <v>50</v>
      </c>
      <c r="H163" s="211">
        <f t="shared" si="10"/>
        <v>910</v>
      </c>
      <c r="I163" s="207">
        <f>IF(F163="CONCENTRADO SEMI BRILHO",G163/'De-Para'!$B$9,G163/VLOOKUP(B163,'De-Para'!A:B,2,0))</f>
        <v>39.370078740157481</v>
      </c>
      <c r="J163" s="206">
        <f t="shared" si="11"/>
        <v>716.53543307086613</v>
      </c>
      <c r="K163" s="212">
        <f t="shared" si="12"/>
        <v>5.4945054945054944E-2</v>
      </c>
      <c r="L163" s="209">
        <f>VLOOKUP(E163,'Custos Matéria Prima Embalagens'!B:G,6,0)</f>
        <v>0.8</v>
      </c>
      <c r="M163" s="209">
        <f t="shared" si="13"/>
        <v>40</v>
      </c>
      <c r="N163" s="209">
        <f t="shared" si="14"/>
        <v>0.06</v>
      </c>
    </row>
    <row r="164" spans="1:14" hidden="1">
      <c r="A164" s="129" t="s">
        <v>1195</v>
      </c>
      <c r="B164" s="129" t="s">
        <v>1196</v>
      </c>
      <c r="C164" s="129" t="s">
        <v>595</v>
      </c>
      <c r="D164" s="129" t="s">
        <v>1248</v>
      </c>
      <c r="E164" s="129" t="s">
        <v>1227</v>
      </c>
      <c r="F164" s="129" t="s">
        <v>1228</v>
      </c>
      <c r="G164" s="210">
        <v>325</v>
      </c>
      <c r="H164" s="211">
        <f t="shared" si="10"/>
        <v>910</v>
      </c>
      <c r="I164" s="207">
        <f>IF(F164="CONCENTRADO SEMI BRILHO",G164/'De-Para'!$B$9,G164/VLOOKUP(B164,'De-Para'!A:B,2,0))</f>
        <v>255.90551181102362</v>
      </c>
      <c r="J164" s="206">
        <f t="shared" si="11"/>
        <v>716.53543307086613</v>
      </c>
      <c r="K164" s="212">
        <f t="shared" si="12"/>
        <v>0.35714285714285715</v>
      </c>
      <c r="L164" s="209">
        <f>VLOOKUP(E164,'Custos Matéria Prima Embalagens'!B:G,6,0)</f>
        <v>1.520495555555555</v>
      </c>
      <c r="M164" s="209">
        <f t="shared" si="13"/>
        <v>494.16105555555538</v>
      </c>
      <c r="N164" s="209">
        <f t="shared" si="14"/>
        <v>0.69</v>
      </c>
    </row>
    <row r="165" spans="1:14" hidden="1">
      <c r="A165" s="129" t="s">
        <v>1195</v>
      </c>
      <c r="B165" s="129" t="s">
        <v>1196</v>
      </c>
      <c r="C165" s="129" t="s">
        <v>595</v>
      </c>
      <c r="D165" s="129" t="s">
        <v>1248</v>
      </c>
      <c r="E165" s="129" t="s">
        <v>1217</v>
      </c>
      <c r="F165" s="129" t="s">
        <v>1218</v>
      </c>
      <c r="G165" s="210">
        <v>30</v>
      </c>
      <c r="H165" s="211">
        <f t="shared" si="10"/>
        <v>910</v>
      </c>
      <c r="I165" s="207">
        <f>IF(F165="CONCENTRADO SEMI BRILHO",G165/'De-Para'!$B$9,G165/VLOOKUP(B165,'De-Para'!A:B,2,0))</f>
        <v>23.622047244094489</v>
      </c>
      <c r="J165" s="206">
        <f t="shared" si="11"/>
        <v>716.53543307086613</v>
      </c>
      <c r="K165" s="212">
        <f t="shared" si="12"/>
        <v>3.2967032967032968E-2</v>
      </c>
      <c r="L165" s="209">
        <f>VLOOKUP(E165,'Custos Matéria Prima Embalagens'!B:G,6,0)</f>
        <v>8.43</v>
      </c>
      <c r="M165" s="209">
        <f t="shared" si="13"/>
        <v>252.89999999999998</v>
      </c>
      <c r="N165" s="209">
        <f t="shared" si="14"/>
        <v>0.35</v>
      </c>
    </row>
    <row r="166" spans="1:14" hidden="1">
      <c r="A166" s="129" t="s">
        <v>1195</v>
      </c>
      <c r="B166" s="129" t="s">
        <v>1196</v>
      </c>
      <c r="C166" s="129" t="s">
        <v>595</v>
      </c>
      <c r="D166" s="129" t="s">
        <v>1248</v>
      </c>
      <c r="E166" s="129" t="s">
        <v>1219</v>
      </c>
      <c r="F166" s="129" t="s">
        <v>1220</v>
      </c>
      <c r="G166" s="210">
        <v>3</v>
      </c>
      <c r="H166" s="211">
        <f t="shared" si="10"/>
        <v>910</v>
      </c>
      <c r="I166" s="207">
        <f>IF(F166="CONCENTRADO SEMI BRILHO",G166/'De-Para'!$B$9,G166/VLOOKUP(B166,'De-Para'!A:B,2,0))</f>
        <v>2.3622047244094486</v>
      </c>
      <c r="J166" s="206">
        <f t="shared" si="11"/>
        <v>716.53543307086613</v>
      </c>
      <c r="K166" s="212">
        <f t="shared" si="12"/>
        <v>3.2967032967032967E-3</v>
      </c>
      <c r="L166" s="209">
        <f>VLOOKUP(E166,'Custos Matéria Prima Embalagens'!B:G,6,0)</f>
        <v>4.9800000000000004</v>
      </c>
      <c r="M166" s="209">
        <f t="shared" si="13"/>
        <v>14.940000000000001</v>
      </c>
      <c r="N166" s="209">
        <f t="shared" si="14"/>
        <v>0.02</v>
      </c>
    </row>
    <row r="167" spans="1:14" hidden="1">
      <c r="A167" s="129" t="s">
        <v>1195</v>
      </c>
      <c r="B167" s="129" t="s">
        <v>1196</v>
      </c>
      <c r="C167" s="129" t="s">
        <v>595</v>
      </c>
      <c r="D167" s="129" t="s">
        <v>1248</v>
      </c>
      <c r="E167" s="129" t="s">
        <v>1221</v>
      </c>
      <c r="F167" s="129" t="s">
        <v>1222</v>
      </c>
      <c r="G167" s="210">
        <v>15.5</v>
      </c>
      <c r="H167" s="211">
        <f t="shared" si="10"/>
        <v>910</v>
      </c>
      <c r="I167" s="207">
        <f>IF(F167="CONCENTRADO SEMI BRILHO",G167/'De-Para'!$B$9,G167/VLOOKUP(B167,'De-Para'!A:B,2,0))</f>
        <v>12.204724409448819</v>
      </c>
      <c r="J167" s="206">
        <f t="shared" si="11"/>
        <v>716.53543307086613</v>
      </c>
      <c r="K167" s="212">
        <f t="shared" si="12"/>
        <v>1.7032967032967031E-2</v>
      </c>
      <c r="L167" s="209">
        <f>VLOOKUP(E167,'Custos Matéria Prima Embalagens'!B:G,6,0)</f>
        <v>7.9049999999999994</v>
      </c>
      <c r="M167" s="209">
        <f t="shared" si="13"/>
        <v>122.52749999999999</v>
      </c>
      <c r="N167" s="209">
        <f t="shared" si="14"/>
        <v>0.17</v>
      </c>
    </row>
    <row r="168" spans="1:14" hidden="1">
      <c r="A168" s="129" t="s">
        <v>1195</v>
      </c>
      <c r="B168" s="129" t="s">
        <v>1196</v>
      </c>
      <c r="C168" s="129" t="s">
        <v>595</v>
      </c>
      <c r="D168" s="129" t="s">
        <v>1248</v>
      </c>
      <c r="E168" s="129" t="s">
        <v>1223</v>
      </c>
      <c r="F168" s="129" t="s">
        <v>1224</v>
      </c>
      <c r="G168" s="210">
        <v>7.5</v>
      </c>
      <c r="H168" s="211">
        <f t="shared" si="10"/>
        <v>910</v>
      </c>
      <c r="I168" s="207">
        <f>IF(F168="CONCENTRADO SEMI BRILHO",G168/'De-Para'!$B$9,G168/VLOOKUP(B168,'De-Para'!A:B,2,0))</f>
        <v>5.9055118110236222</v>
      </c>
      <c r="J168" s="206">
        <f t="shared" si="11"/>
        <v>716.53543307086613</v>
      </c>
      <c r="K168" s="212">
        <f t="shared" si="12"/>
        <v>8.241758241758242E-3</v>
      </c>
      <c r="L168" s="209">
        <f>VLOOKUP(E168,'Custos Matéria Prima Embalagens'!B:G,6,0)</f>
        <v>4.8499999999999996</v>
      </c>
      <c r="M168" s="209">
        <f t="shared" si="13"/>
        <v>36.375</v>
      </c>
      <c r="N168" s="209">
        <f t="shared" si="14"/>
        <v>0.05</v>
      </c>
    </row>
    <row r="169" spans="1:14" hidden="1">
      <c r="A169" s="129" t="s">
        <v>1195</v>
      </c>
      <c r="B169" s="129" t="s">
        <v>1196</v>
      </c>
      <c r="C169" s="129" t="s">
        <v>595</v>
      </c>
      <c r="D169" s="129" t="s">
        <v>1248</v>
      </c>
      <c r="E169" s="129" t="s">
        <v>1229</v>
      </c>
      <c r="F169" s="129" t="s">
        <v>1230</v>
      </c>
      <c r="G169" s="210">
        <v>5</v>
      </c>
      <c r="H169" s="211">
        <f t="shared" si="10"/>
        <v>910</v>
      </c>
      <c r="I169" s="207">
        <f>IF(F169="CONCENTRADO SEMI BRILHO",G169/'De-Para'!$B$9,G169/VLOOKUP(B169,'De-Para'!A:B,2,0))</f>
        <v>3.9370078740157481</v>
      </c>
      <c r="J169" s="206">
        <f t="shared" si="11"/>
        <v>716.53543307086613</v>
      </c>
      <c r="K169" s="212">
        <f t="shared" si="12"/>
        <v>5.4945054945054949E-3</v>
      </c>
      <c r="L169" s="209">
        <f>VLOOKUP(E169,'Custos Matéria Prima Embalagens'!B:G,6,0)</f>
        <v>19.22</v>
      </c>
      <c r="M169" s="209">
        <f t="shared" si="13"/>
        <v>96.1</v>
      </c>
      <c r="N169" s="209">
        <f t="shared" si="14"/>
        <v>0.13</v>
      </c>
    </row>
    <row r="170" spans="1:14" hidden="1">
      <c r="A170" s="129" t="s">
        <v>1195</v>
      </c>
      <c r="B170" s="129" t="s">
        <v>1196</v>
      </c>
      <c r="C170" s="129" t="s">
        <v>595</v>
      </c>
      <c r="D170" s="129" t="s">
        <v>1248</v>
      </c>
      <c r="E170" s="129" t="s">
        <v>1244</v>
      </c>
      <c r="F170" s="129" t="s">
        <v>1245</v>
      </c>
      <c r="G170" s="210">
        <v>1</v>
      </c>
      <c r="H170" s="211">
        <f t="shared" si="10"/>
        <v>910</v>
      </c>
      <c r="I170" s="207">
        <f>IF(F170="CONCENTRADO SEMI BRILHO",G170/'De-Para'!$B$9,G170/VLOOKUP(B170,'De-Para'!A:B,2,0))</f>
        <v>0.78740157480314954</v>
      </c>
      <c r="J170" s="206">
        <f t="shared" si="11"/>
        <v>716.53543307086613</v>
      </c>
      <c r="K170" s="212">
        <f t="shared" si="12"/>
        <v>1.0989010989010989E-3</v>
      </c>
      <c r="L170" s="209">
        <f>VLOOKUP(E170,'Custos Matéria Prima Embalagens'!B:G,6,0)</f>
        <v>40.33</v>
      </c>
      <c r="M170" s="209">
        <f t="shared" si="13"/>
        <v>40.33</v>
      </c>
      <c r="N170" s="209">
        <f t="shared" si="14"/>
        <v>0.06</v>
      </c>
    </row>
    <row r="171" spans="1:14" hidden="1">
      <c r="A171" s="129" t="s">
        <v>1195</v>
      </c>
      <c r="B171" s="129" t="s">
        <v>1196</v>
      </c>
      <c r="C171" s="129" t="s">
        <v>598</v>
      </c>
      <c r="D171" s="129" t="s">
        <v>599</v>
      </c>
      <c r="E171" s="129" t="s">
        <v>1197</v>
      </c>
      <c r="F171" s="129" t="s">
        <v>1198</v>
      </c>
      <c r="G171" s="210">
        <v>460</v>
      </c>
      <c r="H171" s="211">
        <f t="shared" si="10"/>
        <v>910.94500000000005</v>
      </c>
      <c r="I171" s="207">
        <f>IF(F171="CONCENTRADO SEMI BRILHO",G171/'De-Para'!$B$9,G171/VLOOKUP(B171,'De-Para'!A:B,2,0))</f>
        <v>362.20472440944883</v>
      </c>
      <c r="J171" s="206">
        <f t="shared" si="11"/>
        <v>717.27952755905505</v>
      </c>
      <c r="K171" s="212">
        <f t="shared" si="12"/>
        <v>0.50497011345361131</v>
      </c>
      <c r="L171" s="209">
        <f>VLOOKUP(E171,'Custos Matéria Prima Embalagens'!B:G,6,0)</f>
        <v>0</v>
      </c>
      <c r="M171" s="209">
        <f t="shared" si="13"/>
        <v>0</v>
      </c>
      <c r="N171" s="209">
        <f t="shared" si="14"/>
        <v>0</v>
      </c>
    </row>
    <row r="172" spans="1:14" hidden="1">
      <c r="A172" s="129" t="s">
        <v>1195</v>
      </c>
      <c r="B172" s="129" t="s">
        <v>1196</v>
      </c>
      <c r="C172" s="129" t="s">
        <v>598</v>
      </c>
      <c r="D172" s="129" t="s">
        <v>599</v>
      </c>
      <c r="E172" s="129" t="s">
        <v>1201</v>
      </c>
      <c r="F172" s="129" t="s">
        <v>1202</v>
      </c>
      <c r="G172" s="210">
        <v>2.5</v>
      </c>
      <c r="H172" s="211">
        <f t="shared" si="10"/>
        <v>910.94500000000005</v>
      </c>
      <c r="I172" s="207">
        <f>IF(F172="CONCENTRADO SEMI BRILHO",G172/'De-Para'!$B$9,G172/VLOOKUP(B172,'De-Para'!A:B,2,0))</f>
        <v>1.9685039370078741</v>
      </c>
      <c r="J172" s="206">
        <f t="shared" si="11"/>
        <v>717.27952755905505</v>
      </c>
      <c r="K172" s="212">
        <f t="shared" si="12"/>
        <v>2.7444027905087574E-3</v>
      </c>
      <c r="L172" s="209">
        <f>VLOOKUP(E172,'Custos Matéria Prima Embalagens'!B:G,6,0)</f>
        <v>7.18</v>
      </c>
      <c r="M172" s="209">
        <f t="shared" si="13"/>
        <v>17.95</v>
      </c>
      <c r="N172" s="209">
        <f t="shared" si="14"/>
        <v>0.03</v>
      </c>
    </row>
    <row r="173" spans="1:14" hidden="1">
      <c r="A173" s="129" t="s">
        <v>1195</v>
      </c>
      <c r="B173" s="129" t="s">
        <v>1196</v>
      </c>
      <c r="C173" s="129" t="s">
        <v>598</v>
      </c>
      <c r="D173" s="129" t="s">
        <v>599</v>
      </c>
      <c r="E173" s="129" t="s">
        <v>1203</v>
      </c>
      <c r="F173" s="129" t="s">
        <v>1204</v>
      </c>
      <c r="G173" s="210">
        <v>3</v>
      </c>
      <c r="H173" s="211">
        <f t="shared" si="10"/>
        <v>910.94500000000005</v>
      </c>
      <c r="I173" s="207">
        <f>IF(F173="CONCENTRADO SEMI BRILHO",G173/'De-Para'!$B$9,G173/VLOOKUP(B173,'De-Para'!A:B,2,0))</f>
        <v>2.3622047244094486</v>
      </c>
      <c r="J173" s="206">
        <f t="shared" si="11"/>
        <v>717.27952755905505</v>
      </c>
      <c r="K173" s="212">
        <f t="shared" si="12"/>
        <v>3.2932833486105087E-3</v>
      </c>
      <c r="L173" s="209">
        <f>VLOOKUP(E173,'Custos Matéria Prima Embalagens'!B:G,6,0)</f>
        <v>4.9399999999999995</v>
      </c>
      <c r="M173" s="209">
        <f t="shared" si="13"/>
        <v>14.819999999999999</v>
      </c>
      <c r="N173" s="209">
        <f t="shared" si="14"/>
        <v>0.02</v>
      </c>
    </row>
    <row r="174" spans="1:14" hidden="1">
      <c r="A174" s="129" t="s">
        <v>1195</v>
      </c>
      <c r="B174" s="129" t="s">
        <v>1196</v>
      </c>
      <c r="C174" s="129" t="s">
        <v>598</v>
      </c>
      <c r="D174" s="129" t="s">
        <v>599</v>
      </c>
      <c r="E174" s="129" t="s">
        <v>1205</v>
      </c>
      <c r="F174" s="129" t="s">
        <v>1206</v>
      </c>
      <c r="G174" s="210">
        <v>2</v>
      </c>
      <c r="H174" s="211">
        <f t="shared" si="10"/>
        <v>910.94500000000005</v>
      </c>
      <c r="I174" s="207">
        <f>IF(F174="CONCENTRADO SEMI BRILHO",G174/'De-Para'!$B$9,G174/VLOOKUP(B174,'De-Para'!A:B,2,0))</f>
        <v>1.5748031496062991</v>
      </c>
      <c r="J174" s="206">
        <f t="shared" si="11"/>
        <v>717.27952755905505</v>
      </c>
      <c r="K174" s="212">
        <f t="shared" si="12"/>
        <v>2.1955222324070056E-3</v>
      </c>
      <c r="L174" s="209">
        <f>VLOOKUP(E174,'Custos Matéria Prima Embalagens'!B:G,6,0)</f>
        <v>7.33</v>
      </c>
      <c r="M174" s="209">
        <f t="shared" si="13"/>
        <v>14.66</v>
      </c>
      <c r="N174" s="209">
        <f t="shared" si="14"/>
        <v>0.02</v>
      </c>
    </row>
    <row r="175" spans="1:14" hidden="1">
      <c r="A175" s="129" t="s">
        <v>1195</v>
      </c>
      <c r="B175" s="129" t="s">
        <v>1196</v>
      </c>
      <c r="C175" s="129" t="s">
        <v>598</v>
      </c>
      <c r="D175" s="129" t="s">
        <v>599</v>
      </c>
      <c r="E175" s="129" t="s">
        <v>1207</v>
      </c>
      <c r="F175" s="129" t="s">
        <v>1208</v>
      </c>
      <c r="G175" s="210">
        <v>3</v>
      </c>
      <c r="H175" s="211">
        <f t="shared" si="10"/>
        <v>910.94500000000005</v>
      </c>
      <c r="I175" s="207">
        <f>IF(F175="CONCENTRADO SEMI BRILHO",G175/'De-Para'!$B$9,G175/VLOOKUP(B175,'De-Para'!A:B,2,0))</f>
        <v>2.3622047244094486</v>
      </c>
      <c r="J175" s="206">
        <f t="shared" si="11"/>
        <v>717.27952755905505</v>
      </c>
      <c r="K175" s="212">
        <f t="shared" si="12"/>
        <v>3.2932833486105087E-3</v>
      </c>
      <c r="L175" s="209">
        <f>VLOOKUP(E175,'Custos Matéria Prima Embalagens'!B:G,6,0)</f>
        <v>6.8599999999999994</v>
      </c>
      <c r="M175" s="209">
        <f t="shared" si="13"/>
        <v>20.58</v>
      </c>
      <c r="N175" s="209">
        <f t="shared" si="14"/>
        <v>0.03</v>
      </c>
    </row>
    <row r="176" spans="1:14" hidden="1">
      <c r="A176" s="129" t="s">
        <v>1195</v>
      </c>
      <c r="B176" s="129" t="s">
        <v>1196</v>
      </c>
      <c r="C176" s="129" t="s">
        <v>598</v>
      </c>
      <c r="D176" s="129" t="s">
        <v>599</v>
      </c>
      <c r="E176" s="129" t="s">
        <v>1209</v>
      </c>
      <c r="F176" s="129" t="s">
        <v>1210</v>
      </c>
      <c r="G176" s="210">
        <v>2.5</v>
      </c>
      <c r="H176" s="211">
        <f t="shared" si="10"/>
        <v>910.94500000000005</v>
      </c>
      <c r="I176" s="207">
        <f>IF(F176="CONCENTRADO SEMI BRILHO",G176/'De-Para'!$B$9,G176/VLOOKUP(B176,'De-Para'!A:B,2,0))</f>
        <v>1.9685039370078741</v>
      </c>
      <c r="J176" s="206">
        <f t="shared" si="11"/>
        <v>717.27952755905505</v>
      </c>
      <c r="K176" s="212">
        <f t="shared" si="12"/>
        <v>2.7444027905087574E-3</v>
      </c>
      <c r="L176" s="209">
        <f>VLOOKUP(E176,'Custos Matéria Prima Embalagens'!B:G,6,0)</f>
        <v>7</v>
      </c>
      <c r="M176" s="209">
        <f t="shared" si="13"/>
        <v>17.5</v>
      </c>
      <c r="N176" s="209">
        <f t="shared" si="14"/>
        <v>0.02</v>
      </c>
    </row>
    <row r="177" spans="1:14" hidden="1">
      <c r="A177" s="129" t="s">
        <v>1195</v>
      </c>
      <c r="B177" s="129" t="s">
        <v>1196</v>
      </c>
      <c r="C177" s="129" t="s">
        <v>598</v>
      </c>
      <c r="D177" s="129" t="s">
        <v>599</v>
      </c>
      <c r="E177" s="129" t="s">
        <v>1215</v>
      </c>
      <c r="F177" s="129" t="s">
        <v>1216</v>
      </c>
      <c r="G177" s="210">
        <v>50</v>
      </c>
      <c r="H177" s="211">
        <f t="shared" si="10"/>
        <v>910.94500000000005</v>
      </c>
      <c r="I177" s="207">
        <f>IF(F177="CONCENTRADO SEMI BRILHO",G177/'De-Para'!$B$9,G177/VLOOKUP(B177,'De-Para'!A:B,2,0))</f>
        <v>39.370078740157481</v>
      </c>
      <c r="J177" s="206">
        <f t="shared" si="11"/>
        <v>717.27952755905505</v>
      </c>
      <c r="K177" s="212">
        <f t="shared" si="12"/>
        <v>5.4888055810175147E-2</v>
      </c>
      <c r="L177" s="209">
        <f>VLOOKUP(E177,'Custos Matéria Prima Embalagens'!B:G,6,0)</f>
        <v>0.8</v>
      </c>
      <c r="M177" s="209">
        <f t="shared" si="13"/>
        <v>40</v>
      </c>
      <c r="N177" s="209">
        <f t="shared" si="14"/>
        <v>0.06</v>
      </c>
    </row>
    <row r="178" spans="1:14" hidden="1">
      <c r="A178" s="129" t="s">
        <v>1195</v>
      </c>
      <c r="B178" s="129" t="s">
        <v>1196</v>
      </c>
      <c r="C178" s="129" t="s">
        <v>598</v>
      </c>
      <c r="D178" s="129" t="s">
        <v>599</v>
      </c>
      <c r="E178" s="129" t="s">
        <v>1227</v>
      </c>
      <c r="F178" s="129" t="s">
        <v>1228</v>
      </c>
      <c r="G178" s="210">
        <v>325</v>
      </c>
      <c r="H178" s="211">
        <f t="shared" si="10"/>
        <v>910.94500000000005</v>
      </c>
      <c r="I178" s="207">
        <f>IF(F178="CONCENTRADO SEMI BRILHO",G178/'De-Para'!$B$9,G178/VLOOKUP(B178,'De-Para'!A:B,2,0))</f>
        <v>255.90551181102362</v>
      </c>
      <c r="J178" s="206">
        <f t="shared" si="11"/>
        <v>717.27952755905505</v>
      </c>
      <c r="K178" s="212">
        <f t="shared" si="12"/>
        <v>0.35677236276613844</v>
      </c>
      <c r="L178" s="209">
        <f>VLOOKUP(E178,'Custos Matéria Prima Embalagens'!B:G,6,0)</f>
        <v>1.520495555555555</v>
      </c>
      <c r="M178" s="209">
        <f t="shared" si="13"/>
        <v>494.16105555555538</v>
      </c>
      <c r="N178" s="209">
        <f t="shared" si="14"/>
        <v>0.69</v>
      </c>
    </row>
    <row r="179" spans="1:14" hidden="1">
      <c r="A179" s="129" t="s">
        <v>1195</v>
      </c>
      <c r="B179" s="129" t="s">
        <v>1196</v>
      </c>
      <c r="C179" s="129" t="s">
        <v>598</v>
      </c>
      <c r="D179" s="129" t="s">
        <v>599</v>
      </c>
      <c r="E179" s="129" t="s">
        <v>1217</v>
      </c>
      <c r="F179" s="129" t="s">
        <v>1218</v>
      </c>
      <c r="G179" s="210">
        <v>30</v>
      </c>
      <c r="H179" s="211">
        <f t="shared" si="10"/>
        <v>910.94500000000005</v>
      </c>
      <c r="I179" s="207">
        <f>IF(F179="CONCENTRADO SEMI BRILHO",G179/'De-Para'!$B$9,G179/VLOOKUP(B179,'De-Para'!A:B,2,0))</f>
        <v>23.622047244094489</v>
      </c>
      <c r="J179" s="206">
        <f t="shared" si="11"/>
        <v>717.27952755905505</v>
      </c>
      <c r="K179" s="212">
        <f t="shared" si="12"/>
        <v>3.2932833486105088E-2</v>
      </c>
      <c r="L179" s="209">
        <f>VLOOKUP(E179,'Custos Matéria Prima Embalagens'!B:G,6,0)</f>
        <v>8.43</v>
      </c>
      <c r="M179" s="209">
        <f t="shared" si="13"/>
        <v>252.89999999999998</v>
      </c>
      <c r="N179" s="209">
        <f t="shared" si="14"/>
        <v>0.35</v>
      </c>
    </row>
    <row r="180" spans="1:14" hidden="1">
      <c r="A180" s="129" t="s">
        <v>1195</v>
      </c>
      <c r="B180" s="129" t="s">
        <v>1196</v>
      </c>
      <c r="C180" s="129" t="s">
        <v>598</v>
      </c>
      <c r="D180" s="129" t="s">
        <v>599</v>
      </c>
      <c r="E180" s="129" t="s">
        <v>1219</v>
      </c>
      <c r="F180" s="129" t="s">
        <v>1220</v>
      </c>
      <c r="G180" s="210">
        <v>3</v>
      </c>
      <c r="H180" s="211">
        <f t="shared" si="10"/>
        <v>910.94500000000005</v>
      </c>
      <c r="I180" s="207">
        <f>IF(F180="CONCENTRADO SEMI BRILHO",G180/'De-Para'!$B$9,G180/VLOOKUP(B180,'De-Para'!A:B,2,0))</f>
        <v>2.3622047244094486</v>
      </c>
      <c r="J180" s="206">
        <f t="shared" si="11"/>
        <v>717.27952755905505</v>
      </c>
      <c r="K180" s="212">
        <f t="shared" si="12"/>
        <v>3.2932833486105087E-3</v>
      </c>
      <c r="L180" s="209">
        <f>VLOOKUP(E180,'Custos Matéria Prima Embalagens'!B:G,6,0)</f>
        <v>4.9800000000000004</v>
      </c>
      <c r="M180" s="209">
        <f t="shared" si="13"/>
        <v>14.940000000000001</v>
      </c>
      <c r="N180" s="209">
        <f t="shared" si="14"/>
        <v>0.02</v>
      </c>
    </row>
    <row r="181" spans="1:14" hidden="1">
      <c r="A181" s="129" t="s">
        <v>1195</v>
      </c>
      <c r="B181" s="129" t="s">
        <v>1196</v>
      </c>
      <c r="C181" s="129" t="s">
        <v>598</v>
      </c>
      <c r="D181" s="129" t="s">
        <v>599</v>
      </c>
      <c r="E181" s="129" t="s">
        <v>1221</v>
      </c>
      <c r="F181" s="129" t="s">
        <v>1222</v>
      </c>
      <c r="G181" s="210">
        <v>15.5</v>
      </c>
      <c r="H181" s="211">
        <f t="shared" si="10"/>
        <v>910.94500000000005</v>
      </c>
      <c r="I181" s="207">
        <f>IF(F181="CONCENTRADO SEMI BRILHO",G181/'De-Para'!$B$9,G181/VLOOKUP(B181,'De-Para'!A:B,2,0))</f>
        <v>12.204724409448819</v>
      </c>
      <c r="J181" s="206">
        <f t="shared" si="11"/>
        <v>717.27952755905505</v>
      </c>
      <c r="K181" s="212">
        <f t="shared" si="12"/>
        <v>1.7015297301154295E-2</v>
      </c>
      <c r="L181" s="209">
        <f>VLOOKUP(E181,'Custos Matéria Prima Embalagens'!B:G,6,0)</f>
        <v>7.9049999999999994</v>
      </c>
      <c r="M181" s="209">
        <f t="shared" si="13"/>
        <v>122.52749999999999</v>
      </c>
      <c r="N181" s="209">
        <f t="shared" si="14"/>
        <v>0.17</v>
      </c>
    </row>
    <row r="182" spans="1:14" hidden="1">
      <c r="A182" s="129" t="s">
        <v>1195</v>
      </c>
      <c r="B182" s="129" t="s">
        <v>1196</v>
      </c>
      <c r="C182" s="129" t="s">
        <v>598</v>
      </c>
      <c r="D182" s="129" t="s">
        <v>599</v>
      </c>
      <c r="E182" s="129" t="s">
        <v>1223</v>
      </c>
      <c r="F182" s="129" t="s">
        <v>1224</v>
      </c>
      <c r="G182" s="210">
        <v>7.5</v>
      </c>
      <c r="H182" s="211">
        <f t="shared" si="10"/>
        <v>910.94500000000005</v>
      </c>
      <c r="I182" s="207">
        <f>IF(F182="CONCENTRADO SEMI BRILHO",G182/'De-Para'!$B$9,G182/VLOOKUP(B182,'De-Para'!A:B,2,0))</f>
        <v>5.9055118110236222</v>
      </c>
      <c r="J182" s="206">
        <f t="shared" si="11"/>
        <v>717.27952755905505</v>
      </c>
      <c r="K182" s="212">
        <f t="shared" si="12"/>
        <v>8.2332083715262721E-3</v>
      </c>
      <c r="L182" s="209">
        <f>VLOOKUP(E182,'Custos Matéria Prima Embalagens'!B:G,6,0)</f>
        <v>4.8499999999999996</v>
      </c>
      <c r="M182" s="209">
        <f t="shared" si="13"/>
        <v>36.375</v>
      </c>
      <c r="N182" s="209">
        <f t="shared" si="14"/>
        <v>0.05</v>
      </c>
    </row>
    <row r="183" spans="1:14" hidden="1">
      <c r="A183" s="129" t="s">
        <v>1195</v>
      </c>
      <c r="B183" s="129" t="s">
        <v>1196</v>
      </c>
      <c r="C183" s="129" t="s">
        <v>598</v>
      </c>
      <c r="D183" s="129" t="s">
        <v>599</v>
      </c>
      <c r="E183" s="129" t="s">
        <v>1229</v>
      </c>
      <c r="F183" s="129" t="s">
        <v>1230</v>
      </c>
      <c r="G183" s="210">
        <v>5</v>
      </c>
      <c r="H183" s="211">
        <f t="shared" si="10"/>
        <v>910.94500000000005</v>
      </c>
      <c r="I183" s="207">
        <f>IF(F183="CONCENTRADO SEMI BRILHO",G183/'De-Para'!$B$9,G183/VLOOKUP(B183,'De-Para'!A:B,2,0))</f>
        <v>3.9370078740157481</v>
      </c>
      <c r="J183" s="206">
        <f t="shared" si="11"/>
        <v>717.27952755905505</v>
      </c>
      <c r="K183" s="212">
        <f t="shared" si="12"/>
        <v>5.4888055810175147E-3</v>
      </c>
      <c r="L183" s="209">
        <f>VLOOKUP(E183,'Custos Matéria Prima Embalagens'!B:G,6,0)</f>
        <v>19.22</v>
      </c>
      <c r="M183" s="209">
        <f t="shared" si="13"/>
        <v>96.1</v>
      </c>
      <c r="N183" s="209">
        <f t="shared" si="14"/>
        <v>0.13</v>
      </c>
    </row>
    <row r="184" spans="1:14" hidden="1">
      <c r="A184" s="129" t="s">
        <v>1195</v>
      </c>
      <c r="B184" s="129" t="s">
        <v>1196</v>
      </c>
      <c r="C184" s="129" t="s">
        <v>598</v>
      </c>
      <c r="D184" s="129" t="s">
        <v>599</v>
      </c>
      <c r="E184" s="129" t="s">
        <v>1233</v>
      </c>
      <c r="F184" s="129" t="s">
        <v>1234</v>
      </c>
      <c r="G184" s="210">
        <v>1.2</v>
      </c>
      <c r="H184" s="211">
        <f t="shared" si="10"/>
        <v>910.94500000000005</v>
      </c>
      <c r="I184" s="207">
        <f>IF(F184="CONCENTRADO SEMI BRILHO",G184/'De-Para'!$B$9,G184/VLOOKUP(B184,'De-Para'!A:B,2,0))</f>
        <v>0.94488188976377951</v>
      </c>
      <c r="J184" s="206">
        <f t="shared" si="11"/>
        <v>717.27952755905505</v>
      </c>
      <c r="K184" s="212">
        <f t="shared" si="12"/>
        <v>1.3173133394442035E-3</v>
      </c>
      <c r="L184" s="209">
        <f>VLOOKUP(E184,'Custos Matéria Prima Embalagens'!B:G,6,0)</f>
        <v>31.93</v>
      </c>
      <c r="M184" s="209">
        <f t="shared" si="13"/>
        <v>38.315999999999995</v>
      </c>
      <c r="N184" s="209">
        <f t="shared" si="14"/>
        <v>0.05</v>
      </c>
    </row>
    <row r="185" spans="1:14" hidden="1">
      <c r="A185" s="129" t="s">
        <v>1195</v>
      </c>
      <c r="B185" s="129" t="s">
        <v>1196</v>
      </c>
      <c r="C185" s="129" t="s">
        <v>598</v>
      </c>
      <c r="D185" s="129" t="s">
        <v>599</v>
      </c>
      <c r="E185" s="129" t="s">
        <v>1239</v>
      </c>
      <c r="F185" s="129" t="s">
        <v>1240</v>
      </c>
      <c r="G185" s="210">
        <v>0.7</v>
      </c>
      <c r="H185" s="211">
        <f t="shared" si="10"/>
        <v>910.94500000000005</v>
      </c>
      <c r="I185" s="207">
        <f>IF(F185="CONCENTRADO SEMI BRILHO",G185/'De-Para'!$B$9,G185/VLOOKUP(B185,'De-Para'!A:B,2,0))</f>
        <v>0.55118110236220463</v>
      </c>
      <c r="J185" s="206">
        <f t="shared" si="11"/>
        <v>717.27952755905505</v>
      </c>
      <c r="K185" s="212">
        <f t="shared" si="12"/>
        <v>7.6843278134245199E-4</v>
      </c>
      <c r="L185" s="209">
        <f>VLOOKUP(E185,'Custos Matéria Prima Embalagens'!B:G,6,0)</f>
        <v>21.11</v>
      </c>
      <c r="M185" s="209">
        <f t="shared" si="13"/>
        <v>14.776999999999999</v>
      </c>
      <c r="N185" s="209">
        <f t="shared" si="14"/>
        <v>0.02</v>
      </c>
    </row>
    <row r="186" spans="1:14" hidden="1">
      <c r="A186" s="129" t="s">
        <v>1195</v>
      </c>
      <c r="B186" s="129" t="s">
        <v>1196</v>
      </c>
      <c r="C186" s="129" t="s">
        <v>598</v>
      </c>
      <c r="D186" s="129" t="s">
        <v>599</v>
      </c>
      <c r="E186" s="129" t="s">
        <v>1231</v>
      </c>
      <c r="F186" s="129" t="s">
        <v>1232</v>
      </c>
      <c r="G186" s="210">
        <v>4.4999999999999998E-2</v>
      </c>
      <c r="H186" s="211">
        <f t="shared" si="10"/>
        <v>910.94500000000005</v>
      </c>
      <c r="I186" s="207">
        <f>IF(F186="CONCENTRADO SEMI BRILHO",G186/'De-Para'!$B$9,G186/VLOOKUP(B186,'De-Para'!A:B,2,0))</f>
        <v>3.5433070866141732E-2</v>
      </c>
      <c r="J186" s="206">
        <f t="shared" si="11"/>
        <v>717.27952755905505</v>
      </c>
      <c r="K186" s="212">
        <f t="shared" si="12"/>
        <v>4.9399250229157632E-5</v>
      </c>
      <c r="L186" s="209">
        <f>VLOOKUP(E186,'Custos Matéria Prima Embalagens'!B:G,6,0)</f>
        <v>15.2</v>
      </c>
      <c r="M186" s="209">
        <f t="shared" si="13"/>
        <v>0.68399999999999994</v>
      </c>
      <c r="N186" s="209">
        <f t="shared" si="14"/>
        <v>0</v>
      </c>
    </row>
    <row r="187" spans="1:14" hidden="1">
      <c r="A187" s="129" t="s">
        <v>1195</v>
      </c>
      <c r="B187" s="129" t="s">
        <v>1196</v>
      </c>
      <c r="C187" s="129" t="s">
        <v>601</v>
      </c>
      <c r="D187" s="129" t="s">
        <v>1249</v>
      </c>
      <c r="E187" s="129" t="s">
        <v>1197</v>
      </c>
      <c r="F187" s="129" t="s">
        <v>1198</v>
      </c>
      <c r="G187" s="210">
        <v>460</v>
      </c>
      <c r="H187" s="211">
        <f t="shared" si="10"/>
        <v>921</v>
      </c>
      <c r="I187" s="207">
        <f>IF(F187="CONCENTRADO SEMI BRILHO",G187/'De-Para'!$B$9,G187/VLOOKUP(B187,'De-Para'!A:B,2,0))</f>
        <v>362.20472440944883</v>
      </c>
      <c r="J187" s="206">
        <f t="shared" si="11"/>
        <v>725.19685039370074</v>
      </c>
      <c r="K187" s="212">
        <f t="shared" si="12"/>
        <v>0.499457111834962</v>
      </c>
      <c r="L187" s="209">
        <f>VLOOKUP(E187,'Custos Matéria Prima Embalagens'!B:G,6,0)</f>
        <v>0</v>
      </c>
      <c r="M187" s="209">
        <f t="shared" si="13"/>
        <v>0</v>
      </c>
      <c r="N187" s="209">
        <f t="shared" si="14"/>
        <v>0</v>
      </c>
    </row>
    <row r="188" spans="1:14" hidden="1">
      <c r="A188" s="129" t="s">
        <v>1195</v>
      </c>
      <c r="B188" s="129" t="s">
        <v>1196</v>
      </c>
      <c r="C188" s="129" t="s">
        <v>601</v>
      </c>
      <c r="D188" s="129" t="s">
        <v>1249</v>
      </c>
      <c r="E188" s="129" t="s">
        <v>1201</v>
      </c>
      <c r="F188" s="129" t="s">
        <v>1202</v>
      </c>
      <c r="G188" s="210">
        <v>2.5</v>
      </c>
      <c r="H188" s="211">
        <f t="shared" si="10"/>
        <v>921</v>
      </c>
      <c r="I188" s="207">
        <f>IF(F188="CONCENTRADO SEMI BRILHO",G188/'De-Para'!$B$9,G188/VLOOKUP(B188,'De-Para'!A:B,2,0))</f>
        <v>1.9685039370078741</v>
      </c>
      <c r="J188" s="206">
        <f t="shared" si="11"/>
        <v>725.19685039370074</v>
      </c>
      <c r="K188" s="212">
        <f t="shared" si="12"/>
        <v>2.7144408251900108E-3</v>
      </c>
      <c r="L188" s="209">
        <f>VLOOKUP(E188,'Custos Matéria Prima Embalagens'!B:G,6,0)</f>
        <v>7.18</v>
      </c>
      <c r="M188" s="209">
        <f t="shared" si="13"/>
        <v>17.95</v>
      </c>
      <c r="N188" s="209">
        <f t="shared" si="14"/>
        <v>0.02</v>
      </c>
    </row>
    <row r="189" spans="1:14" hidden="1">
      <c r="A189" s="129" t="s">
        <v>1195</v>
      </c>
      <c r="B189" s="129" t="s">
        <v>1196</v>
      </c>
      <c r="C189" s="129" t="s">
        <v>601</v>
      </c>
      <c r="D189" s="129" t="s">
        <v>1249</v>
      </c>
      <c r="E189" s="129" t="s">
        <v>1203</v>
      </c>
      <c r="F189" s="129" t="s">
        <v>1204</v>
      </c>
      <c r="G189" s="210">
        <v>3</v>
      </c>
      <c r="H189" s="211">
        <f t="shared" si="10"/>
        <v>921</v>
      </c>
      <c r="I189" s="207">
        <f>IF(F189="CONCENTRADO SEMI BRILHO",G189/'De-Para'!$B$9,G189/VLOOKUP(B189,'De-Para'!A:B,2,0))</f>
        <v>2.3622047244094486</v>
      </c>
      <c r="J189" s="206">
        <f t="shared" si="11"/>
        <v>725.19685039370074</v>
      </c>
      <c r="K189" s="212">
        <f t="shared" si="12"/>
        <v>3.2573289902280132E-3</v>
      </c>
      <c r="L189" s="209">
        <f>VLOOKUP(E189,'Custos Matéria Prima Embalagens'!B:G,6,0)</f>
        <v>4.9399999999999995</v>
      </c>
      <c r="M189" s="209">
        <f t="shared" si="13"/>
        <v>14.819999999999999</v>
      </c>
      <c r="N189" s="209">
        <f t="shared" si="14"/>
        <v>0.02</v>
      </c>
    </row>
    <row r="190" spans="1:14" hidden="1">
      <c r="A190" s="129" t="s">
        <v>1195</v>
      </c>
      <c r="B190" s="129" t="s">
        <v>1196</v>
      </c>
      <c r="C190" s="129" t="s">
        <v>601</v>
      </c>
      <c r="D190" s="129" t="s">
        <v>1249</v>
      </c>
      <c r="E190" s="129" t="s">
        <v>1205</v>
      </c>
      <c r="F190" s="129" t="s">
        <v>1206</v>
      </c>
      <c r="G190" s="210">
        <v>2</v>
      </c>
      <c r="H190" s="211">
        <f t="shared" si="10"/>
        <v>921</v>
      </c>
      <c r="I190" s="207">
        <f>IF(F190="CONCENTRADO SEMI BRILHO",G190/'De-Para'!$B$9,G190/VLOOKUP(B190,'De-Para'!A:B,2,0))</f>
        <v>1.5748031496062991</v>
      </c>
      <c r="J190" s="206">
        <f t="shared" si="11"/>
        <v>725.19685039370074</v>
      </c>
      <c r="K190" s="212">
        <f t="shared" si="12"/>
        <v>2.1715526601520088E-3</v>
      </c>
      <c r="L190" s="209">
        <f>VLOOKUP(E190,'Custos Matéria Prima Embalagens'!B:G,6,0)</f>
        <v>7.33</v>
      </c>
      <c r="M190" s="209">
        <f t="shared" si="13"/>
        <v>14.66</v>
      </c>
      <c r="N190" s="209">
        <f t="shared" si="14"/>
        <v>0.02</v>
      </c>
    </row>
    <row r="191" spans="1:14" hidden="1">
      <c r="A191" s="129" t="s">
        <v>1195</v>
      </c>
      <c r="B191" s="129" t="s">
        <v>1196</v>
      </c>
      <c r="C191" s="129" t="s">
        <v>601</v>
      </c>
      <c r="D191" s="129" t="s">
        <v>1249</v>
      </c>
      <c r="E191" s="129" t="s">
        <v>1207</v>
      </c>
      <c r="F191" s="129" t="s">
        <v>1208</v>
      </c>
      <c r="G191" s="210">
        <v>3</v>
      </c>
      <c r="H191" s="211">
        <f t="shared" si="10"/>
        <v>921</v>
      </c>
      <c r="I191" s="207">
        <f>IF(F191="CONCENTRADO SEMI BRILHO",G191/'De-Para'!$B$9,G191/VLOOKUP(B191,'De-Para'!A:B,2,0))</f>
        <v>2.3622047244094486</v>
      </c>
      <c r="J191" s="206">
        <f t="shared" si="11"/>
        <v>725.19685039370074</v>
      </c>
      <c r="K191" s="212">
        <f t="shared" si="12"/>
        <v>3.2573289902280132E-3</v>
      </c>
      <c r="L191" s="209">
        <f>VLOOKUP(E191,'Custos Matéria Prima Embalagens'!B:G,6,0)</f>
        <v>6.8599999999999994</v>
      </c>
      <c r="M191" s="209">
        <f t="shared" si="13"/>
        <v>20.58</v>
      </c>
      <c r="N191" s="209">
        <f t="shared" si="14"/>
        <v>0.03</v>
      </c>
    </row>
    <row r="192" spans="1:14" hidden="1">
      <c r="A192" s="129" t="s">
        <v>1195</v>
      </c>
      <c r="B192" s="129" t="s">
        <v>1196</v>
      </c>
      <c r="C192" s="129" t="s">
        <v>601</v>
      </c>
      <c r="D192" s="129" t="s">
        <v>1249</v>
      </c>
      <c r="E192" s="129" t="s">
        <v>1209</v>
      </c>
      <c r="F192" s="129" t="s">
        <v>1210</v>
      </c>
      <c r="G192" s="210">
        <v>2.5</v>
      </c>
      <c r="H192" s="211">
        <f t="shared" si="10"/>
        <v>921</v>
      </c>
      <c r="I192" s="207">
        <f>IF(F192="CONCENTRADO SEMI BRILHO",G192/'De-Para'!$B$9,G192/VLOOKUP(B192,'De-Para'!A:B,2,0))</f>
        <v>1.9685039370078741</v>
      </c>
      <c r="J192" s="206">
        <f t="shared" si="11"/>
        <v>725.19685039370074</v>
      </c>
      <c r="K192" s="212">
        <f t="shared" si="12"/>
        <v>2.7144408251900108E-3</v>
      </c>
      <c r="L192" s="209">
        <f>VLOOKUP(E192,'Custos Matéria Prima Embalagens'!B:G,6,0)</f>
        <v>7</v>
      </c>
      <c r="M192" s="209">
        <f t="shared" si="13"/>
        <v>17.5</v>
      </c>
      <c r="N192" s="209">
        <f t="shared" si="14"/>
        <v>0.02</v>
      </c>
    </row>
    <row r="193" spans="1:14" hidden="1">
      <c r="A193" s="129" t="s">
        <v>1195</v>
      </c>
      <c r="B193" s="129" t="s">
        <v>1196</v>
      </c>
      <c r="C193" s="129" t="s">
        <v>601</v>
      </c>
      <c r="D193" s="129" t="s">
        <v>1249</v>
      </c>
      <c r="E193" s="129" t="s">
        <v>1215</v>
      </c>
      <c r="F193" s="129" t="s">
        <v>1216</v>
      </c>
      <c r="G193" s="210">
        <v>50</v>
      </c>
      <c r="H193" s="211">
        <f t="shared" si="10"/>
        <v>921</v>
      </c>
      <c r="I193" s="207">
        <f>IF(F193="CONCENTRADO SEMI BRILHO",G193/'De-Para'!$B$9,G193/VLOOKUP(B193,'De-Para'!A:B,2,0))</f>
        <v>39.370078740157481</v>
      </c>
      <c r="J193" s="206">
        <f t="shared" si="11"/>
        <v>725.19685039370074</v>
      </c>
      <c r="K193" s="212">
        <f t="shared" si="12"/>
        <v>5.428881650380022E-2</v>
      </c>
      <c r="L193" s="209">
        <f>VLOOKUP(E193,'Custos Matéria Prima Embalagens'!B:G,6,0)</f>
        <v>0.8</v>
      </c>
      <c r="M193" s="209">
        <f t="shared" si="13"/>
        <v>40</v>
      </c>
      <c r="N193" s="209">
        <f t="shared" si="14"/>
        <v>0.06</v>
      </c>
    </row>
    <row r="194" spans="1:14" hidden="1">
      <c r="A194" s="129" t="s">
        <v>1195</v>
      </c>
      <c r="B194" s="129" t="s">
        <v>1196</v>
      </c>
      <c r="C194" s="129" t="s">
        <v>601</v>
      </c>
      <c r="D194" s="129" t="s">
        <v>1249</v>
      </c>
      <c r="E194" s="129" t="s">
        <v>1227</v>
      </c>
      <c r="F194" s="129" t="s">
        <v>1228</v>
      </c>
      <c r="G194" s="210">
        <v>325</v>
      </c>
      <c r="H194" s="211">
        <f t="shared" si="10"/>
        <v>921</v>
      </c>
      <c r="I194" s="207">
        <f>IF(F194="CONCENTRADO SEMI BRILHO",G194/'De-Para'!$B$9,G194/VLOOKUP(B194,'De-Para'!A:B,2,0))</f>
        <v>255.90551181102362</v>
      </c>
      <c r="J194" s="206">
        <f t="shared" si="11"/>
        <v>725.19685039370074</v>
      </c>
      <c r="K194" s="212">
        <f t="shared" si="12"/>
        <v>0.3528773072747014</v>
      </c>
      <c r="L194" s="209">
        <f>VLOOKUP(E194,'Custos Matéria Prima Embalagens'!B:G,6,0)</f>
        <v>1.520495555555555</v>
      </c>
      <c r="M194" s="209">
        <f t="shared" si="13"/>
        <v>494.16105555555538</v>
      </c>
      <c r="N194" s="209">
        <f t="shared" si="14"/>
        <v>0.68</v>
      </c>
    </row>
    <row r="195" spans="1:14" hidden="1">
      <c r="A195" s="129" t="s">
        <v>1195</v>
      </c>
      <c r="B195" s="129" t="s">
        <v>1196</v>
      </c>
      <c r="C195" s="129" t="s">
        <v>601</v>
      </c>
      <c r="D195" s="129" t="s">
        <v>1249</v>
      </c>
      <c r="E195" s="129" t="s">
        <v>1217</v>
      </c>
      <c r="F195" s="129" t="s">
        <v>1218</v>
      </c>
      <c r="G195" s="210">
        <v>30</v>
      </c>
      <c r="H195" s="211">
        <f t="shared" ref="H195:H258" si="15">SUMIFS(G:G,C:C,C195)</f>
        <v>921</v>
      </c>
      <c r="I195" s="207">
        <f>IF(F195="CONCENTRADO SEMI BRILHO",G195/'De-Para'!$B$9,G195/VLOOKUP(B195,'De-Para'!A:B,2,0))</f>
        <v>23.622047244094489</v>
      </c>
      <c r="J195" s="206">
        <f t="shared" ref="J195:J258" si="16">SUMIFS(I:I,C:C,C195)</f>
        <v>725.19685039370074</v>
      </c>
      <c r="K195" s="212">
        <f t="shared" ref="K195:K258" si="17">G195/H195</f>
        <v>3.2573289902280131E-2</v>
      </c>
      <c r="L195" s="209">
        <f>VLOOKUP(E195,'Custos Matéria Prima Embalagens'!B:G,6,0)</f>
        <v>8.43</v>
      </c>
      <c r="M195" s="209">
        <f t="shared" ref="M195:M258" si="18">L195*G195</f>
        <v>252.89999999999998</v>
      </c>
      <c r="N195" s="209">
        <f t="shared" ref="N195:N258" si="19">IF(B195="CONCENTRADO",ROUND(M195/H195,2),ROUND(M195/J195,2))</f>
        <v>0.35</v>
      </c>
    </row>
    <row r="196" spans="1:14" hidden="1">
      <c r="A196" s="129" t="s">
        <v>1195</v>
      </c>
      <c r="B196" s="129" t="s">
        <v>1196</v>
      </c>
      <c r="C196" s="129" t="s">
        <v>601</v>
      </c>
      <c r="D196" s="129" t="s">
        <v>1249</v>
      </c>
      <c r="E196" s="129" t="s">
        <v>1219</v>
      </c>
      <c r="F196" s="129" t="s">
        <v>1220</v>
      </c>
      <c r="G196" s="210">
        <v>3</v>
      </c>
      <c r="H196" s="211">
        <f t="shared" si="15"/>
        <v>921</v>
      </c>
      <c r="I196" s="207">
        <f>IF(F196="CONCENTRADO SEMI BRILHO",G196/'De-Para'!$B$9,G196/VLOOKUP(B196,'De-Para'!A:B,2,0))</f>
        <v>2.3622047244094486</v>
      </c>
      <c r="J196" s="206">
        <f t="shared" si="16"/>
        <v>725.19685039370074</v>
      </c>
      <c r="K196" s="212">
        <f t="shared" si="17"/>
        <v>3.2573289902280132E-3</v>
      </c>
      <c r="L196" s="209">
        <f>VLOOKUP(E196,'Custos Matéria Prima Embalagens'!B:G,6,0)</f>
        <v>4.9800000000000004</v>
      </c>
      <c r="M196" s="209">
        <f t="shared" si="18"/>
        <v>14.940000000000001</v>
      </c>
      <c r="N196" s="209">
        <f t="shared" si="19"/>
        <v>0.02</v>
      </c>
    </row>
    <row r="197" spans="1:14" hidden="1">
      <c r="A197" s="129" t="s">
        <v>1195</v>
      </c>
      <c r="B197" s="129" t="s">
        <v>1196</v>
      </c>
      <c r="C197" s="129" t="s">
        <v>601</v>
      </c>
      <c r="D197" s="129" t="s">
        <v>1249</v>
      </c>
      <c r="E197" s="129" t="s">
        <v>1221</v>
      </c>
      <c r="F197" s="129" t="s">
        <v>1222</v>
      </c>
      <c r="G197" s="210">
        <v>15.5</v>
      </c>
      <c r="H197" s="211">
        <f t="shared" si="15"/>
        <v>921</v>
      </c>
      <c r="I197" s="207">
        <f>IF(F197="CONCENTRADO SEMI BRILHO",G197/'De-Para'!$B$9,G197/VLOOKUP(B197,'De-Para'!A:B,2,0))</f>
        <v>12.204724409448819</v>
      </c>
      <c r="J197" s="206">
        <f t="shared" si="16"/>
        <v>725.19685039370074</v>
      </c>
      <c r="K197" s="212">
        <f t="shared" si="17"/>
        <v>1.6829533116178068E-2</v>
      </c>
      <c r="L197" s="209">
        <f>VLOOKUP(E197,'Custos Matéria Prima Embalagens'!B:G,6,0)</f>
        <v>7.9049999999999994</v>
      </c>
      <c r="M197" s="209">
        <f t="shared" si="18"/>
        <v>122.52749999999999</v>
      </c>
      <c r="N197" s="209">
        <f t="shared" si="19"/>
        <v>0.17</v>
      </c>
    </row>
    <row r="198" spans="1:14" hidden="1">
      <c r="A198" s="129" t="s">
        <v>1195</v>
      </c>
      <c r="B198" s="129" t="s">
        <v>1196</v>
      </c>
      <c r="C198" s="129" t="s">
        <v>601</v>
      </c>
      <c r="D198" s="129" t="s">
        <v>1249</v>
      </c>
      <c r="E198" s="129" t="s">
        <v>1223</v>
      </c>
      <c r="F198" s="129" t="s">
        <v>1224</v>
      </c>
      <c r="G198" s="210">
        <v>7.5</v>
      </c>
      <c r="H198" s="211">
        <f t="shared" si="15"/>
        <v>921</v>
      </c>
      <c r="I198" s="207">
        <f>IF(F198="CONCENTRADO SEMI BRILHO",G198/'De-Para'!$B$9,G198/VLOOKUP(B198,'De-Para'!A:B,2,0))</f>
        <v>5.9055118110236222</v>
      </c>
      <c r="J198" s="206">
        <f t="shared" si="16"/>
        <v>725.19685039370074</v>
      </c>
      <c r="K198" s="212">
        <f t="shared" si="17"/>
        <v>8.1433224755700327E-3</v>
      </c>
      <c r="L198" s="209">
        <f>VLOOKUP(E198,'Custos Matéria Prima Embalagens'!B:G,6,0)</f>
        <v>4.8499999999999996</v>
      </c>
      <c r="M198" s="209">
        <f t="shared" si="18"/>
        <v>36.375</v>
      </c>
      <c r="N198" s="209">
        <f t="shared" si="19"/>
        <v>0.05</v>
      </c>
    </row>
    <row r="199" spans="1:14" hidden="1">
      <c r="A199" s="129" t="s">
        <v>1195</v>
      </c>
      <c r="B199" s="129" t="s">
        <v>1196</v>
      </c>
      <c r="C199" s="129" t="s">
        <v>601</v>
      </c>
      <c r="D199" s="129" t="s">
        <v>1249</v>
      </c>
      <c r="E199" s="129" t="s">
        <v>1229</v>
      </c>
      <c r="F199" s="129" t="s">
        <v>1230</v>
      </c>
      <c r="G199" s="210">
        <v>5</v>
      </c>
      <c r="H199" s="211">
        <f t="shared" si="15"/>
        <v>921</v>
      </c>
      <c r="I199" s="207">
        <f>IF(F199="CONCENTRADO SEMI BRILHO",G199/'De-Para'!$B$9,G199/VLOOKUP(B199,'De-Para'!A:B,2,0))</f>
        <v>3.9370078740157481</v>
      </c>
      <c r="J199" s="206">
        <f t="shared" si="16"/>
        <v>725.19685039370074</v>
      </c>
      <c r="K199" s="212">
        <f t="shared" si="17"/>
        <v>5.4288816503800215E-3</v>
      </c>
      <c r="L199" s="209">
        <f>VLOOKUP(E199,'Custos Matéria Prima Embalagens'!B:G,6,0)</f>
        <v>19.22</v>
      </c>
      <c r="M199" s="209">
        <f t="shared" si="18"/>
        <v>96.1</v>
      </c>
      <c r="N199" s="209">
        <f t="shared" si="19"/>
        <v>0.13</v>
      </c>
    </row>
    <row r="200" spans="1:14" hidden="1">
      <c r="A200" s="129" t="s">
        <v>1195</v>
      </c>
      <c r="B200" s="129" t="s">
        <v>1196</v>
      </c>
      <c r="C200" s="129" t="s">
        <v>601</v>
      </c>
      <c r="D200" s="129" t="s">
        <v>1249</v>
      </c>
      <c r="E200" s="129" t="s">
        <v>1233</v>
      </c>
      <c r="F200" s="129" t="s">
        <v>1234</v>
      </c>
      <c r="G200" s="210">
        <v>2</v>
      </c>
      <c r="H200" s="211">
        <f t="shared" si="15"/>
        <v>921</v>
      </c>
      <c r="I200" s="207">
        <f>IF(F200="CONCENTRADO SEMI BRILHO",G200/'De-Para'!$B$9,G200/VLOOKUP(B200,'De-Para'!A:B,2,0))</f>
        <v>1.5748031496062991</v>
      </c>
      <c r="J200" s="206">
        <f t="shared" si="16"/>
        <v>725.19685039370074</v>
      </c>
      <c r="K200" s="212">
        <f t="shared" si="17"/>
        <v>2.1715526601520088E-3</v>
      </c>
      <c r="L200" s="209">
        <f>VLOOKUP(E200,'Custos Matéria Prima Embalagens'!B:G,6,0)</f>
        <v>31.93</v>
      </c>
      <c r="M200" s="209">
        <f t="shared" si="18"/>
        <v>63.86</v>
      </c>
      <c r="N200" s="209">
        <f t="shared" si="19"/>
        <v>0.09</v>
      </c>
    </row>
    <row r="201" spans="1:14" hidden="1">
      <c r="A201" s="129" t="s">
        <v>1195</v>
      </c>
      <c r="B201" s="129" t="s">
        <v>1196</v>
      </c>
      <c r="C201" s="129" t="s">
        <v>601</v>
      </c>
      <c r="D201" s="129" t="s">
        <v>1249</v>
      </c>
      <c r="E201" s="129" t="s">
        <v>1239</v>
      </c>
      <c r="F201" s="129" t="s">
        <v>1240</v>
      </c>
      <c r="G201" s="210">
        <v>10</v>
      </c>
      <c r="H201" s="211">
        <f t="shared" si="15"/>
        <v>921</v>
      </c>
      <c r="I201" s="207">
        <f>IF(F201="CONCENTRADO SEMI BRILHO",G201/'De-Para'!$B$9,G201/VLOOKUP(B201,'De-Para'!A:B,2,0))</f>
        <v>7.8740157480314963</v>
      </c>
      <c r="J201" s="206">
        <f t="shared" si="16"/>
        <v>725.19685039370074</v>
      </c>
      <c r="K201" s="212">
        <f t="shared" si="17"/>
        <v>1.0857763300760043E-2</v>
      </c>
      <c r="L201" s="209">
        <f>VLOOKUP(E201,'Custos Matéria Prima Embalagens'!B:G,6,0)</f>
        <v>21.11</v>
      </c>
      <c r="M201" s="209">
        <f t="shared" si="18"/>
        <v>211.1</v>
      </c>
      <c r="N201" s="209">
        <f t="shared" si="19"/>
        <v>0.28999999999999998</v>
      </c>
    </row>
    <row r="202" spans="1:14" hidden="1">
      <c r="A202" s="129" t="s">
        <v>1195</v>
      </c>
      <c r="B202" s="129" t="s">
        <v>1196</v>
      </c>
      <c r="C202" s="129" t="s">
        <v>604</v>
      </c>
      <c r="D202" s="129" t="s">
        <v>605</v>
      </c>
      <c r="E202" s="129" t="s">
        <v>1197</v>
      </c>
      <c r="F202" s="129" t="s">
        <v>1198</v>
      </c>
      <c r="G202" s="210">
        <v>460</v>
      </c>
      <c r="H202" s="211">
        <f t="shared" si="15"/>
        <v>919.19999999999993</v>
      </c>
      <c r="I202" s="207">
        <f>IF(F202="CONCENTRADO SEMI BRILHO",G202/'De-Para'!$B$9,G202/VLOOKUP(B202,'De-Para'!A:B,2,0))</f>
        <v>362.20472440944883</v>
      </c>
      <c r="J202" s="206">
        <f t="shared" si="16"/>
        <v>723.77952755905505</v>
      </c>
      <c r="K202" s="212">
        <f t="shared" si="17"/>
        <v>0.50043516100957353</v>
      </c>
      <c r="L202" s="209">
        <f>VLOOKUP(E202,'Custos Matéria Prima Embalagens'!B:G,6,0)</f>
        <v>0</v>
      </c>
      <c r="M202" s="209">
        <f t="shared" si="18"/>
        <v>0</v>
      </c>
      <c r="N202" s="209">
        <f t="shared" si="19"/>
        <v>0</v>
      </c>
    </row>
    <row r="203" spans="1:14" hidden="1">
      <c r="A203" s="129" t="s">
        <v>1195</v>
      </c>
      <c r="B203" s="129" t="s">
        <v>1196</v>
      </c>
      <c r="C203" s="129" t="s">
        <v>604</v>
      </c>
      <c r="D203" s="129" t="s">
        <v>605</v>
      </c>
      <c r="E203" s="129" t="s">
        <v>1201</v>
      </c>
      <c r="F203" s="129" t="s">
        <v>1202</v>
      </c>
      <c r="G203" s="210">
        <v>2.5</v>
      </c>
      <c r="H203" s="211">
        <f t="shared" si="15"/>
        <v>919.19999999999993</v>
      </c>
      <c r="I203" s="207">
        <f>IF(F203="CONCENTRADO SEMI BRILHO",G203/'De-Para'!$B$9,G203/VLOOKUP(B203,'De-Para'!A:B,2,0))</f>
        <v>1.9685039370078741</v>
      </c>
      <c r="J203" s="206">
        <f t="shared" si="16"/>
        <v>723.77952755905505</v>
      </c>
      <c r="K203" s="212">
        <f t="shared" si="17"/>
        <v>2.7197563098346391E-3</v>
      </c>
      <c r="L203" s="209">
        <f>VLOOKUP(E203,'Custos Matéria Prima Embalagens'!B:G,6,0)</f>
        <v>7.18</v>
      </c>
      <c r="M203" s="209">
        <f t="shared" si="18"/>
        <v>17.95</v>
      </c>
      <c r="N203" s="209">
        <f t="shared" si="19"/>
        <v>0.02</v>
      </c>
    </row>
    <row r="204" spans="1:14" hidden="1">
      <c r="A204" s="129" t="s">
        <v>1195</v>
      </c>
      <c r="B204" s="129" t="s">
        <v>1196</v>
      </c>
      <c r="C204" s="129" t="s">
        <v>604</v>
      </c>
      <c r="D204" s="129" t="s">
        <v>605</v>
      </c>
      <c r="E204" s="129" t="s">
        <v>1203</v>
      </c>
      <c r="F204" s="129" t="s">
        <v>1204</v>
      </c>
      <c r="G204" s="210">
        <v>3</v>
      </c>
      <c r="H204" s="211">
        <f t="shared" si="15"/>
        <v>919.19999999999993</v>
      </c>
      <c r="I204" s="207">
        <f>IF(F204="CONCENTRADO SEMI BRILHO",G204/'De-Para'!$B$9,G204/VLOOKUP(B204,'De-Para'!A:B,2,0))</f>
        <v>2.3622047244094486</v>
      </c>
      <c r="J204" s="206">
        <f t="shared" si="16"/>
        <v>723.77952755905505</v>
      </c>
      <c r="K204" s="212">
        <f t="shared" si="17"/>
        <v>3.2637075718015668E-3</v>
      </c>
      <c r="L204" s="209">
        <f>VLOOKUP(E204,'Custos Matéria Prima Embalagens'!B:G,6,0)</f>
        <v>4.9399999999999995</v>
      </c>
      <c r="M204" s="209">
        <f t="shared" si="18"/>
        <v>14.819999999999999</v>
      </c>
      <c r="N204" s="209">
        <f t="shared" si="19"/>
        <v>0.02</v>
      </c>
    </row>
    <row r="205" spans="1:14" hidden="1">
      <c r="A205" s="129" t="s">
        <v>1195</v>
      </c>
      <c r="B205" s="129" t="s">
        <v>1196</v>
      </c>
      <c r="C205" s="129" t="s">
        <v>604</v>
      </c>
      <c r="D205" s="129" t="s">
        <v>605</v>
      </c>
      <c r="E205" s="129" t="s">
        <v>1205</v>
      </c>
      <c r="F205" s="129" t="s">
        <v>1206</v>
      </c>
      <c r="G205" s="210">
        <v>2</v>
      </c>
      <c r="H205" s="211">
        <f t="shared" si="15"/>
        <v>919.19999999999993</v>
      </c>
      <c r="I205" s="207">
        <f>IF(F205="CONCENTRADO SEMI BRILHO",G205/'De-Para'!$B$9,G205/VLOOKUP(B205,'De-Para'!A:B,2,0))</f>
        <v>1.5748031496062991</v>
      </c>
      <c r="J205" s="206">
        <f t="shared" si="16"/>
        <v>723.77952755905505</v>
      </c>
      <c r="K205" s="212">
        <f t="shared" si="17"/>
        <v>2.1758050478677114E-3</v>
      </c>
      <c r="L205" s="209">
        <f>VLOOKUP(E205,'Custos Matéria Prima Embalagens'!B:G,6,0)</f>
        <v>7.33</v>
      </c>
      <c r="M205" s="209">
        <f t="shared" si="18"/>
        <v>14.66</v>
      </c>
      <c r="N205" s="209">
        <f t="shared" si="19"/>
        <v>0.02</v>
      </c>
    </row>
    <row r="206" spans="1:14" hidden="1">
      <c r="A206" s="129" t="s">
        <v>1195</v>
      </c>
      <c r="B206" s="129" t="s">
        <v>1196</v>
      </c>
      <c r="C206" s="129" t="s">
        <v>604</v>
      </c>
      <c r="D206" s="129" t="s">
        <v>605</v>
      </c>
      <c r="E206" s="129" t="s">
        <v>1207</v>
      </c>
      <c r="F206" s="129" t="s">
        <v>1208</v>
      </c>
      <c r="G206" s="210">
        <v>3</v>
      </c>
      <c r="H206" s="211">
        <f t="shared" si="15"/>
        <v>919.19999999999993</v>
      </c>
      <c r="I206" s="207">
        <f>IF(F206="CONCENTRADO SEMI BRILHO",G206/'De-Para'!$B$9,G206/VLOOKUP(B206,'De-Para'!A:B,2,0))</f>
        <v>2.3622047244094486</v>
      </c>
      <c r="J206" s="206">
        <f t="shared" si="16"/>
        <v>723.77952755905505</v>
      </c>
      <c r="K206" s="212">
        <f t="shared" si="17"/>
        <v>3.2637075718015668E-3</v>
      </c>
      <c r="L206" s="209">
        <f>VLOOKUP(E206,'Custos Matéria Prima Embalagens'!B:G,6,0)</f>
        <v>6.8599999999999994</v>
      </c>
      <c r="M206" s="209">
        <f t="shared" si="18"/>
        <v>20.58</v>
      </c>
      <c r="N206" s="209">
        <f t="shared" si="19"/>
        <v>0.03</v>
      </c>
    </row>
    <row r="207" spans="1:14" hidden="1">
      <c r="A207" s="129" t="s">
        <v>1195</v>
      </c>
      <c r="B207" s="129" t="s">
        <v>1196</v>
      </c>
      <c r="C207" s="129" t="s">
        <v>604</v>
      </c>
      <c r="D207" s="129" t="s">
        <v>605</v>
      </c>
      <c r="E207" s="129" t="s">
        <v>1209</v>
      </c>
      <c r="F207" s="129" t="s">
        <v>1210</v>
      </c>
      <c r="G207" s="210">
        <v>2.5</v>
      </c>
      <c r="H207" s="211">
        <f t="shared" si="15"/>
        <v>919.19999999999993</v>
      </c>
      <c r="I207" s="207">
        <f>IF(F207="CONCENTRADO SEMI BRILHO",G207/'De-Para'!$B$9,G207/VLOOKUP(B207,'De-Para'!A:B,2,0))</f>
        <v>1.9685039370078741</v>
      </c>
      <c r="J207" s="206">
        <f t="shared" si="16"/>
        <v>723.77952755905505</v>
      </c>
      <c r="K207" s="212">
        <f t="shared" si="17"/>
        <v>2.7197563098346391E-3</v>
      </c>
      <c r="L207" s="209">
        <f>VLOOKUP(E207,'Custos Matéria Prima Embalagens'!B:G,6,0)</f>
        <v>7</v>
      </c>
      <c r="M207" s="209">
        <f t="shared" si="18"/>
        <v>17.5</v>
      </c>
      <c r="N207" s="209">
        <f t="shared" si="19"/>
        <v>0.02</v>
      </c>
    </row>
    <row r="208" spans="1:14" hidden="1">
      <c r="A208" s="129" t="s">
        <v>1195</v>
      </c>
      <c r="B208" s="129" t="s">
        <v>1196</v>
      </c>
      <c r="C208" s="129" t="s">
        <v>604</v>
      </c>
      <c r="D208" s="129" t="s">
        <v>605</v>
      </c>
      <c r="E208" s="129" t="s">
        <v>1215</v>
      </c>
      <c r="F208" s="129" t="s">
        <v>1216</v>
      </c>
      <c r="G208" s="210">
        <v>50</v>
      </c>
      <c r="H208" s="211">
        <f t="shared" si="15"/>
        <v>919.19999999999993</v>
      </c>
      <c r="I208" s="207">
        <f>IF(F208="CONCENTRADO SEMI BRILHO",G208/'De-Para'!$B$9,G208/VLOOKUP(B208,'De-Para'!A:B,2,0))</f>
        <v>39.370078740157481</v>
      </c>
      <c r="J208" s="206">
        <f t="shared" si="16"/>
        <v>723.77952755905505</v>
      </c>
      <c r="K208" s="212">
        <f t="shared" si="17"/>
        <v>5.4395126196692782E-2</v>
      </c>
      <c r="L208" s="209">
        <f>VLOOKUP(E208,'Custos Matéria Prima Embalagens'!B:G,6,0)</f>
        <v>0.8</v>
      </c>
      <c r="M208" s="209">
        <f t="shared" si="18"/>
        <v>40</v>
      </c>
      <c r="N208" s="209">
        <f t="shared" si="19"/>
        <v>0.06</v>
      </c>
    </row>
    <row r="209" spans="1:14" hidden="1">
      <c r="A209" s="129" t="s">
        <v>1195</v>
      </c>
      <c r="B209" s="129" t="s">
        <v>1196</v>
      </c>
      <c r="C209" s="129" t="s">
        <v>604</v>
      </c>
      <c r="D209" s="129" t="s">
        <v>605</v>
      </c>
      <c r="E209" s="129" t="s">
        <v>1227</v>
      </c>
      <c r="F209" s="129" t="s">
        <v>1228</v>
      </c>
      <c r="G209" s="210">
        <v>325</v>
      </c>
      <c r="H209" s="211">
        <f t="shared" si="15"/>
        <v>919.19999999999993</v>
      </c>
      <c r="I209" s="207">
        <f>IF(F209="CONCENTRADO SEMI BRILHO",G209/'De-Para'!$B$9,G209/VLOOKUP(B209,'De-Para'!A:B,2,0))</f>
        <v>255.90551181102362</v>
      </c>
      <c r="J209" s="206">
        <f t="shared" si="16"/>
        <v>723.77952755905505</v>
      </c>
      <c r="K209" s="212">
        <f t="shared" si="17"/>
        <v>0.35356832027850305</v>
      </c>
      <c r="L209" s="209">
        <f>VLOOKUP(E209,'Custos Matéria Prima Embalagens'!B:G,6,0)</f>
        <v>1.520495555555555</v>
      </c>
      <c r="M209" s="209">
        <f t="shared" si="18"/>
        <v>494.16105555555538</v>
      </c>
      <c r="N209" s="209">
        <f t="shared" si="19"/>
        <v>0.68</v>
      </c>
    </row>
    <row r="210" spans="1:14" hidden="1">
      <c r="A210" s="129" t="s">
        <v>1195</v>
      </c>
      <c r="B210" s="129" t="s">
        <v>1196</v>
      </c>
      <c r="C210" s="129" t="s">
        <v>604</v>
      </c>
      <c r="D210" s="129" t="s">
        <v>605</v>
      </c>
      <c r="E210" s="129" t="s">
        <v>1217</v>
      </c>
      <c r="F210" s="129" t="s">
        <v>1218</v>
      </c>
      <c r="G210" s="210">
        <v>30</v>
      </c>
      <c r="H210" s="211">
        <f t="shared" si="15"/>
        <v>919.19999999999993</v>
      </c>
      <c r="I210" s="207">
        <f>IF(F210="CONCENTRADO SEMI BRILHO",G210/'De-Para'!$B$9,G210/VLOOKUP(B210,'De-Para'!A:B,2,0))</f>
        <v>23.622047244094489</v>
      </c>
      <c r="J210" s="206">
        <f t="shared" si="16"/>
        <v>723.77952755905505</v>
      </c>
      <c r="K210" s="212">
        <f t="shared" si="17"/>
        <v>3.2637075718015669E-2</v>
      </c>
      <c r="L210" s="209">
        <f>VLOOKUP(E210,'Custos Matéria Prima Embalagens'!B:G,6,0)</f>
        <v>8.43</v>
      </c>
      <c r="M210" s="209">
        <f t="shared" si="18"/>
        <v>252.89999999999998</v>
      </c>
      <c r="N210" s="209">
        <f t="shared" si="19"/>
        <v>0.35</v>
      </c>
    </row>
    <row r="211" spans="1:14" hidden="1">
      <c r="A211" s="129" t="s">
        <v>1195</v>
      </c>
      <c r="B211" s="129" t="s">
        <v>1196</v>
      </c>
      <c r="C211" s="129" t="s">
        <v>604</v>
      </c>
      <c r="D211" s="129" t="s">
        <v>605</v>
      </c>
      <c r="E211" s="129" t="s">
        <v>1219</v>
      </c>
      <c r="F211" s="129" t="s">
        <v>1220</v>
      </c>
      <c r="G211" s="210">
        <v>3</v>
      </c>
      <c r="H211" s="211">
        <f t="shared" si="15"/>
        <v>919.19999999999993</v>
      </c>
      <c r="I211" s="207">
        <f>IF(F211="CONCENTRADO SEMI BRILHO",G211/'De-Para'!$B$9,G211/VLOOKUP(B211,'De-Para'!A:B,2,0))</f>
        <v>2.3622047244094486</v>
      </c>
      <c r="J211" s="206">
        <f t="shared" si="16"/>
        <v>723.77952755905505</v>
      </c>
      <c r="K211" s="212">
        <f t="shared" si="17"/>
        <v>3.2637075718015668E-3</v>
      </c>
      <c r="L211" s="209">
        <f>VLOOKUP(E211,'Custos Matéria Prima Embalagens'!B:G,6,0)</f>
        <v>4.9800000000000004</v>
      </c>
      <c r="M211" s="209">
        <f t="shared" si="18"/>
        <v>14.940000000000001</v>
      </c>
      <c r="N211" s="209">
        <f t="shared" si="19"/>
        <v>0.02</v>
      </c>
    </row>
    <row r="212" spans="1:14" hidden="1">
      <c r="A212" s="129" t="s">
        <v>1195</v>
      </c>
      <c r="B212" s="129" t="s">
        <v>1196</v>
      </c>
      <c r="C212" s="129" t="s">
        <v>604</v>
      </c>
      <c r="D212" s="129" t="s">
        <v>605</v>
      </c>
      <c r="E212" s="129" t="s">
        <v>1221</v>
      </c>
      <c r="F212" s="129" t="s">
        <v>1222</v>
      </c>
      <c r="G212" s="210">
        <v>15.5</v>
      </c>
      <c r="H212" s="211">
        <f t="shared" si="15"/>
        <v>919.19999999999993</v>
      </c>
      <c r="I212" s="207">
        <f>IF(F212="CONCENTRADO SEMI BRILHO",G212/'De-Para'!$B$9,G212/VLOOKUP(B212,'De-Para'!A:B,2,0))</f>
        <v>12.204724409448819</v>
      </c>
      <c r="J212" s="206">
        <f t="shared" si="16"/>
        <v>723.77952755905505</v>
      </c>
      <c r="K212" s="212">
        <f t="shared" si="17"/>
        <v>1.6862489120974763E-2</v>
      </c>
      <c r="L212" s="209">
        <f>VLOOKUP(E212,'Custos Matéria Prima Embalagens'!B:G,6,0)</f>
        <v>7.9049999999999994</v>
      </c>
      <c r="M212" s="209">
        <f t="shared" si="18"/>
        <v>122.52749999999999</v>
      </c>
      <c r="N212" s="209">
        <f t="shared" si="19"/>
        <v>0.17</v>
      </c>
    </row>
    <row r="213" spans="1:14" hidden="1">
      <c r="A213" s="129" t="s">
        <v>1195</v>
      </c>
      <c r="B213" s="129" t="s">
        <v>1196</v>
      </c>
      <c r="C213" s="129" t="s">
        <v>604</v>
      </c>
      <c r="D213" s="129" t="s">
        <v>605</v>
      </c>
      <c r="E213" s="129" t="s">
        <v>1223</v>
      </c>
      <c r="F213" s="129" t="s">
        <v>1224</v>
      </c>
      <c r="G213" s="210">
        <v>7.5</v>
      </c>
      <c r="H213" s="211">
        <f t="shared" si="15"/>
        <v>919.19999999999993</v>
      </c>
      <c r="I213" s="207">
        <f>IF(F213="CONCENTRADO SEMI BRILHO",G213/'De-Para'!$B$9,G213/VLOOKUP(B213,'De-Para'!A:B,2,0))</f>
        <v>5.9055118110236222</v>
      </c>
      <c r="J213" s="206">
        <f t="shared" si="16"/>
        <v>723.77952755905505</v>
      </c>
      <c r="K213" s="212">
        <f t="shared" si="17"/>
        <v>8.1592689295039173E-3</v>
      </c>
      <c r="L213" s="209">
        <f>VLOOKUP(E213,'Custos Matéria Prima Embalagens'!B:G,6,0)</f>
        <v>4.8499999999999996</v>
      </c>
      <c r="M213" s="209">
        <f t="shared" si="18"/>
        <v>36.375</v>
      </c>
      <c r="N213" s="209">
        <f t="shared" si="19"/>
        <v>0.05</v>
      </c>
    </row>
    <row r="214" spans="1:14" hidden="1">
      <c r="A214" s="129" t="s">
        <v>1195</v>
      </c>
      <c r="B214" s="129" t="s">
        <v>1196</v>
      </c>
      <c r="C214" s="129" t="s">
        <v>604</v>
      </c>
      <c r="D214" s="129" t="s">
        <v>605</v>
      </c>
      <c r="E214" s="129" t="s">
        <v>1229</v>
      </c>
      <c r="F214" s="129" t="s">
        <v>1230</v>
      </c>
      <c r="G214" s="210">
        <v>5</v>
      </c>
      <c r="H214" s="211">
        <f t="shared" si="15"/>
        <v>919.19999999999993</v>
      </c>
      <c r="I214" s="207">
        <f>IF(F214="CONCENTRADO SEMI BRILHO",G214/'De-Para'!$B$9,G214/VLOOKUP(B214,'De-Para'!A:B,2,0))</f>
        <v>3.9370078740157481</v>
      </c>
      <c r="J214" s="206">
        <f t="shared" si="16"/>
        <v>723.77952755905505</v>
      </c>
      <c r="K214" s="212">
        <f t="shared" si="17"/>
        <v>5.4395126196692782E-3</v>
      </c>
      <c r="L214" s="209">
        <f>VLOOKUP(E214,'Custos Matéria Prima Embalagens'!B:G,6,0)</f>
        <v>19.22</v>
      </c>
      <c r="M214" s="209">
        <f t="shared" si="18"/>
        <v>96.1</v>
      </c>
      <c r="N214" s="209">
        <f t="shared" si="19"/>
        <v>0.13</v>
      </c>
    </row>
    <row r="215" spans="1:14" hidden="1">
      <c r="A215" s="129" t="s">
        <v>1195</v>
      </c>
      <c r="B215" s="129" t="s">
        <v>1196</v>
      </c>
      <c r="C215" s="129" t="s">
        <v>604</v>
      </c>
      <c r="D215" s="129" t="s">
        <v>605</v>
      </c>
      <c r="E215" s="129" t="s">
        <v>1233</v>
      </c>
      <c r="F215" s="129" t="s">
        <v>1234</v>
      </c>
      <c r="G215" s="210">
        <v>5.6</v>
      </c>
      <c r="H215" s="211">
        <f t="shared" si="15"/>
        <v>919.19999999999993</v>
      </c>
      <c r="I215" s="207">
        <f>IF(F215="CONCENTRADO SEMI BRILHO",G215/'De-Para'!$B$9,G215/VLOOKUP(B215,'De-Para'!A:B,2,0))</f>
        <v>4.4094488188976371</v>
      </c>
      <c r="J215" s="206">
        <f t="shared" si="16"/>
        <v>723.77952755905505</v>
      </c>
      <c r="K215" s="212">
        <f t="shared" si="17"/>
        <v>6.0922541340295913E-3</v>
      </c>
      <c r="L215" s="209">
        <f>VLOOKUP(E215,'Custos Matéria Prima Embalagens'!B:G,6,0)</f>
        <v>31.93</v>
      </c>
      <c r="M215" s="209">
        <f t="shared" si="18"/>
        <v>178.80799999999999</v>
      </c>
      <c r="N215" s="209">
        <f t="shared" si="19"/>
        <v>0.25</v>
      </c>
    </row>
    <row r="216" spans="1:14" hidden="1">
      <c r="A216" s="129" t="s">
        <v>1195</v>
      </c>
      <c r="B216" s="129" t="s">
        <v>1196</v>
      </c>
      <c r="C216" s="129" t="s">
        <v>604</v>
      </c>
      <c r="D216" s="129" t="s">
        <v>605</v>
      </c>
      <c r="E216" s="129" t="s">
        <v>1235</v>
      </c>
      <c r="F216" s="129" t="s">
        <v>1236</v>
      </c>
      <c r="G216" s="210">
        <v>1.8</v>
      </c>
      <c r="H216" s="211">
        <f t="shared" si="15"/>
        <v>919.19999999999993</v>
      </c>
      <c r="I216" s="207">
        <f>IF(F216="CONCENTRADO SEMI BRILHO",G216/'De-Para'!$B$9,G216/VLOOKUP(B216,'De-Para'!A:B,2,0))</f>
        <v>1.4173228346456692</v>
      </c>
      <c r="J216" s="206">
        <f t="shared" si="16"/>
        <v>723.77952755905505</v>
      </c>
      <c r="K216" s="212">
        <f t="shared" si="17"/>
        <v>1.9582245430809402E-3</v>
      </c>
      <c r="L216" s="209">
        <f>VLOOKUP(E216,'Custos Matéria Prima Embalagens'!B:G,6,0)</f>
        <v>46.089999999999996</v>
      </c>
      <c r="M216" s="209">
        <f t="shared" si="18"/>
        <v>82.961999999999989</v>
      </c>
      <c r="N216" s="209">
        <f t="shared" si="19"/>
        <v>0.11</v>
      </c>
    </row>
    <row r="217" spans="1:14" hidden="1">
      <c r="A217" s="129" t="s">
        <v>1195</v>
      </c>
      <c r="B217" s="129" t="s">
        <v>1196</v>
      </c>
      <c r="C217" s="129" t="s">
        <v>604</v>
      </c>
      <c r="D217" s="129" t="s">
        <v>605</v>
      </c>
      <c r="E217" s="129" t="s">
        <v>1239</v>
      </c>
      <c r="F217" s="129" t="s">
        <v>1240</v>
      </c>
      <c r="G217" s="210">
        <v>2.8</v>
      </c>
      <c r="H217" s="211">
        <f t="shared" si="15"/>
        <v>919.19999999999993</v>
      </c>
      <c r="I217" s="207">
        <f>IF(F217="CONCENTRADO SEMI BRILHO",G217/'De-Para'!$B$9,G217/VLOOKUP(B217,'De-Para'!A:B,2,0))</f>
        <v>2.2047244094488185</v>
      </c>
      <c r="J217" s="206">
        <f t="shared" si="16"/>
        <v>723.77952755905505</v>
      </c>
      <c r="K217" s="212">
        <f t="shared" si="17"/>
        <v>3.0461270670147957E-3</v>
      </c>
      <c r="L217" s="209">
        <f>VLOOKUP(E217,'Custos Matéria Prima Embalagens'!B:G,6,0)</f>
        <v>21.11</v>
      </c>
      <c r="M217" s="209">
        <f t="shared" si="18"/>
        <v>59.107999999999997</v>
      </c>
      <c r="N217" s="209">
        <f t="shared" si="19"/>
        <v>0.08</v>
      </c>
    </row>
    <row r="218" spans="1:14" hidden="1">
      <c r="A218" s="129" t="s">
        <v>1195</v>
      </c>
      <c r="B218" s="129" t="s">
        <v>1196</v>
      </c>
      <c r="C218" s="129" t="s">
        <v>607</v>
      </c>
      <c r="D218" s="129" t="s">
        <v>1250</v>
      </c>
      <c r="E218" s="129" t="s">
        <v>1197</v>
      </c>
      <c r="F218" s="129" t="s">
        <v>1198</v>
      </c>
      <c r="G218" s="210">
        <v>460</v>
      </c>
      <c r="H218" s="211">
        <f t="shared" si="15"/>
        <v>910.25</v>
      </c>
      <c r="I218" s="207">
        <f>IF(F218="CONCENTRADO SEMI BRILHO",G218/'De-Para'!$B$9,G218/VLOOKUP(B218,'De-Para'!A:B,2,0))</f>
        <v>362.20472440944883</v>
      </c>
      <c r="J218" s="206">
        <f t="shared" si="16"/>
        <v>716.73228346456688</v>
      </c>
      <c r="K218" s="212">
        <f t="shared" si="17"/>
        <v>0.50535567151881355</v>
      </c>
      <c r="L218" s="209">
        <f>VLOOKUP(E218,'Custos Matéria Prima Embalagens'!B:G,6,0)</f>
        <v>0</v>
      </c>
      <c r="M218" s="209">
        <f t="shared" si="18"/>
        <v>0</v>
      </c>
      <c r="N218" s="209">
        <f t="shared" si="19"/>
        <v>0</v>
      </c>
    </row>
    <row r="219" spans="1:14" hidden="1">
      <c r="A219" s="129" t="s">
        <v>1195</v>
      </c>
      <c r="B219" s="129" t="s">
        <v>1196</v>
      </c>
      <c r="C219" s="129" t="s">
        <v>607</v>
      </c>
      <c r="D219" s="129" t="s">
        <v>1250</v>
      </c>
      <c r="E219" s="129" t="s">
        <v>1201</v>
      </c>
      <c r="F219" s="129" t="s">
        <v>1202</v>
      </c>
      <c r="G219" s="210">
        <v>2.5</v>
      </c>
      <c r="H219" s="211">
        <f t="shared" si="15"/>
        <v>910.25</v>
      </c>
      <c r="I219" s="207">
        <f>IF(F219="CONCENTRADO SEMI BRILHO",G219/'De-Para'!$B$9,G219/VLOOKUP(B219,'De-Para'!A:B,2,0))</f>
        <v>1.9685039370078741</v>
      </c>
      <c r="J219" s="206">
        <f t="shared" si="16"/>
        <v>716.73228346456688</v>
      </c>
      <c r="K219" s="212">
        <f t="shared" si="17"/>
        <v>2.7464982147761604E-3</v>
      </c>
      <c r="L219" s="209">
        <f>VLOOKUP(E219,'Custos Matéria Prima Embalagens'!B:G,6,0)</f>
        <v>7.18</v>
      </c>
      <c r="M219" s="209">
        <f t="shared" si="18"/>
        <v>17.95</v>
      </c>
      <c r="N219" s="209">
        <f t="shared" si="19"/>
        <v>0.03</v>
      </c>
    </row>
    <row r="220" spans="1:14" hidden="1">
      <c r="A220" s="129" t="s">
        <v>1195</v>
      </c>
      <c r="B220" s="129" t="s">
        <v>1196</v>
      </c>
      <c r="C220" s="129" t="s">
        <v>607</v>
      </c>
      <c r="D220" s="129" t="s">
        <v>1250</v>
      </c>
      <c r="E220" s="129" t="s">
        <v>1203</v>
      </c>
      <c r="F220" s="129" t="s">
        <v>1204</v>
      </c>
      <c r="G220" s="210">
        <v>3</v>
      </c>
      <c r="H220" s="211">
        <f t="shared" si="15"/>
        <v>910.25</v>
      </c>
      <c r="I220" s="207">
        <f>IF(F220="CONCENTRADO SEMI BRILHO",G220/'De-Para'!$B$9,G220/VLOOKUP(B220,'De-Para'!A:B,2,0))</f>
        <v>2.3622047244094486</v>
      </c>
      <c r="J220" s="206">
        <f t="shared" si="16"/>
        <v>716.73228346456688</v>
      </c>
      <c r="K220" s="212">
        <f t="shared" si="17"/>
        <v>3.2957978577313925E-3</v>
      </c>
      <c r="L220" s="209">
        <f>VLOOKUP(E220,'Custos Matéria Prima Embalagens'!B:G,6,0)</f>
        <v>4.9399999999999995</v>
      </c>
      <c r="M220" s="209">
        <f t="shared" si="18"/>
        <v>14.819999999999999</v>
      </c>
      <c r="N220" s="209">
        <f t="shared" si="19"/>
        <v>0.02</v>
      </c>
    </row>
    <row r="221" spans="1:14" hidden="1">
      <c r="A221" s="129" t="s">
        <v>1195</v>
      </c>
      <c r="B221" s="129" t="s">
        <v>1196</v>
      </c>
      <c r="C221" s="129" t="s">
        <v>607</v>
      </c>
      <c r="D221" s="129" t="s">
        <v>1250</v>
      </c>
      <c r="E221" s="129" t="s">
        <v>1205</v>
      </c>
      <c r="F221" s="129" t="s">
        <v>1206</v>
      </c>
      <c r="G221" s="210">
        <v>2</v>
      </c>
      <c r="H221" s="211">
        <f t="shared" si="15"/>
        <v>910.25</v>
      </c>
      <c r="I221" s="207">
        <f>IF(F221="CONCENTRADO SEMI BRILHO",G221/'De-Para'!$B$9,G221/VLOOKUP(B221,'De-Para'!A:B,2,0))</f>
        <v>1.5748031496062991</v>
      </c>
      <c r="J221" s="206">
        <f t="shared" si="16"/>
        <v>716.73228346456688</v>
      </c>
      <c r="K221" s="212">
        <f t="shared" si="17"/>
        <v>2.1971985718209283E-3</v>
      </c>
      <c r="L221" s="209">
        <f>VLOOKUP(E221,'Custos Matéria Prima Embalagens'!B:G,6,0)</f>
        <v>7.33</v>
      </c>
      <c r="M221" s="209">
        <f t="shared" si="18"/>
        <v>14.66</v>
      </c>
      <c r="N221" s="209">
        <f t="shared" si="19"/>
        <v>0.02</v>
      </c>
    </row>
    <row r="222" spans="1:14" hidden="1">
      <c r="A222" s="129" t="s">
        <v>1195</v>
      </c>
      <c r="B222" s="129" t="s">
        <v>1196</v>
      </c>
      <c r="C222" s="129" t="s">
        <v>607</v>
      </c>
      <c r="D222" s="129" t="s">
        <v>1250</v>
      </c>
      <c r="E222" s="129" t="s">
        <v>1207</v>
      </c>
      <c r="F222" s="129" t="s">
        <v>1208</v>
      </c>
      <c r="G222" s="210">
        <v>3</v>
      </c>
      <c r="H222" s="211">
        <f t="shared" si="15"/>
        <v>910.25</v>
      </c>
      <c r="I222" s="207">
        <f>IF(F222="CONCENTRADO SEMI BRILHO",G222/'De-Para'!$B$9,G222/VLOOKUP(B222,'De-Para'!A:B,2,0))</f>
        <v>2.3622047244094486</v>
      </c>
      <c r="J222" s="206">
        <f t="shared" si="16"/>
        <v>716.73228346456688</v>
      </c>
      <c r="K222" s="212">
        <f t="shared" si="17"/>
        <v>3.2957978577313925E-3</v>
      </c>
      <c r="L222" s="209">
        <f>VLOOKUP(E222,'Custos Matéria Prima Embalagens'!B:G,6,0)</f>
        <v>6.8599999999999994</v>
      </c>
      <c r="M222" s="209">
        <f t="shared" si="18"/>
        <v>20.58</v>
      </c>
      <c r="N222" s="209">
        <f t="shared" si="19"/>
        <v>0.03</v>
      </c>
    </row>
    <row r="223" spans="1:14" hidden="1">
      <c r="A223" s="129" t="s">
        <v>1195</v>
      </c>
      <c r="B223" s="129" t="s">
        <v>1196</v>
      </c>
      <c r="C223" s="129" t="s">
        <v>607</v>
      </c>
      <c r="D223" s="129" t="s">
        <v>1250</v>
      </c>
      <c r="E223" s="129" t="s">
        <v>1209</v>
      </c>
      <c r="F223" s="129" t="s">
        <v>1210</v>
      </c>
      <c r="G223" s="210">
        <v>2.5</v>
      </c>
      <c r="H223" s="211">
        <f t="shared" si="15"/>
        <v>910.25</v>
      </c>
      <c r="I223" s="207">
        <f>IF(F223="CONCENTRADO SEMI BRILHO",G223/'De-Para'!$B$9,G223/VLOOKUP(B223,'De-Para'!A:B,2,0))</f>
        <v>1.9685039370078741</v>
      </c>
      <c r="J223" s="206">
        <f t="shared" si="16"/>
        <v>716.73228346456688</v>
      </c>
      <c r="K223" s="212">
        <f t="shared" si="17"/>
        <v>2.7464982147761604E-3</v>
      </c>
      <c r="L223" s="209">
        <f>VLOOKUP(E223,'Custos Matéria Prima Embalagens'!B:G,6,0)</f>
        <v>7</v>
      </c>
      <c r="M223" s="209">
        <f t="shared" si="18"/>
        <v>17.5</v>
      </c>
      <c r="N223" s="209">
        <f t="shared" si="19"/>
        <v>0.02</v>
      </c>
    </row>
    <row r="224" spans="1:14" hidden="1">
      <c r="A224" s="129" t="s">
        <v>1195</v>
      </c>
      <c r="B224" s="129" t="s">
        <v>1196</v>
      </c>
      <c r="C224" s="129" t="s">
        <v>607</v>
      </c>
      <c r="D224" s="129" t="s">
        <v>1250</v>
      </c>
      <c r="E224" s="129" t="s">
        <v>1215</v>
      </c>
      <c r="F224" s="129" t="s">
        <v>1216</v>
      </c>
      <c r="G224" s="210">
        <v>50</v>
      </c>
      <c r="H224" s="211">
        <f t="shared" si="15"/>
        <v>910.25</v>
      </c>
      <c r="I224" s="207">
        <f>IF(F224="CONCENTRADO SEMI BRILHO",G224/'De-Para'!$B$9,G224/VLOOKUP(B224,'De-Para'!A:B,2,0))</f>
        <v>39.370078740157481</v>
      </c>
      <c r="J224" s="206">
        <f t="shared" si="16"/>
        <v>716.73228346456688</v>
      </c>
      <c r="K224" s="212">
        <f t="shared" si="17"/>
        <v>5.4929964295523208E-2</v>
      </c>
      <c r="L224" s="209">
        <f>VLOOKUP(E224,'Custos Matéria Prima Embalagens'!B:G,6,0)</f>
        <v>0.8</v>
      </c>
      <c r="M224" s="209">
        <f t="shared" si="18"/>
        <v>40</v>
      </c>
      <c r="N224" s="209">
        <f t="shared" si="19"/>
        <v>0.06</v>
      </c>
    </row>
    <row r="225" spans="1:14" hidden="1">
      <c r="A225" s="129" t="s">
        <v>1195</v>
      </c>
      <c r="B225" s="129" t="s">
        <v>1196</v>
      </c>
      <c r="C225" s="129" t="s">
        <v>607</v>
      </c>
      <c r="D225" s="129" t="s">
        <v>1250</v>
      </c>
      <c r="E225" s="129" t="s">
        <v>1227</v>
      </c>
      <c r="F225" s="129" t="s">
        <v>1228</v>
      </c>
      <c r="G225" s="210">
        <v>325</v>
      </c>
      <c r="H225" s="211">
        <f t="shared" si="15"/>
        <v>910.25</v>
      </c>
      <c r="I225" s="207">
        <f>IF(F225="CONCENTRADO SEMI BRILHO",G225/'De-Para'!$B$9,G225/VLOOKUP(B225,'De-Para'!A:B,2,0))</f>
        <v>255.90551181102362</v>
      </c>
      <c r="J225" s="206">
        <f t="shared" si="16"/>
        <v>716.73228346456688</v>
      </c>
      <c r="K225" s="212">
        <f t="shared" si="17"/>
        <v>0.35704476792090084</v>
      </c>
      <c r="L225" s="209">
        <f>VLOOKUP(E225,'Custos Matéria Prima Embalagens'!B:G,6,0)</f>
        <v>1.520495555555555</v>
      </c>
      <c r="M225" s="209">
        <f t="shared" si="18"/>
        <v>494.16105555555538</v>
      </c>
      <c r="N225" s="209">
        <f t="shared" si="19"/>
        <v>0.69</v>
      </c>
    </row>
    <row r="226" spans="1:14" hidden="1">
      <c r="A226" s="129" t="s">
        <v>1195</v>
      </c>
      <c r="B226" s="129" t="s">
        <v>1196</v>
      </c>
      <c r="C226" s="129" t="s">
        <v>607</v>
      </c>
      <c r="D226" s="129" t="s">
        <v>1250</v>
      </c>
      <c r="E226" s="129" t="s">
        <v>1217</v>
      </c>
      <c r="F226" s="129" t="s">
        <v>1218</v>
      </c>
      <c r="G226" s="210">
        <v>30</v>
      </c>
      <c r="H226" s="211">
        <f t="shared" si="15"/>
        <v>910.25</v>
      </c>
      <c r="I226" s="207">
        <f>IF(F226="CONCENTRADO SEMI BRILHO",G226/'De-Para'!$B$9,G226/VLOOKUP(B226,'De-Para'!A:B,2,0))</f>
        <v>23.622047244094489</v>
      </c>
      <c r="J226" s="206">
        <f t="shared" si="16"/>
        <v>716.73228346456688</v>
      </c>
      <c r="K226" s="212">
        <f t="shared" si="17"/>
        <v>3.2957978577313925E-2</v>
      </c>
      <c r="L226" s="209">
        <f>VLOOKUP(E226,'Custos Matéria Prima Embalagens'!B:G,6,0)</f>
        <v>8.43</v>
      </c>
      <c r="M226" s="209">
        <f t="shared" si="18"/>
        <v>252.89999999999998</v>
      </c>
      <c r="N226" s="209">
        <f t="shared" si="19"/>
        <v>0.35</v>
      </c>
    </row>
    <row r="227" spans="1:14" hidden="1">
      <c r="A227" s="129" t="s">
        <v>1195</v>
      </c>
      <c r="B227" s="129" t="s">
        <v>1196</v>
      </c>
      <c r="C227" s="129" t="s">
        <v>607</v>
      </c>
      <c r="D227" s="129" t="s">
        <v>1250</v>
      </c>
      <c r="E227" s="129" t="s">
        <v>1219</v>
      </c>
      <c r="F227" s="129" t="s">
        <v>1220</v>
      </c>
      <c r="G227" s="210">
        <v>3</v>
      </c>
      <c r="H227" s="211">
        <f t="shared" si="15"/>
        <v>910.25</v>
      </c>
      <c r="I227" s="207">
        <f>IF(F227="CONCENTRADO SEMI BRILHO",G227/'De-Para'!$B$9,G227/VLOOKUP(B227,'De-Para'!A:B,2,0))</f>
        <v>2.3622047244094486</v>
      </c>
      <c r="J227" s="206">
        <f t="shared" si="16"/>
        <v>716.73228346456688</v>
      </c>
      <c r="K227" s="212">
        <f t="shared" si="17"/>
        <v>3.2957978577313925E-3</v>
      </c>
      <c r="L227" s="209">
        <f>VLOOKUP(E227,'Custos Matéria Prima Embalagens'!B:G,6,0)</f>
        <v>4.9800000000000004</v>
      </c>
      <c r="M227" s="209">
        <f t="shared" si="18"/>
        <v>14.940000000000001</v>
      </c>
      <c r="N227" s="209">
        <f t="shared" si="19"/>
        <v>0.02</v>
      </c>
    </row>
    <row r="228" spans="1:14" hidden="1">
      <c r="A228" s="129" t="s">
        <v>1195</v>
      </c>
      <c r="B228" s="129" t="s">
        <v>1196</v>
      </c>
      <c r="C228" s="129" t="s">
        <v>607</v>
      </c>
      <c r="D228" s="129" t="s">
        <v>1250</v>
      </c>
      <c r="E228" s="129" t="s">
        <v>1221</v>
      </c>
      <c r="F228" s="129" t="s">
        <v>1222</v>
      </c>
      <c r="G228" s="210">
        <v>15.5</v>
      </c>
      <c r="H228" s="211">
        <f t="shared" si="15"/>
        <v>910.25</v>
      </c>
      <c r="I228" s="207">
        <f>IF(F228="CONCENTRADO SEMI BRILHO",G228/'De-Para'!$B$9,G228/VLOOKUP(B228,'De-Para'!A:B,2,0))</f>
        <v>12.204724409448819</v>
      </c>
      <c r="J228" s="206">
        <f t="shared" si="16"/>
        <v>716.73228346456688</v>
      </c>
      <c r="K228" s="212">
        <f t="shared" si="17"/>
        <v>1.7028288931612196E-2</v>
      </c>
      <c r="L228" s="209">
        <f>VLOOKUP(E228,'Custos Matéria Prima Embalagens'!B:G,6,0)</f>
        <v>7.9049999999999994</v>
      </c>
      <c r="M228" s="209">
        <f t="shared" si="18"/>
        <v>122.52749999999999</v>
      </c>
      <c r="N228" s="209">
        <f t="shared" si="19"/>
        <v>0.17</v>
      </c>
    </row>
    <row r="229" spans="1:14" hidden="1">
      <c r="A229" s="129" t="s">
        <v>1195</v>
      </c>
      <c r="B229" s="129" t="s">
        <v>1196</v>
      </c>
      <c r="C229" s="129" t="s">
        <v>607</v>
      </c>
      <c r="D229" s="129" t="s">
        <v>1250</v>
      </c>
      <c r="E229" s="129" t="s">
        <v>1223</v>
      </c>
      <c r="F229" s="129" t="s">
        <v>1224</v>
      </c>
      <c r="G229" s="210">
        <v>7.5</v>
      </c>
      <c r="H229" s="211">
        <f t="shared" si="15"/>
        <v>910.25</v>
      </c>
      <c r="I229" s="207">
        <f>IF(F229="CONCENTRADO SEMI BRILHO",G229/'De-Para'!$B$9,G229/VLOOKUP(B229,'De-Para'!A:B,2,0))</f>
        <v>5.9055118110236222</v>
      </c>
      <c r="J229" s="206">
        <f t="shared" si="16"/>
        <v>716.73228346456688</v>
      </c>
      <c r="K229" s="212">
        <f t="shared" si="17"/>
        <v>8.2394946443284812E-3</v>
      </c>
      <c r="L229" s="209">
        <f>VLOOKUP(E229,'Custos Matéria Prima Embalagens'!B:G,6,0)</f>
        <v>4.8499999999999996</v>
      </c>
      <c r="M229" s="209">
        <f t="shared" si="18"/>
        <v>36.375</v>
      </c>
      <c r="N229" s="209">
        <f t="shared" si="19"/>
        <v>0.05</v>
      </c>
    </row>
    <row r="230" spans="1:14" hidden="1">
      <c r="A230" s="129" t="s">
        <v>1195</v>
      </c>
      <c r="B230" s="129" t="s">
        <v>1196</v>
      </c>
      <c r="C230" s="129" t="s">
        <v>607</v>
      </c>
      <c r="D230" s="129" t="s">
        <v>1250</v>
      </c>
      <c r="E230" s="129" t="s">
        <v>1229</v>
      </c>
      <c r="F230" s="129" t="s">
        <v>1230</v>
      </c>
      <c r="G230" s="210">
        <v>5</v>
      </c>
      <c r="H230" s="211">
        <f t="shared" si="15"/>
        <v>910.25</v>
      </c>
      <c r="I230" s="207">
        <f>IF(F230="CONCENTRADO SEMI BRILHO",G230/'De-Para'!$B$9,G230/VLOOKUP(B230,'De-Para'!A:B,2,0))</f>
        <v>3.9370078740157481</v>
      </c>
      <c r="J230" s="206">
        <f t="shared" si="16"/>
        <v>716.73228346456688</v>
      </c>
      <c r="K230" s="212">
        <f t="shared" si="17"/>
        <v>5.4929964295523208E-3</v>
      </c>
      <c r="L230" s="209">
        <f>VLOOKUP(E230,'Custos Matéria Prima Embalagens'!B:G,6,0)</f>
        <v>19.22</v>
      </c>
      <c r="M230" s="209">
        <f t="shared" si="18"/>
        <v>96.1</v>
      </c>
      <c r="N230" s="209">
        <f t="shared" si="19"/>
        <v>0.13</v>
      </c>
    </row>
    <row r="231" spans="1:14" hidden="1">
      <c r="A231" s="129" t="s">
        <v>1195</v>
      </c>
      <c r="B231" s="129" t="s">
        <v>1196</v>
      </c>
      <c r="C231" s="129" t="s">
        <v>607</v>
      </c>
      <c r="D231" s="129" t="s">
        <v>1250</v>
      </c>
      <c r="E231" s="129" t="s">
        <v>1233</v>
      </c>
      <c r="F231" s="129" t="s">
        <v>1234</v>
      </c>
      <c r="G231" s="210">
        <v>1.2</v>
      </c>
      <c r="H231" s="211">
        <f t="shared" si="15"/>
        <v>910.25</v>
      </c>
      <c r="I231" s="207">
        <f>IF(F231="CONCENTRADO SEMI BRILHO",G231/'De-Para'!$B$9,G231/VLOOKUP(B231,'De-Para'!A:B,2,0))</f>
        <v>0.94488188976377951</v>
      </c>
      <c r="J231" s="206">
        <f t="shared" si="16"/>
        <v>716.73228346456688</v>
      </c>
      <c r="K231" s="212">
        <f t="shared" si="17"/>
        <v>1.318319143092557E-3</v>
      </c>
      <c r="L231" s="209">
        <f>VLOOKUP(E231,'Custos Matéria Prima Embalagens'!B:G,6,0)</f>
        <v>31.93</v>
      </c>
      <c r="M231" s="209">
        <f t="shared" si="18"/>
        <v>38.315999999999995</v>
      </c>
      <c r="N231" s="209">
        <f t="shared" si="19"/>
        <v>0.05</v>
      </c>
    </row>
    <row r="232" spans="1:14" hidden="1">
      <c r="A232" s="129" t="s">
        <v>1195</v>
      </c>
      <c r="B232" s="129" t="s">
        <v>1196</v>
      </c>
      <c r="C232" s="129" t="s">
        <v>607</v>
      </c>
      <c r="D232" s="129" t="s">
        <v>1250</v>
      </c>
      <c r="E232" s="129" t="s">
        <v>1235</v>
      </c>
      <c r="F232" s="129" t="s">
        <v>1236</v>
      </c>
      <c r="G232" s="210">
        <v>0.05</v>
      </c>
      <c r="H232" s="211">
        <f t="shared" si="15"/>
        <v>910.25</v>
      </c>
      <c r="I232" s="207">
        <f>IF(F232="CONCENTRADO SEMI BRILHO",G232/'De-Para'!$B$9,G232/VLOOKUP(B232,'De-Para'!A:B,2,0))</f>
        <v>3.937007874015748E-2</v>
      </c>
      <c r="J232" s="206">
        <f t="shared" si="16"/>
        <v>716.73228346456688</v>
      </c>
      <c r="K232" s="212">
        <f t="shared" si="17"/>
        <v>5.4929964295523208E-5</v>
      </c>
      <c r="L232" s="209">
        <f>VLOOKUP(E232,'Custos Matéria Prima Embalagens'!B:G,6,0)</f>
        <v>46.089999999999996</v>
      </c>
      <c r="M232" s="209">
        <f t="shared" si="18"/>
        <v>2.3045</v>
      </c>
      <c r="N232" s="209">
        <f t="shared" si="19"/>
        <v>0</v>
      </c>
    </row>
    <row r="233" spans="1:14" hidden="1">
      <c r="A233" s="129" t="s">
        <v>1251</v>
      </c>
      <c r="B233" s="129" t="s">
        <v>1252</v>
      </c>
      <c r="C233" s="129" t="s">
        <v>655</v>
      </c>
      <c r="D233" s="129" t="s">
        <v>704</v>
      </c>
      <c r="E233" s="129" t="s">
        <v>1197</v>
      </c>
      <c r="F233" s="129" t="s">
        <v>1198</v>
      </c>
      <c r="G233" s="210">
        <v>400</v>
      </c>
      <c r="H233" s="211">
        <f t="shared" si="15"/>
        <v>967.5</v>
      </c>
      <c r="I233" s="207">
        <f>IF(F233="CONCENTRADO SEMI BRILHO",G233/'De-Para'!$B$9,G233/VLOOKUP(B233,'De-Para'!A:B,2,0))</f>
        <v>314.96062992125985</v>
      </c>
      <c r="J233" s="206">
        <f t="shared" si="16"/>
        <v>761.81102362204717</v>
      </c>
      <c r="K233" s="212">
        <f t="shared" si="17"/>
        <v>0.41343669250645992</v>
      </c>
      <c r="L233" s="209">
        <f>VLOOKUP(E233,'Custos Matéria Prima Embalagens'!B:G,6,0)</f>
        <v>0</v>
      </c>
      <c r="M233" s="209">
        <f t="shared" si="18"/>
        <v>0</v>
      </c>
      <c r="N233" s="209">
        <f t="shared" si="19"/>
        <v>0</v>
      </c>
    </row>
    <row r="234" spans="1:14" hidden="1">
      <c r="A234" s="129" t="s">
        <v>1251</v>
      </c>
      <c r="B234" s="129" t="s">
        <v>1252</v>
      </c>
      <c r="C234" s="129" t="s">
        <v>655</v>
      </c>
      <c r="D234" s="129" t="s">
        <v>704</v>
      </c>
      <c r="E234" s="129" t="s">
        <v>1201</v>
      </c>
      <c r="F234" s="129" t="s">
        <v>1202</v>
      </c>
      <c r="G234" s="210">
        <v>2.5</v>
      </c>
      <c r="H234" s="211">
        <f t="shared" si="15"/>
        <v>967.5</v>
      </c>
      <c r="I234" s="207">
        <f>IF(F234="CONCENTRADO SEMI BRILHO",G234/'De-Para'!$B$9,G234/VLOOKUP(B234,'De-Para'!A:B,2,0))</f>
        <v>1.9685039370078741</v>
      </c>
      <c r="J234" s="206">
        <f t="shared" si="16"/>
        <v>761.81102362204717</v>
      </c>
      <c r="K234" s="212">
        <f t="shared" si="17"/>
        <v>2.5839793281653748E-3</v>
      </c>
      <c r="L234" s="209">
        <f>VLOOKUP(E234,'Custos Matéria Prima Embalagens'!B:G,6,0)</f>
        <v>7.18</v>
      </c>
      <c r="M234" s="209">
        <f t="shared" si="18"/>
        <v>17.95</v>
      </c>
      <c r="N234" s="209">
        <f t="shared" si="19"/>
        <v>0.02</v>
      </c>
    </row>
    <row r="235" spans="1:14" hidden="1">
      <c r="A235" s="129" t="s">
        <v>1251</v>
      </c>
      <c r="B235" s="129" t="s">
        <v>1252</v>
      </c>
      <c r="C235" s="129" t="s">
        <v>655</v>
      </c>
      <c r="D235" s="129" t="s">
        <v>704</v>
      </c>
      <c r="E235" s="129" t="s">
        <v>1203</v>
      </c>
      <c r="F235" s="129" t="s">
        <v>1204</v>
      </c>
      <c r="G235" s="210">
        <v>3</v>
      </c>
      <c r="H235" s="211">
        <f t="shared" si="15"/>
        <v>967.5</v>
      </c>
      <c r="I235" s="207">
        <f>IF(F235="CONCENTRADO SEMI BRILHO",G235/'De-Para'!$B$9,G235/VLOOKUP(B235,'De-Para'!A:B,2,0))</f>
        <v>2.3622047244094486</v>
      </c>
      <c r="J235" s="206">
        <f t="shared" si="16"/>
        <v>761.81102362204717</v>
      </c>
      <c r="K235" s="212">
        <f t="shared" si="17"/>
        <v>3.1007751937984496E-3</v>
      </c>
      <c r="L235" s="209">
        <f>VLOOKUP(E235,'Custos Matéria Prima Embalagens'!B:G,6,0)</f>
        <v>4.9399999999999995</v>
      </c>
      <c r="M235" s="209">
        <f t="shared" si="18"/>
        <v>14.819999999999999</v>
      </c>
      <c r="N235" s="209">
        <f t="shared" si="19"/>
        <v>0.02</v>
      </c>
    </row>
    <row r="236" spans="1:14" hidden="1">
      <c r="A236" s="129" t="s">
        <v>1251</v>
      </c>
      <c r="B236" s="129" t="s">
        <v>1252</v>
      </c>
      <c r="C236" s="129" t="s">
        <v>655</v>
      </c>
      <c r="D236" s="129" t="s">
        <v>704</v>
      </c>
      <c r="E236" s="129" t="s">
        <v>1205</v>
      </c>
      <c r="F236" s="129" t="s">
        <v>1206</v>
      </c>
      <c r="G236" s="210">
        <v>2</v>
      </c>
      <c r="H236" s="211">
        <f t="shared" si="15"/>
        <v>967.5</v>
      </c>
      <c r="I236" s="207">
        <f>IF(F236="CONCENTRADO SEMI BRILHO",G236/'De-Para'!$B$9,G236/VLOOKUP(B236,'De-Para'!A:B,2,0))</f>
        <v>1.5748031496062991</v>
      </c>
      <c r="J236" s="206">
        <f t="shared" si="16"/>
        <v>761.81102362204717</v>
      </c>
      <c r="K236" s="212">
        <f t="shared" si="17"/>
        <v>2.0671834625322996E-3</v>
      </c>
      <c r="L236" s="209">
        <f>VLOOKUP(E236,'Custos Matéria Prima Embalagens'!B:G,6,0)</f>
        <v>7.33</v>
      </c>
      <c r="M236" s="209">
        <f t="shared" si="18"/>
        <v>14.66</v>
      </c>
      <c r="N236" s="209">
        <f t="shared" si="19"/>
        <v>0.02</v>
      </c>
    </row>
    <row r="237" spans="1:14" hidden="1">
      <c r="A237" s="129" t="s">
        <v>1251</v>
      </c>
      <c r="B237" s="129" t="s">
        <v>1252</v>
      </c>
      <c r="C237" s="129" t="s">
        <v>655</v>
      </c>
      <c r="D237" s="129" t="s">
        <v>704</v>
      </c>
      <c r="E237" s="129" t="s">
        <v>1207</v>
      </c>
      <c r="F237" s="129" t="s">
        <v>1208</v>
      </c>
      <c r="G237" s="210">
        <v>3</v>
      </c>
      <c r="H237" s="211">
        <f t="shared" si="15"/>
        <v>967.5</v>
      </c>
      <c r="I237" s="207">
        <f>IF(F237="CONCENTRADO SEMI BRILHO",G237/'De-Para'!$B$9,G237/VLOOKUP(B237,'De-Para'!A:B,2,0))</f>
        <v>2.3622047244094486</v>
      </c>
      <c r="J237" s="206">
        <f t="shared" si="16"/>
        <v>761.81102362204717</v>
      </c>
      <c r="K237" s="212">
        <f t="shared" si="17"/>
        <v>3.1007751937984496E-3</v>
      </c>
      <c r="L237" s="209">
        <f>VLOOKUP(E237,'Custos Matéria Prima Embalagens'!B:G,6,0)</f>
        <v>6.8599999999999994</v>
      </c>
      <c r="M237" s="209">
        <f t="shared" si="18"/>
        <v>20.58</v>
      </c>
      <c r="N237" s="209">
        <f t="shared" si="19"/>
        <v>0.03</v>
      </c>
    </row>
    <row r="238" spans="1:14" hidden="1">
      <c r="A238" s="129" t="s">
        <v>1251</v>
      </c>
      <c r="B238" s="129" t="s">
        <v>1252</v>
      </c>
      <c r="C238" s="129" t="s">
        <v>655</v>
      </c>
      <c r="D238" s="129" t="s">
        <v>704</v>
      </c>
      <c r="E238" s="129" t="s">
        <v>1209</v>
      </c>
      <c r="F238" s="129" t="s">
        <v>1210</v>
      </c>
      <c r="G238" s="210">
        <v>2.5</v>
      </c>
      <c r="H238" s="211">
        <f t="shared" si="15"/>
        <v>967.5</v>
      </c>
      <c r="I238" s="207">
        <f>IF(F238="CONCENTRADO SEMI BRILHO",G238/'De-Para'!$B$9,G238/VLOOKUP(B238,'De-Para'!A:B,2,0))</f>
        <v>1.9685039370078741</v>
      </c>
      <c r="J238" s="206">
        <f t="shared" si="16"/>
        <v>761.81102362204717</v>
      </c>
      <c r="K238" s="212">
        <f t="shared" si="17"/>
        <v>2.5839793281653748E-3</v>
      </c>
      <c r="L238" s="209">
        <f>VLOOKUP(E238,'Custos Matéria Prima Embalagens'!B:G,6,0)</f>
        <v>7</v>
      </c>
      <c r="M238" s="209">
        <f t="shared" si="18"/>
        <v>17.5</v>
      </c>
      <c r="N238" s="209">
        <f t="shared" si="19"/>
        <v>0.02</v>
      </c>
    </row>
    <row r="239" spans="1:14" hidden="1">
      <c r="A239" s="129" t="s">
        <v>1251</v>
      </c>
      <c r="B239" s="129" t="s">
        <v>1252</v>
      </c>
      <c r="C239" s="129" t="s">
        <v>655</v>
      </c>
      <c r="D239" s="129" t="s">
        <v>704</v>
      </c>
      <c r="E239" s="129" t="s">
        <v>1211</v>
      </c>
      <c r="F239" s="129" t="s">
        <v>1212</v>
      </c>
      <c r="G239" s="210">
        <v>150</v>
      </c>
      <c r="H239" s="211">
        <f t="shared" si="15"/>
        <v>967.5</v>
      </c>
      <c r="I239" s="207">
        <f>IF(F239="CONCENTRADO SEMI BRILHO",G239/'De-Para'!$B$9,G239/VLOOKUP(B239,'De-Para'!A:B,2,0))</f>
        <v>118.11023622047244</v>
      </c>
      <c r="J239" s="206">
        <f t="shared" si="16"/>
        <v>761.81102362204717</v>
      </c>
      <c r="K239" s="212">
        <f t="shared" si="17"/>
        <v>0.15503875968992248</v>
      </c>
      <c r="L239" s="209">
        <f>VLOOKUP(E239,'Custos Matéria Prima Embalagens'!B:G,6,0)</f>
        <v>3.09</v>
      </c>
      <c r="M239" s="209">
        <f t="shared" si="18"/>
        <v>463.5</v>
      </c>
      <c r="N239" s="209">
        <f t="shared" si="19"/>
        <v>0.61</v>
      </c>
    </row>
    <row r="240" spans="1:14" hidden="1">
      <c r="A240" s="129" t="s">
        <v>1251</v>
      </c>
      <c r="B240" s="129" t="s">
        <v>1252</v>
      </c>
      <c r="C240" s="129" t="s">
        <v>655</v>
      </c>
      <c r="D240" s="129" t="s">
        <v>704</v>
      </c>
      <c r="E240" s="129" t="s">
        <v>1213</v>
      </c>
      <c r="F240" s="129" t="s">
        <v>1214</v>
      </c>
      <c r="G240" s="210">
        <v>30</v>
      </c>
      <c r="H240" s="211">
        <f t="shared" si="15"/>
        <v>967.5</v>
      </c>
      <c r="I240" s="207">
        <f>IF(F240="CONCENTRADO SEMI BRILHO",G240/'De-Para'!$B$9,G240/VLOOKUP(B240,'De-Para'!A:B,2,0))</f>
        <v>23.622047244094489</v>
      </c>
      <c r="J240" s="206">
        <f t="shared" si="16"/>
        <v>761.81102362204717</v>
      </c>
      <c r="K240" s="212">
        <f t="shared" si="17"/>
        <v>3.1007751937984496E-2</v>
      </c>
      <c r="L240" s="209">
        <f>VLOOKUP(E240,'Custos Matéria Prima Embalagens'!B:G,6,0)</f>
        <v>19.3</v>
      </c>
      <c r="M240" s="209">
        <f t="shared" si="18"/>
        <v>579</v>
      </c>
      <c r="N240" s="209">
        <f t="shared" si="19"/>
        <v>0.76</v>
      </c>
    </row>
    <row r="241" spans="1:14" hidden="1">
      <c r="A241" s="129" t="s">
        <v>1251</v>
      </c>
      <c r="B241" s="129" t="s">
        <v>1252</v>
      </c>
      <c r="C241" s="129" t="s">
        <v>655</v>
      </c>
      <c r="D241" s="129" t="s">
        <v>704</v>
      </c>
      <c r="E241" s="129" t="s">
        <v>1215</v>
      </c>
      <c r="F241" s="129" t="s">
        <v>1216</v>
      </c>
      <c r="G241" s="210">
        <v>150</v>
      </c>
      <c r="H241" s="211">
        <f t="shared" si="15"/>
        <v>967.5</v>
      </c>
      <c r="I241" s="207">
        <f>IF(F241="CONCENTRADO SEMI BRILHO",G241/'De-Para'!$B$9,G241/VLOOKUP(B241,'De-Para'!A:B,2,0))</f>
        <v>118.11023622047244</v>
      </c>
      <c r="J241" s="206">
        <f t="shared" si="16"/>
        <v>761.81102362204717</v>
      </c>
      <c r="K241" s="212">
        <f t="shared" si="17"/>
        <v>0.15503875968992248</v>
      </c>
      <c r="L241" s="209">
        <f>VLOOKUP(E241,'Custos Matéria Prima Embalagens'!B:G,6,0)</f>
        <v>0.8</v>
      </c>
      <c r="M241" s="209">
        <f t="shared" si="18"/>
        <v>120</v>
      </c>
      <c r="N241" s="209">
        <f t="shared" si="19"/>
        <v>0.16</v>
      </c>
    </row>
    <row r="242" spans="1:14" hidden="1">
      <c r="A242" s="129" t="s">
        <v>1251</v>
      </c>
      <c r="B242" s="129" t="s">
        <v>1252</v>
      </c>
      <c r="C242" s="129" t="s">
        <v>655</v>
      </c>
      <c r="D242" s="129" t="s">
        <v>704</v>
      </c>
      <c r="E242" s="129" t="s">
        <v>1227</v>
      </c>
      <c r="F242" s="129" t="s">
        <v>1228</v>
      </c>
      <c r="G242" s="210">
        <v>100</v>
      </c>
      <c r="H242" s="211">
        <f t="shared" si="15"/>
        <v>967.5</v>
      </c>
      <c r="I242" s="207">
        <f>IF(F242="CONCENTRADO SEMI BRILHO",G242/'De-Para'!$B$9,G242/VLOOKUP(B242,'De-Para'!A:B,2,0))</f>
        <v>78.740157480314963</v>
      </c>
      <c r="J242" s="206">
        <f t="shared" si="16"/>
        <v>761.81102362204717</v>
      </c>
      <c r="K242" s="212">
        <f t="shared" si="17"/>
        <v>0.10335917312661498</v>
      </c>
      <c r="L242" s="209">
        <f>VLOOKUP(E242,'Custos Matéria Prima Embalagens'!B:G,6,0)</f>
        <v>1.520495555555555</v>
      </c>
      <c r="M242" s="209">
        <f t="shared" si="18"/>
        <v>152.04955555555551</v>
      </c>
      <c r="N242" s="209">
        <f t="shared" si="19"/>
        <v>0.2</v>
      </c>
    </row>
    <row r="243" spans="1:14" hidden="1">
      <c r="A243" s="129" t="s">
        <v>1251</v>
      </c>
      <c r="B243" s="129" t="s">
        <v>1252</v>
      </c>
      <c r="C243" s="129" t="s">
        <v>655</v>
      </c>
      <c r="D243" s="129" t="s">
        <v>704</v>
      </c>
      <c r="E243" s="129" t="s">
        <v>1217</v>
      </c>
      <c r="F243" s="129" t="s">
        <v>1218</v>
      </c>
      <c r="G243" s="210">
        <v>100</v>
      </c>
      <c r="H243" s="211">
        <f t="shared" si="15"/>
        <v>967.5</v>
      </c>
      <c r="I243" s="207">
        <f>IF(F243="CONCENTRADO SEMI BRILHO",G243/'De-Para'!$B$9,G243/VLOOKUP(B243,'De-Para'!A:B,2,0))</f>
        <v>78.740157480314963</v>
      </c>
      <c r="J243" s="206">
        <f t="shared" si="16"/>
        <v>761.81102362204717</v>
      </c>
      <c r="K243" s="212">
        <f t="shared" si="17"/>
        <v>0.10335917312661498</v>
      </c>
      <c r="L243" s="209">
        <f>VLOOKUP(E243,'Custos Matéria Prima Embalagens'!B:G,6,0)</f>
        <v>8.43</v>
      </c>
      <c r="M243" s="209">
        <f t="shared" si="18"/>
        <v>843</v>
      </c>
      <c r="N243" s="209">
        <f t="shared" si="19"/>
        <v>1.1100000000000001</v>
      </c>
    </row>
    <row r="244" spans="1:14" hidden="1">
      <c r="A244" s="129" t="s">
        <v>1251</v>
      </c>
      <c r="B244" s="129" t="s">
        <v>1252</v>
      </c>
      <c r="C244" s="129" t="s">
        <v>655</v>
      </c>
      <c r="D244" s="129" t="s">
        <v>704</v>
      </c>
      <c r="E244" s="129" t="s">
        <v>1219</v>
      </c>
      <c r="F244" s="129" t="s">
        <v>1220</v>
      </c>
      <c r="G244" s="210">
        <v>5.5</v>
      </c>
      <c r="H244" s="211">
        <f t="shared" si="15"/>
        <v>967.5</v>
      </c>
      <c r="I244" s="207">
        <f>IF(F244="CONCENTRADO SEMI BRILHO",G244/'De-Para'!$B$9,G244/VLOOKUP(B244,'De-Para'!A:B,2,0))</f>
        <v>4.3307086614173231</v>
      </c>
      <c r="J244" s="206">
        <f t="shared" si="16"/>
        <v>761.81102362204717</v>
      </c>
      <c r="K244" s="212">
        <f t="shared" si="17"/>
        <v>5.6847545219638239E-3</v>
      </c>
      <c r="L244" s="209">
        <f>VLOOKUP(E244,'Custos Matéria Prima Embalagens'!B:G,6,0)</f>
        <v>4.9800000000000004</v>
      </c>
      <c r="M244" s="209">
        <f t="shared" si="18"/>
        <v>27.39</v>
      </c>
      <c r="N244" s="209">
        <f t="shared" si="19"/>
        <v>0.04</v>
      </c>
    </row>
    <row r="245" spans="1:14" hidden="1">
      <c r="A245" s="129" t="s">
        <v>1251</v>
      </c>
      <c r="B245" s="129" t="s">
        <v>1252</v>
      </c>
      <c r="C245" s="129" t="s">
        <v>655</v>
      </c>
      <c r="D245" s="129" t="s">
        <v>704</v>
      </c>
      <c r="E245" s="129" t="s">
        <v>1221</v>
      </c>
      <c r="F245" s="129" t="s">
        <v>1222</v>
      </c>
      <c r="G245" s="210">
        <v>14</v>
      </c>
      <c r="H245" s="211">
        <f t="shared" si="15"/>
        <v>967.5</v>
      </c>
      <c r="I245" s="207">
        <f>IF(F245="CONCENTRADO SEMI BRILHO",G245/'De-Para'!$B$9,G245/VLOOKUP(B245,'De-Para'!A:B,2,0))</f>
        <v>11.023622047244094</v>
      </c>
      <c r="J245" s="206">
        <f t="shared" si="16"/>
        <v>761.81102362204717</v>
      </c>
      <c r="K245" s="212">
        <f t="shared" si="17"/>
        <v>1.4470284237726097E-2</v>
      </c>
      <c r="L245" s="209">
        <f>VLOOKUP(E245,'Custos Matéria Prima Embalagens'!B:G,6,0)</f>
        <v>7.9049999999999994</v>
      </c>
      <c r="M245" s="209">
        <f t="shared" si="18"/>
        <v>110.66999999999999</v>
      </c>
      <c r="N245" s="209">
        <f t="shared" si="19"/>
        <v>0.15</v>
      </c>
    </row>
    <row r="246" spans="1:14" hidden="1">
      <c r="A246" s="129" t="s">
        <v>1251</v>
      </c>
      <c r="B246" s="129" t="s">
        <v>1252</v>
      </c>
      <c r="C246" s="129" t="s">
        <v>655</v>
      </c>
      <c r="D246" s="129" t="s">
        <v>704</v>
      </c>
      <c r="E246" s="129" t="s">
        <v>1229</v>
      </c>
      <c r="F246" s="129" t="s">
        <v>1230</v>
      </c>
      <c r="G246" s="210">
        <v>5</v>
      </c>
      <c r="H246" s="211">
        <f t="shared" si="15"/>
        <v>967.5</v>
      </c>
      <c r="I246" s="207">
        <f>IF(F246="CONCENTRADO SEMI BRILHO",G246/'De-Para'!$B$9,G246/VLOOKUP(B246,'De-Para'!A:B,2,0))</f>
        <v>3.9370078740157481</v>
      </c>
      <c r="J246" s="206">
        <f t="shared" si="16"/>
        <v>761.81102362204717</v>
      </c>
      <c r="K246" s="212">
        <f t="shared" si="17"/>
        <v>5.1679586563307496E-3</v>
      </c>
      <c r="L246" s="209">
        <f>VLOOKUP(E246,'Custos Matéria Prima Embalagens'!B:G,6,0)</f>
        <v>19.22</v>
      </c>
      <c r="M246" s="209">
        <f t="shared" si="18"/>
        <v>96.1</v>
      </c>
      <c r="N246" s="209">
        <f t="shared" si="19"/>
        <v>0.13</v>
      </c>
    </row>
    <row r="247" spans="1:14" hidden="1">
      <c r="A247" s="129" t="s">
        <v>1251</v>
      </c>
      <c r="B247" s="129" t="s">
        <v>1252</v>
      </c>
      <c r="C247" s="129" t="s">
        <v>657</v>
      </c>
      <c r="D247" s="129" t="s">
        <v>569</v>
      </c>
      <c r="E247" s="129" t="s">
        <v>1197</v>
      </c>
      <c r="F247" s="129" t="s">
        <v>1198</v>
      </c>
      <c r="G247" s="210">
        <v>400</v>
      </c>
      <c r="H247" s="211">
        <f t="shared" si="15"/>
        <v>1047.5999999999999</v>
      </c>
      <c r="I247" s="207">
        <f>IF(F247="CONCENTRADO SEMI BRILHO",G247/'De-Para'!$B$9,G247/VLOOKUP(B247,'De-Para'!A:B,2,0))</f>
        <v>314.96062992125985</v>
      </c>
      <c r="J247" s="206">
        <f t="shared" si="16"/>
        <v>824.88188976377967</v>
      </c>
      <c r="K247" s="212">
        <f t="shared" si="17"/>
        <v>0.38182512409316538</v>
      </c>
      <c r="L247" s="209">
        <f>VLOOKUP(E247,'Custos Matéria Prima Embalagens'!B:G,6,0)</f>
        <v>0</v>
      </c>
      <c r="M247" s="209">
        <f t="shared" si="18"/>
        <v>0</v>
      </c>
      <c r="N247" s="209">
        <f t="shared" si="19"/>
        <v>0</v>
      </c>
    </row>
    <row r="248" spans="1:14" hidden="1">
      <c r="A248" s="129" t="s">
        <v>1251</v>
      </c>
      <c r="B248" s="129" t="s">
        <v>1252</v>
      </c>
      <c r="C248" s="129" t="s">
        <v>657</v>
      </c>
      <c r="D248" s="129" t="s">
        <v>569</v>
      </c>
      <c r="E248" s="129" t="s">
        <v>1201</v>
      </c>
      <c r="F248" s="129" t="s">
        <v>1202</v>
      </c>
      <c r="G248" s="210">
        <v>2.5</v>
      </c>
      <c r="H248" s="211">
        <f t="shared" si="15"/>
        <v>1047.5999999999999</v>
      </c>
      <c r="I248" s="207">
        <f>IF(F248="CONCENTRADO SEMI BRILHO",G248/'De-Para'!$B$9,G248/VLOOKUP(B248,'De-Para'!A:B,2,0))</f>
        <v>1.9685039370078741</v>
      </c>
      <c r="J248" s="206">
        <f t="shared" si="16"/>
        <v>824.88188976377967</v>
      </c>
      <c r="K248" s="212">
        <f t="shared" si="17"/>
        <v>2.3864070255822834E-3</v>
      </c>
      <c r="L248" s="209">
        <f>VLOOKUP(E248,'Custos Matéria Prima Embalagens'!B:G,6,0)</f>
        <v>7.18</v>
      </c>
      <c r="M248" s="209">
        <f t="shared" si="18"/>
        <v>17.95</v>
      </c>
      <c r="N248" s="209">
        <f t="shared" si="19"/>
        <v>0.02</v>
      </c>
    </row>
    <row r="249" spans="1:14" hidden="1">
      <c r="A249" s="129" t="s">
        <v>1251</v>
      </c>
      <c r="B249" s="129" t="s">
        <v>1252</v>
      </c>
      <c r="C249" s="129" t="s">
        <v>657</v>
      </c>
      <c r="D249" s="129" t="s">
        <v>569</v>
      </c>
      <c r="E249" s="129" t="s">
        <v>1203</v>
      </c>
      <c r="F249" s="129" t="s">
        <v>1204</v>
      </c>
      <c r="G249" s="210">
        <v>3</v>
      </c>
      <c r="H249" s="211">
        <f t="shared" si="15"/>
        <v>1047.5999999999999</v>
      </c>
      <c r="I249" s="207">
        <f>IF(F249="CONCENTRADO SEMI BRILHO",G249/'De-Para'!$B$9,G249/VLOOKUP(B249,'De-Para'!A:B,2,0))</f>
        <v>2.3622047244094486</v>
      </c>
      <c r="J249" s="206">
        <f t="shared" si="16"/>
        <v>824.88188976377967</v>
      </c>
      <c r="K249" s="212">
        <f t="shared" si="17"/>
        <v>2.8636884306987402E-3</v>
      </c>
      <c r="L249" s="209">
        <f>VLOOKUP(E249,'Custos Matéria Prima Embalagens'!B:G,6,0)</f>
        <v>4.9399999999999995</v>
      </c>
      <c r="M249" s="209">
        <f t="shared" si="18"/>
        <v>14.819999999999999</v>
      </c>
      <c r="N249" s="209">
        <f t="shared" si="19"/>
        <v>0.02</v>
      </c>
    </row>
    <row r="250" spans="1:14" hidden="1">
      <c r="A250" s="129" t="s">
        <v>1251</v>
      </c>
      <c r="B250" s="129" t="s">
        <v>1252</v>
      </c>
      <c r="C250" s="129" t="s">
        <v>657</v>
      </c>
      <c r="D250" s="129" t="s">
        <v>569</v>
      </c>
      <c r="E250" s="129" t="s">
        <v>1205</v>
      </c>
      <c r="F250" s="129" t="s">
        <v>1206</v>
      </c>
      <c r="G250" s="210">
        <v>2</v>
      </c>
      <c r="H250" s="211">
        <f t="shared" si="15"/>
        <v>1047.5999999999999</v>
      </c>
      <c r="I250" s="207">
        <f>IF(F250="CONCENTRADO SEMI BRILHO",G250/'De-Para'!$B$9,G250/VLOOKUP(B250,'De-Para'!A:B,2,0))</f>
        <v>1.5748031496062991</v>
      </c>
      <c r="J250" s="206">
        <f t="shared" si="16"/>
        <v>824.88188976377967</v>
      </c>
      <c r="K250" s="212">
        <f t="shared" si="17"/>
        <v>1.9091256204658267E-3</v>
      </c>
      <c r="L250" s="209">
        <f>VLOOKUP(E250,'Custos Matéria Prima Embalagens'!B:G,6,0)</f>
        <v>7.33</v>
      </c>
      <c r="M250" s="209">
        <f t="shared" si="18"/>
        <v>14.66</v>
      </c>
      <c r="N250" s="209">
        <f t="shared" si="19"/>
        <v>0.02</v>
      </c>
    </row>
    <row r="251" spans="1:14" hidden="1">
      <c r="A251" s="129" t="s">
        <v>1251</v>
      </c>
      <c r="B251" s="129" t="s">
        <v>1252</v>
      </c>
      <c r="C251" s="129" t="s">
        <v>657</v>
      </c>
      <c r="D251" s="129" t="s">
        <v>569</v>
      </c>
      <c r="E251" s="129" t="s">
        <v>1207</v>
      </c>
      <c r="F251" s="129" t="s">
        <v>1208</v>
      </c>
      <c r="G251" s="210">
        <v>3</v>
      </c>
      <c r="H251" s="211">
        <f t="shared" si="15"/>
        <v>1047.5999999999999</v>
      </c>
      <c r="I251" s="207">
        <f>IF(F251="CONCENTRADO SEMI BRILHO",G251/'De-Para'!$B$9,G251/VLOOKUP(B251,'De-Para'!A:B,2,0))</f>
        <v>2.3622047244094486</v>
      </c>
      <c r="J251" s="206">
        <f t="shared" si="16"/>
        <v>824.88188976377967</v>
      </c>
      <c r="K251" s="212">
        <f t="shared" si="17"/>
        <v>2.8636884306987402E-3</v>
      </c>
      <c r="L251" s="209">
        <f>VLOOKUP(E251,'Custos Matéria Prima Embalagens'!B:G,6,0)</f>
        <v>6.8599999999999994</v>
      </c>
      <c r="M251" s="209">
        <f t="shared" si="18"/>
        <v>20.58</v>
      </c>
      <c r="N251" s="209">
        <f t="shared" si="19"/>
        <v>0.02</v>
      </c>
    </row>
    <row r="252" spans="1:14" hidden="1">
      <c r="A252" s="129" t="s">
        <v>1251</v>
      </c>
      <c r="B252" s="129" t="s">
        <v>1252</v>
      </c>
      <c r="C252" s="129" t="s">
        <v>657</v>
      </c>
      <c r="D252" s="129" t="s">
        <v>569</v>
      </c>
      <c r="E252" s="129" t="s">
        <v>1209</v>
      </c>
      <c r="F252" s="129" t="s">
        <v>1210</v>
      </c>
      <c r="G252" s="210">
        <v>2.5</v>
      </c>
      <c r="H252" s="211">
        <f t="shared" si="15"/>
        <v>1047.5999999999999</v>
      </c>
      <c r="I252" s="207">
        <f>IF(F252="CONCENTRADO SEMI BRILHO",G252/'De-Para'!$B$9,G252/VLOOKUP(B252,'De-Para'!A:B,2,0))</f>
        <v>1.9685039370078741</v>
      </c>
      <c r="J252" s="206">
        <f t="shared" si="16"/>
        <v>824.88188976377967</v>
      </c>
      <c r="K252" s="212">
        <f t="shared" si="17"/>
        <v>2.3864070255822834E-3</v>
      </c>
      <c r="L252" s="209">
        <f>VLOOKUP(E252,'Custos Matéria Prima Embalagens'!B:G,6,0)</f>
        <v>7</v>
      </c>
      <c r="M252" s="209">
        <f t="shared" si="18"/>
        <v>17.5</v>
      </c>
      <c r="N252" s="209">
        <f t="shared" si="19"/>
        <v>0.02</v>
      </c>
    </row>
    <row r="253" spans="1:14" hidden="1">
      <c r="A253" s="129" t="s">
        <v>1251</v>
      </c>
      <c r="B253" s="129" t="s">
        <v>1252</v>
      </c>
      <c r="C253" s="129" t="s">
        <v>657</v>
      </c>
      <c r="D253" s="129" t="s">
        <v>569</v>
      </c>
      <c r="E253" s="129" t="s">
        <v>1213</v>
      </c>
      <c r="F253" s="129" t="s">
        <v>1214</v>
      </c>
      <c r="G253" s="210">
        <v>10</v>
      </c>
      <c r="H253" s="211">
        <f t="shared" si="15"/>
        <v>1047.5999999999999</v>
      </c>
      <c r="I253" s="207">
        <f>IF(F253="CONCENTRADO SEMI BRILHO",G253/'De-Para'!$B$9,G253/VLOOKUP(B253,'De-Para'!A:B,2,0))</f>
        <v>7.8740157480314963</v>
      </c>
      <c r="J253" s="206">
        <f t="shared" si="16"/>
        <v>824.88188976377967</v>
      </c>
      <c r="K253" s="212">
        <f t="shared" si="17"/>
        <v>9.5456281023291335E-3</v>
      </c>
      <c r="L253" s="209">
        <f>VLOOKUP(E253,'Custos Matéria Prima Embalagens'!B:G,6,0)</f>
        <v>19.3</v>
      </c>
      <c r="M253" s="209">
        <f t="shared" si="18"/>
        <v>193</v>
      </c>
      <c r="N253" s="209">
        <f t="shared" si="19"/>
        <v>0.23</v>
      </c>
    </row>
    <row r="254" spans="1:14" hidden="1">
      <c r="A254" s="129" t="s">
        <v>1251</v>
      </c>
      <c r="B254" s="129" t="s">
        <v>1252</v>
      </c>
      <c r="C254" s="129" t="s">
        <v>657</v>
      </c>
      <c r="D254" s="129" t="s">
        <v>569</v>
      </c>
      <c r="E254" s="129" t="s">
        <v>1227</v>
      </c>
      <c r="F254" s="129" t="s">
        <v>1228</v>
      </c>
      <c r="G254" s="210">
        <v>500</v>
      </c>
      <c r="H254" s="211">
        <f t="shared" si="15"/>
        <v>1047.5999999999999</v>
      </c>
      <c r="I254" s="207">
        <f>IF(F254="CONCENTRADO SEMI BRILHO",G254/'De-Para'!$B$9,G254/VLOOKUP(B254,'De-Para'!A:B,2,0))</f>
        <v>393.70078740157481</v>
      </c>
      <c r="J254" s="206">
        <f t="shared" si="16"/>
        <v>824.88188976377967</v>
      </c>
      <c r="K254" s="212">
        <f t="shared" si="17"/>
        <v>0.47728140511645673</v>
      </c>
      <c r="L254" s="209">
        <f>VLOOKUP(E254,'Custos Matéria Prima Embalagens'!B:G,6,0)</f>
        <v>1.520495555555555</v>
      </c>
      <c r="M254" s="209">
        <f t="shared" si="18"/>
        <v>760.24777777777751</v>
      </c>
      <c r="N254" s="209">
        <f t="shared" si="19"/>
        <v>0.92</v>
      </c>
    </row>
    <row r="255" spans="1:14" hidden="1">
      <c r="A255" s="129" t="s">
        <v>1251</v>
      </c>
      <c r="B255" s="129" t="s">
        <v>1252</v>
      </c>
      <c r="C255" s="129" t="s">
        <v>657</v>
      </c>
      <c r="D255" s="129" t="s">
        <v>569</v>
      </c>
      <c r="E255" s="129" t="s">
        <v>1217</v>
      </c>
      <c r="F255" s="129" t="s">
        <v>1218</v>
      </c>
      <c r="G255" s="210">
        <v>100</v>
      </c>
      <c r="H255" s="211">
        <f t="shared" si="15"/>
        <v>1047.5999999999999</v>
      </c>
      <c r="I255" s="207">
        <f>IF(F255="CONCENTRADO SEMI BRILHO",G255/'De-Para'!$B$9,G255/VLOOKUP(B255,'De-Para'!A:B,2,0))</f>
        <v>78.740157480314963</v>
      </c>
      <c r="J255" s="206">
        <f t="shared" si="16"/>
        <v>824.88188976377967</v>
      </c>
      <c r="K255" s="212">
        <f t="shared" si="17"/>
        <v>9.5456281023291345E-2</v>
      </c>
      <c r="L255" s="209">
        <f>VLOOKUP(E255,'Custos Matéria Prima Embalagens'!B:G,6,0)</f>
        <v>8.43</v>
      </c>
      <c r="M255" s="209">
        <f t="shared" si="18"/>
        <v>843</v>
      </c>
      <c r="N255" s="209">
        <f t="shared" si="19"/>
        <v>1.02</v>
      </c>
    </row>
    <row r="256" spans="1:14" hidden="1">
      <c r="A256" s="129" t="s">
        <v>1251</v>
      </c>
      <c r="B256" s="129" t="s">
        <v>1252</v>
      </c>
      <c r="C256" s="129" t="s">
        <v>657</v>
      </c>
      <c r="D256" s="129" t="s">
        <v>569</v>
      </c>
      <c r="E256" s="129" t="s">
        <v>1219</v>
      </c>
      <c r="F256" s="129" t="s">
        <v>1220</v>
      </c>
      <c r="G256" s="210">
        <v>5.5</v>
      </c>
      <c r="H256" s="211">
        <f t="shared" si="15"/>
        <v>1047.5999999999999</v>
      </c>
      <c r="I256" s="207">
        <f>IF(F256="CONCENTRADO SEMI BRILHO",G256/'De-Para'!$B$9,G256/VLOOKUP(B256,'De-Para'!A:B,2,0))</f>
        <v>4.3307086614173231</v>
      </c>
      <c r="J256" s="206">
        <f t="shared" si="16"/>
        <v>824.88188976377967</v>
      </c>
      <c r="K256" s="212">
        <f t="shared" si="17"/>
        <v>5.250095456281024E-3</v>
      </c>
      <c r="L256" s="209">
        <f>VLOOKUP(E256,'Custos Matéria Prima Embalagens'!B:G,6,0)</f>
        <v>4.9800000000000004</v>
      </c>
      <c r="M256" s="209">
        <f t="shared" si="18"/>
        <v>27.39</v>
      </c>
      <c r="N256" s="209">
        <f t="shared" si="19"/>
        <v>0.03</v>
      </c>
    </row>
    <row r="257" spans="1:14" hidden="1">
      <c r="A257" s="129" t="s">
        <v>1251</v>
      </c>
      <c r="B257" s="129" t="s">
        <v>1252</v>
      </c>
      <c r="C257" s="129" t="s">
        <v>657</v>
      </c>
      <c r="D257" s="129" t="s">
        <v>569</v>
      </c>
      <c r="E257" s="129" t="s">
        <v>1221</v>
      </c>
      <c r="F257" s="129" t="s">
        <v>1222</v>
      </c>
      <c r="G257" s="210">
        <v>14</v>
      </c>
      <c r="H257" s="211">
        <f t="shared" si="15"/>
        <v>1047.5999999999999</v>
      </c>
      <c r="I257" s="207">
        <f>IF(F257="CONCENTRADO SEMI BRILHO",G257/'De-Para'!$B$9,G257/VLOOKUP(B257,'De-Para'!A:B,2,0))</f>
        <v>11.023622047244094</v>
      </c>
      <c r="J257" s="206">
        <f t="shared" si="16"/>
        <v>824.88188976377967</v>
      </c>
      <c r="K257" s="212">
        <f t="shared" si="17"/>
        <v>1.3363879343260788E-2</v>
      </c>
      <c r="L257" s="209">
        <f>VLOOKUP(E257,'Custos Matéria Prima Embalagens'!B:G,6,0)</f>
        <v>7.9049999999999994</v>
      </c>
      <c r="M257" s="209">
        <f t="shared" si="18"/>
        <v>110.66999999999999</v>
      </c>
      <c r="N257" s="209">
        <f t="shared" si="19"/>
        <v>0.13</v>
      </c>
    </row>
    <row r="258" spans="1:14" hidden="1">
      <c r="A258" s="129" t="s">
        <v>1251</v>
      </c>
      <c r="B258" s="129" t="s">
        <v>1252</v>
      </c>
      <c r="C258" s="129" t="s">
        <v>657</v>
      </c>
      <c r="D258" s="129" t="s">
        <v>569</v>
      </c>
      <c r="E258" s="129" t="s">
        <v>1229</v>
      </c>
      <c r="F258" s="129" t="s">
        <v>1230</v>
      </c>
      <c r="G258" s="210">
        <v>5</v>
      </c>
      <c r="H258" s="211">
        <f t="shared" si="15"/>
        <v>1047.5999999999999</v>
      </c>
      <c r="I258" s="207">
        <f>IF(F258="CONCENTRADO SEMI BRILHO",G258/'De-Para'!$B$9,G258/VLOOKUP(B258,'De-Para'!A:B,2,0))</f>
        <v>3.9370078740157481</v>
      </c>
      <c r="J258" s="206">
        <f t="shared" si="16"/>
        <v>824.88188976377967</v>
      </c>
      <c r="K258" s="212">
        <f t="shared" si="17"/>
        <v>4.7728140511645667E-3</v>
      </c>
      <c r="L258" s="209">
        <f>VLOOKUP(E258,'Custos Matéria Prima Embalagens'!B:G,6,0)</f>
        <v>19.22</v>
      </c>
      <c r="M258" s="209">
        <f t="shared" si="18"/>
        <v>96.1</v>
      </c>
      <c r="N258" s="209">
        <f t="shared" si="19"/>
        <v>0.12</v>
      </c>
    </row>
    <row r="259" spans="1:14" hidden="1">
      <c r="A259" s="129" t="s">
        <v>1251</v>
      </c>
      <c r="B259" s="129" t="s">
        <v>1252</v>
      </c>
      <c r="C259" s="129" t="s">
        <v>657</v>
      </c>
      <c r="D259" s="129" t="s">
        <v>569</v>
      </c>
      <c r="E259" s="129" t="s">
        <v>1231</v>
      </c>
      <c r="F259" s="129" t="s">
        <v>1232</v>
      </c>
      <c r="G259" s="210">
        <v>0.1</v>
      </c>
      <c r="H259" s="211">
        <f t="shared" ref="H259:H322" si="20">SUMIFS(G:G,C:C,C259)</f>
        <v>1047.5999999999999</v>
      </c>
      <c r="I259" s="207">
        <f>IF(F259="CONCENTRADO SEMI BRILHO",G259/'De-Para'!$B$9,G259/VLOOKUP(B259,'De-Para'!A:B,2,0))</f>
        <v>7.874015748031496E-2</v>
      </c>
      <c r="J259" s="206">
        <f t="shared" ref="J259:J322" si="21">SUMIFS(I:I,C:C,C259)</f>
        <v>824.88188976377967</v>
      </c>
      <c r="K259" s="212">
        <f t="shared" ref="K259:K322" si="22">G259/H259</f>
        <v>9.545628102329135E-5</v>
      </c>
      <c r="L259" s="209">
        <f>VLOOKUP(E259,'Custos Matéria Prima Embalagens'!B:G,6,0)</f>
        <v>15.2</v>
      </c>
      <c r="M259" s="209">
        <f t="shared" ref="M259:M322" si="23">L259*G259</f>
        <v>1.52</v>
      </c>
      <c r="N259" s="209">
        <f t="shared" ref="N259:N322" si="24">IF(B259="CONCENTRADO",ROUND(M259/H259,2),ROUND(M259/J259,2))</f>
        <v>0</v>
      </c>
    </row>
    <row r="260" spans="1:14" hidden="1">
      <c r="A260" s="129" t="s">
        <v>1251</v>
      </c>
      <c r="B260" s="129" t="s">
        <v>1252</v>
      </c>
      <c r="C260" s="129" t="s">
        <v>659</v>
      </c>
      <c r="D260" s="129" t="s">
        <v>660</v>
      </c>
      <c r="E260" s="129" t="s">
        <v>1197</v>
      </c>
      <c r="F260" s="129" t="s">
        <v>1198</v>
      </c>
      <c r="G260" s="210">
        <v>400</v>
      </c>
      <c r="H260" s="211">
        <f t="shared" si="20"/>
        <v>1058.5</v>
      </c>
      <c r="I260" s="207">
        <f>IF(F260="CONCENTRADO SEMI BRILHO",G260/'De-Para'!$B$9,G260/VLOOKUP(B260,'De-Para'!A:B,2,0))</f>
        <v>314.96062992125985</v>
      </c>
      <c r="J260" s="206">
        <f t="shared" si="21"/>
        <v>833.46456692913398</v>
      </c>
      <c r="K260" s="212">
        <f t="shared" si="22"/>
        <v>0.3778932451582428</v>
      </c>
      <c r="L260" s="209">
        <f>VLOOKUP(E260,'Custos Matéria Prima Embalagens'!B:G,6,0)</f>
        <v>0</v>
      </c>
      <c r="M260" s="209">
        <f t="shared" si="23"/>
        <v>0</v>
      </c>
      <c r="N260" s="209">
        <f t="shared" si="24"/>
        <v>0</v>
      </c>
    </row>
    <row r="261" spans="1:14" hidden="1">
      <c r="A261" s="129" t="s">
        <v>1251</v>
      </c>
      <c r="B261" s="129" t="s">
        <v>1252</v>
      </c>
      <c r="C261" s="129" t="s">
        <v>659</v>
      </c>
      <c r="D261" s="129" t="s">
        <v>660</v>
      </c>
      <c r="E261" s="129" t="s">
        <v>1201</v>
      </c>
      <c r="F261" s="129" t="s">
        <v>1202</v>
      </c>
      <c r="G261" s="210">
        <v>2.5</v>
      </c>
      <c r="H261" s="211">
        <f t="shared" si="20"/>
        <v>1058.5</v>
      </c>
      <c r="I261" s="207">
        <f>IF(F261="CONCENTRADO SEMI BRILHO",G261/'De-Para'!$B$9,G261/VLOOKUP(B261,'De-Para'!A:B,2,0))</f>
        <v>1.9685039370078741</v>
      </c>
      <c r="J261" s="206">
        <f t="shared" si="21"/>
        <v>833.46456692913398</v>
      </c>
      <c r="K261" s="212">
        <f t="shared" si="22"/>
        <v>2.3618327822390174E-3</v>
      </c>
      <c r="L261" s="209">
        <f>VLOOKUP(E261,'Custos Matéria Prima Embalagens'!B:G,6,0)</f>
        <v>7.18</v>
      </c>
      <c r="M261" s="209">
        <f t="shared" si="23"/>
        <v>17.95</v>
      </c>
      <c r="N261" s="209">
        <f t="shared" si="24"/>
        <v>0.02</v>
      </c>
    </row>
    <row r="262" spans="1:14" hidden="1">
      <c r="A262" s="129" t="s">
        <v>1251</v>
      </c>
      <c r="B262" s="129" t="s">
        <v>1252</v>
      </c>
      <c r="C262" s="129" t="s">
        <v>659</v>
      </c>
      <c r="D262" s="129" t="s">
        <v>660</v>
      </c>
      <c r="E262" s="129" t="s">
        <v>1203</v>
      </c>
      <c r="F262" s="129" t="s">
        <v>1204</v>
      </c>
      <c r="G262" s="210">
        <v>3</v>
      </c>
      <c r="H262" s="211">
        <f t="shared" si="20"/>
        <v>1058.5</v>
      </c>
      <c r="I262" s="207">
        <f>IF(F262="CONCENTRADO SEMI BRILHO",G262/'De-Para'!$B$9,G262/VLOOKUP(B262,'De-Para'!A:B,2,0))</f>
        <v>2.3622047244094486</v>
      </c>
      <c r="J262" s="206">
        <f t="shared" si="21"/>
        <v>833.46456692913398</v>
      </c>
      <c r="K262" s="212">
        <f t="shared" si="22"/>
        <v>2.8341993386868211E-3</v>
      </c>
      <c r="L262" s="209">
        <f>VLOOKUP(E262,'Custos Matéria Prima Embalagens'!B:G,6,0)</f>
        <v>4.9399999999999995</v>
      </c>
      <c r="M262" s="209">
        <f t="shared" si="23"/>
        <v>14.819999999999999</v>
      </c>
      <c r="N262" s="209">
        <f t="shared" si="24"/>
        <v>0.02</v>
      </c>
    </row>
    <row r="263" spans="1:14" hidden="1">
      <c r="A263" s="129" t="s">
        <v>1251</v>
      </c>
      <c r="B263" s="129" t="s">
        <v>1252</v>
      </c>
      <c r="C263" s="129" t="s">
        <v>659</v>
      </c>
      <c r="D263" s="129" t="s">
        <v>660</v>
      </c>
      <c r="E263" s="129" t="s">
        <v>1205</v>
      </c>
      <c r="F263" s="129" t="s">
        <v>1206</v>
      </c>
      <c r="G263" s="210">
        <v>2</v>
      </c>
      <c r="H263" s="211">
        <f t="shared" si="20"/>
        <v>1058.5</v>
      </c>
      <c r="I263" s="207">
        <f>IF(F263="CONCENTRADO SEMI BRILHO",G263/'De-Para'!$B$9,G263/VLOOKUP(B263,'De-Para'!A:B,2,0))</f>
        <v>1.5748031496062991</v>
      </c>
      <c r="J263" s="206">
        <f t="shared" si="21"/>
        <v>833.46456692913398</v>
      </c>
      <c r="K263" s="212">
        <f t="shared" si="22"/>
        <v>1.8894662257912141E-3</v>
      </c>
      <c r="L263" s="209">
        <f>VLOOKUP(E263,'Custos Matéria Prima Embalagens'!B:G,6,0)</f>
        <v>7.33</v>
      </c>
      <c r="M263" s="209">
        <f t="shared" si="23"/>
        <v>14.66</v>
      </c>
      <c r="N263" s="209">
        <f t="shared" si="24"/>
        <v>0.02</v>
      </c>
    </row>
    <row r="264" spans="1:14" hidden="1">
      <c r="A264" s="129" t="s">
        <v>1251</v>
      </c>
      <c r="B264" s="129" t="s">
        <v>1252</v>
      </c>
      <c r="C264" s="129" t="s">
        <v>659</v>
      </c>
      <c r="D264" s="129" t="s">
        <v>660</v>
      </c>
      <c r="E264" s="129" t="s">
        <v>1207</v>
      </c>
      <c r="F264" s="129" t="s">
        <v>1208</v>
      </c>
      <c r="G264" s="210">
        <v>3</v>
      </c>
      <c r="H264" s="211">
        <f t="shared" si="20"/>
        <v>1058.5</v>
      </c>
      <c r="I264" s="207">
        <f>IF(F264="CONCENTRADO SEMI BRILHO",G264/'De-Para'!$B$9,G264/VLOOKUP(B264,'De-Para'!A:B,2,0))</f>
        <v>2.3622047244094486</v>
      </c>
      <c r="J264" s="206">
        <f t="shared" si="21"/>
        <v>833.46456692913398</v>
      </c>
      <c r="K264" s="212">
        <f t="shared" si="22"/>
        <v>2.8341993386868211E-3</v>
      </c>
      <c r="L264" s="209">
        <f>VLOOKUP(E264,'Custos Matéria Prima Embalagens'!B:G,6,0)</f>
        <v>6.8599999999999994</v>
      </c>
      <c r="M264" s="209">
        <f t="shared" si="23"/>
        <v>20.58</v>
      </c>
      <c r="N264" s="209">
        <f t="shared" si="24"/>
        <v>0.02</v>
      </c>
    </row>
    <row r="265" spans="1:14" hidden="1">
      <c r="A265" s="129" t="s">
        <v>1251</v>
      </c>
      <c r="B265" s="129" t="s">
        <v>1252</v>
      </c>
      <c r="C265" s="129" t="s">
        <v>659</v>
      </c>
      <c r="D265" s="129" t="s">
        <v>660</v>
      </c>
      <c r="E265" s="129" t="s">
        <v>1209</v>
      </c>
      <c r="F265" s="129" t="s">
        <v>1210</v>
      </c>
      <c r="G265" s="210">
        <v>2.5</v>
      </c>
      <c r="H265" s="211">
        <f t="shared" si="20"/>
        <v>1058.5</v>
      </c>
      <c r="I265" s="207">
        <f>IF(F265="CONCENTRADO SEMI BRILHO",G265/'De-Para'!$B$9,G265/VLOOKUP(B265,'De-Para'!A:B,2,0))</f>
        <v>1.9685039370078741</v>
      </c>
      <c r="J265" s="206">
        <f t="shared" si="21"/>
        <v>833.46456692913398</v>
      </c>
      <c r="K265" s="212">
        <f t="shared" si="22"/>
        <v>2.3618327822390174E-3</v>
      </c>
      <c r="L265" s="209">
        <f>VLOOKUP(E265,'Custos Matéria Prima Embalagens'!B:G,6,0)</f>
        <v>7</v>
      </c>
      <c r="M265" s="209">
        <f t="shared" si="23"/>
        <v>17.5</v>
      </c>
      <c r="N265" s="209">
        <f t="shared" si="24"/>
        <v>0.02</v>
      </c>
    </row>
    <row r="266" spans="1:14" hidden="1">
      <c r="A266" s="129" t="s">
        <v>1251</v>
      </c>
      <c r="B266" s="129" t="s">
        <v>1252</v>
      </c>
      <c r="C266" s="129" t="s">
        <v>659</v>
      </c>
      <c r="D266" s="129" t="s">
        <v>660</v>
      </c>
      <c r="E266" s="129" t="s">
        <v>1213</v>
      </c>
      <c r="F266" s="129" t="s">
        <v>1214</v>
      </c>
      <c r="G266" s="210">
        <v>10</v>
      </c>
      <c r="H266" s="211">
        <f t="shared" si="20"/>
        <v>1058.5</v>
      </c>
      <c r="I266" s="207">
        <f>IF(F266="CONCENTRADO SEMI BRILHO",G266/'De-Para'!$B$9,G266/VLOOKUP(B266,'De-Para'!A:B,2,0))</f>
        <v>7.8740157480314963</v>
      </c>
      <c r="J266" s="206">
        <f t="shared" si="21"/>
        <v>833.46456692913398</v>
      </c>
      <c r="K266" s="212">
        <f t="shared" si="22"/>
        <v>9.4473311289560696E-3</v>
      </c>
      <c r="L266" s="209">
        <f>VLOOKUP(E266,'Custos Matéria Prima Embalagens'!B:G,6,0)</f>
        <v>19.3</v>
      </c>
      <c r="M266" s="209">
        <f t="shared" si="23"/>
        <v>193</v>
      </c>
      <c r="N266" s="209">
        <f t="shared" si="24"/>
        <v>0.23</v>
      </c>
    </row>
    <row r="267" spans="1:14" hidden="1">
      <c r="A267" s="129" t="s">
        <v>1251</v>
      </c>
      <c r="B267" s="129" t="s">
        <v>1252</v>
      </c>
      <c r="C267" s="129" t="s">
        <v>659</v>
      </c>
      <c r="D267" s="129" t="s">
        <v>660</v>
      </c>
      <c r="E267" s="129" t="s">
        <v>1227</v>
      </c>
      <c r="F267" s="129" t="s">
        <v>1228</v>
      </c>
      <c r="G267" s="210">
        <v>500</v>
      </c>
      <c r="H267" s="211">
        <f t="shared" si="20"/>
        <v>1058.5</v>
      </c>
      <c r="I267" s="207">
        <f>IF(F267="CONCENTRADO SEMI BRILHO",G267/'De-Para'!$B$9,G267/VLOOKUP(B267,'De-Para'!A:B,2,0))</f>
        <v>393.70078740157481</v>
      </c>
      <c r="J267" s="206">
        <f t="shared" si="21"/>
        <v>833.46456692913398</v>
      </c>
      <c r="K267" s="212">
        <f t="shared" si="22"/>
        <v>0.47236655644780351</v>
      </c>
      <c r="L267" s="209">
        <f>VLOOKUP(E267,'Custos Matéria Prima Embalagens'!B:G,6,0)</f>
        <v>1.520495555555555</v>
      </c>
      <c r="M267" s="209">
        <f t="shared" si="23"/>
        <v>760.24777777777751</v>
      </c>
      <c r="N267" s="209">
        <f t="shared" si="24"/>
        <v>0.91</v>
      </c>
    </row>
    <row r="268" spans="1:14" hidden="1">
      <c r="A268" s="129" t="s">
        <v>1251</v>
      </c>
      <c r="B268" s="129" t="s">
        <v>1252</v>
      </c>
      <c r="C268" s="129" t="s">
        <v>659</v>
      </c>
      <c r="D268" s="129" t="s">
        <v>660</v>
      </c>
      <c r="E268" s="129" t="s">
        <v>1217</v>
      </c>
      <c r="F268" s="129" t="s">
        <v>1218</v>
      </c>
      <c r="G268" s="210">
        <v>100</v>
      </c>
      <c r="H268" s="211">
        <f t="shared" si="20"/>
        <v>1058.5</v>
      </c>
      <c r="I268" s="207">
        <f>IF(F268="CONCENTRADO SEMI BRILHO",G268/'De-Para'!$B$9,G268/VLOOKUP(B268,'De-Para'!A:B,2,0))</f>
        <v>78.740157480314963</v>
      </c>
      <c r="J268" s="206">
        <f t="shared" si="21"/>
        <v>833.46456692913398</v>
      </c>
      <c r="K268" s="212">
        <f t="shared" si="22"/>
        <v>9.4473311289560699E-2</v>
      </c>
      <c r="L268" s="209">
        <f>VLOOKUP(E268,'Custos Matéria Prima Embalagens'!B:G,6,0)</f>
        <v>8.43</v>
      </c>
      <c r="M268" s="209">
        <f t="shared" si="23"/>
        <v>843</v>
      </c>
      <c r="N268" s="209">
        <f t="shared" si="24"/>
        <v>1.01</v>
      </c>
    </row>
    <row r="269" spans="1:14" hidden="1">
      <c r="A269" s="129" t="s">
        <v>1251</v>
      </c>
      <c r="B269" s="129" t="s">
        <v>1252</v>
      </c>
      <c r="C269" s="129" t="s">
        <v>659</v>
      </c>
      <c r="D269" s="129" t="s">
        <v>660</v>
      </c>
      <c r="E269" s="129" t="s">
        <v>1219</v>
      </c>
      <c r="F269" s="129" t="s">
        <v>1220</v>
      </c>
      <c r="G269" s="210">
        <v>5.5</v>
      </c>
      <c r="H269" s="211">
        <f t="shared" si="20"/>
        <v>1058.5</v>
      </c>
      <c r="I269" s="207">
        <f>IF(F269="CONCENTRADO SEMI BRILHO",G269/'De-Para'!$B$9,G269/VLOOKUP(B269,'De-Para'!A:B,2,0))</f>
        <v>4.3307086614173231</v>
      </c>
      <c r="J269" s="206">
        <f t="shared" si="21"/>
        <v>833.46456692913398</v>
      </c>
      <c r="K269" s="212">
        <f t="shared" si="22"/>
        <v>5.1960321209258385E-3</v>
      </c>
      <c r="L269" s="209">
        <f>VLOOKUP(E269,'Custos Matéria Prima Embalagens'!B:G,6,0)</f>
        <v>4.9800000000000004</v>
      </c>
      <c r="M269" s="209">
        <f t="shared" si="23"/>
        <v>27.39</v>
      </c>
      <c r="N269" s="209">
        <f t="shared" si="24"/>
        <v>0.03</v>
      </c>
    </row>
    <row r="270" spans="1:14" hidden="1">
      <c r="A270" s="129" t="s">
        <v>1251</v>
      </c>
      <c r="B270" s="129" t="s">
        <v>1252</v>
      </c>
      <c r="C270" s="129" t="s">
        <v>659</v>
      </c>
      <c r="D270" s="129" t="s">
        <v>660</v>
      </c>
      <c r="E270" s="129" t="s">
        <v>1221</v>
      </c>
      <c r="F270" s="129" t="s">
        <v>1222</v>
      </c>
      <c r="G270" s="210">
        <v>14</v>
      </c>
      <c r="H270" s="211">
        <f t="shared" si="20"/>
        <v>1058.5</v>
      </c>
      <c r="I270" s="207">
        <f>IF(F270="CONCENTRADO SEMI BRILHO",G270/'De-Para'!$B$9,G270/VLOOKUP(B270,'De-Para'!A:B,2,0))</f>
        <v>11.023622047244094</v>
      </c>
      <c r="J270" s="206">
        <f t="shared" si="21"/>
        <v>833.46456692913398</v>
      </c>
      <c r="K270" s="212">
        <f t="shared" si="22"/>
        <v>1.3226263580538498E-2</v>
      </c>
      <c r="L270" s="209">
        <f>VLOOKUP(E270,'Custos Matéria Prima Embalagens'!B:G,6,0)</f>
        <v>7.9049999999999994</v>
      </c>
      <c r="M270" s="209">
        <f t="shared" si="23"/>
        <v>110.66999999999999</v>
      </c>
      <c r="N270" s="209">
        <f t="shared" si="24"/>
        <v>0.13</v>
      </c>
    </row>
    <row r="271" spans="1:14" hidden="1">
      <c r="A271" s="129" t="s">
        <v>1251</v>
      </c>
      <c r="B271" s="129" t="s">
        <v>1252</v>
      </c>
      <c r="C271" s="129" t="s">
        <v>659</v>
      </c>
      <c r="D271" s="129" t="s">
        <v>660</v>
      </c>
      <c r="E271" s="129" t="s">
        <v>1229</v>
      </c>
      <c r="F271" s="129" t="s">
        <v>1230</v>
      </c>
      <c r="G271" s="210">
        <v>5</v>
      </c>
      <c r="H271" s="211">
        <f t="shared" si="20"/>
        <v>1058.5</v>
      </c>
      <c r="I271" s="207">
        <f>IF(F271="CONCENTRADO SEMI BRILHO",G271/'De-Para'!$B$9,G271/VLOOKUP(B271,'De-Para'!A:B,2,0))</f>
        <v>3.9370078740157481</v>
      </c>
      <c r="J271" s="206">
        <f t="shared" si="21"/>
        <v>833.46456692913398</v>
      </c>
      <c r="K271" s="212">
        <f t="shared" si="22"/>
        <v>4.7236655644780348E-3</v>
      </c>
      <c r="L271" s="209">
        <f>VLOOKUP(E271,'Custos Matéria Prima Embalagens'!B:G,6,0)</f>
        <v>19.22</v>
      </c>
      <c r="M271" s="209">
        <f t="shared" si="23"/>
        <v>96.1</v>
      </c>
      <c r="N271" s="209">
        <f t="shared" si="24"/>
        <v>0.12</v>
      </c>
    </row>
    <row r="272" spans="1:14" hidden="1">
      <c r="A272" s="129" t="s">
        <v>1251</v>
      </c>
      <c r="B272" s="129" t="s">
        <v>1252</v>
      </c>
      <c r="C272" s="129" t="s">
        <v>659</v>
      </c>
      <c r="D272" s="129" t="s">
        <v>660</v>
      </c>
      <c r="E272" s="129" t="s">
        <v>1233</v>
      </c>
      <c r="F272" s="129" t="s">
        <v>1234</v>
      </c>
      <c r="G272" s="210">
        <v>3</v>
      </c>
      <c r="H272" s="211">
        <f t="shared" si="20"/>
        <v>1058.5</v>
      </c>
      <c r="I272" s="207">
        <f>IF(F272="CONCENTRADO SEMI BRILHO",G272/'De-Para'!$B$9,G272/VLOOKUP(B272,'De-Para'!A:B,2,0))</f>
        <v>2.3622047244094486</v>
      </c>
      <c r="J272" s="206">
        <f t="shared" si="21"/>
        <v>833.46456692913398</v>
      </c>
      <c r="K272" s="212">
        <f t="shared" si="22"/>
        <v>2.8341993386868211E-3</v>
      </c>
      <c r="L272" s="209">
        <f>VLOOKUP(E272,'Custos Matéria Prima Embalagens'!B:G,6,0)</f>
        <v>31.93</v>
      </c>
      <c r="M272" s="209">
        <f t="shared" si="23"/>
        <v>95.789999999999992</v>
      </c>
      <c r="N272" s="209">
        <f t="shared" si="24"/>
        <v>0.11</v>
      </c>
    </row>
    <row r="273" spans="1:14" hidden="1">
      <c r="A273" s="129" t="s">
        <v>1251</v>
      </c>
      <c r="B273" s="129" t="s">
        <v>1252</v>
      </c>
      <c r="C273" s="129" t="s">
        <v>659</v>
      </c>
      <c r="D273" s="129" t="s">
        <v>660</v>
      </c>
      <c r="E273" s="129" t="s">
        <v>1235</v>
      </c>
      <c r="F273" s="129" t="s">
        <v>1236</v>
      </c>
      <c r="G273" s="210">
        <v>6</v>
      </c>
      <c r="H273" s="211">
        <f t="shared" si="20"/>
        <v>1058.5</v>
      </c>
      <c r="I273" s="207">
        <f>IF(F273="CONCENTRADO SEMI BRILHO",G273/'De-Para'!$B$9,G273/VLOOKUP(B273,'De-Para'!A:B,2,0))</f>
        <v>4.7244094488188972</v>
      </c>
      <c r="J273" s="206">
        <f t="shared" si="21"/>
        <v>833.46456692913398</v>
      </c>
      <c r="K273" s="212">
        <f t="shared" si="22"/>
        <v>5.6683986773736423E-3</v>
      </c>
      <c r="L273" s="209">
        <f>VLOOKUP(E273,'Custos Matéria Prima Embalagens'!B:G,6,0)</f>
        <v>46.089999999999996</v>
      </c>
      <c r="M273" s="209">
        <f t="shared" si="23"/>
        <v>276.53999999999996</v>
      </c>
      <c r="N273" s="209">
        <f t="shared" si="24"/>
        <v>0.33</v>
      </c>
    </row>
    <row r="274" spans="1:14" hidden="1">
      <c r="A274" s="129" t="s">
        <v>1251</v>
      </c>
      <c r="B274" s="129" t="s">
        <v>1252</v>
      </c>
      <c r="C274" s="129" t="s">
        <v>659</v>
      </c>
      <c r="D274" s="129" t="s">
        <v>660</v>
      </c>
      <c r="E274" s="129" t="s">
        <v>1239</v>
      </c>
      <c r="F274" s="129" t="s">
        <v>1240</v>
      </c>
      <c r="G274" s="210">
        <v>2</v>
      </c>
      <c r="H274" s="211">
        <f t="shared" si="20"/>
        <v>1058.5</v>
      </c>
      <c r="I274" s="207">
        <f>IF(F274="CONCENTRADO SEMI BRILHO",G274/'De-Para'!$B$9,G274/VLOOKUP(B274,'De-Para'!A:B,2,0))</f>
        <v>1.5748031496062991</v>
      </c>
      <c r="J274" s="206">
        <f t="shared" si="21"/>
        <v>833.46456692913398</v>
      </c>
      <c r="K274" s="212">
        <f t="shared" si="22"/>
        <v>1.8894662257912141E-3</v>
      </c>
      <c r="L274" s="209">
        <f>VLOOKUP(E274,'Custos Matéria Prima Embalagens'!B:G,6,0)</f>
        <v>21.11</v>
      </c>
      <c r="M274" s="209">
        <f t="shared" si="23"/>
        <v>42.22</v>
      </c>
      <c r="N274" s="209">
        <f t="shared" si="24"/>
        <v>0.05</v>
      </c>
    </row>
    <row r="275" spans="1:14" hidden="1">
      <c r="A275" s="129" t="s">
        <v>1251</v>
      </c>
      <c r="B275" s="129" t="s">
        <v>1252</v>
      </c>
      <c r="C275" s="129" t="s">
        <v>664</v>
      </c>
      <c r="D275" s="129" t="s">
        <v>599</v>
      </c>
      <c r="E275" s="129" t="s">
        <v>1197</v>
      </c>
      <c r="F275" s="129" t="s">
        <v>1198</v>
      </c>
      <c r="G275" s="210">
        <v>400</v>
      </c>
      <c r="H275" s="211">
        <f t="shared" si="20"/>
        <v>1049.4450000000002</v>
      </c>
      <c r="I275" s="207">
        <f>IF(F275="CONCENTRADO SEMI BRILHO",G275/'De-Para'!$B$9,G275/VLOOKUP(B275,'De-Para'!A:B,2,0))</f>
        <v>314.96062992125985</v>
      </c>
      <c r="J275" s="206">
        <f t="shared" si="21"/>
        <v>826.33464566929149</v>
      </c>
      <c r="K275" s="212">
        <f t="shared" si="22"/>
        <v>0.38115384798631652</v>
      </c>
      <c r="L275" s="209">
        <f>VLOOKUP(E275,'Custos Matéria Prima Embalagens'!B:G,6,0)</f>
        <v>0</v>
      </c>
      <c r="M275" s="209">
        <f t="shared" si="23"/>
        <v>0</v>
      </c>
      <c r="N275" s="209">
        <f t="shared" si="24"/>
        <v>0</v>
      </c>
    </row>
    <row r="276" spans="1:14" hidden="1">
      <c r="A276" s="129" t="s">
        <v>1251</v>
      </c>
      <c r="B276" s="129" t="s">
        <v>1252</v>
      </c>
      <c r="C276" s="129" t="s">
        <v>664</v>
      </c>
      <c r="D276" s="129" t="s">
        <v>599</v>
      </c>
      <c r="E276" s="129" t="s">
        <v>1201</v>
      </c>
      <c r="F276" s="129" t="s">
        <v>1202</v>
      </c>
      <c r="G276" s="210">
        <v>2.5</v>
      </c>
      <c r="H276" s="211">
        <f t="shared" si="20"/>
        <v>1049.4450000000002</v>
      </c>
      <c r="I276" s="207">
        <f>IF(F276="CONCENTRADO SEMI BRILHO",G276/'De-Para'!$B$9,G276/VLOOKUP(B276,'De-Para'!A:B,2,0))</f>
        <v>1.9685039370078741</v>
      </c>
      <c r="J276" s="206">
        <f t="shared" si="21"/>
        <v>826.33464566929149</v>
      </c>
      <c r="K276" s="212">
        <f t="shared" si="22"/>
        <v>2.3822115499144781E-3</v>
      </c>
      <c r="L276" s="209">
        <f>VLOOKUP(E276,'Custos Matéria Prima Embalagens'!B:G,6,0)</f>
        <v>7.18</v>
      </c>
      <c r="M276" s="209">
        <f t="shared" si="23"/>
        <v>17.95</v>
      </c>
      <c r="N276" s="209">
        <f t="shared" si="24"/>
        <v>0.02</v>
      </c>
    </row>
    <row r="277" spans="1:14" hidden="1">
      <c r="A277" s="129" t="s">
        <v>1251</v>
      </c>
      <c r="B277" s="129" t="s">
        <v>1252</v>
      </c>
      <c r="C277" s="129" t="s">
        <v>664</v>
      </c>
      <c r="D277" s="129" t="s">
        <v>599</v>
      </c>
      <c r="E277" s="129" t="s">
        <v>1203</v>
      </c>
      <c r="F277" s="129" t="s">
        <v>1204</v>
      </c>
      <c r="G277" s="210">
        <v>3</v>
      </c>
      <c r="H277" s="211">
        <f t="shared" si="20"/>
        <v>1049.4450000000002</v>
      </c>
      <c r="I277" s="207">
        <f>IF(F277="CONCENTRADO SEMI BRILHO",G277/'De-Para'!$B$9,G277/VLOOKUP(B277,'De-Para'!A:B,2,0))</f>
        <v>2.3622047244094486</v>
      </c>
      <c r="J277" s="206">
        <f t="shared" si="21"/>
        <v>826.33464566929149</v>
      </c>
      <c r="K277" s="212">
        <f t="shared" si="22"/>
        <v>2.8586538598973739E-3</v>
      </c>
      <c r="L277" s="209">
        <f>VLOOKUP(E277,'Custos Matéria Prima Embalagens'!B:G,6,0)</f>
        <v>4.9399999999999995</v>
      </c>
      <c r="M277" s="209">
        <f t="shared" si="23"/>
        <v>14.819999999999999</v>
      </c>
      <c r="N277" s="209">
        <f t="shared" si="24"/>
        <v>0.02</v>
      </c>
    </row>
    <row r="278" spans="1:14" hidden="1">
      <c r="A278" s="129" t="s">
        <v>1251</v>
      </c>
      <c r="B278" s="129" t="s">
        <v>1252</v>
      </c>
      <c r="C278" s="129" t="s">
        <v>664</v>
      </c>
      <c r="D278" s="129" t="s">
        <v>599</v>
      </c>
      <c r="E278" s="129" t="s">
        <v>1205</v>
      </c>
      <c r="F278" s="129" t="s">
        <v>1206</v>
      </c>
      <c r="G278" s="210">
        <v>2</v>
      </c>
      <c r="H278" s="211">
        <f t="shared" si="20"/>
        <v>1049.4450000000002</v>
      </c>
      <c r="I278" s="207">
        <f>IF(F278="CONCENTRADO SEMI BRILHO",G278/'De-Para'!$B$9,G278/VLOOKUP(B278,'De-Para'!A:B,2,0))</f>
        <v>1.5748031496062991</v>
      </c>
      <c r="J278" s="206">
        <f t="shared" si="21"/>
        <v>826.33464566929149</v>
      </c>
      <c r="K278" s="212">
        <f t="shared" si="22"/>
        <v>1.9057692399315825E-3</v>
      </c>
      <c r="L278" s="209">
        <f>VLOOKUP(E278,'Custos Matéria Prima Embalagens'!B:G,6,0)</f>
        <v>7.33</v>
      </c>
      <c r="M278" s="209">
        <f t="shared" si="23"/>
        <v>14.66</v>
      </c>
      <c r="N278" s="209">
        <f t="shared" si="24"/>
        <v>0.02</v>
      </c>
    </row>
    <row r="279" spans="1:14" hidden="1">
      <c r="A279" s="129" t="s">
        <v>1251</v>
      </c>
      <c r="B279" s="129" t="s">
        <v>1252</v>
      </c>
      <c r="C279" s="129" t="s">
        <v>664</v>
      </c>
      <c r="D279" s="129" t="s">
        <v>599</v>
      </c>
      <c r="E279" s="129" t="s">
        <v>1207</v>
      </c>
      <c r="F279" s="129" t="s">
        <v>1208</v>
      </c>
      <c r="G279" s="210">
        <v>3</v>
      </c>
      <c r="H279" s="211">
        <f t="shared" si="20"/>
        <v>1049.4450000000002</v>
      </c>
      <c r="I279" s="207">
        <f>IF(F279="CONCENTRADO SEMI BRILHO",G279/'De-Para'!$B$9,G279/VLOOKUP(B279,'De-Para'!A:B,2,0))</f>
        <v>2.3622047244094486</v>
      </c>
      <c r="J279" s="206">
        <f t="shared" si="21"/>
        <v>826.33464566929149</v>
      </c>
      <c r="K279" s="212">
        <f t="shared" si="22"/>
        <v>2.8586538598973739E-3</v>
      </c>
      <c r="L279" s="209">
        <f>VLOOKUP(E279,'Custos Matéria Prima Embalagens'!B:G,6,0)</f>
        <v>6.8599999999999994</v>
      </c>
      <c r="M279" s="209">
        <f t="shared" si="23"/>
        <v>20.58</v>
      </c>
      <c r="N279" s="209">
        <f t="shared" si="24"/>
        <v>0.02</v>
      </c>
    </row>
    <row r="280" spans="1:14" hidden="1">
      <c r="A280" s="129" t="s">
        <v>1251</v>
      </c>
      <c r="B280" s="129" t="s">
        <v>1252</v>
      </c>
      <c r="C280" s="129" t="s">
        <v>664</v>
      </c>
      <c r="D280" s="129" t="s">
        <v>599</v>
      </c>
      <c r="E280" s="129" t="s">
        <v>1209</v>
      </c>
      <c r="F280" s="129" t="s">
        <v>1210</v>
      </c>
      <c r="G280" s="210">
        <v>2.5</v>
      </c>
      <c r="H280" s="211">
        <f t="shared" si="20"/>
        <v>1049.4450000000002</v>
      </c>
      <c r="I280" s="207">
        <f>IF(F280="CONCENTRADO SEMI BRILHO",G280/'De-Para'!$B$9,G280/VLOOKUP(B280,'De-Para'!A:B,2,0))</f>
        <v>1.9685039370078741</v>
      </c>
      <c r="J280" s="206">
        <f t="shared" si="21"/>
        <v>826.33464566929149</v>
      </c>
      <c r="K280" s="212">
        <f t="shared" si="22"/>
        <v>2.3822115499144781E-3</v>
      </c>
      <c r="L280" s="209">
        <f>VLOOKUP(E280,'Custos Matéria Prima Embalagens'!B:G,6,0)</f>
        <v>7</v>
      </c>
      <c r="M280" s="209">
        <f t="shared" si="23"/>
        <v>17.5</v>
      </c>
      <c r="N280" s="209">
        <f t="shared" si="24"/>
        <v>0.02</v>
      </c>
    </row>
    <row r="281" spans="1:14" hidden="1">
      <c r="A281" s="129" t="s">
        <v>1251</v>
      </c>
      <c r="B281" s="129" t="s">
        <v>1252</v>
      </c>
      <c r="C281" s="129" t="s">
        <v>664</v>
      </c>
      <c r="D281" s="129" t="s">
        <v>599</v>
      </c>
      <c r="E281" s="129" t="s">
        <v>1213</v>
      </c>
      <c r="F281" s="129" t="s">
        <v>1214</v>
      </c>
      <c r="G281" s="210">
        <v>10</v>
      </c>
      <c r="H281" s="211">
        <f t="shared" si="20"/>
        <v>1049.4450000000002</v>
      </c>
      <c r="I281" s="207">
        <f>IF(F281="CONCENTRADO SEMI BRILHO",G281/'De-Para'!$B$9,G281/VLOOKUP(B281,'De-Para'!A:B,2,0))</f>
        <v>7.8740157480314963</v>
      </c>
      <c r="J281" s="206">
        <f t="shared" si="21"/>
        <v>826.33464566929149</v>
      </c>
      <c r="K281" s="212">
        <f t="shared" si="22"/>
        <v>9.5288461996579123E-3</v>
      </c>
      <c r="L281" s="209">
        <f>VLOOKUP(E281,'Custos Matéria Prima Embalagens'!B:G,6,0)</f>
        <v>19.3</v>
      </c>
      <c r="M281" s="209">
        <f t="shared" si="23"/>
        <v>193</v>
      </c>
      <c r="N281" s="209">
        <f t="shared" si="24"/>
        <v>0.23</v>
      </c>
    </row>
    <row r="282" spans="1:14" hidden="1">
      <c r="A282" s="129" t="s">
        <v>1251</v>
      </c>
      <c r="B282" s="129" t="s">
        <v>1252</v>
      </c>
      <c r="C282" s="129" t="s">
        <v>664</v>
      </c>
      <c r="D282" s="129" t="s">
        <v>599</v>
      </c>
      <c r="E282" s="129" t="s">
        <v>1227</v>
      </c>
      <c r="F282" s="129" t="s">
        <v>1228</v>
      </c>
      <c r="G282" s="210">
        <v>500</v>
      </c>
      <c r="H282" s="211">
        <f t="shared" si="20"/>
        <v>1049.4450000000002</v>
      </c>
      <c r="I282" s="207">
        <f>IF(F282="CONCENTRADO SEMI BRILHO",G282/'De-Para'!$B$9,G282/VLOOKUP(B282,'De-Para'!A:B,2,0))</f>
        <v>393.70078740157481</v>
      </c>
      <c r="J282" s="206">
        <f t="shared" si="21"/>
        <v>826.33464566929149</v>
      </c>
      <c r="K282" s="212">
        <f t="shared" si="22"/>
        <v>0.47644230998289566</v>
      </c>
      <c r="L282" s="209">
        <f>VLOOKUP(E282,'Custos Matéria Prima Embalagens'!B:G,6,0)</f>
        <v>1.520495555555555</v>
      </c>
      <c r="M282" s="209">
        <f t="shared" si="23"/>
        <v>760.24777777777751</v>
      </c>
      <c r="N282" s="209">
        <f t="shared" si="24"/>
        <v>0.92</v>
      </c>
    </row>
    <row r="283" spans="1:14" hidden="1">
      <c r="A283" s="129" t="s">
        <v>1251</v>
      </c>
      <c r="B283" s="129" t="s">
        <v>1252</v>
      </c>
      <c r="C283" s="129" t="s">
        <v>664</v>
      </c>
      <c r="D283" s="129" t="s">
        <v>599</v>
      </c>
      <c r="E283" s="129" t="s">
        <v>1217</v>
      </c>
      <c r="F283" s="129" t="s">
        <v>1218</v>
      </c>
      <c r="G283" s="210">
        <v>100</v>
      </c>
      <c r="H283" s="211">
        <f t="shared" si="20"/>
        <v>1049.4450000000002</v>
      </c>
      <c r="I283" s="207">
        <f>IF(F283="CONCENTRADO SEMI BRILHO",G283/'De-Para'!$B$9,G283/VLOOKUP(B283,'De-Para'!A:B,2,0))</f>
        <v>78.740157480314963</v>
      </c>
      <c r="J283" s="206">
        <f t="shared" si="21"/>
        <v>826.33464566929149</v>
      </c>
      <c r="K283" s="212">
        <f t="shared" si="22"/>
        <v>9.528846199657913E-2</v>
      </c>
      <c r="L283" s="209">
        <f>VLOOKUP(E283,'Custos Matéria Prima Embalagens'!B:G,6,0)</f>
        <v>8.43</v>
      </c>
      <c r="M283" s="209">
        <f t="shared" si="23"/>
        <v>843</v>
      </c>
      <c r="N283" s="209">
        <f t="shared" si="24"/>
        <v>1.02</v>
      </c>
    </row>
    <row r="284" spans="1:14" hidden="1">
      <c r="A284" s="129" t="s">
        <v>1251</v>
      </c>
      <c r="B284" s="129" t="s">
        <v>1252</v>
      </c>
      <c r="C284" s="129" t="s">
        <v>664</v>
      </c>
      <c r="D284" s="129" t="s">
        <v>599</v>
      </c>
      <c r="E284" s="129" t="s">
        <v>1219</v>
      </c>
      <c r="F284" s="129" t="s">
        <v>1220</v>
      </c>
      <c r="G284" s="210">
        <v>5.5</v>
      </c>
      <c r="H284" s="211">
        <f t="shared" si="20"/>
        <v>1049.4450000000002</v>
      </c>
      <c r="I284" s="207">
        <f>IF(F284="CONCENTRADO SEMI BRILHO",G284/'De-Para'!$B$9,G284/VLOOKUP(B284,'De-Para'!A:B,2,0))</f>
        <v>4.3307086614173231</v>
      </c>
      <c r="J284" s="206">
        <f t="shared" si="21"/>
        <v>826.33464566929149</v>
      </c>
      <c r="K284" s="212">
        <f t="shared" si="22"/>
        <v>5.2408654098118519E-3</v>
      </c>
      <c r="L284" s="209">
        <f>VLOOKUP(E284,'Custos Matéria Prima Embalagens'!B:G,6,0)</f>
        <v>4.9800000000000004</v>
      </c>
      <c r="M284" s="209">
        <f t="shared" si="23"/>
        <v>27.39</v>
      </c>
      <c r="N284" s="209">
        <f t="shared" si="24"/>
        <v>0.03</v>
      </c>
    </row>
    <row r="285" spans="1:14" hidden="1">
      <c r="A285" s="129" t="s">
        <v>1251</v>
      </c>
      <c r="B285" s="129" t="s">
        <v>1252</v>
      </c>
      <c r="C285" s="129" t="s">
        <v>664</v>
      </c>
      <c r="D285" s="129" t="s">
        <v>599</v>
      </c>
      <c r="E285" s="129" t="s">
        <v>1221</v>
      </c>
      <c r="F285" s="129" t="s">
        <v>1222</v>
      </c>
      <c r="G285" s="210">
        <v>14</v>
      </c>
      <c r="H285" s="211">
        <f t="shared" si="20"/>
        <v>1049.4450000000002</v>
      </c>
      <c r="I285" s="207">
        <f>IF(F285="CONCENTRADO SEMI BRILHO",G285/'De-Para'!$B$9,G285/VLOOKUP(B285,'De-Para'!A:B,2,0))</f>
        <v>11.023622047244094</v>
      </c>
      <c r="J285" s="206">
        <f t="shared" si="21"/>
        <v>826.33464566929149</v>
      </c>
      <c r="K285" s="212">
        <f t="shared" si="22"/>
        <v>1.3340384679521079E-2</v>
      </c>
      <c r="L285" s="209">
        <f>VLOOKUP(E285,'Custos Matéria Prima Embalagens'!B:G,6,0)</f>
        <v>7.9049999999999994</v>
      </c>
      <c r="M285" s="209">
        <f t="shared" si="23"/>
        <v>110.66999999999999</v>
      </c>
      <c r="N285" s="209">
        <f t="shared" si="24"/>
        <v>0.13</v>
      </c>
    </row>
    <row r="286" spans="1:14" hidden="1">
      <c r="A286" s="129" t="s">
        <v>1251</v>
      </c>
      <c r="B286" s="129" t="s">
        <v>1252</v>
      </c>
      <c r="C286" s="129" t="s">
        <v>664</v>
      </c>
      <c r="D286" s="129" t="s">
        <v>599</v>
      </c>
      <c r="E286" s="129" t="s">
        <v>1229</v>
      </c>
      <c r="F286" s="129" t="s">
        <v>1230</v>
      </c>
      <c r="G286" s="210">
        <v>5</v>
      </c>
      <c r="H286" s="211">
        <f t="shared" si="20"/>
        <v>1049.4450000000002</v>
      </c>
      <c r="I286" s="207">
        <f>IF(F286="CONCENTRADO SEMI BRILHO",G286/'De-Para'!$B$9,G286/VLOOKUP(B286,'De-Para'!A:B,2,0))</f>
        <v>3.9370078740157481</v>
      </c>
      <c r="J286" s="206">
        <f t="shared" si="21"/>
        <v>826.33464566929149</v>
      </c>
      <c r="K286" s="212">
        <f t="shared" si="22"/>
        <v>4.7644230998289561E-3</v>
      </c>
      <c r="L286" s="209">
        <f>VLOOKUP(E286,'Custos Matéria Prima Embalagens'!B:G,6,0)</f>
        <v>19.22</v>
      </c>
      <c r="M286" s="209">
        <f t="shared" si="23"/>
        <v>96.1</v>
      </c>
      <c r="N286" s="209">
        <f t="shared" si="24"/>
        <v>0.12</v>
      </c>
    </row>
    <row r="287" spans="1:14" hidden="1">
      <c r="A287" s="129" t="s">
        <v>1251</v>
      </c>
      <c r="B287" s="129" t="s">
        <v>1252</v>
      </c>
      <c r="C287" s="129" t="s">
        <v>664</v>
      </c>
      <c r="D287" s="129" t="s">
        <v>599</v>
      </c>
      <c r="E287" s="129" t="s">
        <v>1233</v>
      </c>
      <c r="F287" s="129" t="s">
        <v>1234</v>
      </c>
      <c r="G287" s="210">
        <v>1.2</v>
      </c>
      <c r="H287" s="211">
        <f t="shared" si="20"/>
        <v>1049.4450000000002</v>
      </c>
      <c r="I287" s="207">
        <f>IF(F287="CONCENTRADO SEMI BRILHO",G287/'De-Para'!$B$9,G287/VLOOKUP(B287,'De-Para'!A:B,2,0))</f>
        <v>0.94488188976377951</v>
      </c>
      <c r="J287" s="206">
        <f t="shared" si="21"/>
        <v>826.33464566929149</v>
      </c>
      <c r="K287" s="212">
        <f t="shared" si="22"/>
        <v>1.1434615439589494E-3</v>
      </c>
      <c r="L287" s="209">
        <f>VLOOKUP(E287,'Custos Matéria Prima Embalagens'!B:G,6,0)</f>
        <v>31.93</v>
      </c>
      <c r="M287" s="209">
        <f t="shared" si="23"/>
        <v>38.315999999999995</v>
      </c>
      <c r="N287" s="209">
        <f t="shared" si="24"/>
        <v>0.05</v>
      </c>
    </row>
    <row r="288" spans="1:14" hidden="1">
      <c r="A288" s="129" t="s">
        <v>1251</v>
      </c>
      <c r="B288" s="129" t="s">
        <v>1252</v>
      </c>
      <c r="C288" s="129" t="s">
        <v>664</v>
      </c>
      <c r="D288" s="129" t="s">
        <v>599</v>
      </c>
      <c r="E288" s="129" t="s">
        <v>1239</v>
      </c>
      <c r="F288" s="129" t="s">
        <v>1240</v>
      </c>
      <c r="G288" s="210">
        <v>0.7</v>
      </c>
      <c r="H288" s="211">
        <f t="shared" si="20"/>
        <v>1049.4450000000002</v>
      </c>
      <c r="I288" s="207">
        <f>IF(F288="CONCENTRADO SEMI BRILHO",G288/'De-Para'!$B$9,G288/VLOOKUP(B288,'De-Para'!A:B,2,0))</f>
        <v>0.55118110236220463</v>
      </c>
      <c r="J288" s="206">
        <f t="shared" si="21"/>
        <v>826.33464566929149</v>
      </c>
      <c r="K288" s="212">
        <f t="shared" si="22"/>
        <v>6.6701923397605384E-4</v>
      </c>
      <c r="L288" s="209">
        <f>VLOOKUP(E288,'Custos Matéria Prima Embalagens'!B:G,6,0)</f>
        <v>21.11</v>
      </c>
      <c r="M288" s="209">
        <f t="shared" si="23"/>
        <v>14.776999999999999</v>
      </c>
      <c r="N288" s="209">
        <f t="shared" si="24"/>
        <v>0.02</v>
      </c>
    </row>
    <row r="289" spans="1:14" hidden="1">
      <c r="A289" s="129" t="s">
        <v>1251</v>
      </c>
      <c r="B289" s="129" t="s">
        <v>1252</v>
      </c>
      <c r="C289" s="129" t="s">
        <v>664</v>
      </c>
      <c r="D289" s="129" t="s">
        <v>599</v>
      </c>
      <c r="E289" s="129" t="s">
        <v>1231</v>
      </c>
      <c r="F289" s="129" t="s">
        <v>1232</v>
      </c>
      <c r="G289" s="210">
        <v>4.4999999999999998E-2</v>
      </c>
      <c r="H289" s="211">
        <f t="shared" si="20"/>
        <v>1049.4450000000002</v>
      </c>
      <c r="I289" s="207">
        <f>IF(F289="CONCENTRADO SEMI BRILHO",G289/'De-Para'!$B$9,G289/VLOOKUP(B289,'De-Para'!A:B,2,0))</f>
        <v>3.5433070866141732E-2</v>
      </c>
      <c r="J289" s="206">
        <f t="shared" si="21"/>
        <v>826.33464566929149</v>
      </c>
      <c r="K289" s="212">
        <f t="shared" si="22"/>
        <v>4.2879807898460608E-5</v>
      </c>
      <c r="L289" s="209">
        <f>VLOOKUP(E289,'Custos Matéria Prima Embalagens'!B:G,6,0)</f>
        <v>15.2</v>
      </c>
      <c r="M289" s="209">
        <f t="shared" si="23"/>
        <v>0.68399999999999994</v>
      </c>
      <c r="N289" s="209">
        <f t="shared" si="24"/>
        <v>0</v>
      </c>
    </row>
    <row r="290" spans="1:14" hidden="1">
      <c r="A290" s="129" t="s">
        <v>1251</v>
      </c>
      <c r="B290" s="129" t="s">
        <v>1252</v>
      </c>
      <c r="C290" s="129" t="s">
        <v>666</v>
      </c>
      <c r="D290" s="129" t="s">
        <v>1253</v>
      </c>
      <c r="E290" s="129" t="s">
        <v>1197</v>
      </c>
      <c r="F290" s="129" t="s">
        <v>1198</v>
      </c>
      <c r="G290" s="210">
        <v>400</v>
      </c>
      <c r="H290" s="211">
        <f t="shared" si="20"/>
        <v>1049.0999999999999</v>
      </c>
      <c r="I290" s="207">
        <f>IF(F290="CONCENTRADO SEMI BRILHO",G290/'De-Para'!$B$9,G290/VLOOKUP(B290,'De-Para'!A:B,2,0))</f>
        <v>314.96062992125985</v>
      </c>
      <c r="J290" s="206">
        <f t="shared" si="21"/>
        <v>826.06299212598435</v>
      </c>
      <c r="K290" s="212">
        <f t="shared" si="22"/>
        <v>0.38127919168811364</v>
      </c>
      <c r="L290" s="209">
        <f>VLOOKUP(E290,'Custos Matéria Prima Embalagens'!B:G,6,0)</f>
        <v>0</v>
      </c>
      <c r="M290" s="209">
        <f t="shared" si="23"/>
        <v>0</v>
      </c>
      <c r="N290" s="209">
        <f t="shared" si="24"/>
        <v>0</v>
      </c>
    </row>
    <row r="291" spans="1:14" hidden="1">
      <c r="A291" s="129" t="s">
        <v>1251</v>
      </c>
      <c r="B291" s="129" t="s">
        <v>1252</v>
      </c>
      <c r="C291" s="129" t="s">
        <v>666</v>
      </c>
      <c r="D291" s="129" t="s">
        <v>1253</v>
      </c>
      <c r="E291" s="129" t="s">
        <v>1201</v>
      </c>
      <c r="F291" s="129" t="s">
        <v>1202</v>
      </c>
      <c r="G291" s="210">
        <v>2.5</v>
      </c>
      <c r="H291" s="211">
        <f t="shared" si="20"/>
        <v>1049.0999999999999</v>
      </c>
      <c r="I291" s="207">
        <f>IF(F291="CONCENTRADO SEMI BRILHO",G291/'De-Para'!$B$9,G291/VLOOKUP(B291,'De-Para'!A:B,2,0))</f>
        <v>1.9685039370078741</v>
      </c>
      <c r="J291" s="206">
        <f t="shared" si="21"/>
        <v>826.06299212598435</v>
      </c>
      <c r="K291" s="212">
        <f t="shared" si="22"/>
        <v>2.3829949480507102E-3</v>
      </c>
      <c r="L291" s="209">
        <f>VLOOKUP(E291,'Custos Matéria Prima Embalagens'!B:G,6,0)</f>
        <v>7.18</v>
      </c>
      <c r="M291" s="209">
        <f t="shared" si="23"/>
        <v>17.95</v>
      </c>
      <c r="N291" s="209">
        <f t="shared" si="24"/>
        <v>0.02</v>
      </c>
    </row>
    <row r="292" spans="1:14" hidden="1">
      <c r="A292" s="129" t="s">
        <v>1251</v>
      </c>
      <c r="B292" s="129" t="s">
        <v>1252</v>
      </c>
      <c r="C292" s="129" t="s">
        <v>666</v>
      </c>
      <c r="D292" s="129" t="s">
        <v>1253</v>
      </c>
      <c r="E292" s="129" t="s">
        <v>1203</v>
      </c>
      <c r="F292" s="129" t="s">
        <v>1204</v>
      </c>
      <c r="G292" s="210">
        <v>3</v>
      </c>
      <c r="H292" s="211">
        <f t="shared" si="20"/>
        <v>1049.0999999999999</v>
      </c>
      <c r="I292" s="207">
        <f>IF(F292="CONCENTRADO SEMI BRILHO",G292/'De-Para'!$B$9,G292/VLOOKUP(B292,'De-Para'!A:B,2,0))</f>
        <v>2.3622047244094486</v>
      </c>
      <c r="J292" s="206">
        <f t="shared" si="21"/>
        <v>826.06299212598435</v>
      </c>
      <c r="K292" s="212">
        <f t="shared" si="22"/>
        <v>2.8595939376608523E-3</v>
      </c>
      <c r="L292" s="209">
        <f>VLOOKUP(E292,'Custos Matéria Prima Embalagens'!B:G,6,0)</f>
        <v>4.9399999999999995</v>
      </c>
      <c r="M292" s="209">
        <f t="shared" si="23"/>
        <v>14.819999999999999</v>
      </c>
      <c r="N292" s="209">
        <f t="shared" si="24"/>
        <v>0.02</v>
      </c>
    </row>
    <row r="293" spans="1:14" hidden="1">
      <c r="A293" s="129" t="s">
        <v>1251</v>
      </c>
      <c r="B293" s="129" t="s">
        <v>1252</v>
      </c>
      <c r="C293" s="129" t="s">
        <v>666</v>
      </c>
      <c r="D293" s="129" t="s">
        <v>1253</v>
      </c>
      <c r="E293" s="129" t="s">
        <v>1205</v>
      </c>
      <c r="F293" s="129" t="s">
        <v>1206</v>
      </c>
      <c r="G293" s="210">
        <v>2</v>
      </c>
      <c r="H293" s="211">
        <f t="shared" si="20"/>
        <v>1049.0999999999999</v>
      </c>
      <c r="I293" s="207">
        <f>IF(F293="CONCENTRADO SEMI BRILHO",G293/'De-Para'!$B$9,G293/VLOOKUP(B293,'De-Para'!A:B,2,0))</f>
        <v>1.5748031496062991</v>
      </c>
      <c r="J293" s="206">
        <f t="shared" si="21"/>
        <v>826.06299212598435</v>
      </c>
      <c r="K293" s="212">
        <f t="shared" si="22"/>
        <v>1.9063959584405682E-3</v>
      </c>
      <c r="L293" s="209">
        <f>VLOOKUP(E293,'Custos Matéria Prima Embalagens'!B:G,6,0)</f>
        <v>7.33</v>
      </c>
      <c r="M293" s="209">
        <f t="shared" si="23"/>
        <v>14.66</v>
      </c>
      <c r="N293" s="209">
        <f t="shared" si="24"/>
        <v>0.02</v>
      </c>
    </row>
    <row r="294" spans="1:14" hidden="1">
      <c r="A294" s="129" t="s">
        <v>1251</v>
      </c>
      <c r="B294" s="129" t="s">
        <v>1252</v>
      </c>
      <c r="C294" s="129" t="s">
        <v>666</v>
      </c>
      <c r="D294" s="129" t="s">
        <v>1253</v>
      </c>
      <c r="E294" s="129" t="s">
        <v>1207</v>
      </c>
      <c r="F294" s="129" t="s">
        <v>1208</v>
      </c>
      <c r="G294" s="210">
        <v>3</v>
      </c>
      <c r="H294" s="211">
        <f t="shared" si="20"/>
        <v>1049.0999999999999</v>
      </c>
      <c r="I294" s="207">
        <f>IF(F294="CONCENTRADO SEMI BRILHO",G294/'De-Para'!$B$9,G294/VLOOKUP(B294,'De-Para'!A:B,2,0))</f>
        <v>2.3622047244094486</v>
      </c>
      <c r="J294" s="206">
        <f t="shared" si="21"/>
        <v>826.06299212598435</v>
      </c>
      <c r="K294" s="212">
        <f t="shared" si="22"/>
        <v>2.8595939376608523E-3</v>
      </c>
      <c r="L294" s="209">
        <f>VLOOKUP(E294,'Custos Matéria Prima Embalagens'!B:G,6,0)</f>
        <v>6.8599999999999994</v>
      </c>
      <c r="M294" s="209">
        <f t="shared" si="23"/>
        <v>20.58</v>
      </c>
      <c r="N294" s="209">
        <f t="shared" si="24"/>
        <v>0.02</v>
      </c>
    </row>
    <row r="295" spans="1:14" hidden="1">
      <c r="A295" s="129" t="s">
        <v>1251</v>
      </c>
      <c r="B295" s="129" t="s">
        <v>1252</v>
      </c>
      <c r="C295" s="129" t="s">
        <v>666</v>
      </c>
      <c r="D295" s="129" t="s">
        <v>1253</v>
      </c>
      <c r="E295" s="129" t="s">
        <v>1209</v>
      </c>
      <c r="F295" s="129" t="s">
        <v>1210</v>
      </c>
      <c r="G295" s="210">
        <v>2.5</v>
      </c>
      <c r="H295" s="211">
        <f t="shared" si="20"/>
        <v>1049.0999999999999</v>
      </c>
      <c r="I295" s="207">
        <f>IF(F295="CONCENTRADO SEMI BRILHO",G295/'De-Para'!$B$9,G295/VLOOKUP(B295,'De-Para'!A:B,2,0))</f>
        <v>1.9685039370078741</v>
      </c>
      <c r="J295" s="206">
        <f t="shared" si="21"/>
        <v>826.06299212598435</v>
      </c>
      <c r="K295" s="212">
        <f t="shared" si="22"/>
        <v>2.3829949480507102E-3</v>
      </c>
      <c r="L295" s="209">
        <f>VLOOKUP(E295,'Custos Matéria Prima Embalagens'!B:G,6,0)</f>
        <v>7</v>
      </c>
      <c r="M295" s="209">
        <f t="shared" si="23"/>
        <v>17.5</v>
      </c>
      <c r="N295" s="209">
        <f t="shared" si="24"/>
        <v>0.02</v>
      </c>
    </row>
    <row r="296" spans="1:14" hidden="1">
      <c r="A296" s="129" t="s">
        <v>1251</v>
      </c>
      <c r="B296" s="129" t="s">
        <v>1252</v>
      </c>
      <c r="C296" s="129" t="s">
        <v>666</v>
      </c>
      <c r="D296" s="129" t="s">
        <v>1253</v>
      </c>
      <c r="E296" s="129" t="s">
        <v>1213</v>
      </c>
      <c r="F296" s="129" t="s">
        <v>1214</v>
      </c>
      <c r="G296" s="210">
        <v>10</v>
      </c>
      <c r="H296" s="211">
        <f t="shared" si="20"/>
        <v>1049.0999999999999</v>
      </c>
      <c r="I296" s="207">
        <f>IF(F296="CONCENTRADO SEMI BRILHO",G296/'De-Para'!$B$9,G296/VLOOKUP(B296,'De-Para'!A:B,2,0))</f>
        <v>7.8740157480314963</v>
      </c>
      <c r="J296" s="206">
        <f t="shared" si="21"/>
        <v>826.06299212598435</v>
      </c>
      <c r="K296" s="212">
        <f t="shared" si="22"/>
        <v>9.531979792202841E-3</v>
      </c>
      <c r="L296" s="209">
        <f>VLOOKUP(E296,'Custos Matéria Prima Embalagens'!B:G,6,0)</f>
        <v>19.3</v>
      </c>
      <c r="M296" s="209">
        <f t="shared" si="23"/>
        <v>193</v>
      </c>
      <c r="N296" s="209">
        <f t="shared" si="24"/>
        <v>0.23</v>
      </c>
    </row>
    <row r="297" spans="1:14" hidden="1">
      <c r="A297" s="129" t="s">
        <v>1251</v>
      </c>
      <c r="B297" s="129" t="s">
        <v>1252</v>
      </c>
      <c r="C297" s="129" t="s">
        <v>666</v>
      </c>
      <c r="D297" s="129" t="s">
        <v>1253</v>
      </c>
      <c r="E297" s="129" t="s">
        <v>1227</v>
      </c>
      <c r="F297" s="129" t="s">
        <v>1228</v>
      </c>
      <c r="G297" s="210">
        <v>500</v>
      </c>
      <c r="H297" s="211">
        <f t="shared" si="20"/>
        <v>1049.0999999999999</v>
      </c>
      <c r="I297" s="207">
        <f>IF(F297="CONCENTRADO SEMI BRILHO",G297/'De-Para'!$B$9,G297/VLOOKUP(B297,'De-Para'!A:B,2,0))</f>
        <v>393.70078740157481</v>
      </c>
      <c r="J297" s="206">
        <f t="shared" si="21"/>
        <v>826.06299212598435</v>
      </c>
      <c r="K297" s="212">
        <f t="shared" si="22"/>
        <v>0.47659898961014208</v>
      </c>
      <c r="L297" s="209">
        <f>VLOOKUP(E297,'Custos Matéria Prima Embalagens'!B:G,6,0)</f>
        <v>1.520495555555555</v>
      </c>
      <c r="M297" s="209">
        <f t="shared" si="23"/>
        <v>760.24777777777751</v>
      </c>
      <c r="N297" s="209">
        <f t="shared" si="24"/>
        <v>0.92</v>
      </c>
    </row>
    <row r="298" spans="1:14" hidden="1">
      <c r="A298" s="129" t="s">
        <v>1251</v>
      </c>
      <c r="B298" s="129" t="s">
        <v>1252</v>
      </c>
      <c r="C298" s="129" t="s">
        <v>666</v>
      </c>
      <c r="D298" s="129" t="s">
        <v>1253</v>
      </c>
      <c r="E298" s="129" t="s">
        <v>1217</v>
      </c>
      <c r="F298" s="129" t="s">
        <v>1218</v>
      </c>
      <c r="G298" s="210">
        <v>100</v>
      </c>
      <c r="H298" s="211">
        <f t="shared" si="20"/>
        <v>1049.0999999999999</v>
      </c>
      <c r="I298" s="207">
        <f>IF(F298="CONCENTRADO SEMI BRILHO",G298/'De-Para'!$B$9,G298/VLOOKUP(B298,'De-Para'!A:B,2,0))</f>
        <v>78.740157480314963</v>
      </c>
      <c r="J298" s="206">
        <f t="shared" si="21"/>
        <v>826.06299212598435</v>
      </c>
      <c r="K298" s="212">
        <f t="shared" si="22"/>
        <v>9.531979792202841E-2</v>
      </c>
      <c r="L298" s="209">
        <f>VLOOKUP(E298,'Custos Matéria Prima Embalagens'!B:G,6,0)</f>
        <v>8.43</v>
      </c>
      <c r="M298" s="209">
        <f t="shared" si="23"/>
        <v>843</v>
      </c>
      <c r="N298" s="209">
        <f t="shared" si="24"/>
        <v>1.02</v>
      </c>
    </row>
    <row r="299" spans="1:14" hidden="1">
      <c r="A299" s="129" t="s">
        <v>1251</v>
      </c>
      <c r="B299" s="129" t="s">
        <v>1252</v>
      </c>
      <c r="C299" s="129" t="s">
        <v>666</v>
      </c>
      <c r="D299" s="129" t="s">
        <v>1253</v>
      </c>
      <c r="E299" s="129" t="s">
        <v>1219</v>
      </c>
      <c r="F299" s="129" t="s">
        <v>1220</v>
      </c>
      <c r="G299" s="210">
        <v>5.5</v>
      </c>
      <c r="H299" s="211">
        <f t="shared" si="20"/>
        <v>1049.0999999999999</v>
      </c>
      <c r="I299" s="207">
        <f>IF(F299="CONCENTRADO SEMI BRILHO",G299/'De-Para'!$B$9,G299/VLOOKUP(B299,'De-Para'!A:B,2,0))</f>
        <v>4.3307086614173231</v>
      </c>
      <c r="J299" s="206">
        <f t="shared" si="21"/>
        <v>826.06299212598435</v>
      </c>
      <c r="K299" s="212">
        <f t="shared" si="22"/>
        <v>5.2425888857115625E-3</v>
      </c>
      <c r="L299" s="209">
        <f>VLOOKUP(E299,'Custos Matéria Prima Embalagens'!B:G,6,0)</f>
        <v>4.9800000000000004</v>
      </c>
      <c r="M299" s="209">
        <f t="shared" si="23"/>
        <v>27.39</v>
      </c>
      <c r="N299" s="209">
        <f t="shared" si="24"/>
        <v>0.03</v>
      </c>
    </row>
    <row r="300" spans="1:14" hidden="1">
      <c r="A300" s="129" t="s">
        <v>1251</v>
      </c>
      <c r="B300" s="129" t="s">
        <v>1252</v>
      </c>
      <c r="C300" s="129" t="s">
        <v>666</v>
      </c>
      <c r="D300" s="129" t="s">
        <v>1253</v>
      </c>
      <c r="E300" s="129" t="s">
        <v>1221</v>
      </c>
      <c r="F300" s="129" t="s">
        <v>1222</v>
      </c>
      <c r="G300" s="210">
        <v>14</v>
      </c>
      <c r="H300" s="211">
        <f t="shared" si="20"/>
        <v>1049.0999999999999</v>
      </c>
      <c r="I300" s="207">
        <f>IF(F300="CONCENTRADO SEMI BRILHO",G300/'De-Para'!$B$9,G300/VLOOKUP(B300,'De-Para'!A:B,2,0))</f>
        <v>11.023622047244094</v>
      </c>
      <c r="J300" s="206">
        <f t="shared" si="21"/>
        <v>826.06299212598435</v>
      </c>
      <c r="K300" s="212">
        <f t="shared" si="22"/>
        <v>1.3344771709083977E-2</v>
      </c>
      <c r="L300" s="209">
        <f>VLOOKUP(E300,'Custos Matéria Prima Embalagens'!B:G,6,0)</f>
        <v>7.9049999999999994</v>
      </c>
      <c r="M300" s="209">
        <f t="shared" si="23"/>
        <v>110.66999999999999</v>
      </c>
      <c r="N300" s="209">
        <f t="shared" si="24"/>
        <v>0.13</v>
      </c>
    </row>
    <row r="301" spans="1:14" hidden="1">
      <c r="A301" s="129" t="s">
        <v>1251</v>
      </c>
      <c r="B301" s="129" t="s">
        <v>1252</v>
      </c>
      <c r="C301" s="129" t="s">
        <v>666</v>
      </c>
      <c r="D301" s="129" t="s">
        <v>1253</v>
      </c>
      <c r="E301" s="129" t="s">
        <v>1229</v>
      </c>
      <c r="F301" s="129" t="s">
        <v>1230</v>
      </c>
      <c r="G301" s="210">
        <v>5</v>
      </c>
      <c r="H301" s="211">
        <f t="shared" si="20"/>
        <v>1049.0999999999999</v>
      </c>
      <c r="I301" s="207">
        <f>IF(F301="CONCENTRADO SEMI BRILHO",G301/'De-Para'!$B$9,G301/VLOOKUP(B301,'De-Para'!A:B,2,0))</f>
        <v>3.9370078740157481</v>
      </c>
      <c r="J301" s="206">
        <f t="shared" si="21"/>
        <v>826.06299212598435</v>
      </c>
      <c r="K301" s="212">
        <f t="shared" si="22"/>
        <v>4.7659898961014205E-3</v>
      </c>
      <c r="L301" s="209">
        <f>VLOOKUP(E301,'Custos Matéria Prima Embalagens'!B:G,6,0)</f>
        <v>19.22</v>
      </c>
      <c r="M301" s="209">
        <f t="shared" si="23"/>
        <v>96.1</v>
      </c>
      <c r="N301" s="209">
        <f t="shared" si="24"/>
        <v>0.12</v>
      </c>
    </row>
    <row r="302" spans="1:14" hidden="1">
      <c r="A302" s="129" t="s">
        <v>1251</v>
      </c>
      <c r="B302" s="129" t="s">
        <v>1252</v>
      </c>
      <c r="C302" s="129" t="s">
        <v>666</v>
      </c>
      <c r="D302" s="129" t="s">
        <v>1253</v>
      </c>
      <c r="E302" s="129" t="s">
        <v>1235</v>
      </c>
      <c r="F302" s="129" t="s">
        <v>1236</v>
      </c>
      <c r="G302" s="210">
        <v>1.5</v>
      </c>
      <c r="H302" s="211">
        <f t="shared" si="20"/>
        <v>1049.0999999999999</v>
      </c>
      <c r="I302" s="207">
        <f>IF(F302="CONCENTRADO SEMI BRILHO",G302/'De-Para'!$B$9,G302/VLOOKUP(B302,'De-Para'!A:B,2,0))</f>
        <v>1.1811023622047243</v>
      </c>
      <c r="J302" s="206">
        <f t="shared" si="21"/>
        <v>826.06299212598435</v>
      </c>
      <c r="K302" s="212">
        <f t="shared" si="22"/>
        <v>1.4297969688304261E-3</v>
      </c>
      <c r="L302" s="209">
        <f>VLOOKUP(E302,'Custos Matéria Prima Embalagens'!B:G,6,0)</f>
        <v>46.089999999999996</v>
      </c>
      <c r="M302" s="209">
        <f t="shared" si="23"/>
        <v>69.134999999999991</v>
      </c>
      <c r="N302" s="209">
        <f t="shared" si="24"/>
        <v>0.08</v>
      </c>
    </row>
    <row r="303" spans="1:14" hidden="1">
      <c r="A303" s="129" t="s">
        <v>1251</v>
      </c>
      <c r="B303" s="129" t="s">
        <v>1252</v>
      </c>
      <c r="C303" s="129" t="s">
        <v>666</v>
      </c>
      <c r="D303" s="129" t="s">
        <v>1253</v>
      </c>
      <c r="E303" s="129" t="s">
        <v>1244</v>
      </c>
      <c r="F303" s="129" t="s">
        <v>1245</v>
      </c>
      <c r="G303" s="210">
        <v>0.1</v>
      </c>
      <c r="H303" s="211">
        <f t="shared" si="20"/>
        <v>1049.0999999999999</v>
      </c>
      <c r="I303" s="207">
        <f>IF(F303="CONCENTRADO SEMI BRILHO",G303/'De-Para'!$B$9,G303/VLOOKUP(B303,'De-Para'!A:B,2,0))</f>
        <v>7.874015748031496E-2</v>
      </c>
      <c r="J303" s="206">
        <f t="shared" si="21"/>
        <v>826.06299212598435</v>
      </c>
      <c r="K303" s="212">
        <f t="shared" si="22"/>
        <v>9.5319797922028418E-5</v>
      </c>
      <c r="L303" s="209">
        <f>VLOOKUP(E303,'Custos Matéria Prima Embalagens'!B:G,6,0)</f>
        <v>40.33</v>
      </c>
      <c r="M303" s="209">
        <f t="shared" si="23"/>
        <v>4.0330000000000004</v>
      </c>
      <c r="N303" s="209">
        <f t="shared" si="24"/>
        <v>0</v>
      </c>
    </row>
    <row r="304" spans="1:14" hidden="1">
      <c r="A304" s="129" t="s">
        <v>1251</v>
      </c>
      <c r="B304" s="129" t="s">
        <v>1252</v>
      </c>
      <c r="C304" s="129" t="s">
        <v>677</v>
      </c>
      <c r="D304" s="129" t="s">
        <v>678</v>
      </c>
      <c r="E304" s="129" t="s">
        <v>1197</v>
      </c>
      <c r="F304" s="129" t="s">
        <v>1198</v>
      </c>
      <c r="G304" s="210">
        <v>400</v>
      </c>
      <c r="H304" s="211">
        <f t="shared" si="20"/>
        <v>1049.3999999999999</v>
      </c>
      <c r="I304" s="207">
        <f>IF(F304="CONCENTRADO SEMI BRILHO",G304/'De-Para'!$B$9,G304/VLOOKUP(B304,'De-Para'!A:B,2,0))</f>
        <v>314.96062992125985</v>
      </c>
      <c r="J304" s="206">
        <f t="shared" si="21"/>
        <v>826.29921259842547</v>
      </c>
      <c r="K304" s="212">
        <f t="shared" si="22"/>
        <v>0.38117019249094725</v>
      </c>
      <c r="L304" s="209">
        <f>VLOOKUP(E304,'Custos Matéria Prima Embalagens'!B:G,6,0)</f>
        <v>0</v>
      </c>
      <c r="M304" s="209">
        <f t="shared" si="23"/>
        <v>0</v>
      </c>
      <c r="N304" s="209">
        <f t="shared" si="24"/>
        <v>0</v>
      </c>
    </row>
    <row r="305" spans="1:14" hidden="1">
      <c r="A305" s="129" t="s">
        <v>1251</v>
      </c>
      <c r="B305" s="129" t="s">
        <v>1252</v>
      </c>
      <c r="C305" s="129" t="s">
        <v>677</v>
      </c>
      <c r="D305" s="129" t="s">
        <v>678</v>
      </c>
      <c r="E305" s="129" t="s">
        <v>1201</v>
      </c>
      <c r="F305" s="129" t="s">
        <v>1202</v>
      </c>
      <c r="G305" s="210">
        <v>2.5</v>
      </c>
      <c r="H305" s="211">
        <f t="shared" si="20"/>
        <v>1049.3999999999999</v>
      </c>
      <c r="I305" s="207">
        <f>IF(F305="CONCENTRADO SEMI BRILHO",G305/'De-Para'!$B$9,G305/VLOOKUP(B305,'De-Para'!A:B,2,0))</f>
        <v>1.9685039370078741</v>
      </c>
      <c r="J305" s="206">
        <f t="shared" si="21"/>
        <v>826.29921259842547</v>
      </c>
      <c r="K305" s="212">
        <f t="shared" si="22"/>
        <v>2.3823137030684204E-3</v>
      </c>
      <c r="L305" s="209">
        <f>VLOOKUP(E305,'Custos Matéria Prima Embalagens'!B:G,6,0)</f>
        <v>7.18</v>
      </c>
      <c r="M305" s="209">
        <f t="shared" si="23"/>
        <v>17.95</v>
      </c>
      <c r="N305" s="209">
        <f t="shared" si="24"/>
        <v>0.02</v>
      </c>
    </row>
    <row r="306" spans="1:14" hidden="1">
      <c r="A306" s="129" t="s">
        <v>1251</v>
      </c>
      <c r="B306" s="129" t="s">
        <v>1252</v>
      </c>
      <c r="C306" s="129" t="s">
        <v>677</v>
      </c>
      <c r="D306" s="129" t="s">
        <v>678</v>
      </c>
      <c r="E306" s="129" t="s">
        <v>1203</v>
      </c>
      <c r="F306" s="129" t="s">
        <v>1204</v>
      </c>
      <c r="G306" s="210">
        <v>3</v>
      </c>
      <c r="H306" s="211">
        <f t="shared" si="20"/>
        <v>1049.3999999999999</v>
      </c>
      <c r="I306" s="207">
        <f>IF(F306="CONCENTRADO SEMI BRILHO",G306/'De-Para'!$B$9,G306/VLOOKUP(B306,'De-Para'!A:B,2,0))</f>
        <v>2.3622047244094486</v>
      </c>
      <c r="J306" s="206">
        <f t="shared" si="21"/>
        <v>826.29921259842547</v>
      </c>
      <c r="K306" s="212">
        <f t="shared" si="22"/>
        <v>2.8587764436821044E-3</v>
      </c>
      <c r="L306" s="209">
        <f>VLOOKUP(E306,'Custos Matéria Prima Embalagens'!B:G,6,0)</f>
        <v>4.9399999999999995</v>
      </c>
      <c r="M306" s="209">
        <f t="shared" si="23"/>
        <v>14.819999999999999</v>
      </c>
      <c r="N306" s="209">
        <f t="shared" si="24"/>
        <v>0.02</v>
      </c>
    </row>
    <row r="307" spans="1:14" hidden="1">
      <c r="A307" s="129" t="s">
        <v>1251</v>
      </c>
      <c r="B307" s="129" t="s">
        <v>1252</v>
      </c>
      <c r="C307" s="129" t="s">
        <v>677</v>
      </c>
      <c r="D307" s="129" t="s">
        <v>678</v>
      </c>
      <c r="E307" s="129" t="s">
        <v>1205</v>
      </c>
      <c r="F307" s="129" t="s">
        <v>1206</v>
      </c>
      <c r="G307" s="210">
        <v>2</v>
      </c>
      <c r="H307" s="211">
        <f t="shared" si="20"/>
        <v>1049.3999999999999</v>
      </c>
      <c r="I307" s="207">
        <f>IF(F307="CONCENTRADO SEMI BRILHO",G307/'De-Para'!$B$9,G307/VLOOKUP(B307,'De-Para'!A:B,2,0))</f>
        <v>1.5748031496062991</v>
      </c>
      <c r="J307" s="206">
        <f t="shared" si="21"/>
        <v>826.29921259842547</v>
      </c>
      <c r="K307" s="212">
        <f t="shared" si="22"/>
        <v>1.9058509624547363E-3</v>
      </c>
      <c r="L307" s="209">
        <f>VLOOKUP(E307,'Custos Matéria Prima Embalagens'!B:G,6,0)</f>
        <v>7.33</v>
      </c>
      <c r="M307" s="209">
        <f t="shared" si="23"/>
        <v>14.66</v>
      </c>
      <c r="N307" s="209">
        <f t="shared" si="24"/>
        <v>0.02</v>
      </c>
    </row>
    <row r="308" spans="1:14" hidden="1">
      <c r="A308" s="129" t="s">
        <v>1251</v>
      </c>
      <c r="B308" s="129" t="s">
        <v>1252</v>
      </c>
      <c r="C308" s="129" t="s">
        <v>677</v>
      </c>
      <c r="D308" s="129" t="s">
        <v>678</v>
      </c>
      <c r="E308" s="129" t="s">
        <v>1207</v>
      </c>
      <c r="F308" s="129" t="s">
        <v>1208</v>
      </c>
      <c r="G308" s="210">
        <v>3</v>
      </c>
      <c r="H308" s="211">
        <f t="shared" si="20"/>
        <v>1049.3999999999999</v>
      </c>
      <c r="I308" s="207">
        <f>IF(F308="CONCENTRADO SEMI BRILHO",G308/'De-Para'!$B$9,G308/VLOOKUP(B308,'De-Para'!A:B,2,0))</f>
        <v>2.3622047244094486</v>
      </c>
      <c r="J308" s="206">
        <f t="shared" si="21"/>
        <v>826.29921259842547</v>
      </c>
      <c r="K308" s="212">
        <f t="shared" si="22"/>
        <v>2.8587764436821044E-3</v>
      </c>
      <c r="L308" s="209">
        <f>VLOOKUP(E308,'Custos Matéria Prima Embalagens'!B:G,6,0)</f>
        <v>6.8599999999999994</v>
      </c>
      <c r="M308" s="209">
        <f t="shared" si="23"/>
        <v>20.58</v>
      </c>
      <c r="N308" s="209">
        <f t="shared" si="24"/>
        <v>0.02</v>
      </c>
    </row>
    <row r="309" spans="1:14" hidden="1">
      <c r="A309" s="129" t="s">
        <v>1251</v>
      </c>
      <c r="B309" s="129" t="s">
        <v>1252</v>
      </c>
      <c r="C309" s="129" t="s">
        <v>677</v>
      </c>
      <c r="D309" s="129" t="s">
        <v>678</v>
      </c>
      <c r="E309" s="129" t="s">
        <v>1209</v>
      </c>
      <c r="F309" s="129" t="s">
        <v>1210</v>
      </c>
      <c r="G309" s="210">
        <v>2.5</v>
      </c>
      <c r="H309" s="211">
        <f t="shared" si="20"/>
        <v>1049.3999999999999</v>
      </c>
      <c r="I309" s="207">
        <f>IF(F309="CONCENTRADO SEMI BRILHO",G309/'De-Para'!$B$9,G309/VLOOKUP(B309,'De-Para'!A:B,2,0))</f>
        <v>1.9685039370078741</v>
      </c>
      <c r="J309" s="206">
        <f t="shared" si="21"/>
        <v>826.29921259842547</v>
      </c>
      <c r="K309" s="212">
        <f t="shared" si="22"/>
        <v>2.3823137030684204E-3</v>
      </c>
      <c r="L309" s="209">
        <f>VLOOKUP(E309,'Custos Matéria Prima Embalagens'!B:G,6,0)</f>
        <v>7</v>
      </c>
      <c r="M309" s="209">
        <f t="shared" si="23"/>
        <v>17.5</v>
      </c>
      <c r="N309" s="209">
        <f t="shared" si="24"/>
        <v>0.02</v>
      </c>
    </row>
    <row r="310" spans="1:14" hidden="1">
      <c r="A310" s="129" t="s">
        <v>1251</v>
      </c>
      <c r="B310" s="129" t="s">
        <v>1252</v>
      </c>
      <c r="C310" s="129" t="s">
        <v>677</v>
      </c>
      <c r="D310" s="129" t="s">
        <v>678</v>
      </c>
      <c r="E310" s="129" t="s">
        <v>1213</v>
      </c>
      <c r="F310" s="129" t="s">
        <v>1214</v>
      </c>
      <c r="G310" s="210">
        <v>10</v>
      </c>
      <c r="H310" s="211">
        <f t="shared" si="20"/>
        <v>1049.3999999999999</v>
      </c>
      <c r="I310" s="207">
        <f>IF(F310="CONCENTRADO SEMI BRILHO",G310/'De-Para'!$B$9,G310/VLOOKUP(B310,'De-Para'!A:B,2,0))</f>
        <v>7.8740157480314963</v>
      </c>
      <c r="J310" s="206">
        <f t="shared" si="21"/>
        <v>826.29921259842547</v>
      </c>
      <c r="K310" s="212">
        <f t="shared" si="22"/>
        <v>9.5292548122736815E-3</v>
      </c>
      <c r="L310" s="209">
        <f>VLOOKUP(E310,'Custos Matéria Prima Embalagens'!B:G,6,0)</f>
        <v>19.3</v>
      </c>
      <c r="M310" s="209">
        <f t="shared" si="23"/>
        <v>193</v>
      </c>
      <c r="N310" s="209">
        <f t="shared" si="24"/>
        <v>0.23</v>
      </c>
    </row>
    <row r="311" spans="1:14" hidden="1">
      <c r="A311" s="129" t="s">
        <v>1251</v>
      </c>
      <c r="B311" s="129" t="s">
        <v>1252</v>
      </c>
      <c r="C311" s="129" t="s">
        <v>677</v>
      </c>
      <c r="D311" s="129" t="s">
        <v>678</v>
      </c>
      <c r="E311" s="129" t="s">
        <v>1227</v>
      </c>
      <c r="F311" s="129" t="s">
        <v>1228</v>
      </c>
      <c r="G311" s="210">
        <v>500</v>
      </c>
      <c r="H311" s="211">
        <f t="shared" si="20"/>
        <v>1049.3999999999999</v>
      </c>
      <c r="I311" s="207">
        <f>IF(F311="CONCENTRADO SEMI BRILHO",G311/'De-Para'!$B$9,G311/VLOOKUP(B311,'De-Para'!A:B,2,0))</f>
        <v>393.70078740157481</v>
      </c>
      <c r="J311" s="206">
        <f t="shared" si="21"/>
        <v>826.29921259842547</v>
      </c>
      <c r="K311" s="212">
        <f t="shared" si="22"/>
        <v>0.4764627406136841</v>
      </c>
      <c r="L311" s="209">
        <f>VLOOKUP(E311,'Custos Matéria Prima Embalagens'!B:G,6,0)</f>
        <v>1.520495555555555</v>
      </c>
      <c r="M311" s="209">
        <f t="shared" si="23"/>
        <v>760.24777777777751</v>
      </c>
      <c r="N311" s="209">
        <f t="shared" si="24"/>
        <v>0.92</v>
      </c>
    </row>
    <row r="312" spans="1:14" hidden="1">
      <c r="A312" s="129" t="s">
        <v>1251</v>
      </c>
      <c r="B312" s="129" t="s">
        <v>1252</v>
      </c>
      <c r="C312" s="129" t="s">
        <v>677</v>
      </c>
      <c r="D312" s="129" t="s">
        <v>678</v>
      </c>
      <c r="E312" s="129" t="s">
        <v>1217</v>
      </c>
      <c r="F312" s="129" t="s">
        <v>1218</v>
      </c>
      <c r="G312" s="210">
        <v>100</v>
      </c>
      <c r="H312" s="211">
        <f t="shared" si="20"/>
        <v>1049.3999999999999</v>
      </c>
      <c r="I312" s="207">
        <f>IF(F312="CONCENTRADO SEMI BRILHO",G312/'De-Para'!$B$9,G312/VLOOKUP(B312,'De-Para'!A:B,2,0))</f>
        <v>78.740157480314963</v>
      </c>
      <c r="J312" s="206">
        <f t="shared" si="21"/>
        <v>826.29921259842547</v>
      </c>
      <c r="K312" s="212">
        <f t="shared" si="22"/>
        <v>9.5292548122736812E-2</v>
      </c>
      <c r="L312" s="209">
        <f>VLOOKUP(E312,'Custos Matéria Prima Embalagens'!B:G,6,0)</f>
        <v>8.43</v>
      </c>
      <c r="M312" s="209">
        <f t="shared" si="23"/>
        <v>843</v>
      </c>
      <c r="N312" s="209">
        <f t="shared" si="24"/>
        <v>1.02</v>
      </c>
    </row>
    <row r="313" spans="1:14" hidden="1">
      <c r="A313" s="129" t="s">
        <v>1251</v>
      </c>
      <c r="B313" s="129" t="s">
        <v>1252</v>
      </c>
      <c r="C313" s="129" t="s">
        <v>677</v>
      </c>
      <c r="D313" s="129" t="s">
        <v>678</v>
      </c>
      <c r="E313" s="129" t="s">
        <v>1219</v>
      </c>
      <c r="F313" s="129" t="s">
        <v>1220</v>
      </c>
      <c r="G313" s="210">
        <v>5.5</v>
      </c>
      <c r="H313" s="211">
        <f t="shared" si="20"/>
        <v>1049.3999999999999</v>
      </c>
      <c r="I313" s="207">
        <f>IF(F313="CONCENTRADO SEMI BRILHO",G313/'De-Para'!$B$9,G313/VLOOKUP(B313,'De-Para'!A:B,2,0))</f>
        <v>4.3307086614173231</v>
      </c>
      <c r="J313" s="206">
        <f t="shared" si="21"/>
        <v>826.29921259842547</v>
      </c>
      <c r="K313" s="212">
        <f t="shared" si="22"/>
        <v>5.2410901467505244E-3</v>
      </c>
      <c r="L313" s="209">
        <f>VLOOKUP(E313,'Custos Matéria Prima Embalagens'!B:G,6,0)</f>
        <v>4.9800000000000004</v>
      </c>
      <c r="M313" s="209">
        <f t="shared" si="23"/>
        <v>27.39</v>
      </c>
      <c r="N313" s="209">
        <f t="shared" si="24"/>
        <v>0.03</v>
      </c>
    </row>
    <row r="314" spans="1:14" hidden="1">
      <c r="A314" s="129" t="s">
        <v>1251</v>
      </c>
      <c r="B314" s="129" t="s">
        <v>1252</v>
      </c>
      <c r="C314" s="129" t="s">
        <v>677</v>
      </c>
      <c r="D314" s="129" t="s">
        <v>678</v>
      </c>
      <c r="E314" s="129" t="s">
        <v>1221</v>
      </c>
      <c r="F314" s="129" t="s">
        <v>1222</v>
      </c>
      <c r="G314" s="210">
        <v>14</v>
      </c>
      <c r="H314" s="211">
        <f t="shared" si="20"/>
        <v>1049.3999999999999</v>
      </c>
      <c r="I314" s="207">
        <f>IF(F314="CONCENTRADO SEMI BRILHO",G314/'De-Para'!$B$9,G314/VLOOKUP(B314,'De-Para'!A:B,2,0))</f>
        <v>11.023622047244094</v>
      </c>
      <c r="J314" s="206">
        <f t="shared" si="21"/>
        <v>826.29921259842547</v>
      </c>
      <c r="K314" s="212">
        <f t="shared" si="22"/>
        <v>1.3340956737183154E-2</v>
      </c>
      <c r="L314" s="209">
        <f>VLOOKUP(E314,'Custos Matéria Prima Embalagens'!B:G,6,0)</f>
        <v>7.9049999999999994</v>
      </c>
      <c r="M314" s="209">
        <f t="shared" si="23"/>
        <v>110.66999999999999</v>
      </c>
      <c r="N314" s="209">
        <f t="shared" si="24"/>
        <v>0.13</v>
      </c>
    </row>
    <row r="315" spans="1:14" hidden="1">
      <c r="A315" s="129" t="s">
        <v>1251</v>
      </c>
      <c r="B315" s="129" t="s">
        <v>1252</v>
      </c>
      <c r="C315" s="129" t="s">
        <v>677</v>
      </c>
      <c r="D315" s="129" t="s">
        <v>678</v>
      </c>
      <c r="E315" s="129" t="s">
        <v>1229</v>
      </c>
      <c r="F315" s="129" t="s">
        <v>1230</v>
      </c>
      <c r="G315" s="210">
        <v>5</v>
      </c>
      <c r="H315" s="211">
        <f t="shared" si="20"/>
        <v>1049.3999999999999</v>
      </c>
      <c r="I315" s="207">
        <f>IF(F315="CONCENTRADO SEMI BRILHO",G315/'De-Para'!$B$9,G315/VLOOKUP(B315,'De-Para'!A:B,2,0))</f>
        <v>3.9370078740157481</v>
      </c>
      <c r="J315" s="206">
        <f t="shared" si="21"/>
        <v>826.29921259842547</v>
      </c>
      <c r="K315" s="212">
        <f t="shared" si="22"/>
        <v>4.7646274061368407E-3</v>
      </c>
      <c r="L315" s="209">
        <f>VLOOKUP(E315,'Custos Matéria Prima Embalagens'!B:G,6,0)</f>
        <v>19.22</v>
      </c>
      <c r="M315" s="209">
        <f t="shared" si="23"/>
        <v>96.1</v>
      </c>
      <c r="N315" s="209">
        <f t="shared" si="24"/>
        <v>0.12</v>
      </c>
    </row>
    <row r="316" spans="1:14" hidden="1">
      <c r="A316" s="129" t="s">
        <v>1251</v>
      </c>
      <c r="B316" s="129" t="s">
        <v>1252</v>
      </c>
      <c r="C316" s="129" t="s">
        <v>677</v>
      </c>
      <c r="D316" s="129" t="s">
        <v>678</v>
      </c>
      <c r="E316" s="129" t="s">
        <v>1241</v>
      </c>
      <c r="F316" s="129" t="s">
        <v>1242</v>
      </c>
      <c r="G316" s="210">
        <v>1</v>
      </c>
      <c r="H316" s="211">
        <f t="shared" si="20"/>
        <v>1049.3999999999999</v>
      </c>
      <c r="I316" s="207">
        <f>IF(F316="CONCENTRADO SEMI BRILHO",G316/'De-Para'!$B$9,G316/VLOOKUP(B316,'De-Para'!A:B,2,0))</f>
        <v>0.78740157480314954</v>
      </c>
      <c r="J316" s="206">
        <f t="shared" si="21"/>
        <v>826.29921259842547</v>
      </c>
      <c r="K316" s="212">
        <f t="shared" si="22"/>
        <v>9.5292548122736815E-4</v>
      </c>
      <c r="L316" s="209">
        <f>VLOOKUP(E316,'Custos Matéria Prima Embalagens'!B:G,6,0)</f>
        <v>31.25</v>
      </c>
      <c r="M316" s="209">
        <f t="shared" si="23"/>
        <v>31.25</v>
      </c>
      <c r="N316" s="209">
        <f t="shared" si="24"/>
        <v>0.04</v>
      </c>
    </row>
    <row r="317" spans="1:14" hidden="1">
      <c r="A317" s="129" t="s">
        <v>1251</v>
      </c>
      <c r="B317" s="129" t="s">
        <v>1252</v>
      </c>
      <c r="C317" s="129" t="s">
        <v>677</v>
      </c>
      <c r="D317" s="129" t="s">
        <v>678</v>
      </c>
      <c r="E317" s="129" t="s">
        <v>1237</v>
      </c>
      <c r="F317" s="129" t="s">
        <v>1238</v>
      </c>
      <c r="G317" s="210">
        <v>0.35</v>
      </c>
      <c r="H317" s="211">
        <f t="shared" si="20"/>
        <v>1049.3999999999999</v>
      </c>
      <c r="I317" s="207">
        <f>IF(F317="CONCENTRADO SEMI BRILHO",G317/'De-Para'!$B$9,G317/VLOOKUP(B317,'De-Para'!A:B,2,0))</f>
        <v>0.27559055118110232</v>
      </c>
      <c r="J317" s="206">
        <f t="shared" si="21"/>
        <v>826.29921259842547</v>
      </c>
      <c r="K317" s="212">
        <f t="shared" si="22"/>
        <v>3.3352391842957882E-4</v>
      </c>
      <c r="L317" s="209">
        <f>VLOOKUP(E317,'Custos Matéria Prima Embalagens'!B:G,6,0)</f>
        <v>39</v>
      </c>
      <c r="M317" s="209">
        <f t="shared" si="23"/>
        <v>13.649999999999999</v>
      </c>
      <c r="N317" s="209">
        <f t="shared" si="24"/>
        <v>0.02</v>
      </c>
    </row>
    <row r="318" spans="1:14" hidden="1">
      <c r="A318" s="129" t="s">
        <v>1251</v>
      </c>
      <c r="B318" s="129" t="s">
        <v>1252</v>
      </c>
      <c r="C318" s="129" t="s">
        <v>677</v>
      </c>
      <c r="D318" s="129" t="s">
        <v>678</v>
      </c>
      <c r="E318" s="129" t="s">
        <v>1239</v>
      </c>
      <c r="F318" s="129" t="s">
        <v>1240</v>
      </c>
      <c r="G318" s="210">
        <v>0.55000000000000004</v>
      </c>
      <c r="H318" s="211">
        <f t="shared" si="20"/>
        <v>1049.3999999999999</v>
      </c>
      <c r="I318" s="207">
        <f>IF(F318="CONCENTRADO SEMI BRILHO",G318/'De-Para'!$B$9,G318/VLOOKUP(B318,'De-Para'!A:B,2,0))</f>
        <v>0.43307086614173229</v>
      </c>
      <c r="J318" s="206">
        <f t="shared" si="21"/>
        <v>826.29921259842547</v>
      </c>
      <c r="K318" s="212">
        <f t="shared" si="22"/>
        <v>5.2410901467505255E-4</v>
      </c>
      <c r="L318" s="209">
        <f>VLOOKUP(E318,'Custos Matéria Prima Embalagens'!B:G,6,0)</f>
        <v>21.11</v>
      </c>
      <c r="M318" s="209">
        <f t="shared" si="23"/>
        <v>11.6105</v>
      </c>
      <c r="N318" s="209">
        <f t="shared" si="24"/>
        <v>0.01</v>
      </c>
    </row>
    <row r="319" spans="1:14" hidden="1">
      <c r="A319" s="129" t="s">
        <v>1251</v>
      </c>
      <c r="B319" s="129" t="s">
        <v>1252</v>
      </c>
      <c r="C319" s="129" t="s">
        <v>680</v>
      </c>
      <c r="D319" s="129" t="s">
        <v>681</v>
      </c>
      <c r="E319" s="129" t="s">
        <v>1197</v>
      </c>
      <c r="F319" s="129" t="s">
        <v>1198</v>
      </c>
      <c r="G319" s="210">
        <v>400</v>
      </c>
      <c r="H319" s="211">
        <f t="shared" si="20"/>
        <v>1056.2</v>
      </c>
      <c r="I319" s="207">
        <f>IF(F319="CONCENTRADO SEMI BRILHO",G319/'De-Para'!$B$9,G319/VLOOKUP(B319,'De-Para'!A:B,2,0))</f>
        <v>314.96062992125985</v>
      </c>
      <c r="J319" s="206">
        <f t="shared" si="21"/>
        <v>831.65354330708681</v>
      </c>
      <c r="K319" s="212">
        <f t="shared" si="22"/>
        <v>0.37871615224389321</v>
      </c>
      <c r="L319" s="209">
        <f>VLOOKUP(E319,'Custos Matéria Prima Embalagens'!B:G,6,0)</f>
        <v>0</v>
      </c>
      <c r="M319" s="209">
        <f t="shared" si="23"/>
        <v>0</v>
      </c>
      <c r="N319" s="209">
        <f t="shared" si="24"/>
        <v>0</v>
      </c>
    </row>
    <row r="320" spans="1:14" hidden="1">
      <c r="A320" s="129" t="s">
        <v>1251</v>
      </c>
      <c r="B320" s="129" t="s">
        <v>1252</v>
      </c>
      <c r="C320" s="129" t="s">
        <v>680</v>
      </c>
      <c r="D320" s="129" t="s">
        <v>681</v>
      </c>
      <c r="E320" s="129" t="s">
        <v>1201</v>
      </c>
      <c r="F320" s="129" t="s">
        <v>1202</v>
      </c>
      <c r="G320" s="210">
        <v>2.5</v>
      </c>
      <c r="H320" s="211">
        <f t="shared" si="20"/>
        <v>1056.2</v>
      </c>
      <c r="I320" s="207">
        <f>IF(F320="CONCENTRADO SEMI BRILHO",G320/'De-Para'!$B$9,G320/VLOOKUP(B320,'De-Para'!A:B,2,0))</f>
        <v>1.9685039370078741</v>
      </c>
      <c r="J320" s="206">
        <f t="shared" si="21"/>
        <v>831.65354330708681</v>
      </c>
      <c r="K320" s="212">
        <f t="shared" si="22"/>
        <v>2.3669759515243323E-3</v>
      </c>
      <c r="L320" s="209">
        <f>VLOOKUP(E320,'Custos Matéria Prima Embalagens'!B:G,6,0)</f>
        <v>7.18</v>
      </c>
      <c r="M320" s="209">
        <f t="shared" si="23"/>
        <v>17.95</v>
      </c>
      <c r="N320" s="209">
        <f t="shared" si="24"/>
        <v>0.02</v>
      </c>
    </row>
    <row r="321" spans="1:14" hidden="1">
      <c r="A321" s="129" t="s">
        <v>1251</v>
      </c>
      <c r="B321" s="129" t="s">
        <v>1252</v>
      </c>
      <c r="C321" s="129" t="s">
        <v>680</v>
      </c>
      <c r="D321" s="129" t="s">
        <v>681</v>
      </c>
      <c r="E321" s="129" t="s">
        <v>1203</v>
      </c>
      <c r="F321" s="129" t="s">
        <v>1204</v>
      </c>
      <c r="G321" s="210">
        <v>3</v>
      </c>
      <c r="H321" s="211">
        <f t="shared" si="20"/>
        <v>1056.2</v>
      </c>
      <c r="I321" s="207">
        <f>IF(F321="CONCENTRADO SEMI BRILHO",G321/'De-Para'!$B$9,G321/VLOOKUP(B321,'De-Para'!A:B,2,0))</f>
        <v>2.3622047244094486</v>
      </c>
      <c r="J321" s="206">
        <f t="shared" si="21"/>
        <v>831.65354330708681</v>
      </c>
      <c r="K321" s="212">
        <f t="shared" si="22"/>
        <v>2.8403711418291989E-3</v>
      </c>
      <c r="L321" s="209">
        <f>VLOOKUP(E321,'Custos Matéria Prima Embalagens'!B:G,6,0)</f>
        <v>4.9399999999999995</v>
      </c>
      <c r="M321" s="209">
        <f t="shared" si="23"/>
        <v>14.819999999999999</v>
      </c>
      <c r="N321" s="209">
        <f t="shared" si="24"/>
        <v>0.02</v>
      </c>
    </row>
    <row r="322" spans="1:14" hidden="1">
      <c r="A322" s="129" t="s">
        <v>1251</v>
      </c>
      <c r="B322" s="129" t="s">
        <v>1252</v>
      </c>
      <c r="C322" s="129" t="s">
        <v>680</v>
      </c>
      <c r="D322" s="129" t="s">
        <v>681</v>
      </c>
      <c r="E322" s="129" t="s">
        <v>1205</v>
      </c>
      <c r="F322" s="129" t="s">
        <v>1206</v>
      </c>
      <c r="G322" s="210">
        <v>2</v>
      </c>
      <c r="H322" s="211">
        <f t="shared" si="20"/>
        <v>1056.2</v>
      </c>
      <c r="I322" s="207">
        <f>IF(F322="CONCENTRADO SEMI BRILHO",G322/'De-Para'!$B$9,G322/VLOOKUP(B322,'De-Para'!A:B,2,0))</f>
        <v>1.5748031496062991</v>
      </c>
      <c r="J322" s="206">
        <f t="shared" si="21"/>
        <v>831.65354330708681</v>
      </c>
      <c r="K322" s="212">
        <f t="shared" si="22"/>
        <v>1.8935807612194659E-3</v>
      </c>
      <c r="L322" s="209">
        <f>VLOOKUP(E322,'Custos Matéria Prima Embalagens'!B:G,6,0)</f>
        <v>7.33</v>
      </c>
      <c r="M322" s="209">
        <f t="shared" si="23"/>
        <v>14.66</v>
      </c>
      <c r="N322" s="209">
        <f t="shared" si="24"/>
        <v>0.02</v>
      </c>
    </row>
    <row r="323" spans="1:14" hidden="1">
      <c r="A323" s="129" t="s">
        <v>1251</v>
      </c>
      <c r="B323" s="129" t="s">
        <v>1252</v>
      </c>
      <c r="C323" s="129" t="s">
        <v>680</v>
      </c>
      <c r="D323" s="129" t="s">
        <v>681</v>
      </c>
      <c r="E323" s="129" t="s">
        <v>1207</v>
      </c>
      <c r="F323" s="129" t="s">
        <v>1208</v>
      </c>
      <c r="G323" s="210">
        <v>3</v>
      </c>
      <c r="H323" s="211">
        <f t="shared" ref="H323:H386" si="25">SUMIFS(G:G,C:C,C323)</f>
        <v>1056.2</v>
      </c>
      <c r="I323" s="207">
        <f>IF(F323="CONCENTRADO SEMI BRILHO",G323/'De-Para'!$B$9,G323/VLOOKUP(B323,'De-Para'!A:B,2,0))</f>
        <v>2.3622047244094486</v>
      </c>
      <c r="J323" s="206">
        <f t="shared" ref="J323:J386" si="26">SUMIFS(I:I,C:C,C323)</f>
        <v>831.65354330708681</v>
      </c>
      <c r="K323" s="212">
        <f t="shared" ref="K323:K386" si="27">G323/H323</f>
        <v>2.8403711418291989E-3</v>
      </c>
      <c r="L323" s="209">
        <f>VLOOKUP(E323,'Custos Matéria Prima Embalagens'!B:G,6,0)</f>
        <v>6.8599999999999994</v>
      </c>
      <c r="M323" s="209">
        <f t="shared" ref="M323:M386" si="28">L323*G323</f>
        <v>20.58</v>
      </c>
      <c r="N323" s="209">
        <f t="shared" ref="N323:N386" si="29">IF(B323="CONCENTRADO",ROUND(M323/H323,2),ROUND(M323/J323,2))</f>
        <v>0.02</v>
      </c>
    </row>
    <row r="324" spans="1:14" hidden="1">
      <c r="A324" s="129" t="s">
        <v>1251</v>
      </c>
      <c r="B324" s="129" t="s">
        <v>1252</v>
      </c>
      <c r="C324" s="129" t="s">
        <v>680</v>
      </c>
      <c r="D324" s="129" t="s">
        <v>681</v>
      </c>
      <c r="E324" s="129" t="s">
        <v>1209</v>
      </c>
      <c r="F324" s="129" t="s">
        <v>1210</v>
      </c>
      <c r="G324" s="210">
        <v>2.5</v>
      </c>
      <c r="H324" s="211">
        <f t="shared" si="25"/>
        <v>1056.2</v>
      </c>
      <c r="I324" s="207">
        <f>IF(F324="CONCENTRADO SEMI BRILHO",G324/'De-Para'!$B$9,G324/VLOOKUP(B324,'De-Para'!A:B,2,0))</f>
        <v>1.9685039370078741</v>
      </c>
      <c r="J324" s="206">
        <f t="shared" si="26"/>
        <v>831.65354330708681</v>
      </c>
      <c r="K324" s="212">
        <f t="shared" si="27"/>
        <v>2.3669759515243323E-3</v>
      </c>
      <c r="L324" s="209">
        <f>VLOOKUP(E324,'Custos Matéria Prima Embalagens'!B:G,6,0)</f>
        <v>7</v>
      </c>
      <c r="M324" s="209">
        <f t="shared" si="28"/>
        <v>17.5</v>
      </c>
      <c r="N324" s="209">
        <f t="shared" si="29"/>
        <v>0.02</v>
      </c>
    </row>
    <row r="325" spans="1:14" hidden="1">
      <c r="A325" s="129" t="s">
        <v>1251</v>
      </c>
      <c r="B325" s="129" t="s">
        <v>1252</v>
      </c>
      <c r="C325" s="129" t="s">
        <v>680</v>
      </c>
      <c r="D325" s="129" t="s">
        <v>681</v>
      </c>
      <c r="E325" s="129" t="s">
        <v>1213</v>
      </c>
      <c r="F325" s="129" t="s">
        <v>1214</v>
      </c>
      <c r="G325" s="210">
        <v>10</v>
      </c>
      <c r="H325" s="211">
        <f t="shared" si="25"/>
        <v>1056.2</v>
      </c>
      <c r="I325" s="207">
        <f>IF(F325="CONCENTRADO SEMI BRILHO",G325/'De-Para'!$B$9,G325/VLOOKUP(B325,'De-Para'!A:B,2,0))</f>
        <v>7.8740157480314963</v>
      </c>
      <c r="J325" s="206">
        <f t="shared" si="26"/>
        <v>831.65354330708681</v>
      </c>
      <c r="K325" s="212">
        <f t="shared" si="27"/>
        <v>9.4679038060973292E-3</v>
      </c>
      <c r="L325" s="209">
        <f>VLOOKUP(E325,'Custos Matéria Prima Embalagens'!B:G,6,0)</f>
        <v>19.3</v>
      </c>
      <c r="M325" s="209">
        <f t="shared" si="28"/>
        <v>193</v>
      </c>
      <c r="N325" s="209">
        <f t="shared" si="29"/>
        <v>0.23</v>
      </c>
    </row>
    <row r="326" spans="1:14" hidden="1">
      <c r="A326" s="129" t="s">
        <v>1251</v>
      </c>
      <c r="B326" s="129" t="s">
        <v>1252</v>
      </c>
      <c r="C326" s="129" t="s">
        <v>680</v>
      </c>
      <c r="D326" s="129" t="s">
        <v>681</v>
      </c>
      <c r="E326" s="129" t="s">
        <v>1227</v>
      </c>
      <c r="F326" s="129" t="s">
        <v>1228</v>
      </c>
      <c r="G326" s="210">
        <v>500</v>
      </c>
      <c r="H326" s="211">
        <f t="shared" si="25"/>
        <v>1056.2</v>
      </c>
      <c r="I326" s="207">
        <f>IF(F326="CONCENTRADO SEMI BRILHO",G326/'De-Para'!$B$9,G326/VLOOKUP(B326,'De-Para'!A:B,2,0))</f>
        <v>393.70078740157481</v>
      </c>
      <c r="J326" s="206">
        <f t="shared" si="26"/>
        <v>831.65354330708681</v>
      </c>
      <c r="K326" s="212">
        <f t="shared" si="27"/>
        <v>0.47339519030486649</v>
      </c>
      <c r="L326" s="209">
        <f>VLOOKUP(E326,'Custos Matéria Prima Embalagens'!B:G,6,0)</f>
        <v>1.520495555555555</v>
      </c>
      <c r="M326" s="209">
        <f t="shared" si="28"/>
        <v>760.24777777777751</v>
      </c>
      <c r="N326" s="209">
        <f t="shared" si="29"/>
        <v>0.91</v>
      </c>
    </row>
    <row r="327" spans="1:14" hidden="1">
      <c r="A327" s="129" t="s">
        <v>1251</v>
      </c>
      <c r="B327" s="129" t="s">
        <v>1252</v>
      </c>
      <c r="C327" s="129" t="s">
        <v>680</v>
      </c>
      <c r="D327" s="129" t="s">
        <v>681</v>
      </c>
      <c r="E327" s="129" t="s">
        <v>1217</v>
      </c>
      <c r="F327" s="129" t="s">
        <v>1218</v>
      </c>
      <c r="G327" s="210">
        <v>100</v>
      </c>
      <c r="H327" s="211">
        <f t="shared" si="25"/>
        <v>1056.2</v>
      </c>
      <c r="I327" s="207">
        <f>IF(F327="CONCENTRADO SEMI BRILHO",G327/'De-Para'!$B$9,G327/VLOOKUP(B327,'De-Para'!A:B,2,0))</f>
        <v>78.740157480314963</v>
      </c>
      <c r="J327" s="206">
        <f t="shared" si="26"/>
        <v>831.65354330708681</v>
      </c>
      <c r="K327" s="212">
        <f t="shared" si="27"/>
        <v>9.4679038060973303E-2</v>
      </c>
      <c r="L327" s="209">
        <f>VLOOKUP(E327,'Custos Matéria Prima Embalagens'!B:G,6,0)</f>
        <v>8.43</v>
      </c>
      <c r="M327" s="209">
        <f t="shared" si="28"/>
        <v>843</v>
      </c>
      <c r="N327" s="209">
        <f t="shared" si="29"/>
        <v>1.01</v>
      </c>
    </row>
    <row r="328" spans="1:14" hidden="1">
      <c r="A328" s="129" t="s">
        <v>1251</v>
      </c>
      <c r="B328" s="129" t="s">
        <v>1252</v>
      </c>
      <c r="C328" s="129" t="s">
        <v>680</v>
      </c>
      <c r="D328" s="129" t="s">
        <v>681</v>
      </c>
      <c r="E328" s="129" t="s">
        <v>1219</v>
      </c>
      <c r="F328" s="129" t="s">
        <v>1220</v>
      </c>
      <c r="G328" s="210">
        <v>5.5</v>
      </c>
      <c r="H328" s="211">
        <f t="shared" si="25"/>
        <v>1056.2</v>
      </c>
      <c r="I328" s="207">
        <f>IF(F328="CONCENTRADO SEMI BRILHO",G328/'De-Para'!$B$9,G328/VLOOKUP(B328,'De-Para'!A:B,2,0))</f>
        <v>4.3307086614173231</v>
      </c>
      <c r="J328" s="206">
        <f t="shared" si="26"/>
        <v>831.65354330708681</v>
      </c>
      <c r="K328" s="212">
        <f t="shared" si="27"/>
        <v>5.2073470933535317E-3</v>
      </c>
      <c r="L328" s="209">
        <f>VLOOKUP(E328,'Custos Matéria Prima Embalagens'!B:G,6,0)</f>
        <v>4.9800000000000004</v>
      </c>
      <c r="M328" s="209">
        <f t="shared" si="28"/>
        <v>27.39</v>
      </c>
      <c r="N328" s="209">
        <f t="shared" si="29"/>
        <v>0.03</v>
      </c>
    </row>
    <row r="329" spans="1:14" hidden="1">
      <c r="A329" s="129" t="s">
        <v>1251</v>
      </c>
      <c r="B329" s="129" t="s">
        <v>1252</v>
      </c>
      <c r="C329" s="129" t="s">
        <v>680</v>
      </c>
      <c r="D329" s="129" t="s">
        <v>681</v>
      </c>
      <c r="E329" s="129" t="s">
        <v>1221</v>
      </c>
      <c r="F329" s="129" t="s">
        <v>1222</v>
      </c>
      <c r="G329" s="210">
        <v>14</v>
      </c>
      <c r="H329" s="211">
        <f t="shared" si="25"/>
        <v>1056.2</v>
      </c>
      <c r="I329" s="207">
        <f>IF(F329="CONCENTRADO SEMI BRILHO",G329/'De-Para'!$B$9,G329/VLOOKUP(B329,'De-Para'!A:B,2,0))</f>
        <v>11.023622047244094</v>
      </c>
      <c r="J329" s="206">
        <f t="shared" si="26"/>
        <v>831.65354330708681</v>
      </c>
      <c r="K329" s="212">
        <f t="shared" si="27"/>
        <v>1.3255065328536262E-2</v>
      </c>
      <c r="L329" s="209">
        <f>VLOOKUP(E329,'Custos Matéria Prima Embalagens'!B:G,6,0)</f>
        <v>7.9049999999999994</v>
      </c>
      <c r="M329" s="209">
        <f t="shared" si="28"/>
        <v>110.66999999999999</v>
      </c>
      <c r="N329" s="209">
        <f t="shared" si="29"/>
        <v>0.13</v>
      </c>
    </row>
    <row r="330" spans="1:14" hidden="1">
      <c r="A330" s="129" t="s">
        <v>1251</v>
      </c>
      <c r="B330" s="129" t="s">
        <v>1252</v>
      </c>
      <c r="C330" s="129" t="s">
        <v>680</v>
      </c>
      <c r="D330" s="129" t="s">
        <v>681</v>
      </c>
      <c r="E330" s="129" t="s">
        <v>1229</v>
      </c>
      <c r="F330" s="129" t="s">
        <v>1230</v>
      </c>
      <c r="G330" s="210">
        <v>5</v>
      </c>
      <c r="H330" s="211">
        <f t="shared" si="25"/>
        <v>1056.2</v>
      </c>
      <c r="I330" s="207">
        <f>IF(F330="CONCENTRADO SEMI BRILHO",G330/'De-Para'!$B$9,G330/VLOOKUP(B330,'De-Para'!A:B,2,0))</f>
        <v>3.9370078740157481</v>
      </c>
      <c r="J330" s="206">
        <f t="shared" si="26"/>
        <v>831.65354330708681</v>
      </c>
      <c r="K330" s="212">
        <f t="shared" si="27"/>
        <v>4.7339519030486646E-3</v>
      </c>
      <c r="L330" s="209">
        <f>VLOOKUP(E330,'Custos Matéria Prima Embalagens'!B:G,6,0)</f>
        <v>19.22</v>
      </c>
      <c r="M330" s="209">
        <f t="shared" si="28"/>
        <v>96.1</v>
      </c>
      <c r="N330" s="209">
        <f t="shared" si="29"/>
        <v>0.12</v>
      </c>
    </row>
    <row r="331" spans="1:14" hidden="1">
      <c r="A331" s="129" t="s">
        <v>1251</v>
      </c>
      <c r="B331" s="129" t="s">
        <v>1252</v>
      </c>
      <c r="C331" s="129" t="s">
        <v>680</v>
      </c>
      <c r="D331" s="129" t="s">
        <v>681</v>
      </c>
      <c r="E331" s="129" t="s">
        <v>1233</v>
      </c>
      <c r="F331" s="129" t="s">
        <v>1234</v>
      </c>
      <c r="G331" s="210">
        <v>0.5</v>
      </c>
      <c r="H331" s="211">
        <f t="shared" si="25"/>
        <v>1056.2</v>
      </c>
      <c r="I331" s="207">
        <f>IF(F331="CONCENTRADO SEMI BRILHO",G331/'De-Para'!$B$9,G331/VLOOKUP(B331,'De-Para'!A:B,2,0))</f>
        <v>0.39370078740157477</v>
      </c>
      <c r="J331" s="206">
        <f t="shared" si="26"/>
        <v>831.65354330708681</v>
      </c>
      <c r="K331" s="212">
        <f t="shared" si="27"/>
        <v>4.7339519030486647E-4</v>
      </c>
      <c r="L331" s="209">
        <f>VLOOKUP(E331,'Custos Matéria Prima Embalagens'!B:G,6,0)</f>
        <v>31.93</v>
      </c>
      <c r="M331" s="209">
        <f t="shared" si="28"/>
        <v>15.965</v>
      </c>
      <c r="N331" s="209">
        <f t="shared" si="29"/>
        <v>0.02</v>
      </c>
    </row>
    <row r="332" spans="1:14" hidden="1">
      <c r="A332" s="129" t="s">
        <v>1251</v>
      </c>
      <c r="B332" s="129" t="s">
        <v>1252</v>
      </c>
      <c r="C332" s="129" t="s">
        <v>680</v>
      </c>
      <c r="D332" s="129" t="s">
        <v>681</v>
      </c>
      <c r="E332" s="129" t="s">
        <v>1237</v>
      </c>
      <c r="F332" s="129" t="s">
        <v>1238</v>
      </c>
      <c r="G332" s="210">
        <v>1.2</v>
      </c>
      <c r="H332" s="211">
        <f t="shared" si="25"/>
        <v>1056.2</v>
      </c>
      <c r="I332" s="207">
        <f>IF(F332="CONCENTRADO SEMI BRILHO",G332/'De-Para'!$B$9,G332/VLOOKUP(B332,'De-Para'!A:B,2,0))</f>
        <v>0.94488188976377951</v>
      </c>
      <c r="J332" s="206">
        <f t="shared" si="26"/>
        <v>831.65354330708681</v>
      </c>
      <c r="K332" s="212">
        <f t="shared" si="27"/>
        <v>1.1361484567316796E-3</v>
      </c>
      <c r="L332" s="209">
        <f>VLOOKUP(E332,'Custos Matéria Prima Embalagens'!B:G,6,0)</f>
        <v>39</v>
      </c>
      <c r="M332" s="209">
        <f t="shared" si="28"/>
        <v>46.8</v>
      </c>
      <c r="N332" s="209">
        <f t="shared" si="29"/>
        <v>0.06</v>
      </c>
    </row>
    <row r="333" spans="1:14" hidden="1">
      <c r="A333" s="129" t="s">
        <v>1251</v>
      </c>
      <c r="B333" s="129" t="s">
        <v>1252</v>
      </c>
      <c r="C333" s="129" t="s">
        <v>680</v>
      </c>
      <c r="D333" s="129" t="s">
        <v>681</v>
      </c>
      <c r="E333" s="129" t="s">
        <v>1239</v>
      </c>
      <c r="F333" s="129" t="s">
        <v>1240</v>
      </c>
      <c r="G333" s="210">
        <v>7</v>
      </c>
      <c r="H333" s="211">
        <f t="shared" si="25"/>
        <v>1056.2</v>
      </c>
      <c r="I333" s="207">
        <f>IF(F333="CONCENTRADO SEMI BRILHO",G333/'De-Para'!$B$9,G333/VLOOKUP(B333,'De-Para'!A:B,2,0))</f>
        <v>5.5118110236220472</v>
      </c>
      <c r="J333" s="206">
        <f t="shared" si="26"/>
        <v>831.65354330708681</v>
      </c>
      <c r="K333" s="212">
        <f t="shared" si="27"/>
        <v>6.6275326642681312E-3</v>
      </c>
      <c r="L333" s="209">
        <f>VLOOKUP(E333,'Custos Matéria Prima Embalagens'!B:G,6,0)</f>
        <v>21.11</v>
      </c>
      <c r="M333" s="209">
        <f t="shared" si="28"/>
        <v>147.76999999999998</v>
      </c>
      <c r="N333" s="209">
        <f t="shared" si="29"/>
        <v>0.18</v>
      </c>
    </row>
    <row r="334" spans="1:14" hidden="1">
      <c r="A334" s="129" t="s">
        <v>1251</v>
      </c>
      <c r="B334" s="129" t="s">
        <v>1252</v>
      </c>
      <c r="C334" s="129" t="s">
        <v>685</v>
      </c>
      <c r="D334" s="129" t="s">
        <v>686</v>
      </c>
      <c r="E334" s="129" t="s">
        <v>1197</v>
      </c>
      <c r="F334" s="129" t="s">
        <v>1198</v>
      </c>
      <c r="G334" s="210">
        <v>400</v>
      </c>
      <c r="H334" s="211">
        <f t="shared" si="25"/>
        <v>1063.5</v>
      </c>
      <c r="I334" s="207">
        <f>IF(F334="CONCENTRADO SEMI BRILHO",G334/'De-Para'!$B$9,G334/VLOOKUP(B334,'De-Para'!A:B,2,0))</f>
        <v>314.96062992125985</v>
      </c>
      <c r="J334" s="206">
        <f t="shared" si="26"/>
        <v>837.40157480314986</v>
      </c>
      <c r="K334" s="212">
        <f t="shared" si="27"/>
        <v>0.37611659614480492</v>
      </c>
      <c r="L334" s="209">
        <f>VLOOKUP(E334,'Custos Matéria Prima Embalagens'!B:G,6,0)</f>
        <v>0</v>
      </c>
      <c r="M334" s="209">
        <f t="shared" si="28"/>
        <v>0</v>
      </c>
      <c r="N334" s="209">
        <f t="shared" si="29"/>
        <v>0</v>
      </c>
    </row>
    <row r="335" spans="1:14" hidden="1">
      <c r="A335" s="129" t="s">
        <v>1251</v>
      </c>
      <c r="B335" s="129" t="s">
        <v>1252</v>
      </c>
      <c r="C335" s="129" t="s">
        <v>685</v>
      </c>
      <c r="D335" s="129" t="s">
        <v>686</v>
      </c>
      <c r="E335" s="129" t="s">
        <v>1201</v>
      </c>
      <c r="F335" s="129" t="s">
        <v>1202</v>
      </c>
      <c r="G335" s="210">
        <v>2.5</v>
      </c>
      <c r="H335" s="211">
        <f t="shared" si="25"/>
        <v>1063.5</v>
      </c>
      <c r="I335" s="207">
        <f>IF(F335="CONCENTRADO SEMI BRILHO",G335/'De-Para'!$B$9,G335/VLOOKUP(B335,'De-Para'!A:B,2,0))</f>
        <v>1.9685039370078741</v>
      </c>
      <c r="J335" s="206">
        <f t="shared" si="26"/>
        <v>837.40157480314986</v>
      </c>
      <c r="K335" s="212">
        <f t="shared" si="27"/>
        <v>2.3507287259050304E-3</v>
      </c>
      <c r="L335" s="209">
        <f>VLOOKUP(E335,'Custos Matéria Prima Embalagens'!B:G,6,0)</f>
        <v>7.18</v>
      </c>
      <c r="M335" s="209">
        <f t="shared" si="28"/>
        <v>17.95</v>
      </c>
      <c r="N335" s="209">
        <f t="shared" si="29"/>
        <v>0.02</v>
      </c>
    </row>
    <row r="336" spans="1:14" hidden="1">
      <c r="A336" s="129" t="s">
        <v>1251</v>
      </c>
      <c r="B336" s="129" t="s">
        <v>1252</v>
      </c>
      <c r="C336" s="129" t="s">
        <v>685</v>
      </c>
      <c r="D336" s="129" t="s">
        <v>686</v>
      </c>
      <c r="E336" s="129" t="s">
        <v>1203</v>
      </c>
      <c r="F336" s="129" t="s">
        <v>1204</v>
      </c>
      <c r="G336" s="210">
        <v>3</v>
      </c>
      <c r="H336" s="211">
        <f t="shared" si="25"/>
        <v>1063.5</v>
      </c>
      <c r="I336" s="207">
        <f>IF(F336="CONCENTRADO SEMI BRILHO",G336/'De-Para'!$B$9,G336/VLOOKUP(B336,'De-Para'!A:B,2,0))</f>
        <v>2.3622047244094486</v>
      </c>
      <c r="J336" s="206">
        <f t="shared" si="26"/>
        <v>837.40157480314986</v>
      </c>
      <c r="K336" s="212">
        <f t="shared" si="27"/>
        <v>2.8208744710860366E-3</v>
      </c>
      <c r="L336" s="209">
        <f>VLOOKUP(E336,'Custos Matéria Prima Embalagens'!B:G,6,0)</f>
        <v>4.9399999999999995</v>
      </c>
      <c r="M336" s="209">
        <f t="shared" si="28"/>
        <v>14.819999999999999</v>
      </c>
      <c r="N336" s="209">
        <f t="shared" si="29"/>
        <v>0.02</v>
      </c>
    </row>
    <row r="337" spans="1:14" hidden="1">
      <c r="A337" s="129" t="s">
        <v>1251</v>
      </c>
      <c r="B337" s="129" t="s">
        <v>1252</v>
      </c>
      <c r="C337" s="129" t="s">
        <v>685</v>
      </c>
      <c r="D337" s="129" t="s">
        <v>686</v>
      </c>
      <c r="E337" s="129" t="s">
        <v>1205</v>
      </c>
      <c r="F337" s="129" t="s">
        <v>1206</v>
      </c>
      <c r="G337" s="210">
        <v>2</v>
      </c>
      <c r="H337" s="211">
        <f t="shared" si="25"/>
        <v>1063.5</v>
      </c>
      <c r="I337" s="207">
        <f>IF(F337="CONCENTRADO SEMI BRILHO",G337/'De-Para'!$B$9,G337/VLOOKUP(B337,'De-Para'!A:B,2,0))</f>
        <v>1.5748031496062991</v>
      </c>
      <c r="J337" s="206">
        <f t="shared" si="26"/>
        <v>837.40157480314986</v>
      </c>
      <c r="K337" s="212">
        <f t="shared" si="27"/>
        <v>1.8805829807240243E-3</v>
      </c>
      <c r="L337" s="209">
        <f>VLOOKUP(E337,'Custos Matéria Prima Embalagens'!B:G,6,0)</f>
        <v>7.33</v>
      </c>
      <c r="M337" s="209">
        <f t="shared" si="28"/>
        <v>14.66</v>
      </c>
      <c r="N337" s="209">
        <f t="shared" si="29"/>
        <v>0.02</v>
      </c>
    </row>
    <row r="338" spans="1:14" hidden="1">
      <c r="A338" s="129" t="s">
        <v>1251</v>
      </c>
      <c r="B338" s="129" t="s">
        <v>1252</v>
      </c>
      <c r="C338" s="129" t="s">
        <v>685</v>
      </c>
      <c r="D338" s="129" t="s">
        <v>686</v>
      </c>
      <c r="E338" s="129" t="s">
        <v>1207</v>
      </c>
      <c r="F338" s="129" t="s">
        <v>1208</v>
      </c>
      <c r="G338" s="210">
        <v>3</v>
      </c>
      <c r="H338" s="211">
        <f t="shared" si="25"/>
        <v>1063.5</v>
      </c>
      <c r="I338" s="207">
        <f>IF(F338="CONCENTRADO SEMI BRILHO",G338/'De-Para'!$B$9,G338/VLOOKUP(B338,'De-Para'!A:B,2,0))</f>
        <v>2.3622047244094486</v>
      </c>
      <c r="J338" s="206">
        <f t="shared" si="26"/>
        <v>837.40157480314986</v>
      </c>
      <c r="K338" s="212">
        <f t="shared" si="27"/>
        <v>2.8208744710860366E-3</v>
      </c>
      <c r="L338" s="209">
        <f>VLOOKUP(E338,'Custos Matéria Prima Embalagens'!B:G,6,0)</f>
        <v>6.8599999999999994</v>
      </c>
      <c r="M338" s="209">
        <f t="shared" si="28"/>
        <v>20.58</v>
      </c>
      <c r="N338" s="209">
        <f t="shared" si="29"/>
        <v>0.02</v>
      </c>
    </row>
    <row r="339" spans="1:14" hidden="1">
      <c r="A339" s="129" t="s">
        <v>1251</v>
      </c>
      <c r="B339" s="129" t="s">
        <v>1252</v>
      </c>
      <c r="C339" s="129" t="s">
        <v>685</v>
      </c>
      <c r="D339" s="129" t="s">
        <v>686</v>
      </c>
      <c r="E339" s="129" t="s">
        <v>1209</v>
      </c>
      <c r="F339" s="129" t="s">
        <v>1210</v>
      </c>
      <c r="G339" s="210">
        <v>2.5</v>
      </c>
      <c r="H339" s="211">
        <f t="shared" si="25"/>
        <v>1063.5</v>
      </c>
      <c r="I339" s="207">
        <f>IF(F339="CONCENTRADO SEMI BRILHO",G339/'De-Para'!$B$9,G339/VLOOKUP(B339,'De-Para'!A:B,2,0))</f>
        <v>1.9685039370078741</v>
      </c>
      <c r="J339" s="206">
        <f t="shared" si="26"/>
        <v>837.40157480314986</v>
      </c>
      <c r="K339" s="212">
        <f t="shared" si="27"/>
        <v>2.3507287259050304E-3</v>
      </c>
      <c r="L339" s="209">
        <f>VLOOKUP(E339,'Custos Matéria Prima Embalagens'!B:G,6,0)</f>
        <v>7</v>
      </c>
      <c r="M339" s="209">
        <f t="shared" si="28"/>
        <v>17.5</v>
      </c>
      <c r="N339" s="209">
        <f t="shared" si="29"/>
        <v>0.02</v>
      </c>
    </row>
    <row r="340" spans="1:14" hidden="1">
      <c r="A340" s="129" t="s">
        <v>1251</v>
      </c>
      <c r="B340" s="129" t="s">
        <v>1252</v>
      </c>
      <c r="C340" s="129" t="s">
        <v>685</v>
      </c>
      <c r="D340" s="129" t="s">
        <v>686</v>
      </c>
      <c r="E340" s="129" t="s">
        <v>1213</v>
      </c>
      <c r="F340" s="129" t="s">
        <v>1214</v>
      </c>
      <c r="G340" s="210">
        <v>10</v>
      </c>
      <c r="H340" s="211">
        <f t="shared" si="25"/>
        <v>1063.5</v>
      </c>
      <c r="I340" s="207">
        <f>IF(F340="CONCENTRADO SEMI BRILHO",G340/'De-Para'!$B$9,G340/VLOOKUP(B340,'De-Para'!A:B,2,0))</f>
        <v>7.8740157480314963</v>
      </c>
      <c r="J340" s="206">
        <f t="shared" si="26"/>
        <v>837.40157480314986</v>
      </c>
      <c r="K340" s="212">
        <f t="shared" si="27"/>
        <v>9.4029149036201215E-3</v>
      </c>
      <c r="L340" s="209">
        <f>VLOOKUP(E340,'Custos Matéria Prima Embalagens'!B:G,6,0)</f>
        <v>19.3</v>
      </c>
      <c r="M340" s="209">
        <f t="shared" si="28"/>
        <v>193</v>
      </c>
      <c r="N340" s="209">
        <f t="shared" si="29"/>
        <v>0.23</v>
      </c>
    </row>
    <row r="341" spans="1:14" hidden="1">
      <c r="A341" s="129" t="s">
        <v>1251</v>
      </c>
      <c r="B341" s="129" t="s">
        <v>1252</v>
      </c>
      <c r="C341" s="129" t="s">
        <v>685</v>
      </c>
      <c r="D341" s="129" t="s">
        <v>686</v>
      </c>
      <c r="E341" s="129" t="s">
        <v>1227</v>
      </c>
      <c r="F341" s="129" t="s">
        <v>1228</v>
      </c>
      <c r="G341" s="210">
        <v>500</v>
      </c>
      <c r="H341" s="211">
        <f t="shared" si="25"/>
        <v>1063.5</v>
      </c>
      <c r="I341" s="207">
        <f>IF(F341="CONCENTRADO SEMI BRILHO",G341/'De-Para'!$B$9,G341/VLOOKUP(B341,'De-Para'!A:B,2,0))</f>
        <v>393.70078740157481</v>
      </c>
      <c r="J341" s="206">
        <f t="shared" si="26"/>
        <v>837.40157480314986</v>
      </c>
      <c r="K341" s="212">
        <f t="shared" si="27"/>
        <v>0.4701457451810061</v>
      </c>
      <c r="L341" s="209">
        <f>VLOOKUP(E341,'Custos Matéria Prima Embalagens'!B:G,6,0)</f>
        <v>1.520495555555555</v>
      </c>
      <c r="M341" s="209">
        <f t="shared" si="28"/>
        <v>760.24777777777751</v>
      </c>
      <c r="N341" s="209">
        <f t="shared" si="29"/>
        <v>0.91</v>
      </c>
    </row>
    <row r="342" spans="1:14" hidden="1">
      <c r="A342" s="129" t="s">
        <v>1251</v>
      </c>
      <c r="B342" s="129" t="s">
        <v>1252</v>
      </c>
      <c r="C342" s="129" t="s">
        <v>685</v>
      </c>
      <c r="D342" s="129" t="s">
        <v>686</v>
      </c>
      <c r="E342" s="129" t="s">
        <v>1217</v>
      </c>
      <c r="F342" s="129" t="s">
        <v>1218</v>
      </c>
      <c r="G342" s="210">
        <v>100</v>
      </c>
      <c r="H342" s="211">
        <f t="shared" si="25"/>
        <v>1063.5</v>
      </c>
      <c r="I342" s="207">
        <f>IF(F342="CONCENTRADO SEMI BRILHO",G342/'De-Para'!$B$9,G342/VLOOKUP(B342,'De-Para'!A:B,2,0))</f>
        <v>78.740157480314963</v>
      </c>
      <c r="J342" s="206">
        <f t="shared" si="26"/>
        <v>837.40157480314986</v>
      </c>
      <c r="K342" s="212">
        <f t="shared" si="27"/>
        <v>9.4029149036201229E-2</v>
      </c>
      <c r="L342" s="209">
        <f>VLOOKUP(E342,'Custos Matéria Prima Embalagens'!B:G,6,0)</f>
        <v>8.43</v>
      </c>
      <c r="M342" s="209">
        <f t="shared" si="28"/>
        <v>843</v>
      </c>
      <c r="N342" s="209">
        <f t="shared" si="29"/>
        <v>1.01</v>
      </c>
    </row>
    <row r="343" spans="1:14" hidden="1">
      <c r="A343" s="129" t="s">
        <v>1251</v>
      </c>
      <c r="B343" s="129" t="s">
        <v>1252</v>
      </c>
      <c r="C343" s="129" t="s">
        <v>685</v>
      </c>
      <c r="D343" s="129" t="s">
        <v>686</v>
      </c>
      <c r="E343" s="129" t="s">
        <v>1219</v>
      </c>
      <c r="F343" s="129" t="s">
        <v>1220</v>
      </c>
      <c r="G343" s="210">
        <v>5.5</v>
      </c>
      <c r="H343" s="211">
        <f t="shared" si="25"/>
        <v>1063.5</v>
      </c>
      <c r="I343" s="207">
        <f>IF(F343="CONCENTRADO SEMI BRILHO",G343/'De-Para'!$B$9,G343/VLOOKUP(B343,'De-Para'!A:B,2,0))</f>
        <v>4.3307086614173231</v>
      </c>
      <c r="J343" s="206">
        <f t="shared" si="26"/>
        <v>837.40157480314986</v>
      </c>
      <c r="K343" s="212">
        <f t="shared" si="27"/>
        <v>5.171603196991067E-3</v>
      </c>
      <c r="L343" s="209">
        <f>VLOOKUP(E343,'Custos Matéria Prima Embalagens'!B:G,6,0)</f>
        <v>4.9800000000000004</v>
      </c>
      <c r="M343" s="209">
        <f t="shared" si="28"/>
        <v>27.39</v>
      </c>
      <c r="N343" s="209">
        <f t="shared" si="29"/>
        <v>0.03</v>
      </c>
    </row>
    <row r="344" spans="1:14" hidden="1">
      <c r="A344" s="129" t="s">
        <v>1251</v>
      </c>
      <c r="B344" s="129" t="s">
        <v>1252</v>
      </c>
      <c r="C344" s="129" t="s">
        <v>685</v>
      </c>
      <c r="D344" s="129" t="s">
        <v>686</v>
      </c>
      <c r="E344" s="129" t="s">
        <v>1221</v>
      </c>
      <c r="F344" s="129" t="s">
        <v>1222</v>
      </c>
      <c r="G344" s="210">
        <v>14</v>
      </c>
      <c r="H344" s="211">
        <f t="shared" si="25"/>
        <v>1063.5</v>
      </c>
      <c r="I344" s="207">
        <f>IF(F344="CONCENTRADO SEMI BRILHO",G344/'De-Para'!$B$9,G344/VLOOKUP(B344,'De-Para'!A:B,2,0))</f>
        <v>11.023622047244094</v>
      </c>
      <c r="J344" s="206">
        <f t="shared" si="26"/>
        <v>837.40157480314986</v>
      </c>
      <c r="K344" s="212">
        <f t="shared" si="27"/>
        <v>1.3164080865068171E-2</v>
      </c>
      <c r="L344" s="209">
        <f>VLOOKUP(E344,'Custos Matéria Prima Embalagens'!B:G,6,0)</f>
        <v>7.9049999999999994</v>
      </c>
      <c r="M344" s="209">
        <f t="shared" si="28"/>
        <v>110.66999999999999</v>
      </c>
      <c r="N344" s="209">
        <f t="shared" si="29"/>
        <v>0.13</v>
      </c>
    </row>
    <row r="345" spans="1:14" hidden="1">
      <c r="A345" s="129" t="s">
        <v>1251</v>
      </c>
      <c r="B345" s="129" t="s">
        <v>1252</v>
      </c>
      <c r="C345" s="129" t="s">
        <v>685</v>
      </c>
      <c r="D345" s="129" t="s">
        <v>686</v>
      </c>
      <c r="E345" s="129" t="s">
        <v>1229</v>
      </c>
      <c r="F345" s="129" t="s">
        <v>1230</v>
      </c>
      <c r="G345" s="210">
        <v>5</v>
      </c>
      <c r="H345" s="211">
        <f t="shared" si="25"/>
        <v>1063.5</v>
      </c>
      <c r="I345" s="207">
        <f>IF(F345="CONCENTRADO SEMI BRILHO",G345/'De-Para'!$B$9,G345/VLOOKUP(B345,'De-Para'!A:B,2,0))</f>
        <v>3.9370078740157481</v>
      </c>
      <c r="J345" s="206">
        <f t="shared" si="26"/>
        <v>837.40157480314986</v>
      </c>
      <c r="K345" s="212">
        <f t="shared" si="27"/>
        <v>4.7014574518100608E-3</v>
      </c>
      <c r="L345" s="209">
        <f>VLOOKUP(E345,'Custos Matéria Prima Embalagens'!B:G,6,0)</f>
        <v>19.22</v>
      </c>
      <c r="M345" s="209">
        <f t="shared" si="28"/>
        <v>96.1</v>
      </c>
      <c r="N345" s="209">
        <f t="shared" si="29"/>
        <v>0.11</v>
      </c>
    </row>
    <row r="346" spans="1:14" hidden="1">
      <c r="A346" s="129" t="s">
        <v>1251</v>
      </c>
      <c r="B346" s="129" t="s">
        <v>1252</v>
      </c>
      <c r="C346" s="129" t="s">
        <v>685</v>
      </c>
      <c r="D346" s="129" t="s">
        <v>686</v>
      </c>
      <c r="E346" s="129" t="s">
        <v>1241</v>
      </c>
      <c r="F346" s="129" t="s">
        <v>1242</v>
      </c>
      <c r="G346" s="210">
        <v>15</v>
      </c>
      <c r="H346" s="211">
        <f t="shared" si="25"/>
        <v>1063.5</v>
      </c>
      <c r="I346" s="207">
        <f>IF(F346="CONCENTRADO SEMI BRILHO",G346/'De-Para'!$B$9,G346/VLOOKUP(B346,'De-Para'!A:B,2,0))</f>
        <v>11.811023622047244</v>
      </c>
      <c r="J346" s="206">
        <f t="shared" si="26"/>
        <v>837.40157480314986</v>
      </c>
      <c r="K346" s="212">
        <f t="shared" si="27"/>
        <v>1.4104372355430184E-2</v>
      </c>
      <c r="L346" s="209">
        <f>VLOOKUP(E346,'Custos Matéria Prima Embalagens'!B:G,6,0)</f>
        <v>31.25</v>
      </c>
      <c r="M346" s="209">
        <f t="shared" si="28"/>
        <v>468.75</v>
      </c>
      <c r="N346" s="209">
        <f t="shared" si="29"/>
        <v>0.56000000000000005</v>
      </c>
    </row>
    <row r="347" spans="1:14" hidden="1">
      <c r="A347" s="129" t="s">
        <v>1251</v>
      </c>
      <c r="B347" s="129" t="s">
        <v>1252</v>
      </c>
      <c r="C347" s="129" t="s">
        <v>685</v>
      </c>
      <c r="D347" s="129" t="s">
        <v>686</v>
      </c>
      <c r="E347" s="129" t="s">
        <v>1244</v>
      </c>
      <c r="F347" s="129" t="s">
        <v>1245</v>
      </c>
      <c r="G347" s="210">
        <v>1</v>
      </c>
      <c r="H347" s="211">
        <f t="shared" si="25"/>
        <v>1063.5</v>
      </c>
      <c r="I347" s="207">
        <f>IF(F347="CONCENTRADO SEMI BRILHO",G347/'De-Para'!$B$9,G347/VLOOKUP(B347,'De-Para'!A:B,2,0))</f>
        <v>0.78740157480314954</v>
      </c>
      <c r="J347" s="206">
        <f t="shared" si="26"/>
        <v>837.40157480314986</v>
      </c>
      <c r="K347" s="212">
        <f t="shared" si="27"/>
        <v>9.4029149036201217E-4</v>
      </c>
      <c r="L347" s="209">
        <f>VLOOKUP(E347,'Custos Matéria Prima Embalagens'!B:G,6,0)</f>
        <v>40.33</v>
      </c>
      <c r="M347" s="209">
        <f t="shared" si="28"/>
        <v>40.33</v>
      </c>
      <c r="N347" s="209">
        <f t="shared" si="29"/>
        <v>0.05</v>
      </c>
    </row>
    <row r="348" spans="1:14" hidden="1">
      <c r="A348" s="129" t="s">
        <v>1251</v>
      </c>
      <c r="B348" s="129" t="s">
        <v>1252</v>
      </c>
      <c r="C348" s="129" t="s">
        <v>697</v>
      </c>
      <c r="D348" s="129" t="s">
        <v>1254</v>
      </c>
      <c r="E348" s="129" t="s">
        <v>1197</v>
      </c>
      <c r="F348" s="129" t="s">
        <v>1198</v>
      </c>
      <c r="G348" s="210">
        <v>400</v>
      </c>
      <c r="H348" s="211">
        <f t="shared" si="25"/>
        <v>1048.0999999999999</v>
      </c>
      <c r="I348" s="207">
        <f>IF(F348="CONCENTRADO SEMI BRILHO",G348/'De-Para'!$B$9,G348/VLOOKUP(B348,'De-Para'!A:B,2,0))</f>
        <v>314.96062992125985</v>
      </c>
      <c r="J348" s="206">
        <f t="shared" si="26"/>
        <v>825.27559055118127</v>
      </c>
      <c r="K348" s="212">
        <f t="shared" si="27"/>
        <v>0.38164297299875971</v>
      </c>
      <c r="L348" s="209">
        <f>VLOOKUP(E348,'Custos Matéria Prima Embalagens'!B:G,6,0)</f>
        <v>0</v>
      </c>
      <c r="M348" s="209">
        <f t="shared" si="28"/>
        <v>0</v>
      </c>
      <c r="N348" s="209">
        <f t="shared" si="29"/>
        <v>0</v>
      </c>
    </row>
    <row r="349" spans="1:14" hidden="1">
      <c r="A349" s="129" t="s">
        <v>1251</v>
      </c>
      <c r="B349" s="129" t="s">
        <v>1252</v>
      </c>
      <c r="C349" s="129" t="s">
        <v>697</v>
      </c>
      <c r="D349" s="129" t="s">
        <v>1254</v>
      </c>
      <c r="E349" s="129" t="s">
        <v>1201</v>
      </c>
      <c r="F349" s="129" t="s">
        <v>1202</v>
      </c>
      <c r="G349" s="210">
        <v>2.5</v>
      </c>
      <c r="H349" s="211">
        <f t="shared" si="25"/>
        <v>1048.0999999999999</v>
      </c>
      <c r="I349" s="207">
        <f>IF(F349="CONCENTRADO SEMI BRILHO",G349/'De-Para'!$B$9,G349/VLOOKUP(B349,'De-Para'!A:B,2,0))</f>
        <v>1.9685039370078741</v>
      </c>
      <c r="J349" s="206">
        <f t="shared" si="26"/>
        <v>825.27559055118127</v>
      </c>
      <c r="K349" s="212">
        <f t="shared" si="27"/>
        <v>2.3852685812422482E-3</v>
      </c>
      <c r="L349" s="209">
        <f>VLOOKUP(E349,'Custos Matéria Prima Embalagens'!B:G,6,0)</f>
        <v>7.18</v>
      </c>
      <c r="M349" s="209">
        <f t="shared" si="28"/>
        <v>17.95</v>
      </c>
      <c r="N349" s="209">
        <f t="shared" si="29"/>
        <v>0.02</v>
      </c>
    </row>
    <row r="350" spans="1:14" hidden="1">
      <c r="A350" s="129" t="s">
        <v>1251</v>
      </c>
      <c r="B350" s="129" t="s">
        <v>1252</v>
      </c>
      <c r="C350" s="129" t="s">
        <v>697</v>
      </c>
      <c r="D350" s="129" t="s">
        <v>1254</v>
      </c>
      <c r="E350" s="129" t="s">
        <v>1203</v>
      </c>
      <c r="F350" s="129" t="s">
        <v>1204</v>
      </c>
      <c r="G350" s="210">
        <v>3</v>
      </c>
      <c r="H350" s="211">
        <f t="shared" si="25"/>
        <v>1048.0999999999999</v>
      </c>
      <c r="I350" s="207">
        <f>IF(F350="CONCENTRADO SEMI BRILHO",G350/'De-Para'!$B$9,G350/VLOOKUP(B350,'De-Para'!A:B,2,0))</f>
        <v>2.3622047244094486</v>
      </c>
      <c r="J350" s="206">
        <f t="shared" si="26"/>
        <v>825.27559055118127</v>
      </c>
      <c r="K350" s="212">
        <f t="shared" si="27"/>
        <v>2.8623222974906975E-3</v>
      </c>
      <c r="L350" s="209">
        <f>VLOOKUP(E350,'Custos Matéria Prima Embalagens'!B:G,6,0)</f>
        <v>4.9399999999999995</v>
      </c>
      <c r="M350" s="209">
        <f t="shared" si="28"/>
        <v>14.819999999999999</v>
      </c>
      <c r="N350" s="209">
        <f t="shared" si="29"/>
        <v>0.02</v>
      </c>
    </row>
    <row r="351" spans="1:14" hidden="1">
      <c r="A351" s="129" t="s">
        <v>1251</v>
      </c>
      <c r="B351" s="129" t="s">
        <v>1252</v>
      </c>
      <c r="C351" s="129" t="s">
        <v>697</v>
      </c>
      <c r="D351" s="129" t="s">
        <v>1254</v>
      </c>
      <c r="E351" s="129" t="s">
        <v>1205</v>
      </c>
      <c r="F351" s="129" t="s">
        <v>1206</v>
      </c>
      <c r="G351" s="210">
        <v>2</v>
      </c>
      <c r="H351" s="211">
        <f t="shared" si="25"/>
        <v>1048.0999999999999</v>
      </c>
      <c r="I351" s="207">
        <f>IF(F351="CONCENTRADO SEMI BRILHO",G351/'De-Para'!$B$9,G351/VLOOKUP(B351,'De-Para'!A:B,2,0))</f>
        <v>1.5748031496062991</v>
      </c>
      <c r="J351" s="206">
        <f t="shared" si="26"/>
        <v>825.27559055118127</v>
      </c>
      <c r="K351" s="212">
        <f t="shared" si="27"/>
        <v>1.9082148649937985E-3</v>
      </c>
      <c r="L351" s="209">
        <f>VLOOKUP(E351,'Custos Matéria Prima Embalagens'!B:G,6,0)</f>
        <v>7.33</v>
      </c>
      <c r="M351" s="209">
        <f t="shared" si="28"/>
        <v>14.66</v>
      </c>
      <c r="N351" s="209">
        <f t="shared" si="29"/>
        <v>0.02</v>
      </c>
    </row>
    <row r="352" spans="1:14" hidden="1">
      <c r="A352" s="129" t="s">
        <v>1251</v>
      </c>
      <c r="B352" s="129" t="s">
        <v>1252</v>
      </c>
      <c r="C352" s="129" t="s">
        <v>697</v>
      </c>
      <c r="D352" s="129" t="s">
        <v>1254</v>
      </c>
      <c r="E352" s="129" t="s">
        <v>1207</v>
      </c>
      <c r="F352" s="129" t="s">
        <v>1208</v>
      </c>
      <c r="G352" s="210">
        <v>3</v>
      </c>
      <c r="H352" s="211">
        <f t="shared" si="25"/>
        <v>1048.0999999999999</v>
      </c>
      <c r="I352" s="207">
        <f>IF(F352="CONCENTRADO SEMI BRILHO",G352/'De-Para'!$B$9,G352/VLOOKUP(B352,'De-Para'!A:B,2,0))</f>
        <v>2.3622047244094486</v>
      </c>
      <c r="J352" s="206">
        <f t="shared" si="26"/>
        <v>825.27559055118127</v>
      </c>
      <c r="K352" s="212">
        <f t="shared" si="27"/>
        <v>2.8623222974906975E-3</v>
      </c>
      <c r="L352" s="209">
        <f>VLOOKUP(E352,'Custos Matéria Prima Embalagens'!B:G,6,0)</f>
        <v>6.8599999999999994</v>
      </c>
      <c r="M352" s="209">
        <f t="shared" si="28"/>
        <v>20.58</v>
      </c>
      <c r="N352" s="209">
        <f t="shared" si="29"/>
        <v>0.02</v>
      </c>
    </row>
    <row r="353" spans="1:14" hidden="1">
      <c r="A353" s="129" t="s">
        <v>1251</v>
      </c>
      <c r="B353" s="129" t="s">
        <v>1252</v>
      </c>
      <c r="C353" s="129" t="s">
        <v>697</v>
      </c>
      <c r="D353" s="129" t="s">
        <v>1254</v>
      </c>
      <c r="E353" s="129" t="s">
        <v>1209</v>
      </c>
      <c r="F353" s="129" t="s">
        <v>1210</v>
      </c>
      <c r="G353" s="210">
        <v>2.5</v>
      </c>
      <c r="H353" s="211">
        <f t="shared" si="25"/>
        <v>1048.0999999999999</v>
      </c>
      <c r="I353" s="207">
        <f>IF(F353="CONCENTRADO SEMI BRILHO",G353/'De-Para'!$B$9,G353/VLOOKUP(B353,'De-Para'!A:B,2,0))</f>
        <v>1.9685039370078741</v>
      </c>
      <c r="J353" s="206">
        <f t="shared" si="26"/>
        <v>825.27559055118127</v>
      </c>
      <c r="K353" s="212">
        <f t="shared" si="27"/>
        <v>2.3852685812422482E-3</v>
      </c>
      <c r="L353" s="209">
        <f>VLOOKUP(E353,'Custos Matéria Prima Embalagens'!B:G,6,0)</f>
        <v>7</v>
      </c>
      <c r="M353" s="209">
        <f t="shared" si="28"/>
        <v>17.5</v>
      </c>
      <c r="N353" s="209">
        <f t="shared" si="29"/>
        <v>0.02</v>
      </c>
    </row>
    <row r="354" spans="1:14" hidden="1">
      <c r="A354" s="129" t="s">
        <v>1251</v>
      </c>
      <c r="B354" s="129" t="s">
        <v>1252</v>
      </c>
      <c r="C354" s="129" t="s">
        <v>697</v>
      </c>
      <c r="D354" s="129" t="s">
        <v>1254</v>
      </c>
      <c r="E354" s="129" t="s">
        <v>1213</v>
      </c>
      <c r="F354" s="129" t="s">
        <v>1214</v>
      </c>
      <c r="G354" s="210">
        <v>10</v>
      </c>
      <c r="H354" s="211">
        <f t="shared" si="25"/>
        <v>1048.0999999999999</v>
      </c>
      <c r="I354" s="207">
        <f>IF(F354="CONCENTRADO SEMI BRILHO",G354/'De-Para'!$B$9,G354/VLOOKUP(B354,'De-Para'!A:B,2,0))</f>
        <v>7.8740157480314963</v>
      </c>
      <c r="J354" s="206">
        <f t="shared" si="26"/>
        <v>825.27559055118127</v>
      </c>
      <c r="K354" s="212">
        <f t="shared" si="27"/>
        <v>9.5410743249689928E-3</v>
      </c>
      <c r="L354" s="209">
        <f>VLOOKUP(E354,'Custos Matéria Prima Embalagens'!B:G,6,0)</f>
        <v>19.3</v>
      </c>
      <c r="M354" s="209">
        <f t="shared" si="28"/>
        <v>193</v>
      </c>
      <c r="N354" s="209">
        <f t="shared" si="29"/>
        <v>0.23</v>
      </c>
    </row>
    <row r="355" spans="1:14" hidden="1">
      <c r="A355" s="129" t="s">
        <v>1251</v>
      </c>
      <c r="B355" s="129" t="s">
        <v>1252</v>
      </c>
      <c r="C355" s="129" t="s">
        <v>697</v>
      </c>
      <c r="D355" s="129" t="s">
        <v>1254</v>
      </c>
      <c r="E355" s="129" t="s">
        <v>1227</v>
      </c>
      <c r="F355" s="129" t="s">
        <v>1228</v>
      </c>
      <c r="G355" s="210">
        <v>500</v>
      </c>
      <c r="H355" s="211">
        <f t="shared" si="25"/>
        <v>1048.0999999999999</v>
      </c>
      <c r="I355" s="207">
        <f>IF(F355="CONCENTRADO SEMI BRILHO",G355/'De-Para'!$B$9,G355/VLOOKUP(B355,'De-Para'!A:B,2,0))</f>
        <v>393.70078740157481</v>
      </c>
      <c r="J355" s="206">
        <f t="shared" si="26"/>
        <v>825.27559055118127</v>
      </c>
      <c r="K355" s="212">
        <f t="shared" si="27"/>
        <v>0.47705371624844961</v>
      </c>
      <c r="L355" s="209">
        <f>VLOOKUP(E355,'Custos Matéria Prima Embalagens'!B:G,6,0)</f>
        <v>1.520495555555555</v>
      </c>
      <c r="M355" s="209">
        <f t="shared" si="28"/>
        <v>760.24777777777751</v>
      </c>
      <c r="N355" s="209">
        <f t="shared" si="29"/>
        <v>0.92</v>
      </c>
    </row>
    <row r="356" spans="1:14" hidden="1">
      <c r="A356" s="129" t="s">
        <v>1251</v>
      </c>
      <c r="B356" s="129" t="s">
        <v>1252</v>
      </c>
      <c r="C356" s="129" t="s">
        <v>697</v>
      </c>
      <c r="D356" s="129" t="s">
        <v>1254</v>
      </c>
      <c r="E356" s="129" t="s">
        <v>1217</v>
      </c>
      <c r="F356" s="129" t="s">
        <v>1218</v>
      </c>
      <c r="G356" s="210">
        <v>100</v>
      </c>
      <c r="H356" s="211">
        <f t="shared" si="25"/>
        <v>1048.0999999999999</v>
      </c>
      <c r="I356" s="207">
        <f>IF(F356="CONCENTRADO SEMI BRILHO",G356/'De-Para'!$B$9,G356/VLOOKUP(B356,'De-Para'!A:B,2,0))</f>
        <v>78.740157480314963</v>
      </c>
      <c r="J356" s="206">
        <f t="shared" si="26"/>
        <v>825.27559055118127</v>
      </c>
      <c r="K356" s="212">
        <f t="shared" si="27"/>
        <v>9.5410743249689928E-2</v>
      </c>
      <c r="L356" s="209">
        <f>VLOOKUP(E356,'Custos Matéria Prima Embalagens'!B:G,6,0)</f>
        <v>8.43</v>
      </c>
      <c r="M356" s="209">
        <f t="shared" si="28"/>
        <v>843</v>
      </c>
      <c r="N356" s="209">
        <f t="shared" si="29"/>
        <v>1.02</v>
      </c>
    </row>
    <row r="357" spans="1:14" hidden="1">
      <c r="A357" s="129" t="s">
        <v>1251</v>
      </c>
      <c r="B357" s="129" t="s">
        <v>1252</v>
      </c>
      <c r="C357" s="129" t="s">
        <v>697</v>
      </c>
      <c r="D357" s="129" t="s">
        <v>1254</v>
      </c>
      <c r="E357" s="129" t="s">
        <v>1219</v>
      </c>
      <c r="F357" s="129" t="s">
        <v>1220</v>
      </c>
      <c r="G357" s="210">
        <v>5.5</v>
      </c>
      <c r="H357" s="211">
        <f t="shared" si="25"/>
        <v>1048.0999999999999</v>
      </c>
      <c r="I357" s="207">
        <f>IF(F357="CONCENTRADO SEMI BRILHO",G357/'De-Para'!$B$9,G357/VLOOKUP(B357,'De-Para'!A:B,2,0))</f>
        <v>4.3307086614173231</v>
      </c>
      <c r="J357" s="206">
        <f t="shared" si="26"/>
        <v>825.27559055118127</v>
      </c>
      <c r="K357" s="212">
        <f t="shared" si="27"/>
        <v>5.2475908787329457E-3</v>
      </c>
      <c r="L357" s="209">
        <f>VLOOKUP(E357,'Custos Matéria Prima Embalagens'!B:G,6,0)</f>
        <v>4.9800000000000004</v>
      </c>
      <c r="M357" s="209">
        <f t="shared" si="28"/>
        <v>27.39</v>
      </c>
      <c r="N357" s="209">
        <f t="shared" si="29"/>
        <v>0.03</v>
      </c>
    </row>
    <row r="358" spans="1:14" hidden="1">
      <c r="A358" s="129" t="s">
        <v>1251</v>
      </c>
      <c r="B358" s="129" t="s">
        <v>1252</v>
      </c>
      <c r="C358" s="129" t="s">
        <v>697</v>
      </c>
      <c r="D358" s="129" t="s">
        <v>1254</v>
      </c>
      <c r="E358" s="129" t="s">
        <v>1221</v>
      </c>
      <c r="F358" s="129" t="s">
        <v>1222</v>
      </c>
      <c r="G358" s="210">
        <v>14</v>
      </c>
      <c r="H358" s="211">
        <f t="shared" si="25"/>
        <v>1048.0999999999999</v>
      </c>
      <c r="I358" s="207">
        <f>IF(F358="CONCENTRADO SEMI BRILHO",G358/'De-Para'!$B$9,G358/VLOOKUP(B358,'De-Para'!A:B,2,0))</f>
        <v>11.023622047244094</v>
      </c>
      <c r="J358" s="206">
        <f t="shared" si="26"/>
        <v>825.27559055118127</v>
      </c>
      <c r="K358" s="212">
        <f t="shared" si="27"/>
        <v>1.3357504054956589E-2</v>
      </c>
      <c r="L358" s="209">
        <f>VLOOKUP(E358,'Custos Matéria Prima Embalagens'!B:G,6,0)</f>
        <v>7.9049999999999994</v>
      </c>
      <c r="M358" s="209">
        <f t="shared" si="28"/>
        <v>110.66999999999999</v>
      </c>
      <c r="N358" s="209">
        <f t="shared" si="29"/>
        <v>0.13</v>
      </c>
    </row>
    <row r="359" spans="1:14" hidden="1">
      <c r="A359" s="129" t="s">
        <v>1251</v>
      </c>
      <c r="B359" s="129" t="s">
        <v>1252</v>
      </c>
      <c r="C359" s="129" t="s">
        <v>697</v>
      </c>
      <c r="D359" s="129" t="s">
        <v>1254</v>
      </c>
      <c r="E359" s="129" t="s">
        <v>1229</v>
      </c>
      <c r="F359" s="129" t="s">
        <v>1230</v>
      </c>
      <c r="G359" s="210">
        <v>5</v>
      </c>
      <c r="H359" s="211">
        <f t="shared" si="25"/>
        <v>1048.0999999999999</v>
      </c>
      <c r="I359" s="207">
        <f>IF(F359="CONCENTRADO SEMI BRILHO",G359/'De-Para'!$B$9,G359/VLOOKUP(B359,'De-Para'!A:B,2,0))</f>
        <v>3.9370078740157481</v>
      </c>
      <c r="J359" s="206">
        <f t="shared" si="26"/>
        <v>825.27559055118127</v>
      </c>
      <c r="K359" s="212">
        <f t="shared" si="27"/>
        <v>4.7705371624844964E-3</v>
      </c>
      <c r="L359" s="209">
        <f>VLOOKUP(E359,'Custos Matéria Prima Embalagens'!B:G,6,0)</f>
        <v>19.22</v>
      </c>
      <c r="M359" s="209">
        <f t="shared" si="28"/>
        <v>96.1</v>
      </c>
      <c r="N359" s="209">
        <f t="shared" si="29"/>
        <v>0.12</v>
      </c>
    </row>
    <row r="360" spans="1:14" hidden="1">
      <c r="A360" s="129" t="s">
        <v>1251</v>
      </c>
      <c r="B360" s="129" t="s">
        <v>1252</v>
      </c>
      <c r="C360" s="129" t="s">
        <v>697</v>
      </c>
      <c r="D360" s="129" t="s">
        <v>1254</v>
      </c>
      <c r="E360" s="129" t="s">
        <v>1231</v>
      </c>
      <c r="F360" s="129" t="s">
        <v>1232</v>
      </c>
      <c r="G360" s="210">
        <v>0.5</v>
      </c>
      <c r="H360" s="211">
        <f t="shared" si="25"/>
        <v>1048.0999999999999</v>
      </c>
      <c r="I360" s="207">
        <f>IF(F360="CONCENTRADO SEMI BRILHO",G360/'De-Para'!$B$9,G360/VLOOKUP(B360,'De-Para'!A:B,2,0))</f>
        <v>0.39370078740157477</v>
      </c>
      <c r="J360" s="206">
        <f t="shared" si="26"/>
        <v>825.27559055118127</v>
      </c>
      <c r="K360" s="212">
        <f t="shared" si="27"/>
        <v>4.7705371624844962E-4</v>
      </c>
      <c r="L360" s="209">
        <f>VLOOKUP(E360,'Custos Matéria Prima Embalagens'!B:G,6,0)</f>
        <v>15.2</v>
      </c>
      <c r="M360" s="209">
        <f t="shared" si="28"/>
        <v>7.6</v>
      </c>
      <c r="N360" s="209">
        <f t="shared" si="29"/>
        <v>0.01</v>
      </c>
    </row>
    <row r="361" spans="1:14" hidden="1">
      <c r="A361" s="129" t="s">
        <v>1251</v>
      </c>
      <c r="B361" s="129" t="s">
        <v>1252</v>
      </c>
      <c r="C361" s="129" t="s">
        <v>697</v>
      </c>
      <c r="D361" s="129" t="s">
        <v>1254</v>
      </c>
      <c r="E361" s="129" t="s">
        <v>1233</v>
      </c>
      <c r="F361" s="129" t="s">
        <v>1234</v>
      </c>
      <c r="G361" s="210">
        <v>0.1</v>
      </c>
      <c r="H361" s="211">
        <f t="shared" si="25"/>
        <v>1048.0999999999999</v>
      </c>
      <c r="I361" s="207">
        <f>IF(F361="CONCENTRADO SEMI BRILHO",G361/'De-Para'!$B$9,G361/VLOOKUP(B361,'De-Para'!A:B,2,0))</f>
        <v>7.874015748031496E-2</v>
      </c>
      <c r="J361" s="206">
        <f t="shared" si="26"/>
        <v>825.27559055118127</v>
      </c>
      <c r="K361" s="212">
        <f t="shared" si="27"/>
        <v>9.5410743249689926E-5</v>
      </c>
      <c r="L361" s="209">
        <f>VLOOKUP(E361,'Custos Matéria Prima Embalagens'!B:G,6,0)</f>
        <v>31.93</v>
      </c>
      <c r="M361" s="209">
        <f t="shared" si="28"/>
        <v>3.1930000000000001</v>
      </c>
      <c r="N361" s="209">
        <f t="shared" si="29"/>
        <v>0</v>
      </c>
    </row>
    <row r="362" spans="1:14" hidden="1">
      <c r="A362" s="129" t="s">
        <v>1251</v>
      </c>
      <c r="B362" s="129" t="s">
        <v>1252</v>
      </c>
      <c r="C362" s="129" t="s">
        <v>700</v>
      </c>
      <c r="D362" s="129" t="s">
        <v>701</v>
      </c>
      <c r="E362" s="129" t="s">
        <v>1197</v>
      </c>
      <c r="F362" s="129" t="s">
        <v>1198</v>
      </c>
      <c r="G362" s="210">
        <v>400</v>
      </c>
      <c r="H362" s="211">
        <f t="shared" si="25"/>
        <v>1048.9000000000001</v>
      </c>
      <c r="I362" s="207">
        <f>IF(F362="CONCENTRADO SEMI BRILHO",G362/'De-Para'!$B$9,G362/VLOOKUP(B362,'De-Para'!A:B,2,0))</f>
        <v>314.96062992125985</v>
      </c>
      <c r="J362" s="206">
        <f t="shared" si="26"/>
        <v>825.90551181102376</v>
      </c>
      <c r="K362" s="212">
        <f t="shared" si="27"/>
        <v>0.38135189245876627</v>
      </c>
      <c r="L362" s="209">
        <f>VLOOKUP(E362,'Custos Matéria Prima Embalagens'!B:G,6,0)</f>
        <v>0</v>
      </c>
      <c r="M362" s="209">
        <f t="shared" si="28"/>
        <v>0</v>
      </c>
      <c r="N362" s="209">
        <f t="shared" si="29"/>
        <v>0</v>
      </c>
    </row>
    <row r="363" spans="1:14" hidden="1">
      <c r="A363" s="129" t="s">
        <v>1251</v>
      </c>
      <c r="B363" s="129" t="s">
        <v>1252</v>
      </c>
      <c r="C363" s="129" t="s">
        <v>700</v>
      </c>
      <c r="D363" s="129" t="s">
        <v>701</v>
      </c>
      <c r="E363" s="129" t="s">
        <v>1201</v>
      </c>
      <c r="F363" s="129" t="s">
        <v>1202</v>
      </c>
      <c r="G363" s="210">
        <v>2.5</v>
      </c>
      <c r="H363" s="211">
        <f t="shared" si="25"/>
        <v>1048.9000000000001</v>
      </c>
      <c r="I363" s="207">
        <f>IF(F363="CONCENTRADO SEMI BRILHO",G363/'De-Para'!$B$9,G363/VLOOKUP(B363,'De-Para'!A:B,2,0))</f>
        <v>1.9685039370078741</v>
      </c>
      <c r="J363" s="206">
        <f t="shared" si="26"/>
        <v>825.90551181102376</v>
      </c>
      <c r="K363" s="212">
        <f t="shared" si="27"/>
        <v>2.3834493278672895E-3</v>
      </c>
      <c r="L363" s="209">
        <f>VLOOKUP(E363,'Custos Matéria Prima Embalagens'!B:G,6,0)</f>
        <v>7.18</v>
      </c>
      <c r="M363" s="209">
        <f t="shared" si="28"/>
        <v>17.95</v>
      </c>
      <c r="N363" s="209">
        <f t="shared" si="29"/>
        <v>0.02</v>
      </c>
    </row>
    <row r="364" spans="1:14" hidden="1">
      <c r="A364" s="129" t="s">
        <v>1251</v>
      </c>
      <c r="B364" s="129" t="s">
        <v>1252</v>
      </c>
      <c r="C364" s="129" t="s">
        <v>700</v>
      </c>
      <c r="D364" s="129" t="s">
        <v>701</v>
      </c>
      <c r="E364" s="129" t="s">
        <v>1203</v>
      </c>
      <c r="F364" s="129" t="s">
        <v>1204</v>
      </c>
      <c r="G364" s="210">
        <v>3</v>
      </c>
      <c r="H364" s="211">
        <f t="shared" si="25"/>
        <v>1048.9000000000001</v>
      </c>
      <c r="I364" s="207">
        <f>IF(F364="CONCENTRADO SEMI BRILHO",G364/'De-Para'!$B$9,G364/VLOOKUP(B364,'De-Para'!A:B,2,0))</f>
        <v>2.3622047244094486</v>
      </c>
      <c r="J364" s="206">
        <f t="shared" si="26"/>
        <v>825.90551181102376</v>
      </c>
      <c r="K364" s="212">
        <f t="shared" si="27"/>
        <v>2.8601391934407472E-3</v>
      </c>
      <c r="L364" s="209">
        <f>VLOOKUP(E364,'Custos Matéria Prima Embalagens'!B:G,6,0)</f>
        <v>4.9399999999999995</v>
      </c>
      <c r="M364" s="209">
        <f t="shared" si="28"/>
        <v>14.819999999999999</v>
      </c>
      <c r="N364" s="209">
        <f t="shared" si="29"/>
        <v>0.02</v>
      </c>
    </row>
    <row r="365" spans="1:14" hidden="1">
      <c r="A365" s="129" t="s">
        <v>1251</v>
      </c>
      <c r="B365" s="129" t="s">
        <v>1252</v>
      </c>
      <c r="C365" s="129" t="s">
        <v>700</v>
      </c>
      <c r="D365" s="129" t="s">
        <v>701</v>
      </c>
      <c r="E365" s="129" t="s">
        <v>1205</v>
      </c>
      <c r="F365" s="129" t="s">
        <v>1206</v>
      </c>
      <c r="G365" s="210">
        <v>2</v>
      </c>
      <c r="H365" s="211">
        <f t="shared" si="25"/>
        <v>1048.9000000000001</v>
      </c>
      <c r="I365" s="207">
        <f>IF(F365="CONCENTRADO SEMI BRILHO",G365/'De-Para'!$B$9,G365/VLOOKUP(B365,'De-Para'!A:B,2,0))</f>
        <v>1.5748031496062991</v>
      </c>
      <c r="J365" s="206">
        <f t="shared" si="26"/>
        <v>825.90551181102376</v>
      </c>
      <c r="K365" s="212">
        <f t="shared" si="27"/>
        <v>1.9067594622938315E-3</v>
      </c>
      <c r="L365" s="209">
        <f>VLOOKUP(E365,'Custos Matéria Prima Embalagens'!B:G,6,0)</f>
        <v>7.33</v>
      </c>
      <c r="M365" s="209">
        <f t="shared" si="28"/>
        <v>14.66</v>
      </c>
      <c r="N365" s="209">
        <f t="shared" si="29"/>
        <v>0.02</v>
      </c>
    </row>
    <row r="366" spans="1:14" hidden="1">
      <c r="A366" s="129" t="s">
        <v>1251</v>
      </c>
      <c r="B366" s="129" t="s">
        <v>1252</v>
      </c>
      <c r="C366" s="129" t="s">
        <v>700</v>
      </c>
      <c r="D366" s="129" t="s">
        <v>701</v>
      </c>
      <c r="E366" s="129" t="s">
        <v>1207</v>
      </c>
      <c r="F366" s="129" t="s">
        <v>1208</v>
      </c>
      <c r="G366" s="210">
        <v>3</v>
      </c>
      <c r="H366" s="211">
        <f t="shared" si="25"/>
        <v>1048.9000000000001</v>
      </c>
      <c r="I366" s="207">
        <f>IF(F366="CONCENTRADO SEMI BRILHO",G366/'De-Para'!$B$9,G366/VLOOKUP(B366,'De-Para'!A:B,2,0))</f>
        <v>2.3622047244094486</v>
      </c>
      <c r="J366" s="206">
        <f t="shared" si="26"/>
        <v>825.90551181102376</v>
      </c>
      <c r="K366" s="212">
        <f t="shared" si="27"/>
        <v>2.8601391934407472E-3</v>
      </c>
      <c r="L366" s="209">
        <f>VLOOKUP(E366,'Custos Matéria Prima Embalagens'!B:G,6,0)</f>
        <v>6.8599999999999994</v>
      </c>
      <c r="M366" s="209">
        <f t="shared" si="28"/>
        <v>20.58</v>
      </c>
      <c r="N366" s="209">
        <f t="shared" si="29"/>
        <v>0.02</v>
      </c>
    </row>
    <row r="367" spans="1:14" hidden="1">
      <c r="A367" s="129" t="s">
        <v>1251</v>
      </c>
      <c r="B367" s="129" t="s">
        <v>1252</v>
      </c>
      <c r="C367" s="129" t="s">
        <v>700</v>
      </c>
      <c r="D367" s="129" t="s">
        <v>701</v>
      </c>
      <c r="E367" s="129" t="s">
        <v>1209</v>
      </c>
      <c r="F367" s="129" t="s">
        <v>1210</v>
      </c>
      <c r="G367" s="210">
        <v>2.5</v>
      </c>
      <c r="H367" s="211">
        <f t="shared" si="25"/>
        <v>1048.9000000000001</v>
      </c>
      <c r="I367" s="207">
        <f>IF(F367="CONCENTRADO SEMI BRILHO",G367/'De-Para'!$B$9,G367/VLOOKUP(B367,'De-Para'!A:B,2,0))</f>
        <v>1.9685039370078741</v>
      </c>
      <c r="J367" s="206">
        <f t="shared" si="26"/>
        <v>825.90551181102376</v>
      </c>
      <c r="K367" s="212">
        <f t="shared" si="27"/>
        <v>2.3834493278672895E-3</v>
      </c>
      <c r="L367" s="209">
        <f>VLOOKUP(E367,'Custos Matéria Prima Embalagens'!B:G,6,0)</f>
        <v>7</v>
      </c>
      <c r="M367" s="209">
        <f t="shared" si="28"/>
        <v>17.5</v>
      </c>
      <c r="N367" s="209">
        <f t="shared" si="29"/>
        <v>0.02</v>
      </c>
    </row>
    <row r="368" spans="1:14" hidden="1">
      <c r="A368" s="129" t="s">
        <v>1251</v>
      </c>
      <c r="B368" s="129" t="s">
        <v>1252</v>
      </c>
      <c r="C368" s="129" t="s">
        <v>700</v>
      </c>
      <c r="D368" s="129" t="s">
        <v>701</v>
      </c>
      <c r="E368" s="129" t="s">
        <v>1213</v>
      </c>
      <c r="F368" s="129" t="s">
        <v>1214</v>
      </c>
      <c r="G368" s="210">
        <v>10</v>
      </c>
      <c r="H368" s="211">
        <f t="shared" si="25"/>
        <v>1048.9000000000001</v>
      </c>
      <c r="I368" s="207">
        <f>IF(F368="CONCENTRADO SEMI BRILHO",G368/'De-Para'!$B$9,G368/VLOOKUP(B368,'De-Para'!A:B,2,0))</f>
        <v>7.8740157480314963</v>
      </c>
      <c r="J368" s="206">
        <f t="shared" si="26"/>
        <v>825.90551181102376</v>
      </c>
      <c r="K368" s="212">
        <f t="shared" si="27"/>
        <v>9.5337973114691579E-3</v>
      </c>
      <c r="L368" s="209">
        <f>VLOOKUP(E368,'Custos Matéria Prima Embalagens'!B:G,6,0)</f>
        <v>19.3</v>
      </c>
      <c r="M368" s="209">
        <f t="shared" si="28"/>
        <v>193</v>
      </c>
      <c r="N368" s="209">
        <f t="shared" si="29"/>
        <v>0.23</v>
      </c>
    </row>
    <row r="369" spans="1:14" hidden="1">
      <c r="A369" s="129" t="s">
        <v>1251</v>
      </c>
      <c r="B369" s="129" t="s">
        <v>1252</v>
      </c>
      <c r="C369" s="129" t="s">
        <v>700</v>
      </c>
      <c r="D369" s="129" t="s">
        <v>701</v>
      </c>
      <c r="E369" s="129" t="s">
        <v>1227</v>
      </c>
      <c r="F369" s="129" t="s">
        <v>1228</v>
      </c>
      <c r="G369" s="210">
        <v>500</v>
      </c>
      <c r="H369" s="211">
        <f t="shared" si="25"/>
        <v>1048.9000000000001</v>
      </c>
      <c r="I369" s="207">
        <f>IF(F369="CONCENTRADO SEMI BRILHO",G369/'De-Para'!$B$9,G369/VLOOKUP(B369,'De-Para'!A:B,2,0))</f>
        <v>393.70078740157481</v>
      </c>
      <c r="J369" s="206">
        <f t="shared" si="26"/>
        <v>825.90551181102376</v>
      </c>
      <c r="K369" s="212">
        <f t="shared" si="27"/>
        <v>0.47668986557345788</v>
      </c>
      <c r="L369" s="209">
        <f>VLOOKUP(E369,'Custos Matéria Prima Embalagens'!B:G,6,0)</f>
        <v>1.520495555555555</v>
      </c>
      <c r="M369" s="209">
        <f t="shared" si="28"/>
        <v>760.24777777777751</v>
      </c>
      <c r="N369" s="209">
        <f t="shared" si="29"/>
        <v>0.92</v>
      </c>
    </row>
    <row r="370" spans="1:14" hidden="1">
      <c r="A370" s="129" t="s">
        <v>1251</v>
      </c>
      <c r="B370" s="129" t="s">
        <v>1252</v>
      </c>
      <c r="C370" s="129" t="s">
        <v>700</v>
      </c>
      <c r="D370" s="129" t="s">
        <v>701</v>
      </c>
      <c r="E370" s="129" t="s">
        <v>1217</v>
      </c>
      <c r="F370" s="129" t="s">
        <v>1218</v>
      </c>
      <c r="G370" s="210">
        <v>100</v>
      </c>
      <c r="H370" s="211">
        <f t="shared" si="25"/>
        <v>1048.9000000000001</v>
      </c>
      <c r="I370" s="207">
        <f>IF(F370="CONCENTRADO SEMI BRILHO",G370/'De-Para'!$B$9,G370/VLOOKUP(B370,'De-Para'!A:B,2,0))</f>
        <v>78.740157480314963</v>
      </c>
      <c r="J370" s="206">
        <f t="shared" si="26"/>
        <v>825.90551181102376</v>
      </c>
      <c r="K370" s="212">
        <f t="shared" si="27"/>
        <v>9.5337973114691568E-2</v>
      </c>
      <c r="L370" s="209">
        <f>VLOOKUP(E370,'Custos Matéria Prima Embalagens'!B:G,6,0)</f>
        <v>8.43</v>
      </c>
      <c r="M370" s="209">
        <f t="shared" si="28"/>
        <v>843</v>
      </c>
      <c r="N370" s="209">
        <f t="shared" si="29"/>
        <v>1.02</v>
      </c>
    </row>
    <row r="371" spans="1:14" hidden="1">
      <c r="A371" s="129" t="s">
        <v>1251</v>
      </c>
      <c r="B371" s="129" t="s">
        <v>1252</v>
      </c>
      <c r="C371" s="129" t="s">
        <v>700</v>
      </c>
      <c r="D371" s="129" t="s">
        <v>701</v>
      </c>
      <c r="E371" s="129" t="s">
        <v>1219</v>
      </c>
      <c r="F371" s="129" t="s">
        <v>1220</v>
      </c>
      <c r="G371" s="210">
        <v>5.5</v>
      </c>
      <c r="H371" s="211">
        <f t="shared" si="25"/>
        <v>1048.9000000000001</v>
      </c>
      <c r="I371" s="207">
        <f>IF(F371="CONCENTRADO SEMI BRILHO",G371/'De-Para'!$B$9,G371/VLOOKUP(B371,'De-Para'!A:B,2,0))</f>
        <v>4.3307086614173231</v>
      </c>
      <c r="J371" s="206">
        <f t="shared" si="26"/>
        <v>825.90551181102376</v>
      </c>
      <c r="K371" s="212">
        <f t="shared" si="27"/>
        <v>5.2435885213080362E-3</v>
      </c>
      <c r="L371" s="209">
        <f>VLOOKUP(E371,'Custos Matéria Prima Embalagens'!B:G,6,0)</f>
        <v>4.9800000000000004</v>
      </c>
      <c r="M371" s="209">
        <f t="shared" si="28"/>
        <v>27.39</v>
      </c>
      <c r="N371" s="209">
        <f t="shared" si="29"/>
        <v>0.03</v>
      </c>
    </row>
    <row r="372" spans="1:14" hidden="1">
      <c r="A372" s="129" t="s">
        <v>1251</v>
      </c>
      <c r="B372" s="129" t="s">
        <v>1252</v>
      </c>
      <c r="C372" s="129" t="s">
        <v>700</v>
      </c>
      <c r="D372" s="129" t="s">
        <v>701</v>
      </c>
      <c r="E372" s="129" t="s">
        <v>1221</v>
      </c>
      <c r="F372" s="129" t="s">
        <v>1222</v>
      </c>
      <c r="G372" s="210">
        <v>14</v>
      </c>
      <c r="H372" s="211">
        <f t="shared" si="25"/>
        <v>1048.9000000000001</v>
      </c>
      <c r="I372" s="207">
        <f>IF(F372="CONCENTRADO SEMI BRILHO",G372/'De-Para'!$B$9,G372/VLOOKUP(B372,'De-Para'!A:B,2,0))</f>
        <v>11.023622047244094</v>
      </c>
      <c r="J372" s="206">
        <f t="shared" si="26"/>
        <v>825.90551181102376</v>
      </c>
      <c r="K372" s="212">
        <f t="shared" si="27"/>
        <v>1.334731623605682E-2</v>
      </c>
      <c r="L372" s="209">
        <f>VLOOKUP(E372,'Custos Matéria Prima Embalagens'!B:G,6,0)</f>
        <v>7.9049999999999994</v>
      </c>
      <c r="M372" s="209">
        <f t="shared" si="28"/>
        <v>110.66999999999999</v>
      </c>
      <c r="N372" s="209">
        <f t="shared" si="29"/>
        <v>0.13</v>
      </c>
    </row>
    <row r="373" spans="1:14" hidden="1">
      <c r="A373" s="129" t="s">
        <v>1251</v>
      </c>
      <c r="B373" s="129" t="s">
        <v>1252</v>
      </c>
      <c r="C373" s="129" t="s">
        <v>700</v>
      </c>
      <c r="D373" s="129" t="s">
        <v>701</v>
      </c>
      <c r="E373" s="129" t="s">
        <v>1229</v>
      </c>
      <c r="F373" s="129" t="s">
        <v>1230</v>
      </c>
      <c r="G373" s="210">
        <v>5</v>
      </c>
      <c r="H373" s="211">
        <f t="shared" si="25"/>
        <v>1048.9000000000001</v>
      </c>
      <c r="I373" s="207">
        <f>IF(F373="CONCENTRADO SEMI BRILHO",G373/'De-Para'!$B$9,G373/VLOOKUP(B373,'De-Para'!A:B,2,0))</f>
        <v>3.9370078740157481</v>
      </c>
      <c r="J373" s="206">
        <f t="shared" si="26"/>
        <v>825.90551181102376</v>
      </c>
      <c r="K373" s="212">
        <f t="shared" si="27"/>
        <v>4.7668986557345789E-3</v>
      </c>
      <c r="L373" s="209">
        <f>VLOOKUP(E373,'Custos Matéria Prima Embalagens'!B:G,6,0)</f>
        <v>19.22</v>
      </c>
      <c r="M373" s="209">
        <f t="shared" si="28"/>
        <v>96.1</v>
      </c>
      <c r="N373" s="209">
        <f t="shared" si="29"/>
        <v>0.12</v>
      </c>
    </row>
    <row r="374" spans="1:14" hidden="1">
      <c r="A374" s="129" t="s">
        <v>1251</v>
      </c>
      <c r="B374" s="129" t="s">
        <v>1252</v>
      </c>
      <c r="C374" s="129" t="s">
        <v>700</v>
      </c>
      <c r="D374" s="129" t="s">
        <v>701</v>
      </c>
      <c r="E374" s="129" t="s">
        <v>1231</v>
      </c>
      <c r="F374" s="129" t="s">
        <v>1232</v>
      </c>
      <c r="G374" s="210">
        <v>1.2</v>
      </c>
      <c r="H374" s="211">
        <f t="shared" si="25"/>
        <v>1048.9000000000001</v>
      </c>
      <c r="I374" s="207">
        <f>IF(F374="CONCENTRADO SEMI BRILHO",G374/'De-Para'!$B$9,G374/VLOOKUP(B374,'De-Para'!A:B,2,0))</f>
        <v>0.94488188976377951</v>
      </c>
      <c r="J374" s="206">
        <f t="shared" si="26"/>
        <v>825.90551181102376</v>
      </c>
      <c r="K374" s="212">
        <f t="shared" si="27"/>
        <v>1.1440556773762989E-3</v>
      </c>
      <c r="L374" s="209">
        <f>VLOOKUP(E374,'Custos Matéria Prima Embalagens'!B:G,6,0)</f>
        <v>15.2</v>
      </c>
      <c r="M374" s="209">
        <f t="shared" si="28"/>
        <v>18.239999999999998</v>
      </c>
      <c r="N374" s="209">
        <f t="shared" si="29"/>
        <v>0.02</v>
      </c>
    </row>
    <row r="375" spans="1:14" hidden="1">
      <c r="A375" s="129" t="s">
        <v>1251</v>
      </c>
      <c r="B375" s="129" t="s">
        <v>1252</v>
      </c>
      <c r="C375" s="129" t="s">
        <v>700</v>
      </c>
      <c r="D375" s="129" t="s">
        <v>701</v>
      </c>
      <c r="E375" s="129" t="s">
        <v>1233</v>
      </c>
      <c r="F375" s="129" t="s">
        <v>1234</v>
      </c>
      <c r="G375" s="210">
        <v>0.2</v>
      </c>
      <c r="H375" s="211">
        <f t="shared" si="25"/>
        <v>1048.9000000000001</v>
      </c>
      <c r="I375" s="207">
        <f>IF(F375="CONCENTRADO SEMI BRILHO",G375/'De-Para'!$B$9,G375/VLOOKUP(B375,'De-Para'!A:B,2,0))</f>
        <v>0.15748031496062992</v>
      </c>
      <c r="J375" s="206">
        <f t="shared" si="26"/>
        <v>825.90551181102376</v>
      </c>
      <c r="K375" s="212">
        <f t="shared" si="27"/>
        <v>1.9067594622938316E-4</v>
      </c>
      <c r="L375" s="209">
        <f>VLOOKUP(E375,'Custos Matéria Prima Embalagens'!B:G,6,0)</f>
        <v>31.93</v>
      </c>
      <c r="M375" s="209">
        <f t="shared" si="28"/>
        <v>6.3860000000000001</v>
      </c>
      <c r="N375" s="209">
        <f t="shared" si="29"/>
        <v>0.01</v>
      </c>
    </row>
    <row r="376" spans="1:14" hidden="1">
      <c r="A376" s="129" t="s">
        <v>1255</v>
      </c>
      <c r="B376" s="129" t="s">
        <v>1256</v>
      </c>
      <c r="C376" s="129" t="s">
        <v>952</v>
      </c>
      <c r="D376" s="129" t="s">
        <v>566</v>
      </c>
      <c r="E376" s="129" t="s">
        <v>1197</v>
      </c>
      <c r="F376" s="129" t="s">
        <v>1198</v>
      </c>
      <c r="G376" s="210">
        <v>200</v>
      </c>
      <c r="H376" s="211">
        <f t="shared" si="25"/>
        <v>836.7</v>
      </c>
      <c r="I376" s="207">
        <f>IF(F376="CONCENTRADO SEMI BRILHO",G376/'De-Para'!$B$9,G376/VLOOKUP(B376,'De-Para'!A:B,2,0))</f>
        <v>200</v>
      </c>
      <c r="J376" s="206">
        <f t="shared" si="26"/>
        <v>836.7</v>
      </c>
      <c r="K376" s="212">
        <f t="shared" si="27"/>
        <v>0.23903430142225407</v>
      </c>
      <c r="L376" s="209">
        <f>VLOOKUP(E376,'Custos Matéria Prima Embalagens'!B:G,6,0)</f>
        <v>0</v>
      </c>
      <c r="M376" s="209">
        <f t="shared" si="28"/>
        <v>0</v>
      </c>
      <c r="N376" s="209">
        <f t="shared" si="29"/>
        <v>0</v>
      </c>
    </row>
    <row r="377" spans="1:14" hidden="1">
      <c r="A377" s="129" t="s">
        <v>1255</v>
      </c>
      <c r="B377" s="129" t="s">
        <v>1256</v>
      </c>
      <c r="C377" s="129" t="s">
        <v>952</v>
      </c>
      <c r="D377" s="129" t="s">
        <v>566</v>
      </c>
      <c r="E377" s="129" t="s">
        <v>1199</v>
      </c>
      <c r="F377" s="129" t="s">
        <v>1200</v>
      </c>
      <c r="G377" s="210">
        <v>0.4</v>
      </c>
      <c r="H377" s="211">
        <f t="shared" si="25"/>
        <v>836.7</v>
      </c>
      <c r="I377" s="207">
        <f>IF(F377="CONCENTRADO SEMI BRILHO",G377/'De-Para'!$B$9,G377/VLOOKUP(B377,'De-Para'!A:B,2,0))</f>
        <v>0.4</v>
      </c>
      <c r="J377" s="206">
        <f t="shared" si="26"/>
        <v>836.7</v>
      </c>
      <c r="K377" s="212">
        <f t="shared" si="27"/>
        <v>4.780686028445082E-4</v>
      </c>
      <c r="L377" s="209">
        <f>VLOOKUP(E377,'Custos Matéria Prima Embalagens'!B:G,6,0)</f>
        <v>17.939999999999998</v>
      </c>
      <c r="M377" s="209">
        <f t="shared" si="28"/>
        <v>7.1759999999999993</v>
      </c>
      <c r="N377" s="209">
        <f t="shared" si="29"/>
        <v>0.01</v>
      </c>
    </row>
    <row r="378" spans="1:14" hidden="1">
      <c r="A378" s="129" t="s">
        <v>1255</v>
      </c>
      <c r="B378" s="129" t="s">
        <v>1256</v>
      </c>
      <c r="C378" s="129" t="s">
        <v>952</v>
      </c>
      <c r="D378" s="129" t="s">
        <v>566</v>
      </c>
      <c r="E378" s="129" t="s">
        <v>1257</v>
      </c>
      <c r="F378" s="129" t="s">
        <v>1258</v>
      </c>
      <c r="G378" s="210">
        <v>1.6</v>
      </c>
      <c r="H378" s="211">
        <f t="shared" si="25"/>
        <v>836.7</v>
      </c>
      <c r="I378" s="207">
        <f>IF(F378="CONCENTRADO SEMI BRILHO",G378/'De-Para'!$B$9,G378/VLOOKUP(B378,'De-Para'!A:B,2,0))</f>
        <v>1.6</v>
      </c>
      <c r="J378" s="206">
        <f t="shared" si="26"/>
        <v>836.7</v>
      </c>
      <c r="K378" s="212">
        <f t="shared" si="27"/>
        <v>1.9122744113780328E-3</v>
      </c>
      <c r="L378" s="209">
        <f>VLOOKUP(E378,'Custos Matéria Prima Embalagens'!B:G,6,0)</f>
        <v>11.7614232033819</v>
      </c>
      <c r="M378" s="209">
        <f t="shared" si="28"/>
        <v>18.81827712541104</v>
      </c>
      <c r="N378" s="209">
        <f t="shared" si="29"/>
        <v>0.02</v>
      </c>
    </row>
    <row r="379" spans="1:14" hidden="1">
      <c r="A379" s="129" t="s">
        <v>1255</v>
      </c>
      <c r="B379" s="129" t="s">
        <v>1256</v>
      </c>
      <c r="C379" s="129" t="s">
        <v>952</v>
      </c>
      <c r="D379" s="129" t="s">
        <v>566</v>
      </c>
      <c r="E379" s="129" t="s">
        <v>1203</v>
      </c>
      <c r="F379" s="129" t="s">
        <v>1204</v>
      </c>
      <c r="G379" s="210">
        <v>1.6</v>
      </c>
      <c r="H379" s="211">
        <f t="shared" si="25"/>
        <v>836.7</v>
      </c>
      <c r="I379" s="207">
        <f>IF(F379="CONCENTRADO SEMI BRILHO",G379/'De-Para'!$B$9,G379/VLOOKUP(B379,'De-Para'!A:B,2,0))</f>
        <v>1.6</v>
      </c>
      <c r="J379" s="206">
        <f t="shared" si="26"/>
        <v>836.7</v>
      </c>
      <c r="K379" s="212">
        <f t="shared" si="27"/>
        <v>1.9122744113780328E-3</v>
      </c>
      <c r="L379" s="209">
        <f>VLOOKUP(E379,'Custos Matéria Prima Embalagens'!B:G,6,0)</f>
        <v>4.9399999999999995</v>
      </c>
      <c r="M379" s="209">
        <f t="shared" si="28"/>
        <v>7.9039999999999999</v>
      </c>
      <c r="N379" s="209">
        <f t="shared" si="29"/>
        <v>0.01</v>
      </c>
    </row>
    <row r="380" spans="1:14" hidden="1">
      <c r="A380" s="129" t="s">
        <v>1255</v>
      </c>
      <c r="B380" s="129" t="s">
        <v>1256</v>
      </c>
      <c r="C380" s="129" t="s">
        <v>952</v>
      </c>
      <c r="D380" s="129" t="s">
        <v>566</v>
      </c>
      <c r="E380" s="129" t="s">
        <v>1205</v>
      </c>
      <c r="F380" s="129" t="s">
        <v>1206</v>
      </c>
      <c r="G380" s="210">
        <v>2.4</v>
      </c>
      <c r="H380" s="211">
        <f t="shared" si="25"/>
        <v>836.7</v>
      </c>
      <c r="I380" s="207">
        <f>IF(F380="CONCENTRADO SEMI BRILHO",G380/'De-Para'!$B$9,G380/VLOOKUP(B380,'De-Para'!A:B,2,0))</f>
        <v>2.4</v>
      </c>
      <c r="J380" s="206">
        <f t="shared" si="26"/>
        <v>836.7</v>
      </c>
      <c r="K380" s="212">
        <f t="shared" si="27"/>
        <v>2.8684116170670489E-3</v>
      </c>
      <c r="L380" s="209">
        <f>VLOOKUP(E380,'Custos Matéria Prima Embalagens'!B:G,6,0)</f>
        <v>7.33</v>
      </c>
      <c r="M380" s="209">
        <f t="shared" si="28"/>
        <v>17.591999999999999</v>
      </c>
      <c r="N380" s="209">
        <f t="shared" si="29"/>
        <v>0.02</v>
      </c>
    </row>
    <row r="381" spans="1:14" hidden="1">
      <c r="A381" s="129" t="s">
        <v>1255</v>
      </c>
      <c r="B381" s="129" t="s">
        <v>1256</v>
      </c>
      <c r="C381" s="129" t="s">
        <v>952</v>
      </c>
      <c r="D381" s="129" t="s">
        <v>566</v>
      </c>
      <c r="E381" s="129" t="s">
        <v>1207</v>
      </c>
      <c r="F381" s="129" t="s">
        <v>1208</v>
      </c>
      <c r="G381" s="210">
        <v>3.2</v>
      </c>
      <c r="H381" s="211">
        <f t="shared" si="25"/>
        <v>836.7</v>
      </c>
      <c r="I381" s="207">
        <f>IF(F381="CONCENTRADO SEMI BRILHO",G381/'De-Para'!$B$9,G381/VLOOKUP(B381,'De-Para'!A:B,2,0))</f>
        <v>3.2</v>
      </c>
      <c r="J381" s="206">
        <f t="shared" si="26"/>
        <v>836.7</v>
      </c>
      <c r="K381" s="212">
        <f t="shared" si="27"/>
        <v>3.8245488227560656E-3</v>
      </c>
      <c r="L381" s="209">
        <f>VLOOKUP(E381,'Custos Matéria Prima Embalagens'!B:G,6,0)</f>
        <v>6.8599999999999994</v>
      </c>
      <c r="M381" s="209">
        <f t="shared" si="28"/>
        <v>21.951999999999998</v>
      </c>
      <c r="N381" s="209">
        <f t="shared" si="29"/>
        <v>0.03</v>
      </c>
    </row>
    <row r="382" spans="1:14" hidden="1">
      <c r="A382" s="129" t="s">
        <v>1255</v>
      </c>
      <c r="B382" s="129" t="s">
        <v>1256</v>
      </c>
      <c r="C382" s="129" t="s">
        <v>952</v>
      </c>
      <c r="D382" s="129" t="s">
        <v>566</v>
      </c>
      <c r="E382" s="129" t="s">
        <v>1209</v>
      </c>
      <c r="F382" s="129" t="s">
        <v>1210</v>
      </c>
      <c r="G382" s="210">
        <v>2</v>
      </c>
      <c r="H382" s="211">
        <f t="shared" si="25"/>
        <v>836.7</v>
      </c>
      <c r="I382" s="207">
        <f>IF(F382="CONCENTRADO SEMI BRILHO",G382/'De-Para'!$B$9,G382/VLOOKUP(B382,'De-Para'!A:B,2,0))</f>
        <v>2</v>
      </c>
      <c r="J382" s="206">
        <f t="shared" si="26"/>
        <v>836.7</v>
      </c>
      <c r="K382" s="212">
        <f t="shared" si="27"/>
        <v>2.3903430142225407E-3</v>
      </c>
      <c r="L382" s="209">
        <f>VLOOKUP(E382,'Custos Matéria Prima Embalagens'!B:G,6,0)</f>
        <v>7</v>
      </c>
      <c r="M382" s="209">
        <f t="shared" si="28"/>
        <v>14</v>
      </c>
      <c r="N382" s="209">
        <f t="shared" si="29"/>
        <v>0.02</v>
      </c>
    </row>
    <row r="383" spans="1:14" hidden="1">
      <c r="A383" s="129" t="s">
        <v>1255</v>
      </c>
      <c r="B383" s="129" t="s">
        <v>1256</v>
      </c>
      <c r="C383" s="129" t="s">
        <v>952</v>
      </c>
      <c r="D383" s="129" t="s">
        <v>566</v>
      </c>
      <c r="E383" s="129" t="s">
        <v>1213</v>
      </c>
      <c r="F383" s="129" t="s">
        <v>1214</v>
      </c>
      <c r="G383" s="210">
        <v>100</v>
      </c>
      <c r="H383" s="211">
        <f t="shared" si="25"/>
        <v>836.7</v>
      </c>
      <c r="I383" s="207">
        <f>IF(F383="CONCENTRADO SEMI BRILHO",G383/'De-Para'!$B$9,G383/VLOOKUP(B383,'De-Para'!A:B,2,0))</f>
        <v>100</v>
      </c>
      <c r="J383" s="206">
        <f t="shared" si="26"/>
        <v>836.7</v>
      </c>
      <c r="K383" s="212">
        <f t="shared" si="27"/>
        <v>0.11951715071112703</v>
      </c>
      <c r="L383" s="209">
        <f>VLOOKUP(E383,'Custos Matéria Prima Embalagens'!B:G,6,0)</f>
        <v>19.3</v>
      </c>
      <c r="M383" s="209">
        <f t="shared" si="28"/>
        <v>1930</v>
      </c>
      <c r="N383" s="209">
        <f t="shared" si="29"/>
        <v>2.31</v>
      </c>
    </row>
    <row r="384" spans="1:14" hidden="1">
      <c r="A384" s="129" t="s">
        <v>1255</v>
      </c>
      <c r="B384" s="129" t="s">
        <v>1256</v>
      </c>
      <c r="C384" s="129" t="s">
        <v>952</v>
      </c>
      <c r="D384" s="129" t="s">
        <v>566</v>
      </c>
      <c r="E384" s="129" t="s">
        <v>1211</v>
      </c>
      <c r="F384" s="129" t="s">
        <v>1212</v>
      </c>
      <c r="G384" s="210">
        <v>150</v>
      </c>
      <c r="H384" s="211">
        <f t="shared" si="25"/>
        <v>836.7</v>
      </c>
      <c r="I384" s="207">
        <f>IF(F384="CONCENTRADO SEMI BRILHO",G384/'De-Para'!$B$9,G384/VLOOKUP(B384,'De-Para'!A:B,2,0))</f>
        <v>150</v>
      </c>
      <c r="J384" s="206">
        <f t="shared" si="26"/>
        <v>836.7</v>
      </c>
      <c r="K384" s="212">
        <f t="shared" si="27"/>
        <v>0.17927572606669057</v>
      </c>
      <c r="L384" s="209">
        <f>VLOOKUP(E384,'Custos Matéria Prima Embalagens'!B:G,6,0)</f>
        <v>3.09</v>
      </c>
      <c r="M384" s="209">
        <f t="shared" si="28"/>
        <v>463.5</v>
      </c>
      <c r="N384" s="209">
        <f t="shared" si="29"/>
        <v>0.55000000000000004</v>
      </c>
    </row>
    <row r="385" spans="1:14" hidden="1">
      <c r="A385" s="129" t="s">
        <v>1255</v>
      </c>
      <c r="B385" s="129" t="s">
        <v>1256</v>
      </c>
      <c r="C385" s="129" t="s">
        <v>952</v>
      </c>
      <c r="D385" s="129" t="s">
        <v>566</v>
      </c>
      <c r="E385" s="129" t="s">
        <v>1215</v>
      </c>
      <c r="F385" s="129" t="s">
        <v>1216</v>
      </c>
      <c r="G385" s="210">
        <v>50</v>
      </c>
      <c r="H385" s="211">
        <f t="shared" si="25"/>
        <v>836.7</v>
      </c>
      <c r="I385" s="207">
        <f>IF(F385="CONCENTRADO SEMI BRILHO",G385/'De-Para'!$B$9,G385/VLOOKUP(B385,'De-Para'!A:B,2,0))</f>
        <v>50</v>
      </c>
      <c r="J385" s="206">
        <f t="shared" si="26"/>
        <v>836.7</v>
      </c>
      <c r="K385" s="212">
        <f t="shared" si="27"/>
        <v>5.9758575355563517E-2</v>
      </c>
      <c r="L385" s="209">
        <f>VLOOKUP(E385,'Custos Matéria Prima Embalagens'!B:G,6,0)</f>
        <v>0.8</v>
      </c>
      <c r="M385" s="209">
        <f t="shared" si="28"/>
        <v>40</v>
      </c>
      <c r="N385" s="209">
        <f t="shared" si="29"/>
        <v>0.05</v>
      </c>
    </row>
    <row r="386" spans="1:14" hidden="1">
      <c r="A386" s="129" t="s">
        <v>1255</v>
      </c>
      <c r="B386" s="129" t="s">
        <v>1256</v>
      </c>
      <c r="C386" s="129" t="s">
        <v>952</v>
      </c>
      <c r="D386" s="129" t="s">
        <v>566</v>
      </c>
      <c r="E386" s="129" t="s">
        <v>1217</v>
      </c>
      <c r="F386" s="129" t="s">
        <v>1218</v>
      </c>
      <c r="G386" s="210">
        <v>40</v>
      </c>
      <c r="H386" s="211">
        <f t="shared" si="25"/>
        <v>836.7</v>
      </c>
      <c r="I386" s="207">
        <f>IF(F386="CONCENTRADO SEMI BRILHO",G386/'De-Para'!$B$9,G386/VLOOKUP(B386,'De-Para'!A:B,2,0))</f>
        <v>40</v>
      </c>
      <c r="J386" s="206">
        <f t="shared" si="26"/>
        <v>836.7</v>
      </c>
      <c r="K386" s="212">
        <f t="shared" si="27"/>
        <v>4.7806860284450817E-2</v>
      </c>
      <c r="L386" s="209">
        <f>VLOOKUP(E386,'Custos Matéria Prima Embalagens'!B:G,6,0)</f>
        <v>8.43</v>
      </c>
      <c r="M386" s="209">
        <f t="shared" si="28"/>
        <v>337.2</v>
      </c>
      <c r="N386" s="209">
        <f t="shared" si="29"/>
        <v>0.4</v>
      </c>
    </row>
    <row r="387" spans="1:14" hidden="1">
      <c r="A387" s="129" t="s">
        <v>1255</v>
      </c>
      <c r="B387" s="129" t="s">
        <v>1256</v>
      </c>
      <c r="C387" s="129" t="s">
        <v>952</v>
      </c>
      <c r="D387" s="129" t="s">
        <v>566</v>
      </c>
      <c r="E387" s="129" t="s">
        <v>1259</v>
      </c>
      <c r="F387" s="129" t="s">
        <v>1260</v>
      </c>
      <c r="G387" s="210">
        <v>240</v>
      </c>
      <c r="H387" s="211">
        <f t="shared" ref="H387:H450" si="30">SUMIFS(G:G,C:C,C387)</f>
        <v>836.7</v>
      </c>
      <c r="I387" s="207">
        <f>IF(F387="CONCENTRADO SEMI BRILHO",G387/'De-Para'!$B$9,G387/VLOOKUP(B387,'De-Para'!A:B,2,0))</f>
        <v>240</v>
      </c>
      <c r="J387" s="206">
        <f t="shared" ref="J387:J450" si="31">SUMIFS(I:I,C:C,C387)</f>
        <v>836.7</v>
      </c>
      <c r="K387" s="212">
        <f t="shared" ref="K387:K450" si="32">G387/H387</f>
        <v>0.28684116170670487</v>
      </c>
      <c r="L387" s="209">
        <f>VLOOKUP(E387,'Custos Matéria Prima Embalagens'!B:G,6,0)</f>
        <v>11.741423203381899</v>
      </c>
      <c r="M387" s="209">
        <f t="shared" ref="M387:M450" si="33">L387*G387</f>
        <v>2817.941568811656</v>
      </c>
      <c r="N387" s="209">
        <f t="shared" ref="N387:N450" si="34">IF(B387="CONCENTRADO",ROUND(M387/H387,2),ROUND(M387/J387,2))</f>
        <v>3.37</v>
      </c>
    </row>
    <row r="388" spans="1:14" hidden="1">
      <c r="A388" s="129" t="s">
        <v>1255</v>
      </c>
      <c r="B388" s="129" t="s">
        <v>1256</v>
      </c>
      <c r="C388" s="129" t="s">
        <v>952</v>
      </c>
      <c r="D388" s="129" t="s">
        <v>566</v>
      </c>
      <c r="E388" s="129" t="s">
        <v>1229</v>
      </c>
      <c r="F388" s="129" t="s">
        <v>1230</v>
      </c>
      <c r="G388" s="210">
        <v>8</v>
      </c>
      <c r="H388" s="211">
        <f t="shared" si="30"/>
        <v>836.7</v>
      </c>
      <c r="I388" s="207">
        <f>IF(F388="CONCENTRADO SEMI BRILHO",G388/'De-Para'!$B$9,G388/VLOOKUP(B388,'De-Para'!A:B,2,0))</f>
        <v>8</v>
      </c>
      <c r="J388" s="206">
        <f t="shared" si="31"/>
        <v>836.7</v>
      </c>
      <c r="K388" s="212">
        <f t="shared" si="32"/>
        <v>9.561372056890163E-3</v>
      </c>
      <c r="L388" s="209">
        <f>VLOOKUP(E388,'Custos Matéria Prima Embalagens'!B:G,6,0)</f>
        <v>19.22</v>
      </c>
      <c r="M388" s="209">
        <f t="shared" si="33"/>
        <v>153.76</v>
      </c>
      <c r="N388" s="209">
        <f t="shared" si="34"/>
        <v>0.18</v>
      </c>
    </row>
    <row r="389" spans="1:14" hidden="1">
      <c r="A389" s="129" t="s">
        <v>1255</v>
      </c>
      <c r="B389" s="129" t="s">
        <v>1256</v>
      </c>
      <c r="C389" s="129" t="s">
        <v>952</v>
      </c>
      <c r="D389" s="129" t="s">
        <v>566</v>
      </c>
      <c r="E389" s="129" t="s">
        <v>1261</v>
      </c>
      <c r="F389" s="129" t="s">
        <v>1262</v>
      </c>
      <c r="G389" s="210">
        <v>24</v>
      </c>
      <c r="H389" s="211">
        <f t="shared" si="30"/>
        <v>836.7</v>
      </c>
      <c r="I389" s="207">
        <f>IF(F389="CONCENTRADO SEMI BRILHO",G389/'De-Para'!$B$9,G389/VLOOKUP(B389,'De-Para'!A:B,2,0))</f>
        <v>24</v>
      </c>
      <c r="J389" s="206">
        <f t="shared" si="31"/>
        <v>836.7</v>
      </c>
      <c r="K389" s="212">
        <f t="shared" si="32"/>
        <v>2.8684116170670491E-2</v>
      </c>
      <c r="L389" s="209">
        <f>VLOOKUP(E389,'Custos Matéria Prima Embalagens'!B:G,6,0)</f>
        <v>31.4314232033819</v>
      </c>
      <c r="M389" s="209">
        <f t="shared" si="33"/>
        <v>754.35415688116564</v>
      </c>
      <c r="N389" s="209">
        <f t="shared" si="34"/>
        <v>0.9</v>
      </c>
    </row>
    <row r="390" spans="1:14" hidden="1">
      <c r="A390" s="129" t="s">
        <v>1255</v>
      </c>
      <c r="B390" s="129" t="s">
        <v>1256</v>
      </c>
      <c r="C390" s="129" t="s">
        <v>952</v>
      </c>
      <c r="D390" s="129" t="s">
        <v>566</v>
      </c>
      <c r="E390" s="129" t="s">
        <v>1219</v>
      </c>
      <c r="F390" s="129" t="s">
        <v>1220</v>
      </c>
      <c r="G390" s="210">
        <v>2.5</v>
      </c>
      <c r="H390" s="211">
        <f t="shared" si="30"/>
        <v>836.7</v>
      </c>
      <c r="I390" s="207">
        <f>IF(F390="CONCENTRADO SEMI BRILHO",G390/'De-Para'!$B$9,G390/VLOOKUP(B390,'De-Para'!A:B,2,0))</f>
        <v>2.5</v>
      </c>
      <c r="J390" s="206">
        <f t="shared" si="31"/>
        <v>836.7</v>
      </c>
      <c r="K390" s="212">
        <f t="shared" si="32"/>
        <v>2.987928767778176E-3</v>
      </c>
      <c r="L390" s="209">
        <f>VLOOKUP(E390,'Custos Matéria Prima Embalagens'!B:G,6,0)</f>
        <v>4.9800000000000004</v>
      </c>
      <c r="M390" s="209">
        <f t="shared" si="33"/>
        <v>12.450000000000001</v>
      </c>
      <c r="N390" s="209">
        <f t="shared" si="34"/>
        <v>0.01</v>
      </c>
    </row>
    <row r="391" spans="1:14" hidden="1">
      <c r="A391" s="129" t="s">
        <v>1255</v>
      </c>
      <c r="B391" s="129" t="s">
        <v>1256</v>
      </c>
      <c r="C391" s="129" t="s">
        <v>952</v>
      </c>
      <c r="D391" s="129" t="s">
        <v>566</v>
      </c>
      <c r="E391" s="129" t="s">
        <v>1221</v>
      </c>
      <c r="F391" s="129" t="s">
        <v>1222</v>
      </c>
      <c r="G391" s="210">
        <v>11</v>
      </c>
      <c r="H391" s="211">
        <f t="shared" si="30"/>
        <v>836.7</v>
      </c>
      <c r="I391" s="207">
        <f>IF(F391="CONCENTRADO SEMI BRILHO",G391/'De-Para'!$B$9,G391/VLOOKUP(B391,'De-Para'!A:B,2,0))</f>
        <v>11</v>
      </c>
      <c r="J391" s="206">
        <f t="shared" si="31"/>
        <v>836.7</v>
      </c>
      <c r="K391" s="212">
        <f t="shared" si="32"/>
        <v>1.3146886578223974E-2</v>
      </c>
      <c r="L391" s="209">
        <f>VLOOKUP(E391,'Custos Matéria Prima Embalagens'!B:G,6,0)</f>
        <v>7.9049999999999994</v>
      </c>
      <c r="M391" s="209">
        <f t="shared" si="33"/>
        <v>86.954999999999998</v>
      </c>
      <c r="N391" s="209">
        <f t="shared" si="34"/>
        <v>0.1</v>
      </c>
    </row>
    <row r="392" spans="1:14" hidden="1">
      <c r="A392" s="129" t="s">
        <v>1255</v>
      </c>
      <c r="B392" s="129" t="s">
        <v>1256</v>
      </c>
      <c r="C392" s="129" t="s">
        <v>954</v>
      </c>
      <c r="D392" s="129" t="s">
        <v>1254</v>
      </c>
      <c r="E392" s="129" t="s">
        <v>1197</v>
      </c>
      <c r="F392" s="129" t="s">
        <v>1198</v>
      </c>
      <c r="G392" s="210">
        <v>200</v>
      </c>
      <c r="H392" s="211">
        <f t="shared" si="30"/>
        <v>830.95</v>
      </c>
      <c r="I392" s="207">
        <f>IF(F392="CONCENTRADO SEMI BRILHO",G392/'De-Para'!$B$9,G392/VLOOKUP(B392,'De-Para'!A:B,2,0))</f>
        <v>200</v>
      </c>
      <c r="J392" s="206">
        <f t="shared" si="31"/>
        <v>830.95</v>
      </c>
      <c r="K392" s="212">
        <f t="shared" si="32"/>
        <v>0.24068836873458088</v>
      </c>
      <c r="L392" s="209">
        <f>VLOOKUP(E392,'Custos Matéria Prima Embalagens'!B:G,6,0)</f>
        <v>0</v>
      </c>
      <c r="M392" s="209">
        <f t="shared" si="33"/>
        <v>0</v>
      </c>
      <c r="N392" s="209">
        <f t="shared" si="34"/>
        <v>0</v>
      </c>
    </row>
    <row r="393" spans="1:14" hidden="1">
      <c r="A393" s="129" t="s">
        <v>1255</v>
      </c>
      <c r="B393" s="129" t="s">
        <v>1256</v>
      </c>
      <c r="C393" s="129" t="s">
        <v>954</v>
      </c>
      <c r="D393" s="129" t="s">
        <v>1254</v>
      </c>
      <c r="E393" s="129" t="s">
        <v>1199</v>
      </c>
      <c r="F393" s="129" t="s">
        <v>1200</v>
      </c>
      <c r="G393" s="210">
        <v>0.4</v>
      </c>
      <c r="H393" s="211">
        <f t="shared" si="30"/>
        <v>830.95</v>
      </c>
      <c r="I393" s="207">
        <f>IF(F393="CONCENTRADO SEMI BRILHO",G393/'De-Para'!$B$9,G393/VLOOKUP(B393,'De-Para'!A:B,2,0))</f>
        <v>0.4</v>
      </c>
      <c r="J393" s="206">
        <f t="shared" si="31"/>
        <v>830.95</v>
      </c>
      <c r="K393" s="212">
        <f t="shared" si="32"/>
        <v>4.8137673746916179E-4</v>
      </c>
      <c r="L393" s="209">
        <f>VLOOKUP(E393,'Custos Matéria Prima Embalagens'!B:G,6,0)</f>
        <v>17.939999999999998</v>
      </c>
      <c r="M393" s="209">
        <f t="shared" si="33"/>
        <v>7.1759999999999993</v>
      </c>
      <c r="N393" s="209">
        <f t="shared" si="34"/>
        <v>0.01</v>
      </c>
    </row>
    <row r="394" spans="1:14" hidden="1">
      <c r="A394" s="129" t="s">
        <v>1255</v>
      </c>
      <c r="B394" s="129" t="s">
        <v>1256</v>
      </c>
      <c r="C394" s="129" t="s">
        <v>954</v>
      </c>
      <c r="D394" s="129" t="s">
        <v>1254</v>
      </c>
      <c r="E394" s="129" t="s">
        <v>1257</v>
      </c>
      <c r="F394" s="129" t="s">
        <v>1258</v>
      </c>
      <c r="G394" s="210">
        <v>1.6</v>
      </c>
      <c r="H394" s="211">
        <f t="shared" si="30"/>
        <v>830.95</v>
      </c>
      <c r="I394" s="207">
        <f>IF(F394="CONCENTRADO SEMI BRILHO",G394/'De-Para'!$B$9,G394/VLOOKUP(B394,'De-Para'!A:B,2,0))</f>
        <v>1.6</v>
      </c>
      <c r="J394" s="206">
        <f t="shared" si="31"/>
        <v>830.95</v>
      </c>
      <c r="K394" s="212">
        <f t="shared" si="32"/>
        <v>1.9255069498766472E-3</v>
      </c>
      <c r="L394" s="209">
        <f>VLOOKUP(E394,'Custos Matéria Prima Embalagens'!B:G,6,0)</f>
        <v>11.7614232033819</v>
      </c>
      <c r="M394" s="209">
        <f t="shared" si="33"/>
        <v>18.81827712541104</v>
      </c>
      <c r="N394" s="209">
        <f t="shared" si="34"/>
        <v>0.02</v>
      </c>
    </row>
    <row r="395" spans="1:14" hidden="1">
      <c r="A395" s="129" t="s">
        <v>1255</v>
      </c>
      <c r="B395" s="129" t="s">
        <v>1256</v>
      </c>
      <c r="C395" s="129" t="s">
        <v>954</v>
      </c>
      <c r="D395" s="129" t="s">
        <v>1254</v>
      </c>
      <c r="E395" s="129" t="s">
        <v>1203</v>
      </c>
      <c r="F395" s="129" t="s">
        <v>1204</v>
      </c>
      <c r="G395" s="210">
        <v>1.6</v>
      </c>
      <c r="H395" s="211">
        <f t="shared" si="30"/>
        <v>830.95</v>
      </c>
      <c r="I395" s="207">
        <f>IF(F395="CONCENTRADO SEMI BRILHO",G395/'De-Para'!$B$9,G395/VLOOKUP(B395,'De-Para'!A:B,2,0))</f>
        <v>1.6</v>
      </c>
      <c r="J395" s="206">
        <f t="shared" si="31"/>
        <v>830.95</v>
      </c>
      <c r="K395" s="212">
        <f t="shared" si="32"/>
        <v>1.9255069498766472E-3</v>
      </c>
      <c r="L395" s="209">
        <f>VLOOKUP(E395,'Custos Matéria Prima Embalagens'!B:G,6,0)</f>
        <v>4.9399999999999995</v>
      </c>
      <c r="M395" s="209">
        <f t="shared" si="33"/>
        <v>7.9039999999999999</v>
      </c>
      <c r="N395" s="209">
        <f t="shared" si="34"/>
        <v>0.01</v>
      </c>
    </row>
    <row r="396" spans="1:14" hidden="1">
      <c r="A396" s="129" t="s">
        <v>1255</v>
      </c>
      <c r="B396" s="129" t="s">
        <v>1256</v>
      </c>
      <c r="C396" s="129" t="s">
        <v>954</v>
      </c>
      <c r="D396" s="129" t="s">
        <v>1254</v>
      </c>
      <c r="E396" s="129" t="s">
        <v>1205</v>
      </c>
      <c r="F396" s="129" t="s">
        <v>1206</v>
      </c>
      <c r="G396" s="210">
        <v>2.4</v>
      </c>
      <c r="H396" s="211">
        <f t="shared" si="30"/>
        <v>830.95</v>
      </c>
      <c r="I396" s="207">
        <f>IF(F396="CONCENTRADO SEMI BRILHO",G396/'De-Para'!$B$9,G396/VLOOKUP(B396,'De-Para'!A:B,2,0))</f>
        <v>2.4</v>
      </c>
      <c r="J396" s="206">
        <f t="shared" si="31"/>
        <v>830.95</v>
      </c>
      <c r="K396" s="212">
        <f t="shared" si="32"/>
        <v>2.8882604248149707E-3</v>
      </c>
      <c r="L396" s="209">
        <f>VLOOKUP(E396,'Custos Matéria Prima Embalagens'!B:G,6,0)</f>
        <v>7.33</v>
      </c>
      <c r="M396" s="209">
        <f t="shared" si="33"/>
        <v>17.591999999999999</v>
      </c>
      <c r="N396" s="209">
        <f t="shared" si="34"/>
        <v>0.02</v>
      </c>
    </row>
    <row r="397" spans="1:14" hidden="1">
      <c r="A397" s="129" t="s">
        <v>1255</v>
      </c>
      <c r="B397" s="129" t="s">
        <v>1256</v>
      </c>
      <c r="C397" s="129" t="s">
        <v>954</v>
      </c>
      <c r="D397" s="129" t="s">
        <v>1254</v>
      </c>
      <c r="E397" s="129" t="s">
        <v>1207</v>
      </c>
      <c r="F397" s="129" t="s">
        <v>1208</v>
      </c>
      <c r="G397" s="210">
        <v>3.2</v>
      </c>
      <c r="H397" s="211">
        <f t="shared" si="30"/>
        <v>830.95</v>
      </c>
      <c r="I397" s="207">
        <f>IF(F397="CONCENTRADO SEMI BRILHO",G397/'De-Para'!$B$9,G397/VLOOKUP(B397,'De-Para'!A:B,2,0))</f>
        <v>3.2</v>
      </c>
      <c r="J397" s="206">
        <f t="shared" si="31"/>
        <v>830.95</v>
      </c>
      <c r="K397" s="212">
        <f t="shared" si="32"/>
        <v>3.8510138997532944E-3</v>
      </c>
      <c r="L397" s="209">
        <f>VLOOKUP(E397,'Custos Matéria Prima Embalagens'!B:G,6,0)</f>
        <v>6.8599999999999994</v>
      </c>
      <c r="M397" s="209">
        <f t="shared" si="33"/>
        <v>21.951999999999998</v>
      </c>
      <c r="N397" s="209">
        <f t="shared" si="34"/>
        <v>0.03</v>
      </c>
    </row>
    <row r="398" spans="1:14" hidden="1">
      <c r="A398" s="129" t="s">
        <v>1255</v>
      </c>
      <c r="B398" s="129" t="s">
        <v>1256</v>
      </c>
      <c r="C398" s="129" t="s">
        <v>954</v>
      </c>
      <c r="D398" s="129" t="s">
        <v>1254</v>
      </c>
      <c r="E398" s="129" t="s">
        <v>1209</v>
      </c>
      <c r="F398" s="129" t="s">
        <v>1210</v>
      </c>
      <c r="G398" s="210">
        <v>2</v>
      </c>
      <c r="H398" s="211">
        <f t="shared" si="30"/>
        <v>830.95</v>
      </c>
      <c r="I398" s="207">
        <f>IF(F398="CONCENTRADO SEMI BRILHO",G398/'De-Para'!$B$9,G398/VLOOKUP(B398,'De-Para'!A:B,2,0))</f>
        <v>2</v>
      </c>
      <c r="J398" s="206">
        <f t="shared" si="31"/>
        <v>830.95</v>
      </c>
      <c r="K398" s="212">
        <f t="shared" si="32"/>
        <v>2.406883687345809E-3</v>
      </c>
      <c r="L398" s="209">
        <f>VLOOKUP(E398,'Custos Matéria Prima Embalagens'!B:G,6,0)</f>
        <v>7</v>
      </c>
      <c r="M398" s="209">
        <f t="shared" si="33"/>
        <v>14</v>
      </c>
      <c r="N398" s="209">
        <f t="shared" si="34"/>
        <v>0.02</v>
      </c>
    </row>
    <row r="399" spans="1:14" hidden="1">
      <c r="A399" s="129" t="s">
        <v>1255</v>
      </c>
      <c r="B399" s="129" t="s">
        <v>1256</v>
      </c>
      <c r="C399" s="129" t="s">
        <v>954</v>
      </c>
      <c r="D399" s="129" t="s">
        <v>1254</v>
      </c>
      <c r="E399" s="129" t="s">
        <v>1213</v>
      </c>
      <c r="F399" s="129" t="s">
        <v>1214</v>
      </c>
      <c r="G399" s="210">
        <v>50</v>
      </c>
      <c r="H399" s="211">
        <f t="shared" si="30"/>
        <v>830.95</v>
      </c>
      <c r="I399" s="207">
        <f>IF(F399="CONCENTRADO SEMI BRILHO",G399/'De-Para'!$B$9,G399/VLOOKUP(B399,'De-Para'!A:B,2,0))</f>
        <v>50</v>
      </c>
      <c r="J399" s="206">
        <f t="shared" si="31"/>
        <v>830.95</v>
      </c>
      <c r="K399" s="212">
        <f t="shared" si="32"/>
        <v>6.017209218364522E-2</v>
      </c>
      <c r="L399" s="209">
        <f>VLOOKUP(E399,'Custos Matéria Prima Embalagens'!B:G,6,0)</f>
        <v>19.3</v>
      </c>
      <c r="M399" s="209">
        <f t="shared" si="33"/>
        <v>965</v>
      </c>
      <c r="N399" s="209">
        <f t="shared" si="34"/>
        <v>1.1599999999999999</v>
      </c>
    </row>
    <row r="400" spans="1:14" hidden="1">
      <c r="A400" s="129" t="s">
        <v>1255</v>
      </c>
      <c r="B400" s="129" t="s">
        <v>1256</v>
      </c>
      <c r="C400" s="129" t="s">
        <v>954</v>
      </c>
      <c r="D400" s="129" t="s">
        <v>1254</v>
      </c>
      <c r="E400" s="129" t="s">
        <v>1211</v>
      </c>
      <c r="F400" s="129" t="s">
        <v>1212</v>
      </c>
      <c r="G400" s="210">
        <v>150</v>
      </c>
      <c r="H400" s="211">
        <f t="shared" si="30"/>
        <v>830.95</v>
      </c>
      <c r="I400" s="207">
        <f>IF(F400="CONCENTRADO SEMI BRILHO",G400/'De-Para'!$B$9,G400/VLOOKUP(B400,'De-Para'!A:B,2,0))</f>
        <v>150</v>
      </c>
      <c r="J400" s="206">
        <f t="shared" si="31"/>
        <v>830.95</v>
      </c>
      <c r="K400" s="212">
        <f t="shared" si="32"/>
        <v>0.18051627655093566</v>
      </c>
      <c r="L400" s="209">
        <f>VLOOKUP(E400,'Custos Matéria Prima Embalagens'!B:G,6,0)</f>
        <v>3.09</v>
      </c>
      <c r="M400" s="209">
        <f t="shared" si="33"/>
        <v>463.5</v>
      </c>
      <c r="N400" s="209">
        <f t="shared" si="34"/>
        <v>0.56000000000000005</v>
      </c>
    </row>
    <row r="401" spans="1:14" hidden="1">
      <c r="A401" s="129" t="s">
        <v>1255</v>
      </c>
      <c r="B401" s="129" t="s">
        <v>1256</v>
      </c>
      <c r="C401" s="129" t="s">
        <v>954</v>
      </c>
      <c r="D401" s="129" t="s">
        <v>1254</v>
      </c>
      <c r="E401" s="129" t="s">
        <v>1215</v>
      </c>
      <c r="F401" s="129" t="s">
        <v>1216</v>
      </c>
      <c r="G401" s="210">
        <v>100</v>
      </c>
      <c r="H401" s="211">
        <f t="shared" si="30"/>
        <v>830.95</v>
      </c>
      <c r="I401" s="207">
        <f>IF(F401="CONCENTRADO SEMI BRILHO",G401/'De-Para'!$B$9,G401/VLOOKUP(B401,'De-Para'!A:B,2,0))</f>
        <v>100</v>
      </c>
      <c r="J401" s="206">
        <f t="shared" si="31"/>
        <v>830.95</v>
      </c>
      <c r="K401" s="212">
        <f t="shared" si="32"/>
        <v>0.12034418436729044</v>
      </c>
      <c r="L401" s="209">
        <f>VLOOKUP(E401,'Custos Matéria Prima Embalagens'!B:G,6,0)</f>
        <v>0.8</v>
      </c>
      <c r="M401" s="209">
        <f t="shared" si="33"/>
        <v>80</v>
      </c>
      <c r="N401" s="209">
        <f t="shared" si="34"/>
        <v>0.1</v>
      </c>
    </row>
    <row r="402" spans="1:14" hidden="1">
      <c r="A402" s="129" t="s">
        <v>1255</v>
      </c>
      <c r="B402" s="129" t="s">
        <v>1256</v>
      </c>
      <c r="C402" s="129" t="s">
        <v>954</v>
      </c>
      <c r="D402" s="129" t="s">
        <v>1254</v>
      </c>
      <c r="E402" s="129" t="s">
        <v>1217</v>
      </c>
      <c r="F402" s="129" t="s">
        <v>1218</v>
      </c>
      <c r="G402" s="210">
        <v>40</v>
      </c>
      <c r="H402" s="211">
        <f t="shared" si="30"/>
        <v>830.95</v>
      </c>
      <c r="I402" s="207">
        <f>IF(F402="CONCENTRADO SEMI BRILHO",G402/'De-Para'!$B$9,G402/VLOOKUP(B402,'De-Para'!A:B,2,0))</f>
        <v>40</v>
      </c>
      <c r="J402" s="206">
        <f t="shared" si="31"/>
        <v>830.95</v>
      </c>
      <c r="K402" s="212">
        <f t="shared" si="32"/>
        <v>4.8137673746916181E-2</v>
      </c>
      <c r="L402" s="209">
        <f>VLOOKUP(E402,'Custos Matéria Prima Embalagens'!B:G,6,0)</f>
        <v>8.43</v>
      </c>
      <c r="M402" s="209">
        <f t="shared" si="33"/>
        <v>337.2</v>
      </c>
      <c r="N402" s="209">
        <f t="shared" si="34"/>
        <v>0.41</v>
      </c>
    </row>
    <row r="403" spans="1:14" hidden="1">
      <c r="A403" s="129" t="s">
        <v>1255</v>
      </c>
      <c r="B403" s="129" t="s">
        <v>1256</v>
      </c>
      <c r="C403" s="129" t="s">
        <v>954</v>
      </c>
      <c r="D403" s="129" t="s">
        <v>1254</v>
      </c>
      <c r="E403" s="129" t="s">
        <v>1259</v>
      </c>
      <c r="F403" s="129" t="s">
        <v>1260</v>
      </c>
      <c r="G403" s="210">
        <v>240</v>
      </c>
      <c r="H403" s="211">
        <f t="shared" si="30"/>
        <v>830.95</v>
      </c>
      <c r="I403" s="207">
        <f>IF(F403="CONCENTRADO SEMI BRILHO",G403/'De-Para'!$B$9,G403/VLOOKUP(B403,'De-Para'!A:B,2,0))</f>
        <v>240</v>
      </c>
      <c r="J403" s="206">
        <f t="shared" si="31"/>
        <v>830.95</v>
      </c>
      <c r="K403" s="212">
        <f t="shared" si="32"/>
        <v>0.28882604248149707</v>
      </c>
      <c r="L403" s="209">
        <f>VLOOKUP(E403,'Custos Matéria Prima Embalagens'!B:G,6,0)</f>
        <v>11.741423203381899</v>
      </c>
      <c r="M403" s="209">
        <f t="shared" si="33"/>
        <v>2817.941568811656</v>
      </c>
      <c r="N403" s="209">
        <f t="shared" si="34"/>
        <v>3.39</v>
      </c>
    </row>
    <row r="404" spans="1:14" hidden="1">
      <c r="A404" s="129" t="s">
        <v>1255</v>
      </c>
      <c r="B404" s="129" t="s">
        <v>1256</v>
      </c>
      <c r="C404" s="129" t="s">
        <v>954</v>
      </c>
      <c r="D404" s="129" t="s">
        <v>1254</v>
      </c>
      <c r="E404" s="129" t="s">
        <v>1261</v>
      </c>
      <c r="F404" s="129" t="s">
        <v>1262</v>
      </c>
      <c r="G404" s="210">
        <v>24</v>
      </c>
      <c r="H404" s="211">
        <f t="shared" si="30"/>
        <v>830.95</v>
      </c>
      <c r="I404" s="207">
        <f>IF(F404="CONCENTRADO SEMI BRILHO",G404/'De-Para'!$B$9,G404/VLOOKUP(B404,'De-Para'!A:B,2,0))</f>
        <v>24</v>
      </c>
      <c r="J404" s="206">
        <f t="shared" si="31"/>
        <v>830.95</v>
      </c>
      <c r="K404" s="212">
        <f t="shared" si="32"/>
        <v>2.8882604248149705E-2</v>
      </c>
      <c r="L404" s="209">
        <f>VLOOKUP(E404,'Custos Matéria Prima Embalagens'!B:G,6,0)</f>
        <v>31.4314232033819</v>
      </c>
      <c r="M404" s="209">
        <f t="shared" si="33"/>
        <v>754.35415688116564</v>
      </c>
      <c r="N404" s="209">
        <f t="shared" si="34"/>
        <v>0.91</v>
      </c>
    </row>
    <row r="405" spans="1:14" hidden="1">
      <c r="A405" s="129" t="s">
        <v>1255</v>
      </c>
      <c r="B405" s="129" t="s">
        <v>1256</v>
      </c>
      <c r="C405" s="129" t="s">
        <v>954</v>
      </c>
      <c r="D405" s="129" t="s">
        <v>1254</v>
      </c>
      <c r="E405" s="129" t="s">
        <v>1219</v>
      </c>
      <c r="F405" s="129" t="s">
        <v>1220</v>
      </c>
      <c r="G405" s="210">
        <v>2.5</v>
      </c>
      <c r="H405" s="211">
        <f t="shared" si="30"/>
        <v>830.95</v>
      </c>
      <c r="I405" s="207">
        <f>IF(F405="CONCENTRADO SEMI BRILHO",G405/'De-Para'!$B$9,G405/VLOOKUP(B405,'De-Para'!A:B,2,0))</f>
        <v>2.5</v>
      </c>
      <c r="J405" s="206">
        <f t="shared" si="31"/>
        <v>830.95</v>
      </c>
      <c r="K405" s="212">
        <f t="shared" si="32"/>
        <v>3.0086046091822613E-3</v>
      </c>
      <c r="L405" s="209">
        <f>VLOOKUP(E405,'Custos Matéria Prima Embalagens'!B:G,6,0)</f>
        <v>4.9800000000000004</v>
      </c>
      <c r="M405" s="209">
        <f t="shared" si="33"/>
        <v>12.450000000000001</v>
      </c>
      <c r="N405" s="209">
        <f t="shared" si="34"/>
        <v>0.01</v>
      </c>
    </row>
    <row r="406" spans="1:14" hidden="1">
      <c r="A406" s="129" t="s">
        <v>1255</v>
      </c>
      <c r="B406" s="129" t="s">
        <v>1256</v>
      </c>
      <c r="C406" s="129" t="s">
        <v>954</v>
      </c>
      <c r="D406" s="129" t="s">
        <v>1254</v>
      </c>
      <c r="E406" s="129" t="s">
        <v>1221</v>
      </c>
      <c r="F406" s="129" t="s">
        <v>1222</v>
      </c>
      <c r="G406" s="210">
        <v>11</v>
      </c>
      <c r="H406" s="211">
        <f t="shared" si="30"/>
        <v>830.95</v>
      </c>
      <c r="I406" s="207">
        <f>IF(F406="CONCENTRADO SEMI BRILHO",G406/'De-Para'!$B$9,G406/VLOOKUP(B406,'De-Para'!A:B,2,0))</f>
        <v>11</v>
      </c>
      <c r="J406" s="206">
        <f t="shared" si="31"/>
        <v>830.95</v>
      </c>
      <c r="K406" s="212">
        <f t="shared" si="32"/>
        <v>1.3237860280401949E-2</v>
      </c>
      <c r="L406" s="209">
        <f>VLOOKUP(E406,'Custos Matéria Prima Embalagens'!B:G,6,0)</f>
        <v>7.9049999999999994</v>
      </c>
      <c r="M406" s="209">
        <f t="shared" si="33"/>
        <v>86.954999999999998</v>
      </c>
      <c r="N406" s="209">
        <f t="shared" si="34"/>
        <v>0.1</v>
      </c>
    </row>
    <row r="407" spans="1:14" hidden="1">
      <c r="A407" s="129" t="s">
        <v>1255</v>
      </c>
      <c r="B407" s="129" t="s">
        <v>1256</v>
      </c>
      <c r="C407" s="129" t="s">
        <v>954</v>
      </c>
      <c r="D407" s="129" t="s">
        <v>1254</v>
      </c>
      <c r="E407" s="129" t="s">
        <v>1233</v>
      </c>
      <c r="F407" s="129" t="s">
        <v>1234</v>
      </c>
      <c r="G407" s="210">
        <v>0.25</v>
      </c>
      <c r="H407" s="211">
        <f t="shared" si="30"/>
        <v>830.95</v>
      </c>
      <c r="I407" s="207">
        <f>IF(F407="CONCENTRADO SEMI BRILHO",G407/'De-Para'!$B$9,G407/VLOOKUP(B407,'De-Para'!A:B,2,0))</f>
        <v>0.25</v>
      </c>
      <c r="J407" s="206">
        <f t="shared" si="31"/>
        <v>830.95</v>
      </c>
      <c r="K407" s="212">
        <f t="shared" si="32"/>
        <v>3.0086046091822613E-4</v>
      </c>
      <c r="L407" s="209">
        <f>VLOOKUP(E407,'Custos Matéria Prima Embalagens'!B:G,6,0)</f>
        <v>31.93</v>
      </c>
      <c r="M407" s="209">
        <f t="shared" si="33"/>
        <v>7.9824999999999999</v>
      </c>
      <c r="N407" s="209">
        <f t="shared" si="34"/>
        <v>0.01</v>
      </c>
    </row>
    <row r="408" spans="1:14" hidden="1">
      <c r="A408" s="129" t="s">
        <v>1255</v>
      </c>
      <c r="B408" s="129" t="s">
        <v>1256</v>
      </c>
      <c r="C408" s="129" t="s">
        <v>954</v>
      </c>
      <c r="D408" s="129" t="s">
        <v>1254</v>
      </c>
      <c r="E408" s="129" t="s">
        <v>1231</v>
      </c>
      <c r="F408" s="129" t="s">
        <v>1232</v>
      </c>
      <c r="G408" s="210">
        <v>2</v>
      </c>
      <c r="H408" s="211">
        <f t="shared" si="30"/>
        <v>830.95</v>
      </c>
      <c r="I408" s="207">
        <f>IF(F408="CONCENTRADO SEMI BRILHO",G408/'De-Para'!$B$9,G408/VLOOKUP(B408,'De-Para'!A:B,2,0))</f>
        <v>2</v>
      </c>
      <c r="J408" s="206">
        <f t="shared" si="31"/>
        <v>830.95</v>
      </c>
      <c r="K408" s="212">
        <f t="shared" si="32"/>
        <v>2.406883687345809E-3</v>
      </c>
      <c r="L408" s="209">
        <f>VLOOKUP(E408,'Custos Matéria Prima Embalagens'!B:G,6,0)</f>
        <v>15.2</v>
      </c>
      <c r="M408" s="209">
        <f t="shared" si="33"/>
        <v>30.4</v>
      </c>
      <c r="N408" s="209">
        <f t="shared" si="34"/>
        <v>0.04</v>
      </c>
    </row>
    <row r="409" spans="1:14" hidden="1">
      <c r="A409" s="129" t="s">
        <v>1255</v>
      </c>
      <c r="B409" s="129" t="s">
        <v>1256</v>
      </c>
      <c r="C409" s="129" t="s">
        <v>958</v>
      </c>
      <c r="D409" s="129" t="s">
        <v>1263</v>
      </c>
      <c r="E409" s="129" t="s">
        <v>1197</v>
      </c>
      <c r="F409" s="129" t="s">
        <v>1198</v>
      </c>
      <c r="G409" s="210">
        <v>200</v>
      </c>
      <c r="H409" s="211">
        <f t="shared" si="30"/>
        <v>764.7</v>
      </c>
      <c r="I409" s="207">
        <f>IF(F409="CONCENTRADO SEMI BRILHO",G409/'De-Para'!$B$9,G409/VLOOKUP(B409,'De-Para'!A:B,2,0))</f>
        <v>200</v>
      </c>
      <c r="J409" s="206">
        <f t="shared" si="31"/>
        <v>764.7</v>
      </c>
      <c r="K409" s="212">
        <f t="shared" si="32"/>
        <v>0.26154047338825681</v>
      </c>
      <c r="L409" s="209">
        <f>VLOOKUP(E409,'Custos Matéria Prima Embalagens'!B:G,6,0)</f>
        <v>0</v>
      </c>
      <c r="M409" s="209">
        <f t="shared" si="33"/>
        <v>0</v>
      </c>
      <c r="N409" s="209">
        <f t="shared" si="34"/>
        <v>0</v>
      </c>
    </row>
    <row r="410" spans="1:14" hidden="1">
      <c r="A410" s="129" t="s">
        <v>1255</v>
      </c>
      <c r="B410" s="129" t="s">
        <v>1256</v>
      </c>
      <c r="C410" s="129" t="s">
        <v>958</v>
      </c>
      <c r="D410" s="129" t="s">
        <v>1263</v>
      </c>
      <c r="E410" s="129" t="s">
        <v>1199</v>
      </c>
      <c r="F410" s="129" t="s">
        <v>1200</v>
      </c>
      <c r="G410" s="210">
        <v>0.4</v>
      </c>
      <c r="H410" s="211">
        <f t="shared" si="30"/>
        <v>764.7</v>
      </c>
      <c r="I410" s="207">
        <f>IF(F410="CONCENTRADO SEMI BRILHO",G410/'De-Para'!$B$9,G410/VLOOKUP(B410,'De-Para'!A:B,2,0))</f>
        <v>0.4</v>
      </c>
      <c r="J410" s="206">
        <f t="shared" si="31"/>
        <v>764.7</v>
      </c>
      <c r="K410" s="212">
        <f t="shared" si="32"/>
        <v>5.2308094677651362E-4</v>
      </c>
      <c r="L410" s="209">
        <f>VLOOKUP(E410,'Custos Matéria Prima Embalagens'!B:G,6,0)</f>
        <v>17.939999999999998</v>
      </c>
      <c r="M410" s="209">
        <f t="shared" si="33"/>
        <v>7.1759999999999993</v>
      </c>
      <c r="N410" s="209">
        <f t="shared" si="34"/>
        <v>0.01</v>
      </c>
    </row>
    <row r="411" spans="1:14" hidden="1">
      <c r="A411" s="129" t="s">
        <v>1255</v>
      </c>
      <c r="B411" s="129" t="s">
        <v>1256</v>
      </c>
      <c r="C411" s="129" t="s">
        <v>958</v>
      </c>
      <c r="D411" s="129" t="s">
        <v>1263</v>
      </c>
      <c r="E411" s="129" t="s">
        <v>1257</v>
      </c>
      <c r="F411" s="129" t="s">
        <v>1258</v>
      </c>
      <c r="G411" s="210">
        <v>1.6</v>
      </c>
      <c r="H411" s="211">
        <f t="shared" si="30"/>
        <v>764.7</v>
      </c>
      <c r="I411" s="207">
        <f>IF(F411="CONCENTRADO SEMI BRILHO",G411/'De-Para'!$B$9,G411/VLOOKUP(B411,'De-Para'!A:B,2,0))</f>
        <v>1.6</v>
      </c>
      <c r="J411" s="206">
        <f t="shared" si="31"/>
        <v>764.7</v>
      </c>
      <c r="K411" s="212">
        <f t="shared" si="32"/>
        <v>2.0923237871060545E-3</v>
      </c>
      <c r="L411" s="209">
        <f>VLOOKUP(E411,'Custos Matéria Prima Embalagens'!B:G,6,0)</f>
        <v>11.7614232033819</v>
      </c>
      <c r="M411" s="209">
        <f t="shared" si="33"/>
        <v>18.81827712541104</v>
      </c>
      <c r="N411" s="209">
        <f t="shared" si="34"/>
        <v>0.02</v>
      </c>
    </row>
    <row r="412" spans="1:14" hidden="1">
      <c r="A412" s="129" t="s">
        <v>1255</v>
      </c>
      <c r="B412" s="129" t="s">
        <v>1256</v>
      </c>
      <c r="C412" s="129" t="s">
        <v>958</v>
      </c>
      <c r="D412" s="129" t="s">
        <v>1263</v>
      </c>
      <c r="E412" s="129" t="s">
        <v>1203</v>
      </c>
      <c r="F412" s="129" t="s">
        <v>1204</v>
      </c>
      <c r="G412" s="210">
        <v>1.6</v>
      </c>
      <c r="H412" s="211">
        <f t="shared" si="30"/>
        <v>764.7</v>
      </c>
      <c r="I412" s="207">
        <f>IF(F412="CONCENTRADO SEMI BRILHO",G412/'De-Para'!$B$9,G412/VLOOKUP(B412,'De-Para'!A:B,2,0))</f>
        <v>1.6</v>
      </c>
      <c r="J412" s="206">
        <f t="shared" si="31"/>
        <v>764.7</v>
      </c>
      <c r="K412" s="212">
        <f t="shared" si="32"/>
        <v>2.0923237871060545E-3</v>
      </c>
      <c r="L412" s="209">
        <f>VLOOKUP(E412,'Custos Matéria Prima Embalagens'!B:G,6,0)</f>
        <v>4.9399999999999995</v>
      </c>
      <c r="M412" s="209">
        <f t="shared" si="33"/>
        <v>7.9039999999999999</v>
      </c>
      <c r="N412" s="209">
        <f t="shared" si="34"/>
        <v>0.01</v>
      </c>
    </row>
    <row r="413" spans="1:14" hidden="1">
      <c r="A413" s="129" t="s">
        <v>1255</v>
      </c>
      <c r="B413" s="129" t="s">
        <v>1256</v>
      </c>
      <c r="C413" s="129" t="s">
        <v>958</v>
      </c>
      <c r="D413" s="129" t="s">
        <v>1263</v>
      </c>
      <c r="E413" s="129" t="s">
        <v>1205</v>
      </c>
      <c r="F413" s="129" t="s">
        <v>1206</v>
      </c>
      <c r="G413" s="210">
        <v>2.4</v>
      </c>
      <c r="H413" s="211">
        <f t="shared" si="30"/>
        <v>764.7</v>
      </c>
      <c r="I413" s="207">
        <f>IF(F413="CONCENTRADO SEMI BRILHO",G413/'De-Para'!$B$9,G413/VLOOKUP(B413,'De-Para'!A:B,2,0))</f>
        <v>2.4</v>
      </c>
      <c r="J413" s="206">
        <f t="shared" si="31"/>
        <v>764.7</v>
      </c>
      <c r="K413" s="212">
        <f t="shared" si="32"/>
        <v>3.1384856806590815E-3</v>
      </c>
      <c r="L413" s="209">
        <f>VLOOKUP(E413,'Custos Matéria Prima Embalagens'!B:G,6,0)</f>
        <v>7.33</v>
      </c>
      <c r="M413" s="209">
        <f t="shared" si="33"/>
        <v>17.591999999999999</v>
      </c>
      <c r="N413" s="209">
        <f t="shared" si="34"/>
        <v>0.02</v>
      </c>
    </row>
    <row r="414" spans="1:14" hidden="1">
      <c r="A414" s="129" t="s">
        <v>1255</v>
      </c>
      <c r="B414" s="129" t="s">
        <v>1256</v>
      </c>
      <c r="C414" s="129" t="s">
        <v>958</v>
      </c>
      <c r="D414" s="129" t="s">
        <v>1263</v>
      </c>
      <c r="E414" s="129" t="s">
        <v>1207</v>
      </c>
      <c r="F414" s="129" t="s">
        <v>1208</v>
      </c>
      <c r="G414" s="210">
        <v>3.2</v>
      </c>
      <c r="H414" s="211">
        <f t="shared" si="30"/>
        <v>764.7</v>
      </c>
      <c r="I414" s="207">
        <f>IF(F414="CONCENTRADO SEMI BRILHO",G414/'De-Para'!$B$9,G414/VLOOKUP(B414,'De-Para'!A:B,2,0))</f>
        <v>3.2</v>
      </c>
      <c r="J414" s="206">
        <f t="shared" si="31"/>
        <v>764.7</v>
      </c>
      <c r="K414" s="212">
        <f t="shared" si="32"/>
        <v>4.184647574212109E-3</v>
      </c>
      <c r="L414" s="209">
        <f>VLOOKUP(E414,'Custos Matéria Prima Embalagens'!B:G,6,0)</f>
        <v>6.8599999999999994</v>
      </c>
      <c r="M414" s="209">
        <f t="shared" si="33"/>
        <v>21.951999999999998</v>
      </c>
      <c r="N414" s="209">
        <f t="shared" si="34"/>
        <v>0.03</v>
      </c>
    </row>
    <row r="415" spans="1:14" hidden="1">
      <c r="A415" s="129" t="s">
        <v>1255</v>
      </c>
      <c r="B415" s="129" t="s">
        <v>1256</v>
      </c>
      <c r="C415" s="129" t="s">
        <v>958</v>
      </c>
      <c r="D415" s="129" t="s">
        <v>1263</v>
      </c>
      <c r="E415" s="129" t="s">
        <v>1209</v>
      </c>
      <c r="F415" s="129" t="s">
        <v>1210</v>
      </c>
      <c r="G415" s="210">
        <v>2</v>
      </c>
      <c r="H415" s="211">
        <f t="shared" si="30"/>
        <v>764.7</v>
      </c>
      <c r="I415" s="207">
        <f>IF(F415="CONCENTRADO SEMI BRILHO",G415/'De-Para'!$B$9,G415/VLOOKUP(B415,'De-Para'!A:B,2,0))</f>
        <v>2</v>
      </c>
      <c r="J415" s="206">
        <f t="shared" si="31"/>
        <v>764.7</v>
      </c>
      <c r="K415" s="212">
        <f t="shared" si="32"/>
        <v>2.615404733882568E-3</v>
      </c>
      <c r="L415" s="209">
        <f>VLOOKUP(E415,'Custos Matéria Prima Embalagens'!B:G,6,0)</f>
        <v>7</v>
      </c>
      <c r="M415" s="209">
        <f t="shared" si="33"/>
        <v>14</v>
      </c>
      <c r="N415" s="209">
        <f t="shared" si="34"/>
        <v>0.02</v>
      </c>
    </row>
    <row r="416" spans="1:14" hidden="1">
      <c r="A416" s="129" t="s">
        <v>1255</v>
      </c>
      <c r="B416" s="129" t="s">
        <v>1256</v>
      </c>
      <c r="C416" s="129" t="s">
        <v>958</v>
      </c>
      <c r="D416" s="129" t="s">
        <v>1263</v>
      </c>
      <c r="E416" s="129" t="s">
        <v>1213</v>
      </c>
      <c r="F416" s="129" t="s">
        <v>1214</v>
      </c>
      <c r="G416" s="210">
        <v>10</v>
      </c>
      <c r="H416" s="211">
        <f t="shared" si="30"/>
        <v>764.7</v>
      </c>
      <c r="I416" s="207">
        <f>IF(F416="CONCENTRADO SEMI BRILHO",G416/'De-Para'!$B$9,G416/VLOOKUP(B416,'De-Para'!A:B,2,0))</f>
        <v>10</v>
      </c>
      <c r="J416" s="206">
        <f t="shared" si="31"/>
        <v>764.7</v>
      </c>
      <c r="K416" s="212">
        <f t="shared" si="32"/>
        <v>1.3077023669412841E-2</v>
      </c>
      <c r="L416" s="209">
        <f>VLOOKUP(E416,'Custos Matéria Prima Embalagens'!B:G,6,0)</f>
        <v>19.3</v>
      </c>
      <c r="M416" s="209">
        <f t="shared" si="33"/>
        <v>193</v>
      </c>
      <c r="N416" s="209">
        <f t="shared" si="34"/>
        <v>0.25</v>
      </c>
    </row>
    <row r="417" spans="1:14" hidden="1">
      <c r="A417" s="129" t="s">
        <v>1255</v>
      </c>
      <c r="B417" s="129" t="s">
        <v>1256</v>
      </c>
      <c r="C417" s="129" t="s">
        <v>958</v>
      </c>
      <c r="D417" s="129" t="s">
        <v>1263</v>
      </c>
      <c r="E417" s="129" t="s">
        <v>1211</v>
      </c>
      <c r="F417" s="129" t="s">
        <v>1212</v>
      </c>
      <c r="G417" s="210">
        <v>100</v>
      </c>
      <c r="H417" s="211">
        <f t="shared" si="30"/>
        <v>764.7</v>
      </c>
      <c r="I417" s="207">
        <f>IF(F417="CONCENTRADO SEMI BRILHO",G417/'De-Para'!$B$9,G417/VLOOKUP(B417,'De-Para'!A:B,2,0))</f>
        <v>100</v>
      </c>
      <c r="J417" s="206">
        <f t="shared" si="31"/>
        <v>764.7</v>
      </c>
      <c r="K417" s="212">
        <f t="shared" si="32"/>
        <v>0.13077023669412841</v>
      </c>
      <c r="L417" s="209">
        <f>VLOOKUP(E417,'Custos Matéria Prima Embalagens'!B:G,6,0)</f>
        <v>3.09</v>
      </c>
      <c r="M417" s="209">
        <f t="shared" si="33"/>
        <v>309</v>
      </c>
      <c r="N417" s="209">
        <f t="shared" si="34"/>
        <v>0.4</v>
      </c>
    </row>
    <row r="418" spans="1:14" hidden="1">
      <c r="A418" s="129" t="s">
        <v>1255</v>
      </c>
      <c r="B418" s="129" t="s">
        <v>1256</v>
      </c>
      <c r="C418" s="129" t="s">
        <v>958</v>
      </c>
      <c r="D418" s="129" t="s">
        <v>1263</v>
      </c>
      <c r="E418" s="129" t="s">
        <v>1215</v>
      </c>
      <c r="F418" s="129" t="s">
        <v>1216</v>
      </c>
      <c r="G418" s="210">
        <v>100</v>
      </c>
      <c r="H418" s="211">
        <f t="shared" si="30"/>
        <v>764.7</v>
      </c>
      <c r="I418" s="207">
        <f>IF(F418="CONCENTRADO SEMI BRILHO",G418/'De-Para'!$B$9,G418/VLOOKUP(B418,'De-Para'!A:B,2,0))</f>
        <v>100</v>
      </c>
      <c r="J418" s="206">
        <f t="shared" si="31"/>
        <v>764.7</v>
      </c>
      <c r="K418" s="212">
        <f t="shared" si="32"/>
        <v>0.13077023669412841</v>
      </c>
      <c r="L418" s="209">
        <f>VLOOKUP(E418,'Custos Matéria Prima Embalagens'!B:G,6,0)</f>
        <v>0.8</v>
      </c>
      <c r="M418" s="209">
        <f t="shared" si="33"/>
        <v>80</v>
      </c>
      <c r="N418" s="209">
        <f t="shared" si="34"/>
        <v>0.1</v>
      </c>
    </row>
    <row r="419" spans="1:14" hidden="1">
      <c r="A419" s="129" t="s">
        <v>1255</v>
      </c>
      <c r="B419" s="129" t="s">
        <v>1256</v>
      </c>
      <c r="C419" s="129" t="s">
        <v>958</v>
      </c>
      <c r="D419" s="129" t="s">
        <v>1263</v>
      </c>
      <c r="E419" s="129" t="s">
        <v>1217</v>
      </c>
      <c r="F419" s="129" t="s">
        <v>1218</v>
      </c>
      <c r="G419" s="210">
        <v>40</v>
      </c>
      <c r="H419" s="211">
        <f t="shared" si="30"/>
        <v>764.7</v>
      </c>
      <c r="I419" s="207">
        <f>IF(F419="CONCENTRADO SEMI BRILHO",G419/'De-Para'!$B$9,G419/VLOOKUP(B419,'De-Para'!A:B,2,0))</f>
        <v>40</v>
      </c>
      <c r="J419" s="206">
        <f t="shared" si="31"/>
        <v>764.7</v>
      </c>
      <c r="K419" s="212">
        <f t="shared" si="32"/>
        <v>5.2308094677651365E-2</v>
      </c>
      <c r="L419" s="209">
        <f>VLOOKUP(E419,'Custos Matéria Prima Embalagens'!B:G,6,0)</f>
        <v>8.43</v>
      </c>
      <c r="M419" s="209">
        <f t="shared" si="33"/>
        <v>337.2</v>
      </c>
      <c r="N419" s="209">
        <f t="shared" si="34"/>
        <v>0.44</v>
      </c>
    </row>
    <row r="420" spans="1:14" hidden="1">
      <c r="A420" s="129" t="s">
        <v>1255</v>
      </c>
      <c r="B420" s="129" t="s">
        <v>1256</v>
      </c>
      <c r="C420" s="129" t="s">
        <v>958</v>
      </c>
      <c r="D420" s="129" t="s">
        <v>1263</v>
      </c>
      <c r="E420" s="129" t="s">
        <v>1259</v>
      </c>
      <c r="F420" s="129" t="s">
        <v>1260</v>
      </c>
      <c r="G420" s="210">
        <v>240</v>
      </c>
      <c r="H420" s="211">
        <f t="shared" si="30"/>
        <v>764.7</v>
      </c>
      <c r="I420" s="207">
        <f>IF(F420="CONCENTRADO SEMI BRILHO",G420/'De-Para'!$B$9,G420/VLOOKUP(B420,'De-Para'!A:B,2,0))</f>
        <v>240</v>
      </c>
      <c r="J420" s="206">
        <f t="shared" si="31"/>
        <v>764.7</v>
      </c>
      <c r="K420" s="212">
        <f t="shared" si="32"/>
        <v>0.31384856806590816</v>
      </c>
      <c r="L420" s="209">
        <f>VLOOKUP(E420,'Custos Matéria Prima Embalagens'!B:G,6,0)</f>
        <v>11.741423203381899</v>
      </c>
      <c r="M420" s="209">
        <f t="shared" si="33"/>
        <v>2817.941568811656</v>
      </c>
      <c r="N420" s="209">
        <f t="shared" si="34"/>
        <v>3.69</v>
      </c>
    </row>
    <row r="421" spans="1:14" hidden="1">
      <c r="A421" s="129" t="s">
        <v>1255</v>
      </c>
      <c r="B421" s="129" t="s">
        <v>1256</v>
      </c>
      <c r="C421" s="129" t="s">
        <v>958</v>
      </c>
      <c r="D421" s="129" t="s">
        <v>1263</v>
      </c>
      <c r="E421" s="129" t="s">
        <v>1229</v>
      </c>
      <c r="F421" s="129" t="s">
        <v>1230</v>
      </c>
      <c r="G421" s="210">
        <v>8</v>
      </c>
      <c r="H421" s="211">
        <f t="shared" si="30"/>
        <v>764.7</v>
      </c>
      <c r="I421" s="207">
        <f>IF(F421="CONCENTRADO SEMI BRILHO",G421/'De-Para'!$B$9,G421/VLOOKUP(B421,'De-Para'!A:B,2,0))</f>
        <v>8</v>
      </c>
      <c r="J421" s="206">
        <f t="shared" si="31"/>
        <v>764.7</v>
      </c>
      <c r="K421" s="212">
        <f t="shared" si="32"/>
        <v>1.0461618935530272E-2</v>
      </c>
      <c r="L421" s="209">
        <f>VLOOKUP(E421,'Custos Matéria Prima Embalagens'!B:G,6,0)</f>
        <v>19.22</v>
      </c>
      <c r="M421" s="209">
        <f t="shared" si="33"/>
        <v>153.76</v>
      </c>
      <c r="N421" s="209">
        <f t="shared" si="34"/>
        <v>0.2</v>
      </c>
    </row>
    <row r="422" spans="1:14" hidden="1">
      <c r="A422" s="129" t="s">
        <v>1255</v>
      </c>
      <c r="B422" s="129" t="s">
        <v>1256</v>
      </c>
      <c r="C422" s="129" t="s">
        <v>958</v>
      </c>
      <c r="D422" s="129" t="s">
        <v>1263</v>
      </c>
      <c r="E422" s="129" t="s">
        <v>1261</v>
      </c>
      <c r="F422" s="129" t="s">
        <v>1262</v>
      </c>
      <c r="G422" s="210">
        <v>24</v>
      </c>
      <c r="H422" s="211">
        <f t="shared" si="30"/>
        <v>764.7</v>
      </c>
      <c r="I422" s="207">
        <f>IF(F422="CONCENTRADO SEMI BRILHO",G422/'De-Para'!$B$9,G422/VLOOKUP(B422,'De-Para'!A:B,2,0))</f>
        <v>24</v>
      </c>
      <c r="J422" s="206">
        <f t="shared" si="31"/>
        <v>764.7</v>
      </c>
      <c r="K422" s="212">
        <f t="shared" si="32"/>
        <v>3.1384856806590818E-2</v>
      </c>
      <c r="L422" s="209">
        <f>VLOOKUP(E422,'Custos Matéria Prima Embalagens'!B:G,6,0)</f>
        <v>31.4314232033819</v>
      </c>
      <c r="M422" s="209">
        <f t="shared" si="33"/>
        <v>754.35415688116564</v>
      </c>
      <c r="N422" s="209">
        <f t="shared" si="34"/>
        <v>0.99</v>
      </c>
    </row>
    <row r="423" spans="1:14" hidden="1">
      <c r="A423" s="129" t="s">
        <v>1255</v>
      </c>
      <c r="B423" s="129" t="s">
        <v>1256</v>
      </c>
      <c r="C423" s="129" t="s">
        <v>958</v>
      </c>
      <c r="D423" s="129" t="s">
        <v>1263</v>
      </c>
      <c r="E423" s="129" t="s">
        <v>1219</v>
      </c>
      <c r="F423" s="129" t="s">
        <v>1220</v>
      </c>
      <c r="G423" s="210">
        <v>2.5</v>
      </c>
      <c r="H423" s="211">
        <f t="shared" si="30"/>
        <v>764.7</v>
      </c>
      <c r="I423" s="207">
        <f>IF(F423="CONCENTRADO SEMI BRILHO",G423/'De-Para'!$B$9,G423/VLOOKUP(B423,'De-Para'!A:B,2,0))</f>
        <v>2.5</v>
      </c>
      <c r="J423" s="206">
        <f t="shared" si="31"/>
        <v>764.7</v>
      </c>
      <c r="K423" s="212">
        <f t="shared" si="32"/>
        <v>3.2692559173532103E-3</v>
      </c>
      <c r="L423" s="209">
        <f>VLOOKUP(E423,'Custos Matéria Prima Embalagens'!B:G,6,0)</f>
        <v>4.9800000000000004</v>
      </c>
      <c r="M423" s="209">
        <f t="shared" si="33"/>
        <v>12.450000000000001</v>
      </c>
      <c r="N423" s="209">
        <f t="shared" si="34"/>
        <v>0.02</v>
      </c>
    </row>
    <row r="424" spans="1:14" hidden="1">
      <c r="A424" s="129" t="s">
        <v>1255</v>
      </c>
      <c r="B424" s="129" t="s">
        <v>1256</v>
      </c>
      <c r="C424" s="129" t="s">
        <v>958</v>
      </c>
      <c r="D424" s="129" t="s">
        <v>1263</v>
      </c>
      <c r="E424" s="129" t="s">
        <v>1221</v>
      </c>
      <c r="F424" s="129" t="s">
        <v>1222</v>
      </c>
      <c r="G424" s="210">
        <v>11</v>
      </c>
      <c r="H424" s="211">
        <f t="shared" si="30"/>
        <v>764.7</v>
      </c>
      <c r="I424" s="207">
        <f>IF(F424="CONCENTRADO SEMI BRILHO",G424/'De-Para'!$B$9,G424/VLOOKUP(B424,'De-Para'!A:B,2,0))</f>
        <v>11</v>
      </c>
      <c r="J424" s="206">
        <f t="shared" si="31"/>
        <v>764.7</v>
      </c>
      <c r="K424" s="212">
        <f t="shared" si="32"/>
        <v>1.4384726036354125E-2</v>
      </c>
      <c r="L424" s="209">
        <f>VLOOKUP(E424,'Custos Matéria Prima Embalagens'!B:G,6,0)</f>
        <v>7.9049999999999994</v>
      </c>
      <c r="M424" s="209">
        <f t="shared" si="33"/>
        <v>86.954999999999998</v>
      </c>
      <c r="N424" s="209">
        <f t="shared" si="34"/>
        <v>0.11</v>
      </c>
    </row>
    <row r="425" spans="1:14" hidden="1">
      <c r="A425" s="129" t="s">
        <v>1255</v>
      </c>
      <c r="B425" s="129" t="s">
        <v>1256</v>
      </c>
      <c r="C425" s="129" t="s">
        <v>958</v>
      </c>
      <c r="D425" s="129" t="s">
        <v>1263</v>
      </c>
      <c r="E425" s="129" t="s">
        <v>1239</v>
      </c>
      <c r="F425" s="129" t="s">
        <v>1240</v>
      </c>
      <c r="G425" s="210">
        <v>2</v>
      </c>
      <c r="H425" s="211">
        <f t="shared" si="30"/>
        <v>764.7</v>
      </c>
      <c r="I425" s="207">
        <f>IF(F425="CONCENTRADO SEMI BRILHO",G425/'De-Para'!$B$9,G425/VLOOKUP(B425,'De-Para'!A:B,2,0))</f>
        <v>2</v>
      </c>
      <c r="J425" s="206">
        <f t="shared" si="31"/>
        <v>764.7</v>
      </c>
      <c r="K425" s="212">
        <f t="shared" si="32"/>
        <v>2.615404733882568E-3</v>
      </c>
      <c r="L425" s="209">
        <f>VLOOKUP(E425,'Custos Matéria Prima Embalagens'!B:G,6,0)</f>
        <v>21.11</v>
      </c>
      <c r="M425" s="209">
        <f t="shared" si="33"/>
        <v>42.22</v>
      </c>
      <c r="N425" s="209">
        <f t="shared" si="34"/>
        <v>0.06</v>
      </c>
    </row>
    <row r="426" spans="1:14" hidden="1">
      <c r="A426" s="129" t="s">
        <v>1255</v>
      </c>
      <c r="B426" s="129" t="s">
        <v>1256</v>
      </c>
      <c r="C426" s="129" t="s">
        <v>958</v>
      </c>
      <c r="D426" s="129" t="s">
        <v>1263</v>
      </c>
      <c r="E426" s="129" t="s">
        <v>1235</v>
      </c>
      <c r="F426" s="129" t="s">
        <v>1236</v>
      </c>
      <c r="G426" s="210">
        <v>10</v>
      </c>
      <c r="H426" s="211">
        <f t="shared" si="30"/>
        <v>764.7</v>
      </c>
      <c r="I426" s="207">
        <f>IF(F426="CONCENTRADO SEMI BRILHO",G426/'De-Para'!$B$9,G426/VLOOKUP(B426,'De-Para'!A:B,2,0))</f>
        <v>10</v>
      </c>
      <c r="J426" s="206">
        <f t="shared" si="31"/>
        <v>764.7</v>
      </c>
      <c r="K426" s="212">
        <f t="shared" si="32"/>
        <v>1.3077023669412841E-2</v>
      </c>
      <c r="L426" s="209">
        <f>VLOOKUP(E426,'Custos Matéria Prima Embalagens'!B:G,6,0)</f>
        <v>46.089999999999996</v>
      </c>
      <c r="M426" s="209">
        <f t="shared" si="33"/>
        <v>460.9</v>
      </c>
      <c r="N426" s="209">
        <f t="shared" si="34"/>
        <v>0.6</v>
      </c>
    </row>
    <row r="427" spans="1:14" hidden="1">
      <c r="A427" s="129" t="s">
        <v>1255</v>
      </c>
      <c r="B427" s="129" t="s">
        <v>1256</v>
      </c>
      <c r="C427" s="129" t="s">
        <v>958</v>
      </c>
      <c r="D427" s="129" t="s">
        <v>1263</v>
      </c>
      <c r="E427" s="129" t="s">
        <v>1233</v>
      </c>
      <c r="F427" s="129" t="s">
        <v>1234</v>
      </c>
      <c r="G427" s="210">
        <v>2</v>
      </c>
      <c r="H427" s="211">
        <f t="shared" si="30"/>
        <v>764.7</v>
      </c>
      <c r="I427" s="207">
        <f>IF(F427="CONCENTRADO SEMI BRILHO",G427/'De-Para'!$B$9,G427/VLOOKUP(B427,'De-Para'!A:B,2,0))</f>
        <v>2</v>
      </c>
      <c r="J427" s="206">
        <f t="shared" si="31"/>
        <v>764.7</v>
      </c>
      <c r="K427" s="212">
        <f t="shared" si="32"/>
        <v>2.615404733882568E-3</v>
      </c>
      <c r="L427" s="209">
        <f>VLOOKUP(E427,'Custos Matéria Prima Embalagens'!B:G,6,0)</f>
        <v>31.93</v>
      </c>
      <c r="M427" s="209">
        <f t="shared" si="33"/>
        <v>63.86</v>
      </c>
      <c r="N427" s="209">
        <f t="shared" si="34"/>
        <v>0.08</v>
      </c>
    </row>
    <row r="428" spans="1:14" hidden="1">
      <c r="A428" s="129" t="s">
        <v>1255</v>
      </c>
      <c r="B428" s="129" t="s">
        <v>1256</v>
      </c>
      <c r="C428" s="129" t="s">
        <v>958</v>
      </c>
      <c r="D428" s="129" t="s">
        <v>1263</v>
      </c>
      <c r="E428" s="129" t="s">
        <v>1264</v>
      </c>
      <c r="F428" s="129" t="s">
        <v>1265</v>
      </c>
      <c r="G428" s="210">
        <v>4</v>
      </c>
      <c r="H428" s="211">
        <f t="shared" si="30"/>
        <v>764.7</v>
      </c>
      <c r="I428" s="207">
        <f>IF(F428="CONCENTRADO SEMI BRILHO",G428/'De-Para'!$B$9,G428/VLOOKUP(B428,'De-Para'!A:B,2,0))</f>
        <v>4</v>
      </c>
      <c r="J428" s="206">
        <f t="shared" si="31"/>
        <v>764.7</v>
      </c>
      <c r="K428" s="212">
        <f t="shared" si="32"/>
        <v>5.230809467765136E-3</v>
      </c>
      <c r="L428" s="209">
        <f>VLOOKUP(E428,'Custos Matéria Prima Embalagens'!B:G,6,0)</f>
        <v>32.440305555555597</v>
      </c>
      <c r="M428" s="209">
        <f t="shared" si="33"/>
        <v>129.76122222222239</v>
      </c>
      <c r="N428" s="209">
        <f t="shared" si="34"/>
        <v>0.17</v>
      </c>
    </row>
    <row r="429" spans="1:14" hidden="1">
      <c r="A429" s="129" t="s">
        <v>1255</v>
      </c>
      <c r="B429" s="129" t="s">
        <v>1256</v>
      </c>
      <c r="C429" s="129" t="s">
        <v>961</v>
      </c>
      <c r="D429" s="129" t="s">
        <v>962</v>
      </c>
      <c r="E429" s="129" t="s">
        <v>1197</v>
      </c>
      <c r="F429" s="129" t="s">
        <v>1198</v>
      </c>
      <c r="G429" s="210">
        <v>200</v>
      </c>
      <c r="H429" s="211">
        <f t="shared" si="30"/>
        <v>832.6</v>
      </c>
      <c r="I429" s="207">
        <f>IF(F429="CONCENTRADO SEMI BRILHO",G429/'De-Para'!$B$9,G429/VLOOKUP(B429,'De-Para'!A:B,2,0))</f>
        <v>200</v>
      </c>
      <c r="J429" s="206">
        <f t="shared" si="31"/>
        <v>832.6</v>
      </c>
      <c r="K429" s="212">
        <f t="shared" si="32"/>
        <v>0.24021138601969733</v>
      </c>
      <c r="L429" s="209">
        <f>VLOOKUP(E429,'Custos Matéria Prima Embalagens'!B:G,6,0)</f>
        <v>0</v>
      </c>
      <c r="M429" s="209">
        <f t="shared" si="33"/>
        <v>0</v>
      </c>
      <c r="N429" s="209">
        <f t="shared" si="34"/>
        <v>0</v>
      </c>
    </row>
    <row r="430" spans="1:14" hidden="1">
      <c r="A430" s="129" t="s">
        <v>1255</v>
      </c>
      <c r="B430" s="129" t="s">
        <v>1256</v>
      </c>
      <c r="C430" s="129" t="s">
        <v>961</v>
      </c>
      <c r="D430" s="129" t="s">
        <v>962</v>
      </c>
      <c r="E430" s="129" t="s">
        <v>1199</v>
      </c>
      <c r="F430" s="129" t="s">
        <v>1200</v>
      </c>
      <c r="G430" s="210">
        <v>0.4</v>
      </c>
      <c r="H430" s="211">
        <f t="shared" si="30"/>
        <v>832.6</v>
      </c>
      <c r="I430" s="207">
        <f>IF(F430="CONCENTRADO SEMI BRILHO",G430/'De-Para'!$B$9,G430/VLOOKUP(B430,'De-Para'!A:B,2,0))</f>
        <v>0.4</v>
      </c>
      <c r="J430" s="206">
        <f t="shared" si="31"/>
        <v>832.6</v>
      </c>
      <c r="K430" s="212">
        <f t="shared" si="32"/>
        <v>4.804227720393947E-4</v>
      </c>
      <c r="L430" s="209">
        <f>VLOOKUP(E430,'Custos Matéria Prima Embalagens'!B:G,6,0)</f>
        <v>17.939999999999998</v>
      </c>
      <c r="M430" s="209">
        <f t="shared" si="33"/>
        <v>7.1759999999999993</v>
      </c>
      <c r="N430" s="209">
        <f t="shared" si="34"/>
        <v>0.01</v>
      </c>
    </row>
    <row r="431" spans="1:14" hidden="1">
      <c r="A431" s="129" t="s">
        <v>1255</v>
      </c>
      <c r="B431" s="129" t="s">
        <v>1256</v>
      </c>
      <c r="C431" s="129" t="s">
        <v>961</v>
      </c>
      <c r="D431" s="129" t="s">
        <v>962</v>
      </c>
      <c r="E431" s="129" t="s">
        <v>1257</v>
      </c>
      <c r="F431" s="129" t="s">
        <v>1258</v>
      </c>
      <c r="G431" s="210">
        <v>1.6</v>
      </c>
      <c r="H431" s="211">
        <f t="shared" si="30"/>
        <v>832.6</v>
      </c>
      <c r="I431" s="207">
        <f>IF(F431="CONCENTRADO SEMI BRILHO",G431/'De-Para'!$B$9,G431/VLOOKUP(B431,'De-Para'!A:B,2,0))</f>
        <v>1.6</v>
      </c>
      <c r="J431" s="206">
        <f t="shared" si="31"/>
        <v>832.6</v>
      </c>
      <c r="K431" s="212">
        <f t="shared" si="32"/>
        <v>1.9216910881575788E-3</v>
      </c>
      <c r="L431" s="209">
        <f>VLOOKUP(E431,'Custos Matéria Prima Embalagens'!B:G,6,0)</f>
        <v>11.7614232033819</v>
      </c>
      <c r="M431" s="209">
        <f t="shared" si="33"/>
        <v>18.81827712541104</v>
      </c>
      <c r="N431" s="209">
        <f t="shared" si="34"/>
        <v>0.02</v>
      </c>
    </row>
    <row r="432" spans="1:14" hidden="1">
      <c r="A432" s="129" t="s">
        <v>1255</v>
      </c>
      <c r="B432" s="129" t="s">
        <v>1256</v>
      </c>
      <c r="C432" s="129" t="s">
        <v>961</v>
      </c>
      <c r="D432" s="129" t="s">
        <v>962</v>
      </c>
      <c r="E432" s="129" t="s">
        <v>1203</v>
      </c>
      <c r="F432" s="129" t="s">
        <v>1204</v>
      </c>
      <c r="G432" s="210">
        <v>1.6</v>
      </c>
      <c r="H432" s="211">
        <f t="shared" si="30"/>
        <v>832.6</v>
      </c>
      <c r="I432" s="207">
        <f>IF(F432="CONCENTRADO SEMI BRILHO",G432/'De-Para'!$B$9,G432/VLOOKUP(B432,'De-Para'!A:B,2,0))</f>
        <v>1.6</v>
      </c>
      <c r="J432" s="206">
        <f t="shared" si="31"/>
        <v>832.6</v>
      </c>
      <c r="K432" s="212">
        <f t="shared" si="32"/>
        <v>1.9216910881575788E-3</v>
      </c>
      <c r="L432" s="209">
        <f>VLOOKUP(E432,'Custos Matéria Prima Embalagens'!B:G,6,0)</f>
        <v>4.9399999999999995</v>
      </c>
      <c r="M432" s="209">
        <f t="shared" si="33"/>
        <v>7.9039999999999999</v>
      </c>
      <c r="N432" s="209">
        <f t="shared" si="34"/>
        <v>0.01</v>
      </c>
    </row>
    <row r="433" spans="1:15" hidden="1">
      <c r="A433" s="129" t="s">
        <v>1255</v>
      </c>
      <c r="B433" s="129" t="s">
        <v>1256</v>
      </c>
      <c r="C433" s="129" t="s">
        <v>961</v>
      </c>
      <c r="D433" s="129" t="s">
        <v>962</v>
      </c>
      <c r="E433" s="129" t="s">
        <v>1205</v>
      </c>
      <c r="F433" s="129" t="s">
        <v>1206</v>
      </c>
      <c r="G433" s="210">
        <v>2.4</v>
      </c>
      <c r="H433" s="211">
        <f t="shared" si="30"/>
        <v>832.6</v>
      </c>
      <c r="I433" s="207">
        <f>IF(F433="CONCENTRADO SEMI BRILHO",G433/'De-Para'!$B$9,G433/VLOOKUP(B433,'De-Para'!A:B,2,0))</f>
        <v>2.4</v>
      </c>
      <c r="J433" s="206">
        <f t="shared" si="31"/>
        <v>832.6</v>
      </c>
      <c r="K433" s="212">
        <f t="shared" si="32"/>
        <v>2.8825366322363676E-3</v>
      </c>
      <c r="L433" s="209">
        <f>VLOOKUP(E433,'Custos Matéria Prima Embalagens'!B:G,6,0)</f>
        <v>7.33</v>
      </c>
      <c r="M433" s="209">
        <f t="shared" si="33"/>
        <v>17.591999999999999</v>
      </c>
      <c r="N433" s="209">
        <f t="shared" si="34"/>
        <v>0.02</v>
      </c>
    </row>
    <row r="434" spans="1:15" hidden="1">
      <c r="A434" s="129" t="s">
        <v>1255</v>
      </c>
      <c r="B434" s="129" t="s">
        <v>1256</v>
      </c>
      <c r="C434" s="129" t="s">
        <v>961</v>
      </c>
      <c r="D434" s="129" t="s">
        <v>962</v>
      </c>
      <c r="E434" s="129" t="s">
        <v>1207</v>
      </c>
      <c r="F434" s="129" t="s">
        <v>1208</v>
      </c>
      <c r="G434" s="210">
        <v>3.2</v>
      </c>
      <c r="H434" s="211">
        <f t="shared" si="30"/>
        <v>832.6</v>
      </c>
      <c r="I434" s="207">
        <f>IF(F434="CONCENTRADO SEMI BRILHO",G434/'De-Para'!$B$9,G434/VLOOKUP(B434,'De-Para'!A:B,2,0))</f>
        <v>3.2</v>
      </c>
      <c r="J434" s="206">
        <f t="shared" si="31"/>
        <v>832.6</v>
      </c>
      <c r="K434" s="212">
        <f t="shared" si="32"/>
        <v>3.8433821763151576E-3</v>
      </c>
      <c r="L434" s="209">
        <f>VLOOKUP(E434,'Custos Matéria Prima Embalagens'!B:G,6,0)</f>
        <v>6.8599999999999994</v>
      </c>
      <c r="M434" s="209">
        <f t="shared" si="33"/>
        <v>21.951999999999998</v>
      </c>
      <c r="N434" s="209">
        <f t="shared" si="34"/>
        <v>0.03</v>
      </c>
    </row>
    <row r="435" spans="1:15" hidden="1">
      <c r="A435" s="129" t="s">
        <v>1255</v>
      </c>
      <c r="B435" s="129" t="s">
        <v>1256</v>
      </c>
      <c r="C435" s="129" t="s">
        <v>961</v>
      </c>
      <c r="D435" s="129" t="s">
        <v>962</v>
      </c>
      <c r="E435" s="129" t="s">
        <v>1209</v>
      </c>
      <c r="F435" s="129" t="s">
        <v>1210</v>
      </c>
      <c r="G435" s="210">
        <v>2</v>
      </c>
      <c r="H435" s="211">
        <f t="shared" si="30"/>
        <v>832.6</v>
      </c>
      <c r="I435" s="207">
        <f>IF(F435="CONCENTRADO SEMI BRILHO",G435/'De-Para'!$B$9,G435/VLOOKUP(B435,'De-Para'!A:B,2,0))</f>
        <v>2</v>
      </c>
      <c r="J435" s="206">
        <f t="shared" si="31"/>
        <v>832.6</v>
      </c>
      <c r="K435" s="212">
        <f t="shared" si="32"/>
        <v>2.4021138601969731E-3</v>
      </c>
      <c r="L435" s="209">
        <f>VLOOKUP(E435,'Custos Matéria Prima Embalagens'!B:G,6,0)</f>
        <v>7</v>
      </c>
      <c r="M435" s="209">
        <f t="shared" si="33"/>
        <v>14</v>
      </c>
      <c r="N435" s="209">
        <f t="shared" si="34"/>
        <v>0.02</v>
      </c>
    </row>
    <row r="436" spans="1:15" hidden="1">
      <c r="A436" s="129" t="s">
        <v>1255</v>
      </c>
      <c r="B436" s="129" t="s">
        <v>1256</v>
      </c>
      <c r="C436" s="129" t="s">
        <v>961</v>
      </c>
      <c r="D436" s="129" t="s">
        <v>962</v>
      </c>
      <c r="E436" s="129" t="s">
        <v>1213</v>
      </c>
      <c r="F436" s="129" t="s">
        <v>1214</v>
      </c>
      <c r="G436" s="210">
        <v>50</v>
      </c>
      <c r="H436" s="211">
        <f t="shared" si="30"/>
        <v>832.6</v>
      </c>
      <c r="I436" s="207">
        <f>IF(F436="CONCENTRADO SEMI BRILHO",G436/'De-Para'!$B$9,G436/VLOOKUP(B436,'De-Para'!A:B,2,0))</f>
        <v>50</v>
      </c>
      <c r="J436" s="206">
        <f t="shared" si="31"/>
        <v>832.6</v>
      </c>
      <c r="K436" s="212">
        <f t="shared" si="32"/>
        <v>6.0052846504924332E-2</v>
      </c>
      <c r="L436" s="209">
        <f>VLOOKUP(E436,'Custos Matéria Prima Embalagens'!B:G,6,0)</f>
        <v>19.3</v>
      </c>
      <c r="M436" s="209">
        <f t="shared" si="33"/>
        <v>965</v>
      </c>
      <c r="N436" s="209">
        <f t="shared" si="34"/>
        <v>1.1599999999999999</v>
      </c>
    </row>
    <row r="437" spans="1:15" hidden="1">
      <c r="A437" s="129" t="s">
        <v>1255</v>
      </c>
      <c r="B437" s="129" t="s">
        <v>1256</v>
      </c>
      <c r="C437" s="129" t="s">
        <v>961</v>
      </c>
      <c r="D437" s="129" t="s">
        <v>962</v>
      </c>
      <c r="E437" s="129" t="s">
        <v>1211</v>
      </c>
      <c r="F437" s="129" t="s">
        <v>1212</v>
      </c>
      <c r="G437" s="210">
        <v>150</v>
      </c>
      <c r="H437" s="211">
        <f t="shared" si="30"/>
        <v>832.6</v>
      </c>
      <c r="I437" s="207">
        <f>IF(F437="CONCENTRADO SEMI BRILHO",G437/'De-Para'!$B$9,G437/VLOOKUP(B437,'De-Para'!A:B,2,0))</f>
        <v>150</v>
      </c>
      <c r="J437" s="206">
        <f t="shared" si="31"/>
        <v>832.6</v>
      </c>
      <c r="K437" s="212">
        <f t="shared" si="32"/>
        <v>0.18015853951477301</v>
      </c>
      <c r="L437" s="209">
        <f>VLOOKUP(E437,'Custos Matéria Prima Embalagens'!B:G,6,0)</f>
        <v>3.09</v>
      </c>
      <c r="M437" s="209">
        <f t="shared" si="33"/>
        <v>463.5</v>
      </c>
      <c r="N437" s="209">
        <f t="shared" si="34"/>
        <v>0.56000000000000005</v>
      </c>
    </row>
    <row r="438" spans="1:15" hidden="1">
      <c r="A438" s="129" t="s">
        <v>1255</v>
      </c>
      <c r="B438" s="129" t="s">
        <v>1256</v>
      </c>
      <c r="C438" s="129" t="s">
        <v>961</v>
      </c>
      <c r="D438" s="129" t="s">
        <v>962</v>
      </c>
      <c r="E438" s="129" t="s">
        <v>1215</v>
      </c>
      <c r="F438" s="129" t="s">
        <v>1216</v>
      </c>
      <c r="G438" s="210">
        <v>100</v>
      </c>
      <c r="H438" s="211">
        <f t="shared" si="30"/>
        <v>832.6</v>
      </c>
      <c r="I438" s="207">
        <f>IF(F438="CONCENTRADO SEMI BRILHO",G438/'De-Para'!$B$9,G438/VLOOKUP(B438,'De-Para'!A:B,2,0))</f>
        <v>100</v>
      </c>
      <c r="J438" s="206">
        <f t="shared" si="31"/>
        <v>832.6</v>
      </c>
      <c r="K438" s="212">
        <f t="shared" si="32"/>
        <v>0.12010569300984866</v>
      </c>
      <c r="L438" s="209">
        <f>VLOOKUP(E438,'Custos Matéria Prima Embalagens'!B:G,6,0)</f>
        <v>0.8</v>
      </c>
      <c r="M438" s="209">
        <f t="shared" si="33"/>
        <v>80</v>
      </c>
      <c r="N438" s="209">
        <f t="shared" si="34"/>
        <v>0.1</v>
      </c>
    </row>
    <row r="439" spans="1:15" hidden="1">
      <c r="A439" s="129" t="s">
        <v>1255</v>
      </c>
      <c r="B439" s="129" t="s">
        <v>1256</v>
      </c>
      <c r="C439" s="129" t="s">
        <v>961</v>
      </c>
      <c r="D439" s="129" t="s">
        <v>962</v>
      </c>
      <c r="E439" s="129" t="s">
        <v>1217</v>
      </c>
      <c r="F439" s="129" t="s">
        <v>1218</v>
      </c>
      <c r="G439" s="210">
        <v>40</v>
      </c>
      <c r="H439" s="211">
        <f t="shared" si="30"/>
        <v>832.6</v>
      </c>
      <c r="I439" s="207">
        <f>IF(F439="CONCENTRADO SEMI BRILHO",G439/'De-Para'!$B$9,G439/VLOOKUP(B439,'De-Para'!A:B,2,0))</f>
        <v>40</v>
      </c>
      <c r="J439" s="206">
        <f t="shared" si="31"/>
        <v>832.6</v>
      </c>
      <c r="K439" s="212">
        <f t="shared" si="32"/>
        <v>4.8042277203939464E-2</v>
      </c>
      <c r="L439" s="209">
        <f>VLOOKUP(E439,'Custos Matéria Prima Embalagens'!B:G,6,0)</f>
        <v>8.43</v>
      </c>
      <c r="M439" s="209">
        <f t="shared" si="33"/>
        <v>337.2</v>
      </c>
      <c r="N439" s="209">
        <f t="shared" si="34"/>
        <v>0.4</v>
      </c>
    </row>
    <row r="440" spans="1:15" hidden="1">
      <c r="A440" s="129" t="s">
        <v>1255</v>
      </c>
      <c r="B440" s="129" t="s">
        <v>1256</v>
      </c>
      <c r="C440" s="129" t="s">
        <v>961</v>
      </c>
      <c r="D440" s="129" t="s">
        <v>962</v>
      </c>
      <c r="E440" s="129" t="s">
        <v>1259</v>
      </c>
      <c r="F440" s="129" t="s">
        <v>1260</v>
      </c>
      <c r="G440" s="210">
        <v>240</v>
      </c>
      <c r="H440" s="211">
        <f t="shared" si="30"/>
        <v>832.6</v>
      </c>
      <c r="I440" s="207">
        <f>IF(F440="CONCENTRADO SEMI BRILHO",G440/'De-Para'!$B$9,G440/VLOOKUP(B440,'De-Para'!A:B,2,0))</f>
        <v>240</v>
      </c>
      <c r="J440" s="206">
        <f t="shared" si="31"/>
        <v>832.6</v>
      </c>
      <c r="K440" s="212">
        <f t="shared" si="32"/>
        <v>0.28825366322363677</v>
      </c>
      <c r="L440" s="209">
        <f>VLOOKUP(E440,'Custos Matéria Prima Embalagens'!B:G,6,0)</f>
        <v>11.741423203381899</v>
      </c>
      <c r="M440" s="209">
        <f t="shared" si="33"/>
        <v>2817.941568811656</v>
      </c>
      <c r="N440" s="209">
        <f t="shared" si="34"/>
        <v>3.38</v>
      </c>
    </row>
    <row r="441" spans="1:15" hidden="1">
      <c r="A441" s="129" t="s">
        <v>1255</v>
      </c>
      <c r="B441" s="129" t="s">
        <v>1256</v>
      </c>
      <c r="C441" s="129" t="s">
        <v>961</v>
      </c>
      <c r="D441" s="129" t="s">
        <v>962</v>
      </c>
      <c r="E441" s="129" t="s">
        <v>1261</v>
      </c>
      <c r="F441" s="129" t="s">
        <v>1262</v>
      </c>
      <c r="G441" s="210">
        <v>24</v>
      </c>
      <c r="H441" s="211">
        <f t="shared" si="30"/>
        <v>832.6</v>
      </c>
      <c r="I441" s="207">
        <f>IF(F441="CONCENTRADO SEMI BRILHO",G441/'De-Para'!$B$9,G441/VLOOKUP(B441,'De-Para'!A:B,2,0))</f>
        <v>24</v>
      </c>
      <c r="J441" s="206">
        <f t="shared" si="31"/>
        <v>832.6</v>
      </c>
      <c r="K441" s="212">
        <f t="shared" si="32"/>
        <v>2.8825366322363679E-2</v>
      </c>
      <c r="L441" s="209">
        <f>VLOOKUP(E441,'Custos Matéria Prima Embalagens'!B:G,6,0)</f>
        <v>31.4314232033819</v>
      </c>
      <c r="M441" s="209">
        <f t="shared" si="33"/>
        <v>754.35415688116564</v>
      </c>
      <c r="N441" s="209">
        <f t="shared" si="34"/>
        <v>0.91</v>
      </c>
    </row>
    <row r="442" spans="1:15" hidden="1">
      <c r="A442" s="129" t="s">
        <v>1255</v>
      </c>
      <c r="B442" s="129" t="s">
        <v>1256</v>
      </c>
      <c r="C442" s="129" t="s">
        <v>961</v>
      </c>
      <c r="D442" s="129" t="s">
        <v>962</v>
      </c>
      <c r="E442" s="129" t="s">
        <v>1219</v>
      </c>
      <c r="F442" s="129" t="s">
        <v>1220</v>
      </c>
      <c r="G442" s="210">
        <v>2.5</v>
      </c>
      <c r="H442" s="211">
        <f t="shared" si="30"/>
        <v>832.6</v>
      </c>
      <c r="I442" s="207">
        <f>IF(F442="CONCENTRADO SEMI BRILHO",G442/'De-Para'!$B$9,G442/VLOOKUP(B442,'De-Para'!A:B,2,0))</f>
        <v>2.5</v>
      </c>
      <c r="J442" s="206">
        <f t="shared" si="31"/>
        <v>832.6</v>
      </c>
      <c r="K442" s="212">
        <f t="shared" si="32"/>
        <v>3.0026423252462165E-3</v>
      </c>
      <c r="L442" s="209">
        <f>VLOOKUP(E442,'Custos Matéria Prima Embalagens'!B:G,6,0)</f>
        <v>4.9800000000000004</v>
      </c>
      <c r="M442" s="209">
        <f t="shared" si="33"/>
        <v>12.450000000000001</v>
      </c>
      <c r="N442" s="209">
        <f t="shared" si="34"/>
        <v>0.01</v>
      </c>
    </row>
    <row r="443" spans="1:15" hidden="1">
      <c r="A443" s="129" t="s">
        <v>1255</v>
      </c>
      <c r="B443" s="129" t="s">
        <v>1256</v>
      </c>
      <c r="C443" s="129" t="s">
        <v>961</v>
      </c>
      <c r="D443" s="129" t="s">
        <v>962</v>
      </c>
      <c r="E443" s="129" t="s">
        <v>1221</v>
      </c>
      <c r="F443" s="129" t="s">
        <v>1222</v>
      </c>
      <c r="G443" s="210">
        <v>11</v>
      </c>
      <c r="H443" s="211">
        <f t="shared" si="30"/>
        <v>832.6</v>
      </c>
      <c r="I443" s="207">
        <f>IF(F443="CONCENTRADO SEMI BRILHO",G443/'De-Para'!$B$9,G443/VLOOKUP(B443,'De-Para'!A:B,2,0))</f>
        <v>11</v>
      </c>
      <c r="J443" s="206">
        <f t="shared" si="31"/>
        <v>832.6</v>
      </c>
      <c r="K443" s="212">
        <f t="shared" si="32"/>
        <v>1.3211626231083353E-2</v>
      </c>
      <c r="L443" s="209">
        <f>VLOOKUP(E443,'Custos Matéria Prima Embalagens'!B:G,6,0)</f>
        <v>7.9049999999999994</v>
      </c>
      <c r="M443" s="209">
        <f t="shared" si="33"/>
        <v>86.954999999999998</v>
      </c>
      <c r="N443" s="209">
        <f t="shared" si="34"/>
        <v>0.1</v>
      </c>
    </row>
    <row r="444" spans="1:15" hidden="1">
      <c r="A444" s="129" t="s">
        <v>1255</v>
      </c>
      <c r="B444" s="129" t="s">
        <v>1256</v>
      </c>
      <c r="C444" s="129" t="s">
        <v>961</v>
      </c>
      <c r="D444" s="129" t="s">
        <v>962</v>
      </c>
      <c r="E444" s="129" t="s">
        <v>1233</v>
      </c>
      <c r="F444" s="129" t="s">
        <v>1234</v>
      </c>
      <c r="G444" s="210">
        <v>2.4</v>
      </c>
      <c r="H444" s="211">
        <f t="shared" si="30"/>
        <v>832.6</v>
      </c>
      <c r="I444" s="207">
        <f>IF(F444="CONCENTRADO SEMI BRILHO",G444/'De-Para'!$B$9,G444/VLOOKUP(B444,'De-Para'!A:B,2,0))</f>
        <v>2.4</v>
      </c>
      <c r="J444" s="206">
        <f t="shared" si="31"/>
        <v>832.6</v>
      </c>
      <c r="K444" s="212">
        <f t="shared" si="32"/>
        <v>2.8825366322363676E-3</v>
      </c>
      <c r="L444" s="209">
        <f>VLOOKUP(E444,'Custos Matéria Prima Embalagens'!B:G,6,0)</f>
        <v>31.93</v>
      </c>
      <c r="M444" s="209">
        <f t="shared" si="33"/>
        <v>76.631999999999991</v>
      </c>
      <c r="N444" s="209">
        <f t="shared" si="34"/>
        <v>0.09</v>
      </c>
    </row>
    <row r="445" spans="1:15" hidden="1">
      <c r="A445" s="129" t="s">
        <v>1255</v>
      </c>
      <c r="B445" s="129" t="s">
        <v>1256</v>
      </c>
      <c r="C445" s="129" t="s">
        <v>961</v>
      </c>
      <c r="D445" s="129" t="s">
        <v>962</v>
      </c>
      <c r="E445" s="129" t="s">
        <v>1239</v>
      </c>
      <c r="F445" s="129" t="s">
        <v>1240</v>
      </c>
      <c r="G445" s="210">
        <v>1.4</v>
      </c>
      <c r="H445" s="211">
        <f t="shared" si="30"/>
        <v>832.6</v>
      </c>
      <c r="I445" s="207">
        <f>IF(F445="CONCENTRADO SEMI BRILHO",G445/'De-Para'!$B$9,G445/VLOOKUP(B445,'De-Para'!A:B,2,0))</f>
        <v>1.4</v>
      </c>
      <c r="J445" s="206">
        <f t="shared" si="31"/>
        <v>832.6</v>
      </c>
      <c r="K445" s="212">
        <f t="shared" si="32"/>
        <v>1.6814797021378811E-3</v>
      </c>
      <c r="L445" s="209">
        <f>VLOOKUP(E445,'Custos Matéria Prima Embalagens'!B:G,6,0)</f>
        <v>21.11</v>
      </c>
      <c r="M445" s="209">
        <f t="shared" si="33"/>
        <v>29.553999999999998</v>
      </c>
      <c r="N445" s="209">
        <f t="shared" si="34"/>
        <v>0.04</v>
      </c>
    </row>
    <row r="446" spans="1:15" hidden="1">
      <c r="A446" s="129" t="s">
        <v>1255</v>
      </c>
      <c r="B446" s="129" t="s">
        <v>1256</v>
      </c>
      <c r="C446" s="129" t="s">
        <v>961</v>
      </c>
      <c r="D446" s="129" t="s">
        <v>962</v>
      </c>
      <c r="E446" s="129" t="s">
        <v>1231</v>
      </c>
      <c r="F446" s="129" t="s">
        <v>1232</v>
      </c>
      <c r="G446" s="210">
        <v>0.1</v>
      </c>
      <c r="H446" s="211">
        <f t="shared" si="30"/>
        <v>832.6</v>
      </c>
      <c r="I446" s="207">
        <f>IF(F446="CONCENTRADO SEMI BRILHO",G446/'De-Para'!$B$9,G446/VLOOKUP(B446,'De-Para'!A:B,2,0))</f>
        <v>0.1</v>
      </c>
      <c r="J446" s="206">
        <f t="shared" si="31"/>
        <v>832.6</v>
      </c>
      <c r="K446" s="212">
        <f t="shared" si="32"/>
        <v>1.2010569300984867E-4</v>
      </c>
      <c r="L446" s="209">
        <f>VLOOKUP(E446,'Custos Matéria Prima Embalagens'!B:G,6,0)</f>
        <v>15.2</v>
      </c>
      <c r="M446" s="209">
        <f t="shared" si="33"/>
        <v>1.52</v>
      </c>
      <c r="N446" s="209">
        <f t="shared" si="34"/>
        <v>0</v>
      </c>
    </row>
    <row r="447" spans="1:15" hidden="1">
      <c r="A447" s="129" t="s">
        <v>1266</v>
      </c>
      <c r="B447" s="129" t="s">
        <v>1267</v>
      </c>
      <c r="C447" s="129" t="s">
        <v>703</v>
      </c>
      <c r="D447" s="129" t="s">
        <v>704</v>
      </c>
      <c r="E447" s="129" t="s">
        <v>1197</v>
      </c>
      <c r="F447" s="129" t="s">
        <v>1198</v>
      </c>
      <c r="G447" s="210">
        <v>350</v>
      </c>
      <c r="H447" s="211">
        <f t="shared" si="30"/>
        <v>840.2</v>
      </c>
      <c r="I447" s="207">
        <f>IF(F447="CONCENTRADO SEMI BRILHO",G447/'De-Para'!$B$9,G447/VLOOKUP(B447,'De-Para'!A:B,2,0))</f>
        <v>275.59055118110234</v>
      </c>
      <c r="J447" s="206">
        <f t="shared" si="31"/>
        <v>627.47047244094483</v>
      </c>
      <c r="K447" s="212">
        <f t="shared" si="32"/>
        <v>0.41656748393239701</v>
      </c>
      <c r="L447" s="209">
        <f>VLOOKUP(E447,'Custos Matéria Prima Embalagens'!B:G,6,0)</f>
        <v>0</v>
      </c>
      <c r="M447" s="209">
        <f t="shared" si="33"/>
        <v>0</v>
      </c>
      <c r="N447" s="209">
        <f t="shared" si="34"/>
        <v>0</v>
      </c>
      <c r="O447" s="213">
        <v>300</v>
      </c>
    </row>
    <row r="448" spans="1:15" hidden="1">
      <c r="A448" s="129" t="s">
        <v>1266</v>
      </c>
      <c r="B448" s="129" t="s">
        <v>1267</v>
      </c>
      <c r="C448" s="129" t="s">
        <v>703</v>
      </c>
      <c r="D448" s="129" t="s">
        <v>704</v>
      </c>
      <c r="E448" s="129" t="s">
        <v>1199</v>
      </c>
      <c r="F448" s="129" t="s">
        <v>1200</v>
      </c>
      <c r="G448" s="210">
        <v>1.2</v>
      </c>
      <c r="H448" s="211">
        <f t="shared" si="30"/>
        <v>840.2</v>
      </c>
      <c r="I448" s="207">
        <f>IF(F448="CONCENTRADO SEMI BRILHO",G448/'De-Para'!$B$9,G448/VLOOKUP(B448,'De-Para'!A:B,2,0))</f>
        <v>0.94488188976377951</v>
      </c>
      <c r="J448" s="206">
        <f t="shared" si="31"/>
        <v>627.47047244094483</v>
      </c>
      <c r="K448" s="212">
        <f t="shared" si="32"/>
        <v>1.4282313734825041E-3</v>
      </c>
      <c r="L448" s="209">
        <f>VLOOKUP(E448,'Custos Matéria Prima Embalagens'!B:G,6,0)</f>
        <v>17.939999999999998</v>
      </c>
      <c r="M448" s="209">
        <f t="shared" si="33"/>
        <v>21.527999999999995</v>
      </c>
      <c r="N448" s="209">
        <f t="shared" si="34"/>
        <v>0.03</v>
      </c>
      <c r="O448" s="213">
        <v>1.2</v>
      </c>
    </row>
    <row r="449" spans="1:17" hidden="1">
      <c r="A449" s="129" t="s">
        <v>1266</v>
      </c>
      <c r="B449" s="129" t="s">
        <v>1267</v>
      </c>
      <c r="C449" s="129" t="s">
        <v>703</v>
      </c>
      <c r="D449" s="129" t="s">
        <v>704</v>
      </c>
      <c r="E449" s="129" t="s">
        <v>1257</v>
      </c>
      <c r="F449" s="129" t="s">
        <v>1258</v>
      </c>
      <c r="G449" s="210">
        <v>2</v>
      </c>
      <c r="H449" s="211">
        <f t="shared" si="30"/>
        <v>840.2</v>
      </c>
      <c r="I449" s="207">
        <f>IF(F449="CONCENTRADO SEMI BRILHO",G449/'De-Para'!$B$9,G449/VLOOKUP(B449,'De-Para'!A:B,2,0))</f>
        <v>1.5748031496062991</v>
      </c>
      <c r="J449" s="206">
        <f t="shared" si="31"/>
        <v>627.47047244094483</v>
      </c>
      <c r="K449" s="212">
        <f t="shared" si="32"/>
        <v>2.3803856224708401E-3</v>
      </c>
      <c r="L449" s="209">
        <f>VLOOKUP(E449,'Custos Matéria Prima Embalagens'!B:G,6,0)</f>
        <v>11.7614232033819</v>
      </c>
      <c r="M449" s="209">
        <f t="shared" si="33"/>
        <v>23.522846406763801</v>
      </c>
      <c r="N449" s="209">
        <f t="shared" si="34"/>
        <v>0.04</v>
      </c>
      <c r="O449" s="213">
        <v>2</v>
      </c>
    </row>
    <row r="450" spans="1:17" hidden="1">
      <c r="A450" s="129" t="s">
        <v>1266</v>
      </c>
      <c r="B450" s="129" t="s">
        <v>1267</v>
      </c>
      <c r="C450" s="129" t="s">
        <v>703</v>
      </c>
      <c r="D450" s="129" t="s">
        <v>704</v>
      </c>
      <c r="E450" s="129" t="s">
        <v>1203</v>
      </c>
      <c r="F450" s="129" t="s">
        <v>1204</v>
      </c>
      <c r="G450" s="210">
        <v>2</v>
      </c>
      <c r="H450" s="211">
        <f t="shared" si="30"/>
        <v>840.2</v>
      </c>
      <c r="I450" s="207">
        <f>IF(F450="CONCENTRADO SEMI BRILHO",G450/'De-Para'!$B$9,G450/VLOOKUP(B450,'De-Para'!A:B,2,0))</f>
        <v>1.5748031496062991</v>
      </c>
      <c r="J450" s="206">
        <f t="shared" si="31"/>
        <v>627.47047244094483</v>
      </c>
      <c r="K450" s="212">
        <f t="shared" si="32"/>
        <v>2.3803856224708401E-3</v>
      </c>
      <c r="L450" s="209">
        <f>VLOOKUP(E450,'Custos Matéria Prima Embalagens'!B:G,6,0)</f>
        <v>4.9399999999999995</v>
      </c>
      <c r="M450" s="209">
        <f t="shared" si="33"/>
        <v>9.879999999999999</v>
      </c>
      <c r="N450" s="209">
        <f t="shared" si="34"/>
        <v>0.02</v>
      </c>
      <c r="O450" s="213">
        <v>2</v>
      </c>
    </row>
    <row r="451" spans="1:17" hidden="1">
      <c r="A451" s="129" t="s">
        <v>1266</v>
      </c>
      <c r="B451" s="129" t="s">
        <v>1267</v>
      </c>
      <c r="C451" s="129" t="s">
        <v>703</v>
      </c>
      <c r="D451" s="129" t="s">
        <v>704</v>
      </c>
      <c r="E451" s="129" t="s">
        <v>1205</v>
      </c>
      <c r="F451" s="129" t="s">
        <v>1206</v>
      </c>
      <c r="G451" s="210">
        <v>2</v>
      </c>
      <c r="H451" s="211">
        <f t="shared" ref="H451:H514" si="35">SUMIFS(G:G,C:C,C451)</f>
        <v>840.2</v>
      </c>
      <c r="I451" s="207">
        <f>IF(F451="CONCENTRADO SEMI BRILHO",G451/'De-Para'!$B$9,G451/VLOOKUP(B451,'De-Para'!A:B,2,0))</f>
        <v>1.5748031496062991</v>
      </c>
      <c r="J451" s="206">
        <f t="shared" ref="J451:J514" si="36">SUMIFS(I:I,C:C,C451)</f>
        <v>627.47047244094483</v>
      </c>
      <c r="K451" s="212">
        <f t="shared" ref="K451:K514" si="37">G451/H451</f>
        <v>2.3803856224708401E-3</v>
      </c>
      <c r="L451" s="209">
        <f>VLOOKUP(E451,'Custos Matéria Prima Embalagens'!B:G,6,0)</f>
        <v>7.33</v>
      </c>
      <c r="M451" s="209">
        <f t="shared" ref="M451:M514" si="38">L451*G451</f>
        <v>14.66</v>
      </c>
      <c r="N451" s="209">
        <f t="shared" ref="N451:N514" si="39">IF(B451="CONCENTRADO",ROUND(M451/H451,2),ROUND(M451/J451,2))</f>
        <v>0.02</v>
      </c>
      <c r="O451" s="213">
        <v>2</v>
      </c>
    </row>
    <row r="452" spans="1:17" hidden="1">
      <c r="A452" s="129" t="s">
        <v>1266</v>
      </c>
      <c r="B452" s="129" t="s">
        <v>1267</v>
      </c>
      <c r="C452" s="129" t="s">
        <v>703</v>
      </c>
      <c r="D452" s="129" t="s">
        <v>704</v>
      </c>
      <c r="E452" s="129" t="s">
        <v>1207</v>
      </c>
      <c r="F452" s="129" t="s">
        <v>1208</v>
      </c>
      <c r="G452" s="210">
        <v>2</v>
      </c>
      <c r="H452" s="211">
        <f t="shared" si="35"/>
        <v>840.2</v>
      </c>
      <c r="I452" s="207">
        <f>IF(F452="CONCENTRADO SEMI BRILHO",G452/'De-Para'!$B$9,G452/VLOOKUP(B452,'De-Para'!A:B,2,0))</f>
        <v>1.5748031496062991</v>
      </c>
      <c r="J452" s="206">
        <f t="shared" si="36"/>
        <v>627.47047244094483</v>
      </c>
      <c r="K452" s="212">
        <f t="shared" si="37"/>
        <v>2.3803856224708401E-3</v>
      </c>
      <c r="L452" s="209">
        <f>VLOOKUP(E452,'Custos Matéria Prima Embalagens'!B:G,6,0)</f>
        <v>6.8599999999999994</v>
      </c>
      <c r="M452" s="209">
        <f t="shared" si="38"/>
        <v>13.719999999999999</v>
      </c>
      <c r="N452" s="209">
        <f t="shared" si="39"/>
        <v>0.02</v>
      </c>
      <c r="O452" s="213">
        <v>2</v>
      </c>
    </row>
    <row r="453" spans="1:17" hidden="1">
      <c r="A453" s="129" t="s">
        <v>1266</v>
      </c>
      <c r="B453" s="129" t="s">
        <v>1267</v>
      </c>
      <c r="C453" s="129" t="s">
        <v>703</v>
      </c>
      <c r="D453" s="129" t="s">
        <v>704</v>
      </c>
      <c r="E453" s="129" t="s">
        <v>1217</v>
      </c>
      <c r="F453" s="129" t="s">
        <v>1218</v>
      </c>
      <c r="G453" s="210">
        <v>200</v>
      </c>
      <c r="H453" s="211">
        <f t="shared" si="35"/>
        <v>840.2</v>
      </c>
      <c r="I453" s="207">
        <f>IF(F453="CONCENTRADO SEMI BRILHO",G453/'De-Para'!$B$9,G453/VLOOKUP(B453,'De-Para'!A:B,2,0))</f>
        <v>157.48031496062993</v>
      </c>
      <c r="J453" s="206">
        <f t="shared" si="36"/>
        <v>627.47047244094483</v>
      </c>
      <c r="K453" s="212">
        <f t="shared" si="37"/>
        <v>0.238038562247084</v>
      </c>
      <c r="L453" s="209">
        <f>VLOOKUP(E453,'Custos Matéria Prima Embalagens'!B:G,6,0)</f>
        <v>8.43</v>
      </c>
      <c r="M453" s="209">
        <f t="shared" si="38"/>
        <v>1686</v>
      </c>
      <c r="N453" s="209">
        <f t="shared" si="39"/>
        <v>2.69</v>
      </c>
      <c r="O453" s="213">
        <v>250</v>
      </c>
    </row>
    <row r="454" spans="1:17" hidden="1">
      <c r="A454" s="129" t="s">
        <v>1266</v>
      </c>
      <c r="B454" s="129" t="s">
        <v>1267</v>
      </c>
      <c r="C454" s="129" t="s">
        <v>703</v>
      </c>
      <c r="D454" s="129" t="s">
        <v>704</v>
      </c>
      <c r="E454" s="129" t="s">
        <v>1229</v>
      </c>
      <c r="F454" s="129" t="s">
        <v>1230</v>
      </c>
      <c r="G454" s="210">
        <v>10</v>
      </c>
      <c r="H454" s="211">
        <f t="shared" si="35"/>
        <v>840.2</v>
      </c>
      <c r="I454" s="207">
        <f>IF(F454="CONCENTRADO SEMI BRILHO",G454/'De-Para'!$B$9,G454/VLOOKUP(B454,'De-Para'!A:B,2,0))</f>
        <v>7.8740157480314963</v>
      </c>
      <c r="J454" s="206">
        <f t="shared" si="36"/>
        <v>627.47047244094483</v>
      </c>
      <c r="K454" s="212">
        <f t="shared" si="37"/>
        <v>1.1901928112354201E-2</v>
      </c>
      <c r="L454" s="209">
        <f>VLOOKUP(E454,'Custos Matéria Prima Embalagens'!B:G,6,0)</f>
        <v>19.22</v>
      </c>
      <c r="M454" s="209">
        <f t="shared" si="38"/>
        <v>192.2</v>
      </c>
      <c r="N454" s="209">
        <f t="shared" si="39"/>
        <v>0.31</v>
      </c>
      <c r="O454" s="213">
        <v>10</v>
      </c>
    </row>
    <row r="455" spans="1:17" hidden="1">
      <c r="A455" s="129" t="s">
        <v>1266</v>
      </c>
      <c r="B455" s="129" t="s">
        <v>1267</v>
      </c>
      <c r="C455" s="129" t="s">
        <v>703</v>
      </c>
      <c r="D455" s="129" t="s">
        <v>704</v>
      </c>
      <c r="E455" s="129" t="s">
        <v>1261</v>
      </c>
      <c r="F455" s="129" t="s">
        <v>1262</v>
      </c>
      <c r="G455" s="210">
        <v>10</v>
      </c>
      <c r="H455" s="211">
        <f t="shared" si="35"/>
        <v>840.2</v>
      </c>
      <c r="I455" s="207">
        <f>IF(F455="CONCENTRADO SEMI BRILHO",G455/'De-Para'!$B$9,G455/VLOOKUP(B455,'De-Para'!A:B,2,0))</f>
        <v>7.8740157480314963</v>
      </c>
      <c r="J455" s="206">
        <f t="shared" si="36"/>
        <v>627.47047244094483</v>
      </c>
      <c r="K455" s="212">
        <f t="shared" si="37"/>
        <v>1.1901928112354201E-2</v>
      </c>
      <c r="L455" s="209">
        <f>VLOOKUP(E455,'Custos Matéria Prima Embalagens'!B:G,6,0)</f>
        <v>31.4314232033819</v>
      </c>
      <c r="M455" s="209">
        <f t="shared" si="38"/>
        <v>314.314232033819</v>
      </c>
      <c r="N455" s="209">
        <f t="shared" si="39"/>
        <v>0.5</v>
      </c>
      <c r="O455" s="213">
        <v>10</v>
      </c>
    </row>
    <row r="456" spans="1:17" hidden="1">
      <c r="A456" s="129" t="s">
        <v>1266</v>
      </c>
      <c r="B456" s="129" t="s">
        <v>1267</v>
      </c>
      <c r="C456" s="129" t="s">
        <v>703</v>
      </c>
      <c r="D456" s="129" t="s">
        <v>704</v>
      </c>
      <c r="E456" s="129" t="s">
        <v>1209</v>
      </c>
      <c r="F456" s="129" t="s">
        <v>1210</v>
      </c>
      <c r="G456" s="210">
        <v>3</v>
      </c>
      <c r="H456" s="211">
        <f t="shared" si="35"/>
        <v>840.2</v>
      </c>
      <c r="I456" s="207">
        <f>IF(F456="CONCENTRADO SEMI BRILHO",G456/'De-Para'!$B$9,G456/VLOOKUP(B456,'De-Para'!A:B,2,0))</f>
        <v>2.3622047244094486</v>
      </c>
      <c r="J456" s="206">
        <f t="shared" si="36"/>
        <v>627.47047244094483</v>
      </c>
      <c r="K456" s="212">
        <f t="shared" si="37"/>
        <v>3.5705784337062602E-3</v>
      </c>
      <c r="L456" s="209">
        <f>VLOOKUP(E456,'Custos Matéria Prima Embalagens'!B:G,6,0)</f>
        <v>7</v>
      </c>
      <c r="M456" s="209">
        <f t="shared" si="38"/>
        <v>21</v>
      </c>
      <c r="N456" s="209">
        <f t="shared" si="39"/>
        <v>0.03</v>
      </c>
      <c r="O456" s="213">
        <v>3</v>
      </c>
    </row>
    <row r="457" spans="1:17" hidden="1">
      <c r="A457" s="129" t="s">
        <v>1266</v>
      </c>
      <c r="B457" s="129" t="s">
        <v>1267</v>
      </c>
      <c r="C457" s="129" t="s">
        <v>703</v>
      </c>
      <c r="D457" s="129" t="s">
        <v>704</v>
      </c>
      <c r="E457" s="129" t="s">
        <v>1219</v>
      </c>
      <c r="F457" s="129" t="s">
        <v>1220</v>
      </c>
      <c r="G457" s="210">
        <v>11</v>
      </c>
      <c r="H457" s="211">
        <f t="shared" si="35"/>
        <v>840.2</v>
      </c>
      <c r="I457" s="207">
        <f>IF(F457="CONCENTRADO SEMI BRILHO",G457/'De-Para'!$B$9,G457/VLOOKUP(B457,'De-Para'!A:B,2,0))</f>
        <v>8.6614173228346463</v>
      </c>
      <c r="J457" s="206">
        <f t="shared" si="36"/>
        <v>627.47047244094483</v>
      </c>
      <c r="K457" s="212">
        <f t="shared" si="37"/>
        <v>1.309212092358962E-2</v>
      </c>
      <c r="L457" s="209">
        <f>VLOOKUP(E457,'Custos Matéria Prima Embalagens'!B:G,6,0)</f>
        <v>4.9800000000000004</v>
      </c>
      <c r="M457" s="209">
        <f t="shared" si="38"/>
        <v>54.78</v>
      </c>
      <c r="N457" s="209">
        <f t="shared" si="39"/>
        <v>0.09</v>
      </c>
      <c r="O457" s="213">
        <v>11</v>
      </c>
    </row>
    <row r="458" spans="1:17" hidden="1">
      <c r="A458" s="129" t="s">
        <v>1266</v>
      </c>
      <c r="B458" s="129" t="s">
        <v>1267</v>
      </c>
      <c r="C458" s="129" t="s">
        <v>703</v>
      </c>
      <c r="D458" s="129" t="s">
        <v>704</v>
      </c>
      <c r="E458" s="129" t="s">
        <v>1268</v>
      </c>
      <c r="F458" s="129" t="s">
        <v>1269</v>
      </c>
      <c r="G458" s="210">
        <v>20</v>
      </c>
      <c r="H458" s="211">
        <f t="shared" si="35"/>
        <v>840.2</v>
      </c>
      <c r="I458" s="207">
        <f>IF(F458="CONCENTRADO SEMI BRILHO",G458/'De-Para'!$B$9,G458/VLOOKUP(B458,'De-Para'!A:B,2,0))</f>
        <v>15.748031496062993</v>
      </c>
      <c r="J458" s="206">
        <f t="shared" si="36"/>
        <v>627.47047244094483</v>
      </c>
      <c r="K458" s="212">
        <f t="shared" si="37"/>
        <v>2.3803856224708403E-2</v>
      </c>
      <c r="L458" s="209">
        <f>VLOOKUP(E458,'Custos Matéria Prima Embalagens'!B:G,6,0)</f>
        <v>10.37</v>
      </c>
      <c r="M458" s="209">
        <f t="shared" si="38"/>
        <v>207.39999999999998</v>
      </c>
      <c r="N458" s="209">
        <f t="shared" si="39"/>
        <v>0.33</v>
      </c>
      <c r="O458" s="213">
        <v>20</v>
      </c>
    </row>
    <row r="459" spans="1:17" hidden="1">
      <c r="A459" s="129" t="s">
        <v>1266</v>
      </c>
      <c r="B459" s="129" t="s">
        <v>1267</v>
      </c>
      <c r="C459" s="129" t="s">
        <v>703</v>
      </c>
      <c r="D459" s="129" t="s">
        <v>704</v>
      </c>
      <c r="E459" s="129" t="s">
        <v>1221</v>
      </c>
      <c r="F459" s="129" t="s">
        <v>1222</v>
      </c>
      <c r="G459" s="210">
        <v>17</v>
      </c>
      <c r="H459" s="211">
        <f t="shared" si="35"/>
        <v>840.2</v>
      </c>
      <c r="I459" s="207">
        <f>IF(F459="CONCENTRADO SEMI BRILHO",G459/'De-Para'!$B$9,G459/VLOOKUP(B459,'De-Para'!A:B,2,0))</f>
        <v>13.385826771653543</v>
      </c>
      <c r="J459" s="206">
        <f t="shared" si="36"/>
        <v>627.47047244094483</v>
      </c>
      <c r="K459" s="212">
        <f t="shared" si="37"/>
        <v>2.023327779100214E-2</v>
      </c>
      <c r="L459" s="209">
        <f>VLOOKUP(E459,'Custos Matéria Prima Embalagens'!B:G,6,0)</f>
        <v>7.9049999999999994</v>
      </c>
      <c r="M459" s="209">
        <f t="shared" si="38"/>
        <v>134.38499999999999</v>
      </c>
      <c r="N459" s="209">
        <f t="shared" si="39"/>
        <v>0.21</v>
      </c>
      <c r="O459" s="213">
        <v>17</v>
      </c>
    </row>
    <row r="460" spans="1:17" hidden="1">
      <c r="A460" s="129" t="s">
        <v>1266</v>
      </c>
      <c r="B460" s="129" t="s">
        <v>1267</v>
      </c>
      <c r="C460" s="129" t="s">
        <v>703</v>
      </c>
      <c r="D460" s="129" t="s">
        <v>704</v>
      </c>
      <c r="E460" s="129" t="s">
        <v>1270</v>
      </c>
      <c r="F460" s="129" t="s">
        <v>1271</v>
      </c>
      <c r="G460" s="210">
        <v>210</v>
      </c>
      <c r="H460" s="211">
        <f t="shared" si="35"/>
        <v>840.2</v>
      </c>
      <c r="I460" s="207">
        <f>IF(F460="CONCENTRADO SEMI BRILHO",G460/'De-Para'!$B$9,G460/VLOOKUP(B460,'De-Para'!A:B,2,0))</f>
        <v>131.25</v>
      </c>
      <c r="J460" s="206">
        <f t="shared" si="36"/>
        <v>627.47047244094483</v>
      </c>
      <c r="K460" s="212">
        <f t="shared" si="37"/>
        <v>0.24994049035943822</v>
      </c>
      <c r="L460" s="209">
        <f>VLOOKUP(E460,'Custos Matéria Prima Embalagens'!B:G,6,0)</f>
        <v>8.9700000000000006</v>
      </c>
      <c r="M460" s="209">
        <f t="shared" si="38"/>
        <v>1883.7</v>
      </c>
      <c r="N460" s="209">
        <f t="shared" si="39"/>
        <v>3</v>
      </c>
      <c r="O460" s="213">
        <v>310</v>
      </c>
      <c r="Q460" s="201"/>
    </row>
    <row r="461" spans="1:17" hidden="1">
      <c r="A461" s="129" t="s">
        <v>1266</v>
      </c>
      <c r="B461" s="129" t="s">
        <v>1267</v>
      </c>
      <c r="C461" s="129" t="s">
        <v>706</v>
      </c>
      <c r="D461" s="129" t="s">
        <v>569</v>
      </c>
      <c r="E461" s="129" t="s">
        <v>1197</v>
      </c>
      <c r="F461" s="129" t="s">
        <v>1198</v>
      </c>
      <c r="G461" s="210">
        <v>300</v>
      </c>
      <c r="H461" s="211">
        <f t="shared" si="35"/>
        <v>930.25200000000007</v>
      </c>
      <c r="I461" s="207">
        <f>IF(F461="CONCENTRADO SEMI BRILHO",G461/'De-Para'!$B$9,G461/VLOOKUP(B461,'De-Para'!A:B,2,0))</f>
        <v>236.22047244094489</v>
      </c>
      <c r="J461" s="206">
        <f t="shared" si="36"/>
        <v>683.76141732283486</v>
      </c>
      <c r="K461" s="212">
        <f t="shared" si="37"/>
        <v>0.32249325989086824</v>
      </c>
      <c r="L461" s="209">
        <f>VLOOKUP(E461,'Custos Matéria Prima Embalagens'!B:G,6,0)</f>
        <v>0</v>
      </c>
      <c r="M461" s="209">
        <f t="shared" si="38"/>
        <v>0</v>
      </c>
      <c r="N461" s="209">
        <f t="shared" si="39"/>
        <v>0</v>
      </c>
    </row>
    <row r="462" spans="1:17" hidden="1">
      <c r="A462" s="129" t="s">
        <v>1266</v>
      </c>
      <c r="B462" s="129" t="s">
        <v>1267</v>
      </c>
      <c r="C462" s="129" t="s">
        <v>706</v>
      </c>
      <c r="D462" s="129" t="s">
        <v>569</v>
      </c>
      <c r="E462" s="129" t="s">
        <v>1199</v>
      </c>
      <c r="F462" s="129" t="s">
        <v>1200</v>
      </c>
      <c r="G462" s="210">
        <v>1.2</v>
      </c>
      <c r="H462" s="211">
        <f t="shared" si="35"/>
        <v>930.25200000000007</v>
      </c>
      <c r="I462" s="207">
        <f>IF(F462="CONCENTRADO SEMI BRILHO",G462/'De-Para'!$B$9,G462/VLOOKUP(B462,'De-Para'!A:B,2,0))</f>
        <v>0.94488188976377951</v>
      </c>
      <c r="J462" s="206">
        <f t="shared" si="36"/>
        <v>683.76141732283486</v>
      </c>
      <c r="K462" s="212">
        <f t="shared" si="37"/>
        <v>1.289973039563473E-3</v>
      </c>
      <c r="L462" s="209">
        <f>VLOOKUP(E462,'Custos Matéria Prima Embalagens'!B:G,6,0)</f>
        <v>17.939999999999998</v>
      </c>
      <c r="M462" s="209">
        <f t="shared" si="38"/>
        <v>21.527999999999995</v>
      </c>
      <c r="N462" s="209">
        <f t="shared" si="39"/>
        <v>0.03</v>
      </c>
    </row>
    <row r="463" spans="1:17" hidden="1">
      <c r="A463" s="129" t="s">
        <v>1266</v>
      </c>
      <c r="B463" s="129" t="s">
        <v>1267</v>
      </c>
      <c r="C463" s="129" t="s">
        <v>706</v>
      </c>
      <c r="D463" s="129" t="s">
        <v>569</v>
      </c>
      <c r="E463" s="129" t="s">
        <v>1257</v>
      </c>
      <c r="F463" s="129" t="s">
        <v>1258</v>
      </c>
      <c r="G463" s="210">
        <v>2</v>
      </c>
      <c r="H463" s="211">
        <f t="shared" si="35"/>
        <v>930.25200000000007</v>
      </c>
      <c r="I463" s="207">
        <f>IF(F463="CONCENTRADO SEMI BRILHO",G463/'De-Para'!$B$9,G463/VLOOKUP(B463,'De-Para'!A:B,2,0))</f>
        <v>1.5748031496062991</v>
      </c>
      <c r="J463" s="206">
        <f t="shared" si="36"/>
        <v>683.76141732283486</v>
      </c>
      <c r="K463" s="212">
        <f t="shared" si="37"/>
        <v>2.1499550659391216E-3</v>
      </c>
      <c r="L463" s="209">
        <f>VLOOKUP(E463,'Custos Matéria Prima Embalagens'!B:G,6,0)</f>
        <v>11.7614232033819</v>
      </c>
      <c r="M463" s="209">
        <f t="shared" si="38"/>
        <v>23.522846406763801</v>
      </c>
      <c r="N463" s="209">
        <f t="shared" si="39"/>
        <v>0.03</v>
      </c>
    </row>
    <row r="464" spans="1:17" hidden="1">
      <c r="A464" s="129" t="s">
        <v>1266</v>
      </c>
      <c r="B464" s="129" t="s">
        <v>1267</v>
      </c>
      <c r="C464" s="129" t="s">
        <v>706</v>
      </c>
      <c r="D464" s="129" t="s">
        <v>569</v>
      </c>
      <c r="E464" s="129" t="s">
        <v>1203</v>
      </c>
      <c r="F464" s="129" t="s">
        <v>1204</v>
      </c>
      <c r="G464" s="210">
        <v>2</v>
      </c>
      <c r="H464" s="211">
        <f t="shared" si="35"/>
        <v>930.25200000000007</v>
      </c>
      <c r="I464" s="207">
        <f>IF(F464="CONCENTRADO SEMI BRILHO",G464/'De-Para'!$B$9,G464/VLOOKUP(B464,'De-Para'!A:B,2,0))</f>
        <v>1.5748031496062991</v>
      </c>
      <c r="J464" s="206">
        <f t="shared" si="36"/>
        <v>683.76141732283486</v>
      </c>
      <c r="K464" s="212">
        <f t="shared" si="37"/>
        <v>2.1499550659391216E-3</v>
      </c>
      <c r="L464" s="209">
        <f>VLOOKUP(E464,'Custos Matéria Prima Embalagens'!B:G,6,0)</f>
        <v>4.9399999999999995</v>
      </c>
      <c r="M464" s="209">
        <f t="shared" si="38"/>
        <v>9.879999999999999</v>
      </c>
      <c r="N464" s="209">
        <f t="shared" si="39"/>
        <v>0.01</v>
      </c>
    </row>
    <row r="465" spans="1:14" hidden="1">
      <c r="A465" s="129" t="s">
        <v>1266</v>
      </c>
      <c r="B465" s="129" t="s">
        <v>1267</v>
      </c>
      <c r="C465" s="129" t="s">
        <v>706</v>
      </c>
      <c r="D465" s="129" t="s">
        <v>569</v>
      </c>
      <c r="E465" s="129" t="s">
        <v>1205</v>
      </c>
      <c r="F465" s="129" t="s">
        <v>1206</v>
      </c>
      <c r="G465" s="210">
        <v>2</v>
      </c>
      <c r="H465" s="211">
        <f t="shared" si="35"/>
        <v>930.25200000000007</v>
      </c>
      <c r="I465" s="207">
        <f>IF(F465="CONCENTRADO SEMI BRILHO",G465/'De-Para'!$B$9,G465/VLOOKUP(B465,'De-Para'!A:B,2,0))</f>
        <v>1.5748031496062991</v>
      </c>
      <c r="J465" s="206">
        <f t="shared" si="36"/>
        <v>683.76141732283486</v>
      </c>
      <c r="K465" s="212">
        <f t="shared" si="37"/>
        <v>2.1499550659391216E-3</v>
      </c>
      <c r="L465" s="209">
        <f>VLOOKUP(E465,'Custos Matéria Prima Embalagens'!B:G,6,0)</f>
        <v>7.33</v>
      </c>
      <c r="M465" s="209">
        <f t="shared" si="38"/>
        <v>14.66</v>
      </c>
      <c r="N465" s="209">
        <f t="shared" si="39"/>
        <v>0.02</v>
      </c>
    </row>
    <row r="466" spans="1:14" hidden="1">
      <c r="A466" s="129" t="s">
        <v>1266</v>
      </c>
      <c r="B466" s="129" t="s">
        <v>1267</v>
      </c>
      <c r="C466" s="129" t="s">
        <v>706</v>
      </c>
      <c r="D466" s="129" t="s">
        <v>569</v>
      </c>
      <c r="E466" s="129" t="s">
        <v>1207</v>
      </c>
      <c r="F466" s="129" t="s">
        <v>1208</v>
      </c>
      <c r="G466" s="210">
        <v>2</v>
      </c>
      <c r="H466" s="211">
        <f t="shared" si="35"/>
        <v>930.25200000000007</v>
      </c>
      <c r="I466" s="207">
        <f>IF(F466="CONCENTRADO SEMI BRILHO",G466/'De-Para'!$B$9,G466/VLOOKUP(B466,'De-Para'!A:B,2,0))</f>
        <v>1.5748031496062991</v>
      </c>
      <c r="J466" s="206">
        <f t="shared" si="36"/>
        <v>683.76141732283486</v>
      </c>
      <c r="K466" s="212">
        <f t="shared" si="37"/>
        <v>2.1499550659391216E-3</v>
      </c>
      <c r="L466" s="209">
        <f>VLOOKUP(E466,'Custos Matéria Prima Embalagens'!B:G,6,0)</f>
        <v>6.8599999999999994</v>
      </c>
      <c r="M466" s="209">
        <f t="shared" si="38"/>
        <v>13.719999999999999</v>
      </c>
      <c r="N466" s="209">
        <f t="shared" si="39"/>
        <v>0.02</v>
      </c>
    </row>
    <row r="467" spans="1:14" hidden="1">
      <c r="A467" s="129" t="s">
        <v>1266</v>
      </c>
      <c r="B467" s="129" t="s">
        <v>1267</v>
      </c>
      <c r="C467" s="129" t="s">
        <v>706</v>
      </c>
      <c r="D467" s="129" t="s">
        <v>569</v>
      </c>
      <c r="E467" s="129" t="s">
        <v>1217</v>
      </c>
      <c r="F467" s="129" t="s">
        <v>1218</v>
      </c>
      <c r="G467" s="210">
        <v>250</v>
      </c>
      <c r="H467" s="211">
        <f t="shared" si="35"/>
        <v>930.25200000000007</v>
      </c>
      <c r="I467" s="207">
        <f>IF(F467="CONCENTRADO SEMI BRILHO",G467/'De-Para'!$B$9,G467/VLOOKUP(B467,'De-Para'!A:B,2,0))</f>
        <v>196.85039370078741</v>
      </c>
      <c r="J467" s="206">
        <f t="shared" si="36"/>
        <v>683.76141732283486</v>
      </c>
      <c r="K467" s="212">
        <f t="shared" si="37"/>
        <v>0.26874438324239019</v>
      </c>
      <c r="L467" s="209">
        <f>VLOOKUP(E467,'Custos Matéria Prima Embalagens'!B:G,6,0)</f>
        <v>8.43</v>
      </c>
      <c r="M467" s="209">
        <f t="shared" si="38"/>
        <v>2107.5</v>
      </c>
      <c r="N467" s="209">
        <f t="shared" si="39"/>
        <v>3.08</v>
      </c>
    </row>
    <row r="468" spans="1:14" hidden="1">
      <c r="A468" s="129" t="s">
        <v>1266</v>
      </c>
      <c r="B468" s="129" t="s">
        <v>1267</v>
      </c>
      <c r="C468" s="129" t="s">
        <v>706</v>
      </c>
      <c r="D468" s="129" t="s">
        <v>569</v>
      </c>
      <c r="E468" s="129" t="s">
        <v>1229</v>
      </c>
      <c r="F468" s="129" t="s">
        <v>1230</v>
      </c>
      <c r="G468" s="210">
        <v>10</v>
      </c>
      <c r="H468" s="211">
        <f t="shared" si="35"/>
        <v>930.25200000000007</v>
      </c>
      <c r="I468" s="207">
        <f>IF(F468="CONCENTRADO SEMI BRILHO",G468/'De-Para'!$B$9,G468/VLOOKUP(B468,'De-Para'!A:B,2,0))</f>
        <v>7.8740157480314963</v>
      </c>
      <c r="J468" s="206">
        <f t="shared" si="36"/>
        <v>683.76141732283486</v>
      </c>
      <c r="K468" s="212">
        <f t="shared" si="37"/>
        <v>1.0749775329695609E-2</v>
      </c>
      <c r="L468" s="209">
        <f>VLOOKUP(E468,'Custos Matéria Prima Embalagens'!B:G,6,0)</f>
        <v>19.22</v>
      </c>
      <c r="M468" s="209">
        <f t="shared" si="38"/>
        <v>192.2</v>
      </c>
      <c r="N468" s="209">
        <f t="shared" si="39"/>
        <v>0.28000000000000003</v>
      </c>
    </row>
    <row r="469" spans="1:14" hidden="1">
      <c r="A469" s="129" t="s">
        <v>1266</v>
      </c>
      <c r="B469" s="129" t="s">
        <v>1267</v>
      </c>
      <c r="C469" s="129" t="s">
        <v>706</v>
      </c>
      <c r="D469" s="129" t="s">
        <v>569</v>
      </c>
      <c r="E469" s="129" t="s">
        <v>1261</v>
      </c>
      <c r="F469" s="129" t="s">
        <v>1262</v>
      </c>
      <c r="G469" s="210">
        <v>10</v>
      </c>
      <c r="H469" s="211">
        <f t="shared" si="35"/>
        <v>930.25200000000007</v>
      </c>
      <c r="I469" s="207">
        <f>IF(F469="CONCENTRADO SEMI BRILHO",G469/'De-Para'!$B$9,G469/VLOOKUP(B469,'De-Para'!A:B,2,0))</f>
        <v>7.8740157480314963</v>
      </c>
      <c r="J469" s="206">
        <f t="shared" si="36"/>
        <v>683.76141732283486</v>
      </c>
      <c r="K469" s="212">
        <f t="shared" si="37"/>
        <v>1.0749775329695609E-2</v>
      </c>
      <c r="L469" s="209">
        <f>VLOOKUP(E469,'Custos Matéria Prima Embalagens'!B:G,6,0)</f>
        <v>31.4314232033819</v>
      </c>
      <c r="M469" s="209">
        <f t="shared" si="38"/>
        <v>314.314232033819</v>
      </c>
      <c r="N469" s="209">
        <f t="shared" si="39"/>
        <v>0.46</v>
      </c>
    </row>
    <row r="470" spans="1:14" hidden="1">
      <c r="A470" s="129" t="s">
        <v>1266</v>
      </c>
      <c r="B470" s="129" t="s">
        <v>1267</v>
      </c>
      <c r="C470" s="129" t="s">
        <v>706</v>
      </c>
      <c r="D470" s="129" t="s">
        <v>569</v>
      </c>
      <c r="E470" s="129" t="s">
        <v>1209</v>
      </c>
      <c r="F470" s="129" t="s">
        <v>1210</v>
      </c>
      <c r="G470" s="210">
        <v>3</v>
      </c>
      <c r="H470" s="211">
        <f t="shared" si="35"/>
        <v>930.25200000000007</v>
      </c>
      <c r="I470" s="207">
        <f>IF(F470="CONCENTRADO SEMI BRILHO",G470/'De-Para'!$B$9,G470/VLOOKUP(B470,'De-Para'!A:B,2,0))</f>
        <v>2.3622047244094486</v>
      </c>
      <c r="J470" s="206">
        <f t="shared" si="36"/>
        <v>683.76141732283486</v>
      </c>
      <c r="K470" s="212">
        <f t="shared" si="37"/>
        <v>3.2249325989086824E-3</v>
      </c>
      <c r="L470" s="209">
        <f>VLOOKUP(E470,'Custos Matéria Prima Embalagens'!B:G,6,0)</f>
        <v>7</v>
      </c>
      <c r="M470" s="209">
        <f t="shared" si="38"/>
        <v>21</v>
      </c>
      <c r="N470" s="209">
        <f t="shared" si="39"/>
        <v>0.03</v>
      </c>
    </row>
    <row r="471" spans="1:14" hidden="1">
      <c r="A471" s="129" t="s">
        <v>1266</v>
      </c>
      <c r="B471" s="129" t="s">
        <v>1267</v>
      </c>
      <c r="C471" s="129" t="s">
        <v>706</v>
      </c>
      <c r="D471" s="129" t="s">
        <v>569</v>
      </c>
      <c r="E471" s="129" t="s">
        <v>1219</v>
      </c>
      <c r="F471" s="129" t="s">
        <v>1220</v>
      </c>
      <c r="G471" s="210">
        <v>11</v>
      </c>
      <c r="H471" s="211">
        <f t="shared" si="35"/>
        <v>930.25200000000007</v>
      </c>
      <c r="I471" s="207">
        <f>IF(F471="CONCENTRADO SEMI BRILHO",G471/'De-Para'!$B$9,G471/VLOOKUP(B471,'De-Para'!A:B,2,0))</f>
        <v>8.6614173228346463</v>
      </c>
      <c r="J471" s="206">
        <f t="shared" si="36"/>
        <v>683.76141732283486</v>
      </c>
      <c r="K471" s="212">
        <f t="shared" si="37"/>
        <v>1.1824752862665169E-2</v>
      </c>
      <c r="L471" s="209">
        <f>VLOOKUP(E471,'Custos Matéria Prima Embalagens'!B:G,6,0)</f>
        <v>4.9800000000000004</v>
      </c>
      <c r="M471" s="209">
        <f t="shared" si="38"/>
        <v>54.78</v>
      </c>
      <c r="N471" s="209">
        <f t="shared" si="39"/>
        <v>0.08</v>
      </c>
    </row>
    <row r="472" spans="1:14" hidden="1">
      <c r="A472" s="129" t="s">
        <v>1266</v>
      </c>
      <c r="B472" s="129" t="s">
        <v>1267</v>
      </c>
      <c r="C472" s="129" t="s">
        <v>706</v>
      </c>
      <c r="D472" s="129" t="s">
        <v>569</v>
      </c>
      <c r="E472" s="129" t="s">
        <v>1268</v>
      </c>
      <c r="F472" s="129" t="s">
        <v>1269</v>
      </c>
      <c r="G472" s="210">
        <v>20</v>
      </c>
      <c r="H472" s="211">
        <f t="shared" si="35"/>
        <v>930.25200000000007</v>
      </c>
      <c r="I472" s="207">
        <f>IF(F472="CONCENTRADO SEMI BRILHO",G472/'De-Para'!$B$9,G472/VLOOKUP(B472,'De-Para'!A:B,2,0))</f>
        <v>15.748031496062993</v>
      </c>
      <c r="J472" s="206">
        <f t="shared" si="36"/>
        <v>683.76141732283486</v>
      </c>
      <c r="K472" s="212">
        <f t="shared" si="37"/>
        <v>2.1499550659391218E-2</v>
      </c>
      <c r="L472" s="209">
        <f>VLOOKUP(E472,'Custos Matéria Prima Embalagens'!B:G,6,0)</f>
        <v>10.37</v>
      </c>
      <c r="M472" s="209">
        <f t="shared" si="38"/>
        <v>207.39999999999998</v>
      </c>
      <c r="N472" s="209">
        <f t="shared" si="39"/>
        <v>0.3</v>
      </c>
    </row>
    <row r="473" spans="1:14" hidden="1">
      <c r="A473" s="129" t="s">
        <v>1266</v>
      </c>
      <c r="B473" s="129" t="s">
        <v>1267</v>
      </c>
      <c r="C473" s="129" t="s">
        <v>706</v>
      </c>
      <c r="D473" s="129" t="s">
        <v>569</v>
      </c>
      <c r="E473" s="129" t="s">
        <v>1221</v>
      </c>
      <c r="F473" s="129" t="s">
        <v>1222</v>
      </c>
      <c r="G473" s="210">
        <v>17</v>
      </c>
      <c r="H473" s="211">
        <f t="shared" si="35"/>
        <v>930.25200000000007</v>
      </c>
      <c r="I473" s="207">
        <f>IF(F473="CONCENTRADO SEMI BRILHO",G473/'De-Para'!$B$9,G473/VLOOKUP(B473,'De-Para'!A:B,2,0))</f>
        <v>13.385826771653543</v>
      </c>
      <c r="J473" s="206">
        <f t="shared" si="36"/>
        <v>683.76141732283486</v>
      </c>
      <c r="K473" s="212">
        <f t="shared" si="37"/>
        <v>1.8274618060482535E-2</v>
      </c>
      <c r="L473" s="209">
        <f>VLOOKUP(E473,'Custos Matéria Prima Embalagens'!B:G,6,0)</f>
        <v>7.9049999999999994</v>
      </c>
      <c r="M473" s="209">
        <f t="shared" si="38"/>
        <v>134.38499999999999</v>
      </c>
      <c r="N473" s="209">
        <f t="shared" si="39"/>
        <v>0.2</v>
      </c>
    </row>
    <row r="474" spans="1:14" hidden="1">
      <c r="A474" s="129" t="s">
        <v>1266</v>
      </c>
      <c r="B474" s="129" t="s">
        <v>1267</v>
      </c>
      <c r="C474" s="129" t="s">
        <v>706</v>
      </c>
      <c r="D474" s="129" t="s">
        <v>569</v>
      </c>
      <c r="E474" s="129" t="s">
        <v>1270</v>
      </c>
      <c r="F474" s="129" t="s">
        <v>1271</v>
      </c>
      <c r="G474" s="210">
        <v>300</v>
      </c>
      <c r="H474" s="211">
        <f t="shared" si="35"/>
        <v>930.25200000000007</v>
      </c>
      <c r="I474" s="207">
        <f>IF(F474="CONCENTRADO SEMI BRILHO",G474/'De-Para'!$B$9,G474/VLOOKUP(B474,'De-Para'!A:B,2,0))</f>
        <v>187.5</v>
      </c>
      <c r="J474" s="206">
        <f t="shared" si="36"/>
        <v>683.76141732283486</v>
      </c>
      <c r="K474" s="212">
        <f t="shared" si="37"/>
        <v>0.32249325989086824</v>
      </c>
      <c r="L474" s="209">
        <f>VLOOKUP(E474,'Custos Matéria Prima Embalagens'!B:G,6,0)</f>
        <v>8.9700000000000006</v>
      </c>
      <c r="M474" s="209">
        <f t="shared" si="38"/>
        <v>2691</v>
      </c>
      <c r="N474" s="209">
        <f t="shared" si="39"/>
        <v>3.94</v>
      </c>
    </row>
    <row r="475" spans="1:14" hidden="1">
      <c r="A475" s="129" t="s">
        <v>1266</v>
      </c>
      <c r="B475" s="129" t="s">
        <v>1267</v>
      </c>
      <c r="C475" s="129" t="s">
        <v>706</v>
      </c>
      <c r="D475" s="129" t="s">
        <v>569</v>
      </c>
      <c r="E475" s="129" t="s">
        <v>1231</v>
      </c>
      <c r="F475" s="129" t="s">
        <v>1232</v>
      </c>
      <c r="G475" s="210">
        <v>5.1999999999999998E-2</v>
      </c>
      <c r="H475" s="211">
        <f t="shared" si="35"/>
        <v>930.25200000000007</v>
      </c>
      <c r="I475" s="207">
        <f>IF(F475="CONCENTRADO SEMI BRILHO",G475/'De-Para'!$B$9,G475/VLOOKUP(B475,'De-Para'!A:B,2,0))</f>
        <v>4.0944881889763779E-2</v>
      </c>
      <c r="J475" s="206">
        <f t="shared" si="36"/>
        <v>683.76141732283486</v>
      </c>
      <c r="K475" s="212">
        <f t="shared" si="37"/>
        <v>5.5898831714417165E-5</v>
      </c>
      <c r="L475" s="209">
        <f>VLOOKUP(E475,'Custos Matéria Prima Embalagens'!B:G,6,0)</f>
        <v>15.2</v>
      </c>
      <c r="M475" s="209">
        <f t="shared" si="38"/>
        <v>0.79039999999999988</v>
      </c>
      <c r="N475" s="209">
        <f t="shared" si="39"/>
        <v>0</v>
      </c>
    </row>
    <row r="476" spans="1:14" hidden="1">
      <c r="A476" s="129" t="s">
        <v>1266</v>
      </c>
      <c r="B476" s="129" t="s">
        <v>1267</v>
      </c>
      <c r="C476" s="129" t="s">
        <v>708</v>
      </c>
      <c r="D476" s="129" t="s">
        <v>660</v>
      </c>
      <c r="E476" s="129" t="s">
        <v>1197</v>
      </c>
      <c r="F476" s="129" t="s">
        <v>1198</v>
      </c>
      <c r="G476" s="210">
        <v>300</v>
      </c>
      <c r="H476" s="211">
        <f t="shared" si="35"/>
        <v>948.7</v>
      </c>
      <c r="I476" s="207">
        <f>IF(F476="CONCENTRADO SEMI BRILHO",G476/'De-Para'!$B$9,G476/VLOOKUP(B476,'De-Para'!A:B,2,0))</f>
        <v>236.22047244094489</v>
      </c>
      <c r="J476" s="206">
        <f t="shared" si="36"/>
        <v>747.00787401574814</v>
      </c>
      <c r="K476" s="212">
        <f t="shared" si="37"/>
        <v>0.31622219879835561</v>
      </c>
      <c r="L476" s="209">
        <f>VLOOKUP(E476,'Custos Matéria Prima Embalagens'!B:G,6,0)</f>
        <v>0</v>
      </c>
      <c r="M476" s="209">
        <f t="shared" si="38"/>
        <v>0</v>
      </c>
      <c r="N476" s="209">
        <f t="shared" si="39"/>
        <v>0</v>
      </c>
    </row>
    <row r="477" spans="1:14" hidden="1">
      <c r="A477" s="129" t="s">
        <v>1266</v>
      </c>
      <c r="B477" s="129" t="s">
        <v>1267</v>
      </c>
      <c r="C477" s="129" t="s">
        <v>708</v>
      </c>
      <c r="D477" s="129" t="s">
        <v>660</v>
      </c>
      <c r="E477" s="129" t="s">
        <v>1199</v>
      </c>
      <c r="F477" s="129" t="s">
        <v>1200</v>
      </c>
      <c r="G477" s="210">
        <v>1.2</v>
      </c>
      <c r="H477" s="211">
        <f t="shared" si="35"/>
        <v>948.7</v>
      </c>
      <c r="I477" s="207">
        <f>IF(F477="CONCENTRADO SEMI BRILHO",G477/'De-Para'!$B$9,G477/VLOOKUP(B477,'De-Para'!A:B,2,0))</f>
        <v>0.94488188976377951</v>
      </c>
      <c r="J477" s="206">
        <f t="shared" si="36"/>
        <v>747.00787401574814</v>
      </c>
      <c r="K477" s="212">
        <f t="shared" si="37"/>
        <v>1.2648887951934224E-3</v>
      </c>
      <c r="L477" s="209">
        <f>VLOOKUP(E477,'Custos Matéria Prima Embalagens'!B:G,6,0)</f>
        <v>17.939999999999998</v>
      </c>
      <c r="M477" s="209">
        <f t="shared" si="38"/>
        <v>21.527999999999995</v>
      </c>
      <c r="N477" s="209">
        <f t="shared" si="39"/>
        <v>0.03</v>
      </c>
    </row>
    <row r="478" spans="1:14" hidden="1">
      <c r="A478" s="129" t="s">
        <v>1266</v>
      </c>
      <c r="B478" s="129" t="s">
        <v>1267</v>
      </c>
      <c r="C478" s="129" t="s">
        <v>708</v>
      </c>
      <c r="D478" s="129" t="s">
        <v>660</v>
      </c>
      <c r="E478" s="129" t="s">
        <v>1257</v>
      </c>
      <c r="F478" s="129" t="s">
        <v>1258</v>
      </c>
      <c r="G478" s="210">
        <v>2</v>
      </c>
      <c r="H478" s="211">
        <f t="shared" si="35"/>
        <v>948.7</v>
      </c>
      <c r="I478" s="207">
        <f>IF(F478="CONCENTRADO SEMI BRILHO",G478/'De-Para'!$B$9,G478/VLOOKUP(B478,'De-Para'!A:B,2,0))</f>
        <v>1.5748031496062991</v>
      </c>
      <c r="J478" s="206">
        <f t="shared" si="36"/>
        <v>747.00787401574814</v>
      </c>
      <c r="K478" s="212">
        <f t="shared" si="37"/>
        <v>2.1081479919890377E-3</v>
      </c>
      <c r="L478" s="209">
        <f>VLOOKUP(E478,'Custos Matéria Prima Embalagens'!B:G,6,0)</f>
        <v>11.7614232033819</v>
      </c>
      <c r="M478" s="209">
        <f t="shared" si="38"/>
        <v>23.522846406763801</v>
      </c>
      <c r="N478" s="209">
        <f t="shared" si="39"/>
        <v>0.03</v>
      </c>
    </row>
    <row r="479" spans="1:14" hidden="1">
      <c r="A479" s="129" t="s">
        <v>1266</v>
      </c>
      <c r="B479" s="129" t="s">
        <v>1267</v>
      </c>
      <c r="C479" s="129" t="s">
        <v>708</v>
      </c>
      <c r="D479" s="129" t="s">
        <v>660</v>
      </c>
      <c r="E479" s="129" t="s">
        <v>1203</v>
      </c>
      <c r="F479" s="129" t="s">
        <v>1204</v>
      </c>
      <c r="G479" s="210">
        <v>2</v>
      </c>
      <c r="H479" s="211">
        <f t="shared" si="35"/>
        <v>948.7</v>
      </c>
      <c r="I479" s="207">
        <f>IF(F479="CONCENTRADO SEMI BRILHO",G479/'De-Para'!$B$9,G479/VLOOKUP(B479,'De-Para'!A:B,2,0))</f>
        <v>1.5748031496062991</v>
      </c>
      <c r="J479" s="206">
        <f t="shared" si="36"/>
        <v>747.00787401574814</v>
      </c>
      <c r="K479" s="212">
        <f t="shared" si="37"/>
        <v>2.1081479919890377E-3</v>
      </c>
      <c r="L479" s="209">
        <f>VLOOKUP(E479,'Custos Matéria Prima Embalagens'!B:G,6,0)</f>
        <v>4.9399999999999995</v>
      </c>
      <c r="M479" s="209">
        <f t="shared" si="38"/>
        <v>9.879999999999999</v>
      </c>
      <c r="N479" s="209">
        <f t="shared" si="39"/>
        <v>0.01</v>
      </c>
    </row>
    <row r="480" spans="1:14" hidden="1">
      <c r="A480" s="129" t="s">
        <v>1266</v>
      </c>
      <c r="B480" s="129" t="s">
        <v>1267</v>
      </c>
      <c r="C480" s="129" t="s">
        <v>708</v>
      </c>
      <c r="D480" s="129" t="s">
        <v>660</v>
      </c>
      <c r="E480" s="129" t="s">
        <v>1205</v>
      </c>
      <c r="F480" s="129" t="s">
        <v>1206</v>
      </c>
      <c r="G480" s="210">
        <v>2</v>
      </c>
      <c r="H480" s="211">
        <f t="shared" si="35"/>
        <v>948.7</v>
      </c>
      <c r="I480" s="207">
        <f>IF(F480="CONCENTRADO SEMI BRILHO",G480/'De-Para'!$B$9,G480/VLOOKUP(B480,'De-Para'!A:B,2,0))</f>
        <v>1.5748031496062991</v>
      </c>
      <c r="J480" s="206">
        <f t="shared" si="36"/>
        <v>747.00787401574814</v>
      </c>
      <c r="K480" s="212">
        <f t="shared" si="37"/>
        <v>2.1081479919890377E-3</v>
      </c>
      <c r="L480" s="209">
        <f>VLOOKUP(E480,'Custos Matéria Prima Embalagens'!B:G,6,0)</f>
        <v>7.33</v>
      </c>
      <c r="M480" s="209">
        <f t="shared" si="38"/>
        <v>14.66</v>
      </c>
      <c r="N480" s="209">
        <f t="shared" si="39"/>
        <v>0.02</v>
      </c>
    </row>
    <row r="481" spans="1:14" hidden="1">
      <c r="A481" s="129" t="s">
        <v>1266</v>
      </c>
      <c r="B481" s="129" t="s">
        <v>1267</v>
      </c>
      <c r="C481" s="129" t="s">
        <v>708</v>
      </c>
      <c r="D481" s="129" t="s">
        <v>660</v>
      </c>
      <c r="E481" s="129" t="s">
        <v>1207</v>
      </c>
      <c r="F481" s="129" t="s">
        <v>1208</v>
      </c>
      <c r="G481" s="210">
        <v>2</v>
      </c>
      <c r="H481" s="211">
        <f t="shared" si="35"/>
        <v>948.7</v>
      </c>
      <c r="I481" s="207">
        <f>IF(F481="CONCENTRADO SEMI BRILHO",G481/'De-Para'!$B$9,G481/VLOOKUP(B481,'De-Para'!A:B,2,0))</f>
        <v>1.5748031496062991</v>
      </c>
      <c r="J481" s="206">
        <f t="shared" si="36"/>
        <v>747.00787401574814</v>
      </c>
      <c r="K481" s="212">
        <f t="shared" si="37"/>
        <v>2.1081479919890377E-3</v>
      </c>
      <c r="L481" s="209">
        <f>VLOOKUP(E481,'Custos Matéria Prima Embalagens'!B:G,6,0)</f>
        <v>6.8599999999999994</v>
      </c>
      <c r="M481" s="209">
        <f t="shared" si="38"/>
        <v>13.719999999999999</v>
      </c>
      <c r="N481" s="209">
        <f t="shared" si="39"/>
        <v>0.02</v>
      </c>
    </row>
    <row r="482" spans="1:14" hidden="1">
      <c r="A482" s="129" t="s">
        <v>1266</v>
      </c>
      <c r="B482" s="129" t="s">
        <v>1267</v>
      </c>
      <c r="C482" s="129" t="s">
        <v>708</v>
      </c>
      <c r="D482" s="129" t="s">
        <v>660</v>
      </c>
      <c r="E482" s="129" t="s">
        <v>1217</v>
      </c>
      <c r="F482" s="129" t="s">
        <v>1218</v>
      </c>
      <c r="G482" s="210">
        <v>250</v>
      </c>
      <c r="H482" s="211">
        <f t="shared" si="35"/>
        <v>948.7</v>
      </c>
      <c r="I482" s="207">
        <f>IF(F482="CONCENTRADO SEMI BRILHO",G482/'De-Para'!$B$9,G482/VLOOKUP(B482,'De-Para'!A:B,2,0))</f>
        <v>196.85039370078741</v>
      </c>
      <c r="J482" s="206">
        <f t="shared" si="36"/>
        <v>747.00787401574814</v>
      </c>
      <c r="K482" s="212">
        <f t="shared" si="37"/>
        <v>0.26351849899862967</v>
      </c>
      <c r="L482" s="209">
        <f>VLOOKUP(E482,'Custos Matéria Prima Embalagens'!B:G,6,0)</f>
        <v>8.43</v>
      </c>
      <c r="M482" s="209">
        <f t="shared" si="38"/>
        <v>2107.5</v>
      </c>
      <c r="N482" s="209">
        <f t="shared" si="39"/>
        <v>2.82</v>
      </c>
    </row>
    <row r="483" spans="1:14" hidden="1">
      <c r="A483" s="129" t="s">
        <v>1266</v>
      </c>
      <c r="B483" s="129" t="s">
        <v>1267</v>
      </c>
      <c r="C483" s="129" t="s">
        <v>708</v>
      </c>
      <c r="D483" s="129" t="s">
        <v>660</v>
      </c>
      <c r="E483" s="129" t="s">
        <v>1229</v>
      </c>
      <c r="F483" s="129" t="s">
        <v>1230</v>
      </c>
      <c r="G483" s="210">
        <v>10</v>
      </c>
      <c r="H483" s="211">
        <f t="shared" si="35"/>
        <v>948.7</v>
      </c>
      <c r="I483" s="207">
        <f>IF(F483="CONCENTRADO SEMI BRILHO",G483/'De-Para'!$B$9,G483/VLOOKUP(B483,'De-Para'!A:B,2,0))</f>
        <v>7.8740157480314963</v>
      </c>
      <c r="J483" s="206">
        <f t="shared" si="36"/>
        <v>747.00787401574814</v>
      </c>
      <c r="K483" s="212">
        <f t="shared" si="37"/>
        <v>1.0540739959945188E-2</v>
      </c>
      <c r="L483" s="209">
        <f>VLOOKUP(E483,'Custos Matéria Prima Embalagens'!B:G,6,0)</f>
        <v>19.22</v>
      </c>
      <c r="M483" s="209">
        <f t="shared" si="38"/>
        <v>192.2</v>
      </c>
      <c r="N483" s="209">
        <f t="shared" si="39"/>
        <v>0.26</v>
      </c>
    </row>
    <row r="484" spans="1:14" hidden="1">
      <c r="A484" s="129" t="s">
        <v>1266</v>
      </c>
      <c r="B484" s="129" t="s">
        <v>1267</v>
      </c>
      <c r="C484" s="129" t="s">
        <v>708</v>
      </c>
      <c r="D484" s="129" t="s">
        <v>660</v>
      </c>
      <c r="E484" s="129" t="s">
        <v>1261</v>
      </c>
      <c r="F484" s="129" t="s">
        <v>1262</v>
      </c>
      <c r="G484" s="210">
        <v>10</v>
      </c>
      <c r="H484" s="211">
        <f t="shared" si="35"/>
        <v>948.7</v>
      </c>
      <c r="I484" s="207">
        <f>IF(F484="CONCENTRADO SEMI BRILHO",G484/'De-Para'!$B$9,G484/VLOOKUP(B484,'De-Para'!A:B,2,0))</f>
        <v>7.8740157480314963</v>
      </c>
      <c r="J484" s="206">
        <f t="shared" si="36"/>
        <v>747.00787401574814</v>
      </c>
      <c r="K484" s="212">
        <f t="shared" si="37"/>
        <v>1.0540739959945188E-2</v>
      </c>
      <c r="L484" s="209">
        <f>VLOOKUP(E484,'Custos Matéria Prima Embalagens'!B:G,6,0)</f>
        <v>31.4314232033819</v>
      </c>
      <c r="M484" s="209">
        <f t="shared" si="38"/>
        <v>314.314232033819</v>
      </c>
      <c r="N484" s="209">
        <f t="shared" si="39"/>
        <v>0.42</v>
      </c>
    </row>
    <row r="485" spans="1:14" hidden="1">
      <c r="A485" s="129" t="s">
        <v>1266</v>
      </c>
      <c r="B485" s="129" t="s">
        <v>1267</v>
      </c>
      <c r="C485" s="129" t="s">
        <v>708</v>
      </c>
      <c r="D485" s="129" t="s">
        <v>660</v>
      </c>
      <c r="E485" s="129" t="s">
        <v>1209</v>
      </c>
      <c r="F485" s="129" t="s">
        <v>1210</v>
      </c>
      <c r="G485" s="210">
        <v>3</v>
      </c>
      <c r="H485" s="211">
        <f t="shared" si="35"/>
        <v>948.7</v>
      </c>
      <c r="I485" s="207">
        <f>IF(F485="CONCENTRADO SEMI BRILHO",G485/'De-Para'!$B$9,G485/VLOOKUP(B485,'De-Para'!A:B,2,0))</f>
        <v>2.3622047244094486</v>
      </c>
      <c r="J485" s="206">
        <f t="shared" si="36"/>
        <v>747.00787401574814</v>
      </c>
      <c r="K485" s="212">
        <f t="shared" si="37"/>
        <v>3.1622219879835563E-3</v>
      </c>
      <c r="L485" s="209">
        <f>VLOOKUP(E485,'Custos Matéria Prima Embalagens'!B:G,6,0)</f>
        <v>7</v>
      </c>
      <c r="M485" s="209">
        <f t="shared" si="38"/>
        <v>21</v>
      </c>
      <c r="N485" s="209">
        <f t="shared" si="39"/>
        <v>0.03</v>
      </c>
    </row>
    <row r="486" spans="1:14" hidden="1">
      <c r="A486" s="129" t="s">
        <v>1266</v>
      </c>
      <c r="B486" s="129" t="s">
        <v>1267</v>
      </c>
      <c r="C486" s="129" t="s">
        <v>708</v>
      </c>
      <c r="D486" s="129" t="s">
        <v>660</v>
      </c>
      <c r="E486" s="129" t="s">
        <v>1219</v>
      </c>
      <c r="F486" s="129" t="s">
        <v>1220</v>
      </c>
      <c r="G486" s="210">
        <v>11</v>
      </c>
      <c r="H486" s="211">
        <f t="shared" si="35"/>
        <v>948.7</v>
      </c>
      <c r="I486" s="207">
        <f>IF(F486="CONCENTRADO SEMI BRILHO",G486/'De-Para'!$B$9,G486/VLOOKUP(B486,'De-Para'!A:B,2,0))</f>
        <v>8.6614173228346463</v>
      </c>
      <c r="J486" s="206">
        <f t="shared" si="36"/>
        <v>747.00787401574814</v>
      </c>
      <c r="K486" s="212">
        <f t="shared" si="37"/>
        <v>1.1594813955939707E-2</v>
      </c>
      <c r="L486" s="209">
        <f>VLOOKUP(E486,'Custos Matéria Prima Embalagens'!B:G,6,0)</f>
        <v>4.9800000000000004</v>
      </c>
      <c r="M486" s="209">
        <f t="shared" si="38"/>
        <v>54.78</v>
      </c>
      <c r="N486" s="209">
        <f t="shared" si="39"/>
        <v>7.0000000000000007E-2</v>
      </c>
    </row>
    <row r="487" spans="1:14" hidden="1">
      <c r="A487" s="129" t="s">
        <v>1266</v>
      </c>
      <c r="B487" s="129" t="s">
        <v>1267</v>
      </c>
      <c r="C487" s="129" t="s">
        <v>708</v>
      </c>
      <c r="D487" s="129" t="s">
        <v>660</v>
      </c>
      <c r="E487" s="129" t="s">
        <v>1268</v>
      </c>
      <c r="F487" s="129" t="s">
        <v>1269</v>
      </c>
      <c r="G487" s="210">
        <v>20</v>
      </c>
      <c r="H487" s="211">
        <f t="shared" si="35"/>
        <v>948.7</v>
      </c>
      <c r="I487" s="207">
        <f>IF(F487="CONCENTRADO SEMI BRILHO",G487/'De-Para'!$B$9,G487/VLOOKUP(B487,'De-Para'!A:B,2,0))</f>
        <v>15.748031496062993</v>
      </c>
      <c r="J487" s="206">
        <f t="shared" si="36"/>
        <v>747.00787401574814</v>
      </c>
      <c r="K487" s="212">
        <f t="shared" si="37"/>
        <v>2.1081479919890376E-2</v>
      </c>
      <c r="L487" s="209">
        <f>VLOOKUP(E487,'Custos Matéria Prima Embalagens'!B:G,6,0)</f>
        <v>10.37</v>
      </c>
      <c r="M487" s="209">
        <f t="shared" si="38"/>
        <v>207.39999999999998</v>
      </c>
      <c r="N487" s="209">
        <f t="shared" si="39"/>
        <v>0.28000000000000003</v>
      </c>
    </row>
    <row r="488" spans="1:14" hidden="1">
      <c r="A488" s="129" t="s">
        <v>1266</v>
      </c>
      <c r="B488" s="129" t="s">
        <v>1267</v>
      </c>
      <c r="C488" s="129" t="s">
        <v>708</v>
      </c>
      <c r="D488" s="129" t="s">
        <v>660</v>
      </c>
      <c r="E488" s="129" t="s">
        <v>1221</v>
      </c>
      <c r="F488" s="129" t="s">
        <v>1222</v>
      </c>
      <c r="G488" s="210">
        <v>17</v>
      </c>
      <c r="H488" s="211">
        <f t="shared" si="35"/>
        <v>948.7</v>
      </c>
      <c r="I488" s="207">
        <f>IF(F488="CONCENTRADO SEMI BRILHO",G488/'De-Para'!$B$9,G488/VLOOKUP(B488,'De-Para'!A:B,2,0))</f>
        <v>13.385826771653543</v>
      </c>
      <c r="J488" s="206">
        <f t="shared" si="36"/>
        <v>747.00787401574814</v>
      </c>
      <c r="K488" s="212">
        <f t="shared" si="37"/>
        <v>1.791925793190682E-2</v>
      </c>
      <c r="L488" s="209">
        <f>VLOOKUP(E488,'Custos Matéria Prima Embalagens'!B:G,6,0)</f>
        <v>7.9049999999999994</v>
      </c>
      <c r="M488" s="209">
        <f t="shared" si="38"/>
        <v>134.38499999999999</v>
      </c>
      <c r="N488" s="209">
        <f t="shared" si="39"/>
        <v>0.18</v>
      </c>
    </row>
    <row r="489" spans="1:14" hidden="1">
      <c r="A489" s="129" t="s">
        <v>1266</v>
      </c>
      <c r="B489" s="129" t="s">
        <v>1267</v>
      </c>
      <c r="C489" s="129" t="s">
        <v>708</v>
      </c>
      <c r="D489" s="129" t="s">
        <v>660</v>
      </c>
      <c r="E489" s="129" t="s">
        <v>1270</v>
      </c>
      <c r="F489" s="129" t="s">
        <v>1272</v>
      </c>
      <c r="G489" s="210">
        <v>300</v>
      </c>
      <c r="H489" s="211">
        <f t="shared" si="35"/>
        <v>948.7</v>
      </c>
      <c r="I489" s="207">
        <f>IF(F489="CONCENTRADO SEMI BRILHO",G489/'De-Para'!$B$9,G489/VLOOKUP(B489,'De-Para'!A:B,2,0))</f>
        <v>236.22047244094489</v>
      </c>
      <c r="J489" s="206">
        <f t="shared" si="36"/>
        <v>747.00787401574814</v>
      </c>
      <c r="K489" s="212">
        <f t="shared" si="37"/>
        <v>0.31622219879835561</v>
      </c>
      <c r="L489" s="209">
        <f>VLOOKUP(E489,'Custos Matéria Prima Embalagens'!B:G,6,0)</f>
        <v>8.9700000000000006</v>
      </c>
      <c r="M489" s="209">
        <f t="shared" si="38"/>
        <v>2691</v>
      </c>
      <c r="N489" s="209">
        <f t="shared" si="39"/>
        <v>3.6</v>
      </c>
    </row>
    <row r="490" spans="1:14" hidden="1">
      <c r="A490" s="129" t="s">
        <v>1266</v>
      </c>
      <c r="B490" s="129" t="s">
        <v>1267</v>
      </c>
      <c r="C490" s="129" t="s">
        <v>708</v>
      </c>
      <c r="D490" s="129" t="s">
        <v>660</v>
      </c>
      <c r="E490" s="129" t="s">
        <v>1235</v>
      </c>
      <c r="F490" s="129" t="s">
        <v>1236</v>
      </c>
      <c r="G490" s="210">
        <v>7.4</v>
      </c>
      <c r="H490" s="211">
        <f t="shared" si="35"/>
        <v>948.7</v>
      </c>
      <c r="I490" s="207">
        <f>IF(F490="CONCENTRADO SEMI BRILHO",G490/'De-Para'!$B$9,G490/VLOOKUP(B490,'De-Para'!A:B,2,0))</f>
        <v>5.8267716535433074</v>
      </c>
      <c r="J490" s="206">
        <f t="shared" si="36"/>
        <v>747.00787401574814</v>
      </c>
      <c r="K490" s="212">
        <f t="shared" si="37"/>
        <v>7.8001475703594388E-3</v>
      </c>
      <c r="L490" s="209">
        <f>VLOOKUP(E490,'Custos Matéria Prima Embalagens'!B:G,6,0)</f>
        <v>46.089999999999996</v>
      </c>
      <c r="M490" s="209">
        <f t="shared" si="38"/>
        <v>341.06599999999997</v>
      </c>
      <c r="N490" s="209">
        <f t="shared" si="39"/>
        <v>0.46</v>
      </c>
    </row>
    <row r="491" spans="1:14" hidden="1">
      <c r="A491" s="129" t="s">
        <v>1266</v>
      </c>
      <c r="B491" s="129" t="s">
        <v>1267</v>
      </c>
      <c r="C491" s="129" t="s">
        <v>708</v>
      </c>
      <c r="D491" s="129" t="s">
        <v>660</v>
      </c>
      <c r="E491" s="129" t="s">
        <v>1239</v>
      </c>
      <c r="F491" s="129" t="s">
        <v>1240</v>
      </c>
      <c r="G491" s="210">
        <v>4</v>
      </c>
      <c r="H491" s="211">
        <f t="shared" si="35"/>
        <v>948.7</v>
      </c>
      <c r="I491" s="207">
        <f>IF(F491="CONCENTRADO SEMI BRILHO",G491/'De-Para'!$B$9,G491/VLOOKUP(B491,'De-Para'!A:B,2,0))</f>
        <v>3.1496062992125982</v>
      </c>
      <c r="J491" s="206">
        <f t="shared" si="36"/>
        <v>747.00787401574814</v>
      </c>
      <c r="K491" s="212">
        <f t="shared" si="37"/>
        <v>4.2162959839780753E-3</v>
      </c>
      <c r="L491" s="209">
        <f>VLOOKUP(E491,'Custos Matéria Prima Embalagens'!B:G,6,0)</f>
        <v>21.11</v>
      </c>
      <c r="M491" s="209">
        <f t="shared" si="38"/>
        <v>84.44</v>
      </c>
      <c r="N491" s="209">
        <f t="shared" si="39"/>
        <v>0.11</v>
      </c>
    </row>
    <row r="492" spans="1:14" hidden="1">
      <c r="A492" s="129" t="s">
        <v>1266</v>
      </c>
      <c r="B492" s="129" t="s">
        <v>1267</v>
      </c>
      <c r="C492" s="129" t="s">
        <v>708</v>
      </c>
      <c r="D492" s="129" t="s">
        <v>660</v>
      </c>
      <c r="E492" s="129" t="s">
        <v>1273</v>
      </c>
      <c r="F492" s="129" t="s">
        <v>1234</v>
      </c>
      <c r="G492" s="210">
        <v>7.1</v>
      </c>
      <c r="H492" s="211">
        <f t="shared" si="35"/>
        <v>948.7</v>
      </c>
      <c r="I492" s="207">
        <f>IF(F492="CONCENTRADO SEMI BRILHO",G492/'De-Para'!$B$9,G492/VLOOKUP(B492,'De-Para'!A:B,2,0))</f>
        <v>5.590551181102362</v>
      </c>
      <c r="J492" s="206">
        <f t="shared" si="36"/>
        <v>747.00787401574814</v>
      </c>
      <c r="K492" s="212">
        <f t="shared" si="37"/>
        <v>7.4839253715610829E-3</v>
      </c>
      <c r="L492" s="209">
        <f>VLOOKUP(E492,'Custos Matéria Prima Embalagens'!B:G,6,0)</f>
        <v>15.600000000000001</v>
      </c>
      <c r="M492" s="209">
        <f t="shared" si="38"/>
        <v>110.76</v>
      </c>
      <c r="N492" s="209">
        <f t="shared" si="39"/>
        <v>0.15</v>
      </c>
    </row>
    <row r="493" spans="1:14" hidden="1">
      <c r="A493" s="129" t="s">
        <v>1266</v>
      </c>
      <c r="B493" s="129" t="s">
        <v>1267</v>
      </c>
      <c r="C493" s="129" t="s">
        <v>710</v>
      </c>
      <c r="D493" s="129" t="s">
        <v>572</v>
      </c>
      <c r="E493" s="129" t="s">
        <v>1197</v>
      </c>
      <c r="F493" s="129" t="s">
        <v>1198</v>
      </c>
      <c r="G493" s="210">
        <v>300</v>
      </c>
      <c r="H493" s="211">
        <f t="shared" si="35"/>
        <v>934.40000000000009</v>
      </c>
      <c r="I493" s="207">
        <f>IF(F493="CONCENTRADO SEMI BRILHO",G493/'De-Para'!$B$9,G493/VLOOKUP(B493,'De-Para'!A:B,2,0))</f>
        <v>236.22047244094489</v>
      </c>
      <c r="J493" s="206">
        <f t="shared" si="36"/>
        <v>735.74803149606316</v>
      </c>
      <c r="K493" s="212">
        <f t="shared" si="37"/>
        <v>0.32106164383561642</v>
      </c>
      <c r="L493" s="209">
        <f>VLOOKUP(E493,'Custos Matéria Prima Embalagens'!B:G,6,0)</f>
        <v>0</v>
      </c>
      <c r="M493" s="209">
        <f t="shared" si="38"/>
        <v>0</v>
      </c>
      <c r="N493" s="209">
        <f t="shared" si="39"/>
        <v>0</v>
      </c>
    </row>
    <row r="494" spans="1:14" hidden="1">
      <c r="A494" s="129" t="s">
        <v>1266</v>
      </c>
      <c r="B494" s="129" t="s">
        <v>1267</v>
      </c>
      <c r="C494" s="129" t="s">
        <v>710</v>
      </c>
      <c r="D494" s="129" t="s">
        <v>572</v>
      </c>
      <c r="E494" s="129" t="s">
        <v>1199</v>
      </c>
      <c r="F494" s="129" t="s">
        <v>1200</v>
      </c>
      <c r="G494" s="210">
        <v>1.2</v>
      </c>
      <c r="H494" s="211">
        <f t="shared" si="35"/>
        <v>934.40000000000009</v>
      </c>
      <c r="I494" s="207">
        <f>IF(F494="CONCENTRADO SEMI BRILHO",G494/'De-Para'!$B$9,G494/VLOOKUP(B494,'De-Para'!A:B,2,0))</f>
        <v>0.94488188976377951</v>
      </c>
      <c r="J494" s="206">
        <f t="shared" si="36"/>
        <v>735.74803149606316</v>
      </c>
      <c r="K494" s="212">
        <f t="shared" si="37"/>
        <v>1.2842465753424657E-3</v>
      </c>
      <c r="L494" s="209">
        <f>VLOOKUP(E494,'Custos Matéria Prima Embalagens'!B:G,6,0)</f>
        <v>17.939999999999998</v>
      </c>
      <c r="M494" s="209">
        <f t="shared" si="38"/>
        <v>21.527999999999995</v>
      </c>
      <c r="N494" s="209">
        <f t="shared" si="39"/>
        <v>0.03</v>
      </c>
    </row>
    <row r="495" spans="1:14" hidden="1">
      <c r="A495" s="129" t="s">
        <v>1266</v>
      </c>
      <c r="B495" s="129" t="s">
        <v>1267</v>
      </c>
      <c r="C495" s="129" t="s">
        <v>710</v>
      </c>
      <c r="D495" s="129" t="s">
        <v>572</v>
      </c>
      <c r="E495" s="129" t="s">
        <v>1257</v>
      </c>
      <c r="F495" s="129" t="s">
        <v>1258</v>
      </c>
      <c r="G495" s="210">
        <v>2</v>
      </c>
      <c r="H495" s="211">
        <f t="shared" si="35"/>
        <v>934.40000000000009</v>
      </c>
      <c r="I495" s="207">
        <f>IF(F495="CONCENTRADO SEMI BRILHO",G495/'De-Para'!$B$9,G495/VLOOKUP(B495,'De-Para'!A:B,2,0))</f>
        <v>1.5748031496062991</v>
      </c>
      <c r="J495" s="206">
        <f t="shared" si="36"/>
        <v>735.74803149606316</v>
      </c>
      <c r="K495" s="212">
        <f t="shared" si="37"/>
        <v>2.1404109589041095E-3</v>
      </c>
      <c r="L495" s="209">
        <f>VLOOKUP(E495,'Custos Matéria Prima Embalagens'!B:G,6,0)</f>
        <v>11.7614232033819</v>
      </c>
      <c r="M495" s="209">
        <f t="shared" si="38"/>
        <v>23.522846406763801</v>
      </c>
      <c r="N495" s="209">
        <f t="shared" si="39"/>
        <v>0.03</v>
      </c>
    </row>
    <row r="496" spans="1:14" hidden="1">
      <c r="A496" s="129" t="s">
        <v>1266</v>
      </c>
      <c r="B496" s="129" t="s">
        <v>1267</v>
      </c>
      <c r="C496" s="129" t="s">
        <v>710</v>
      </c>
      <c r="D496" s="129" t="s">
        <v>572</v>
      </c>
      <c r="E496" s="129" t="s">
        <v>1203</v>
      </c>
      <c r="F496" s="129" t="s">
        <v>1204</v>
      </c>
      <c r="G496" s="210">
        <v>2</v>
      </c>
      <c r="H496" s="211">
        <f t="shared" si="35"/>
        <v>934.40000000000009</v>
      </c>
      <c r="I496" s="207">
        <f>IF(F496="CONCENTRADO SEMI BRILHO",G496/'De-Para'!$B$9,G496/VLOOKUP(B496,'De-Para'!A:B,2,0))</f>
        <v>1.5748031496062991</v>
      </c>
      <c r="J496" s="206">
        <f t="shared" si="36"/>
        <v>735.74803149606316</v>
      </c>
      <c r="K496" s="212">
        <f t="shared" si="37"/>
        <v>2.1404109589041095E-3</v>
      </c>
      <c r="L496" s="209">
        <f>VLOOKUP(E496,'Custos Matéria Prima Embalagens'!B:G,6,0)</f>
        <v>4.9399999999999995</v>
      </c>
      <c r="M496" s="209">
        <f t="shared" si="38"/>
        <v>9.879999999999999</v>
      </c>
      <c r="N496" s="209">
        <f t="shared" si="39"/>
        <v>0.01</v>
      </c>
    </row>
    <row r="497" spans="1:14" hidden="1">
      <c r="A497" s="129" t="s">
        <v>1266</v>
      </c>
      <c r="B497" s="129" t="s">
        <v>1267</v>
      </c>
      <c r="C497" s="129" t="s">
        <v>710</v>
      </c>
      <c r="D497" s="129" t="s">
        <v>572</v>
      </c>
      <c r="E497" s="129" t="s">
        <v>1205</v>
      </c>
      <c r="F497" s="129" t="s">
        <v>1206</v>
      </c>
      <c r="G497" s="210">
        <v>2</v>
      </c>
      <c r="H497" s="211">
        <f t="shared" si="35"/>
        <v>934.40000000000009</v>
      </c>
      <c r="I497" s="207">
        <f>IF(F497="CONCENTRADO SEMI BRILHO",G497/'De-Para'!$B$9,G497/VLOOKUP(B497,'De-Para'!A:B,2,0))</f>
        <v>1.5748031496062991</v>
      </c>
      <c r="J497" s="206">
        <f t="shared" si="36"/>
        <v>735.74803149606316</v>
      </c>
      <c r="K497" s="212">
        <f t="shared" si="37"/>
        <v>2.1404109589041095E-3</v>
      </c>
      <c r="L497" s="209">
        <f>VLOOKUP(E497,'Custos Matéria Prima Embalagens'!B:G,6,0)</f>
        <v>7.33</v>
      </c>
      <c r="M497" s="209">
        <f t="shared" si="38"/>
        <v>14.66</v>
      </c>
      <c r="N497" s="209">
        <f t="shared" si="39"/>
        <v>0.02</v>
      </c>
    </row>
    <row r="498" spans="1:14" hidden="1">
      <c r="A498" s="129" t="s">
        <v>1266</v>
      </c>
      <c r="B498" s="129" t="s">
        <v>1267</v>
      </c>
      <c r="C498" s="129" t="s">
        <v>710</v>
      </c>
      <c r="D498" s="129" t="s">
        <v>572</v>
      </c>
      <c r="E498" s="129" t="s">
        <v>1207</v>
      </c>
      <c r="F498" s="129" t="s">
        <v>1208</v>
      </c>
      <c r="G498" s="210">
        <v>2</v>
      </c>
      <c r="H498" s="211">
        <f t="shared" si="35"/>
        <v>934.40000000000009</v>
      </c>
      <c r="I498" s="207">
        <f>IF(F498="CONCENTRADO SEMI BRILHO",G498/'De-Para'!$B$9,G498/VLOOKUP(B498,'De-Para'!A:B,2,0))</f>
        <v>1.5748031496062991</v>
      </c>
      <c r="J498" s="206">
        <f t="shared" si="36"/>
        <v>735.74803149606316</v>
      </c>
      <c r="K498" s="212">
        <f t="shared" si="37"/>
        <v>2.1404109589041095E-3</v>
      </c>
      <c r="L498" s="209">
        <f>VLOOKUP(E498,'Custos Matéria Prima Embalagens'!B:G,6,0)</f>
        <v>6.8599999999999994</v>
      </c>
      <c r="M498" s="209">
        <f t="shared" si="38"/>
        <v>13.719999999999999</v>
      </c>
      <c r="N498" s="209">
        <f t="shared" si="39"/>
        <v>0.02</v>
      </c>
    </row>
    <row r="499" spans="1:14" hidden="1">
      <c r="A499" s="129" t="s">
        <v>1266</v>
      </c>
      <c r="B499" s="129" t="s">
        <v>1267</v>
      </c>
      <c r="C499" s="129" t="s">
        <v>710</v>
      </c>
      <c r="D499" s="129" t="s">
        <v>572</v>
      </c>
      <c r="E499" s="129" t="s">
        <v>1217</v>
      </c>
      <c r="F499" s="129" t="s">
        <v>1218</v>
      </c>
      <c r="G499" s="210">
        <v>250</v>
      </c>
      <c r="H499" s="211">
        <f t="shared" si="35"/>
        <v>934.40000000000009</v>
      </c>
      <c r="I499" s="207">
        <f>IF(F499="CONCENTRADO SEMI BRILHO",G499/'De-Para'!$B$9,G499/VLOOKUP(B499,'De-Para'!A:B,2,0))</f>
        <v>196.85039370078741</v>
      </c>
      <c r="J499" s="206">
        <f t="shared" si="36"/>
        <v>735.74803149606316</v>
      </c>
      <c r="K499" s="212">
        <f t="shared" si="37"/>
        <v>0.2675513698630137</v>
      </c>
      <c r="L499" s="209">
        <f>VLOOKUP(E499,'Custos Matéria Prima Embalagens'!B:G,6,0)</f>
        <v>8.43</v>
      </c>
      <c r="M499" s="209">
        <f t="shared" si="38"/>
        <v>2107.5</v>
      </c>
      <c r="N499" s="209">
        <f t="shared" si="39"/>
        <v>2.86</v>
      </c>
    </row>
    <row r="500" spans="1:14" hidden="1">
      <c r="A500" s="129" t="s">
        <v>1266</v>
      </c>
      <c r="B500" s="129" t="s">
        <v>1267</v>
      </c>
      <c r="C500" s="129" t="s">
        <v>710</v>
      </c>
      <c r="D500" s="129" t="s">
        <v>572</v>
      </c>
      <c r="E500" s="129" t="s">
        <v>1229</v>
      </c>
      <c r="F500" s="129" t="s">
        <v>1230</v>
      </c>
      <c r="G500" s="210">
        <v>10</v>
      </c>
      <c r="H500" s="211">
        <f t="shared" si="35"/>
        <v>934.40000000000009</v>
      </c>
      <c r="I500" s="207">
        <f>IF(F500="CONCENTRADO SEMI BRILHO",G500/'De-Para'!$B$9,G500/VLOOKUP(B500,'De-Para'!A:B,2,0))</f>
        <v>7.8740157480314963</v>
      </c>
      <c r="J500" s="206">
        <f t="shared" si="36"/>
        <v>735.74803149606316</v>
      </c>
      <c r="K500" s="212">
        <f t="shared" si="37"/>
        <v>1.0702054794520547E-2</v>
      </c>
      <c r="L500" s="209">
        <f>VLOOKUP(E500,'Custos Matéria Prima Embalagens'!B:G,6,0)</f>
        <v>19.22</v>
      </c>
      <c r="M500" s="209">
        <f t="shared" si="38"/>
        <v>192.2</v>
      </c>
      <c r="N500" s="209">
        <f t="shared" si="39"/>
        <v>0.26</v>
      </c>
    </row>
    <row r="501" spans="1:14" hidden="1">
      <c r="A501" s="129" t="s">
        <v>1266</v>
      </c>
      <c r="B501" s="129" t="s">
        <v>1267</v>
      </c>
      <c r="C501" s="129" t="s">
        <v>710</v>
      </c>
      <c r="D501" s="129" t="s">
        <v>572</v>
      </c>
      <c r="E501" s="129" t="s">
        <v>1261</v>
      </c>
      <c r="F501" s="129" t="s">
        <v>1262</v>
      </c>
      <c r="G501" s="210">
        <v>10</v>
      </c>
      <c r="H501" s="211">
        <f t="shared" si="35"/>
        <v>934.40000000000009</v>
      </c>
      <c r="I501" s="207">
        <f>IF(F501="CONCENTRADO SEMI BRILHO",G501/'De-Para'!$B$9,G501/VLOOKUP(B501,'De-Para'!A:B,2,0))</f>
        <v>7.8740157480314963</v>
      </c>
      <c r="J501" s="206">
        <f t="shared" si="36"/>
        <v>735.74803149606316</v>
      </c>
      <c r="K501" s="212">
        <f t="shared" si="37"/>
        <v>1.0702054794520547E-2</v>
      </c>
      <c r="L501" s="209">
        <f>VLOOKUP(E501,'Custos Matéria Prima Embalagens'!B:G,6,0)</f>
        <v>31.4314232033819</v>
      </c>
      <c r="M501" s="209">
        <f t="shared" si="38"/>
        <v>314.314232033819</v>
      </c>
      <c r="N501" s="209">
        <f t="shared" si="39"/>
        <v>0.43</v>
      </c>
    </row>
    <row r="502" spans="1:14" hidden="1">
      <c r="A502" s="129" t="s">
        <v>1266</v>
      </c>
      <c r="B502" s="129" t="s">
        <v>1267</v>
      </c>
      <c r="C502" s="129" t="s">
        <v>710</v>
      </c>
      <c r="D502" s="129" t="s">
        <v>572</v>
      </c>
      <c r="E502" s="129" t="s">
        <v>1209</v>
      </c>
      <c r="F502" s="129" t="s">
        <v>1210</v>
      </c>
      <c r="G502" s="210">
        <v>3</v>
      </c>
      <c r="H502" s="211">
        <f t="shared" si="35"/>
        <v>934.40000000000009</v>
      </c>
      <c r="I502" s="207">
        <f>IF(F502="CONCENTRADO SEMI BRILHO",G502/'De-Para'!$B$9,G502/VLOOKUP(B502,'De-Para'!A:B,2,0))</f>
        <v>2.3622047244094486</v>
      </c>
      <c r="J502" s="206">
        <f t="shared" si="36"/>
        <v>735.74803149606316</v>
      </c>
      <c r="K502" s="212">
        <f t="shared" si="37"/>
        <v>3.2106164383561642E-3</v>
      </c>
      <c r="L502" s="209">
        <f>VLOOKUP(E502,'Custos Matéria Prima Embalagens'!B:G,6,0)</f>
        <v>7</v>
      </c>
      <c r="M502" s="209">
        <f t="shared" si="38"/>
        <v>21</v>
      </c>
      <c r="N502" s="209">
        <f t="shared" si="39"/>
        <v>0.03</v>
      </c>
    </row>
    <row r="503" spans="1:14" hidden="1">
      <c r="A503" s="129" t="s">
        <v>1266</v>
      </c>
      <c r="B503" s="129" t="s">
        <v>1267</v>
      </c>
      <c r="C503" s="129" t="s">
        <v>710</v>
      </c>
      <c r="D503" s="129" t="s">
        <v>572</v>
      </c>
      <c r="E503" s="129" t="s">
        <v>1219</v>
      </c>
      <c r="F503" s="129" t="s">
        <v>1220</v>
      </c>
      <c r="G503" s="210">
        <v>11</v>
      </c>
      <c r="H503" s="211">
        <f t="shared" si="35"/>
        <v>934.40000000000009</v>
      </c>
      <c r="I503" s="207">
        <f>IF(F503="CONCENTRADO SEMI BRILHO",G503/'De-Para'!$B$9,G503/VLOOKUP(B503,'De-Para'!A:B,2,0))</f>
        <v>8.6614173228346463</v>
      </c>
      <c r="J503" s="206">
        <f t="shared" si="36"/>
        <v>735.74803149606316</v>
      </c>
      <c r="K503" s="212">
        <f t="shared" si="37"/>
        <v>1.1772260273972601E-2</v>
      </c>
      <c r="L503" s="209">
        <f>VLOOKUP(E503,'Custos Matéria Prima Embalagens'!B:G,6,0)</f>
        <v>4.9800000000000004</v>
      </c>
      <c r="M503" s="209">
        <f t="shared" si="38"/>
        <v>54.78</v>
      </c>
      <c r="N503" s="209">
        <f t="shared" si="39"/>
        <v>7.0000000000000007E-2</v>
      </c>
    </row>
    <row r="504" spans="1:14" hidden="1">
      <c r="A504" s="129" t="s">
        <v>1266</v>
      </c>
      <c r="B504" s="129" t="s">
        <v>1267</v>
      </c>
      <c r="C504" s="129" t="s">
        <v>710</v>
      </c>
      <c r="D504" s="129" t="s">
        <v>572</v>
      </c>
      <c r="E504" s="129" t="s">
        <v>1268</v>
      </c>
      <c r="F504" s="129" t="s">
        <v>1269</v>
      </c>
      <c r="G504" s="210">
        <v>20</v>
      </c>
      <c r="H504" s="211">
        <f t="shared" si="35"/>
        <v>934.40000000000009</v>
      </c>
      <c r="I504" s="207">
        <f>IF(F504="CONCENTRADO SEMI BRILHO",G504/'De-Para'!$B$9,G504/VLOOKUP(B504,'De-Para'!A:B,2,0))</f>
        <v>15.748031496062993</v>
      </c>
      <c r="J504" s="206">
        <f t="shared" si="36"/>
        <v>735.74803149606316</v>
      </c>
      <c r="K504" s="212">
        <f t="shared" si="37"/>
        <v>2.1404109589041095E-2</v>
      </c>
      <c r="L504" s="209">
        <f>VLOOKUP(E504,'Custos Matéria Prima Embalagens'!B:G,6,0)</f>
        <v>10.37</v>
      </c>
      <c r="M504" s="209">
        <f t="shared" si="38"/>
        <v>207.39999999999998</v>
      </c>
      <c r="N504" s="209">
        <f t="shared" si="39"/>
        <v>0.28000000000000003</v>
      </c>
    </row>
    <row r="505" spans="1:14" hidden="1">
      <c r="A505" s="129" t="s">
        <v>1266</v>
      </c>
      <c r="B505" s="129" t="s">
        <v>1267</v>
      </c>
      <c r="C505" s="129" t="s">
        <v>710</v>
      </c>
      <c r="D505" s="129" t="s">
        <v>572</v>
      </c>
      <c r="E505" s="129" t="s">
        <v>1221</v>
      </c>
      <c r="F505" s="129" t="s">
        <v>1222</v>
      </c>
      <c r="G505" s="210">
        <v>17</v>
      </c>
      <c r="H505" s="211">
        <f t="shared" si="35"/>
        <v>934.40000000000009</v>
      </c>
      <c r="I505" s="207">
        <f>IF(F505="CONCENTRADO SEMI BRILHO",G505/'De-Para'!$B$9,G505/VLOOKUP(B505,'De-Para'!A:B,2,0))</f>
        <v>13.385826771653543</v>
      </c>
      <c r="J505" s="206">
        <f t="shared" si="36"/>
        <v>735.74803149606316</v>
      </c>
      <c r="K505" s="212">
        <f t="shared" si="37"/>
        <v>1.8193493150684931E-2</v>
      </c>
      <c r="L505" s="209">
        <f>VLOOKUP(E505,'Custos Matéria Prima Embalagens'!B:G,6,0)</f>
        <v>7.9049999999999994</v>
      </c>
      <c r="M505" s="209">
        <f t="shared" si="38"/>
        <v>134.38499999999999</v>
      </c>
      <c r="N505" s="209">
        <f t="shared" si="39"/>
        <v>0.18</v>
      </c>
    </row>
    <row r="506" spans="1:14" hidden="1">
      <c r="A506" s="129" t="s">
        <v>1266</v>
      </c>
      <c r="B506" s="129" t="s">
        <v>1267</v>
      </c>
      <c r="C506" s="129" t="s">
        <v>710</v>
      </c>
      <c r="D506" s="129" t="s">
        <v>572</v>
      </c>
      <c r="E506" s="129" t="s">
        <v>1270</v>
      </c>
      <c r="F506" s="129" t="s">
        <v>1272</v>
      </c>
      <c r="G506" s="210">
        <v>300</v>
      </c>
      <c r="H506" s="211">
        <f t="shared" si="35"/>
        <v>934.40000000000009</v>
      </c>
      <c r="I506" s="207">
        <f>IF(F506="CONCENTRADO SEMI BRILHO",G506/'De-Para'!$B$9,G506/VLOOKUP(B506,'De-Para'!A:B,2,0))</f>
        <v>236.22047244094489</v>
      </c>
      <c r="J506" s="206">
        <f t="shared" si="36"/>
        <v>735.74803149606316</v>
      </c>
      <c r="K506" s="212">
        <f t="shared" si="37"/>
        <v>0.32106164383561642</v>
      </c>
      <c r="L506" s="209">
        <f>VLOOKUP(E506,'Custos Matéria Prima Embalagens'!B:G,6,0)</f>
        <v>8.9700000000000006</v>
      </c>
      <c r="M506" s="209">
        <f t="shared" si="38"/>
        <v>2691</v>
      </c>
      <c r="N506" s="209">
        <f t="shared" si="39"/>
        <v>3.66</v>
      </c>
    </row>
    <row r="507" spans="1:14" hidden="1">
      <c r="A507" s="129" t="s">
        <v>1266</v>
      </c>
      <c r="B507" s="129" t="s">
        <v>1267</v>
      </c>
      <c r="C507" s="129" t="s">
        <v>710</v>
      </c>
      <c r="D507" s="129" t="s">
        <v>572</v>
      </c>
      <c r="E507" s="129" t="s">
        <v>1233</v>
      </c>
      <c r="F507" s="129" t="s">
        <v>1234</v>
      </c>
      <c r="G507" s="210">
        <v>3</v>
      </c>
      <c r="H507" s="211">
        <f t="shared" si="35"/>
        <v>934.40000000000009</v>
      </c>
      <c r="I507" s="207">
        <f>IF(F507="CONCENTRADO SEMI BRILHO",G507/'De-Para'!$B$9,G507/VLOOKUP(B507,'De-Para'!A:B,2,0))</f>
        <v>2.3622047244094486</v>
      </c>
      <c r="J507" s="206">
        <f t="shared" si="36"/>
        <v>735.74803149606316</v>
      </c>
      <c r="K507" s="212">
        <f t="shared" si="37"/>
        <v>3.2106164383561642E-3</v>
      </c>
      <c r="L507" s="209">
        <f>VLOOKUP(E507,'Custos Matéria Prima Embalagens'!B:G,6,0)</f>
        <v>31.93</v>
      </c>
      <c r="M507" s="209">
        <f t="shared" si="38"/>
        <v>95.789999999999992</v>
      </c>
      <c r="N507" s="209">
        <f t="shared" si="39"/>
        <v>0.13</v>
      </c>
    </row>
    <row r="508" spans="1:14" hidden="1">
      <c r="A508" s="129" t="s">
        <v>1266</v>
      </c>
      <c r="B508" s="129" t="s">
        <v>1267</v>
      </c>
      <c r="C508" s="129" t="s">
        <v>710</v>
      </c>
      <c r="D508" s="129" t="s">
        <v>572</v>
      </c>
      <c r="E508" s="129" t="s">
        <v>1235</v>
      </c>
      <c r="F508" s="129" t="s">
        <v>1236</v>
      </c>
      <c r="G508" s="210">
        <v>1</v>
      </c>
      <c r="H508" s="211">
        <f t="shared" si="35"/>
        <v>934.40000000000009</v>
      </c>
      <c r="I508" s="207">
        <f>IF(F508="CONCENTRADO SEMI BRILHO",G508/'De-Para'!$B$9,G508/VLOOKUP(B508,'De-Para'!A:B,2,0))</f>
        <v>0.78740157480314954</v>
      </c>
      <c r="J508" s="206">
        <f t="shared" si="36"/>
        <v>735.74803149606316</v>
      </c>
      <c r="K508" s="212">
        <f t="shared" si="37"/>
        <v>1.0702054794520547E-3</v>
      </c>
      <c r="L508" s="209">
        <f>VLOOKUP(E508,'Custos Matéria Prima Embalagens'!B:G,6,0)</f>
        <v>46.089999999999996</v>
      </c>
      <c r="M508" s="209">
        <f t="shared" si="38"/>
        <v>46.089999999999996</v>
      </c>
      <c r="N508" s="209">
        <f t="shared" si="39"/>
        <v>0.06</v>
      </c>
    </row>
    <row r="509" spans="1:14" hidden="1">
      <c r="A509" s="129" t="s">
        <v>1266</v>
      </c>
      <c r="B509" s="129" t="s">
        <v>1267</v>
      </c>
      <c r="C509" s="129" t="s">
        <v>710</v>
      </c>
      <c r="D509" s="129" t="s">
        <v>572</v>
      </c>
      <c r="E509" s="129" t="s">
        <v>1231</v>
      </c>
      <c r="F509" s="129" t="s">
        <v>1232</v>
      </c>
      <c r="G509" s="210">
        <v>0.2</v>
      </c>
      <c r="H509" s="211">
        <f t="shared" si="35"/>
        <v>934.40000000000009</v>
      </c>
      <c r="I509" s="207">
        <f>IF(F509="CONCENTRADO SEMI BRILHO",G509/'De-Para'!$B$9,G509/VLOOKUP(B509,'De-Para'!A:B,2,0))</f>
        <v>0.15748031496062992</v>
      </c>
      <c r="J509" s="206">
        <f t="shared" si="36"/>
        <v>735.74803149606316</v>
      </c>
      <c r="K509" s="212">
        <f t="shared" si="37"/>
        <v>2.1404109589041095E-4</v>
      </c>
      <c r="L509" s="209">
        <f>VLOOKUP(E509,'Custos Matéria Prima Embalagens'!B:G,6,0)</f>
        <v>15.2</v>
      </c>
      <c r="M509" s="209">
        <f t="shared" si="38"/>
        <v>3.04</v>
      </c>
      <c r="N509" s="209">
        <f t="shared" si="39"/>
        <v>0</v>
      </c>
    </row>
    <row r="510" spans="1:14" hidden="1">
      <c r="A510" s="129" t="s">
        <v>1266</v>
      </c>
      <c r="B510" s="129" t="s">
        <v>1267</v>
      </c>
      <c r="C510" s="129" t="s">
        <v>712</v>
      </c>
      <c r="D510" s="129" t="s">
        <v>599</v>
      </c>
      <c r="E510" s="129" t="s">
        <v>1197</v>
      </c>
      <c r="F510" s="129" t="s">
        <v>1198</v>
      </c>
      <c r="G510" s="210">
        <v>300</v>
      </c>
      <c r="H510" s="211">
        <f t="shared" si="35"/>
        <v>933.05449999999996</v>
      </c>
      <c r="I510" s="207">
        <f>IF(F510="CONCENTRADO SEMI BRILHO",G510/'De-Para'!$B$9,G510/VLOOKUP(B510,'De-Para'!A:B,2,0))</f>
        <v>236.22047244094489</v>
      </c>
      <c r="J510" s="206">
        <f t="shared" si="36"/>
        <v>685.9681102362207</v>
      </c>
      <c r="K510" s="212">
        <f t="shared" si="37"/>
        <v>0.32152462691086109</v>
      </c>
      <c r="L510" s="209">
        <f>VLOOKUP(E510,'Custos Matéria Prima Embalagens'!B:G,6,0)</f>
        <v>0</v>
      </c>
      <c r="M510" s="209">
        <f t="shared" si="38"/>
        <v>0</v>
      </c>
      <c r="N510" s="209">
        <f t="shared" si="39"/>
        <v>0</v>
      </c>
    </row>
    <row r="511" spans="1:14" hidden="1">
      <c r="A511" s="129" t="s">
        <v>1266</v>
      </c>
      <c r="B511" s="129" t="s">
        <v>1267</v>
      </c>
      <c r="C511" s="129" t="s">
        <v>712</v>
      </c>
      <c r="D511" s="129" t="s">
        <v>599</v>
      </c>
      <c r="E511" s="129" t="s">
        <v>1199</v>
      </c>
      <c r="F511" s="129" t="s">
        <v>1200</v>
      </c>
      <c r="G511" s="210">
        <v>1.2</v>
      </c>
      <c r="H511" s="211">
        <f t="shared" si="35"/>
        <v>933.05449999999996</v>
      </c>
      <c r="I511" s="207">
        <f>IF(F511="CONCENTRADO SEMI BRILHO",G511/'De-Para'!$B$9,G511/VLOOKUP(B511,'De-Para'!A:B,2,0))</f>
        <v>0.94488188976377951</v>
      </c>
      <c r="J511" s="206">
        <f t="shared" si="36"/>
        <v>685.9681102362207</v>
      </c>
      <c r="K511" s="212">
        <f t="shared" si="37"/>
        <v>1.2860985076434443E-3</v>
      </c>
      <c r="L511" s="209">
        <f>VLOOKUP(E511,'Custos Matéria Prima Embalagens'!B:G,6,0)</f>
        <v>17.939999999999998</v>
      </c>
      <c r="M511" s="209">
        <f t="shared" si="38"/>
        <v>21.527999999999995</v>
      </c>
      <c r="N511" s="209">
        <f t="shared" si="39"/>
        <v>0.03</v>
      </c>
    </row>
    <row r="512" spans="1:14" hidden="1">
      <c r="A512" s="129" t="s">
        <v>1266</v>
      </c>
      <c r="B512" s="129" t="s">
        <v>1267</v>
      </c>
      <c r="C512" s="129" t="s">
        <v>712</v>
      </c>
      <c r="D512" s="129" t="s">
        <v>599</v>
      </c>
      <c r="E512" s="129" t="s">
        <v>1257</v>
      </c>
      <c r="F512" s="129" t="s">
        <v>1258</v>
      </c>
      <c r="G512" s="210">
        <v>2</v>
      </c>
      <c r="H512" s="211">
        <f t="shared" si="35"/>
        <v>933.05449999999996</v>
      </c>
      <c r="I512" s="207">
        <f>IF(F512="CONCENTRADO SEMI BRILHO",G512/'De-Para'!$B$9,G512/VLOOKUP(B512,'De-Para'!A:B,2,0))</f>
        <v>1.5748031496062991</v>
      </c>
      <c r="J512" s="206">
        <f t="shared" si="36"/>
        <v>685.9681102362207</v>
      </c>
      <c r="K512" s="212">
        <f t="shared" si="37"/>
        <v>2.1434975127390737E-3</v>
      </c>
      <c r="L512" s="209">
        <f>VLOOKUP(E512,'Custos Matéria Prima Embalagens'!B:G,6,0)</f>
        <v>11.7614232033819</v>
      </c>
      <c r="M512" s="209">
        <f t="shared" si="38"/>
        <v>23.522846406763801</v>
      </c>
      <c r="N512" s="209">
        <f t="shared" si="39"/>
        <v>0.03</v>
      </c>
    </row>
    <row r="513" spans="1:14" hidden="1">
      <c r="A513" s="129" t="s">
        <v>1266</v>
      </c>
      <c r="B513" s="129" t="s">
        <v>1267</v>
      </c>
      <c r="C513" s="129" t="s">
        <v>712</v>
      </c>
      <c r="D513" s="129" t="s">
        <v>599</v>
      </c>
      <c r="E513" s="129" t="s">
        <v>1203</v>
      </c>
      <c r="F513" s="129" t="s">
        <v>1204</v>
      </c>
      <c r="G513" s="210">
        <v>2</v>
      </c>
      <c r="H513" s="211">
        <f t="shared" si="35"/>
        <v>933.05449999999996</v>
      </c>
      <c r="I513" s="207">
        <f>IF(F513="CONCENTRADO SEMI BRILHO",G513/'De-Para'!$B$9,G513/VLOOKUP(B513,'De-Para'!A:B,2,0))</f>
        <v>1.5748031496062991</v>
      </c>
      <c r="J513" s="206">
        <f t="shared" si="36"/>
        <v>685.9681102362207</v>
      </c>
      <c r="K513" s="212">
        <f t="shared" si="37"/>
        <v>2.1434975127390737E-3</v>
      </c>
      <c r="L513" s="209">
        <f>VLOOKUP(E513,'Custos Matéria Prima Embalagens'!B:G,6,0)</f>
        <v>4.9399999999999995</v>
      </c>
      <c r="M513" s="209">
        <f t="shared" si="38"/>
        <v>9.879999999999999</v>
      </c>
      <c r="N513" s="209">
        <f t="shared" si="39"/>
        <v>0.01</v>
      </c>
    </row>
    <row r="514" spans="1:14" hidden="1">
      <c r="A514" s="129" t="s">
        <v>1266</v>
      </c>
      <c r="B514" s="129" t="s">
        <v>1267</v>
      </c>
      <c r="C514" s="129" t="s">
        <v>712</v>
      </c>
      <c r="D514" s="129" t="s">
        <v>599</v>
      </c>
      <c r="E514" s="129" t="s">
        <v>1205</v>
      </c>
      <c r="F514" s="129" t="s">
        <v>1206</v>
      </c>
      <c r="G514" s="210">
        <v>2</v>
      </c>
      <c r="H514" s="211">
        <f t="shared" si="35"/>
        <v>933.05449999999996</v>
      </c>
      <c r="I514" s="207">
        <f>IF(F514="CONCENTRADO SEMI BRILHO",G514/'De-Para'!$B$9,G514/VLOOKUP(B514,'De-Para'!A:B,2,0))</f>
        <v>1.5748031496062991</v>
      </c>
      <c r="J514" s="206">
        <f t="shared" si="36"/>
        <v>685.9681102362207</v>
      </c>
      <c r="K514" s="212">
        <f t="shared" si="37"/>
        <v>2.1434975127390737E-3</v>
      </c>
      <c r="L514" s="209">
        <f>VLOOKUP(E514,'Custos Matéria Prima Embalagens'!B:G,6,0)</f>
        <v>7.33</v>
      </c>
      <c r="M514" s="209">
        <f t="shared" si="38"/>
        <v>14.66</v>
      </c>
      <c r="N514" s="209">
        <f t="shared" si="39"/>
        <v>0.02</v>
      </c>
    </row>
    <row r="515" spans="1:14" hidden="1">
      <c r="A515" s="129" t="s">
        <v>1266</v>
      </c>
      <c r="B515" s="129" t="s">
        <v>1267</v>
      </c>
      <c r="C515" s="129" t="s">
        <v>712</v>
      </c>
      <c r="D515" s="129" t="s">
        <v>599</v>
      </c>
      <c r="E515" s="129" t="s">
        <v>1207</v>
      </c>
      <c r="F515" s="129" t="s">
        <v>1208</v>
      </c>
      <c r="G515" s="210">
        <v>2</v>
      </c>
      <c r="H515" s="211">
        <f t="shared" ref="H515:H578" si="40">SUMIFS(G:G,C:C,C515)</f>
        <v>933.05449999999996</v>
      </c>
      <c r="I515" s="207">
        <f>IF(F515="CONCENTRADO SEMI BRILHO",G515/'De-Para'!$B$9,G515/VLOOKUP(B515,'De-Para'!A:B,2,0))</f>
        <v>1.5748031496062991</v>
      </c>
      <c r="J515" s="206">
        <f t="shared" ref="J515:J578" si="41">SUMIFS(I:I,C:C,C515)</f>
        <v>685.9681102362207</v>
      </c>
      <c r="K515" s="212">
        <f t="shared" ref="K515:K578" si="42">G515/H515</f>
        <v>2.1434975127390737E-3</v>
      </c>
      <c r="L515" s="209">
        <f>VLOOKUP(E515,'Custos Matéria Prima Embalagens'!B:G,6,0)</f>
        <v>6.8599999999999994</v>
      </c>
      <c r="M515" s="209">
        <f t="shared" ref="M515:M578" si="43">L515*G515</f>
        <v>13.719999999999999</v>
      </c>
      <c r="N515" s="209">
        <f t="shared" ref="N515:N578" si="44">IF(B515="CONCENTRADO",ROUND(M515/H515,2),ROUND(M515/J515,2))</f>
        <v>0.02</v>
      </c>
    </row>
    <row r="516" spans="1:14" hidden="1">
      <c r="A516" s="129" t="s">
        <v>1266</v>
      </c>
      <c r="B516" s="129" t="s">
        <v>1267</v>
      </c>
      <c r="C516" s="129" t="s">
        <v>712</v>
      </c>
      <c r="D516" s="129" t="s">
        <v>599</v>
      </c>
      <c r="E516" s="129" t="s">
        <v>1217</v>
      </c>
      <c r="F516" s="129" t="s">
        <v>1218</v>
      </c>
      <c r="G516" s="210">
        <v>250</v>
      </c>
      <c r="H516" s="211">
        <f t="shared" si="40"/>
        <v>933.05449999999996</v>
      </c>
      <c r="I516" s="207">
        <f>IF(F516="CONCENTRADO SEMI BRILHO",G516/'De-Para'!$B$9,G516/VLOOKUP(B516,'De-Para'!A:B,2,0))</f>
        <v>196.85039370078741</v>
      </c>
      <c r="J516" s="206">
        <f t="shared" si="41"/>
        <v>685.9681102362207</v>
      </c>
      <c r="K516" s="212">
        <f t="shared" si="42"/>
        <v>0.26793718909238423</v>
      </c>
      <c r="L516" s="209">
        <f>VLOOKUP(E516,'Custos Matéria Prima Embalagens'!B:G,6,0)</f>
        <v>8.43</v>
      </c>
      <c r="M516" s="209">
        <f t="shared" si="43"/>
        <v>2107.5</v>
      </c>
      <c r="N516" s="209">
        <f t="shared" si="44"/>
        <v>3.07</v>
      </c>
    </row>
    <row r="517" spans="1:14" hidden="1">
      <c r="A517" s="129" t="s">
        <v>1266</v>
      </c>
      <c r="B517" s="129" t="s">
        <v>1267</v>
      </c>
      <c r="C517" s="129" t="s">
        <v>712</v>
      </c>
      <c r="D517" s="129" t="s">
        <v>599</v>
      </c>
      <c r="E517" s="129" t="s">
        <v>1229</v>
      </c>
      <c r="F517" s="129" t="s">
        <v>1230</v>
      </c>
      <c r="G517" s="210">
        <v>10</v>
      </c>
      <c r="H517" s="211">
        <f t="shared" si="40"/>
        <v>933.05449999999996</v>
      </c>
      <c r="I517" s="207">
        <f>IF(F517="CONCENTRADO SEMI BRILHO",G517/'De-Para'!$B$9,G517/VLOOKUP(B517,'De-Para'!A:B,2,0))</f>
        <v>7.8740157480314963</v>
      </c>
      <c r="J517" s="206">
        <f t="shared" si="41"/>
        <v>685.9681102362207</v>
      </c>
      <c r="K517" s="212">
        <f t="shared" si="42"/>
        <v>1.0717487563695369E-2</v>
      </c>
      <c r="L517" s="209">
        <f>VLOOKUP(E517,'Custos Matéria Prima Embalagens'!B:G,6,0)</f>
        <v>19.22</v>
      </c>
      <c r="M517" s="209">
        <f t="shared" si="43"/>
        <v>192.2</v>
      </c>
      <c r="N517" s="209">
        <f t="shared" si="44"/>
        <v>0.28000000000000003</v>
      </c>
    </row>
    <row r="518" spans="1:14" hidden="1">
      <c r="A518" s="129" t="s">
        <v>1266</v>
      </c>
      <c r="B518" s="129" t="s">
        <v>1267</v>
      </c>
      <c r="C518" s="129" t="s">
        <v>712</v>
      </c>
      <c r="D518" s="129" t="s">
        <v>599</v>
      </c>
      <c r="E518" s="129" t="s">
        <v>1261</v>
      </c>
      <c r="F518" s="129" t="s">
        <v>1262</v>
      </c>
      <c r="G518" s="210">
        <v>10</v>
      </c>
      <c r="H518" s="211">
        <f t="shared" si="40"/>
        <v>933.05449999999996</v>
      </c>
      <c r="I518" s="207">
        <f>IF(F518="CONCENTRADO SEMI BRILHO",G518/'De-Para'!$B$9,G518/VLOOKUP(B518,'De-Para'!A:B,2,0))</f>
        <v>7.8740157480314963</v>
      </c>
      <c r="J518" s="206">
        <f t="shared" si="41"/>
        <v>685.9681102362207</v>
      </c>
      <c r="K518" s="212">
        <f t="shared" si="42"/>
        <v>1.0717487563695369E-2</v>
      </c>
      <c r="L518" s="209">
        <f>VLOOKUP(E518,'Custos Matéria Prima Embalagens'!B:G,6,0)</f>
        <v>31.4314232033819</v>
      </c>
      <c r="M518" s="209">
        <f t="shared" si="43"/>
        <v>314.314232033819</v>
      </c>
      <c r="N518" s="209">
        <f t="shared" si="44"/>
        <v>0.46</v>
      </c>
    </row>
    <row r="519" spans="1:14" hidden="1">
      <c r="A519" s="129" t="s">
        <v>1266</v>
      </c>
      <c r="B519" s="129" t="s">
        <v>1267</v>
      </c>
      <c r="C519" s="129" t="s">
        <v>712</v>
      </c>
      <c r="D519" s="129" t="s">
        <v>599</v>
      </c>
      <c r="E519" s="129" t="s">
        <v>1209</v>
      </c>
      <c r="F519" s="129" t="s">
        <v>1210</v>
      </c>
      <c r="G519" s="210">
        <v>3</v>
      </c>
      <c r="H519" s="211">
        <f t="shared" si="40"/>
        <v>933.05449999999996</v>
      </c>
      <c r="I519" s="207">
        <f>IF(F519="CONCENTRADO SEMI BRILHO",G519/'De-Para'!$B$9,G519/VLOOKUP(B519,'De-Para'!A:B,2,0))</f>
        <v>2.3622047244094486</v>
      </c>
      <c r="J519" s="206">
        <f t="shared" si="41"/>
        <v>685.9681102362207</v>
      </c>
      <c r="K519" s="212">
        <f t="shared" si="42"/>
        <v>3.2152462691086106E-3</v>
      </c>
      <c r="L519" s="209">
        <f>VLOOKUP(E519,'Custos Matéria Prima Embalagens'!B:G,6,0)</f>
        <v>7</v>
      </c>
      <c r="M519" s="209">
        <f t="shared" si="43"/>
        <v>21</v>
      </c>
      <c r="N519" s="209">
        <f t="shared" si="44"/>
        <v>0.03</v>
      </c>
    </row>
    <row r="520" spans="1:14" hidden="1">
      <c r="A520" s="129" t="s">
        <v>1266</v>
      </c>
      <c r="B520" s="129" t="s">
        <v>1267</v>
      </c>
      <c r="C520" s="129" t="s">
        <v>712</v>
      </c>
      <c r="D520" s="129" t="s">
        <v>599</v>
      </c>
      <c r="E520" s="129" t="s">
        <v>1219</v>
      </c>
      <c r="F520" s="129" t="s">
        <v>1220</v>
      </c>
      <c r="G520" s="210">
        <v>11</v>
      </c>
      <c r="H520" s="211">
        <f t="shared" si="40"/>
        <v>933.05449999999996</v>
      </c>
      <c r="I520" s="207">
        <f>IF(F520="CONCENTRADO SEMI BRILHO",G520/'De-Para'!$B$9,G520/VLOOKUP(B520,'De-Para'!A:B,2,0))</f>
        <v>8.6614173228346463</v>
      </c>
      <c r="J520" s="206">
        <f t="shared" si="41"/>
        <v>685.9681102362207</v>
      </c>
      <c r="K520" s="212">
        <f t="shared" si="42"/>
        <v>1.1789236320064905E-2</v>
      </c>
      <c r="L520" s="209">
        <f>VLOOKUP(E520,'Custos Matéria Prima Embalagens'!B:G,6,0)</f>
        <v>4.9800000000000004</v>
      </c>
      <c r="M520" s="209">
        <f t="shared" si="43"/>
        <v>54.78</v>
      </c>
      <c r="N520" s="209">
        <f t="shared" si="44"/>
        <v>0.08</v>
      </c>
    </row>
    <row r="521" spans="1:14" hidden="1">
      <c r="A521" s="129" t="s">
        <v>1266</v>
      </c>
      <c r="B521" s="129" t="s">
        <v>1267</v>
      </c>
      <c r="C521" s="129" t="s">
        <v>712</v>
      </c>
      <c r="D521" s="129" t="s">
        <v>599</v>
      </c>
      <c r="E521" s="129" t="s">
        <v>1268</v>
      </c>
      <c r="F521" s="129" t="s">
        <v>1269</v>
      </c>
      <c r="G521" s="210">
        <v>20</v>
      </c>
      <c r="H521" s="211">
        <f t="shared" si="40"/>
        <v>933.05449999999996</v>
      </c>
      <c r="I521" s="207">
        <f>IF(F521="CONCENTRADO SEMI BRILHO",G521/'De-Para'!$B$9,G521/VLOOKUP(B521,'De-Para'!A:B,2,0))</f>
        <v>15.748031496062993</v>
      </c>
      <c r="J521" s="206">
        <f t="shared" si="41"/>
        <v>685.9681102362207</v>
      </c>
      <c r="K521" s="212">
        <f t="shared" si="42"/>
        <v>2.1434975127390739E-2</v>
      </c>
      <c r="L521" s="209">
        <f>VLOOKUP(E521,'Custos Matéria Prima Embalagens'!B:G,6,0)</f>
        <v>10.37</v>
      </c>
      <c r="M521" s="209">
        <f t="shared" si="43"/>
        <v>207.39999999999998</v>
      </c>
      <c r="N521" s="209">
        <f t="shared" si="44"/>
        <v>0.3</v>
      </c>
    </row>
    <row r="522" spans="1:14" hidden="1">
      <c r="A522" s="129" t="s">
        <v>1266</v>
      </c>
      <c r="B522" s="129" t="s">
        <v>1267</v>
      </c>
      <c r="C522" s="129" t="s">
        <v>712</v>
      </c>
      <c r="D522" s="129" t="s">
        <v>599</v>
      </c>
      <c r="E522" s="129" t="s">
        <v>1221</v>
      </c>
      <c r="F522" s="129" t="s">
        <v>1222</v>
      </c>
      <c r="G522" s="210">
        <v>17</v>
      </c>
      <c r="H522" s="211">
        <f t="shared" si="40"/>
        <v>933.05449999999996</v>
      </c>
      <c r="I522" s="207">
        <f>IF(F522="CONCENTRADO SEMI BRILHO",G522/'De-Para'!$B$9,G522/VLOOKUP(B522,'De-Para'!A:B,2,0))</f>
        <v>13.385826771653543</v>
      </c>
      <c r="J522" s="206">
        <f t="shared" si="41"/>
        <v>685.9681102362207</v>
      </c>
      <c r="K522" s="212">
        <f t="shared" si="42"/>
        <v>1.8219728858282127E-2</v>
      </c>
      <c r="L522" s="209">
        <f>VLOOKUP(E522,'Custos Matéria Prima Embalagens'!B:G,6,0)</f>
        <v>7.9049999999999994</v>
      </c>
      <c r="M522" s="209">
        <f t="shared" si="43"/>
        <v>134.38499999999999</v>
      </c>
      <c r="N522" s="209">
        <f t="shared" si="44"/>
        <v>0.2</v>
      </c>
    </row>
    <row r="523" spans="1:14" hidden="1">
      <c r="A523" s="129" t="s">
        <v>1266</v>
      </c>
      <c r="B523" s="129" t="s">
        <v>1267</v>
      </c>
      <c r="C523" s="129" t="s">
        <v>712</v>
      </c>
      <c r="D523" s="129" t="s">
        <v>599</v>
      </c>
      <c r="E523" s="129" t="s">
        <v>1270</v>
      </c>
      <c r="F523" s="129" t="s">
        <v>1271</v>
      </c>
      <c r="G523" s="210">
        <v>300</v>
      </c>
      <c r="H523" s="211">
        <f t="shared" si="40"/>
        <v>933.05449999999996</v>
      </c>
      <c r="I523" s="207">
        <f>IF(F523="CONCENTRADO SEMI BRILHO",G523/'De-Para'!$B$9,G523/VLOOKUP(B523,'De-Para'!A:B,2,0))</f>
        <v>187.5</v>
      </c>
      <c r="J523" s="206">
        <f t="shared" si="41"/>
        <v>685.9681102362207</v>
      </c>
      <c r="K523" s="212">
        <f t="shared" si="42"/>
        <v>0.32152462691086109</v>
      </c>
      <c r="L523" s="209">
        <f>VLOOKUP(E523,'Custos Matéria Prima Embalagens'!B:G,6,0)</f>
        <v>8.9700000000000006</v>
      </c>
      <c r="M523" s="209">
        <f t="shared" si="43"/>
        <v>2691</v>
      </c>
      <c r="N523" s="209">
        <f t="shared" si="44"/>
        <v>3.92</v>
      </c>
    </row>
    <row r="524" spans="1:14" hidden="1">
      <c r="A524" s="129" t="s">
        <v>1266</v>
      </c>
      <c r="B524" s="129" t="s">
        <v>1267</v>
      </c>
      <c r="C524" s="129" t="s">
        <v>712</v>
      </c>
      <c r="D524" s="129" t="s">
        <v>599</v>
      </c>
      <c r="E524" s="129" t="s">
        <v>1273</v>
      </c>
      <c r="F524" s="129" t="s">
        <v>1234</v>
      </c>
      <c r="G524" s="210">
        <v>1.8</v>
      </c>
      <c r="H524" s="211">
        <f t="shared" si="40"/>
        <v>933.05449999999996</v>
      </c>
      <c r="I524" s="207">
        <f>IF(F524="CONCENTRADO SEMI BRILHO",G524/'De-Para'!$B$9,G524/VLOOKUP(B524,'De-Para'!A:B,2,0))</f>
        <v>1.4173228346456692</v>
      </c>
      <c r="J524" s="206">
        <f t="shared" si="41"/>
        <v>685.9681102362207</v>
      </c>
      <c r="K524" s="212">
        <f t="shared" si="42"/>
        <v>1.9291477614651665E-3</v>
      </c>
      <c r="L524" s="209">
        <f>VLOOKUP(E524,'Custos Matéria Prima Embalagens'!B:G,6,0)</f>
        <v>15.600000000000001</v>
      </c>
      <c r="M524" s="209">
        <f t="shared" si="43"/>
        <v>28.080000000000002</v>
      </c>
      <c r="N524" s="209">
        <f t="shared" si="44"/>
        <v>0.04</v>
      </c>
    </row>
    <row r="525" spans="1:14" hidden="1">
      <c r="A525" s="129" t="s">
        <v>1266</v>
      </c>
      <c r="B525" s="129" t="s">
        <v>1267</v>
      </c>
      <c r="C525" s="129" t="s">
        <v>712</v>
      </c>
      <c r="D525" s="129" t="s">
        <v>599</v>
      </c>
      <c r="E525" s="129" t="s">
        <v>1239</v>
      </c>
      <c r="F525" s="129" t="s">
        <v>1240</v>
      </c>
      <c r="G525" s="210">
        <v>1.05</v>
      </c>
      <c r="H525" s="211">
        <f t="shared" si="40"/>
        <v>933.05449999999996</v>
      </c>
      <c r="I525" s="207">
        <f>IF(F525="CONCENTRADO SEMI BRILHO",G525/'De-Para'!$B$9,G525/VLOOKUP(B525,'De-Para'!A:B,2,0))</f>
        <v>0.82677165354330706</v>
      </c>
      <c r="J525" s="206">
        <f t="shared" si="41"/>
        <v>685.9681102362207</v>
      </c>
      <c r="K525" s="212">
        <f t="shared" si="42"/>
        <v>1.1253361941880138E-3</v>
      </c>
      <c r="L525" s="209">
        <f>VLOOKUP(E525,'Custos Matéria Prima Embalagens'!B:G,6,0)</f>
        <v>21.11</v>
      </c>
      <c r="M525" s="209">
        <f t="shared" si="43"/>
        <v>22.165500000000002</v>
      </c>
      <c r="N525" s="209">
        <f t="shared" si="44"/>
        <v>0.03</v>
      </c>
    </row>
    <row r="526" spans="1:14" hidden="1">
      <c r="A526" s="129" t="s">
        <v>1266</v>
      </c>
      <c r="B526" s="129" t="s">
        <v>1267</v>
      </c>
      <c r="C526" s="129" t="s">
        <v>712</v>
      </c>
      <c r="D526" s="129" t="s">
        <v>599</v>
      </c>
      <c r="E526" s="129" t="s">
        <v>1231</v>
      </c>
      <c r="F526" s="129" t="s">
        <v>1232</v>
      </c>
      <c r="G526" s="210">
        <v>4.4999999999999997E-3</v>
      </c>
      <c r="H526" s="211">
        <f t="shared" si="40"/>
        <v>933.05449999999996</v>
      </c>
      <c r="I526" s="207">
        <f>IF(F526="CONCENTRADO SEMI BRILHO",G526/'De-Para'!$B$9,G526/VLOOKUP(B526,'De-Para'!A:B,2,0))</f>
        <v>3.5433070866141727E-3</v>
      </c>
      <c r="J526" s="206">
        <f t="shared" si="41"/>
        <v>685.9681102362207</v>
      </c>
      <c r="K526" s="212">
        <f t="shared" si="42"/>
        <v>4.8228694036629152E-6</v>
      </c>
      <c r="L526" s="209">
        <f>VLOOKUP(E526,'Custos Matéria Prima Embalagens'!B:G,6,0)</f>
        <v>15.2</v>
      </c>
      <c r="M526" s="209">
        <f t="shared" si="43"/>
        <v>6.8399999999999989E-2</v>
      </c>
      <c r="N526" s="209">
        <f t="shared" si="44"/>
        <v>0</v>
      </c>
    </row>
    <row r="527" spans="1:14" hidden="1">
      <c r="A527" s="129" t="s">
        <v>1266</v>
      </c>
      <c r="B527" s="129" t="s">
        <v>1267</v>
      </c>
      <c r="C527" s="129" t="s">
        <v>714</v>
      </c>
      <c r="D527" s="129" t="s">
        <v>1253</v>
      </c>
      <c r="E527" s="129" t="s">
        <v>1197</v>
      </c>
      <c r="F527" s="129" t="s">
        <v>1198</v>
      </c>
      <c r="G527" s="210">
        <v>300</v>
      </c>
      <c r="H527" s="211">
        <f t="shared" si="40"/>
        <v>931.80000000000007</v>
      </c>
      <c r="I527" s="207">
        <f>IF(F527="CONCENTRADO SEMI BRILHO",G527/'De-Para'!$B$9,G527/VLOOKUP(B527,'De-Para'!A:B,2,0))</f>
        <v>236.22047244094489</v>
      </c>
      <c r="J527" s="206">
        <f t="shared" si="41"/>
        <v>733.70078740157487</v>
      </c>
      <c r="K527" s="212">
        <f t="shared" si="42"/>
        <v>0.32195750160978748</v>
      </c>
      <c r="L527" s="209">
        <f>VLOOKUP(E527,'Custos Matéria Prima Embalagens'!B:G,6,0)</f>
        <v>0</v>
      </c>
      <c r="M527" s="209">
        <f t="shared" si="43"/>
        <v>0</v>
      </c>
      <c r="N527" s="209">
        <f t="shared" si="44"/>
        <v>0</v>
      </c>
    </row>
    <row r="528" spans="1:14" hidden="1">
      <c r="A528" s="129" t="s">
        <v>1266</v>
      </c>
      <c r="B528" s="129" t="s">
        <v>1267</v>
      </c>
      <c r="C528" s="129" t="s">
        <v>714</v>
      </c>
      <c r="D528" s="129" t="s">
        <v>1253</v>
      </c>
      <c r="E528" s="129" t="s">
        <v>1199</v>
      </c>
      <c r="F528" s="129" t="s">
        <v>1200</v>
      </c>
      <c r="G528" s="210">
        <v>1.2</v>
      </c>
      <c r="H528" s="211">
        <f t="shared" si="40"/>
        <v>931.80000000000007</v>
      </c>
      <c r="I528" s="207">
        <f>IF(F528="CONCENTRADO SEMI BRILHO",G528/'De-Para'!$B$9,G528/VLOOKUP(B528,'De-Para'!A:B,2,0))</f>
        <v>0.94488188976377951</v>
      </c>
      <c r="J528" s="206">
        <f t="shared" si="41"/>
        <v>733.70078740157487</v>
      </c>
      <c r="K528" s="212">
        <f t="shared" si="42"/>
        <v>1.2878300064391498E-3</v>
      </c>
      <c r="L528" s="209">
        <f>VLOOKUP(E528,'Custos Matéria Prima Embalagens'!B:G,6,0)</f>
        <v>17.939999999999998</v>
      </c>
      <c r="M528" s="209">
        <f t="shared" si="43"/>
        <v>21.527999999999995</v>
      </c>
      <c r="N528" s="209">
        <f t="shared" si="44"/>
        <v>0.03</v>
      </c>
    </row>
    <row r="529" spans="1:14" hidden="1">
      <c r="A529" s="129" t="s">
        <v>1266</v>
      </c>
      <c r="B529" s="129" t="s">
        <v>1267</v>
      </c>
      <c r="C529" s="129" t="s">
        <v>714</v>
      </c>
      <c r="D529" s="129" t="s">
        <v>1253</v>
      </c>
      <c r="E529" s="129" t="s">
        <v>1257</v>
      </c>
      <c r="F529" s="129" t="s">
        <v>1258</v>
      </c>
      <c r="G529" s="210">
        <v>2</v>
      </c>
      <c r="H529" s="211">
        <f t="shared" si="40"/>
        <v>931.80000000000007</v>
      </c>
      <c r="I529" s="207">
        <f>IF(F529="CONCENTRADO SEMI BRILHO",G529/'De-Para'!$B$9,G529/VLOOKUP(B529,'De-Para'!A:B,2,0))</f>
        <v>1.5748031496062991</v>
      </c>
      <c r="J529" s="206">
        <f t="shared" si="41"/>
        <v>733.70078740157487</v>
      </c>
      <c r="K529" s="212">
        <f t="shared" si="42"/>
        <v>2.1463833440652498E-3</v>
      </c>
      <c r="L529" s="209">
        <f>VLOOKUP(E529,'Custos Matéria Prima Embalagens'!B:G,6,0)</f>
        <v>11.7614232033819</v>
      </c>
      <c r="M529" s="209">
        <f t="shared" si="43"/>
        <v>23.522846406763801</v>
      </c>
      <c r="N529" s="209">
        <f t="shared" si="44"/>
        <v>0.03</v>
      </c>
    </row>
    <row r="530" spans="1:14" hidden="1">
      <c r="A530" s="129" t="s">
        <v>1266</v>
      </c>
      <c r="B530" s="129" t="s">
        <v>1267</v>
      </c>
      <c r="C530" s="129" t="s">
        <v>714</v>
      </c>
      <c r="D530" s="129" t="s">
        <v>1253</v>
      </c>
      <c r="E530" s="129" t="s">
        <v>1203</v>
      </c>
      <c r="F530" s="129" t="s">
        <v>1204</v>
      </c>
      <c r="G530" s="210">
        <v>2</v>
      </c>
      <c r="H530" s="211">
        <f t="shared" si="40"/>
        <v>931.80000000000007</v>
      </c>
      <c r="I530" s="207">
        <f>IF(F530="CONCENTRADO SEMI BRILHO",G530/'De-Para'!$B$9,G530/VLOOKUP(B530,'De-Para'!A:B,2,0))</f>
        <v>1.5748031496062991</v>
      </c>
      <c r="J530" s="206">
        <f t="shared" si="41"/>
        <v>733.70078740157487</v>
      </c>
      <c r="K530" s="212">
        <f t="shared" si="42"/>
        <v>2.1463833440652498E-3</v>
      </c>
      <c r="L530" s="209">
        <f>VLOOKUP(E530,'Custos Matéria Prima Embalagens'!B:G,6,0)</f>
        <v>4.9399999999999995</v>
      </c>
      <c r="M530" s="209">
        <f t="shared" si="43"/>
        <v>9.879999999999999</v>
      </c>
      <c r="N530" s="209">
        <f t="shared" si="44"/>
        <v>0.01</v>
      </c>
    </row>
    <row r="531" spans="1:14" hidden="1">
      <c r="A531" s="129" t="s">
        <v>1266</v>
      </c>
      <c r="B531" s="129" t="s">
        <v>1267</v>
      </c>
      <c r="C531" s="129" t="s">
        <v>714</v>
      </c>
      <c r="D531" s="129" t="s">
        <v>1253</v>
      </c>
      <c r="E531" s="129" t="s">
        <v>1205</v>
      </c>
      <c r="F531" s="129" t="s">
        <v>1206</v>
      </c>
      <c r="G531" s="210">
        <v>2</v>
      </c>
      <c r="H531" s="211">
        <f t="shared" si="40"/>
        <v>931.80000000000007</v>
      </c>
      <c r="I531" s="207">
        <f>IF(F531="CONCENTRADO SEMI BRILHO",G531/'De-Para'!$B$9,G531/VLOOKUP(B531,'De-Para'!A:B,2,0))</f>
        <v>1.5748031496062991</v>
      </c>
      <c r="J531" s="206">
        <f t="shared" si="41"/>
        <v>733.70078740157487</v>
      </c>
      <c r="K531" s="212">
        <f t="shared" si="42"/>
        <v>2.1463833440652498E-3</v>
      </c>
      <c r="L531" s="209">
        <f>VLOOKUP(E531,'Custos Matéria Prima Embalagens'!B:G,6,0)</f>
        <v>7.33</v>
      </c>
      <c r="M531" s="209">
        <f t="shared" si="43"/>
        <v>14.66</v>
      </c>
      <c r="N531" s="209">
        <f t="shared" si="44"/>
        <v>0.02</v>
      </c>
    </row>
    <row r="532" spans="1:14" hidden="1">
      <c r="A532" s="129" t="s">
        <v>1266</v>
      </c>
      <c r="B532" s="129" t="s">
        <v>1267</v>
      </c>
      <c r="C532" s="129" t="s">
        <v>714</v>
      </c>
      <c r="D532" s="129" t="s">
        <v>1253</v>
      </c>
      <c r="E532" s="129" t="s">
        <v>1207</v>
      </c>
      <c r="F532" s="129" t="s">
        <v>1208</v>
      </c>
      <c r="G532" s="210">
        <v>2</v>
      </c>
      <c r="H532" s="211">
        <f t="shared" si="40"/>
        <v>931.80000000000007</v>
      </c>
      <c r="I532" s="207">
        <f>IF(F532="CONCENTRADO SEMI BRILHO",G532/'De-Para'!$B$9,G532/VLOOKUP(B532,'De-Para'!A:B,2,0))</f>
        <v>1.5748031496062991</v>
      </c>
      <c r="J532" s="206">
        <f t="shared" si="41"/>
        <v>733.70078740157487</v>
      </c>
      <c r="K532" s="212">
        <f t="shared" si="42"/>
        <v>2.1463833440652498E-3</v>
      </c>
      <c r="L532" s="209">
        <f>VLOOKUP(E532,'Custos Matéria Prima Embalagens'!B:G,6,0)</f>
        <v>6.8599999999999994</v>
      </c>
      <c r="M532" s="209">
        <f t="shared" si="43"/>
        <v>13.719999999999999</v>
      </c>
      <c r="N532" s="209">
        <f t="shared" si="44"/>
        <v>0.02</v>
      </c>
    </row>
    <row r="533" spans="1:14" hidden="1">
      <c r="A533" s="129" t="s">
        <v>1266</v>
      </c>
      <c r="B533" s="129" t="s">
        <v>1267</v>
      </c>
      <c r="C533" s="129" t="s">
        <v>714</v>
      </c>
      <c r="D533" s="129" t="s">
        <v>1253</v>
      </c>
      <c r="E533" s="129" t="s">
        <v>1217</v>
      </c>
      <c r="F533" s="129" t="s">
        <v>1218</v>
      </c>
      <c r="G533" s="210">
        <v>250</v>
      </c>
      <c r="H533" s="211">
        <f t="shared" si="40"/>
        <v>931.80000000000007</v>
      </c>
      <c r="I533" s="207">
        <f>IF(F533="CONCENTRADO SEMI BRILHO",G533/'De-Para'!$B$9,G533/VLOOKUP(B533,'De-Para'!A:B,2,0))</f>
        <v>196.85039370078741</v>
      </c>
      <c r="J533" s="206">
        <f t="shared" si="41"/>
        <v>733.70078740157487</v>
      </c>
      <c r="K533" s="212">
        <f t="shared" si="42"/>
        <v>0.26829791800815622</v>
      </c>
      <c r="L533" s="209">
        <f>VLOOKUP(E533,'Custos Matéria Prima Embalagens'!B:G,6,0)</f>
        <v>8.43</v>
      </c>
      <c r="M533" s="209">
        <f t="shared" si="43"/>
        <v>2107.5</v>
      </c>
      <c r="N533" s="209">
        <f t="shared" si="44"/>
        <v>2.87</v>
      </c>
    </row>
    <row r="534" spans="1:14" hidden="1">
      <c r="A534" s="129" t="s">
        <v>1266</v>
      </c>
      <c r="B534" s="129" t="s">
        <v>1267</v>
      </c>
      <c r="C534" s="129" t="s">
        <v>714</v>
      </c>
      <c r="D534" s="129" t="s">
        <v>1253</v>
      </c>
      <c r="E534" s="129" t="s">
        <v>1229</v>
      </c>
      <c r="F534" s="129" t="s">
        <v>1230</v>
      </c>
      <c r="G534" s="210">
        <v>10</v>
      </c>
      <c r="H534" s="211">
        <f t="shared" si="40"/>
        <v>931.80000000000007</v>
      </c>
      <c r="I534" s="207">
        <f>IF(F534="CONCENTRADO SEMI BRILHO",G534/'De-Para'!$B$9,G534/VLOOKUP(B534,'De-Para'!A:B,2,0))</f>
        <v>7.8740157480314963</v>
      </c>
      <c r="J534" s="206">
        <f t="shared" si="41"/>
        <v>733.70078740157487</v>
      </c>
      <c r="K534" s="212">
        <f t="shared" si="42"/>
        <v>1.0731916720326249E-2</v>
      </c>
      <c r="L534" s="209">
        <f>VLOOKUP(E534,'Custos Matéria Prima Embalagens'!B:G,6,0)</f>
        <v>19.22</v>
      </c>
      <c r="M534" s="209">
        <f t="shared" si="43"/>
        <v>192.2</v>
      </c>
      <c r="N534" s="209">
        <f t="shared" si="44"/>
        <v>0.26</v>
      </c>
    </row>
    <row r="535" spans="1:14" hidden="1">
      <c r="A535" s="129" t="s">
        <v>1266</v>
      </c>
      <c r="B535" s="129" t="s">
        <v>1267</v>
      </c>
      <c r="C535" s="129" t="s">
        <v>714</v>
      </c>
      <c r="D535" s="129" t="s">
        <v>1253</v>
      </c>
      <c r="E535" s="129" t="s">
        <v>1261</v>
      </c>
      <c r="F535" s="129" t="s">
        <v>1262</v>
      </c>
      <c r="G535" s="210">
        <v>10</v>
      </c>
      <c r="H535" s="211">
        <f t="shared" si="40"/>
        <v>931.80000000000007</v>
      </c>
      <c r="I535" s="207">
        <f>IF(F535="CONCENTRADO SEMI BRILHO",G535/'De-Para'!$B$9,G535/VLOOKUP(B535,'De-Para'!A:B,2,0))</f>
        <v>7.8740157480314963</v>
      </c>
      <c r="J535" s="206">
        <f t="shared" si="41"/>
        <v>733.70078740157487</v>
      </c>
      <c r="K535" s="212">
        <f t="shared" si="42"/>
        <v>1.0731916720326249E-2</v>
      </c>
      <c r="L535" s="209">
        <f>VLOOKUP(E535,'Custos Matéria Prima Embalagens'!B:G,6,0)</f>
        <v>31.4314232033819</v>
      </c>
      <c r="M535" s="209">
        <f t="shared" si="43"/>
        <v>314.314232033819</v>
      </c>
      <c r="N535" s="209">
        <f t="shared" si="44"/>
        <v>0.43</v>
      </c>
    </row>
    <row r="536" spans="1:14" hidden="1">
      <c r="A536" s="129" t="s">
        <v>1266</v>
      </c>
      <c r="B536" s="129" t="s">
        <v>1267</v>
      </c>
      <c r="C536" s="129" t="s">
        <v>714</v>
      </c>
      <c r="D536" s="129" t="s">
        <v>1253</v>
      </c>
      <c r="E536" s="129" t="s">
        <v>1209</v>
      </c>
      <c r="F536" s="129" t="s">
        <v>1210</v>
      </c>
      <c r="G536" s="210">
        <v>3</v>
      </c>
      <c r="H536" s="211">
        <f t="shared" si="40"/>
        <v>931.80000000000007</v>
      </c>
      <c r="I536" s="207">
        <f>IF(F536="CONCENTRADO SEMI BRILHO",G536/'De-Para'!$B$9,G536/VLOOKUP(B536,'De-Para'!A:B,2,0))</f>
        <v>2.3622047244094486</v>
      </c>
      <c r="J536" s="206">
        <f t="shared" si="41"/>
        <v>733.70078740157487</v>
      </c>
      <c r="K536" s="212">
        <f t="shared" si="42"/>
        <v>3.2195750160978749E-3</v>
      </c>
      <c r="L536" s="209">
        <f>VLOOKUP(E536,'Custos Matéria Prima Embalagens'!B:G,6,0)</f>
        <v>7</v>
      </c>
      <c r="M536" s="209">
        <f t="shared" si="43"/>
        <v>21</v>
      </c>
      <c r="N536" s="209">
        <f t="shared" si="44"/>
        <v>0.03</v>
      </c>
    </row>
    <row r="537" spans="1:14" hidden="1">
      <c r="A537" s="129" t="s">
        <v>1266</v>
      </c>
      <c r="B537" s="129" t="s">
        <v>1267</v>
      </c>
      <c r="C537" s="129" t="s">
        <v>714</v>
      </c>
      <c r="D537" s="129" t="s">
        <v>1253</v>
      </c>
      <c r="E537" s="129" t="s">
        <v>1219</v>
      </c>
      <c r="F537" s="129" t="s">
        <v>1220</v>
      </c>
      <c r="G537" s="210">
        <v>11</v>
      </c>
      <c r="H537" s="211">
        <f t="shared" si="40"/>
        <v>931.80000000000007</v>
      </c>
      <c r="I537" s="207">
        <f>IF(F537="CONCENTRADO SEMI BRILHO",G537/'De-Para'!$B$9,G537/VLOOKUP(B537,'De-Para'!A:B,2,0))</f>
        <v>8.6614173228346463</v>
      </c>
      <c r="J537" s="206">
        <f t="shared" si="41"/>
        <v>733.70078740157487</v>
      </c>
      <c r="K537" s="212">
        <f t="shared" si="42"/>
        <v>1.1805108392358874E-2</v>
      </c>
      <c r="L537" s="209">
        <f>VLOOKUP(E537,'Custos Matéria Prima Embalagens'!B:G,6,0)</f>
        <v>4.9800000000000004</v>
      </c>
      <c r="M537" s="209">
        <f t="shared" si="43"/>
        <v>54.78</v>
      </c>
      <c r="N537" s="209">
        <f t="shared" si="44"/>
        <v>7.0000000000000007E-2</v>
      </c>
    </row>
    <row r="538" spans="1:14" hidden="1">
      <c r="A538" s="129" t="s">
        <v>1266</v>
      </c>
      <c r="B538" s="129" t="s">
        <v>1267</v>
      </c>
      <c r="C538" s="129" t="s">
        <v>714</v>
      </c>
      <c r="D538" s="129" t="s">
        <v>1253</v>
      </c>
      <c r="E538" s="129" t="s">
        <v>1268</v>
      </c>
      <c r="F538" s="129" t="s">
        <v>1269</v>
      </c>
      <c r="G538" s="210">
        <v>20</v>
      </c>
      <c r="H538" s="211">
        <f t="shared" si="40"/>
        <v>931.80000000000007</v>
      </c>
      <c r="I538" s="207">
        <f>IF(F538="CONCENTRADO SEMI BRILHO",G538/'De-Para'!$B$9,G538/VLOOKUP(B538,'De-Para'!A:B,2,0))</f>
        <v>15.748031496062993</v>
      </c>
      <c r="J538" s="206">
        <f t="shared" si="41"/>
        <v>733.70078740157487</v>
      </c>
      <c r="K538" s="212">
        <f t="shared" si="42"/>
        <v>2.1463833440652499E-2</v>
      </c>
      <c r="L538" s="209">
        <f>VLOOKUP(E538,'Custos Matéria Prima Embalagens'!B:G,6,0)</f>
        <v>10.37</v>
      </c>
      <c r="M538" s="209">
        <f t="shared" si="43"/>
        <v>207.39999999999998</v>
      </c>
      <c r="N538" s="209">
        <f t="shared" si="44"/>
        <v>0.28000000000000003</v>
      </c>
    </row>
    <row r="539" spans="1:14" hidden="1">
      <c r="A539" s="129" t="s">
        <v>1266</v>
      </c>
      <c r="B539" s="129" t="s">
        <v>1267</v>
      </c>
      <c r="C539" s="129" t="s">
        <v>714</v>
      </c>
      <c r="D539" s="129" t="s">
        <v>1253</v>
      </c>
      <c r="E539" s="129" t="s">
        <v>1221</v>
      </c>
      <c r="F539" s="129" t="s">
        <v>1222</v>
      </c>
      <c r="G539" s="210">
        <v>17</v>
      </c>
      <c r="H539" s="211">
        <f t="shared" si="40"/>
        <v>931.80000000000007</v>
      </c>
      <c r="I539" s="207">
        <f>IF(F539="CONCENTRADO SEMI BRILHO",G539/'De-Para'!$B$9,G539/VLOOKUP(B539,'De-Para'!A:B,2,0))</f>
        <v>13.385826771653543</v>
      </c>
      <c r="J539" s="206">
        <f t="shared" si="41"/>
        <v>733.70078740157487</v>
      </c>
      <c r="K539" s="212">
        <f t="shared" si="42"/>
        <v>1.8244258424554623E-2</v>
      </c>
      <c r="L539" s="209">
        <f>VLOOKUP(E539,'Custos Matéria Prima Embalagens'!B:G,6,0)</f>
        <v>7.9049999999999994</v>
      </c>
      <c r="M539" s="209">
        <f t="shared" si="43"/>
        <v>134.38499999999999</v>
      </c>
      <c r="N539" s="209">
        <f t="shared" si="44"/>
        <v>0.18</v>
      </c>
    </row>
    <row r="540" spans="1:14" hidden="1">
      <c r="A540" s="129" t="s">
        <v>1266</v>
      </c>
      <c r="B540" s="129" t="s">
        <v>1267</v>
      </c>
      <c r="C540" s="129" t="s">
        <v>714</v>
      </c>
      <c r="D540" s="129" t="s">
        <v>1253</v>
      </c>
      <c r="E540" s="129" t="s">
        <v>1270</v>
      </c>
      <c r="F540" s="129" t="s">
        <v>1272</v>
      </c>
      <c r="G540" s="210">
        <v>300</v>
      </c>
      <c r="H540" s="211">
        <f t="shared" si="40"/>
        <v>931.80000000000007</v>
      </c>
      <c r="I540" s="207">
        <f>IF(F540="CONCENTRADO SEMI BRILHO",G540/'De-Para'!$B$9,G540/VLOOKUP(B540,'De-Para'!A:B,2,0))</f>
        <v>236.22047244094489</v>
      </c>
      <c r="J540" s="206">
        <f t="shared" si="41"/>
        <v>733.70078740157487</v>
      </c>
      <c r="K540" s="212">
        <f t="shared" si="42"/>
        <v>0.32195750160978748</v>
      </c>
      <c r="L540" s="209">
        <f>VLOOKUP(E540,'Custos Matéria Prima Embalagens'!B:G,6,0)</f>
        <v>8.9700000000000006</v>
      </c>
      <c r="M540" s="209">
        <f t="shared" si="43"/>
        <v>2691</v>
      </c>
      <c r="N540" s="209">
        <f t="shared" si="44"/>
        <v>3.67</v>
      </c>
    </row>
    <row r="541" spans="1:14" hidden="1">
      <c r="A541" s="129" t="s">
        <v>1266</v>
      </c>
      <c r="B541" s="129" t="s">
        <v>1267</v>
      </c>
      <c r="C541" s="129" t="s">
        <v>714</v>
      </c>
      <c r="D541" s="129" t="s">
        <v>1253</v>
      </c>
      <c r="E541" s="129" t="s">
        <v>1235</v>
      </c>
      <c r="F541" s="129" t="s">
        <v>1236</v>
      </c>
      <c r="G541" s="210">
        <v>1.5</v>
      </c>
      <c r="H541" s="211">
        <f t="shared" si="40"/>
        <v>931.80000000000007</v>
      </c>
      <c r="I541" s="207">
        <f>IF(F541="CONCENTRADO SEMI BRILHO",G541/'De-Para'!$B$9,G541/VLOOKUP(B541,'De-Para'!A:B,2,0))</f>
        <v>1.1811023622047243</v>
      </c>
      <c r="J541" s="206">
        <f t="shared" si="41"/>
        <v>733.70078740157487</v>
      </c>
      <c r="K541" s="212">
        <f t="shared" si="42"/>
        <v>1.6097875080489374E-3</v>
      </c>
      <c r="L541" s="209">
        <f>VLOOKUP(E541,'Custos Matéria Prima Embalagens'!B:G,6,0)</f>
        <v>46.089999999999996</v>
      </c>
      <c r="M541" s="209">
        <f t="shared" si="43"/>
        <v>69.134999999999991</v>
      </c>
      <c r="N541" s="209">
        <f t="shared" si="44"/>
        <v>0.09</v>
      </c>
    </row>
    <row r="542" spans="1:14" hidden="1">
      <c r="A542" s="129" t="s">
        <v>1266</v>
      </c>
      <c r="B542" s="129" t="s">
        <v>1267</v>
      </c>
      <c r="C542" s="129" t="s">
        <v>714</v>
      </c>
      <c r="D542" s="129" t="s">
        <v>1253</v>
      </c>
      <c r="E542" s="129" t="s">
        <v>1244</v>
      </c>
      <c r="F542" s="129" t="s">
        <v>1245</v>
      </c>
      <c r="G542" s="210">
        <v>0.1</v>
      </c>
      <c r="H542" s="211">
        <f t="shared" si="40"/>
        <v>931.80000000000007</v>
      </c>
      <c r="I542" s="207">
        <f>IF(F542="CONCENTRADO SEMI BRILHO",G542/'De-Para'!$B$9,G542/VLOOKUP(B542,'De-Para'!A:B,2,0))</f>
        <v>7.874015748031496E-2</v>
      </c>
      <c r="J542" s="206">
        <f t="shared" si="41"/>
        <v>733.70078740157487</v>
      </c>
      <c r="K542" s="212">
        <f t="shared" si="42"/>
        <v>1.073191672032625E-4</v>
      </c>
      <c r="L542" s="209">
        <f>VLOOKUP(E542,'Custos Matéria Prima Embalagens'!B:G,6,0)</f>
        <v>40.33</v>
      </c>
      <c r="M542" s="209">
        <f t="shared" si="43"/>
        <v>4.0330000000000004</v>
      </c>
      <c r="N542" s="209">
        <f t="shared" si="44"/>
        <v>0.01</v>
      </c>
    </row>
    <row r="543" spans="1:14" hidden="1">
      <c r="A543" s="129" t="s">
        <v>1266</v>
      </c>
      <c r="B543" s="129" t="s">
        <v>1267</v>
      </c>
      <c r="C543" s="129" t="s">
        <v>716</v>
      </c>
      <c r="D543" s="129" t="s">
        <v>1274</v>
      </c>
      <c r="E543" s="129" t="s">
        <v>1197</v>
      </c>
      <c r="F543" s="129" t="s">
        <v>1198</v>
      </c>
      <c r="G543" s="210">
        <v>300</v>
      </c>
      <c r="H543" s="211">
        <f t="shared" si="40"/>
        <v>732.2</v>
      </c>
      <c r="I543" s="207">
        <f>IF(F543="CONCENTRADO SEMI BRILHO",G543/'De-Para'!$B$9,G543/VLOOKUP(B543,'De-Para'!A:B,2,0))</f>
        <v>236.22047244094489</v>
      </c>
      <c r="J543" s="206">
        <f t="shared" si="41"/>
        <v>576.53543307086602</v>
      </c>
      <c r="K543" s="212">
        <f t="shared" si="42"/>
        <v>0.40972411909314393</v>
      </c>
      <c r="L543" s="209">
        <f>VLOOKUP(E543,'Custos Matéria Prima Embalagens'!B:G,6,0)</f>
        <v>0</v>
      </c>
      <c r="M543" s="209">
        <f t="shared" si="43"/>
        <v>0</v>
      </c>
      <c r="N543" s="209">
        <f t="shared" si="44"/>
        <v>0</v>
      </c>
    </row>
    <row r="544" spans="1:14" hidden="1">
      <c r="A544" s="129" t="s">
        <v>1266</v>
      </c>
      <c r="B544" s="129" t="s">
        <v>1267</v>
      </c>
      <c r="C544" s="129" t="s">
        <v>716</v>
      </c>
      <c r="D544" s="129" t="s">
        <v>1274</v>
      </c>
      <c r="E544" s="129" t="s">
        <v>1199</v>
      </c>
      <c r="F544" s="129" t="s">
        <v>1200</v>
      </c>
      <c r="G544" s="210">
        <v>1.2</v>
      </c>
      <c r="H544" s="211">
        <f t="shared" si="40"/>
        <v>732.2</v>
      </c>
      <c r="I544" s="207">
        <f>IF(F544="CONCENTRADO SEMI BRILHO",G544/'De-Para'!$B$9,G544/VLOOKUP(B544,'De-Para'!A:B,2,0))</f>
        <v>0.94488188976377951</v>
      </c>
      <c r="J544" s="206">
        <f t="shared" si="41"/>
        <v>576.53543307086602</v>
      </c>
      <c r="K544" s="212">
        <f t="shared" si="42"/>
        <v>1.6388964763725756E-3</v>
      </c>
      <c r="L544" s="209">
        <f>VLOOKUP(E544,'Custos Matéria Prima Embalagens'!B:G,6,0)</f>
        <v>17.939999999999998</v>
      </c>
      <c r="M544" s="209">
        <f t="shared" si="43"/>
        <v>21.527999999999995</v>
      </c>
      <c r="N544" s="209">
        <f t="shared" si="44"/>
        <v>0.04</v>
      </c>
    </row>
    <row r="545" spans="1:14" hidden="1">
      <c r="A545" s="129" t="s">
        <v>1266</v>
      </c>
      <c r="B545" s="129" t="s">
        <v>1267</v>
      </c>
      <c r="C545" s="129" t="s">
        <v>716</v>
      </c>
      <c r="D545" s="129" t="s">
        <v>1274</v>
      </c>
      <c r="E545" s="129" t="s">
        <v>1257</v>
      </c>
      <c r="F545" s="129" t="s">
        <v>1258</v>
      </c>
      <c r="G545" s="210">
        <v>2</v>
      </c>
      <c r="H545" s="211">
        <f t="shared" si="40"/>
        <v>732.2</v>
      </c>
      <c r="I545" s="207">
        <f>IF(F545="CONCENTRADO SEMI BRILHO",G545/'De-Para'!$B$9,G545/VLOOKUP(B545,'De-Para'!A:B,2,0))</f>
        <v>1.5748031496062991</v>
      </c>
      <c r="J545" s="206">
        <f t="shared" si="41"/>
        <v>576.53543307086602</v>
      </c>
      <c r="K545" s="212">
        <f t="shared" si="42"/>
        <v>2.7314941272876263E-3</v>
      </c>
      <c r="L545" s="209">
        <f>VLOOKUP(E545,'Custos Matéria Prima Embalagens'!B:G,6,0)</f>
        <v>11.7614232033819</v>
      </c>
      <c r="M545" s="209">
        <f t="shared" si="43"/>
        <v>23.522846406763801</v>
      </c>
      <c r="N545" s="209">
        <f t="shared" si="44"/>
        <v>0.04</v>
      </c>
    </row>
    <row r="546" spans="1:14" hidden="1">
      <c r="A546" s="129" t="s">
        <v>1266</v>
      </c>
      <c r="B546" s="129" t="s">
        <v>1267</v>
      </c>
      <c r="C546" s="129" t="s">
        <v>716</v>
      </c>
      <c r="D546" s="129" t="s">
        <v>1274</v>
      </c>
      <c r="E546" s="129" t="s">
        <v>1203</v>
      </c>
      <c r="F546" s="129" t="s">
        <v>1204</v>
      </c>
      <c r="G546" s="210">
        <v>2</v>
      </c>
      <c r="H546" s="211">
        <f t="shared" si="40"/>
        <v>732.2</v>
      </c>
      <c r="I546" s="207">
        <f>IF(F546="CONCENTRADO SEMI BRILHO",G546/'De-Para'!$B$9,G546/VLOOKUP(B546,'De-Para'!A:B,2,0))</f>
        <v>1.5748031496062991</v>
      </c>
      <c r="J546" s="206">
        <f t="shared" si="41"/>
        <v>576.53543307086602</v>
      </c>
      <c r="K546" s="212">
        <f t="shared" si="42"/>
        <v>2.7314941272876263E-3</v>
      </c>
      <c r="L546" s="209">
        <f>VLOOKUP(E546,'Custos Matéria Prima Embalagens'!B:G,6,0)</f>
        <v>4.9399999999999995</v>
      </c>
      <c r="M546" s="209">
        <f t="shared" si="43"/>
        <v>9.879999999999999</v>
      </c>
      <c r="N546" s="209">
        <f t="shared" si="44"/>
        <v>0.02</v>
      </c>
    </row>
    <row r="547" spans="1:14" hidden="1">
      <c r="A547" s="129" t="s">
        <v>1266</v>
      </c>
      <c r="B547" s="129" t="s">
        <v>1267</v>
      </c>
      <c r="C547" s="129" t="s">
        <v>716</v>
      </c>
      <c r="D547" s="129" t="s">
        <v>1274</v>
      </c>
      <c r="E547" s="129" t="s">
        <v>1205</v>
      </c>
      <c r="F547" s="129" t="s">
        <v>1206</v>
      </c>
      <c r="G547" s="210">
        <v>2</v>
      </c>
      <c r="H547" s="211">
        <f t="shared" si="40"/>
        <v>732.2</v>
      </c>
      <c r="I547" s="207">
        <f>IF(F547="CONCENTRADO SEMI BRILHO",G547/'De-Para'!$B$9,G547/VLOOKUP(B547,'De-Para'!A:B,2,0))</f>
        <v>1.5748031496062991</v>
      </c>
      <c r="J547" s="206">
        <f t="shared" si="41"/>
        <v>576.53543307086602</v>
      </c>
      <c r="K547" s="212">
        <f t="shared" si="42"/>
        <v>2.7314941272876263E-3</v>
      </c>
      <c r="L547" s="209">
        <f>VLOOKUP(E547,'Custos Matéria Prima Embalagens'!B:G,6,0)</f>
        <v>7.33</v>
      </c>
      <c r="M547" s="209">
        <f t="shared" si="43"/>
        <v>14.66</v>
      </c>
      <c r="N547" s="209">
        <f t="shared" si="44"/>
        <v>0.03</v>
      </c>
    </row>
    <row r="548" spans="1:14" hidden="1">
      <c r="A548" s="129" t="s">
        <v>1266</v>
      </c>
      <c r="B548" s="129" t="s">
        <v>1267</v>
      </c>
      <c r="C548" s="129" t="s">
        <v>716</v>
      </c>
      <c r="D548" s="129" t="s">
        <v>1274</v>
      </c>
      <c r="E548" s="129" t="s">
        <v>1207</v>
      </c>
      <c r="F548" s="129" t="s">
        <v>1208</v>
      </c>
      <c r="G548" s="210">
        <v>2</v>
      </c>
      <c r="H548" s="211">
        <f t="shared" si="40"/>
        <v>732.2</v>
      </c>
      <c r="I548" s="207">
        <f>IF(F548="CONCENTRADO SEMI BRILHO",G548/'De-Para'!$B$9,G548/VLOOKUP(B548,'De-Para'!A:B,2,0))</f>
        <v>1.5748031496062991</v>
      </c>
      <c r="J548" s="206">
        <f t="shared" si="41"/>
        <v>576.53543307086602</v>
      </c>
      <c r="K548" s="212">
        <f t="shared" si="42"/>
        <v>2.7314941272876263E-3</v>
      </c>
      <c r="L548" s="209">
        <f>VLOOKUP(E548,'Custos Matéria Prima Embalagens'!B:G,6,0)</f>
        <v>6.8599999999999994</v>
      </c>
      <c r="M548" s="209">
        <f t="shared" si="43"/>
        <v>13.719999999999999</v>
      </c>
      <c r="N548" s="209">
        <f t="shared" si="44"/>
        <v>0.02</v>
      </c>
    </row>
    <row r="549" spans="1:14" hidden="1">
      <c r="A549" s="129" t="s">
        <v>1266</v>
      </c>
      <c r="B549" s="129" t="s">
        <v>1267</v>
      </c>
      <c r="C549" s="129" t="s">
        <v>716</v>
      </c>
      <c r="D549" s="129" t="s">
        <v>1274</v>
      </c>
      <c r="E549" s="129" t="s">
        <v>1217</v>
      </c>
      <c r="F549" s="129" t="s">
        <v>1218</v>
      </c>
      <c r="G549" s="210">
        <v>300</v>
      </c>
      <c r="H549" s="211">
        <f t="shared" si="40"/>
        <v>732.2</v>
      </c>
      <c r="I549" s="207">
        <f>IF(F549="CONCENTRADO SEMI BRILHO",G549/'De-Para'!$B$9,G549/VLOOKUP(B549,'De-Para'!A:B,2,0))</f>
        <v>236.22047244094489</v>
      </c>
      <c r="J549" s="206">
        <f t="shared" si="41"/>
        <v>576.53543307086602</v>
      </c>
      <c r="K549" s="212">
        <f t="shared" si="42"/>
        <v>0.40972411909314393</v>
      </c>
      <c r="L549" s="209">
        <f>VLOOKUP(E549,'Custos Matéria Prima Embalagens'!B:G,6,0)</f>
        <v>8.43</v>
      </c>
      <c r="M549" s="209">
        <f t="shared" si="43"/>
        <v>2529</v>
      </c>
      <c r="N549" s="209">
        <f t="shared" si="44"/>
        <v>4.3899999999999997</v>
      </c>
    </row>
    <row r="550" spans="1:14" hidden="1">
      <c r="A550" s="129" t="s">
        <v>1266</v>
      </c>
      <c r="B550" s="129" t="s">
        <v>1267</v>
      </c>
      <c r="C550" s="129" t="s">
        <v>716</v>
      </c>
      <c r="D550" s="129" t="s">
        <v>1274</v>
      </c>
      <c r="E550" s="129" t="s">
        <v>1229</v>
      </c>
      <c r="F550" s="129" t="s">
        <v>1230</v>
      </c>
      <c r="G550" s="210">
        <v>10</v>
      </c>
      <c r="H550" s="211">
        <f t="shared" si="40"/>
        <v>732.2</v>
      </c>
      <c r="I550" s="207">
        <f>IF(F550="CONCENTRADO SEMI BRILHO",G550/'De-Para'!$B$9,G550/VLOOKUP(B550,'De-Para'!A:B,2,0))</f>
        <v>7.8740157480314963</v>
      </c>
      <c r="J550" s="206">
        <f t="shared" si="41"/>
        <v>576.53543307086602</v>
      </c>
      <c r="K550" s="212">
        <f t="shared" si="42"/>
        <v>1.3657470636438131E-2</v>
      </c>
      <c r="L550" s="209">
        <f>VLOOKUP(E550,'Custos Matéria Prima Embalagens'!B:G,6,0)</f>
        <v>19.22</v>
      </c>
      <c r="M550" s="209">
        <f t="shared" si="43"/>
        <v>192.2</v>
      </c>
      <c r="N550" s="209">
        <f t="shared" si="44"/>
        <v>0.33</v>
      </c>
    </row>
    <row r="551" spans="1:14" hidden="1">
      <c r="A551" s="129" t="s">
        <v>1266</v>
      </c>
      <c r="B551" s="129" t="s">
        <v>1267</v>
      </c>
      <c r="C551" s="129" t="s">
        <v>716</v>
      </c>
      <c r="D551" s="129" t="s">
        <v>1274</v>
      </c>
      <c r="E551" s="129" t="s">
        <v>1261</v>
      </c>
      <c r="F551" s="129" t="s">
        <v>1262</v>
      </c>
      <c r="G551" s="210">
        <v>10</v>
      </c>
      <c r="H551" s="211">
        <f t="shared" si="40"/>
        <v>732.2</v>
      </c>
      <c r="I551" s="207">
        <f>IF(F551="CONCENTRADO SEMI BRILHO",G551/'De-Para'!$B$9,G551/VLOOKUP(B551,'De-Para'!A:B,2,0))</f>
        <v>7.8740157480314963</v>
      </c>
      <c r="J551" s="206">
        <f t="shared" si="41"/>
        <v>576.53543307086602</v>
      </c>
      <c r="K551" s="212">
        <f t="shared" si="42"/>
        <v>1.3657470636438131E-2</v>
      </c>
      <c r="L551" s="209">
        <f>VLOOKUP(E551,'Custos Matéria Prima Embalagens'!B:G,6,0)</f>
        <v>31.4314232033819</v>
      </c>
      <c r="M551" s="209">
        <f t="shared" si="43"/>
        <v>314.314232033819</v>
      </c>
      <c r="N551" s="209">
        <f t="shared" si="44"/>
        <v>0.55000000000000004</v>
      </c>
    </row>
    <row r="552" spans="1:14" hidden="1">
      <c r="A552" s="129" t="s">
        <v>1266</v>
      </c>
      <c r="B552" s="129" t="s">
        <v>1267</v>
      </c>
      <c r="C552" s="129" t="s">
        <v>716</v>
      </c>
      <c r="D552" s="129" t="s">
        <v>1274</v>
      </c>
      <c r="E552" s="129" t="s">
        <v>1209</v>
      </c>
      <c r="F552" s="129" t="s">
        <v>1210</v>
      </c>
      <c r="G552" s="210">
        <v>3</v>
      </c>
      <c r="H552" s="211">
        <f t="shared" si="40"/>
        <v>732.2</v>
      </c>
      <c r="I552" s="207">
        <f>IF(F552="CONCENTRADO SEMI BRILHO",G552/'De-Para'!$B$9,G552/VLOOKUP(B552,'De-Para'!A:B,2,0))</f>
        <v>2.3622047244094486</v>
      </c>
      <c r="J552" s="206">
        <f t="shared" si="41"/>
        <v>576.53543307086602</v>
      </c>
      <c r="K552" s="212">
        <f t="shared" si="42"/>
        <v>4.0972411909314397E-3</v>
      </c>
      <c r="L552" s="209">
        <f>VLOOKUP(E552,'Custos Matéria Prima Embalagens'!B:G,6,0)</f>
        <v>7</v>
      </c>
      <c r="M552" s="209">
        <f t="shared" si="43"/>
        <v>21</v>
      </c>
      <c r="N552" s="209">
        <f t="shared" si="44"/>
        <v>0.04</v>
      </c>
    </row>
    <row r="553" spans="1:14" hidden="1">
      <c r="A553" s="129" t="s">
        <v>1266</v>
      </c>
      <c r="B553" s="129" t="s">
        <v>1267</v>
      </c>
      <c r="C553" s="129" t="s">
        <v>716</v>
      </c>
      <c r="D553" s="129" t="s">
        <v>1274</v>
      </c>
      <c r="E553" s="129" t="s">
        <v>1219</v>
      </c>
      <c r="F553" s="129" t="s">
        <v>1220</v>
      </c>
      <c r="G553" s="210">
        <v>3</v>
      </c>
      <c r="H553" s="211">
        <f t="shared" si="40"/>
        <v>732.2</v>
      </c>
      <c r="I553" s="207">
        <f>IF(F553="CONCENTRADO SEMI BRILHO",G553/'De-Para'!$B$9,G553/VLOOKUP(B553,'De-Para'!A:B,2,0))</f>
        <v>2.3622047244094486</v>
      </c>
      <c r="J553" s="206">
        <f t="shared" si="41"/>
        <v>576.53543307086602</v>
      </c>
      <c r="K553" s="212">
        <f t="shared" si="42"/>
        <v>4.0972411909314397E-3</v>
      </c>
      <c r="L553" s="209">
        <f>VLOOKUP(E553,'Custos Matéria Prima Embalagens'!B:G,6,0)</f>
        <v>4.9800000000000004</v>
      </c>
      <c r="M553" s="209">
        <f t="shared" si="43"/>
        <v>14.940000000000001</v>
      </c>
      <c r="N553" s="209">
        <f t="shared" si="44"/>
        <v>0.03</v>
      </c>
    </row>
    <row r="554" spans="1:14" hidden="1">
      <c r="A554" s="129" t="s">
        <v>1266</v>
      </c>
      <c r="B554" s="129" t="s">
        <v>1267</v>
      </c>
      <c r="C554" s="129" t="s">
        <v>716</v>
      </c>
      <c r="D554" s="129" t="s">
        <v>1274</v>
      </c>
      <c r="E554" s="129" t="s">
        <v>1268</v>
      </c>
      <c r="F554" s="129" t="s">
        <v>1269</v>
      </c>
      <c r="G554" s="210">
        <v>20</v>
      </c>
      <c r="H554" s="211">
        <f t="shared" si="40"/>
        <v>732.2</v>
      </c>
      <c r="I554" s="207">
        <f>IF(F554="CONCENTRADO SEMI BRILHO",G554/'De-Para'!$B$9,G554/VLOOKUP(B554,'De-Para'!A:B,2,0))</f>
        <v>15.748031496062993</v>
      </c>
      <c r="J554" s="206">
        <f t="shared" si="41"/>
        <v>576.53543307086602</v>
      </c>
      <c r="K554" s="212">
        <f t="shared" si="42"/>
        <v>2.7314941272876262E-2</v>
      </c>
      <c r="L554" s="209">
        <f>VLOOKUP(E554,'Custos Matéria Prima Embalagens'!B:G,6,0)</f>
        <v>10.37</v>
      </c>
      <c r="M554" s="209">
        <f t="shared" si="43"/>
        <v>207.39999999999998</v>
      </c>
      <c r="N554" s="209">
        <f t="shared" si="44"/>
        <v>0.36</v>
      </c>
    </row>
    <row r="555" spans="1:14" hidden="1">
      <c r="A555" s="129" t="s">
        <v>1266</v>
      </c>
      <c r="B555" s="129" t="s">
        <v>1267</v>
      </c>
      <c r="C555" s="129" t="s">
        <v>716</v>
      </c>
      <c r="D555" s="129" t="s">
        <v>1274</v>
      </c>
      <c r="E555" s="129" t="s">
        <v>1221</v>
      </c>
      <c r="F555" s="129" t="s">
        <v>1222</v>
      </c>
      <c r="G555" s="210">
        <v>13</v>
      </c>
      <c r="H555" s="211">
        <f t="shared" si="40"/>
        <v>732.2</v>
      </c>
      <c r="I555" s="207">
        <f>IF(F555="CONCENTRADO SEMI BRILHO",G555/'De-Para'!$B$9,G555/VLOOKUP(B555,'De-Para'!A:B,2,0))</f>
        <v>10.236220472440944</v>
      </c>
      <c r="J555" s="206">
        <f t="shared" si="41"/>
        <v>576.53543307086602</v>
      </c>
      <c r="K555" s="212">
        <f t="shared" si="42"/>
        <v>1.7754711827369572E-2</v>
      </c>
      <c r="L555" s="209">
        <f>VLOOKUP(E555,'Custos Matéria Prima Embalagens'!B:G,6,0)</f>
        <v>7.9049999999999994</v>
      </c>
      <c r="M555" s="209">
        <f t="shared" si="43"/>
        <v>102.76499999999999</v>
      </c>
      <c r="N555" s="209">
        <f t="shared" si="44"/>
        <v>0.18</v>
      </c>
    </row>
    <row r="556" spans="1:14" hidden="1">
      <c r="A556" s="129" t="s">
        <v>1266</v>
      </c>
      <c r="B556" s="129" t="s">
        <v>1267</v>
      </c>
      <c r="C556" s="129" t="s">
        <v>716</v>
      </c>
      <c r="D556" s="129" t="s">
        <v>1274</v>
      </c>
      <c r="E556" s="129" t="s">
        <v>1270</v>
      </c>
      <c r="F556" s="129" t="s">
        <v>1272</v>
      </c>
      <c r="G556" s="210">
        <v>60</v>
      </c>
      <c r="H556" s="211">
        <f t="shared" si="40"/>
        <v>732.2</v>
      </c>
      <c r="I556" s="207">
        <f>IF(F556="CONCENTRADO SEMI BRILHO",G556/'De-Para'!$B$9,G556/VLOOKUP(B556,'De-Para'!A:B,2,0))</f>
        <v>47.244094488188978</v>
      </c>
      <c r="J556" s="206">
        <f t="shared" si="41"/>
        <v>576.53543307086602</v>
      </c>
      <c r="K556" s="212">
        <f t="shared" si="42"/>
        <v>8.194482381862879E-2</v>
      </c>
      <c r="L556" s="209">
        <f>VLOOKUP(E556,'Custos Matéria Prima Embalagens'!B:G,6,0)</f>
        <v>8.9700000000000006</v>
      </c>
      <c r="M556" s="209">
        <f t="shared" si="43"/>
        <v>538.20000000000005</v>
      </c>
      <c r="N556" s="209">
        <f t="shared" si="44"/>
        <v>0.93</v>
      </c>
    </row>
    <row r="557" spans="1:14" hidden="1">
      <c r="A557" s="129" t="s">
        <v>1266</v>
      </c>
      <c r="B557" s="129" t="s">
        <v>1267</v>
      </c>
      <c r="C557" s="129" t="s">
        <v>716</v>
      </c>
      <c r="D557" s="129" t="s">
        <v>1274</v>
      </c>
      <c r="E557" s="129" t="s">
        <v>1244</v>
      </c>
      <c r="F557" s="129" t="s">
        <v>1275</v>
      </c>
      <c r="G557" s="210">
        <v>4</v>
      </c>
      <c r="H557" s="211">
        <f t="shared" si="40"/>
        <v>732.2</v>
      </c>
      <c r="I557" s="207">
        <f>IF(F557="CONCENTRADO SEMI BRILHO",G557/'De-Para'!$B$9,G557/VLOOKUP(B557,'De-Para'!A:B,2,0))</f>
        <v>3.1496062992125982</v>
      </c>
      <c r="J557" s="206">
        <f t="shared" si="41"/>
        <v>576.53543307086602</v>
      </c>
      <c r="K557" s="212">
        <f t="shared" si="42"/>
        <v>5.4629882545752526E-3</v>
      </c>
      <c r="L557" s="209">
        <f>VLOOKUP(E557,'Custos Matéria Prima Embalagens'!B:G,6,0)</f>
        <v>40.33</v>
      </c>
      <c r="M557" s="209">
        <f t="shared" si="43"/>
        <v>161.32</v>
      </c>
      <c r="N557" s="209">
        <f t="shared" si="44"/>
        <v>0.28000000000000003</v>
      </c>
    </row>
    <row r="558" spans="1:14" hidden="1">
      <c r="A558" s="129" t="s">
        <v>1266</v>
      </c>
      <c r="B558" s="129" t="s">
        <v>1267</v>
      </c>
      <c r="C558" s="129" t="s">
        <v>718</v>
      </c>
      <c r="D558" s="129" t="s">
        <v>581</v>
      </c>
      <c r="E558" s="129" t="s">
        <v>1197</v>
      </c>
      <c r="F558" s="129" t="s">
        <v>1198</v>
      </c>
      <c r="G558" s="210">
        <v>300</v>
      </c>
      <c r="H558" s="211">
        <f t="shared" si="40"/>
        <v>759</v>
      </c>
      <c r="I558" s="207">
        <f>IF(F558="CONCENTRADO SEMI BRILHO",G558/'De-Para'!$B$9,G558/VLOOKUP(B558,'De-Para'!A:B,2,0))</f>
        <v>236.22047244094489</v>
      </c>
      <c r="J558" s="206">
        <f t="shared" si="41"/>
        <v>597.63779527559086</v>
      </c>
      <c r="K558" s="212">
        <f t="shared" si="42"/>
        <v>0.39525691699604742</v>
      </c>
      <c r="L558" s="209">
        <f>VLOOKUP(E558,'Custos Matéria Prima Embalagens'!B:G,6,0)</f>
        <v>0</v>
      </c>
      <c r="M558" s="209">
        <f t="shared" si="43"/>
        <v>0</v>
      </c>
      <c r="N558" s="209">
        <f t="shared" si="44"/>
        <v>0</v>
      </c>
    </row>
    <row r="559" spans="1:14" hidden="1">
      <c r="A559" s="129" t="s">
        <v>1266</v>
      </c>
      <c r="B559" s="129" t="s">
        <v>1267</v>
      </c>
      <c r="C559" s="129" t="s">
        <v>718</v>
      </c>
      <c r="D559" s="129" t="s">
        <v>581</v>
      </c>
      <c r="E559" s="129" t="s">
        <v>1199</v>
      </c>
      <c r="F559" s="129" t="s">
        <v>1200</v>
      </c>
      <c r="G559" s="210">
        <v>1.2</v>
      </c>
      <c r="H559" s="211">
        <f t="shared" si="40"/>
        <v>759</v>
      </c>
      <c r="I559" s="207">
        <f>IF(F559="CONCENTRADO SEMI BRILHO",G559/'De-Para'!$B$9,G559/VLOOKUP(B559,'De-Para'!A:B,2,0))</f>
        <v>0.94488188976377951</v>
      </c>
      <c r="J559" s="206">
        <f t="shared" si="41"/>
        <v>597.63779527559086</v>
      </c>
      <c r="K559" s="212">
        <f t="shared" si="42"/>
        <v>1.5810276679841897E-3</v>
      </c>
      <c r="L559" s="209">
        <f>VLOOKUP(E559,'Custos Matéria Prima Embalagens'!B:G,6,0)</f>
        <v>17.939999999999998</v>
      </c>
      <c r="M559" s="209">
        <f t="shared" si="43"/>
        <v>21.527999999999995</v>
      </c>
      <c r="N559" s="209">
        <f t="shared" si="44"/>
        <v>0.04</v>
      </c>
    </row>
    <row r="560" spans="1:14" hidden="1">
      <c r="A560" s="129" t="s">
        <v>1266</v>
      </c>
      <c r="B560" s="129" t="s">
        <v>1267</v>
      </c>
      <c r="C560" s="129" t="s">
        <v>718</v>
      </c>
      <c r="D560" s="129" t="s">
        <v>581</v>
      </c>
      <c r="E560" s="129" t="s">
        <v>1257</v>
      </c>
      <c r="F560" s="129" t="s">
        <v>1258</v>
      </c>
      <c r="G560" s="210">
        <v>2</v>
      </c>
      <c r="H560" s="211">
        <f t="shared" si="40"/>
        <v>759</v>
      </c>
      <c r="I560" s="207">
        <f>IF(F560="CONCENTRADO SEMI BRILHO",G560/'De-Para'!$B$9,G560/VLOOKUP(B560,'De-Para'!A:B,2,0))</f>
        <v>1.5748031496062991</v>
      </c>
      <c r="J560" s="206">
        <f t="shared" si="41"/>
        <v>597.63779527559086</v>
      </c>
      <c r="K560" s="212">
        <f t="shared" si="42"/>
        <v>2.635046113306983E-3</v>
      </c>
      <c r="L560" s="209">
        <f>VLOOKUP(E560,'Custos Matéria Prima Embalagens'!B:G,6,0)</f>
        <v>11.7614232033819</v>
      </c>
      <c r="M560" s="209">
        <f t="shared" si="43"/>
        <v>23.522846406763801</v>
      </c>
      <c r="N560" s="209">
        <f t="shared" si="44"/>
        <v>0.04</v>
      </c>
    </row>
    <row r="561" spans="1:14" hidden="1">
      <c r="A561" s="129" t="s">
        <v>1266</v>
      </c>
      <c r="B561" s="129" t="s">
        <v>1267</v>
      </c>
      <c r="C561" s="129" t="s">
        <v>718</v>
      </c>
      <c r="D561" s="129" t="s">
        <v>581</v>
      </c>
      <c r="E561" s="129" t="s">
        <v>1203</v>
      </c>
      <c r="F561" s="129" t="s">
        <v>1204</v>
      </c>
      <c r="G561" s="210">
        <v>2</v>
      </c>
      <c r="H561" s="211">
        <f t="shared" si="40"/>
        <v>759</v>
      </c>
      <c r="I561" s="207">
        <f>IF(F561="CONCENTRADO SEMI BRILHO",G561/'De-Para'!$B$9,G561/VLOOKUP(B561,'De-Para'!A:B,2,0))</f>
        <v>1.5748031496062991</v>
      </c>
      <c r="J561" s="206">
        <f t="shared" si="41"/>
        <v>597.63779527559086</v>
      </c>
      <c r="K561" s="212">
        <f t="shared" si="42"/>
        <v>2.635046113306983E-3</v>
      </c>
      <c r="L561" s="209">
        <f>VLOOKUP(E561,'Custos Matéria Prima Embalagens'!B:G,6,0)</f>
        <v>4.9399999999999995</v>
      </c>
      <c r="M561" s="209">
        <f t="shared" si="43"/>
        <v>9.879999999999999</v>
      </c>
      <c r="N561" s="209">
        <f t="shared" si="44"/>
        <v>0.02</v>
      </c>
    </row>
    <row r="562" spans="1:14" hidden="1">
      <c r="A562" s="129" t="s">
        <v>1266</v>
      </c>
      <c r="B562" s="129" t="s">
        <v>1267</v>
      </c>
      <c r="C562" s="129" t="s">
        <v>718</v>
      </c>
      <c r="D562" s="129" t="s">
        <v>581</v>
      </c>
      <c r="E562" s="129" t="s">
        <v>1205</v>
      </c>
      <c r="F562" s="129" t="s">
        <v>1206</v>
      </c>
      <c r="G562" s="210">
        <v>2</v>
      </c>
      <c r="H562" s="211">
        <f t="shared" si="40"/>
        <v>759</v>
      </c>
      <c r="I562" s="207">
        <f>IF(F562="CONCENTRADO SEMI BRILHO",G562/'De-Para'!$B$9,G562/VLOOKUP(B562,'De-Para'!A:B,2,0))</f>
        <v>1.5748031496062991</v>
      </c>
      <c r="J562" s="206">
        <f t="shared" si="41"/>
        <v>597.63779527559086</v>
      </c>
      <c r="K562" s="212">
        <f t="shared" si="42"/>
        <v>2.635046113306983E-3</v>
      </c>
      <c r="L562" s="209">
        <f>VLOOKUP(E562,'Custos Matéria Prima Embalagens'!B:G,6,0)</f>
        <v>7.33</v>
      </c>
      <c r="M562" s="209">
        <f t="shared" si="43"/>
        <v>14.66</v>
      </c>
      <c r="N562" s="209">
        <f t="shared" si="44"/>
        <v>0.02</v>
      </c>
    </row>
    <row r="563" spans="1:14" hidden="1">
      <c r="A563" s="129" t="s">
        <v>1266</v>
      </c>
      <c r="B563" s="129" t="s">
        <v>1267</v>
      </c>
      <c r="C563" s="129" t="s">
        <v>718</v>
      </c>
      <c r="D563" s="129" t="s">
        <v>581</v>
      </c>
      <c r="E563" s="129" t="s">
        <v>1207</v>
      </c>
      <c r="F563" s="129" t="s">
        <v>1208</v>
      </c>
      <c r="G563" s="210">
        <v>2</v>
      </c>
      <c r="H563" s="211">
        <f t="shared" si="40"/>
        <v>759</v>
      </c>
      <c r="I563" s="207">
        <f>IF(F563="CONCENTRADO SEMI BRILHO",G563/'De-Para'!$B$9,G563/VLOOKUP(B563,'De-Para'!A:B,2,0))</f>
        <v>1.5748031496062991</v>
      </c>
      <c r="J563" s="206">
        <f t="shared" si="41"/>
        <v>597.63779527559086</v>
      </c>
      <c r="K563" s="212">
        <f t="shared" si="42"/>
        <v>2.635046113306983E-3</v>
      </c>
      <c r="L563" s="209">
        <f>VLOOKUP(E563,'Custos Matéria Prima Embalagens'!B:G,6,0)</f>
        <v>6.8599999999999994</v>
      </c>
      <c r="M563" s="209">
        <f t="shared" si="43"/>
        <v>13.719999999999999</v>
      </c>
      <c r="N563" s="209">
        <f t="shared" si="44"/>
        <v>0.02</v>
      </c>
    </row>
    <row r="564" spans="1:14" hidden="1">
      <c r="A564" s="129" t="s">
        <v>1266</v>
      </c>
      <c r="B564" s="129" t="s">
        <v>1267</v>
      </c>
      <c r="C564" s="129" t="s">
        <v>718</v>
      </c>
      <c r="D564" s="129" t="s">
        <v>581</v>
      </c>
      <c r="E564" s="129" t="s">
        <v>1217</v>
      </c>
      <c r="F564" s="129" t="s">
        <v>1218</v>
      </c>
      <c r="G564" s="210">
        <v>300</v>
      </c>
      <c r="H564" s="211">
        <f t="shared" si="40"/>
        <v>759</v>
      </c>
      <c r="I564" s="207">
        <f>IF(F564="CONCENTRADO SEMI BRILHO",G564/'De-Para'!$B$9,G564/VLOOKUP(B564,'De-Para'!A:B,2,0))</f>
        <v>236.22047244094489</v>
      </c>
      <c r="J564" s="206">
        <f t="shared" si="41"/>
        <v>597.63779527559086</v>
      </c>
      <c r="K564" s="212">
        <f t="shared" si="42"/>
        <v>0.39525691699604742</v>
      </c>
      <c r="L564" s="209">
        <f>VLOOKUP(E564,'Custos Matéria Prima Embalagens'!B:G,6,0)</f>
        <v>8.43</v>
      </c>
      <c r="M564" s="209">
        <f t="shared" si="43"/>
        <v>2529</v>
      </c>
      <c r="N564" s="209">
        <f t="shared" si="44"/>
        <v>4.2300000000000004</v>
      </c>
    </row>
    <row r="565" spans="1:14" hidden="1">
      <c r="A565" s="129" t="s">
        <v>1266</v>
      </c>
      <c r="B565" s="129" t="s">
        <v>1267</v>
      </c>
      <c r="C565" s="129" t="s">
        <v>718</v>
      </c>
      <c r="D565" s="129" t="s">
        <v>581</v>
      </c>
      <c r="E565" s="129" t="s">
        <v>1229</v>
      </c>
      <c r="F565" s="129" t="s">
        <v>1230</v>
      </c>
      <c r="G565" s="210">
        <v>10</v>
      </c>
      <c r="H565" s="211">
        <f t="shared" si="40"/>
        <v>759</v>
      </c>
      <c r="I565" s="207">
        <f>IF(F565="CONCENTRADO SEMI BRILHO",G565/'De-Para'!$B$9,G565/VLOOKUP(B565,'De-Para'!A:B,2,0))</f>
        <v>7.8740157480314963</v>
      </c>
      <c r="J565" s="206">
        <f t="shared" si="41"/>
        <v>597.63779527559086</v>
      </c>
      <c r="K565" s="212">
        <f t="shared" si="42"/>
        <v>1.3175230566534914E-2</v>
      </c>
      <c r="L565" s="209">
        <f>VLOOKUP(E565,'Custos Matéria Prima Embalagens'!B:G,6,0)</f>
        <v>19.22</v>
      </c>
      <c r="M565" s="209">
        <f t="shared" si="43"/>
        <v>192.2</v>
      </c>
      <c r="N565" s="209">
        <f t="shared" si="44"/>
        <v>0.32</v>
      </c>
    </row>
    <row r="566" spans="1:14" hidden="1">
      <c r="A566" s="129" t="s">
        <v>1266</v>
      </c>
      <c r="B566" s="129" t="s">
        <v>1267</v>
      </c>
      <c r="C566" s="129" t="s">
        <v>718</v>
      </c>
      <c r="D566" s="129" t="s">
        <v>581</v>
      </c>
      <c r="E566" s="129" t="s">
        <v>1261</v>
      </c>
      <c r="F566" s="129" t="s">
        <v>1262</v>
      </c>
      <c r="G566" s="210">
        <v>10</v>
      </c>
      <c r="H566" s="211">
        <f t="shared" si="40"/>
        <v>759</v>
      </c>
      <c r="I566" s="207">
        <f>IF(F566="CONCENTRADO SEMI BRILHO",G566/'De-Para'!$B$9,G566/VLOOKUP(B566,'De-Para'!A:B,2,0))</f>
        <v>7.8740157480314963</v>
      </c>
      <c r="J566" s="206">
        <f t="shared" si="41"/>
        <v>597.63779527559086</v>
      </c>
      <c r="K566" s="212">
        <f t="shared" si="42"/>
        <v>1.3175230566534914E-2</v>
      </c>
      <c r="L566" s="209">
        <f>VLOOKUP(E566,'Custos Matéria Prima Embalagens'!B:G,6,0)</f>
        <v>31.4314232033819</v>
      </c>
      <c r="M566" s="209">
        <f t="shared" si="43"/>
        <v>314.314232033819</v>
      </c>
      <c r="N566" s="209">
        <f t="shared" si="44"/>
        <v>0.53</v>
      </c>
    </row>
    <row r="567" spans="1:14" hidden="1">
      <c r="A567" s="129" t="s">
        <v>1266</v>
      </c>
      <c r="B567" s="129" t="s">
        <v>1267</v>
      </c>
      <c r="C567" s="129" t="s">
        <v>718</v>
      </c>
      <c r="D567" s="129" t="s">
        <v>581</v>
      </c>
      <c r="E567" s="129" t="s">
        <v>1209</v>
      </c>
      <c r="F567" s="129" t="s">
        <v>1210</v>
      </c>
      <c r="G567" s="210">
        <v>3</v>
      </c>
      <c r="H567" s="211">
        <f t="shared" si="40"/>
        <v>759</v>
      </c>
      <c r="I567" s="207">
        <f>IF(F567="CONCENTRADO SEMI BRILHO",G567/'De-Para'!$B$9,G567/VLOOKUP(B567,'De-Para'!A:B,2,0))</f>
        <v>2.3622047244094486</v>
      </c>
      <c r="J567" s="206">
        <f t="shared" si="41"/>
        <v>597.63779527559086</v>
      </c>
      <c r="K567" s="212">
        <f t="shared" si="42"/>
        <v>3.952569169960474E-3</v>
      </c>
      <c r="L567" s="209">
        <f>VLOOKUP(E567,'Custos Matéria Prima Embalagens'!B:G,6,0)</f>
        <v>7</v>
      </c>
      <c r="M567" s="209">
        <f t="shared" si="43"/>
        <v>21</v>
      </c>
      <c r="N567" s="209">
        <f t="shared" si="44"/>
        <v>0.04</v>
      </c>
    </row>
    <row r="568" spans="1:14" hidden="1">
      <c r="A568" s="129" t="s">
        <v>1266</v>
      </c>
      <c r="B568" s="129" t="s">
        <v>1267</v>
      </c>
      <c r="C568" s="129" t="s">
        <v>718</v>
      </c>
      <c r="D568" s="129" t="s">
        <v>581</v>
      </c>
      <c r="E568" s="129" t="s">
        <v>1219</v>
      </c>
      <c r="F568" s="129" t="s">
        <v>1220</v>
      </c>
      <c r="G568" s="210">
        <v>11</v>
      </c>
      <c r="H568" s="211">
        <f t="shared" si="40"/>
        <v>759</v>
      </c>
      <c r="I568" s="207">
        <f>IF(F568="CONCENTRADO SEMI BRILHO",G568/'De-Para'!$B$9,G568/VLOOKUP(B568,'De-Para'!A:B,2,0))</f>
        <v>8.6614173228346463</v>
      </c>
      <c r="J568" s="206">
        <f t="shared" si="41"/>
        <v>597.63779527559086</v>
      </c>
      <c r="K568" s="212">
        <f t="shared" si="42"/>
        <v>1.4492753623188406E-2</v>
      </c>
      <c r="L568" s="209">
        <f>VLOOKUP(E568,'Custos Matéria Prima Embalagens'!B:G,6,0)</f>
        <v>4.9800000000000004</v>
      </c>
      <c r="M568" s="209">
        <f t="shared" si="43"/>
        <v>54.78</v>
      </c>
      <c r="N568" s="209">
        <f t="shared" si="44"/>
        <v>0.09</v>
      </c>
    </row>
    <row r="569" spans="1:14" hidden="1">
      <c r="A569" s="129" t="s">
        <v>1266</v>
      </c>
      <c r="B569" s="129" t="s">
        <v>1267</v>
      </c>
      <c r="C569" s="129" t="s">
        <v>718</v>
      </c>
      <c r="D569" s="129" t="s">
        <v>581</v>
      </c>
      <c r="E569" s="129" t="s">
        <v>1268</v>
      </c>
      <c r="F569" s="129" t="s">
        <v>1269</v>
      </c>
      <c r="G569" s="210">
        <v>20</v>
      </c>
      <c r="H569" s="211">
        <f t="shared" si="40"/>
        <v>759</v>
      </c>
      <c r="I569" s="207">
        <f>IF(F569="CONCENTRADO SEMI BRILHO",G569/'De-Para'!$B$9,G569/VLOOKUP(B569,'De-Para'!A:B,2,0))</f>
        <v>15.748031496062993</v>
      </c>
      <c r="J569" s="206">
        <f t="shared" si="41"/>
        <v>597.63779527559086</v>
      </c>
      <c r="K569" s="212">
        <f t="shared" si="42"/>
        <v>2.6350461133069828E-2</v>
      </c>
      <c r="L569" s="209">
        <f>VLOOKUP(E569,'Custos Matéria Prima Embalagens'!B:G,6,0)</f>
        <v>10.37</v>
      </c>
      <c r="M569" s="209">
        <f t="shared" si="43"/>
        <v>207.39999999999998</v>
      </c>
      <c r="N569" s="209">
        <f t="shared" si="44"/>
        <v>0.35</v>
      </c>
    </row>
    <row r="570" spans="1:14" hidden="1">
      <c r="A570" s="129" t="s">
        <v>1266</v>
      </c>
      <c r="B570" s="129" t="s">
        <v>1267</v>
      </c>
      <c r="C570" s="129" t="s">
        <v>718</v>
      </c>
      <c r="D570" s="129" t="s">
        <v>581</v>
      </c>
      <c r="E570" s="129" t="s">
        <v>1221</v>
      </c>
      <c r="F570" s="129" t="s">
        <v>1222</v>
      </c>
      <c r="G570" s="210">
        <v>17</v>
      </c>
      <c r="H570" s="211">
        <f t="shared" si="40"/>
        <v>759</v>
      </c>
      <c r="I570" s="207">
        <f>IF(F570="CONCENTRADO SEMI BRILHO",G570/'De-Para'!$B$9,G570/VLOOKUP(B570,'De-Para'!A:B,2,0))</f>
        <v>13.385826771653543</v>
      </c>
      <c r="J570" s="206">
        <f t="shared" si="41"/>
        <v>597.63779527559086</v>
      </c>
      <c r="K570" s="212">
        <f t="shared" si="42"/>
        <v>2.2397891963109356E-2</v>
      </c>
      <c r="L570" s="209">
        <f>VLOOKUP(E570,'Custos Matéria Prima Embalagens'!B:G,6,0)</f>
        <v>7.9049999999999994</v>
      </c>
      <c r="M570" s="209">
        <f t="shared" si="43"/>
        <v>134.38499999999999</v>
      </c>
      <c r="N570" s="209">
        <f t="shared" si="44"/>
        <v>0.22</v>
      </c>
    </row>
    <row r="571" spans="1:14" hidden="1">
      <c r="A571" s="129" t="s">
        <v>1266</v>
      </c>
      <c r="B571" s="129" t="s">
        <v>1267</v>
      </c>
      <c r="C571" s="129" t="s">
        <v>718</v>
      </c>
      <c r="D571" s="129" t="s">
        <v>581</v>
      </c>
      <c r="E571" s="129" t="s">
        <v>1270</v>
      </c>
      <c r="F571" s="129" t="s">
        <v>1272</v>
      </c>
      <c r="G571" s="210">
        <v>60</v>
      </c>
      <c r="H571" s="211">
        <f t="shared" si="40"/>
        <v>759</v>
      </c>
      <c r="I571" s="207">
        <f>IF(F571="CONCENTRADO SEMI BRILHO",G571/'De-Para'!$B$9,G571/VLOOKUP(B571,'De-Para'!A:B,2,0))</f>
        <v>47.244094488188978</v>
      </c>
      <c r="J571" s="206">
        <f t="shared" si="41"/>
        <v>597.63779527559086</v>
      </c>
      <c r="K571" s="212">
        <f t="shared" si="42"/>
        <v>7.9051383399209488E-2</v>
      </c>
      <c r="L571" s="209">
        <f>VLOOKUP(E571,'Custos Matéria Prima Embalagens'!B:G,6,0)</f>
        <v>8.9700000000000006</v>
      </c>
      <c r="M571" s="209">
        <f t="shared" si="43"/>
        <v>538.20000000000005</v>
      </c>
      <c r="N571" s="209">
        <f t="shared" si="44"/>
        <v>0.9</v>
      </c>
    </row>
    <row r="572" spans="1:14" hidden="1">
      <c r="A572" s="129" t="s">
        <v>1266</v>
      </c>
      <c r="B572" s="129" t="s">
        <v>1267</v>
      </c>
      <c r="C572" s="129" t="s">
        <v>718</v>
      </c>
      <c r="D572" s="129" t="s">
        <v>581</v>
      </c>
      <c r="E572" s="129" t="s">
        <v>1273</v>
      </c>
      <c r="F572" s="129" t="s">
        <v>1234</v>
      </c>
      <c r="G572" s="210">
        <v>1.3</v>
      </c>
      <c r="H572" s="211">
        <f t="shared" si="40"/>
        <v>759</v>
      </c>
      <c r="I572" s="207">
        <f>IF(F572="CONCENTRADO SEMI BRILHO",G572/'De-Para'!$B$9,G572/VLOOKUP(B572,'De-Para'!A:B,2,0))</f>
        <v>1.0236220472440944</v>
      </c>
      <c r="J572" s="206">
        <f t="shared" si="41"/>
        <v>597.63779527559086</v>
      </c>
      <c r="K572" s="212">
        <f t="shared" si="42"/>
        <v>1.712779973649539E-3</v>
      </c>
      <c r="L572" s="209">
        <f>VLOOKUP(E572,'Custos Matéria Prima Embalagens'!B:G,6,0)</f>
        <v>15.600000000000001</v>
      </c>
      <c r="M572" s="209">
        <f t="shared" si="43"/>
        <v>20.28</v>
      </c>
      <c r="N572" s="209">
        <f t="shared" si="44"/>
        <v>0.03</v>
      </c>
    </row>
    <row r="573" spans="1:14" hidden="1">
      <c r="A573" s="129" t="s">
        <v>1266</v>
      </c>
      <c r="B573" s="129" t="s">
        <v>1267</v>
      </c>
      <c r="C573" s="129" t="s">
        <v>718</v>
      </c>
      <c r="D573" s="129" t="s">
        <v>581</v>
      </c>
      <c r="E573" s="129" t="s">
        <v>1237</v>
      </c>
      <c r="F573" s="129" t="s">
        <v>1238</v>
      </c>
      <c r="G573" s="210">
        <v>15</v>
      </c>
      <c r="H573" s="211">
        <f t="shared" si="40"/>
        <v>759</v>
      </c>
      <c r="I573" s="207">
        <f>IF(F573="CONCENTRADO SEMI BRILHO",G573/'De-Para'!$B$9,G573/VLOOKUP(B573,'De-Para'!A:B,2,0))</f>
        <v>11.811023622047244</v>
      </c>
      <c r="J573" s="206">
        <f t="shared" si="41"/>
        <v>597.63779527559086</v>
      </c>
      <c r="K573" s="212">
        <f t="shared" si="42"/>
        <v>1.9762845849802372E-2</v>
      </c>
      <c r="L573" s="209">
        <f>VLOOKUP(E573,'Custos Matéria Prima Embalagens'!B:G,6,0)</f>
        <v>39</v>
      </c>
      <c r="M573" s="209">
        <f t="shared" si="43"/>
        <v>585</v>
      </c>
      <c r="N573" s="209">
        <f t="shared" si="44"/>
        <v>0.98</v>
      </c>
    </row>
    <row r="574" spans="1:14" hidden="1">
      <c r="A574" s="129" t="s">
        <v>1266</v>
      </c>
      <c r="B574" s="129" t="s">
        <v>1267</v>
      </c>
      <c r="C574" s="129" t="s">
        <v>718</v>
      </c>
      <c r="D574" s="129" t="s">
        <v>581</v>
      </c>
      <c r="E574" s="129" t="s">
        <v>1239</v>
      </c>
      <c r="F574" s="129" t="s">
        <v>1240</v>
      </c>
      <c r="G574" s="210">
        <v>1.5</v>
      </c>
      <c r="H574" s="211">
        <f t="shared" si="40"/>
        <v>759</v>
      </c>
      <c r="I574" s="207">
        <f>IF(F574="CONCENTRADO SEMI BRILHO",G574/'De-Para'!$B$9,G574/VLOOKUP(B574,'De-Para'!A:B,2,0))</f>
        <v>1.1811023622047243</v>
      </c>
      <c r="J574" s="206">
        <f t="shared" si="41"/>
        <v>597.63779527559086</v>
      </c>
      <c r="K574" s="212">
        <f t="shared" si="42"/>
        <v>1.976284584980237E-3</v>
      </c>
      <c r="L574" s="209">
        <f>VLOOKUP(E574,'Custos Matéria Prima Embalagens'!B:G,6,0)</f>
        <v>21.11</v>
      </c>
      <c r="M574" s="209">
        <f t="shared" si="43"/>
        <v>31.664999999999999</v>
      </c>
      <c r="N574" s="209">
        <f t="shared" si="44"/>
        <v>0.05</v>
      </c>
    </row>
    <row r="575" spans="1:14" hidden="1">
      <c r="A575" s="129" t="s">
        <v>1266</v>
      </c>
      <c r="B575" s="129" t="s">
        <v>1267</v>
      </c>
      <c r="C575" s="129" t="s">
        <v>718</v>
      </c>
      <c r="D575" s="129" t="s">
        <v>581</v>
      </c>
      <c r="E575" s="129" t="s">
        <v>1241</v>
      </c>
      <c r="F575" s="129" t="s">
        <v>1242</v>
      </c>
      <c r="G575" s="210">
        <v>1</v>
      </c>
      <c r="H575" s="211">
        <f t="shared" si="40"/>
        <v>759</v>
      </c>
      <c r="I575" s="207">
        <f>IF(F575="CONCENTRADO SEMI BRILHO",G575/'De-Para'!$B$9,G575/VLOOKUP(B575,'De-Para'!A:B,2,0))</f>
        <v>0.78740157480314954</v>
      </c>
      <c r="J575" s="206">
        <f t="shared" si="41"/>
        <v>597.63779527559086</v>
      </c>
      <c r="K575" s="212">
        <f t="shared" si="42"/>
        <v>1.3175230566534915E-3</v>
      </c>
      <c r="L575" s="209">
        <f>VLOOKUP(E575,'Custos Matéria Prima Embalagens'!B:G,6,0)</f>
        <v>31.25</v>
      </c>
      <c r="M575" s="209">
        <f t="shared" si="43"/>
        <v>31.25</v>
      </c>
      <c r="N575" s="209">
        <f t="shared" si="44"/>
        <v>0.05</v>
      </c>
    </row>
    <row r="576" spans="1:14" hidden="1">
      <c r="A576" s="129" t="s">
        <v>1266</v>
      </c>
      <c r="B576" s="129" t="s">
        <v>1267</v>
      </c>
      <c r="C576" s="129" t="s">
        <v>720</v>
      </c>
      <c r="D576" s="129" t="s">
        <v>675</v>
      </c>
      <c r="E576" s="129" t="s">
        <v>1197</v>
      </c>
      <c r="F576" s="129" t="s">
        <v>1198</v>
      </c>
      <c r="G576" s="210">
        <v>300</v>
      </c>
      <c r="H576" s="211">
        <f t="shared" si="40"/>
        <v>768.2</v>
      </c>
      <c r="I576" s="207">
        <f>IF(F576="CONCENTRADO SEMI BRILHO",G576/'De-Para'!$B$9,G576/VLOOKUP(B576,'De-Para'!A:B,2,0))</f>
        <v>236.22047244094489</v>
      </c>
      <c r="J576" s="206">
        <f t="shared" si="41"/>
        <v>604.8818897637799</v>
      </c>
      <c r="K576" s="212">
        <f t="shared" si="42"/>
        <v>0.39052330122363965</v>
      </c>
      <c r="L576" s="209">
        <f>VLOOKUP(E576,'Custos Matéria Prima Embalagens'!B:G,6,0)</f>
        <v>0</v>
      </c>
      <c r="M576" s="209">
        <f t="shared" si="43"/>
        <v>0</v>
      </c>
      <c r="N576" s="209">
        <f t="shared" si="44"/>
        <v>0</v>
      </c>
    </row>
    <row r="577" spans="1:14" hidden="1">
      <c r="A577" s="129" t="s">
        <v>1266</v>
      </c>
      <c r="B577" s="129" t="s">
        <v>1267</v>
      </c>
      <c r="C577" s="129" t="s">
        <v>720</v>
      </c>
      <c r="D577" s="129" t="s">
        <v>675</v>
      </c>
      <c r="E577" s="129" t="s">
        <v>1199</v>
      </c>
      <c r="F577" s="129" t="s">
        <v>1200</v>
      </c>
      <c r="G577" s="210">
        <v>1.2</v>
      </c>
      <c r="H577" s="211">
        <f t="shared" si="40"/>
        <v>768.2</v>
      </c>
      <c r="I577" s="207">
        <f>IF(F577="CONCENTRADO SEMI BRILHO",G577/'De-Para'!$B$9,G577/VLOOKUP(B577,'De-Para'!A:B,2,0))</f>
        <v>0.94488188976377951</v>
      </c>
      <c r="J577" s="206">
        <f t="shared" si="41"/>
        <v>604.8818897637799</v>
      </c>
      <c r="K577" s="212">
        <f t="shared" si="42"/>
        <v>1.5620932048945586E-3</v>
      </c>
      <c r="L577" s="209">
        <f>VLOOKUP(E577,'Custos Matéria Prima Embalagens'!B:G,6,0)</f>
        <v>17.939999999999998</v>
      </c>
      <c r="M577" s="209">
        <f t="shared" si="43"/>
        <v>21.527999999999995</v>
      </c>
      <c r="N577" s="209">
        <f t="shared" si="44"/>
        <v>0.04</v>
      </c>
    </row>
    <row r="578" spans="1:14" hidden="1">
      <c r="A578" s="129" t="s">
        <v>1266</v>
      </c>
      <c r="B578" s="129" t="s">
        <v>1267</v>
      </c>
      <c r="C578" s="129" t="s">
        <v>720</v>
      </c>
      <c r="D578" s="129" t="s">
        <v>675</v>
      </c>
      <c r="E578" s="129" t="s">
        <v>1257</v>
      </c>
      <c r="F578" s="129" t="s">
        <v>1258</v>
      </c>
      <c r="G578" s="210">
        <v>2</v>
      </c>
      <c r="H578" s="211">
        <f t="shared" si="40"/>
        <v>768.2</v>
      </c>
      <c r="I578" s="207">
        <f>IF(F578="CONCENTRADO SEMI BRILHO",G578/'De-Para'!$B$9,G578/VLOOKUP(B578,'De-Para'!A:B,2,0))</f>
        <v>1.5748031496062991</v>
      </c>
      <c r="J578" s="206">
        <f t="shared" si="41"/>
        <v>604.8818897637799</v>
      </c>
      <c r="K578" s="212">
        <f t="shared" si="42"/>
        <v>2.6034886748242643E-3</v>
      </c>
      <c r="L578" s="209">
        <f>VLOOKUP(E578,'Custos Matéria Prima Embalagens'!B:G,6,0)</f>
        <v>11.7614232033819</v>
      </c>
      <c r="M578" s="209">
        <f t="shared" si="43"/>
        <v>23.522846406763801</v>
      </c>
      <c r="N578" s="209">
        <f t="shared" si="44"/>
        <v>0.04</v>
      </c>
    </row>
    <row r="579" spans="1:14" hidden="1">
      <c r="A579" s="129" t="s">
        <v>1266</v>
      </c>
      <c r="B579" s="129" t="s">
        <v>1267</v>
      </c>
      <c r="C579" s="129" t="s">
        <v>720</v>
      </c>
      <c r="D579" s="129" t="s">
        <v>675</v>
      </c>
      <c r="E579" s="129" t="s">
        <v>1203</v>
      </c>
      <c r="F579" s="129" t="s">
        <v>1204</v>
      </c>
      <c r="G579" s="210">
        <v>2</v>
      </c>
      <c r="H579" s="211">
        <f t="shared" ref="H579:H642" si="45">SUMIFS(G:G,C:C,C579)</f>
        <v>768.2</v>
      </c>
      <c r="I579" s="207">
        <f>IF(F579="CONCENTRADO SEMI BRILHO",G579/'De-Para'!$B$9,G579/VLOOKUP(B579,'De-Para'!A:B,2,0))</f>
        <v>1.5748031496062991</v>
      </c>
      <c r="J579" s="206">
        <f t="shared" ref="J579:J642" si="46">SUMIFS(I:I,C:C,C579)</f>
        <v>604.8818897637799</v>
      </c>
      <c r="K579" s="212">
        <f t="shared" ref="K579:K642" si="47">G579/H579</f>
        <v>2.6034886748242643E-3</v>
      </c>
      <c r="L579" s="209">
        <f>VLOOKUP(E579,'Custos Matéria Prima Embalagens'!B:G,6,0)</f>
        <v>4.9399999999999995</v>
      </c>
      <c r="M579" s="209">
        <f t="shared" ref="M579:M642" si="48">L579*G579</f>
        <v>9.879999999999999</v>
      </c>
      <c r="N579" s="209">
        <f t="shared" ref="N579:N642" si="49">IF(B579="CONCENTRADO",ROUND(M579/H579,2),ROUND(M579/J579,2))</f>
        <v>0.02</v>
      </c>
    </row>
    <row r="580" spans="1:14" hidden="1">
      <c r="A580" s="129" t="s">
        <v>1266</v>
      </c>
      <c r="B580" s="129" t="s">
        <v>1267</v>
      </c>
      <c r="C580" s="129" t="s">
        <v>720</v>
      </c>
      <c r="D580" s="129" t="s">
        <v>675</v>
      </c>
      <c r="E580" s="129" t="s">
        <v>1205</v>
      </c>
      <c r="F580" s="129" t="s">
        <v>1206</v>
      </c>
      <c r="G580" s="210">
        <v>2</v>
      </c>
      <c r="H580" s="211">
        <f t="shared" si="45"/>
        <v>768.2</v>
      </c>
      <c r="I580" s="207">
        <f>IF(F580="CONCENTRADO SEMI BRILHO",G580/'De-Para'!$B$9,G580/VLOOKUP(B580,'De-Para'!A:B,2,0))</f>
        <v>1.5748031496062991</v>
      </c>
      <c r="J580" s="206">
        <f t="shared" si="46"/>
        <v>604.8818897637799</v>
      </c>
      <c r="K580" s="212">
        <f t="shared" si="47"/>
        <v>2.6034886748242643E-3</v>
      </c>
      <c r="L580" s="209">
        <f>VLOOKUP(E580,'Custos Matéria Prima Embalagens'!B:G,6,0)</f>
        <v>7.33</v>
      </c>
      <c r="M580" s="209">
        <f t="shared" si="48"/>
        <v>14.66</v>
      </c>
      <c r="N580" s="209">
        <f t="shared" si="49"/>
        <v>0.02</v>
      </c>
    </row>
    <row r="581" spans="1:14" hidden="1">
      <c r="A581" s="129" t="s">
        <v>1266</v>
      </c>
      <c r="B581" s="129" t="s">
        <v>1267</v>
      </c>
      <c r="C581" s="129" t="s">
        <v>720</v>
      </c>
      <c r="D581" s="129" t="s">
        <v>675</v>
      </c>
      <c r="E581" s="129" t="s">
        <v>1207</v>
      </c>
      <c r="F581" s="129" t="s">
        <v>1208</v>
      </c>
      <c r="G581" s="210">
        <v>2</v>
      </c>
      <c r="H581" s="211">
        <f t="shared" si="45"/>
        <v>768.2</v>
      </c>
      <c r="I581" s="207">
        <f>IF(F581="CONCENTRADO SEMI BRILHO",G581/'De-Para'!$B$9,G581/VLOOKUP(B581,'De-Para'!A:B,2,0))</f>
        <v>1.5748031496062991</v>
      </c>
      <c r="J581" s="206">
        <f t="shared" si="46"/>
        <v>604.8818897637799</v>
      </c>
      <c r="K581" s="212">
        <f t="shared" si="47"/>
        <v>2.6034886748242643E-3</v>
      </c>
      <c r="L581" s="209">
        <f>VLOOKUP(E581,'Custos Matéria Prima Embalagens'!B:G,6,0)</f>
        <v>6.8599999999999994</v>
      </c>
      <c r="M581" s="209">
        <f t="shared" si="48"/>
        <v>13.719999999999999</v>
      </c>
      <c r="N581" s="209">
        <f t="shared" si="49"/>
        <v>0.02</v>
      </c>
    </row>
    <row r="582" spans="1:14" hidden="1">
      <c r="A582" s="129" t="s">
        <v>1266</v>
      </c>
      <c r="B582" s="129" t="s">
        <v>1267</v>
      </c>
      <c r="C582" s="129" t="s">
        <v>720</v>
      </c>
      <c r="D582" s="129" t="s">
        <v>675</v>
      </c>
      <c r="E582" s="129" t="s">
        <v>1217</v>
      </c>
      <c r="F582" s="129" t="s">
        <v>1218</v>
      </c>
      <c r="G582" s="210">
        <v>300</v>
      </c>
      <c r="H582" s="211">
        <f t="shared" si="45"/>
        <v>768.2</v>
      </c>
      <c r="I582" s="207">
        <f>IF(F582="CONCENTRADO SEMI BRILHO",G582/'De-Para'!$B$9,G582/VLOOKUP(B582,'De-Para'!A:B,2,0))</f>
        <v>236.22047244094489</v>
      </c>
      <c r="J582" s="206">
        <f t="shared" si="46"/>
        <v>604.8818897637799</v>
      </c>
      <c r="K582" s="212">
        <f t="shared" si="47"/>
        <v>0.39052330122363965</v>
      </c>
      <c r="L582" s="209">
        <f>VLOOKUP(E582,'Custos Matéria Prima Embalagens'!B:G,6,0)</f>
        <v>8.43</v>
      </c>
      <c r="M582" s="209">
        <f t="shared" si="48"/>
        <v>2529</v>
      </c>
      <c r="N582" s="209">
        <f t="shared" si="49"/>
        <v>4.18</v>
      </c>
    </row>
    <row r="583" spans="1:14" hidden="1">
      <c r="A583" s="129" t="s">
        <v>1266</v>
      </c>
      <c r="B583" s="129" t="s">
        <v>1267</v>
      </c>
      <c r="C583" s="129" t="s">
        <v>720</v>
      </c>
      <c r="D583" s="129" t="s">
        <v>675</v>
      </c>
      <c r="E583" s="129" t="s">
        <v>1229</v>
      </c>
      <c r="F583" s="129" t="s">
        <v>1230</v>
      </c>
      <c r="G583" s="210">
        <v>10</v>
      </c>
      <c r="H583" s="211">
        <f t="shared" si="45"/>
        <v>768.2</v>
      </c>
      <c r="I583" s="207">
        <f>IF(F583="CONCENTRADO SEMI BRILHO",G583/'De-Para'!$B$9,G583/VLOOKUP(B583,'De-Para'!A:B,2,0))</f>
        <v>7.8740157480314963</v>
      </c>
      <c r="J583" s="206">
        <f t="shared" si="46"/>
        <v>604.8818897637799</v>
      </c>
      <c r="K583" s="212">
        <f t="shared" si="47"/>
        <v>1.3017443374121323E-2</v>
      </c>
      <c r="L583" s="209">
        <f>VLOOKUP(E583,'Custos Matéria Prima Embalagens'!B:G,6,0)</f>
        <v>19.22</v>
      </c>
      <c r="M583" s="209">
        <f t="shared" si="48"/>
        <v>192.2</v>
      </c>
      <c r="N583" s="209">
        <f t="shared" si="49"/>
        <v>0.32</v>
      </c>
    </row>
    <row r="584" spans="1:14" hidden="1">
      <c r="A584" s="129" t="s">
        <v>1266</v>
      </c>
      <c r="B584" s="129" t="s">
        <v>1267</v>
      </c>
      <c r="C584" s="129" t="s">
        <v>720</v>
      </c>
      <c r="D584" s="129" t="s">
        <v>675</v>
      </c>
      <c r="E584" s="129" t="s">
        <v>1261</v>
      </c>
      <c r="F584" s="129" t="s">
        <v>1262</v>
      </c>
      <c r="G584" s="210">
        <v>10</v>
      </c>
      <c r="H584" s="211">
        <f t="shared" si="45"/>
        <v>768.2</v>
      </c>
      <c r="I584" s="207">
        <f>IF(F584="CONCENTRADO SEMI BRILHO",G584/'De-Para'!$B$9,G584/VLOOKUP(B584,'De-Para'!A:B,2,0))</f>
        <v>7.8740157480314963</v>
      </c>
      <c r="J584" s="206">
        <f t="shared" si="46"/>
        <v>604.8818897637799</v>
      </c>
      <c r="K584" s="212">
        <f t="shared" si="47"/>
        <v>1.3017443374121323E-2</v>
      </c>
      <c r="L584" s="209">
        <f>VLOOKUP(E584,'Custos Matéria Prima Embalagens'!B:G,6,0)</f>
        <v>31.4314232033819</v>
      </c>
      <c r="M584" s="209">
        <f t="shared" si="48"/>
        <v>314.314232033819</v>
      </c>
      <c r="N584" s="209">
        <f t="shared" si="49"/>
        <v>0.52</v>
      </c>
    </row>
    <row r="585" spans="1:14" hidden="1">
      <c r="A585" s="129" t="s">
        <v>1266</v>
      </c>
      <c r="B585" s="129" t="s">
        <v>1267</v>
      </c>
      <c r="C585" s="129" t="s">
        <v>720</v>
      </c>
      <c r="D585" s="129" t="s">
        <v>675</v>
      </c>
      <c r="E585" s="129" t="s">
        <v>1209</v>
      </c>
      <c r="F585" s="129" t="s">
        <v>1210</v>
      </c>
      <c r="G585" s="210">
        <v>3</v>
      </c>
      <c r="H585" s="211">
        <f t="shared" si="45"/>
        <v>768.2</v>
      </c>
      <c r="I585" s="207">
        <f>IF(F585="CONCENTRADO SEMI BRILHO",G585/'De-Para'!$B$9,G585/VLOOKUP(B585,'De-Para'!A:B,2,0))</f>
        <v>2.3622047244094486</v>
      </c>
      <c r="J585" s="206">
        <f t="shared" si="46"/>
        <v>604.8818897637799</v>
      </c>
      <c r="K585" s="212">
        <f t="shared" si="47"/>
        <v>3.9052330122363965E-3</v>
      </c>
      <c r="L585" s="209">
        <f>VLOOKUP(E585,'Custos Matéria Prima Embalagens'!B:G,6,0)</f>
        <v>7</v>
      </c>
      <c r="M585" s="209">
        <f t="shared" si="48"/>
        <v>21</v>
      </c>
      <c r="N585" s="209">
        <f t="shared" si="49"/>
        <v>0.03</v>
      </c>
    </row>
    <row r="586" spans="1:14" hidden="1">
      <c r="A586" s="129" t="s">
        <v>1266</v>
      </c>
      <c r="B586" s="129" t="s">
        <v>1267</v>
      </c>
      <c r="C586" s="129" t="s">
        <v>720</v>
      </c>
      <c r="D586" s="129" t="s">
        <v>675</v>
      </c>
      <c r="E586" s="129" t="s">
        <v>1219</v>
      </c>
      <c r="F586" s="129" t="s">
        <v>1220</v>
      </c>
      <c r="G586" s="210">
        <v>11</v>
      </c>
      <c r="H586" s="211">
        <f t="shared" si="45"/>
        <v>768.2</v>
      </c>
      <c r="I586" s="207">
        <f>IF(F586="CONCENTRADO SEMI BRILHO",G586/'De-Para'!$B$9,G586/VLOOKUP(B586,'De-Para'!A:B,2,0))</f>
        <v>8.6614173228346463</v>
      </c>
      <c r="J586" s="206">
        <f t="shared" si="46"/>
        <v>604.8818897637799</v>
      </c>
      <c r="K586" s="212">
        <f t="shared" si="47"/>
        <v>1.4319187711533454E-2</v>
      </c>
      <c r="L586" s="209">
        <f>VLOOKUP(E586,'Custos Matéria Prima Embalagens'!B:G,6,0)</f>
        <v>4.9800000000000004</v>
      </c>
      <c r="M586" s="209">
        <f t="shared" si="48"/>
        <v>54.78</v>
      </c>
      <c r="N586" s="209">
        <f t="shared" si="49"/>
        <v>0.09</v>
      </c>
    </row>
    <row r="587" spans="1:14" hidden="1">
      <c r="A587" s="129" t="s">
        <v>1266</v>
      </c>
      <c r="B587" s="129" t="s">
        <v>1267</v>
      </c>
      <c r="C587" s="129" t="s">
        <v>720</v>
      </c>
      <c r="D587" s="129" t="s">
        <v>675</v>
      </c>
      <c r="E587" s="129" t="s">
        <v>1268</v>
      </c>
      <c r="F587" s="129" t="s">
        <v>1269</v>
      </c>
      <c r="G587" s="210">
        <v>20</v>
      </c>
      <c r="H587" s="211">
        <f t="shared" si="45"/>
        <v>768.2</v>
      </c>
      <c r="I587" s="207">
        <f>IF(F587="CONCENTRADO SEMI BRILHO",G587/'De-Para'!$B$9,G587/VLOOKUP(B587,'De-Para'!A:B,2,0))</f>
        <v>15.748031496062993</v>
      </c>
      <c r="J587" s="206">
        <f t="shared" si="46"/>
        <v>604.8818897637799</v>
      </c>
      <c r="K587" s="212">
        <f t="shared" si="47"/>
        <v>2.6034886748242645E-2</v>
      </c>
      <c r="L587" s="209">
        <f>VLOOKUP(E587,'Custos Matéria Prima Embalagens'!B:G,6,0)</f>
        <v>10.37</v>
      </c>
      <c r="M587" s="209">
        <f t="shared" si="48"/>
        <v>207.39999999999998</v>
      </c>
      <c r="N587" s="209">
        <f t="shared" si="49"/>
        <v>0.34</v>
      </c>
    </row>
    <row r="588" spans="1:14" hidden="1">
      <c r="A588" s="129" t="s">
        <v>1266</v>
      </c>
      <c r="B588" s="129" t="s">
        <v>1267</v>
      </c>
      <c r="C588" s="129" t="s">
        <v>720</v>
      </c>
      <c r="D588" s="129" t="s">
        <v>675</v>
      </c>
      <c r="E588" s="129" t="s">
        <v>1221</v>
      </c>
      <c r="F588" s="129" t="s">
        <v>1222</v>
      </c>
      <c r="G588" s="210">
        <v>17</v>
      </c>
      <c r="H588" s="211">
        <f t="shared" si="45"/>
        <v>768.2</v>
      </c>
      <c r="I588" s="207">
        <f>IF(F588="CONCENTRADO SEMI BRILHO",G588/'De-Para'!$B$9,G588/VLOOKUP(B588,'De-Para'!A:B,2,0))</f>
        <v>13.385826771653543</v>
      </c>
      <c r="J588" s="206">
        <f t="shared" si="46"/>
        <v>604.8818897637799</v>
      </c>
      <c r="K588" s="212">
        <f t="shared" si="47"/>
        <v>2.2129653736006248E-2</v>
      </c>
      <c r="L588" s="209">
        <f>VLOOKUP(E588,'Custos Matéria Prima Embalagens'!B:G,6,0)</f>
        <v>7.9049999999999994</v>
      </c>
      <c r="M588" s="209">
        <f t="shared" si="48"/>
        <v>134.38499999999999</v>
      </c>
      <c r="N588" s="209">
        <f t="shared" si="49"/>
        <v>0.22</v>
      </c>
    </row>
    <row r="589" spans="1:14" hidden="1">
      <c r="A589" s="129" t="s">
        <v>1266</v>
      </c>
      <c r="B589" s="129" t="s">
        <v>1267</v>
      </c>
      <c r="C589" s="129" t="s">
        <v>720</v>
      </c>
      <c r="D589" s="129" t="s">
        <v>675</v>
      </c>
      <c r="E589" s="129" t="s">
        <v>1270</v>
      </c>
      <c r="F589" s="129" t="s">
        <v>1272</v>
      </c>
      <c r="G589" s="210">
        <v>60</v>
      </c>
      <c r="H589" s="211">
        <f t="shared" si="45"/>
        <v>768.2</v>
      </c>
      <c r="I589" s="207">
        <f>IF(F589="CONCENTRADO SEMI BRILHO",G589/'De-Para'!$B$9,G589/VLOOKUP(B589,'De-Para'!A:B,2,0))</f>
        <v>47.244094488188978</v>
      </c>
      <c r="J589" s="206">
        <f t="shared" si="46"/>
        <v>604.8818897637799</v>
      </c>
      <c r="K589" s="212">
        <f t="shared" si="47"/>
        <v>7.8104660244727925E-2</v>
      </c>
      <c r="L589" s="209">
        <f>VLOOKUP(E589,'Custos Matéria Prima Embalagens'!B:G,6,0)</f>
        <v>8.9700000000000006</v>
      </c>
      <c r="M589" s="209">
        <f t="shared" si="48"/>
        <v>538.20000000000005</v>
      </c>
      <c r="N589" s="209">
        <f t="shared" si="49"/>
        <v>0.89</v>
      </c>
    </row>
    <row r="590" spans="1:14" hidden="1">
      <c r="A590" s="129" t="s">
        <v>1266</v>
      </c>
      <c r="B590" s="129" t="s">
        <v>1267</v>
      </c>
      <c r="C590" s="129" t="s">
        <v>720</v>
      </c>
      <c r="D590" s="129" t="s">
        <v>675</v>
      </c>
      <c r="E590" s="129" t="s">
        <v>1273</v>
      </c>
      <c r="F590" s="129" t="s">
        <v>1234</v>
      </c>
      <c r="G590" s="210">
        <v>15</v>
      </c>
      <c r="H590" s="211">
        <f t="shared" si="45"/>
        <v>768.2</v>
      </c>
      <c r="I590" s="207">
        <f>IF(F590="CONCENTRADO SEMI BRILHO",G590/'De-Para'!$B$9,G590/VLOOKUP(B590,'De-Para'!A:B,2,0))</f>
        <v>11.811023622047244</v>
      </c>
      <c r="J590" s="206">
        <f t="shared" si="46"/>
        <v>604.8818897637799</v>
      </c>
      <c r="K590" s="212">
        <f t="shared" si="47"/>
        <v>1.9526165061181981E-2</v>
      </c>
      <c r="L590" s="209">
        <f>VLOOKUP(E590,'Custos Matéria Prima Embalagens'!B:G,6,0)</f>
        <v>15.600000000000001</v>
      </c>
      <c r="M590" s="209">
        <f t="shared" si="48"/>
        <v>234.00000000000003</v>
      </c>
      <c r="N590" s="209">
        <f t="shared" si="49"/>
        <v>0.39</v>
      </c>
    </row>
    <row r="591" spans="1:14" hidden="1">
      <c r="A591" s="129" t="s">
        <v>1266</v>
      </c>
      <c r="B591" s="129" t="s">
        <v>1267</v>
      </c>
      <c r="C591" s="129" t="s">
        <v>720</v>
      </c>
      <c r="D591" s="129" t="s">
        <v>675</v>
      </c>
      <c r="E591" s="129" t="s">
        <v>1264</v>
      </c>
      <c r="F591" s="129" t="s">
        <v>1265</v>
      </c>
      <c r="G591" s="210">
        <v>10</v>
      </c>
      <c r="H591" s="211">
        <f t="shared" si="45"/>
        <v>768.2</v>
      </c>
      <c r="I591" s="207">
        <f>IF(F591="CONCENTRADO SEMI BRILHO",G591/'De-Para'!$B$9,G591/VLOOKUP(B591,'De-Para'!A:B,2,0))</f>
        <v>7.8740157480314963</v>
      </c>
      <c r="J591" s="206">
        <f t="shared" si="46"/>
        <v>604.8818897637799</v>
      </c>
      <c r="K591" s="212">
        <f t="shared" si="47"/>
        <v>1.3017443374121323E-2</v>
      </c>
      <c r="L591" s="209">
        <f>VLOOKUP(E591,'Custos Matéria Prima Embalagens'!B:G,6,0)</f>
        <v>32.440305555555597</v>
      </c>
      <c r="M591" s="209">
        <f t="shared" si="48"/>
        <v>324.40305555555597</v>
      </c>
      <c r="N591" s="209">
        <f t="shared" si="49"/>
        <v>0.54</v>
      </c>
    </row>
    <row r="592" spans="1:14" hidden="1">
      <c r="A592" s="129" t="s">
        <v>1266</v>
      </c>
      <c r="B592" s="129" t="s">
        <v>1267</v>
      </c>
      <c r="C592" s="129" t="s">
        <v>720</v>
      </c>
      <c r="D592" s="129" t="s">
        <v>675</v>
      </c>
      <c r="E592" s="129" t="s">
        <v>1239</v>
      </c>
      <c r="F592" s="129" t="s">
        <v>1240</v>
      </c>
      <c r="G592" s="210">
        <v>3</v>
      </c>
      <c r="H592" s="211">
        <f t="shared" si="45"/>
        <v>768.2</v>
      </c>
      <c r="I592" s="207">
        <f>IF(F592="CONCENTRADO SEMI BRILHO",G592/'De-Para'!$B$9,G592/VLOOKUP(B592,'De-Para'!A:B,2,0))</f>
        <v>2.3622047244094486</v>
      </c>
      <c r="J592" s="206">
        <f t="shared" si="46"/>
        <v>604.8818897637799</v>
      </c>
      <c r="K592" s="212">
        <f t="shared" si="47"/>
        <v>3.9052330122363965E-3</v>
      </c>
      <c r="L592" s="209">
        <f>VLOOKUP(E592,'Custos Matéria Prima Embalagens'!B:G,6,0)</f>
        <v>21.11</v>
      </c>
      <c r="M592" s="209">
        <f t="shared" si="48"/>
        <v>63.33</v>
      </c>
      <c r="N592" s="209">
        <f t="shared" si="49"/>
        <v>0.1</v>
      </c>
    </row>
    <row r="593" spans="1:14" hidden="1">
      <c r="A593" s="129" t="s">
        <v>1266</v>
      </c>
      <c r="B593" s="129" t="s">
        <v>1267</v>
      </c>
      <c r="C593" s="129" t="s">
        <v>722</v>
      </c>
      <c r="D593" s="129" t="s">
        <v>678</v>
      </c>
      <c r="E593" s="129" t="s">
        <v>1197</v>
      </c>
      <c r="F593" s="129" t="s">
        <v>1198</v>
      </c>
      <c r="G593" s="210">
        <v>300</v>
      </c>
      <c r="H593" s="211">
        <f t="shared" si="45"/>
        <v>937.7</v>
      </c>
      <c r="I593" s="207">
        <f>IF(F593="CONCENTRADO SEMI BRILHO",G593/'De-Para'!$B$9,G593/VLOOKUP(B593,'De-Para'!A:B,2,0))</f>
        <v>236.22047244094489</v>
      </c>
      <c r="J593" s="206">
        <f t="shared" si="46"/>
        <v>738.34645669291353</v>
      </c>
      <c r="K593" s="212">
        <f t="shared" si="47"/>
        <v>0.31993174789378265</v>
      </c>
      <c r="L593" s="209">
        <f>VLOOKUP(E593,'Custos Matéria Prima Embalagens'!B:G,6,0)</f>
        <v>0</v>
      </c>
      <c r="M593" s="209">
        <f t="shared" si="48"/>
        <v>0</v>
      </c>
      <c r="N593" s="209">
        <f t="shared" si="49"/>
        <v>0</v>
      </c>
    </row>
    <row r="594" spans="1:14" hidden="1">
      <c r="A594" s="129" t="s">
        <v>1266</v>
      </c>
      <c r="B594" s="129" t="s">
        <v>1267</v>
      </c>
      <c r="C594" s="129" t="s">
        <v>722</v>
      </c>
      <c r="D594" s="129" t="s">
        <v>678</v>
      </c>
      <c r="E594" s="129" t="s">
        <v>1199</v>
      </c>
      <c r="F594" s="129" t="s">
        <v>1200</v>
      </c>
      <c r="G594" s="210">
        <v>1.2</v>
      </c>
      <c r="H594" s="211">
        <f t="shared" si="45"/>
        <v>937.7</v>
      </c>
      <c r="I594" s="207">
        <f>IF(F594="CONCENTRADO SEMI BRILHO",G594/'De-Para'!$B$9,G594/VLOOKUP(B594,'De-Para'!A:B,2,0))</f>
        <v>0.94488188976377951</v>
      </c>
      <c r="J594" s="206">
        <f t="shared" si="46"/>
        <v>738.34645669291353</v>
      </c>
      <c r="K594" s="212">
        <f t="shared" si="47"/>
        <v>1.2797269915751305E-3</v>
      </c>
      <c r="L594" s="209">
        <f>VLOOKUP(E594,'Custos Matéria Prima Embalagens'!B:G,6,0)</f>
        <v>17.939999999999998</v>
      </c>
      <c r="M594" s="209">
        <f t="shared" si="48"/>
        <v>21.527999999999995</v>
      </c>
      <c r="N594" s="209">
        <f t="shared" si="49"/>
        <v>0.03</v>
      </c>
    </row>
    <row r="595" spans="1:14" hidden="1">
      <c r="A595" s="129" t="s">
        <v>1266</v>
      </c>
      <c r="B595" s="129" t="s">
        <v>1267</v>
      </c>
      <c r="C595" s="129" t="s">
        <v>722</v>
      </c>
      <c r="D595" s="129" t="s">
        <v>678</v>
      </c>
      <c r="E595" s="129" t="s">
        <v>1257</v>
      </c>
      <c r="F595" s="129" t="s">
        <v>1258</v>
      </c>
      <c r="G595" s="210">
        <v>2</v>
      </c>
      <c r="H595" s="211">
        <f t="shared" si="45"/>
        <v>937.7</v>
      </c>
      <c r="I595" s="207">
        <f>IF(F595="CONCENTRADO SEMI BRILHO",G595/'De-Para'!$B$9,G595/VLOOKUP(B595,'De-Para'!A:B,2,0))</f>
        <v>1.5748031496062991</v>
      </c>
      <c r="J595" s="206">
        <f t="shared" si="46"/>
        <v>738.34645669291353</v>
      </c>
      <c r="K595" s="212">
        <f t="shared" si="47"/>
        <v>2.1328783192918841E-3</v>
      </c>
      <c r="L595" s="209">
        <f>VLOOKUP(E595,'Custos Matéria Prima Embalagens'!B:G,6,0)</f>
        <v>11.7614232033819</v>
      </c>
      <c r="M595" s="209">
        <f t="shared" si="48"/>
        <v>23.522846406763801</v>
      </c>
      <c r="N595" s="209">
        <f t="shared" si="49"/>
        <v>0.03</v>
      </c>
    </row>
    <row r="596" spans="1:14" hidden="1">
      <c r="A596" s="129" t="s">
        <v>1266</v>
      </c>
      <c r="B596" s="129" t="s">
        <v>1267</v>
      </c>
      <c r="C596" s="129" t="s">
        <v>722</v>
      </c>
      <c r="D596" s="129" t="s">
        <v>678</v>
      </c>
      <c r="E596" s="129" t="s">
        <v>1203</v>
      </c>
      <c r="F596" s="129" t="s">
        <v>1204</v>
      </c>
      <c r="G596" s="210">
        <v>2</v>
      </c>
      <c r="H596" s="211">
        <f t="shared" si="45"/>
        <v>937.7</v>
      </c>
      <c r="I596" s="207">
        <f>IF(F596="CONCENTRADO SEMI BRILHO",G596/'De-Para'!$B$9,G596/VLOOKUP(B596,'De-Para'!A:B,2,0))</f>
        <v>1.5748031496062991</v>
      </c>
      <c r="J596" s="206">
        <f t="shared" si="46"/>
        <v>738.34645669291353</v>
      </c>
      <c r="K596" s="212">
        <f t="shared" si="47"/>
        <v>2.1328783192918841E-3</v>
      </c>
      <c r="L596" s="209">
        <f>VLOOKUP(E596,'Custos Matéria Prima Embalagens'!B:G,6,0)</f>
        <v>4.9399999999999995</v>
      </c>
      <c r="M596" s="209">
        <f t="shared" si="48"/>
        <v>9.879999999999999</v>
      </c>
      <c r="N596" s="209">
        <f t="shared" si="49"/>
        <v>0.01</v>
      </c>
    </row>
    <row r="597" spans="1:14" hidden="1">
      <c r="A597" s="129" t="s">
        <v>1266</v>
      </c>
      <c r="B597" s="129" t="s">
        <v>1267</v>
      </c>
      <c r="C597" s="129" t="s">
        <v>722</v>
      </c>
      <c r="D597" s="129" t="s">
        <v>678</v>
      </c>
      <c r="E597" s="129" t="s">
        <v>1205</v>
      </c>
      <c r="F597" s="129" t="s">
        <v>1206</v>
      </c>
      <c r="G597" s="210">
        <v>2</v>
      </c>
      <c r="H597" s="211">
        <f t="shared" si="45"/>
        <v>937.7</v>
      </c>
      <c r="I597" s="207">
        <f>IF(F597="CONCENTRADO SEMI BRILHO",G597/'De-Para'!$B$9,G597/VLOOKUP(B597,'De-Para'!A:B,2,0))</f>
        <v>1.5748031496062991</v>
      </c>
      <c r="J597" s="206">
        <f t="shared" si="46"/>
        <v>738.34645669291353</v>
      </c>
      <c r="K597" s="212">
        <f t="shared" si="47"/>
        <v>2.1328783192918841E-3</v>
      </c>
      <c r="L597" s="209">
        <f>VLOOKUP(E597,'Custos Matéria Prima Embalagens'!B:G,6,0)</f>
        <v>7.33</v>
      </c>
      <c r="M597" s="209">
        <f t="shared" si="48"/>
        <v>14.66</v>
      </c>
      <c r="N597" s="209">
        <f t="shared" si="49"/>
        <v>0.02</v>
      </c>
    </row>
    <row r="598" spans="1:14" hidden="1">
      <c r="A598" s="129" t="s">
        <v>1266</v>
      </c>
      <c r="B598" s="129" t="s">
        <v>1267</v>
      </c>
      <c r="C598" s="129" t="s">
        <v>722</v>
      </c>
      <c r="D598" s="129" t="s">
        <v>678</v>
      </c>
      <c r="E598" s="129" t="s">
        <v>1207</v>
      </c>
      <c r="F598" s="129" t="s">
        <v>1208</v>
      </c>
      <c r="G598" s="210">
        <v>2</v>
      </c>
      <c r="H598" s="211">
        <f t="shared" si="45"/>
        <v>937.7</v>
      </c>
      <c r="I598" s="207">
        <f>IF(F598="CONCENTRADO SEMI BRILHO",G598/'De-Para'!$B$9,G598/VLOOKUP(B598,'De-Para'!A:B,2,0))</f>
        <v>1.5748031496062991</v>
      </c>
      <c r="J598" s="206">
        <f t="shared" si="46"/>
        <v>738.34645669291353</v>
      </c>
      <c r="K598" s="212">
        <f t="shared" si="47"/>
        <v>2.1328783192918841E-3</v>
      </c>
      <c r="L598" s="209">
        <f>VLOOKUP(E598,'Custos Matéria Prima Embalagens'!B:G,6,0)</f>
        <v>6.8599999999999994</v>
      </c>
      <c r="M598" s="209">
        <f t="shared" si="48"/>
        <v>13.719999999999999</v>
      </c>
      <c r="N598" s="209">
        <f t="shared" si="49"/>
        <v>0.02</v>
      </c>
    </row>
    <row r="599" spans="1:14" hidden="1">
      <c r="A599" s="129" t="s">
        <v>1266</v>
      </c>
      <c r="B599" s="129" t="s">
        <v>1267</v>
      </c>
      <c r="C599" s="129" t="s">
        <v>722</v>
      </c>
      <c r="D599" s="129" t="s">
        <v>678</v>
      </c>
      <c r="E599" s="129" t="s">
        <v>1217</v>
      </c>
      <c r="F599" s="129" t="s">
        <v>1218</v>
      </c>
      <c r="G599" s="210">
        <v>250</v>
      </c>
      <c r="H599" s="211">
        <f t="shared" si="45"/>
        <v>937.7</v>
      </c>
      <c r="I599" s="207">
        <f>IF(F599="CONCENTRADO SEMI BRILHO",G599/'De-Para'!$B$9,G599/VLOOKUP(B599,'De-Para'!A:B,2,0))</f>
        <v>196.85039370078741</v>
      </c>
      <c r="J599" s="206">
        <f t="shared" si="46"/>
        <v>738.34645669291353</v>
      </c>
      <c r="K599" s="212">
        <f t="shared" si="47"/>
        <v>0.26660978991148554</v>
      </c>
      <c r="L599" s="209">
        <f>VLOOKUP(E599,'Custos Matéria Prima Embalagens'!B:G,6,0)</f>
        <v>8.43</v>
      </c>
      <c r="M599" s="209">
        <f t="shared" si="48"/>
        <v>2107.5</v>
      </c>
      <c r="N599" s="209">
        <f t="shared" si="49"/>
        <v>2.85</v>
      </c>
    </row>
    <row r="600" spans="1:14" hidden="1">
      <c r="A600" s="129" t="s">
        <v>1266</v>
      </c>
      <c r="B600" s="129" t="s">
        <v>1267</v>
      </c>
      <c r="C600" s="129" t="s">
        <v>722</v>
      </c>
      <c r="D600" s="129" t="s">
        <v>678</v>
      </c>
      <c r="E600" s="129" t="s">
        <v>1229</v>
      </c>
      <c r="F600" s="129" t="s">
        <v>1230</v>
      </c>
      <c r="G600" s="210">
        <v>10</v>
      </c>
      <c r="H600" s="211">
        <f t="shared" si="45"/>
        <v>937.7</v>
      </c>
      <c r="I600" s="207">
        <f>IF(F600="CONCENTRADO SEMI BRILHO",G600/'De-Para'!$B$9,G600/VLOOKUP(B600,'De-Para'!A:B,2,0))</f>
        <v>7.8740157480314963</v>
      </c>
      <c r="J600" s="206">
        <f t="shared" si="46"/>
        <v>738.34645669291353</v>
      </c>
      <c r="K600" s="212">
        <f t="shared" si="47"/>
        <v>1.0664391596459422E-2</v>
      </c>
      <c r="L600" s="209">
        <f>VLOOKUP(E600,'Custos Matéria Prima Embalagens'!B:G,6,0)</f>
        <v>19.22</v>
      </c>
      <c r="M600" s="209">
        <f t="shared" si="48"/>
        <v>192.2</v>
      </c>
      <c r="N600" s="209">
        <f t="shared" si="49"/>
        <v>0.26</v>
      </c>
    </row>
    <row r="601" spans="1:14" hidden="1">
      <c r="A601" s="129" t="s">
        <v>1266</v>
      </c>
      <c r="B601" s="129" t="s">
        <v>1267</v>
      </c>
      <c r="C601" s="129" t="s">
        <v>722</v>
      </c>
      <c r="D601" s="129" t="s">
        <v>678</v>
      </c>
      <c r="E601" s="129" t="s">
        <v>1261</v>
      </c>
      <c r="F601" s="129" t="s">
        <v>1262</v>
      </c>
      <c r="G601" s="210">
        <v>10</v>
      </c>
      <c r="H601" s="211">
        <f t="shared" si="45"/>
        <v>937.7</v>
      </c>
      <c r="I601" s="207">
        <f>IF(F601="CONCENTRADO SEMI BRILHO",G601/'De-Para'!$B$9,G601/VLOOKUP(B601,'De-Para'!A:B,2,0))</f>
        <v>7.8740157480314963</v>
      </c>
      <c r="J601" s="206">
        <f t="shared" si="46"/>
        <v>738.34645669291353</v>
      </c>
      <c r="K601" s="212">
        <f t="shared" si="47"/>
        <v>1.0664391596459422E-2</v>
      </c>
      <c r="L601" s="209">
        <f>VLOOKUP(E601,'Custos Matéria Prima Embalagens'!B:G,6,0)</f>
        <v>31.4314232033819</v>
      </c>
      <c r="M601" s="209">
        <f t="shared" si="48"/>
        <v>314.314232033819</v>
      </c>
      <c r="N601" s="209">
        <f t="shared" si="49"/>
        <v>0.43</v>
      </c>
    </row>
    <row r="602" spans="1:14" hidden="1">
      <c r="A602" s="129" t="s">
        <v>1266</v>
      </c>
      <c r="B602" s="129" t="s">
        <v>1267</v>
      </c>
      <c r="C602" s="129" t="s">
        <v>722</v>
      </c>
      <c r="D602" s="129" t="s">
        <v>678</v>
      </c>
      <c r="E602" s="129" t="s">
        <v>1209</v>
      </c>
      <c r="F602" s="129" t="s">
        <v>1210</v>
      </c>
      <c r="G602" s="210">
        <v>3</v>
      </c>
      <c r="H602" s="211">
        <f t="shared" si="45"/>
        <v>937.7</v>
      </c>
      <c r="I602" s="207">
        <f>IF(F602="CONCENTRADO SEMI BRILHO",G602/'De-Para'!$B$9,G602/VLOOKUP(B602,'De-Para'!A:B,2,0))</f>
        <v>2.3622047244094486</v>
      </c>
      <c r="J602" s="206">
        <f t="shared" si="46"/>
        <v>738.34645669291353</v>
      </c>
      <c r="K602" s="212">
        <f t="shared" si="47"/>
        <v>3.1993174789378266E-3</v>
      </c>
      <c r="L602" s="209">
        <f>VLOOKUP(E602,'Custos Matéria Prima Embalagens'!B:G,6,0)</f>
        <v>7</v>
      </c>
      <c r="M602" s="209">
        <f t="shared" si="48"/>
        <v>21</v>
      </c>
      <c r="N602" s="209">
        <f t="shared" si="49"/>
        <v>0.03</v>
      </c>
    </row>
    <row r="603" spans="1:14" hidden="1">
      <c r="A603" s="129" t="s">
        <v>1266</v>
      </c>
      <c r="B603" s="129" t="s">
        <v>1267</v>
      </c>
      <c r="C603" s="129" t="s">
        <v>722</v>
      </c>
      <c r="D603" s="129" t="s">
        <v>678</v>
      </c>
      <c r="E603" s="129" t="s">
        <v>1219</v>
      </c>
      <c r="F603" s="129" t="s">
        <v>1220</v>
      </c>
      <c r="G603" s="210">
        <v>11</v>
      </c>
      <c r="H603" s="211">
        <f t="shared" si="45"/>
        <v>937.7</v>
      </c>
      <c r="I603" s="207">
        <f>IF(F603="CONCENTRADO SEMI BRILHO",G603/'De-Para'!$B$9,G603/VLOOKUP(B603,'De-Para'!A:B,2,0))</f>
        <v>8.6614173228346463</v>
      </c>
      <c r="J603" s="206">
        <f t="shared" si="46"/>
        <v>738.34645669291353</v>
      </c>
      <c r="K603" s="212">
        <f t="shared" si="47"/>
        <v>1.1730830756105363E-2</v>
      </c>
      <c r="L603" s="209">
        <f>VLOOKUP(E603,'Custos Matéria Prima Embalagens'!B:G,6,0)</f>
        <v>4.9800000000000004</v>
      </c>
      <c r="M603" s="209">
        <f t="shared" si="48"/>
        <v>54.78</v>
      </c>
      <c r="N603" s="209">
        <f t="shared" si="49"/>
        <v>7.0000000000000007E-2</v>
      </c>
    </row>
    <row r="604" spans="1:14" hidden="1">
      <c r="A604" s="129" t="s">
        <v>1266</v>
      </c>
      <c r="B604" s="129" t="s">
        <v>1267</v>
      </c>
      <c r="C604" s="129" t="s">
        <v>722</v>
      </c>
      <c r="D604" s="129" t="s">
        <v>678</v>
      </c>
      <c r="E604" s="129" t="s">
        <v>1268</v>
      </c>
      <c r="F604" s="129" t="s">
        <v>1269</v>
      </c>
      <c r="G604" s="210">
        <v>20</v>
      </c>
      <c r="H604" s="211">
        <f t="shared" si="45"/>
        <v>937.7</v>
      </c>
      <c r="I604" s="207">
        <f>IF(F604="CONCENTRADO SEMI BRILHO",G604/'De-Para'!$B$9,G604/VLOOKUP(B604,'De-Para'!A:B,2,0))</f>
        <v>15.748031496062993</v>
      </c>
      <c r="J604" s="206">
        <f t="shared" si="46"/>
        <v>738.34645669291353</v>
      </c>
      <c r="K604" s="212">
        <f t="shared" si="47"/>
        <v>2.1328783192918845E-2</v>
      </c>
      <c r="L604" s="209">
        <f>VLOOKUP(E604,'Custos Matéria Prima Embalagens'!B:G,6,0)</f>
        <v>10.37</v>
      </c>
      <c r="M604" s="209">
        <f t="shared" si="48"/>
        <v>207.39999999999998</v>
      </c>
      <c r="N604" s="209">
        <f t="shared" si="49"/>
        <v>0.28000000000000003</v>
      </c>
    </row>
    <row r="605" spans="1:14" hidden="1">
      <c r="A605" s="129" t="s">
        <v>1266</v>
      </c>
      <c r="B605" s="129" t="s">
        <v>1267</v>
      </c>
      <c r="C605" s="129" t="s">
        <v>722</v>
      </c>
      <c r="D605" s="129" t="s">
        <v>678</v>
      </c>
      <c r="E605" s="129" t="s">
        <v>1221</v>
      </c>
      <c r="F605" s="129" t="s">
        <v>1222</v>
      </c>
      <c r="G605" s="210">
        <v>17</v>
      </c>
      <c r="H605" s="211">
        <f t="shared" si="45"/>
        <v>937.7</v>
      </c>
      <c r="I605" s="207">
        <f>IF(F605="CONCENTRADO SEMI BRILHO",G605/'De-Para'!$B$9,G605/VLOOKUP(B605,'De-Para'!A:B,2,0))</f>
        <v>13.385826771653543</v>
      </c>
      <c r="J605" s="206">
        <f t="shared" si="46"/>
        <v>738.34645669291353</v>
      </c>
      <c r="K605" s="212">
        <f t="shared" si="47"/>
        <v>1.8129465713981018E-2</v>
      </c>
      <c r="L605" s="209">
        <f>VLOOKUP(E605,'Custos Matéria Prima Embalagens'!B:G,6,0)</f>
        <v>7.9049999999999994</v>
      </c>
      <c r="M605" s="209">
        <f t="shared" si="48"/>
        <v>134.38499999999999</v>
      </c>
      <c r="N605" s="209">
        <f t="shared" si="49"/>
        <v>0.18</v>
      </c>
    </row>
    <row r="606" spans="1:14" hidden="1">
      <c r="A606" s="129" t="s">
        <v>1266</v>
      </c>
      <c r="B606" s="129" t="s">
        <v>1267</v>
      </c>
      <c r="C606" s="129" t="s">
        <v>722</v>
      </c>
      <c r="D606" s="129" t="s">
        <v>678</v>
      </c>
      <c r="E606" s="129" t="s">
        <v>1270</v>
      </c>
      <c r="F606" s="129" t="s">
        <v>1272</v>
      </c>
      <c r="G606" s="210">
        <v>300</v>
      </c>
      <c r="H606" s="211">
        <f t="shared" si="45"/>
        <v>937.7</v>
      </c>
      <c r="I606" s="207">
        <f>IF(F606="CONCENTRADO SEMI BRILHO",G606/'De-Para'!$B$9,G606/VLOOKUP(B606,'De-Para'!A:B,2,0))</f>
        <v>236.22047244094489</v>
      </c>
      <c r="J606" s="206">
        <f t="shared" si="46"/>
        <v>738.34645669291353</v>
      </c>
      <c r="K606" s="212">
        <f t="shared" si="47"/>
        <v>0.31993174789378265</v>
      </c>
      <c r="L606" s="209">
        <f>VLOOKUP(E606,'Custos Matéria Prima Embalagens'!B:G,6,0)</f>
        <v>8.9700000000000006</v>
      </c>
      <c r="M606" s="209">
        <f t="shared" si="48"/>
        <v>2691</v>
      </c>
      <c r="N606" s="209">
        <f t="shared" si="49"/>
        <v>3.64</v>
      </c>
    </row>
    <row r="607" spans="1:14" hidden="1">
      <c r="A607" s="129" t="s">
        <v>1266</v>
      </c>
      <c r="B607" s="129" t="s">
        <v>1267</v>
      </c>
      <c r="C607" s="129" t="s">
        <v>722</v>
      </c>
      <c r="D607" s="129" t="s">
        <v>678</v>
      </c>
      <c r="E607" s="129" t="s">
        <v>1241</v>
      </c>
      <c r="F607" s="129" t="s">
        <v>1242</v>
      </c>
      <c r="G607" s="210">
        <v>1</v>
      </c>
      <c r="H607" s="211">
        <f t="shared" si="45"/>
        <v>937.7</v>
      </c>
      <c r="I607" s="207">
        <f>IF(F607="CONCENTRADO SEMI BRILHO",G607/'De-Para'!$B$9,G607/VLOOKUP(B607,'De-Para'!A:B,2,0))</f>
        <v>0.78740157480314954</v>
      </c>
      <c r="J607" s="206">
        <f t="shared" si="46"/>
        <v>738.34645669291353</v>
      </c>
      <c r="K607" s="212">
        <f t="shared" si="47"/>
        <v>1.0664391596459421E-3</v>
      </c>
      <c r="L607" s="209">
        <f>VLOOKUP(E607,'Custos Matéria Prima Embalagens'!B:G,6,0)</f>
        <v>31.25</v>
      </c>
      <c r="M607" s="209">
        <f t="shared" si="48"/>
        <v>31.25</v>
      </c>
      <c r="N607" s="209">
        <f t="shared" si="49"/>
        <v>0.04</v>
      </c>
    </row>
    <row r="608" spans="1:14" hidden="1">
      <c r="A608" s="129" t="s">
        <v>1266</v>
      </c>
      <c r="B608" s="129" t="s">
        <v>1267</v>
      </c>
      <c r="C608" s="129" t="s">
        <v>722</v>
      </c>
      <c r="D608" s="129" t="s">
        <v>678</v>
      </c>
      <c r="E608" s="129" t="s">
        <v>1237</v>
      </c>
      <c r="F608" s="129" t="s">
        <v>1238</v>
      </c>
      <c r="G608" s="210">
        <v>0.5</v>
      </c>
      <c r="H608" s="211">
        <f t="shared" si="45"/>
        <v>937.7</v>
      </c>
      <c r="I608" s="207">
        <f>IF(F608="CONCENTRADO SEMI BRILHO",G608/'De-Para'!$B$9,G608/VLOOKUP(B608,'De-Para'!A:B,2,0))</f>
        <v>0.39370078740157477</v>
      </c>
      <c r="J608" s="206">
        <f t="shared" si="46"/>
        <v>738.34645669291353</v>
      </c>
      <c r="K608" s="212">
        <f t="shared" si="47"/>
        <v>5.3321957982297103E-4</v>
      </c>
      <c r="L608" s="209">
        <f>VLOOKUP(E608,'Custos Matéria Prima Embalagens'!B:G,6,0)</f>
        <v>39</v>
      </c>
      <c r="M608" s="209">
        <f t="shared" si="48"/>
        <v>19.5</v>
      </c>
      <c r="N608" s="209">
        <f t="shared" si="49"/>
        <v>0.03</v>
      </c>
    </row>
    <row r="609" spans="1:14" hidden="1">
      <c r="A609" s="129" t="s">
        <v>1266</v>
      </c>
      <c r="B609" s="129" t="s">
        <v>1267</v>
      </c>
      <c r="C609" s="129" t="s">
        <v>722</v>
      </c>
      <c r="D609" s="129" t="s">
        <v>678</v>
      </c>
      <c r="E609" s="129" t="s">
        <v>1239</v>
      </c>
      <c r="F609" s="129" t="s">
        <v>1240</v>
      </c>
      <c r="G609" s="210">
        <v>6</v>
      </c>
      <c r="H609" s="211">
        <f t="shared" si="45"/>
        <v>937.7</v>
      </c>
      <c r="I609" s="207">
        <f>IF(F609="CONCENTRADO SEMI BRILHO",G609/'De-Para'!$B$9,G609/VLOOKUP(B609,'De-Para'!A:B,2,0))</f>
        <v>4.7244094488188972</v>
      </c>
      <c r="J609" s="206">
        <f t="shared" si="46"/>
        <v>738.34645669291353</v>
      </c>
      <c r="K609" s="212">
        <f t="shared" si="47"/>
        <v>6.3986349578756532E-3</v>
      </c>
      <c r="L609" s="209">
        <f>VLOOKUP(E609,'Custos Matéria Prima Embalagens'!B:G,6,0)</f>
        <v>21.11</v>
      </c>
      <c r="M609" s="209">
        <f t="shared" si="48"/>
        <v>126.66</v>
      </c>
      <c r="N609" s="209">
        <f t="shared" si="49"/>
        <v>0.17</v>
      </c>
    </row>
    <row r="610" spans="1:14" hidden="1">
      <c r="A610" s="129" t="s">
        <v>1266</v>
      </c>
      <c r="B610" s="129" t="s">
        <v>1267</v>
      </c>
      <c r="C610" s="129" t="s">
        <v>724</v>
      </c>
      <c r="D610" s="129" t="s">
        <v>681</v>
      </c>
      <c r="E610" s="129" t="s">
        <v>1197</v>
      </c>
      <c r="F610" s="129" t="s">
        <v>1198</v>
      </c>
      <c r="G610" s="210">
        <v>300</v>
      </c>
      <c r="H610" s="211">
        <f t="shared" si="45"/>
        <v>937.7</v>
      </c>
      <c r="I610" s="207">
        <f>IF(F610="CONCENTRADO SEMI BRILHO",G610/'De-Para'!$B$9,G610/VLOOKUP(B610,'De-Para'!A:B,2,0))</f>
        <v>236.22047244094489</v>
      </c>
      <c r="J610" s="206">
        <f t="shared" si="46"/>
        <v>738.34645669291353</v>
      </c>
      <c r="K610" s="212">
        <f t="shared" si="47"/>
        <v>0.31993174789378265</v>
      </c>
      <c r="L610" s="209">
        <f>VLOOKUP(E610,'Custos Matéria Prima Embalagens'!B:G,6,0)</f>
        <v>0</v>
      </c>
      <c r="M610" s="209">
        <f t="shared" si="48"/>
        <v>0</v>
      </c>
      <c r="N610" s="209">
        <f t="shared" si="49"/>
        <v>0</v>
      </c>
    </row>
    <row r="611" spans="1:14" hidden="1">
      <c r="A611" s="129" t="s">
        <v>1266</v>
      </c>
      <c r="B611" s="129" t="s">
        <v>1267</v>
      </c>
      <c r="C611" s="129" t="s">
        <v>724</v>
      </c>
      <c r="D611" s="129" t="s">
        <v>681</v>
      </c>
      <c r="E611" s="129" t="s">
        <v>1199</v>
      </c>
      <c r="F611" s="129" t="s">
        <v>1200</v>
      </c>
      <c r="G611" s="210">
        <v>1.2</v>
      </c>
      <c r="H611" s="211">
        <f t="shared" si="45"/>
        <v>937.7</v>
      </c>
      <c r="I611" s="207">
        <f>IF(F611="CONCENTRADO SEMI BRILHO",G611/'De-Para'!$B$9,G611/VLOOKUP(B611,'De-Para'!A:B,2,0))</f>
        <v>0.94488188976377951</v>
      </c>
      <c r="J611" s="206">
        <f t="shared" si="46"/>
        <v>738.34645669291353</v>
      </c>
      <c r="K611" s="212">
        <f t="shared" si="47"/>
        <v>1.2797269915751305E-3</v>
      </c>
      <c r="L611" s="209">
        <f>VLOOKUP(E611,'Custos Matéria Prima Embalagens'!B:G,6,0)</f>
        <v>17.939999999999998</v>
      </c>
      <c r="M611" s="209">
        <f t="shared" si="48"/>
        <v>21.527999999999995</v>
      </c>
      <c r="N611" s="209">
        <f t="shared" si="49"/>
        <v>0.03</v>
      </c>
    </row>
    <row r="612" spans="1:14" hidden="1">
      <c r="A612" s="129" t="s">
        <v>1266</v>
      </c>
      <c r="B612" s="129" t="s">
        <v>1267</v>
      </c>
      <c r="C612" s="129" t="s">
        <v>724</v>
      </c>
      <c r="D612" s="129" t="s">
        <v>681</v>
      </c>
      <c r="E612" s="129" t="s">
        <v>1257</v>
      </c>
      <c r="F612" s="129" t="s">
        <v>1258</v>
      </c>
      <c r="G612" s="210">
        <v>2</v>
      </c>
      <c r="H612" s="211">
        <f t="shared" si="45"/>
        <v>937.7</v>
      </c>
      <c r="I612" s="207">
        <f>IF(F612="CONCENTRADO SEMI BRILHO",G612/'De-Para'!$B$9,G612/VLOOKUP(B612,'De-Para'!A:B,2,0))</f>
        <v>1.5748031496062991</v>
      </c>
      <c r="J612" s="206">
        <f t="shared" si="46"/>
        <v>738.34645669291353</v>
      </c>
      <c r="K612" s="212">
        <f t="shared" si="47"/>
        <v>2.1328783192918841E-3</v>
      </c>
      <c r="L612" s="209">
        <f>VLOOKUP(E612,'Custos Matéria Prima Embalagens'!B:G,6,0)</f>
        <v>11.7614232033819</v>
      </c>
      <c r="M612" s="209">
        <f t="shared" si="48"/>
        <v>23.522846406763801</v>
      </c>
      <c r="N612" s="209">
        <f t="shared" si="49"/>
        <v>0.03</v>
      </c>
    </row>
    <row r="613" spans="1:14" hidden="1">
      <c r="A613" s="129" t="s">
        <v>1266</v>
      </c>
      <c r="B613" s="129" t="s">
        <v>1267</v>
      </c>
      <c r="C613" s="129" t="s">
        <v>724</v>
      </c>
      <c r="D613" s="129" t="s">
        <v>681</v>
      </c>
      <c r="E613" s="129" t="s">
        <v>1203</v>
      </c>
      <c r="F613" s="129" t="s">
        <v>1204</v>
      </c>
      <c r="G613" s="210">
        <v>2</v>
      </c>
      <c r="H613" s="211">
        <f t="shared" si="45"/>
        <v>937.7</v>
      </c>
      <c r="I613" s="207">
        <f>IF(F613="CONCENTRADO SEMI BRILHO",G613/'De-Para'!$B$9,G613/VLOOKUP(B613,'De-Para'!A:B,2,0))</f>
        <v>1.5748031496062991</v>
      </c>
      <c r="J613" s="206">
        <f t="shared" si="46"/>
        <v>738.34645669291353</v>
      </c>
      <c r="K613" s="212">
        <f t="shared" si="47"/>
        <v>2.1328783192918841E-3</v>
      </c>
      <c r="L613" s="209">
        <f>VLOOKUP(E613,'Custos Matéria Prima Embalagens'!B:G,6,0)</f>
        <v>4.9399999999999995</v>
      </c>
      <c r="M613" s="209">
        <f t="shared" si="48"/>
        <v>9.879999999999999</v>
      </c>
      <c r="N613" s="209">
        <f t="shared" si="49"/>
        <v>0.01</v>
      </c>
    </row>
    <row r="614" spans="1:14" hidden="1">
      <c r="A614" s="129" t="s">
        <v>1266</v>
      </c>
      <c r="B614" s="129" t="s">
        <v>1267</v>
      </c>
      <c r="C614" s="129" t="s">
        <v>724</v>
      </c>
      <c r="D614" s="129" t="s">
        <v>681</v>
      </c>
      <c r="E614" s="129" t="s">
        <v>1205</v>
      </c>
      <c r="F614" s="129" t="s">
        <v>1206</v>
      </c>
      <c r="G614" s="210">
        <v>2</v>
      </c>
      <c r="H614" s="211">
        <f t="shared" si="45"/>
        <v>937.7</v>
      </c>
      <c r="I614" s="207">
        <f>IF(F614="CONCENTRADO SEMI BRILHO",G614/'De-Para'!$B$9,G614/VLOOKUP(B614,'De-Para'!A:B,2,0))</f>
        <v>1.5748031496062991</v>
      </c>
      <c r="J614" s="206">
        <f t="shared" si="46"/>
        <v>738.34645669291353</v>
      </c>
      <c r="K614" s="212">
        <f t="shared" si="47"/>
        <v>2.1328783192918841E-3</v>
      </c>
      <c r="L614" s="209">
        <f>VLOOKUP(E614,'Custos Matéria Prima Embalagens'!B:G,6,0)</f>
        <v>7.33</v>
      </c>
      <c r="M614" s="209">
        <f t="shared" si="48"/>
        <v>14.66</v>
      </c>
      <c r="N614" s="209">
        <f t="shared" si="49"/>
        <v>0.02</v>
      </c>
    </row>
    <row r="615" spans="1:14" hidden="1">
      <c r="A615" s="129" t="s">
        <v>1266</v>
      </c>
      <c r="B615" s="129" t="s">
        <v>1267</v>
      </c>
      <c r="C615" s="129" t="s">
        <v>724</v>
      </c>
      <c r="D615" s="129" t="s">
        <v>681</v>
      </c>
      <c r="E615" s="129" t="s">
        <v>1207</v>
      </c>
      <c r="F615" s="129" t="s">
        <v>1208</v>
      </c>
      <c r="G615" s="210">
        <v>2</v>
      </c>
      <c r="H615" s="211">
        <f t="shared" si="45"/>
        <v>937.7</v>
      </c>
      <c r="I615" s="207">
        <f>IF(F615="CONCENTRADO SEMI BRILHO",G615/'De-Para'!$B$9,G615/VLOOKUP(B615,'De-Para'!A:B,2,0))</f>
        <v>1.5748031496062991</v>
      </c>
      <c r="J615" s="206">
        <f t="shared" si="46"/>
        <v>738.34645669291353</v>
      </c>
      <c r="K615" s="212">
        <f t="shared" si="47"/>
        <v>2.1328783192918841E-3</v>
      </c>
      <c r="L615" s="209">
        <f>VLOOKUP(E615,'Custos Matéria Prima Embalagens'!B:G,6,0)</f>
        <v>6.8599999999999994</v>
      </c>
      <c r="M615" s="209">
        <f t="shared" si="48"/>
        <v>13.719999999999999</v>
      </c>
      <c r="N615" s="209">
        <f t="shared" si="49"/>
        <v>0.02</v>
      </c>
    </row>
    <row r="616" spans="1:14" hidden="1">
      <c r="A616" s="129" t="s">
        <v>1266</v>
      </c>
      <c r="B616" s="129" t="s">
        <v>1267</v>
      </c>
      <c r="C616" s="129" t="s">
        <v>724</v>
      </c>
      <c r="D616" s="129" t="s">
        <v>681</v>
      </c>
      <c r="E616" s="129" t="s">
        <v>1217</v>
      </c>
      <c r="F616" s="129" t="s">
        <v>1218</v>
      </c>
      <c r="G616" s="210">
        <v>250</v>
      </c>
      <c r="H616" s="211">
        <f t="shared" si="45"/>
        <v>937.7</v>
      </c>
      <c r="I616" s="207">
        <f>IF(F616="CONCENTRADO SEMI BRILHO",G616/'De-Para'!$B$9,G616/VLOOKUP(B616,'De-Para'!A:B,2,0))</f>
        <v>196.85039370078741</v>
      </c>
      <c r="J616" s="206">
        <f t="shared" si="46"/>
        <v>738.34645669291353</v>
      </c>
      <c r="K616" s="212">
        <f t="shared" si="47"/>
        <v>0.26660978991148554</v>
      </c>
      <c r="L616" s="209">
        <f>VLOOKUP(E616,'Custos Matéria Prima Embalagens'!B:G,6,0)</f>
        <v>8.43</v>
      </c>
      <c r="M616" s="209">
        <f t="shared" si="48"/>
        <v>2107.5</v>
      </c>
      <c r="N616" s="209">
        <f t="shared" si="49"/>
        <v>2.85</v>
      </c>
    </row>
    <row r="617" spans="1:14" hidden="1">
      <c r="A617" s="129" t="s">
        <v>1266</v>
      </c>
      <c r="B617" s="129" t="s">
        <v>1267</v>
      </c>
      <c r="C617" s="129" t="s">
        <v>724</v>
      </c>
      <c r="D617" s="129" t="s">
        <v>681</v>
      </c>
      <c r="E617" s="129" t="s">
        <v>1229</v>
      </c>
      <c r="F617" s="129" t="s">
        <v>1230</v>
      </c>
      <c r="G617" s="210">
        <v>10</v>
      </c>
      <c r="H617" s="211">
        <f t="shared" si="45"/>
        <v>937.7</v>
      </c>
      <c r="I617" s="207">
        <f>IF(F617="CONCENTRADO SEMI BRILHO",G617/'De-Para'!$B$9,G617/VLOOKUP(B617,'De-Para'!A:B,2,0))</f>
        <v>7.8740157480314963</v>
      </c>
      <c r="J617" s="206">
        <f t="shared" si="46"/>
        <v>738.34645669291353</v>
      </c>
      <c r="K617" s="212">
        <f t="shared" si="47"/>
        <v>1.0664391596459422E-2</v>
      </c>
      <c r="L617" s="209">
        <f>VLOOKUP(E617,'Custos Matéria Prima Embalagens'!B:G,6,0)</f>
        <v>19.22</v>
      </c>
      <c r="M617" s="209">
        <f t="shared" si="48"/>
        <v>192.2</v>
      </c>
      <c r="N617" s="209">
        <f t="shared" si="49"/>
        <v>0.26</v>
      </c>
    </row>
    <row r="618" spans="1:14" hidden="1">
      <c r="A618" s="129" t="s">
        <v>1266</v>
      </c>
      <c r="B618" s="129" t="s">
        <v>1267</v>
      </c>
      <c r="C618" s="129" t="s">
        <v>724</v>
      </c>
      <c r="D618" s="129" t="s">
        <v>681</v>
      </c>
      <c r="E618" s="129" t="s">
        <v>1261</v>
      </c>
      <c r="F618" s="129" t="s">
        <v>1262</v>
      </c>
      <c r="G618" s="210">
        <v>10</v>
      </c>
      <c r="H618" s="211">
        <f t="shared" si="45"/>
        <v>937.7</v>
      </c>
      <c r="I618" s="207">
        <f>IF(F618="CONCENTRADO SEMI BRILHO",G618/'De-Para'!$B$9,G618/VLOOKUP(B618,'De-Para'!A:B,2,0))</f>
        <v>7.8740157480314963</v>
      </c>
      <c r="J618" s="206">
        <f t="shared" si="46"/>
        <v>738.34645669291353</v>
      </c>
      <c r="K618" s="212">
        <f t="shared" si="47"/>
        <v>1.0664391596459422E-2</v>
      </c>
      <c r="L618" s="209">
        <f>VLOOKUP(E618,'Custos Matéria Prima Embalagens'!B:G,6,0)</f>
        <v>31.4314232033819</v>
      </c>
      <c r="M618" s="209">
        <f t="shared" si="48"/>
        <v>314.314232033819</v>
      </c>
      <c r="N618" s="209">
        <f t="shared" si="49"/>
        <v>0.43</v>
      </c>
    </row>
    <row r="619" spans="1:14" hidden="1">
      <c r="A619" s="129" t="s">
        <v>1266</v>
      </c>
      <c r="B619" s="129" t="s">
        <v>1267</v>
      </c>
      <c r="C619" s="129" t="s">
        <v>724</v>
      </c>
      <c r="D619" s="129" t="s">
        <v>681</v>
      </c>
      <c r="E619" s="129" t="s">
        <v>1209</v>
      </c>
      <c r="F619" s="129" t="s">
        <v>1210</v>
      </c>
      <c r="G619" s="210">
        <v>3</v>
      </c>
      <c r="H619" s="211">
        <f t="shared" si="45"/>
        <v>937.7</v>
      </c>
      <c r="I619" s="207">
        <f>IF(F619="CONCENTRADO SEMI BRILHO",G619/'De-Para'!$B$9,G619/VLOOKUP(B619,'De-Para'!A:B,2,0))</f>
        <v>2.3622047244094486</v>
      </c>
      <c r="J619" s="206">
        <f t="shared" si="46"/>
        <v>738.34645669291353</v>
      </c>
      <c r="K619" s="212">
        <f t="shared" si="47"/>
        <v>3.1993174789378266E-3</v>
      </c>
      <c r="L619" s="209">
        <f>VLOOKUP(E619,'Custos Matéria Prima Embalagens'!B:G,6,0)</f>
        <v>7</v>
      </c>
      <c r="M619" s="209">
        <f t="shared" si="48"/>
        <v>21</v>
      </c>
      <c r="N619" s="209">
        <f t="shared" si="49"/>
        <v>0.03</v>
      </c>
    </row>
    <row r="620" spans="1:14" hidden="1">
      <c r="A620" s="129" t="s">
        <v>1266</v>
      </c>
      <c r="B620" s="129" t="s">
        <v>1267</v>
      </c>
      <c r="C620" s="129" t="s">
        <v>724</v>
      </c>
      <c r="D620" s="129" t="s">
        <v>681</v>
      </c>
      <c r="E620" s="129" t="s">
        <v>1219</v>
      </c>
      <c r="F620" s="129" t="s">
        <v>1220</v>
      </c>
      <c r="G620" s="210">
        <v>11</v>
      </c>
      <c r="H620" s="211">
        <f t="shared" si="45"/>
        <v>937.7</v>
      </c>
      <c r="I620" s="207">
        <f>IF(F620="CONCENTRADO SEMI BRILHO",G620/'De-Para'!$B$9,G620/VLOOKUP(B620,'De-Para'!A:B,2,0))</f>
        <v>8.6614173228346463</v>
      </c>
      <c r="J620" s="206">
        <f t="shared" si="46"/>
        <v>738.34645669291353</v>
      </c>
      <c r="K620" s="212">
        <f t="shared" si="47"/>
        <v>1.1730830756105363E-2</v>
      </c>
      <c r="L620" s="209">
        <f>VLOOKUP(E620,'Custos Matéria Prima Embalagens'!B:G,6,0)</f>
        <v>4.9800000000000004</v>
      </c>
      <c r="M620" s="209">
        <f t="shared" si="48"/>
        <v>54.78</v>
      </c>
      <c r="N620" s="209">
        <f t="shared" si="49"/>
        <v>7.0000000000000007E-2</v>
      </c>
    </row>
    <row r="621" spans="1:14" hidden="1">
      <c r="A621" s="129" t="s">
        <v>1266</v>
      </c>
      <c r="B621" s="129" t="s">
        <v>1267</v>
      </c>
      <c r="C621" s="129" t="s">
        <v>724</v>
      </c>
      <c r="D621" s="129" t="s">
        <v>681</v>
      </c>
      <c r="E621" s="129" t="s">
        <v>1268</v>
      </c>
      <c r="F621" s="129" t="s">
        <v>1269</v>
      </c>
      <c r="G621" s="210">
        <v>20</v>
      </c>
      <c r="H621" s="211">
        <f t="shared" si="45"/>
        <v>937.7</v>
      </c>
      <c r="I621" s="207">
        <f>IF(F621="CONCENTRADO SEMI BRILHO",G621/'De-Para'!$B$9,G621/VLOOKUP(B621,'De-Para'!A:B,2,0))</f>
        <v>15.748031496062993</v>
      </c>
      <c r="J621" s="206">
        <f t="shared" si="46"/>
        <v>738.34645669291353</v>
      </c>
      <c r="K621" s="212">
        <f t="shared" si="47"/>
        <v>2.1328783192918845E-2</v>
      </c>
      <c r="L621" s="209">
        <f>VLOOKUP(E621,'Custos Matéria Prima Embalagens'!B:G,6,0)</f>
        <v>10.37</v>
      </c>
      <c r="M621" s="209">
        <f t="shared" si="48"/>
        <v>207.39999999999998</v>
      </c>
      <c r="N621" s="209">
        <f t="shared" si="49"/>
        <v>0.28000000000000003</v>
      </c>
    </row>
    <row r="622" spans="1:14" hidden="1">
      <c r="A622" s="129" t="s">
        <v>1266</v>
      </c>
      <c r="B622" s="129" t="s">
        <v>1267</v>
      </c>
      <c r="C622" s="129" t="s">
        <v>724</v>
      </c>
      <c r="D622" s="129" t="s">
        <v>681</v>
      </c>
      <c r="E622" s="129" t="s">
        <v>1221</v>
      </c>
      <c r="F622" s="129" t="s">
        <v>1222</v>
      </c>
      <c r="G622" s="210">
        <v>17</v>
      </c>
      <c r="H622" s="211">
        <f t="shared" si="45"/>
        <v>937.7</v>
      </c>
      <c r="I622" s="207">
        <f>IF(F622="CONCENTRADO SEMI BRILHO",G622/'De-Para'!$B$9,G622/VLOOKUP(B622,'De-Para'!A:B,2,0))</f>
        <v>13.385826771653543</v>
      </c>
      <c r="J622" s="206">
        <f t="shared" si="46"/>
        <v>738.34645669291353</v>
      </c>
      <c r="K622" s="212">
        <f t="shared" si="47"/>
        <v>1.8129465713981018E-2</v>
      </c>
      <c r="L622" s="209">
        <f>VLOOKUP(E622,'Custos Matéria Prima Embalagens'!B:G,6,0)</f>
        <v>7.9049999999999994</v>
      </c>
      <c r="M622" s="209">
        <f t="shared" si="48"/>
        <v>134.38499999999999</v>
      </c>
      <c r="N622" s="209">
        <f t="shared" si="49"/>
        <v>0.18</v>
      </c>
    </row>
    <row r="623" spans="1:14" hidden="1">
      <c r="A623" s="129" t="s">
        <v>1266</v>
      </c>
      <c r="B623" s="129" t="s">
        <v>1267</v>
      </c>
      <c r="C623" s="129" t="s">
        <v>724</v>
      </c>
      <c r="D623" s="129" t="s">
        <v>681</v>
      </c>
      <c r="E623" s="129" t="s">
        <v>1270</v>
      </c>
      <c r="F623" s="129" t="s">
        <v>1272</v>
      </c>
      <c r="G623" s="210">
        <v>300</v>
      </c>
      <c r="H623" s="211">
        <f t="shared" si="45"/>
        <v>937.7</v>
      </c>
      <c r="I623" s="207">
        <f>IF(F623="CONCENTRADO SEMI BRILHO",G623/'De-Para'!$B$9,G623/VLOOKUP(B623,'De-Para'!A:B,2,0))</f>
        <v>236.22047244094489</v>
      </c>
      <c r="J623" s="206">
        <f t="shared" si="46"/>
        <v>738.34645669291353</v>
      </c>
      <c r="K623" s="212">
        <f t="shared" si="47"/>
        <v>0.31993174789378265</v>
      </c>
      <c r="L623" s="209">
        <f>VLOOKUP(E623,'Custos Matéria Prima Embalagens'!B:G,6,0)</f>
        <v>8.9700000000000006</v>
      </c>
      <c r="M623" s="209">
        <f t="shared" si="48"/>
        <v>2691</v>
      </c>
      <c r="N623" s="209">
        <f t="shared" si="49"/>
        <v>3.64</v>
      </c>
    </row>
    <row r="624" spans="1:14" hidden="1">
      <c r="A624" s="129" t="s">
        <v>1266</v>
      </c>
      <c r="B624" s="129" t="s">
        <v>1267</v>
      </c>
      <c r="C624" s="129" t="s">
        <v>724</v>
      </c>
      <c r="D624" s="129" t="s">
        <v>681</v>
      </c>
      <c r="E624" s="129" t="s">
        <v>1233</v>
      </c>
      <c r="F624" s="129" t="s">
        <v>1234</v>
      </c>
      <c r="G624" s="210">
        <v>1</v>
      </c>
      <c r="H624" s="211">
        <f t="shared" si="45"/>
        <v>937.7</v>
      </c>
      <c r="I624" s="207">
        <f>IF(F624="CONCENTRADO SEMI BRILHO",G624/'De-Para'!$B$9,G624/VLOOKUP(B624,'De-Para'!A:B,2,0))</f>
        <v>0.78740157480314954</v>
      </c>
      <c r="J624" s="206">
        <f t="shared" si="46"/>
        <v>738.34645669291353</v>
      </c>
      <c r="K624" s="212">
        <f t="shared" si="47"/>
        <v>1.0664391596459421E-3</v>
      </c>
      <c r="L624" s="209">
        <f>VLOOKUP(E624,'Custos Matéria Prima Embalagens'!B:G,6,0)</f>
        <v>31.93</v>
      </c>
      <c r="M624" s="209">
        <f t="shared" si="48"/>
        <v>31.93</v>
      </c>
      <c r="N624" s="209">
        <f t="shared" si="49"/>
        <v>0.04</v>
      </c>
    </row>
    <row r="625" spans="1:14" hidden="1">
      <c r="A625" s="129" t="s">
        <v>1266</v>
      </c>
      <c r="B625" s="129" t="s">
        <v>1267</v>
      </c>
      <c r="C625" s="129" t="s">
        <v>724</v>
      </c>
      <c r="D625" s="129" t="s">
        <v>681</v>
      </c>
      <c r="E625" s="129" t="s">
        <v>1237</v>
      </c>
      <c r="F625" s="129" t="s">
        <v>1238</v>
      </c>
      <c r="G625" s="210">
        <v>0.5</v>
      </c>
      <c r="H625" s="211">
        <f t="shared" si="45"/>
        <v>937.7</v>
      </c>
      <c r="I625" s="207">
        <f>IF(F625="CONCENTRADO SEMI BRILHO",G625/'De-Para'!$B$9,G625/VLOOKUP(B625,'De-Para'!A:B,2,0))</f>
        <v>0.39370078740157477</v>
      </c>
      <c r="J625" s="206">
        <f t="shared" si="46"/>
        <v>738.34645669291353</v>
      </c>
      <c r="K625" s="212">
        <f t="shared" si="47"/>
        <v>5.3321957982297103E-4</v>
      </c>
      <c r="L625" s="209">
        <f>VLOOKUP(E625,'Custos Matéria Prima Embalagens'!B:G,6,0)</f>
        <v>39</v>
      </c>
      <c r="M625" s="209">
        <f t="shared" si="48"/>
        <v>19.5</v>
      </c>
      <c r="N625" s="209">
        <f t="shared" si="49"/>
        <v>0.03</v>
      </c>
    </row>
    <row r="626" spans="1:14" hidden="1">
      <c r="A626" s="129" t="s">
        <v>1266</v>
      </c>
      <c r="B626" s="129" t="s">
        <v>1267</v>
      </c>
      <c r="C626" s="129" t="s">
        <v>724</v>
      </c>
      <c r="D626" s="129" t="s">
        <v>681</v>
      </c>
      <c r="E626" s="129" t="s">
        <v>1239</v>
      </c>
      <c r="F626" s="129" t="s">
        <v>1240</v>
      </c>
      <c r="G626" s="210">
        <v>6</v>
      </c>
      <c r="H626" s="211">
        <f t="shared" si="45"/>
        <v>937.7</v>
      </c>
      <c r="I626" s="207">
        <f>IF(F626="CONCENTRADO SEMI BRILHO",G626/'De-Para'!$B$9,G626/VLOOKUP(B626,'De-Para'!A:B,2,0))</f>
        <v>4.7244094488188972</v>
      </c>
      <c r="J626" s="206">
        <f t="shared" si="46"/>
        <v>738.34645669291353</v>
      </c>
      <c r="K626" s="212">
        <f t="shared" si="47"/>
        <v>6.3986349578756532E-3</v>
      </c>
      <c r="L626" s="209">
        <f>VLOOKUP(E626,'Custos Matéria Prima Embalagens'!B:G,6,0)</f>
        <v>21.11</v>
      </c>
      <c r="M626" s="209">
        <f t="shared" si="48"/>
        <v>126.66</v>
      </c>
      <c r="N626" s="209">
        <f t="shared" si="49"/>
        <v>0.17</v>
      </c>
    </row>
    <row r="627" spans="1:14" hidden="1">
      <c r="A627" s="129" t="s">
        <v>1266</v>
      </c>
      <c r="B627" s="129" t="s">
        <v>1267</v>
      </c>
      <c r="C627" s="129" t="s">
        <v>726</v>
      </c>
      <c r="D627" s="129" t="s">
        <v>1250</v>
      </c>
      <c r="E627" s="129" t="s">
        <v>1197</v>
      </c>
      <c r="F627" s="129" t="s">
        <v>1198</v>
      </c>
      <c r="G627" s="210">
        <v>300</v>
      </c>
      <c r="H627" s="211">
        <f t="shared" si="45"/>
        <v>932.60480000000007</v>
      </c>
      <c r="I627" s="207">
        <f>IF(F627="CONCENTRADO SEMI BRILHO",G627/'De-Para'!$B$9,G627/VLOOKUP(B627,'De-Para'!A:B,2,0))</f>
        <v>236.22047244094489</v>
      </c>
      <c r="J627" s="206">
        <f t="shared" si="46"/>
        <v>685.61401574803165</v>
      </c>
      <c r="K627" s="212">
        <f t="shared" si="47"/>
        <v>0.32167966538452297</v>
      </c>
      <c r="L627" s="209">
        <f>VLOOKUP(E627,'Custos Matéria Prima Embalagens'!B:G,6,0)</f>
        <v>0</v>
      </c>
      <c r="M627" s="209">
        <f t="shared" si="48"/>
        <v>0</v>
      </c>
      <c r="N627" s="209">
        <f t="shared" si="49"/>
        <v>0</v>
      </c>
    </row>
    <row r="628" spans="1:14" hidden="1">
      <c r="A628" s="129" t="s">
        <v>1266</v>
      </c>
      <c r="B628" s="129" t="s">
        <v>1267</v>
      </c>
      <c r="C628" s="129" t="s">
        <v>726</v>
      </c>
      <c r="D628" s="129" t="s">
        <v>1250</v>
      </c>
      <c r="E628" s="129" t="s">
        <v>1199</v>
      </c>
      <c r="F628" s="129" t="s">
        <v>1200</v>
      </c>
      <c r="G628" s="210">
        <v>1.2</v>
      </c>
      <c r="H628" s="211">
        <f t="shared" si="45"/>
        <v>932.60480000000007</v>
      </c>
      <c r="I628" s="207">
        <f>IF(F628="CONCENTRADO SEMI BRILHO",G628/'De-Para'!$B$9,G628/VLOOKUP(B628,'De-Para'!A:B,2,0))</f>
        <v>0.94488188976377951</v>
      </c>
      <c r="J628" s="206">
        <f t="shared" si="46"/>
        <v>685.61401574803165</v>
      </c>
      <c r="K628" s="212">
        <f t="shared" si="47"/>
        <v>1.2867186615380919E-3</v>
      </c>
      <c r="L628" s="209">
        <f>VLOOKUP(E628,'Custos Matéria Prima Embalagens'!B:G,6,0)</f>
        <v>17.939999999999998</v>
      </c>
      <c r="M628" s="209">
        <f t="shared" si="48"/>
        <v>21.527999999999995</v>
      </c>
      <c r="N628" s="209">
        <f t="shared" si="49"/>
        <v>0.03</v>
      </c>
    </row>
    <row r="629" spans="1:14" hidden="1">
      <c r="A629" s="129" t="s">
        <v>1266</v>
      </c>
      <c r="B629" s="129" t="s">
        <v>1267</v>
      </c>
      <c r="C629" s="129" t="s">
        <v>726</v>
      </c>
      <c r="D629" s="129" t="s">
        <v>1250</v>
      </c>
      <c r="E629" s="129" t="s">
        <v>1257</v>
      </c>
      <c r="F629" s="129" t="s">
        <v>1258</v>
      </c>
      <c r="G629" s="210">
        <v>2</v>
      </c>
      <c r="H629" s="211">
        <f t="shared" si="45"/>
        <v>932.60480000000007</v>
      </c>
      <c r="I629" s="207">
        <f>IF(F629="CONCENTRADO SEMI BRILHO",G629/'De-Para'!$B$9,G629/VLOOKUP(B629,'De-Para'!A:B,2,0))</f>
        <v>1.5748031496062991</v>
      </c>
      <c r="J629" s="206">
        <f t="shared" si="46"/>
        <v>685.61401574803165</v>
      </c>
      <c r="K629" s="212">
        <f t="shared" si="47"/>
        <v>2.1445311025634867E-3</v>
      </c>
      <c r="L629" s="209">
        <f>VLOOKUP(E629,'Custos Matéria Prima Embalagens'!B:G,6,0)</f>
        <v>11.7614232033819</v>
      </c>
      <c r="M629" s="209">
        <f t="shared" si="48"/>
        <v>23.522846406763801</v>
      </c>
      <c r="N629" s="209">
        <f t="shared" si="49"/>
        <v>0.03</v>
      </c>
    </row>
    <row r="630" spans="1:14" hidden="1">
      <c r="A630" s="129" t="s">
        <v>1266</v>
      </c>
      <c r="B630" s="129" t="s">
        <v>1267</v>
      </c>
      <c r="C630" s="129" t="s">
        <v>726</v>
      </c>
      <c r="D630" s="129" t="s">
        <v>1250</v>
      </c>
      <c r="E630" s="129" t="s">
        <v>1203</v>
      </c>
      <c r="F630" s="129" t="s">
        <v>1204</v>
      </c>
      <c r="G630" s="210">
        <v>2</v>
      </c>
      <c r="H630" s="211">
        <f t="shared" si="45"/>
        <v>932.60480000000007</v>
      </c>
      <c r="I630" s="207">
        <f>IF(F630="CONCENTRADO SEMI BRILHO",G630/'De-Para'!$B$9,G630/VLOOKUP(B630,'De-Para'!A:B,2,0))</f>
        <v>1.5748031496062991</v>
      </c>
      <c r="J630" s="206">
        <f t="shared" si="46"/>
        <v>685.61401574803165</v>
      </c>
      <c r="K630" s="212">
        <f t="shared" si="47"/>
        <v>2.1445311025634867E-3</v>
      </c>
      <c r="L630" s="209">
        <f>VLOOKUP(E630,'Custos Matéria Prima Embalagens'!B:G,6,0)</f>
        <v>4.9399999999999995</v>
      </c>
      <c r="M630" s="209">
        <f t="shared" si="48"/>
        <v>9.879999999999999</v>
      </c>
      <c r="N630" s="209">
        <f t="shared" si="49"/>
        <v>0.01</v>
      </c>
    </row>
    <row r="631" spans="1:14" hidden="1">
      <c r="A631" s="129" t="s">
        <v>1266</v>
      </c>
      <c r="B631" s="129" t="s">
        <v>1267</v>
      </c>
      <c r="C631" s="129" t="s">
        <v>726</v>
      </c>
      <c r="D631" s="129" t="s">
        <v>1250</v>
      </c>
      <c r="E631" s="129" t="s">
        <v>1205</v>
      </c>
      <c r="F631" s="129" t="s">
        <v>1206</v>
      </c>
      <c r="G631" s="210">
        <v>2</v>
      </c>
      <c r="H631" s="211">
        <f t="shared" si="45"/>
        <v>932.60480000000007</v>
      </c>
      <c r="I631" s="207">
        <f>IF(F631="CONCENTRADO SEMI BRILHO",G631/'De-Para'!$B$9,G631/VLOOKUP(B631,'De-Para'!A:B,2,0))</f>
        <v>1.5748031496062991</v>
      </c>
      <c r="J631" s="206">
        <f t="shared" si="46"/>
        <v>685.61401574803165</v>
      </c>
      <c r="K631" s="212">
        <f t="shared" si="47"/>
        <v>2.1445311025634867E-3</v>
      </c>
      <c r="L631" s="209">
        <f>VLOOKUP(E631,'Custos Matéria Prima Embalagens'!B:G,6,0)</f>
        <v>7.33</v>
      </c>
      <c r="M631" s="209">
        <f t="shared" si="48"/>
        <v>14.66</v>
      </c>
      <c r="N631" s="209">
        <f t="shared" si="49"/>
        <v>0.02</v>
      </c>
    </row>
    <row r="632" spans="1:14" hidden="1">
      <c r="A632" s="129" t="s">
        <v>1266</v>
      </c>
      <c r="B632" s="129" t="s">
        <v>1267</v>
      </c>
      <c r="C632" s="129" t="s">
        <v>726</v>
      </c>
      <c r="D632" s="129" t="s">
        <v>1250</v>
      </c>
      <c r="E632" s="129" t="s">
        <v>1207</v>
      </c>
      <c r="F632" s="129" t="s">
        <v>1208</v>
      </c>
      <c r="G632" s="210">
        <v>2</v>
      </c>
      <c r="H632" s="211">
        <f t="shared" si="45"/>
        <v>932.60480000000007</v>
      </c>
      <c r="I632" s="207">
        <f>IF(F632="CONCENTRADO SEMI BRILHO",G632/'De-Para'!$B$9,G632/VLOOKUP(B632,'De-Para'!A:B,2,0))</f>
        <v>1.5748031496062991</v>
      </c>
      <c r="J632" s="206">
        <f t="shared" si="46"/>
        <v>685.61401574803165</v>
      </c>
      <c r="K632" s="212">
        <f t="shared" si="47"/>
        <v>2.1445311025634867E-3</v>
      </c>
      <c r="L632" s="209">
        <f>VLOOKUP(E632,'Custos Matéria Prima Embalagens'!B:G,6,0)</f>
        <v>6.8599999999999994</v>
      </c>
      <c r="M632" s="209">
        <f t="shared" si="48"/>
        <v>13.719999999999999</v>
      </c>
      <c r="N632" s="209">
        <f t="shared" si="49"/>
        <v>0.02</v>
      </c>
    </row>
    <row r="633" spans="1:14" hidden="1">
      <c r="A633" s="129" t="s">
        <v>1266</v>
      </c>
      <c r="B633" s="129" t="s">
        <v>1267</v>
      </c>
      <c r="C633" s="129" t="s">
        <v>726</v>
      </c>
      <c r="D633" s="129" t="s">
        <v>1250</v>
      </c>
      <c r="E633" s="129" t="s">
        <v>1217</v>
      </c>
      <c r="F633" s="129" t="s">
        <v>1218</v>
      </c>
      <c r="G633" s="210">
        <v>250</v>
      </c>
      <c r="H633" s="211">
        <f t="shared" si="45"/>
        <v>932.60480000000007</v>
      </c>
      <c r="I633" s="207">
        <f>IF(F633="CONCENTRADO SEMI BRILHO",G633/'De-Para'!$B$9,G633/VLOOKUP(B633,'De-Para'!A:B,2,0))</f>
        <v>196.85039370078741</v>
      </c>
      <c r="J633" s="206">
        <f t="shared" si="46"/>
        <v>685.61401574803165</v>
      </c>
      <c r="K633" s="212">
        <f t="shared" si="47"/>
        <v>0.26806638782043579</v>
      </c>
      <c r="L633" s="209">
        <f>VLOOKUP(E633,'Custos Matéria Prima Embalagens'!B:G,6,0)</f>
        <v>8.43</v>
      </c>
      <c r="M633" s="209">
        <f t="shared" si="48"/>
        <v>2107.5</v>
      </c>
      <c r="N633" s="209">
        <f t="shared" si="49"/>
        <v>3.07</v>
      </c>
    </row>
    <row r="634" spans="1:14" hidden="1">
      <c r="A634" s="129" t="s">
        <v>1266</v>
      </c>
      <c r="B634" s="129" t="s">
        <v>1267</v>
      </c>
      <c r="C634" s="129" t="s">
        <v>726</v>
      </c>
      <c r="D634" s="129" t="s">
        <v>1250</v>
      </c>
      <c r="E634" s="129" t="s">
        <v>1229</v>
      </c>
      <c r="F634" s="129" t="s">
        <v>1230</v>
      </c>
      <c r="G634" s="210">
        <v>10</v>
      </c>
      <c r="H634" s="211">
        <f t="shared" si="45"/>
        <v>932.60480000000007</v>
      </c>
      <c r="I634" s="207">
        <f>IF(F634="CONCENTRADO SEMI BRILHO",G634/'De-Para'!$B$9,G634/VLOOKUP(B634,'De-Para'!A:B,2,0))</f>
        <v>7.8740157480314963</v>
      </c>
      <c r="J634" s="206">
        <f t="shared" si="46"/>
        <v>685.61401574803165</v>
      </c>
      <c r="K634" s="212">
        <f t="shared" si="47"/>
        <v>1.0722655512817432E-2</v>
      </c>
      <c r="L634" s="209">
        <f>VLOOKUP(E634,'Custos Matéria Prima Embalagens'!B:G,6,0)</f>
        <v>19.22</v>
      </c>
      <c r="M634" s="209">
        <f t="shared" si="48"/>
        <v>192.2</v>
      </c>
      <c r="N634" s="209">
        <f t="shared" si="49"/>
        <v>0.28000000000000003</v>
      </c>
    </row>
    <row r="635" spans="1:14" hidden="1">
      <c r="A635" s="129" t="s">
        <v>1266</v>
      </c>
      <c r="B635" s="129" t="s">
        <v>1267</v>
      </c>
      <c r="C635" s="129" t="s">
        <v>726</v>
      </c>
      <c r="D635" s="129" t="s">
        <v>1250</v>
      </c>
      <c r="E635" s="129" t="s">
        <v>1261</v>
      </c>
      <c r="F635" s="129" t="s">
        <v>1262</v>
      </c>
      <c r="G635" s="210">
        <v>10</v>
      </c>
      <c r="H635" s="211">
        <f t="shared" si="45"/>
        <v>932.60480000000007</v>
      </c>
      <c r="I635" s="207">
        <f>IF(F635="CONCENTRADO SEMI BRILHO",G635/'De-Para'!$B$9,G635/VLOOKUP(B635,'De-Para'!A:B,2,0))</f>
        <v>7.8740157480314963</v>
      </c>
      <c r="J635" s="206">
        <f t="shared" si="46"/>
        <v>685.61401574803165</v>
      </c>
      <c r="K635" s="212">
        <f t="shared" si="47"/>
        <v>1.0722655512817432E-2</v>
      </c>
      <c r="L635" s="209">
        <f>VLOOKUP(E635,'Custos Matéria Prima Embalagens'!B:G,6,0)</f>
        <v>31.4314232033819</v>
      </c>
      <c r="M635" s="209">
        <f t="shared" si="48"/>
        <v>314.314232033819</v>
      </c>
      <c r="N635" s="209">
        <f t="shared" si="49"/>
        <v>0.46</v>
      </c>
    </row>
    <row r="636" spans="1:14" hidden="1">
      <c r="A636" s="129" t="s">
        <v>1266</v>
      </c>
      <c r="B636" s="129" t="s">
        <v>1267</v>
      </c>
      <c r="C636" s="129" t="s">
        <v>726</v>
      </c>
      <c r="D636" s="129" t="s">
        <v>1250</v>
      </c>
      <c r="E636" s="129" t="s">
        <v>1209</v>
      </c>
      <c r="F636" s="129" t="s">
        <v>1210</v>
      </c>
      <c r="G636" s="210">
        <v>3</v>
      </c>
      <c r="H636" s="211">
        <f t="shared" si="45"/>
        <v>932.60480000000007</v>
      </c>
      <c r="I636" s="207">
        <f>IF(F636="CONCENTRADO SEMI BRILHO",G636/'De-Para'!$B$9,G636/VLOOKUP(B636,'De-Para'!A:B,2,0))</f>
        <v>2.3622047244094486</v>
      </c>
      <c r="J636" s="206">
        <f t="shared" si="46"/>
        <v>685.61401574803165</v>
      </c>
      <c r="K636" s="212">
        <f t="shared" si="47"/>
        <v>3.2167966538452298E-3</v>
      </c>
      <c r="L636" s="209">
        <f>VLOOKUP(E636,'Custos Matéria Prima Embalagens'!B:G,6,0)</f>
        <v>7</v>
      </c>
      <c r="M636" s="209">
        <f t="shared" si="48"/>
        <v>21</v>
      </c>
      <c r="N636" s="209">
        <f t="shared" si="49"/>
        <v>0.03</v>
      </c>
    </row>
    <row r="637" spans="1:14" hidden="1">
      <c r="A637" s="129" t="s">
        <v>1266</v>
      </c>
      <c r="B637" s="129" t="s">
        <v>1267</v>
      </c>
      <c r="C637" s="129" t="s">
        <v>726</v>
      </c>
      <c r="D637" s="129" t="s">
        <v>1250</v>
      </c>
      <c r="E637" s="129" t="s">
        <v>1219</v>
      </c>
      <c r="F637" s="129" t="s">
        <v>1220</v>
      </c>
      <c r="G637" s="210">
        <v>11</v>
      </c>
      <c r="H637" s="211">
        <f t="shared" si="45"/>
        <v>932.60480000000007</v>
      </c>
      <c r="I637" s="207">
        <f>IF(F637="CONCENTRADO SEMI BRILHO",G637/'De-Para'!$B$9,G637/VLOOKUP(B637,'De-Para'!A:B,2,0))</f>
        <v>8.6614173228346463</v>
      </c>
      <c r="J637" s="206">
        <f t="shared" si="46"/>
        <v>685.61401574803165</v>
      </c>
      <c r="K637" s="212">
        <f t="shared" si="47"/>
        <v>1.1794921064099175E-2</v>
      </c>
      <c r="L637" s="209">
        <f>VLOOKUP(E637,'Custos Matéria Prima Embalagens'!B:G,6,0)</f>
        <v>4.9800000000000004</v>
      </c>
      <c r="M637" s="209">
        <f t="shared" si="48"/>
        <v>54.78</v>
      </c>
      <c r="N637" s="209">
        <f t="shared" si="49"/>
        <v>0.08</v>
      </c>
    </row>
    <row r="638" spans="1:14" hidden="1">
      <c r="A638" s="129" t="s">
        <v>1266</v>
      </c>
      <c r="B638" s="129" t="s">
        <v>1267</v>
      </c>
      <c r="C638" s="129" t="s">
        <v>726</v>
      </c>
      <c r="D638" s="129" t="s">
        <v>1250</v>
      </c>
      <c r="E638" s="129" t="s">
        <v>1268</v>
      </c>
      <c r="F638" s="129" t="s">
        <v>1269</v>
      </c>
      <c r="G638" s="210">
        <v>20</v>
      </c>
      <c r="H638" s="211">
        <f t="shared" si="45"/>
        <v>932.60480000000007</v>
      </c>
      <c r="I638" s="207">
        <f>IF(F638="CONCENTRADO SEMI BRILHO",G638/'De-Para'!$B$9,G638/VLOOKUP(B638,'De-Para'!A:B,2,0))</f>
        <v>15.748031496062993</v>
      </c>
      <c r="J638" s="206">
        <f t="shared" si="46"/>
        <v>685.61401574803165</v>
      </c>
      <c r="K638" s="212">
        <f t="shared" si="47"/>
        <v>2.1445311025634864E-2</v>
      </c>
      <c r="L638" s="209">
        <f>VLOOKUP(E638,'Custos Matéria Prima Embalagens'!B:G,6,0)</f>
        <v>10.37</v>
      </c>
      <c r="M638" s="209">
        <f t="shared" si="48"/>
        <v>207.39999999999998</v>
      </c>
      <c r="N638" s="209">
        <f t="shared" si="49"/>
        <v>0.3</v>
      </c>
    </row>
    <row r="639" spans="1:14" hidden="1">
      <c r="A639" s="129" t="s">
        <v>1266</v>
      </c>
      <c r="B639" s="129" t="s">
        <v>1267</v>
      </c>
      <c r="C639" s="129" t="s">
        <v>726</v>
      </c>
      <c r="D639" s="129" t="s">
        <v>1250</v>
      </c>
      <c r="E639" s="129" t="s">
        <v>1221</v>
      </c>
      <c r="F639" s="129" t="s">
        <v>1222</v>
      </c>
      <c r="G639" s="210">
        <v>17</v>
      </c>
      <c r="H639" s="211">
        <f t="shared" si="45"/>
        <v>932.60480000000007</v>
      </c>
      <c r="I639" s="207">
        <f>IF(F639="CONCENTRADO SEMI BRILHO",G639/'De-Para'!$B$9,G639/VLOOKUP(B639,'De-Para'!A:B,2,0))</f>
        <v>13.385826771653543</v>
      </c>
      <c r="J639" s="206">
        <f t="shared" si="46"/>
        <v>685.61401574803165</v>
      </c>
      <c r="K639" s="212">
        <f t="shared" si="47"/>
        <v>1.8228514371789635E-2</v>
      </c>
      <c r="L639" s="209">
        <f>VLOOKUP(E639,'Custos Matéria Prima Embalagens'!B:G,6,0)</f>
        <v>7.9049999999999994</v>
      </c>
      <c r="M639" s="209">
        <f t="shared" si="48"/>
        <v>134.38499999999999</v>
      </c>
      <c r="N639" s="209">
        <f t="shared" si="49"/>
        <v>0.2</v>
      </c>
    </row>
    <row r="640" spans="1:14" hidden="1">
      <c r="A640" s="129" t="s">
        <v>1266</v>
      </c>
      <c r="B640" s="129" t="s">
        <v>1267</v>
      </c>
      <c r="C640" s="129" t="s">
        <v>726</v>
      </c>
      <c r="D640" s="129" t="s">
        <v>1250</v>
      </c>
      <c r="E640" s="129" t="s">
        <v>1270</v>
      </c>
      <c r="F640" s="129" t="s">
        <v>1271</v>
      </c>
      <c r="G640" s="210">
        <v>300</v>
      </c>
      <c r="H640" s="211">
        <f t="shared" si="45"/>
        <v>932.60480000000007</v>
      </c>
      <c r="I640" s="207">
        <f>IF(F640="CONCENTRADO SEMI BRILHO",G640/'De-Para'!$B$9,G640/VLOOKUP(B640,'De-Para'!A:B,2,0))</f>
        <v>187.5</v>
      </c>
      <c r="J640" s="206">
        <f t="shared" si="46"/>
        <v>685.61401574803165</v>
      </c>
      <c r="K640" s="212">
        <f t="shared" si="47"/>
        <v>0.32167966538452297</v>
      </c>
      <c r="L640" s="209">
        <f>VLOOKUP(E640,'Custos Matéria Prima Embalagens'!B:G,6,0)</f>
        <v>8.9700000000000006</v>
      </c>
      <c r="M640" s="209">
        <f t="shared" si="48"/>
        <v>2691</v>
      </c>
      <c r="N640" s="209">
        <f t="shared" si="49"/>
        <v>3.92</v>
      </c>
    </row>
    <row r="641" spans="1:14" hidden="1">
      <c r="A641" s="129" t="s">
        <v>1266</v>
      </c>
      <c r="B641" s="129" t="s">
        <v>1267</v>
      </c>
      <c r="C641" s="129" t="s">
        <v>726</v>
      </c>
      <c r="D641" s="129" t="s">
        <v>1250</v>
      </c>
      <c r="E641" s="129" t="s">
        <v>1273</v>
      </c>
      <c r="F641" s="129" t="s">
        <v>1234</v>
      </c>
      <c r="G641" s="210">
        <v>2.4</v>
      </c>
      <c r="H641" s="211">
        <f t="shared" si="45"/>
        <v>932.60480000000007</v>
      </c>
      <c r="I641" s="207">
        <f>IF(F641="CONCENTRADO SEMI BRILHO",G641/'De-Para'!$B$9,G641/VLOOKUP(B641,'De-Para'!A:B,2,0))</f>
        <v>1.889763779527559</v>
      </c>
      <c r="J641" s="206">
        <f t="shared" si="46"/>
        <v>685.61401574803165</v>
      </c>
      <c r="K641" s="212">
        <f t="shared" si="47"/>
        <v>2.5734373230761839E-3</v>
      </c>
      <c r="L641" s="209">
        <f>VLOOKUP(E641,'Custos Matéria Prima Embalagens'!B:G,6,0)</f>
        <v>15.600000000000001</v>
      </c>
      <c r="M641" s="209">
        <f t="shared" si="48"/>
        <v>37.440000000000005</v>
      </c>
      <c r="N641" s="209">
        <f t="shared" si="49"/>
        <v>0.05</v>
      </c>
    </row>
    <row r="642" spans="1:14" hidden="1">
      <c r="A642" s="129" t="s">
        <v>1266</v>
      </c>
      <c r="B642" s="129" t="s">
        <v>1267</v>
      </c>
      <c r="C642" s="129" t="s">
        <v>726</v>
      </c>
      <c r="D642" s="129" t="s">
        <v>1250</v>
      </c>
      <c r="E642" s="129" t="s">
        <v>1235</v>
      </c>
      <c r="F642" s="129" t="s">
        <v>1236</v>
      </c>
      <c r="G642" s="210">
        <v>4.7999999999999996E-3</v>
      </c>
      <c r="H642" s="211">
        <f t="shared" si="45"/>
        <v>932.60480000000007</v>
      </c>
      <c r="I642" s="207">
        <f>IF(F642="CONCENTRADO SEMI BRILHO",G642/'De-Para'!$B$9,G642/VLOOKUP(B642,'De-Para'!A:B,2,0))</f>
        <v>3.7795275590551177E-3</v>
      </c>
      <c r="J642" s="206">
        <f t="shared" si="46"/>
        <v>685.61401574803165</v>
      </c>
      <c r="K642" s="212">
        <f t="shared" si="47"/>
        <v>5.1468746461523672E-6</v>
      </c>
      <c r="L642" s="209">
        <f>VLOOKUP(E642,'Custos Matéria Prima Embalagens'!B:G,6,0)</f>
        <v>46.089999999999996</v>
      </c>
      <c r="M642" s="209">
        <f t="shared" si="48"/>
        <v>0.22123199999999996</v>
      </c>
      <c r="N642" s="209">
        <f t="shared" si="49"/>
        <v>0</v>
      </c>
    </row>
    <row r="643" spans="1:14" hidden="1">
      <c r="A643" s="129" t="s">
        <v>1266</v>
      </c>
      <c r="B643" s="129" t="s">
        <v>1267</v>
      </c>
      <c r="C643" s="129" t="s">
        <v>728</v>
      </c>
      <c r="D643" s="129" t="s">
        <v>686</v>
      </c>
      <c r="E643" s="129" t="s">
        <v>1197</v>
      </c>
      <c r="F643" s="129" t="s">
        <v>1198</v>
      </c>
      <c r="G643" s="210">
        <v>300</v>
      </c>
      <c r="H643" s="211">
        <f t="shared" ref="H643:H706" si="50">SUMIFS(G:G,C:C,C643)</f>
        <v>739.7</v>
      </c>
      <c r="I643" s="207">
        <f>IF(F643="CONCENTRADO SEMI BRILHO",G643/'De-Para'!$B$9,G643/VLOOKUP(B643,'De-Para'!A:B,2,0))</f>
        <v>236.22047244094489</v>
      </c>
      <c r="J643" s="206">
        <f t="shared" ref="J643:J706" si="51">SUMIFS(I:I,C:C,C643)</f>
        <v>582.44094488188966</v>
      </c>
      <c r="K643" s="212">
        <f t="shared" ref="K643:K706" si="52">G643/H643</f>
        <v>0.40556982560497495</v>
      </c>
      <c r="L643" s="209">
        <f>VLOOKUP(E643,'Custos Matéria Prima Embalagens'!B:G,6,0)</f>
        <v>0</v>
      </c>
      <c r="M643" s="209">
        <f t="shared" ref="M643:M706" si="53">L643*G643</f>
        <v>0</v>
      </c>
      <c r="N643" s="209">
        <f t="shared" ref="N643:N706" si="54">IF(B643="CONCENTRADO",ROUND(M643/H643,2),ROUND(M643/J643,2))</f>
        <v>0</v>
      </c>
    </row>
    <row r="644" spans="1:14" hidden="1">
      <c r="A644" s="129" t="s">
        <v>1266</v>
      </c>
      <c r="B644" s="129" t="s">
        <v>1267</v>
      </c>
      <c r="C644" s="129" t="s">
        <v>728</v>
      </c>
      <c r="D644" s="129" t="s">
        <v>686</v>
      </c>
      <c r="E644" s="129" t="s">
        <v>1199</v>
      </c>
      <c r="F644" s="129" t="s">
        <v>1200</v>
      </c>
      <c r="G644" s="210">
        <v>1.2</v>
      </c>
      <c r="H644" s="211">
        <f t="shared" si="50"/>
        <v>739.7</v>
      </c>
      <c r="I644" s="207">
        <f>IF(F644="CONCENTRADO SEMI BRILHO",G644/'De-Para'!$B$9,G644/VLOOKUP(B644,'De-Para'!A:B,2,0))</f>
        <v>0.94488188976377951</v>
      </c>
      <c r="J644" s="206">
        <f t="shared" si="51"/>
        <v>582.44094488188966</v>
      </c>
      <c r="K644" s="212">
        <f t="shared" si="52"/>
        <v>1.6222793024198998E-3</v>
      </c>
      <c r="L644" s="209">
        <f>VLOOKUP(E644,'Custos Matéria Prima Embalagens'!B:G,6,0)</f>
        <v>17.939999999999998</v>
      </c>
      <c r="M644" s="209">
        <f t="shared" si="53"/>
        <v>21.527999999999995</v>
      </c>
      <c r="N644" s="209">
        <f t="shared" si="54"/>
        <v>0.04</v>
      </c>
    </row>
    <row r="645" spans="1:14" hidden="1">
      <c r="A645" s="129" t="s">
        <v>1266</v>
      </c>
      <c r="B645" s="129" t="s">
        <v>1267</v>
      </c>
      <c r="C645" s="129" t="s">
        <v>728</v>
      </c>
      <c r="D645" s="129" t="s">
        <v>686</v>
      </c>
      <c r="E645" s="129" t="s">
        <v>1257</v>
      </c>
      <c r="F645" s="129" t="s">
        <v>1258</v>
      </c>
      <c r="G645" s="210">
        <v>2</v>
      </c>
      <c r="H645" s="211">
        <f t="shared" si="50"/>
        <v>739.7</v>
      </c>
      <c r="I645" s="207">
        <f>IF(F645="CONCENTRADO SEMI BRILHO",G645/'De-Para'!$B$9,G645/VLOOKUP(B645,'De-Para'!A:B,2,0))</f>
        <v>1.5748031496062991</v>
      </c>
      <c r="J645" s="206">
        <f t="shared" si="51"/>
        <v>582.44094488188966</v>
      </c>
      <c r="K645" s="212">
        <f t="shared" si="52"/>
        <v>2.7037988373664998E-3</v>
      </c>
      <c r="L645" s="209">
        <f>VLOOKUP(E645,'Custos Matéria Prima Embalagens'!B:G,6,0)</f>
        <v>11.7614232033819</v>
      </c>
      <c r="M645" s="209">
        <f t="shared" si="53"/>
        <v>23.522846406763801</v>
      </c>
      <c r="N645" s="209">
        <f t="shared" si="54"/>
        <v>0.04</v>
      </c>
    </row>
    <row r="646" spans="1:14" hidden="1">
      <c r="A646" s="129" t="s">
        <v>1266</v>
      </c>
      <c r="B646" s="129" t="s">
        <v>1267</v>
      </c>
      <c r="C646" s="129" t="s">
        <v>728</v>
      </c>
      <c r="D646" s="129" t="s">
        <v>686</v>
      </c>
      <c r="E646" s="129" t="s">
        <v>1203</v>
      </c>
      <c r="F646" s="129" t="s">
        <v>1204</v>
      </c>
      <c r="G646" s="210">
        <v>2</v>
      </c>
      <c r="H646" s="211">
        <f t="shared" si="50"/>
        <v>739.7</v>
      </c>
      <c r="I646" s="207">
        <f>IF(F646="CONCENTRADO SEMI BRILHO",G646/'De-Para'!$B$9,G646/VLOOKUP(B646,'De-Para'!A:B,2,0))</f>
        <v>1.5748031496062991</v>
      </c>
      <c r="J646" s="206">
        <f t="shared" si="51"/>
        <v>582.44094488188966</v>
      </c>
      <c r="K646" s="212">
        <f t="shared" si="52"/>
        <v>2.7037988373664998E-3</v>
      </c>
      <c r="L646" s="209">
        <f>VLOOKUP(E646,'Custos Matéria Prima Embalagens'!B:G,6,0)</f>
        <v>4.9399999999999995</v>
      </c>
      <c r="M646" s="209">
        <f t="shared" si="53"/>
        <v>9.879999999999999</v>
      </c>
      <c r="N646" s="209">
        <f t="shared" si="54"/>
        <v>0.02</v>
      </c>
    </row>
    <row r="647" spans="1:14" hidden="1">
      <c r="A647" s="129" t="s">
        <v>1266</v>
      </c>
      <c r="B647" s="129" t="s">
        <v>1267</v>
      </c>
      <c r="C647" s="129" t="s">
        <v>728</v>
      </c>
      <c r="D647" s="129" t="s">
        <v>686</v>
      </c>
      <c r="E647" s="129" t="s">
        <v>1205</v>
      </c>
      <c r="F647" s="129" t="s">
        <v>1206</v>
      </c>
      <c r="G647" s="210">
        <v>2</v>
      </c>
      <c r="H647" s="211">
        <f t="shared" si="50"/>
        <v>739.7</v>
      </c>
      <c r="I647" s="207">
        <f>IF(F647="CONCENTRADO SEMI BRILHO",G647/'De-Para'!$B$9,G647/VLOOKUP(B647,'De-Para'!A:B,2,0))</f>
        <v>1.5748031496062991</v>
      </c>
      <c r="J647" s="206">
        <f t="shared" si="51"/>
        <v>582.44094488188966</v>
      </c>
      <c r="K647" s="212">
        <f t="shared" si="52"/>
        <v>2.7037988373664998E-3</v>
      </c>
      <c r="L647" s="209">
        <f>VLOOKUP(E647,'Custos Matéria Prima Embalagens'!B:G,6,0)</f>
        <v>7.33</v>
      </c>
      <c r="M647" s="209">
        <f t="shared" si="53"/>
        <v>14.66</v>
      </c>
      <c r="N647" s="209">
        <f t="shared" si="54"/>
        <v>0.03</v>
      </c>
    </row>
    <row r="648" spans="1:14" hidden="1">
      <c r="A648" s="129" t="s">
        <v>1266</v>
      </c>
      <c r="B648" s="129" t="s">
        <v>1267</v>
      </c>
      <c r="C648" s="129" t="s">
        <v>728</v>
      </c>
      <c r="D648" s="129" t="s">
        <v>686</v>
      </c>
      <c r="E648" s="129" t="s">
        <v>1207</v>
      </c>
      <c r="F648" s="129" t="s">
        <v>1208</v>
      </c>
      <c r="G648" s="210">
        <v>2</v>
      </c>
      <c r="H648" s="211">
        <f t="shared" si="50"/>
        <v>739.7</v>
      </c>
      <c r="I648" s="207">
        <f>IF(F648="CONCENTRADO SEMI BRILHO",G648/'De-Para'!$B$9,G648/VLOOKUP(B648,'De-Para'!A:B,2,0))</f>
        <v>1.5748031496062991</v>
      </c>
      <c r="J648" s="206">
        <f t="shared" si="51"/>
        <v>582.44094488188966</v>
      </c>
      <c r="K648" s="212">
        <f t="shared" si="52"/>
        <v>2.7037988373664998E-3</v>
      </c>
      <c r="L648" s="209">
        <f>VLOOKUP(E648,'Custos Matéria Prima Embalagens'!B:G,6,0)</f>
        <v>6.8599999999999994</v>
      </c>
      <c r="M648" s="209">
        <f t="shared" si="53"/>
        <v>13.719999999999999</v>
      </c>
      <c r="N648" s="209">
        <f t="shared" si="54"/>
        <v>0.02</v>
      </c>
    </row>
    <row r="649" spans="1:14" hidden="1">
      <c r="A649" s="129" t="s">
        <v>1266</v>
      </c>
      <c r="B649" s="129" t="s">
        <v>1267</v>
      </c>
      <c r="C649" s="129" t="s">
        <v>728</v>
      </c>
      <c r="D649" s="129" t="s">
        <v>686</v>
      </c>
      <c r="E649" s="129" t="s">
        <v>1217</v>
      </c>
      <c r="F649" s="129" t="s">
        <v>1218</v>
      </c>
      <c r="G649" s="210">
        <v>300</v>
      </c>
      <c r="H649" s="211">
        <f t="shared" si="50"/>
        <v>739.7</v>
      </c>
      <c r="I649" s="207">
        <f>IF(F649="CONCENTRADO SEMI BRILHO",G649/'De-Para'!$B$9,G649/VLOOKUP(B649,'De-Para'!A:B,2,0))</f>
        <v>236.22047244094489</v>
      </c>
      <c r="J649" s="206">
        <f t="shared" si="51"/>
        <v>582.44094488188966</v>
      </c>
      <c r="K649" s="212">
        <f t="shared" si="52"/>
        <v>0.40556982560497495</v>
      </c>
      <c r="L649" s="209">
        <f>VLOOKUP(E649,'Custos Matéria Prima Embalagens'!B:G,6,0)</f>
        <v>8.43</v>
      </c>
      <c r="M649" s="209">
        <f t="shared" si="53"/>
        <v>2529</v>
      </c>
      <c r="N649" s="209">
        <f t="shared" si="54"/>
        <v>4.34</v>
      </c>
    </row>
    <row r="650" spans="1:14" hidden="1">
      <c r="A650" s="129" t="s">
        <v>1266</v>
      </c>
      <c r="B650" s="129" t="s">
        <v>1267</v>
      </c>
      <c r="C650" s="129" t="s">
        <v>728</v>
      </c>
      <c r="D650" s="129" t="s">
        <v>686</v>
      </c>
      <c r="E650" s="129" t="s">
        <v>1229</v>
      </c>
      <c r="F650" s="129" t="s">
        <v>1230</v>
      </c>
      <c r="G650" s="210">
        <v>10</v>
      </c>
      <c r="H650" s="211">
        <f t="shared" si="50"/>
        <v>739.7</v>
      </c>
      <c r="I650" s="207">
        <f>IF(F650="CONCENTRADO SEMI BRILHO",G650/'De-Para'!$B$9,G650/VLOOKUP(B650,'De-Para'!A:B,2,0))</f>
        <v>7.8740157480314963</v>
      </c>
      <c r="J650" s="206">
        <f t="shared" si="51"/>
        <v>582.44094488188966</v>
      </c>
      <c r="K650" s="212">
        <f t="shared" si="52"/>
        <v>1.3518994186832499E-2</v>
      </c>
      <c r="L650" s="209">
        <f>VLOOKUP(E650,'Custos Matéria Prima Embalagens'!B:G,6,0)</f>
        <v>19.22</v>
      </c>
      <c r="M650" s="209">
        <f t="shared" si="53"/>
        <v>192.2</v>
      </c>
      <c r="N650" s="209">
        <f t="shared" si="54"/>
        <v>0.33</v>
      </c>
    </row>
    <row r="651" spans="1:14" hidden="1">
      <c r="A651" s="129" t="s">
        <v>1266</v>
      </c>
      <c r="B651" s="129" t="s">
        <v>1267</v>
      </c>
      <c r="C651" s="129" t="s">
        <v>728</v>
      </c>
      <c r="D651" s="129" t="s">
        <v>686</v>
      </c>
      <c r="E651" s="129" t="s">
        <v>1261</v>
      </c>
      <c r="F651" s="129" t="s">
        <v>1262</v>
      </c>
      <c r="G651" s="210">
        <v>10</v>
      </c>
      <c r="H651" s="211">
        <f t="shared" si="50"/>
        <v>739.7</v>
      </c>
      <c r="I651" s="207">
        <f>IF(F651="CONCENTRADO SEMI BRILHO",G651/'De-Para'!$B$9,G651/VLOOKUP(B651,'De-Para'!A:B,2,0))</f>
        <v>7.8740157480314963</v>
      </c>
      <c r="J651" s="206">
        <f t="shared" si="51"/>
        <v>582.44094488188966</v>
      </c>
      <c r="K651" s="212">
        <f t="shared" si="52"/>
        <v>1.3518994186832499E-2</v>
      </c>
      <c r="L651" s="209">
        <f>VLOOKUP(E651,'Custos Matéria Prima Embalagens'!B:G,6,0)</f>
        <v>31.4314232033819</v>
      </c>
      <c r="M651" s="209">
        <f t="shared" si="53"/>
        <v>314.314232033819</v>
      </c>
      <c r="N651" s="209">
        <f t="shared" si="54"/>
        <v>0.54</v>
      </c>
    </row>
    <row r="652" spans="1:14" hidden="1">
      <c r="A652" s="129" t="s">
        <v>1266</v>
      </c>
      <c r="B652" s="129" t="s">
        <v>1267</v>
      </c>
      <c r="C652" s="129" t="s">
        <v>728</v>
      </c>
      <c r="D652" s="129" t="s">
        <v>686</v>
      </c>
      <c r="E652" s="129" t="s">
        <v>1209</v>
      </c>
      <c r="F652" s="129" t="s">
        <v>1210</v>
      </c>
      <c r="G652" s="210">
        <v>3</v>
      </c>
      <c r="H652" s="211">
        <f t="shared" si="50"/>
        <v>739.7</v>
      </c>
      <c r="I652" s="207">
        <f>IF(F652="CONCENTRADO SEMI BRILHO",G652/'De-Para'!$B$9,G652/VLOOKUP(B652,'De-Para'!A:B,2,0))</f>
        <v>2.3622047244094486</v>
      </c>
      <c r="J652" s="206">
        <f t="shared" si="51"/>
        <v>582.44094488188966</v>
      </c>
      <c r="K652" s="212">
        <f t="shared" si="52"/>
        <v>4.0556982560497499E-3</v>
      </c>
      <c r="L652" s="209">
        <f>VLOOKUP(E652,'Custos Matéria Prima Embalagens'!B:G,6,0)</f>
        <v>7</v>
      </c>
      <c r="M652" s="209">
        <f t="shared" si="53"/>
        <v>21</v>
      </c>
      <c r="N652" s="209">
        <f t="shared" si="54"/>
        <v>0.04</v>
      </c>
    </row>
    <row r="653" spans="1:14" hidden="1">
      <c r="A653" s="129" t="s">
        <v>1266</v>
      </c>
      <c r="B653" s="129" t="s">
        <v>1267</v>
      </c>
      <c r="C653" s="129" t="s">
        <v>728</v>
      </c>
      <c r="D653" s="129" t="s">
        <v>686</v>
      </c>
      <c r="E653" s="129" t="s">
        <v>1219</v>
      </c>
      <c r="F653" s="129" t="s">
        <v>1220</v>
      </c>
      <c r="G653" s="210">
        <v>3</v>
      </c>
      <c r="H653" s="211">
        <f t="shared" si="50"/>
        <v>739.7</v>
      </c>
      <c r="I653" s="207">
        <f>IF(F653="CONCENTRADO SEMI BRILHO",G653/'De-Para'!$B$9,G653/VLOOKUP(B653,'De-Para'!A:B,2,0))</f>
        <v>2.3622047244094486</v>
      </c>
      <c r="J653" s="206">
        <f t="shared" si="51"/>
        <v>582.44094488188966</v>
      </c>
      <c r="K653" s="212">
        <f t="shared" si="52"/>
        <v>4.0556982560497499E-3</v>
      </c>
      <c r="L653" s="209">
        <f>VLOOKUP(E653,'Custos Matéria Prima Embalagens'!B:G,6,0)</f>
        <v>4.9800000000000004</v>
      </c>
      <c r="M653" s="209">
        <f t="shared" si="53"/>
        <v>14.940000000000001</v>
      </c>
      <c r="N653" s="209">
        <f t="shared" si="54"/>
        <v>0.03</v>
      </c>
    </row>
    <row r="654" spans="1:14" hidden="1">
      <c r="A654" s="129" t="s">
        <v>1266</v>
      </c>
      <c r="B654" s="129" t="s">
        <v>1267</v>
      </c>
      <c r="C654" s="129" t="s">
        <v>728</v>
      </c>
      <c r="D654" s="129" t="s">
        <v>686</v>
      </c>
      <c r="E654" s="129" t="s">
        <v>1268</v>
      </c>
      <c r="F654" s="129" t="s">
        <v>1269</v>
      </c>
      <c r="G654" s="210">
        <v>20</v>
      </c>
      <c r="H654" s="211">
        <f t="shared" si="50"/>
        <v>739.7</v>
      </c>
      <c r="I654" s="207">
        <f>IF(F654="CONCENTRADO SEMI BRILHO",G654/'De-Para'!$B$9,G654/VLOOKUP(B654,'De-Para'!A:B,2,0))</f>
        <v>15.748031496062993</v>
      </c>
      <c r="J654" s="206">
        <f t="shared" si="51"/>
        <v>582.44094488188966</v>
      </c>
      <c r="K654" s="212">
        <f t="shared" si="52"/>
        <v>2.7037988373664997E-2</v>
      </c>
      <c r="L654" s="209">
        <f>VLOOKUP(E654,'Custos Matéria Prima Embalagens'!B:G,6,0)</f>
        <v>10.37</v>
      </c>
      <c r="M654" s="209">
        <f t="shared" si="53"/>
        <v>207.39999999999998</v>
      </c>
      <c r="N654" s="209">
        <f t="shared" si="54"/>
        <v>0.36</v>
      </c>
    </row>
    <row r="655" spans="1:14" hidden="1">
      <c r="A655" s="129" t="s">
        <v>1266</v>
      </c>
      <c r="B655" s="129" t="s">
        <v>1267</v>
      </c>
      <c r="C655" s="129" t="s">
        <v>728</v>
      </c>
      <c r="D655" s="129" t="s">
        <v>686</v>
      </c>
      <c r="E655" s="129" t="s">
        <v>1221</v>
      </c>
      <c r="F655" s="129" t="s">
        <v>1222</v>
      </c>
      <c r="G655" s="210">
        <v>13</v>
      </c>
      <c r="H655" s="211">
        <f t="shared" si="50"/>
        <v>739.7</v>
      </c>
      <c r="I655" s="207">
        <f>IF(F655="CONCENTRADO SEMI BRILHO",G655/'De-Para'!$B$9,G655/VLOOKUP(B655,'De-Para'!A:B,2,0))</f>
        <v>10.236220472440944</v>
      </c>
      <c r="J655" s="206">
        <f t="shared" si="51"/>
        <v>582.44094488188966</v>
      </c>
      <c r="K655" s="212">
        <f t="shared" si="52"/>
        <v>1.7574692442882248E-2</v>
      </c>
      <c r="L655" s="209">
        <f>VLOOKUP(E655,'Custos Matéria Prima Embalagens'!B:G,6,0)</f>
        <v>7.9049999999999994</v>
      </c>
      <c r="M655" s="209">
        <f t="shared" si="53"/>
        <v>102.76499999999999</v>
      </c>
      <c r="N655" s="209">
        <f t="shared" si="54"/>
        <v>0.18</v>
      </c>
    </row>
    <row r="656" spans="1:14" hidden="1">
      <c r="A656" s="129" t="s">
        <v>1266</v>
      </c>
      <c r="B656" s="129" t="s">
        <v>1267</v>
      </c>
      <c r="C656" s="129" t="s">
        <v>728</v>
      </c>
      <c r="D656" s="129" t="s">
        <v>686</v>
      </c>
      <c r="E656" s="129" t="s">
        <v>1270</v>
      </c>
      <c r="F656" s="129" t="s">
        <v>1272</v>
      </c>
      <c r="G656" s="210">
        <v>60</v>
      </c>
      <c r="H656" s="211">
        <f t="shared" si="50"/>
        <v>739.7</v>
      </c>
      <c r="I656" s="207">
        <f>IF(F656="CONCENTRADO SEMI BRILHO",G656/'De-Para'!$B$9,G656/VLOOKUP(B656,'De-Para'!A:B,2,0))</f>
        <v>47.244094488188978</v>
      </c>
      <c r="J656" s="206">
        <f t="shared" si="51"/>
        <v>582.44094488188966</v>
      </c>
      <c r="K656" s="212">
        <f t="shared" si="52"/>
        <v>8.1113965120994988E-2</v>
      </c>
      <c r="L656" s="209">
        <f>VLOOKUP(E656,'Custos Matéria Prima Embalagens'!B:G,6,0)</f>
        <v>8.9700000000000006</v>
      </c>
      <c r="M656" s="209">
        <f t="shared" si="53"/>
        <v>538.20000000000005</v>
      </c>
      <c r="N656" s="209">
        <f t="shared" si="54"/>
        <v>0.92</v>
      </c>
    </row>
    <row r="657" spans="1:14" hidden="1">
      <c r="A657" s="129" t="s">
        <v>1266</v>
      </c>
      <c r="B657" s="129" t="s">
        <v>1267</v>
      </c>
      <c r="C657" s="129" t="s">
        <v>728</v>
      </c>
      <c r="D657" s="129" t="s">
        <v>686</v>
      </c>
      <c r="E657" s="129" t="s">
        <v>1241</v>
      </c>
      <c r="F657" s="129" t="s">
        <v>1242</v>
      </c>
      <c r="G657" s="210">
        <v>10</v>
      </c>
      <c r="H657" s="211">
        <f t="shared" si="50"/>
        <v>739.7</v>
      </c>
      <c r="I657" s="207">
        <f>IF(F657="CONCENTRADO SEMI BRILHO",G657/'De-Para'!$B$9,G657/VLOOKUP(B657,'De-Para'!A:B,2,0))</f>
        <v>7.8740157480314963</v>
      </c>
      <c r="J657" s="206">
        <f t="shared" si="51"/>
        <v>582.44094488188966</v>
      </c>
      <c r="K657" s="212">
        <f t="shared" si="52"/>
        <v>1.3518994186832499E-2</v>
      </c>
      <c r="L657" s="209">
        <f>VLOOKUP(E657,'Custos Matéria Prima Embalagens'!B:G,6,0)</f>
        <v>31.25</v>
      </c>
      <c r="M657" s="209">
        <f t="shared" si="53"/>
        <v>312.5</v>
      </c>
      <c r="N657" s="209">
        <f t="shared" si="54"/>
        <v>0.54</v>
      </c>
    </row>
    <row r="658" spans="1:14" hidden="1">
      <c r="A658" s="129" t="s">
        <v>1266</v>
      </c>
      <c r="B658" s="129" t="s">
        <v>1267</v>
      </c>
      <c r="C658" s="129" t="s">
        <v>728</v>
      </c>
      <c r="D658" s="129" t="s">
        <v>686</v>
      </c>
      <c r="E658" s="129" t="s">
        <v>1244</v>
      </c>
      <c r="F658" s="129" t="s">
        <v>1245</v>
      </c>
      <c r="G658" s="210">
        <v>1.5</v>
      </c>
      <c r="H658" s="211">
        <f t="shared" si="50"/>
        <v>739.7</v>
      </c>
      <c r="I658" s="207">
        <f>IF(F658="CONCENTRADO SEMI BRILHO",G658/'De-Para'!$B$9,G658/VLOOKUP(B658,'De-Para'!A:B,2,0))</f>
        <v>1.1811023622047243</v>
      </c>
      <c r="J658" s="206">
        <f t="shared" si="51"/>
        <v>582.44094488188966</v>
      </c>
      <c r="K658" s="212">
        <f t="shared" si="52"/>
        <v>2.027849128024875E-3</v>
      </c>
      <c r="L658" s="209">
        <f>VLOOKUP(E658,'Custos Matéria Prima Embalagens'!B:G,6,0)</f>
        <v>40.33</v>
      </c>
      <c r="M658" s="209">
        <f t="shared" si="53"/>
        <v>60.494999999999997</v>
      </c>
      <c r="N658" s="209">
        <f t="shared" si="54"/>
        <v>0.1</v>
      </c>
    </row>
    <row r="659" spans="1:14" hidden="1">
      <c r="A659" s="129" t="s">
        <v>1266</v>
      </c>
      <c r="B659" s="129" t="s">
        <v>1267</v>
      </c>
      <c r="C659" s="129" t="s">
        <v>730</v>
      </c>
      <c r="D659" s="129" t="s">
        <v>1276</v>
      </c>
      <c r="E659" s="129" t="s">
        <v>1197</v>
      </c>
      <c r="F659" s="129" t="s">
        <v>1198</v>
      </c>
      <c r="G659" s="210">
        <v>300</v>
      </c>
      <c r="H659" s="211">
        <f t="shared" si="50"/>
        <v>729.7</v>
      </c>
      <c r="I659" s="207">
        <f>IF(F659="CONCENTRADO SEMI BRILHO",G659/'De-Para'!$B$9,G659/VLOOKUP(B659,'De-Para'!A:B,2,0))</f>
        <v>236.22047244094489</v>
      </c>
      <c r="J659" s="206">
        <f t="shared" si="51"/>
        <v>574.56692913385814</v>
      </c>
      <c r="K659" s="212">
        <f t="shared" si="52"/>
        <v>0.41112786076469782</v>
      </c>
      <c r="L659" s="209">
        <f>VLOOKUP(E659,'Custos Matéria Prima Embalagens'!B:G,6,0)</f>
        <v>0</v>
      </c>
      <c r="M659" s="209">
        <f t="shared" si="53"/>
        <v>0</v>
      </c>
      <c r="N659" s="209">
        <f t="shared" si="54"/>
        <v>0</v>
      </c>
    </row>
    <row r="660" spans="1:14" hidden="1">
      <c r="A660" s="129" t="s">
        <v>1266</v>
      </c>
      <c r="B660" s="129" t="s">
        <v>1267</v>
      </c>
      <c r="C660" s="129" t="s">
        <v>730</v>
      </c>
      <c r="D660" s="129" t="s">
        <v>1276</v>
      </c>
      <c r="E660" s="129" t="s">
        <v>1199</v>
      </c>
      <c r="F660" s="129" t="s">
        <v>1200</v>
      </c>
      <c r="G660" s="210">
        <v>1.2</v>
      </c>
      <c r="H660" s="211">
        <f t="shared" si="50"/>
        <v>729.7</v>
      </c>
      <c r="I660" s="207">
        <f>IF(F660="CONCENTRADO SEMI BRILHO",G660/'De-Para'!$B$9,G660/VLOOKUP(B660,'De-Para'!A:B,2,0))</f>
        <v>0.94488188976377951</v>
      </c>
      <c r="J660" s="206">
        <f t="shared" si="51"/>
        <v>574.56692913385814</v>
      </c>
      <c r="K660" s="212">
        <f t="shared" si="52"/>
        <v>1.644511443058791E-3</v>
      </c>
      <c r="L660" s="209">
        <f>VLOOKUP(E660,'Custos Matéria Prima Embalagens'!B:G,6,0)</f>
        <v>17.939999999999998</v>
      </c>
      <c r="M660" s="209">
        <f t="shared" si="53"/>
        <v>21.527999999999995</v>
      </c>
      <c r="N660" s="209">
        <f t="shared" si="54"/>
        <v>0.04</v>
      </c>
    </row>
    <row r="661" spans="1:14" hidden="1">
      <c r="A661" s="129" t="s">
        <v>1266</v>
      </c>
      <c r="B661" s="129" t="s">
        <v>1267</v>
      </c>
      <c r="C661" s="129" t="s">
        <v>730</v>
      </c>
      <c r="D661" s="129" t="s">
        <v>1276</v>
      </c>
      <c r="E661" s="129" t="s">
        <v>1257</v>
      </c>
      <c r="F661" s="129" t="s">
        <v>1258</v>
      </c>
      <c r="G661" s="210">
        <v>2</v>
      </c>
      <c r="H661" s="211">
        <f t="shared" si="50"/>
        <v>729.7</v>
      </c>
      <c r="I661" s="207">
        <f>IF(F661="CONCENTRADO SEMI BRILHO",G661/'De-Para'!$B$9,G661/VLOOKUP(B661,'De-Para'!A:B,2,0))</f>
        <v>1.5748031496062991</v>
      </c>
      <c r="J661" s="206">
        <f t="shared" si="51"/>
        <v>574.56692913385814</v>
      </c>
      <c r="K661" s="212">
        <f t="shared" si="52"/>
        <v>2.7408524050979853E-3</v>
      </c>
      <c r="L661" s="209">
        <f>VLOOKUP(E661,'Custos Matéria Prima Embalagens'!B:G,6,0)</f>
        <v>11.7614232033819</v>
      </c>
      <c r="M661" s="209">
        <f t="shared" si="53"/>
        <v>23.522846406763801</v>
      </c>
      <c r="N661" s="209">
        <f t="shared" si="54"/>
        <v>0.04</v>
      </c>
    </row>
    <row r="662" spans="1:14" hidden="1">
      <c r="A662" s="129" t="s">
        <v>1266</v>
      </c>
      <c r="B662" s="129" t="s">
        <v>1267</v>
      </c>
      <c r="C662" s="129" t="s">
        <v>730</v>
      </c>
      <c r="D662" s="129" t="s">
        <v>1276</v>
      </c>
      <c r="E662" s="129" t="s">
        <v>1203</v>
      </c>
      <c r="F662" s="129" t="s">
        <v>1204</v>
      </c>
      <c r="G662" s="210">
        <v>2</v>
      </c>
      <c r="H662" s="211">
        <f t="shared" si="50"/>
        <v>729.7</v>
      </c>
      <c r="I662" s="207">
        <f>IF(F662="CONCENTRADO SEMI BRILHO",G662/'De-Para'!$B$9,G662/VLOOKUP(B662,'De-Para'!A:B,2,0))</f>
        <v>1.5748031496062991</v>
      </c>
      <c r="J662" s="206">
        <f t="shared" si="51"/>
        <v>574.56692913385814</v>
      </c>
      <c r="K662" s="212">
        <f t="shared" si="52"/>
        <v>2.7408524050979853E-3</v>
      </c>
      <c r="L662" s="209">
        <f>VLOOKUP(E662,'Custos Matéria Prima Embalagens'!B:G,6,0)</f>
        <v>4.9399999999999995</v>
      </c>
      <c r="M662" s="209">
        <f t="shared" si="53"/>
        <v>9.879999999999999</v>
      </c>
      <c r="N662" s="209">
        <f t="shared" si="54"/>
        <v>0.02</v>
      </c>
    </row>
    <row r="663" spans="1:14" hidden="1">
      <c r="A663" s="129" t="s">
        <v>1266</v>
      </c>
      <c r="B663" s="129" t="s">
        <v>1267</v>
      </c>
      <c r="C663" s="129" t="s">
        <v>730</v>
      </c>
      <c r="D663" s="129" t="s">
        <v>1276</v>
      </c>
      <c r="E663" s="129" t="s">
        <v>1205</v>
      </c>
      <c r="F663" s="129" t="s">
        <v>1206</v>
      </c>
      <c r="G663" s="210">
        <v>2</v>
      </c>
      <c r="H663" s="211">
        <f t="shared" si="50"/>
        <v>729.7</v>
      </c>
      <c r="I663" s="207">
        <f>IF(F663="CONCENTRADO SEMI BRILHO",G663/'De-Para'!$B$9,G663/VLOOKUP(B663,'De-Para'!A:B,2,0))</f>
        <v>1.5748031496062991</v>
      </c>
      <c r="J663" s="206">
        <f t="shared" si="51"/>
        <v>574.56692913385814</v>
      </c>
      <c r="K663" s="212">
        <f t="shared" si="52"/>
        <v>2.7408524050979853E-3</v>
      </c>
      <c r="L663" s="209">
        <f>VLOOKUP(E663,'Custos Matéria Prima Embalagens'!B:G,6,0)</f>
        <v>7.33</v>
      </c>
      <c r="M663" s="209">
        <f t="shared" si="53"/>
        <v>14.66</v>
      </c>
      <c r="N663" s="209">
        <f t="shared" si="54"/>
        <v>0.03</v>
      </c>
    </row>
    <row r="664" spans="1:14" hidden="1">
      <c r="A664" s="129" t="s">
        <v>1266</v>
      </c>
      <c r="B664" s="129" t="s">
        <v>1267</v>
      </c>
      <c r="C664" s="129" t="s">
        <v>730</v>
      </c>
      <c r="D664" s="129" t="s">
        <v>1276</v>
      </c>
      <c r="E664" s="129" t="s">
        <v>1207</v>
      </c>
      <c r="F664" s="129" t="s">
        <v>1208</v>
      </c>
      <c r="G664" s="210">
        <v>2</v>
      </c>
      <c r="H664" s="211">
        <f t="shared" si="50"/>
        <v>729.7</v>
      </c>
      <c r="I664" s="207">
        <f>IF(F664="CONCENTRADO SEMI BRILHO",G664/'De-Para'!$B$9,G664/VLOOKUP(B664,'De-Para'!A:B,2,0))</f>
        <v>1.5748031496062991</v>
      </c>
      <c r="J664" s="206">
        <f t="shared" si="51"/>
        <v>574.56692913385814</v>
      </c>
      <c r="K664" s="212">
        <f t="shared" si="52"/>
        <v>2.7408524050979853E-3</v>
      </c>
      <c r="L664" s="209">
        <f>VLOOKUP(E664,'Custos Matéria Prima Embalagens'!B:G,6,0)</f>
        <v>6.8599999999999994</v>
      </c>
      <c r="M664" s="209">
        <f t="shared" si="53"/>
        <v>13.719999999999999</v>
      </c>
      <c r="N664" s="209">
        <f t="shared" si="54"/>
        <v>0.02</v>
      </c>
    </row>
    <row r="665" spans="1:14" hidden="1">
      <c r="A665" s="129" t="s">
        <v>1266</v>
      </c>
      <c r="B665" s="129" t="s">
        <v>1267</v>
      </c>
      <c r="C665" s="129" t="s">
        <v>730</v>
      </c>
      <c r="D665" s="129" t="s">
        <v>1276</v>
      </c>
      <c r="E665" s="129" t="s">
        <v>1217</v>
      </c>
      <c r="F665" s="129" t="s">
        <v>1218</v>
      </c>
      <c r="G665" s="210">
        <v>300</v>
      </c>
      <c r="H665" s="211">
        <f t="shared" si="50"/>
        <v>729.7</v>
      </c>
      <c r="I665" s="207">
        <f>IF(F665="CONCENTRADO SEMI BRILHO",G665/'De-Para'!$B$9,G665/VLOOKUP(B665,'De-Para'!A:B,2,0))</f>
        <v>236.22047244094489</v>
      </c>
      <c r="J665" s="206">
        <f t="shared" si="51"/>
        <v>574.56692913385814</v>
      </c>
      <c r="K665" s="212">
        <f t="shared" si="52"/>
        <v>0.41112786076469782</v>
      </c>
      <c r="L665" s="209">
        <f>VLOOKUP(E665,'Custos Matéria Prima Embalagens'!B:G,6,0)</f>
        <v>8.43</v>
      </c>
      <c r="M665" s="209">
        <f t="shared" si="53"/>
        <v>2529</v>
      </c>
      <c r="N665" s="209">
        <f t="shared" si="54"/>
        <v>4.4000000000000004</v>
      </c>
    </row>
    <row r="666" spans="1:14" hidden="1">
      <c r="A666" s="129" t="s">
        <v>1266</v>
      </c>
      <c r="B666" s="129" t="s">
        <v>1267</v>
      </c>
      <c r="C666" s="129" t="s">
        <v>730</v>
      </c>
      <c r="D666" s="129" t="s">
        <v>1276</v>
      </c>
      <c r="E666" s="129" t="s">
        <v>1229</v>
      </c>
      <c r="F666" s="129" t="s">
        <v>1230</v>
      </c>
      <c r="G666" s="210">
        <v>10</v>
      </c>
      <c r="H666" s="211">
        <f t="shared" si="50"/>
        <v>729.7</v>
      </c>
      <c r="I666" s="207">
        <f>IF(F666="CONCENTRADO SEMI BRILHO",G666/'De-Para'!$B$9,G666/VLOOKUP(B666,'De-Para'!A:B,2,0))</f>
        <v>7.8740157480314963</v>
      </c>
      <c r="J666" s="206">
        <f t="shared" si="51"/>
        <v>574.56692913385814</v>
      </c>
      <c r="K666" s="212">
        <f t="shared" si="52"/>
        <v>1.3704262025489926E-2</v>
      </c>
      <c r="L666" s="209">
        <f>VLOOKUP(E666,'Custos Matéria Prima Embalagens'!B:G,6,0)</f>
        <v>19.22</v>
      </c>
      <c r="M666" s="209">
        <f t="shared" si="53"/>
        <v>192.2</v>
      </c>
      <c r="N666" s="209">
        <f t="shared" si="54"/>
        <v>0.33</v>
      </c>
    </row>
    <row r="667" spans="1:14" hidden="1">
      <c r="A667" s="129" t="s">
        <v>1266</v>
      </c>
      <c r="B667" s="129" t="s">
        <v>1267</v>
      </c>
      <c r="C667" s="129" t="s">
        <v>730</v>
      </c>
      <c r="D667" s="129" t="s">
        <v>1276</v>
      </c>
      <c r="E667" s="129" t="s">
        <v>1261</v>
      </c>
      <c r="F667" s="129" t="s">
        <v>1262</v>
      </c>
      <c r="G667" s="210">
        <v>10</v>
      </c>
      <c r="H667" s="211">
        <f t="shared" si="50"/>
        <v>729.7</v>
      </c>
      <c r="I667" s="207">
        <f>IF(F667="CONCENTRADO SEMI BRILHO",G667/'De-Para'!$B$9,G667/VLOOKUP(B667,'De-Para'!A:B,2,0))</f>
        <v>7.8740157480314963</v>
      </c>
      <c r="J667" s="206">
        <f t="shared" si="51"/>
        <v>574.56692913385814</v>
      </c>
      <c r="K667" s="212">
        <f t="shared" si="52"/>
        <v>1.3704262025489926E-2</v>
      </c>
      <c r="L667" s="209">
        <f>VLOOKUP(E667,'Custos Matéria Prima Embalagens'!B:G,6,0)</f>
        <v>31.4314232033819</v>
      </c>
      <c r="M667" s="209">
        <f t="shared" si="53"/>
        <v>314.314232033819</v>
      </c>
      <c r="N667" s="209">
        <f t="shared" si="54"/>
        <v>0.55000000000000004</v>
      </c>
    </row>
    <row r="668" spans="1:14" hidden="1">
      <c r="A668" s="129" t="s">
        <v>1266</v>
      </c>
      <c r="B668" s="129" t="s">
        <v>1267</v>
      </c>
      <c r="C668" s="129" t="s">
        <v>730</v>
      </c>
      <c r="D668" s="129" t="s">
        <v>1276</v>
      </c>
      <c r="E668" s="129" t="s">
        <v>1209</v>
      </c>
      <c r="F668" s="129" t="s">
        <v>1210</v>
      </c>
      <c r="G668" s="210">
        <v>3</v>
      </c>
      <c r="H668" s="211">
        <f t="shared" si="50"/>
        <v>729.7</v>
      </c>
      <c r="I668" s="207">
        <f>IF(F668="CONCENTRADO SEMI BRILHO",G668/'De-Para'!$B$9,G668/VLOOKUP(B668,'De-Para'!A:B,2,0))</f>
        <v>2.3622047244094486</v>
      </c>
      <c r="J668" s="206">
        <f t="shared" si="51"/>
        <v>574.56692913385814</v>
      </c>
      <c r="K668" s="212">
        <f t="shared" si="52"/>
        <v>4.1112786076469782E-3</v>
      </c>
      <c r="L668" s="209">
        <f>VLOOKUP(E668,'Custos Matéria Prima Embalagens'!B:G,6,0)</f>
        <v>7</v>
      </c>
      <c r="M668" s="209">
        <f t="shared" si="53"/>
        <v>21</v>
      </c>
      <c r="N668" s="209">
        <f t="shared" si="54"/>
        <v>0.04</v>
      </c>
    </row>
    <row r="669" spans="1:14" hidden="1">
      <c r="A669" s="129" t="s">
        <v>1266</v>
      </c>
      <c r="B669" s="129" t="s">
        <v>1267</v>
      </c>
      <c r="C669" s="129" t="s">
        <v>730</v>
      </c>
      <c r="D669" s="129" t="s">
        <v>1276</v>
      </c>
      <c r="E669" s="129" t="s">
        <v>1219</v>
      </c>
      <c r="F669" s="129" t="s">
        <v>1220</v>
      </c>
      <c r="G669" s="210">
        <v>3</v>
      </c>
      <c r="H669" s="211">
        <f t="shared" si="50"/>
        <v>729.7</v>
      </c>
      <c r="I669" s="207">
        <f>IF(F669="CONCENTRADO SEMI BRILHO",G669/'De-Para'!$B$9,G669/VLOOKUP(B669,'De-Para'!A:B,2,0))</f>
        <v>2.3622047244094486</v>
      </c>
      <c r="J669" s="206">
        <f t="shared" si="51"/>
        <v>574.56692913385814</v>
      </c>
      <c r="K669" s="212">
        <f t="shared" si="52"/>
        <v>4.1112786076469782E-3</v>
      </c>
      <c r="L669" s="209">
        <f>VLOOKUP(E669,'Custos Matéria Prima Embalagens'!B:G,6,0)</f>
        <v>4.9800000000000004</v>
      </c>
      <c r="M669" s="209">
        <f t="shared" si="53"/>
        <v>14.940000000000001</v>
      </c>
      <c r="N669" s="209">
        <f t="shared" si="54"/>
        <v>0.03</v>
      </c>
    </row>
    <row r="670" spans="1:14" hidden="1">
      <c r="A670" s="129" t="s">
        <v>1266</v>
      </c>
      <c r="B670" s="129" t="s">
        <v>1267</v>
      </c>
      <c r="C670" s="129" t="s">
        <v>730</v>
      </c>
      <c r="D670" s="129" t="s">
        <v>1276</v>
      </c>
      <c r="E670" s="129" t="s">
        <v>1268</v>
      </c>
      <c r="F670" s="129" t="s">
        <v>1269</v>
      </c>
      <c r="G670" s="210">
        <v>20</v>
      </c>
      <c r="H670" s="211">
        <f t="shared" si="50"/>
        <v>729.7</v>
      </c>
      <c r="I670" s="207">
        <f>IF(F670="CONCENTRADO SEMI BRILHO",G670/'De-Para'!$B$9,G670/VLOOKUP(B670,'De-Para'!A:B,2,0))</f>
        <v>15.748031496062993</v>
      </c>
      <c r="J670" s="206">
        <f t="shared" si="51"/>
        <v>574.56692913385814</v>
      </c>
      <c r="K670" s="212">
        <f t="shared" si="52"/>
        <v>2.7408524050979852E-2</v>
      </c>
      <c r="L670" s="209">
        <f>VLOOKUP(E670,'Custos Matéria Prima Embalagens'!B:G,6,0)</f>
        <v>10.37</v>
      </c>
      <c r="M670" s="209">
        <f t="shared" si="53"/>
        <v>207.39999999999998</v>
      </c>
      <c r="N670" s="209">
        <f t="shared" si="54"/>
        <v>0.36</v>
      </c>
    </row>
    <row r="671" spans="1:14" hidden="1">
      <c r="A671" s="129" t="s">
        <v>1266</v>
      </c>
      <c r="B671" s="129" t="s">
        <v>1267</v>
      </c>
      <c r="C671" s="129" t="s">
        <v>730</v>
      </c>
      <c r="D671" s="129" t="s">
        <v>1276</v>
      </c>
      <c r="E671" s="129" t="s">
        <v>1221</v>
      </c>
      <c r="F671" s="129" t="s">
        <v>1222</v>
      </c>
      <c r="G671" s="210">
        <v>13</v>
      </c>
      <c r="H671" s="211">
        <f t="shared" si="50"/>
        <v>729.7</v>
      </c>
      <c r="I671" s="207">
        <f>IF(F671="CONCENTRADO SEMI BRILHO",G671/'De-Para'!$B$9,G671/VLOOKUP(B671,'De-Para'!A:B,2,0))</f>
        <v>10.236220472440944</v>
      </c>
      <c r="J671" s="206">
        <f t="shared" si="51"/>
        <v>574.56692913385814</v>
      </c>
      <c r="K671" s="212">
        <f t="shared" si="52"/>
        <v>1.7815540633136905E-2</v>
      </c>
      <c r="L671" s="209">
        <f>VLOOKUP(E671,'Custos Matéria Prima Embalagens'!B:G,6,0)</f>
        <v>7.9049999999999994</v>
      </c>
      <c r="M671" s="209">
        <f t="shared" si="53"/>
        <v>102.76499999999999</v>
      </c>
      <c r="N671" s="209">
        <f t="shared" si="54"/>
        <v>0.18</v>
      </c>
    </row>
    <row r="672" spans="1:14" hidden="1">
      <c r="A672" s="129" t="s">
        <v>1266</v>
      </c>
      <c r="B672" s="129" t="s">
        <v>1267</v>
      </c>
      <c r="C672" s="129" t="s">
        <v>730</v>
      </c>
      <c r="D672" s="129" t="s">
        <v>1276</v>
      </c>
      <c r="E672" s="129" t="s">
        <v>1270</v>
      </c>
      <c r="F672" s="129" t="s">
        <v>1272</v>
      </c>
      <c r="G672" s="210">
        <v>60</v>
      </c>
      <c r="H672" s="211">
        <f t="shared" si="50"/>
        <v>729.7</v>
      </c>
      <c r="I672" s="207">
        <f>IF(F672="CONCENTRADO SEMI BRILHO",G672/'De-Para'!$B$9,G672/VLOOKUP(B672,'De-Para'!A:B,2,0))</f>
        <v>47.244094488188978</v>
      </c>
      <c r="J672" s="206">
        <f t="shared" si="51"/>
        <v>574.56692913385814</v>
      </c>
      <c r="K672" s="212">
        <f t="shared" si="52"/>
        <v>8.2225572152939561E-2</v>
      </c>
      <c r="L672" s="209">
        <f>VLOOKUP(E672,'Custos Matéria Prima Embalagens'!B:G,6,0)</f>
        <v>8.9700000000000006</v>
      </c>
      <c r="M672" s="209">
        <f t="shared" si="53"/>
        <v>538.20000000000005</v>
      </c>
      <c r="N672" s="209">
        <f t="shared" si="54"/>
        <v>0.94</v>
      </c>
    </row>
    <row r="673" spans="1:14" hidden="1">
      <c r="A673" s="129" t="s">
        <v>1266</v>
      </c>
      <c r="B673" s="129" t="s">
        <v>1267</v>
      </c>
      <c r="C673" s="129" t="s">
        <v>730</v>
      </c>
      <c r="D673" s="129" t="s">
        <v>1276</v>
      </c>
      <c r="E673" s="129" t="s">
        <v>1244</v>
      </c>
      <c r="F673" s="129" t="s">
        <v>1245</v>
      </c>
      <c r="G673" s="210">
        <v>1.5</v>
      </c>
      <c r="H673" s="211">
        <f t="shared" si="50"/>
        <v>729.7</v>
      </c>
      <c r="I673" s="207">
        <f>IF(F673="CONCENTRADO SEMI BRILHO",G673/'De-Para'!$B$9,G673/VLOOKUP(B673,'De-Para'!A:B,2,0))</f>
        <v>1.1811023622047243</v>
      </c>
      <c r="J673" s="206">
        <f t="shared" si="51"/>
        <v>574.56692913385814</v>
      </c>
      <c r="K673" s="212">
        <f t="shared" si="52"/>
        <v>2.0556393038234891E-3</v>
      </c>
      <c r="L673" s="209">
        <f>VLOOKUP(E673,'Custos Matéria Prima Embalagens'!B:G,6,0)</f>
        <v>40.33</v>
      </c>
      <c r="M673" s="209">
        <f t="shared" si="53"/>
        <v>60.494999999999997</v>
      </c>
      <c r="N673" s="209">
        <f t="shared" si="54"/>
        <v>0.11</v>
      </c>
    </row>
    <row r="674" spans="1:14" hidden="1">
      <c r="A674" s="129" t="s">
        <v>1266</v>
      </c>
      <c r="B674" s="129" t="s">
        <v>1267</v>
      </c>
      <c r="C674" s="129" t="s">
        <v>732</v>
      </c>
      <c r="D674" s="129" t="s">
        <v>692</v>
      </c>
      <c r="E674" s="129" t="s">
        <v>1197</v>
      </c>
      <c r="F674" s="129" t="s">
        <v>1198</v>
      </c>
      <c r="G674" s="210">
        <v>300</v>
      </c>
      <c r="H674" s="211">
        <f t="shared" si="50"/>
        <v>778.2</v>
      </c>
      <c r="I674" s="207">
        <f>IF(F674="CONCENTRADO SEMI BRILHO",G674/'De-Para'!$B$9,G674/VLOOKUP(B674,'De-Para'!A:B,2,0))</f>
        <v>236.22047244094489</v>
      </c>
      <c r="J674" s="206">
        <f t="shared" si="51"/>
        <v>612.75590551181131</v>
      </c>
      <c r="K674" s="212">
        <f t="shared" si="52"/>
        <v>0.38550501156515032</v>
      </c>
      <c r="L674" s="209">
        <f>VLOOKUP(E674,'Custos Matéria Prima Embalagens'!B:G,6,0)</f>
        <v>0</v>
      </c>
      <c r="M674" s="209">
        <f t="shared" si="53"/>
        <v>0</v>
      </c>
      <c r="N674" s="209">
        <f t="shared" si="54"/>
        <v>0</v>
      </c>
    </row>
    <row r="675" spans="1:14" hidden="1">
      <c r="A675" s="129" t="s">
        <v>1266</v>
      </c>
      <c r="B675" s="129" t="s">
        <v>1267</v>
      </c>
      <c r="C675" s="129" t="s">
        <v>732</v>
      </c>
      <c r="D675" s="129" t="s">
        <v>692</v>
      </c>
      <c r="E675" s="129" t="s">
        <v>1199</v>
      </c>
      <c r="F675" s="129" t="s">
        <v>1200</v>
      </c>
      <c r="G675" s="210">
        <v>1.2</v>
      </c>
      <c r="H675" s="211">
        <f t="shared" si="50"/>
        <v>778.2</v>
      </c>
      <c r="I675" s="207">
        <f>IF(F675="CONCENTRADO SEMI BRILHO",G675/'De-Para'!$B$9,G675/VLOOKUP(B675,'De-Para'!A:B,2,0))</f>
        <v>0.94488188976377951</v>
      </c>
      <c r="J675" s="206">
        <f t="shared" si="51"/>
        <v>612.75590551181131</v>
      </c>
      <c r="K675" s="212">
        <f t="shared" si="52"/>
        <v>1.5420200462606013E-3</v>
      </c>
      <c r="L675" s="209">
        <f>VLOOKUP(E675,'Custos Matéria Prima Embalagens'!B:G,6,0)</f>
        <v>17.939999999999998</v>
      </c>
      <c r="M675" s="209">
        <f t="shared" si="53"/>
        <v>21.527999999999995</v>
      </c>
      <c r="N675" s="209">
        <f t="shared" si="54"/>
        <v>0.04</v>
      </c>
    </row>
    <row r="676" spans="1:14" hidden="1">
      <c r="A676" s="129" t="s">
        <v>1266</v>
      </c>
      <c r="B676" s="129" t="s">
        <v>1267</v>
      </c>
      <c r="C676" s="129" t="s">
        <v>732</v>
      </c>
      <c r="D676" s="129" t="s">
        <v>692</v>
      </c>
      <c r="E676" s="129" t="s">
        <v>1257</v>
      </c>
      <c r="F676" s="129" t="s">
        <v>1258</v>
      </c>
      <c r="G676" s="210">
        <v>2</v>
      </c>
      <c r="H676" s="211">
        <f t="shared" si="50"/>
        <v>778.2</v>
      </c>
      <c r="I676" s="207">
        <f>IF(F676="CONCENTRADO SEMI BRILHO",G676/'De-Para'!$B$9,G676/VLOOKUP(B676,'De-Para'!A:B,2,0))</f>
        <v>1.5748031496062991</v>
      </c>
      <c r="J676" s="206">
        <f t="shared" si="51"/>
        <v>612.75590551181131</v>
      </c>
      <c r="K676" s="212">
        <f t="shared" si="52"/>
        <v>2.5700334104343356E-3</v>
      </c>
      <c r="L676" s="209">
        <f>VLOOKUP(E676,'Custos Matéria Prima Embalagens'!B:G,6,0)</f>
        <v>11.7614232033819</v>
      </c>
      <c r="M676" s="209">
        <f t="shared" si="53"/>
        <v>23.522846406763801</v>
      </c>
      <c r="N676" s="209">
        <f t="shared" si="54"/>
        <v>0.04</v>
      </c>
    </row>
    <row r="677" spans="1:14" hidden="1">
      <c r="A677" s="129" t="s">
        <v>1266</v>
      </c>
      <c r="B677" s="129" t="s">
        <v>1267</v>
      </c>
      <c r="C677" s="129" t="s">
        <v>732</v>
      </c>
      <c r="D677" s="129" t="s">
        <v>692</v>
      </c>
      <c r="E677" s="129" t="s">
        <v>1203</v>
      </c>
      <c r="F677" s="129" t="s">
        <v>1204</v>
      </c>
      <c r="G677" s="210">
        <v>2</v>
      </c>
      <c r="H677" s="211">
        <f t="shared" si="50"/>
        <v>778.2</v>
      </c>
      <c r="I677" s="207">
        <f>IF(F677="CONCENTRADO SEMI BRILHO",G677/'De-Para'!$B$9,G677/VLOOKUP(B677,'De-Para'!A:B,2,0))</f>
        <v>1.5748031496062991</v>
      </c>
      <c r="J677" s="206">
        <f t="shared" si="51"/>
        <v>612.75590551181131</v>
      </c>
      <c r="K677" s="212">
        <f t="shared" si="52"/>
        <v>2.5700334104343356E-3</v>
      </c>
      <c r="L677" s="209">
        <f>VLOOKUP(E677,'Custos Matéria Prima Embalagens'!B:G,6,0)</f>
        <v>4.9399999999999995</v>
      </c>
      <c r="M677" s="209">
        <f t="shared" si="53"/>
        <v>9.879999999999999</v>
      </c>
      <c r="N677" s="209">
        <f t="shared" si="54"/>
        <v>0.02</v>
      </c>
    </row>
    <row r="678" spans="1:14" hidden="1">
      <c r="A678" s="129" t="s">
        <v>1266</v>
      </c>
      <c r="B678" s="129" t="s">
        <v>1267</v>
      </c>
      <c r="C678" s="129" t="s">
        <v>732</v>
      </c>
      <c r="D678" s="129" t="s">
        <v>692</v>
      </c>
      <c r="E678" s="129" t="s">
        <v>1205</v>
      </c>
      <c r="F678" s="129" t="s">
        <v>1206</v>
      </c>
      <c r="G678" s="210">
        <v>2</v>
      </c>
      <c r="H678" s="211">
        <f t="shared" si="50"/>
        <v>778.2</v>
      </c>
      <c r="I678" s="207">
        <f>IF(F678="CONCENTRADO SEMI BRILHO",G678/'De-Para'!$B$9,G678/VLOOKUP(B678,'De-Para'!A:B,2,0))</f>
        <v>1.5748031496062991</v>
      </c>
      <c r="J678" s="206">
        <f t="shared" si="51"/>
        <v>612.75590551181131</v>
      </c>
      <c r="K678" s="212">
        <f t="shared" si="52"/>
        <v>2.5700334104343356E-3</v>
      </c>
      <c r="L678" s="209">
        <f>VLOOKUP(E678,'Custos Matéria Prima Embalagens'!B:G,6,0)</f>
        <v>7.33</v>
      </c>
      <c r="M678" s="209">
        <f t="shared" si="53"/>
        <v>14.66</v>
      </c>
      <c r="N678" s="209">
        <f t="shared" si="54"/>
        <v>0.02</v>
      </c>
    </row>
    <row r="679" spans="1:14" hidden="1">
      <c r="A679" s="129" t="s">
        <v>1266</v>
      </c>
      <c r="B679" s="129" t="s">
        <v>1267</v>
      </c>
      <c r="C679" s="129" t="s">
        <v>732</v>
      </c>
      <c r="D679" s="129" t="s">
        <v>692</v>
      </c>
      <c r="E679" s="129" t="s">
        <v>1207</v>
      </c>
      <c r="F679" s="129" t="s">
        <v>1208</v>
      </c>
      <c r="G679" s="210">
        <v>2</v>
      </c>
      <c r="H679" s="211">
        <f t="shared" si="50"/>
        <v>778.2</v>
      </c>
      <c r="I679" s="207">
        <f>IF(F679="CONCENTRADO SEMI BRILHO",G679/'De-Para'!$B$9,G679/VLOOKUP(B679,'De-Para'!A:B,2,0))</f>
        <v>1.5748031496062991</v>
      </c>
      <c r="J679" s="206">
        <f t="shared" si="51"/>
        <v>612.75590551181131</v>
      </c>
      <c r="K679" s="212">
        <f t="shared" si="52"/>
        <v>2.5700334104343356E-3</v>
      </c>
      <c r="L679" s="209">
        <f>VLOOKUP(E679,'Custos Matéria Prima Embalagens'!B:G,6,0)</f>
        <v>6.8599999999999994</v>
      </c>
      <c r="M679" s="209">
        <f t="shared" si="53"/>
        <v>13.719999999999999</v>
      </c>
      <c r="N679" s="209">
        <f t="shared" si="54"/>
        <v>0.02</v>
      </c>
    </row>
    <row r="680" spans="1:14" hidden="1">
      <c r="A680" s="129" t="s">
        <v>1266</v>
      </c>
      <c r="B680" s="129" t="s">
        <v>1267</v>
      </c>
      <c r="C680" s="129" t="s">
        <v>732</v>
      </c>
      <c r="D680" s="129" t="s">
        <v>692</v>
      </c>
      <c r="E680" s="129" t="s">
        <v>1217</v>
      </c>
      <c r="F680" s="129" t="s">
        <v>1218</v>
      </c>
      <c r="G680" s="210">
        <v>300</v>
      </c>
      <c r="H680" s="211">
        <f t="shared" si="50"/>
        <v>778.2</v>
      </c>
      <c r="I680" s="207">
        <f>IF(F680="CONCENTRADO SEMI BRILHO",G680/'De-Para'!$B$9,G680/VLOOKUP(B680,'De-Para'!A:B,2,0))</f>
        <v>236.22047244094489</v>
      </c>
      <c r="J680" s="206">
        <f t="shared" si="51"/>
        <v>612.75590551181131</v>
      </c>
      <c r="K680" s="212">
        <f t="shared" si="52"/>
        <v>0.38550501156515032</v>
      </c>
      <c r="L680" s="209">
        <f>VLOOKUP(E680,'Custos Matéria Prima Embalagens'!B:G,6,0)</f>
        <v>8.43</v>
      </c>
      <c r="M680" s="209">
        <f t="shared" si="53"/>
        <v>2529</v>
      </c>
      <c r="N680" s="209">
        <f t="shared" si="54"/>
        <v>4.13</v>
      </c>
    </row>
    <row r="681" spans="1:14" hidden="1">
      <c r="A681" s="129" t="s">
        <v>1266</v>
      </c>
      <c r="B681" s="129" t="s">
        <v>1267</v>
      </c>
      <c r="C681" s="129" t="s">
        <v>732</v>
      </c>
      <c r="D681" s="129" t="s">
        <v>692</v>
      </c>
      <c r="E681" s="129" t="s">
        <v>1229</v>
      </c>
      <c r="F681" s="129" t="s">
        <v>1230</v>
      </c>
      <c r="G681" s="210">
        <v>10</v>
      </c>
      <c r="H681" s="211">
        <f t="shared" si="50"/>
        <v>778.2</v>
      </c>
      <c r="I681" s="207">
        <f>IF(F681="CONCENTRADO SEMI BRILHO",G681/'De-Para'!$B$9,G681/VLOOKUP(B681,'De-Para'!A:B,2,0))</f>
        <v>7.8740157480314963</v>
      </c>
      <c r="J681" s="206">
        <f t="shared" si="51"/>
        <v>612.75590551181131</v>
      </c>
      <c r="K681" s="212">
        <f t="shared" si="52"/>
        <v>1.2850167052171678E-2</v>
      </c>
      <c r="L681" s="209">
        <f>VLOOKUP(E681,'Custos Matéria Prima Embalagens'!B:G,6,0)</f>
        <v>19.22</v>
      </c>
      <c r="M681" s="209">
        <f t="shared" si="53"/>
        <v>192.2</v>
      </c>
      <c r="N681" s="209">
        <f t="shared" si="54"/>
        <v>0.31</v>
      </c>
    </row>
    <row r="682" spans="1:14" hidden="1">
      <c r="A682" s="129" t="s">
        <v>1266</v>
      </c>
      <c r="B682" s="129" t="s">
        <v>1267</v>
      </c>
      <c r="C682" s="129" t="s">
        <v>732</v>
      </c>
      <c r="D682" s="129" t="s">
        <v>692</v>
      </c>
      <c r="E682" s="129" t="s">
        <v>1261</v>
      </c>
      <c r="F682" s="129" t="s">
        <v>1262</v>
      </c>
      <c r="G682" s="210">
        <v>10</v>
      </c>
      <c r="H682" s="211">
        <f t="shared" si="50"/>
        <v>778.2</v>
      </c>
      <c r="I682" s="207">
        <f>IF(F682="CONCENTRADO SEMI BRILHO",G682/'De-Para'!$B$9,G682/VLOOKUP(B682,'De-Para'!A:B,2,0))</f>
        <v>7.8740157480314963</v>
      </c>
      <c r="J682" s="206">
        <f t="shared" si="51"/>
        <v>612.75590551181131</v>
      </c>
      <c r="K682" s="212">
        <f t="shared" si="52"/>
        <v>1.2850167052171678E-2</v>
      </c>
      <c r="L682" s="209">
        <f>VLOOKUP(E682,'Custos Matéria Prima Embalagens'!B:G,6,0)</f>
        <v>31.4314232033819</v>
      </c>
      <c r="M682" s="209">
        <f t="shared" si="53"/>
        <v>314.314232033819</v>
      </c>
      <c r="N682" s="209">
        <f t="shared" si="54"/>
        <v>0.51</v>
      </c>
    </row>
    <row r="683" spans="1:14" hidden="1">
      <c r="A683" s="129" t="s">
        <v>1266</v>
      </c>
      <c r="B683" s="129" t="s">
        <v>1267</v>
      </c>
      <c r="C683" s="129" t="s">
        <v>732</v>
      </c>
      <c r="D683" s="129" t="s">
        <v>692</v>
      </c>
      <c r="E683" s="129" t="s">
        <v>1209</v>
      </c>
      <c r="F683" s="129" t="s">
        <v>1210</v>
      </c>
      <c r="G683" s="210">
        <v>3</v>
      </c>
      <c r="H683" s="211">
        <f t="shared" si="50"/>
        <v>778.2</v>
      </c>
      <c r="I683" s="207">
        <f>IF(F683="CONCENTRADO SEMI BRILHO",G683/'De-Para'!$B$9,G683/VLOOKUP(B683,'De-Para'!A:B,2,0))</f>
        <v>2.3622047244094486</v>
      </c>
      <c r="J683" s="206">
        <f t="shared" si="51"/>
        <v>612.75590551181131</v>
      </c>
      <c r="K683" s="212">
        <f t="shared" si="52"/>
        <v>3.8550501156515032E-3</v>
      </c>
      <c r="L683" s="209">
        <f>VLOOKUP(E683,'Custos Matéria Prima Embalagens'!B:G,6,0)</f>
        <v>7</v>
      </c>
      <c r="M683" s="209">
        <f t="shared" si="53"/>
        <v>21</v>
      </c>
      <c r="N683" s="209">
        <f t="shared" si="54"/>
        <v>0.03</v>
      </c>
    </row>
    <row r="684" spans="1:14" hidden="1">
      <c r="A684" s="129" t="s">
        <v>1266</v>
      </c>
      <c r="B684" s="129" t="s">
        <v>1267</v>
      </c>
      <c r="C684" s="129" t="s">
        <v>732</v>
      </c>
      <c r="D684" s="129" t="s">
        <v>692</v>
      </c>
      <c r="E684" s="129" t="s">
        <v>1219</v>
      </c>
      <c r="F684" s="129" t="s">
        <v>1220</v>
      </c>
      <c r="G684" s="210">
        <v>11</v>
      </c>
      <c r="H684" s="211">
        <f t="shared" si="50"/>
        <v>778.2</v>
      </c>
      <c r="I684" s="207">
        <f>IF(F684="CONCENTRADO SEMI BRILHO",G684/'De-Para'!$B$9,G684/VLOOKUP(B684,'De-Para'!A:B,2,0))</f>
        <v>8.6614173228346463</v>
      </c>
      <c r="J684" s="206">
        <f t="shared" si="51"/>
        <v>612.75590551181131</v>
      </c>
      <c r="K684" s="212">
        <f t="shared" si="52"/>
        <v>1.4135183757388845E-2</v>
      </c>
      <c r="L684" s="209">
        <f>VLOOKUP(E684,'Custos Matéria Prima Embalagens'!B:G,6,0)</f>
        <v>4.9800000000000004</v>
      </c>
      <c r="M684" s="209">
        <f t="shared" si="53"/>
        <v>54.78</v>
      </c>
      <c r="N684" s="209">
        <f t="shared" si="54"/>
        <v>0.09</v>
      </c>
    </row>
    <row r="685" spans="1:14" hidden="1">
      <c r="A685" s="129" t="s">
        <v>1266</v>
      </c>
      <c r="B685" s="129" t="s">
        <v>1267</v>
      </c>
      <c r="C685" s="129" t="s">
        <v>732</v>
      </c>
      <c r="D685" s="129" t="s">
        <v>692</v>
      </c>
      <c r="E685" s="129" t="s">
        <v>1268</v>
      </c>
      <c r="F685" s="129" t="s">
        <v>1269</v>
      </c>
      <c r="G685" s="210">
        <v>20</v>
      </c>
      <c r="H685" s="211">
        <f t="shared" si="50"/>
        <v>778.2</v>
      </c>
      <c r="I685" s="207">
        <f>IF(F685="CONCENTRADO SEMI BRILHO",G685/'De-Para'!$B$9,G685/VLOOKUP(B685,'De-Para'!A:B,2,0))</f>
        <v>15.748031496062993</v>
      </c>
      <c r="J685" s="206">
        <f t="shared" si="51"/>
        <v>612.75590551181131</v>
      </c>
      <c r="K685" s="212">
        <f t="shared" si="52"/>
        <v>2.5700334104343355E-2</v>
      </c>
      <c r="L685" s="209">
        <f>VLOOKUP(E685,'Custos Matéria Prima Embalagens'!B:G,6,0)</f>
        <v>10.37</v>
      </c>
      <c r="M685" s="209">
        <f t="shared" si="53"/>
        <v>207.39999999999998</v>
      </c>
      <c r="N685" s="209">
        <f t="shared" si="54"/>
        <v>0.34</v>
      </c>
    </row>
    <row r="686" spans="1:14" hidden="1">
      <c r="A686" s="129" t="s">
        <v>1266</v>
      </c>
      <c r="B686" s="129" t="s">
        <v>1267</v>
      </c>
      <c r="C686" s="129" t="s">
        <v>732</v>
      </c>
      <c r="D686" s="129" t="s">
        <v>692</v>
      </c>
      <c r="E686" s="129" t="s">
        <v>1221</v>
      </c>
      <c r="F686" s="129" t="s">
        <v>1222</v>
      </c>
      <c r="G686" s="210">
        <v>17</v>
      </c>
      <c r="H686" s="211">
        <f t="shared" si="50"/>
        <v>778.2</v>
      </c>
      <c r="I686" s="207">
        <f>IF(F686="CONCENTRADO SEMI BRILHO",G686/'De-Para'!$B$9,G686/VLOOKUP(B686,'De-Para'!A:B,2,0))</f>
        <v>13.385826771653543</v>
      </c>
      <c r="J686" s="206">
        <f t="shared" si="51"/>
        <v>612.75590551181131</v>
      </c>
      <c r="K686" s="212">
        <f t="shared" si="52"/>
        <v>2.1845283988691851E-2</v>
      </c>
      <c r="L686" s="209">
        <f>VLOOKUP(E686,'Custos Matéria Prima Embalagens'!B:G,6,0)</f>
        <v>7.9049999999999994</v>
      </c>
      <c r="M686" s="209">
        <f t="shared" si="53"/>
        <v>134.38499999999999</v>
      </c>
      <c r="N686" s="209">
        <f t="shared" si="54"/>
        <v>0.22</v>
      </c>
    </row>
    <row r="687" spans="1:14" hidden="1">
      <c r="A687" s="129" t="s">
        <v>1266</v>
      </c>
      <c r="B687" s="129" t="s">
        <v>1267</v>
      </c>
      <c r="C687" s="129" t="s">
        <v>732</v>
      </c>
      <c r="D687" s="129" t="s">
        <v>692</v>
      </c>
      <c r="E687" s="129" t="s">
        <v>1270</v>
      </c>
      <c r="F687" s="129" t="s">
        <v>1272</v>
      </c>
      <c r="G687" s="210">
        <v>60</v>
      </c>
      <c r="H687" s="211">
        <f t="shared" si="50"/>
        <v>778.2</v>
      </c>
      <c r="I687" s="207">
        <f>IF(F687="CONCENTRADO SEMI BRILHO",G687/'De-Para'!$B$9,G687/VLOOKUP(B687,'De-Para'!A:B,2,0))</f>
        <v>47.244094488188978</v>
      </c>
      <c r="J687" s="206">
        <f t="shared" si="51"/>
        <v>612.75590551181131</v>
      </c>
      <c r="K687" s="212">
        <f t="shared" si="52"/>
        <v>7.7101002313030062E-2</v>
      </c>
      <c r="L687" s="209">
        <f>VLOOKUP(E687,'Custos Matéria Prima Embalagens'!B:G,6,0)</f>
        <v>8.9700000000000006</v>
      </c>
      <c r="M687" s="209">
        <f t="shared" si="53"/>
        <v>538.20000000000005</v>
      </c>
      <c r="N687" s="209">
        <f t="shared" si="54"/>
        <v>0.88</v>
      </c>
    </row>
    <row r="688" spans="1:14" hidden="1">
      <c r="A688" s="129" t="s">
        <v>1266</v>
      </c>
      <c r="B688" s="129" t="s">
        <v>1267</v>
      </c>
      <c r="C688" s="129" t="s">
        <v>732</v>
      </c>
      <c r="D688" s="129" t="s">
        <v>692</v>
      </c>
      <c r="E688" s="129" t="s">
        <v>1244</v>
      </c>
      <c r="F688" s="129" t="s">
        <v>1245</v>
      </c>
      <c r="G688" s="210">
        <v>28</v>
      </c>
      <c r="H688" s="211">
        <f t="shared" si="50"/>
        <v>778.2</v>
      </c>
      <c r="I688" s="207">
        <f>IF(F688="CONCENTRADO SEMI BRILHO",G688/'De-Para'!$B$9,G688/VLOOKUP(B688,'De-Para'!A:B,2,0))</f>
        <v>22.047244094488189</v>
      </c>
      <c r="J688" s="206">
        <f t="shared" si="51"/>
        <v>612.75590551181131</v>
      </c>
      <c r="K688" s="212">
        <f t="shared" si="52"/>
        <v>3.5980467746080699E-2</v>
      </c>
      <c r="L688" s="209">
        <f>VLOOKUP(E688,'Custos Matéria Prima Embalagens'!B:G,6,0)</f>
        <v>40.33</v>
      </c>
      <c r="M688" s="209">
        <f t="shared" si="53"/>
        <v>1129.24</v>
      </c>
      <c r="N688" s="209">
        <f t="shared" si="54"/>
        <v>1.84</v>
      </c>
    </row>
    <row r="689" spans="1:14" hidden="1">
      <c r="A689" s="129" t="s">
        <v>1266</v>
      </c>
      <c r="B689" s="129" t="s">
        <v>1267</v>
      </c>
      <c r="C689" s="129" t="s">
        <v>732</v>
      </c>
      <c r="D689" s="129" t="s">
        <v>692</v>
      </c>
      <c r="E689" s="129" t="s">
        <v>1233</v>
      </c>
      <c r="F689" s="129" t="s">
        <v>1234</v>
      </c>
      <c r="G689" s="210">
        <v>10</v>
      </c>
      <c r="H689" s="211">
        <f t="shared" si="50"/>
        <v>778.2</v>
      </c>
      <c r="I689" s="207">
        <f>IF(F689="CONCENTRADO SEMI BRILHO",G689/'De-Para'!$B$9,G689/VLOOKUP(B689,'De-Para'!A:B,2,0))</f>
        <v>7.8740157480314963</v>
      </c>
      <c r="J689" s="206">
        <f t="shared" si="51"/>
        <v>612.75590551181131</v>
      </c>
      <c r="K689" s="212">
        <f t="shared" si="52"/>
        <v>1.2850167052171678E-2</v>
      </c>
      <c r="L689" s="209">
        <f>VLOOKUP(E689,'Custos Matéria Prima Embalagens'!B:G,6,0)</f>
        <v>31.93</v>
      </c>
      <c r="M689" s="209">
        <f t="shared" si="53"/>
        <v>319.3</v>
      </c>
      <c r="N689" s="209">
        <f t="shared" si="54"/>
        <v>0.52</v>
      </c>
    </row>
    <row r="690" spans="1:14" hidden="1">
      <c r="A690" s="129" t="s">
        <v>1266</v>
      </c>
      <c r="B690" s="129" t="s">
        <v>1267</v>
      </c>
      <c r="C690" s="129" t="s">
        <v>734</v>
      </c>
      <c r="D690" s="129" t="s">
        <v>695</v>
      </c>
      <c r="E690" s="129" t="s">
        <v>1197</v>
      </c>
      <c r="F690" s="129" t="s">
        <v>1198</v>
      </c>
      <c r="G690" s="210">
        <v>300</v>
      </c>
      <c r="H690" s="211">
        <f t="shared" si="50"/>
        <v>752.2</v>
      </c>
      <c r="I690" s="207">
        <f>IF(F690="CONCENTRADO SEMI BRILHO",G690/'De-Para'!$B$9,G690/VLOOKUP(B690,'De-Para'!A:B,2,0))</f>
        <v>236.22047244094489</v>
      </c>
      <c r="J690" s="206">
        <f t="shared" si="51"/>
        <v>592.28346456692941</v>
      </c>
      <c r="K690" s="212">
        <f t="shared" si="52"/>
        <v>0.39883009837809091</v>
      </c>
      <c r="L690" s="209">
        <f>VLOOKUP(E690,'Custos Matéria Prima Embalagens'!B:G,6,0)</f>
        <v>0</v>
      </c>
      <c r="M690" s="209">
        <f t="shared" si="53"/>
        <v>0</v>
      </c>
      <c r="N690" s="209">
        <f t="shared" si="54"/>
        <v>0</v>
      </c>
    </row>
    <row r="691" spans="1:14" hidden="1">
      <c r="A691" s="129" t="s">
        <v>1266</v>
      </c>
      <c r="B691" s="129" t="s">
        <v>1267</v>
      </c>
      <c r="C691" s="129" t="s">
        <v>734</v>
      </c>
      <c r="D691" s="129" t="s">
        <v>695</v>
      </c>
      <c r="E691" s="129" t="s">
        <v>1199</v>
      </c>
      <c r="F691" s="129" t="s">
        <v>1200</v>
      </c>
      <c r="G691" s="210">
        <v>1.2</v>
      </c>
      <c r="H691" s="211">
        <f t="shared" si="50"/>
        <v>752.2</v>
      </c>
      <c r="I691" s="207">
        <f>IF(F691="CONCENTRADO SEMI BRILHO",G691/'De-Para'!$B$9,G691/VLOOKUP(B691,'De-Para'!A:B,2,0))</f>
        <v>0.94488188976377951</v>
      </c>
      <c r="J691" s="206">
        <f t="shared" si="51"/>
        <v>592.28346456692941</v>
      </c>
      <c r="K691" s="212">
        <f t="shared" si="52"/>
        <v>1.5953203935123637E-3</v>
      </c>
      <c r="L691" s="209">
        <f>VLOOKUP(E691,'Custos Matéria Prima Embalagens'!B:G,6,0)</f>
        <v>17.939999999999998</v>
      </c>
      <c r="M691" s="209">
        <f t="shared" si="53"/>
        <v>21.527999999999995</v>
      </c>
      <c r="N691" s="209">
        <f t="shared" si="54"/>
        <v>0.04</v>
      </c>
    </row>
    <row r="692" spans="1:14" hidden="1">
      <c r="A692" s="129" t="s">
        <v>1266</v>
      </c>
      <c r="B692" s="129" t="s">
        <v>1267</v>
      </c>
      <c r="C692" s="129" t="s">
        <v>734</v>
      </c>
      <c r="D692" s="129" t="s">
        <v>695</v>
      </c>
      <c r="E692" s="129" t="s">
        <v>1257</v>
      </c>
      <c r="F692" s="129" t="s">
        <v>1258</v>
      </c>
      <c r="G692" s="210">
        <v>2</v>
      </c>
      <c r="H692" s="211">
        <f t="shared" si="50"/>
        <v>752.2</v>
      </c>
      <c r="I692" s="207">
        <f>IF(F692="CONCENTRADO SEMI BRILHO",G692/'De-Para'!$B$9,G692/VLOOKUP(B692,'De-Para'!A:B,2,0))</f>
        <v>1.5748031496062991</v>
      </c>
      <c r="J692" s="206">
        <f t="shared" si="51"/>
        <v>592.28346456692941</v>
      </c>
      <c r="K692" s="212">
        <f t="shared" si="52"/>
        <v>2.6588673225206062E-3</v>
      </c>
      <c r="L692" s="209">
        <f>VLOOKUP(E692,'Custos Matéria Prima Embalagens'!B:G,6,0)</f>
        <v>11.7614232033819</v>
      </c>
      <c r="M692" s="209">
        <f t="shared" si="53"/>
        <v>23.522846406763801</v>
      </c>
      <c r="N692" s="209">
        <f t="shared" si="54"/>
        <v>0.04</v>
      </c>
    </row>
    <row r="693" spans="1:14" hidden="1">
      <c r="A693" s="129" t="s">
        <v>1266</v>
      </c>
      <c r="B693" s="129" t="s">
        <v>1267</v>
      </c>
      <c r="C693" s="129" t="s">
        <v>734</v>
      </c>
      <c r="D693" s="129" t="s">
        <v>695</v>
      </c>
      <c r="E693" s="129" t="s">
        <v>1203</v>
      </c>
      <c r="F693" s="129" t="s">
        <v>1204</v>
      </c>
      <c r="G693" s="210">
        <v>2</v>
      </c>
      <c r="H693" s="211">
        <f t="shared" si="50"/>
        <v>752.2</v>
      </c>
      <c r="I693" s="207">
        <f>IF(F693="CONCENTRADO SEMI BRILHO",G693/'De-Para'!$B$9,G693/VLOOKUP(B693,'De-Para'!A:B,2,0))</f>
        <v>1.5748031496062991</v>
      </c>
      <c r="J693" s="206">
        <f t="shared" si="51"/>
        <v>592.28346456692941</v>
      </c>
      <c r="K693" s="212">
        <f t="shared" si="52"/>
        <v>2.6588673225206062E-3</v>
      </c>
      <c r="L693" s="209">
        <f>VLOOKUP(E693,'Custos Matéria Prima Embalagens'!B:G,6,0)</f>
        <v>4.9399999999999995</v>
      </c>
      <c r="M693" s="209">
        <f t="shared" si="53"/>
        <v>9.879999999999999</v>
      </c>
      <c r="N693" s="209">
        <f t="shared" si="54"/>
        <v>0.02</v>
      </c>
    </row>
    <row r="694" spans="1:14" hidden="1">
      <c r="A694" s="129" t="s">
        <v>1266</v>
      </c>
      <c r="B694" s="129" t="s">
        <v>1267</v>
      </c>
      <c r="C694" s="129" t="s">
        <v>734</v>
      </c>
      <c r="D694" s="129" t="s">
        <v>695</v>
      </c>
      <c r="E694" s="129" t="s">
        <v>1205</v>
      </c>
      <c r="F694" s="129" t="s">
        <v>1206</v>
      </c>
      <c r="G694" s="210">
        <v>2</v>
      </c>
      <c r="H694" s="211">
        <f t="shared" si="50"/>
        <v>752.2</v>
      </c>
      <c r="I694" s="207">
        <f>IF(F694="CONCENTRADO SEMI BRILHO",G694/'De-Para'!$B$9,G694/VLOOKUP(B694,'De-Para'!A:B,2,0))</f>
        <v>1.5748031496062991</v>
      </c>
      <c r="J694" s="206">
        <f t="shared" si="51"/>
        <v>592.28346456692941</v>
      </c>
      <c r="K694" s="212">
        <f t="shared" si="52"/>
        <v>2.6588673225206062E-3</v>
      </c>
      <c r="L694" s="209">
        <f>VLOOKUP(E694,'Custos Matéria Prima Embalagens'!B:G,6,0)</f>
        <v>7.33</v>
      </c>
      <c r="M694" s="209">
        <f t="shared" si="53"/>
        <v>14.66</v>
      </c>
      <c r="N694" s="209">
        <f t="shared" si="54"/>
        <v>0.02</v>
      </c>
    </row>
    <row r="695" spans="1:14" hidden="1">
      <c r="A695" s="129" t="s">
        <v>1266</v>
      </c>
      <c r="B695" s="129" t="s">
        <v>1267</v>
      </c>
      <c r="C695" s="129" t="s">
        <v>734</v>
      </c>
      <c r="D695" s="129" t="s">
        <v>695</v>
      </c>
      <c r="E695" s="129" t="s">
        <v>1207</v>
      </c>
      <c r="F695" s="129" t="s">
        <v>1208</v>
      </c>
      <c r="G695" s="210">
        <v>2</v>
      </c>
      <c r="H695" s="211">
        <f t="shared" si="50"/>
        <v>752.2</v>
      </c>
      <c r="I695" s="207">
        <f>IF(F695="CONCENTRADO SEMI BRILHO",G695/'De-Para'!$B$9,G695/VLOOKUP(B695,'De-Para'!A:B,2,0))</f>
        <v>1.5748031496062991</v>
      </c>
      <c r="J695" s="206">
        <f t="shared" si="51"/>
        <v>592.28346456692941</v>
      </c>
      <c r="K695" s="212">
        <f t="shared" si="52"/>
        <v>2.6588673225206062E-3</v>
      </c>
      <c r="L695" s="209">
        <f>VLOOKUP(E695,'Custos Matéria Prima Embalagens'!B:G,6,0)</f>
        <v>6.8599999999999994</v>
      </c>
      <c r="M695" s="209">
        <f t="shared" si="53"/>
        <v>13.719999999999999</v>
      </c>
      <c r="N695" s="209">
        <f t="shared" si="54"/>
        <v>0.02</v>
      </c>
    </row>
    <row r="696" spans="1:14" hidden="1">
      <c r="A696" s="129" t="s">
        <v>1266</v>
      </c>
      <c r="B696" s="129" t="s">
        <v>1267</v>
      </c>
      <c r="C696" s="129" t="s">
        <v>734</v>
      </c>
      <c r="D696" s="129" t="s">
        <v>695</v>
      </c>
      <c r="E696" s="129" t="s">
        <v>1217</v>
      </c>
      <c r="F696" s="129" t="s">
        <v>1218</v>
      </c>
      <c r="G696" s="210">
        <v>300</v>
      </c>
      <c r="H696" s="211">
        <f t="shared" si="50"/>
        <v>752.2</v>
      </c>
      <c r="I696" s="207">
        <f>IF(F696="CONCENTRADO SEMI BRILHO",G696/'De-Para'!$B$9,G696/VLOOKUP(B696,'De-Para'!A:B,2,0))</f>
        <v>236.22047244094489</v>
      </c>
      <c r="J696" s="206">
        <f t="shared" si="51"/>
        <v>592.28346456692941</v>
      </c>
      <c r="K696" s="212">
        <f t="shared" si="52"/>
        <v>0.39883009837809091</v>
      </c>
      <c r="L696" s="209">
        <f>VLOOKUP(E696,'Custos Matéria Prima Embalagens'!B:G,6,0)</f>
        <v>8.43</v>
      </c>
      <c r="M696" s="209">
        <f t="shared" si="53"/>
        <v>2529</v>
      </c>
      <c r="N696" s="209">
        <f t="shared" si="54"/>
        <v>4.2699999999999996</v>
      </c>
    </row>
    <row r="697" spans="1:14" hidden="1">
      <c r="A697" s="129" t="s">
        <v>1266</v>
      </c>
      <c r="B697" s="129" t="s">
        <v>1267</v>
      </c>
      <c r="C697" s="129" t="s">
        <v>734</v>
      </c>
      <c r="D697" s="129" t="s">
        <v>695</v>
      </c>
      <c r="E697" s="129" t="s">
        <v>1229</v>
      </c>
      <c r="F697" s="129" t="s">
        <v>1230</v>
      </c>
      <c r="G697" s="210">
        <v>10</v>
      </c>
      <c r="H697" s="211">
        <f t="shared" si="50"/>
        <v>752.2</v>
      </c>
      <c r="I697" s="207">
        <f>IF(F697="CONCENTRADO SEMI BRILHO",G697/'De-Para'!$B$9,G697/VLOOKUP(B697,'De-Para'!A:B,2,0))</f>
        <v>7.8740157480314963</v>
      </c>
      <c r="J697" s="206">
        <f t="shared" si="51"/>
        <v>592.28346456692941</v>
      </c>
      <c r="K697" s="212">
        <f t="shared" si="52"/>
        <v>1.3294336612603031E-2</v>
      </c>
      <c r="L697" s="209">
        <f>VLOOKUP(E697,'Custos Matéria Prima Embalagens'!B:G,6,0)</f>
        <v>19.22</v>
      </c>
      <c r="M697" s="209">
        <f t="shared" si="53"/>
        <v>192.2</v>
      </c>
      <c r="N697" s="209">
        <f t="shared" si="54"/>
        <v>0.32</v>
      </c>
    </row>
    <row r="698" spans="1:14" hidden="1">
      <c r="A698" s="129" t="s">
        <v>1266</v>
      </c>
      <c r="B698" s="129" t="s">
        <v>1267</v>
      </c>
      <c r="C698" s="129" t="s">
        <v>734</v>
      </c>
      <c r="D698" s="129" t="s">
        <v>695</v>
      </c>
      <c r="E698" s="129" t="s">
        <v>1261</v>
      </c>
      <c r="F698" s="129" t="s">
        <v>1262</v>
      </c>
      <c r="G698" s="210">
        <v>10</v>
      </c>
      <c r="H698" s="211">
        <f t="shared" si="50"/>
        <v>752.2</v>
      </c>
      <c r="I698" s="207">
        <f>IF(F698="CONCENTRADO SEMI BRILHO",G698/'De-Para'!$B$9,G698/VLOOKUP(B698,'De-Para'!A:B,2,0))</f>
        <v>7.8740157480314963</v>
      </c>
      <c r="J698" s="206">
        <f t="shared" si="51"/>
        <v>592.28346456692941</v>
      </c>
      <c r="K698" s="212">
        <f t="shared" si="52"/>
        <v>1.3294336612603031E-2</v>
      </c>
      <c r="L698" s="209">
        <f>VLOOKUP(E698,'Custos Matéria Prima Embalagens'!B:G,6,0)</f>
        <v>31.4314232033819</v>
      </c>
      <c r="M698" s="209">
        <f t="shared" si="53"/>
        <v>314.314232033819</v>
      </c>
      <c r="N698" s="209">
        <f t="shared" si="54"/>
        <v>0.53</v>
      </c>
    </row>
    <row r="699" spans="1:14" hidden="1">
      <c r="A699" s="129" t="s">
        <v>1266</v>
      </c>
      <c r="B699" s="129" t="s">
        <v>1267</v>
      </c>
      <c r="C699" s="129" t="s">
        <v>734</v>
      </c>
      <c r="D699" s="129" t="s">
        <v>695</v>
      </c>
      <c r="E699" s="129" t="s">
        <v>1209</v>
      </c>
      <c r="F699" s="129" t="s">
        <v>1210</v>
      </c>
      <c r="G699" s="210">
        <v>3</v>
      </c>
      <c r="H699" s="211">
        <f t="shared" si="50"/>
        <v>752.2</v>
      </c>
      <c r="I699" s="207">
        <f>IF(F699="CONCENTRADO SEMI BRILHO",G699/'De-Para'!$B$9,G699/VLOOKUP(B699,'De-Para'!A:B,2,0))</f>
        <v>2.3622047244094486</v>
      </c>
      <c r="J699" s="206">
        <f t="shared" si="51"/>
        <v>592.28346456692941</v>
      </c>
      <c r="K699" s="212">
        <f t="shared" si="52"/>
        <v>3.9883009837809093E-3</v>
      </c>
      <c r="L699" s="209">
        <f>VLOOKUP(E699,'Custos Matéria Prima Embalagens'!B:G,6,0)</f>
        <v>7</v>
      </c>
      <c r="M699" s="209">
        <f t="shared" si="53"/>
        <v>21</v>
      </c>
      <c r="N699" s="209">
        <f t="shared" si="54"/>
        <v>0.04</v>
      </c>
    </row>
    <row r="700" spans="1:14" hidden="1">
      <c r="A700" s="129" t="s">
        <v>1266</v>
      </c>
      <c r="B700" s="129" t="s">
        <v>1267</v>
      </c>
      <c r="C700" s="129" t="s">
        <v>734</v>
      </c>
      <c r="D700" s="129" t="s">
        <v>695</v>
      </c>
      <c r="E700" s="129" t="s">
        <v>1219</v>
      </c>
      <c r="F700" s="129" t="s">
        <v>1220</v>
      </c>
      <c r="G700" s="210">
        <v>11</v>
      </c>
      <c r="H700" s="211">
        <f t="shared" si="50"/>
        <v>752.2</v>
      </c>
      <c r="I700" s="207">
        <f>IF(F700="CONCENTRADO SEMI BRILHO",G700/'De-Para'!$B$9,G700/VLOOKUP(B700,'De-Para'!A:B,2,0))</f>
        <v>8.6614173228346463</v>
      </c>
      <c r="J700" s="206">
        <f t="shared" si="51"/>
        <v>592.28346456692941</v>
      </c>
      <c r="K700" s="212">
        <f t="shared" si="52"/>
        <v>1.4623770273863333E-2</v>
      </c>
      <c r="L700" s="209">
        <f>VLOOKUP(E700,'Custos Matéria Prima Embalagens'!B:G,6,0)</f>
        <v>4.9800000000000004</v>
      </c>
      <c r="M700" s="209">
        <f t="shared" si="53"/>
        <v>54.78</v>
      </c>
      <c r="N700" s="209">
        <f t="shared" si="54"/>
        <v>0.09</v>
      </c>
    </row>
    <row r="701" spans="1:14" hidden="1">
      <c r="A701" s="129" t="s">
        <v>1266</v>
      </c>
      <c r="B701" s="129" t="s">
        <v>1267</v>
      </c>
      <c r="C701" s="129" t="s">
        <v>734</v>
      </c>
      <c r="D701" s="129" t="s">
        <v>695</v>
      </c>
      <c r="E701" s="129" t="s">
        <v>1268</v>
      </c>
      <c r="F701" s="129" t="s">
        <v>1269</v>
      </c>
      <c r="G701" s="210">
        <v>20</v>
      </c>
      <c r="H701" s="211">
        <f t="shared" si="50"/>
        <v>752.2</v>
      </c>
      <c r="I701" s="207">
        <f>IF(F701="CONCENTRADO SEMI BRILHO",G701/'De-Para'!$B$9,G701/VLOOKUP(B701,'De-Para'!A:B,2,0))</f>
        <v>15.748031496062993</v>
      </c>
      <c r="J701" s="206">
        <f t="shared" si="51"/>
        <v>592.28346456692941</v>
      </c>
      <c r="K701" s="212">
        <f t="shared" si="52"/>
        <v>2.6588673225206062E-2</v>
      </c>
      <c r="L701" s="209">
        <f>VLOOKUP(E701,'Custos Matéria Prima Embalagens'!B:G,6,0)</f>
        <v>10.37</v>
      </c>
      <c r="M701" s="209">
        <f t="shared" si="53"/>
        <v>207.39999999999998</v>
      </c>
      <c r="N701" s="209">
        <f t="shared" si="54"/>
        <v>0.35</v>
      </c>
    </row>
    <row r="702" spans="1:14" hidden="1">
      <c r="A702" s="129" t="s">
        <v>1266</v>
      </c>
      <c r="B702" s="129" t="s">
        <v>1267</v>
      </c>
      <c r="C702" s="129" t="s">
        <v>734</v>
      </c>
      <c r="D702" s="129" t="s">
        <v>695</v>
      </c>
      <c r="E702" s="129" t="s">
        <v>1221</v>
      </c>
      <c r="F702" s="129" t="s">
        <v>1222</v>
      </c>
      <c r="G702" s="210">
        <v>17</v>
      </c>
      <c r="H702" s="211">
        <f t="shared" si="50"/>
        <v>752.2</v>
      </c>
      <c r="I702" s="207">
        <f>IF(F702="CONCENTRADO SEMI BRILHO",G702/'De-Para'!$B$9,G702/VLOOKUP(B702,'De-Para'!A:B,2,0))</f>
        <v>13.385826771653543</v>
      </c>
      <c r="J702" s="206">
        <f t="shared" si="51"/>
        <v>592.28346456692941</v>
      </c>
      <c r="K702" s="212">
        <f t="shared" si="52"/>
        <v>2.2600372241425151E-2</v>
      </c>
      <c r="L702" s="209">
        <f>VLOOKUP(E702,'Custos Matéria Prima Embalagens'!B:G,6,0)</f>
        <v>7.9049999999999994</v>
      </c>
      <c r="M702" s="209">
        <f t="shared" si="53"/>
        <v>134.38499999999999</v>
      </c>
      <c r="N702" s="209">
        <f t="shared" si="54"/>
        <v>0.23</v>
      </c>
    </row>
    <row r="703" spans="1:14" hidden="1">
      <c r="A703" s="129" t="s">
        <v>1266</v>
      </c>
      <c r="B703" s="129" t="s">
        <v>1267</v>
      </c>
      <c r="C703" s="129" t="s">
        <v>734</v>
      </c>
      <c r="D703" s="129" t="s">
        <v>695</v>
      </c>
      <c r="E703" s="129" t="s">
        <v>1270</v>
      </c>
      <c r="F703" s="129" t="s">
        <v>1272</v>
      </c>
      <c r="G703" s="210">
        <v>60</v>
      </c>
      <c r="H703" s="211">
        <f t="shared" si="50"/>
        <v>752.2</v>
      </c>
      <c r="I703" s="207">
        <f>IF(F703="CONCENTRADO SEMI BRILHO",G703/'De-Para'!$B$9,G703/VLOOKUP(B703,'De-Para'!A:B,2,0))</f>
        <v>47.244094488188978</v>
      </c>
      <c r="J703" s="206">
        <f t="shared" si="51"/>
        <v>592.28346456692941</v>
      </c>
      <c r="K703" s="212">
        <f t="shared" si="52"/>
        <v>7.976601967561818E-2</v>
      </c>
      <c r="L703" s="209">
        <f>VLOOKUP(E703,'Custos Matéria Prima Embalagens'!B:G,6,0)</f>
        <v>8.9700000000000006</v>
      </c>
      <c r="M703" s="209">
        <f t="shared" si="53"/>
        <v>538.20000000000005</v>
      </c>
      <c r="N703" s="209">
        <f t="shared" si="54"/>
        <v>0.91</v>
      </c>
    </row>
    <row r="704" spans="1:14" hidden="1">
      <c r="A704" s="129" t="s">
        <v>1266</v>
      </c>
      <c r="B704" s="129" t="s">
        <v>1267</v>
      </c>
      <c r="C704" s="129" t="s">
        <v>734</v>
      </c>
      <c r="D704" s="129" t="s">
        <v>695</v>
      </c>
      <c r="E704" s="129" t="s">
        <v>1241</v>
      </c>
      <c r="F704" s="129" t="s">
        <v>1242</v>
      </c>
      <c r="G704" s="210">
        <v>11</v>
      </c>
      <c r="H704" s="211">
        <f t="shared" si="50"/>
        <v>752.2</v>
      </c>
      <c r="I704" s="207">
        <f>IF(F704="CONCENTRADO SEMI BRILHO",G704/'De-Para'!$B$9,G704/VLOOKUP(B704,'De-Para'!A:B,2,0))</f>
        <v>8.6614173228346463</v>
      </c>
      <c r="J704" s="206">
        <f t="shared" si="51"/>
        <v>592.28346456692941</v>
      </c>
      <c r="K704" s="212">
        <f t="shared" si="52"/>
        <v>1.4623770273863333E-2</v>
      </c>
      <c r="L704" s="209">
        <f>VLOOKUP(E704,'Custos Matéria Prima Embalagens'!B:G,6,0)</f>
        <v>31.25</v>
      </c>
      <c r="M704" s="209">
        <f t="shared" si="53"/>
        <v>343.75</v>
      </c>
      <c r="N704" s="209">
        <f t="shared" si="54"/>
        <v>0.57999999999999996</v>
      </c>
    </row>
    <row r="705" spans="1:14" hidden="1">
      <c r="A705" s="129" t="s">
        <v>1266</v>
      </c>
      <c r="B705" s="129" t="s">
        <v>1267</v>
      </c>
      <c r="C705" s="129" t="s">
        <v>734</v>
      </c>
      <c r="D705" s="129" t="s">
        <v>695</v>
      </c>
      <c r="E705" s="129" t="s">
        <v>1244</v>
      </c>
      <c r="F705" s="129" t="s">
        <v>1245</v>
      </c>
      <c r="G705" s="210">
        <v>1</v>
      </c>
      <c r="H705" s="211">
        <f t="shared" si="50"/>
        <v>752.2</v>
      </c>
      <c r="I705" s="207">
        <f>IF(F705="CONCENTRADO SEMI BRILHO",G705/'De-Para'!$B$9,G705/VLOOKUP(B705,'De-Para'!A:B,2,0))</f>
        <v>0.78740157480314954</v>
      </c>
      <c r="J705" s="206">
        <f t="shared" si="51"/>
        <v>592.28346456692941</v>
      </c>
      <c r="K705" s="212">
        <f t="shared" si="52"/>
        <v>1.3294336612603031E-3</v>
      </c>
      <c r="L705" s="209">
        <f>VLOOKUP(E705,'Custos Matéria Prima Embalagens'!B:G,6,0)</f>
        <v>40.33</v>
      </c>
      <c r="M705" s="209">
        <f t="shared" si="53"/>
        <v>40.33</v>
      </c>
      <c r="N705" s="209">
        <f t="shared" si="54"/>
        <v>7.0000000000000007E-2</v>
      </c>
    </row>
    <row r="706" spans="1:14" hidden="1">
      <c r="A706" s="129" t="s">
        <v>1266</v>
      </c>
      <c r="B706" s="129" t="s">
        <v>1267</v>
      </c>
      <c r="C706" s="129" t="s">
        <v>736</v>
      </c>
      <c r="D706" s="129" t="s">
        <v>1254</v>
      </c>
      <c r="E706" s="129" t="s">
        <v>1197</v>
      </c>
      <c r="F706" s="129" t="s">
        <v>1198</v>
      </c>
      <c r="G706" s="210">
        <v>300</v>
      </c>
      <c r="H706" s="211">
        <f t="shared" si="50"/>
        <v>930.80000000000007</v>
      </c>
      <c r="I706" s="207">
        <f>IF(F706="CONCENTRADO SEMI BRILHO",G706/'De-Para'!$B$9,G706/VLOOKUP(B706,'De-Para'!A:B,2,0))</f>
        <v>236.22047244094489</v>
      </c>
      <c r="J706" s="206">
        <f t="shared" si="51"/>
        <v>732.91338582677179</v>
      </c>
      <c r="K706" s="212">
        <f t="shared" si="52"/>
        <v>0.32230339492909321</v>
      </c>
      <c r="L706" s="209">
        <f>VLOOKUP(E706,'Custos Matéria Prima Embalagens'!B:G,6,0)</f>
        <v>0</v>
      </c>
      <c r="M706" s="209">
        <f t="shared" si="53"/>
        <v>0</v>
      </c>
      <c r="N706" s="209">
        <f t="shared" si="54"/>
        <v>0</v>
      </c>
    </row>
    <row r="707" spans="1:14" hidden="1">
      <c r="A707" s="129" t="s">
        <v>1266</v>
      </c>
      <c r="B707" s="129" t="s">
        <v>1267</v>
      </c>
      <c r="C707" s="129" t="s">
        <v>736</v>
      </c>
      <c r="D707" s="129" t="s">
        <v>1254</v>
      </c>
      <c r="E707" s="129" t="s">
        <v>1199</v>
      </c>
      <c r="F707" s="129" t="s">
        <v>1200</v>
      </c>
      <c r="G707" s="210">
        <v>1.2</v>
      </c>
      <c r="H707" s="211">
        <f t="shared" ref="H707:H770" si="55">SUMIFS(G:G,C:C,C707)</f>
        <v>930.80000000000007</v>
      </c>
      <c r="I707" s="207">
        <f>IF(F707="CONCENTRADO SEMI BRILHO",G707/'De-Para'!$B$9,G707/VLOOKUP(B707,'De-Para'!A:B,2,0))</f>
        <v>0.94488188976377951</v>
      </c>
      <c r="J707" s="206">
        <f t="shared" ref="J707:J770" si="56">SUMIFS(I:I,C:C,C707)</f>
        <v>732.91338582677179</v>
      </c>
      <c r="K707" s="212">
        <f t="shared" ref="K707:K770" si="57">G707/H707</f>
        <v>1.2892135797163728E-3</v>
      </c>
      <c r="L707" s="209">
        <f>VLOOKUP(E707,'Custos Matéria Prima Embalagens'!B:G,6,0)</f>
        <v>17.939999999999998</v>
      </c>
      <c r="M707" s="209">
        <f t="shared" ref="M707:M770" si="58">L707*G707</f>
        <v>21.527999999999995</v>
      </c>
      <c r="N707" s="209">
        <f t="shared" ref="N707:N770" si="59">IF(B707="CONCENTRADO",ROUND(M707/H707,2),ROUND(M707/J707,2))</f>
        <v>0.03</v>
      </c>
    </row>
    <row r="708" spans="1:14" hidden="1">
      <c r="A708" s="129" t="s">
        <v>1266</v>
      </c>
      <c r="B708" s="129" t="s">
        <v>1267</v>
      </c>
      <c r="C708" s="129" t="s">
        <v>736</v>
      </c>
      <c r="D708" s="129" t="s">
        <v>1254</v>
      </c>
      <c r="E708" s="129" t="s">
        <v>1257</v>
      </c>
      <c r="F708" s="129" t="s">
        <v>1258</v>
      </c>
      <c r="G708" s="210">
        <v>2</v>
      </c>
      <c r="H708" s="211">
        <f t="shared" si="55"/>
        <v>930.80000000000007</v>
      </c>
      <c r="I708" s="207">
        <f>IF(F708="CONCENTRADO SEMI BRILHO",G708/'De-Para'!$B$9,G708/VLOOKUP(B708,'De-Para'!A:B,2,0))</f>
        <v>1.5748031496062991</v>
      </c>
      <c r="J708" s="206">
        <f t="shared" si="56"/>
        <v>732.91338582677179</v>
      </c>
      <c r="K708" s="212">
        <f t="shared" si="57"/>
        <v>2.148689299527288E-3</v>
      </c>
      <c r="L708" s="209">
        <f>VLOOKUP(E708,'Custos Matéria Prima Embalagens'!B:G,6,0)</f>
        <v>11.7614232033819</v>
      </c>
      <c r="M708" s="209">
        <f t="shared" si="58"/>
        <v>23.522846406763801</v>
      </c>
      <c r="N708" s="209">
        <f t="shared" si="59"/>
        <v>0.03</v>
      </c>
    </row>
    <row r="709" spans="1:14" hidden="1">
      <c r="A709" s="129" t="s">
        <v>1266</v>
      </c>
      <c r="B709" s="129" t="s">
        <v>1267</v>
      </c>
      <c r="C709" s="129" t="s">
        <v>736</v>
      </c>
      <c r="D709" s="129" t="s">
        <v>1254</v>
      </c>
      <c r="E709" s="129" t="s">
        <v>1203</v>
      </c>
      <c r="F709" s="129" t="s">
        <v>1204</v>
      </c>
      <c r="G709" s="210">
        <v>2</v>
      </c>
      <c r="H709" s="211">
        <f t="shared" si="55"/>
        <v>930.80000000000007</v>
      </c>
      <c r="I709" s="207">
        <f>IF(F709="CONCENTRADO SEMI BRILHO",G709/'De-Para'!$B$9,G709/VLOOKUP(B709,'De-Para'!A:B,2,0))</f>
        <v>1.5748031496062991</v>
      </c>
      <c r="J709" s="206">
        <f t="shared" si="56"/>
        <v>732.91338582677179</v>
      </c>
      <c r="K709" s="212">
        <f t="shared" si="57"/>
        <v>2.148689299527288E-3</v>
      </c>
      <c r="L709" s="209">
        <f>VLOOKUP(E709,'Custos Matéria Prima Embalagens'!B:G,6,0)</f>
        <v>4.9399999999999995</v>
      </c>
      <c r="M709" s="209">
        <f t="shared" si="58"/>
        <v>9.879999999999999</v>
      </c>
      <c r="N709" s="209">
        <f t="shared" si="59"/>
        <v>0.01</v>
      </c>
    </row>
    <row r="710" spans="1:14" hidden="1">
      <c r="A710" s="129" t="s">
        <v>1266</v>
      </c>
      <c r="B710" s="129" t="s">
        <v>1267</v>
      </c>
      <c r="C710" s="129" t="s">
        <v>736</v>
      </c>
      <c r="D710" s="129" t="s">
        <v>1254</v>
      </c>
      <c r="E710" s="129" t="s">
        <v>1205</v>
      </c>
      <c r="F710" s="129" t="s">
        <v>1206</v>
      </c>
      <c r="G710" s="210">
        <v>2</v>
      </c>
      <c r="H710" s="211">
        <f t="shared" si="55"/>
        <v>930.80000000000007</v>
      </c>
      <c r="I710" s="207">
        <f>IF(F710="CONCENTRADO SEMI BRILHO",G710/'De-Para'!$B$9,G710/VLOOKUP(B710,'De-Para'!A:B,2,0))</f>
        <v>1.5748031496062991</v>
      </c>
      <c r="J710" s="206">
        <f t="shared" si="56"/>
        <v>732.91338582677179</v>
      </c>
      <c r="K710" s="212">
        <f t="shared" si="57"/>
        <v>2.148689299527288E-3</v>
      </c>
      <c r="L710" s="209">
        <f>VLOOKUP(E710,'Custos Matéria Prima Embalagens'!B:G,6,0)</f>
        <v>7.33</v>
      </c>
      <c r="M710" s="209">
        <f t="shared" si="58"/>
        <v>14.66</v>
      </c>
      <c r="N710" s="209">
        <f t="shared" si="59"/>
        <v>0.02</v>
      </c>
    </row>
    <row r="711" spans="1:14" hidden="1">
      <c r="A711" s="129" t="s">
        <v>1266</v>
      </c>
      <c r="B711" s="129" t="s">
        <v>1267</v>
      </c>
      <c r="C711" s="129" t="s">
        <v>736</v>
      </c>
      <c r="D711" s="129" t="s">
        <v>1254</v>
      </c>
      <c r="E711" s="129" t="s">
        <v>1207</v>
      </c>
      <c r="F711" s="129" t="s">
        <v>1208</v>
      </c>
      <c r="G711" s="210">
        <v>2</v>
      </c>
      <c r="H711" s="211">
        <f t="shared" si="55"/>
        <v>930.80000000000007</v>
      </c>
      <c r="I711" s="207">
        <f>IF(F711="CONCENTRADO SEMI BRILHO",G711/'De-Para'!$B$9,G711/VLOOKUP(B711,'De-Para'!A:B,2,0))</f>
        <v>1.5748031496062991</v>
      </c>
      <c r="J711" s="206">
        <f t="shared" si="56"/>
        <v>732.91338582677179</v>
      </c>
      <c r="K711" s="212">
        <f t="shared" si="57"/>
        <v>2.148689299527288E-3</v>
      </c>
      <c r="L711" s="209">
        <f>VLOOKUP(E711,'Custos Matéria Prima Embalagens'!B:G,6,0)</f>
        <v>6.8599999999999994</v>
      </c>
      <c r="M711" s="209">
        <f t="shared" si="58"/>
        <v>13.719999999999999</v>
      </c>
      <c r="N711" s="209">
        <f t="shared" si="59"/>
        <v>0.02</v>
      </c>
    </row>
    <row r="712" spans="1:14" hidden="1">
      <c r="A712" s="129" t="s">
        <v>1266</v>
      </c>
      <c r="B712" s="129" t="s">
        <v>1267</v>
      </c>
      <c r="C712" s="129" t="s">
        <v>736</v>
      </c>
      <c r="D712" s="129" t="s">
        <v>1254</v>
      </c>
      <c r="E712" s="129" t="s">
        <v>1217</v>
      </c>
      <c r="F712" s="129" t="s">
        <v>1218</v>
      </c>
      <c r="G712" s="210">
        <v>250</v>
      </c>
      <c r="H712" s="211">
        <f t="shared" si="55"/>
        <v>930.80000000000007</v>
      </c>
      <c r="I712" s="207">
        <f>IF(F712="CONCENTRADO SEMI BRILHO",G712/'De-Para'!$B$9,G712/VLOOKUP(B712,'De-Para'!A:B,2,0))</f>
        <v>196.85039370078741</v>
      </c>
      <c r="J712" s="206">
        <f t="shared" si="56"/>
        <v>732.91338582677179</v>
      </c>
      <c r="K712" s="212">
        <f t="shared" si="57"/>
        <v>0.26858616244091105</v>
      </c>
      <c r="L712" s="209">
        <f>VLOOKUP(E712,'Custos Matéria Prima Embalagens'!B:G,6,0)</f>
        <v>8.43</v>
      </c>
      <c r="M712" s="209">
        <f t="shared" si="58"/>
        <v>2107.5</v>
      </c>
      <c r="N712" s="209">
        <f t="shared" si="59"/>
        <v>2.88</v>
      </c>
    </row>
    <row r="713" spans="1:14" hidden="1">
      <c r="A713" s="129" t="s">
        <v>1266</v>
      </c>
      <c r="B713" s="129" t="s">
        <v>1267</v>
      </c>
      <c r="C713" s="129" t="s">
        <v>736</v>
      </c>
      <c r="D713" s="129" t="s">
        <v>1254</v>
      </c>
      <c r="E713" s="129" t="s">
        <v>1229</v>
      </c>
      <c r="F713" s="129" t="s">
        <v>1230</v>
      </c>
      <c r="G713" s="210">
        <v>10</v>
      </c>
      <c r="H713" s="211">
        <f t="shared" si="55"/>
        <v>930.80000000000007</v>
      </c>
      <c r="I713" s="207">
        <f>IF(F713="CONCENTRADO SEMI BRILHO",G713/'De-Para'!$B$9,G713/VLOOKUP(B713,'De-Para'!A:B,2,0))</f>
        <v>7.8740157480314963</v>
      </c>
      <c r="J713" s="206">
        <f t="shared" si="56"/>
        <v>732.91338582677179</v>
      </c>
      <c r="K713" s="212">
        <f t="shared" si="57"/>
        <v>1.0743446497636441E-2</v>
      </c>
      <c r="L713" s="209">
        <f>VLOOKUP(E713,'Custos Matéria Prima Embalagens'!B:G,6,0)</f>
        <v>19.22</v>
      </c>
      <c r="M713" s="209">
        <f t="shared" si="58"/>
        <v>192.2</v>
      </c>
      <c r="N713" s="209">
        <f t="shared" si="59"/>
        <v>0.26</v>
      </c>
    </row>
    <row r="714" spans="1:14" hidden="1">
      <c r="A714" s="129" t="s">
        <v>1266</v>
      </c>
      <c r="B714" s="129" t="s">
        <v>1267</v>
      </c>
      <c r="C714" s="129" t="s">
        <v>736</v>
      </c>
      <c r="D714" s="129" t="s">
        <v>1254</v>
      </c>
      <c r="E714" s="129" t="s">
        <v>1261</v>
      </c>
      <c r="F714" s="129" t="s">
        <v>1262</v>
      </c>
      <c r="G714" s="210">
        <v>10</v>
      </c>
      <c r="H714" s="211">
        <f t="shared" si="55"/>
        <v>930.80000000000007</v>
      </c>
      <c r="I714" s="207">
        <f>IF(F714="CONCENTRADO SEMI BRILHO",G714/'De-Para'!$B$9,G714/VLOOKUP(B714,'De-Para'!A:B,2,0))</f>
        <v>7.8740157480314963</v>
      </c>
      <c r="J714" s="206">
        <f t="shared" si="56"/>
        <v>732.91338582677179</v>
      </c>
      <c r="K714" s="212">
        <f t="shared" si="57"/>
        <v>1.0743446497636441E-2</v>
      </c>
      <c r="L714" s="209">
        <f>VLOOKUP(E714,'Custos Matéria Prima Embalagens'!B:G,6,0)</f>
        <v>31.4314232033819</v>
      </c>
      <c r="M714" s="209">
        <f t="shared" si="58"/>
        <v>314.314232033819</v>
      </c>
      <c r="N714" s="209">
        <f t="shared" si="59"/>
        <v>0.43</v>
      </c>
    </row>
    <row r="715" spans="1:14" hidden="1">
      <c r="A715" s="129" t="s">
        <v>1266</v>
      </c>
      <c r="B715" s="129" t="s">
        <v>1267</v>
      </c>
      <c r="C715" s="129" t="s">
        <v>736</v>
      </c>
      <c r="D715" s="129" t="s">
        <v>1254</v>
      </c>
      <c r="E715" s="129" t="s">
        <v>1209</v>
      </c>
      <c r="F715" s="129" t="s">
        <v>1210</v>
      </c>
      <c r="G715" s="210">
        <v>3</v>
      </c>
      <c r="H715" s="211">
        <f t="shared" si="55"/>
        <v>930.80000000000007</v>
      </c>
      <c r="I715" s="207">
        <f>IF(F715="CONCENTRADO SEMI BRILHO",G715/'De-Para'!$B$9,G715/VLOOKUP(B715,'De-Para'!A:B,2,0))</f>
        <v>2.3622047244094486</v>
      </c>
      <c r="J715" s="206">
        <f t="shared" si="56"/>
        <v>732.91338582677179</v>
      </c>
      <c r="K715" s="212">
        <f t="shared" si="57"/>
        <v>3.2230339492909325E-3</v>
      </c>
      <c r="L715" s="209">
        <f>VLOOKUP(E715,'Custos Matéria Prima Embalagens'!B:G,6,0)</f>
        <v>7</v>
      </c>
      <c r="M715" s="209">
        <f t="shared" si="58"/>
        <v>21</v>
      </c>
      <c r="N715" s="209">
        <f t="shared" si="59"/>
        <v>0.03</v>
      </c>
    </row>
    <row r="716" spans="1:14" hidden="1">
      <c r="A716" s="129" t="s">
        <v>1266</v>
      </c>
      <c r="B716" s="129" t="s">
        <v>1267</v>
      </c>
      <c r="C716" s="129" t="s">
        <v>736</v>
      </c>
      <c r="D716" s="129" t="s">
        <v>1254</v>
      </c>
      <c r="E716" s="129" t="s">
        <v>1219</v>
      </c>
      <c r="F716" s="129" t="s">
        <v>1220</v>
      </c>
      <c r="G716" s="210">
        <v>11</v>
      </c>
      <c r="H716" s="211">
        <f t="shared" si="55"/>
        <v>930.80000000000007</v>
      </c>
      <c r="I716" s="207">
        <f>IF(F716="CONCENTRADO SEMI BRILHO",G716/'De-Para'!$B$9,G716/VLOOKUP(B716,'De-Para'!A:B,2,0))</f>
        <v>8.6614173228346463</v>
      </c>
      <c r="J716" s="206">
        <f t="shared" si="56"/>
        <v>732.91338582677179</v>
      </c>
      <c r="K716" s="212">
        <f t="shared" si="57"/>
        <v>1.1817791147400085E-2</v>
      </c>
      <c r="L716" s="209">
        <f>VLOOKUP(E716,'Custos Matéria Prima Embalagens'!B:G,6,0)</f>
        <v>4.9800000000000004</v>
      </c>
      <c r="M716" s="209">
        <f t="shared" si="58"/>
        <v>54.78</v>
      </c>
      <c r="N716" s="209">
        <f t="shared" si="59"/>
        <v>7.0000000000000007E-2</v>
      </c>
    </row>
    <row r="717" spans="1:14" hidden="1">
      <c r="A717" s="129" t="s">
        <v>1266</v>
      </c>
      <c r="B717" s="129" t="s">
        <v>1267</v>
      </c>
      <c r="C717" s="129" t="s">
        <v>736</v>
      </c>
      <c r="D717" s="129" t="s">
        <v>1254</v>
      </c>
      <c r="E717" s="129" t="s">
        <v>1268</v>
      </c>
      <c r="F717" s="129" t="s">
        <v>1269</v>
      </c>
      <c r="G717" s="210">
        <v>20</v>
      </c>
      <c r="H717" s="211">
        <f t="shared" si="55"/>
        <v>930.80000000000007</v>
      </c>
      <c r="I717" s="207">
        <f>IF(F717="CONCENTRADO SEMI BRILHO",G717/'De-Para'!$B$9,G717/VLOOKUP(B717,'De-Para'!A:B,2,0))</f>
        <v>15.748031496062993</v>
      </c>
      <c r="J717" s="206">
        <f t="shared" si="56"/>
        <v>732.91338582677179</v>
      </c>
      <c r="K717" s="212">
        <f t="shared" si="57"/>
        <v>2.1486892995272882E-2</v>
      </c>
      <c r="L717" s="209">
        <f>VLOOKUP(E717,'Custos Matéria Prima Embalagens'!B:G,6,0)</f>
        <v>10.37</v>
      </c>
      <c r="M717" s="209">
        <f t="shared" si="58"/>
        <v>207.39999999999998</v>
      </c>
      <c r="N717" s="209">
        <f t="shared" si="59"/>
        <v>0.28000000000000003</v>
      </c>
    </row>
    <row r="718" spans="1:14" hidden="1">
      <c r="A718" s="129" t="s">
        <v>1266</v>
      </c>
      <c r="B718" s="129" t="s">
        <v>1267</v>
      </c>
      <c r="C718" s="129" t="s">
        <v>736</v>
      </c>
      <c r="D718" s="129" t="s">
        <v>1254</v>
      </c>
      <c r="E718" s="129" t="s">
        <v>1221</v>
      </c>
      <c r="F718" s="129" t="s">
        <v>1222</v>
      </c>
      <c r="G718" s="210">
        <v>17</v>
      </c>
      <c r="H718" s="211">
        <f t="shared" si="55"/>
        <v>930.80000000000007</v>
      </c>
      <c r="I718" s="207">
        <f>IF(F718="CONCENTRADO SEMI BRILHO",G718/'De-Para'!$B$9,G718/VLOOKUP(B718,'De-Para'!A:B,2,0))</f>
        <v>13.385826771653543</v>
      </c>
      <c r="J718" s="206">
        <f t="shared" si="56"/>
        <v>732.91338582677179</v>
      </c>
      <c r="K718" s="212">
        <f t="shared" si="57"/>
        <v>1.8263859045981951E-2</v>
      </c>
      <c r="L718" s="209">
        <f>VLOOKUP(E718,'Custos Matéria Prima Embalagens'!B:G,6,0)</f>
        <v>7.9049999999999994</v>
      </c>
      <c r="M718" s="209">
        <f t="shared" si="58"/>
        <v>134.38499999999999</v>
      </c>
      <c r="N718" s="209">
        <f t="shared" si="59"/>
        <v>0.18</v>
      </c>
    </row>
    <row r="719" spans="1:14" hidden="1">
      <c r="A719" s="129" t="s">
        <v>1266</v>
      </c>
      <c r="B719" s="129" t="s">
        <v>1267</v>
      </c>
      <c r="C719" s="129" t="s">
        <v>736</v>
      </c>
      <c r="D719" s="129" t="s">
        <v>1254</v>
      </c>
      <c r="E719" s="129" t="s">
        <v>1270</v>
      </c>
      <c r="F719" s="129" t="s">
        <v>1272</v>
      </c>
      <c r="G719" s="210">
        <v>300</v>
      </c>
      <c r="H719" s="211">
        <f t="shared" si="55"/>
        <v>930.80000000000007</v>
      </c>
      <c r="I719" s="207">
        <f>IF(F719="CONCENTRADO SEMI BRILHO",G719/'De-Para'!$B$9,G719/VLOOKUP(B719,'De-Para'!A:B,2,0))</f>
        <v>236.22047244094489</v>
      </c>
      <c r="J719" s="206">
        <f t="shared" si="56"/>
        <v>732.91338582677179</v>
      </c>
      <c r="K719" s="212">
        <f t="shared" si="57"/>
        <v>0.32230339492909321</v>
      </c>
      <c r="L719" s="209">
        <f>VLOOKUP(E719,'Custos Matéria Prima Embalagens'!B:G,6,0)</f>
        <v>8.9700000000000006</v>
      </c>
      <c r="M719" s="209">
        <f t="shared" si="58"/>
        <v>2691</v>
      </c>
      <c r="N719" s="209">
        <f t="shared" si="59"/>
        <v>3.67</v>
      </c>
    </row>
    <row r="720" spans="1:14" hidden="1">
      <c r="A720" s="129" t="s">
        <v>1266</v>
      </c>
      <c r="B720" s="129" t="s">
        <v>1267</v>
      </c>
      <c r="C720" s="129" t="s">
        <v>736</v>
      </c>
      <c r="D720" s="129" t="s">
        <v>1254</v>
      </c>
      <c r="E720" s="129" t="s">
        <v>1231</v>
      </c>
      <c r="F720" s="129" t="s">
        <v>1232</v>
      </c>
      <c r="G720" s="210">
        <v>0.5</v>
      </c>
      <c r="H720" s="211">
        <f t="shared" si="55"/>
        <v>930.80000000000007</v>
      </c>
      <c r="I720" s="207">
        <f>IF(F720="CONCENTRADO SEMI BRILHO",G720/'De-Para'!$B$9,G720/VLOOKUP(B720,'De-Para'!A:B,2,0))</f>
        <v>0.39370078740157477</v>
      </c>
      <c r="J720" s="206">
        <f t="shared" si="56"/>
        <v>732.91338582677179</v>
      </c>
      <c r="K720" s="212">
        <f t="shared" si="57"/>
        <v>5.3717232488182201E-4</v>
      </c>
      <c r="L720" s="209">
        <f>VLOOKUP(E720,'Custos Matéria Prima Embalagens'!B:G,6,0)</f>
        <v>15.2</v>
      </c>
      <c r="M720" s="209">
        <f t="shared" si="58"/>
        <v>7.6</v>
      </c>
      <c r="N720" s="209">
        <f t="shared" si="59"/>
        <v>0.01</v>
      </c>
    </row>
    <row r="721" spans="1:14" hidden="1">
      <c r="A721" s="129" t="s">
        <v>1266</v>
      </c>
      <c r="B721" s="129" t="s">
        <v>1267</v>
      </c>
      <c r="C721" s="129" t="s">
        <v>736</v>
      </c>
      <c r="D721" s="129" t="s">
        <v>1254</v>
      </c>
      <c r="E721" s="129" t="s">
        <v>1233</v>
      </c>
      <c r="F721" s="129" t="s">
        <v>1234</v>
      </c>
      <c r="G721" s="210">
        <v>0.1</v>
      </c>
      <c r="H721" s="211">
        <f t="shared" si="55"/>
        <v>930.80000000000007</v>
      </c>
      <c r="I721" s="207">
        <f>IF(F721="CONCENTRADO SEMI BRILHO",G721/'De-Para'!$B$9,G721/VLOOKUP(B721,'De-Para'!A:B,2,0))</f>
        <v>7.874015748031496E-2</v>
      </c>
      <c r="J721" s="206">
        <f t="shared" si="56"/>
        <v>732.91338582677179</v>
      </c>
      <c r="K721" s="212">
        <f t="shared" si="57"/>
        <v>1.0743446497636442E-4</v>
      </c>
      <c r="L721" s="209">
        <f>VLOOKUP(E721,'Custos Matéria Prima Embalagens'!B:G,6,0)</f>
        <v>31.93</v>
      </c>
      <c r="M721" s="209">
        <f t="shared" si="58"/>
        <v>3.1930000000000001</v>
      </c>
      <c r="N721" s="209">
        <f t="shared" si="59"/>
        <v>0</v>
      </c>
    </row>
    <row r="722" spans="1:14" hidden="1">
      <c r="A722" s="129" t="s">
        <v>1266</v>
      </c>
      <c r="B722" s="129" t="s">
        <v>1267</v>
      </c>
      <c r="C722" s="129" t="s">
        <v>738</v>
      </c>
      <c r="D722" s="129" t="s">
        <v>701</v>
      </c>
      <c r="E722" s="129" t="s">
        <v>1197</v>
      </c>
      <c r="F722" s="129" t="s">
        <v>1198</v>
      </c>
      <c r="G722" s="210">
        <v>300</v>
      </c>
      <c r="H722" s="211">
        <f t="shared" si="55"/>
        <v>931.60000000000014</v>
      </c>
      <c r="I722" s="207">
        <f>IF(F722="CONCENTRADO SEMI BRILHO",G722/'De-Para'!$B$9,G722/VLOOKUP(B722,'De-Para'!A:B,2,0))</f>
        <v>236.22047244094489</v>
      </c>
      <c r="J722" s="206">
        <f t="shared" si="56"/>
        <v>733.54330708661428</v>
      </c>
      <c r="K722" s="212">
        <f t="shared" si="57"/>
        <v>0.32202662086732498</v>
      </c>
      <c r="L722" s="209">
        <f>VLOOKUP(E722,'Custos Matéria Prima Embalagens'!B:G,6,0)</f>
        <v>0</v>
      </c>
      <c r="M722" s="209">
        <f t="shared" si="58"/>
        <v>0</v>
      </c>
      <c r="N722" s="209">
        <f t="shared" si="59"/>
        <v>0</v>
      </c>
    </row>
    <row r="723" spans="1:14" hidden="1">
      <c r="A723" s="129" t="s">
        <v>1266</v>
      </c>
      <c r="B723" s="129" t="s">
        <v>1267</v>
      </c>
      <c r="C723" s="129" t="s">
        <v>738</v>
      </c>
      <c r="D723" s="129" t="s">
        <v>701</v>
      </c>
      <c r="E723" s="129" t="s">
        <v>1199</v>
      </c>
      <c r="F723" s="129" t="s">
        <v>1200</v>
      </c>
      <c r="G723" s="210">
        <v>1.2</v>
      </c>
      <c r="H723" s="211">
        <f t="shared" si="55"/>
        <v>931.60000000000014</v>
      </c>
      <c r="I723" s="207">
        <f>IF(F723="CONCENTRADO SEMI BRILHO",G723/'De-Para'!$B$9,G723/VLOOKUP(B723,'De-Para'!A:B,2,0))</f>
        <v>0.94488188976377951</v>
      </c>
      <c r="J723" s="206">
        <f t="shared" si="56"/>
        <v>733.54330708661428</v>
      </c>
      <c r="K723" s="212">
        <f t="shared" si="57"/>
        <v>1.2881064834693E-3</v>
      </c>
      <c r="L723" s="209">
        <f>VLOOKUP(E723,'Custos Matéria Prima Embalagens'!B:G,6,0)</f>
        <v>17.939999999999998</v>
      </c>
      <c r="M723" s="209">
        <f t="shared" si="58"/>
        <v>21.527999999999995</v>
      </c>
      <c r="N723" s="209">
        <f t="shared" si="59"/>
        <v>0.03</v>
      </c>
    </row>
    <row r="724" spans="1:14" hidden="1">
      <c r="A724" s="129" t="s">
        <v>1266</v>
      </c>
      <c r="B724" s="129" t="s">
        <v>1267</v>
      </c>
      <c r="C724" s="129" t="s">
        <v>738</v>
      </c>
      <c r="D724" s="129" t="s">
        <v>701</v>
      </c>
      <c r="E724" s="129" t="s">
        <v>1257</v>
      </c>
      <c r="F724" s="129" t="s">
        <v>1258</v>
      </c>
      <c r="G724" s="210">
        <v>2</v>
      </c>
      <c r="H724" s="211">
        <f t="shared" si="55"/>
        <v>931.60000000000014</v>
      </c>
      <c r="I724" s="207">
        <f>IF(F724="CONCENTRADO SEMI BRILHO",G724/'De-Para'!$B$9,G724/VLOOKUP(B724,'De-Para'!A:B,2,0))</f>
        <v>1.5748031496062991</v>
      </c>
      <c r="J724" s="206">
        <f t="shared" si="56"/>
        <v>733.54330708661428</v>
      </c>
      <c r="K724" s="212">
        <f t="shared" si="57"/>
        <v>2.1468441391154997E-3</v>
      </c>
      <c r="L724" s="209">
        <f>VLOOKUP(E724,'Custos Matéria Prima Embalagens'!B:G,6,0)</f>
        <v>11.7614232033819</v>
      </c>
      <c r="M724" s="209">
        <f t="shared" si="58"/>
        <v>23.522846406763801</v>
      </c>
      <c r="N724" s="209">
        <f t="shared" si="59"/>
        <v>0.03</v>
      </c>
    </row>
    <row r="725" spans="1:14" hidden="1">
      <c r="A725" s="129" t="s">
        <v>1266</v>
      </c>
      <c r="B725" s="129" t="s">
        <v>1267</v>
      </c>
      <c r="C725" s="129" t="s">
        <v>738</v>
      </c>
      <c r="D725" s="129" t="s">
        <v>701</v>
      </c>
      <c r="E725" s="129" t="s">
        <v>1203</v>
      </c>
      <c r="F725" s="129" t="s">
        <v>1204</v>
      </c>
      <c r="G725" s="210">
        <v>2</v>
      </c>
      <c r="H725" s="211">
        <f t="shared" si="55"/>
        <v>931.60000000000014</v>
      </c>
      <c r="I725" s="207">
        <f>IF(F725="CONCENTRADO SEMI BRILHO",G725/'De-Para'!$B$9,G725/VLOOKUP(B725,'De-Para'!A:B,2,0))</f>
        <v>1.5748031496062991</v>
      </c>
      <c r="J725" s="206">
        <f t="shared" si="56"/>
        <v>733.54330708661428</v>
      </c>
      <c r="K725" s="212">
        <f t="shared" si="57"/>
        <v>2.1468441391154997E-3</v>
      </c>
      <c r="L725" s="209">
        <f>VLOOKUP(E725,'Custos Matéria Prima Embalagens'!B:G,6,0)</f>
        <v>4.9399999999999995</v>
      </c>
      <c r="M725" s="209">
        <f t="shared" si="58"/>
        <v>9.879999999999999</v>
      </c>
      <c r="N725" s="209">
        <f t="shared" si="59"/>
        <v>0.01</v>
      </c>
    </row>
    <row r="726" spans="1:14" hidden="1">
      <c r="A726" s="129" t="s">
        <v>1266</v>
      </c>
      <c r="B726" s="129" t="s">
        <v>1267</v>
      </c>
      <c r="C726" s="129" t="s">
        <v>738</v>
      </c>
      <c r="D726" s="129" t="s">
        <v>701</v>
      </c>
      <c r="E726" s="129" t="s">
        <v>1205</v>
      </c>
      <c r="F726" s="129" t="s">
        <v>1206</v>
      </c>
      <c r="G726" s="210">
        <v>2</v>
      </c>
      <c r="H726" s="211">
        <f t="shared" si="55"/>
        <v>931.60000000000014</v>
      </c>
      <c r="I726" s="207">
        <f>IF(F726="CONCENTRADO SEMI BRILHO",G726/'De-Para'!$B$9,G726/VLOOKUP(B726,'De-Para'!A:B,2,0))</f>
        <v>1.5748031496062991</v>
      </c>
      <c r="J726" s="206">
        <f t="shared" si="56"/>
        <v>733.54330708661428</v>
      </c>
      <c r="K726" s="212">
        <f t="shared" si="57"/>
        <v>2.1468441391154997E-3</v>
      </c>
      <c r="L726" s="209">
        <f>VLOOKUP(E726,'Custos Matéria Prima Embalagens'!B:G,6,0)</f>
        <v>7.33</v>
      </c>
      <c r="M726" s="209">
        <f t="shared" si="58"/>
        <v>14.66</v>
      </c>
      <c r="N726" s="209">
        <f t="shared" si="59"/>
        <v>0.02</v>
      </c>
    </row>
    <row r="727" spans="1:14" hidden="1">
      <c r="A727" s="129" t="s">
        <v>1266</v>
      </c>
      <c r="B727" s="129" t="s">
        <v>1267</v>
      </c>
      <c r="C727" s="129" t="s">
        <v>738</v>
      </c>
      <c r="D727" s="129" t="s">
        <v>701</v>
      </c>
      <c r="E727" s="129" t="s">
        <v>1207</v>
      </c>
      <c r="F727" s="129" t="s">
        <v>1208</v>
      </c>
      <c r="G727" s="210">
        <v>2</v>
      </c>
      <c r="H727" s="211">
        <f t="shared" si="55"/>
        <v>931.60000000000014</v>
      </c>
      <c r="I727" s="207">
        <f>IF(F727="CONCENTRADO SEMI BRILHO",G727/'De-Para'!$B$9,G727/VLOOKUP(B727,'De-Para'!A:B,2,0))</f>
        <v>1.5748031496062991</v>
      </c>
      <c r="J727" s="206">
        <f t="shared" si="56"/>
        <v>733.54330708661428</v>
      </c>
      <c r="K727" s="212">
        <f t="shared" si="57"/>
        <v>2.1468441391154997E-3</v>
      </c>
      <c r="L727" s="209">
        <f>VLOOKUP(E727,'Custos Matéria Prima Embalagens'!B:G,6,0)</f>
        <v>6.8599999999999994</v>
      </c>
      <c r="M727" s="209">
        <f t="shared" si="58"/>
        <v>13.719999999999999</v>
      </c>
      <c r="N727" s="209">
        <f t="shared" si="59"/>
        <v>0.02</v>
      </c>
    </row>
    <row r="728" spans="1:14" hidden="1">
      <c r="A728" s="129" t="s">
        <v>1266</v>
      </c>
      <c r="B728" s="129" t="s">
        <v>1267</v>
      </c>
      <c r="C728" s="129" t="s">
        <v>738</v>
      </c>
      <c r="D728" s="129" t="s">
        <v>701</v>
      </c>
      <c r="E728" s="129" t="s">
        <v>1217</v>
      </c>
      <c r="F728" s="129" t="s">
        <v>1218</v>
      </c>
      <c r="G728" s="210">
        <v>250</v>
      </c>
      <c r="H728" s="211">
        <f t="shared" si="55"/>
        <v>931.60000000000014</v>
      </c>
      <c r="I728" s="207">
        <f>IF(F728="CONCENTRADO SEMI BRILHO",G728/'De-Para'!$B$9,G728/VLOOKUP(B728,'De-Para'!A:B,2,0))</f>
        <v>196.85039370078741</v>
      </c>
      <c r="J728" s="206">
        <f t="shared" si="56"/>
        <v>733.54330708661428</v>
      </c>
      <c r="K728" s="212">
        <f t="shared" si="57"/>
        <v>0.26835551738943747</v>
      </c>
      <c r="L728" s="209">
        <f>VLOOKUP(E728,'Custos Matéria Prima Embalagens'!B:G,6,0)</f>
        <v>8.43</v>
      </c>
      <c r="M728" s="209">
        <f t="shared" si="58"/>
        <v>2107.5</v>
      </c>
      <c r="N728" s="209">
        <f t="shared" si="59"/>
        <v>2.87</v>
      </c>
    </row>
    <row r="729" spans="1:14" hidden="1">
      <c r="A729" s="129" t="s">
        <v>1266</v>
      </c>
      <c r="B729" s="129" t="s">
        <v>1267</v>
      </c>
      <c r="C729" s="129" t="s">
        <v>738</v>
      </c>
      <c r="D729" s="129" t="s">
        <v>701</v>
      </c>
      <c r="E729" s="129" t="s">
        <v>1229</v>
      </c>
      <c r="F729" s="129" t="s">
        <v>1230</v>
      </c>
      <c r="G729" s="210">
        <v>10</v>
      </c>
      <c r="H729" s="211">
        <f t="shared" si="55"/>
        <v>931.60000000000014</v>
      </c>
      <c r="I729" s="207">
        <f>IF(F729="CONCENTRADO SEMI BRILHO",G729/'De-Para'!$B$9,G729/VLOOKUP(B729,'De-Para'!A:B,2,0))</f>
        <v>7.8740157480314963</v>
      </c>
      <c r="J729" s="206">
        <f t="shared" si="56"/>
        <v>733.54330708661428</v>
      </c>
      <c r="K729" s="212">
        <f t="shared" si="57"/>
        <v>1.0734220695577499E-2</v>
      </c>
      <c r="L729" s="209">
        <f>VLOOKUP(E729,'Custos Matéria Prima Embalagens'!B:G,6,0)</f>
        <v>19.22</v>
      </c>
      <c r="M729" s="209">
        <f t="shared" si="58"/>
        <v>192.2</v>
      </c>
      <c r="N729" s="209">
        <f t="shared" si="59"/>
        <v>0.26</v>
      </c>
    </row>
    <row r="730" spans="1:14" hidden="1">
      <c r="A730" s="129" t="s">
        <v>1266</v>
      </c>
      <c r="B730" s="129" t="s">
        <v>1267</v>
      </c>
      <c r="C730" s="129" t="s">
        <v>738</v>
      </c>
      <c r="D730" s="129" t="s">
        <v>701</v>
      </c>
      <c r="E730" s="129" t="s">
        <v>1261</v>
      </c>
      <c r="F730" s="129" t="s">
        <v>1262</v>
      </c>
      <c r="G730" s="210">
        <v>10</v>
      </c>
      <c r="H730" s="211">
        <f t="shared" si="55"/>
        <v>931.60000000000014</v>
      </c>
      <c r="I730" s="207">
        <f>IF(F730="CONCENTRADO SEMI BRILHO",G730/'De-Para'!$B$9,G730/VLOOKUP(B730,'De-Para'!A:B,2,0))</f>
        <v>7.8740157480314963</v>
      </c>
      <c r="J730" s="206">
        <f t="shared" si="56"/>
        <v>733.54330708661428</v>
      </c>
      <c r="K730" s="212">
        <f t="shared" si="57"/>
        <v>1.0734220695577499E-2</v>
      </c>
      <c r="L730" s="209">
        <f>VLOOKUP(E730,'Custos Matéria Prima Embalagens'!B:G,6,0)</f>
        <v>31.4314232033819</v>
      </c>
      <c r="M730" s="209">
        <f t="shared" si="58"/>
        <v>314.314232033819</v>
      </c>
      <c r="N730" s="209">
        <f t="shared" si="59"/>
        <v>0.43</v>
      </c>
    </row>
    <row r="731" spans="1:14" hidden="1">
      <c r="A731" s="129" t="s">
        <v>1266</v>
      </c>
      <c r="B731" s="129" t="s">
        <v>1267</v>
      </c>
      <c r="C731" s="129" t="s">
        <v>738</v>
      </c>
      <c r="D731" s="129" t="s">
        <v>701</v>
      </c>
      <c r="E731" s="129" t="s">
        <v>1209</v>
      </c>
      <c r="F731" s="129" t="s">
        <v>1210</v>
      </c>
      <c r="G731" s="210">
        <v>3</v>
      </c>
      <c r="H731" s="211">
        <f t="shared" si="55"/>
        <v>931.60000000000014</v>
      </c>
      <c r="I731" s="207">
        <f>IF(F731="CONCENTRADO SEMI BRILHO",G731/'De-Para'!$B$9,G731/VLOOKUP(B731,'De-Para'!A:B,2,0))</f>
        <v>2.3622047244094486</v>
      </c>
      <c r="J731" s="206">
        <f t="shared" si="56"/>
        <v>733.54330708661428</v>
      </c>
      <c r="K731" s="212">
        <f t="shared" si="57"/>
        <v>3.22026620867325E-3</v>
      </c>
      <c r="L731" s="209">
        <f>VLOOKUP(E731,'Custos Matéria Prima Embalagens'!B:G,6,0)</f>
        <v>7</v>
      </c>
      <c r="M731" s="209">
        <f t="shared" si="58"/>
        <v>21</v>
      </c>
      <c r="N731" s="209">
        <f t="shared" si="59"/>
        <v>0.03</v>
      </c>
    </row>
    <row r="732" spans="1:14" hidden="1">
      <c r="A732" s="129" t="s">
        <v>1266</v>
      </c>
      <c r="B732" s="129" t="s">
        <v>1267</v>
      </c>
      <c r="C732" s="129" t="s">
        <v>738</v>
      </c>
      <c r="D732" s="129" t="s">
        <v>701</v>
      </c>
      <c r="E732" s="129" t="s">
        <v>1219</v>
      </c>
      <c r="F732" s="129" t="s">
        <v>1220</v>
      </c>
      <c r="G732" s="210">
        <v>11</v>
      </c>
      <c r="H732" s="211">
        <f t="shared" si="55"/>
        <v>931.60000000000014</v>
      </c>
      <c r="I732" s="207">
        <f>IF(F732="CONCENTRADO SEMI BRILHO",G732/'De-Para'!$B$9,G732/VLOOKUP(B732,'De-Para'!A:B,2,0))</f>
        <v>8.6614173228346463</v>
      </c>
      <c r="J732" s="206">
        <f t="shared" si="56"/>
        <v>733.54330708661428</v>
      </c>
      <c r="K732" s="212">
        <f t="shared" si="57"/>
        <v>1.1807642765135249E-2</v>
      </c>
      <c r="L732" s="209">
        <f>VLOOKUP(E732,'Custos Matéria Prima Embalagens'!B:G,6,0)</f>
        <v>4.9800000000000004</v>
      </c>
      <c r="M732" s="209">
        <f t="shared" si="58"/>
        <v>54.78</v>
      </c>
      <c r="N732" s="209">
        <f t="shared" si="59"/>
        <v>7.0000000000000007E-2</v>
      </c>
    </row>
    <row r="733" spans="1:14" hidden="1">
      <c r="A733" s="129" t="s">
        <v>1266</v>
      </c>
      <c r="B733" s="129" t="s">
        <v>1267</v>
      </c>
      <c r="C733" s="129" t="s">
        <v>738</v>
      </c>
      <c r="D733" s="129" t="s">
        <v>701</v>
      </c>
      <c r="E733" s="129" t="s">
        <v>1268</v>
      </c>
      <c r="F733" s="129" t="s">
        <v>1269</v>
      </c>
      <c r="G733" s="210">
        <v>20</v>
      </c>
      <c r="H733" s="211">
        <f t="shared" si="55"/>
        <v>931.60000000000014</v>
      </c>
      <c r="I733" s="207">
        <f>IF(F733="CONCENTRADO SEMI BRILHO",G733/'De-Para'!$B$9,G733/VLOOKUP(B733,'De-Para'!A:B,2,0))</f>
        <v>15.748031496062993</v>
      </c>
      <c r="J733" s="206">
        <f t="shared" si="56"/>
        <v>733.54330708661428</v>
      </c>
      <c r="K733" s="212">
        <f t="shared" si="57"/>
        <v>2.1468441391154999E-2</v>
      </c>
      <c r="L733" s="209">
        <f>VLOOKUP(E733,'Custos Matéria Prima Embalagens'!B:G,6,0)</f>
        <v>10.37</v>
      </c>
      <c r="M733" s="209">
        <f t="shared" si="58"/>
        <v>207.39999999999998</v>
      </c>
      <c r="N733" s="209">
        <f t="shared" si="59"/>
        <v>0.28000000000000003</v>
      </c>
    </row>
    <row r="734" spans="1:14" hidden="1">
      <c r="A734" s="129" t="s">
        <v>1266</v>
      </c>
      <c r="B734" s="129" t="s">
        <v>1267</v>
      </c>
      <c r="C734" s="129" t="s">
        <v>738</v>
      </c>
      <c r="D734" s="129" t="s">
        <v>701</v>
      </c>
      <c r="E734" s="129" t="s">
        <v>1221</v>
      </c>
      <c r="F734" s="129" t="s">
        <v>1222</v>
      </c>
      <c r="G734" s="210">
        <v>17</v>
      </c>
      <c r="H734" s="211">
        <f t="shared" si="55"/>
        <v>931.60000000000014</v>
      </c>
      <c r="I734" s="207">
        <f>IF(F734="CONCENTRADO SEMI BRILHO",G734/'De-Para'!$B$9,G734/VLOOKUP(B734,'De-Para'!A:B,2,0))</f>
        <v>13.385826771653543</v>
      </c>
      <c r="J734" s="206">
        <f t="shared" si="56"/>
        <v>733.54330708661428</v>
      </c>
      <c r="K734" s="212">
        <f t="shared" si="57"/>
        <v>1.824817518248175E-2</v>
      </c>
      <c r="L734" s="209">
        <f>VLOOKUP(E734,'Custos Matéria Prima Embalagens'!B:G,6,0)</f>
        <v>7.9049999999999994</v>
      </c>
      <c r="M734" s="209">
        <f t="shared" si="58"/>
        <v>134.38499999999999</v>
      </c>
      <c r="N734" s="209">
        <f t="shared" si="59"/>
        <v>0.18</v>
      </c>
    </row>
    <row r="735" spans="1:14" hidden="1">
      <c r="A735" s="129" t="s">
        <v>1266</v>
      </c>
      <c r="B735" s="129" t="s">
        <v>1267</v>
      </c>
      <c r="C735" s="129" t="s">
        <v>738</v>
      </c>
      <c r="D735" s="129" t="s">
        <v>701</v>
      </c>
      <c r="E735" s="129" t="s">
        <v>1270</v>
      </c>
      <c r="F735" s="129" t="s">
        <v>1272</v>
      </c>
      <c r="G735" s="210">
        <v>300</v>
      </c>
      <c r="H735" s="211">
        <f t="shared" si="55"/>
        <v>931.60000000000014</v>
      </c>
      <c r="I735" s="207">
        <f>IF(F735="CONCENTRADO SEMI BRILHO",G735/'De-Para'!$B$9,G735/VLOOKUP(B735,'De-Para'!A:B,2,0))</f>
        <v>236.22047244094489</v>
      </c>
      <c r="J735" s="206">
        <f t="shared" si="56"/>
        <v>733.54330708661428</v>
      </c>
      <c r="K735" s="212">
        <f t="shared" si="57"/>
        <v>0.32202662086732498</v>
      </c>
      <c r="L735" s="209">
        <f>VLOOKUP(E735,'Custos Matéria Prima Embalagens'!B:G,6,0)</f>
        <v>8.9700000000000006</v>
      </c>
      <c r="M735" s="209">
        <f t="shared" si="58"/>
        <v>2691</v>
      </c>
      <c r="N735" s="209">
        <f t="shared" si="59"/>
        <v>3.67</v>
      </c>
    </row>
    <row r="736" spans="1:14" hidden="1">
      <c r="A736" s="129" t="s">
        <v>1266</v>
      </c>
      <c r="B736" s="129" t="s">
        <v>1267</v>
      </c>
      <c r="C736" s="129" t="s">
        <v>738</v>
      </c>
      <c r="D736" s="129" t="s">
        <v>701</v>
      </c>
      <c r="E736" s="129" t="s">
        <v>1231</v>
      </c>
      <c r="F736" s="129" t="s">
        <v>1232</v>
      </c>
      <c r="G736" s="210">
        <v>1.2</v>
      </c>
      <c r="H736" s="211">
        <f t="shared" si="55"/>
        <v>931.60000000000014</v>
      </c>
      <c r="I736" s="207">
        <f>IF(F736="CONCENTRADO SEMI BRILHO",G736/'De-Para'!$B$9,G736/VLOOKUP(B736,'De-Para'!A:B,2,0))</f>
        <v>0.94488188976377951</v>
      </c>
      <c r="J736" s="206">
        <f t="shared" si="56"/>
        <v>733.54330708661428</v>
      </c>
      <c r="K736" s="212">
        <f t="shared" si="57"/>
        <v>1.2881064834693E-3</v>
      </c>
      <c r="L736" s="209">
        <f>VLOOKUP(E736,'Custos Matéria Prima Embalagens'!B:G,6,0)</f>
        <v>15.2</v>
      </c>
      <c r="M736" s="209">
        <f t="shared" si="58"/>
        <v>18.239999999999998</v>
      </c>
      <c r="N736" s="209">
        <f t="shared" si="59"/>
        <v>0.02</v>
      </c>
    </row>
    <row r="737" spans="1:14" hidden="1">
      <c r="A737" s="129" t="s">
        <v>1266</v>
      </c>
      <c r="B737" s="129" t="s">
        <v>1267</v>
      </c>
      <c r="C737" s="129" t="s">
        <v>738</v>
      </c>
      <c r="D737" s="129" t="s">
        <v>701</v>
      </c>
      <c r="E737" s="129" t="s">
        <v>1233</v>
      </c>
      <c r="F737" s="129" t="s">
        <v>1234</v>
      </c>
      <c r="G737" s="210">
        <v>0.2</v>
      </c>
      <c r="H737" s="211">
        <f t="shared" si="55"/>
        <v>931.60000000000014</v>
      </c>
      <c r="I737" s="207">
        <f>IF(F737="CONCENTRADO SEMI BRILHO",G737/'De-Para'!$B$9,G737/VLOOKUP(B737,'De-Para'!A:B,2,0))</f>
        <v>0.15748031496062992</v>
      </c>
      <c r="J737" s="206">
        <f t="shared" si="56"/>
        <v>733.54330708661428</v>
      </c>
      <c r="K737" s="212">
        <f t="shared" si="57"/>
        <v>2.1468441391155001E-4</v>
      </c>
      <c r="L737" s="209">
        <f>VLOOKUP(E737,'Custos Matéria Prima Embalagens'!B:G,6,0)</f>
        <v>31.93</v>
      </c>
      <c r="M737" s="209">
        <f t="shared" si="58"/>
        <v>6.3860000000000001</v>
      </c>
      <c r="N737" s="209">
        <f t="shared" si="59"/>
        <v>0.01</v>
      </c>
    </row>
    <row r="738" spans="1:14" hidden="1">
      <c r="A738" s="129" t="s">
        <v>1277</v>
      </c>
      <c r="B738" s="129" t="s">
        <v>1278</v>
      </c>
      <c r="C738" s="129" t="s">
        <v>901</v>
      </c>
      <c r="D738" s="129" t="s">
        <v>704</v>
      </c>
      <c r="E738" s="129" t="s">
        <v>1197</v>
      </c>
      <c r="F738" s="129" t="s">
        <v>1198</v>
      </c>
      <c r="G738" s="210">
        <v>330</v>
      </c>
      <c r="H738" s="211">
        <f t="shared" si="55"/>
        <v>1047.5</v>
      </c>
      <c r="I738" s="207">
        <f>IF(F738="CONCENTRADO SEMI BRILHO",G738/'De-Para'!$B$9,G738/VLOOKUP(B738,'De-Para'!A:B,2,0))</f>
        <v>259.84251968503935</v>
      </c>
      <c r="J738" s="206">
        <f t="shared" si="56"/>
        <v>824.80314960629914</v>
      </c>
      <c r="K738" s="212">
        <f t="shared" si="57"/>
        <v>0.31503579952267302</v>
      </c>
      <c r="L738" s="209">
        <f>VLOOKUP(E738,'Custos Matéria Prima Embalagens'!B:G,6,0)</f>
        <v>0</v>
      </c>
      <c r="M738" s="209">
        <f t="shared" si="58"/>
        <v>0</v>
      </c>
      <c r="N738" s="209">
        <f t="shared" si="59"/>
        <v>0</v>
      </c>
    </row>
    <row r="739" spans="1:14" hidden="1">
      <c r="A739" s="129" t="s">
        <v>1277</v>
      </c>
      <c r="B739" s="129" t="s">
        <v>1278</v>
      </c>
      <c r="C739" s="129" t="s">
        <v>901</v>
      </c>
      <c r="D739" s="129" t="s">
        <v>704</v>
      </c>
      <c r="E739" s="129" t="s">
        <v>1199</v>
      </c>
      <c r="F739" s="129" t="s">
        <v>1200</v>
      </c>
      <c r="G739" s="210">
        <v>1.5</v>
      </c>
      <c r="H739" s="211">
        <f t="shared" si="55"/>
        <v>1047.5</v>
      </c>
      <c r="I739" s="207">
        <f>IF(F739="CONCENTRADO SEMI BRILHO",G739/'De-Para'!$B$9,G739/VLOOKUP(B739,'De-Para'!A:B,2,0))</f>
        <v>1.1811023622047243</v>
      </c>
      <c r="J739" s="206">
        <f t="shared" si="56"/>
        <v>824.80314960629914</v>
      </c>
      <c r="K739" s="212">
        <f t="shared" si="57"/>
        <v>1.431980906921241E-3</v>
      </c>
      <c r="L739" s="209">
        <f>VLOOKUP(E739,'Custos Matéria Prima Embalagens'!B:G,6,0)</f>
        <v>17.939999999999998</v>
      </c>
      <c r="M739" s="209">
        <f t="shared" si="58"/>
        <v>26.909999999999997</v>
      </c>
      <c r="N739" s="209">
        <f t="shared" si="59"/>
        <v>0.03</v>
      </c>
    </row>
    <row r="740" spans="1:14" hidden="1">
      <c r="A740" s="129" t="s">
        <v>1277</v>
      </c>
      <c r="B740" s="129" t="s">
        <v>1278</v>
      </c>
      <c r="C740" s="129" t="s">
        <v>901</v>
      </c>
      <c r="D740" s="129" t="s">
        <v>704</v>
      </c>
      <c r="E740" s="129" t="s">
        <v>1201</v>
      </c>
      <c r="F740" s="129" t="s">
        <v>1202</v>
      </c>
      <c r="G740" s="210">
        <v>3</v>
      </c>
      <c r="H740" s="211">
        <f t="shared" si="55"/>
        <v>1047.5</v>
      </c>
      <c r="I740" s="207">
        <f>IF(F740="CONCENTRADO SEMI BRILHO",G740/'De-Para'!$B$9,G740/VLOOKUP(B740,'De-Para'!A:B,2,0))</f>
        <v>2.3622047244094486</v>
      </c>
      <c r="J740" s="206">
        <f t="shared" si="56"/>
        <v>824.80314960629914</v>
      </c>
      <c r="K740" s="212">
        <f t="shared" si="57"/>
        <v>2.8639618138424821E-3</v>
      </c>
      <c r="L740" s="209">
        <f>VLOOKUP(E740,'Custos Matéria Prima Embalagens'!B:G,6,0)</f>
        <v>7.18</v>
      </c>
      <c r="M740" s="209">
        <f t="shared" si="58"/>
        <v>21.54</v>
      </c>
      <c r="N740" s="209">
        <f t="shared" si="59"/>
        <v>0.03</v>
      </c>
    </row>
    <row r="741" spans="1:14" hidden="1">
      <c r="A741" s="129" t="s">
        <v>1277</v>
      </c>
      <c r="B741" s="129" t="s">
        <v>1278</v>
      </c>
      <c r="C741" s="129" t="s">
        <v>901</v>
      </c>
      <c r="D741" s="129" t="s">
        <v>704</v>
      </c>
      <c r="E741" s="129" t="s">
        <v>1203</v>
      </c>
      <c r="F741" s="129" t="s">
        <v>1204</v>
      </c>
      <c r="G741" s="210">
        <v>3</v>
      </c>
      <c r="H741" s="211">
        <f t="shared" si="55"/>
        <v>1047.5</v>
      </c>
      <c r="I741" s="207">
        <f>IF(F741="CONCENTRADO SEMI BRILHO",G741/'De-Para'!$B$9,G741/VLOOKUP(B741,'De-Para'!A:B,2,0))</f>
        <v>2.3622047244094486</v>
      </c>
      <c r="J741" s="206">
        <f t="shared" si="56"/>
        <v>824.80314960629914</v>
      </c>
      <c r="K741" s="212">
        <f t="shared" si="57"/>
        <v>2.8639618138424821E-3</v>
      </c>
      <c r="L741" s="209">
        <f>VLOOKUP(E741,'Custos Matéria Prima Embalagens'!B:G,6,0)</f>
        <v>4.9399999999999995</v>
      </c>
      <c r="M741" s="209">
        <f t="shared" si="58"/>
        <v>14.819999999999999</v>
      </c>
      <c r="N741" s="209">
        <f t="shared" si="59"/>
        <v>0.02</v>
      </c>
    </row>
    <row r="742" spans="1:14" hidden="1">
      <c r="A742" s="129" t="s">
        <v>1277</v>
      </c>
      <c r="B742" s="129" t="s">
        <v>1278</v>
      </c>
      <c r="C742" s="129" t="s">
        <v>901</v>
      </c>
      <c r="D742" s="129" t="s">
        <v>704</v>
      </c>
      <c r="E742" s="129" t="s">
        <v>1205</v>
      </c>
      <c r="F742" s="129" t="s">
        <v>1206</v>
      </c>
      <c r="G742" s="210">
        <v>3</v>
      </c>
      <c r="H742" s="211">
        <f t="shared" si="55"/>
        <v>1047.5</v>
      </c>
      <c r="I742" s="207">
        <f>IF(F742="CONCENTRADO SEMI BRILHO",G742/'De-Para'!$B$9,G742/VLOOKUP(B742,'De-Para'!A:B,2,0))</f>
        <v>2.3622047244094486</v>
      </c>
      <c r="J742" s="206">
        <f t="shared" si="56"/>
        <v>824.80314960629914</v>
      </c>
      <c r="K742" s="212">
        <f t="shared" si="57"/>
        <v>2.8639618138424821E-3</v>
      </c>
      <c r="L742" s="209">
        <f>VLOOKUP(E742,'Custos Matéria Prima Embalagens'!B:G,6,0)</f>
        <v>7.33</v>
      </c>
      <c r="M742" s="209">
        <f t="shared" si="58"/>
        <v>21.990000000000002</v>
      </c>
      <c r="N742" s="209">
        <f t="shared" si="59"/>
        <v>0.03</v>
      </c>
    </row>
    <row r="743" spans="1:14" hidden="1">
      <c r="A743" s="129" t="s">
        <v>1277</v>
      </c>
      <c r="B743" s="129" t="s">
        <v>1278</v>
      </c>
      <c r="C743" s="129" t="s">
        <v>901</v>
      </c>
      <c r="D743" s="129" t="s">
        <v>704</v>
      </c>
      <c r="E743" s="129" t="s">
        <v>1207</v>
      </c>
      <c r="F743" s="129" t="s">
        <v>1208</v>
      </c>
      <c r="G743" s="210">
        <v>4</v>
      </c>
      <c r="H743" s="211">
        <f t="shared" si="55"/>
        <v>1047.5</v>
      </c>
      <c r="I743" s="207">
        <f>IF(F743="CONCENTRADO SEMI BRILHO",G743/'De-Para'!$B$9,G743/VLOOKUP(B743,'De-Para'!A:B,2,0))</f>
        <v>3.1496062992125982</v>
      </c>
      <c r="J743" s="206">
        <f t="shared" si="56"/>
        <v>824.80314960629914</v>
      </c>
      <c r="K743" s="212">
        <f t="shared" si="57"/>
        <v>3.8186157517899762E-3</v>
      </c>
      <c r="L743" s="209">
        <f>VLOOKUP(E743,'Custos Matéria Prima Embalagens'!B:G,6,0)</f>
        <v>6.8599999999999994</v>
      </c>
      <c r="M743" s="209">
        <f t="shared" si="58"/>
        <v>27.439999999999998</v>
      </c>
      <c r="N743" s="209">
        <f t="shared" si="59"/>
        <v>0.03</v>
      </c>
    </row>
    <row r="744" spans="1:14" hidden="1">
      <c r="A744" s="129" t="s">
        <v>1277</v>
      </c>
      <c r="B744" s="129" t="s">
        <v>1278</v>
      </c>
      <c r="C744" s="129" t="s">
        <v>901</v>
      </c>
      <c r="D744" s="129" t="s">
        <v>704</v>
      </c>
      <c r="E744" s="129" t="s">
        <v>1209</v>
      </c>
      <c r="F744" s="129" t="s">
        <v>1210</v>
      </c>
      <c r="G744" s="210">
        <v>4</v>
      </c>
      <c r="H744" s="211">
        <f t="shared" si="55"/>
        <v>1047.5</v>
      </c>
      <c r="I744" s="207">
        <f>IF(F744="CONCENTRADO SEMI BRILHO",G744/'De-Para'!$B$9,G744/VLOOKUP(B744,'De-Para'!A:B,2,0))</f>
        <v>3.1496062992125982</v>
      </c>
      <c r="J744" s="206">
        <f t="shared" si="56"/>
        <v>824.80314960629914</v>
      </c>
      <c r="K744" s="212">
        <f t="shared" si="57"/>
        <v>3.8186157517899762E-3</v>
      </c>
      <c r="L744" s="209">
        <f>VLOOKUP(E744,'Custos Matéria Prima Embalagens'!B:G,6,0)</f>
        <v>7</v>
      </c>
      <c r="M744" s="209">
        <f t="shared" si="58"/>
        <v>28</v>
      </c>
      <c r="N744" s="209">
        <f t="shared" si="59"/>
        <v>0.03</v>
      </c>
    </row>
    <row r="745" spans="1:14" hidden="1">
      <c r="A745" s="129" t="s">
        <v>1277</v>
      </c>
      <c r="B745" s="129" t="s">
        <v>1278</v>
      </c>
      <c r="C745" s="129" t="s">
        <v>901</v>
      </c>
      <c r="D745" s="129" t="s">
        <v>704</v>
      </c>
      <c r="E745" s="129" t="s">
        <v>1279</v>
      </c>
      <c r="F745" s="129" t="s">
        <v>1280</v>
      </c>
      <c r="G745" s="210">
        <v>75</v>
      </c>
      <c r="H745" s="211">
        <f t="shared" si="55"/>
        <v>1047.5</v>
      </c>
      <c r="I745" s="207">
        <f>IF(F745="CONCENTRADO SEMI BRILHO",G745/'De-Para'!$B$9,G745/VLOOKUP(B745,'De-Para'!A:B,2,0))</f>
        <v>59.055118110236222</v>
      </c>
      <c r="J745" s="206">
        <f t="shared" si="56"/>
        <v>824.80314960629914</v>
      </c>
      <c r="K745" s="212">
        <f t="shared" si="57"/>
        <v>7.1599045346062054E-2</v>
      </c>
      <c r="L745" s="209">
        <f>VLOOKUP(E745,'Custos Matéria Prima Embalagens'!B:G,6,0)</f>
        <v>0.31</v>
      </c>
      <c r="M745" s="209">
        <f t="shared" si="58"/>
        <v>23.25</v>
      </c>
      <c r="N745" s="209">
        <f t="shared" si="59"/>
        <v>0.03</v>
      </c>
    </row>
    <row r="746" spans="1:14" hidden="1">
      <c r="A746" s="129" t="s">
        <v>1277</v>
      </c>
      <c r="B746" s="129" t="s">
        <v>1278</v>
      </c>
      <c r="C746" s="129" t="s">
        <v>901</v>
      </c>
      <c r="D746" s="129" t="s">
        <v>704</v>
      </c>
      <c r="E746" s="129" t="s">
        <v>1213</v>
      </c>
      <c r="F746" s="129" t="s">
        <v>1214</v>
      </c>
      <c r="G746" s="210">
        <v>75</v>
      </c>
      <c r="H746" s="211">
        <f t="shared" si="55"/>
        <v>1047.5</v>
      </c>
      <c r="I746" s="207">
        <f>IF(F746="CONCENTRADO SEMI BRILHO",G746/'De-Para'!$B$9,G746/VLOOKUP(B746,'De-Para'!A:B,2,0))</f>
        <v>59.055118110236222</v>
      </c>
      <c r="J746" s="206">
        <f t="shared" si="56"/>
        <v>824.80314960629914</v>
      </c>
      <c r="K746" s="212">
        <f t="shared" si="57"/>
        <v>7.1599045346062054E-2</v>
      </c>
      <c r="L746" s="209">
        <f>VLOOKUP(E746,'Custos Matéria Prima Embalagens'!B:G,6,0)</f>
        <v>19.3</v>
      </c>
      <c r="M746" s="209">
        <f t="shared" si="58"/>
        <v>1447.5</v>
      </c>
      <c r="N746" s="209">
        <f t="shared" si="59"/>
        <v>1.75</v>
      </c>
    </row>
    <row r="747" spans="1:14" hidden="1">
      <c r="A747" s="129" t="s">
        <v>1277</v>
      </c>
      <c r="B747" s="129" t="s">
        <v>1278</v>
      </c>
      <c r="C747" s="129" t="s">
        <v>901</v>
      </c>
      <c r="D747" s="129" t="s">
        <v>704</v>
      </c>
      <c r="E747" s="129" t="s">
        <v>1211</v>
      </c>
      <c r="F747" s="129" t="s">
        <v>1212</v>
      </c>
      <c r="G747" s="210">
        <v>150</v>
      </c>
      <c r="H747" s="211">
        <f t="shared" si="55"/>
        <v>1047.5</v>
      </c>
      <c r="I747" s="207">
        <f>IF(F747="CONCENTRADO SEMI BRILHO",G747/'De-Para'!$B$9,G747/VLOOKUP(B747,'De-Para'!A:B,2,0))</f>
        <v>118.11023622047244</v>
      </c>
      <c r="J747" s="206">
        <f t="shared" si="56"/>
        <v>824.80314960629914</v>
      </c>
      <c r="K747" s="212">
        <f t="shared" si="57"/>
        <v>0.14319809069212411</v>
      </c>
      <c r="L747" s="209">
        <f>VLOOKUP(E747,'Custos Matéria Prima Embalagens'!B:G,6,0)</f>
        <v>3.09</v>
      </c>
      <c r="M747" s="209">
        <f t="shared" si="58"/>
        <v>463.5</v>
      </c>
      <c r="N747" s="209">
        <f t="shared" si="59"/>
        <v>0.56000000000000005</v>
      </c>
    </row>
    <row r="748" spans="1:14" hidden="1">
      <c r="A748" s="129" t="s">
        <v>1277</v>
      </c>
      <c r="B748" s="129" t="s">
        <v>1278</v>
      </c>
      <c r="C748" s="129" t="s">
        <v>901</v>
      </c>
      <c r="D748" s="129" t="s">
        <v>704</v>
      </c>
      <c r="E748" s="129" t="s">
        <v>1227</v>
      </c>
      <c r="F748" s="129" t="s">
        <v>1228</v>
      </c>
      <c r="G748" s="210">
        <v>50</v>
      </c>
      <c r="H748" s="211">
        <f t="shared" si="55"/>
        <v>1047.5</v>
      </c>
      <c r="I748" s="207">
        <f>IF(F748="CONCENTRADO SEMI BRILHO",G748/'De-Para'!$B$9,G748/VLOOKUP(B748,'De-Para'!A:B,2,0))</f>
        <v>39.370078740157481</v>
      </c>
      <c r="J748" s="206">
        <f t="shared" si="56"/>
        <v>824.80314960629914</v>
      </c>
      <c r="K748" s="212">
        <f t="shared" si="57"/>
        <v>4.77326968973747E-2</v>
      </c>
      <c r="L748" s="209">
        <f>VLOOKUP(E748,'Custos Matéria Prima Embalagens'!B:G,6,0)</f>
        <v>1.520495555555555</v>
      </c>
      <c r="M748" s="209">
        <f t="shared" si="58"/>
        <v>76.024777777777757</v>
      </c>
      <c r="N748" s="209">
        <f t="shared" si="59"/>
        <v>0.09</v>
      </c>
    </row>
    <row r="749" spans="1:14" hidden="1">
      <c r="A749" s="129" t="s">
        <v>1277</v>
      </c>
      <c r="B749" s="129" t="s">
        <v>1278</v>
      </c>
      <c r="C749" s="129" t="s">
        <v>901</v>
      </c>
      <c r="D749" s="129" t="s">
        <v>704</v>
      </c>
      <c r="E749" s="129" t="s">
        <v>1217</v>
      </c>
      <c r="F749" s="129" t="s">
        <v>1218</v>
      </c>
      <c r="G749" s="210">
        <v>300</v>
      </c>
      <c r="H749" s="211">
        <f t="shared" si="55"/>
        <v>1047.5</v>
      </c>
      <c r="I749" s="207">
        <f>IF(F749="CONCENTRADO SEMI BRILHO",G749/'De-Para'!$B$9,G749/VLOOKUP(B749,'De-Para'!A:B,2,0))</f>
        <v>236.22047244094489</v>
      </c>
      <c r="J749" s="206">
        <f t="shared" si="56"/>
        <v>824.80314960629914</v>
      </c>
      <c r="K749" s="212">
        <f t="shared" si="57"/>
        <v>0.28639618138424822</v>
      </c>
      <c r="L749" s="209">
        <f>VLOOKUP(E749,'Custos Matéria Prima Embalagens'!B:G,6,0)</f>
        <v>8.43</v>
      </c>
      <c r="M749" s="209">
        <f t="shared" si="58"/>
        <v>2529</v>
      </c>
      <c r="N749" s="209">
        <f t="shared" si="59"/>
        <v>3.07</v>
      </c>
    </row>
    <row r="750" spans="1:14" hidden="1">
      <c r="A750" s="129" t="s">
        <v>1277</v>
      </c>
      <c r="B750" s="129" t="s">
        <v>1278</v>
      </c>
      <c r="C750" s="129" t="s">
        <v>901</v>
      </c>
      <c r="D750" s="129" t="s">
        <v>704</v>
      </c>
      <c r="E750" s="129" t="s">
        <v>1261</v>
      </c>
      <c r="F750" s="129" t="s">
        <v>1262</v>
      </c>
      <c r="G750" s="210">
        <v>25</v>
      </c>
      <c r="H750" s="211">
        <f t="shared" si="55"/>
        <v>1047.5</v>
      </c>
      <c r="I750" s="207">
        <f>IF(F750="CONCENTRADO SEMI BRILHO",G750/'De-Para'!$B$9,G750/VLOOKUP(B750,'De-Para'!A:B,2,0))</f>
        <v>19.685039370078741</v>
      </c>
      <c r="J750" s="206">
        <f t="shared" si="56"/>
        <v>824.80314960629914</v>
      </c>
      <c r="K750" s="212">
        <f t="shared" si="57"/>
        <v>2.386634844868735E-2</v>
      </c>
      <c r="L750" s="209">
        <f>VLOOKUP(E750,'Custos Matéria Prima Embalagens'!B:G,6,0)</f>
        <v>31.4314232033819</v>
      </c>
      <c r="M750" s="209">
        <f t="shared" si="58"/>
        <v>785.78558008454752</v>
      </c>
      <c r="N750" s="209">
        <f t="shared" si="59"/>
        <v>0.95</v>
      </c>
    </row>
    <row r="751" spans="1:14" hidden="1">
      <c r="A751" s="129" t="s">
        <v>1277</v>
      </c>
      <c r="B751" s="129" t="s">
        <v>1278</v>
      </c>
      <c r="C751" s="129" t="s">
        <v>901</v>
      </c>
      <c r="D751" s="129" t="s">
        <v>704</v>
      </c>
      <c r="E751" s="129" t="s">
        <v>1229</v>
      </c>
      <c r="F751" s="129" t="s">
        <v>1230</v>
      </c>
      <c r="G751" s="210">
        <v>10</v>
      </c>
      <c r="H751" s="211">
        <f t="shared" si="55"/>
        <v>1047.5</v>
      </c>
      <c r="I751" s="207">
        <f>IF(F751="CONCENTRADO SEMI BRILHO",G751/'De-Para'!$B$9,G751/VLOOKUP(B751,'De-Para'!A:B,2,0))</f>
        <v>7.8740157480314963</v>
      </c>
      <c r="J751" s="206">
        <f t="shared" si="56"/>
        <v>824.80314960629914</v>
      </c>
      <c r="K751" s="212">
        <f t="shared" si="57"/>
        <v>9.5465393794749408E-3</v>
      </c>
      <c r="L751" s="209">
        <f>VLOOKUP(E751,'Custos Matéria Prima Embalagens'!B:G,6,0)</f>
        <v>19.22</v>
      </c>
      <c r="M751" s="209">
        <f t="shared" si="58"/>
        <v>192.2</v>
      </c>
      <c r="N751" s="209">
        <f t="shared" si="59"/>
        <v>0.23</v>
      </c>
    </row>
    <row r="752" spans="1:14" hidden="1">
      <c r="A752" s="129" t="s">
        <v>1277</v>
      </c>
      <c r="B752" s="129" t="s">
        <v>1278</v>
      </c>
      <c r="C752" s="129" t="s">
        <v>901</v>
      </c>
      <c r="D752" s="129" t="s">
        <v>704</v>
      </c>
      <c r="E752" s="129" t="s">
        <v>1219</v>
      </c>
      <c r="F752" s="129" t="s">
        <v>1220</v>
      </c>
      <c r="G752" s="210">
        <v>4</v>
      </c>
      <c r="H752" s="211">
        <f t="shared" si="55"/>
        <v>1047.5</v>
      </c>
      <c r="I752" s="207">
        <f>IF(F752="CONCENTRADO SEMI BRILHO",G752/'De-Para'!$B$9,G752/VLOOKUP(B752,'De-Para'!A:B,2,0))</f>
        <v>3.1496062992125982</v>
      </c>
      <c r="J752" s="206">
        <f t="shared" si="56"/>
        <v>824.80314960629914</v>
      </c>
      <c r="K752" s="212">
        <f t="shared" si="57"/>
        <v>3.8186157517899762E-3</v>
      </c>
      <c r="L752" s="209">
        <f>VLOOKUP(E752,'Custos Matéria Prima Embalagens'!B:G,6,0)</f>
        <v>4.9800000000000004</v>
      </c>
      <c r="M752" s="209">
        <f t="shared" si="58"/>
        <v>19.920000000000002</v>
      </c>
      <c r="N752" s="209">
        <f t="shared" si="59"/>
        <v>0.02</v>
      </c>
    </row>
    <row r="753" spans="1:14" hidden="1">
      <c r="A753" s="129" t="s">
        <v>1277</v>
      </c>
      <c r="B753" s="129" t="s">
        <v>1278</v>
      </c>
      <c r="C753" s="129" t="s">
        <v>901</v>
      </c>
      <c r="D753" s="129" t="s">
        <v>704</v>
      </c>
      <c r="E753" s="129" t="s">
        <v>1221</v>
      </c>
      <c r="F753" s="129" t="s">
        <v>1222</v>
      </c>
      <c r="G753" s="210">
        <v>10</v>
      </c>
      <c r="H753" s="211">
        <f t="shared" si="55"/>
        <v>1047.5</v>
      </c>
      <c r="I753" s="207">
        <f>IF(F753="CONCENTRADO SEMI BRILHO",G753/'De-Para'!$B$9,G753/VLOOKUP(B753,'De-Para'!A:B,2,0))</f>
        <v>7.8740157480314963</v>
      </c>
      <c r="J753" s="206">
        <f t="shared" si="56"/>
        <v>824.80314960629914</v>
      </c>
      <c r="K753" s="212">
        <f t="shared" si="57"/>
        <v>9.5465393794749408E-3</v>
      </c>
      <c r="L753" s="209">
        <f>VLOOKUP(E753,'Custos Matéria Prima Embalagens'!B:G,6,0)</f>
        <v>7.9049999999999994</v>
      </c>
      <c r="M753" s="209">
        <f t="shared" si="58"/>
        <v>79.05</v>
      </c>
      <c r="N753" s="209">
        <f t="shared" si="59"/>
        <v>0.1</v>
      </c>
    </row>
    <row r="754" spans="1:14" hidden="1">
      <c r="A754" s="129" t="s">
        <v>1277</v>
      </c>
      <c r="B754" s="129" t="s">
        <v>1278</v>
      </c>
      <c r="C754" s="129" t="s">
        <v>909</v>
      </c>
      <c r="D754" s="129" t="s">
        <v>698</v>
      </c>
      <c r="E754" s="129" t="s">
        <v>1197</v>
      </c>
      <c r="F754" s="129" t="s">
        <v>1198</v>
      </c>
      <c r="G754" s="210">
        <v>330</v>
      </c>
      <c r="H754" s="211">
        <f t="shared" si="55"/>
        <v>1025.7</v>
      </c>
      <c r="I754" s="207">
        <f>IF(F754="CONCENTRADO SEMI BRILHO",G754/'De-Para'!$B$9,G754/VLOOKUP(B754,'De-Para'!A:B,2,0))</f>
        <v>259.84251968503935</v>
      </c>
      <c r="J754" s="206">
        <f t="shared" si="56"/>
        <v>807.63779527559041</v>
      </c>
      <c r="K754" s="212">
        <f t="shared" si="57"/>
        <v>0.32173150043872478</v>
      </c>
      <c r="L754" s="209">
        <f>VLOOKUP(E754,'Custos Matéria Prima Embalagens'!B:G,6,0)</f>
        <v>0</v>
      </c>
      <c r="M754" s="209">
        <f t="shared" si="58"/>
        <v>0</v>
      </c>
      <c r="N754" s="209">
        <f t="shared" si="59"/>
        <v>0</v>
      </c>
    </row>
    <row r="755" spans="1:14" hidden="1">
      <c r="A755" s="129" t="s">
        <v>1277</v>
      </c>
      <c r="B755" s="129" t="s">
        <v>1278</v>
      </c>
      <c r="C755" s="129" t="s">
        <v>909</v>
      </c>
      <c r="D755" s="129" t="s">
        <v>698</v>
      </c>
      <c r="E755" s="129" t="s">
        <v>1199</v>
      </c>
      <c r="F755" s="129" t="s">
        <v>1200</v>
      </c>
      <c r="G755" s="210">
        <v>1.5</v>
      </c>
      <c r="H755" s="211">
        <f t="shared" si="55"/>
        <v>1025.7</v>
      </c>
      <c r="I755" s="207">
        <f>IF(F755="CONCENTRADO SEMI BRILHO",G755/'De-Para'!$B$9,G755/VLOOKUP(B755,'De-Para'!A:B,2,0))</f>
        <v>1.1811023622047243</v>
      </c>
      <c r="J755" s="206">
        <f t="shared" si="56"/>
        <v>807.63779527559041</v>
      </c>
      <c r="K755" s="212">
        <f t="shared" si="57"/>
        <v>1.4624159110851126E-3</v>
      </c>
      <c r="L755" s="209">
        <f>VLOOKUP(E755,'Custos Matéria Prima Embalagens'!B:G,6,0)</f>
        <v>17.939999999999998</v>
      </c>
      <c r="M755" s="209">
        <f t="shared" si="58"/>
        <v>26.909999999999997</v>
      </c>
      <c r="N755" s="209">
        <f t="shared" si="59"/>
        <v>0.03</v>
      </c>
    </row>
    <row r="756" spans="1:14" hidden="1">
      <c r="A756" s="129" t="s">
        <v>1277</v>
      </c>
      <c r="B756" s="129" t="s">
        <v>1278</v>
      </c>
      <c r="C756" s="129" t="s">
        <v>909</v>
      </c>
      <c r="D756" s="129" t="s">
        <v>698</v>
      </c>
      <c r="E756" s="129" t="s">
        <v>1201</v>
      </c>
      <c r="F756" s="129" t="s">
        <v>1202</v>
      </c>
      <c r="G756" s="210">
        <v>3</v>
      </c>
      <c r="H756" s="211">
        <f t="shared" si="55"/>
        <v>1025.7</v>
      </c>
      <c r="I756" s="207">
        <f>IF(F756="CONCENTRADO SEMI BRILHO",G756/'De-Para'!$B$9,G756/VLOOKUP(B756,'De-Para'!A:B,2,0))</f>
        <v>2.3622047244094486</v>
      </c>
      <c r="J756" s="206">
        <f t="shared" si="56"/>
        <v>807.63779527559041</v>
      </c>
      <c r="K756" s="212">
        <f t="shared" si="57"/>
        <v>2.9248318221702253E-3</v>
      </c>
      <c r="L756" s="209">
        <f>VLOOKUP(E756,'Custos Matéria Prima Embalagens'!B:G,6,0)</f>
        <v>7.18</v>
      </c>
      <c r="M756" s="209">
        <f t="shared" si="58"/>
        <v>21.54</v>
      </c>
      <c r="N756" s="209">
        <f t="shared" si="59"/>
        <v>0.03</v>
      </c>
    </row>
    <row r="757" spans="1:14" hidden="1">
      <c r="A757" s="129" t="s">
        <v>1277</v>
      </c>
      <c r="B757" s="129" t="s">
        <v>1278</v>
      </c>
      <c r="C757" s="129" t="s">
        <v>909</v>
      </c>
      <c r="D757" s="129" t="s">
        <v>698</v>
      </c>
      <c r="E757" s="129" t="s">
        <v>1203</v>
      </c>
      <c r="F757" s="129" t="s">
        <v>1204</v>
      </c>
      <c r="G757" s="210">
        <v>3</v>
      </c>
      <c r="H757" s="211">
        <f t="shared" si="55"/>
        <v>1025.7</v>
      </c>
      <c r="I757" s="207">
        <f>IF(F757="CONCENTRADO SEMI BRILHO",G757/'De-Para'!$B$9,G757/VLOOKUP(B757,'De-Para'!A:B,2,0))</f>
        <v>2.3622047244094486</v>
      </c>
      <c r="J757" s="206">
        <f t="shared" si="56"/>
        <v>807.63779527559041</v>
      </c>
      <c r="K757" s="212">
        <f t="shared" si="57"/>
        <v>2.9248318221702253E-3</v>
      </c>
      <c r="L757" s="209">
        <f>VLOOKUP(E757,'Custos Matéria Prima Embalagens'!B:G,6,0)</f>
        <v>4.9399999999999995</v>
      </c>
      <c r="M757" s="209">
        <f t="shared" si="58"/>
        <v>14.819999999999999</v>
      </c>
      <c r="N757" s="209">
        <f t="shared" si="59"/>
        <v>0.02</v>
      </c>
    </row>
    <row r="758" spans="1:14" hidden="1">
      <c r="A758" s="129" t="s">
        <v>1277</v>
      </c>
      <c r="B758" s="129" t="s">
        <v>1278</v>
      </c>
      <c r="C758" s="129" t="s">
        <v>909</v>
      </c>
      <c r="D758" s="129" t="s">
        <v>698</v>
      </c>
      <c r="E758" s="129" t="s">
        <v>1205</v>
      </c>
      <c r="F758" s="129" t="s">
        <v>1206</v>
      </c>
      <c r="G758" s="210">
        <v>3</v>
      </c>
      <c r="H758" s="211">
        <f t="shared" si="55"/>
        <v>1025.7</v>
      </c>
      <c r="I758" s="207">
        <f>IF(F758="CONCENTRADO SEMI BRILHO",G758/'De-Para'!$B$9,G758/VLOOKUP(B758,'De-Para'!A:B,2,0))</f>
        <v>2.3622047244094486</v>
      </c>
      <c r="J758" s="206">
        <f t="shared" si="56"/>
        <v>807.63779527559041</v>
      </c>
      <c r="K758" s="212">
        <f t="shared" si="57"/>
        <v>2.9248318221702253E-3</v>
      </c>
      <c r="L758" s="209">
        <f>VLOOKUP(E758,'Custos Matéria Prima Embalagens'!B:G,6,0)</f>
        <v>7.33</v>
      </c>
      <c r="M758" s="209">
        <f t="shared" si="58"/>
        <v>21.990000000000002</v>
      </c>
      <c r="N758" s="209">
        <f t="shared" si="59"/>
        <v>0.03</v>
      </c>
    </row>
    <row r="759" spans="1:14" hidden="1">
      <c r="A759" s="129" t="s">
        <v>1277</v>
      </c>
      <c r="B759" s="129" t="s">
        <v>1278</v>
      </c>
      <c r="C759" s="129" t="s">
        <v>909</v>
      </c>
      <c r="D759" s="129" t="s">
        <v>698</v>
      </c>
      <c r="E759" s="129" t="s">
        <v>1207</v>
      </c>
      <c r="F759" s="129" t="s">
        <v>1208</v>
      </c>
      <c r="G759" s="210">
        <v>4</v>
      </c>
      <c r="H759" s="211">
        <f t="shared" si="55"/>
        <v>1025.7</v>
      </c>
      <c r="I759" s="207">
        <f>IF(F759="CONCENTRADO SEMI BRILHO",G759/'De-Para'!$B$9,G759/VLOOKUP(B759,'De-Para'!A:B,2,0))</f>
        <v>3.1496062992125982</v>
      </c>
      <c r="J759" s="206">
        <f t="shared" si="56"/>
        <v>807.63779527559041</v>
      </c>
      <c r="K759" s="212">
        <f t="shared" si="57"/>
        <v>3.8997757628936335E-3</v>
      </c>
      <c r="L759" s="209">
        <f>VLOOKUP(E759,'Custos Matéria Prima Embalagens'!B:G,6,0)</f>
        <v>6.8599999999999994</v>
      </c>
      <c r="M759" s="209">
        <f t="shared" si="58"/>
        <v>27.439999999999998</v>
      </c>
      <c r="N759" s="209">
        <f t="shared" si="59"/>
        <v>0.03</v>
      </c>
    </row>
    <row r="760" spans="1:14" hidden="1">
      <c r="A760" s="129" t="s">
        <v>1277</v>
      </c>
      <c r="B760" s="129" t="s">
        <v>1278</v>
      </c>
      <c r="C760" s="129" t="s">
        <v>909</v>
      </c>
      <c r="D760" s="129" t="s">
        <v>698</v>
      </c>
      <c r="E760" s="129" t="s">
        <v>1209</v>
      </c>
      <c r="F760" s="129" t="s">
        <v>1210</v>
      </c>
      <c r="G760" s="210">
        <v>4</v>
      </c>
      <c r="H760" s="211">
        <f t="shared" si="55"/>
        <v>1025.7</v>
      </c>
      <c r="I760" s="207">
        <f>IF(F760="CONCENTRADO SEMI BRILHO",G760/'De-Para'!$B$9,G760/VLOOKUP(B760,'De-Para'!A:B,2,0))</f>
        <v>3.1496062992125982</v>
      </c>
      <c r="J760" s="206">
        <f t="shared" si="56"/>
        <v>807.63779527559041</v>
      </c>
      <c r="K760" s="212">
        <f t="shared" si="57"/>
        <v>3.8997757628936335E-3</v>
      </c>
      <c r="L760" s="209">
        <f>VLOOKUP(E760,'Custos Matéria Prima Embalagens'!B:G,6,0)</f>
        <v>7</v>
      </c>
      <c r="M760" s="209">
        <f t="shared" si="58"/>
        <v>28</v>
      </c>
      <c r="N760" s="209">
        <f t="shared" si="59"/>
        <v>0.03</v>
      </c>
    </row>
    <row r="761" spans="1:14" hidden="1">
      <c r="A761" s="129" t="s">
        <v>1277</v>
      </c>
      <c r="B761" s="129" t="s">
        <v>1278</v>
      </c>
      <c r="C761" s="129" t="s">
        <v>909</v>
      </c>
      <c r="D761" s="129" t="s">
        <v>698</v>
      </c>
      <c r="E761" s="129" t="s">
        <v>1279</v>
      </c>
      <c r="F761" s="129" t="s">
        <v>1280</v>
      </c>
      <c r="G761" s="210">
        <v>75</v>
      </c>
      <c r="H761" s="211">
        <f t="shared" si="55"/>
        <v>1025.7</v>
      </c>
      <c r="I761" s="207">
        <f>IF(F761="CONCENTRADO SEMI BRILHO",G761/'De-Para'!$B$9,G761/VLOOKUP(B761,'De-Para'!A:B,2,0))</f>
        <v>59.055118110236222</v>
      </c>
      <c r="J761" s="206">
        <f t="shared" si="56"/>
        <v>807.63779527559041</v>
      </c>
      <c r="K761" s="212">
        <f t="shared" si="57"/>
        <v>7.312079555425563E-2</v>
      </c>
      <c r="L761" s="209">
        <f>VLOOKUP(E761,'Custos Matéria Prima Embalagens'!B:G,6,0)</f>
        <v>0.31</v>
      </c>
      <c r="M761" s="209">
        <f t="shared" si="58"/>
        <v>23.25</v>
      </c>
      <c r="N761" s="209">
        <f t="shared" si="59"/>
        <v>0.03</v>
      </c>
    </row>
    <row r="762" spans="1:14" hidden="1">
      <c r="A762" s="129" t="s">
        <v>1277</v>
      </c>
      <c r="B762" s="129" t="s">
        <v>1278</v>
      </c>
      <c r="C762" s="129" t="s">
        <v>909</v>
      </c>
      <c r="D762" s="129" t="s">
        <v>698</v>
      </c>
      <c r="E762" s="129" t="s">
        <v>1227</v>
      </c>
      <c r="F762" s="129" t="s">
        <v>1228</v>
      </c>
      <c r="G762" s="210">
        <v>250</v>
      </c>
      <c r="H762" s="211">
        <f t="shared" si="55"/>
        <v>1025.7</v>
      </c>
      <c r="I762" s="207">
        <f>IF(F762="CONCENTRADO SEMI BRILHO",G762/'De-Para'!$B$9,G762/VLOOKUP(B762,'De-Para'!A:B,2,0))</f>
        <v>196.85039370078741</v>
      </c>
      <c r="J762" s="206">
        <f t="shared" si="56"/>
        <v>807.63779527559041</v>
      </c>
      <c r="K762" s="212">
        <f t="shared" si="57"/>
        <v>0.2437359851808521</v>
      </c>
      <c r="L762" s="209">
        <f>VLOOKUP(E762,'Custos Matéria Prima Embalagens'!B:G,6,0)</f>
        <v>1.520495555555555</v>
      </c>
      <c r="M762" s="209">
        <f t="shared" si="58"/>
        <v>380.12388888888876</v>
      </c>
      <c r="N762" s="209">
        <f t="shared" si="59"/>
        <v>0.47</v>
      </c>
    </row>
    <row r="763" spans="1:14" hidden="1">
      <c r="A763" s="129" t="s">
        <v>1277</v>
      </c>
      <c r="B763" s="129" t="s">
        <v>1278</v>
      </c>
      <c r="C763" s="129" t="s">
        <v>909</v>
      </c>
      <c r="D763" s="129" t="s">
        <v>698</v>
      </c>
      <c r="E763" s="129" t="s">
        <v>1217</v>
      </c>
      <c r="F763" s="129" t="s">
        <v>1218</v>
      </c>
      <c r="G763" s="210">
        <v>300</v>
      </c>
      <c r="H763" s="211">
        <f t="shared" si="55"/>
        <v>1025.7</v>
      </c>
      <c r="I763" s="207">
        <f>IF(F763="CONCENTRADO SEMI BRILHO",G763/'De-Para'!$B$9,G763/VLOOKUP(B763,'De-Para'!A:B,2,0))</f>
        <v>236.22047244094489</v>
      </c>
      <c r="J763" s="206">
        <f t="shared" si="56"/>
        <v>807.63779527559041</v>
      </c>
      <c r="K763" s="212">
        <f t="shared" si="57"/>
        <v>0.29248318221702252</v>
      </c>
      <c r="L763" s="209">
        <f>VLOOKUP(E763,'Custos Matéria Prima Embalagens'!B:G,6,0)</f>
        <v>8.43</v>
      </c>
      <c r="M763" s="209">
        <f t="shared" si="58"/>
        <v>2529</v>
      </c>
      <c r="N763" s="209">
        <f t="shared" si="59"/>
        <v>3.13</v>
      </c>
    </row>
    <row r="764" spans="1:14" hidden="1">
      <c r="A764" s="129" t="s">
        <v>1277</v>
      </c>
      <c r="B764" s="129" t="s">
        <v>1278</v>
      </c>
      <c r="C764" s="129" t="s">
        <v>909</v>
      </c>
      <c r="D764" s="129" t="s">
        <v>698</v>
      </c>
      <c r="E764" s="129" t="s">
        <v>1261</v>
      </c>
      <c r="F764" s="129" t="s">
        <v>1262</v>
      </c>
      <c r="G764" s="210">
        <v>25</v>
      </c>
      <c r="H764" s="211">
        <f t="shared" si="55"/>
        <v>1025.7</v>
      </c>
      <c r="I764" s="207">
        <f>IF(F764="CONCENTRADO SEMI BRILHO",G764/'De-Para'!$B$9,G764/VLOOKUP(B764,'De-Para'!A:B,2,0))</f>
        <v>19.685039370078741</v>
      </c>
      <c r="J764" s="206">
        <f t="shared" si="56"/>
        <v>807.63779527559041</v>
      </c>
      <c r="K764" s="212">
        <f t="shared" si="57"/>
        <v>2.437359851808521E-2</v>
      </c>
      <c r="L764" s="209">
        <f>VLOOKUP(E764,'Custos Matéria Prima Embalagens'!B:G,6,0)</f>
        <v>31.4314232033819</v>
      </c>
      <c r="M764" s="209">
        <f t="shared" si="58"/>
        <v>785.78558008454752</v>
      </c>
      <c r="N764" s="209">
        <f t="shared" si="59"/>
        <v>0.97</v>
      </c>
    </row>
    <row r="765" spans="1:14" hidden="1">
      <c r="A765" s="129" t="s">
        <v>1277</v>
      </c>
      <c r="B765" s="129" t="s">
        <v>1278</v>
      </c>
      <c r="C765" s="129" t="s">
        <v>909</v>
      </c>
      <c r="D765" s="129" t="s">
        <v>698</v>
      </c>
      <c r="E765" s="129" t="s">
        <v>1229</v>
      </c>
      <c r="F765" s="129" t="s">
        <v>1230</v>
      </c>
      <c r="G765" s="210">
        <v>10</v>
      </c>
      <c r="H765" s="211">
        <f t="shared" si="55"/>
        <v>1025.7</v>
      </c>
      <c r="I765" s="207">
        <f>IF(F765="CONCENTRADO SEMI BRILHO",G765/'De-Para'!$B$9,G765/VLOOKUP(B765,'De-Para'!A:B,2,0))</f>
        <v>7.8740157480314963</v>
      </c>
      <c r="J765" s="206">
        <f t="shared" si="56"/>
        <v>807.63779527559041</v>
      </c>
      <c r="K765" s="212">
        <f t="shared" si="57"/>
        <v>9.7494394072340836E-3</v>
      </c>
      <c r="L765" s="209">
        <f>VLOOKUP(E765,'Custos Matéria Prima Embalagens'!B:G,6,0)</f>
        <v>19.22</v>
      </c>
      <c r="M765" s="209">
        <f t="shared" si="58"/>
        <v>192.2</v>
      </c>
      <c r="N765" s="209">
        <f t="shared" si="59"/>
        <v>0.24</v>
      </c>
    </row>
    <row r="766" spans="1:14" hidden="1">
      <c r="A766" s="129" t="s">
        <v>1277</v>
      </c>
      <c r="B766" s="129" t="s">
        <v>1278</v>
      </c>
      <c r="C766" s="129" t="s">
        <v>909</v>
      </c>
      <c r="D766" s="129" t="s">
        <v>698</v>
      </c>
      <c r="E766" s="129" t="s">
        <v>1219</v>
      </c>
      <c r="F766" s="129" t="s">
        <v>1220</v>
      </c>
      <c r="G766" s="210">
        <v>4</v>
      </c>
      <c r="H766" s="211">
        <f t="shared" si="55"/>
        <v>1025.7</v>
      </c>
      <c r="I766" s="207">
        <f>IF(F766="CONCENTRADO SEMI BRILHO",G766/'De-Para'!$B$9,G766/VLOOKUP(B766,'De-Para'!A:B,2,0))</f>
        <v>3.1496062992125982</v>
      </c>
      <c r="J766" s="206">
        <f t="shared" si="56"/>
        <v>807.63779527559041</v>
      </c>
      <c r="K766" s="212">
        <f t="shared" si="57"/>
        <v>3.8997757628936335E-3</v>
      </c>
      <c r="L766" s="209">
        <f>VLOOKUP(E766,'Custos Matéria Prima Embalagens'!B:G,6,0)</f>
        <v>4.9800000000000004</v>
      </c>
      <c r="M766" s="209">
        <f t="shared" si="58"/>
        <v>19.920000000000002</v>
      </c>
      <c r="N766" s="209">
        <f t="shared" si="59"/>
        <v>0.02</v>
      </c>
    </row>
    <row r="767" spans="1:14" hidden="1">
      <c r="A767" s="129" t="s">
        <v>1277</v>
      </c>
      <c r="B767" s="129" t="s">
        <v>1278</v>
      </c>
      <c r="C767" s="129" t="s">
        <v>909</v>
      </c>
      <c r="D767" s="129" t="s">
        <v>698</v>
      </c>
      <c r="E767" s="129" t="s">
        <v>1221</v>
      </c>
      <c r="F767" s="129" t="s">
        <v>1222</v>
      </c>
      <c r="G767" s="210">
        <v>10</v>
      </c>
      <c r="H767" s="211">
        <f t="shared" si="55"/>
        <v>1025.7</v>
      </c>
      <c r="I767" s="207">
        <f>IF(F767="CONCENTRADO SEMI BRILHO",G767/'De-Para'!$B$9,G767/VLOOKUP(B767,'De-Para'!A:B,2,0))</f>
        <v>7.8740157480314963</v>
      </c>
      <c r="J767" s="206">
        <f t="shared" si="56"/>
        <v>807.63779527559041</v>
      </c>
      <c r="K767" s="212">
        <f t="shared" si="57"/>
        <v>9.7494394072340836E-3</v>
      </c>
      <c r="L767" s="209">
        <f>VLOOKUP(E767,'Custos Matéria Prima Embalagens'!B:G,6,0)</f>
        <v>7.9049999999999994</v>
      </c>
      <c r="M767" s="209">
        <f t="shared" si="58"/>
        <v>79.05</v>
      </c>
      <c r="N767" s="209">
        <f t="shared" si="59"/>
        <v>0.1</v>
      </c>
    </row>
    <row r="768" spans="1:14" hidden="1">
      <c r="A768" s="129" t="s">
        <v>1277</v>
      </c>
      <c r="B768" s="129" t="s">
        <v>1278</v>
      </c>
      <c r="C768" s="129" t="s">
        <v>909</v>
      </c>
      <c r="D768" s="129" t="s">
        <v>698</v>
      </c>
      <c r="E768" s="129" t="s">
        <v>1231</v>
      </c>
      <c r="F768" s="129" t="s">
        <v>1232</v>
      </c>
      <c r="G768" s="210">
        <v>3</v>
      </c>
      <c r="H768" s="211">
        <f t="shared" si="55"/>
        <v>1025.7</v>
      </c>
      <c r="I768" s="207">
        <f>IF(F768="CONCENTRADO SEMI BRILHO",G768/'De-Para'!$B$9,G768/VLOOKUP(B768,'De-Para'!A:B,2,0))</f>
        <v>2.3622047244094486</v>
      </c>
      <c r="J768" s="206">
        <f t="shared" si="56"/>
        <v>807.63779527559041</v>
      </c>
      <c r="K768" s="212">
        <f t="shared" si="57"/>
        <v>2.9248318221702253E-3</v>
      </c>
      <c r="L768" s="209">
        <f>VLOOKUP(E768,'Custos Matéria Prima Embalagens'!B:G,6,0)</f>
        <v>15.2</v>
      </c>
      <c r="M768" s="209">
        <f t="shared" si="58"/>
        <v>45.599999999999994</v>
      </c>
      <c r="N768" s="209">
        <f t="shared" si="59"/>
        <v>0.06</v>
      </c>
    </row>
    <row r="769" spans="1:14" hidden="1">
      <c r="A769" s="129" t="s">
        <v>1277</v>
      </c>
      <c r="B769" s="129" t="s">
        <v>1278</v>
      </c>
      <c r="C769" s="129" t="s">
        <v>909</v>
      </c>
      <c r="D769" s="129" t="s">
        <v>698</v>
      </c>
      <c r="E769" s="129" t="s">
        <v>1233</v>
      </c>
      <c r="F769" s="129" t="s">
        <v>1234</v>
      </c>
      <c r="G769" s="210">
        <v>0.2</v>
      </c>
      <c r="H769" s="211">
        <f t="shared" si="55"/>
        <v>1025.7</v>
      </c>
      <c r="I769" s="207">
        <f>IF(F769="CONCENTRADO SEMI BRILHO",G769/'De-Para'!$B$9,G769/VLOOKUP(B769,'De-Para'!A:B,2,0))</f>
        <v>0.15748031496062992</v>
      </c>
      <c r="J769" s="206">
        <f t="shared" si="56"/>
        <v>807.63779527559041</v>
      </c>
      <c r="K769" s="212">
        <f t="shared" si="57"/>
        <v>1.9498878814468168E-4</v>
      </c>
      <c r="L769" s="209">
        <f>VLOOKUP(E769,'Custos Matéria Prima Embalagens'!B:G,6,0)</f>
        <v>31.93</v>
      </c>
      <c r="M769" s="209">
        <f t="shared" si="58"/>
        <v>6.3860000000000001</v>
      </c>
      <c r="N769" s="209">
        <f t="shared" si="59"/>
        <v>0.01</v>
      </c>
    </row>
    <row r="770" spans="1:14" hidden="1">
      <c r="A770" s="129" t="s">
        <v>1281</v>
      </c>
      <c r="B770" s="129" t="s">
        <v>1282</v>
      </c>
      <c r="C770" s="129" t="s">
        <v>1026</v>
      </c>
      <c r="D770" s="129" t="s">
        <v>566</v>
      </c>
      <c r="E770" s="129" t="s">
        <v>1283</v>
      </c>
      <c r="F770" s="129" t="s">
        <v>1284</v>
      </c>
      <c r="G770" s="210">
        <v>120</v>
      </c>
      <c r="H770" s="211">
        <f t="shared" si="55"/>
        <v>800</v>
      </c>
      <c r="I770" s="207">
        <f>IF(F770="CONCENTRADO SEMI BRILHO",G770/'De-Para'!$B$9,G770/VLOOKUP(B770,'De-Para'!A:B,2,0))</f>
        <v>94.488188976377955</v>
      </c>
      <c r="J770" s="206">
        <f t="shared" si="56"/>
        <v>629.92125984251959</v>
      </c>
      <c r="K770" s="212">
        <f t="shared" si="57"/>
        <v>0.15</v>
      </c>
      <c r="L770" s="209">
        <f>VLOOKUP(E770,'Custos Matéria Prima Embalagens'!B:G,6,0)</f>
        <v>12.47</v>
      </c>
      <c r="M770" s="209">
        <f t="shared" si="58"/>
        <v>1496.4</v>
      </c>
      <c r="N770" s="209">
        <f t="shared" si="59"/>
        <v>2.38</v>
      </c>
    </row>
    <row r="771" spans="1:14" hidden="1">
      <c r="A771" s="129" t="s">
        <v>1281</v>
      </c>
      <c r="B771" s="129" t="s">
        <v>1282</v>
      </c>
      <c r="C771" s="129" t="s">
        <v>1026</v>
      </c>
      <c r="D771" s="129" t="s">
        <v>566</v>
      </c>
      <c r="E771" s="129" t="s">
        <v>1285</v>
      </c>
      <c r="F771" s="129" t="s">
        <v>1286</v>
      </c>
      <c r="G771" s="210">
        <v>68</v>
      </c>
      <c r="H771" s="211">
        <f t="shared" ref="H771:H834" si="60">SUMIFS(G:G,C:C,C771)</f>
        <v>800</v>
      </c>
      <c r="I771" s="207">
        <f>IF(F771="CONCENTRADO SEMI BRILHO",G771/'De-Para'!$B$9,G771/VLOOKUP(B771,'De-Para'!A:B,2,0))</f>
        <v>53.54330708661417</v>
      </c>
      <c r="J771" s="206">
        <f t="shared" ref="J771:J834" si="61">SUMIFS(I:I,C:C,C771)</f>
        <v>629.92125984251959</v>
      </c>
      <c r="K771" s="212">
        <f t="shared" ref="K771:K834" si="62">G771/H771</f>
        <v>8.5000000000000006E-2</v>
      </c>
      <c r="L771" s="209">
        <f>VLOOKUP(E771,'Custos Matéria Prima Embalagens'!B:G,6,0)</f>
        <v>14.68</v>
      </c>
      <c r="M771" s="209">
        <f t="shared" ref="M771:M834" si="63">L771*G771</f>
        <v>998.24</v>
      </c>
      <c r="N771" s="209">
        <f t="shared" ref="N771:N834" si="64">IF(B771="CONCENTRADO",ROUND(M771/H771,2),ROUND(M771/J771,2))</f>
        <v>1.58</v>
      </c>
    </row>
    <row r="772" spans="1:14" hidden="1">
      <c r="A772" s="129" t="s">
        <v>1281</v>
      </c>
      <c r="B772" s="129" t="s">
        <v>1282</v>
      </c>
      <c r="C772" s="129" t="s">
        <v>1026</v>
      </c>
      <c r="D772" s="129" t="s">
        <v>566</v>
      </c>
      <c r="E772" s="129" t="s">
        <v>1287</v>
      </c>
      <c r="F772" s="129" t="s">
        <v>1288</v>
      </c>
      <c r="G772" s="210">
        <v>100</v>
      </c>
      <c r="H772" s="211">
        <f t="shared" si="60"/>
        <v>800</v>
      </c>
      <c r="I772" s="207">
        <f>IF(F772="CONCENTRADO SEMI BRILHO",G772/'De-Para'!$B$9,G772/VLOOKUP(B772,'De-Para'!A:B,2,0))</f>
        <v>78.740157480314963</v>
      </c>
      <c r="J772" s="206">
        <f t="shared" si="61"/>
        <v>629.92125984251959</v>
      </c>
      <c r="K772" s="212">
        <f t="shared" si="62"/>
        <v>0.125</v>
      </c>
      <c r="L772" s="209">
        <f>VLOOKUP(E772,'Custos Matéria Prima Embalagens'!B:G,6,0)</f>
        <v>8.5139124692577308</v>
      </c>
      <c r="M772" s="209">
        <f t="shared" si="63"/>
        <v>851.39124692577309</v>
      </c>
      <c r="N772" s="209">
        <f t="shared" si="64"/>
        <v>1.35</v>
      </c>
    </row>
    <row r="773" spans="1:14" hidden="1">
      <c r="A773" s="129" t="s">
        <v>1281</v>
      </c>
      <c r="B773" s="129" t="s">
        <v>1282</v>
      </c>
      <c r="C773" s="129" t="s">
        <v>1026</v>
      </c>
      <c r="D773" s="129" t="s">
        <v>566</v>
      </c>
      <c r="E773" s="129" t="s">
        <v>1289</v>
      </c>
      <c r="F773" s="129" t="s">
        <v>1290</v>
      </c>
      <c r="G773" s="210">
        <v>4.8</v>
      </c>
      <c r="H773" s="211">
        <f t="shared" si="60"/>
        <v>800</v>
      </c>
      <c r="I773" s="207">
        <f>IF(F773="CONCENTRADO SEMI BRILHO",G773/'De-Para'!$B$9,G773/VLOOKUP(B773,'De-Para'!A:B,2,0))</f>
        <v>3.7795275590551181</v>
      </c>
      <c r="J773" s="206">
        <f t="shared" si="61"/>
        <v>629.92125984251959</v>
      </c>
      <c r="K773" s="212">
        <f t="shared" si="62"/>
        <v>6.0000000000000001E-3</v>
      </c>
      <c r="L773" s="209">
        <f>VLOOKUP(E773,'Custos Matéria Prima Embalagens'!B:G,6,0)</f>
        <v>10.91375009090909</v>
      </c>
      <c r="M773" s="209">
        <f t="shared" si="63"/>
        <v>52.386000436363631</v>
      </c>
      <c r="N773" s="209">
        <f t="shared" si="64"/>
        <v>0.08</v>
      </c>
    </row>
    <row r="774" spans="1:14" hidden="1">
      <c r="A774" s="129" t="s">
        <v>1281</v>
      </c>
      <c r="B774" s="129" t="s">
        <v>1282</v>
      </c>
      <c r="C774" s="129" t="s">
        <v>1026</v>
      </c>
      <c r="D774" s="129" t="s">
        <v>566</v>
      </c>
      <c r="E774" s="129" t="s">
        <v>1197</v>
      </c>
      <c r="F774" s="129" t="s">
        <v>1198</v>
      </c>
      <c r="G774" s="210">
        <v>256</v>
      </c>
      <c r="H774" s="211">
        <f t="shared" si="60"/>
        <v>800</v>
      </c>
      <c r="I774" s="207">
        <f>IF(F774="CONCENTRADO SEMI BRILHO",G774/'De-Para'!$B$9,G774/VLOOKUP(B774,'De-Para'!A:B,2,0))</f>
        <v>201.57480314960628</v>
      </c>
      <c r="J774" s="206">
        <f t="shared" si="61"/>
        <v>629.92125984251959</v>
      </c>
      <c r="K774" s="212">
        <f t="shared" si="62"/>
        <v>0.32</v>
      </c>
      <c r="L774" s="209">
        <f>VLOOKUP(E774,'Custos Matéria Prima Embalagens'!B:G,6,0)</f>
        <v>0</v>
      </c>
      <c r="M774" s="209">
        <f t="shared" si="63"/>
        <v>0</v>
      </c>
      <c r="N774" s="209">
        <f t="shared" si="64"/>
        <v>0</v>
      </c>
    </row>
    <row r="775" spans="1:14" hidden="1">
      <c r="A775" s="129" t="s">
        <v>1281</v>
      </c>
      <c r="B775" s="129" t="s">
        <v>1282</v>
      </c>
      <c r="C775" s="129" t="s">
        <v>1026</v>
      </c>
      <c r="D775" s="129" t="s">
        <v>566</v>
      </c>
      <c r="E775" s="129" t="s">
        <v>1291</v>
      </c>
      <c r="F775" s="129" t="s">
        <v>1292</v>
      </c>
      <c r="G775" s="210">
        <v>220</v>
      </c>
      <c r="H775" s="211">
        <f t="shared" si="60"/>
        <v>800</v>
      </c>
      <c r="I775" s="207">
        <f>IF(F775="CONCENTRADO SEMI BRILHO",G775/'De-Para'!$B$9,G775/VLOOKUP(B775,'De-Para'!A:B,2,0))</f>
        <v>173.22834645669292</v>
      </c>
      <c r="J775" s="206">
        <f t="shared" si="61"/>
        <v>629.92125984251959</v>
      </c>
      <c r="K775" s="212">
        <f t="shared" si="62"/>
        <v>0.27500000000000002</v>
      </c>
      <c r="L775" s="209">
        <f>VLOOKUP(E775,'Custos Matéria Prima Embalagens'!B:G,6,0)</f>
        <v>16.190000000000001</v>
      </c>
      <c r="M775" s="209">
        <f t="shared" si="63"/>
        <v>3561.8</v>
      </c>
      <c r="N775" s="209">
        <f t="shared" si="64"/>
        <v>5.65</v>
      </c>
    </row>
    <row r="776" spans="1:14" hidden="1">
      <c r="A776" s="129" t="s">
        <v>1281</v>
      </c>
      <c r="B776" s="129" t="s">
        <v>1282</v>
      </c>
      <c r="C776" s="129" t="s">
        <v>1026</v>
      </c>
      <c r="D776" s="129" t="s">
        <v>566</v>
      </c>
      <c r="E776" s="129" t="s">
        <v>1293</v>
      </c>
      <c r="F776" s="129" t="s">
        <v>1294</v>
      </c>
      <c r="G776" s="210">
        <v>28</v>
      </c>
      <c r="H776" s="211">
        <f t="shared" si="60"/>
        <v>800</v>
      </c>
      <c r="I776" s="207">
        <f>IF(F776="CONCENTRADO SEMI BRILHO",G776/'De-Para'!$B$9,G776/VLOOKUP(B776,'De-Para'!A:B,2,0))</f>
        <v>22.047244094488189</v>
      </c>
      <c r="J776" s="206">
        <f t="shared" si="61"/>
        <v>629.92125984251959</v>
      </c>
      <c r="K776" s="212">
        <f t="shared" si="62"/>
        <v>3.5000000000000003E-2</v>
      </c>
      <c r="L776" s="209">
        <f>VLOOKUP(E776,'Custos Matéria Prima Embalagens'!B:G,6,0)</f>
        <v>26.2337496579635</v>
      </c>
      <c r="M776" s="209">
        <f t="shared" si="63"/>
        <v>734.544990422978</v>
      </c>
      <c r="N776" s="209">
        <f t="shared" si="64"/>
        <v>1.17</v>
      </c>
    </row>
    <row r="777" spans="1:14" hidden="1">
      <c r="A777" s="129" t="s">
        <v>1281</v>
      </c>
      <c r="B777" s="129" t="s">
        <v>1282</v>
      </c>
      <c r="C777" s="129" t="s">
        <v>1026</v>
      </c>
      <c r="D777" s="129" t="s">
        <v>566</v>
      </c>
      <c r="E777" s="129" t="s">
        <v>1295</v>
      </c>
      <c r="F777" s="129" t="s">
        <v>1296</v>
      </c>
      <c r="G777" s="210">
        <v>3.2</v>
      </c>
      <c r="H777" s="211">
        <f t="shared" si="60"/>
        <v>800</v>
      </c>
      <c r="I777" s="207">
        <f>IF(F777="CONCENTRADO SEMI BRILHO",G777/'De-Para'!$B$9,G777/VLOOKUP(B777,'De-Para'!A:B,2,0))</f>
        <v>2.5196850393700787</v>
      </c>
      <c r="J777" s="206">
        <f t="shared" si="61"/>
        <v>629.92125984251959</v>
      </c>
      <c r="K777" s="212">
        <f t="shared" si="62"/>
        <v>4.0000000000000001E-3</v>
      </c>
      <c r="L777" s="209">
        <f>VLOOKUP(E777,'Custos Matéria Prima Embalagens'!B:G,6,0)</f>
        <v>21.085367657963403</v>
      </c>
      <c r="M777" s="209">
        <f t="shared" si="63"/>
        <v>67.473176505482897</v>
      </c>
      <c r="N777" s="209">
        <f t="shared" si="64"/>
        <v>0.11</v>
      </c>
    </row>
    <row r="778" spans="1:14" hidden="1">
      <c r="A778" s="129" t="s">
        <v>1281</v>
      </c>
      <c r="B778" s="129" t="s">
        <v>1282</v>
      </c>
      <c r="C778" s="129" t="s">
        <v>1030</v>
      </c>
      <c r="D778" s="129" t="s">
        <v>986</v>
      </c>
      <c r="E778" s="129" t="s">
        <v>1283</v>
      </c>
      <c r="F778" s="129" t="s">
        <v>1297</v>
      </c>
      <c r="G778" s="210">
        <v>120</v>
      </c>
      <c r="H778" s="211">
        <f t="shared" si="60"/>
        <v>654</v>
      </c>
      <c r="I778" s="207">
        <f>IF(F778="CONCENTRADO SEMI BRILHO",G778/'De-Para'!$B$9,G778/VLOOKUP(B778,'De-Para'!A:B,2,0))</f>
        <v>94.488188976377955</v>
      </c>
      <c r="J778" s="206">
        <f t="shared" si="61"/>
        <v>514.96062992125974</v>
      </c>
      <c r="K778" s="212">
        <f t="shared" si="62"/>
        <v>0.1834862385321101</v>
      </c>
      <c r="L778" s="209">
        <f>VLOOKUP(E778,'Custos Matéria Prima Embalagens'!B:G,6,0)</f>
        <v>12.47</v>
      </c>
      <c r="M778" s="209">
        <f t="shared" si="63"/>
        <v>1496.4</v>
      </c>
      <c r="N778" s="209">
        <f t="shared" si="64"/>
        <v>2.91</v>
      </c>
    </row>
    <row r="779" spans="1:14" hidden="1">
      <c r="A779" s="129" t="s">
        <v>1281</v>
      </c>
      <c r="B779" s="129" t="s">
        <v>1282</v>
      </c>
      <c r="C779" s="129" t="s">
        <v>1030</v>
      </c>
      <c r="D779" s="129" t="s">
        <v>986</v>
      </c>
      <c r="E779" s="129" t="s">
        <v>1285</v>
      </c>
      <c r="F779" s="129" t="s">
        <v>1298</v>
      </c>
      <c r="G779" s="210">
        <v>80</v>
      </c>
      <c r="H779" s="211">
        <f t="shared" si="60"/>
        <v>654</v>
      </c>
      <c r="I779" s="207">
        <f>IF(F779="CONCENTRADO SEMI BRILHO",G779/'De-Para'!$B$9,G779/VLOOKUP(B779,'De-Para'!A:B,2,0))</f>
        <v>62.99212598425197</v>
      </c>
      <c r="J779" s="206">
        <f t="shared" si="61"/>
        <v>514.96062992125974</v>
      </c>
      <c r="K779" s="212">
        <f t="shared" si="62"/>
        <v>0.12232415902140673</v>
      </c>
      <c r="L779" s="209">
        <f>VLOOKUP(E779,'Custos Matéria Prima Embalagens'!B:G,6,0)</f>
        <v>14.68</v>
      </c>
      <c r="M779" s="209">
        <f t="shared" si="63"/>
        <v>1174.4000000000001</v>
      </c>
      <c r="N779" s="209">
        <f t="shared" si="64"/>
        <v>2.2799999999999998</v>
      </c>
    </row>
    <row r="780" spans="1:14" hidden="1">
      <c r="A780" s="129" t="s">
        <v>1281</v>
      </c>
      <c r="B780" s="129" t="s">
        <v>1282</v>
      </c>
      <c r="C780" s="129" t="s">
        <v>1030</v>
      </c>
      <c r="D780" s="129" t="s">
        <v>986</v>
      </c>
      <c r="E780" s="129" t="s">
        <v>1287</v>
      </c>
      <c r="F780" s="129" t="s">
        <v>1299</v>
      </c>
      <c r="G780" s="210">
        <v>100</v>
      </c>
      <c r="H780" s="211">
        <f t="shared" si="60"/>
        <v>654</v>
      </c>
      <c r="I780" s="207">
        <f>IF(F780="CONCENTRADO SEMI BRILHO",G780/'De-Para'!$B$9,G780/VLOOKUP(B780,'De-Para'!A:B,2,0))</f>
        <v>78.740157480314963</v>
      </c>
      <c r="J780" s="206">
        <f t="shared" si="61"/>
        <v>514.96062992125974</v>
      </c>
      <c r="K780" s="212">
        <f t="shared" si="62"/>
        <v>0.1529051987767584</v>
      </c>
      <c r="L780" s="209">
        <f>VLOOKUP(E780,'Custos Matéria Prima Embalagens'!B:G,6,0)</f>
        <v>8.5139124692577308</v>
      </c>
      <c r="M780" s="209">
        <f t="shared" si="63"/>
        <v>851.39124692577309</v>
      </c>
      <c r="N780" s="209">
        <f t="shared" si="64"/>
        <v>1.65</v>
      </c>
    </row>
    <row r="781" spans="1:14" hidden="1">
      <c r="A781" s="129" t="s">
        <v>1281</v>
      </c>
      <c r="B781" s="129" t="s">
        <v>1282</v>
      </c>
      <c r="C781" s="129" t="s">
        <v>1030</v>
      </c>
      <c r="D781" s="129" t="s">
        <v>986</v>
      </c>
      <c r="E781" s="129" t="s">
        <v>1289</v>
      </c>
      <c r="F781" s="129" t="s">
        <v>1290</v>
      </c>
      <c r="G781" s="210">
        <v>4.8</v>
      </c>
      <c r="H781" s="211">
        <f t="shared" si="60"/>
        <v>654</v>
      </c>
      <c r="I781" s="207">
        <f>IF(F781="CONCENTRADO SEMI BRILHO",G781/'De-Para'!$B$9,G781/VLOOKUP(B781,'De-Para'!A:B,2,0))</f>
        <v>3.7795275590551181</v>
      </c>
      <c r="J781" s="206">
        <f t="shared" si="61"/>
        <v>514.96062992125974</v>
      </c>
      <c r="K781" s="212">
        <f t="shared" si="62"/>
        <v>7.3394495412844032E-3</v>
      </c>
      <c r="L781" s="209">
        <f>VLOOKUP(E781,'Custos Matéria Prima Embalagens'!B:G,6,0)</f>
        <v>10.91375009090909</v>
      </c>
      <c r="M781" s="209">
        <f t="shared" si="63"/>
        <v>52.386000436363631</v>
      </c>
      <c r="N781" s="209">
        <f t="shared" si="64"/>
        <v>0.1</v>
      </c>
    </row>
    <row r="782" spans="1:14" hidden="1">
      <c r="A782" s="129" t="s">
        <v>1281</v>
      </c>
      <c r="B782" s="129" t="s">
        <v>1282</v>
      </c>
      <c r="C782" s="129" t="s">
        <v>1030</v>
      </c>
      <c r="D782" s="129" t="s">
        <v>986</v>
      </c>
      <c r="E782" s="129" t="s">
        <v>1197</v>
      </c>
      <c r="F782" s="129" t="s">
        <v>1198</v>
      </c>
      <c r="G782" s="210">
        <v>256</v>
      </c>
      <c r="H782" s="211">
        <f t="shared" si="60"/>
        <v>654</v>
      </c>
      <c r="I782" s="207">
        <f>IF(F782="CONCENTRADO SEMI BRILHO",G782/'De-Para'!$B$9,G782/VLOOKUP(B782,'De-Para'!A:B,2,0))</f>
        <v>201.57480314960628</v>
      </c>
      <c r="J782" s="206">
        <f t="shared" si="61"/>
        <v>514.96062992125974</v>
      </c>
      <c r="K782" s="212">
        <f t="shared" si="62"/>
        <v>0.39143730886850153</v>
      </c>
      <c r="L782" s="209">
        <f>VLOOKUP(E782,'Custos Matéria Prima Embalagens'!B:G,6,0)</f>
        <v>0</v>
      </c>
      <c r="M782" s="209">
        <f t="shared" si="63"/>
        <v>0</v>
      </c>
      <c r="N782" s="209">
        <f t="shared" si="64"/>
        <v>0</v>
      </c>
    </row>
    <row r="783" spans="1:14" hidden="1">
      <c r="A783" s="129" t="s">
        <v>1281</v>
      </c>
      <c r="B783" s="129" t="s">
        <v>1282</v>
      </c>
      <c r="C783" s="129" t="s">
        <v>1030</v>
      </c>
      <c r="D783" s="129" t="s">
        <v>986</v>
      </c>
      <c r="E783" s="129" t="s">
        <v>1291</v>
      </c>
      <c r="F783" s="129" t="s">
        <v>1292</v>
      </c>
      <c r="G783" s="210">
        <v>16</v>
      </c>
      <c r="H783" s="211">
        <f t="shared" si="60"/>
        <v>654</v>
      </c>
      <c r="I783" s="207">
        <f>IF(F783="CONCENTRADO SEMI BRILHO",G783/'De-Para'!$B$9,G783/VLOOKUP(B783,'De-Para'!A:B,2,0))</f>
        <v>12.598425196850393</v>
      </c>
      <c r="J783" s="206">
        <f t="shared" si="61"/>
        <v>514.96062992125974</v>
      </c>
      <c r="K783" s="212">
        <f t="shared" si="62"/>
        <v>2.4464831804281346E-2</v>
      </c>
      <c r="L783" s="209">
        <f>VLOOKUP(E783,'Custos Matéria Prima Embalagens'!B:G,6,0)</f>
        <v>16.190000000000001</v>
      </c>
      <c r="M783" s="209">
        <f t="shared" si="63"/>
        <v>259.04000000000002</v>
      </c>
      <c r="N783" s="209">
        <f t="shared" si="64"/>
        <v>0.5</v>
      </c>
    </row>
    <row r="784" spans="1:14" hidden="1">
      <c r="A784" s="129" t="s">
        <v>1281</v>
      </c>
      <c r="B784" s="129" t="s">
        <v>1282</v>
      </c>
      <c r="C784" s="129" t="s">
        <v>1030</v>
      </c>
      <c r="D784" s="129" t="s">
        <v>986</v>
      </c>
      <c r="E784" s="129" t="s">
        <v>1293</v>
      </c>
      <c r="F784" s="129" t="s">
        <v>1300</v>
      </c>
      <c r="G784" s="210">
        <v>28</v>
      </c>
      <c r="H784" s="211">
        <f t="shared" si="60"/>
        <v>654</v>
      </c>
      <c r="I784" s="207">
        <f>IF(F784="CONCENTRADO SEMI BRILHO",G784/'De-Para'!$B$9,G784/VLOOKUP(B784,'De-Para'!A:B,2,0))</f>
        <v>22.047244094488189</v>
      </c>
      <c r="J784" s="206">
        <f t="shared" si="61"/>
        <v>514.96062992125974</v>
      </c>
      <c r="K784" s="212">
        <f t="shared" si="62"/>
        <v>4.2813455657492352E-2</v>
      </c>
      <c r="L784" s="209">
        <f>VLOOKUP(E784,'Custos Matéria Prima Embalagens'!B:G,6,0)</f>
        <v>26.2337496579635</v>
      </c>
      <c r="M784" s="209">
        <f t="shared" si="63"/>
        <v>734.544990422978</v>
      </c>
      <c r="N784" s="209">
        <f t="shared" si="64"/>
        <v>1.43</v>
      </c>
    </row>
    <row r="785" spans="1:14" hidden="1">
      <c r="A785" s="129" t="s">
        <v>1281</v>
      </c>
      <c r="B785" s="129" t="s">
        <v>1282</v>
      </c>
      <c r="C785" s="129" t="s">
        <v>1030</v>
      </c>
      <c r="D785" s="129" t="s">
        <v>986</v>
      </c>
      <c r="E785" s="129" t="s">
        <v>1295</v>
      </c>
      <c r="F785" s="129" t="s">
        <v>1301</v>
      </c>
      <c r="G785" s="210">
        <v>3.2</v>
      </c>
      <c r="H785" s="211">
        <f t="shared" si="60"/>
        <v>654</v>
      </c>
      <c r="I785" s="207">
        <f>IF(F785="CONCENTRADO SEMI BRILHO",G785/'De-Para'!$B$9,G785/VLOOKUP(B785,'De-Para'!A:B,2,0))</f>
        <v>2.5196850393700787</v>
      </c>
      <c r="J785" s="206">
        <f t="shared" si="61"/>
        <v>514.96062992125974</v>
      </c>
      <c r="K785" s="212">
        <f t="shared" si="62"/>
        <v>4.8929663608562697E-3</v>
      </c>
      <c r="L785" s="209">
        <f>VLOOKUP(E785,'Custos Matéria Prima Embalagens'!B:G,6,0)</f>
        <v>21.085367657963403</v>
      </c>
      <c r="M785" s="209">
        <f t="shared" si="63"/>
        <v>67.473176505482897</v>
      </c>
      <c r="N785" s="209">
        <f t="shared" si="64"/>
        <v>0.13</v>
      </c>
    </row>
    <row r="786" spans="1:14" hidden="1">
      <c r="A786" s="129" t="s">
        <v>1281</v>
      </c>
      <c r="B786" s="129" t="s">
        <v>1282</v>
      </c>
      <c r="C786" s="129" t="s">
        <v>1030</v>
      </c>
      <c r="D786" s="129" t="s">
        <v>986</v>
      </c>
      <c r="E786" s="129" t="s">
        <v>1302</v>
      </c>
      <c r="F786" s="129" t="s">
        <v>1303</v>
      </c>
      <c r="G786" s="210">
        <v>34</v>
      </c>
      <c r="H786" s="211">
        <f t="shared" si="60"/>
        <v>654</v>
      </c>
      <c r="I786" s="207">
        <f>IF(F786="CONCENTRADO SEMI BRILHO",G786/'De-Para'!$B$9,G786/VLOOKUP(B786,'De-Para'!A:B,2,0))</f>
        <v>26.771653543307085</v>
      </c>
      <c r="J786" s="206">
        <f t="shared" si="61"/>
        <v>514.96062992125974</v>
      </c>
      <c r="K786" s="212">
        <f t="shared" si="62"/>
        <v>5.1987767584097858E-2</v>
      </c>
      <c r="L786" s="209">
        <f>VLOOKUP(E786,'Custos Matéria Prima Embalagens'!B:G,6,0)</f>
        <v>39.89</v>
      </c>
      <c r="M786" s="209">
        <f t="shared" si="63"/>
        <v>1356.26</v>
      </c>
      <c r="N786" s="209">
        <f t="shared" si="64"/>
        <v>2.63</v>
      </c>
    </row>
    <row r="787" spans="1:14" hidden="1">
      <c r="A787" s="129" t="s">
        <v>1281</v>
      </c>
      <c r="B787" s="129" t="s">
        <v>1282</v>
      </c>
      <c r="C787" s="129" t="s">
        <v>1030</v>
      </c>
      <c r="D787" s="129" t="s">
        <v>986</v>
      </c>
      <c r="E787" s="129" t="s">
        <v>1304</v>
      </c>
      <c r="F787" s="129" t="s">
        <v>1305</v>
      </c>
      <c r="G787" s="210">
        <v>12</v>
      </c>
      <c r="H787" s="211">
        <f t="shared" si="60"/>
        <v>654</v>
      </c>
      <c r="I787" s="207">
        <f>IF(F787="CONCENTRADO SEMI BRILHO",G787/'De-Para'!$B$9,G787/VLOOKUP(B787,'De-Para'!A:B,2,0))</f>
        <v>9.4488188976377945</v>
      </c>
      <c r="J787" s="206">
        <f t="shared" si="61"/>
        <v>514.96062992125974</v>
      </c>
      <c r="K787" s="212">
        <f t="shared" si="62"/>
        <v>1.834862385321101E-2</v>
      </c>
      <c r="L787" s="209">
        <f>VLOOKUP(E787,'Custos Matéria Prima Embalagens'!B:G,6,0)</f>
        <v>15.74</v>
      </c>
      <c r="M787" s="209">
        <f t="shared" si="63"/>
        <v>188.88</v>
      </c>
      <c r="N787" s="209">
        <f t="shared" si="64"/>
        <v>0.37</v>
      </c>
    </row>
    <row r="788" spans="1:14" hidden="1">
      <c r="A788" s="129" t="s">
        <v>1281</v>
      </c>
      <c r="B788" s="129" t="s">
        <v>1282</v>
      </c>
      <c r="C788" s="129" t="s">
        <v>1032</v>
      </c>
      <c r="D788" s="129" t="s">
        <v>988</v>
      </c>
      <c r="E788" s="129" t="s">
        <v>1283</v>
      </c>
      <c r="F788" s="129" t="s">
        <v>1297</v>
      </c>
      <c r="G788" s="210">
        <v>120</v>
      </c>
      <c r="H788" s="211">
        <f t="shared" si="60"/>
        <v>624</v>
      </c>
      <c r="I788" s="207">
        <f>IF(F788="CONCENTRADO SEMI BRILHO",G788/'De-Para'!$B$9,G788/VLOOKUP(B788,'De-Para'!A:B,2,0))</f>
        <v>94.488188976377955</v>
      </c>
      <c r="J788" s="206">
        <f t="shared" si="61"/>
        <v>491.33858267716533</v>
      </c>
      <c r="K788" s="212">
        <f t="shared" si="62"/>
        <v>0.19230769230769232</v>
      </c>
      <c r="L788" s="209">
        <f>VLOOKUP(E788,'Custos Matéria Prima Embalagens'!B:G,6,0)</f>
        <v>12.47</v>
      </c>
      <c r="M788" s="209">
        <f t="shared" si="63"/>
        <v>1496.4</v>
      </c>
      <c r="N788" s="209">
        <f t="shared" si="64"/>
        <v>3.05</v>
      </c>
    </row>
    <row r="789" spans="1:14" hidden="1">
      <c r="A789" s="129" t="s">
        <v>1281</v>
      </c>
      <c r="B789" s="129" t="s">
        <v>1282</v>
      </c>
      <c r="C789" s="129" t="s">
        <v>1032</v>
      </c>
      <c r="D789" s="129" t="s">
        <v>988</v>
      </c>
      <c r="E789" s="129" t="s">
        <v>1285</v>
      </c>
      <c r="F789" s="129" t="s">
        <v>1298</v>
      </c>
      <c r="G789" s="210">
        <v>80</v>
      </c>
      <c r="H789" s="211">
        <f t="shared" si="60"/>
        <v>624</v>
      </c>
      <c r="I789" s="207">
        <f>IF(F789="CONCENTRADO SEMI BRILHO",G789/'De-Para'!$B$9,G789/VLOOKUP(B789,'De-Para'!A:B,2,0))</f>
        <v>62.99212598425197</v>
      </c>
      <c r="J789" s="206">
        <f t="shared" si="61"/>
        <v>491.33858267716533</v>
      </c>
      <c r="K789" s="212">
        <f t="shared" si="62"/>
        <v>0.12820512820512819</v>
      </c>
      <c r="L789" s="209">
        <f>VLOOKUP(E789,'Custos Matéria Prima Embalagens'!B:G,6,0)</f>
        <v>14.68</v>
      </c>
      <c r="M789" s="209">
        <f t="shared" si="63"/>
        <v>1174.4000000000001</v>
      </c>
      <c r="N789" s="209">
        <f t="shared" si="64"/>
        <v>2.39</v>
      </c>
    </row>
    <row r="790" spans="1:14" hidden="1">
      <c r="A790" s="129" t="s">
        <v>1281</v>
      </c>
      <c r="B790" s="129" t="s">
        <v>1282</v>
      </c>
      <c r="C790" s="129" t="s">
        <v>1032</v>
      </c>
      <c r="D790" s="129" t="s">
        <v>988</v>
      </c>
      <c r="E790" s="129" t="s">
        <v>1287</v>
      </c>
      <c r="F790" s="129" t="s">
        <v>1299</v>
      </c>
      <c r="G790" s="210">
        <v>100</v>
      </c>
      <c r="H790" s="211">
        <f t="shared" si="60"/>
        <v>624</v>
      </c>
      <c r="I790" s="207">
        <f>IF(F790="CONCENTRADO SEMI BRILHO",G790/'De-Para'!$B$9,G790/VLOOKUP(B790,'De-Para'!A:B,2,0))</f>
        <v>78.740157480314963</v>
      </c>
      <c r="J790" s="206">
        <f t="shared" si="61"/>
        <v>491.33858267716533</v>
      </c>
      <c r="K790" s="212">
        <f t="shared" si="62"/>
        <v>0.16025641025641027</v>
      </c>
      <c r="L790" s="209">
        <f>VLOOKUP(E790,'Custos Matéria Prima Embalagens'!B:G,6,0)</f>
        <v>8.5139124692577308</v>
      </c>
      <c r="M790" s="209">
        <f t="shared" si="63"/>
        <v>851.39124692577309</v>
      </c>
      <c r="N790" s="209">
        <f t="shared" si="64"/>
        <v>1.73</v>
      </c>
    </row>
    <row r="791" spans="1:14" hidden="1">
      <c r="A791" s="129" t="s">
        <v>1281</v>
      </c>
      <c r="B791" s="129" t="s">
        <v>1282</v>
      </c>
      <c r="C791" s="129" t="s">
        <v>1032</v>
      </c>
      <c r="D791" s="129" t="s">
        <v>988</v>
      </c>
      <c r="E791" s="129" t="s">
        <v>1289</v>
      </c>
      <c r="F791" s="129" t="s">
        <v>1290</v>
      </c>
      <c r="G791" s="210">
        <v>4.8</v>
      </c>
      <c r="H791" s="211">
        <f t="shared" si="60"/>
        <v>624</v>
      </c>
      <c r="I791" s="207">
        <f>IF(F791="CONCENTRADO SEMI BRILHO",G791/'De-Para'!$B$9,G791/VLOOKUP(B791,'De-Para'!A:B,2,0))</f>
        <v>3.7795275590551181</v>
      </c>
      <c r="J791" s="206">
        <f t="shared" si="61"/>
        <v>491.33858267716533</v>
      </c>
      <c r="K791" s="212">
        <f t="shared" si="62"/>
        <v>7.6923076923076919E-3</v>
      </c>
      <c r="L791" s="209">
        <f>VLOOKUP(E791,'Custos Matéria Prima Embalagens'!B:G,6,0)</f>
        <v>10.91375009090909</v>
      </c>
      <c r="M791" s="209">
        <f t="shared" si="63"/>
        <v>52.386000436363631</v>
      </c>
      <c r="N791" s="209">
        <f t="shared" si="64"/>
        <v>0.11</v>
      </c>
    </row>
    <row r="792" spans="1:14" hidden="1">
      <c r="A792" s="129" t="s">
        <v>1281</v>
      </c>
      <c r="B792" s="129" t="s">
        <v>1282</v>
      </c>
      <c r="C792" s="129" t="s">
        <v>1032</v>
      </c>
      <c r="D792" s="129" t="s">
        <v>988</v>
      </c>
      <c r="E792" s="129" t="s">
        <v>1197</v>
      </c>
      <c r="F792" s="129" t="s">
        <v>1198</v>
      </c>
      <c r="G792" s="210">
        <v>256</v>
      </c>
      <c r="H792" s="211">
        <f t="shared" si="60"/>
        <v>624</v>
      </c>
      <c r="I792" s="207">
        <f>IF(F792="CONCENTRADO SEMI BRILHO",G792/'De-Para'!$B$9,G792/VLOOKUP(B792,'De-Para'!A:B,2,0))</f>
        <v>201.57480314960628</v>
      </c>
      <c r="J792" s="206">
        <f t="shared" si="61"/>
        <v>491.33858267716533</v>
      </c>
      <c r="K792" s="212">
        <f t="shared" si="62"/>
        <v>0.41025641025641024</v>
      </c>
      <c r="L792" s="209">
        <f>VLOOKUP(E792,'Custos Matéria Prima Embalagens'!B:G,6,0)</f>
        <v>0</v>
      </c>
      <c r="M792" s="209">
        <f t="shared" si="63"/>
        <v>0</v>
      </c>
      <c r="N792" s="209">
        <f t="shared" si="64"/>
        <v>0</v>
      </c>
    </row>
    <row r="793" spans="1:14" hidden="1">
      <c r="A793" s="129" t="s">
        <v>1281</v>
      </c>
      <c r="B793" s="129" t="s">
        <v>1282</v>
      </c>
      <c r="C793" s="129" t="s">
        <v>1032</v>
      </c>
      <c r="D793" s="129" t="s">
        <v>988</v>
      </c>
      <c r="E793" s="129" t="s">
        <v>1291</v>
      </c>
      <c r="F793" s="129" t="s">
        <v>1292</v>
      </c>
      <c r="G793" s="210">
        <v>8</v>
      </c>
      <c r="H793" s="211">
        <f t="shared" si="60"/>
        <v>624</v>
      </c>
      <c r="I793" s="207">
        <f>IF(F793="CONCENTRADO SEMI BRILHO",G793/'De-Para'!$B$9,G793/VLOOKUP(B793,'De-Para'!A:B,2,0))</f>
        <v>6.2992125984251963</v>
      </c>
      <c r="J793" s="206">
        <f t="shared" si="61"/>
        <v>491.33858267716533</v>
      </c>
      <c r="K793" s="212">
        <f t="shared" si="62"/>
        <v>1.282051282051282E-2</v>
      </c>
      <c r="L793" s="209">
        <f>VLOOKUP(E793,'Custos Matéria Prima Embalagens'!B:G,6,0)</f>
        <v>16.190000000000001</v>
      </c>
      <c r="M793" s="209">
        <f t="shared" si="63"/>
        <v>129.52000000000001</v>
      </c>
      <c r="N793" s="209">
        <f t="shared" si="64"/>
        <v>0.26</v>
      </c>
    </row>
    <row r="794" spans="1:14" hidden="1">
      <c r="A794" s="129" t="s">
        <v>1281</v>
      </c>
      <c r="B794" s="129" t="s">
        <v>1282</v>
      </c>
      <c r="C794" s="129" t="s">
        <v>1032</v>
      </c>
      <c r="D794" s="129" t="s">
        <v>988</v>
      </c>
      <c r="E794" s="129" t="s">
        <v>1293</v>
      </c>
      <c r="F794" s="129" t="s">
        <v>1300</v>
      </c>
      <c r="G794" s="210">
        <v>28</v>
      </c>
      <c r="H794" s="211">
        <f t="shared" si="60"/>
        <v>624</v>
      </c>
      <c r="I794" s="207">
        <f>IF(F794="CONCENTRADO SEMI BRILHO",G794/'De-Para'!$B$9,G794/VLOOKUP(B794,'De-Para'!A:B,2,0))</f>
        <v>22.047244094488189</v>
      </c>
      <c r="J794" s="206">
        <f t="shared" si="61"/>
        <v>491.33858267716533</v>
      </c>
      <c r="K794" s="212">
        <f t="shared" si="62"/>
        <v>4.4871794871794872E-2</v>
      </c>
      <c r="L794" s="209">
        <f>VLOOKUP(E794,'Custos Matéria Prima Embalagens'!B:G,6,0)</f>
        <v>26.2337496579635</v>
      </c>
      <c r="M794" s="209">
        <f t="shared" si="63"/>
        <v>734.544990422978</v>
      </c>
      <c r="N794" s="209">
        <f t="shared" si="64"/>
        <v>1.49</v>
      </c>
    </row>
    <row r="795" spans="1:14" hidden="1">
      <c r="A795" s="129" t="s">
        <v>1281</v>
      </c>
      <c r="B795" s="129" t="s">
        <v>1282</v>
      </c>
      <c r="C795" s="129" t="s">
        <v>1032</v>
      </c>
      <c r="D795" s="129" t="s">
        <v>988</v>
      </c>
      <c r="E795" s="129" t="s">
        <v>1295</v>
      </c>
      <c r="F795" s="129" t="s">
        <v>1301</v>
      </c>
      <c r="G795" s="210">
        <v>3.2</v>
      </c>
      <c r="H795" s="211">
        <f t="shared" si="60"/>
        <v>624</v>
      </c>
      <c r="I795" s="207">
        <f>IF(F795="CONCENTRADO SEMI BRILHO",G795/'De-Para'!$B$9,G795/VLOOKUP(B795,'De-Para'!A:B,2,0))</f>
        <v>2.5196850393700787</v>
      </c>
      <c r="J795" s="206">
        <f t="shared" si="61"/>
        <v>491.33858267716533</v>
      </c>
      <c r="K795" s="212">
        <f t="shared" si="62"/>
        <v>5.1282051282051282E-3</v>
      </c>
      <c r="L795" s="209">
        <f>VLOOKUP(E795,'Custos Matéria Prima Embalagens'!B:G,6,0)</f>
        <v>21.085367657963403</v>
      </c>
      <c r="M795" s="209">
        <f t="shared" si="63"/>
        <v>67.473176505482897</v>
      </c>
      <c r="N795" s="209">
        <f t="shared" si="64"/>
        <v>0.14000000000000001</v>
      </c>
    </row>
    <row r="796" spans="1:14" hidden="1">
      <c r="A796" s="129" t="s">
        <v>1281</v>
      </c>
      <c r="B796" s="129" t="s">
        <v>1282</v>
      </c>
      <c r="C796" s="129" t="s">
        <v>1032</v>
      </c>
      <c r="D796" s="129" t="s">
        <v>988</v>
      </c>
      <c r="E796" s="129" t="s">
        <v>1306</v>
      </c>
      <c r="F796" s="129" t="s">
        <v>1307</v>
      </c>
      <c r="G796" s="210">
        <v>20</v>
      </c>
      <c r="H796" s="211">
        <f t="shared" si="60"/>
        <v>624</v>
      </c>
      <c r="I796" s="207">
        <f>IF(F796="CONCENTRADO SEMI BRILHO",G796/'De-Para'!$B$9,G796/VLOOKUP(B796,'De-Para'!A:B,2,0))</f>
        <v>15.748031496062993</v>
      </c>
      <c r="J796" s="206">
        <f t="shared" si="61"/>
        <v>491.33858267716533</v>
      </c>
      <c r="K796" s="212">
        <f t="shared" si="62"/>
        <v>3.2051282051282048E-2</v>
      </c>
      <c r="L796" s="209">
        <f>VLOOKUP(E796,'Custos Matéria Prima Embalagens'!B:G,6,0)</f>
        <v>22.97</v>
      </c>
      <c r="M796" s="209">
        <f t="shared" si="63"/>
        <v>459.4</v>
      </c>
      <c r="N796" s="209">
        <f t="shared" si="64"/>
        <v>0.93</v>
      </c>
    </row>
    <row r="797" spans="1:14" hidden="1">
      <c r="A797" s="129" t="s">
        <v>1281</v>
      </c>
      <c r="B797" s="129" t="s">
        <v>1282</v>
      </c>
      <c r="C797" s="129" t="s">
        <v>1032</v>
      </c>
      <c r="D797" s="129" t="s">
        <v>988</v>
      </c>
      <c r="E797" s="129" t="s">
        <v>1302</v>
      </c>
      <c r="F797" s="129" t="s">
        <v>1308</v>
      </c>
      <c r="G797" s="210">
        <v>4</v>
      </c>
      <c r="H797" s="211">
        <f t="shared" si="60"/>
        <v>624</v>
      </c>
      <c r="I797" s="207">
        <f>IF(F797="CONCENTRADO SEMI BRILHO",G797/'De-Para'!$B$9,G797/VLOOKUP(B797,'De-Para'!A:B,2,0))</f>
        <v>3.1496062992125982</v>
      </c>
      <c r="J797" s="206">
        <f t="shared" si="61"/>
        <v>491.33858267716533</v>
      </c>
      <c r="K797" s="212">
        <f t="shared" si="62"/>
        <v>6.41025641025641E-3</v>
      </c>
      <c r="L797" s="209">
        <f>VLOOKUP(E797,'Custos Matéria Prima Embalagens'!B:G,6,0)</f>
        <v>39.89</v>
      </c>
      <c r="M797" s="209">
        <f t="shared" si="63"/>
        <v>159.56</v>
      </c>
      <c r="N797" s="209">
        <f t="shared" si="64"/>
        <v>0.32</v>
      </c>
    </row>
    <row r="798" spans="1:14" hidden="1">
      <c r="A798" s="129" t="s">
        <v>1281</v>
      </c>
      <c r="B798" s="129" t="s">
        <v>1282</v>
      </c>
      <c r="C798" s="129" t="s">
        <v>1034</v>
      </c>
      <c r="D798" s="129" t="s">
        <v>907</v>
      </c>
      <c r="E798" s="129" t="s">
        <v>1283</v>
      </c>
      <c r="F798" s="129" t="s">
        <v>1297</v>
      </c>
      <c r="G798" s="210">
        <v>120</v>
      </c>
      <c r="H798" s="211">
        <f t="shared" si="60"/>
        <v>620</v>
      </c>
      <c r="I798" s="207">
        <f>IF(F798="CONCENTRADO SEMI BRILHO",G798/'De-Para'!$B$9,G798/VLOOKUP(B798,'De-Para'!A:B,2,0))</f>
        <v>94.488188976377955</v>
      </c>
      <c r="J798" s="206">
        <f t="shared" si="61"/>
        <v>488.18897637795271</v>
      </c>
      <c r="K798" s="212">
        <f t="shared" si="62"/>
        <v>0.19354838709677419</v>
      </c>
      <c r="L798" s="209">
        <f>VLOOKUP(E798,'Custos Matéria Prima Embalagens'!B:G,6,0)</f>
        <v>12.47</v>
      </c>
      <c r="M798" s="209">
        <f t="shared" si="63"/>
        <v>1496.4</v>
      </c>
      <c r="N798" s="209">
        <f t="shared" si="64"/>
        <v>3.07</v>
      </c>
    </row>
    <row r="799" spans="1:14" hidden="1">
      <c r="A799" s="129" t="s">
        <v>1281</v>
      </c>
      <c r="B799" s="129" t="s">
        <v>1282</v>
      </c>
      <c r="C799" s="129" t="s">
        <v>1034</v>
      </c>
      <c r="D799" s="129" t="s">
        <v>907</v>
      </c>
      <c r="E799" s="129" t="s">
        <v>1285</v>
      </c>
      <c r="F799" s="129" t="s">
        <v>1298</v>
      </c>
      <c r="G799" s="210">
        <v>80</v>
      </c>
      <c r="H799" s="211">
        <f t="shared" si="60"/>
        <v>620</v>
      </c>
      <c r="I799" s="207">
        <f>IF(F799="CONCENTRADO SEMI BRILHO",G799/'De-Para'!$B$9,G799/VLOOKUP(B799,'De-Para'!A:B,2,0))</f>
        <v>62.99212598425197</v>
      </c>
      <c r="J799" s="206">
        <f t="shared" si="61"/>
        <v>488.18897637795271</v>
      </c>
      <c r="K799" s="212">
        <f t="shared" si="62"/>
        <v>0.12903225806451613</v>
      </c>
      <c r="L799" s="209">
        <f>VLOOKUP(E799,'Custos Matéria Prima Embalagens'!B:G,6,0)</f>
        <v>14.68</v>
      </c>
      <c r="M799" s="209">
        <f t="shared" si="63"/>
        <v>1174.4000000000001</v>
      </c>
      <c r="N799" s="209">
        <f t="shared" si="64"/>
        <v>2.41</v>
      </c>
    </row>
    <row r="800" spans="1:14" hidden="1">
      <c r="A800" s="129" t="s">
        <v>1281</v>
      </c>
      <c r="B800" s="129" t="s">
        <v>1282</v>
      </c>
      <c r="C800" s="129" t="s">
        <v>1034</v>
      </c>
      <c r="D800" s="129" t="s">
        <v>907</v>
      </c>
      <c r="E800" s="129" t="s">
        <v>1287</v>
      </c>
      <c r="F800" s="129" t="s">
        <v>1299</v>
      </c>
      <c r="G800" s="210">
        <v>100</v>
      </c>
      <c r="H800" s="211">
        <f t="shared" si="60"/>
        <v>620</v>
      </c>
      <c r="I800" s="207">
        <f>IF(F800="CONCENTRADO SEMI BRILHO",G800/'De-Para'!$B$9,G800/VLOOKUP(B800,'De-Para'!A:B,2,0))</f>
        <v>78.740157480314963</v>
      </c>
      <c r="J800" s="206">
        <f t="shared" si="61"/>
        <v>488.18897637795271</v>
      </c>
      <c r="K800" s="212">
        <f t="shared" si="62"/>
        <v>0.16129032258064516</v>
      </c>
      <c r="L800" s="209">
        <f>VLOOKUP(E800,'Custos Matéria Prima Embalagens'!B:G,6,0)</f>
        <v>8.5139124692577308</v>
      </c>
      <c r="M800" s="209">
        <f t="shared" si="63"/>
        <v>851.39124692577309</v>
      </c>
      <c r="N800" s="209">
        <f t="shared" si="64"/>
        <v>1.74</v>
      </c>
    </row>
    <row r="801" spans="1:14" hidden="1">
      <c r="A801" s="129" t="s">
        <v>1281</v>
      </c>
      <c r="B801" s="129" t="s">
        <v>1282</v>
      </c>
      <c r="C801" s="129" t="s">
        <v>1034</v>
      </c>
      <c r="D801" s="129" t="s">
        <v>907</v>
      </c>
      <c r="E801" s="129" t="s">
        <v>1289</v>
      </c>
      <c r="F801" s="129" t="s">
        <v>1290</v>
      </c>
      <c r="G801" s="210">
        <v>4.8</v>
      </c>
      <c r="H801" s="211">
        <f t="shared" si="60"/>
        <v>620</v>
      </c>
      <c r="I801" s="207">
        <f>IF(F801="CONCENTRADO SEMI BRILHO",G801/'De-Para'!$B$9,G801/VLOOKUP(B801,'De-Para'!A:B,2,0))</f>
        <v>3.7795275590551181</v>
      </c>
      <c r="J801" s="206">
        <f t="shared" si="61"/>
        <v>488.18897637795271</v>
      </c>
      <c r="K801" s="212">
        <f t="shared" si="62"/>
        <v>7.7419354838709677E-3</v>
      </c>
      <c r="L801" s="209">
        <f>VLOOKUP(E801,'Custos Matéria Prima Embalagens'!B:G,6,0)</f>
        <v>10.91375009090909</v>
      </c>
      <c r="M801" s="209">
        <f t="shared" si="63"/>
        <v>52.386000436363631</v>
      </c>
      <c r="N801" s="209">
        <f t="shared" si="64"/>
        <v>0.11</v>
      </c>
    </row>
    <row r="802" spans="1:14" hidden="1">
      <c r="A802" s="129" t="s">
        <v>1281</v>
      </c>
      <c r="B802" s="129" t="s">
        <v>1282</v>
      </c>
      <c r="C802" s="129" t="s">
        <v>1034</v>
      </c>
      <c r="D802" s="129" t="s">
        <v>907</v>
      </c>
      <c r="E802" s="129" t="s">
        <v>1197</v>
      </c>
      <c r="F802" s="129" t="s">
        <v>1198</v>
      </c>
      <c r="G802" s="210">
        <v>256</v>
      </c>
      <c r="H802" s="211">
        <f t="shared" si="60"/>
        <v>620</v>
      </c>
      <c r="I802" s="207">
        <f>IF(F802="CONCENTRADO SEMI BRILHO",G802/'De-Para'!$B$9,G802/VLOOKUP(B802,'De-Para'!A:B,2,0))</f>
        <v>201.57480314960628</v>
      </c>
      <c r="J802" s="206">
        <f t="shared" si="61"/>
        <v>488.18897637795271</v>
      </c>
      <c r="K802" s="212">
        <f t="shared" si="62"/>
        <v>0.41290322580645161</v>
      </c>
      <c r="L802" s="209">
        <f>VLOOKUP(E802,'Custos Matéria Prima Embalagens'!B:G,6,0)</f>
        <v>0</v>
      </c>
      <c r="M802" s="209">
        <f t="shared" si="63"/>
        <v>0</v>
      </c>
      <c r="N802" s="209">
        <f t="shared" si="64"/>
        <v>0</v>
      </c>
    </row>
    <row r="803" spans="1:14" hidden="1">
      <c r="A803" s="129" t="s">
        <v>1281</v>
      </c>
      <c r="B803" s="129" t="s">
        <v>1282</v>
      </c>
      <c r="C803" s="129" t="s">
        <v>1034</v>
      </c>
      <c r="D803" s="129" t="s">
        <v>907</v>
      </c>
      <c r="E803" s="129" t="s">
        <v>1293</v>
      </c>
      <c r="F803" s="129" t="s">
        <v>1300</v>
      </c>
      <c r="G803" s="210">
        <v>28</v>
      </c>
      <c r="H803" s="211">
        <f t="shared" si="60"/>
        <v>620</v>
      </c>
      <c r="I803" s="207">
        <f>IF(F803="CONCENTRADO SEMI BRILHO",G803/'De-Para'!$B$9,G803/VLOOKUP(B803,'De-Para'!A:B,2,0))</f>
        <v>22.047244094488189</v>
      </c>
      <c r="J803" s="206">
        <f t="shared" si="61"/>
        <v>488.18897637795271</v>
      </c>
      <c r="K803" s="212">
        <f t="shared" si="62"/>
        <v>4.5161290322580643E-2</v>
      </c>
      <c r="L803" s="209">
        <f>VLOOKUP(E803,'Custos Matéria Prima Embalagens'!B:G,6,0)</f>
        <v>26.2337496579635</v>
      </c>
      <c r="M803" s="209">
        <f t="shared" si="63"/>
        <v>734.544990422978</v>
      </c>
      <c r="N803" s="209">
        <f t="shared" si="64"/>
        <v>1.5</v>
      </c>
    </row>
    <row r="804" spans="1:14" hidden="1">
      <c r="A804" s="129" t="s">
        <v>1281</v>
      </c>
      <c r="B804" s="129" t="s">
        <v>1282</v>
      </c>
      <c r="C804" s="129" t="s">
        <v>1034</v>
      </c>
      <c r="D804" s="129" t="s">
        <v>907</v>
      </c>
      <c r="E804" s="129" t="s">
        <v>1295</v>
      </c>
      <c r="F804" s="129" t="s">
        <v>1301</v>
      </c>
      <c r="G804" s="210">
        <v>3.2</v>
      </c>
      <c r="H804" s="211">
        <f t="shared" si="60"/>
        <v>620</v>
      </c>
      <c r="I804" s="207">
        <f>IF(F804="CONCENTRADO SEMI BRILHO",G804/'De-Para'!$B$9,G804/VLOOKUP(B804,'De-Para'!A:B,2,0))</f>
        <v>2.5196850393700787</v>
      </c>
      <c r="J804" s="206">
        <f t="shared" si="61"/>
        <v>488.18897637795271</v>
      </c>
      <c r="K804" s="212">
        <f t="shared" si="62"/>
        <v>5.1612903225806452E-3</v>
      </c>
      <c r="L804" s="209">
        <f>VLOOKUP(E804,'Custos Matéria Prima Embalagens'!B:G,6,0)</f>
        <v>21.085367657963403</v>
      </c>
      <c r="M804" s="209">
        <f t="shared" si="63"/>
        <v>67.473176505482897</v>
      </c>
      <c r="N804" s="209">
        <f t="shared" si="64"/>
        <v>0.14000000000000001</v>
      </c>
    </row>
    <row r="805" spans="1:14" hidden="1">
      <c r="A805" s="129" t="s">
        <v>1281</v>
      </c>
      <c r="B805" s="129" t="s">
        <v>1282</v>
      </c>
      <c r="C805" s="129" t="s">
        <v>1034</v>
      </c>
      <c r="D805" s="129" t="s">
        <v>907</v>
      </c>
      <c r="E805" s="129" t="s">
        <v>1309</v>
      </c>
      <c r="F805" s="129" t="s">
        <v>1310</v>
      </c>
      <c r="G805" s="210">
        <v>28</v>
      </c>
      <c r="H805" s="211">
        <f t="shared" si="60"/>
        <v>620</v>
      </c>
      <c r="I805" s="207">
        <f>IF(F805="CONCENTRADO SEMI BRILHO",G805/'De-Para'!$B$9,G805/VLOOKUP(B805,'De-Para'!A:B,2,0))</f>
        <v>22.047244094488189</v>
      </c>
      <c r="J805" s="206">
        <f t="shared" si="61"/>
        <v>488.18897637795271</v>
      </c>
      <c r="K805" s="212">
        <f t="shared" si="62"/>
        <v>4.5161290322580643E-2</v>
      </c>
      <c r="L805" s="209">
        <f>VLOOKUP(E805,'Custos Matéria Prima Embalagens'!B:G,6,0)</f>
        <v>17.02</v>
      </c>
      <c r="M805" s="209">
        <f t="shared" si="63"/>
        <v>476.56</v>
      </c>
      <c r="N805" s="209">
        <f t="shared" si="64"/>
        <v>0.98</v>
      </c>
    </row>
    <row r="806" spans="1:14" hidden="1">
      <c r="A806" s="129" t="s">
        <v>1281</v>
      </c>
      <c r="B806" s="129" t="s">
        <v>1282</v>
      </c>
      <c r="C806" s="129" t="s">
        <v>1036</v>
      </c>
      <c r="D806" s="129" t="s">
        <v>991</v>
      </c>
      <c r="E806" s="129" t="s">
        <v>1283</v>
      </c>
      <c r="F806" s="129" t="s">
        <v>1297</v>
      </c>
      <c r="G806" s="210">
        <v>120</v>
      </c>
      <c r="H806" s="211">
        <f t="shared" si="60"/>
        <v>643.56000000000006</v>
      </c>
      <c r="I806" s="207">
        <f>IF(F806="CONCENTRADO SEMI BRILHO",G806/'De-Para'!$B$9,G806/VLOOKUP(B806,'De-Para'!A:B,2,0))</f>
        <v>94.488188976377955</v>
      </c>
      <c r="J806" s="206">
        <f t="shared" si="61"/>
        <v>506.74015748031491</v>
      </c>
      <c r="K806" s="212">
        <f t="shared" si="62"/>
        <v>0.18646280067126605</v>
      </c>
      <c r="L806" s="209">
        <f>VLOOKUP(E806,'Custos Matéria Prima Embalagens'!B:G,6,0)</f>
        <v>12.47</v>
      </c>
      <c r="M806" s="209">
        <f t="shared" si="63"/>
        <v>1496.4</v>
      </c>
      <c r="N806" s="209">
        <f t="shared" si="64"/>
        <v>2.95</v>
      </c>
    </row>
    <row r="807" spans="1:14" hidden="1">
      <c r="A807" s="129" t="s">
        <v>1281</v>
      </c>
      <c r="B807" s="129" t="s">
        <v>1282</v>
      </c>
      <c r="C807" s="129" t="s">
        <v>1036</v>
      </c>
      <c r="D807" s="129" t="s">
        <v>991</v>
      </c>
      <c r="E807" s="129" t="s">
        <v>1285</v>
      </c>
      <c r="F807" s="129" t="s">
        <v>1298</v>
      </c>
      <c r="G807" s="210">
        <v>80</v>
      </c>
      <c r="H807" s="211">
        <f t="shared" si="60"/>
        <v>643.56000000000006</v>
      </c>
      <c r="I807" s="207">
        <f>IF(F807="CONCENTRADO SEMI BRILHO",G807/'De-Para'!$B$9,G807/VLOOKUP(B807,'De-Para'!A:B,2,0))</f>
        <v>62.99212598425197</v>
      </c>
      <c r="J807" s="206">
        <f t="shared" si="61"/>
        <v>506.74015748031491</v>
      </c>
      <c r="K807" s="212">
        <f t="shared" si="62"/>
        <v>0.12430853378084404</v>
      </c>
      <c r="L807" s="209">
        <f>VLOOKUP(E807,'Custos Matéria Prima Embalagens'!B:G,6,0)</f>
        <v>14.68</v>
      </c>
      <c r="M807" s="209">
        <f t="shared" si="63"/>
        <v>1174.4000000000001</v>
      </c>
      <c r="N807" s="209">
        <f t="shared" si="64"/>
        <v>2.3199999999999998</v>
      </c>
    </row>
    <row r="808" spans="1:14" hidden="1">
      <c r="A808" s="129" t="s">
        <v>1281</v>
      </c>
      <c r="B808" s="129" t="s">
        <v>1282</v>
      </c>
      <c r="C808" s="129" t="s">
        <v>1036</v>
      </c>
      <c r="D808" s="129" t="s">
        <v>991</v>
      </c>
      <c r="E808" s="129" t="s">
        <v>1287</v>
      </c>
      <c r="F808" s="129" t="s">
        <v>1299</v>
      </c>
      <c r="G808" s="210">
        <v>100</v>
      </c>
      <c r="H808" s="211">
        <f t="shared" si="60"/>
        <v>643.56000000000006</v>
      </c>
      <c r="I808" s="207">
        <f>IF(F808="CONCENTRADO SEMI BRILHO",G808/'De-Para'!$B$9,G808/VLOOKUP(B808,'De-Para'!A:B,2,0))</f>
        <v>78.740157480314963</v>
      </c>
      <c r="J808" s="206">
        <f t="shared" si="61"/>
        <v>506.74015748031491</v>
      </c>
      <c r="K808" s="212">
        <f t="shared" si="62"/>
        <v>0.15538566722605504</v>
      </c>
      <c r="L808" s="209">
        <f>VLOOKUP(E808,'Custos Matéria Prima Embalagens'!B:G,6,0)</f>
        <v>8.5139124692577308</v>
      </c>
      <c r="M808" s="209">
        <f t="shared" si="63"/>
        <v>851.39124692577309</v>
      </c>
      <c r="N808" s="209">
        <f t="shared" si="64"/>
        <v>1.68</v>
      </c>
    </row>
    <row r="809" spans="1:14" hidden="1">
      <c r="A809" s="129" t="s">
        <v>1281</v>
      </c>
      <c r="B809" s="129" t="s">
        <v>1282</v>
      </c>
      <c r="C809" s="129" t="s">
        <v>1036</v>
      </c>
      <c r="D809" s="129" t="s">
        <v>991</v>
      </c>
      <c r="E809" s="129" t="s">
        <v>1289</v>
      </c>
      <c r="F809" s="129" t="s">
        <v>1290</v>
      </c>
      <c r="G809" s="210">
        <v>4.8</v>
      </c>
      <c r="H809" s="211">
        <f t="shared" si="60"/>
        <v>643.56000000000006</v>
      </c>
      <c r="I809" s="207">
        <f>IF(F809="CONCENTRADO SEMI BRILHO",G809/'De-Para'!$B$9,G809/VLOOKUP(B809,'De-Para'!A:B,2,0))</f>
        <v>3.7795275590551181</v>
      </c>
      <c r="J809" s="206">
        <f t="shared" si="61"/>
        <v>506.74015748031491</v>
      </c>
      <c r="K809" s="212">
        <f t="shared" si="62"/>
        <v>7.458512026850642E-3</v>
      </c>
      <c r="L809" s="209">
        <f>VLOOKUP(E809,'Custos Matéria Prima Embalagens'!B:G,6,0)</f>
        <v>10.91375009090909</v>
      </c>
      <c r="M809" s="209">
        <f t="shared" si="63"/>
        <v>52.386000436363631</v>
      </c>
      <c r="N809" s="209">
        <f t="shared" si="64"/>
        <v>0.1</v>
      </c>
    </row>
    <row r="810" spans="1:14" hidden="1">
      <c r="A810" s="129" t="s">
        <v>1281</v>
      </c>
      <c r="B810" s="129" t="s">
        <v>1282</v>
      </c>
      <c r="C810" s="129" t="s">
        <v>1036</v>
      </c>
      <c r="D810" s="129" t="s">
        <v>991</v>
      </c>
      <c r="E810" s="129" t="s">
        <v>1197</v>
      </c>
      <c r="F810" s="129" t="s">
        <v>1198</v>
      </c>
      <c r="G810" s="210">
        <v>256</v>
      </c>
      <c r="H810" s="211">
        <f t="shared" si="60"/>
        <v>643.56000000000006</v>
      </c>
      <c r="I810" s="207">
        <f>IF(F810="CONCENTRADO SEMI BRILHO",G810/'De-Para'!$B$9,G810/VLOOKUP(B810,'De-Para'!A:B,2,0))</f>
        <v>201.57480314960628</v>
      </c>
      <c r="J810" s="206">
        <f t="shared" si="61"/>
        <v>506.74015748031491</v>
      </c>
      <c r="K810" s="212">
        <f t="shared" si="62"/>
        <v>0.39778730809870094</v>
      </c>
      <c r="L810" s="209">
        <f>VLOOKUP(E810,'Custos Matéria Prima Embalagens'!B:G,6,0)</f>
        <v>0</v>
      </c>
      <c r="M810" s="209">
        <f t="shared" si="63"/>
        <v>0</v>
      </c>
      <c r="N810" s="209">
        <f t="shared" si="64"/>
        <v>0</v>
      </c>
    </row>
    <row r="811" spans="1:14" hidden="1">
      <c r="A811" s="129" t="s">
        <v>1281</v>
      </c>
      <c r="B811" s="129" t="s">
        <v>1282</v>
      </c>
      <c r="C811" s="129" t="s">
        <v>1036</v>
      </c>
      <c r="D811" s="129" t="s">
        <v>991</v>
      </c>
      <c r="E811" s="129" t="s">
        <v>1291</v>
      </c>
      <c r="F811" s="129" t="s">
        <v>1292</v>
      </c>
      <c r="G811" s="210">
        <v>48</v>
      </c>
      <c r="H811" s="211">
        <f t="shared" si="60"/>
        <v>643.56000000000006</v>
      </c>
      <c r="I811" s="207">
        <f>IF(F811="CONCENTRADO SEMI BRILHO",G811/'De-Para'!$B$9,G811/VLOOKUP(B811,'De-Para'!A:B,2,0))</f>
        <v>37.795275590551178</v>
      </c>
      <c r="J811" s="206">
        <f t="shared" si="61"/>
        <v>506.74015748031491</v>
      </c>
      <c r="K811" s="212">
        <f t="shared" si="62"/>
        <v>7.458512026850643E-2</v>
      </c>
      <c r="L811" s="209">
        <f>VLOOKUP(E811,'Custos Matéria Prima Embalagens'!B:G,6,0)</f>
        <v>16.190000000000001</v>
      </c>
      <c r="M811" s="209">
        <f t="shared" si="63"/>
        <v>777.12000000000012</v>
      </c>
      <c r="N811" s="209">
        <f t="shared" si="64"/>
        <v>1.53</v>
      </c>
    </row>
    <row r="812" spans="1:14" hidden="1">
      <c r="A812" s="129" t="s">
        <v>1281</v>
      </c>
      <c r="B812" s="129" t="s">
        <v>1282</v>
      </c>
      <c r="C812" s="129" t="s">
        <v>1036</v>
      </c>
      <c r="D812" s="129" t="s">
        <v>991</v>
      </c>
      <c r="E812" s="129" t="s">
        <v>1293</v>
      </c>
      <c r="F812" s="129" t="s">
        <v>1300</v>
      </c>
      <c r="G812" s="210">
        <v>28</v>
      </c>
      <c r="H812" s="211">
        <f t="shared" si="60"/>
        <v>643.56000000000006</v>
      </c>
      <c r="I812" s="207">
        <f>IF(F812="CONCENTRADO SEMI BRILHO",G812/'De-Para'!$B$9,G812/VLOOKUP(B812,'De-Para'!A:B,2,0))</f>
        <v>22.047244094488189</v>
      </c>
      <c r="J812" s="206">
        <f t="shared" si="61"/>
        <v>506.74015748031491</v>
      </c>
      <c r="K812" s="212">
        <f t="shared" si="62"/>
        <v>4.3507986823295416E-2</v>
      </c>
      <c r="L812" s="209">
        <f>VLOOKUP(E812,'Custos Matéria Prima Embalagens'!B:G,6,0)</f>
        <v>26.2337496579635</v>
      </c>
      <c r="M812" s="209">
        <f t="shared" si="63"/>
        <v>734.544990422978</v>
      </c>
      <c r="N812" s="209">
        <f t="shared" si="64"/>
        <v>1.45</v>
      </c>
    </row>
    <row r="813" spans="1:14" hidden="1">
      <c r="A813" s="129" t="s">
        <v>1281</v>
      </c>
      <c r="B813" s="129" t="s">
        <v>1282</v>
      </c>
      <c r="C813" s="129" t="s">
        <v>1036</v>
      </c>
      <c r="D813" s="129" t="s">
        <v>991</v>
      </c>
      <c r="E813" s="129" t="s">
        <v>1295</v>
      </c>
      <c r="F813" s="129" t="s">
        <v>1301</v>
      </c>
      <c r="G813" s="210">
        <v>3.2</v>
      </c>
      <c r="H813" s="211">
        <f t="shared" si="60"/>
        <v>643.56000000000006</v>
      </c>
      <c r="I813" s="207">
        <f>IF(F813="CONCENTRADO SEMI BRILHO",G813/'De-Para'!$B$9,G813/VLOOKUP(B813,'De-Para'!A:B,2,0))</f>
        <v>2.5196850393700787</v>
      </c>
      <c r="J813" s="206">
        <f t="shared" si="61"/>
        <v>506.74015748031491</v>
      </c>
      <c r="K813" s="212">
        <f t="shared" si="62"/>
        <v>4.9723413512337616E-3</v>
      </c>
      <c r="L813" s="209">
        <f>VLOOKUP(E813,'Custos Matéria Prima Embalagens'!B:G,6,0)</f>
        <v>21.085367657963403</v>
      </c>
      <c r="M813" s="209">
        <f t="shared" si="63"/>
        <v>67.473176505482897</v>
      </c>
      <c r="N813" s="209">
        <f t="shared" si="64"/>
        <v>0.13</v>
      </c>
    </row>
    <row r="814" spans="1:14" hidden="1">
      <c r="A814" s="129" t="s">
        <v>1281</v>
      </c>
      <c r="B814" s="129" t="s">
        <v>1282</v>
      </c>
      <c r="C814" s="129" t="s">
        <v>1036</v>
      </c>
      <c r="D814" s="129" t="s">
        <v>991</v>
      </c>
      <c r="E814" s="129" t="s">
        <v>1309</v>
      </c>
      <c r="F814" s="129" t="s">
        <v>1310</v>
      </c>
      <c r="G814" s="210">
        <v>3.2</v>
      </c>
      <c r="H814" s="211">
        <f t="shared" si="60"/>
        <v>643.56000000000006</v>
      </c>
      <c r="I814" s="207">
        <f>IF(F814="CONCENTRADO SEMI BRILHO",G814/'De-Para'!$B$9,G814/VLOOKUP(B814,'De-Para'!A:B,2,0))</f>
        <v>2.5196850393700787</v>
      </c>
      <c r="J814" s="206">
        <f t="shared" si="61"/>
        <v>506.74015748031491</v>
      </c>
      <c r="K814" s="212">
        <f t="shared" si="62"/>
        <v>4.9723413512337616E-3</v>
      </c>
      <c r="L814" s="209">
        <f>VLOOKUP(E814,'Custos Matéria Prima Embalagens'!B:G,6,0)</f>
        <v>17.02</v>
      </c>
      <c r="M814" s="209">
        <f t="shared" si="63"/>
        <v>54.463999999999999</v>
      </c>
      <c r="N814" s="209">
        <f t="shared" si="64"/>
        <v>0.11</v>
      </c>
    </row>
    <row r="815" spans="1:14" hidden="1">
      <c r="A815" s="129" t="s">
        <v>1281</v>
      </c>
      <c r="B815" s="129" t="s">
        <v>1282</v>
      </c>
      <c r="C815" s="129" t="s">
        <v>1036</v>
      </c>
      <c r="D815" s="129" t="s">
        <v>991</v>
      </c>
      <c r="E815" s="129" t="s">
        <v>1306</v>
      </c>
      <c r="F815" s="129" t="s">
        <v>1311</v>
      </c>
      <c r="G815" s="210">
        <v>0.36</v>
      </c>
      <c r="H815" s="211">
        <f t="shared" si="60"/>
        <v>643.56000000000006</v>
      </c>
      <c r="I815" s="207">
        <f>IF(F815="CONCENTRADO SEMI BRILHO",G815/'De-Para'!$B$9,G815/VLOOKUP(B815,'De-Para'!A:B,2,0))</f>
        <v>0.28346456692913385</v>
      </c>
      <c r="J815" s="206">
        <f t="shared" si="61"/>
        <v>506.74015748031491</v>
      </c>
      <c r="K815" s="212">
        <f t="shared" si="62"/>
        <v>5.5938840201379819E-4</v>
      </c>
      <c r="L815" s="209">
        <f>VLOOKUP(E815,'Custos Matéria Prima Embalagens'!B:G,6,0)</f>
        <v>22.97</v>
      </c>
      <c r="M815" s="209">
        <f t="shared" si="63"/>
        <v>8.2691999999999997</v>
      </c>
      <c r="N815" s="209">
        <f t="shared" si="64"/>
        <v>0.02</v>
      </c>
    </row>
    <row r="816" spans="1:14" hidden="1">
      <c r="A816" s="129" t="s">
        <v>1281</v>
      </c>
      <c r="B816" s="129" t="s">
        <v>1282</v>
      </c>
      <c r="C816" s="129" t="s">
        <v>1046</v>
      </c>
      <c r="D816" s="129" t="s">
        <v>581</v>
      </c>
      <c r="E816" s="129" t="s">
        <v>1283</v>
      </c>
      <c r="F816" s="129" t="s">
        <v>1297</v>
      </c>
      <c r="G816" s="210">
        <v>120</v>
      </c>
      <c r="H816" s="211">
        <f t="shared" si="60"/>
        <v>640.20000000000005</v>
      </c>
      <c r="I816" s="207">
        <f>IF(F816="CONCENTRADO SEMI BRILHO",G816/'De-Para'!$B$9,G816/VLOOKUP(B816,'De-Para'!A:B,2,0))</f>
        <v>94.488188976377955</v>
      </c>
      <c r="J816" s="206">
        <f t="shared" si="61"/>
        <v>504.0944881889763</v>
      </c>
      <c r="K816" s="212">
        <f t="shared" si="62"/>
        <v>0.1874414245548266</v>
      </c>
      <c r="L816" s="209">
        <f>VLOOKUP(E816,'Custos Matéria Prima Embalagens'!B:G,6,0)</f>
        <v>12.47</v>
      </c>
      <c r="M816" s="209">
        <f t="shared" si="63"/>
        <v>1496.4</v>
      </c>
      <c r="N816" s="209">
        <f t="shared" si="64"/>
        <v>2.97</v>
      </c>
    </row>
    <row r="817" spans="1:14" hidden="1">
      <c r="A817" s="129" t="s">
        <v>1281</v>
      </c>
      <c r="B817" s="129" t="s">
        <v>1282</v>
      </c>
      <c r="C817" s="129" t="s">
        <v>1046</v>
      </c>
      <c r="D817" s="129" t="s">
        <v>581</v>
      </c>
      <c r="E817" s="129" t="s">
        <v>1285</v>
      </c>
      <c r="F817" s="129" t="s">
        <v>1298</v>
      </c>
      <c r="G817" s="210">
        <v>80</v>
      </c>
      <c r="H817" s="211">
        <f t="shared" si="60"/>
        <v>640.20000000000005</v>
      </c>
      <c r="I817" s="207">
        <f>IF(F817="CONCENTRADO SEMI BRILHO",G817/'De-Para'!$B$9,G817/VLOOKUP(B817,'De-Para'!A:B,2,0))</f>
        <v>62.99212598425197</v>
      </c>
      <c r="J817" s="206">
        <f t="shared" si="61"/>
        <v>504.0944881889763</v>
      </c>
      <c r="K817" s="212">
        <f t="shared" si="62"/>
        <v>0.12496094970321774</v>
      </c>
      <c r="L817" s="209">
        <f>VLOOKUP(E817,'Custos Matéria Prima Embalagens'!B:G,6,0)</f>
        <v>14.68</v>
      </c>
      <c r="M817" s="209">
        <f t="shared" si="63"/>
        <v>1174.4000000000001</v>
      </c>
      <c r="N817" s="209">
        <f t="shared" si="64"/>
        <v>2.33</v>
      </c>
    </row>
    <row r="818" spans="1:14" hidden="1">
      <c r="A818" s="129" t="s">
        <v>1281</v>
      </c>
      <c r="B818" s="129" t="s">
        <v>1282</v>
      </c>
      <c r="C818" s="129" t="s">
        <v>1046</v>
      </c>
      <c r="D818" s="129" t="s">
        <v>581</v>
      </c>
      <c r="E818" s="129" t="s">
        <v>1287</v>
      </c>
      <c r="F818" s="129" t="s">
        <v>1299</v>
      </c>
      <c r="G818" s="210">
        <v>100</v>
      </c>
      <c r="H818" s="211">
        <f t="shared" si="60"/>
        <v>640.20000000000005</v>
      </c>
      <c r="I818" s="207">
        <f>IF(F818="CONCENTRADO SEMI BRILHO",G818/'De-Para'!$B$9,G818/VLOOKUP(B818,'De-Para'!A:B,2,0))</f>
        <v>78.740157480314963</v>
      </c>
      <c r="J818" s="206">
        <f t="shared" si="61"/>
        <v>504.0944881889763</v>
      </c>
      <c r="K818" s="212">
        <f t="shared" si="62"/>
        <v>0.15620118712902217</v>
      </c>
      <c r="L818" s="209">
        <f>VLOOKUP(E818,'Custos Matéria Prima Embalagens'!B:G,6,0)</f>
        <v>8.5139124692577308</v>
      </c>
      <c r="M818" s="209">
        <f t="shared" si="63"/>
        <v>851.39124692577309</v>
      </c>
      <c r="N818" s="209">
        <f t="shared" si="64"/>
        <v>1.69</v>
      </c>
    </row>
    <row r="819" spans="1:14" hidden="1">
      <c r="A819" s="129" t="s">
        <v>1281</v>
      </c>
      <c r="B819" s="129" t="s">
        <v>1282</v>
      </c>
      <c r="C819" s="129" t="s">
        <v>1046</v>
      </c>
      <c r="D819" s="129" t="s">
        <v>581</v>
      </c>
      <c r="E819" s="129" t="s">
        <v>1289</v>
      </c>
      <c r="F819" s="129" t="s">
        <v>1290</v>
      </c>
      <c r="G819" s="210">
        <v>4.8</v>
      </c>
      <c r="H819" s="211">
        <f t="shared" si="60"/>
        <v>640.20000000000005</v>
      </c>
      <c r="I819" s="207">
        <f>IF(F819="CONCENTRADO SEMI BRILHO",G819/'De-Para'!$B$9,G819/VLOOKUP(B819,'De-Para'!A:B,2,0))</f>
        <v>3.7795275590551181</v>
      </c>
      <c r="J819" s="206">
        <f t="shared" si="61"/>
        <v>504.0944881889763</v>
      </c>
      <c r="K819" s="212">
        <f t="shared" si="62"/>
        <v>7.497656982193064E-3</v>
      </c>
      <c r="L819" s="209">
        <f>VLOOKUP(E819,'Custos Matéria Prima Embalagens'!B:G,6,0)</f>
        <v>10.91375009090909</v>
      </c>
      <c r="M819" s="209">
        <f t="shared" si="63"/>
        <v>52.386000436363631</v>
      </c>
      <c r="N819" s="209">
        <f t="shared" si="64"/>
        <v>0.1</v>
      </c>
    </row>
    <row r="820" spans="1:14" hidden="1">
      <c r="A820" s="129" t="s">
        <v>1281</v>
      </c>
      <c r="B820" s="129" t="s">
        <v>1282</v>
      </c>
      <c r="C820" s="129" t="s">
        <v>1046</v>
      </c>
      <c r="D820" s="129" t="s">
        <v>581</v>
      </c>
      <c r="E820" s="129" t="s">
        <v>1197</v>
      </c>
      <c r="F820" s="129" t="s">
        <v>1198</v>
      </c>
      <c r="G820" s="210">
        <v>256</v>
      </c>
      <c r="H820" s="211">
        <f t="shared" si="60"/>
        <v>640.20000000000005</v>
      </c>
      <c r="I820" s="207">
        <f>IF(F820="CONCENTRADO SEMI BRILHO",G820/'De-Para'!$B$9,G820/VLOOKUP(B820,'De-Para'!A:B,2,0))</f>
        <v>201.57480314960628</v>
      </c>
      <c r="J820" s="206">
        <f t="shared" si="61"/>
        <v>504.0944881889763</v>
      </c>
      <c r="K820" s="212">
        <f t="shared" si="62"/>
        <v>0.39987503905029675</v>
      </c>
      <c r="L820" s="209">
        <f>VLOOKUP(E820,'Custos Matéria Prima Embalagens'!B:G,6,0)</f>
        <v>0</v>
      </c>
      <c r="M820" s="209">
        <f t="shared" si="63"/>
        <v>0</v>
      </c>
      <c r="N820" s="209">
        <f t="shared" si="64"/>
        <v>0</v>
      </c>
    </row>
    <row r="821" spans="1:14" hidden="1">
      <c r="A821" s="129" t="s">
        <v>1281</v>
      </c>
      <c r="B821" s="129" t="s">
        <v>1282</v>
      </c>
      <c r="C821" s="129" t="s">
        <v>1046</v>
      </c>
      <c r="D821" s="129" t="s">
        <v>581</v>
      </c>
      <c r="E821" s="129" t="s">
        <v>1291</v>
      </c>
      <c r="F821" s="129" t="s">
        <v>1292</v>
      </c>
      <c r="G821" s="210">
        <v>16</v>
      </c>
      <c r="H821" s="211">
        <f t="shared" si="60"/>
        <v>640.20000000000005</v>
      </c>
      <c r="I821" s="207">
        <f>IF(F821="CONCENTRADO SEMI BRILHO",G821/'De-Para'!$B$9,G821/VLOOKUP(B821,'De-Para'!A:B,2,0))</f>
        <v>12.598425196850393</v>
      </c>
      <c r="J821" s="206">
        <f t="shared" si="61"/>
        <v>504.0944881889763</v>
      </c>
      <c r="K821" s="212">
        <f t="shared" si="62"/>
        <v>2.4992189940643547E-2</v>
      </c>
      <c r="L821" s="209">
        <f>VLOOKUP(E821,'Custos Matéria Prima Embalagens'!B:G,6,0)</f>
        <v>16.190000000000001</v>
      </c>
      <c r="M821" s="209">
        <f t="shared" si="63"/>
        <v>259.04000000000002</v>
      </c>
      <c r="N821" s="209">
        <f t="shared" si="64"/>
        <v>0.51</v>
      </c>
    </row>
    <row r="822" spans="1:14" hidden="1">
      <c r="A822" s="129" t="s">
        <v>1281</v>
      </c>
      <c r="B822" s="129" t="s">
        <v>1282</v>
      </c>
      <c r="C822" s="129" t="s">
        <v>1046</v>
      </c>
      <c r="D822" s="129" t="s">
        <v>581</v>
      </c>
      <c r="E822" s="129" t="s">
        <v>1293</v>
      </c>
      <c r="F822" s="129" t="s">
        <v>1300</v>
      </c>
      <c r="G822" s="210">
        <v>28</v>
      </c>
      <c r="H822" s="211">
        <f t="shared" si="60"/>
        <v>640.20000000000005</v>
      </c>
      <c r="I822" s="207">
        <f>IF(F822="CONCENTRADO SEMI BRILHO",G822/'De-Para'!$B$9,G822/VLOOKUP(B822,'De-Para'!A:B,2,0))</f>
        <v>22.047244094488189</v>
      </c>
      <c r="J822" s="206">
        <f t="shared" si="61"/>
        <v>504.0944881889763</v>
      </c>
      <c r="K822" s="212">
        <f t="shared" si="62"/>
        <v>4.3736332396126204E-2</v>
      </c>
      <c r="L822" s="209">
        <f>VLOOKUP(E822,'Custos Matéria Prima Embalagens'!B:G,6,0)</f>
        <v>26.2337496579635</v>
      </c>
      <c r="M822" s="209">
        <f t="shared" si="63"/>
        <v>734.544990422978</v>
      </c>
      <c r="N822" s="209">
        <f t="shared" si="64"/>
        <v>1.46</v>
      </c>
    </row>
    <row r="823" spans="1:14" hidden="1">
      <c r="A823" s="129" t="s">
        <v>1281</v>
      </c>
      <c r="B823" s="129" t="s">
        <v>1282</v>
      </c>
      <c r="C823" s="129" t="s">
        <v>1046</v>
      </c>
      <c r="D823" s="129" t="s">
        <v>581</v>
      </c>
      <c r="E823" s="129" t="s">
        <v>1295</v>
      </c>
      <c r="F823" s="129" t="s">
        <v>1301</v>
      </c>
      <c r="G823" s="210">
        <v>3.2</v>
      </c>
      <c r="H823" s="211">
        <f t="shared" si="60"/>
        <v>640.20000000000005</v>
      </c>
      <c r="I823" s="207">
        <f>IF(F823="CONCENTRADO SEMI BRILHO",G823/'De-Para'!$B$9,G823/VLOOKUP(B823,'De-Para'!A:B,2,0))</f>
        <v>2.5196850393700787</v>
      </c>
      <c r="J823" s="206">
        <f t="shared" si="61"/>
        <v>504.0944881889763</v>
      </c>
      <c r="K823" s="212">
        <f t="shared" si="62"/>
        <v>4.9984379881287096E-3</v>
      </c>
      <c r="L823" s="209">
        <f>VLOOKUP(E823,'Custos Matéria Prima Embalagens'!B:G,6,0)</f>
        <v>21.085367657963403</v>
      </c>
      <c r="M823" s="209">
        <f t="shared" si="63"/>
        <v>67.473176505482897</v>
      </c>
      <c r="N823" s="209">
        <f t="shared" si="64"/>
        <v>0.13</v>
      </c>
    </row>
    <row r="824" spans="1:14" hidden="1">
      <c r="A824" s="129" t="s">
        <v>1281</v>
      </c>
      <c r="B824" s="129" t="s">
        <v>1282</v>
      </c>
      <c r="C824" s="129" t="s">
        <v>1046</v>
      </c>
      <c r="D824" s="129" t="s">
        <v>581</v>
      </c>
      <c r="E824" s="129" t="s">
        <v>1312</v>
      </c>
      <c r="F824" s="129" t="s">
        <v>1313</v>
      </c>
      <c r="G824" s="210">
        <v>4.76</v>
      </c>
      <c r="H824" s="211">
        <f t="shared" si="60"/>
        <v>640.20000000000005</v>
      </c>
      <c r="I824" s="207">
        <f>IF(F824="CONCENTRADO SEMI BRILHO",G824/'De-Para'!$B$9,G824/VLOOKUP(B824,'De-Para'!A:B,2,0))</f>
        <v>3.7480314960629917</v>
      </c>
      <c r="J824" s="206">
        <f t="shared" si="61"/>
        <v>504.0944881889763</v>
      </c>
      <c r="K824" s="212">
        <f t="shared" si="62"/>
        <v>7.4351765073414552E-3</v>
      </c>
      <c r="L824" s="209">
        <f>VLOOKUP(E824,'Custos Matéria Prima Embalagens'!B:G,6,0)</f>
        <v>15.82</v>
      </c>
      <c r="M824" s="209">
        <f t="shared" si="63"/>
        <v>75.303200000000004</v>
      </c>
      <c r="N824" s="209">
        <f t="shared" si="64"/>
        <v>0.15</v>
      </c>
    </row>
    <row r="825" spans="1:14" hidden="1">
      <c r="A825" s="129" t="s">
        <v>1281</v>
      </c>
      <c r="B825" s="129" t="s">
        <v>1282</v>
      </c>
      <c r="C825" s="129" t="s">
        <v>1046</v>
      </c>
      <c r="D825" s="129" t="s">
        <v>581</v>
      </c>
      <c r="E825" s="129" t="s">
        <v>1309</v>
      </c>
      <c r="F825" s="129" t="s">
        <v>1310</v>
      </c>
      <c r="G825" s="210">
        <v>2</v>
      </c>
      <c r="H825" s="211">
        <f t="shared" si="60"/>
        <v>640.20000000000005</v>
      </c>
      <c r="I825" s="207">
        <f>IF(F825="CONCENTRADO SEMI BRILHO",G825/'De-Para'!$B$9,G825/VLOOKUP(B825,'De-Para'!A:B,2,0))</f>
        <v>1.5748031496062991</v>
      </c>
      <c r="J825" s="206">
        <f t="shared" si="61"/>
        <v>504.0944881889763</v>
      </c>
      <c r="K825" s="212">
        <f t="shared" si="62"/>
        <v>3.1240237425804434E-3</v>
      </c>
      <c r="L825" s="209">
        <f>VLOOKUP(E825,'Custos Matéria Prima Embalagens'!B:G,6,0)</f>
        <v>17.02</v>
      </c>
      <c r="M825" s="209">
        <f t="shared" si="63"/>
        <v>34.04</v>
      </c>
      <c r="N825" s="209">
        <f t="shared" si="64"/>
        <v>7.0000000000000007E-2</v>
      </c>
    </row>
    <row r="826" spans="1:14" hidden="1">
      <c r="A826" s="129" t="s">
        <v>1281</v>
      </c>
      <c r="B826" s="129" t="s">
        <v>1282</v>
      </c>
      <c r="C826" s="129" t="s">
        <v>1046</v>
      </c>
      <c r="D826" s="129" t="s">
        <v>581</v>
      </c>
      <c r="E826" s="129" t="s">
        <v>1314</v>
      </c>
      <c r="F826" s="129" t="s">
        <v>1315</v>
      </c>
      <c r="G826" s="210">
        <v>5.44</v>
      </c>
      <c r="H826" s="211">
        <f t="shared" si="60"/>
        <v>640.20000000000005</v>
      </c>
      <c r="I826" s="207">
        <f>IF(F826="CONCENTRADO SEMI BRILHO",G826/'De-Para'!$B$9,G826/VLOOKUP(B826,'De-Para'!A:B,2,0))</f>
        <v>4.2834645669291342</v>
      </c>
      <c r="J826" s="206">
        <f t="shared" si="61"/>
        <v>504.0944881889763</v>
      </c>
      <c r="K826" s="212">
        <f t="shared" si="62"/>
        <v>8.4973445798188062E-3</v>
      </c>
      <c r="L826" s="209">
        <f>VLOOKUP(E826,'Custos Matéria Prima Embalagens'!B:G,6,0)</f>
        <v>32.47</v>
      </c>
      <c r="M826" s="209">
        <f t="shared" si="63"/>
        <v>176.63679999999999</v>
      </c>
      <c r="N826" s="209">
        <f t="shared" si="64"/>
        <v>0.35</v>
      </c>
    </row>
    <row r="827" spans="1:14" hidden="1">
      <c r="A827" s="129" t="s">
        <v>1281</v>
      </c>
      <c r="B827" s="129" t="s">
        <v>1282</v>
      </c>
      <c r="C827" s="129" t="s">
        <v>1046</v>
      </c>
      <c r="D827" s="129" t="s">
        <v>581</v>
      </c>
      <c r="E827" s="129" t="s">
        <v>1316</v>
      </c>
      <c r="F827" s="129" t="s">
        <v>1317</v>
      </c>
      <c r="G827" s="210">
        <v>20</v>
      </c>
      <c r="H827" s="211">
        <f t="shared" si="60"/>
        <v>640.20000000000005</v>
      </c>
      <c r="I827" s="207">
        <f>IF(F827="CONCENTRADO SEMI BRILHO",G827/'De-Para'!$B$9,G827/VLOOKUP(B827,'De-Para'!A:B,2,0))</f>
        <v>15.748031496062993</v>
      </c>
      <c r="J827" s="206">
        <f t="shared" si="61"/>
        <v>504.0944881889763</v>
      </c>
      <c r="K827" s="212">
        <f t="shared" si="62"/>
        <v>3.1240237425804434E-2</v>
      </c>
      <c r="L827" s="209">
        <f>VLOOKUP(E827,'Custos Matéria Prima Embalagens'!B:G,6,0)</f>
        <v>22.279999999999998</v>
      </c>
      <c r="M827" s="209">
        <f t="shared" si="63"/>
        <v>445.59999999999997</v>
      </c>
      <c r="N827" s="209">
        <f t="shared" si="64"/>
        <v>0.88</v>
      </c>
    </row>
    <row r="828" spans="1:14" hidden="1">
      <c r="A828" s="129" t="s">
        <v>1281</v>
      </c>
      <c r="B828" s="129" t="s">
        <v>1282</v>
      </c>
      <c r="C828" s="129" t="s">
        <v>1048</v>
      </c>
      <c r="D828" s="129" t="s">
        <v>999</v>
      </c>
      <c r="E828" s="129" t="s">
        <v>1283</v>
      </c>
      <c r="F828" s="129" t="s">
        <v>1297</v>
      </c>
      <c r="G828" s="210">
        <v>30</v>
      </c>
      <c r="H828" s="211">
        <f t="shared" si="60"/>
        <v>157.167</v>
      </c>
      <c r="I828" s="207">
        <f>IF(F828="CONCENTRADO SEMI BRILHO",G828/'De-Para'!$B$9,G828/VLOOKUP(B828,'De-Para'!A:B,2,0))</f>
        <v>23.622047244094489</v>
      </c>
      <c r="J828" s="206">
        <f t="shared" si="61"/>
        <v>123.75354330708662</v>
      </c>
      <c r="K828" s="212">
        <f t="shared" si="62"/>
        <v>0.19087976483612973</v>
      </c>
      <c r="L828" s="209">
        <f>VLOOKUP(E828,'Custos Matéria Prima Embalagens'!B:G,6,0)</f>
        <v>12.47</v>
      </c>
      <c r="M828" s="209">
        <f t="shared" si="63"/>
        <v>374.1</v>
      </c>
      <c r="N828" s="209">
        <f t="shared" si="64"/>
        <v>3.02</v>
      </c>
    </row>
    <row r="829" spans="1:14" hidden="1">
      <c r="A829" s="129" t="s">
        <v>1281</v>
      </c>
      <c r="B829" s="129" t="s">
        <v>1282</v>
      </c>
      <c r="C829" s="129" t="s">
        <v>1048</v>
      </c>
      <c r="D829" s="129" t="s">
        <v>999</v>
      </c>
      <c r="E829" s="129" t="s">
        <v>1285</v>
      </c>
      <c r="F829" s="129" t="s">
        <v>1298</v>
      </c>
      <c r="G829" s="210">
        <v>20</v>
      </c>
      <c r="H829" s="211">
        <f t="shared" si="60"/>
        <v>157.167</v>
      </c>
      <c r="I829" s="207">
        <f>IF(F829="CONCENTRADO SEMI BRILHO",G829/'De-Para'!$B$9,G829/VLOOKUP(B829,'De-Para'!A:B,2,0))</f>
        <v>15.748031496062993</v>
      </c>
      <c r="J829" s="206">
        <f t="shared" si="61"/>
        <v>123.75354330708662</v>
      </c>
      <c r="K829" s="212">
        <f t="shared" si="62"/>
        <v>0.1272531765574198</v>
      </c>
      <c r="L829" s="209">
        <f>VLOOKUP(E829,'Custos Matéria Prima Embalagens'!B:G,6,0)</f>
        <v>14.68</v>
      </c>
      <c r="M829" s="209">
        <f t="shared" si="63"/>
        <v>293.60000000000002</v>
      </c>
      <c r="N829" s="209">
        <f t="shared" si="64"/>
        <v>2.37</v>
      </c>
    </row>
    <row r="830" spans="1:14" hidden="1">
      <c r="A830" s="129" t="s">
        <v>1281</v>
      </c>
      <c r="B830" s="129" t="s">
        <v>1282</v>
      </c>
      <c r="C830" s="129" t="s">
        <v>1048</v>
      </c>
      <c r="D830" s="129" t="s">
        <v>999</v>
      </c>
      <c r="E830" s="129" t="s">
        <v>1287</v>
      </c>
      <c r="F830" s="129" t="s">
        <v>1299</v>
      </c>
      <c r="G830" s="210">
        <v>25</v>
      </c>
      <c r="H830" s="211">
        <f t="shared" si="60"/>
        <v>157.167</v>
      </c>
      <c r="I830" s="207">
        <f>IF(F830="CONCENTRADO SEMI BRILHO",G830/'De-Para'!$B$9,G830/VLOOKUP(B830,'De-Para'!A:B,2,0))</f>
        <v>19.685039370078741</v>
      </c>
      <c r="J830" s="206">
        <f t="shared" si="61"/>
        <v>123.75354330708662</v>
      </c>
      <c r="K830" s="212">
        <f t="shared" si="62"/>
        <v>0.15906647069677476</v>
      </c>
      <c r="L830" s="209">
        <f>VLOOKUP(E830,'Custos Matéria Prima Embalagens'!B:G,6,0)</f>
        <v>8.5139124692577308</v>
      </c>
      <c r="M830" s="209">
        <f t="shared" si="63"/>
        <v>212.84781173144327</v>
      </c>
      <c r="N830" s="209">
        <f t="shared" si="64"/>
        <v>1.72</v>
      </c>
    </row>
    <row r="831" spans="1:14" hidden="1">
      <c r="A831" s="129" t="s">
        <v>1281</v>
      </c>
      <c r="B831" s="129" t="s">
        <v>1282</v>
      </c>
      <c r="C831" s="129" t="s">
        <v>1048</v>
      </c>
      <c r="D831" s="129" t="s">
        <v>999</v>
      </c>
      <c r="E831" s="129" t="s">
        <v>1289</v>
      </c>
      <c r="F831" s="129" t="s">
        <v>1290</v>
      </c>
      <c r="G831" s="210">
        <v>1.2</v>
      </c>
      <c r="H831" s="211">
        <f t="shared" si="60"/>
        <v>157.167</v>
      </c>
      <c r="I831" s="207">
        <f>IF(F831="CONCENTRADO SEMI BRILHO",G831/'De-Para'!$B$9,G831/VLOOKUP(B831,'De-Para'!A:B,2,0))</f>
        <v>0.94488188976377951</v>
      </c>
      <c r="J831" s="206">
        <f t="shared" si="61"/>
        <v>123.75354330708662</v>
      </c>
      <c r="K831" s="212">
        <f t="shared" si="62"/>
        <v>7.6351905934451889E-3</v>
      </c>
      <c r="L831" s="209">
        <f>VLOOKUP(E831,'Custos Matéria Prima Embalagens'!B:G,6,0)</f>
        <v>10.91375009090909</v>
      </c>
      <c r="M831" s="209">
        <f t="shared" si="63"/>
        <v>13.096500109090908</v>
      </c>
      <c r="N831" s="209">
        <f t="shared" si="64"/>
        <v>0.11</v>
      </c>
    </row>
    <row r="832" spans="1:14" hidden="1">
      <c r="A832" s="129" t="s">
        <v>1281</v>
      </c>
      <c r="B832" s="129" t="s">
        <v>1282</v>
      </c>
      <c r="C832" s="129" t="s">
        <v>1048</v>
      </c>
      <c r="D832" s="129" t="s">
        <v>999</v>
      </c>
      <c r="E832" s="129" t="s">
        <v>1197</v>
      </c>
      <c r="F832" s="129" t="s">
        <v>1198</v>
      </c>
      <c r="G832" s="210">
        <v>64</v>
      </c>
      <c r="H832" s="211">
        <f t="shared" si="60"/>
        <v>157.167</v>
      </c>
      <c r="I832" s="207">
        <f>IF(F832="CONCENTRADO SEMI BRILHO",G832/'De-Para'!$B$9,G832/VLOOKUP(B832,'De-Para'!A:B,2,0))</f>
        <v>50.393700787401571</v>
      </c>
      <c r="J832" s="206">
        <f t="shared" si="61"/>
        <v>123.75354330708662</v>
      </c>
      <c r="K832" s="212">
        <f t="shared" si="62"/>
        <v>0.40721016498374341</v>
      </c>
      <c r="L832" s="209">
        <f>VLOOKUP(E832,'Custos Matéria Prima Embalagens'!B:G,6,0)</f>
        <v>0</v>
      </c>
      <c r="M832" s="209">
        <f t="shared" si="63"/>
        <v>0</v>
      </c>
      <c r="N832" s="209">
        <f t="shared" si="64"/>
        <v>0</v>
      </c>
    </row>
    <row r="833" spans="1:14" hidden="1">
      <c r="A833" s="129" t="s">
        <v>1281</v>
      </c>
      <c r="B833" s="129" t="s">
        <v>1282</v>
      </c>
      <c r="C833" s="129" t="s">
        <v>1048</v>
      </c>
      <c r="D833" s="129" t="s">
        <v>999</v>
      </c>
      <c r="E833" s="129" t="s">
        <v>1291</v>
      </c>
      <c r="F833" s="129" t="s">
        <v>1292</v>
      </c>
      <c r="G833" s="210">
        <v>2.5</v>
      </c>
      <c r="H833" s="211">
        <f t="shared" si="60"/>
        <v>157.167</v>
      </c>
      <c r="I833" s="207">
        <f>IF(F833="CONCENTRADO SEMI BRILHO",G833/'De-Para'!$B$9,G833/VLOOKUP(B833,'De-Para'!A:B,2,0))</f>
        <v>1.9685039370078741</v>
      </c>
      <c r="J833" s="206">
        <f t="shared" si="61"/>
        <v>123.75354330708662</v>
      </c>
      <c r="K833" s="212">
        <f t="shared" si="62"/>
        <v>1.5906647069677475E-2</v>
      </c>
      <c r="L833" s="209">
        <f>VLOOKUP(E833,'Custos Matéria Prima Embalagens'!B:G,6,0)</f>
        <v>16.190000000000001</v>
      </c>
      <c r="M833" s="209">
        <f t="shared" si="63"/>
        <v>40.475000000000001</v>
      </c>
      <c r="N833" s="209">
        <f t="shared" si="64"/>
        <v>0.33</v>
      </c>
    </row>
    <row r="834" spans="1:14" hidden="1">
      <c r="A834" s="129" t="s">
        <v>1281</v>
      </c>
      <c r="B834" s="129" t="s">
        <v>1282</v>
      </c>
      <c r="C834" s="129" t="s">
        <v>1048</v>
      </c>
      <c r="D834" s="129" t="s">
        <v>999</v>
      </c>
      <c r="E834" s="129" t="s">
        <v>1293</v>
      </c>
      <c r="F834" s="129" t="s">
        <v>1300</v>
      </c>
      <c r="G834" s="210">
        <v>7</v>
      </c>
      <c r="H834" s="211">
        <f t="shared" si="60"/>
        <v>157.167</v>
      </c>
      <c r="I834" s="207">
        <f>IF(F834="CONCENTRADO SEMI BRILHO",G834/'De-Para'!$B$9,G834/VLOOKUP(B834,'De-Para'!A:B,2,0))</f>
        <v>5.5118110236220472</v>
      </c>
      <c r="J834" s="206">
        <f t="shared" si="61"/>
        <v>123.75354330708662</v>
      </c>
      <c r="K834" s="212">
        <f t="shared" si="62"/>
        <v>4.4538611795096932E-2</v>
      </c>
      <c r="L834" s="209">
        <f>VLOOKUP(E834,'Custos Matéria Prima Embalagens'!B:G,6,0)</f>
        <v>26.2337496579635</v>
      </c>
      <c r="M834" s="209">
        <f t="shared" si="63"/>
        <v>183.6362476057445</v>
      </c>
      <c r="N834" s="209">
        <f t="shared" si="64"/>
        <v>1.48</v>
      </c>
    </row>
    <row r="835" spans="1:14" hidden="1">
      <c r="A835" s="129" t="s">
        <v>1281</v>
      </c>
      <c r="B835" s="129" t="s">
        <v>1282</v>
      </c>
      <c r="C835" s="129" t="s">
        <v>1048</v>
      </c>
      <c r="D835" s="129" t="s">
        <v>999</v>
      </c>
      <c r="E835" s="129" t="s">
        <v>1295</v>
      </c>
      <c r="F835" s="129" t="s">
        <v>1301</v>
      </c>
      <c r="G835" s="210">
        <v>0.8</v>
      </c>
      <c r="H835" s="211">
        <f t="shared" ref="H835:H898" si="65">SUMIFS(G:G,C:C,C835)</f>
        <v>157.167</v>
      </c>
      <c r="I835" s="207">
        <f>IF(F835="CONCENTRADO SEMI BRILHO",G835/'De-Para'!$B$9,G835/VLOOKUP(B835,'De-Para'!A:B,2,0))</f>
        <v>0.62992125984251968</v>
      </c>
      <c r="J835" s="206">
        <f t="shared" ref="J835:J898" si="66">SUMIFS(I:I,C:C,C835)</f>
        <v>123.75354330708662</v>
      </c>
      <c r="K835" s="212">
        <f t="shared" ref="K835:K898" si="67">G835/H835</f>
        <v>5.0901270622967926E-3</v>
      </c>
      <c r="L835" s="209">
        <f>VLOOKUP(E835,'Custos Matéria Prima Embalagens'!B:G,6,0)</f>
        <v>21.085367657963403</v>
      </c>
      <c r="M835" s="209">
        <f t="shared" ref="M835:M898" si="68">L835*G835</f>
        <v>16.868294126370724</v>
      </c>
      <c r="N835" s="209">
        <f t="shared" ref="N835:N898" si="69">IF(B835="CONCENTRADO",ROUND(M835/H835,2),ROUND(M835/J835,2))</f>
        <v>0.14000000000000001</v>
      </c>
    </row>
    <row r="836" spans="1:14" hidden="1">
      <c r="A836" s="129" t="s">
        <v>1281</v>
      </c>
      <c r="B836" s="129" t="s">
        <v>1282</v>
      </c>
      <c r="C836" s="129" t="s">
        <v>1048</v>
      </c>
      <c r="D836" s="129" t="s">
        <v>999</v>
      </c>
      <c r="E836" s="129" t="s">
        <v>1312</v>
      </c>
      <c r="F836" s="129" t="s">
        <v>1318</v>
      </c>
      <c r="G836" s="210">
        <v>1.667</v>
      </c>
      <c r="H836" s="211">
        <f t="shared" si="65"/>
        <v>157.167</v>
      </c>
      <c r="I836" s="207">
        <f>IF(F836="CONCENTRADO SEMI BRILHO",G836/'De-Para'!$B$9,G836/VLOOKUP(B836,'De-Para'!A:B,2,0))</f>
        <v>1.3125984251968503</v>
      </c>
      <c r="J836" s="206">
        <f t="shared" si="66"/>
        <v>123.75354330708662</v>
      </c>
      <c r="K836" s="212">
        <f t="shared" si="67"/>
        <v>1.0606552266060942E-2</v>
      </c>
      <c r="L836" s="209">
        <f>VLOOKUP(E836,'Custos Matéria Prima Embalagens'!B:G,6,0)</f>
        <v>15.82</v>
      </c>
      <c r="M836" s="209">
        <f t="shared" si="68"/>
        <v>26.371940000000002</v>
      </c>
      <c r="N836" s="209">
        <f t="shared" si="69"/>
        <v>0.21</v>
      </c>
    </row>
    <row r="837" spans="1:14" hidden="1">
      <c r="A837" s="129" t="s">
        <v>1281</v>
      </c>
      <c r="B837" s="129" t="s">
        <v>1282</v>
      </c>
      <c r="C837" s="129" t="s">
        <v>1048</v>
      </c>
      <c r="D837" s="129" t="s">
        <v>999</v>
      </c>
      <c r="E837" s="129" t="s">
        <v>1314</v>
      </c>
      <c r="F837" s="129" t="s">
        <v>1319</v>
      </c>
      <c r="G837" s="210">
        <v>5</v>
      </c>
      <c r="H837" s="211">
        <f t="shared" si="65"/>
        <v>157.167</v>
      </c>
      <c r="I837" s="207">
        <f>IF(F837="CONCENTRADO SEMI BRILHO",G837/'De-Para'!$B$9,G837/VLOOKUP(B837,'De-Para'!A:B,2,0))</f>
        <v>3.9370078740157481</v>
      </c>
      <c r="J837" s="206">
        <f t="shared" si="66"/>
        <v>123.75354330708662</v>
      </c>
      <c r="K837" s="212">
        <f t="shared" si="67"/>
        <v>3.181329413935495E-2</v>
      </c>
      <c r="L837" s="209">
        <f>VLOOKUP(E837,'Custos Matéria Prima Embalagens'!B:G,6,0)</f>
        <v>32.47</v>
      </c>
      <c r="M837" s="209">
        <f t="shared" si="68"/>
        <v>162.35</v>
      </c>
      <c r="N837" s="209">
        <f t="shared" si="69"/>
        <v>1.31</v>
      </c>
    </row>
    <row r="838" spans="1:14" hidden="1">
      <c r="A838" s="129" t="s">
        <v>1320</v>
      </c>
      <c r="B838" s="129" t="s">
        <v>1321</v>
      </c>
      <c r="C838" s="129" t="s">
        <v>549</v>
      </c>
      <c r="D838" s="129" t="s">
        <v>548</v>
      </c>
      <c r="E838" s="129" t="s">
        <v>1197</v>
      </c>
      <c r="F838" s="129" t="s">
        <v>1198</v>
      </c>
      <c r="G838" s="210">
        <v>460</v>
      </c>
      <c r="H838" s="211">
        <f t="shared" si="65"/>
        <v>818.5</v>
      </c>
      <c r="I838" s="207">
        <f>IF(F838="CONCENTRADO SEMI BRILHO",G838/'De-Para'!$B$9,G838/VLOOKUP(B838,'De-Para'!A:B,2,0))</f>
        <v>460</v>
      </c>
      <c r="J838" s="206">
        <f t="shared" si="66"/>
        <v>818.5</v>
      </c>
      <c r="K838" s="212">
        <f t="shared" si="67"/>
        <v>0.56200366524129508</v>
      </c>
      <c r="L838" s="209">
        <f>VLOOKUP(E838,'Custos Matéria Prima Embalagens'!B:G,6,0)</f>
        <v>0</v>
      </c>
      <c r="M838" s="209">
        <f t="shared" si="68"/>
        <v>0</v>
      </c>
      <c r="N838" s="209">
        <f t="shared" si="69"/>
        <v>0</v>
      </c>
    </row>
    <row r="839" spans="1:14" hidden="1">
      <c r="A839" s="129" t="s">
        <v>1320</v>
      </c>
      <c r="B839" s="129" t="s">
        <v>1321</v>
      </c>
      <c r="C839" s="129" t="s">
        <v>549</v>
      </c>
      <c r="D839" s="129" t="s">
        <v>548</v>
      </c>
      <c r="E839" s="129" t="s">
        <v>1201</v>
      </c>
      <c r="F839" s="129" t="s">
        <v>1202</v>
      </c>
      <c r="G839" s="210">
        <v>2.5</v>
      </c>
      <c r="H839" s="211">
        <f t="shared" si="65"/>
        <v>818.5</v>
      </c>
      <c r="I839" s="207">
        <f>IF(F839="CONCENTRADO SEMI BRILHO",G839/'De-Para'!$B$9,G839/VLOOKUP(B839,'De-Para'!A:B,2,0))</f>
        <v>2.5</v>
      </c>
      <c r="J839" s="206">
        <f t="shared" si="66"/>
        <v>818.5</v>
      </c>
      <c r="K839" s="212">
        <f t="shared" si="67"/>
        <v>3.0543677458766036E-3</v>
      </c>
      <c r="L839" s="209">
        <f>VLOOKUP(E839,'Custos Matéria Prima Embalagens'!B:G,6,0)</f>
        <v>7.18</v>
      </c>
      <c r="M839" s="209">
        <f t="shared" si="68"/>
        <v>17.95</v>
      </c>
      <c r="N839" s="209">
        <f t="shared" si="69"/>
        <v>0.02</v>
      </c>
    </row>
    <row r="840" spans="1:14" hidden="1">
      <c r="A840" s="129" t="s">
        <v>1320</v>
      </c>
      <c r="B840" s="129" t="s">
        <v>1321</v>
      </c>
      <c r="C840" s="129" t="s">
        <v>549</v>
      </c>
      <c r="D840" s="129" t="s">
        <v>548</v>
      </c>
      <c r="E840" s="129" t="s">
        <v>1203</v>
      </c>
      <c r="F840" s="129" t="s">
        <v>1204</v>
      </c>
      <c r="G840" s="210">
        <v>3</v>
      </c>
      <c r="H840" s="211">
        <f t="shared" si="65"/>
        <v>818.5</v>
      </c>
      <c r="I840" s="207">
        <f>IF(F840="CONCENTRADO SEMI BRILHO",G840/'De-Para'!$B$9,G840/VLOOKUP(B840,'De-Para'!A:B,2,0))</f>
        <v>3</v>
      </c>
      <c r="J840" s="206">
        <f t="shared" si="66"/>
        <v>818.5</v>
      </c>
      <c r="K840" s="212">
        <f t="shared" si="67"/>
        <v>3.6652412950519244E-3</v>
      </c>
      <c r="L840" s="209">
        <f>VLOOKUP(E840,'Custos Matéria Prima Embalagens'!B:G,6,0)</f>
        <v>4.9399999999999995</v>
      </c>
      <c r="M840" s="209">
        <f t="shared" si="68"/>
        <v>14.819999999999999</v>
      </c>
      <c r="N840" s="209">
        <f t="shared" si="69"/>
        <v>0.02</v>
      </c>
    </row>
    <row r="841" spans="1:14" hidden="1">
      <c r="A841" s="129" t="s">
        <v>1320</v>
      </c>
      <c r="B841" s="129" t="s">
        <v>1321</v>
      </c>
      <c r="C841" s="129" t="s">
        <v>549</v>
      </c>
      <c r="D841" s="129" t="s">
        <v>548</v>
      </c>
      <c r="E841" s="129" t="s">
        <v>1205</v>
      </c>
      <c r="F841" s="129" t="s">
        <v>1206</v>
      </c>
      <c r="G841" s="210">
        <v>2</v>
      </c>
      <c r="H841" s="211">
        <f t="shared" si="65"/>
        <v>818.5</v>
      </c>
      <c r="I841" s="207">
        <f>IF(F841="CONCENTRADO SEMI BRILHO",G841/'De-Para'!$B$9,G841/VLOOKUP(B841,'De-Para'!A:B,2,0))</f>
        <v>2</v>
      </c>
      <c r="J841" s="206">
        <f t="shared" si="66"/>
        <v>818.5</v>
      </c>
      <c r="K841" s="212">
        <f t="shared" si="67"/>
        <v>2.4434941967012829E-3</v>
      </c>
      <c r="L841" s="209">
        <f>VLOOKUP(E841,'Custos Matéria Prima Embalagens'!B:G,6,0)</f>
        <v>7.33</v>
      </c>
      <c r="M841" s="209">
        <f t="shared" si="68"/>
        <v>14.66</v>
      </c>
      <c r="N841" s="209">
        <f t="shared" si="69"/>
        <v>0.02</v>
      </c>
    </row>
    <row r="842" spans="1:14" hidden="1">
      <c r="A842" s="129" t="s">
        <v>1320</v>
      </c>
      <c r="B842" s="129" t="s">
        <v>1321</v>
      </c>
      <c r="C842" s="129" t="s">
        <v>549</v>
      </c>
      <c r="D842" s="129" t="s">
        <v>548</v>
      </c>
      <c r="E842" s="129" t="s">
        <v>1207</v>
      </c>
      <c r="F842" s="129" t="s">
        <v>1208</v>
      </c>
      <c r="G842" s="210">
        <v>3</v>
      </c>
      <c r="H842" s="211">
        <f t="shared" si="65"/>
        <v>818.5</v>
      </c>
      <c r="I842" s="207">
        <f>IF(F842="CONCENTRADO SEMI BRILHO",G842/'De-Para'!$B$9,G842/VLOOKUP(B842,'De-Para'!A:B,2,0))</f>
        <v>3</v>
      </c>
      <c r="J842" s="206">
        <f t="shared" si="66"/>
        <v>818.5</v>
      </c>
      <c r="K842" s="212">
        <f t="shared" si="67"/>
        <v>3.6652412950519244E-3</v>
      </c>
      <c r="L842" s="209">
        <f>VLOOKUP(E842,'Custos Matéria Prima Embalagens'!B:G,6,0)</f>
        <v>6.8599999999999994</v>
      </c>
      <c r="M842" s="209">
        <f t="shared" si="68"/>
        <v>20.58</v>
      </c>
      <c r="N842" s="209">
        <f t="shared" si="69"/>
        <v>0.03</v>
      </c>
    </row>
    <row r="843" spans="1:14" hidden="1">
      <c r="A843" s="129" t="s">
        <v>1320</v>
      </c>
      <c r="B843" s="129" t="s">
        <v>1321</v>
      </c>
      <c r="C843" s="129" t="s">
        <v>549</v>
      </c>
      <c r="D843" s="129" t="s">
        <v>548</v>
      </c>
      <c r="E843" s="129" t="s">
        <v>1209</v>
      </c>
      <c r="F843" s="129" t="s">
        <v>1210</v>
      </c>
      <c r="G843" s="210">
        <v>2.5</v>
      </c>
      <c r="H843" s="211">
        <f t="shared" si="65"/>
        <v>818.5</v>
      </c>
      <c r="I843" s="207">
        <f>IF(F843="CONCENTRADO SEMI BRILHO",G843/'De-Para'!$B$9,G843/VLOOKUP(B843,'De-Para'!A:B,2,0))</f>
        <v>2.5</v>
      </c>
      <c r="J843" s="206">
        <f t="shared" si="66"/>
        <v>818.5</v>
      </c>
      <c r="K843" s="212">
        <f t="shared" si="67"/>
        <v>3.0543677458766036E-3</v>
      </c>
      <c r="L843" s="209">
        <f>VLOOKUP(E843,'Custos Matéria Prima Embalagens'!B:G,6,0)</f>
        <v>7</v>
      </c>
      <c r="M843" s="209">
        <f t="shared" si="68"/>
        <v>17.5</v>
      </c>
      <c r="N843" s="209">
        <f t="shared" si="69"/>
        <v>0.02</v>
      </c>
    </row>
    <row r="844" spans="1:14" hidden="1">
      <c r="A844" s="129" t="s">
        <v>1320</v>
      </c>
      <c r="B844" s="129" t="s">
        <v>1321</v>
      </c>
      <c r="C844" s="129" t="s">
        <v>549</v>
      </c>
      <c r="D844" s="129" t="s">
        <v>548</v>
      </c>
      <c r="E844" s="129" t="s">
        <v>1225</v>
      </c>
      <c r="F844" s="129" t="s">
        <v>1322</v>
      </c>
      <c r="G844" s="210">
        <v>75</v>
      </c>
      <c r="H844" s="211">
        <f t="shared" si="65"/>
        <v>818.5</v>
      </c>
      <c r="I844" s="207">
        <f>IF(F844="CONCENTRADO SEMI BRILHO",G844/'De-Para'!$B$9,G844/VLOOKUP(B844,'De-Para'!A:B,2,0))</f>
        <v>75</v>
      </c>
      <c r="J844" s="206">
        <f t="shared" si="66"/>
        <v>818.5</v>
      </c>
      <c r="K844" s="212">
        <f t="shared" si="67"/>
        <v>9.1631032376298105E-2</v>
      </c>
      <c r="L844" s="209">
        <f>VLOOKUP(E844,'Custos Matéria Prima Embalagens'!B:G,6,0)</f>
        <v>0.68577852760736202</v>
      </c>
      <c r="M844" s="209">
        <f t="shared" si="68"/>
        <v>51.433389570552151</v>
      </c>
      <c r="N844" s="209">
        <f t="shared" si="69"/>
        <v>0.06</v>
      </c>
    </row>
    <row r="845" spans="1:14" hidden="1">
      <c r="A845" s="129" t="s">
        <v>1320</v>
      </c>
      <c r="B845" s="129" t="s">
        <v>1321</v>
      </c>
      <c r="C845" s="129" t="s">
        <v>549</v>
      </c>
      <c r="D845" s="129" t="s">
        <v>548</v>
      </c>
      <c r="E845" s="129" t="s">
        <v>1215</v>
      </c>
      <c r="F845" s="129" t="s">
        <v>1216</v>
      </c>
      <c r="G845" s="210">
        <v>150</v>
      </c>
      <c r="H845" s="211">
        <f t="shared" si="65"/>
        <v>818.5</v>
      </c>
      <c r="I845" s="207">
        <f>IF(F845="CONCENTRADO SEMI BRILHO",G845/'De-Para'!$B$9,G845/VLOOKUP(B845,'De-Para'!A:B,2,0))</f>
        <v>150</v>
      </c>
      <c r="J845" s="206">
        <f t="shared" si="66"/>
        <v>818.5</v>
      </c>
      <c r="K845" s="212">
        <f t="shared" si="67"/>
        <v>0.18326206475259621</v>
      </c>
      <c r="L845" s="209">
        <f>VLOOKUP(E845,'Custos Matéria Prima Embalagens'!B:G,6,0)</f>
        <v>0.8</v>
      </c>
      <c r="M845" s="209">
        <f t="shared" si="68"/>
        <v>120</v>
      </c>
      <c r="N845" s="209">
        <f t="shared" si="69"/>
        <v>0.15</v>
      </c>
    </row>
    <row r="846" spans="1:14" hidden="1">
      <c r="A846" s="129" t="s">
        <v>1320</v>
      </c>
      <c r="B846" s="129" t="s">
        <v>1321</v>
      </c>
      <c r="C846" s="129" t="s">
        <v>549</v>
      </c>
      <c r="D846" s="129" t="s">
        <v>548</v>
      </c>
      <c r="E846" s="129" t="s">
        <v>1227</v>
      </c>
      <c r="F846" s="129" t="s">
        <v>1228</v>
      </c>
      <c r="G846" s="210">
        <v>75</v>
      </c>
      <c r="H846" s="211">
        <f t="shared" si="65"/>
        <v>818.5</v>
      </c>
      <c r="I846" s="207">
        <f>IF(F846="CONCENTRADO SEMI BRILHO",G846/'De-Para'!$B$9,G846/VLOOKUP(B846,'De-Para'!A:B,2,0))</f>
        <v>75</v>
      </c>
      <c r="J846" s="206">
        <f t="shared" si="66"/>
        <v>818.5</v>
      </c>
      <c r="K846" s="212">
        <f t="shared" si="67"/>
        <v>9.1631032376298105E-2</v>
      </c>
      <c r="L846" s="209">
        <f>VLOOKUP(E846,'Custos Matéria Prima Embalagens'!B:G,6,0)</f>
        <v>1.520495555555555</v>
      </c>
      <c r="M846" s="209">
        <f t="shared" si="68"/>
        <v>114.03716666666662</v>
      </c>
      <c r="N846" s="209">
        <f t="shared" si="69"/>
        <v>0.14000000000000001</v>
      </c>
    </row>
    <row r="847" spans="1:14" hidden="1">
      <c r="A847" s="129" t="s">
        <v>1320</v>
      </c>
      <c r="B847" s="129" t="s">
        <v>1321</v>
      </c>
      <c r="C847" s="129" t="s">
        <v>549</v>
      </c>
      <c r="D847" s="129" t="s">
        <v>548</v>
      </c>
      <c r="E847" s="129" t="s">
        <v>1217</v>
      </c>
      <c r="F847" s="129" t="s">
        <v>1218</v>
      </c>
      <c r="G847" s="210">
        <v>25</v>
      </c>
      <c r="H847" s="211">
        <f t="shared" si="65"/>
        <v>818.5</v>
      </c>
      <c r="I847" s="207">
        <f>IF(F847="CONCENTRADO SEMI BRILHO",G847/'De-Para'!$B$9,G847/VLOOKUP(B847,'De-Para'!A:B,2,0))</f>
        <v>25</v>
      </c>
      <c r="J847" s="206">
        <f t="shared" si="66"/>
        <v>818.5</v>
      </c>
      <c r="K847" s="212">
        <f t="shared" si="67"/>
        <v>3.0543677458766034E-2</v>
      </c>
      <c r="L847" s="209">
        <f>VLOOKUP(E847,'Custos Matéria Prima Embalagens'!B:G,6,0)</f>
        <v>8.43</v>
      </c>
      <c r="M847" s="209">
        <f t="shared" si="68"/>
        <v>210.75</v>
      </c>
      <c r="N847" s="209">
        <f t="shared" si="69"/>
        <v>0.26</v>
      </c>
    </row>
    <row r="848" spans="1:14" hidden="1">
      <c r="A848" s="129" t="s">
        <v>1320</v>
      </c>
      <c r="B848" s="129" t="s">
        <v>1321</v>
      </c>
      <c r="C848" s="129" t="s">
        <v>549</v>
      </c>
      <c r="D848" s="129" t="s">
        <v>548</v>
      </c>
      <c r="E848" s="129" t="s">
        <v>1219</v>
      </c>
      <c r="F848" s="129" t="s">
        <v>1220</v>
      </c>
      <c r="G848" s="210">
        <v>2.5</v>
      </c>
      <c r="H848" s="211">
        <f t="shared" si="65"/>
        <v>818.5</v>
      </c>
      <c r="I848" s="207">
        <f>IF(F848="CONCENTRADO SEMI BRILHO",G848/'De-Para'!$B$9,G848/VLOOKUP(B848,'De-Para'!A:B,2,0))</f>
        <v>2.5</v>
      </c>
      <c r="J848" s="206">
        <f t="shared" si="66"/>
        <v>818.5</v>
      </c>
      <c r="K848" s="212">
        <f t="shared" si="67"/>
        <v>3.0543677458766036E-3</v>
      </c>
      <c r="L848" s="209">
        <f>VLOOKUP(E848,'Custos Matéria Prima Embalagens'!B:G,6,0)</f>
        <v>4.9800000000000004</v>
      </c>
      <c r="M848" s="209">
        <f t="shared" si="68"/>
        <v>12.450000000000001</v>
      </c>
      <c r="N848" s="209">
        <f t="shared" si="69"/>
        <v>0.02</v>
      </c>
    </row>
    <row r="849" spans="1:14" hidden="1">
      <c r="A849" s="129" t="s">
        <v>1320</v>
      </c>
      <c r="B849" s="129" t="s">
        <v>1321</v>
      </c>
      <c r="C849" s="129" t="s">
        <v>549</v>
      </c>
      <c r="D849" s="129" t="s">
        <v>548</v>
      </c>
      <c r="E849" s="129" t="s">
        <v>1221</v>
      </c>
      <c r="F849" s="129" t="s">
        <v>1222</v>
      </c>
      <c r="G849" s="210">
        <v>10.5</v>
      </c>
      <c r="H849" s="211">
        <f t="shared" si="65"/>
        <v>818.5</v>
      </c>
      <c r="I849" s="207">
        <f>IF(F849="CONCENTRADO SEMI BRILHO",G849/'De-Para'!$B$9,G849/VLOOKUP(B849,'De-Para'!A:B,2,0))</f>
        <v>10.5</v>
      </c>
      <c r="J849" s="206">
        <f t="shared" si="66"/>
        <v>818.5</v>
      </c>
      <c r="K849" s="212">
        <f t="shared" si="67"/>
        <v>1.2828344532681736E-2</v>
      </c>
      <c r="L849" s="209">
        <f>VLOOKUP(E849,'Custos Matéria Prima Embalagens'!B:G,6,0)</f>
        <v>7.9049999999999994</v>
      </c>
      <c r="M849" s="209">
        <f t="shared" si="68"/>
        <v>83.002499999999998</v>
      </c>
      <c r="N849" s="209">
        <f t="shared" si="69"/>
        <v>0.1</v>
      </c>
    </row>
    <row r="850" spans="1:14" hidden="1">
      <c r="A850" s="129" t="s">
        <v>1320</v>
      </c>
      <c r="B850" s="129" t="s">
        <v>1321</v>
      </c>
      <c r="C850" s="129" t="s">
        <v>549</v>
      </c>
      <c r="D850" s="129" t="s">
        <v>548</v>
      </c>
      <c r="E850" s="129" t="s">
        <v>1223</v>
      </c>
      <c r="F850" s="129" t="s">
        <v>1224</v>
      </c>
      <c r="G850" s="210">
        <v>7.5</v>
      </c>
      <c r="H850" s="211">
        <f t="shared" si="65"/>
        <v>818.5</v>
      </c>
      <c r="I850" s="207">
        <f>IF(F850="CONCENTRADO SEMI BRILHO",G850/'De-Para'!$B$9,G850/VLOOKUP(B850,'De-Para'!A:B,2,0))</f>
        <v>7.5</v>
      </c>
      <c r="J850" s="206">
        <f t="shared" si="66"/>
        <v>818.5</v>
      </c>
      <c r="K850" s="212">
        <f t="shared" si="67"/>
        <v>9.1631032376298105E-3</v>
      </c>
      <c r="L850" s="209">
        <f>VLOOKUP(E850,'Custos Matéria Prima Embalagens'!B:G,6,0)</f>
        <v>4.8499999999999996</v>
      </c>
      <c r="M850" s="209">
        <f t="shared" si="68"/>
        <v>36.375</v>
      </c>
      <c r="N850" s="209">
        <f t="shared" si="69"/>
        <v>0.04</v>
      </c>
    </row>
    <row r="851" spans="1:14" hidden="1">
      <c r="A851" s="129" t="s">
        <v>1320</v>
      </c>
      <c r="B851" s="129" t="s">
        <v>1321</v>
      </c>
      <c r="C851" s="129" t="s">
        <v>560</v>
      </c>
      <c r="D851" s="129" t="s">
        <v>559</v>
      </c>
      <c r="E851" s="129" t="s">
        <v>1197</v>
      </c>
      <c r="F851" s="129" t="s">
        <v>1198</v>
      </c>
      <c r="G851" s="210">
        <v>260</v>
      </c>
      <c r="H851" s="211">
        <f t="shared" si="65"/>
        <v>1106.5</v>
      </c>
      <c r="I851" s="207">
        <f>IF(F851="CONCENTRADO SEMI BRILHO",G851/'De-Para'!$B$9,G851/VLOOKUP(B851,'De-Para'!A:B,2,0))</f>
        <v>260</v>
      </c>
      <c r="J851" s="206">
        <f t="shared" si="66"/>
        <v>1106.5</v>
      </c>
      <c r="K851" s="212">
        <f t="shared" si="67"/>
        <v>0.2349751468594668</v>
      </c>
      <c r="L851" s="209">
        <f>VLOOKUP(E851,'Custos Matéria Prima Embalagens'!B:G,6,0)</f>
        <v>0</v>
      </c>
      <c r="M851" s="209">
        <f t="shared" si="68"/>
        <v>0</v>
      </c>
      <c r="N851" s="209">
        <f t="shared" si="69"/>
        <v>0</v>
      </c>
    </row>
    <row r="852" spans="1:14" hidden="1">
      <c r="A852" s="129" t="s">
        <v>1320</v>
      </c>
      <c r="B852" s="129" t="s">
        <v>1321</v>
      </c>
      <c r="C852" s="129" t="s">
        <v>560</v>
      </c>
      <c r="D852" s="129" t="s">
        <v>559</v>
      </c>
      <c r="E852" s="129" t="s">
        <v>1201</v>
      </c>
      <c r="F852" s="129" t="s">
        <v>1202</v>
      </c>
      <c r="G852" s="210">
        <v>2</v>
      </c>
      <c r="H852" s="211">
        <f t="shared" si="65"/>
        <v>1106.5</v>
      </c>
      <c r="I852" s="207">
        <f>IF(F852="CONCENTRADO SEMI BRILHO",G852/'De-Para'!$B$9,G852/VLOOKUP(B852,'De-Para'!A:B,2,0))</f>
        <v>2</v>
      </c>
      <c r="J852" s="206">
        <f t="shared" si="66"/>
        <v>1106.5</v>
      </c>
      <c r="K852" s="212">
        <f t="shared" si="67"/>
        <v>1.8075011296882061E-3</v>
      </c>
      <c r="L852" s="209">
        <f>VLOOKUP(E852,'Custos Matéria Prima Embalagens'!B:G,6,0)</f>
        <v>7.18</v>
      </c>
      <c r="M852" s="209">
        <f t="shared" si="68"/>
        <v>14.36</v>
      </c>
      <c r="N852" s="209">
        <f t="shared" si="69"/>
        <v>0.01</v>
      </c>
    </row>
    <row r="853" spans="1:14" hidden="1">
      <c r="A853" s="129" t="s">
        <v>1320</v>
      </c>
      <c r="B853" s="129" t="s">
        <v>1321</v>
      </c>
      <c r="C853" s="129" t="s">
        <v>560</v>
      </c>
      <c r="D853" s="129" t="s">
        <v>559</v>
      </c>
      <c r="E853" s="129" t="s">
        <v>1203</v>
      </c>
      <c r="F853" s="129" t="s">
        <v>1204</v>
      </c>
      <c r="G853" s="210">
        <v>2</v>
      </c>
      <c r="H853" s="211">
        <f t="shared" si="65"/>
        <v>1106.5</v>
      </c>
      <c r="I853" s="207">
        <f>IF(F853="CONCENTRADO SEMI BRILHO",G853/'De-Para'!$B$9,G853/VLOOKUP(B853,'De-Para'!A:B,2,0))</f>
        <v>2</v>
      </c>
      <c r="J853" s="206">
        <f t="shared" si="66"/>
        <v>1106.5</v>
      </c>
      <c r="K853" s="212">
        <f t="shared" si="67"/>
        <v>1.8075011296882061E-3</v>
      </c>
      <c r="L853" s="209">
        <f>VLOOKUP(E853,'Custos Matéria Prima Embalagens'!B:G,6,0)</f>
        <v>4.9399999999999995</v>
      </c>
      <c r="M853" s="209">
        <f t="shared" si="68"/>
        <v>9.879999999999999</v>
      </c>
      <c r="N853" s="209">
        <f t="shared" si="69"/>
        <v>0.01</v>
      </c>
    </row>
    <row r="854" spans="1:14" hidden="1">
      <c r="A854" s="129" t="s">
        <v>1320</v>
      </c>
      <c r="B854" s="129" t="s">
        <v>1321</v>
      </c>
      <c r="C854" s="129" t="s">
        <v>560</v>
      </c>
      <c r="D854" s="129" t="s">
        <v>559</v>
      </c>
      <c r="E854" s="129" t="s">
        <v>1323</v>
      </c>
      <c r="F854" s="129" t="s">
        <v>1324</v>
      </c>
      <c r="G854" s="210">
        <v>10</v>
      </c>
      <c r="H854" s="211">
        <f t="shared" si="65"/>
        <v>1106.5</v>
      </c>
      <c r="I854" s="207">
        <f>IF(F854="CONCENTRADO SEMI BRILHO",G854/'De-Para'!$B$9,G854/VLOOKUP(B854,'De-Para'!A:B,2,0))</f>
        <v>10</v>
      </c>
      <c r="J854" s="206">
        <f t="shared" si="66"/>
        <v>1106.5</v>
      </c>
      <c r="K854" s="212">
        <f t="shared" si="67"/>
        <v>9.0375056484410295E-3</v>
      </c>
      <c r="L854" s="209">
        <f>VLOOKUP(E854,'Custos Matéria Prima Embalagens'!B:G,6,0)</f>
        <v>19.7714232033819</v>
      </c>
      <c r="M854" s="209">
        <f t="shared" si="68"/>
        <v>197.714232033819</v>
      </c>
      <c r="N854" s="209">
        <f t="shared" si="69"/>
        <v>0.18</v>
      </c>
    </row>
    <row r="855" spans="1:14" hidden="1">
      <c r="A855" s="129" t="s">
        <v>1320</v>
      </c>
      <c r="B855" s="129" t="s">
        <v>1321</v>
      </c>
      <c r="C855" s="129" t="s">
        <v>560</v>
      </c>
      <c r="D855" s="129" t="s">
        <v>559</v>
      </c>
      <c r="E855" s="129" t="s">
        <v>1225</v>
      </c>
      <c r="F855" s="129" t="s">
        <v>1226</v>
      </c>
      <c r="G855" s="210">
        <v>700</v>
      </c>
      <c r="H855" s="211">
        <f t="shared" si="65"/>
        <v>1106.5</v>
      </c>
      <c r="I855" s="207">
        <f>IF(F855="CONCENTRADO SEMI BRILHO",G855/'De-Para'!$B$9,G855/VLOOKUP(B855,'De-Para'!A:B,2,0))</f>
        <v>700</v>
      </c>
      <c r="J855" s="206">
        <f t="shared" si="66"/>
        <v>1106.5</v>
      </c>
      <c r="K855" s="212">
        <f t="shared" si="67"/>
        <v>0.63262539539087215</v>
      </c>
      <c r="L855" s="209">
        <f>VLOOKUP(E855,'Custos Matéria Prima Embalagens'!B:G,6,0)</f>
        <v>0.68577852760736202</v>
      </c>
      <c r="M855" s="209">
        <f t="shared" si="68"/>
        <v>480.04496932515343</v>
      </c>
      <c r="N855" s="209">
        <f t="shared" si="69"/>
        <v>0.43</v>
      </c>
    </row>
    <row r="856" spans="1:14" hidden="1">
      <c r="A856" s="129" t="s">
        <v>1320</v>
      </c>
      <c r="B856" s="129" t="s">
        <v>1321</v>
      </c>
      <c r="C856" s="129" t="s">
        <v>560</v>
      </c>
      <c r="D856" s="129" t="s">
        <v>559</v>
      </c>
      <c r="E856" s="129" t="s">
        <v>1217</v>
      </c>
      <c r="F856" s="129" t="s">
        <v>1218</v>
      </c>
      <c r="G856" s="210">
        <v>110</v>
      </c>
      <c r="H856" s="211">
        <f t="shared" si="65"/>
        <v>1106.5</v>
      </c>
      <c r="I856" s="207">
        <f>IF(F856="CONCENTRADO SEMI BRILHO",G856/'De-Para'!$B$9,G856/VLOOKUP(B856,'De-Para'!A:B,2,0))</f>
        <v>110</v>
      </c>
      <c r="J856" s="206">
        <f t="shared" si="66"/>
        <v>1106.5</v>
      </c>
      <c r="K856" s="212">
        <f t="shared" si="67"/>
        <v>9.9412562132851337E-2</v>
      </c>
      <c r="L856" s="209">
        <f>VLOOKUP(E856,'Custos Matéria Prima Embalagens'!B:G,6,0)</f>
        <v>8.43</v>
      </c>
      <c r="M856" s="209">
        <f t="shared" si="68"/>
        <v>927.3</v>
      </c>
      <c r="N856" s="209">
        <f t="shared" si="69"/>
        <v>0.84</v>
      </c>
    </row>
    <row r="857" spans="1:14" hidden="1">
      <c r="A857" s="129" t="s">
        <v>1320</v>
      </c>
      <c r="B857" s="129" t="s">
        <v>1321</v>
      </c>
      <c r="C857" s="129" t="s">
        <v>560</v>
      </c>
      <c r="D857" s="129" t="s">
        <v>559</v>
      </c>
      <c r="E857" s="129" t="s">
        <v>1325</v>
      </c>
      <c r="F857" s="129" t="s">
        <v>1326</v>
      </c>
      <c r="G857" s="210">
        <v>17</v>
      </c>
      <c r="H857" s="211">
        <f t="shared" si="65"/>
        <v>1106.5</v>
      </c>
      <c r="I857" s="207">
        <f>IF(F857="CONCENTRADO SEMI BRILHO",G857/'De-Para'!$B$9,G857/VLOOKUP(B857,'De-Para'!A:B,2,0))</f>
        <v>17</v>
      </c>
      <c r="J857" s="206">
        <f t="shared" si="66"/>
        <v>1106.5</v>
      </c>
      <c r="K857" s="212">
        <f t="shared" si="67"/>
        <v>1.5363759602349751E-2</v>
      </c>
      <c r="L857" s="209">
        <f>VLOOKUP(E857,'Custos Matéria Prima Embalagens'!B:G,6,0)</f>
        <v>7.5299999999999994</v>
      </c>
      <c r="M857" s="209">
        <f t="shared" si="68"/>
        <v>128.01</v>
      </c>
      <c r="N857" s="209">
        <f t="shared" si="69"/>
        <v>0.12</v>
      </c>
    </row>
    <row r="858" spans="1:14" hidden="1">
      <c r="A858" s="129" t="s">
        <v>1320</v>
      </c>
      <c r="B858" s="129" t="s">
        <v>1321</v>
      </c>
      <c r="C858" s="129" t="s">
        <v>560</v>
      </c>
      <c r="D858" s="129" t="s">
        <v>559</v>
      </c>
      <c r="E858" s="129" t="s">
        <v>1219</v>
      </c>
      <c r="F858" s="129" t="s">
        <v>1220</v>
      </c>
      <c r="G858" s="210">
        <v>5.5</v>
      </c>
      <c r="H858" s="211">
        <f t="shared" si="65"/>
        <v>1106.5</v>
      </c>
      <c r="I858" s="207">
        <f>IF(F858="CONCENTRADO SEMI BRILHO",G858/'De-Para'!$B$9,G858/VLOOKUP(B858,'De-Para'!A:B,2,0))</f>
        <v>5.5</v>
      </c>
      <c r="J858" s="206">
        <f t="shared" si="66"/>
        <v>1106.5</v>
      </c>
      <c r="K858" s="212">
        <f t="shared" si="67"/>
        <v>4.9706281066425667E-3</v>
      </c>
      <c r="L858" s="209">
        <f>VLOOKUP(E858,'Custos Matéria Prima Embalagens'!B:G,6,0)</f>
        <v>4.9800000000000004</v>
      </c>
      <c r="M858" s="209">
        <f t="shared" si="68"/>
        <v>27.39</v>
      </c>
      <c r="N858" s="209">
        <f t="shared" si="69"/>
        <v>0.02</v>
      </c>
    </row>
    <row r="859" spans="1:14" hidden="1">
      <c r="A859" s="129" t="s">
        <v>1320</v>
      </c>
      <c r="B859" s="129" t="s">
        <v>1321</v>
      </c>
      <c r="C859" s="129" t="s">
        <v>542</v>
      </c>
      <c r="D859" s="129" t="s">
        <v>541</v>
      </c>
      <c r="E859" s="129" t="s">
        <v>1197</v>
      </c>
      <c r="F859" s="129" t="s">
        <v>1198</v>
      </c>
      <c r="G859" s="210">
        <v>300</v>
      </c>
      <c r="H859" s="211">
        <f t="shared" si="65"/>
        <v>1040.8</v>
      </c>
      <c r="I859" s="207">
        <f>IF(F859="CONCENTRADO SEMI BRILHO",G859/'De-Para'!$B$9,G859/VLOOKUP(B859,'De-Para'!A:B,2,0))</f>
        <v>300</v>
      </c>
      <c r="J859" s="206">
        <f t="shared" si="66"/>
        <v>1040.8</v>
      </c>
      <c r="K859" s="212">
        <f t="shared" si="67"/>
        <v>0.28823981552651806</v>
      </c>
      <c r="L859" s="209">
        <f>VLOOKUP(E859,'Custos Matéria Prima Embalagens'!B:G,6,0)</f>
        <v>0</v>
      </c>
      <c r="M859" s="209">
        <f t="shared" si="68"/>
        <v>0</v>
      </c>
      <c r="N859" s="209">
        <f t="shared" si="69"/>
        <v>0</v>
      </c>
    </row>
    <row r="860" spans="1:14" hidden="1">
      <c r="A860" s="129" t="s">
        <v>1320</v>
      </c>
      <c r="B860" s="129" t="s">
        <v>1321</v>
      </c>
      <c r="C860" s="129" t="s">
        <v>542</v>
      </c>
      <c r="D860" s="129" t="s">
        <v>541</v>
      </c>
      <c r="E860" s="129" t="s">
        <v>1201</v>
      </c>
      <c r="F860" s="129" t="s">
        <v>1202</v>
      </c>
      <c r="G860" s="210">
        <v>1.5</v>
      </c>
      <c r="H860" s="211">
        <f t="shared" si="65"/>
        <v>1040.8</v>
      </c>
      <c r="I860" s="207">
        <f>IF(F860="CONCENTRADO SEMI BRILHO",G860/'De-Para'!$B$9,G860/VLOOKUP(B860,'De-Para'!A:B,2,0))</f>
        <v>1.5</v>
      </c>
      <c r="J860" s="206">
        <f t="shared" si="66"/>
        <v>1040.8</v>
      </c>
      <c r="K860" s="212">
        <f t="shared" si="67"/>
        <v>1.4411990776325905E-3</v>
      </c>
      <c r="L860" s="209">
        <f>VLOOKUP(E860,'Custos Matéria Prima Embalagens'!B:G,6,0)</f>
        <v>7.18</v>
      </c>
      <c r="M860" s="209">
        <f t="shared" si="68"/>
        <v>10.77</v>
      </c>
      <c r="N860" s="209">
        <f t="shared" si="69"/>
        <v>0.01</v>
      </c>
    </row>
    <row r="861" spans="1:14" hidden="1">
      <c r="A861" s="129" t="s">
        <v>1320</v>
      </c>
      <c r="B861" s="129" t="s">
        <v>1321</v>
      </c>
      <c r="C861" s="129" t="s">
        <v>542</v>
      </c>
      <c r="D861" s="129" t="s">
        <v>541</v>
      </c>
      <c r="E861" s="129" t="s">
        <v>1203</v>
      </c>
      <c r="F861" s="129" t="s">
        <v>1204</v>
      </c>
      <c r="G861" s="210">
        <v>2</v>
      </c>
      <c r="H861" s="211">
        <f t="shared" si="65"/>
        <v>1040.8</v>
      </c>
      <c r="I861" s="207">
        <f>IF(F861="CONCENTRADO SEMI BRILHO",G861/'De-Para'!$B$9,G861/VLOOKUP(B861,'De-Para'!A:B,2,0))</f>
        <v>2</v>
      </c>
      <c r="J861" s="206">
        <f t="shared" si="66"/>
        <v>1040.8</v>
      </c>
      <c r="K861" s="212">
        <f t="shared" si="67"/>
        <v>1.9215987701767872E-3</v>
      </c>
      <c r="L861" s="209">
        <f>VLOOKUP(E861,'Custos Matéria Prima Embalagens'!B:G,6,0)</f>
        <v>4.9399999999999995</v>
      </c>
      <c r="M861" s="209">
        <f t="shared" si="68"/>
        <v>9.879999999999999</v>
      </c>
      <c r="N861" s="209">
        <f t="shared" si="69"/>
        <v>0.01</v>
      </c>
    </row>
    <row r="862" spans="1:14" hidden="1">
      <c r="A862" s="129" t="s">
        <v>1320</v>
      </c>
      <c r="B862" s="129" t="s">
        <v>1321</v>
      </c>
      <c r="C862" s="129" t="s">
        <v>542</v>
      </c>
      <c r="D862" s="129" t="s">
        <v>541</v>
      </c>
      <c r="E862" s="129" t="s">
        <v>1327</v>
      </c>
      <c r="F862" s="129" t="s">
        <v>1328</v>
      </c>
      <c r="G862" s="210">
        <v>2</v>
      </c>
      <c r="H862" s="211">
        <f t="shared" si="65"/>
        <v>1040.8</v>
      </c>
      <c r="I862" s="207">
        <f>IF(F862="CONCENTRADO SEMI BRILHO",G862/'De-Para'!$B$9,G862/VLOOKUP(B862,'De-Para'!A:B,2,0))</f>
        <v>2</v>
      </c>
      <c r="J862" s="206">
        <f t="shared" si="66"/>
        <v>1040.8</v>
      </c>
      <c r="K862" s="212">
        <f t="shared" si="67"/>
        <v>1.9215987701767872E-3</v>
      </c>
      <c r="L862" s="209">
        <f>VLOOKUP(E862,'Custos Matéria Prima Embalagens'!B:G,6,0)</f>
        <v>1.78</v>
      </c>
      <c r="M862" s="209">
        <f t="shared" si="68"/>
        <v>3.56</v>
      </c>
      <c r="N862" s="209">
        <f t="shared" si="69"/>
        <v>0</v>
      </c>
    </row>
    <row r="863" spans="1:14" hidden="1">
      <c r="A863" s="129" t="s">
        <v>1320</v>
      </c>
      <c r="B863" s="129" t="s">
        <v>1321</v>
      </c>
      <c r="C863" s="129" t="s">
        <v>542</v>
      </c>
      <c r="D863" s="129" t="s">
        <v>541</v>
      </c>
      <c r="E863" s="129" t="s">
        <v>1225</v>
      </c>
      <c r="F863" s="129" t="s">
        <v>1226</v>
      </c>
      <c r="G863" s="210">
        <v>700</v>
      </c>
      <c r="H863" s="211">
        <f t="shared" si="65"/>
        <v>1040.8</v>
      </c>
      <c r="I863" s="207">
        <f>IF(F863="CONCENTRADO SEMI BRILHO",G863/'De-Para'!$B$9,G863/VLOOKUP(B863,'De-Para'!A:B,2,0))</f>
        <v>700</v>
      </c>
      <c r="J863" s="206">
        <f t="shared" si="66"/>
        <v>1040.8</v>
      </c>
      <c r="K863" s="212">
        <f t="shared" si="67"/>
        <v>0.67255956956187546</v>
      </c>
      <c r="L863" s="209">
        <f>VLOOKUP(E863,'Custos Matéria Prima Embalagens'!B:G,6,0)</f>
        <v>0.68577852760736202</v>
      </c>
      <c r="M863" s="209">
        <f t="shared" si="68"/>
        <v>480.04496932515343</v>
      </c>
      <c r="N863" s="209">
        <f t="shared" si="69"/>
        <v>0.46</v>
      </c>
    </row>
    <row r="864" spans="1:14" hidden="1">
      <c r="A864" s="129" t="s">
        <v>1320</v>
      </c>
      <c r="B864" s="129" t="s">
        <v>1321</v>
      </c>
      <c r="C864" s="129" t="s">
        <v>542</v>
      </c>
      <c r="D864" s="129" t="s">
        <v>541</v>
      </c>
      <c r="E864" s="129" t="s">
        <v>1217</v>
      </c>
      <c r="F864" s="129" t="s">
        <v>1218</v>
      </c>
      <c r="G864" s="210">
        <v>18</v>
      </c>
      <c r="H864" s="211">
        <f t="shared" si="65"/>
        <v>1040.8</v>
      </c>
      <c r="I864" s="207">
        <f>IF(F864="CONCENTRADO SEMI BRILHO",G864/'De-Para'!$B$9,G864/VLOOKUP(B864,'De-Para'!A:B,2,0))</f>
        <v>18</v>
      </c>
      <c r="J864" s="206">
        <f t="shared" si="66"/>
        <v>1040.8</v>
      </c>
      <c r="K864" s="212">
        <f t="shared" si="67"/>
        <v>1.7294388931591083E-2</v>
      </c>
      <c r="L864" s="209">
        <f>VLOOKUP(E864,'Custos Matéria Prima Embalagens'!B:G,6,0)</f>
        <v>8.43</v>
      </c>
      <c r="M864" s="209">
        <f t="shared" si="68"/>
        <v>151.74</v>
      </c>
      <c r="N864" s="209">
        <f t="shared" si="69"/>
        <v>0.15</v>
      </c>
    </row>
    <row r="865" spans="1:14" hidden="1">
      <c r="A865" s="129" t="s">
        <v>1320</v>
      </c>
      <c r="B865" s="129" t="s">
        <v>1321</v>
      </c>
      <c r="C865" s="129" t="s">
        <v>542</v>
      </c>
      <c r="D865" s="129" t="s">
        <v>541</v>
      </c>
      <c r="E865" s="129" t="s">
        <v>1325</v>
      </c>
      <c r="F865" s="129" t="s">
        <v>1326</v>
      </c>
      <c r="G865" s="210">
        <v>14</v>
      </c>
      <c r="H865" s="211">
        <f t="shared" si="65"/>
        <v>1040.8</v>
      </c>
      <c r="I865" s="207">
        <f>IF(F865="CONCENTRADO SEMI BRILHO",G865/'De-Para'!$B$9,G865/VLOOKUP(B865,'De-Para'!A:B,2,0))</f>
        <v>14</v>
      </c>
      <c r="J865" s="206">
        <f t="shared" si="66"/>
        <v>1040.8</v>
      </c>
      <c r="K865" s="212">
        <f t="shared" si="67"/>
        <v>1.3451191391237511E-2</v>
      </c>
      <c r="L865" s="209">
        <f>VLOOKUP(E865,'Custos Matéria Prima Embalagens'!B:G,6,0)</f>
        <v>7.5299999999999994</v>
      </c>
      <c r="M865" s="209">
        <f t="shared" si="68"/>
        <v>105.41999999999999</v>
      </c>
      <c r="N865" s="209">
        <f t="shared" si="69"/>
        <v>0.1</v>
      </c>
    </row>
    <row r="866" spans="1:14" hidden="1">
      <c r="A866" s="129" t="s">
        <v>1320</v>
      </c>
      <c r="B866" s="129" t="s">
        <v>1321</v>
      </c>
      <c r="C866" s="129" t="s">
        <v>542</v>
      </c>
      <c r="D866" s="129" t="s">
        <v>541</v>
      </c>
      <c r="E866" s="129" t="s">
        <v>1219</v>
      </c>
      <c r="F866" s="129" t="s">
        <v>1220</v>
      </c>
      <c r="G866" s="210">
        <v>3.3</v>
      </c>
      <c r="H866" s="211">
        <f t="shared" si="65"/>
        <v>1040.8</v>
      </c>
      <c r="I866" s="207">
        <f>IF(F866="CONCENTRADO SEMI BRILHO",G866/'De-Para'!$B$9,G866/VLOOKUP(B866,'De-Para'!A:B,2,0))</f>
        <v>3.3</v>
      </c>
      <c r="J866" s="206">
        <f t="shared" si="66"/>
        <v>1040.8</v>
      </c>
      <c r="K866" s="212">
        <f t="shared" si="67"/>
        <v>3.1706379707916988E-3</v>
      </c>
      <c r="L866" s="209">
        <f>VLOOKUP(E866,'Custos Matéria Prima Embalagens'!B:G,6,0)</f>
        <v>4.9800000000000004</v>
      </c>
      <c r="M866" s="209">
        <f t="shared" si="68"/>
        <v>16.434000000000001</v>
      </c>
      <c r="N866" s="209">
        <f t="shared" si="69"/>
        <v>0.02</v>
      </c>
    </row>
    <row r="867" spans="1:14" hidden="1">
      <c r="A867" s="129" t="s">
        <v>1329</v>
      </c>
      <c r="B867" s="129" t="s">
        <v>1330</v>
      </c>
      <c r="C867" s="129" t="s">
        <v>1291</v>
      </c>
      <c r="D867" s="129" t="s">
        <v>1292</v>
      </c>
      <c r="E867" s="129" t="s">
        <v>1283</v>
      </c>
      <c r="F867" s="129" t="s">
        <v>1284</v>
      </c>
      <c r="G867" s="210">
        <v>75</v>
      </c>
      <c r="H867" s="211">
        <f t="shared" si="65"/>
        <v>200</v>
      </c>
      <c r="I867" s="207">
        <f>IF(F867="CONCENTRADO SEMI BRILHO",G867/'De-Para'!$B$9,G867/VLOOKUP(B867,'De-Para'!A:B,2,0))</f>
        <v>75</v>
      </c>
      <c r="J867" s="206">
        <f t="shared" si="66"/>
        <v>200</v>
      </c>
      <c r="K867" s="212">
        <f t="shared" si="67"/>
        <v>0.375</v>
      </c>
      <c r="L867" s="209">
        <f>VLOOKUP(E867,'Custos Matéria Prima Embalagens'!B:G,6,0)</f>
        <v>12.47</v>
      </c>
      <c r="M867" s="209">
        <f t="shared" si="68"/>
        <v>935.25</v>
      </c>
      <c r="N867" s="209">
        <f t="shared" si="69"/>
        <v>4.68</v>
      </c>
    </row>
    <row r="868" spans="1:14" hidden="1">
      <c r="A868" s="129" t="s">
        <v>1329</v>
      </c>
      <c r="B868" s="129" t="s">
        <v>1330</v>
      </c>
      <c r="C868" s="129" t="s">
        <v>1291</v>
      </c>
      <c r="D868" s="129" t="s">
        <v>1292</v>
      </c>
      <c r="E868" s="129" t="s">
        <v>1287</v>
      </c>
      <c r="F868" s="129" t="s">
        <v>1288</v>
      </c>
      <c r="G868" s="210">
        <v>23</v>
      </c>
      <c r="H868" s="211">
        <f t="shared" si="65"/>
        <v>200</v>
      </c>
      <c r="I868" s="207">
        <f>IF(F868="CONCENTRADO SEMI BRILHO",G868/'De-Para'!$B$9,G868/VLOOKUP(B868,'De-Para'!A:B,2,0))</f>
        <v>23</v>
      </c>
      <c r="J868" s="206">
        <f t="shared" si="66"/>
        <v>200</v>
      </c>
      <c r="K868" s="212">
        <f t="shared" si="67"/>
        <v>0.115</v>
      </c>
      <c r="L868" s="209">
        <f>VLOOKUP(E868,'Custos Matéria Prima Embalagens'!B:G,6,0)</f>
        <v>8.5139124692577308</v>
      </c>
      <c r="M868" s="209">
        <f t="shared" si="68"/>
        <v>195.81998679292781</v>
      </c>
      <c r="N868" s="209">
        <f t="shared" si="69"/>
        <v>0.98</v>
      </c>
    </row>
    <row r="869" spans="1:14" hidden="1">
      <c r="A869" s="129" t="s">
        <v>1329</v>
      </c>
      <c r="B869" s="129" t="s">
        <v>1330</v>
      </c>
      <c r="C869" s="129" t="s">
        <v>1291</v>
      </c>
      <c r="D869" s="129" t="s">
        <v>1292</v>
      </c>
      <c r="E869" s="129" t="s">
        <v>1331</v>
      </c>
      <c r="F869" s="129" t="s">
        <v>1332</v>
      </c>
      <c r="G869" s="210">
        <v>2</v>
      </c>
      <c r="H869" s="211">
        <f t="shared" si="65"/>
        <v>200</v>
      </c>
      <c r="I869" s="207">
        <f>IF(F869="CONCENTRADO SEMI BRILHO",G869/'De-Para'!$B$9,G869/VLOOKUP(B869,'De-Para'!A:B,2,0))</f>
        <v>2</v>
      </c>
      <c r="J869" s="206">
        <f t="shared" si="66"/>
        <v>200</v>
      </c>
      <c r="K869" s="212">
        <f t="shared" si="67"/>
        <v>0.01</v>
      </c>
      <c r="L869" s="209">
        <f>VLOOKUP(E869,'Custos Matéria Prima Embalagens'!B:G,6,0)</f>
        <v>87.76</v>
      </c>
      <c r="M869" s="209">
        <f t="shared" si="68"/>
        <v>175.52</v>
      </c>
      <c r="N869" s="209">
        <f t="shared" si="69"/>
        <v>0.88</v>
      </c>
    </row>
    <row r="870" spans="1:14" hidden="1">
      <c r="A870" s="129" t="s">
        <v>1329</v>
      </c>
      <c r="B870" s="129" t="s">
        <v>1330</v>
      </c>
      <c r="C870" s="129" t="s">
        <v>1291</v>
      </c>
      <c r="D870" s="129" t="s">
        <v>1292</v>
      </c>
      <c r="E870" s="129" t="s">
        <v>1213</v>
      </c>
      <c r="F870" s="129" t="s">
        <v>1214</v>
      </c>
      <c r="G870" s="210">
        <v>100</v>
      </c>
      <c r="H870" s="211">
        <f t="shared" si="65"/>
        <v>200</v>
      </c>
      <c r="I870" s="207">
        <f>IF(F870="CONCENTRADO SEMI BRILHO",G870/'De-Para'!$B$9,G870/VLOOKUP(B870,'De-Para'!A:B,2,0))</f>
        <v>100</v>
      </c>
      <c r="J870" s="206">
        <f t="shared" si="66"/>
        <v>200</v>
      </c>
      <c r="K870" s="212">
        <f t="shared" si="67"/>
        <v>0.5</v>
      </c>
      <c r="L870" s="209">
        <f>VLOOKUP(E870,'Custos Matéria Prima Embalagens'!B:G,6,0)</f>
        <v>19.3</v>
      </c>
      <c r="M870" s="209">
        <f t="shared" si="68"/>
        <v>1930</v>
      </c>
      <c r="N870" s="209">
        <f t="shared" si="69"/>
        <v>9.65</v>
      </c>
    </row>
    <row r="871" spans="1:14" hidden="1">
      <c r="A871" s="129" t="s">
        <v>1329</v>
      </c>
      <c r="B871" s="129" t="s">
        <v>1330</v>
      </c>
      <c r="C871" s="129" t="s">
        <v>1309</v>
      </c>
      <c r="D871" s="129" t="s">
        <v>1333</v>
      </c>
      <c r="E871" s="129" t="s">
        <v>1283</v>
      </c>
      <c r="F871" s="129" t="s">
        <v>1284</v>
      </c>
      <c r="G871" s="210">
        <v>100</v>
      </c>
      <c r="H871" s="211">
        <f t="shared" si="65"/>
        <v>167.25</v>
      </c>
      <c r="I871" s="207">
        <f>IF(F871="CONCENTRADO SEMI BRILHO",G871/'De-Para'!$B$9,G871/VLOOKUP(B871,'De-Para'!A:B,2,0))</f>
        <v>100</v>
      </c>
      <c r="J871" s="206">
        <f t="shared" si="66"/>
        <v>167.25</v>
      </c>
      <c r="K871" s="212">
        <f t="shared" si="67"/>
        <v>0.59790732436472349</v>
      </c>
      <c r="L871" s="209">
        <f>VLOOKUP(E871,'Custos Matéria Prima Embalagens'!B:G,6,0)</f>
        <v>12.47</v>
      </c>
      <c r="M871" s="209">
        <f t="shared" si="68"/>
        <v>1247</v>
      </c>
      <c r="N871" s="209">
        <f t="shared" si="69"/>
        <v>7.46</v>
      </c>
    </row>
    <row r="872" spans="1:14" hidden="1">
      <c r="A872" s="129" t="s">
        <v>1329</v>
      </c>
      <c r="B872" s="129" t="s">
        <v>1330</v>
      </c>
      <c r="C872" s="129" t="s">
        <v>1309</v>
      </c>
      <c r="D872" s="129" t="s">
        <v>1333</v>
      </c>
      <c r="E872" s="129" t="s">
        <v>1287</v>
      </c>
      <c r="F872" s="129" t="s">
        <v>1288</v>
      </c>
      <c r="G872" s="210">
        <v>40</v>
      </c>
      <c r="H872" s="211">
        <f t="shared" si="65"/>
        <v>167.25</v>
      </c>
      <c r="I872" s="207">
        <f>IF(F872="CONCENTRADO SEMI BRILHO",G872/'De-Para'!$B$9,G872/VLOOKUP(B872,'De-Para'!A:B,2,0))</f>
        <v>40</v>
      </c>
      <c r="J872" s="206">
        <f t="shared" si="66"/>
        <v>167.25</v>
      </c>
      <c r="K872" s="212">
        <f t="shared" si="67"/>
        <v>0.23916292974588937</v>
      </c>
      <c r="L872" s="209">
        <f>VLOOKUP(E872,'Custos Matéria Prima Embalagens'!B:G,6,0)</f>
        <v>8.5139124692577308</v>
      </c>
      <c r="M872" s="209">
        <f t="shared" si="68"/>
        <v>340.55649877030925</v>
      </c>
      <c r="N872" s="209">
        <f t="shared" si="69"/>
        <v>2.04</v>
      </c>
    </row>
    <row r="873" spans="1:14" hidden="1">
      <c r="A873" s="129" t="s">
        <v>1329</v>
      </c>
      <c r="B873" s="129" t="s">
        <v>1330</v>
      </c>
      <c r="C873" s="129" t="s">
        <v>1309</v>
      </c>
      <c r="D873" s="129" t="s">
        <v>1333</v>
      </c>
      <c r="E873" s="129" t="s">
        <v>1331</v>
      </c>
      <c r="F873" s="129" t="s">
        <v>1332</v>
      </c>
      <c r="G873" s="210">
        <v>7</v>
      </c>
      <c r="H873" s="211">
        <f t="shared" si="65"/>
        <v>167.25</v>
      </c>
      <c r="I873" s="207">
        <f>IF(F873="CONCENTRADO SEMI BRILHO",G873/'De-Para'!$B$9,G873/VLOOKUP(B873,'De-Para'!A:B,2,0))</f>
        <v>7</v>
      </c>
      <c r="J873" s="206">
        <f t="shared" si="66"/>
        <v>167.25</v>
      </c>
      <c r="K873" s="212">
        <f t="shared" si="67"/>
        <v>4.1853512705530643E-2</v>
      </c>
      <c r="L873" s="209">
        <f>VLOOKUP(E873,'Custos Matéria Prima Embalagens'!B:G,6,0)</f>
        <v>87.76</v>
      </c>
      <c r="M873" s="209">
        <f t="shared" si="68"/>
        <v>614.32000000000005</v>
      </c>
      <c r="N873" s="209">
        <f t="shared" si="69"/>
        <v>3.67</v>
      </c>
    </row>
    <row r="874" spans="1:14" hidden="1">
      <c r="A874" s="129" t="s">
        <v>1329</v>
      </c>
      <c r="B874" s="129" t="s">
        <v>1330</v>
      </c>
      <c r="C874" s="129" t="s">
        <v>1309</v>
      </c>
      <c r="D874" s="129" t="s">
        <v>1333</v>
      </c>
      <c r="E874" s="129" t="s">
        <v>1233</v>
      </c>
      <c r="F874" s="129" t="s">
        <v>1334</v>
      </c>
      <c r="G874" s="210">
        <v>20</v>
      </c>
      <c r="H874" s="211">
        <f t="shared" si="65"/>
        <v>167.25</v>
      </c>
      <c r="I874" s="207">
        <f>IF(F874="CONCENTRADO SEMI BRILHO",G874/'De-Para'!$B$9,G874/VLOOKUP(B874,'De-Para'!A:B,2,0))</f>
        <v>20</v>
      </c>
      <c r="J874" s="206">
        <f t="shared" si="66"/>
        <v>167.25</v>
      </c>
      <c r="K874" s="212">
        <f t="shared" si="67"/>
        <v>0.11958146487294469</v>
      </c>
      <c r="L874" s="209">
        <f>VLOOKUP(E874,'Custos Matéria Prima Embalagens'!B:G,6,0)</f>
        <v>31.93</v>
      </c>
      <c r="M874" s="209">
        <f t="shared" si="68"/>
        <v>638.6</v>
      </c>
      <c r="N874" s="209">
        <f t="shared" si="69"/>
        <v>3.82</v>
      </c>
    </row>
    <row r="875" spans="1:14" hidden="1">
      <c r="A875" s="129" t="s">
        <v>1329</v>
      </c>
      <c r="B875" s="129" t="s">
        <v>1330</v>
      </c>
      <c r="C875" s="129" t="s">
        <v>1309</v>
      </c>
      <c r="D875" s="129" t="s">
        <v>1333</v>
      </c>
      <c r="E875" s="129" t="s">
        <v>1295</v>
      </c>
      <c r="F875" s="129" t="s">
        <v>1296</v>
      </c>
      <c r="G875" s="210">
        <v>0.25</v>
      </c>
      <c r="H875" s="211">
        <f t="shared" si="65"/>
        <v>167.25</v>
      </c>
      <c r="I875" s="207">
        <f>IF(F875="CONCENTRADO SEMI BRILHO",G875/'De-Para'!$B$9,G875/VLOOKUP(B875,'De-Para'!A:B,2,0))</f>
        <v>0.25</v>
      </c>
      <c r="J875" s="206">
        <f t="shared" si="66"/>
        <v>167.25</v>
      </c>
      <c r="K875" s="212">
        <f t="shared" si="67"/>
        <v>1.4947683109118087E-3</v>
      </c>
      <c r="L875" s="209">
        <f>VLOOKUP(E875,'Custos Matéria Prima Embalagens'!B:G,6,0)</f>
        <v>21.085367657963403</v>
      </c>
      <c r="M875" s="209">
        <f t="shared" si="68"/>
        <v>5.2713419144908507</v>
      </c>
      <c r="N875" s="209">
        <f t="shared" si="69"/>
        <v>0.03</v>
      </c>
    </row>
    <row r="876" spans="1:14" hidden="1">
      <c r="A876" s="129" t="s">
        <v>1329</v>
      </c>
      <c r="B876" s="129" t="s">
        <v>1330</v>
      </c>
      <c r="C876" s="129" t="s">
        <v>1312</v>
      </c>
      <c r="D876" s="129" t="s">
        <v>1335</v>
      </c>
      <c r="E876" s="129" t="s">
        <v>1283</v>
      </c>
      <c r="F876" s="129" t="s">
        <v>1284</v>
      </c>
      <c r="G876" s="210">
        <v>60</v>
      </c>
      <c r="H876" s="211">
        <f t="shared" si="65"/>
        <v>214.25</v>
      </c>
      <c r="I876" s="207">
        <f>IF(F876="CONCENTRADO SEMI BRILHO",G876/'De-Para'!$B$9,G876/VLOOKUP(B876,'De-Para'!A:B,2,0))</f>
        <v>60</v>
      </c>
      <c r="J876" s="206">
        <f t="shared" si="66"/>
        <v>214.25</v>
      </c>
      <c r="K876" s="212">
        <f t="shared" si="67"/>
        <v>0.28004667444574094</v>
      </c>
      <c r="L876" s="209">
        <f>VLOOKUP(E876,'Custos Matéria Prima Embalagens'!B:G,6,0)</f>
        <v>12.47</v>
      </c>
      <c r="M876" s="209">
        <f t="shared" si="68"/>
        <v>748.2</v>
      </c>
      <c r="N876" s="209">
        <f t="shared" si="69"/>
        <v>3.49</v>
      </c>
    </row>
    <row r="877" spans="1:14" hidden="1">
      <c r="A877" s="129" t="s">
        <v>1329</v>
      </c>
      <c r="B877" s="129" t="s">
        <v>1330</v>
      </c>
      <c r="C877" s="129" t="s">
        <v>1312</v>
      </c>
      <c r="D877" s="129" t="s">
        <v>1335</v>
      </c>
      <c r="E877" s="129" t="s">
        <v>1287</v>
      </c>
      <c r="F877" s="129" t="s">
        <v>1288</v>
      </c>
      <c r="G877" s="210">
        <v>28</v>
      </c>
      <c r="H877" s="211">
        <f t="shared" si="65"/>
        <v>214.25</v>
      </c>
      <c r="I877" s="207">
        <f>IF(F877="CONCENTRADO SEMI BRILHO",G877/'De-Para'!$B$9,G877/VLOOKUP(B877,'De-Para'!A:B,2,0))</f>
        <v>28</v>
      </c>
      <c r="J877" s="206">
        <f t="shared" si="66"/>
        <v>214.25</v>
      </c>
      <c r="K877" s="212">
        <f t="shared" si="67"/>
        <v>0.13068844807467911</v>
      </c>
      <c r="L877" s="209">
        <f>VLOOKUP(E877,'Custos Matéria Prima Embalagens'!B:G,6,0)</f>
        <v>8.5139124692577308</v>
      </c>
      <c r="M877" s="209">
        <f t="shared" si="68"/>
        <v>238.38954913921646</v>
      </c>
      <c r="N877" s="209">
        <f t="shared" si="69"/>
        <v>1.1100000000000001</v>
      </c>
    </row>
    <row r="878" spans="1:14" hidden="1">
      <c r="A878" s="129" t="s">
        <v>1329</v>
      </c>
      <c r="B878" s="129" t="s">
        <v>1330</v>
      </c>
      <c r="C878" s="129" t="s">
        <v>1312</v>
      </c>
      <c r="D878" s="129" t="s">
        <v>1335</v>
      </c>
      <c r="E878" s="129" t="s">
        <v>1331</v>
      </c>
      <c r="F878" s="129" t="s">
        <v>1332</v>
      </c>
      <c r="G878" s="210">
        <v>6</v>
      </c>
      <c r="H878" s="211">
        <f t="shared" si="65"/>
        <v>214.25</v>
      </c>
      <c r="I878" s="207">
        <f>IF(F878="CONCENTRADO SEMI BRILHO",G878/'De-Para'!$B$9,G878/VLOOKUP(B878,'De-Para'!A:B,2,0))</f>
        <v>6</v>
      </c>
      <c r="J878" s="206">
        <f t="shared" si="66"/>
        <v>214.25</v>
      </c>
      <c r="K878" s="212">
        <f t="shared" si="67"/>
        <v>2.8004667444574097E-2</v>
      </c>
      <c r="L878" s="209">
        <f>VLOOKUP(E878,'Custos Matéria Prima Embalagens'!B:G,6,0)</f>
        <v>87.76</v>
      </c>
      <c r="M878" s="209">
        <f t="shared" si="68"/>
        <v>526.56000000000006</v>
      </c>
      <c r="N878" s="209">
        <f t="shared" si="69"/>
        <v>2.46</v>
      </c>
    </row>
    <row r="879" spans="1:14" hidden="1">
      <c r="A879" s="129" t="s">
        <v>1329</v>
      </c>
      <c r="B879" s="129" t="s">
        <v>1330</v>
      </c>
      <c r="C879" s="129" t="s">
        <v>1312</v>
      </c>
      <c r="D879" s="129" t="s">
        <v>1335</v>
      </c>
      <c r="E879" s="129" t="s">
        <v>1273</v>
      </c>
      <c r="F879" s="129" t="s">
        <v>1336</v>
      </c>
      <c r="G879" s="210">
        <v>120</v>
      </c>
      <c r="H879" s="211">
        <f t="shared" si="65"/>
        <v>214.25</v>
      </c>
      <c r="I879" s="207">
        <f>IF(F879="CONCENTRADO SEMI BRILHO",G879/'De-Para'!$B$9,G879/VLOOKUP(B879,'De-Para'!A:B,2,0))</f>
        <v>120</v>
      </c>
      <c r="J879" s="206">
        <f t="shared" si="66"/>
        <v>214.25</v>
      </c>
      <c r="K879" s="212">
        <f t="shared" si="67"/>
        <v>0.56009334889148188</v>
      </c>
      <c r="L879" s="209">
        <f>VLOOKUP(E879,'Custos Matéria Prima Embalagens'!B:G,6,0)</f>
        <v>15.600000000000001</v>
      </c>
      <c r="M879" s="209">
        <f t="shared" si="68"/>
        <v>1872.0000000000002</v>
      </c>
      <c r="N879" s="209">
        <f t="shared" si="69"/>
        <v>8.74</v>
      </c>
    </row>
    <row r="880" spans="1:14" hidden="1">
      <c r="A880" s="129" t="s">
        <v>1329</v>
      </c>
      <c r="B880" s="129" t="s">
        <v>1330</v>
      </c>
      <c r="C880" s="129" t="s">
        <v>1312</v>
      </c>
      <c r="D880" s="129" t="s">
        <v>1335</v>
      </c>
      <c r="E880" s="129" t="s">
        <v>1295</v>
      </c>
      <c r="F880" s="129" t="s">
        <v>1296</v>
      </c>
      <c r="G880" s="210">
        <v>0.25</v>
      </c>
      <c r="H880" s="211">
        <f t="shared" si="65"/>
        <v>214.25</v>
      </c>
      <c r="I880" s="207">
        <f>IF(F880="CONCENTRADO SEMI BRILHO",G880/'De-Para'!$B$9,G880/VLOOKUP(B880,'De-Para'!A:B,2,0))</f>
        <v>0.25</v>
      </c>
      <c r="J880" s="206">
        <f t="shared" si="66"/>
        <v>214.25</v>
      </c>
      <c r="K880" s="212">
        <f t="shared" si="67"/>
        <v>1.1668611435239206E-3</v>
      </c>
      <c r="L880" s="209">
        <f>VLOOKUP(E880,'Custos Matéria Prima Embalagens'!B:G,6,0)</f>
        <v>21.085367657963403</v>
      </c>
      <c r="M880" s="209">
        <f t="shared" si="68"/>
        <v>5.2713419144908507</v>
      </c>
      <c r="N880" s="209">
        <f t="shared" si="69"/>
        <v>0.02</v>
      </c>
    </row>
    <row r="881" spans="1:14" hidden="1">
      <c r="A881" s="129" t="s">
        <v>1329</v>
      </c>
      <c r="B881" s="129" t="s">
        <v>1330</v>
      </c>
      <c r="C881" s="129" t="s">
        <v>1306</v>
      </c>
      <c r="D881" s="129" t="s">
        <v>1337</v>
      </c>
      <c r="E881" s="129" t="s">
        <v>1283</v>
      </c>
      <c r="F881" s="129" t="s">
        <v>1284</v>
      </c>
      <c r="G881" s="210">
        <v>50</v>
      </c>
      <c r="H881" s="211">
        <f t="shared" si="65"/>
        <v>117.25</v>
      </c>
      <c r="I881" s="207">
        <f>IF(F881="CONCENTRADO SEMI BRILHO",G881/'De-Para'!$B$9,G881/VLOOKUP(B881,'De-Para'!A:B,2,0))</f>
        <v>50</v>
      </c>
      <c r="J881" s="206">
        <f t="shared" si="66"/>
        <v>117.25</v>
      </c>
      <c r="K881" s="212">
        <f t="shared" si="67"/>
        <v>0.42643923240938164</v>
      </c>
      <c r="L881" s="209">
        <f>VLOOKUP(E881,'Custos Matéria Prima Embalagens'!B:G,6,0)</f>
        <v>12.47</v>
      </c>
      <c r="M881" s="209">
        <f t="shared" si="68"/>
        <v>623.5</v>
      </c>
      <c r="N881" s="209">
        <f t="shared" si="69"/>
        <v>5.32</v>
      </c>
    </row>
    <row r="882" spans="1:14" hidden="1">
      <c r="A882" s="129" t="s">
        <v>1329</v>
      </c>
      <c r="B882" s="129" t="s">
        <v>1330</v>
      </c>
      <c r="C882" s="129" t="s">
        <v>1306</v>
      </c>
      <c r="D882" s="129" t="s">
        <v>1337</v>
      </c>
      <c r="E882" s="129" t="s">
        <v>1287</v>
      </c>
      <c r="F882" s="129" t="s">
        <v>1288</v>
      </c>
      <c r="G882" s="210">
        <v>35</v>
      </c>
      <c r="H882" s="211">
        <f t="shared" si="65"/>
        <v>117.25</v>
      </c>
      <c r="I882" s="207">
        <f>IF(F882="CONCENTRADO SEMI BRILHO",G882/'De-Para'!$B$9,G882/VLOOKUP(B882,'De-Para'!A:B,2,0))</f>
        <v>35</v>
      </c>
      <c r="J882" s="206">
        <f t="shared" si="66"/>
        <v>117.25</v>
      </c>
      <c r="K882" s="212">
        <f t="shared" si="67"/>
        <v>0.29850746268656714</v>
      </c>
      <c r="L882" s="209">
        <f>VLOOKUP(E882,'Custos Matéria Prima Embalagens'!B:G,6,0)</f>
        <v>8.5139124692577308</v>
      </c>
      <c r="M882" s="209">
        <f t="shared" si="68"/>
        <v>297.9869364240206</v>
      </c>
      <c r="N882" s="209">
        <f t="shared" si="69"/>
        <v>2.54</v>
      </c>
    </row>
    <row r="883" spans="1:14" hidden="1">
      <c r="A883" s="129" t="s">
        <v>1329</v>
      </c>
      <c r="B883" s="129" t="s">
        <v>1330</v>
      </c>
      <c r="C883" s="129" t="s">
        <v>1306</v>
      </c>
      <c r="D883" s="129" t="s">
        <v>1337</v>
      </c>
      <c r="E883" s="129" t="s">
        <v>1331</v>
      </c>
      <c r="F883" s="129" t="s">
        <v>1332</v>
      </c>
      <c r="G883" s="210">
        <v>7</v>
      </c>
      <c r="H883" s="211">
        <f t="shared" si="65"/>
        <v>117.25</v>
      </c>
      <c r="I883" s="207">
        <f>IF(F883="CONCENTRADO SEMI BRILHO",G883/'De-Para'!$B$9,G883/VLOOKUP(B883,'De-Para'!A:B,2,0))</f>
        <v>7</v>
      </c>
      <c r="J883" s="206">
        <f t="shared" si="66"/>
        <v>117.25</v>
      </c>
      <c r="K883" s="212">
        <f t="shared" si="67"/>
        <v>5.9701492537313432E-2</v>
      </c>
      <c r="L883" s="209">
        <f>VLOOKUP(E883,'Custos Matéria Prima Embalagens'!B:G,6,0)</f>
        <v>87.76</v>
      </c>
      <c r="M883" s="209">
        <f t="shared" si="68"/>
        <v>614.32000000000005</v>
      </c>
      <c r="N883" s="209">
        <f t="shared" si="69"/>
        <v>5.24</v>
      </c>
    </row>
    <row r="884" spans="1:14" hidden="1">
      <c r="A884" s="129" t="s">
        <v>1329</v>
      </c>
      <c r="B884" s="129" t="s">
        <v>1330</v>
      </c>
      <c r="C884" s="129" t="s">
        <v>1306</v>
      </c>
      <c r="D884" s="129" t="s">
        <v>1337</v>
      </c>
      <c r="E884" s="129" t="s">
        <v>1235</v>
      </c>
      <c r="F884" s="129" t="s">
        <v>1338</v>
      </c>
      <c r="G884" s="210">
        <v>25</v>
      </c>
      <c r="H884" s="211">
        <f t="shared" si="65"/>
        <v>117.25</v>
      </c>
      <c r="I884" s="207">
        <f>IF(F884="CONCENTRADO SEMI BRILHO",G884/'De-Para'!$B$9,G884/VLOOKUP(B884,'De-Para'!A:B,2,0))</f>
        <v>25</v>
      </c>
      <c r="J884" s="206">
        <f t="shared" si="66"/>
        <v>117.25</v>
      </c>
      <c r="K884" s="212">
        <f t="shared" si="67"/>
        <v>0.21321961620469082</v>
      </c>
      <c r="L884" s="209">
        <f>VLOOKUP(E884,'Custos Matéria Prima Embalagens'!B:G,6,0)</f>
        <v>46.089999999999996</v>
      </c>
      <c r="M884" s="209">
        <f t="shared" si="68"/>
        <v>1152.25</v>
      </c>
      <c r="N884" s="209">
        <f t="shared" si="69"/>
        <v>9.83</v>
      </c>
    </row>
    <row r="885" spans="1:14" hidden="1">
      <c r="A885" s="129" t="s">
        <v>1329</v>
      </c>
      <c r="B885" s="129" t="s">
        <v>1330</v>
      </c>
      <c r="C885" s="129" t="s">
        <v>1306</v>
      </c>
      <c r="D885" s="129" t="s">
        <v>1337</v>
      </c>
      <c r="E885" s="129" t="s">
        <v>1295</v>
      </c>
      <c r="F885" s="129" t="s">
        <v>1296</v>
      </c>
      <c r="G885" s="210">
        <v>0.25</v>
      </c>
      <c r="H885" s="211">
        <f t="shared" si="65"/>
        <v>117.25</v>
      </c>
      <c r="I885" s="207">
        <f>IF(F885="CONCENTRADO SEMI BRILHO",G885/'De-Para'!$B$9,G885/VLOOKUP(B885,'De-Para'!A:B,2,0))</f>
        <v>0.25</v>
      </c>
      <c r="J885" s="206">
        <f t="shared" si="66"/>
        <v>117.25</v>
      </c>
      <c r="K885" s="212">
        <f t="shared" si="67"/>
        <v>2.1321961620469083E-3</v>
      </c>
      <c r="L885" s="209">
        <f>VLOOKUP(E885,'Custos Matéria Prima Embalagens'!B:G,6,0)</f>
        <v>21.085367657963403</v>
      </c>
      <c r="M885" s="209">
        <f t="shared" si="68"/>
        <v>5.2713419144908507</v>
      </c>
      <c r="N885" s="209">
        <f t="shared" si="69"/>
        <v>0.04</v>
      </c>
    </row>
    <row r="886" spans="1:14" hidden="1">
      <c r="A886" s="129" t="s">
        <v>1329</v>
      </c>
      <c r="B886" s="129" t="s">
        <v>1330</v>
      </c>
      <c r="C886" s="129" t="s">
        <v>1302</v>
      </c>
      <c r="D886" s="129" t="s">
        <v>1339</v>
      </c>
      <c r="E886" s="129" t="s">
        <v>1283</v>
      </c>
      <c r="F886" s="129" t="s">
        <v>1284</v>
      </c>
      <c r="G886" s="210">
        <v>35</v>
      </c>
      <c r="H886" s="211">
        <f t="shared" si="65"/>
        <v>113.25</v>
      </c>
      <c r="I886" s="207">
        <f>IF(F886="CONCENTRADO SEMI BRILHO",G886/'De-Para'!$B$9,G886/VLOOKUP(B886,'De-Para'!A:B,2,0))</f>
        <v>35</v>
      </c>
      <c r="J886" s="206">
        <f t="shared" si="66"/>
        <v>113.25</v>
      </c>
      <c r="K886" s="212">
        <f t="shared" si="67"/>
        <v>0.30905077262693159</v>
      </c>
      <c r="L886" s="209">
        <f>VLOOKUP(E886,'Custos Matéria Prima Embalagens'!B:G,6,0)</f>
        <v>12.47</v>
      </c>
      <c r="M886" s="209">
        <f t="shared" si="68"/>
        <v>436.45000000000005</v>
      </c>
      <c r="N886" s="209">
        <f t="shared" si="69"/>
        <v>3.85</v>
      </c>
    </row>
    <row r="887" spans="1:14" hidden="1">
      <c r="A887" s="129" t="s">
        <v>1329</v>
      </c>
      <c r="B887" s="129" t="s">
        <v>1330</v>
      </c>
      <c r="C887" s="129" t="s">
        <v>1302</v>
      </c>
      <c r="D887" s="129" t="s">
        <v>1339</v>
      </c>
      <c r="E887" s="129" t="s">
        <v>1287</v>
      </c>
      <c r="F887" s="129" t="s">
        <v>1288</v>
      </c>
      <c r="G887" s="210">
        <v>25</v>
      </c>
      <c r="H887" s="211">
        <f t="shared" si="65"/>
        <v>113.25</v>
      </c>
      <c r="I887" s="207">
        <f>IF(F887="CONCENTRADO SEMI BRILHO",G887/'De-Para'!$B$9,G887/VLOOKUP(B887,'De-Para'!A:B,2,0))</f>
        <v>25</v>
      </c>
      <c r="J887" s="206">
        <f t="shared" si="66"/>
        <v>113.25</v>
      </c>
      <c r="K887" s="212">
        <f t="shared" si="67"/>
        <v>0.22075055187637968</v>
      </c>
      <c r="L887" s="209">
        <f>VLOOKUP(E887,'Custos Matéria Prima Embalagens'!B:G,6,0)</f>
        <v>8.5139124692577308</v>
      </c>
      <c r="M887" s="209">
        <f t="shared" si="68"/>
        <v>212.84781173144327</v>
      </c>
      <c r="N887" s="209">
        <f t="shared" si="69"/>
        <v>1.88</v>
      </c>
    </row>
    <row r="888" spans="1:14" hidden="1">
      <c r="A888" s="129" t="s">
        <v>1329</v>
      </c>
      <c r="B888" s="129" t="s">
        <v>1330</v>
      </c>
      <c r="C888" s="129" t="s">
        <v>1302</v>
      </c>
      <c r="D888" s="129" t="s">
        <v>1339</v>
      </c>
      <c r="E888" s="129" t="s">
        <v>1331</v>
      </c>
      <c r="F888" s="129" t="s">
        <v>1332</v>
      </c>
      <c r="G888" s="210">
        <v>3</v>
      </c>
      <c r="H888" s="211">
        <f t="shared" si="65"/>
        <v>113.25</v>
      </c>
      <c r="I888" s="207">
        <f>IF(F888="CONCENTRADO SEMI BRILHO",G888/'De-Para'!$B$9,G888/VLOOKUP(B888,'De-Para'!A:B,2,0))</f>
        <v>3</v>
      </c>
      <c r="J888" s="206">
        <f t="shared" si="66"/>
        <v>113.25</v>
      </c>
      <c r="K888" s="212">
        <f t="shared" si="67"/>
        <v>2.6490066225165563E-2</v>
      </c>
      <c r="L888" s="209">
        <f>VLOOKUP(E888,'Custos Matéria Prima Embalagens'!B:G,6,0)</f>
        <v>87.76</v>
      </c>
      <c r="M888" s="209">
        <f t="shared" si="68"/>
        <v>263.28000000000003</v>
      </c>
      <c r="N888" s="209">
        <f t="shared" si="69"/>
        <v>2.3199999999999998</v>
      </c>
    </row>
    <row r="889" spans="1:14" hidden="1">
      <c r="A889" s="129" t="s">
        <v>1329</v>
      </c>
      <c r="B889" s="129" t="s">
        <v>1330</v>
      </c>
      <c r="C889" s="129" t="s">
        <v>1302</v>
      </c>
      <c r="D889" s="129" t="s">
        <v>1339</v>
      </c>
      <c r="E889" s="129" t="s">
        <v>1340</v>
      </c>
      <c r="F889" s="129" t="s">
        <v>1341</v>
      </c>
      <c r="G889" s="210">
        <v>50</v>
      </c>
      <c r="H889" s="211">
        <f t="shared" si="65"/>
        <v>113.25</v>
      </c>
      <c r="I889" s="207">
        <f>IF(F889="CONCENTRADO SEMI BRILHO",G889/'De-Para'!$B$9,G889/VLOOKUP(B889,'De-Para'!A:B,2,0))</f>
        <v>50</v>
      </c>
      <c r="J889" s="206">
        <f t="shared" si="66"/>
        <v>113.25</v>
      </c>
      <c r="K889" s="212">
        <f t="shared" si="67"/>
        <v>0.44150110375275936</v>
      </c>
      <c r="L889" s="209">
        <f>VLOOKUP(E889,'Custos Matéria Prima Embalagens'!B:G,6,0)</f>
        <v>72</v>
      </c>
      <c r="M889" s="209">
        <f t="shared" si="68"/>
        <v>3600</v>
      </c>
      <c r="N889" s="209">
        <f t="shared" si="69"/>
        <v>31.79</v>
      </c>
    </row>
    <row r="890" spans="1:14" hidden="1">
      <c r="A890" s="129" t="s">
        <v>1329</v>
      </c>
      <c r="B890" s="129" t="s">
        <v>1330</v>
      </c>
      <c r="C890" s="129" t="s">
        <v>1302</v>
      </c>
      <c r="D890" s="129" t="s">
        <v>1339</v>
      </c>
      <c r="E890" s="129" t="s">
        <v>1295</v>
      </c>
      <c r="F890" s="129" t="s">
        <v>1296</v>
      </c>
      <c r="G890" s="210">
        <v>0.25</v>
      </c>
      <c r="H890" s="211">
        <f t="shared" si="65"/>
        <v>113.25</v>
      </c>
      <c r="I890" s="207">
        <f>IF(F890="CONCENTRADO SEMI BRILHO",G890/'De-Para'!$B$9,G890/VLOOKUP(B890,'De-Para'!A:B,2,0))</f>
        <v>0.25</v>
      </c>
      <c r="J890" s="206">
        <f t="shared" si="66"/>
        <v>113.25</v>
      </c>
      <c r="K890" s="212">
        <f t="shared" si="67"/>
        <v>2.2075055187637969E-3</v>
      </c>
      <c r="L890" s="209">
        <f>VLOOKUP(E890,'Custos Matéria Prima Embalagens'!B:G,6,0)</f>
        <v>21.085367657963403</v>
      </c>
      <c r="M890" s="209">
        <f t="shared" si="68"/>
        <v>5.2713419144908507</v>
      </c>
      <c r="N890" s="209">
        <f t="shared" si="69"/>
        <v>0.05</v>
      </c>
    </row>
    <row r="891" spans="1:14" hidden="1">
      <c r="A891" s="129" t="s">
        <v>1329</v>
      </c>
      <c r="B891" s="129" t="s">
        <v>1330</v>
      </c>
      <c r="C891" s="129" t="s">
        <v>1316</v>
      </c>
      <c r="D891" s="129" t="s">
        <v>1342</v>
      </c>
      <c r="E891" s="129" t="s">
        <v>1283</v>
      </c>
      <c r="F891" s="129" t="s">
        <v>1284</v>
      </c>
      <c r="G891" s="210">
        <v>60</v>
      </c>
      <c r="H891" s="211">
        <f t="shared" si="65"/>
        <v>127.25</v>
      </c>
      <c r="I891" s="207">
        <f>IF(F891="CONCENTRADO SEMI BRILHO",G891/'De-Para'!$B$9,G891/VLOOKUP(B891,'De-Para'!A:B,2,0))</f>
        <v>60</v>
      </c>
      <c r="J891" s="206">
        <f t="shared" si="66"/>
        <v>127.25</v>
      </c>
      <c r="K891" s="212">
        <f t="shared" si="67"/>
        <v>0.47151277013752457</v>
      </c>
      <c r="L891" s="209">
        <f>VLOOKUP(E891,'Custos Matéria Prima Embalagens'!B:G,6,0)</f>
        <v>12.47</v>
      </c>
      <c r="M891" s="209">
        <f t="shared" si="68"/>
        <v>748.2</v>
      </c>
      <c r="N891" s="209">
        <f t="shared" si="69"/>
        <v>5.88</v>
      </c>
    </row>
    <row r="892" spans="1:14" hidden="1">
      <c r="A892" s="129" t="s">
        <v>1329</v>
      </c>
      <c r="B892" s="129" t="s">
        <v>1330</v>
      </c>
      <c r="C892" s="129" t="s">
        <v>1316</v>
      </c>
      <c r="D892" s="129" t="s">
        <v>1342</v>
      </c>
      <c r="E892" s="129" t="s">
        <v>1287</v>
      </c>
      <c r="F892" s="129" t="s">
        <v>1288</v>
      </c>
      <c r="G892" s="210">
        <v>35</v>
      </c>
      <c r="H892" s="211">
        <f t="shared" si="65"/>
        <v>127.25</v>
      </c>
      <c r="I892" s="207">
        <f>IF(F892="CONCENTRADO SEMI BRILHO",G892/'De-Para'!$B$9,G892/VLOOKUP(B892,'De-Para'!A:B,2,0))</f>
        <v>35</v>
      </c>
      <c r="J892" s="206">
        <f t="shared" si="66"/>
        <v>127.25</v>
      </c>
      <c r="K892" s="212">
        <f t="shared" si="67"/>
        <v>0.27504911591355602</v>
      </c>
      <c r="L892" s="209">
        <f>VLOOKUP(E892,'Custos Matéria Prima Embalagens'!B:G,6,0)</f>
        <v>8.5139124692577308</v>
      </c>
      <c r="M892" s="209">
        <f t="shared" si="68"/>
        <v>297.9869364240206</v>
      </c>
      <c r="N892" s="209">
        <f t="shared" si="69"/>
        <v>2.34</v>
      </c>
    </row>
    <row r="893" spans="1:14" hidden="1">
      <c r="A893" s="129" t="s">
        <v>1329</v>
      </c>
      <c r="B893" s="129" t="s">
        <v>1330</v>
      </c>
      <c r="C893" s="129" t="s">
        <v>1316</v>
      </c>
      <c r="D893" s="129" t="s">
        <v>1342</v>
      </c>
      <c r="E893" s="129" t="s">
        <v>1331</v>
      </c>
      <c r="F893" s="129" t="s">
        <v>1332</v>
      </c>
      <c r="G893" s="210">
        <v>7</v>
      </c>
      <c r="H893" s="211">
        <f t="shared" si="65"/>
        <v>127.25</v>
      </c>
      <c r="I893" s="207">
        <f>IF(F893="CONCENTRADO SEMI BRILHO",G893/'De-Para'!$B$9,G893/VLOOKUP(B893,'De-Para'!A:B,2,0))</f>
        <v>7</v>
      </c>
      <c r="J893" s="206">
        <f t="shared" si="66"/>
        <v>127.25</v>
      </c>
      <c r="K893" s="212">
        <f t="shared" si="67"/>
        <v>5.50098231827112E-2</v>
      </c>
      <c r="L893" s="209">
        <f>VLOOKUP(E893,'Custos Matéria Prima Embalagens'!B:G,6,0)</f>
        <v>87.76</v>
      </c>
      <c r="M893" s="209">
        <f t="shared" si="68"/>
        <v>614.32000000000005</v>
      </c>
      <c r="N893" s="209">
        <f t="shared" si="69"/>
        <v>4.83</v>
      </c>
    </row>
    <row r="894" spans="1:14" hidden="1">
      <c r="A894" s="129" t="s">
        <v>1329</v>
      </c>
      <c r="B894" s="129" t="s">
        <v>1330</v>
      </c>
      <c r="C894" s="129" t="s">
        <v>1316</v>
      </c>
      <c r="D894" s="129" t="s">
        <v>1342</v>
      </c>
      <c r="E894" s="129" t="s">
        <v>1343</v>
      </c>
      <c r="F894" s="129" t="s">
        <v>1344</v>
      </c>
      <c r="G894" s="210">
        <v>25</v>
      </c>
      <c r="H894" s="211">
        <f t="shared" si="65"/>
        <v>127.25</v>
      </c>
      <c r="I894" s="207">
        <f>IF(F894="CONCENTRADO SEMI BRILHO",G894/'De-Para'!$B$9,G894/VLOOKUP(B894,'De-Para'!A:B,2,0))</f>
        <v>25</v>
      </c>
      <c r="J894" s="206">
        <f t="shared" si="66"/>
        <v>127.25</v>
      </c>
      <c r="K894" s="212">
        <f t="shared" si="67"/>
        <v>0.19646365422396855</v>
      </c>
      <c r="L894" s="209">
        <f>VLOOKUP(E894,'Custos Matéria Prima Embalagens'!B:G,6,0)</f>
        <v>46.79</v>
      </c>
      <c r="M894" s="209">
        <f t="shared" si="68"/>
        <v>1169.75</v>
      </c>
      <c r="N894" s="209">
        <f t="shared" si="69"/>
        <v>9.19</v>
      </c>
    </row>
    <row r="895" spans="1:14" hidden="1">
      <c r="A895" s="129" t="s">
        <v>1329</v>
      </c>
      <c r="B895" s="129" t="s">
        <v>1330</v>
      </c>
      <c r="C895" s="129" t="s">
        <v>1316</v>
      </c>
      <c r="D895" s="129" t="s">
        <v>1342</v>
      </c>
      <c r="E895" s="129" t="s">
        <v>1295</v>
      </c>
      <c r="F895" s="129" t="s">
        <v>1296</v>
      </c>
      <c r="G895" s="210">
        <v>0.25</v>
      </c>
      <c r="H895" s="211">
        <f t="shared" si="65"/>
        <v>127.25</v>
      </c>
      <c r="I895" s="207">
        <f>IF(F895="CONCENTRADO SEMI BRILHO",G895/'De-Para'!$B$9,G895/VLOOKUP(B895,'De-Para'!A:B,2,0))</f>
        <v>0.25</v>
      </c>
      <c r="J895" s="206">
        <f t="shared" si="66"/>
        <v>127.25</v>
      </c>
      <c r="K895" s="212">
        <f t="shared" si="67"/>
        <v>1.9646365422396855E-3</v>
      </c>
      <c r="L895" s="209">
        <f>VLOOKUP(E895,'Custos Matéria Prima Embalagens'!B:G,6,0)</f>
        <v>21.085367657963403</v>
      </c>
      <c r="M895" s="209">
        <f t="shared" si="68"/>
        <v>5.2713419144908507</v>
      </c>
      <c r="N895" s="209">
        <f t="shared" si="69"/>
        <v>0.04</v>
      </c>
    </row>
    <row r="896" spans="1:14" hidden="1">
      <c r="A896" s="129" t="s">
        <v>1329</v>
      </c>
      <c r="B896" s="129" t="s">
        <v>1330</v>
      </c>
      <c r="C896" s="129" t="s">
        <v>1345</v>
      </c>
      <c r="D896" s="129" t="s">
        <v>1346</v>
      </c>
      <c r="E896" s="129" t="s">
        <v>1283</v>
      </c>
      <c r="F896" s="129" t="s">
        <v>1284</v>
      </c>
      <c r="G896" s="210">
        <v>45</v>
      </c>
      <c r="H896" s="211">
        <f t="shared" si="65"/>
        <v>86.25</v>
      </c>
      <c r="I896" s="207">
        <f>IF(F896="CONCENTRADO SEMI BRILHO",G896/'De-Para'!$B$9,G896/VLOOKUP(B896,'De-Para'!A:B,2,0))</f>
        <v>45</v>
      </c>
      <c r="J896" s="206">
        <f t="shared" si="66"/>
        <v>86.25</v>
      </c>
      <c r="K896" s="212">
        <f t="shared" si="67"/>
        <v>0.52173913043478259</v>
      </c>
      <c r="L896" s="209">
        <f>VLOOKUP(E896,'Custos Matéria Prima Embalagens'!B:G,6,0)</f>
        <v>12.47</v>
      </c>
      <c r="M896" s="209">
        <f t="shared" si="68"/>
        <v>561.15</v>
      </c>
      <c r="N896" s="209">
        <f t="shared" si="69"/>
        <v>6.51</v>
      </c>
    </row>
    <row r="897" spans="1:15" hidden="1">
      <c r="A897" s="129" t="s">
        <v>1329</v>
      </c>
      <c r="B897" s="129" t="s">
        <v>1330</v>
      </c>
      <c r="C897" s="129" t="s">
        <v>1345</v>
      </c>
      <c r="D897" s="129" t="s">
        <v>1346</v>
      </c>
      <c r="E897" s="129" t="s">
        <v>1287</v>
      </c>
      <c r="F897" s="129" t="s">
        <v>1288</v>
      </c>
      <c r="G897" s="210">
        <v>14</v>
      </c>
      <c r="H897" s="211">
        <f t="shared" si="65"/>
        <v>86.25</v>
      </c>
      <c r="I897" s="207">
        <f>IF(F897="CONCENTRADO SEMI BRILHO",G897/'De-Para'!$B$9,G897/VLOOKUP(B897,'De-Para'!A:B,2,0))</f>
        <v>14</v>
      </c>
      <c r="J897" s="206">
        <f t="shared" si="66"/>
        <v>86.25</v>
      </c>
      <c r="K897" s="212">
        <f t="shared" si="67"/>
        <v>0.16231884057971013</v>
      </c>
      <c r="L897" s="209">
        <f>VLOOKUP(E897,'Custos Matéria Prima Embalagens'!B:G,6,0)</f>
        <v>8.5139124692577308</v>
      </c>
      <c r="M897" s="209">
        <f t="shared" si="68"/>
        <v>119.19477456960823</v>
      </c>
      <c r="N897" s="209">
        <f t="shared" si="69"/>
        <v>1.38</v>
      </c>
    </row>
    <row r="898" spans="1:15" hidden="1">
      <c r="A898" s="129" t="s">
        <v>1329</v>
      </c>
      <c r="B898" s="129" t="s">
        <v>1330</v>
      </c>
      <c r="C898" s="129" t="s">
        <v>1345</v>
      </c>
      <c r="D898" s="129" t="s">
        <v>1346</v>
      </c>
      <c r="E898" s="129" t="s">
        <v>1331</v>
      </c>
      <c r="F898" s="129" t="s">
        <v>1332</v>
      </c>
      <c r="G898" s="210">
        <v>2</v>
      </c>
      <c r="H898" s="211">
        <f t="shared" si="65"/>
        <v>86.25</v>
      </c>
      <c r="I898" s="207">
        <f>IF(F898="CONCENTRADO SEMI BRILHO",G898/'De-Para'!$B$9,G898/VLOOKUP(B898,'De-Para'!A:B,2,0))</f>
        <v>2</v>
      </c>
      <c r="J898" s="206">
        <f t="shared" si="66"/>
        <v>86.25</v>
      </c>
      <c r="K898" s="212">
        <f t="shared" si="67"/>
        <v>2.318840579710145E-2</v>
      </c>
      <c r="L898" s="209">
        <f>VLOOKUP(E898,'Custos Matéria Prima Embalagens'!B:G,6,0)</f>
        <v>87.76</v>
      </c>
      <c r="M898" s="209">
        <f t="shared" si="68"/>
        <v>175.52</v>
      </c>
      <c r="N898" s="209">
        <f t="shared" si="69"/>
        <v>2.04</v>
      </c>
    </row>
    <row r="899" spans="1:15" hidden="1">
      <c r="A899" s="129" t="s">
        <v>1329</v>
      </c>
      <c r="B899" s="129" t="s">
        <v>1330</v>
      </c>
      <c r="C899" s="129" t="s">
        <v>1345</v>
      </c>
      <c r="D899" s="129" t="s">
        <v>1346</v>
      </c>
      <c r="E899" s="129" t="s">
        <v>1347</v>
      </c>
      <c r="F899" s="129" t="s">
        <v>1348</v>
      </c>
      <c r="G899" s="210">
        <v>25</v>
      </c>
      <c r="H899" s="211">
        <f t="shared" ref="H899:H962" si="70">SUMIFS(G:G,C:C,C899)</f>
        <v>86.25</v>
      </c>
      <c r="I899" s="207">
        <f>IF(F899="CONCENTRADO SEMI BRILHO",G899/'De-Para'!$B$9,G899/VLOOKUP(B899,'De-Para'!A:B,2,0))</f>
        <v>25</v>
      </c>
      <c r="J899" s="206">
        <f t="shared" ref="J899:J962" si="71">SUMIFS(I:I,C:C,C899)</f>
        <v>86.25</v>
      </c>
      <c r="K899" s="212">
        <f t="shared" ref="K899:K920" si="72">G899/H899</f>
        <v>0.28985507246376813</v>
      </c>
      <c r="L899" s="209">
        <f>VLOOKUP(E899,'Custos Matéria Prima Embalagens'!B:G,6,0)</f>
        <v>49.58</v>
      </c>
      <c r="M899" s="209">
        <f t="shared" ref="M899:M962" si="73">L899*G899</f>
        <v>1239.5</v>
      </c>
      <c r="N899" s="209">
        <f t="shared" ref="N899:N962" si="74">IF(B899="CONCENTRADO",ROUND(M899/H899,2),ROUND(M899/J899,2))</f>
        <v>14.37</v>
      </c>
    </row>
    <row r="900" spans="1:15" hidden="1">
      <c r="A900" s="129" t="s">
        <v>1329</v>
      </c>
      <c r="B900" s="129" t="s">
        <v>1330</v>
      </c>
      <c r="C900" s="129" t="s">
        <v>1345</v>
      </c>
      <c r="D900" s="129" t="s">
        <v>1346</v>
      </c>
      <c r="E900" s="129" t="s">
        <v>1295</v>
      </c>
      <c r="F900" s="129" t="s">
        <v>1296</v>
      </c>
      <c r="G900" s="210">
        <v>0.25</v>
      </c>
      <c r="H900" s="211">
        <f t="shared" si="70"/>
        <v>86.25</v>
      </c>
      <c r="I900" s="207">
        <f>IF(F900="CONCENTRADO SEMI BRILHO",G900/'De-Para'!$B$9,G900/VLOOKUP(B900,'De-Para'!A:B,2,0))</f>
        <v>0.25</v>
      </c>
      <c r="J900" s="206">
        <f t="shared" si="71"/>
        <v>86.25</v>
      </c>
      <c r="K900" s="212">
        <f t="shared" si="72"/>
        <v>2.8985507246376812E-3</v>
      </c>
      <c r="L900" s="209">
        <f>VLOOKUP(E900,'Custos Matéria Prima Embalagens'!B:G,6,0)</f>
        <v>21.085367657963403</v>
      </c>
      <c r="M900" s="209">
        <f t="shared" si="73"/>
        <v>5.2713419144908507</v>
      </c>
      <c r="N900" s="209">
        <f t="shared" si="74"/>
        <v>0.06</v>
      </c>
    </row>
    <row r="901" spans="1:15" hidden="1">
      <c r="A901" s="129" t="s">
        <v>1329</v>
      </c>
      <c r="B901" s="129" t="s">
        <v>1330</v>
      </c>
      <c r="C901" s="129" t="s">
        <v>1314</v>
      </c>
      <c r="D901" s="129" t="s">
        <v>1349</v>
      </c>
      <c r="E901" s="129" t="s">
        <v>1283</v>
      </c>
      <c r="F901" s="129" t="s">
        <v>1284</v>
      </c>
      <c r="G901" s="210">
        <v>25</v>
      </c>
      <c r="H901" s="211">
        <f t="shared" si="70"/>
        <v>103.75</v>
      </c>
      <c r="I901" s="207">
        <f>IF(F901="CONCENTRADO SEMI BRILHO",G901/'De-Para'!$B$9,G901/VLOOKUP(B901,'De-Para'!A:B,2,0))</f>
        <v>25</v>
      </c>
      <c r="J901" s="206">
        <f t="shared" si="71"/>
        <v>103.75</v>
      </c>
      <c r="K901" s="212">
        <f t="shared" si="72"/>
        <v>0.24096385542168675</v>
      </c>
      <c r="L901" s="209">
        <f>VLOOKUP(E901,'Custos Matéria Prima Embalagens'!B:G,6,0)</f>
        <v>12.47</v>
      </c>
      <c r="M901" s="209">
        <f t="shared" si="73"/>
        <v>311.75</v>
      </c>
      <c r="N901" s="209">
        <f t="shared" si="74"/>
        <v>3</v>
      </c>
    </row>
    <row r="902" spans="1:15" hidden="1">
      <c r="A902" s="129" t="s">
        <v>1329</v>
      </c>
      <c r="B902" s="129" t="s">
        <v>1330</v>
      </c>
      <c r="C902" s="129" t="s">
        <v>1314</v>
      </c>
      <c r="D902" s="129" t="s">
        <v>1349</v>
      </c>
      <c r="E902" s="129" t="s">
        <v>1287</v>
      </c>
      <c r="F902" s="129" t="s">
        <v>1288</v>
      </c>
      <c r="G902" s="210">
        <v>25</v>
      </c>
      <c r="H902" s="211">
        <f t="shared" si="70"/>
        <v>103.75</v>
      </c>
      <c r="I902" s="207">
        <f>IF(F902="CONCENTRADO SEMI BRILHO",G902/'De-Para'!$B$9,G902/VLOOKUP(B902,'De-Para'!A:B,2,0))</f>
        <v>25</v>
      </c>
      <c r="J902" s="206">
        <f t="shared" si="71"/>
        <v>103.75</v>
      </c>
      <c r="K902" s="212">
        <f t="shared" si="72"/>
        <v>0.24096385542168675</v>
      </c>
      <c r="L902" s="209">
        <f>VLOOKUP(E902,'Custos Matéria Prima Embalagens'!B:G,6,0)</f>
        <v>8.5139124692577308</v>
      </c>
      <c r="M902" s="209">
        <f t="shared" si="73"/>
        <v>212.84781173144327</v>
      </c>
      <c r="N902" s="209">
        <f t="shared" si="74"/>
        <v>2.0499999999999998</v>
      </c>
    </row>
    <row r="903" spans="1:15" hidden="1">
      <c r="A903" s="129" t="s">
        <v>1329</v>
      </c>
      <c r="B903" s="129" t="s">
        <v>1330</v>
      </c>
      <c r="C903" s="129" t="s">
        <v>1314</v>
      </c>
      <c r="D903" s="129" t="s">
        <v>1349</v>
      </c>
      <c r="E903" s="129" t="s">
        <v>1331</v>
      </c>
      <c r="F903" s="129" t="s">
        <v>1332</v>
      </c>
      <c r="G903" s="210">
        <v>3.5</v>
      </c>
      <c r="H903" s="211">
        <f t="shared" si="70"/>
        <v>103.75</v>
      </c>
      <c r="I903" s="207">
        <f>IF(F903="CONCENTRADO SEMI BRILHO",G903/'De-Para'!$B$9,G903/VLOOKUP(B903,'De-Para'!A:B,2,0))</f>
        <v>3.5</v>
      </c>
      <c r="J903" s="206">
        <f t="shared" si="71"/>
        <v>103.75</v>
      </c>
      <c r="K903" s="212">
        <f t="shared" si="72"/>
        <v>3.3734939759036145E-2</v>
      </c>
      <c r="L903" s="209">
        <f>VLOOKUP(E903,'Custos Matéria Prima Embalagens'!B:G,6,0)</f>
        <v>87.76</v>
      </c>
      <c r="M903" s="209">
        <f t="shared" si="73"/>
        <v>307.16000000000003</v>
      </c>
      <c r="N903" s="209">
        <f t="shared" si="74"/>
        <v>2.96</v>
      </c>
    </row>
    <row r="904" spans="1:15" hidden="1">
      <c r="A904" s="129" t="s">
        <v>1329</v>
      </c>
      <c r="B904" s="129" t="s">
        <v>1330</v>
      </c>
      <c r="C904" s="129" t="s">
        <v>1314</v>
      </c>
      <c r="D904" s="129" t="s">
        <v>1349</v>
      </c>
      <c r="E904" s="129" t="s">
        <v>1350</v>
      </c>
      <c r="F904" s="129" t="s">
        <v>1351</v>
      </c>
      <c r="G904" s="210">
        <v>50</v>
      </c>
      <c r="H904" s="211">
        <f t="shared" si="70"/>
        <v>103.75</v>
      </c>
      <c r="I904" s="207">
        <f>IF(F904="CONCENTRADO SEMI BRILHO",G904/'De-Para'!$B$9,G904/VLOOKUP(B904,'De-Para'!A:B,2,0))</f>
        <v>50</v>
      </c>
      <c r="J904" s="206">
        <f t="shared" si="71"/>
        <v>103.75</v>
      </c>
      <c r="K904" s="212">
        <f t="shared" si="72"/>
        <v>0.48192771084337349</v>
      </c>
      <c r="L904" s="209">
        <f>VLOOKUP(E904,'Custos Matéria Prima Embalagens'!B:G,6,0)</f>
        <v>50.660000000000004</v>
      </c>
      <c r="M904" s="209">
        <f t="shared" si="73"/>
        <v>2533</v>
      </c>
      <c r="N904" s="209">
        <f t="shared" si="74"/>
        <v>24.41</v>
      </c>
    </row>
    <row r="905" spans="1:15" hidden="1">
      <c r="A905" s="129" t="s">
        <v>1329</v>
      </c>
      <c r="B905" s="129" t="s">
        <v>1330</v>
      </c>
      <c r="C905" s="129" t="s">
        <v>1314</v>
      </c>
      <c r="D905" s="129" t="s">
        <v>1349</v>
      </c>
      <c r="E905" s="129" t="s">
        <v>1295</v>
      </c>
      <c r="F905" s="129" t="s">
        <v>1296</v>
      </c>
      <c r="G905" s="210">
        <v>0.25</v>
      </c>
      <c r="H905" s="211">
        <f t="shared" si="70"/>
        <v>103.75</v>
      </c>
      <c r="I905" s="207">
        <f>IF(F905="CONCENTRADO SEMI BRILHO",G905/'De-Para'!$B$9,G905/VLOOKUP(B905,'De-Para'!A:B,2,0))</f>
        <v>0.25</v>
      </c>
      <c r="J905" s="206">
        <f t="shared" si="71"/>
        <v>103.75</v>
      </c>
      <c r="K905" s="212">
        <f t="shared" si="72"/>
        <v>2.4096385542168677E-3</v>
      </c>
      <c r="L905" s="209">
        <f>VLOOKUP(E905,'Custos Matéria Prima Embalagens'!B:G,6,0)</f>
        <v>21.085367657963403</v>
      </c>
      <c r="M905" s="209">
        <f t="shared" si="73"/>
        <v>5.2713419144908507</v>
      </c>
      <c r="N905" s="209">
        <f t="shared" si="74"/>
        <v>0.05</v>
      </c>
    </row>
    <row r="906" spans="1:15" hidden="1">
      <c r="A906" s="129" t="s">
        <v>1329</v>
      </c>
      <c r="B906" s="129" t="s">
        <v>1330</v>
      </c>
      <c r="C906" s="129" t="s">
        <v>1304</v>
      </c>
      <c r="D906" s="129" t="s">
        <v>1352</v>
      </c>
      <c r="E906" s="129" t="s">
        <v>1283</v>
      </c>
      <c r="F906" s="129" t="s">
        <v>1284</v>
      </c>
      <c r="G906" s="210">
        <v>50</v>
      </c>
      <c r="H906" s="211">
        <f t="shared" si="70"/>
        <v>178.25</v>
      </c>
      <c r="I906" s="207">
        <f>IF(F906="CONCENTRADO SEMI BRILHO",G906/'De-Para'!$B$9,G906/VLOOKUP(B906,'De-Para'!A:B,2,0))</f>
        <v>50</v>
      </c>
      <c r="J906" s="206">
        <f t="shared" si="71"/>
        <v>178.25</v>
      </c>
      <c r="K906" s="212">
        <f t="shared" si="72"/>
        <v>0.28050490883590462</v>
      </c>
      <c r="L906" s="209">
        <f>VLOOKUP(E906,'Custos Matéria Prima Embalagens'!B:G,6,0)</f>
        <v>12.47</v>
      </c>
      <c r="M906" s="209">
        <f t="shared" si="73"/>
        <v>623.5</v>
      </c>
      <c r="N906" s="209">
        <f t="shared" si="74"/>
        <v>3.5</v>
      </c>
    </row>
    <row r="907" spans="1:15" hidden="1">
      <c r="A907" s="129" t="s">
        <v>1329</v>
      </c>
      <c r="B907" s="129" t="s">
        <v>1330</v>
      </c>
      <c r="C907" s="129" t="s">
        <v>1304</v>
      </c>
      <c r="D907" s="129" t="s">
        <v>1352</v>
      </c>
      <c r="E907" s="129" t="s">
        <v>1287</v>
      </c>
      <c r="F907" s="129" t="s">
        <v>1288</v>
      </c>
      <c r="G907" s="210">
        <v>23</v>
      </c>
      <c r="H907" s="211">
        <f t="shared" si="70"/>
        <v>178.25</v>
      </c>
      <c r="I907" s="207">
        <f>IF(F907="CONCENTRADO SEMI BRILHO",G907/'De-Para'!$B$9,G907/VLOOKUP(B907,'De-Para'!A:B,2,0))</f>
        <v>23</v>
      </c>
      <c r="J907" s="206">
        <f t="shared" si="71"/>
        <v>178.25</v>
      </c>
      <c r="K907" s="212">
        <f t="shared" si="72"/>
        <v>0.12903225806451613</v>
      </c>
      <c r="L907" s="209">
        <f>VLOOKUP(E907,'Custos Matéria Prima Embalagens'!B:G,6,0)</f>
        <v>8.5139124692577308</v>
      </c>
      <c r="M907" s="209">
        <f t="shared" si="73"/>
        <v>195.81998679292781</v>
      </c>
      <c r="N907" s="209">
        <f t="shared" si="74"/>
        <v>1.1000000000000001</v>
      </c>
    </row>
    <row r="908" spans="1:15" hidden="1">
      <c r="A908" s="129" t="s">
        <v>1329</v>
      </c>
      <c r="B908" s="129" t="s">
        <v>1330</v>
      </c>
      <c r="C908" s="129" t="s">
        <v>1304</v>
      </c>
      <c r="D908" s="129" t="s">
        <v>1352</v>
      </c>
      <c r="E908" s="129" t="s">
        <v>1331</v>
      </c>
      <c r="F908" s="129" t="s">
        <v>1332</v>
      </c>
      <c r="G908" s="210">
        <v>5</v>
      </c>
      <c r="H908" s="211">
        <f t="shared" si="70"/>
        <v>178.25</v>
      </c>
      <c r="I908" s="207">
        <f>IF(F908="CONCENTRADO SEMI BRILHO",G908/'De-Para'!$B$9,G908/VLOOKUP(B908,'De-Para'!A:B,2,0))</f>
        <v>5</v>
      </c>
      <c r="J908" s="206">
        <f t="shared" si="71"/>
        <v>178.25</v>
      </c>
      <c r="K908" s="212">
        <f t="shared" si="72"/>
        <v>2.8050490883590462E-2</v>
      </c>
      <c r="L908" s="209">
        <f>VLOOKUP(E908,'Custos Matéria Prima Embalagens'!B:G,6,0)</f>
        <v>87.76</v>
      </c>
      <c r="M908" s="209">
        <f t="shared" si="73"/>
        <v>438.8</v>
      </c>
      <c r="N908" s="209">
        <f t="shared" si="74"/>
        <v>2.46</v>
      </c>
    </row>
    <row r="909" spans="1:15" hidden="1">
      <c r="A909" s="129" t="s">
        <v>1329</v>
      </c>
      <c r="B909" s="129" t="s">
        <v>1330</v>
      </c>
      <c r="C909" s="129" t="s">
        <v>1304</v>
      </c>
      <c r="D909" s="129" t="s">
        <v>1352</v>
      </c>
      <c r="E909" s="129" t="s">
        <v>1353</v>
      </c>
      <c r="F909" s="129" t="s">
        <v>1354</v>
      </c>
      <c r="G909" s="210">
        <v>100</v>
      </c>
      <c r="H909" s="211">
        <f t="shared" si="70"/>
        <v>178.25</v>
      </c>
      <c r="I909" s="207">
        <f>IF(F909="CONCENTRADO SEMI BRILHO",G909/'De-Para'!$B$9,G909/VLOOKUP(B909,'De-Para'!A:B,2,0))</f>
        <v>100</v>
      </c>
      <c r="J909" s="206">
        <f t="shared" si="71"/>
        <v>178.25</v>
      </c>
      <c r="K909" s="212">
        <f t="shared" si="72"/>
        <v>0.56100981767180924</v>
      </c>
      <c r="L909" s="209">
        <f>VLOOKUP(E909,'Custos Matéria Prima Embalagens'!B:G,6,0)</f>
        <v>15.41</v>
      </c>
      <c r="M909" s="209">
        <f t="shared" si="73"/>
        <v>1541</v>
      </c>
      <c r="N909" s="209">
        <f t="shared" si="74"/>
        <v>8.65</v>
      </c>
    </row>
    <row r="910" spans="1:15" hidden="1">
      <c r="A910" s="129" t="s">
        <v>1329</v>
      </c>
      <c r="B910" s="129" t="s">
        <v>1330</v>
      </c>
      <c r="C910" s="129" t="s">
        <v>1304</v>
      </c>
      <c r="D910" s="129" t="s">
        <v>1352</v>
      </c>
      <c r="E910" s="129" t="s">
        <v>1295</v>
      </c>
      <c r="F910" s="129" t="s">
        <v>1296</v>
      </c>
      <c r="G910" s="210">
        <v>0.25</v>
      </c>
      <c r="H910" s="211">
        <f t="shared" si="70"/>
        <v>178.25</v>
      </c>
      <c r="I910" s="207">
        <f>IF(F910="CONCENTRADO SEMI BRILHO",G910/'De-Para'!$B$9,G910/VLOOKUP(B910,'De-Para'!A:B,2,0))</f>
        <v>0.25</v>
      </c>
      <c r="J910" s="206">
        <f t="shared" si="71"/>
        <v>178.25</v>
      </c>
      <c r="K910" s="212">
        <f t="shared" si="72"/>
        <v>1.4025245441795231E-3</v>
      </c>
      <c r="L910" s="209">
        <f>VLOOKUP(E910,'Custos Matéria Prima Embalagens'!B:G,6,0)</f>
        <v>21.085367657963403</v>
      </c>
      <c r="M910" s="209">
        <f t="shared" si="73"/>
        <v>5.2713419144908507</v>
      </c>
      <c r="N910" s="209">
        <f t="shared" si="74"/>
        <v>0.03</v>
      </c>
    </row>
    <row r="911" spans="1:15" hidden="1">
      <c r="A911" s="129" t="s">
        <v>1266</v>
      </c>
      <c r="B911" s="129" t="s">
        <v>1355</v>
      </c>
      <c r="C911" s="129" t="s">
        <v>1270</v>
      </c>
      <c r="D911" s="129" t="s">
        <v>1271</v>
      </c>
      <c r="E911" s="129" t="s">
        <v>1197</v>
      </c>
      <c r="F911" s="129" t="s">
        <v>1198</v>
      </c>
      <c r="G911" s="210">
        <v>300</v>
      </c>
      <c r="H911" s="211">
        <f t="shared" si="70"/>
        <v>924</v>
      </c>
      <c r="I911" s="207">
        <f>IF(F911="CONCENTRADO SEMI BRILHO",G911/'De-Para'!$B$9,G911/VLOOKUP(B911,'De-Para'!A:B,2,0))</f>
        <v>187.5</v>
      </c>
      <c r="J911" s="206">
        <f t="shared" si="71"/>
        <v>577.5</v>
      </c>
      <c r="K911" s="212">
        <f t="shared" si="72"/>
        <v>0.32467532467532467</v>
      </c>
      <c r="L911" s="209">
        <f>VLOOKUP(E911,'Custos Matéria Prima Embalagens'!B:G,6,0)</f>
        <v>0</v>
      </c>
      <c r="M911" s="209">
        <f t="shared" si="73"/>
        <v>0</v>
      </c>
      <c r="N911" s="209">
        <f t="shared" si="74"/>
        <v>0</v>
      </c>
      <c r="O911" s="201"/>
    </row>
    <row r="912" spans="1:15" hidden="1">
      <c r="A912" s="129" t="s">
        <v>1266</v>
      </c>
      <c r="B912" s="129" t="s">
        <v>1355</v>
      </c>
      <c r="C912" s="129" t="s">
        <v>1270</v>
      </c>
      <c r="D912" s="129" t="s">
        <v>1271</v>
      </c>
      <c r="E912" s="129" t="s">
        <v>1199</v>
      </c>
      <c r="F912" s="129" t="s">
        <v>1200</v>
      </c>
      <c r="G912" s="210">
        <v>3</v>
      </c>
      <c r="H912" s="211">
        <f t="shared" si="70"/>
        <v>924</v>
      </c>
      <c r="I912" s="207">
        <f>IF(F912="CONCENTRADO SEMI BRILHO",G912/'De-Para'!$B$9,G912/VLOOKUP(B912,'De-Para'!A:B,2,0))</f>
        <v>1.875</v>
      </c>
      <c r="J912" s="206">
        <f t="shared" si="71"/>
        <v>577.5</v>
      </c>
      <c r="K912" s="212">
        <f t="shared" si="72"/>
        <v>3.246753246753247E-3</v>
      </c>
      <c r="L912" s="209">
        <f>VLOOKUP(E912,'Custos Matéria Prima Embalagens'!B:G,6,0)</f>
        <v>17.939999999999998</v>
      </c>
      <c r="M912" s="209">
        <f t="shared" si="73"/>
        <v>53.819999999999993</v>
      </c>
      <c r="N912" s="209">
        <f t="shared" si="74"/>
        <v>0.06</v>
      </c>
      <c r="O912" s="201"/>
    </row>
    <row r="913" spans="1:15" hidden="1">
      <c r="A913" s="129" t="s">
        <v>1266</v>
      </c>
      <c r="B913" s="129" t="s">
        <v>1355</v>
      </c>
      <c r="C913" s="129" t="s">
        <v>1270</v>
      </c>
      <c r="D913" s="129" t="s">
        <v>1271</v>
      </c>
      <c r="E913" s="129" t="s">
        <v>1201</v>
      </c>
      <c r="F913" s="129" t="s">
        <v>1202</v>
      </c>
      <c r="G913" s="210">
        <v>3</v>
      </c>
      <c r="H913" s="211">
        <f t="shared" si="70"/>
        <v>924</v>
      </c>
      <c r="I913" s="207">
        <f>IF(F913="CONCENTRADO SEMI BRILHO",G913/'De-Para'!$B$9,G913/VLOOKUP(B913,'De-Para'!A:B,2,0))</f>
        <v>1.875</v>
      </c>
      <c r="J913" s="206">
        <f t="shared" si="71"/>
        <v>577.5</v>
      </c>
      <c r="K913" s="212">
        <f t="shared" si="72"/>
        <v>3.246753246753247E-3</v>
      </c>
      <c r="L913" s="209">
        <f>VLOOKUP(E913,'Custos Matéria Prima Embalagens'!B:G,6,0)</f>
        <v>7.18</v>
      </c>
      <c r="M913" s="209">
        <f t="shared" si="73"/>
        <v>21.54</v>
      </c>
      <c r="N913" s="209">
        <f t="shared" si="74"/>
        <v>0.02</v>
      </c>
      <c r="O913" s="201"/>
    </row>
    <row r="914" spans="1:15" hidden="1">
      <c r="A914" s="129" t="s">
        <v>1266</v>
      </c>
      <c r="B914" s="129" t="s">
        <v>1355</v>
      </c>
      <c r="C914" s="129" t="s">
        <v>1270</v>
      </c>
      <c r="D914" s="129" t="s">
        <v>1271</v>
      </c>
      <c r="E914" s="129" t="s">
        <v>1203</v>
      </c>
      <c r="F914" s="129" t="s">
        <v>1204</v>
      </c>
      <c r="G914" s="210">
        <v>3</v>
      </c>
      <c r="H914" s="211">
        <f t="shared" si="70"/>
        <v>924</v>
      </c>
      <c r="I914" s="207">
        <f>IF(F914="CONCENTRADO SEMI BRILHO",G914/'De-Para'!$B$9,G914/VLOOKUP(B914,'De-Para'!A:B,2,0))</f>
        <v>1.875</v>
      </c>
      <c r="J914" s="206">
        <f t="shared" si="71"/>
        <v>577.5</v>
      </c>
      <c r="K914" s="212">
        <f t="shared" si="72"/>
        <v>3.246753246753247E-3</v>
      </c>
      <c r="L914" s="209">
        <f>VLOOKUP(E914,'Custos Matéria Prima Embalagens'!B:G,6,0)</f>
        <v>4.9399999999999995</v>
      </c>
      <c r="M914" s="209">
        <f t="shared" si="73"/>
        <v>14.819999999999999</v>
      </c>
      <c r="N914" s="209">
        <f t="shared" si="74"/>
        <v>0.02</v>
      </c>
      <c r="O914" s="201"/>
    </row>
    <row r="915" spans="1:15" hidden="1">
      <c r="A915" s="129" t="s">
        <v>1266</v>
      </c>
      <c r="B915" s="129" t="s">
        <v>1355</v>
      </c>
      <c r="C915" s="129" t="s">
        <v>1270</v>
      </c>
      <c r="D915" s="129" t="s">
        <v>1271</v>
      </c>
      <c r="E915" s="129" t="s">
        <v>1205</v>
      </c>
      <c r="F915" s="129" t="s">
        <v>1206</v>
      </c>
      <c r="G915" s="210">
        <v>3</v>
      </c>
      <c r="H915" s="211">
        <f t="shared" si="70"/>
        <v>924</v>
      </c>
      <c r="I915" s="207">
        <f>IF(F915="CONCENTRADO SEMI BRILHO",G915/'De-Para'!$B$9,G915/VLOOKUP(B915,'De-Para'!A:B,2,0))</f>
        <v>1.875</v>
      </c>
      <c r="J915" s="206">
        <f t="shared" si="71"/>
        <v>577.5</v>
      </c>
      <c r="K915" s="212">
        <f t="shared" si="72"/>
        <v>3.246753246753247E-3</v>
      </c>
      <c r="L915" s="209">
        <f>VLOOKUP(E915,'Custos Matéria Prima Embalagens'!B:G,6,0)</f>
        <v>7.33</v>
      </c>
      <c r="M915" s="209">
        <f t="shared" si="73"/>
        <v>21.990000000000002</v>
      </c>
      <c r="N915" s="209">
        <f t="shared" si="74"/>
        <v>0.02</v>
      </c>
      <c r="O915" s="201"/>
    </row>
    <row r="916" spans="1:15" hidden="1">
      <c r="A916" s="129" t="s">
        <v>1266</v>
      </c>
      <c r="B916" s="129" t="s">
        <v>1355</v>
      </c>
      <c r="C916" s="129" t="s">
        <v>1270</v>
      </c>
      <c r="D916" s="129" t="s">
        <v>1271</v>
      </c>
      <c r="E916" s="129" t="s">
        <v>1207</v>
      </c>
      <c r="F916" s="129" t="s">
        <v>1208</v>
      </c>
      <c r="G916" s="210">
        <v>3</v>
      </c>
      <c r="H916" s="211">
        <f t="shared" si="70"/>
        <v>924</v>
      </c>
      <c r="I916" s="207">
        <f>IF(F916="CONCENTRADO SEMI BRILHO",G916/'De-Para'!$B$9,G916/VLOOKUP(B916,'De-Para'!A:B,2,0))</f>
        <v>1.875</v>
      </c>
      <c r="J916" s="206">
        <f t="shared" si="71"/>
        <v>577.5</v>
      </c>
      <c r="K916" s="212">
        <f t="shared" si="72"/>
        <v>3.246753246753247E-3</v>
      </c>
      <c r="L916" s="209">
        <f>VLOOKUP(E916,'Custos Matéria Prima Embalagens'!B:G,6,0)</f>
        <v>6.8599999999999994</v>
      </c>
      <c r="M916" s="209">
        <f t="shared" si="73"/>
        <v>20.58</v>
      </c>
      <c r="N916" s="209">
        <f t="shared" si="74"/>
        <v>0.02</v>
      </c>
      <c r="O916" s="201"/>
    </row>
    <row r="917" spans="1:15" hidden="1">
      <c r="A917" s="129" t="s">
        <v>1266</v>
      </c>
      <c r="B917" s="129" t="s">
        <v>1355</v>
      </c>
      <c r="C917" s="129" t="s">
        <v>1270</v>
      </c>
      <c r="D917" s="129" t="s">
        <v>1271</v>
      </c>
      <c r="E917" s="129" t="s">
        <v>1213</v>
      </c>
      <c r="F917" s="129" t="s">
        <v>1214</v>
      </c>
      <c r="G917" s="210">
        <v>375</v>
      </c>
      <c r="H917" s="211">
        <f t="shared" si="70"/>
        <v>924</v>
      </c>
      <c r="I917" s="207">
        <f>IF(F917="CONCENTRADO SEMI BRILHO",G917/'De-Para'!$B$9,G917/VLOOKUP(B917,'De-Para'!A:B,2,0))</f>
        <v>234.375</v>
      </c>
      <c r="J917" s="206">
        <f t="shared" si="71"/>
        <v>577.5</v>
      </c>
      <c r="K917" s="212">
        <f t="shared" si="72"/>
        <v>0.40584415584415584</v>
      </c>
      <c r="L917" s="209">
        <f>VLOOKUP(E917,'Custos Matéria Prima Embalagens'!B:G,6,0)</f>
        <v>19.3</v>
      </c>
      <c r="M917" s="209">
        <f t="shared" si="73"/>
        <v>7237.5</v>
      </c>
      <c r="N917" s="209">
        <f t="shared" si="74"/>
        <v>7.83</v>
      </c>
      <c r="O917" s="201"/>
    </row>
    <row r="918" spans="1:15" hidden="1">
      <c r="A918" s="129" t="s">
        <v>1266</v>
      </c>
      <c r="B918" s="129" t="s">
        <v>1355</v>
      </c>
      <c r="C918" s="129" t="s">
        <v>1270</v>
      </c>
      <c r="D918" s="129" t="s">
        <v>1271</v>
      </c>
      <c r="E918" s="129" t="s">
        <v>1356</v>
      </c>
      <c r="F918" s="129" t="s">
        <v>1357</v>
      </c>
      <c r="G918" s="210">
        <v>225</v>
      </c>
      <c r="H918" s="211">
        <f t="shared" si="70"/>
        <v>924</v>
      </c>
      <c r="I918" s="207">
        <f>IF(F918="CONCENTRADO SEMI BRILHO",G918/'De-Para'!$B$9,G918/VLOOKUP(B918,'De-Para'!A:B,2,0))</f>
        <v>140.625</v>
      </c>
      <c r="J918" s="206">
        <f t="shared" si="71"/>
        <v>577.5</v>
      </c>
      <c r="K918" s="212">
        <f t="shared" si="72"/>
        <v>0.2435064935064935</v>
      </c>
      <c r="L918" s="209">
        <f>VLOOKUP(E918,'Custos Matéria Prima Embalagens'!B:G,6,0)</f>
        <v>3.82</v>
      </c>
      <c r="M918" s="209">
        <f t="shared" si="73"/>
        <v>859.5</v>
      </c>
      <c r="N918" s="209">
        <f t="shared" si="74"/>
        <v>0.93</v>
      </c>
      <c r="O918" s="201"/>
    </row>
    <row r="919" spans="1:15" hidden="1">
      <c r="A919" s="129" t="s">
        <v>1266</v>
      </c>
      <c r="B919" s="129" t="s">
        <v>1355</v>
      </c>
      <c r="C919" s="129" t="s">
        <v>1270</v>
      </c>
      <c r="D919" s="129" t="s">
        <v>1271</v>
      </c>
      <c r="E919" s="129" t="s">
        <v>1219</v>
      </c>
      <c r="F919" s="129" t="s">
        <v>1220</v>
      </c>
      <c r="G919" s="210">
        <v>3</v>
      </c>
      <c r="H919" s="211">
        <f t="shared" si="70"/>
        <v>924</v>
      </c>
      <c r="I919" s="207">
        <f>IF(F919="CONCENTRADO SEMI BRILHO",G919/'De-Para'!$B$9,G919/VLOOKUP(B919,'De-Para'!A:B,2,0))</f>
        <v>1.875</v>
      </c>
      <c r="J919" s="206">
        <f t="shared" si="71"/>
        <v>577.5</v>
      </c>
      <c r="K919" s="212">
        <f t="shared" si="72"/>
        <v>3.246753246753247E-3</v>
      </c>
      <c r="L919" s="209">
        <f>VLOOKUP(E919,'Custos Matéria Prima Embalagens'!B:G,6,0)</f>
        <v>4.9800000000000004</v>
      </c>
      <c r="M919" s="209">
        <f t="shared" si="73"/>
        <v>14.940000000000001</v>
      </c>
      <c r="N919" s="209">
        <f t="shared" si="74"/>
        <v>0.02</v>
      </c>
      <c r="O919" s="201"/>
    </row>
    <row r="920" spans="1:15" hidden="1">
      <c r="A920" s="129" t="s">
        <v>1266</v>
      </c>
      <c r="B920" s="129" t="s">
        <v>1355</v>
      </c>
      <c r="C920" s="129" t="s">
        <v>1270</v>
      </c>
      <c r="D920" s="129" t="s">
        <v>1271</v>
      </c>
      <c r="E920" s="129" t="s">
        <v>1221</v>
      </c>
      <c r="F920" s="129" t="s">
        <v>1222</v>
      </c>
      <c r="G920" s="210">
        <v>6</v>
      </c>
      <c r="H920" s="211">
        <f t="shared" si="70"/>
        <v>924</v>
      </c>
      <c r="I920" s="207">
        <f>IF(F920="CONCENTRADO SEMI BRILHO",G920/'De-Para'!$B$9,G920/VLOOKUP(B920,'De-Para'!A:B,2,0))</f>
        <v>3.75</v>
      </c>
      <c r="J920" s="206">
        <f t="shared" si="71"/>
        <v>577.5</v>
      </c>
      <c r="K920" s="212">
        <f t="shared" si="72"/>
        <v>6.4935064935064939E-3</v>
      </c>
      <c r="L920" s="209">
        <f>VLOOKUP(E920,'Custos Matéria Prima Embalagens'!B:G,6,0)</f>
        <v>7.9049999999999994</v>
      </c>
      <c r="M920" s="209">
        <f t="shared" si="73"/>
        <v>47.429999999999993</v>
      </c>
      <c r="N920" s="209">
        <f t="shared" si="74"/>
        <v>0.05</v>
      </c>
      <c r="O920" s="201"/>
    </row>
  </sheetData>
  <autoFilter ref="A2:S920" xr:uid="{00000000-0009-0000-0000-000005000000}">
    <filterColumn colId="1">
      <filters>
        <filter val="LINHA ECONÔMICA INTERIOR FOSCO"/>
      </filters>
    </filterColumn>
    <filterColumn colId="3">
      <filters>
        <filter val="BRANCO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H1007"/>
  <sheetViews>
    <sheetView zoomScaleNormal="100" workbookViewId="0">
      <selection activeCell="A4" sqref="A4"/>
    </sheetView>
  </sheetViews>
  <sheetFormatPr baseColWidth="10" defaultColWidth="12.5" defaultRowHeight="15"/>
  <cols>
    <col min="1" max="1" width="10.5" customWidth="1"/>
    <col min="2" max="2" width="67.5" customWidth="1"/>
    <col min="3" max="3" width="16.83203125" customWidth="1"/>
    <col min="4" max="4" width="70.5" customWidth="1"/>
    <col min="5" max="5" width="29.5" customWidth="1"/>
    <col min="6" max="6" width="12" customWidth="1"/>
    <col min="7" max="7" width="21.5" customWidth="1"/>
    <col min="8" max="26" width="8.5" customWidth="1"/>
  </cols>
  <sheetData>
    <row r="1" spans="1:8" ht="14.25" customHeight="1">
      <c r="A1" s="214" t="s">
        <v>0</v>
      </c>
      <c r="B1" s="214" t="s">
        <v>0</v>
      </c>
      <c r="C1" s="214" t="s">
        <v>0</v>
      </c>
      <c r="D1" s="214" t="s">
        <v>1</v>
      </c>
      <c r="E1" s="214" t="s">
        <v>1</v>
      </c>
      <c r="F1" s="215" t="s">
        <v>1</v>
      </c>
      <c r="G1" s="216"/>
    </row>
    <row r="2" spans="1:8" ht="18.75" customHeight="1">
      <c r="A2" s="217" t="s">
        <v>508</v>
      </c>
      <c r="B2" s="217" t="s">
        <v>509</v>
      </c>
      <c r="C2" s="217" t="s">
        <v>1358</v>
      </c>
      <c r="D2" s="217" t="s">
        <v>1359</v>
      </c>
      <c r="E2" s="217" t="s">
        <v>1360</v>
      </c>
      <c r="F2" s="218" t="s">
        <v>1361</v>
      </c>
      <c r="G2" s="219" t="s">
        <v>1362</v>
      </c>
      <c r="H2" s="218"/>
    </row>
    <row r="3" spans="1:8">
      <c r="A3" s="48" t="s">
        <v>83</v>
      </c>
      <c r="B3" s="48" t="s">
        <v>547</v>
      </c>
      <c r="C3" s="220" t="s">
        <v>1363</v>
      </c>
      <c r="D3" s="114" t="str">
        <f>VLOOKUP(C3,'Custos Matéria Prima Embalagens'!B:C,2,0)</f>
        <v>BALDE BRANCO COM TAMPA BRANCA 3 L HTD</v>
      </c>
      <c r="E3" s="114" t="str">
        <f>VLOOKUP(C3,'Custos Matéria Prima Embalagens'!B:D,3,0)</f>
        <v>Cj Balde para Complementos</v>
      </c>
      <c r="F3" s="147">
        <f>VLOOKUP(C3,'Custos Matéria Prima Embalagens'!B:G,6,0)</f>
        <v>3.06</v>
      </c>
      <c r="G3" s="216">
        <v>45939</v>
      </c>
    </row>
    <row r="4" spans="1:8">
      <c r="A4" s="48" t="s">
        <v>84</v>
      </c>
      <c r="B4" s="48" t="s">
        <v>552</v>
      </c>
      <c r="C4" s="220" t="s">
        <v>1364</v>
      </c>
      <c r="D4" s="114" t="str">
        <f>VLOOKUP(C4,'Custos Matéria Prima Embalagens'!B:C,2,0)</f>
        <v>BALDE BRANCO COM TAMPA BRANCA 15 L HTD</v>
      </c>
      <c r="E4" s="114" t="str">
        <f>VLOOKUP(C4,'Custos Matéria Prima Embalagens'!B:D,3,0)</f>
        <v>Cj Balde para Complementos</v>
      </c>
      <c r="F4" s="147">
        <f>VLOOKUP(C4,'Custos Matéria Prima Embalagens'!B:G,6,0)</f>
        <v>8.61</v>
      </c>
      <c r="G4" s="216">
        <v>45939</v>
      </c>
    </row>
    <row r="5" spans="1:8">
      <c r="A5" s="114" t="s">
        <v>87</v>
      </c>
      <c r="B5" s="114" t="s">
        <v>558</v>
      </c>
      <c r="C5" s="220" t="s">
        <v>1363</v>
      </c>
      <c r="D5" s="114" t="str">
        <f>VLOOKUP(C5,'Custos Matéria Prima Embalagens'!B:C,2,0)</f>
        <v>BALDE BRANCO COM TAMPA BRANCA 3 L HTD</v>
      </c>
      <c r="E5" s="114" t="str">
        <f>VLOOKUP(C5,'Custos Matéria Prima Embalagens'!B:D,3,0)</f>
        <v>Cj Balde para Complementos</v>
      </c>
      <c r="F5" s="147">
        <f>VLOOKUP(C5,'Custos Matéria Prima Embalagens'!B:G,6,0)</f>
        <v>3.06</v>
      </c>
      <c r="G5" s="216">
        <v>45939</v>
      </c>
    </row>
    <row r="6" spans="1:8">
      <c r="A6" s="114" t="s">
        <v>88</v>
      </c>
      <c r="B6" s="114" t="s">
        <v>561</v>
      </c>
      <c r="C6" s="220" t="s">
        <v>1364</v>
      </c>
      <c r="D6" s="114" t="str">
        <f>VLOOKUP(C6,'Custos Matéria Prima Embalagens'!B:C,2,0)</f>
        <v>BALDE BRANCO COM TAMPA BRANCA 15 L HTD</v>
      </c>
      <c r="E6" s="114" t="str">
        <f>VLOOKUP(C6,'Custos Matéria Prima Embalagens'!B:D,3,0)</f>
        <v>Cj Balde para Complementos</v>
      </c>
      <c r="F6" s="147">
        <f>VLOOKUP(C6,'Custos Matéria Prima Embalagens'!B:G,6,0)</f>
        <v>8.61</v>
      </c>
      <c r="G6" s="216">
        <v>45939</v>
      </c>
    </row>
    <row r="7" spans="1:8">
      <c r="A7" s="48" t="s">
        <v>487</v>
      </c>
      <c r="B7" s="48" t="s">
        <v>1117</v>
      </c>
      <c r="C7" s="220" t="s">
        <v>1363</v>
      </c>
      <c r="D7" s="114" t="str">
        <f>VLOOKUP(C7,'Custos Matéria Prima Embalagens'!B:C,2,0)</f>
        <v>BALDE BRANCO COM TAMPA BRANCA 3 L HTD</v>
      </c>
      <c r="E7" s="114" t="str">
        <f>VLOOKUP(C7,'Custos Matéria Prima Embalagens'!B:D,3,0)</f>
        <v>Cj Balde para Complementos</v>
      </c>
      <c r="F7" s="147">
        <f>VLOOKUP(C7,'Custos Matéria Prima Embalagens'!B:G,6,0)</f>
        <v>3.06</v>
      </c>
      <c r="G7" s="216">
        <v>45939</v>
      </c>
    </row>
    <row r="8" spans="1:8">
      <c r="A8" s="48" t="s">
        <v>488</v>
      </c>
      <c r="B8" s="48" t="s">
        <v>1119</v>
      </c>
      <c r="C8" s="220" t="s">
        <v>1364</v>
      </c>
      <c r="D8" s="114" t="str">
        <f>VLOOKUP(C8,'Custos Matéria Prima Embalagens'!B:C,2,0)</f>
        <v>BALDE BRANCO COM TAMPA BRANCA 15 L HTD</v>
      </c>
      <c r="E8" s="114" t="str">
        <f>VLOOKUP(C8,'Custos Matéria Prima Embalagens'!B:D,3,0)</f>
        <v>Cj Balde para Complementos</v>
      </c>
      <c r="F8" s="147">
        <f>VLOOKUP(C8,'Custos Matéria Prima Embalagens'!B:G,6,0)</f>
        <v>8.61</v>
      </c>
      <c r="G8" s="216">
        <v>45939</v>
      </c>
    </row>
    <row r="9" spans="1:8" ht="15.75" customHeight="1">
      <c r="A9" s="114" t="s">
        <v>81</v>
      </c>
      <c r="B9" s="114" t="s">
        <v>540</v>
      </c>
      <c r="C9" s="220" t="s">
        <v>1363</v>
      </c>
      <c r="D9" s="114" t="str">
        <f>VLOOKUP(C9,'Custos Matéria Prima Embalagens'!B:C,2,0)</f>
        <v>BALDE BRANCO COM TAMPA BRANCA 3 L HTD</v>
      </c>
      <c r="E9" s="114" t="str">
        <f>VLOOKUP(C9,'Custos Matéria Prima Embalagens'!B:D,3,0)</f>
        <v>Cj Balde para Complementos</v>
      </c>
      <c r="F9" s="147">
        <f>VLOOKUP(C9,'Custos Matéria Prima Embalagens'!B:G,6,0)</f>
        <v>3.06</v>
      </c>
      <c r="G9" s="216">
        <v>45939</v>
      </c>
    </row>
    <row r="10" spans="1:8" ht="15.75" customHeight="1">
      <c r="A10" s="48" t="s">
        <v>82</v>
      </c>
      <c r="B10" s="48" t="s">
        <v>546</v>
      </c>
      <c r="C10" s="220" t="s">
        <v>1364</v>
      </c>
      <c r="D10" s="114" t="str">
        <f>VLOOKUP(C10,'Custos Matéria Prima Embalagens'!B:C,2,0)</f>
        <v>BALDE BRANCO COM TAMPA BRANCA 15 L HTD</v>
      </c>
      <c r="E10" s="114" t="str">
        <f>VLOOKUP(C10,'Custos Matéria Prima Embalagens'!B:D,3,0)</f>
        <v>Cj Balde para Complementos</v>
      </c>
      <c r="F10" s="147">
        <f>VLOOKUP(C10,'Custos Matéria Prima Embalagens'!B:G,6,0)</f>
        <v>8.61</v>
      </c>
      <c r="G10" s="216">
        <v>45939</v>
      </c>
    </row>
    <row r="11" spans="1:8" ht="15.75" customHeight="1">
      <c r="A11" s="48" t="s">
        <v>89</v>
      </c>
      <c r="B11" s="48" t="s">
        <v>562</v>
      </c>
      <c r="C11" s="48" t="s">
        <v>1365</v>
      </c>
      <c r="D11" s="114" t="str">
        <f>VLOOKUP(C11,'Custos Matéria Prima Embalagens'!B:C,2,0)</f>
        <v>BALDE BRANCO COM TAMPA AMARELA 3,6 L HTD</v>
      </c>
      <c r="E11" s="114" t="str">
        <f>VLOOKUP(C11,'Custos Matéria Prima Embalagens'!B:D,3,0)</f>
        <v>Cj Balde para Econômica</v>
      </c>
      <c r="F11" s="147">
        <f>VLOOKUP(C11,'Custos Matéria Prima Embalagens'!B:G,6,0)</f>
        <v>3.44</v>
      </c>
      <c r="G11" s="216">
        <v>45939</v>
      </c>
    </row>
    <row r="12" spans="1:8" ht="15.75" customHeight="1">
      <c r="A12" s="48" t="s">
        <v>90</v>
      </c>
      <c r="B12" s="48" t="s">
        <v>567</v>
      </c>
      <c r="C12" s="48" t="s">
        <v>1365</v>
      </c>
      <c r="D12" s="114" t="str">
        <f>VLOOKUP(C12,'Custos Matéria Prima Embalagens'!B:C,2,0)</f>
        <v>BALDE BRANCO COM TAMPA AMARELA 3,6 L HTD</v>
      </c>
      <c r="E12" s="114" t="str">
        <f>VLOOKUP(C12,'Custos Matéria Prima Embalagens'!B:D,3,0)</f>
        <v>Cj Balde para Econômica</v>
      </c>
      <c r="F12" s="147">
        <f>VLOOKUP(C12,'Custos Matéria Prima Embalagens'!B:G,6,0)</f>
        <v>3.44</v>
      </c>
      <c r="G12" s="216">
        <v>45939</v>
      </c>
    </row>
    <row r="13" spans="1:8" ht="15.75" customHeight="1">
      <c r="A13" s="48" t="s">
        <v>91</v>
      </c>
      <c r="B13" s="48" t="s">
        <v>570</v>
      </c>
      <c r="C13" s="48" t="s">
        <v>1365</v>
      </c>
      <c r="D13" s="114" t="str">
        <f>VLOOKUP(C13,'Custos Matéria Prima Embalagens'!B:C,2,0)</f>
        <v>BALDE BRANCO COM TAMPA AMARELA 3,6 L HTD</v>
      </c>
      <c r="E13" s="114" t="str">
        <f>VLOOKUP(C13,'Custos Matéria Prima Embalagens'!B:D,3,0)</f>
        <v>Cj Balde para Econômica</v>
      </c>
      <c r="F13" s="147">
        <f>VLOOKUP(C13,'Custos Matéria Prima Embalagens'!B:G,6,0)</f>
        <v>3.44</v>
      </c>
      <c r="G13" s="216">
        <v>45939</v>
      </c>
    </row>
    <row r="14" spans="1:8" ht="15.75" customHeight="1">
      <c r="A14" s="48" t="s">
        <v>92</v>
      </c>
      <c r="B14" s="48" t="s">
        <v>573</v>
      </c>
      <c r="C14" s="48" t="s">
        <v>1365</v>
      </c>
      <c r="D14" s="114" t="str">
        <f>VLOOKUP(C14,'Custos Matéria Prima Embalagens'!B:C,2,0)</f>
        <v>BALDE BRANCO COM TAMPA AMARELA 3,6 L HTD</v>
      </c>
      <c r="E14" s="114" t="str">
        <f>VLOOKUP(C14,'Custos Matéria Prima Embalagens'!B:D,3,0)</f>
        <v>Cj Balde para Econômica</v>
      </c>
      <c r="F14" s="147">
        <f>VLOOKUP(C14,'Custos Matéria Prima Embalagens'!B:G,6,0)</f>
        <v>3.44</v>
      </c>
      <c r="G14" s="216">
        <v>45939</v>
      </c>
    </row>
    <row r="15" spans="1:8" ht="15.75" customHeight="1">
      <c r="A15" s="48" t="s">
        <v>93</v>
      </c>
      <c r="B15" s="48" t="s">
        <v>576</v>
      </c>
      <c r="C15" s="48" t="s">
        <v>1365</v>
      </c>
      <c r="D15" s="114" t="str">
        <f>VLOOKUP(C15,'Custos Matéria Prima Embalagens'!B:C,2,0)</f>
        <v>BALDE BRANCO COM TAMPA AMARELA 3,6 L HTD</v>
      </c>
      <c r="E15" s="114" t="str">
        <f>VLOOKUP(C15,'Custos Matéria Prima Embalagens'!B:D,3,0)</f>
        <v>Cj Balde para Econômica</v>
      </c>
      <c r="F15" s="147">
        <f>VLOOKUP(C15,'Custos Matéria Prima Embalagens'!B:G,6,0)</f>
        <v>3.44</v>
      </c>
      <c r="G15" s="216">
        <v>45939</v>
      </c>
    </row>
    <row r="16" spans="1:8" ht="15.75" customHeight="1">
      <c r="A16" s="48" t="s">
        <v>94</v>
      </c>
      <c r="B16" s="48" t="s">
        <v>579</v>
      </c>
      <c r="C16" s="48" t="s">
        <v>1365</v>
      </c>
      <c r="D16" s="114" t="str">
        <f>VLOOKUP(C16,'Custos Matéria Prima Embalagens'!B:C,2,0)</f>
        <v>BALDE BRANCO COM TAMPA AMARELA 3,6 L HTD</v>
      </c>
      <c r="E16" s="114" t="str">
        <f>VLOOKUP(C16,'Custos Matéria Prima Embalagens'!B:D,3,0)</f>
        <v>Cj Balde para Econômica</v>
      </c>
      <c r="F16" s="147">
        <f>VLOOKUP(C16,'Custos Matéria Prima Embalagens'!B:G,6,0)</f>
        <v>3.44</v>
      </c>
      <c r="G16" s="216">
        <v>45939</v>
      </c>
    </row>
    <row r="17" spans="1:7" ht="15.75" customHeight="1">
      <c r="A17" s="48" t="s">
        <v>95</v>
      </c>
      <c r="B17" s="48" t="s">
        <v>582</v>
      </c>
      <c r="C17" s="48" t="s">
        <v>1365</v>
      </c>
      <c r="D17" s="114" t="str">
        <f>VLOOKUP(C17,'Custos Matéria Prima Embalagens'!B:C,2,0)</f>
        <v>BALDE BRANCO COM TAMPA AMARELA 3,6 L HTD</v>
      </c>
      <c r="E17" s="114" t="str">
        <f>VLOOKUP(C17,'Custos Matéria Prima Embalagens'!B:D,3,0)</f>
        <v>Cj Balde para Econômica</v>
      </c>
      <c r="F17" s="147">
        <f>VLOOKUP(C17,'Custos Matéria Prima Embalagens'!B:G,6,0)</f>
        <v>3.44</v>
      </c>
      <c r="G17" s="216">
        <v>45939</v>
      </c>
    </row>
    <row r="18" spans="1:7" ht="15.75" customHeight="1">
      <c r="A18" s="48" t="s">
        <v>96</v>
      </c>
      <c r="B18" s="48" t="s">
        <v>585</v>
      </c>
      <c r="C18" s="48" t="s">
        <v>1365</v>
      </c>
      <c r="D18" s="114" t="str">
        <f>VLOOKUP(C18,'Custos Matéria Prima Embalagens'!B:C,2,0)</f>
        <v>BALDE BRANCO COM TAMPA AMARELA 3,6 L HTD</v>
      </c>
      <c r="E18" s="114" t="str">
        <f>VLOOKUP(C18,'Custos Matéria Prima Embalagens'!B:D,3,0)</f>
        <v>Cj Balde para Econômica</v>
      </c>
      <c r="F18" s="147">
        <f>VLOOKUP(C18,'Custos Matéria Prima Embalagens'!B:G,6,0)</f>
        <v>3.44</v>
      </c>
      <c r="G18" s="216">
        <v>45939</v>
      </c>
    </row>
    <row r="19" spans="1:7" ht="15.75" customHeight="1">
      <c r="A19" s="48" t="s">
        <v>97</v>
      </c>
      <c r="B19" s="48" t="s">
        <v>588</v>
      </c>
      <c r="C19" s="48" t="s">
        <v>1365</v>
      </c>
      <c r="D19" s="114" t="str">
        <f>VLOOKUP(C19,'Custos Matéria Prima Embalagens'!B:C,2,0)</f>
        <v>BALDE BRANCO COM TAMPA AMARELA 3,6 L HTD</v>
      </c>
      <c r="E19" s="114" t="str">
        <f>VLOOKUP(C19,'Custos Matéria Prima Embalagens'!B:D,3,0)</f>
        <v>Cj Balde para Econômica</v>
      </c>
      <c r="F19" s="147">
        <f>VLOOKUP(C19,'Custos Matéria Prima Embalagens'!B:G,6,0)</f>
        <v>3.44</v>
      </c>
      <c r="G19" s="216">
        <v>45939</v>
      </c>
    </row>
    <row r="20" spans="1:7" ht="15.75" customHeight="1">
      <c r="A20" s="48" t="s">
        <v>98</v>
      </c>
      <c r="B20" s="48" t="s">
        <v>591</v>
      </c>
      <c r="C20" s="48" t="s">
        <v>1365</v>
      </c>
      <c r="D20" s="114" t="str">
        <f>VLOOKUP(C20,'Custos Matéria Prima Embalagens'!B:C,2,0)</f>
        <v>BALDE BRANCO COM TAMPA AMARELA 3,6 L HTD</v>
      </c>
      <c r="E20" s="114" t="str">
        <f>VLOOKUP(C20,'Custos Matéria Prima Embalagens'!B:D,3,0)</f>
        <v>Cj Balde para Econômica</v>
      </c>
      <c r="F20" s="147">
        <f>VLOOKUP(C20,'Custos Matéria Prima Embalagens'!B:G,6,0)</f>
        <v>3.44</v>
      </c>
      <c r="G20" s="216">
        <v>45939</v>
      </c>
    </row>
    <row r="21" spans="1:7" ht="15.75" customHeight="1">
      <c r="A21" s="48" t="s">
        <v>99</v>
      </c>
      <c r="B21" s="48" t="s">
        <v>594</v>
      </c>
      <c r="C21" s="48" t="s">
        <v>1365</v>
      </c>
      <c r="D21" s="114" t="str">
        <f>VLOOKUP(C21,'Custos Matéria Prima Embalagens'!B:C,2,0)</f>
        <v>BALDE BRANCO COM TAMPA AMARELA 3,6 L HTD</v>
      </c>
      <c r="E21" s="114" t="str">
        <f>VLOOKUP(C21,'Custos Matéria Prima Embalagens'!B:D,3,0)</f>
        <v>Cj Balde para Econômica</v>
      </c>
      <c r="F21" s="147">
        <f>VLOOKUP(C21,'Custos Matéria Prima Embalagens'!B:G,6,0)</f>
        <v>3.44</v>
      </c>
      <c r="G21" s="216">
        <v>45939</v>
      </c>
    </row>
    <row r="22" spans="1:7" ht="15.75" customHeight="1">
      <c r="A22" s="48" t="s">
        <v>100</v>
      </c>
      <c r="B22" s="48" t="s">
        <v>597</v>
      </c>
      <c r="C22" s="48" t="s">
        <v>1365</v>
      </c>
      <c r="D22" s="114" t="str">
        <f>VLOOKUP(C22,'Custos Matéria Prima Embalagens'!B:C,2,0)</f>
        <v>BALDE BRANCO COM TAMPA AMARELA 3,6 L HTD</v>
      </c>
      <c r="E22" s="114" t="str">
        <f>VLOOKUP(C22,'Custos Matéria Prima Embalagens'!B:D,3,0)</f>
        <v>Cj Balde para Econômica</v>
      </c>
      <c r="F22" s="147">
        <f>VLOOKUP(C22,'Custos Matéria Prima Embalagens'!B:G,6,0)</f>
        <v>3.44</v>
      </c>
      <c r="G22" s="216">
        <v>45939</v>
      </c>
    </row>
    <row r="23" spans="1:7" ht="15.75" customHeight="1">
      <c r="A23" s="48" t="s">
        <v>101</v>
      </c>
      <c r="B23" s="48" t="s">
        <v>600</v>
      </c>
      <c r="C23" s="48" t="s">
        <v>1365</v>
      </c>
      <c r="D23" s="114" t="str">
        <f>VLOOKUP(C23,'Custos Matéria Prima Embalagens'!B:C,2,0)</f>
        <v>BALDE BRANCO COM TAMPA AMARELA 3,6 L HTD</v>
      </c>
      <c r="E23" s="114" t="str">
        <f>VLOOKUP(C23,'Custos Matéria Prima Embalagens'!B:D,3,0)</f>
        <v>Cj Balde para Econômica</v>
      </c>
      <c r="F23" s="147">
        <f>VLOOKUP(C23,'Custos Matéria Prima Embalagens'!B:G,6,0)</f>
        <v>3.44</v>
      </c>
      <c r="G23" s="216">
        <v>45939</v>
      </c>
    </row>
    <row r="24" spans="1:7" ht="15.75" customHeight="1">
      <c r="A24" s="48" t="s">
        <v>102</v>
      </c>
      <c r="B24" s="48" t="s">
        <v>603</v>
      </c>
      <c r="C24" s="48" t="s">
        <v>1365</v>
      </c>
      <c r="D24" s="114" t="str">
        <f>VLOOKUP(C24,'Custos Matéria Prima Embalagens'!B:C,2,0)</f>
        <v>BALDE BRANCO COM TAMPA AMARELA 3,6 L HTD</v>
      </c>
      <c r="E24" s="114" t="str">
        <f>VLOOKUP(C24,'Custos Matéria Prima Embalagens'!B:D,3,0)</f>
        <v>Cj Balde para Econômica</v>
      </c>
      <c r="F24" s="147">
        <f>VLOOKUP(C24,'Custos Matéria Prima Embalagens'!B:G,6,0)</f>
        <v>3.44</v>
      </c>
      <c r="G24" s="216">
        <v>45939</v>
      </c>
    </row>
    <row r="25" spans="1:7" ht="15.75" customHeight="1">
      <c r="A25" s="48" t="s">
        <v>103</v>
      </c>
      <c r="B25" s="48" t="s">
        <v>606</v>
      </c>
      <c r="C25" s="48" t="s">
        <v>1365</v>
      </c>
      <c r="D25" s="114" t="str">
        <f>VLOOKUP(C25,'Custos Matéria Prima Embalagens'!B:C,2,0)</f>
        <v>BALDE BRANCO COM TAMPA AMARELA 3,6 L HTD</v>
      </c>
      <c r="E25" s="114" t="str">
        <f>VLOOKUP(C25,'Custos Matéria Prima Embalagens'!B:D,3,0)</f>
        <v>Cj Balde para Econômica</v>
      </c>
      <c r="F25" s="147">
        <f>VLOOKUP(C25,'Custos Matéria Prima Embalagens'!B:G,6,0)</f>
        <v>3.44</v>
      </c>
      <c r="G25" s="216">
        <v>45939</v>
      </c>
    </row>
    <row r="26" spans="1:7" ht="15.75" customHeight="1">
      <c r="A26" s="48" t="s">
        <v>119</v>
      </c>
      <c r="B26" s="48" t="s">
        <v>504</v>
      </c>
      <c r="C26" s="48" t="s">
        <v>1366</v>
      </c>
      <c r="D26" s="114" t="str">
        <f>VLOOKUP(C26,'Custos Matéria Prima Embalagens'!B:C,2,0)</f>
        <v>BALDE BRANCO COM TAMPA AMARELA 15 L HTD</v>
      </c>
      <c r="E26" s="114" t="str">
        <f>VLOOKUP(C26,'Custos Matéria Prima Embalagens'!B:D,3,0)</f>
        <v>Cj Balde para Econômica</v>
      </c>
      <c r="F26" s="147">
        <f>VLOOKUP(C26,'Custos Matéria Prima Embalagens'!B:G,6,0)</f>
        <v>8.61</v>
      </c>
      <c r="G26" s="216">
        <v>45939</v>
      </c>
    </row>
    <row r="27" spans="1:7" ht="15.75" customHeight="1">
      <c r="A27" s="48" t="s">
        <v>120</v>
      </c>
      <c r="B27" s="48" t="s">
        <v>625</v>
      </c>
      <c r="C27" s="48" t="s">
        <v>1366</v>
      </c>
      <c r="D27" s="114" t="str">
        <f>VLOOKUP(C27,'Custos Matéria Prima Embalagens'!B:C,2,0)</f>
        <v>BALDE BRANCO COM TAMPA AMARELA 15 L HTD</v>
      </c>
      <c r="E27" s="114" t="str">
        <f>VLOOKUP(C27,'Custos Matéria Prima Embalagens'!B:D,3,0)</f>
        <v>Cj Balde para Econômica</v>
      </c>
      <c r="F27" s="147">
        <f>VLOOKUP(C27,'Custos Matéria Prima Embalagens'!B:G,6,0)</f>
        <v>8.61</v>
      </c>
      <c r="G27" s="216">
        <v>45939</v>
      </c>
    </row>
    <row r="28" spans="1:7" ht="15.75" customHeight="1">
      <c r="A28" s="48" t="s">
        <v>121</v>
      </c>
      <c r="B28" s="48" t="s">
        <v>626</v>
      </c>
      <c r="C28" s="48" t="s">
        <v>1366</v>
      </c>
      <c r="D28" s="114" t="str">
        <f>VLOOKUP(C28,'Custos Matéria Prima Embalagens'!B:C,2,0)</f>
        <v>BALDE BRANCO COM TAMPA AMARELA 15 L HTD</v>
      </c>
      <c r="E28" s="114" t="str">
        <f>VLOOKUP(C28,'Custos Matéria Prima Embalagens'!B:D,3,0)</f>
        <v>Cj Balde para Econômica</v>
      </c>
      <c r="F28" s="147">
        <f>VLOOKUP(C28,'Custos Matéria Prima Embalagens'!B:G,6,0)</f>
        <v>8.61</v>
      </c>
      <c r="G28" s="216">
        <v>45939</v>
      </c>
    </row>
    <row r="29" spans="1:7" ht="15.75" customHeight="1">
      <c r="A29" s="48" t="s">
        <v>122</v>
      </c>
      <c r="B29" s="48" t="s">
        <v>627</v>
      </c>
      <c r="C29" s="48" t="s">
        <v>1366</v>
      </c>
      <c r="D29" s="114" t="str">
        <f>VLOOKUP(C29,'Custos Matéria Prima Embalagens'!B:C,2,0)</f>
        <v>BALDE BRANCO COM TAMPA AMARELA 15 L HTD</v>
      </c>
      <c r="E29" s="114" t="str">
        <f>VLOOKUP(C29,'Custos Matéria Prima Embalagens'!B:D,3,0)</f>
        <v>Cj Balde para Econômica</v>
      </c>
      <c r="F29" s="147">
        <f>VLOOKUP(C29,'Custos Matéria Prima Embalagens'!B:G,6,0)</f>
        <v>8.61</v>
      </c>
      <c r="G29" s="216">
        <v>45939</v>
      </c>
    </row>
    <row r="30" spans="1:7" ht="15.75" customHeight="1">
      <c r="A30" s="48" t="s">
        <v>123</v>
      </c>
      <c r="B30" s="48" t="s">
        <v>628</v>
      </c>
      <c r="C30" s="48" t="s">
        <v>1366</v>
      </c>
      <c r="D30" s="114" t="str">
        <f>VLOOKUP(C30,'Custos Matéria Prima Embalagens'!B:C,2,0)</f>
        <v>BALDE BRANCO COM TAMPA AMARELA 15 L HTD</v>
      </c>
      <c r="E30" s="114" t="str">
        <f>VLOOKUP(C30,'Custos Matéria Prima Embalagens'!B:D,3,0)</f>
        <v>Cj Balde para Econômica</v>
      </c>
      <c r="F30" s="147">
        <f>VLOOKUP(C30,'Custos Matéria Prima Embalagens'!B:G,6,0)</f>
        <v>8.61</v>
      </c>
      <c r="G30" s="216">
        <v>45939</v>
      </c>
    </row>
    <row r="31" spans="1:7" ht="15.75" customHeight="1">
      <c r="A31" s="48" t="s">
        <v>124</v>
      </c>
      <c r="B31" s="48" t="s">
        <v>629</v>
      </c>
      <c r="C31" s="48" t="s">
        <v>1366</v>
      </c>
      <c r="D31" s="114" t="str">
        <f>VLOOKUP(C31,'Custos Matéria Prima Embalagens'!B:C,2,0)</f>
        <v>BALDE BRANCO COM TAMPA AMARELA 15 L HTD</v>
      </c>
      <c r="E31" s="114" t="str">
        <f>VLOOKUP(C31,'Custos Matéria Prima Embalagens'!B:D,3,0)</f>
        <v>Cj Balde para Econômica</v>
      </c>
      <c r="F31" s="147">
        <f>VLOOKUP(C31,'Custos Matéria Prima Embalagens'!B:G,6,0)</f>
        <v>8.61</v>
      </c>
      <c r="G31" s="216">
        <v>45939</v>
      </c>
    </row>
    <row r="32" spans="1:7" ht="15.75" customHeight="1">
      <c r="A32" s="48" t="s">
        <v>125</v>
      </c>
      <c r="B32" s="48" t="s">
        <v>630</v>
      </c>
      <c r="C32" s="48" t="s">
        <v>1366</v>
      </c>
      <c r="D32" s="114" t="str">
        <f>VLOOKUP(C32,'Custos Matéria Prima Embalagens'!B:C,2,0)</f>
        <v>BALDE BRANCO COM TAMPA AMARELA 15 L HTD</v>
      </c>
      <c r="E32" s="114" t="str">
        <f>VLOOKUP(C32,'Custos Matéria Prima Embalagens'!B:D,3,0)</f>
        <v>Cj Balde para Econômica</v>
      </c>
      <c r="F32" s="147">
        <f>VLOOKUP(C32,'Custos Matéria Prima Embalagens'!B:G,6,0)</f>
        <v>8.61</v>
      </c>
      <c r="G32" s="216">
        <v>45939</v>
      </c>
    </row>
    <row r="33" spans="1:7" ht="15.75" customHeight="1">
      <c r="A33" s="48" t="s">
        <v>126</v>
      </c>
      <c r="B33" s="48" t="s">
        <v>631</v>
      </c>
      <c r="C33" s="48" t="s">
        <v>1366</v>
      </c>
      <c r="D33" s="114" t="str">
        <f>VLOOKUP(C33,'Custos Matéria Prima Embalagens'!B:C,2,0)</f>
        <v>BALDE BRANCO COM TAMPA AMARELA 15 L HTD</v>
      </c>
      <c r="E33" s="114" t="str">
        <f>VLOOKUP(C33,'Custos Matéria Prima Embalagens'!B:D,3,0)</f>
        <v>Cj Balde para Econômica</v>
      </c>
      <c r="F33" s="147">
        <f>VLOOKUP(C33,'Custos Matéria Prima Embalagens'!B:G,6,0)</f>
        <v>8.61</v>
      </c>
      <c r="G33" s="216">
        <v>45939</v>
      </c>
    </row>
    <row r="34" spans="1:7" ht="15.75" customHeight="1">
      <c r="A34" s="48" t="s">
        <v>127</v>
      </c>
      <c r="B34" s="48" t="s">
        <v>632</v>
      </c>
      <c r="C34" s="48" t="s">
        <v>1366</v>
      </c>
      <c r="D34" s="114" t="str">
        <f>VLOOKUP(C34,'Custos Matéria Prima Embalagens'!B:C,2,0)</f>
        <v>BALDE BRANCO COM TAMPA AMARELA 15 L HTD</v>
      </c>
      <c r="E34" s="114" t="str">
        <f>VLOOKUP(C34,'Custos Matéria Prima Embalagens'!B:D,3,0)</f>
        <v>Cj Balde para Econômica</v>
      </c>
      <c r="F34" s="147">
        <f>VLOOKUP(C34,'Custos Matéria Prima Embalagens'!B:G,6,0)</f>
        <v>8.61</v>
      </c>
      <c r="G34" s="216">
        <v>45939</v>
      </c>
    </row>
    <row r="35" spans="1:7" ht="15.75" customHeight="1">
      <c r="A35" s="48" t="s">
        <v>128</v>
      </c>
      <c r="B35" s="48" t="s">
        <v>633</v>
      </c>
      <c r="C35" s="48" t="s">
        <v>1366</v>
      </c>
      <c r="D35" s="114" t="str">
        <f>VLOOKUP(C35,'Custos Matéria Prima Embalagens'!B:C,2,0)</f>
        <v>BALDE BRANCO COM TAMPA AMARELA 15 L HTD</v>
      </c>
      <c r="E35" s="114" t="str">
        <f>VLOOKUP(C35,'Custos Matéria Prima Embalagens'!B:D,3,0)</f>
        <v>Cj Balde para Econômica</v>
      </c>
      <c r="F35" s="147">
        <f>VLOOKUP(C35,'Custos Matéria Prima Embalagens'!B:G,6,0)</f>
        <v>8.61</v>
      </c>
      <c r="G35" s="216">
        <v>45939</v>
      </c>
    </row>
    <row r="36" spans="1:7" ht="15.75" customHeight="1">
      <c r="A36" s="48" t="s">
        <v>129</v>
      </c>
      <c r="B36" s="48" t="s">
        <v>634</v>
      </c>
      <c r="C36" s="48" t="s">
        <v>1366</v>
      </c>
      <c r="D36" s="114" t="str">
        <f>VLOOKUP(C36,'Custos Matéria Prima Embalagens'!B:C,2,0)</f>
        <v>BALDE BRANCO COM TAMPA AMARELA 15 L HTD</v>
      </c>
      <c r="E36" s="114" t="str">
        <f>VLOOKUP(C36,'Custos Matéria Prima Embalagens'!B:D,3,0)</f>
        <v>Cj Balde para Econômica</v>
      </c>
      <c r="F36" s="147">
        <f>VLOOKUP(C36,'Custos Matéria Prima Embalagens'!B:G,6,0)</f>
        <v>8.61</v>
      </c>
      <c r="G36" s="216">
        <v>45939</v>
      </c>
    </row>
    <row r="37" spans="1:7" ht="15.75" customHeight="1">
      <c r="A37" s="48" t="s">
        <v>130</v>
      </c>
      <c r="B37" s="48" t="s">
        <v>635</v>
      </c>
      <c r="C37" s="48" t="s">
        <v>1366</v>
      </c>
      <c r="D37" s="114" t="str">
        <f>VLOOKUP(C37,'Custos Matéria Prima Embalagens'!B:C,2,0)</f>
        <v>BALDE BRANCO COM TAMPA AMARELA 15 L HTD</v>
      </c>
      <c r="E37" s="114" t="str">
        <f>VLOOKUP(C37,'Custos Matéria Prima Embalagens'!B:D,3,0)</f>
        <v>Cj Balde para Econômica</v>
      </c>
      <c r="F37" s="147">
        <f>VLOOKUP(C37,'Custos Matéria Prima Embalagens'!B:G,6,0)</f>
        <v>8.61</v>
      </c>
      <c r="G37" s="216">
        <v>45939</v>
      </c>
    </row>
    <row r="38" spans="1:7" ht="15.75" customHeight="1">
      <c r="A38" s="48" t="s">
        <v>131</v>
      </c>
      <c r="B38" s="48" t="s">
        <v>636</v>
      </c>
      <c r="C38" s="48" t="s">
        <v>1366</v>
      </c>
      <c r="D38" s="114" t="str">
        <f>VLOOKUP(C38,'Custos Matéria Prima Embalagens'!B:C,2,0)</f>
        <v>BALDE BRANCO COM TAMPA AMARELA 15 L HTD</v>
      </c>
      <c r="E38" s="114" t="str">
        <f>VLOOKUP(C38,'Custos Matéria Prima Embalagens'!B:D,3,0)</f>
        <v>Cj Balde para Econômica</v>
      </c>
      <c r="F38" s="147">
        <f>VLOOKUP(C38,'Custos Matéria Prima Embalagens'!B:G,6,0)</f>
        <v>8.61</v>
      </c>
      <c r="G38" s="216">
        <v>45939</v>
      </c>
    </row>
    <row r="39" spans="1:7" ht="15.75" customHeight="1">
      <c r="A39" s="48" t="s">
        <v>132</v>
      </c>
      <c r="B39" s="48" t="s">
        <v>637</v>
      </c>
      <c r="C39" s="48" t="s">
        <v>1366</v>
      </c>
      <c r="D39" s="114" t="str">
        <f>VLOOKUP(C39,'Custos Matéria Prima Embalagens'!B:C,2,0)</f>
        <v>BALDE BRANCO COM TAMPA AMARELA 15 L HTD</v>
      </c>
      <c r="E39" s="114" t="str">
        <f>VLOOKUP(C39,'Custos Matéria Prima Embalagens'!B:D,3,0)</f>
        <v>Cj Balde para Econômica</v>
      </c>
      <c r="F39" s="147">
        <f>VLOOKUP(C39,'Custos Matéria Prima Embalagens'!B:G,6,0)</f>
        <v>8.61</v>
      </c>
      <c r="G39" s="216">
        <v>45939</v>
      </c>
    </row>
    <row r="40" spans="1:7" ht="15.75" customHeight="1">
      <c r="A40" s="48" t="s">
        <v>133</v>
      </c>
      <c r="B40" s="48" t="s">
        <v>638</v>
      </c>
      <c r="C40" s="48" t="s">
        <v>1366</v>
      </c>
      <c r="D40" s="114" t="str">
        <f>VLOOKUP(C40,'Custos Matéria Prima Embalagens'!B:C,2,0)</f>
        <v>BALDE BRANCO COM TAMPA AMARELA 15 L HTD</v>
      </c>
      <c r="E40" s="114" t="str">
        <f>VLOOKUP(C40,'Custos Matéria Prima Embalagens'!B:D,3,0)</f>
        <v>Cj Balde para Econômica</v>
      </c>
      <c r="F40" s="147">
        <f>VLOOKUP(C40,'Custos Matéria Prima Embalagens'!B:G,6,0)</f>
        <v>8.61</v>
      </c>
      <c r="G40" s="216">
        <v>45939</v>
      </c>
    </row>
    <row r="41" spans="1:7" ht="15.75" customHeight="1">
      <c r="A41" s="48" t="s">
        <v>149</v>
      </c>
      <c r="B41" s="114" t="s">
        <v>1367</v>
      </c>
      <c r="C41" s="220" t="s">
        <v>1368</v>
      </c>
      <c r="D41" s="114" t="str">
        <f>VLOOKUP(C41,'Custos Matéria Prima Embalagens'!B:C,2,0)</f>
        <v>BALDE BRANCO COM TAMPA AZUL 3,6 L HTD</v>
      </c>
      <c r="E41" s="114" t="str">
        <f>VLOOKUP(C41,'Custos Matéria Prima Embalagens'!B:D,3,0)</f>
        <v>Cj Balde para Standard/Semibrilho e Fosca</v>
      </c>
      <c r="F41" s="147">
        <f>VLOOKUP(C41,'Custos Matéria Prima Embalagens'!B:G,6,0)</f>
        <v>3.44</v>
      </c>
      <c r="G41" s="216">
        <v>45939</v>
      </c>
    </row>
    <row r="42" spans="1:7" ht="15.75" customHeight="1">
      <c r="A42" s="114" t="s">
        <v>150</v>
      </c>
      <c r="B42" s="114" t="s">
        <v>656</v>
      </c>
      <c r="C42" s="220" t="s">
        <v>1368</v>
      </c>
      <c r="D42" s="114" t="str">
        <f>VLOOKUP(C42,'Custos Matéria Prima Embalagens'!B:C,2,0)</f>
        <v>BALDE BRANCO COM TAMPA AZUL 3,6 L HTD</v>
      </c>
      <c r="E42" s="114" t="str">
        <f>VLOOKUP(C42,'Custos Matéria Prima Embalagens'!B:D,3,0)</f>
        <v>Cj Balde para Standard/Semibrilho e Fosca</v>
      </c>
      <c r="F42" s="147">
        <f>VLOOKUP(C42,'Custos Matéria Prima Embalagens'!B:G,6,0)</f>
        <v>3.44</v>
      </c>
      <c r="G42" s="216">
        <v>45939</v>
      </c>
    </row>
    <row r="43" spans="1:7" ht="15.75" customHeight="1">
      <c r="A43" s="114" t="s">
        <v>151</v>
      </c>
      <c r="B43" s="114" t="s">
        <v>658</v>
      </c>
      <c r="C43" s="220" t="s">
        <v>1368</v>
      </c>
      <c r="D43" s="114" t="str">
        <f>VLOOKUP(C43,'Custos Matéria Prima Embalagens'!B:C,2,0)</f>
        <v>BALDE BRANCO COM TAMPA AZUL 3,6 L HTD</v>
      </c>
      <c r="E43" s="114" t="str">
        <f>VLOOKUP(C43,'Custos Matéria Prima Embalagens'!B:D,3,0)</f>
        <v>Cj Balde para Standard/Semibrilho e Fosca</v>
      </c>
      <c r="F43" s="147">
        <f>VLOOKUP(C43,'Custos Matéria Prima Embalagens'!B:G,6,0)</f>
        <v>3.44</v>
      </c>
      <c r="G43" s="216">
        <v>45939</v>
      </c>
    </row>
    <row r="44" spans="1:7" ht="15.75" customHeight="1">
      <c r="A44" s="114" t="s">
        <v>152</v>
      </c>
      <c r="B44" s="114" t="s">
        <v>661</v>
      </c>
      <c r="C44" s="220" t="s">
        <v>1368</v>
      </c>
      <c r="D44" s="114" t="str">
        <f>VLOOKUP(C44,'Custos Matéria Prima Embalagens'!B:C,2,0)</f>
        <v>BALDE BRANCO COM TAMPA AZUL 3,6 L HTD</v>
      </c>
      <c r="E44" s="114" t="str">
        <f>VLOOKUP(C44,'Custos Matéria Prima Embalagens'!B:D,3,0)</f>
        <v>Cj Balde para Standard/Semibrilho e Fosca</v>
      </c>
      <c r="F44" s="147">
        <f>VLOOKUP(C44,'Custos Matéria Prima Embalagens'!B:G,6,0)</f>
        <v>3.44</v>
      </c>
      <c r="G44" s="216">
        <v>45939</v>
      </c>
    </row>
    <row r="45" spans="1:7" ht="15.75" customHeight="1">
      <c r="A45" s="114" t="s">
        <v>153</v>
      </c>
      <c r="B45" s="114" t="s">
        <v>663</v>
      </c>
      <c r="C45" s="220" t="s">
        <v>1368</v>
      </c>
      <c r="D45" s="114" t="str">
        <f>VLOOKUP(C45,'Custos Matéria Prima Embalagens'!B:C,2,0)</f>
        <v>BALDE BRANCO COM TAMPA AZUL 3,6 L HTD</v>
      </c>
      <c r="E45" s="114" t="str">
        <f>VLOOKUP(C45,'Custos Matéria Prima Embalagens'!B:D,3,0)</f>
        <v>Cj Balde para Standard/Semibrilho e Fosca</v>
      </c>
      <c r="F45" s="147">
        <f>VLOOKUP(C45,'Custos Matéria Prima Embalagens'!B:G,6,0)</f>
        <v>3.44</v>
      </c>
      <c r="G45" s="216">
        <v>45939</v>
      </c>
    </row>
    <row r="46" spans="1:7" ht="15.75" customHeight="1">
      <c r="A46" s="114" t="s">
        <v>154</v>
      </c>
      <c r="B46" s="114" t="s">
        <v>665</v>
      </c>
      <c r="C46" s="220" t="s">
        <v>1368</v>
      </c>
      <c r="D46" s="114" t="str">
        <f>VLOOKUP(C46,'Custos Matéria Prima Embalagens'!B:C,2,0)</f>
        <v>BALDE BRANCO COM TAMPA AZUL 3,6 L HTD</v>
      </c>
      <c r="E46" s="114" t="str">
        <f>VLOOKUP(C46,'Custos Matéria Prima Embalagens'!B:D,3,0)</f>
        <v>Cj Balde para Standard/Semibrilho e Fosca</v>
      </c>
      <c r="F46" s="147">
        <f>VLOOKUP(C46,'Custos Matéria Prima Embalagens'!B:G,6,0)</f>
        <v>3.44</v>
      </c>
      <c r="G46" s="216">
        <v>45939</v>
      </c>
    </row>
    <row r="47" spans="1:7" ht="15.75" customHeight="1">
      <c r="A47" s="114" t="s">
        <v>155</v>
      </c>
      <c r="B47" s="114" t="s">
        <v>668</v>
      </c>
      <c r="C47" s="220" t="s">
        <v>1368</v>
      </c>
      <c r="D47" s="114" t="str">
        <f>VLOOKUP(C47,'Custos Matéria Prima Embalagens'!B:C,2,0)</f>
        <v>BALDE BRANCO COM TAMPA AZUL 3,6 L HTD</v>
      </c>
      <c r="E47" s="114" t="str">
        <f>VLOOKUP(C47,'Custos Matéria Prima Embalagens'!B:D,3,0)</f>
        <v>Cj Balde para Standard/Semibrilho e Fosca</v>
      </c>
      <c r="F47" s="147">
        <f>VLOOKUP(C47,'Custos Matéria Prima Embalagens'!B:G,6,0)</f>
        <v>3.44</v>
      </c>
      <c r="G47" s="216">
        <v>45939</v>
      </c>
    </row>
    <row r="48" spans="1:7" ht="15.75" customHeight="1">
      <c r="A48" s="114" t="s">
        <v>156</v>
      </c>
      <c r="B48" s="114" t="s">
        <v>671</v>
      </c>
      <c r="C48" s="220" t="s">
        <v>1368</v>
      </c>
      <c r="D48" s="114" t="str">
        <f>VLOOKUP(C48,'Custos Matéria Prima Embalagens'!B:C,2,0)</f>
        <v>BALDE BRANCO COM TAMPA AZUL 3,6 L HTD</v>
      </c>
      <c r="E48" s="114" t="str">
        <f>VLOOKUP(C48,'Custos Matéria Prima Embalagens'!B:D,3,0)</f>
        <v>Cj Balde para Standard/Semibrilho e Fosca</v>
      </c>
      <c r="F48" s="147">
        <f>VLOOKUP(C48,'Custos Matéria Prima Embalagens'!B:G,6,0)</f>
        <v>3.44</v>
      </c>
      <c r="G48" s="216">
        <v>45939</v>
      </c>
    </row>
    <row r="49" spans="1:7" ht="15.75" customHeight="1">
      <c r="A49" s="114" t="s">
        <v>157</v>
      </c>
      <c r="B49" s="114" t="s">
        <v>673</v>
      </c>
      <c r="C49" s="220" t="s">
        <v>1368</v>
      </c>
      <c r="D49" s="114" t="str">
        <f>VLOOKUP(C49,'Custos Matéria Prima Embalagens'!B:C,2,0)</f>
        <v>BALDE BRANCO COM TAMPA AZUL 3,6 L HTD</v>
      </c>
      <c r="E49" s="114" t="str">
        <f>VLOOKUP(C49,'Custos Matéria Prima Embalagens'!B:D,3,0)</f>
        <v>Cj Balde para Standard/Semibrilho e Fosca</v>
      </c>
      <c r="F49" s="147">
        <f>VLOOKUP(C49,'Custos Matéria Prima Embalagens'!B:G,6,0)</f>
        <v>3.44</v>
      </c>
      <c r="G49" s="216">
        <v>45939</v>
      </c>
    </row>
    <row r="50" spans="1:7" ht="15.75" customHeight="1">
      <c r="A50" s="114" t="s">
        <v>158</v>
      </c>
      <c r="B50" s="114" t="s">
        <v>676</v>
      </c>
      <c r="C50" s="220" t="s">
        <v>1368</v>
      </c>
      <c r="D50" s="114" t="str">
        <f>VLOOKUP(C50,'Custos Matéria Prima Embalagens'!B:C,2,0)</f>
        <v>BALDE BRANCO COM TAMPA AZUL 3,6 L HTD</v>
      </c>
      <c r="E50" s="114" t="str">
        <f>VLOOKUP(C50,'Custos Matéria Prima Embalagens'!B:D,3,0)</f>
        <v>Cj Balde para Standard/Semibrilho e Fosca</v>
      </c>
      <c r="F50" s="147">
        <f>VLOOKUP(C50,'Custos Matéria Prima Embalagens'!B:G,6,0)</f>
        <v>3.44</v>
      </c>
      <c r="G50" s="216">
        <v>45939</v>
      </c>
    </row>
    <row r="51" spans="1:7" ht="15.75" customHeight="1">
      <c r="A51" s="114" t="s">
        <v>159</v>
      </c>
      <c r="B51" s="114" t="s">
        <v>679</v>
      </c>
      <c r="C51" s="220" t="s">
        <v>1368</v>
      </c>
      <c r="D51" s="114" t="str">
        <f>VLOOKUP(C51,'Custos Matéria Prima Embalagens'!B:C,2,0)</f>
        <v>BALDE BRANCO COM TAMPA AZUL 3,6 L HTD</v>
      </c>
      <c r="E51" s="114" t="str">
        <f>VLOOKUP(C51,'Custos Matéria Prima Embalagens'!B:D,3,0)</f>
        <v>Cj Balde para Standard/Semibrilho e Fosca</v>
      </c>
      <c r="F51" s="147">
        <f>VLOOKUP(C51,'Custos Matéria Prima Embalagens'!B:G,6,0)</f>
        <v>3.44</v>
      </c>
      <c r="G51" s="216">
        <v>45939</v>
      </c>
    </row>
    <row r="52" spans="1:7" ht="15.75" customHeight="1">
      <c r="A52" s="114" t="s">
        <v>160</v>
      </c>
      <c r="B52" s="114" t="s">
        <v>682</v>
      </c>
      <c r="C52" s="220" t="s">
        <v>1368</v>
      </c>
      <c r="D52" s="114" t="str">
        <f>VLOOKUP(C52,'Custos Matéria Prima Embalagens'!B:C,2,0)</f>
        <v>BALDE BRANCO COM TAMPA AZUL 3,6 L HTD</v>
      </c>
      <c r="E52" s="114" t="str">
        <f>VLOOKUP(C52,'Custos Matéria Prima Embalagens'!B:D,3,0)</f>
        <v>Cj Balde para Standard/Semibrilho e Fosca</v>
      </c>
      <c r="F52" s="147">
        <f>VLOOKUP(C52,'Custos Matéria Prima Embalagens'!B:G,6,0)</f>
        <v>3.44</v>
      </c>
      <c r="G52" s="216">
        <v>45939</v>
      </c>
    </row>
    <row r="53" spans="1:7" ht="15.75" customHeight="1">
      <c r="A53" s="114" t="s">
        <v>161</v>
      </c>
      <c r="B53" s="114" t="s">
        <v>684</v>
      </c>
      <c r="C53" s="220" t="s">
        <v>1368</v>
      </c>
      <c r="D53" s="114" t="str">
        <f>VLOOKUP(C53,'Custos Matéria Prima Embalagens'!B:C,2,0)</f>
        <v>BALDE BRANCO COM TAMPA AZUL 3,6 L HTD</v>
      </c>
      <c r="E53" s="114" t="str">
        <f>VLOOKUP(C53,'Custos Matéria Prima Embalagens'!B:D,3,0)</f>
        <v>Cj Balde para Standard/Semibrilho e Fosca</v>
      </c>
      <c r="F53" s="147">
        <f>VLOOKUP(C53,'Custos Matéria Prima Embalagens'!B:G,6,0)</f>
        <v>3.44</v>
      </c>
      <c r="G53" s="216">
        <v>45939</v>
      </c>
    </row>
    <row r="54" spans="1:7" ht="15.75" customHeight="1">
      <c r="A54" s="114" t="s">
        <v>162</v>
      </c>
      <c r="B54" s="114" t="s">
        <v>687</v>
      </c>
      <c r="C54" s="220" t="s">
        <v>1368</v>
      </c>
      <c r="D54" s="114" t="str">
        <f>VLOOKUP(C54,'Custos Matéria Prima Embalagens'!B:C,2,0)</f>
        <v>BALDE BRANCO COM TAMPA AZUL 3,6 L HTD</v>
      </c>
      <c r="E54" s="114" t="str">
        <f>VLOOKUP(C54,'Custos Matéria Prima Embalagens'!B:D,3,0)</f>
        <v>Cj Balde para Standard/Semibrilho e Fosca</v>
      </c>
      <c r="F54" s="147">
        <f>VLOOKUP(C54,'Custos Matéria Prima Embalagens'!B:G,6,0)</f>
        <v>3.44</v>
      </c>
      <c r="G54" s="216">
        <v>45939</v>
      </c>
    </row>
    <row r="55" spans="1:7" ht="15.75" customHeight="1">
      <c r="A55" s="114" t="s">
        <v>163</v>
      </c>
      <c r="B55" s="114" t="s">
        <v>690</v>
      </c>
      <c r="C55" s="220" t="s">
        <v>1368</v>
      </c>
      <c r="D55" s="114" t="str">
        <f>VLOOKUP(C55,'Custos Matéria Prima Embalagens'!B:C,2,0)</f>
        <v>BALDE BRANCO COM TAMPA AZUL 3,6 L HTD</v>
      </c>
      <c r="E55" s="114" t="str">
        <f>VLOOKUP(C55,'Custos Matéria Prima Embalagens'!B:D,3,0)</f>
        <v>Cj Balde para Standard/Semibrilho e Fosca</v>
      </c>
      <c r="F55" s="147">
        <f>VLOOKUP(C55,'Custos Matéria Prima Embalagens'!B:G,6,0)</f>
        <v>3.44</v>
      </c>
      <c r="G55" s="216">
        <v>45939</v>
      </c>
    </row>
    <row r="56" spans="1:7" ht="15.75" customHeight="1">
      <c r="A56" s="114" t="s">
        <v>164</v>
      </c>
      <c r="B56" s="114" t="s">
        <v>693</v>
      </c>
      <c r="C56" s="220" t="s">
        <v>1368</v>
      </c>
      <c r="D56" s="114" t="str">
        <f>VLOOKUP(C56,'Custos Matéria Prima Embalagens'!B:C,2,0)</f>
        <v>BALDE BRANCO COM TAMPA AZUL 3,6 L HTD</v>
      </c>
      <c r="E56" s="114" t="str">
        <f>VLOOKUP(C56,'Custos Matéria Prima Embalagens'!B:D,3,0)</f>
        <v>Cj Balde para Standard/Semibrilho e Fosca</v>
      </c>
      <c r="F56" s="147">
        <f>VLOOKUP(C56,'Custos Matéria Prima Embalagens'!B:G,6,0)</f>
        <v>3.44</v>
      </c>
      <c r="G56" s="216">
        <v>45939</v>
      </c>
    </row>
    <row r="57" spans="1:7" ht="15.75" customHeight="1">
      <c r="A57" s="114" t="s">
        <v>165</v>
      </c>
      <c r="B57" s="114" t="s">
        <v>696</v>
      </c>
      <c r="C57" s="220" t="s">
        <v>1368</v>
      </c>
      <c r="D57" s="114" t="str">
        <f>VLOOKUP(C57,'Custos Matéria Prima Embalagens'!B:C,2,0)</f>
        <v>BALDE BRANCO COM TAMPA AZUL 3,6 L HTD</v>
      </c>
      <c r="E57" s="114" t="str">
        <f>VLOOKUP(C57,'Custos Matéria Prima Embalagens'!B:D,3,0)</f>
        <v>Cj Balde para Standard/Semibrilho e Fosca</v>
      </c>
      <c r="F57" s="147">
        <f>VLOOKUP(C57,'Custos Matéria Prima Embalagens'!B:G,6,0)</f>
        <v>3.44</v>
      </c>
      <c r="G57" s="216">
        <v>45939</v>
      </c>
    </row>
    <row r="58" spans="1:7" ht="15.75" customHeight="1">
      <c r="A58" s="114" t="s">
        <v>166</v>
      </c>
      <c r="B58" s="114" t="s">
        <v>699</v>
      </c>
      <c r="C58" s="220" t="s">
        <v>1368</v>
      </c>
      <c r="D58" s="114" t="str">
        <f>VLOOKUP(C58,'Custos Matéria Prima Embalagens'!B:C,2,0)</f>
        <v>BALDE BRANCO COM TAMPA AZUL 3,6 L HTD</v>
      </c>
      <c r="E58" s="114" t="str">
        <f>VLOOKUP(C58,'Custos Matéria Prima Embalagens'!B:D,3,0)</f>
        <v>Cj Balde para Standard/Semibrilho e Fosca</v>
      </c>
      <c r="F58" s="147">
        <f>VLOOKUP(C58,'Custos Matéria Prima Embalagens'!B:G,6,0)</f>
        <v>3.44</v>
      </c>
      <c r="G58" s="216">
        <v>45939</v>
      </c>
    </row>
    <row r="59" spans="1:7" ht="15.75" customHeight="1">
      <c r="A59" s="114" t="s">
        <v>167</v>
      </c>
      <c r="B59" s="114" t="s">
        <v>1369</v>
      </c>
      <c r="C59" s="220" t="s">
        <v>1368</v>
      </c>
      <c r="D59" s="114" t="str">
        <f>VLOOKUP(C59,'Custos Matéria Prima Embalagens'!B:C,2,0)</f>
        <v>BALDE BRANCO COM TAMPA AZUL 3,6 L HTD</v>
      </c>
      <c r="E59" s="114" t="str">
        <f>VLOOKUP(C59,'Custos Matéria Prima Embalagens'!B:D,3,0)</f>
        <v>Cj Balde para Standard/Semibrilho e Fosca</v>
      </c>
      <c r="F59" s="147">
        <f>VLOOKUP(C59,'Custos Matéria Prima Embalagens'!B:G,6,0)</f>
        <v>3.44</v>
      </c>
      <c r="G59" s="216">
        <v>45939</v>
      </c>
    </row>
    <row r="60" spans="1:7" ht="15.75" customHeight="1">
      <c r="A60" s="114" t="s">
        <v>168</v>
      </c>
      <c r="B60" s="114" t="s">
        <v>705</v>
      </c>
      <c r="C60" s="220" t="s">
        <v>1368</v>
      </c>
      <c r="D60" s="114" t="str">
        <f>VLOOKUP(C60,'Custos Matéria Prima Embalagens'!B:C,2,0)</f>
        <v>BALDE BRANCO COM TAMPA AZUL 3,6 L HTD</v>
      </c>
      <c r="E60" s="114" t="str">
        <f>VLOOKUP(C60,'Custos Matéria Prima Embalagens'!B:D,3,0)</f>
        <v>Cj Balde para Standard/Semibrilho e Fosca</v>
      </c>
      <c r="F60" s="147">
        <f>VLOOKUP(C60,'Custos Matéria Prima Embalagens'!B:G,6,0)</f>
        <v>3.44</v>
      </c>
      <c r="G60" s="216">
        <v>45939</v>
      </c>
    </row>
    <row r="61" spans="1:7" ht="15.75" customHeight="1">
      <c r="A61" s="114" t="s">
        <v>169</v>
      </c>
      <c r="B61" s="114" t="s">
        <v>707</v>
      </c>
      <c r="C61" s="220" t="s">
        <v>1368</v>
      </c>
      <c r="D61" s="114" t="str">
        <f>VLOOKUP(C61,'Custos Matéria Prima Embalagens'!B:C,2,0)</f>
        <v>BALDE BRANCO COM TAMPA AZUL 3,6 L HTD</v>
      </c>
      <c r="E61" s="114" t="str">
        <f>VLOOKUP(C61,'Custos Matéria Prima Embalagens'!B:D,3,0)</f>
        <v>Cj Balde para Standard/Semibrilho e Fosca</v>
      </c>
      <c r="F61" s="147">
        <f>VLOOKUP(C61,'Custos Matéria Prima Embalagens'!B:G,6,0)</f>
        <v>3.44</v>
      </c>
      <c r="G61" s="216">
        <v>45939</v>
      </c>
    </row>
    <row r="62" spans="1:7" ht="15.75" customHeight="1">
      <c r="A62" s="114" t="s">
        <v>170</v>
      </c>
      <c r="B62" s="114" t="s">
        <v>709</v>
      </c>
      <c r="C62" s="220" t="s">
        <v>1368</v>
      </c>
      <c r="D62" s="114" t="str">
        <f>VLOOKUP(C62,'Custos Matéria Prima Embalagens'!B:C,2,0)</f>
        <v>BALDE BRANCO COM TAMPA AZUL 3,6 L HTD</v>
      </c>
      <c r="E62" s="114" t="str">
        <f>VLOOKUP(C62,'Custos Matéria Prima Embalagens'!B:D,3,0)</f>
        <v>Cj Balde para Standard/Semibrilho e Fosca</v>
      </c>
      <c r="F62" s="147">
        <f>VLOOKUP(C62,'Custos Matéria Prima Embalagens'!B:G,6,0)</f>
        <v>3.44</v>
      </c>
      <c r="G62" s="216">
        <v>45939</v>
      </c>
    </row>
    <row r="63" spans="1:7" ht="15.75" customHeight="1">
      <c r="A63" s="114" t="s">
        <v>171</v>
      </c>
      <c r="B63" s="114" t="s">
        <v>711</v>
      </c>
      <c r="C63" s="220" t="s">
        <v>1368</v>
      </c>
      <c r="D63" s="114" t="str">
        <f>VLOOKUP(C63,'Custos Matéria Prima Embalagens'!B:C,2,0)</f>
        <v>BALDE BRANCO COM TAMPA AZUL 3,6 L HTD</v>
      </c>
      <c r="E63" s="114" t="str">
        <f>VLOOKUP(C63,'Custos Matéria Prima Embalagens'!B:D,3,0)</f>
        <v>Cj Balde para Standard/Semibrilho e Fosca</v>
      </c>
      <c r="F63" s="147">
        <f>VLOOKUP(C63,'Custos Matéria Prima Embalagens'!B:G,6,0)</f>
        <v>3.44</v>
      </c>
      <c r="G63" s="216">
        <v>45939</v>
      </c>
    </row>
    <row r="64" spans="1:7" ht="15.75" customHeight="1">
      <c r="A64" s="114" t="s">
        <v>172</v>
      </c>
      <c r="B64" s="114" t="s">
        <v>713</v>
      </c>
      <c r="C64" s="220" t="s">
        <v>1368</v>
      </c>
      <c r="D64" s="114" t="str">
        <f>VLOOKUP(C64,'Custos Matéria Prima Embalagens'!B:C,2,0)</f>
        <v>BALDE BRANCO COM TAMPA AZUL 3,6 L HTD</v>
      </c>
      <c r="E64" s="114" t="str">
        <f>VLOOKUP(C64,'Custos Matéria Prima Embalagens'!B:D,3,0)</f>
        <v>Cj Balde para Standard/Semibrilho e Fosca</v>
      </c>
      <c r="F64" s="147">
        <f>VLOOKUP(C64,'Custos Matéria Prima Embalagens'!B:G,6,0)</f>
        <v>3.44</v>
      </c>
      <c r="G64" s="216">
        <v>45939</v>
      </c>
    </row>
    <row r="65" spans="1:7" ht="15.75" customHeight="1">
      <c r="A65" s="114" t="s">
        <v>173</v>
      </c>
      <c r="B65" s="114" t="s">
        <v>715</v>
      </c>
      <c r="C65" s="220" t="s">
        <v>1368</v>
      </c>
      <c r="D65" s="114" t="str">
        <f>VLOOKUP(C65,'Custos Matéria Prima Embalagens'!B:C,2,0)</f>
        <v>BALDE BRANCO COM TAMPA AZUL 3,6 L HTD</v>
      </c>
      <c r="E65" s="114" t="str">
        <f>VLOOKUP(C65,'Custos Matéria Prima Embalagens'!B:D,3,0)</f>
        <v>Cj Balde para Standard/Semibrilho e Fosca</v>
      </c>
      <c r="F65" s="147">
        <f>VLOOKUP(C65,'Custos Matéria Prima Embalagens'!B:G,6,0)</f>
        <v>3.44</v>
      </c>
      <c r="G65" s="216">
        <v>45939</v>
      </c>
    </row>
    <row r="66" spans="1:7" ht="15.75" customHeight="1">
      <c r="A66" s="114" t="s">
        <v>174</v>
      </c>
      <c r="B66" s="114" t="s">
        <v>717</v>
      </c>
      <c r="C66" s="220" t="s">
        <v>1368</v>
      </c>
      <c r="D66" s="114" t="str">
        <f>VLOOKUP(C66,'Custos Matéria Prima Embalagens'!B:C,2,0)</f>
        <v>BALDE BRANCO COM TAMPA AZUL 3,6 L HTD</v>
      </c>
      <c r="E66" s="114" t="str">
        <f>VLOOKUP(C66,'Custos Matéria Prima Embalagens'!B:D,3,0)</f>
        <v>Cj Balde para Standard/Semibrilho e Fosca</v>
      </c>
      <c r="F66" s="147">
        <f>VLOOKUP(C66,'Custos Matéria Prima Embalagens'!B:G,6,0)</f>
        <v>3.44</v>
      </c>
      <c r="G66" s="216">
        <v>45939</v>
      </c>
    </row>
    <row r="67" spans="1:7" ht="15.75" customHeight="1">
      <c r="A67" s="114" t="s">
        <v>175</v>
      </c>
      <c r="B67" s="114" t="s">
        <v>719</v>
      </c>
      <c r="C67" s="220" t="s">
        <v>1368</v>
      </c>
      <c r="D67" s="114" t="str">
        <f>VLOOKUP(C67,'Custos Matéria Prima Embalagens'!B:C,2,0)</f>
        <v>BALDE BRANCO COM TAMPA AZUL 3,6 L HTD</v>
      </c>
      <c r="E67" s="114" t="str">
        <f>VLOOKUP(C67,'Custos Matéria Prima Embalagens'!B:D,3,0)</f>
        <v>Cj Balde para Standard/Semibrilho e Fosca</v>
      </c>
      <c r="F67" s="147">
        <f>VLOOKUP(C67,'Custos Matéria Prima Embalagens'!B:G,6,0)</f>
        <v>3.44</v>
      </c>
      <c r="G67" s="216">
        <v>45939</v>
      </c>
    </row>
    <row r="68" spans="1:7" ht="15.75" customHeight="1">
      <c r="A68" s="114" t="s">
        <v>176</v>
      </c>
      <c r="B68" s="114" t="s">
        <v>721</v>
      </c>
      <c r="C68" s="220" t="s">
        <v>1368</v>
      </c>
      <c r="D68" s="114" t="str">
        <f>VLOOKUP(C68,'Custos Matéria Prima Embalagens'!B:C,2,0)</f>
        <v>BALDE BRANCO COM TAMPA AZUL 3,6 L HTD</v>
      </c>
      <c r="E68" s="114" t="str">
        <f>VLOOKUP(C68,'Custos Matéria Prima Embalagens'!B:D,3,0)</f>
        <v>Cj Balde para Standard/Semibrilho e Fosca</v>
      </c>
      <c r="F68" s="147">
        <f>VLOOKUP(C68,'Custos Matéria Prima Embalagens'!B:G,6,0)</f>
        <v>3.44</v>
      </c>
      <c r="G68" s="216">
        <v>45939</v>
      </c>
    </row>
    <row r="69" spans="1:7" ht="15.75" customHeight="1">
      <c r="A69" s="114" t="s">
        <v>177</v>
      </c>
      <c r="B69" s="114" t="s">
        <v>723</v>
      </c>
      <c r="C69" s="220" t="s">
        <v>1368</v>
      </c>
      <c r="D69" s="114" t="str">
        <f>VLOOKUP(C69,'Custos Matéria Prima Embalagens'!B:C,2,0)</f>
        <v>BALDE BRANCO COM TAMPA AZUL 3,6 L HTD</v>
      </c>
      <c r="E69" s="114" t="str">
        <f>VLOOKUP(C69,'Custos Matéria Prima Embalagens'!B:D,3,0)</f>
        <v>Cj Balde para Standard/Semibrilho e Fosca</v>
      </c>
      <c r="F69" s="147">
        <f>VLOOKUP(C69,'Custos Matéria Prima Embalagens'!B:G,6,0)</f>
        <v>3.44</v>
      </c>
      <c r="G69" s="216">
        <v>45939</v>
      </c>
    </row>
    <row r="70" spans="1:7" ht="15.75" customHeight="1">
      <c r="A70" s="114" t="s">
        <v>178</v>
      </c>
      <c r="B70" s="114" t="s">
        <v>725</v>
      </c>
      <c r="C70" s="220" t="s">
        <v>1368</v>
      </c>
      <c r="D70" s="114" t="str">
        <f>VLOOKUP(C70,'Custos Matéria Prima Embalagens'!B:C,2,0)</f>
        <v>BALDE BRANCO COM TAMPA AZUL 3,6 L HTD</v>
      </c>
      <c r="E70" s="114" t="str">
        <f>VLOOKUP(C70,'Custos Matéria Prima Embalagens'!B:D,3,0)</f>
        <v>Cj Balde para Standard/Semibrilho e Fosca</v>
      </c>
      <c r="F70" s="147">
        <f>VLOOKUP(C70,'Custos Matéria Prima Embalagens'!B:G,6,0)</f>
        <v>3.44</v>
      </c>
      <c r="G70" s="216">
        <v>45939</v>
      </c>
    </row>
    <row r="71" spans="1:7" ht="15.75" customHeight="1">
      <c r="A71" s="114" t="s">
        <v>179</v>
      </c>
      <c r="B71" s="114" t="s">
        <v>727</v>
      </c>
      <c r="C71" s="220" t="s">
        <v>1368</v>
      </c>
      <c r="D71" s="114" t="str">
        <f>VLOOKUP(C71,'Custos Matéria Prima Embalagens'!B:C,2,0)</f>
        <v>BALDE BRANCO COM TAMPA AZUL 3,6 L HTD</v>
      </c>
      <c r="E71" s="114" t="str">
        <f>VLOOKUP(C71,'Custos Matéria Prima Embalagens'!B:D,3,0)</f>
        <v>Cj Balde para Standard/Semibrilho e Fosca</v>
      </c>
      <c r="F71" s="147">
        <f>VLOOKUP(C71,'Custos Matéria Prima Embalagens'!B:G,6,0)</f>
        <v>3.44</v>
      </c>
      <c r="G71" s="216">
        <v>45939</v>
      </c>
    </row>
    <row r="72" spans="1:7" ht="15.75" customHeight="1">
      <c r="A72" s="114" t="s">
        <v>180</v>
      </c>
      <c r="B72" s="114" t="s">
        <v>729</v>
      </c>
      <c r="C72" s="220" t="s">
        <v>1368</v>
      </c>
      <c r="D72" s="114" t="str">
        <f>VLOOKUP(C72,'Custos Matéria Prima Embalagens'!B:C,2,0)</f>
        <v>BALDE BRANCO COM TAMPA AZUL 3,6 L HTD</v>
      </c>
      <c r="E72" s="114" t="str">
        <f>VLOOKUP(C72,'Custos Matéria Prima Embalagens'!B:D,3,0)</f>
        <v>Cj Balde para Standard/Semibrilho e Fosca</v>
      </c>
      <c r="F72" s="147">
        <f>VLOOKUP(C72,'Custos Matéria Prima Embalagens'!B:G,6,0)</f>
        <v>3.44</v>
      </c>
      <c r="G72" s="216">
        <v>45939</v>
      </c>
    </row>
    <row r="73" spans="1:7" ht="15.75" customHeight="1">
      <c r="A73" s="114" t="s">
        <v>181</v>
      </c>
      <c r="B73" s="114" t="s">
        <v>731</v>
      </c>
      <c r="C73" s="220" t="s">
        <v>1368</v>
      </c>
      <c r="D73" s="114" t="str">
        <f>VLOOKUP(C73,'Custos Matéria Prima Embalagens'!B:C,2,0)</f>
        <v>BALDE BRANCO COM TAMPA AZUL 3,6 L HTD</v>
      </c>
      <c r="E73" s="114" t="str">
        <f>VLOOKUP(C73,'Custos Matéria Prima Embalagens'!B:D,3,0)</f>
        <v>Cj Balde para Standard/Semibrilho e Fosca</v>
      </c>
      <c r="F73" s="147">
        <f>VLOOKUP(C73,'Custos Matéria Prima Embalagens'!B:G,6,0)</f>
        <v>3.44</v>
      </c>
      <c r="G73" s="216">
        <v>45939</v>
      </c>
    </row>
    <row r="74" spans="1:7" ht="15.75" customHeight="1">
      <c r="A74" s="114" t="s">
        <v>182</v>
      </c>
      <c r="B74" s="114" t="s">
        <v>733</v>
      </c>
      <c r="C74" s="220" t="s">
        <v>1368</v>
      </c>
      <c r="D74" s="114" t="str">
        <f>VLOOKUP(C74,'Custos Matéria Prima Embalagens'!B:C,2,0)</f>
        <v>BALDE BRANCO COM TAMPA AZUL 3,6 L HTD</v>
      </c>
      <c r="E74" s="114" t="str">
        <f>VLOOKUP(C74,'Custos Matéria Prima Embalagens'!B:D,3,0)</f>
        <v>Cj Balde para Standard/Semibrilho e Fosca</v>
      </c>
      <c r="F74" s="147">
        <f>VLOOKUP(C74,'Custos Matéria Prima Embalagens'!B:G,6,0)</f>
        <v>3.44</v>
      </c>
      <c r="G74" s="216">
        <v>45939</v>
      </c>
    </row>
    <row r="75" spans="1:7" ht="15.75" customHeight="1">
      <c r="A75" s="114" t="s">
        <v>183</v>
      </c>
      <c r="B75" s="114" t="s">
        <v>735</v>
      </c>
      <c r="C75" s="220" t="s">
        <v>1368</v>
      </c>
      <c r="D75" s="114" t="str">
        <f>VLOOKUP(C75,'Custos Matéria Prima Embalagens'!B:C,2,0)</f>
        <v>BALDE BRANCO COM TAMPA AZUL 3,6 L HTD</v>
      </c>
      <c r="E75" s="114" t="str">
        <f>VLOOKUP(C75,'Custos Matéria Prima Embalagens'!B:D,3,0)</f>
        <v>Cj Balde para Standard/Semibrilho e Fosca</v>
      </c>
      <c r="F75" s="147">
        <f>VLOOKUP(C75,'Custos Matéria Prima Embalagens'!B:G,6,0)</f>
        <v>3.44</v>
      </c>
      <c r="G75" s="216">
        <v>45939</v>
      </c>
    </row>
    <row r="76" spans="1:7" ht="15.75" customHeight="1">
      <c r="A76" s="114" t="s">
        <v>184</v>
      </c>
      <c r="B76" s="114" t="s">
        <v>737</v>
      </c>
      <c r="C76" s="220" t="s">
        <v>1368</v>
      </c>
      <c r="D76" s="114" t="str">
        <f>VLOOKUP(C76,'Custos Matéria Prima Embalagens'!B:C,2,0)</f>
        <v>BALDE BRANCO COM TAMPA AZUL 3,6 L HTD</v>
      </c>
      <c r="E76" s="114" t="str">
        <f>VLOOKUP(C76,'Custos Matéria Prima Embalagens'!B:D,3,0)</f>
        <v>Cj Balde para Standard/Semibrilho e Fosca</v>
      </c>
      <c r="F76" s="147">
        <f>VLOOKUP(C76,'Custos Matéria Prima Embalagens'!B:G,6,0)</f>
        <v>3.44</v>
      </c>
      <c r="G76" s="216">
        <v>45939</v>
      </c>
    </row>
    <row r="77" spans="1:7" ht="15.75" customHeight="1">
      <c r="A77" s="114" t="s">
        <v>185</v>
      </c>
      <c r="B77" s="114" t="s">
        <v>1370</v>
      </c>
      <c r="C77" s="220" t="s">
        <v>1371</v>
      </c>
      <c r="D77" s="114" t="str">
        <f>VLOOKUP(C77,'Custos Matéria Prima Embalagens'!B:C,2,0)</f>
        <v>BALDE BRANCO COM TAMPA AZUL 15 L HTD</v>
      </c>
      <c r="E77" s="114" t="str">
        <f>VLOOKUP(C77,'Custos Matéria Prima Embalagens'!B:D,3,0)</f>
        <v>Cj Balde para Standard/Semibrilho e Fosca</v>
      </c>
      <c r="F77" s="147">
        <f>VLOOKUP(C77,'Custos Matéria Prima Embalagens'!B:G,6,0)</f>
        <v>8.61</v>
      </c>
      <c r="G77" s="216">
        <v>45939</v>
      </c>
    </row>
    <row r="78" spans="1:7" ht="15.75" customHeight="1">
      <c r="A78" s="114" t="s">
        <v>186</v>
      </c>
      <c r="B78" s="114" t="s">
        <v>740</v>
      </c>
      <c r="C78" s="220" t="s">
        <v>1371</v>
      </c>
      <c r="D78" s="114" t="str">
        <f>VLOOKUP(C78,'Custos Matéria Prima Embalagens'!B:C,2,0)</f>
        <v>BALDE BRANCO COM TAMPA AZUL 15 L HTD</v>
      </c>
      <c r="E78" s="114" t="str">
        <f>VLOOKUP(C78,'Custos Matéria Prima Embalagens'!B:D,3,0)</f>
        <v>Cj Balde para Standard/Semibrilho e Fosca</v>
      </c>
      <c r="F78" s="147">
        <f>VLOOKUP(C78,'Custos Matéria Prima Embalagens'!B:G,6,0)</f>
        <v>8.61</v>
      </c>
      <c r="G78" s="216">
        <v>45939</v>
      </c>
    </row>
    <row r="79" spans="1:7" ht="15.75" customHeight="1">
      <c r="A79" s="114" t="s">
        <v>187</v>
      </c>
      <c r="B79" s="114" t="s">
        <v>741</v>
      </c>
      <c r="C79" s="220" t="s">
        <v>1371</v>
      </c>
      <c r="D79" s="114" t="str">
        <f>VLOOKUP(C79,'Custos Matéria Prima Embalagens'!B:C,2,0)</f>
        <v>BALDE BRANCO COM TAMPA AZUL 15 L HTD</v>
      </c>
      <c r="E79" s="114" t="str">
        <f>VLOOKUP(C79,'Custos Matéria Prima Embalagens'!B:D,3,0)</f>
        <v>Cj Balde para Standard/Semibrilho e Fosca</v>
      </c>
      <c r="F79" s="147">
        <f>VLOOKUP(C79,'Custos Matéria Prima Embalagens'!B:G,6,0)</f>
        <v>8.61</v>
      </c>
      <c r="G79" s="216">
        <v>45939</v>
      </c>
    </row>
    <row r="80" spans="1:7" ht="15.75" customHeight="1">
      <c r="A80" s="114" t="s">
        <v>188</v>
      </c>
      <c r="B80" s="114" t="s">
        <v>742</v>
      </c>
      <c r="C80" s="220" t="s">
        <v>1371</v>
      </c>
      <c r="D80" s="114" t="str">
        <f>VLOOKUP(C80,'Custos Matéria Prima Embalagens'!B:C,2,0)</f>
        <v>BALDE BRANCO COM TAMPA AZUL 15 L HTD</v>
      </c>
      <c r="E80" s="114" t="str">
        <f>VLOOKUP(C80,'Custos Matéria Prima Embalagens'!B:D,3,0)</f>
        <v>Cj Balde para Standard/Semibrilho e Fosca</v>
      </c>
      <c r="F80" s="147">
        <f>VLOOKUP(C80,'Custos Matéria Prima Embalagens'!B:G,6,0)</f>
        <v>8.61</v>
      </c>
      <c r="G80" s="216">
        <v>45939</v>
      </c>
    </row>
    <row r="81" spans="1:7" ht="15.75" customHeight="1">
      <c r="A81" s="114" t="s">
        <v>189</v>
      </c>
      <c r="B81" s="114" t="s">
        <v>743</v>
      </c>
      <c r="C81" s="220" t="s">
        <v>1371</v>
      </c>
      <c r="D81" s="114" t="str">
        <f>VLOOKUP(C81,'Custos Matéria Prima Embalagens'!B:C,2,0)</f>
        <v>BALDE BRANCO COM TAMPA AZUL 15 L HTD</v>
      </c>
      <c r="E81" s="114" t="str">
        <f>VLOOKUP(C81,'Custos Matéria Prima Embalagens'!B:D,3,0)</f>
        <v>Cj Balde para Standard/Semibrilho e Fosca</v>
      </c>
      <c r="F81" s="147">
        <f>VLOOKUP(C81,'Custos Matéria Prima Embalagens'!B:G,6,0)</f>
        <v>8.61</v>
      </c>
      <c r="G81" s="216">
        <v>45939</v>
      </c>
    </row>
    <row r="82" spans="1:7" ht="15.75" customHeight="1">
      <c r="A82" s="114" t="s">
        <v>190</v>
      </c>
      <c r="B82" s="114" t="s">
        <v>744</v>
      </c>
      <c r="C82" s="220" t="s">
        <v>1371</v>
      </c>
      <c r="D82" s="114" t="str">
        <f>VLOOKUP(C82,'Custos Matéria Prima Embalagens'!B:C,2,0)</f>
        <v>BALDE BRANCO COM TAMPA AZUL 15 L HTD</v>
      </c>
      <c r="E82" s="114" t="str">
        <f>VLOOKUP(C82,'Custos Matéria Prima Embalagens'!B:D,3,0)</f>
        <v>Cj Balde para Standard/Semibrilho e Fosca</v>
      </c>
      <c r="F82" s="147">
        <f>VLOOKUP(C82,'Custos Matéria Prima Embalagens'!B:G,6,0)</f>
        <v>8.61</v>
      </c>
      <c r="G82" s="216">
        <v>45939</v>
      </c>
    </row>
    <row r="83" spans="1:7" ht="15.75" customHeight="1">
      <c r="A83" s="114" t="s">
        <v>191</v>
      </c>
      <c r="B83" s="114" t="s">
        <v>745</v>
      </c>
      <c r="C83" s="220" t="s">
        <v>1371</v>
      </c>
      <c r="D83" s="114" t="str">
        <f>VLOOKUP(C83,'Custos Matéria Prima Embalagens'!B:C,2,0)</f>
        <v>BALDE BRANCO COM TAMPA AZUL 15 L HTD</v>
      </c>
      <c r="E83" s="114" t="str">
        <f>VLOOKUP(C83,'Custos Matéria Prima Embalagens'!B:D,3,0)</f>
        <v>Cj Balde para Standard/Semibrilho e Fosca</v>
      </c>
      <c r="F83" s="147">
        <f>VLOOKUP(C83,'Custos Matéria Prima Embalagens'!B:G,6,0)</f>
        <v>8.61</v>
      </c>
      <c r="G83" s="216">
        <v>45939</v>
      </c>
    </row>
    <row r="84" spans="1:7" ht="15.75" customHeight="1">
      <c r="A84" s="114" t="s">
        <v>192</v>
      </c>
      <c r="B84" s="114" t="s">
        <v>746</v>
      </c>
      <c r="C84" s="220" t="s">
        <v>1371</v>
      </c>
      <c r="D84" s="114" t="str">
        <f>VLOOKUP(C84,'Custos Matéria Prima Embalagens'!B:C,2,0)</f>
        <v>BALDE BRANCO COM TAMPA AZUL 15 L HTD</v>
      </c>
      <c r="E84" s="114" t="str">
        <f>VLOOKUP(C84,'Custos Matéria Prima Embalagens'!B:D,3,0)</f>
        <v>Cj Balde para Standard/Semibrilho e Fosca</v>
      </c>
      <c r="F84" s="147">
        <f>VLOOKUP(C84,'Custos Matéria Prima Embalagens'!B:G,6,0)</f>
        <v>8.61</v>
      </c>
      <c r="G84" s="216">
        <v>45939</v>
      </c>
    </row>
    <row r="85" spans="1:7" ht="15.75" customHeight="1">
      <c r="A85" s="114" t="s">
        <v>193</v>
      </c>
      <c r="B85" s="114" t="s">
        <v>747</v>
      </c>
      <c r="C85" s="220" t="s">
        <v>1371</v>
      </c>
      <c r="D85" s="114" t="str">
        <f>VLOOKUP(C85,'Custos Matéria Prima Embalagens'!B:C,2,0)</f>
        <v>BALDE BRANCO COM TAMPA AZUL 15 L HTD</v>
      </c>
      <c r="E85" s="114" t="str">
        <f>VLOOKUP(C85,'Custos Matéria Prima Embalagens'!B:D,3,0)</f>
        <v>Cj Balde para Standard/Semibrilho e Fosca</v>
      </c>
      <c r="F85" s="147">
        <f>VLOOKUP(C85,'Custos Matéria Prima Embalagens'!B:G,6,0)</f>
        <v>8.61</v>
      </c>
      <c r="G85" s="216">
        <v>45939</v>
      </c>
    </row>
    <row r="86" spans="1:7" ht="15.75" customHeight="1">
      <c r="A86" s="114" t="s">
        <v>194</v>
      </c>
      <c r="B86" s="114" t="s">
        <v>748</v>
      </c>
      <c r="C86" s="220" t="s">
        <v>1371</v>
      </c>
      <c r="D86" s="114" t="str">
        <f>VLOOKUP(C86,'Custos Matéria Prima Embalagens'!B:C,2,0)</f>
        <v>BALDE BRANCO COM TAMPA AZUL 15 L HTD</v>
      </c>
      <c r="E86" s="114" t="str">
        <f>VLOOKUP(C86,'Custos Matéria Prima Embalagens'!B:D,3,0)</f>
        <v>Cj Balde para Standard/Semibrilho e Fosca</v>
      </c>
      <c r="F86" s="147">
        <f>VLOOKUP(C86,'Custos Matéria Prima Embalagens'!B:G,6,0)</f>
        <v>8.61</v>
      </c>
      <c r="G86" s="216">
        <v>45939</v>
      </c>
    </row>
    <row r="87" spans="1:7" ht="15.75" customHeight="1">
      <c r="A87" s="114" t="s">
        <v>195</v>
      </c>
      <c r="B87" s="114" t="s">
        <v>749</v>
      </c>
      <c r="C87" s="220" t="s">
        <v>1371</v>
      </c>
      <c r="D87" s="114" t="str">
        <f>VLOOKUP(C87,'Custos Matéria Prima Embalagens'!B:C,2,0)</f>
        <v>BALDE BRANCO COM TAMPA AZUL 15 L HTD</v>
      </c>
      <c r="E87" s="114" t="str">
        <f>VLOOKUP(C87,'Custos Matéria Prima Embalagens'!B:D,3,0)</f>
        <v>Cj Balde para Standard/Semibrilho e Fosca</v>
      </c>
      <c r="F87" s="147">
        <f>VLOOKUP(C87,'Custos Matéria Prima Embalagens'!B:G,6,0)</f>
        <v>8.61</v>
      </c>
      <c r="G87" s="216">
        <v>45939</v>
      </c>
    </row>
    <row r="88" spans="1:7" ht="15.75" customHeight="1">
      <c r="A88" s="114" t="s">
        <v>196</v>
      </c>
      <c r="B88" s="114" t="s">
        <v>750</v>
      </c>
      <c r="C88" s="220" t="s">
        <v>1371</v>
      </c>
      <c r="D88" s="114" t="str">
        <f>VLOOKUP(C88,'Custos Matéria Prima Embalagens'!B:C,2,0)</f>
        <v>BALDE BRANCO COM TAMPA AZUL 15 L HTD</v>
      </c>
      <c r="E88" s="114" t="str">
        <f>VLOOKUP(C88,'Custos Matéria Prima Embalagens'!B:D,3,0)</f>
        <v>Cj Balde para Standard/Semibrilho e Fosca</v>
      </c>
      <c r="F88" s="147">
        <f>VLOOKUP(C88,'Custos Matéria Prima Embalagens'!B:G,6,0)</f>
        <v>8.61</v>
      </c>
      <c r="G88" s="216">
        <v>45939</v>
      </c>
    </row>
    <row r="89" spans="1:7" ht="15.75" customHeight="1">
      <c r="A89" s="114" t="s">
        <v>197</v>
      </c>
      <c r="B89" s="114" t="s">
        <v>751</v>
      </c>
      <c r="C89" s="220" t="s">
        <v>1371</v>
      </c>
      <c r="D89" s="114" t="str">
        <f>VLOOKUP(C89,'Custos Matéria Prima Embalagens'!B:C,2,0)</f>
        <v>BALDE BRANCO COM TAMPA AZUL 15 L HTD</v>
      </c>
      <c r="E89" s="114" t="str">
        <f>VLOOKUP(C89,'Custos Matéria Prima Embalagens'!B:D,3,0)</f>
        <v>Cj Balde para Standard/Semibrilho e Fosca</v>
      </c>
      <c r="F89" s="147">
        <f>VLOOKUP(C89,'Custos Matéria Prima Embalagens'!B:G,6,0)</f>
        <v>8.61</v>
      </c>
      <c r="G89" s="216">
        <v>45939</v>
      </c>
    </row>
    <row r="90" spans="1:7" ht="15.75" customHeight="1">
      <c r="A90" s="114" t="s">
        <v>198</v>
      </c>
      <c r="B90" s="114" t="s">
        <v>752</v>
      </c>
      <c r="C90" s="220" t="s">
        <v>1371</v>
      </c>
      <c r="D90" s="114" t="str">
        <f>VLOOKUP(C90,'Custos Matéria Prima Embalagens'!B:C,2,0)</f>
        <v>BALDE BRANCO COM TAMPA AZUL 15 L HTD</v>
      </c>
      <c r="E90" s="114" t="str">
        <f>VLOOKUP(C90,'Custos Matéria Prima Embalagens'!B:D,3,0)</f>
        <v>Cj Balde para Standard/Semibrilho e Fosca</v>
      </c>
      <c r="F90" s="147">
        <f>VLOOKUP(C90,'Custos Matéria Prima Embalagens'!B:G,6,0)</f>
        <v>8.61</v>
      </c>
      <c r="G90" s="216">
        <v>45939</v>
      </c>
    </row>
    <row r="91" spans="1:7" ht="15.75" customHeight="1">
      <c r="A91" s="114" t="s">
        <v>199</v>
      </c>
      <c r="B91" s="114" t="s">
        <v>753</v>
      </c>
      <c r="C91" s="220" t="s">
        <v>1371</v>
      </c>
      <c r="D91" s="114" t="str">
        <f>VLOOKUP(C91,'Custos Matéria Prima Embalagens'!B:C,2,0)</f>
        <v>BALDE BRANCO COM TAMPA AZUL 15 L HTD</v>
      </c>
      <c r="E91" s="114" t="str">
        <f>VLOOKUP(C91,'Custos Matéria Prima Embalagens'!B:D,3,0)</f>
        <v>Cj Balde para Standard/Semibrilho e Fosca</v>
      </c>
      <c r="F91" s="147">
        <f>VLOOKUP(C91,'Custos Matéria Prima Embalagens'!B:G,6,0)</f>
        <v>8.61</v>
      </c>
      <c r="G91" s="216">
        <v>45939</v>
      </c>
    </row>
    <row r="92" spans="1:7" ht="15.75" customHeight="1">
      <c r="A92" s="114" t="s">
        <v>200</v>
      </c>
      <c r="B92" s="114" t="s">
        <v>754</v>
      </c>
      <c r="C92" s="220" t="s">
        <v>1371</v>
      </c>
      <c r="D92" s="114" t="str">
        <f>VLOOKUP(C92,'Custos Matéria Prima Embalagens'!B:C,2,0)</f>
        <v>BALDE BRANCO COM TAMPA AZUL 15 L HTD</v>
      </c>
      <c r="E92" s="114" t="str">
        <f>VLOOKUP(C92,'Custos Matéria Prima Embalagens'!B:D,3,0)</f>
        <v>Cj Balde para Standard/Semibrilho e Fosca</v>
      </c>
      <c r="F92" s="147">
        <f>VLOOKUP(C92,'Custos Matéria Prima Embalagens'!B:G,6,0)</f>
        <v>8.61</v>
      </c>
      <c r="G92" s="216">
        <v>45939</v>
      </c>
    </row>
    <row r="93" spans="1:7" ht="15.75" customHeight="1">
      <c r="A93" s="114" t="s">
        <v>201</v>
      </c>
      <c r="B93" s="114" t="s">
        <v>755</v>
      </c>
      <c r="C93" s="220" t="s">
        <v>1371</v>
      </c>
      <c r="D93" s="114" t="str">
        <f>VLOOKUP(C93,'Custos Matéria Prima Embalagens'!B:C,2,0)</f>
        <v>BALDE BRANCO COM TAMPA AZUL 15 L HTD</v>
      </c>
      <c r="E93" s="114" t="str">
        <f>VLOOKUP(C93,'Custos Matéria Prima Embalagens'!B:D,3,0)</f>
        <v>Cj Balde para Standard/Semibrilho e Fosca</v>
      </c>
      <c r="F93" s="147">
        <f>VLOOKUP(C93,'Custos Matéria Prima Embalagens'!B:G,6,0)</f>
        <v>8.61</v>
      </c>
      <c r="G93" s="216">
        <v>45939</v>
      </c>
    </row>
    <row r="94" spans="1:7" ht="15.75" customHeight="1">
      <c r="A94" s="114" t="s">
        <v>202</v>
      </c>
      <c r="B94" s="114" t="s">
        <v>756</v>
      </c>
      <c r="C94" s="220" t="s">
        <v>1371</v>
      </c>
      <c r="D94" s="114" t="str">
        <f>VLOOKUP(C94,'Custos Matéria Prima Embalagens'!B:C,2,0)</f>
        <v>BALDE BRANCO COM TAMPA AZUL 15 L HTD</v>
      </c>
      <c r="E94" s="114" t="str">
        <f>VLOOKUP(C94,'Custos Matéria Prima Embalagens'!B:D,3,0)</f>
        <v>Cj Balde para Standard/Semibrilho e Fosca</v>
      </c>
      <c r="F94" s="147">
        <f>VLOOKUP(C94,'Custos Matéria Prima Embalagens'!B:G,6,0)</f>
        <v>8.61</v>
      </c>
      <c r="G94" s="216">
        <v>45939</v>
      </c>
    </row>
    <row r="95" spans="1:7" ht="15.75" customHeight="1">
      <c r="A95" s="114" t="s">
        <v>203</v>
      </c>
      <c r="B95" s="114" t="s">
        <v>1372</v>
      </c>
      <c r="C95" s="220" t="s">
        <v>1371</v>
      </c>
      <c r="D95" s="114" t="str">
        <f>VLOOKUP(C95,'Custos Matéria Prima Embalagens'!B:C,2,0)</f>
        <v>BALDE BRANCO COM TAMPA AZUL 15 L HTD</v>
      </c>
      <c r="E95" s="114" t="str">
        <f>VLOOKUP(C95,'Custos Matéria Prima Embalagens'!B:D,3,0)</f>
        <v>Cj Balde para Standard/Semibrilho e Fosca</v>
      </c>
      <c r="F95" s="147">
        <f>VLOOKUP(C95,'Custos Matéria Prima Embalagens'!B:G,6,0)</f>
        <v>8.61</v>
      </c>
      <c r="G95" s="216">
        <v>45939</v>
      </c>
    </row>
    <row r="96" spans="1:7" ht="15.75" customHeight="1">
      <c r="A96" s="114" t="s">
        <v>204</v>
      </c>
      <c r="B96" s="114" t="s">
        <v>758</v>
      </c>
      <c r="C96" s="220" t="s">
        <v>1371</v>
      </c>
      <c r="D96" s="114" t="str">
        <f>VLOOKUP(C96,'Custos Matéria Prima Embalagens'!B:C,2,0)</f>
        <v>BALDE BRANCO COM TAMPA AZUL 15 L HTD</v>
      </c>
      <c r="E96" s="114" t="str">
        <f>VLOOKUP(C96,'Custos Matéria Prima Embalagens'!B:D,3,0)</f>
        <v>Cj Balde para Standard/Semibrilho e Fosca</v>
      </c>
      <c r="F96" s="147">
        <f>VLOOKUP(C96,'Custos Matéria Prima Embalagens'!B:G,6,0)</f>
        <v>8.61</v>
      </c>
      <c r="G96" s="216">
        <v>45939</v>
      </c>
    </row>
    <row r="97" spans="1:7" ht="15.75" customHeight="1">
      <c r="A97" s="114" t="s">
        <v>205</v>
      </c>
      <c r="B97" s="114" t="s">
        <v>759</v>
      </c>
      <c r="C97" s="220" t="s">
        <v>1371</v>
      </c>
      <c r="D97" s="114" t="str">
        <f>VLOOKUP(C97,'Custos Matéria Prima Embalagens'!B:C,2,0)</f>
        <v>BALDE BRANCO COM TAMPA AZUL 15 L HTD</v>
      </c>
      <c r="E97" s="114" t="str">
        <f>VLOOKUP(C97,'Custos Matéria Prima Embalagens'!B:D,3,0)</f>
        <v>Cj Balde para Standard/Semibrilho e Fosca</v>
      </c>
      <c r="F97" s="147">
        <f>VLOOKUP(C97,'Custos Matéria Prima Embalagens'!B:G,6,0)</f>
        <v>8.61</v>
      </c>
      <c r="G97" s="216">
        <v>45939</v>
      </c>
    </row>
    <row r="98" spans="1:7" ht="15.75" customHeight="1">
      <c r="A98" s="114" t="s">
        <v>206</v>
      </c>
      <c r="B98" s="114" t="s">
        <v>760</v>
      </c>
      <c r="C98" s="220" t="s">
        <v>1371</v>
      </c>
      <c r="D98" s="114" t="str">
        <f>VLOOKUP(C98,'Custos Matéria Prima Embalagens'!B:C,2,0)</f>
        <v>BALDE BRANCO COM TAMPA AZUL 15 L HTD</v>
      </c>
      <c r="E98" s="114" t="str">
        <f>VLOOKUP(C98,'Custos Matéria Prima Embalagens'!B:D,3,0)</f>
        <v>Cj Balde para Standard/Semibrilho e Fosca</v>
      </c>
      <c r="F98" s="147">
        <f>VLOOKUP(C98,'Custos Matéria Prima Embalagens'!B:G,6,0)</f>
        <v>8.61</v>
      </c>
      <c r="G98" s="216">
        <v>45939</v>
      </c>
    </row>
    <row r="99" spans="1:7" ht="15.75" customHeight="1">
      <c r="A99" s="114" t="s">
        <v>207</v>
      </c>
      <c r="B99" s="114" t="s">
        <v>761</v>
      </c>
      <c r="C99" s="220" t="s">
        <v>1371</v>
      </c>
      <c r="D99" s="114" t="str">
        <f>VLOOKUP(C99,'Custos Matéria Prima Embalagens'!B:C,2,0)</f>
        <v>BALDE BRANCO COM TAMPA AZUL 15 L HTD</v>
      </c>
      <c r="E99" s="114" t="str">
        <f>VLOOKUP(C99,'Custos Matéria Prima Embalagens'!B:D,3,0)</f>
        <v>Cj Balde para Standard/Semibrilho e Fosca</v>
      </c>
      <c r="F99" s="147">
        <f>VLOOKUP(C99,'Custos Matéria Prima Embalagens'!B:G,6,0)</f>
        <v>8.61</v>
      </c>
      <c r="G99" s="216">
        <v>45939</v>
      </c>
    </row>
    <row r="100" spans="1:7" ht="15.75" customHeight="1">
      <c r="A100" s="114" t="s">
        <v>208</v>
      </c>
      <c r="B100" s="114" t="s">
        <v>762</v>
      </c>
      <c r="C100" s="220" t="s">
        <v>1371</v>
      </c>
      <c r="D100" s="114" t="str">
        <f>VLOOKUP(C100,'Custos Matéria Prima Embalagens'!B:C,2,0)</f>
        <v>BALDE BRANCO COM TAMPA AZUL 15 L HTD</v>
      </c>
      <c r="E100" s="114" t="str">
        <f>VLOOKUP(C100,'Custos Matéria Prima Embalagens'!B:D,3,0)</f>
        <v>Cj Balde para Standard/Semibrilho e Fosca</v>
      </c>
      <c r="F100" s="147">
        <f>VLOOKUP(C100,'Custos Matéria Prima Embalagens'!B:G,6,0)</f>
        <v>8.61</v>
      </c>
      <c r="G100" s="216">
        <v>45939</v>
      </c>
    </row>
    <row r="101" spans="1:7" ht="15.75" customHeight="1">
      <c r="A101" s="114" t="s">
        <v>209</v>
      </c>
      <c r="B101" s="114" t="s">
        <v>763</v>
      </c>
      <c r="C101" s="220" t="s">
        <v>1371</v>
      </c>
      <c r="D101" s="114" t="str">
        <f>VLOOKUP(C101,'Custos Matéria Prima Embalagens'!B:C,2,0)</f>
        <v>BALDE BRANCO COM TAMPA AZUL 15 L HTD</v>
      </c>
      <c r="E101" s="114" t="str">
        <f>VLOOKUP(C101,'Custos Matéria Prima Embalagens'!B:D,3,0)</f>
        <v>Cj Balde para Standard/Semibrilho e Fosca</v>
      </c>
      <c r="F101" s="147">
        <f>VLOOKUP(C101,'Custos Matéria Prima Embalagens'!B:G,6,0)</f>
        <v>8.61</v>
      </c>
      <c r="G101" s="216">
        <v>45939</v>
      </c>
    </row>
    <row r="102" spans="1:7" ht="15.75" customHeight="1">
      <c r="A102" s="114" t="s">
        <v>210</v>
      </c>
      <c r="B102" s="114" t="s">
        <v>764</v>
      </c>
      <c r="C102" s="220" t="s">
        <v>1371</v>
      </c>
      <c r="D102" s="114" t="str">
        <f>VLOOKUP(C102,'Custos Matéria Prima Embalagens'!B:C,2,0)</f>
        <v>BALDE BRANCO COM TAMPA AZUL 15 L HTD</v>
      </c>
      <c r="E102" s="114" t="str">
        <f>VLOOKUP(C102,'Custos Matéria Prima Embalagens'!B:D,3,0)</f>
        <v>Cj Balde para Standard/Semibrilho e Fosca</v>
      </c>
      <c r="F102" s="147">
        <f>VLOOKUP(C102,'Custos Matéria Prima Embalagens'!B:G,6,0)</f>
        <v>8.61</v>
      </c>
      <c r="G102" s="216">
        <v>45939</v>
      </c>
    </row>
    <row r="103" spans="1:7" ht="15.75" customHeight="1">
      <c r="A103" s="114" t="s">
        <v>211</v>
      </c>
      <c r="B103" s="114" t="s">
        <v>765</v>
      </c>
      <c r="C103" s="220" t="s">
        <v>1371</v>
      </c>
      <c r="D103" s="114" t="str">
        <f>VLOOKUP(C103,'Custos Matéria Prima Embalagens'!B:C,2,0)</f>
        <v>BALDE BRANCO COM TAMPA AZUL 15 L HTD</v>
      </c>
      <c r="E103" s="114" t="str">
        <f>VLOOKUP(C103,'Custos Matéria Prima Embalagens'!B:D,3,0)</f>
        <v>Cj Balde para Standard/Semibrilho e Fosca</v>
      </c>
      <c r="F103" s="147">
        <f>VLOOKUP(C103,'Custos Matéria Prima Embalagens'!B:G,6,0)</f>
        <v>8.61</v>
      </c>
      <c r="G103" s="216">
        <v>45939</v>
      </c>
    </row>
    <row r="104" spans="1:7" ht="15.75" customHeight="1">
      <c r="A104" s="114" t="s">
        <v>212</v>
      </c>
      <c r="B104" s="114" t="s">
        <v>766</v>
      </c>
      <c r="C104" s="220" t="s">
        <v>1371</v>
      </c>
      <c r="D104" s="114" t="str">
        <f>VLOOKUP(C104,'Custos Matéria Prima Embalagens'!B:C,2,0)</f>
        <v>BALDE BRANCO COM TAMPA AZUL 15 L HTD</v>
      </c>
      <c r="E104" s="114" t="str">
        <f>VLOOKUP(C104,'Custos Matéria Prima Embalagens'!B:D,3,0)</f>
        <v>Cj Balde para Standard/Semibrilho e Fosca</v>
      </c>
      <c r="F104" s="147">
        <f>VLOOKUP(C104,'Custos Matéria Prima Embalagens'!B:G,6,0)</f>
        <v>8.61</v>
      </c>
      <c r="G104" s="216">
        <v>45939</v>
      </c>
    </row>
    <row r="105" spans="1:7" ht="15.75" customHeight="1">
      <c r="A105" s="114" t="s">
        <v>213</v>
      </c>
      <c r="B105" s="114" t="s">
        <v>767</v>
      </c>
      <c r="C105" s="220" t="s">
        <v>1371</v>
      </c>
      <c r="D105" s="114" t="str">
        <f>VLOOKUP(C105,'Custos Matéria Prima Embalagens'!B:C,2,0)</f>
        <v>BALDE BRANCO COM TAMPA AZUL 15 L HTD</v>
      </c>
      <c r="E105" s="114" t="str">
        <f>VLOOKUP(C105,'Custos Matéria Prima Embalagens'!B:D,3,0)</f>
        <v>Cj Balde para Standard/Semibrilho e Fosca</v>
      </c>
      <c r="F105" s="147">
        <f>VLOOKUP(C105,'Custos Matéria Prima Embalagens'!B:G,6,0)</f>
        <v>8.61</v>
      </c>
      <c r="G105" s="216">
        <v>45939</v>
      </c>
    </row>
    <row r="106" spans="1:7" ht="15.75" customHeight="1">
      <c r="A106" s="114" t="s">
        <v>214</v>
      </c>
      <c r="B106" s="114" t="s">
        <v>768</v>
      </c>
      <c r="C106" s="220" t="s">
        <v>1371</v>
      </c>
      <c r="D106" s="114" t="str">
        <f>VLOOKUP(C106,'Custos Matéria Prima Embalagens'!B:C,2,0)</f>
        <v>BALDE BRANCO COM TAMPA AZUL 15 L HTD</v>
      </c>
      <c r="E106" s="114" t="str">
        <f>VLOOKUP(C106,'Custos Matéria Prima Embalagens'!B:D,3,0)</f>
        <v>Cj Balde para Standard/Semibrilho e Fosca</v>
      </c>
      <c r="F106" s="147">
        <f>VLOOKUP(C106,'Custos Matéria Prima Embalagens'!B:G,6,0)</f>
        <v>8.61</v>
      </c>
      <c r="G106" s="216">
        <v>45939</v>
      </c>
    </row>
    <row r="107" spans="1:7" ht="15.75" customHeight="1">
      <c r="A107" s="114" t="s">
        <v>215</v>
      </c>
      <c r="B107" s="114" t="s">
        <v>769</v>
      </c>
      <c r="C107" s="220" t="s">
        <v>1371</v>
      </c>
      <c r="D107" s="114" t="str">
        <f>VLOOKUP(C107,'Custos Matéria Prima Embalagens'!B:C,2,0)</f>
        <v>BALDE BRANCO COM TAMPA AZUL 15 L HTD</v>
      </c>
      <c r="E107" s="114" t="str">
        <f>VLOOKUP(C107,'Custos Matéria Prima Embalagens'!B:D,3,0)</f>
        <v>Cj Balde para Standard/Semibrilho e Fosca</v>
      </c>
      <c r="F107" s="147">
        <f>VLOOKUP(C107,'Custos Matéria Prima Embalagens'!B:G,6,0)</f>
        <v>8.61</v>
      </c>
      <c r="G107" s="216">
        <v>45939</v>
      </c>
    </row>
    <row r="108" spans="1:7" ht="15.75" customHeight="1">
      <c r="A108" s="114" t="s">
        <v>216</v>
      </c>
      <c r="B108" s="114" t="s">
        <v>770</v>
      </c>
      <c r="C108" s="220" t="s">
        <v>1371</v>
      </c>
      <c r="D108" s="114" t="str">
        <f>VLOOKUP(C108,'Custos Matéria Prima Embalagens'!B:C,2,0)</f>
        <v>BALDE BRANCO COM TAMPA AZUL 15 L HTD</v>
      </c>
      <c r="E108" s="114" t="str">
        <f>VLOOKUP(C108,'Custos Matéria Prima Embalagens'!B:D,3,0)</f>
        <v>Cj Balde para Standard/Semibrilho e Fosca</v>
      </c>
      <c r="F108" s="147">
        <f>VLOOKUP(C108,'Custos Matéria Prima Embalagens'!B:G,6,0)</f>
        <v>8.61</v>
      </c>
      <c r="G108" s="216">
        <v>45939</v>
      </c>
    </row>
    <row r="109" spans="1:7" ht="15.75" customHeight="1">
      <c r="A109" s="114" t="s">
        <v>217</v>
      </c>
      <c r="B109" s="114" t="s">
        <v>771</v>
      </c>
      <c r="C109" s="220" t="s">
        <v>1371</v>
      </c>
      <c r="D109" s="114" t="str">
        <f>VLOOKUP(C109,'Custos Matéria Prima Embalagens'!B:C,2,0)</f>
        <v>BALDE BRANCO COM TAMPA AZUL 15 L HTD</v>
      </c>
      <c r="E109" s="114" t="str">
        <f>VLOOKUP(C109,'Custos Matéria Prima Embalagens'!B:D,3,0)</f>
        <v>Cj Balde para Standard/Semibrilho e Fosca</v>
      </c>
      <c r="F109" s="147">
        <f>VLOOKUP(C109,'Custos Matéria Prima Embalagens'!B:G,6,0)</f>
        <v>8.61</v>
      </c>
      <c r="G109" s="216">
        <v>45939</v>
      </c>
    </row>
    <row r="110" spans="1:7" ht="15.75" customHeight="1">
      <c r="A110" s="114" t="s">
        <v>218</v>
      </c>
      <c r="B110" s="114" t="s">
        <v>772</v>
      </c>
      <c r="C110" s="220" t="s">
        <v>1371</v>
      </c>
      <c r="D110" s="114" t="str">
        <f>VLOOKUP(C110,'Custos Matéria Prima Embalagens'!B:C,2,0)</f>
        <v>BALDE BRANCO COM TAMPA AZUL 15 L HTD</v>
      </c>
      <c r="E110" s="114" t="str">
        <f>VLOOKUP(C110,'Custos Matéria Prima Embalagens'!B:D,3,0)</f>
        <v>Cj Balde para Standard/Semibrilho e Fosca</v>
      </c>
      <c r="F110" s="147">
        <f>VLOOKUP(C110,'Custos Matéria Prima Embalagens'!B:G,6,0)</f>
        <v>8.61</v>
      </c>
      <c r="G110" s="216">
        <v>45939</v>
      </c>
    </row>
    <row r="111" spans="1:7" ht="15.75" customHeight="1">
      <c r="A111" s="114" t="s">
        <v>219</v>
      </c>
      <c r="B111" s="114" t="s">
        <v>773</v>
      </c>
      <c r="C111" s="220" t="s">
        <v>1371</v>
      </c>
      <c r="D111" s="114" t="str">
        <f>VLOOKUP(C111,'Custos Matéria Prima Embalagens'!B:C,2,0)</f>
        <v>BALDE BRANCO COM TAMPA AZUL 15 L HTD</v>
      </c>
      <c r="E111" s="114" t="str">
        <f>VLOOKUP(C111,'Custos Matéria Prima Embalagens'!B:D,3,0)</f>
        <v>Cj Balde para Standard/Semibrilho e Fosca</v>
      </c>
      <c r="F111" s="147">
        <f>VLOOKUP(C111,'Custos Matéria Prima Embalagens'!B:G,6,0)</f>
        <v>8.61</v>
      </c>
      <c r="G111" s="216">
        <v>45939</v>
      </c>
    </row>
    <row r="112" spans="1:7" ht="15.75" customHeight="1">
      <c r="A112" s="114" t="s">
        <v>220</v>
      </c>
      <c r="B112" s="114" t="s">
        <v>774</v>
      </c>
      <c r="C112" s="220" t="s">
        <v>1371</v>
      </c>
      <c r="D112" s="114" t="str">
        <f>VLOOKUP(C112,'Custos Matéria Prima Embalagens'!B:C,2,0)</f>
        <v>BALDE BRANCO COM TAMPA AZUL 15 L HTD</v>
      </c>
      <c r="E112" s="114" t="str">
        <f>VLOOKUP(C112,'Custos Matéria Prima Embalagens'!B:D,3,0)</f>
        <v>Cj Balde para Standard/Semibrilho e Fosca</v>
      </c>
      <c r="F112" s="147">
        <f>VLOOKUP(C112,'Custos Matéria Prima Embalagens'!B:G,6,0)</f>
        <v>8.61</v>
      </c>
      <c r="G112" s="216">
        <v>45939</v>
      </c>
    </row>
    <row r="113" spans="1:7" ht="15.75" customHeight="1">
      <c r="A113" s="114" t="s">
        <v>363</v>
      </c>
      <c r="B113" s="114" t="s">
        <v>1175</v>
      </c>
      <c r="C113" s="220" t="s">
        <v>1373</v>
      </c>
      <c r="D113" s="114" t="str">
        <f>VLOOKUP(C113,'Custos Matéria Prima Embalagens'!B:C,2,0)</f>
        <v>LATA 001S 3L LAM TINTAS BORRACHA LIQUIDA EP/GF PLUS</v>
      </c>
      <c r="E113" s="114">
        <f>VLOOKUP(C113,'Custos Matéria Prima Embalagens'!B:D,3,0)</f>
        <v>0</v>
      </c>
      <c r="F113" s="147">
        <f>VLOOKUP(C113,'Custos Matéria Prima Embalagens'!B:G,6,0)</f>
        <v>8.5299999999999994</v>
      </c>
      <c r="G113" s="216">
        <v>45939</v>
      </c>
    </row>
    <row r="114" spans="1:7" ht="15.75" customHeight="1">
      <c r="A114" s="114" t="s">
        <v>364</v>
      </c>
      <c r="B114" s="114" t="s">
        <v>1176</v>
      </c>
      <c r="C114" s="220" t="s">
        <v>1373</v>
      </c>
      <c r="D114" s="114" t="str">
        <f>VLOOKUP(C114,'Custos Matéria Prima Embalagens'!B:C,2,0)</f>
        <v>LATA 001S 3L LAM TINTAS BORRACHA LIQUIDA EP/GF PLUS</v>
      </c>
      <c r="E114" s="114">
        <f>VLOOKUP(C114,'Custos Matéria Prima Embalagens'!B:D,3,0)</f>
        <v>0</v>
      </c>
      <c r="F114" s="147">
        <f>VLOOKUP(C114,'Custos Matéria Prima Embalagens'!B:G,6,0)</f>
        <v>8.5299999999999994</v>
      </c>
      <c r="G114" s="216">
        <v>45939</v>
      </c>
    </row>
    <row r="115" spans="1:7" ht="15.75" customHeight="1">
      <c r="A115" s="114" t="s">
        <v>365</v>
      </c>
      <c r="B115" s="114" t="s">
        <v>1177</v>
      </c>
      <c r="C115" s="220" t="s">
        <v>1373</v>
      </c>
      <c r="D115" s="114" t="str">
        <f>VLOOKUP(C115,'Custos Matéria Prima Embalagens'!B:C,2,0)</f>
        <v>LATA 001S 3L LAM TINTAS BORRACHA LIQUIDA EP/GF PLUS</v>
      </c>
      <c r="E115" s="114">
        <f>VLOOKUP(C115,'Custos Matéria Prima Embalagens'!B:D,3,0)</f>
        <v>0</v>
      </c>
      <c r="F115" s="147">
        <f>VLOOKUP(C115,'Custos Matéria Prima Embalagens'!B:G,6,0)</f>
        <v>8.5299999999999994</v>
      </c>
      <c r="G115" s="216">
        <v>45939</v>
      </c>
    </row>
    <row r="116" spans="1:7" ht="15.75" customHeight="1">
      <c r="A116" s="114" t="s">
        <v>366</v>
      </c>
      <c r="B116" s="114" t="s">
        <v>1178</v>
      </c>
      <c r="C116" s="220" t="s">
        <v>1373</v>
      </c>
      <c r="D116" s="114" t="str">
        <f>VLOOKUP(C116,'Custos Matéria Prima Embalagens'!B:C,2,0)</f>
        <v>LATA 001S 3L LAM TINTAS BORRACHA LIQUIDA EP/GF PLUS</v>
      </c>
      <c r="E116" s="114">
        <f>VLOOKUP(C116,'Custos Matéria Prima Embalagens'!B:D,3,0)</f>
        <v>0</v>
      </c>
      <c r="F116" s="147">
        <f>VLOOKUP(C116,'Custos Matéria Prima Embalagens'!B:G,6,0)</f>
        <v>8.5299999999999994</v>
      </c>
      <c r="G116" s="216">
        <v>45939</v>
      </c>
    </row>
    <row r="117" spans="1:7" ht="15.75" customHeight="1">
      <c r="A117" s="114" t="s">
        <v>367</v>
      </c>
      <c r="B117" s="114" t="s">
        <v>1179</v>
      </c>
      <c r="C117" s="220" t="s">
        <v>1373</v>
      </c>
      <c r="D117" s="114" t="str">
        <f>VLOOKUP(C117,'Custos Matéria Prima Embalagens'!B:C,2,0)</f>
        <v>LATA 001S 3L LAM TINTAS BORRACHA LIQUIDA EP/GF PLUS</v>
      </c>
      <c r="E117" s="114">
        <f>VLOOKUP(C117,'Custos Matéria Prima Embalagens'!B:D,3,0)</f>
        <v>0</v>
      </c>
      <c r="F117" s="147">
        <f>VLOOKUP(C117,'Custos Matéria Prima Embalagens'!B:G,6,0)</f>
        <v>8.5299999999999994</v>
      </c>
      <c r="G117" s="216">
        <v>45939</v>
      </c>
    </row>
    <row r="118" spans="1:7" ht="15.75" customHeight="1">
      <c r="A118" s="114" t="s">
        <v>368</v>
      </c>
      <c r="B118" s="114" t="s">
        <v>963</v>
      </c>
      <c r="C118" s="220" t="s">
        <v>1374</v>
      </c>
      <c r="D118" s="114" t="str">
        <f>VLOOKUP(C118,'Custos Matéria Prima Embalagens'!B:C,2,0)</f>
        <v>LATA T 016 TINTAS BORRACHA LIQUIDA</v>
      </c>
      <c r="E118" s="114">
        <f>VLOOKUP(C118,'Custos Matéria Prima Embalagens'!B:D,3,0)</f>
        <v>0</v>
      </c>
      <c r="F118" s="147">
        <f>VLOOKUP(C118,'Custos Matéria Prima Embalagens'!B:G,6,0)</f>
        <v>20.11</v>
      </c>
      <c r="G118" s="216">
        <v>45939</v>
      </c>
    </row>
    <row r="119" spans="1:7" ht="15.75" customHeight="1">
      <c r="A119" s="114" t="s">
        <v>369</v>
      </c>
      <c r="B119" s="114" t="s">
        <v>964</v>
      </c>
      <c r="C119" s="220" t="s">
        <v>1374</v>
      </c>
      <c r="D119" s="114" t="str">
        <f>VLOOKUP(C119,'Custos Matéria Prima Embalagens'!B:C,2,0)</f>
        <v>LATA T 016 TINTAS BORRACHA LIQUIDA</v>
      </c>
      <c r="E119" s="114">
        <f>VLOOKUP(C119,'Custos Matéria Prima Embalagens'!B:D,3,0)</f>
        <v>0</v>
      </c>
      <c r="F119" s="147">
        <f>VLOOKUP(C119,'Custos Matéria Prima Embalagens'!B:G,6,0)</f>
        <v>20.11</v>
      </c>
      <c r="G119" s="216">
        <v>45939</v>
      </c>
    </row>
    <row r="120" spans="1:7" ht="15.75" customHeight="1">
      <c r="A120" s="114" t="s">
        <v>370</v>
      </c>
      <c r="B120" s="114" t="s">
        <v>965</v>
      </c>
      <c r="C120" s="220" t="s">
        <v>1374</v>
      </c>
      <c r="D120" s="114" t="str">
        <f>VLOOKUP(C120,'Custos Matéria Prima Embalagens'!B:C,2,0)</f>
        <v>LATA T 016 TINTAS BORRACHA LIQUIDA</v>
      </c>
      <c r="E120" s="114">
        <f>VLOOKUP(C120,'Custos Matéria Prima Embalagens'!B:D,3,0)</f>
        <v>0</v>
      </c>
      <c r="F120" s="147">
        <f>VLOOKUP(C120,'Custos Matéria Prima Embalagens'!B:G,6,0)</f>
        <v>20.11</v>
      </c>
      <c r="G120" s="216">
        <v>45939</v>
      </c>
    </row>
    <row r="121" spans="1:7" ht="15.75" customHeight="1">
      <c r="A121" s="114" t="s">
        <v>371</v>
      </c>
      <c r="B121" s="114" t="s">
        <v>966</v>
      </c>
      <c r="C121" s="220" t="s">
        <v>1374</v>
      </c>
      <c r="D121" s="114" t="str">
        <f>VLOOKUP(C121,'Custos Matéria Prima Embalagens'!B:C,2,0)</f>
        <v>LATA T 016 TINTAS BORRACHA LIQUIDA</v>
      </c>
      <c r="E121" s="114">
        <f>VLOOKUP(C121,'Custos Matéria Prima Embalagens'!B:D,3,0)</f>
        <v>0</v>
      </c>
      <c r="F121" s="147">
        <f>VLOOKUP(C121,'Custos Matéria Prima Embalagens'!B:G,6,0)</f>
        <v>20.11</v>
      </c>
      <c r="G121" s="216">
        <v>45939</v>
      </c>
    </row>
    <row r="122" spans="1:7" ht="15.75" customHeight="1">
      <c r="A122" s="114" t="s">
        <v>372</v>
      </c>
      <c r="B122" s="114" t="s">
        <v>967</v>
      </c>
      <c r="C122" s="220" t="s">
        <v>1374</v>
      </c>
      <c r="D122" s="114" t="str">
        <f>VLOOKUP(C122,'Custos Matéria Prima Embalagens'!B:C,2,0)</f>
        <v>LATA T 016 TINTAS BORRACHA LIQUIDA</v>
      </c>
      <c r="E122" s="114">
        <f>VLOOKUP(C122,'Custos Matéria Prima Embalagens'!B:D,3,0)</f>
        <v>0</v>
      </c>
      <c r="F122" s="147">
        <f>VLOOKUP(C122,'Custos Matéria Prima Embalagens'!B:G,6,0)</f>
        <v>20.11</v>
      </c>
      <c r="G122" s="216">
        <v>45939</v>
      </c>
    </row>
    <row r="123" spans="1:7" ht="15.75" customHeight="1">
      <c r="F123" s="147"/>
      <c r="G123" s="216"/>
    </row>
    <row r="124" spans="1:7" ht="15.75" customHeight="1">
      <c r="A124" s="48" t="s">
        <v>327</v>
      </c>
      <c r="B124" s="48" t="s">
        <v>900</v>
      </c>
      <c r="C124" s="48" t="s">
        <v>1368</v>
      </c>
      <c r="D124" s="114" t="str">
        <f>VLOOKUP(C124,'Custos Matéria Prima Embalagens'!B:C,2,0)</f>
        <v>BALDE BRANCO COM TAMPA AZUL 3,6 L HTD</v>
      </c>
      <c r="E124" s="114" t="str">
        <f>VLOOKUP(C124,'Custos Matéria Prima Embalagens'!B:D,3,0)</f>
        <v>Cj Balde para Standard/Semibrilho e Fosca</v>
      </c>
      <c r="F124" s="147">
        <f>VLOOKUP(C124,'Custos Matéria Prima Embalagens'!B:G,6,0)</f>
        <v>3.44</v>
      </c>
      <c r="G124" s="216">
        <v>45939</v>
      </c>
    </row>
    <row r="125" spans="1:7" ht="15.75" customHeight="1">
      <c r="A125" s="48" t="s">
        <v>330</v>
      </c>
      <c r="B125" s="48" t="s">
        <v>908</v>
      </c>
      <c r="C125" s="48" t="s">
        <v>1368</v>
      </c>
      <c r="D125" s="114" t="str">
        <f>VLOOKUP(C125,'Custos Matéria Prima Embalagens'!B:C,2,0)</f>
        <v>BALDE BRANCO COM TAMPA AZUL 3,6 L HTD</v>
      </c>
      <c r="E125" s="114" t="str">
        <f>VLOOKUP(C125,'Custos Matéria Prima Embalagens'!B:D,3,0)</f>
        <v>Cj Balde para Standard/Semibrilho e Fosca</v>
      </c>
      <c r="F125" s="147">
        <f>VLOOKUP(C125,'Custos Matéria Prima Embalagens'!B:G,6,0)</f>
        <v>3.44</v>
      </c>
      <c r="G125" s="216">
        <v>45939</v>
      </c>
    </row>
    <row r="126" spans="1:7" ht="15.75" customHeight="1">
      <c r="A126" s="48" t="s">
        <v>345</v>
      </c>
      <c r="B126" s="48" t="s">
        <v>932</v>
      </c>
      <c r="C126" s="48" t="s">
        <v>1371</v>
      </c>
      <c r="D126" s="114" t="str">
        <f>VLOOKUP(C126,'Custos Matéria Prima Embalagens'!B:C,2,0)</f>
        <v>BALDE BRANCO COM TAMPA AZUL 15 L HTD</v>
      </c>
      <c r="E126" s="114" t="str">
        <f>VLOOKUP(C126,'Custos Matéria Prima Embalagens'!B:D,3,0)</f>
        <v>Cj Balde para Standard/Semibrilho e Fosca</v>
      </c>
      <c r="F126" s="147">
        <f>VLOOKUP(C126,'Custos Matéria Prima Embalagens'!B:G,6,0)</f>
        <v>8.61</v>
      </c>
      <c r="G126" s="216">
        <v>45939</v>
      </c>
    </row>
    <row r="127" spans="1:7" ht="15.75" customHeight="1">
      <c r="A127" s="48" t="s">
        <v>348</v>
      </c>
      <c r="B127" s="48" t="s">
        <v>935</v>
      </c>
      <c r="C127" s="48" t="s">
        <v>1371</v>
      </c>
      <c r="D127" s="114" t="str">
        <f>VLOOKUP(C127,'Custos Matéria Prima Embalagens'!B:C,2,0)</f>
        <v>BALDE BRANCO COM TAMPA AZUL 15 L HTD</v>
      </c>
      <c r="E127" s="114" t="str">
        <f>VLOOKUP(C127,'Custos Matéria Prima Embalagens'!B:D,3,0)</f>
        <v>Cj Balde para Standard/Semibrilho e Fosca</v>
      </c>
      <c r="F127" s="147">
        <f>VLOOKUP(C127,'Custos Matéria Prima Embalagens'!B:G,6,0)</f>
        <v>8.61</v>
      </c>
      <c r="G127" s="216">
        <v>45939</v>
      </c>
    </row>
    <row r="128" spans="1:7" ht="15" customHeight="1">
      <c r="A128" s="48" t="s">
        <v>421</v>
      </c>
      <c r="B128" s="114" t="str">
        <f>VLOOKUP(A128,'Tabela de Produtos'!A:B,2,0)</f>
        <v>BRAZIMIL ESMALTE SINTETICO BRILHANTE MADEIRAS E METAIS 0,75L BRANCO</v>
      </c>
      <c r="C128" s="48" t="s">
        <v>1375</v>
      </c>
      <c r="D128" s="114" t="str">
        <f>VLOOKUP(C128,'Custos Matéria Prima Embalagens'!B:C,2,0)</f>
        <v>LATA 004S LAM TINTAS ESMALTE SINT. EP/GF PLUS 750ML</v>
      </c>
      <c r="E128" s="114">
        <f>VLOOKUP(C128,'Custos Matéria Prima Embalagens'!B:D,3,0)</f>
        <v>0</v>
      </c>
      <c r="F128" s="147">
        <f>VLOOKUP(C128,'Custos Matéria Prima Embalagens'!B:G,6,0)</f>
        <v>4.43</v>
      </c>
      <c r="G128" s="216">
        <v>45939</v>
      </c>
    </row>
    <row r="129" spans="1:7" ht="15" customHeight="1">
      <c r="A129" s="48" t="s">
        <v>423</v>
      </c>
      <c r="B129" s="114" t="s">
        <v>1029</v>
      </c>
      <c r="C129" s="48" t="s">
        <v>1375</v>
      </c>
      <c r="D129" s="114" t="str">
        <f>VLOOKUP(C129,'Custos Matéria Prima Embalagens'!B:C,2,0)</f>
        <v>LATA 004S LAM TINTAS ESMALTE SINT. EP/GF PLUS 750ML</v>
      </c>
      <c r="E129" s="114">
        <f>VLOOKUP(C129,'Custos Matéria Prima Embalagens'!B:D,3,0)</f>
        <v>0</v>
      </c>
      <c r="F129" s="147">
        <f>VLOOKUP(C129,'Custos Matéria Prima Embalagens'!B:G,6,0)</f>
        <v>4.43</v>
      </c>
      <c r="G129" s="216">
        <v>45939</v>
      </c>
    </row>
    <row r="130" spans="1:7" ht="15" customHeight="1">
      <c r="A130" s="48" t="s">
        <v>424</v>
      </c>
      <c r="B130" s="114" t="s">
        <v>1031</v>
      </c>
      <c r="C130" s="48" t="s">
        <v>1375</v>
      </c>
      <c r="D130" s="114" t="str">
        <f>VLOOKUP(C130,'Custos Matéria Prima Embalagens'!B:C,2,0)</f>
        <v>LATA 004S LAM TINTAS ESMALTE SINT. EP/GF PLUS 750ML</v>
      </c>
      <c r="E130" s="114">
        <f>VLOOKUP(C130,'Custos Matéria Prima Embalagens'!B:D,3,0)</f>
        <v>0</v>
      </c>
      <c r="F130" s="147">
        <f>VLOOKUP(C130,'Custos Matéria Prima Embalagens'!B:G,6,0)</f>
        <v>4.43</v>
      </c>
      <c r="G130" s="216">
        <v>45939</v>
      </c>
    </row>
    <row r="131" spans="1:7" ht="15" customHeight="1">
      <c r="A131" s="48" t="s">
        <v>425</v>
      </c>
      <c r="B131" s="114" t="str">
        <f>VLOOKUP(A131,'Tabela de Produtos'!A:B,2,0)</f>
        <v>BRAZIMIL ESMALTE SINTETICO BRILHANTE MADEIRAS E METAIS 0,75L PRETO</v>
      </c>
      <c r="C131" s="48" t="s">
        <v>1375</v>
      </c>
      <c r="D131" s="114" t="str">
        <f>VLOOKUP(C131,'Custos Matéria Prima Embalagens'!B:C,2,0)</f>
        <v>LATA 004S LAM TINTAS ESMALTE SINT. EP/GF PLUS 750ML</v>
      </c>
      <c r="E131" s="114">
        <f>VLOOKUP(C131,'Custos Matéria Prima Embalagens'!B:D,3,0)</f>
        <v>0</v>
      </c>
      <c r="F131" s="147">
        <f>VLOOKUP(C131,'Custos Matéria Prima Embalagens'!B:G,6,0)</f>
        <v>4.43</v>
      </c>
      <c r="G131" s="216">
        <v>45939</v>
      </c>
    </row>
    <row r="132" spans="1:7" ht="15" customHeight="1">
      <c r="A132" s="48" t="s">
        <v>426</v>
      </c>
      <c r="B132" s="114" t="s">
        <v>1035</v>
      </c>
      <c r="C132" s="48" t="s">
        <v>1375</v>
      </c>
      <c r="D132" s="114" t="str">
        <f>VLOOKUP(C132,'Custos Matéria Prima Embalagens'!B:C,2,0)</f>
        <v>LATA 004S LAM TINTAS ESMALTE SINT. EP/GF PLUS 750ML</v>
      </c>
      <c r="E132" s="114">
        <f>VLOOKUP(C132,'Custos Matéria Prima Embalagens'!B:D,3,0)</f>
        <v>0</v>
      </c>
      <c r="F132" s="147">
        <f>VLOOKUP(C132,'Custos Matéria Prima Embalagens'!B:G,6,0)</f>
        <v>4.43</v>
      </c>
      <c r="G132" s="216">
        <v>45939</v>
      </c>
    </row>
    <row r="133" spans="1:7" ht="15" customHeight="1">
      <c r="A133" s="48" t="s">
        <v>431</v>
      </c>
      <c r="B133" s="114" t="s">
        <v>1045</v>
      </c>
      <c r="C133" s="48" t="s">
        <v>1375</v>
      </c>
      <c r="D133" s="114" t="str">
        <f>VLOOKUP(C133,'Custos Matéria Prima Embalagens'!B:C,2,0)</f>
        <v>LATA 004S LAM TINTAS ESMALTE SINT. EP/GF PLUS 750ML</v>
      </c>
      <c r="E133" s="114">
        <f>VLOOKUP(C133,'Custos Matéria Prima Embalagens'!B:D,3,0)</f>
        <v>0</v>
      </c>
      <c r="F133" s="147">
        <f>VLOOKUP(C133,'Custos Matéria Prima Embalagens'!B:G,6,0)</f>
        <v>4.43</v>
      </c>
      <c r="G133" s="216">
        <v>45939</v>
      </c>
    </row>
    <row r="134" spans="1:7" ht="15" customHeight="1">
      <c r="A134" s="48" t="s">
        <v>432</v>
      </c>
      <c r="B134" s="114" t="s">
        <v>1047</v>
      </c>
      <c r="C134" s="48" t="s">
        <v>1375</v>
      </c>
      <c r="D134" s="114" t="str">
        <f>VLOOKUP(C134,'Custos Matéria Prima Embalagens'!B:C,2,0)</f>
        <v>LATA 004S LAM TINTAS ESMALTE SINT. EP/GF PLUS 750ML</v>
      </c>
      <c r="E134" s="114">
        <f>VLOOKUP(C134,'Custos Matéria Prima Embalagens'!B:D,3,0)</f>
        <v>0</v>
      </c>
      <c r="F134" s="147">
        <f>VLOOKUP(C134,'Custos Matéria Prima Embalagens'!B:G,6,0)</f>
        <v>4.43</v>
      </c>
      <c r="G134" s="216">
        <v>45939</v>
      </c>
    </row>
    <row r="135" spans="1:7" ht="15" customHeight="1">
      <c r="A135" s="48" t="s">
        <v>445</v>
      </c>
      <c r="B135" s="114" t="str">
        <f>VLOOKUP(A135,'Tabela de Produtos'!A:B,2,0)</f>
        <v>BRAZIMIL ESMALTE SINTETICO BRILHANTE MADEIRAS E METAIS 3L BRANCO</v>
      </c>
      <c r="C135" s="48" t="s">
        <v>1376</v>
      </c>
      <c r="D135" s="114" t="str">
        <f>VLOOKUP(C135,'Custos Matéria Prima Embalagens'!B:C,2,0)</f>
        <v>LATA 001S 3L LAM TINTAS BRAZIMIL ESM SINT EP/GF PLUS</v>
      </c>
      <c r="E135" s="114">
        <f>VLOOKUP(C135,'Custos Matéria Prima Embalagens'!B:D,3,0)</f>
        <v>0</v>
      </c>
      <c r="F135" s="147">
        <f>VLOOKUP(C135,'Custos Matéria Prima Embalagens'!B:G,6,0)</f>
        <v>8.5299999999999994</v>
      </c>
      <c r="G135" s="216">
        <v>45939</v>
      </c>
    </row>
    <row r="136" spans="1:7" ht="15" customHeight="1">
      <c r="A136" s="48" t="s">
        <v>447</v>
      </c>
      <c r="B136" s="114" t="s">
        <v>1063</v>
      </c>
      <c r="C136" s="48" t="s">
        <v>1376</v>
      </c>
      <c r="D136" s="114" t="str">
        <f>VLOOKUP(C136,'Custos Matéria Prima Embalagens'!B:C,2,0)</f>
        <v>LATA 001S 3L LAM TINTAS BRAZIMIL ESM SINT EP/GF PLUS</v>
      </c>
      <c r="E136" s="114">
        <f>VLOOKUP(C136,'Custos Matéria Prima Embalagens'!B:D,3,0)</f>
        <v>0</v>
      </c>
      <c r="F136" s="147">
        <f>VLOOKUP(C136,'Custos Matéria Prima Embalagens'!B:G,6,0)</f>
        <v>8.5299999999999994</v>
      </c>
      <c r="G136" s="216">
        <v>45939</v>
      </c>
    </row>
    <row r="137" spans="1:7" ht="15" customHeight="1">
      <c r="A137" s="48" t="s">
        <v>448</v>
      </c>
      <c r="B137" s="114" t="s">
        <v>1064</v>
      </c>
      <c r="C137" s="48" t="s">
        <v>1376</v>
      </c>
      <c r="D137" s="114" t="str">
        <f>VLOOKUP(C137,'Custos Matéria Prima Embalagens'!B:C,2,0)</f>
        <v>LATA 001S 3L LAM TINTAS BRAZIMIL ESM SINT EP/GF PLUS</v>
      </c>
      <c r="E137" s="114">
        <f>VLOOKUP(C137,'Custos Matéria Prima Embalagens'!B:D,3,0)</f>
        <v>0</v>
      </c>
      <c r="F137" s="147">
        <f>VLOOKUP(C137,'Custos Matéria Prima Embalagens'!B:G,6,0)</f>
        <v>8.5299999999999994</v>
      </c>
      <c r="G137" s="216">
        <v>45939</v>
      </c>
    </row>
    <row r="138" spans="1:7" ht="15" customHeight="1">
      <c r="A138" s="48" t="s">
        <v>449</v>
      </c>
      <c r="B138" s="114" t="str">
        <f>VLOOKUP(A138,'Tabela de Produtos'!A:B,2,0)</f>
        <v>BRAZIMIL ESMALTE SINTETICO BRILHANTE MADEIRAS E METAIS 3L PRETO</v>
      </c>
      <c r="C138" s="48" t="s">
        <v>1376</v>
      </c>
      <c r="D138" s="114" t="str">
        <f>VLOOKUP(C138,'Custos Matéria Prima Embalagens'!B:C,2,0)</f>
        <v>LATA 001S 3L LAM TINTAS BRAZIMIL ESM SINT EP/GF PLUS</v>
      </c>
      <c r="E138" s="114">
        <f>VLOOKUP(C138,'Custos Matéria Prima Embalagens'!B:D,3,0)</f>
        <v>0</v>
      </c>
      <c r="F138" s="147">
        <f>VLOOKUP(C138,'Custos Matéria Prima Embalagens'!B:G,6,0)</f>
        <v>8.5299999999999994</v>
      </c>
      <c r="G138" s="216">
        <v>45939</v>
      </c>
    </row>
    <row r="139" spans="1:7" ht="14.25" customHeight="1">
      <c r="A139" t="s">
        <v>450</v>
      </c>
      <c r="B139" t="s">
        <v>1066</v>
      </c>
      <c r="C139" s="48" t="s">
        <v>1376</v>
      </c>
      <c r="D139" s="114" t="str">
        <f>VLOOKUP(C139,'Custos Matéria Prima Embalagens'!B:C,2,0)</f>
        <v>LATA 001S 3L LAM TINTAS BRAZIMIL ESM SINT EP/GF PLUS</v>
      </c>
      <c r="E139" s="114">
        <f>VLOOKUP(C139,'Custos Matéria Prima Embalagens'!B:D,3,0)</f>
        <v>0</v>
      </c>
      <c r="F139" s="147">
        <f>VLOOKUP(C139,'Custos Matéria Prima Embalagens'!B:G,6,0)</f>
        <v>8.5299999999999994</v>
      </c>
      <c r="G139" s="216">
        <v>45939</v>
      </c>
    </row>
    <row r="140" spans="1:7" ht="14.25" customHeight="1">
      <c r="A140" t="s">
        <v>455</v>
      </c>
      <c r="B140" t="s">
        <v>1071</v>
      </c>
      <c r="C140" s="48" t="s">
        <v>1376</v>
      </c>
      <c r="D140" s="114" t="str">
        <f>VLOOKUP(C140,'Custos Matéria Prima Embalagens'!B:C,2,0)</f>
        <v>LATA 001S 3L LAM TINTAS BRAZIMIL ESM SINT EP/GF PLUS</v>
      </c>
      <c r="E140" s="114">
        <f>VLOOKUP(C140,'Custos Matéria Prima Embalagens'!B:D,3,0)</f>
        <v>0</v>
      </c>
      <c r="F140" s="147">
        <f>VLOOKUP(C140,'Custos Matéria Prima Embalagens'!B:G,6,0)</f>
        <v>8.5299999999999994</v>
      </c>
      <c r="G140" s="216">
        <v>45939</v>
      </c>
    </row>
    <row r="141" spans="1:7" ht="14.25" customHeight="1">
      <c r="A141" t="s">
        <v>456</v>
      </c>
      <c r="B141" t="s">
        <v>1072</v>
      </c>
      <c r="C141" s="48" t="s">
        <v>1376</v>
      </c>
      <c r="D141" s="114" t="str">
        <f>VLOOKUP(C141,'Custos Matéria Prima Embalagens'!B:C,2,0)</f>
        <v>LATA 001S 3L LAM TINTAS BRAZIMIL ESM SINT EP/GF PLUS</v>
      </c>
      <c r="E141" s="114">
        <f>VLOOKUP(C141,'Custos Matéria Prima Embalagens'!B:D,3,0)</f>
        <v>0</v>
      </c>
      <c r="F141" s="147">
        <f>VLOOKUP(C141,'Custos Matéria Prima Embalagens'!B:G,6,0)</f>
        <v>8.5299999999999994</v>
      </c>
      <c r="G141" s="216">
        <v>45939</v>
      </c>
    </row>
    <row r="142" spans="1:7" ht="14.25" customHeight="1">
      <c r="G142" s="216"/>
    </row>
    <row r="143" spans="1:7" ht="14.25" customHeight="1">
      <c r="G143" s="216"/>
    </row>
    <row r="144" spans="1:7" ht="14.25" customHeight="1">
      <c r="G144" s="216"/>
    </row>
    <row r="145" spans="7:7" ht="14.25" customHeight="1">
      <c r="G145" s="216"/>
    </row>
    <row r="146" spans="7:7" ht="14.25" customHeight="1">
      <c r="G146" s="216"/>
    </row>
    <row r="147" spans="7:7" ht="14.25" customHeight="1">
      <c r="G147" s="216"/>
    </row>
    <row r="148" spans="7:7" ht="14.25" customHeight="1">
      <c r="G148" s="216"/>
    </row>
    <row r="149" spans="7:7" ht="14.25" customHeight="1">
      <c r="G149" s="216"/>
    </row>
    <row r="150" spans="7:7" ht="14.25" customHeight="1">
      <c r="G150" s="216"/>
    </row>
    <row r="151" spans="7:7" ht="14.25" customHeight="1">
      <c r="G151" s="216"/>
    </row>
    <row r="152" spans="7:7" ht="14.25" customHeight="1">
      <c r="G152" s="216"/>
    </row>
    <row r="153" spans="7:7" ht="14.25" customHeight="1">
      <c r="G153" s="216"/>
    </row>
    <row r="154" spans="7:7" ht="14.25" customHeight="1">
      <c r="G154" s="216"/>
    </row>
    <row r="155" spans="7:7" ht="14.25" customHeight="1">
      <c r="G155" s="216"/>
    </row>
    <row r="156" spans="7:7" ht="14.25" customHeight="1">
      <c r="G156" s="216"/>
    </row>
    <row r="157" spans="7:7" ht="14.25" customHeight="1">
      <c r="G157" s="216"/>
    </row>
    <row r="158" spans="7:7" ht="14.25" customHeight="1">
      <c r="G158" s="216"/>
    </row>
    <row r="159" spans="7:7" ht="14.25" customHeight="1">
      <c r="G159" s="216"/>
    </row>
    <row r="160" spans="7:7" ht="14.25" customHeight="1">
      <c r="G160" s="216"/>
    </row>
    <row r="161" spans="7:7" ht="14.25" customHeight="1">
      <c r="G161" s="216"/>
    </row>
    <row r="162" spans="7:7" ht="14.25" customHeight="1">
      <c r="G162" s="216"/>
    </row>
    <row r="163" spans="7:7" ht="14.25" customHeight="1">
      <c r="G163" s="216"/>
    </row>
    <row r="164" spans="7:7" ht="14.25" customHeight="1">
      <c r="G164" s="216"/>
    </row>
    <row r="165" spans="7:7" ht="14.25" customHeight="1">
      <c r="G165" s="216"/>
    </row>
    <row r="166" spans="7:7" ht="14.25" customHeight="1">
      <c r="G166" s="216"/>
    </row>
    <row r="167" spans="7:7" ht="14.25" customHeight="1">
      <c r="G167" s="216"/>
    </row>
    <row r="168" spans="7:7" ht="14.25" customHeight="1">
      <c r="G168" s="216"/>
    </row>
    <row r="169" spans="7:7" ht="14.25" customHeight="1">
      <c r="G169" s="216"/>
    </row>
    <row r="170" spans="7:7" ht="14.25" customHeight="1">
      <c r="G170" s="216"/>
    </row>
    <row r="171" spans="7:7" ht="14.25" customHeight="1">
      <c r="G171" s="216"/>
    </row>
    <row r="172" spans="7:7" ht="14.25" customHeight="1">
      <c r="G172" s="216"/>
    </row>
    <row r="173" spans="7:7" ht="14.25" customHeight="1">
      <c r="G173" s="216"/>
    </row>
    <row r="174" spans="7:7" ht="14.25" customHeight="1">
      <c r="G174" s="216"/>
    </row>
    <row r="175" spans="7:7" ht="14.25" customHeight="1">
      <c r="G175" s="216"/>
    </row>
    <row r="176" spans="7:7" ht="14.25" customHeight="1">
      <c r="G176" s="216"/>
    </row>
    <row r="177" spans="7:7" ht="14.25" customHeight="1">
      <c r="G177" s="216"/>
    </row>
    <row r="178" spans="7:7" ht="14.25" customHeight="1">
      <c r="G178" s="216"/>
    </row>
    <row r="179" spans="7:7" ht="14.25" customHeight="1">
      <c r="G179" s="216"/>
    </row>
    <row r="180" spans="7:7" ht="14.25" customHeight="1">
      <c r="G180" s="216"/>
    </row>
    <row r="181" spans="7:7" ht="14.25" customHeight="1">
      <c r="G181" s="216"/>
    </row>
    <row r="182" spans="7:7" ht="14.25" customHeight="1">
      <c r="G182" s="216"/>
    </row>
    <row r="183" spans="7:7" ht="14.25" customHeight="1">
      <c r="G183" s="216"/>
    </row>
    <row r="184" spans="7:7" ht="14.25" customHeight="1">
      <c r="G184" s="216"/>
    </row>
    <row r="185" spans="7:7" ht="14.25" customHeight="1">
      <c r="G185" s="216"/>
    </row>
    <row r="186" spans="7:7" ht="14.25" customHeight="1">
      <c r="G186" s="216"/>
    </row>
    <row r="187" spans="7:7" ht="14.25" customHeight="1">
      <c r="G187" s="216"/>
    </row>
    <row r="188" spans="7:7" ht="14.25" customHeight="1">
      <c r="G188" s="216"/>
    </row>
    <row r="189" spans="7:7" ht="14.25" customHeight="1">
      <c r="G189" s="216"/>
    </row>
    <row r="190" spans="7:7" ht="14.25" customHeight="1">
      <c r="G190" s="216"/>
    </row>
    <row r="191" spans="7:7" ht="14.25" customHeight="1">
      <c r="G191" s="216"/>
    </row>
    <row r="192" spans="7:7" ht="14.25" customHeight="1">
      <c r="G192" s="216"/>
    </row>
    <row r="193" spans="7:7" ht="14.25" customHeight="1">
      <c r="G193" s="216"/>
    </row>
    <row r="194" spans="7:7" ht="14.25" customHeight="1">
      <c r="G194" s="216"/>
    </row>
    <row r="195" spans="7:7" ht="14.25" customHeight="1">
      <c r="G195" s="216"/>
    </row>
    <row r="196" spans="7:7" ht="14.25" customHeight="1">
      <c r="G196" s="216"/>
    </row>
    <row r="197" spans="7:7" ht="14.25" customHeight="1">
      <c r="G197" s="216"/>
    </row>
    <row r="198" spans="7:7" ht="14.25" customHeight="1">
      <c r="G198" s="216"/>
    </row>
    <row r="199" spans="7:7" ht="14.25" customHeight="1">
      <c r="G199" s="216"/>
    </row>
    <row r="200" spans="7:7" ht="14.25" customHeight="1">
      <c r="G200" s="216"/>
    </row>
    <row r="201" spans="7:7" ht="14.25" customHeight="1">
      <c r="G201" s="216"/>
    </row>
    <row r="202" spans="7:7" ht="14.25" customHeight="1">
      <c r="G202" s="216"/>
    </row>
    <row r="203" spans="7:7" ht="14.25" customHeight="1">
      <c r="G203" s="216"/>
    </row>
    <row r="204" spans="7:7" ht="14.25" customHeight="1">
      <c r="G204" s="216"/>
    </row>
    <row r="205" spans="7:7" ht="14.25" customHeight="1">
      <c r="G205" s="216"/>
    </row>
    <row r="206" spans="7:7" ht="14.25" customHeight="1">
      <c r="G206" s="216"/>
    </row>
    <row r="207" spans="7:7" ht="14.25" customHeight="1">
      <c r="G207" s="216"/>
    </row>
    <row r="208" spans="7:7" ht="14.25" customHeight="1">
      <c r="G208" s="216"/>
    </row>
    <row r="209" spans="7:7" ht="14.25" customHeight="1">
      <c r="G209" s="216"/>
    </row>
    <row r="210" spans="7:7" ht="14.25" customHeight="1">
      <c r="G210" s="216"/>
    </row>
    <row r="211" spans="7:7" ht="14.25" customHeight="1">
      <c r="G211" s="216"/>
    </row>
    <row r="212" spans="7:7" ht="14.25" customHeight="1">
      <c r="G212" s="216"/>
    </row>
    <row r="213" spans="7:7" ht="14.25" customHeight="1">
      <c r="G213" s="216"/>
    </row>
    <row r="214" spans="7:7" ht="14.25" customHeight="1">
      <c r="G214" s="216"/>
    </row>
    <row r="215" spans="7:7" ht="14.25" customHeight="1">
      <c r="G215" s="216"/>
    </row>
    <row r="216" spans="7:7" ht="14.25" customHeight="1">
      <c r="G216" s="216"/>
    </row>
    <row r="217" spans="7:7" ht="14.25" customHeight="1">
      <c r="G217" s="216"/>
    </row>
    <row r="218" spans="7:7" ht="14.25" customHeight="1">
      <c r="G218" s="216"/>
    </row>
    <row r="219" spans="7:7" ht="14.25" customHeight="1">
      <c r="G219" s="216"/>
    </row>
    <row r="220" spans="7:7" ht="14.25" customHeight="1">
      <c r="G220" s="216"/>
    </row>
    <row r="221" spans="7:7" ht="14.25" customHeight="1">
      <c r="G221" s="216"/>
    </row>
    <row r="222" spans="7:7" ht="14.25" customHeight="1">
      <c r="G222" s="216"/>
    </row>
    <row r="223" spans="7:7" ht="14.25" customHeight="1">
      <c r="G223" s="216"/>
    </row>
    <row r="224" spans="7:7" ht="14.25" customHeight="1">
      <c r="G224" s="216"/>
    </row>
    <row r="225" spans="7:7" ht="14.25" customHeight="1">
      <c r="G225" s="216"/>
    </row>
    <row r="226" spans="7:7" ht="14.25" customHeight="1">
      <c r="G226" s="216"/>
    </row>
    <row r="227" spans="7:7" ht="14.25" customHeight="1">
      <c r="G227" s="216"/>
    </row>
    <row r="228" spans="7:7" ht="14.25" customHeight="1">
      <c r="G228" s="216"/>
    </row>
    <row r="229" spans="7:7" ht="14.25" customHeight="1">
      <c r="G229" s="216"/>
    </row>
    <row r="230" spans="7:7" ht="14.25" customHeight="1">
      <c r="G230" s="216"/>
    </row>
    <row r="231" spans="7:7" ht="14.25" customHeight="1">
      <c r="G231" s="216"/>
    </row>
    <row r="232" spans="7:7" ht="14.25" customHeight="1">
      <c r="G232" s="216"/>
    </row>
    <row r="233" spans="7:7" ht="14.25" customHeight="1">
      <c r="G233" s="216"/>
    </row>
    <row r="234" spans="7:7" ht="14.25" customHeight="1">
      <c r="G234" s="216"/>
    </row>
    <row r="235" spans="7:7" ht="14.25" customHeight="1">
      <c r="G235" s="216"/>
    </row>
    <row r="236" spans="7:7" ht="14.25" customHeight="1">
      <c r="G236" s="216"/>
    </row>
    <row r="237" spans="7:7" ht="14.25" customHeight="1">
      <c r="G237" s="216"/>
    </row>
    <row r="238" spans="7:7" ht="14.25" customHeight="1">
      <c r="G238" s="216"/>
    </row>
    <row r="239" spans="7:7" ht="14.25" customHeight="1">
      <c r="G239" s="216"/>
    </row>
    <row r="240" spans="7:7" ht="14.25" customHeight="1">
      <c r="G240" s="216"/>
    </row>
    <row r="241" spans="7:7" ht="14.25" customHeight="1">
      <c r="G241" s="216"/>
    </row>
    <row r="242" spans="7:7" ht="14.25" customHeight="1">
      <c r="G242" s="216"/>
    </row>
    <row r="243" spans="7:7" ht="14.25" customHeight="1">
      <c r="G243" s="216"/>
    </row>
    <row r="244" spans="7:7" ht="14.25" customHeight="1">
      <c r="G244" s="216"/>
    </row>
    <row r="245" spans="7:7" ht="14.25" customHeight="1">
      <c r="G245" s="216"/>
    </row>
    <row r="246" spans="7:7" ht="14.25" customHeight="1">
      <c r="G246" s="216"/>
    </row>
    <row r="247" spans="7:7" ht="14.25" customHeight="1">
      <c r="G247" s="216"/>
    </row>
    <row r="248" spans="7:7" ht="14.25" customHeight="1">
      <c r="G248" s="216"/>
    </row>
    <row r="249" spans="7:7" ht="14.25" customHeight="1">
      <c r="G249" s="216"/>
    </row>
    <row r="250" spans="7:7" ht="14.25" customHeight="1">
      <c r="G250" s="216"/>
    </row>
    <row r="251" spans="7:7" ht="14.25" customHeight="1">
      <c r="G251" s="216"/>
    </row>
    <row r="252" spans="7:7" ht="14.25" customHeight="1">
      <c r="G252" s="216"/>
    </row>
    <row r="253" spans="7:7" ht="14.25" customHeight="1">
      <c r="G253" s="216"/>
    </row>
    <row r="254" spans="7:7" ht="14.25" customHeight="1">
      <c r="G254" s="216"/>
    </row>
    <row r="255" spans="7:7" ht="14.25" customHeight="1">
      <c r="G255" s="216"/>
    </row>
    <row r="256" spans="7:7" ht="14.25" customHeight="1">
      <c r="G256" s="216"/>
    </row>
    <row r="257" spans="7:7" ht="14.25" customHeight="1">
      <c r="G257" s="216"/>
    </row>
    <row r="258" spans="7:7" ht="14.25" customHeight="1">
      <c r="G258" s="216"/>
    </row>
    <row r="259" spans="7:7" ht="14.25" customHeight="1">
      <c r="G259" s="216"/>
    </row>
    <row r="260" spans="7:7" ht="14.25" customHeight="1">
      <c r="G260" s="216"/>
    </row>
    <row r="261" spans="7:7" ht="14.25" customHeight="1">
      <c r="G261" s="216"/>
    </row>
    <row r="262" spans="7:7" ht="14.25" customHeight="1">
      <c r="G262" s="216"/>
    </row>
    <row r="263" spans="7:7" ht="14.25" customHeight="1">
      <c r="G263" s="216"/>
    </row>
    <row r="264" spans="7:7" ht="14.25" customHeight="1">
      <c r="G264" s="216"/>
    </row>
    <row r="265" spans="7:7" ht="14.25" customHeight="1">
      <c r="G265" s="216"/>
    </row>
    <row r="266" spans="7:7" ht="14.25" customHeight="1">
      <c r="G266" s="216"/>
    </row>
    <row r="267" spans="7:7" ht="14.25" customHeight="1">
      <c r="G267" s="216"/>
    </row>
    <row r="268" spans="7:7" ht="14.25" customHeight="1">
      <c r="G268" s="216"/>
    </row>
    <row r="269" spans="7:7" ht="14.25" customHeight="1">
      <c r="G269" s="216"/>
    </row>
    <row r="270" spans="7:7" ht="14.25" customHeight="1">
      <c r="G270" s="216"/>
    </row>
    <row r="271" spans="7:7" ht="14.25" customHeight="1">
      <c r="G271" s="216"/>
    </row>
    <row r="272" spans="7:7" ht="14.25" customHeight="1">
      <c r="G272" s="216"/>
    </row>
    <row r="273" spans="7:7" ht="14.25" customHeight="1">
      <c r="G273" s="216"/>
    </row>
    <row r="274" spans="7:7" ht="14.25" customHeight="1">
      <c r="G274" s="216"/>
    </row>
    <row r="275" spans="7:7" ht="14.25" customHeight="1">
      <c r="G275" s="216"/>
    </row>
    <row r="276" spans="7:7" ht="14.25" customHeight="1">
      <c r="G276" s="216"/>
    </row>
    <row r="277" spans="7:7" ht="14.25" customHeight="1">
      <c r="G277" s="216"/>
    </row>
    <row r="278" spans="7:7" ht="14.25" customHeight="1">
      <c r="G278" s="216"/>
    </row>
    <row r="279" spans="7:7" ht="14.25" customHeight="1">
      <c r="G279" s="216"/>
    </row>
    <row r="280" spans="7:7" ht="14.25" customHeight="1">
      <c r="G280" s="216"/>
    </row>
    <row r="281" spans="7:7" ht="14.25" customHeight="1">
      <c r="G281" s="216"/>
    </row>
    <row r="282" spans="7:7" ht="14.25" customHeight="1">
      <c r="G282" s="216"/>
    </row>
    <row r="283" spans="7:7" ht="14.25" customHeight="1">
      <c r="G283" s="216"/>
    </row>
    <row r="284" spans="7:7" ht="14.25" customHeight="1">
      <c r="G284" s="216"/>
    </row>
    <row r="285" spans="7:7" ht="14.25" customHeight="1">
      <c r="G285" s="216"/>
    </row>
    <row r="286" spans="7:7" ht="14.25" customHeight="1">
      <c r="G286" s="216"/>
    </row>
    <row r="287" spans="7:7" ht="14.25" customHeight="1">
      <c r="G287" s="216"/>
    </row>
    <row r="288" spans="7:7" ht="14.25" customHeight="1">
      <c r="G288" s="216"/>
    </row>
    <row r="289" spans="7:7" ht="14.25" customHeight="1">
      <c r="G289" s="216"/>
    </row>
    <row r="290" spans="7:7" ht="14.25" customHeight="1">
      <c r="G290" s="216"/>
    </row>
    <row r="291" spans="7:7" ht="14.25" customHeight="1">
      <c r="G291" s="216"/>
    </row>
    <row r="292" spans="7:7" ht="14.25" customHeight="1">
      <c r="G292" s="216"/>
    </row>
    <row r="293" spans="7:7" ht="14.25" customHeight="1">
      <c r="G293" s="216"/>
    </row>
    <row r="294" spans="7:7" ht="14.25" customHeight="1">
      <c r="G294" s="216"/>
    </row>
    <row r="295" spans="7:7" ht="14.25" customHeight="1">
      <c r="G295" s="216"/>
    </row>
    <row r="296" spans="7:7" ht="14.25" customHeight="1">
      <c r="G296" s="216"/>
    </row>
    <row r="297" spans="7:7" ht="14.25" customHeight="1">
      <c r="G297" s="216"/>
    </row>
    <row r="298" spans="7:7" ht="14.25" customHeight="1">
      <c r="G298" s="216"/>
    </row>
    <row r="299" spans="7:7" ht="14.25" customHeight="1">
      <c r="G299" s="216"/>
    </row>
    <row r="300" spans="7:7" ht="14.25" customHeight="1">
      <c r="G300" s="216"/>
    </row>
    <row r="301" spans="7:7" ht="14.25" customHeight="1">
      <c r="G301" s="216"/>
    </row>
    <row r="302" spans="7:7" ht="14.25" customHeight="1">
      <c r="G302" s="216"/>
    </row>
    <row r="303" spans="7:7" ht="14.25" customHeight="1">
      <c r="G303" s="216"/>
    </row>
    <row r="304" spans="7:7" ht="14.25" customHeight="1">
      <c r="G304" s="216"/>
    </row>
    <row r="305" spans="7:7" ht="14.25" customHeight="1">
      <c r="G305" s="216"/>
    </row>
    <row r="306" spans="7:7" ht="14.25" customHeight="1">
      <c r="G306" s="216"/>
    </row>
    <row r="307" spans="7:7" ht="14.25" customHeight="1">
      <c r="G307" s="216"/>
    </row>
    <row r="308" spans="7:7" ht="14.25" customHeight="1">
      <c r="G308" s="216"/>
    </row>
    <row r="309" spans="7:7" ht="14.25" customHeight="1">
      <c r="G309" s="216"/>
    </row>
    <row r="310" spans="7:7" ht="14.25" customHeight="1">
      <c r="G310" s="216"/>
    </row>
    <row r="311" spans="7:7" ht="14.25" customHeight="1">
      <c r="G311" s="216"/>
    </row>
    <row r="312" spans="7:7" ht="14.25" customHeight="1">
      <c r="G312" s="216"/>
    </row>
    <row r="313" spans="7:7" ht="14.25" customHeight="1">
      <c r="G313" s="216"/>
    </row>
    <row r="314" spans="7:7" ht="14.25" customHeight="1">
      <c r="G314" s="216"/>
    </row>
    <row r="315" spans="7:7" ht="14.25" customHeight="1">
      <c r="G315" s="216"/>
    </row>
    <row r="316" spans="7:7" ht="14.25" customHeight="1">
      <c r="G316" s="216"/>
    </row>
    <row r="317" spans="7:7" ht="14.25" customHeight="1">
      <c r="G317" s="216"/>
    </row>
    <row r="318" spans="7:7" ht="14.25" customHeight="1">
      <c r="G318" s="216"/>
    </row>
    <row r="319" spans="7:7" ht="14.25" customHeight="1">
      <c r="G319" s="216"/>
    </row>
    <row r="320" spans="7:7" ht="14.25" customHeight="1">
      <c r="G320" s="216"/>
    </row>
    <row r="321" spans="7:7" ht="14.25" customHeight="1">
      <c r="G321" s="216"/>
    </row>
    <row r="322" spans="7:7" ht="14.25" customHeight="1">
      <c r="G322" s="216"/>
    </row>
    <row r="323" spans="7:7" ht="14.25" customHeight="1">
      <c r="G323" s="216"/>
    </row>
    <row r="324" spans="7:7" ht="14.25" customHeight="1">
      <c r="G324" s="216"/>
    </row>
    <row r="325" spans="7:7" ht="14.25" customHeight="1">
      <c r="G325" s="216"/>
    </row>
    <row r="326" spans="7:7" ht="14.25" customHeight="1">
      <c r="G326" s="216"/>
    </row>
    <row r="327" spans="7:7" ht="14.25" customHeight="1">
      <c r="G327" s="216"/>
    </row>
    <row r="328" spans="7:7" ht="14.25" customHeight="1">
      <c r="G328" s="216"/>
    </row>
    <row r="329" spans="7:7" ht="14.25" customHeight="1">
      <c r="G329" s="216"/>
    </row>
    <row r="330" spans="7:7" ht="14.25" customHeight="1">
      <c r="G330" s="216"/>
    </row>
    <row r="331" spans="7:7" ht="14.25" customHeight="1">
      <c r="G331" s="216"/>
    </row>
    <row r="332" spans="7:7" ht="14.25" customHeight="1">
      <c r="G332" s="216"/>
    </row>
    <row r="333" spans="7:7" ht="14.25" customHeight="1">
      <c r="G333" s="216"/>
    </row>
    <row r="334" spans="7:7" ht="14.25" customHeight="1">
      <c r="G334" s="216"/>
    </row>
    <row r="335" spans="7:7" ht="14.25" customHeight="1">
      <c r="G335" s="216"/>
    </row>
    <row r="336" spans="7:7" ht="14.25" customHeight="1">
      <c r="G336" s="216"/>
    </row>
    <row r="337" spans="7:7" ht="14.25" customHeight="1">
      <c r="G337" s="216"/>
    </row>
    <row r="338" spans="7:7" ht="14.25" customHeight="1">
      <c r="G338" s="216"/>
    </row>
    <row r="339" spans="7:7" ht="14.25" customHeight="1">
      <c r="G339" s="216"/>
    </row>
    <row r="340" spans="7:7" ht="14.25" customHeight="1">
      <c r="G340" s="216"/>
    </row>
    <row r="341" spans="7:7" ht="14.25" customHeight="1">
      <c r="G341" s="216"/>
    </row>
    <row r="342" spans="7:7" ht="14.25" customHeight="1">
      <c r="G342" s="216"/>
    </row>
    <row r="343" spans="7:7" ht="14.25" customHeight="1">
      <c r="G343" s="216"/>
    </row>
    <row r="344" spans="7:7" ht="14.25" customHeight="1">
      <c r="G344" s="216"/>
    </row>
    <row r="345" spans="7:7" ht="14.25" customHeight="1">
      <c r="G345" s="216"/>
    </row>
    <row r="346" spans="7:7" ht="14.25" customHeight="1">
      <c r="G346" s="216"/>
    </row>
    <row r="347" spans="7:7" ht="14.25" customHeight="1">
      <c r="G347" s="216"/>
    </row>
    <row r="348" spans="7:7" ht="14.25" customHeight="1">
      <c r="G348" s="216"/>
    </row>
    <row r="349" spans="7:7" ht="14.25" customHeight="1">
      <c r="G349" s="216"/>
    </row>
    <row r="350" spans="7:7" ht="14.25" customHeight="1">
      <c r="G350" s="216"/>
    </row>
    <row r="351" spans="7:7" ht="14.25" customHeight="1">
      <c r="G351" s="216"/>
    </row>
    <row r="352" spans="7:7" ht="14.25" customHeight="1">
      <c r="G352" s="216"/>
    </row>
    <row r="353" spans="7:7" ht="14.25" customHeight="1">
      <c r="G353" s="216"/>
    </row>
    <row r="354" spans="7:7" ht="14.25" customHeight="1">
      <c r="G354" s="216"/>
    </row>
    <row r="355" spans="7:7" ht="14.25" customHeight="1">
      <c r="G355" s="216"/>
    </row>
    <row r="356" spans="7:7" ht="14.25" customHeight="1">
      <c r="G356" s="216"/>
    </row>
    <row r="357" spans="7:7" ht="14.25" customHeight="1">
      <c r="G357" s="216"/>
    </row>
    <row r="358" spans="7:7" ht="14.25" customHeight="1">
      <c r="G358" s="216"/>
    </row>
    <row r="359" spans="7:7" ht="14.25" customHeight="1">
      <c r="G359" s="216"/>
    </row>
    <row r="360" spans="7:7" ht="14.25" customHeight="1">
      <c r="G360" s="216"/>
    </row>
    <row r="361" spans="7:7" ht="14.25" customHeight="1">
      <c r="G361" s="216"/>
    </row>
    <row r="362" spans="7:7" ht="14.25" customHeight="1">
      <c r="G362" s="216"/>
    </row>
    <row r="363" spans="7:7" ht="14.25" customHeight="1">
      <c r="G363" s="216"/>
    </row>
    <row r="364" spans="7:7" ht="14.25" customHeight="1">
      <c r="G364" s="216"/>
    </row>
    <row r="365" spans="7:7" ht="14.25" customHeight="1">
      <c r="G365" s="216"/>
    </row>
    <row r="366" spans="7:7" ht="14.25" customHeight="1">
      <c r="G366" s="216"/>
    </row>
    <row r="367" spans="7:7" ht="14.25" customHeight="1">
      <c r="G367" s="216"/>
    </row>
    <row r="368" spans="7:7" ht="14.25" customHeight="1">
      <c r="G368" s="216"/>
    </row>
    <row r="369" spans="7:7" ht="14.25" customHeight="1">
      <c r="G369" s="216"/>
    </row>
    <row r="370" spans="7:7" ht="14.25" customHeight="1">
      <c r="G370" s="216"/>
    </row>
    <row r="371" spans="7:7" ht="14.25" customHeight="1">
      <c r="G371" s="216"/>
    </row>
    <row r="372" spans="7:7" ht="14.25" customHeight="1">
      <c r="G372" s="216"/>
    </row>
    <row r="373" spans="7:7" ht="14.25" customHeight="1">
      <c r="G373" s="216"/>
    </row>
    <row r="374" spans="7:7" ht="14.25" customHeight="1">
      <c r="G374" s="216"/>
    </row>
    <row r="375" spans="7:7" ht="14.25" customHeight="1">
      <c r="G375" s="216"/>
    </row>
    <row r="376" spans="7:7" ht="14.25" customHeight="1">
      <c r="G376" s="216"/>
    </row>
    <row r="377" spans="7:7" ht="14.25" customHeight="1">
      <c r="G377" s="216"/>
    </row>
    <row r="378" spans="7:7" ht="14.25" customHeight="1">
      <c r="G378" s="216"/>
    </row>
    <row r="379" spans="7:7" ht="14.25" customHeight="1">
      <c r="G379" s="216"/>
    </row>
    <row r="380" spans="7:7" ht="14.25" customHeight="1">
      <c r="G380" s="216"/>
    </row>
    <row r="381" spans="7:7" ht="14.25" customHeight="1">
      <c r="G381" s="216"/>
    </row>
    <row r="382" spans="7:7" ht="14.25" customHeight="1">
      <c r="G382" s="216"/>
    </row>
    <row r="383" spans="7:7" ht="14.25" customHeight="1">
      <c r="G383" s="216"/>
    </row>
    <row r="384" spans="7:7" ht="14.25" customHeight="1">
      <c r="G384" s="216"/>
    </row>
    <row r="385" spans="7:7" ht="14.25" customHeight="1">
      <c r="G385" s="216"/>
    </row>
    <row r="386" spans="7:7" ht="14.25" customHeight="1">
      <c r="G386" s="216"/>
    </row>
    <row r="387" spans="7:7" ht="14.25" customHeight="1">
      <c r="G387" s="216"/>
    </row>
    <row r="388" spans="7:7" ht="14.25" customHeight="1">
      <c r="G388" s="216"/>
    </row>
    <row r="389" spans="7:7" ht="14.25" customHeight="1">
      <c r="G389" s="216"/>
    </row>
    <row r="390" spans="7:7" ht="14.25" customHeight="1">
      <c r="G390" s="216"/>
    </row>
    <row r="391" spans="7:7" ht="14.25" customHeight="1">
      <c r="G391" s="216"/>
    </row>
    <row r="392" spans="7:7" ht="14.25" customHeight="1">
      <c r="G392" s="216"/>
    </row>
    <row r="393" spans="7:7" ht="14.25" customHeight="1">
      <c r="G393" s="216"/>
    </row>
    <row r="394" spans="7:7" ht="14.25" customHeight="1">
      <c r="G394" s="216"/>
    </row>
    <row r="395" spans="7:7" ht="14.25" customHeight="1">
      <c r="G395" s="216"/>
    </row>
    <row r="396" spans="7:7" ht="14.25" customHeight="1">
      <c r="G396" s="216"/>
    </row>
    <row r="397" spans="7:7" ht="14.25" customHeight="1">
      <c r="G397" s="216"/>
    </row>
    <row r="398" spans="7:7" ht="14.25" customHeight="1">
      <c r="G398" s="216"/>
    </row>
    <row r="399" spans="7:7" ht="14.25" customHeight="1">
      <c r="G399" s="216"/>
    </row>
    <row r="400" spans="7:7" ht="14.25" customHeight="1">
      <c r="G400" s="216"/>
    </row>
    <row r="401" spans="7:7" ht="14.25" customHeight="1">
      <c r="G401" s="216"/>
    </row>
    <row r="402" spans="7:7" ht="14.25" customHeight="1">
      <c r="G402" s="216"/>
    </row>
    <row r="403" spans="7:7" ht="14.25" customHeight="1">
      <c r="G403" s="216"/>
    </row>
    <row r="404" spans="7:7" ht="14.25" customHeight="1">
      <c r="G404" s="216"/>
    </row>
    <row r="405" spans="7:7" ht="14.25" customHeight="1">
      <c r="G405" s="216"/>
    </row>
    <row r="406" spans="7:7" ht="14.25" customHeight="1">
      <c r="G406" s="216"/>
    </row>
    <row r="407" spans="7:7" ht="14.25" customHeight="1">
      <c r="G407" s="216"/>
    </row>
    <row r="408" spans="7:7" ht="14.25" customHeight="1">
      <c r="G408" s="216"/>
    </row>
    <row r="409" spans="7:7" ht="14.25" customHeight="1">
      <c r="G409" s="216"/>
    </row>
    <row r="410" spans="7:7" ht="14.25" customHeight="1">
      <c r="G410" s="216"/>
    </row>
    <row r="411" spans="7:7" ht="14.25" customHeight="1">
      <c r="G411" s="216"/>
    </row>
    <row r="412" spans="7:7" ht="14.25" customHeight="1">
      <c r="G412" s="216"/>
    </row>
    <row r="413" spans="7:7" ht="14.25" customHeight="1">
      <c r="G413" s="216"/>
    </row>
    <row r="414" spans="7:7" ht="14.25" customHeight="1">
      <c r="G414" s="216"/>
    </row>
    <row r="415" spans="7:7" ht="14.25" customHeight="1">
      <c r="G415" s="216"/>
    </row>
    <row r="416" spans="7:7" ht="14.25" customHeight="1">
      <c r="G416" s="216"/>
    </row>
    <row r="417" spans="7:7" ht="14.25" customHeight="1">
      <c r="G417" s="216"/>
    </row>
    <row r="418" spans="7:7" ht="14.25" customHeight="1">
      <c r="G418" s="216"/>
    </row>
    <row r="419" spans="7:7" ht="14.25" customHeight="1">
      <c r="G419" s="216"/>
    </row>
    <row r="420" spans="7:7" ht="14.25" customHeight="1">
      <c r="G420" s="216"/>
    </row>
    <row r="421" spans="7:7" ht="14.25" customHeight="1">
      <c r="G421" s="216"/>
    </row>
    <row r="422" spans="7:7" ht="14.25" customHeight="1">
      <c r="G422" s="216"/>
    </row>
    <row r="423" spans="7:7" ht="14.25" customHeight="1">
      <c r="G423" s="216"/>
    </row>
    <row r="424" spans="7:7" ht="14.25" customHeight="1">
      <c r="G424" s="216"/>
    </row>
    <row r="425" spans="7:7" ht="14.25" customHeight="1">
      <c r="G425" s="216"/>
    </row>
    <row r="426" spans="7:7" ht="14.25" customHeight="1">
      <c r="G426" s="216"/>
    </row>
    <row r="427" spans="7:7" ht="14.25" customHeight="1">
      <c r="G427" s="216"/>
    </row>
    <row r="428" spans="7:7" ht="14.25" customHeight="1">
      <c r="G428" s="216"/>
    </row>
    <row r="429" spans="7:7" ht="14.25" customHeight="1">
      <c r="G429" s="216"/>
    </row>
    <row r="430" spans="7:7" ht="14.25" customHeight="1">
      <c r="G430" s="216"/>
    </row>
    <row r="431" spans="7:7" ht="14.25" customHeight="1">
      <c r="G431" s="216"/>
    </row>
    <row r="432" spans="7:7" ht="14.25" customHeight="1">
      <c r="G432" s="216"/>
    </row>
    <row r="433" spans="7:7" ht="14.25" customHeight="1">
      <c r="G433" s="216"/>
    </row>
    <row r="434" spans="7:7" ht="14.25" customHeight="1">
      <c r="G434" s="216"/>
    </row>
    <row r="435" spans="7:7" ht="14.25" customHeight="1">
      <c r="G435" s="216"/>
    </row>
    <row r="436" spans="7:7" ht="14.25" customHeight="1">
      <c r="G436" s="216"/>
    </row>
    <row r="437" spans="7:7" ht="14.25" customHeight="1">
      <c r="G437" s="216"/>
    </row>
    <row r="438" spans="7:7" ht="14.25" customHeight="1">
      <c r="G438" s="216"/>
    </row>
    <row r="439" spans="7:7" ht="14.25" customHeight="1">
      <c r="G439" s="216"/>
    </row>
    <row r="440" spans="7:7" ht="14.25" customHeight="1">
      <c r="G440" s="216"/>
    </row>
    <row r="441" spans="7:7" ht="14.25" customHeight="1">
      <c r="G441" s="216"/>
    </row>
    <row r="442" spans="7:7" ht="14.25" customHeight="1">
      <c r="G442" s="216"/>
    </row>
    <row r="443" spans="7:7" ht="14.25" customHeight="1">
      <c r="G443" s="216"/>
    </row>
    <row r="444" spans="7:7" ht="14.25" customHeight="1">
      <c r="G444" s="216"/>
    </row>
    <row r="445" spans="7:7" ht="14.25" customHeight="1">
      <c r="G445" s="216"/>
    </row>
    <row r="446" spans="7:7" ht="14.25" customHeight="1">
      <c r="G446" s="216"/>
    </row>
    <row r="447" spans="7:7" ht="14.25" customHeight="1">
      <c r="G447" s="216"/>
    </row>
    <row r="448" spans="7:7" ht="14.25" customHeight="1">
      <c r="G448" s="216"/>
    </row>
    <row r="449" spans="7:7" ht="14.25" customHeight="1">
      <c r="G449" s="216"/>
    </row>
    <row r="450" spans="7:7" ht="14.25" customHeight="1">
      <c r="G450" s="216"/>
    </row>
    <row r="451" spans="7:7" ht="14.25" customHeight="1">
      <c r="G451" s="216"/>
    </row>
    <row r="452" spans="7:7" ht="14.25" customHeight="1">
      <c r="G452" s="216"/>
    </row>
    <row r="453" spans="7:7" ht="14.25" customHeight="1">
      <c r="G453" s="216"/>
    </row>
    <row r="454" spans="7:7" ht="14.25" customHeight="1">
      <c r="G454" s="216"/>
    </row>
    <row r="455" spans="7:7" ht="14.25" customHeight="1">
      <c r="G455" s="216"/>
    </row>
    <row r="456" spans="7:7" ht="14.25" customHeight="1">
      <c r="G456" s="216"/>
    </row>
    <row r="457" spans="7:7" ht="14.25" customHeight="1">
      <c r="G457" s="216"/>
    </row>
    <row r="458" spans="7:7" ht="14.25" customHeight="1">
      <c r="G458" s="216"/>
    </row>
    <row r="459" spans="7:7" ht="14.25" customHeight="1">
      <c r="G459" s="216"/>
    </row>
    <row r="460" spans="7:7" ht="14.25" customHeight="1">
      <c r="G460" s="216"/>
    </row>
    <row r="461" spans="7:7" ht="14.25" customHeight="1">
      <c r="G461" s="216"/>
    </row>
    <row r="462" spans="7:7" ht="14.25" customHeight="1">
      <c r="G462" s="216"/>
    </row>
    <row r="463" spans="7:7" ht="14.25" customHeight="1">
      <c r="G463" s="216"/>
    </row>
    <row r="464" spans="7:7" ht="14.25" customHeight="1">
      <c r="G464" s="216"/>
    </row>
    <row r="465" spans="7:7" ht="14.25" customHeight="1">
      <c r="G465" s="216"/>
    </row>
    <row r="466" spans="7:7" ht="14.25" customHeight="1">
      <c r="G466" s="216"/>
    </row>
    <row r="467" spans="7:7" ht="14.25" customHeight="1">
      <c r="G467" s="216"/>
    </row>
    <row r="468" spans="7:7" ht="14.25" customHeight="1">
      <c r="G468" s="216"/>
    </row>
    <row r="469" spans="7:7" ht="14.25" customHeight="1">
      <c r="G469" s="216"/>
    </row>
    <row r="470" spans="7:7" ht="14.25" customHeight="1">
      <c r="G470" s="216"/>
    </row>
    <row r="471" spans="7:7" ht="14.25" customHeight="1">
      <c r="G471" s="216"/>
    </row>
    <row r="472" spans="7:7" ht="14.25" customHeight="1">
      <c r="G472" s="216"/>
    </row>
    <row r="473" spans="7:7" ht="14.25" customHeight="1">
      <c r="G473" s="216"/>
    </row>
    <row r="474" spans="7:7" ht="14.25" customHeight="1">
      <c r="G474" s="216"/>
    </row>
    <row r="475" spans="7:7" ht="14.25" customHeight="1">
      <c r="G475" s="216"/>
    </row>
    <row r="476" spans="7:7" ht="14.25" customHeight="1">
      <c r="G476" s="216"/>
    </row>
    <row r="477" spans="7:7" ht="14.25" customHeight="1">
      <c r="G477" s="216"/>
    </row>
    <row r="478" spans="7:7" ht="14.25" customHeight="1">
      <c r="G478" s="216"/>
    </row>
    <row r="479" spans="7:7" ht="14.25" customHeight="1">
      <c r="G479" s="216"/>
    </row>
    <row r="480" spans="7:7" ht="14.25" customHeight="1">
      <c r="G480" s="216"/>
    </row>
    <row r="481" spans="7:7" ht="14.25" customHeight="1">
      <c r="G481" s="216"/>
    </row>
    <row r="482" spans="7:7" ht="14.25" customHeight="1">
      <c r="G482" s="216"/>
    </row>
    <row r="483" spans="7:7" ht="14.25" customHeight="1">
      <c r="G483" s="216"/>
    </row>
    <row r="484" spans="7:7" ht="14.25" customHeight="1">
      <c r="G484" s="216"/>
    </row>
    <row r="485" spans="7:7" ht="14.25" customHeight="1">
      <c r="G485" s="216"/>
    </row>
    <row r="486" spans="7:7" ht="14.25" customHeight="1">
      <c r="G486" s="216"/>
    </row>
    <row r="487" spans="7:7" ht="14.25" customHeight="1">
      <c r="G487" s="216"/>
    </row>
    <row r="488" spans="7:7" ht="14.25" customHeight="1">
      <c r="G488" s="216"/>
    </row>
    <row r="489" spans="7:7" ht="14.25" customHeight="1">
      <c r="G489" s="216"/>
    </row>
    <row r="490" spans="7:7" ht="14.25" customHeight="1">
      <c r="G490" s="216"/>
    </row>
    <row r="491" spans="7:7" ht="14.25" customHeight="1">
      <c r="G491" s="216"/>
    </row>
    <row r="492" spans="7:7" ht="14.25" customHeight="1">
      <c r="G492" s="216"/>
    </row>
    <row r="493" spans="7:7" ht="14.25" customHeight="1">
      <c r="G493" s="216"/>
    </row>
    <row r="494" spans="7:7" ht="14.25" customHeight="1">
      <c r="G494" s="216"/>
    </row>
    <row r="495" spans="7:7" ht="14.25" customHeight="1">
      <c r="G495" s="216"/>
    </row>
    <row r="496" spans="7:7" ht="14.25" customHeight="1">
      <c r="G496" s="216"/>
    </row>
    <row r="497" spans="7:7" ht="14.25" customHeight="1">
      <c r="G497" s="216"/>
    </row>
    <row r="498" spans="7:7" ht="14.25" customHeight="1">
      <c r="G498" s="216"/>
    </row>
    <row r="499" spans="7:7" ht="14.25" customHeight="1">
      <c r="G499" s="216"/>
    </row>
    <row r="500" spans="7:7" ht="14.25" customHeight="1">
      <c r="G500" s="216"/>
    </row>
    <row r="501" spans="7:7" ht="14.25" customHeight="1">
      <c r="G501" s="216"/>
    </row>
    <row r="502" spans="7:7" ht="14.25" customHeight="1">
      <c r="G502" s="216"/>
    </row>
    <row r="503" spans="7:7" ht="14.25" customHeight="1">
      <c r="G503" s="216"/>
    </row>
    <row r="504" spans="7:7" ht="14.25" customHeight="1">
      <c r="G504" s="216"/>
    </row>
    <row r="505" spans="7:7" ht="14.25" customHeight="1">
      <c r="G505" s="216"/>
    </row>
    <row r="506" spans="7:7" ht="14.25" customHeight="1">
      <c r="G506" s="216"/>
    </row>
    <row r="507" spans="7:7" ht="14.25" customHeight="1">
      <c r="G507" s="216"/>
    </row>
    <row r="508" spans="7:7" ht="14.25" customHeight="1">
      <c r="G508" s="216"/>
    </row>
    <row r="509" spans="7:7" ht="14.25" customHeight="1">
      <c r="G509" s="216"/>
    </row>
    <row r="510" spans="7:7" ht="14.25" customHeight="1">
      <c r="G510" s="216"/>
    </row>
    <row r="511" spans="7:7" ht="14.25" customHeight="1">
      <c r="G511" s="216"/>
    </row>
    <row r="512" spans="7:7" ht="14.25" customHeight="1">
      <c r="G512" s="216"/>
    </row>
    <row r="513" spans="7:7" ht="14.25" customHeight="1">
      <c r="G513" s="216"/>
    </row>
    <row r="514" spans="7:7" ht="14.25" customHeight="1">
      <c r="G514" s="216"/>
    </row>
    <row r="515" spans="7:7" ht="14.25" customHeight="1">
      <c r="G515" s="216"/>
    </row>
    <row r="516" spans="7:7" ht="14.25" customHeight="1">
      <c r="G516" s="216"/>
    </row>
    <row r="517" spans="7:7" ht="14.25" customHeight="1">
      <c r="G517" s="216"/>
    </row>
    <row r="518" spans="7:7" ht="14.25" customHeight="1">
      <c r="G518" s="216"/>
    </row>
    <row r="519" spans="7:7" ht="14.25" customHeight="1">
      <c r="G519" s="216"/>
    </row>
    <row r="520" spans="7:7" ht="14.25" customHeight="1">
      <c r="G520" s="216"/>
    </row>
    <row r="521" spans="7:7" ht="14.25" customHeight="1">
      <c r="G521" s="216"/>
    </row>
    <row r="522" spans="7:7" ht="14.25" customHeight="1">
      <c r="G522" s="216"/>
    </row>
    <row r="523" spans="7:7" ht="14.25" customHeight="1">
      <c r="G523" s="216"/>
    </row>
    <row r="524" spans="7:7" ht="14.25" customHeight="1">
      <c r="G524" s="216"/>
    </row>
    <row r="525" spans="7:7" ht="14.25" customHeight="1">
      <c r="G525" s="216"/>
    </row>
    <row r="526" spans="7:7" ht="14.25" customHeight="1">
      <c r="G526" s="216"/>
    </row>
    <row r="527" spans="7:7" ht="14.25" customHeight="1">
      <c r="G527" s="216"/>
    </row>
    <row r="528" spans="7:7" ht="14.25" customHeight="1">
      <c r="G528" s="216"/>
    </row>
    <row r="529" spans="7:7" ht="14.25" customHeight="1">
      <c r="G529" s="216"/>
    </row>
    <row r="530" spans="7:7" ht="14.25" customHeight="1">
      <c r="G530" s="216"/>
    </row>
    <row r="531" spans="7:7" ht="14.25" customHeight="1">
      <c r="G531" s="216"/>
    </row>
    <row r="532" spans="7:7" ht="14.25" customHeight="1">
      <c r="G532" s="216"/>
    </row>
    <row r="533" spans="7:7" ht="14.25" customHeight="1">
      <c r="G533" s="216"/>
    </row>
    <row r="534" spans="7:7" ht="14.25" customHeight="1">
      <c r="G534" s="216"/>
    </row>
    <row r="535" spans="7:7" ht="14.25" customHeight="1">
      <c r="G535" s="216"/>
    </row>
    <row r="536" spans="7:7" ht="14.25" customHeight="1">
      <c r="G536" s="216"/>
    </row>
    <row r="537" spans="7:7" ht="14.25" customHeight="1">
      <c r="G537" s="216"/>
    </row>
    <row r="538" spans="7:7" ht="14.25" customHeight="1">
      <c r="G538" s="216"/>
    </row>
    <row r="539" spans="7:7" ht="14.25" customHeight="1">
      <c r="G539" s="216"/>
    </row>
    <row r="540" spans="7:7" ht="14.25" customHeight="1">
      <c r="G540" s="216"/>
    </row>
    <row r="541" spans="7:7" ht="14.25" customHeight="1">
      <c r="G541" s="216"/>
    </row>
    <row r="542" spans="7:7" ht="14.25" customHeight="1">
      <c r="G542" s="216"/>
    </row>
    <row r="543" spans="7:7" ht="14.25" customHeight="1">
      <c r="G543" s="216"/>
    </row>
    <row r="544" spans="7:7" ht="14.25" customHeight="1">
      <c r="G544" s="216"/>
    </row>
    <row r="545" spans="7:7" ht="14.25" customHeight="1">
      <c r="G545" s="216"/>
    </row>
    <row r="546" spans="7:7" ht="14.25" customHeight="1">
      <c r="G546" s="216"/>
    </row>
    <row r="547" spans="7:7" ht="14.25" customHeight="1">
      <c r="G547" s="216"/>
    </row>
    <row r="548" spans="7:7" ht="14.25" customHeight="1">
      <c r="G548" s="216"/>
    </row>
    <row r="549" spans="7:7" ht="14.25" customHeight="1">
      <c r="G549" s="216"/>
    </row>
    <row r="550" spans="7:7" ht="14.25" customHeight="1">
      <c r="G550" s="216"/>
    </row>
    <row r="551" spans="7:7" ht="14.25" customHeight="1">
      <c r="G551" s="216"/>
    </row>
    <row r="552" spans="7:7" ht="14.25" customHeight="1">
      <c r="G552" s="216"/>
    </row>
    <row r="553" spans="7:7" ht="14.25" customHeight="1">
      <c r="G553" s="216"/>
    </row>
    <row r="554" spans="7:7" ht="14.25" customHeight="1">
      <c r="G554" s="216"/>
    </row>
    <row r="555" spans="7:7" ht="14.25" customHeight="1">
      <c r="G555" s="216"/>
    </row>
    <row r="556" spans="7:7" ht="14.25" customHeight="1">
      <c r="G556" s="216"/>
    </row>
    <row r="557" spans="7:7" ht="14.25" customHeight="1">
      <c r="G557" s="216"/>
    </row>
    <row r="558" spans="7:7" ht="14.25" customHeight="1">
      <c r="G558" s="216"/>
    </row>
    <row r="559" spans="7:7" ht="14.25" customHeight="1">
      <c r="G559" s="216"/>
    </row>
    <row r="560" spans="7:7" ht="14.25" customHeight="1">
      <c r="G560" s="216"/>
    </row>
    <row r="561" spans="7:7" ht="14.25" customHeight="1">
      <c r="G561" s="216"/>
    </row>
    <row r="562" spans="7:7" ht="14.25" customHeight="1">
      <c r="G562" s="216"/>
    </row>
    <row r="563" spans="7:7" ht="14.25" customHeight="1">
      <c r="G563" s="216"/>
    </row>
    <row r="564" spans="7:7" ht="14.25" customHeight="1">
      <c r="G564" s="216"/>
    </row>
    <row r="565" spans="7:7" ht="14.25" customHeight="1">
      <c r="G565" s="216"/>
    </row>
    <row r="566" spans="7:7" ht="14.25" customHeight="1">
      <c r="G566" s="216"/>
    </row>
    <row r="567" spans="7:7" ht="14.25" customHeight="1">
      <c r="G567" s="216"/>
    </row>
    <row r="568" spans="7:7" ht="14.25" customHeight="1">
      <c r="G568" s="216"/>
    </row>
    <row r="569" spans="7:7" ht="14.25" customHeight="1">
      <c r="G569" s="216"/>
    </row>
    <row r="570" spans="7:7" ht="14.25" customHeight="1">
      <c r="G570" s="216"/>
    </row>
    <row r="571" spans="7:7" ht="14.25" customHeight="1">
      <c r="G571" s="216"/>
    </row>
    <row r="572" spans="7:7" ht="14.25" customHeight="1">
      <c r="G572" s="216"/>
    </row>
    <row r="573" spans="7:7" ht="14.25" customHeight="1">
      <c r="G573" s="216"/>
    </row>
    <row r="574" spans="7:7" ht="14.25" customHeight="1">
      <c r="G574" s="216"/>
    </row>
    <row r="575" spans="7:7" ht="14.25" customHeight="1">
      <c r="G575" s="216"/>
    </row>
    <row r="576" spans="7:7" ht="14.25" customHeight="1">
      <c r="G576" s="216"/>
    </row>
    <row r="577" spans="7:7" ht="14.25" customHeight="1">
      <c r="G577" s="216"/>
    </row>
    <row r="578" spans="7:7" ht="14.25" customHeight="1">
      <c r="G578" s="216"/>
    </row>
    <row r="579" spans="7:7" ht="14.25" customHeight="1">
      <c r="G579" s="216"/>
    </row>
    <row r="580" spans="7:7" ht="14.25" customHeight="1">
      <c r="G580" s="216"/>
    </row>
    <row r="581" spans="7:7" ht="14.25" customHeight="1">
      <c r="G581" s="216"/>
    </row>
    <row r="582" spans="7:7" ht="14.25" customHeight="1">
      <c r="G582" s="216"/>
    </row>
    <row r="583" spans="7:7" ht="14.25" customHeight="1">
      <c r="G583" s="216"/>
    </row>
    <row r="584" spans="7:7" ht="14.25" customHeight="1">
      <c r="G584" s="216"/>
    </row>
    <row r="585" spans="7:7" ht="14.25" customHeight="1">
      <c r="G585" s="216"/>
    </row>
    <row r="586" spans="7:7" ht="14.25" customHeight="1">
      <c r="G586" s="216"/>
    </row>
    <row r="587" spans="7:7" ht="14.25" customHeight="1">
      <c r="G587" s="216"/>
    </row>
    <row r="588" spans="7:7" ht="14.25" customHeight="1">
      <c r="G588" s="216"/>
    </row>
    <row r="589" spans="7:7" ht="14.25" customHeight="1">
      <c r="G589" s="216"/>
    </row>
    <row r="590" spans="7:7" ht="14.25" customHeight="1">
      <c r="G590" s="216"/>
    </row>
    <row r="591" spans="7:7" ht="14.25" customHeight="1">
      <c r="G591" s="216"/>
    </row>
    <row r="592" spans="7:7" ht="14.25" customHeight="1">
      <c r="G592" s="216"/>
    </row>
    <row r="593" spans="7:7" ht="14.25" customHeight="1">
      <c r="G593" s="216"/>
    </row>
    <row r="594" spans="7:7" ht="14.25" customHeight="1">
      <c r="G594" s="216"/>
    </row>
    <row r="595" spans="7:7" ht="14.25" customHeight="1">
      <c r="G595" s="216"/>
    </row>
    <row r="596" spans="7:7" ht="14.25" customHeight="1">
      <c r="G596" s="216"/>
    </row>
    <row r="597" spans="7:7" ht="14.25" customHeight="1">
      <c r="G597" s="216"/>
    </row>
    <row r="598" spans="7:7" ht="14.25" customHeight="1">
      <c r="G598" s="216"/>
    </row>
    <row r="599" spans="7:7" ht="14.25" customHeight="1">
      <c r="G599" s="216"/>
    </row>
    <row r="600" spans="7:7" ht="14.25" customHeight="1">
      <c r="G600" s="216"/>
    </row>
    <row r="601" spans="7:7" ht="14.25" customHeight="1">
      <c r="G601" s="216"/>
    </row>
    <row r="602" spans="7:7" ht="14.25" customHeight="1">
      <c r="G602" s="216"/>
    </row>
    <row r="603" spans="7:7" ht="14.25" customHeight="1">
      <c r="G603" s="216"/>
    </row>
    <row r="604" spans="7:7" ht="14.25" customHeight="1">
      <c r="G604" s="216"/>
    </row>
    <row r="605" spans="7:7" ht="14.25" customHeight="1">
      <c r="G605" s="216"/>
    </row>
    <row r="606" spans="7:7" ht="14.25" customHeight="1">
      <c r="G606" s="216"/>
    </row>
    <row r="607" spans="7:7" ht="14.25" customHeight="1">
      <c r="G607" s="216"/>
    </row>
    <row r="608" spans="7:7" ht="14.25" customHeight="1">
      <c r="G608" s="216"/>
    </row>
    <row r="609" spans="7:7" ht="14.25" customHeight="1">
      <c r="G609" s="216"/>
    </row>
    <row r="610" spans="7:7" ht="14.25" customHeight="1">
      <c r="G610" s="216"/>
    </row>
    <row r="611" spans="7:7" ht="14.25" customHeight="1">
      <c r="G611" s="216"/>
    </row>
    <row r="612" spans="7:7" ht="14.25" customHeight="1">
      <c r="G612" s="216"/>
    </row>
    <row r="613" spans="7:7" ht="14.25" customHeight="1">
      <c r="G613" s="216"/>
    </row>
    <row r="614" spans="7:7" ht="14.25" customHeight="1">
      <c r="G614" s="216"/>
    </row>
    <row r="615" spans="7:7" ht="14.25" customHeight="1">
      <c r="G615" s="216"/>
    </row>
    <row r="616" spans="7:7" ht="14.25" customHeight="1">
      <c r="G616" s="216"/>
    </row>
    <row r="617" spans="7:7" ht="14.25" customHeight="1">
      <c r="G617" s="216"/>
    </row>
    <row r="618" spans="7:7" ht="14.25" customHeight="1">
      <c r="G618" s="216"/>
    </row>
    <row r="619" spans="7:7" ht="14.25" customHeight="1">
      <c r="G619" s="216"/>
    </row>
    <row r="620" spans="7:7" ht="14.25" customHeight="1">
      <c r="G620" s="216"/>
    </row>
    <row r="621" spans="7:7" ht="14.25" customHeight="1">
      <c r="G621" s="216"/>
    </row>
    <row r="622" spans="7:7" ht="14.25" customHeight="1">
      <c r="G622" s="216"/>
    </row>
    <row r="623" spans="7:7" ht="14.25" customHeight="1">
      <c r="G623" s="216"/>
    </row>
    <row r="624" spans="7:7" ht="14.25" customHeight="1">
      <c r="G624" s="216"/>
    </row>
    <row r="625" spans="7:7" ht="14.25" customHeight="1">
      <c r="G625" s="216"/>
    </row>
    <row r="626" spans="7:7" ht="14.25" customHeight="1">
      <c r="G626" s="216"/>
    </row>
    <row r="627" spans="7:7" ht="14.25" customHeight="1">
      <c r="G627" s="216"/>
    </row>
    <row r="628" spans="7:7" ht="14.25" customHeight="1">
      <c r="G628" s="216"/>
    </row>
    <row r="629" spans="7:7" ht="14.25" customHeight="1">
      <c r="G629" s="216"/>
    </row>
    <row r="630" spans="7:7" ht="14.25" customHeight="1">
      <c r="G630" s="216"/>
    </row>
    <row r="631" spans="7:7" ht="14.25" customHeight="1">
      <c r="G631" s="216"/>
    </row>
    <row r="632" spans="7:7" ht="14.25" customHeight="1">
      <c r="G632" s="216"/>
    </row>
    <row r="633" spans="7:7" ht="14.25" customHeight="1">
      <c r="G633" s="216"/>
    </row>
    <row r="634" spans="7:7" ht="14.25" customHeight="1">
      <c r="G634" s="216"/>
    </row>
    <row r="635" spans="7:7" ht="14.25" customHeight="1">
      <c r="G635" s="216"/>
    </row>
    <row r="636" spans="7:7" ht="14.25" customHeight="1">
      <c r="G636" s="216"/>
    </row>
    <row r="637" spans="7:7" ht="14.25" customHeight="1">
      <c r="G637" s="216"/>
    </row>
    <row r="638" spans="7:7" ht="14.25" customHeight="1">
      <c r="G638" s="216"/>
    </row>
    <row r="639" spans="7:7" ht="14.25" customHeight="1">
      <c r="G639" s="216"/>
    </row>
    <row r="640" spans="7:7" ht="14.25" customHeight="1">
      <c r="G640" s="216"/>
    </row>
    <row r="641" spans="7:7" ht="14.25" customHeight="1">
      <c r="G641" s="216"/>
    </row>
    <row r="642" spans="7:7" ht="14.25" customHeight="1">
      <c r="G642" s="216"/>
    </row>
    <row r="643" spans="7:7" ht="14.25" customHeight="1">
      <c r="G643" s="216"/>
    </row>
    <row r="644" spans="7:7" ht="14.25" customHeight="1">
      <c r="G644" s="216"/>
    </row>
    <row r="645" spans="7:7" ht="14.25" customHeight="1">
      <c r="G645" s="216"/>
    </row>
    <row r="646" spans="7:7" ht="14.25" customHeight="1">
      <c r="G646" s="216"/>
    </row>
    <row r="647" spans="7:7" ht="14.25" customHeight="1">
      <c r="G647" s="216"/>
    </row>
    <row r="648" spans="7:7" ht="14.25" customHeight="1">
      <c r="G648" s="216"/>
    </row>
    <row r="649" spans="7:7" ht="14.25" customHeight="1">
      <c r="G649" s="216"/>
    </row>
    <row r="650" spans="7:7" ht="14.25" customHeight="1">
      <c r="G650" s="216"/>
    </row>
    <row r="651" spans="7:7" ht="14.25" customHeight="1">
      <c r="G651" s="216"/>
    </row>
    <row r="652" spans="7:7" ht="14.25" customHeight="1">
      <c r="G652" s="216"/>
    </row>
    <row r="653" spans="7:7" ht="14.25" customHeight="1">
      <c r="G653" s="216"/>
    </row>
    <row r="654" spans="7:7" ht="14.25" customHeight="1">
      <c r="G654" s="216"/>
    </row>
    <row r="655" spans="7:7" ht="14.25" customHeight="1">
      <c r="G655" s="216"/>
    </row>
    <row r="656" spans="7:7" ht="14.25" customHeight="1">
      <c r="G656" s="216"/>
    </row>
    <row r="657" spans="7:7" ht="14.25" customHeight="1">
      <c r="G657" s="216"/>
    </row>
    <row r="658" spans="7:7" ht="14.25" customHeight="1">
      <c r="G658" s="216"/>
    </row>
    <row r="659" spans="7:7" ht="14.25" customHeight="1">
      <c r="G659" s="216"/>
    </row>
    <row r="660" spans="7:7" ht="14.25" customHeight="1">
      <c r="G660" s="216"/>
    </row>
    <row r="661" spans="7:7" ht="14.25" customHeight="1">
      <c r="G661" s="216"/>
    </row>
    <row r="662" spans="7:7" ht="14.25" customHeight="1">
      <c r="G662" s="216"/>
    </row>
    <row r="663" spans="7:7" ht="14.25" customHeight="1">
      <c r="G663" s="216"/>
    </row>
    <row r="664" spans="7:7" ht="14.25" customHeight="1">
      <c r="G664" s="216"/>
    </row>
    <row r="665" spans="7:7" ht="14.25" customHeight="1">
      <c r="G665" s="216"/>
    </row>
    <row r="666" spans="7:7" ht="14.25" customHeight="1">
      <c r="G666" s="216"/>
    </row>
    <row r="667" spans="7:7" ht="14.25" customHeight="1">
      <c r="G667" s="216"/>
    </row>
    <row r="668" spans="7:7" ht="14.25" customHeight="1">
      <c r="G668" s="216"/>
    </row>
    <row r="669" spans="7:7" ht="14.25" customHeight="1">
      <c r="G669" s="216"/>
    </row>
    <row r="670" spans="7:7" ht="14.25" customHeight="1">
      <c r="G670" s="216"/>
    </row>
    <row r="671" spans="7:7" ht="14.25" customHeight="1">
      <c r="G671" s="216"/>
    </row>
    <row r="672" spans="7:7" ht="14.25" customHeight="1">
      <c r="G672" s="216"/>
    </row>
    <row r="673" spans="7:7" ht="14.25" customHeight="1">
      <c r="G673" s="216"/>
    </row>
    <row r="674" spans="7:7" ht="14.25" customHeight="1">
      <c r="G674" s="216"/>
    </row>
    <row r="675" spans="7:7" ht="14.25" customHeight="1">
      <c r="G675" s="216"/>
    </row>
    <row r="676" spans="7:7" ht="14.25" customHeight="1">
      <c r="G676" s="216"/>
    </row>
    <row r="677" spans="7:7" ht="14.25" customHeight="1">
      <c r="G677" s="216"/>
    </row>
    <row r="678" spans="7:7" ht="14.25" customHeight="1">
      <c r="G678" s="216"/>
    </row>
    <row r="679" spans="7:7" ht="14.25" customHeight="1">
      <c r="G679" s="216"/>
    </row>
    <row r="680" spans="7:7" ht="14.25" customHeight="1">
      <c r="G680" s="216"/>
    </row>
    <row r="681" spans="7:7" ht="14.25" customHeight="1">
      <c r="G681" s="216"/>
    </row>
    <row r="682" spans="7:7" ht="14.25" customHeight="1">
      <c r="G682" s="216"/>
    </row>
    <row r="683" spans="7:7" ht="14.25" customHeight="1">
      <c r="G683" s="216"/>
    </row>
    <row r="684" spans="7:7" ht="14.25" customHeight="1">
      <c r="G684" s="216"/>
    </row>
    <row r="685" spans="7:7" ht="14.25" customHeight="1">
      <c r="G685" s="216"/>
    </row>
    <row r="686" spans="7:7" ht="14.25" customHeight="1">
      <c r="G686" s="216"/>
    </row>
    <row r="687" spans="7:7" ht="14.25" customHeight="1">
      <c r="G687" s="216"/>
    </row>
    <row r="688" spans="7:7" ht="14.25" customHeight="1">
      <c r="G688" s="216"/>
    </row>
    <row r="689" spans="7:7" ht="14.25" customHeight="1">
      <c r="G689" s="216"/>
    </row>
    <row r="690" spans="7:7" ht="14.25" customHeight="1">
      <c r="G690" s="216"/>
    </row>
    <row r="691" spans="7:7" ht="14.25" customHeight="1">
      <c r="G691" s="216"/>
    </row>
    <row r="692" spans="7:7" ht="14.25" customHeight="1">
      <c r="G692" s="216"/>
    </row>
    <row r="693" spans="7:7" ht="14.25" customHeight="1">
      <c r="G693" s="216"/>
    </row>
    <row r="694" spans="7:7" ht="14.25" customHeight="1">
      <c r="G694" s="216"/>
    </row>
    <row r="695" spans="7:7" ht="14.25" customHeight="1">
      <c r="G695" s="216"/>
    </row>
    <row r="696" spans="7:7" ht="14.25" customHeight="1">
      <c r="G696" s="216"/>
    </row>
    <row r="697" spans="7:7" ht="14.25" customHeight="1">
      <c r="G697" s="216"/>
    </row>
    <row r="698" spans="7:7" ht="14.25" customHeight="1">
      <c r="G698" s="216"/>
    </row>
    <row r="699" spans="7:7" ht="14.25" customHeight="1">
      <c r="G699" s="216"/>
    </row>
    <row r="700" spans="7:7" ht="14.25" customHeight="1">
      <c r="G700" s="216"/>
    </row>
    <row r="701" spans="7:7" ht="14.25" customHeight="1">
      <c r="G701" s="216"/>
    </row>
    <row r="702" spans="7:7" ht="14.25" customHeight="1">
      <c r="G702" s="216"/>
    </row>
    <row r="703" spans="7:7" ht="14.25" customHeight="1">
      <c r="G703" s="216"/>
    </row>
    <row r="704" spans="7:7" ht="14.25" customHeight="1">
      <c r="G704" s="216"/>
    </row>
    <row r="705" spans="7:7" ht="14.25" customHeight="1">
      <c r="G705" s="216"/>
    </row>
    <row r="706" spans="7:7" ht="14.25" customHeight="1">
      <c r="G706" s="216"/>
    </row>
    <row r="707" spans="7:7" ht="14.25" customHeight="1">
      <c r="G707" s="216"/>
    </row>
    <row r="708" spans="7:7" ht="14.25" customHeight="1">
      <c r="G708" s="216"/>
    </row>
    <row r="709" spans="7:7" ht="14.25" customHeight="1">
      <c r="G709" s="216"/>
    </row>
    <row r="710" spans="7:7" ht="14.25" customHeight="1">
      <c r="G710" s="216"/>
    </row>
    <row r="711" spans="7:7" ht="14.25" customHeight="1">
      <c r="G711" s="216"/>
    </row>
    <row r="712" spans="7:7" ht="14.25" customHeight="1">
      <c r="G712" s="216"/>
    </row>
    <row r="713" spans="7:7" ht="14.25" customHeight="1">
      <c r="G713" s="216"/>
    </row>
    <row r="714" spans="7:7" ht="14.25" customHeight="1">
      <c r="G714" s="216"/>
    </row>
    <row r="715" spans="7:7" ht="14.25" customHeight="1">
      <c r="G715" s="216"/>
    </row>
    <row r="716" spans="7:7" ht="14.25" customHeight="1">
      <c r="G716" s="216"/>
    </row>
    <row r="717" spans="7:7" ht="14.25" customHeight="1">
      <c r="G717" s="216"/>
    </row>
    <row r="718" spans="7:7" ht="14.25" customHeight="1">
      <c r="G718" s="216"/>
    </row>
    <row r="719" spans="7:7" ht="14.25" customHeight="1">
      <c r="G719" s="216"/>
    </row>
    <row r="720" spans="7:7" ht="14.25" customHeight="1">
      <c r="G720" s="216"/>
    </row>
    <row r="721" spans="7:7" ht="14.25" customHeight="1">
      <c r="G721" s="216"/>
    </row>
    <row r="722" spans="7:7" ht="14.25" customHeight="1">
      <c r="G722" s="216"/>
    </row>
    <row r="723" spans="7:7" ht="14.25" customHeight="1">
      <c r="G723" s="216"/>
    </row>
    <row r="724" spans="7:7" ht="14.25" customHeight="1">
      <c r="G724" s="216"/>
    </row>
    <row r="725" spans="7:7" ht="14.25" customHeight="1">
      <c r="G725" s="216"/>
    </row>
    <row r="726" spans="7:7" ht="14.25" customHeight="1">
      <c r="G726" s="216"/>
    </row>
    <row r="727" spans="7:7" ht="14.25" customHeight="1">
      <c r="G727" s="216"/>
    </row>
    <row r="728" spans="7:7" ht="14.25" customHeight="1">
      <c r="G728" s="216"/>
    </row>
    <row r="729" spans="7:7" ht="14.25" customHeight="1">
      <c r="G729" s="216"/>
    </row>
    <row r="730" spans="7:7" ht="14.25" customHeight="1">
      <c r="G730" s="216"/>
    </row>
    <row r="731" spans="7:7" ht="14.25" customHeight="1">
      <c r="G731" s="216"/>
    </row>
    <row r="732" spans="7:7" ht="14.25" customHeight="1">
      <c r="G732" s="216"/>
    </row>
    <row r="733" spans="7:7" ht="14.25" customHeight="1">
      <c r="G733" s="216"/>
    </row>
    <row r="734" spans="7:7" ht="14.25" customHeight="1">
      <c r="G734" s="216"/>
    </row>
    <row r="735" spans="7:7" ht="14.25" customHeight="1">
      <c r="G735" s="216"/>
    </row>
    <row r="736" spans="7:7" ht="14.25" customHeight="1">
      <c r="G736" s="216"/>
    </row>
    <row r="737" spans="7:7" ht="14.25" customHeight="1">
      <c r="G737" s="216"/>
    </row>
    <row r="738" spans="7:7" ht="14.25" customHeight="1">
      <c r="G738" s="216"/>
    </row>
    <row r="739" spans="7:7" ht="14.25" customHeight="1">
      <c r="G739" s="216"/>
    </row>
    <row r="740" spans="7:7" ht="14.25" customHeight="1">
      <c r="G740" s="216"/>
    </row>
    <row r="741" spans="7:7" ht="14.25" customHeight="1">
      <c r="G741" s="216"/>
    </row>
    <row r="742" spans="7:7" ht="14.25" customHeight="1">
      <c r="G742" s="216"/>
    </row>
    <row r="743" spans="7:7" ht="14.25" customHeight="1">
      <c r="G743" s="216"/>
    </row>
    <row r="744" spans="7:7" ht="14.25" customHeight="1">
      <c r="G744" s="216"/>
    </row>
    <row r="745" spans="7:7" ht="14.25" customHeight="1">
      <c r="G745" s="216"/>
    </row>
    <row r="746" spans="7:7" ht="14.25" customHeight="1">
      <c r="G746" s="216"/>
    </row>
    <row r="747" spans="7:7" ht="14.25" customHeight="1">
      <c r="G747" s="216"/>
    </row>
    <row r="748" spans="7:7" ht="14.25" customHeight="1">
      <c r="G748" s="216"/>
    </row>
    <row r="749" spans="7:7" ht="14.25" customHeight="1">
      <c r="G749" s="216"/>
    </row>
    <row r="750" spans="7:7" ht="14.25" customHeight="1">
      <c r="G750" s="216"/>
    </row>
    <row r="751" spans="7:7" ht="14.25" customHeight="1">
      <c r="G751" s="216"/>
    </row>
    <row r="752" spans="7:7" ht="14.25" customHeight="1">
      <c r="G752" s="216"/>
    </row>
    <row r="753" spans="7:7" ht="14.25" customHeight="1">
      <c r="G753" s="216"/>
    </row>
    <row r="754" spans="7:7" ht="14.25" customHeight="1">
      <c r="G754" s="216"/>
    </row>
    <row r="755" spans="7:7" ht="14.25" customHeight="1">
      <c r="G755" s="216"/>
    </row>
    <row r="756" spans="7:7" ht="14.25" customHeight="1">
      <c r="G756" s="216"/>
    </row>
    <row r="757" spans="7:7" ht="14.25" customHeight="1">
      <c r="G757" s="216"/>
    </row>
    <row r="758" spans="7:7" ht="14.25" customHeight="1">
      <c r="G758" s="216"/>
    </row>
    <row r="759" spans="7:7" ht="14.25" customHeight="1">
      <c r="G759" s="216"/>
    </row>
    <row r="760" spans="7:7" ht="14.25" customHeight="1">
      <c r="G760" s="216"/>
    </row>
    <row r="761" spans="7:7" ht="14.25" customHeight="1">
      <c r="G761" s="216"/>
    </row>
    <row r="762" spans="7:7" ht="14.25" customHeight="1">
      <c r="G762" s="216"/>
    </row>
    <row r="763" spans="7:7" ht="14.25" customHeight="1">
      <c r="G763" s="216"/>
    </row>
    <row r="764" spans="7:7" ht="14.25" customHeight="1">
      <c r="G764" s="216"/>
    </row>
    <row r="765" spans="7:7" ht="14.25" customHeight="1">
      <c r="G765" s="216"/>
    </row>
    <row r="766" spans="7:7" ht="14.25" customHeight="1">
      <c r="G766" s="216"/>
    </row>
    <row r="767" spans="7:7" ht="14.25" customHeight="1">
      <c r="G767" s="216"/>
    </row>
    <row r="768" spans="7:7" ht="14.25" customHeight="1">
      <c r="G768" s="216"/>
    </row>
    <row r="769" spans="7:7" ht="14.25" customHeight="1">
      <c r="G769" s="216"/>
    </row>
    <row r="770" spans="7:7" ht="14.25" customHeight="1">
      <c r="G770" s="216"/>
    </row>
    <row r="771" spans="7:7" ht="14.25" customHeight="1">
      <c r="G771" s="216"/>
    </row>
    <row r="772" spans="7:7" ht="14.25" customHeight="1">
      <c r="G772" s="216"/>
    </row>
    <row r="773" spans="7:7" ht="14.25" customHeight="1">
      <c r="G773" s="216"/>
    </row>
    <row r="774" spans="7:7" ht="14.25" customHeight="1">
      <c r="G774" s="216"/>
    </row>
    <row r="775" spans="7:7" ht="14.25" customHeight="1">
      <c r="G775" s="216"/>
    </row>
    <row r="776" spans="7:7" ht="14.25" customHeight="1">
      <c r="G776" s="216"/>
    </row>
    <row r="777" spans="7:7" ht="14.25" customHeight="1">
      <c r="G777" s="216"/>
    </row>
    <row r="778" spans="7:7" ht="14.25" customHeight="1">
      <c r="G778" s="216"/>
    </row>
    <row r="779" spans="7:7" ht="14.25" customHeight="1">
      <c r="G779" s="216"/>
    </row>
    <row r="780" spans="7:7" ht="14.25" customHeight="1">
      <c r="G780" s="216"/>
    </row>
    <row r="781" spans="7:7" ht="14.25" customHeight="1">
      <c r="G781" s="216"/>
    </row>
    <row r="782" spans="7:7" ht="14.25" customHeight="1">
      <c r="G782" s="216"/>
    </row>
    <row r="783" spans="7:7" ht="14.25" customHeight="1">
      <c r="G783" s="216"/>
    </row>
    <row r="784" spans="7:7" ht="14.25" customHeight="1">
      <c r="G784" s="216"/>
    </row>
    <row r="785" spans="7:7" ht="14.25" customHeight="1">
      <c r="G785" s="216"/>
    </row>
    <row r="786" spans="7:7" ht="14.25" customHeight="1">
      <c r="G786" s="216"/>
    </row>
    <row r="787" spans="7:7" ht="14.25" customHeight="1">
      <c r="G787" s="216"/>
    </row>
    <row r="788" spans="7:7" ht="14.25" customHeight="1">
      <c r="G788" s="216"/>
    </row>
    <row r="789" spans="7:7" ht="14.25" customHeight="1">
      <c r="G789" s="216"/>
    </row>
    <row r="790" spans="7:7" ht="14.25" customHeight="1">
      <c r="G790" s="216"/>
    </row>
    <row r="791" spans="7:7" ht="14.25" customHeight="1">
      <c r="G791" s="216"/>
    </row>
    <row r="792" spans="7:7" ht="14.25" customHeight="1">
      <c r="G792" s="216"/>
    </row>
    <row r="793" spans="7:7" ht="14.25" customHeight="1">
      <c r="G793" s="216"/>
    </row>
    <row r="794" spans="7:7" ht="14.25" customHeight="1">
      <c r="G794" s="216"/>
    </row>
    <row r="795" spans="7:7" ht="14.25" customHeight="1">
      <c r="G795" s="216"/>
    </row>
    <row r="796" spans="7:7" ht="14.25" customHeight="1">
      <c r="G796" s="216"/>
    </row>
    <row r="797" spans="7:7" ht="14.25" customHeight="1">
      <c r="G797" s="216"/>
    </row>
    <row r="798" spans="7:7" ht="14.25" customHeight="1">
      <c r="G798" s="216"/>
    </row>
    <row r="799" spans="7:7" ht="14.25" customHeight="1">
      <c r="G799" s="216"/>
    </row>
    <row r="800" spans="7:7" ht="14.25" customHeight="1">
      <c r="G800" s="216"/>
    </row>
    <row r="801" spans="7:7" ht="14.25" customHeight="1">
      <c r="G801" s="216"/>
    </row>
    <row r="802" spans="7:7" ht="14.25" customHeight="1">
      <c r="G802" s="216"/>
    </row>
    <row r="803" spans="7:7" ht="14.25" customHeight="1">
      <c r="G803" s="216"/>
    </row>
    <row r="804" spans="7:7" ht="14.25" customHeight="1">
      <c r="G804" s="216"/>
    </row>
    <row r="805" spans="7:7" ht="14.25" customHeight="1">
      <c r="G805" s="216"/>
    </row>
    <row r="806" spans="7:7" ht="14.25" customHeight="1">
      <c r="G806" s="216"/>
    </row>
    <row r="807" spans="7:7" ht="14.25" customHeight="1">
      <c r="G807" s="216"/>
    </row>
    <row r="808" spans="7:7" ht="14.25" customHeight="1">
      <c r="G808" s="216"/>
    </row>
    <row r="809" spans="7:7" ht="14.25" customHeight="1">
      <c r="G809" s="216"/>
    </row>
    <row r="810" spans="7:7" ht="14.25" customHeight="1">
      <c r="G810" s="216"/>
    </row>
    <row r="811" spans="7:7" ht="14.25" customHeight="1">
      <c r="G811" s="216"/>
    </row>
    <row r="812" spans="7:7" ht="14.25" customHeight="1">
      <c r="G812" s="216"/>
    </row>
    <row r="813" spans="7:7" ht="14.25" customHeight="1">
      <c r="G813" s="216"/>
    </row>
    <row r="814" spans="7:7" ht="14.25" customHeight="1">
      <c r="G814" s="216"/>
    </row>
    <row r="815" spans="7:7" ht="14.25" customHeight="1">
      <c r="G815" s="216"/>
    </row>
    <row r="816" spans="7:7" ht="14.25" customHeight="1">
      <c r="G816" s="216"/>
    </row>
    <row r="817" spans="7:7" ht="14.25" customHeight="1">
      <c r="G817" s="216"/>
    </row>
    <row r="818" spans="7:7" ht="14.25" customHeight="1">
      <c r="G818" s="216"/>
    </row>
    <row r="819" spans="7:7" ht="14.25" customHeight="1">
      <c r="G819" s="216"/>
    </row>
    <row r="820" spans="7:7" ht="14.25" customHeight="1">
      <c r="G820" s="216"/>
    </row>
    <row r="821" spans="7:7" ht="14.25" customHeight="1">
      <c r="G821" s="216"/>
    </row>
    <row r="822" spans="7:7" ht="14.25" customHeight="1">
      <c r="G822" s="216"/>
    </row>
    <row r="823" spans="7:7" ht="14.25" customHeight="1">
      <c r="G823" s="216"/>
    </row>
    <row r="824" spans="7:7" ht="14.25" customHeight="1">
      <c r="G824" s="216"/>
    </row>
    <row r="825" spans="7:7" ht="14.25" customHeight="1">
      <c r="G825" s="216"/>
    </row>
    <row r="826" spans="7:7" ht="14.25" customHeight="1">
      <c r="G826" s="216"/>
    </row>
    <row r="827" spans="7:7" ht="14.25" customHeight="1">
      <c r="G827" s="216"/>
    </row>
    <row r="828" spans="7:7" ht="14.25" customHeight="1">
      <c r="G828" s="216"/>
    </row>
    <row r="829" spans="7:7" ht="14.25" customHeight="1">
      <c r="G829" s="216"/>
    </row>
    <row r="830" spans="7:7" ht="14.25" customHeight="1">
      <c r="G830" s="216"/>
    </row>
    <row r="831" spans="7:7" ht="14.25" customHeight="1">
      <c r="G831" s="216"/>
    </row>
    <row r="832" spans="7:7" ht="14.25" customHeight="1">
      <c r="G832" s="216"/>
    </row>
    <row r="833" spans="7:7" ht="14.25" customHeight="1">
      <c r="G833" s="216"/>
    </row>
    <row r="834" spans="7:7" ht="14.25" customHeight="1">
      <c r="G834" s="216"/>
    </row>
    <row r="835" spans="7:7" ht="14.25" customHeight="1">
      <c r="G835" s="216"/>
    </row>
    <row r="836" spans="7:7" ht="14.25" customHeight="1">
      <c r="G836" s="216"/>
    </row>
    <row r="837" spans="7:7" ht="14.25" customHeight="1">
      <c r="G837" s="216"/>
    </row>
    <row r="838" spans="7:7" ht="14.25" customHeight="1">
      <c r="G838" s="216"/>
    </row>
    <row r="839" spans="7:7" ht="14.25" customHeight="1">
      <c r="G839" s="216"/>
    </row>
    <row r="840" spans="7:7" ht="14.25" customHeight="1">
      <c r="G840" s="216"/>
    </row>
    <row r="841" spans="7:7" ht="14.25" customHeight="1">
      <c r="G841" s="216"/>
    </row>
    <row r="842" spans="7:7" ht="14.25" customHeight="1">
      <c r="G842" s="216"/>
    </row>
    <row r="843" spans="7:7" ht="14.25" customHeight="1">
      <c r="G843" s="216"/>
    </row>
    <row r="844" spans="7:7" ht="14.25" customHeight="1">
      <c r="G844" s="216"/>
    </row>
    <row r="845" spans="7:7" ht="14.25" customHeight="1">
      <c r="G845" s="216"/>
    </row>
    <row r="846" spans="7:7" ht="14.25" customHeight="1">
      <c r="G846" s="216"/>
    </row>
    <row r="847" spans="7:7" ht="14.25" customHeight="1">
      <c r="G847" s="216"/>
    </row>
    <row r="848" spans="7:7" ht="14.25" customHeight="1">
      <c r="G848" s="216"/>
    </row>
    <row r="849" spans="7:7" ht="14.25" customHeight="1">
      <c r="G849" s="216"/>
    </row>
    <row r="850" spans="7:7" ht="14.25" customHeight="1">
      <c r="G850" s="216"/>
    </row>
    <row r="851" spans="7:7" ht="14.25" customHeight="1">
      <c r="G851" s="216"/>
    </row>
    <row r="852" spans="7:7" ht="14.25" customHeight="1">
      <c r="G852" s="216"/>
    </row>
    <row r="853" spans="7:7" ht="14.25" customHeight="1">
      <c r="G853" s="216"/>
    </row>
    <row r="854" spans="7:7" ht="14.25" customHeight="1">
      <c r="G854" s="216"/>
    </row>
    <row r="855" spans="7:7" ht="14.25" customHeight="1">
      <c r="G855" s="216"/>
    </row>
    <row r="856" spans="7:7" ht="14.25" customHeight="1">
      <c r="G856" s="216"/>
    </row>
    <row r="857" spans="7:7" ht="14.25" customHeight="1">
      <c r="G857" s="216"/>
    </row>
    <row r="858" spans="7:7" ht="14.25" customHeight="1">
      <c r="G858" s="216"/>
    </row>
    <row r="859" spans="7:7" ht="14.25" customHeight="1">
      <c r="G859" s="216"/>
    </row>
    <row r="860" spans="7:7" ht="14.25" customHeight="1">
      <c r="G860" s="216"/>
    </row>
    <row r="861" spans="7:7" ht="14.25" customHeight="1">
      <c r="G861" s="216"/>
    </row>
    <row r="862" spans="7:7" ht="14.25" customHeight="1">
      <c r="G862" s="216"/>
    </row>
    <row r="863" spans="7:7" ht="14.25" customHeight="1">
      <c r="G863" s="216"/>
    </row>
    <row r="864" spans="7:7" ht="14.25" customHeight="1">
      <c r="G864" s="216"/>
    </row>
    <row r="865" spans="7:7" ht="14.25" customHeight="1">
      <c r="G865" s="216"/>
    </row>
    <row r="866" spans="7:7" ht="14.25" customHeight="1">
      <c r="G866" s="216"/>
    </row>
    <row r="867" spans="7:7" ht="14.25" customHeight="1">
      <c r="G867" s="216"/>
    </row>
    <row r="868" spans="7:7" ht="14.25" customHeight="1">
      <c r="G868" s="216"/>
    </row>
    <row r="869" spans="7:7" ht="14.25" customHeight="1">
      <c r="G869" s="216"/>
    </row>
    <row r="870" spans="7:7" ht="14.25" customHeight="1">
      <c r="G870" s="216"/>
    </row>
    <row r="871" spans="7:7" ht="14.25" customHeight="1">
      <c r="G871" s="216"/>
    </row>
    <row r="872" spans="7:7" ht="14.25" customHeight="1">
      <c r="G872" s="216"/>
    </row>
    <row r="873" spans="7:7" ht="14.25" customHeight="1">
      <c r="G873" s="216"/>
    </row>
    <row r="874" spans="7:7" ht="14.25" customHeight="1">
      <c r="G874" s="216"/>
    </row>
    <row r="875" spans="7:7" ht="14.25" customHeight="1">
      <c r="G875" s="216"/>
    </row>
    <row r="876" spans="7:7" ht="14.25" customHeight="1">
      <c r="G876" s="216"/>
    </row>
    <row r="877" spans="7:7" ht="14.25" customHeight="1">
      <c r="G877" s="216"/>
    </row>
    <row r="878" spans="7:7" ht="14.25" customHeight="1">
      <c r="G878" s="216"/>
    </row>
    <row r="879" spans="7:7" ht="14.25" customHeight="1">
      <c r="G879" s="216"/>
    </row>
    <row r="880" spans="7:7" ht="14.25" customHeight="1">
      <c r="G880" s="216"/>
    </row>
    <row r="881" spans="7:7" ht="14.25" customHeight="1">
      <c r="G881" s="216"/>
    </row>
    <row r="882" spans="7:7" ht="14.25" customHeight="1">
      <c r="G882" s="216"/>
    </row>
    <row r="883" spans="7:7" ht="14.25" customHeight="1">
      <c r="G883" s="216"/>
    </row>
    <row r="884" spans="7:7" ht="14.25" customHeight="1">
      <c r="G884" s="216"/>
    </row>
    <row r="885" spans="7:7" ht="14.25" customHeight="1">
      <c r="G885" s="216"/>
    </row>
    <row r="886" spans="7:7" ht="14.25" customHeight="1">
      <c r="G886" s="216"/>
    </row>
    <row r="887" spans="7:7" ht="14.25" customHeight="1">
      <c r="G887" s="216"/>
    </row>
    <row r="888" spans="7:7" ht="14.25" customHeight="1">
      <c r="G888" s="216"/>
    </row>
    <row r="889" spans="7:7" ht="14.25" customHeight="1">
      <c r="G889" s="216"/>
    </row>
    <row r="890" spans="7:7" ht="14.25" customHeight="1">
      <c r="G890" s="216"/>
    </row>
    <row r="891" spans="7:7" ht="14.25" customHeight="1">
      <c r="G891" s="216"/>
    </row>
    <row r="892" spans="7:7" ht="14.25" customHeight="1">
      <c r="G892" s="216"/>
    </row>
    <row r="893" spans="7:7" ht="14.25" customHeight="1">
      <c r="G893" s="216"/>
    </row>
    <row r="894" spans="7:7" ht="14.25" customHeight="1">
      <c r="G894" s="216"/>
    </row>
    <row r="895" spans="7:7" ht="14.25" customHeight="1">
      <c r="G895" s="216"/>
    </row>
    <row r="896" spans="7:7" ht="14.25" customHeight="1">
      <c r="G896" s="216"/>
    </row>
    <row r="897" spans="7:7" ht="14.25" customHeight="1">
      <c r="G897" s="216"/>
    </row>
    <row r="898" spans="7:7" ht="14.25" customHeight="1">
      <c r="G898" s="216"/>
    </row>
    <row r="899" spans="7:7" ht="14.25" customHeight="1">
      <c r="G899" s="216"/>
    </row>
    <row r="900" spans="7:7" ht="14.25" customHeight="1">
      <c r="G900" s="216"/>
    </row>
    <row r="901" spans="7:7" ht="14.25" customHeight="1">
      <c r="G901" s="216"/>
    </row>
    <row r="902" spans="7:7" ht="14.25" customHeight="1">
      <c r="G902" s="216"/>
    </row>
    <row r="903" spans="7:7" ht="14.25" customHeight="1">
      <c r="G903" s="216"/>
    </row>
    <row r="904" spans="7:7" ht="14.25" customHeight="1">
      <c r="G904" s="216"/>
    </row>
    <row r="905" spans="7:7" ht="14.25" customHeight="1">
      <c r="G905" s="216"/>
    </row>
    <row r="906" spans="7:7" ht="14.25" customHeight="1">
      <c r="G906" s="216"/>
    </row>
    <row r="907" spans="7:7" ht="14.25" customHeight="1">
      <c r="G907" s="216"/>
    </row>
    <row r="908" spans="7:7" ht="14.25" customHeight="1">
      <c r="G908" s="216"/>
    </row>
    <row r="909" spans="7:7" ht="14.25" customHeight="1">
      <c r="G909" s="216"/>
    </row>
    <row r="910" spans="7:7" ht="14.25" customHeight="1">
      <c r="G910" s="216"/>
    </row>
    <row r="911" spans="7:7" ht="14.25" customHeight="1">
      <c r="G911" s="216"/>
    </row>
    <row r="912" spans="7:7" ht="14.25" customHeight="1">
      <c r="G912" s="216"/>
    </row>
    <row r="913" spans="7:7" ht="14.25" customHeight="1">
      <c r="G913" s="216"/>
    </row>
    <row r="914" spans="7:7" ht="14.25" customHeight="1">
      <c r="G914" s="216"/>
    </row>
    <row r="915" spans="7:7" ht="14.25" customHeight="1">
      <c r="G915" s="216"/>
    </row>
    <row r="916" spans="7:7" ht="14.25" customHeight="1">
      <c r="G916" s="216"/>
    </row>
    <row r="917" spans="7:7" ht="14.25" customHeight="1">
      <c r="G917" s="216"/>
    </row>
    <row r="918" spans="7:7" ht="14.25" customHeight="1">
      <c r="G918" s="216"/>
    </row>
    <row r="919" spans="7:7" ht="14.25" customHeight="1">
      <c r="G919" s="216"/>
    </row>
    <row r="920" spans="7:7" ht="14.25" customHeight="1">
      <c r="G920" s="216"/>
    </row>
    <row r="921" spans="7:7" ht="14.25" customHeight="1">
      <c r="G921" s="216"/>
    </row>
    <row r="922" spans="7:7" ht="14.25" customHeight="1">
      <c r="G922" s="216"/>
    </row>
    <row r="923" spans="7:7" ht="14.25" customHeight="1">
      <c r="G923" s="216"/>
    </row>
    <row r="924" spans="7:7" ht="14.25" customHeight="1">
      <c r="G924" s="216"/>
    </row>
    <row r="925" spans="7:7" ht="14.25" customHeight="1">
      <c r="G925" s="216"/>
    </row>
    <row r="926" spans="7:7" ht="14.25" customHeight="1">
      <c r="G926" s="216"/>
    </row>
    <row r="927" spans="7:7" ht="14.25" customHeight="1">
      <c r="G927" s="216"/>
    </row>
    <row r="928" spans="7:7" ht="14.25" customHeight="1">
      <c r="G928" s="216"/>
    </row>
    <row r="929" spans="7:7" ht="14.25" customHeight="1">
      <c r="G929" s="216"/>
    </row>
    <row r="930" spans="7:7" ht="14.25" customHeight="1">
      <c r="G930" s="216"/>
    </row>
    <row r="931" spans="7:7" ht="14.25" customHeight="1">
      <c r="G931" s="216"/>
    </row>
    <row r="932" spans="7:7" ht="14.25" customHeight="1">
      <c r="G932" s="216"/>
    </row>
    <row r="933" spans="7:7" ht="14.25" customHeight="1">
      <c r="G933" s="216"/>
    </row>
    <row r="934" spans="7:7" ht="14.25" customHeight="1">
      <c r="G934" s="216"/>
    </row>
    <row r="935" spans="7:7" ht="14.25" customHeight="1">
      <c r="G935" s="216"/>
    </row>
    <row r="936" spans="7:7" ht="14.25" customHeight="1">
      <c r="G936" s="216"/>
    </row>
    <row r="937" spans="7:7" ht="14.25" customHeight="1">
      <c r="G937" s="216"/>
    </row>
    <row r="938" spans="7:7" ht="14.25" customHeight="1">
      <c r="G938" s="216"/>
    </row>
    <row r="939" spans="7:7" ht="14.25" customHeight="1">
      <c r="G939" s="216"/>
    </row>
    <row r="940" spans="7:7" ht="14.25" customHeight="1">
      <c r="G940" s="216"/>
    </row>
    <row r="941" spans="7:7" ht="14.25" customHeight="1">
      <c r="G941" s="216"/>
    </row>
    <row r="942" spans="7:7" ht="14.25" customHeight="1">
      <c r="G942" s="216"/>
    </row>
    <row r="943" spans="7:7" ht="14.25" customHeight="1">
      <c r="G943" s="216"/>
    </row>
    <row r="944" spans="7:7" ht="14.25" customHeight="1">
      <c r="G944" s="216"/>
    </row>
    <row r="945" spans="7:7" ht="14.25" customHeight="1">
      <c r="G945" s="216"/>
    </row>
    <row r="946" spans="7:7" ht="14.25" customHeight="1">
      <c r="G946" s="216"/>
    </row>
    <row r="947" spans="7:7" ht="14.25" customHeight="1">
      <c r="G947" s="216"/>
    </row>
    <row r="948" spans="7:7" ht="14.25" customHeight="1">
      <c r="G948" s="216"/>
    </row>
    <row r="949" spans="7:7" ht="14.25" customHeight="1">
      <c r="G949" s="216"/>
    </row>
    <row r="950" spans="7:7" ht="14.25" customHeight="1">
      <c r="G950" s="216"/>
    </row>
    <row r="951" spans="7:7" ht="14.25" customHeight="1">
      <c r="G951" s="216"/>
    </row>
    <row r="952" spans="7:7" ht="14.25" customHeight="1">
      <c r="G952" s="216"/>
    </row>
    <row r="953" spans="7:7" ht="14.25" customHeight="1">
      <c r="G953" s="216"/>
    </row>
    <row r="954" spans="7:7" ht="14.25" customHeight="1">
      <c r="G954" s="216"/>
    </row>
    <row r="955" spans="7:7" ht="14.25" customHeight="1">
      <c r="G955" s="216"/>
    </row>
    <row r="956" spans="7:7" ht="14.25" customHeight="1">
      <c r="G956" s="216"/>
    </row>
    <row r="957" spans="7:7" ht="14.25" customHeight="1">
      <c r="G957" s="216"/>
    </row>
    <row r="958" spans="7:7" ht="14.25" customHeight="1">
      <c r="G958" s="216"/>
    </row>
    <row r="959" spans="7:7" ht="14.25" customHeight="1">
      <c r="G959" s="216"/>
    </row>
    <row r="960" spans="7:7" ht="14.25" customHeight="1">
      <c r="G960" s="216"/>
    </row>
    <row r="961" spans="7:7" ht="14.25" customHeight="1">
      <c r="G961" s="216"/>
    </row>
    <row r="962" spans="7:7" ht="14.25" customHeight="1">
      <c r="G962" s="216"/>
    </row>
    <row r="963" spans="7:7" ht="14.25" customHeight="1">
      <c r="G963" s="216"/>
    </row>
    <row r="964" spans="7:7" ht="14.25" customHeight="1">
      <c r="G964" s="216"/>
    </row>
    <row r="965" spans="7:7" ht="14.25" customHeight="1">
      <c r="G965" s="216"/>
    </row>
    <row r="966" spans="7:7" ht="14.25" customHeight="1">
      <c r="G966" s="216"/>
    </row>
    <row r="967" spans="7:7" ht="14.25" customHeight="1">
      <c r="G967" s="216"/>
    </row>
    <row r="968" spans="7:7" ht="14.25" customHeight="1">
      <c r="G968" s="216"/>
    </row>
    <row r="969" spans="7:7" ht="14.25" customHeight="1">
      <c r="G969" s="216"/>
    </row>
    <row r="970" spans="7:7" ht="14.25" customHeight="1">
      <c r="G970" s="216"/>
    </row>
    <row r="971" spans="7:7" ht="14.25" customHeight="1">
      <c r="G971" s="216"/>
    </row>
    <row r="972" spans="7:7" ht="14.25" customHeight="1">
      <c r="G972" s="216"/>
    </row>
    <row r="973" spans="7:7" ht="14.25" customHeight="1">
      <c r="G973" s="216"/>
    </row>
    <row r="974" spans="7:7" ht="14.25" customHeight="1">
      <c r="G974" s="216"/>
    </row>
    <row r="975" spans="7:7" ht="14.25" customHeight="1">
      <c r="G975" s="216"/>
    </row>
    <row r="976" spans="7:7" ht="14.25" customHeight="1">
      <c r="G976" s="216"/>
    </row>
    <row r="977" spans="7:7" ht="14.25" customHeight="1">
      <c r="G977" s="216"/>
    </row>
    <row r="978" spans="7:7" ht="14.25" customHeight="1">
      <c r="G978" s="216"/>
    </row>
    <row r="979" spans="7:7" ht="14.25" customHeight="1">
      <c r="G979" s="216"/>
    </row>
    <row r="980" spans="7:7" ht="14.25" customHeight="1">
      <c r="G980" s="216"/>
    </row>
    <row r="981" spans="7:7" ht="14.25" customHeight="1">
      <c r="G981" s="216"/>
    </row>
    <row r="982" spans="7:7" ht="14.25" customHeight="1">
      <c r="G982" s="216"/>
    </row>
    <row r="983" spans="7:7" ht="14.25" customHeight="1">
      <c r="G983" s="216"/>
    </row>
    <row r="984" spans="7:7" ht="14.25" customHeight="1">
      <c r="G984" s="216"/>
    </row>
    <row r="985" spans="7:7" ht="14.25" customHeight="1">
      <c r="G985" s="216"/>
    </row>
    <row r="986" spans="7:7" ht="14.25" customHeight="1">
      <c r="G986" s="216"/>
    </row>
    <row r="987" spans="7:7" ht="14.25" customHeight="1">
      <c r="G987" s="216"/>
    </row>
    <row r="988" spans="7:7" ht="14.25" customHeight="1">
      <c r="G988" s="216"/>
    </row>
    <row r="989" spans="7:7" ht="14.25" customHeight="1">
      <c r="G989" s="216"/>
    </row>
    <row r="990" spans="7:7" ht="14.25" customHeight="1">
      <c r="G990" s="216"/>
    </row>
    <row r="991" spans="7:7" ht="14.25" customHeight="1">
      <c r="G991" s="216"/>
    </row>
    <row r="992" spans="7:7" ht="14.25" customHeight="1">
      <c r="G992" s="216"/>
    </row>
    <row r="993" spans="7:7" ht="14.25" customHeight="1">
      <c r="G993" s="216"/>
    </row>
    <row r="994" spans="7:7" ht="14.25" customHeight="1">
      <c r="G994" s="216"/>
    </row>
    <row r="995" spans="7:7" ht="14.25" customHeight="1">
      <c r="G995" s="216"/>
    </row>
    <row r="996" spans="7:7" ht="14.25" customHeight="1">
      <c r="G996" s="216"/>
    </row>
    <row r="997" spans="7:7" ht="14.25" customHeight="1">
      <c r="G997" s="216"/>
    </row>
    <row r="998" spans="7:7" ht="14.25" customHeight="1">
      <c r="G998" s="216"/>
    </row>
    <row r="999" spans="7:7" ht="14.25" customHeight="1">
      <c r="G999" s="216"/>
    </row>
    <row r="1000" spans="7:7" ht="14.25" customHeight="1">
      <c r="G1000" s="216"/>
    </row>
    <row r="1001" spans="7:7" ht="14.25" customHeight="1">
      <c r="G1001" s="216"/>
    </row>
    <row r="1002" spans="7:7" ht="14.25" customHeight="1">
      <c r="G1002" s="216"/>
    </row>
    <row r="1003" spans="7:7" ht="14.25" customHeight="1">
      <c r="G1003" s="216"/>
    </row>
    <row r="1004" spans="7:7" ht="14.25" customHeight="1">
      <c r="G1004" s="216"/>
    </row>
    <row r="1005" spans="7:7" ht="14.25" customHeight="1">
      <c r="G1005" s="216"/>
    </row>
    <row r="1006" spans="7:7" ht="14.25" customHeight="1">
      <c r="G1006" s="216"/>
    </row>
    <row r="1007" spans="7:7" ht="14.25" customHeight="1">
      <c r="G1007" s="216"/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L1000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19" sqref="A19"/>
    </sheetView>
  </sheetViews>
  <sheetFormatPr baseColWidth="10" defaultColWidth="12.5" defaultRowHeight="15"/>
  <cols>
    <col min="2" max="2" width="14.83203125" customWidth="1"/>
    <col min="3" max="3" width="60.5" customWidth="1"/>
    <col min="4" max="4" width="22.5" customWidth="1"/>
    <col min="5" max="7" width="21.1640625" customWidth="1"/>
    <col min="8" max="8" width="23.5" customWidth="1"/>
    <col min="9" max="9" width="15.5" customWidth="1"/>
    <col min="10" max="10" width="16" customWidth="1"/>
    <col min="11" max="13" width="9.1640625" customWidth="1"/>
  </cols>
  <sheetData>
    <row r="1" spans="1:10" ht="37.5" customHeight="1">
      <c r="A1" s="221" t="s">
        <v>1377</v>
      </c>
      <c r="B1" s="221" t="s">
        <v>1378</v>
      </c>
      <c r="C1" s="221" t="s">
        <v>1379</v>
      </c>
      <c r="D1" s="221" t="s">
        <v>1380</v>
      </c>
      <c r="E1" s="222" t="s">
        <v>1381</v>
      </c>
      <c r="F1" s="222" t="s">
        <v>1382</v>
      </c>
      <c r="G1" s="223" t="s">
        <v>1383</v>
      </c>
      <c r="H1" s="221" t="s">
        <v>1384</v>
      </c>
      <c r="I1" s="221" t="s">
        <v>1385</v>
      </c>
      <c r="J1" s="219" t="s">
        <v>1362</v>
      </c>
    </row>
    <row r="2" spans="1:10">
      <c r="A2" s="96" t="s">
        <v>1386</v>
      </c>
      <c r="B2" s="220" t="s">
        <v>1387</v>
      </c>
      <c r="C2" s="224" t="s">
        <v>1388</v>
      </c>
      <c r="D2" s="224" t="s">
        <v>1389</v>
      </c>
      <c r="E2" s="225">
        <v>7.76</v>
      </c>
      <c r="F2" s="225">
        <v>1.03</v>
      </c>
      <c r="G2" s="226">
        <f t="shared" ref="G2:G33" si="0">SUM(E2:F2)</f>
        <v>8.7899999999999991</v>
      </c>
      <c r="H2" s="227">
        <v>7680</v>
      </c>
      <c r="I2" s="224" t="s">
        <v>1390</v>
      </c>
      <c r="J2" s="216">
        <v>45939</v>
      </c>
    </row>
    <row r="3" spans="1:10">
      <c r="A3" s="96" t="s">
        <v>1386</v>
      </c>
      <c r="B3" s="220" t="s">
        <v>1391</v>
      </c>
      <c r="C3" s="224" t="s">
        <v>1392</v>
      </c>
      <c r="D3" s="224" t="s">
        <v>1393</v>
      </c>
      <c r="E3" s="225">
        <v>2.73</v>
      </c>
      <c r="F3" s="225">
        <v>0.36</v>
      </c>
      <c r="G3" s="226">
        <f t="shared" si="0"/>
        <v>3.09</v>
      </c>
      <c r="H3" s="227">
        <v>4800</v>
      </c>
      <c r="I3" s="224" t="s">
        <v>1390</v>
      </c>
      <c r="J3" s="216">
        <v>45939</v>
      </c>
    </row>
    <row r="4" spans="1:10">
      <c r="A4" s="96" t="s">
        <v>1386</v>
      </c>
      <c r="B4" s="220" t="s">
        <v>1394</v>
      </c>
      <c r="C4" s="224" t="s">
        <v>1395</v>
      </c>
      <c r="D4" s="224" t="s">
        <v>1396</v>
      </c>
      <c r="E4" s="225">
        <v>0.49199999999999999</v>
      </c>
      <c r="F4" s="225">
        <v>0.01</v>
      </c>
      <c r="G4" s="226">
        <f t="shared" si="0"/>
        <v>0.502</v>
      </c>
      <c r="H4" s="227">
        <v>20000</v>
      </c>
      <c r="I4" s="224" t="s">
        <v>1390</v>
      </c>
      <c r="J4" s="216">
        <v>45939</v>
      </c>
    </row>
    <row r="5" spans="1:10">
      <c r="A5" s="96" t="s">
        <v>1386</v>
      </c>
      <c r="B5" s="220" t="s">
        <v>1397</v>
      </c>
      <c r="C5" s="224" t="s">
        <v>1398</v>
      </c>
      <c r="D5" s="224" t="s">
        <v>1399</v>
      </c>
      <c r="E5" s="225">
        <v>0.29399999999999998</v>
      </c>
      <c r="F5" s="225">
        <v>0.01</v>
      </c>
      <c r="G5" s="226">
        <f t="shared" si="0"/>
        <v>0.30399999999999999</v>
      </c>
      <c r="H5" s="227">
        <v>32500</v>
      </c>
      <c r="I5" s="224" t="s">
        <v>1390</v>
      </c>
      <c r="J5" s="216">
        <v>45939</v>
      </c>
    </row>
    <row r="6" spans="1:10">
      <c r="A6" s="96" t="s">
        <v>1386</v>
      </c>
      <c r="B6" s="220" t="s">
        <v>1400</v>
      </c>
      <c r="C6" s="224" t="s">
        <v>1401</v>
      </c>
      <c r="D6" s="224" t="s">
        <v>1402</v>
      </c>
      <c r="E6" s="225">
        <v>2.19</v>
      </c>
      <c r="F6" s="225">
        <v>0.28999999999999998</v>
      </c>
      <c r="G6" s="226">
        <f t="shared" si="0"/>
        <v>2.48</v>
      </c>
      <c r="H6" s="227">
        <v>2520</v>
      </c>
      <c r="I6" s="224" t="s">
        <v>1390</v>
      </c>
      <c r="J6" s="216">
        <v>45939</v>
      </c>
    </row>
    <row r="7" spans="1:10">
      <c r="A7" s="96" t="s">
        <v>1386</v>
      </c>
      <c r="B7" s="220" t="s">
        <v>1403</v>
      </c>
      <c r="C7" s="224" t="s">
        <v>1404</v>
      </c>
      <c r="D7" s="224" t="s">
        <v>1405</v>
      </c>
      <c r="E7" s="225">
        <v>0.82</v>
      </c>
      <c r="F7" s="225">
        <v>0.11</v>
      </c>
      <c r="G7" s="226">
        <f t="shared" si="0"/>
        <v>0.92999999999999994</v>
      </c>
      <c r="H7" s="227">
        <v>1600</v>
      </c>
      <c r="I7" s="224" t="s">
        <v>1390</v>
      </c>
      <c r="J7" s="216">
        <v>45939</v>
      </c>
    </row>
    <row r="8" spans="1:10">
      <c r="A8" s="96" t="s">
        <v>1386</v>
      </c>
      <c r="B8" s="220" t="s">
        <v>1406</v>
      </c>
      <c r="C8" s="224" t="s">
        <v>1407</v>
      </c>
      <c r="D8" s="224" t="s">
        <v>1408</v>
      </c>
      <c r="E8" s="225">
        <v>2.19</v>
      </c>
      <c r="F8" s="225">
        <v>0.28999999999999998</v>
      </c>
      <c r="G8" s="226">
        <f t="shared" si="0"/>
        <v>2.48</v>
      </c>
      <c r="H8" s="227">
        <v>2640</v>
      </c>
      <c r="I8" s="224" t="s">
        <v>1390</v>
      </c>
      <c r="J8" s="216">
        <v>45939</v>
      </c>
    </row>
    <row r="9" spans="1:10">
      <c r="A9" s="96" t="s">
        <v>1386</v>
      </c>
      <c r="B9" s="220" t="s">
        <v>1409</v>
      </c>
      <c r="C9" s="224" t="s">
        <v>1410</v>
      </c>
      <c r="D9" s="224" t="s">
        <v>1411</v>
      </c>
      <c r="E9" s="225">
        <v>0.82</v>
      </c>
      <c r="F9" s="225">
        <v>0.11</v>
      </c>
      <c r="G9" s="226">
        <f t="shared" si="0"/>
        <v>0.92999999999999994</v>
      </c>
      <c r="H9" s="227">
        <v>1600</v>
      </c>
      <c r="I9" s="224" t="s">
        <v>1390</v>
      </c>
      <c r="J9" s="216">
        <v>45939</v>
      </c>
    </row>
    <row r="10" spans="1:10">
      <c r="A10" s="96" t="s">
        <v>1386</v>
      </c>
      <c r="B10" s="220" t="s">
        <v>1412</v>
      </c>
      <c r="C10" s="224" t="s">
        <v>1413</v>
      </c>
      <c r="D10" s="224" t="s">
        <v>1414</v>
      </c>
      <c r="E10" s="225">
        <v>2.19</v>
      </c>
      <c r="F10" s="225">
        <v>0.28999999999999998</v>
      </c>
      <c r="G10" s="226">
        <f t="shared" si="0"/>
        <v>2.48</v>
      </c>
      <c r="H10" s="227">
        <v>2520</v>
      </c>
      <c r="I10" s="224" t="s">
        <v>1390</v>
      </c>
      <c r="J10" s="216">
        <v>45939</v>
      </c>
    </row>
    <row r="11" spans="1:10">
      <c r="A11" s="96" t="s">
        <v>1386</v>
      </c>
      <c r="B11" s="220" t="s">
        <v>1415</v>
      </c>
      <c r="C11" s="224" t="s">
        <v>1416</v>
      </c>
      <c r="D11" s="224" t="s">
        <v>1417</v>
      </c>
      <c r="E11" s="225">
        <v>0.82</v>
      </c>
      <c r="F11" s="225">
        <v>0.11</v>
      </c>
      <c r="G11" s="226">
        <f t="shared" si="0"/>
        <v>0.92999999999999994</v>
      </c>
      <c r="H11" s="227">
        <v>1600</v>
      </c>
      <c r="I11" s="224" t="s">
        <v>1390</v>
      </c>
      <c r="J11" s="216">
        <v>45939</v>
      </c>
    </row>
    <row r="12" spans="1:10">
      <c r="A12" s="96" t="s">
        <v>1386</v>
      </c>
      <c r="B12" s="220" t="s">
        <v>1418</v>
      </c>
      <c r="C12" s="220" t="s">
        <v>1419</v>
      </c>
      <c r="D12" s="224" t="s">
        <v>1420</v>
      </c>
      <c r="E12" s="225">
        <v>0</v>
      </c>
      <c r="F12" s="225">
        <v>0</v>
      </c>
      <c r="G12" s="226">
        <f t="shared" si="0"/>
        <v>0</v>
      </c>
      <c r="H12" s="227">
        <v>1112</v>
      </c>
      <c r="I12" s="224" t="s">
        <v>1390</v>
      </c>
      <c r="J12" s="216">
        <v>45939</v>
      </c>
    </row>
    <row r="13" spans="1:10">
      <c r="A13" s="96" t="s">
        <v>1386</v>
      </c>
      <c r="B13" s="220" t="s">
        <v>1421</v>
      </c>
      <c r="C13" s="220" t="s">
        <v>1422</v>
      </c>
      <c r="D13" s="224" t="s">
        <v>1420</v>
      </c>
      <c r="E13" s="225">
        <v>0</v>
      </c>
      <c r="F13" s="225">
        <v>0</v>
      </c>
      <c r="G13" s="226">
        <f t="shared" si="0"/>
        <v>0</v>
      </c>
      <c r="H13" s="227">
        <v>1167</v>
      </c>
      <c r="I13" s="224" t="s">
        <v>1390</v>
      </c>
      <c r="J13" s="216">
        <v>45939</v>
      </c>
    </row>
    <row r="14" spans="1:10">
      <c r="A14" s="96" t="s">
        <v>1386</v>
      </c>
      <c r="B14" s="220" t="s">
        <v>1423</v>
      </c>
      <c r="C14" s="220" t="s">
        <v>1424</v>
      </c>
      <c r="D14" s="224" t="s">
        <v>1420</v>
      </c>
      <c r="E14" s="225">
        <v>0</v>
      </c>
      <c r="F14" s="225">
        <v>0</v>
      </c>
      <c r="G14" s="226">
        <f t="shared" si="0"/>
        <v>0</v>
      </c>
      <c r="H14" s="227">
        <v>1042</v>
      </c>
      <c r="I14" s="224" t="s">
        <v>1390</v>
      </c>
      <c r="J14" s="216">
        <v>45939</v>
      </c>
    </row>
    <row r="15" spans="1:10">
      <c r="A15" s="96" t="s">
        <v>1386</v>
      </c>
      <c r="B15" s="220" t="s">
        <v>1425</v>
      </c>
      <c r="C15" s="220" t="s">
        <v>1426</v>
      </c>
      <c r="D15" s="224" t="s">
        <v>1420</v>
      </c>
      <c r="E15" s="225">
        <v>0</v>
      </c>
      <c r="F15" s="225">
        <v>0</v>
      </c>
      <c r="G15" s="226">
        <f t="shared" si="0"/>
        <v>0</v>
      </c>
      <c r="H15" s="227">
        <v>2921</v>
      </c>
      <c r="I15" s="224" t="s">
        <v>1390</v>
      </c>
      <c r="J15" s="216">
        <v>45939</v>
      </c>
    </row>
    <row r="16" spans="1:10">
      <c r="A16" s="96" t="s">
        <v>1386</v>
      </c>
      <c r="B16" s="220" t="s">
        <v>1427</v>
      </c>
      <c r="C16" s="220" t="s">
        <v>1428</v>
      </c>
      <c r="D16" s="224"/>
      <c r="E16" s="225">
        <v>0</v>
      </c>
      <c r="F16" s="225">
        <v>0</v>
      </c>
      <c r="G16" s="226">
        <f t="shared" si="0"/>
        <v>0</v>
      </c>
      <c r="H16" s="227"/>
      <c r="I16" s="224" t="s">
        <v>1390</v>
      </c>
      <c r="J16" s="216">
        <v>45939</v>
      </c>
    </row>
    <row r="17" spans="1:10">
      <c r="A17" s="96" t="s">
        <v>1386</v>
      </c>
      <c r="B17" s="220" t="s">
        <v>1374</v>
      </c>
      <c r="C17" s="220" t="s">
        <v>1429</v>
      </c>
      <c r="D17" s="224"/>
      <c r="E17" s="225">
        <v>18.71</v>
      </c>
      <c r="F17" s="225">
        <v>1.4</v>
      </c>
      <c r="G17" s="226">
        <f t="shared" si="0"/>
        <v>20.11</v>
      </c>
      <c r="H17" s="227"/>
      <c r="I17" s="224" t="s">
        <v>1390</v>
      </c>
      <c r="J17" s="216">
        <v>45939</v>
      </c>
    </row>
    <row r="18" spans="1:10">
      <c r="A18" s="96" t="s">
        <v>1386</v>
      </c>
      <c r="B18" s="220" t="s">
        <v>1376</v>
      </c>
      <c r="C18" s="220" t="s">
        <v>1430</v>
      </c>
      <c r="D18" s="224"/>
      <c r="E18" s="225">
        <v>7.13</v>
      </c>
      <c r="F18" s="225">
        <v>1.4</v>
      </c>
      <c r="G18" s="226">
        <f t="shared" si="0"/>
        <v>8.5299999999999994</v>
      </c>
      <c r="H18" s="227"/>
      <c r="I18" s="224" t="s">
        <v>1390</v>
      </c>
      <c r="J18" s="216">
        <v>45939</v>
      </c>
    </row>
    <row r="19" spans="1:10">
      <c r="A19" s="96" t="s">
        <v>1386</v>
      </c>
      <c r="B19" s="220" t="s">
        <v>1373</v>
      </c>
      <c r="C19" s="220" t="s">
        <v>1431</v>
      </c>
      <c r="D19" s="224"/>
      <c r="E19" s="225">
        <v>7.13</v>
      </c>
      <c r="F19" s="225">
        <v>1.4</v>
      </c>
      <c r="G19" s="226">
        <f t="shared" si="0"/>
        <v>8.5299999999999994</v>
      </c>
      <c r="H19" s="227"/>
      <c r="I19" s="224" t="s">
        <v>1390</v>
      </c>
      <c r="J19" s="216">
        <v>45939</v>
      </c>
    </row>
    <row r="20" spans="1:10">
      <c r="A20" s="96" t="s">
        <v>1386</v>
      </c>
      <c r="B20" s="220" t="s">
        <v>1375</v>
      </c>
      <c r="C20" s="220" t="s">
        <v>1432</v>
      </c>
      <c r="D20" s="224"/>
      <c r="E20" s="225">
        <v>3.03</v>
      </c>
      <c r="F20" s="225">
        <v>1.4</v>
      </c>
      <c r="G20" s="226">
        <f t="shared" si="0"/>
        <v>4.43</v>
      </c>
      <c r="H20" s="227"/>
      <c r="I20" s="224" t="s">
        <v>1390</v>
      </c>
      <c r="J20" s="216">
        <v>45939</v>
      </c>
    </row>
    <row r="21" spans="1:10">
      <c r="A21" s="96" t="s">
        <v>1386</v>
      </c>
      <c r="B21" s="220" t="s">
        <v>1363</v>
      </c>
      <c r="C21" s="220" t="s">
        <v>1433</v>
      </c>
      <c r="D21" s="224" t="s">
        <v>1434</v>
      </c>
      <c r="E21" s="225">
        <v>2.79</v>
      </c>
      <c r="F21" s="225">
        <v>0.27</v>
      </c>
      <c r="G21" s="226">
        <f t="shared" si="0"/>
        <v>3.06</v>
      </c>
      <c r="H21" s="227"/>
      <c r="I21" s="224" t="s">
        <v>1390</v>
      </c>
      <c r="J21" s="216">
        <v>45939</v>
      </c>
    </row>
    <row r="22" spans="1:10">
      <c r="A22" s="96" t="s">
        <v>1386</v>
      </c>
      <c r="B22" s="220" t="s">
        <v>1368</v>
      </c>
      <c r="C22" s="220" t="s">
        <v>1435</v>
      </c>
      <c r="D22" s="224" t="s">
        <v>1436</v>
      </c>
      <c r="E22" s="225">
        <v>3.15</v>
      </c>
      <c r="F22" s="225">
        <v>0.28999999999999998</v>
      </c>
      <c r="G22" s="226">
        <f t="shared" si="0"/>
        <v>3.44</v>
      </c>
      <c r="H22" s="227"/>
      <c r="I22" s="224" t="s">
        <v>1390</v>
      </c>
      <c r="J22" s="216">
        <v>45939</v>
      </c>
    </row>
    <row r="23" spans="1:10">
      <c r="A23" s="96" t="s">
        <v>1386</v>
      </c>
      <c r="B23" s="220" t="s">
        <v>1371</v>
      </c>
      <c r="C23" s="220" t="s">
        <v>1437</v>
      </c>
      <c r="D23" s="224" t="s">
        <v>1436</v>
      </c>
      <c r="E23" s="225">
        <v>7.77</v>
      </c>
      <c r="F23" s="225">
        <v>0.84</v>
      </c>
      <c r="G23" s="226">
        <f t="shared" si="0"/>
        <v>8.61</v>
      </c>
      <c r="H23" s="227"/>
      <c r="I23" s="224" t="s">
        <v>1390</v>
      </c>
      <c r="J23" s="216">
        <v>45939</v>
      </c>
    </row>
    <row r="24" spans="1:10">
      <c r="A24" s="96" t="s">
        <v>1386</v>
      </c>
      <c r="B24" s="220" t="s">
        <v>1438</v>
      </c>
      <c r="C24" s="220" t="s">
        <v>1439</v>
      </c>
      <c r="D24" s="224" t="s">
        <v>1440</v>
      </c>
      <c r="E24" s="225">
        <v>3.15</v>
      </c>
      <c r="F24" s="225">
        <v>0.28999999999999998</v>
      </c>
      <c r="G24" s="226">
        <f t="shared" si="0"/>
        <v>3.44</v>
      </c>
      <c r="H24" s="227"/>
      <c r="I24" s="224" t="s">
        <v>1390</v>
      </c>
      <c r="J24" s="216">
        <v>45939</v>
      </c>
    </row>
    <row r="25" spans="1:10">
      <c r="A25" s="96" t="s">
        <v>1386</v>
      </c>
      <c r="B25" s="220" t="s">
        <v>1365</v>
      </c>
      <c r="C25" s="220" t="s">
        <v>1441</v>
      </c>
      <c r="D25" s="224" t="s">
        <v>1442</v>
      </c>
      <c r="E25" s="225">
        <v>3.15</v>
      </c>
      <c r="F25" s="225">
        <v>0.28999999999999998</v>
      </c>
      <c r="G25" s="226">
        <f t="shared" si="0"/>
        <v>3.44</v>
      </c>
      <c r="H25" s="227"/>
      <c r="I25" s="224" t="s">
        <v>1390</v>
      </c>
      <c r="J25" s="216">
        <v>45939</v>
      </c>
    </row>
    <row r="26" spans="1:10">
      <c r="A26" s="96" t="s">
        <v>1386</v>
      </c>
      <c r="B26" s="220" t="s">
        <v>1366</v>
      </c>
      <c r="C26" s="220" t="s">
        <v>1443</v>
      </c>
      <c r="D26" s="224" t="s">
        <v>1442</v>
      </c>
      <c r="E26" s="225">
        <v>7.77</v>
      </c>
      <c r="F26" s="225">
        <v>0.84</v>
      </c>
      <c r="G26" s="226">
        <f t="shared" si="0"/>
        <v>8.61</v>
      </c>
      <c r="H26" s="227"/>
      <c r="I26" s="224" t="s">
        <v>1390</v>
      </c>
      <c r="J26" s="216">
        <v>45939</v>
      </c>
    </row>
    <row r="27" spans="1:10">
      <c r="A27" s="96" t="s">
        <v>1386</v>
      </c>
      <c r="B27" s="220" t="s">
        <v>1364</v>
      </c>
      <c r="C27" s="220" t="s">
        <v>1444</v>
      </c>
      <c r="D27" s="224" t="s">
        <v>1434</v>
      </c>
      <c r="E27" s="225">
        <v>7.77</v>
      </c>
      <c r="F27" s="225">
        <v>0.84</v>
      </c>
      <c r="G27" s="226">
        <f t="shared" si="0"/>
        <v>8.61</v>
      </c>
      <c r="H27" s="227"/>
      <c r="I27" s="224" t="s">
        <v>1390</v>
      </c>
      <c r="J27" s="216">
        <v>45939</v>
      </c>
    </row>
    <row r="28" spans="1:10">
      <c r="A28" s="96" t="s">
        <v>1386</v>
      </c>
      <c r="B28" s="220" t="s">
        <v>1197</v>
      </c>
      <c r="C28" s="220" t="s">
        <v>1198</v>
      </c>
      <c r="D28" s="224" t="s">
        <v>1198</v>
      </c>
      <c r="E28" s="225">
        <v>0</v>
      </c>
      <c r="F28" s="225">
        <v>0</v>
      </c>
      <c r="G28" s="226">
        <f t="shared" si="0"/>
        <v>0</v>
      </c>
      <c r="H28" s="220"/>
      <c r="I28" s="224" t="s">
        <v>1445</v>
      </c>
      <c r="J28" s="216">
        <v>45939</v>
      </c>
    </row>
    <row r="29" spans="1:10">
      <c r="A29" s="96" t="s">
        <v>1386</v>
      </c>
      <c r="B29" s="220" t="s">
        <v>1287</v>
      </c>
      <c r="C29" s="224" t="s">
        <v>1446</v>
      </c>
      <c r="D29" s="224" t="s">
        <v>1288</v>
      </c>
      <c r="E29" s="225">
        <v>8.38391246925773</v>
      </c>
      <c r="F29" s="225">
        <v>0.13</v>
      </c>
      <c r="G29" s="226">
        <f t="shared" si="0"/>
        <v>8.5139124692577308</v>
      </c>
      <c r="H29" s="227">
        <v>1601</v>
      </c>
      <c r="I29" s="224" t="s">
        <v>1445</v>
      </c>
      <c r="J29" s="216">
        <v>45939</v>
      </c>
    </row>
    <row r="30" spans="1:10">
      <c r="A30" s="96" t="s">
        <v>1386</v>
      </c>
      <c r="B30" s="220" t="s">
        <v>1219</v>
      </c>
      <c r="C30" s="224" t="s">
        <v>1447</v>
      </c>
      <c r="D30" s="224" t="s">
        <v>1220</v>
      </c>
      <c r="E30" s="225">
        <v>4.5</v>
      </c>
      <c r="F30" s="225">
        <v>0.48</v>
      </c>
      <c r="G30" s="226">
        <f t="shared" si="0"/>
        <v>4.9800000000000004</v>
      </c>
      <c r="H30" s="227">
        <v>1400</v>
      </c>
      <c r="I30" s="224" t="s">
        <v>1448</v>
      </c>
      <c r="J30" s="216">
        <v>45939</v>
      </c>
    </row>
    <row r="31" spans="1:10" ht="15.75" customHeight="1">
      <c r="A31" s="96" t="s">
        <v>1386</v>
      </c>
      <c r="B31" s="220" t="s">
        <v>1273</v>
      </c>
      <c r="C31" s="224" t="s">
        <v>1336</v>
      </c>
      <c r="D31" s="224" t="s">
        <v>1336</v>
      </c>
      <c r="E31" s="225">
        <v>13.39</v>
      </c>
      <c r="F31" s="225">
        <v>2.21</v>
      </c>
      <c r="G31" s="226">
        <f t="shared" si="0"/>
        <v>15.600000000000001</v>
      </c>
      <c r="H31" s="227">
        <v>800</v>
      </c>
      <c r="I31" s="224" t="s">
        <v>1448</v>
      </c>
      <c r="J31" s="216">
        <v>45939</v>
      </c>
    </row>
    <row r="32" spans="1:10" ht="15.75" customHeight="1">
      <c r="A32" s="96" t="s">
        <v>1386</v>
      </c>
      <c r="B32" s="220" t="s">
        <v>1239</v>
      </c>
      <c r="C32" s="224" t="s">
        <v>1240</v>
      </c>
      <c r="D32" s="224" t="s">
        <v>1240</v>
      </c>
      <c r="E32" s="225">
        <v>18.899999999999999</v>
      </c>
      <c r="F32" s="225">
        <v>2.21</v>
      </c>
      <c r="G32" s="226">
        <f t="shared" si="0"/>
        <v>21.11</v>
      </c>
      <c r="H32" s="227">
        <v>360</v>
      </c>
      <c r="I32" s="224" t="s">
        <v>1448</v>
      </c>
      <c r="J32" s="216">
        <v>45939</v>
      </c>
    </row>
    <row r="33" spans="1:10" ht="15.75" customHeight="1">
      <c r="A33" s="96" t="s">
        <v>1386</v>
      </c>
      <c r="B33" s="220" t="s">
        <v>1257</v>
      </c>
      <c r="C33" s="224" t="s">
        <v>1449</v>
      </c>
      <c r="D33" s="224" t="s">
        <v>1258</v>
      </c>
      <c r="E33" s="225">
        <v>10.081423203381901</v>
      </c>
      <c r="F33" s="225">
        <v>1.68</v>
      </c>
      <c r="G33" s="226">
        <f t="shared" si="0"/>
        <v>11.7614232033819</v>
      </c>
      <c r="H33" s="227">
        <v>45</v>
      </c>
      <c r="I33" s="224" t="s">
        <v>1448</v>
      </c>
      <c r="J33" s="216">
        <v>45939</v>
      </c>
    </row>
    <row r="34" spans="1:10" ht="15.75" customHeight="1">
      <c r="A34" s="96" t="s">
        <v>1386</v>
      </c>
      <c r="B34" s="220" t="s">
        <v>1201</v>
      </c>
      <c r="C34" s="224" t="s">
        <v>1450</v>
      </c>
      <c r="D34" s="224" t="s">
        <v>1202</v>
      </c>
      <c r="E34" s="225">
        <v>6.7</v>
      </c>
      <c r="F34" s="225">
        <v>0.48</v>
      </c>
      <c r="G34" s="226">
        <f t="shared" ref="G34:G65" si="1">SUM(E34:F34)</f>
        <v>7.18</v>
      </c>
      <c r="H34" s="227">
        <v>1280</v>
      </c>
      <c r="I34" s="224" t="s">
        <v>1448</v>
      </c>
      <c r="J34" s="216">
        <v>45939</v>
      </c>
    </row>
    <row r="35" spans="1:10" ht="15.75" customHeight="1">
      <c r="A35" s="96" t="s">
        <v>1386</v>
      </c>
      <c r="B35" s="220" t="s">
        <v>1295</v>
      </c>
      <c r="C35" s="224" t="s">
        <v>1451</v>
      </c>
      <c r="D35" s="224" t="s">
        <v>1296</v>
      </c>
      <c r="E35" s="225">
        <v>19.665367657963401</v>
      </c>
      <c r="F35" s="225">
        <v>1.42</v>
      </c>
      <c r="G35" s="226">
        <f t="shared" si="1"/>
        <v>21.085367657963403</v>
      </c>
      <c r="H35" s="227">
        <v>190</v>
      </c>
      <c r="I35" s="224" t="s">
        <v>1448</v>
      </c>
      <c r="J35" s="216">
        <v>45939</v>
      </c>
    </row>
    <row r="36" spans="1:10" ht="15.75" customHeight="1">
      <c r="A36" s="96" t="s">
        <v>1386</v>
      </c>
      <c r="B36" s="220" t="s">
        <v>1241</v>
      </c>
      <c r="C36" s="224" t="s">
        <v>1242</v>
      </c>
      <c r="D36" s="224" t="s">
        <v>1242</v>
      </c>
      <c r="E36" s="225">
        <v>29.04</v>
      </c>
      <c r="F36" s="225">
        <v>2.21</v>
      </c>
      <c r="G36" s="226">
        <f t="shared" si="1"/>
        <v>31.25</v>
      </c>
      <c r="H36" s="227">
        <v>180</v>
      </c>
      <c r="I36" s="224" t="s">
        <v>1448</v>
      </c>
      <c r="J36" s="216">
        <v>45939</v>
      </c>
    </row>
    <row r="37" spans="1:10" ht="15.75" customHeight="1">
      <c r="A37" s="96" t="s">
        <v>1386</v>
      </c>
      <c r="B37" s="220" t="s">
        <v>1203</v>
      </c>
      <c r="C37" s="224" t="s">
        <v>1452</v>
      </c>
      <c r="D37" s="224" t="s">
        <v>1204</v>
      </c>
      <c r="E37" s="225">
        <v>4.46</v>
      </c>
      <c r="F37" s="225">
        <v>0.48</v>
      </c>
      <c r="G37" s="226">
        <f t="shared" si="1"/>
        <v>4.9399999999999995</v>
      </c>
      <c r="H37" s="227">
        <v>1600</v>
      </c>
      <c r="I37" s="224" t="s">
        <v>1448</v>
      </c>
      <c r="J37" s="216">
        <v>45939</v>
      </c>
    </row>
    <row r="38" spans="1:10" ht="15.75" customHeight="1">
      <c r="A38" s="96" t="s">
        <v>1386</v>
      </c>
      <c r="B38" s="220" t="s">
        <v>1327</v>
      </c>
      <c r="C38" s="224" t="s">
        <v>1453</v>
      </c>
      <c r="D38" s="224" t="s">
        <v>1328</v>
      </c>
      <c r="E38" s="225">
        <v>1.33</v>
      </c>
      <c r="F38" s="225">
        <v>0.45</v>
      </c>
      <c r="G38" s="226">
        <f t="shared" si="1"/>
        <v>1.78</v>
      </c>
      <c r="H38" s="227">
        <v>300</v>
      </c>
      <c r="I38" s="224" t="s">
        <v>1448</v>
      </c>
      <c r="J38" s="216">
        <v>45939</v>
      </c>
    </row>
    <row r="39" spans="1:10" ht="15.75" customHeight="1">
      <c r="A39" s="96" t="s">
        <v>1386</v>
      </c>
      <c r="B39" s="220" t="s">
        <v>1225</v>
      </c>
      <c r="C39" s="224" t="s">
        <v>1454</v>
      </c>
      <c r="D39" s="224" t="s">
        <v>1455</v>
      </c>
      <c r="E39" s="225">
        <v>0.26577852760736198</v>
      </c>
      <c r="F39" s="225">
        <v>0.42</v>
      </c>
      <c r="G39" s="226">
        <f t="shared" si="1"/>
        <v>0.68577852760736202</v>
      </c>
      <c r="H39" s="227">
        <v>53300</v>
      </c>
      <c r="I39" s="224" t="s">
        <v>1448</v>
      </c>
      <c r="J39" s="216">
        <v>45939</v>
      </c>
    </row>
    <row r="40" spans="1:10" ht="15.75" customHeight="1">
      <c r="A40" s="96" t="s">
        <v>1386</v>
      </c>
      <c r="B40" s="220" t="s">
        <v>1456</v>
      </c>
      <c r="C40" s="224" t="s">
        <v>1457</v>
      </c>
      <c r="D40" s="224" t="s">
        <v>1458</v>
      </c>
      <c r="E40" s="225">
        <v>0.213157055214724</v>
      </c>
      <c r="F40" s="225">
        <v>0.41</v>
      </c>
      <c r="G40" s="226">
        <f t="shared" si="1"/>
        <v>0.62315705521472398</v>
      </c>
      <c r="H40" s="227">
        <v>2000</v>
      </c>
      <c r="I40" s="224" t="s">
        <v>1448</v>
      </c>
      <c r="J40" s="216">
        <v>45939</v>
      </c>
    </row>
    <row r="41" spans="1:10" ht="15.75" customHeight="1">
      <c r="A41" s="96" t="s">
        <v>1386</v>
      </c>
      <c r="B41" s="220" t="s">
        <v>1215</v>
      </c>
      <c r="C41" s="224" t="s">
        <v>1459</v>
      </c>
      <c r="D41" s="224" t="s">
        <v>1460</v>
      </c>
      <c r="E41" s="225">
        <v>0.47988098159509202</v>
      </c>
      <c r="F41" s="225">
        <v>0.32011901840490797</v>
      </c>
      <c r="G41" s="228">
        <f t="shared" si="1"/>
        <v>0.8</v>
      </c>
      <c r="H41" s="229">
        <v>31000</v>
      </c>
      <c r="I41" s="224" t="s">
        <v>1448</v>
      </c>
      <c r="J41" s="216">
        <v>45939</v>
      </c>
    </row>
    <row r="42" spans="1:10" ht="15.75" customHeight="1">
      <c r="A42" s="96" t="s">
        <v>1386</v>
      </c>
      <c r="B42" s="220" t="s">
        <v>1227</v>
      </c>
      <c r="C42" s="224" t="s">
        <v>1461</v>
      </c>
      <c r="D42" s="224" t="s">
        <v>1462</v>
      </c>
      <c r="E42" s="225">
        <v>0.85049555555555501</v>
      </c>
      <c r="F42" s="225">
        <v>0.67</v>
      </c>
      <c r="G42" s="226">
        <f t="shared" si="1"/>
        <v>1.520495555555555</v>
      </c>
      <c r="H42" s="227">
        <v>27000</v>
      </c>
      <c r="I42" s="224" t="s">
        <v>1448</v>
      </c>
      <c r="J42" s="216">
        <v>45939</v>
      </c>
    </row>
    <row r="43" spans="1:10" ht="15.75" customHeight="1">
      <c r="A43" s="96" t="s">
        <v>1386</v>
      </c>
      <c r="B43" s="220" t="s">
        <v>1229</v>
      </c>
      <c r="C43" s="224" t="s">
        <v>1463</v>
      </c>
      <c r="D43" s="224" t="s">
        <v>1230</v>
      </c>
      <c r="E43" s="225">
        <v>18.739999999999998</v>
      </c>
      <c r="F43" s="225">
        <v>0.48</v>
      </c>
      <c r="G43" s="226">
        <f t="shared" si="1"/>
        <v>19.22</v>
      </c>
      <c r="H43" s="227">
        <v>1200</v>
      </c>
      <c r="I43" s="224" t="s">
        <v>1448</v>
      </c>
      <c r="J43" s="216">
        <v>45939</v>
      </c>
    </row>
    <row r="44" spans="1:10" ht="15.75" customHeight="1">
      <c r="A44" s="96" t="s">
        <v>1386</v>
      </c>
      <c r="B44" s="220" t="s">
        <v>1289</v>
      </c>
      <c r="C44" s="224" t="s">
        <v>1464</v>
      </c>
      <c r="D44" s="224" t="s">
        <v>1290</v>
      </c>
      <c r="E44" s="225">
        <v>9.5637500909090907</v>
      </c>
      <c r="F44" s="225">
        <v>1.35</v>
      </c>
      <c r="G44" s="226">
        <f t="shared" si="1"/>
        <v>10.91375009090909</v>
      </c>
      <c r="H44" s="227">
        <v>440</v>
      </c>
      <c r="I44" s="224" t="s">
        <v>1448</v>
      </c>
      <c r="J44" s="216">
        <v>45939</v>
      </c>
    </row>
    <row r="45" spans="1:10" ht="15.75" customHeight="1">
      <c r="A45" s="96" t="s">
        <v>1386</v>
      </c>
      <c r="B45" s="220" t="s">
        <v>1465</v>
      </c>
      <c r="C45" s="224" t="s">
        <v>1466</v>
      </c>
      <c r="D45" s="224" t="s">
        <v>1467</v>
      </c>
      <c r="E45" s="225">
        <v>16.247100657963401</v>
      </c>
      <c r="F45" s="225">
        <v>1.42</v>
      </c>
      <c r="G45" s="226">
        <f t="shared" si="1"/>
        <v>17.667100657963402</v>
      </c>
      <c r="H45" s="227">
        <v>36</v>
      </c>
      <c r="I45" s="224" t="s">
        <v>1448</v>
      </c>
      <c r="J45" s="216">
        <v>45939</v>
      </c>
    </row>
    <row r="46" spans="1:10" ht="15.75" customHeight="1">
      <c r="A46" s="96" t="s">
        <v>1386</v>
      </c>
      <c r="B46" s="220" t="s">
        <v>1207</v>
      </c>
      <c r="C46" s="224" t="s">
        <v>1468</v>
      </c>
      <c r="D46" s="224" t="s">
        <v>1208</v>
      </c>
      <c r="E46" s="225">
        <v>6.38</v>
      </c>
      <c r="F46" s="225">
        <v>0.48</v>
      </c>
      <c r="G46" s="226">
        <f t="shared" si="1"/>
        <v>6.8599999999999994</v>
      </c>
      <c r="H46" s="227">
        <v>1600</v>
      </c>
      <c r="I46" s="224" t="s">
        <v>1448</v>
      </c>
      <c r="J46" s="216">
        <v>45939</v>
      </c>
    </row>
    <row r="47" spans="1:10" ht="15.75" customHeight="1">
      <c r="A47" s="96" t="s">
        <v>1386</v>
      </c>
      <c r="B47" s="220" t="s">
        <v>1325</v>
      </c>
      <c r="C47" s="224" t="s">
        <v>1469</v>
      </c>
      <c r="D47" s="224" t="s">
        <v>1326</v>
      </c>
      <c r="E47" s="225">
        <v>7.05</v>
      </c>
      <c r="F47" s="225">
        <v>0.48</v>
      </c>
      <c r="G47" s="226">
        <f t="shared" si="1"/>
        <v>7.5299999999999994</v>
      </c>
      <c r="H47" s="227">
        <v>2000</v>
      </c>
      <c r="I47" s="224" t="s">
        <v>1448</v>
      </c>
      <c r="J47" s="216">
        <v>45939</v>
      </c>
    </row>
    <row r="48" spans="1:10" ht="15.75" customHeight="1">
      <c r="A48" s="96" t="s">
        <v>1386</v>
      </c>
      <c r="B48" s="220" t="s">
        <v>1221</v>
      </c>
      <c r="C48" s="224" t="s">
        <v>1470</v>
      </c>
      <c r="D48" s="224" t="s">
        <v>1222</v>
      </c>
      <c r="E48" s="225">
        <v>7.4249999999999998</v>
      </c>
      <c r="F48" s="225">
        <v>0.48</v>
      </c>
      <c r="G48" s="226">
        <f t="shared" si="1"/>
        <v>7.9049999999999994</v>
      </c>
      <c r="H48" s="227">
        <v>3000</v>
      </c>
      <c r="I48" s="224" t="s">
        <v>1448</v>
      </c>
      <c r="J48" s="216">
        <v>45939</v>
      </c>
    </row>
    <row r="49" spans="1:12" ht="15.75" customHeight="1">
      <c r="A49" s="96" t="s">
        <v>1386</v>
      </c>
      <c r="B49" s="220" t="s">
        <v>1268</v>
      </c>
      <c r="C49" s="224" t="s">
        <v>1471</v>
      </c>
      <c r="D49" s="224" t="s">
        <v>1269</v>
      </c>
      <c r="E49" s="225">
        <v>9.92</v>
      </c>
      <c r="F49" s="225">
        <v>0.45</v>
      </c>
      <c r="G49" s="226">
        <f t="shared" si="1"/>
        <v>10.37</v>
      </c>
      <c r="H49" s="227">
        <v>200</v>
      </c>
      <c r="I49" s="224" t="s">
        <v>1448</v>
      </c>
      <c r="J49" s="216">
        <v>45939</v>
      </c>
    </row>
    <row r="50" spans="1:12" ht="15.75" customHeight="1">
      <c r="A50" s="96" t="s">
        <v>1386</v>
      </c>
      <c r="B50" s="220" t="s">
        <v>1209</v>
      </c>
      <c r="C50" s="224" t="s">
        <v>1472</v>
      </c>
      <c r="D50" s="224" t="s">
        <v>1210</v>
      </c>
      <c r="E50" s="225">
        <v>6.52</v>
      </c>
      <c r="F50" s="225">
        <v>0.48</v>
      </c>
      <c r="G50" s="226">
        <f t="shared" si="1"/>
        <v>7</v>
      </c>
      <c r="H50" s="227">
        <v>1400</v>
      </c>
      <c r="I50" s="224" t="s">
        <v>1448</v>
      </c>
      <c r="J50" s="216">
        <v>45939</v>
      </c>
    </row>
    <row r="51" spans="1:12" ht="15.75" customHeight="1">
      <c r="A51" s="96" t="s">
        <v>1386</v>
      </c>
      <c r="B51" s="220" t="s">
        <v>1261</v>
      </c>
      <c r="C51" s="224" t="s">
        <v>1473</v>
      </c>
      <c r="D51" s="224" t="s">
        <v>1262</v>
      </c>
      <c r="E51" s="225">
        <v>28.1114232033819</v>
      </c>
      <c r="F51" s="225">
        <v>3.32</v>
      </c>
      <c r="G51" s="226">
        <f t="shared" si="1"/>
        <v>31.4314232033819</v>
      </c>
      <c r="H51" s="227">
        <v>45</v>
      </c>
      <c r="I51" s="224" t="s">
        <v>1448</v>
      </c>
      <c r="J51" s="216">
        <v>45939</v>
      </c>
    </row>
    <row r="52" spans="1:12" ht="15.75" customHeight="1">
      <c r="A52" s="96" t="s">
        <v>1386</v>
      </c>
      <c r="B52" s="220" t="s">
        <v>1264</v>
      </c>
      <c r="C52" s="224" t="s">
        <v>1265</v>
      </c>
      <c r="D52" s="224" t="s">
        <v>1265</v>
      </c>
      <c r="E52" s="225">
        <v>30.230305555555599</v>
      </c>
      <c r="F52" s="225">
        <v>2.21</v>
      </c>
      <c r="G52" s="226">
        <f t="shared" si="1"/>
        <v>32.440305555555597</v>
      </c>
      <c r="H52" s="227">
        <v>120</v>
      </c>
      <c r="I52" s="224" t="s">
        <v>1448</v>
      </c>
      <c r="J52" s="216">
        <v>45939</v>
      </c>
    </row>
    <row r="53" spans="1:12" ht="15.75" customHeight="1">
      <c r="A53" s="96" t="s">
        <v>1386</v>
      </c>
      <c r="B53" s="220" t="s">
        <v>1231</v>
      </c>
      <c r="C53" s="224" t="s">
        <v>1232</v>
      </c>
      <c r="D53" s="224" t="s">
        <v>1232</v>
      </c>
      <c r="E53" s="225">
        <v>12.99</v>
      </c>
      <c r="F53" s="225">
        <v>2.21</v>
      </c>
      <c r="G53" s="226">
        <f t="shared" si="1"/>
        <v>15.2</v>
      </c>
      <c r="H53" s="227">
        <v>300</v>
      </c>
      <c r="I53" s="224" t="s">
        <v>1448</v>
      </c>
      <c r="J53" s="216">
        <v>45939</v>
      </c>
    </row>
    <row r="54" spans="1:12" ht="15.75" customHeight="1">
      <c r="A54" s="96" t="s">
        <v>1386</v>
      </c>
      <c r="B54" s="220" t="s">
        <v>1223</v>
      </c>
      <c r="C54" s="224" t="s">
        <v>1474</v>
      </c>
      <c r="D54" s="224" t="s">
        <v>1224</v>
      </c>
      <c r="E54" s="225">
        <v>4.37</v>
      </c>
      <c r="F54" s="225">
        <v>0.48</v>
      </c>
      <c r="G54" s="226">
        <f t="shared" si="1"/>
        <v>4.8499999999999996</v>
      </c>
      <c r="H54" s="227">
        <v>1650</v>
      </c>
      <c r="I54" s="224" t="s">
        <v>1448</v>
      </c>
      <c r="J54" s="216">
        <v>45939</v>
      </c>
    </row>
    <row r="55" spans="1:12" ht="15.75" customHeight="1">
      <c r="A55" s="96" t="s">
        <v>1386</v>
      </c>
      <c r="B55" s="220" t="s">
        <v>1217</v>
      </c>
      <c r="C55" s="224" t="s">
        <v>1475</v>
      </c>
      <c r="D55" s="224" t="s">
        <v>1218</v>
      </c>
      <c r="E55" s="225">
        <v>7.98</v>
      </c>
      <c r="F55" s="225">
        <v>0.45</v>
      </c>
      <c r="G55" s="226">
        <f t="shared" si="1"/>
        <v>8.43</v>
      </c>
      <c r="H55" s="227">
        <v>4000</v>
      </c>
      <c r="I55" s="224" t="s">
        <v>1448</v>
      </c>
      <c r="J55" s="216">
        <v>45939</v>
      </c>
    </row>
    <row r="56" spans="1:12" ht="15.75" customHeight="1">
      <c r="A56" s="96" t="s">
        <v>1386</v>
      </c>
      <c r="B56" s="220" t="s">
        <v>1259</v>
      </c>
      <c r="C56" s="224" t="s">
        <v>1476</v>
      </c>
      <c r="D56" s="224" t="s">
        <v>1260</v>
      </c>
      <c r="E56" s="225">
        <v>10.0314232033819</v>
      </c>
      <c r="F56" s="225">
        <v>1.71</v>
      </c>
      <c r="G56" s="226">
        <f t="shared" si="1"/>
        <v>11.741423203381899</v>
      </c>
      <c r="H56" s="227">
        <v>600</v>
      </c>
      <c r="I56" s="224" t="s">
        <v>1448</v>
      </c>
      <c r="J56" s="216">
        <v>45939</v>
      </c>
    </row>
    <row r="57" spans="1:12" ht="15.75" customHeight="1">
      <c r="A57" s="96" t="s">
        <v>1386</v>
      </c>
      <c r="B57" s="220" t="s">
        <v>1285</v>
      </c>
      <c r="C57" s="224" t="s">
        <v>1477</v>
      </c>
      <c r="D57" s="224" t="s">
        <v>1286</v>
      </c>
      <c r="E57" s="225">
        <v>14.68</v>
      </c>
      <c r="F57" s="225">
        <v>0</v>
      </c>
      <c r="G57" s="226">
        <f t="shared" si="1"/>
        <v>14.68</v>
      </c>
      <c r="H57" s="227">
        <v>800</v>
      </c>
      <c r="I57" s="224" t="s">
        <v>1448</v>
      </c>
      <c r="J57" s="216">
        <v>45939</v>
      </c>
    </row>
    <row r="58" spans="1:12" ht="15.75" customHeight="1">
      <c r="A58" s="96" t="s">
        <v>1386</v>
      </c>
      <c r="B58" s="220" t="s">
        <v>1283</v>
      </c>
      <c r="C58" s="224" t="s">
        <v>1478</v>
      </c>
      <c r="D58" s="224" t="s">
        <v>1284</v>
      </c>
      <c r="E58" s="225">
        <v>12.47</v>
      </c>
      <c r="F58" s="225">
        <v>0</v>
      </c>
      <c r="G58" s="226">
        <f t="shared" si="1"/>
        <v>12.47</v>
      </c>
      <c r="H58" s="227">
        <v>1800</v>
      </c>
      <c r="I58" s="224" t="s">
        <v>1448</v>
      </c>
      <c r="J58" s="216">
        <v>45939</v>
      </c>
    </row>
    <row r="59" spans="1:12" ht="15.75" customHeight="1">
      <c r="A59" s="96" t="s">
        <v>1386</v>
      </c>
      <c r="B59" s="220" t="s">
        <v>1293</v>
      </c>
      <c r="C59" s="224" t="s">
        <v>1479</v>
      </c>
      <c r="D59" s="224" t="s">
        <v>1294</v>
      </c>
      <c r="E59" s="225">
        <v>24.813749657963498</v>
      </c>
      <c r="F59" s="225">
        <v>1.42</v>
      </c>
      <c r="G59" s="226">
        <f t="shared" si="1"/>
        <v>26.2337496579635</v>
      </c>
      <c r="H59" s="227">
        <v>540</v>
      </c>
      <c r="I59" s="224" t="s">
        <v>1448</v>
      </c>
      <c r="J59" s="216">
        <v>45939</v>
      </c>
    </row>
    <row r="60" spans="1:12" ht="15.75" customHeight="1">
      <c r="A60" s="96" t="s">
        <v>1386</v>
      </c>
      <c r="B60" s="220" t="s">
        <v>1213</v>
      </c>
      <c r="C60" s="224" t="s">
        <v>1480</v>
      </c>
      <c r="D60" s="224" t="s">
        <v>1214</v>
      </c>
      <c r="E60" s="225">
        <v>18</v>
      </c>
      <c r="F60" s="225">
        <v>1.3</v>
      </c>
      <c r="G60" s="226">
        <f t="shared" si="1"/>
        <v>19.3</v>
      </c>
      <c r="H60" s="227">
        <v>3750</v>
      </c>
      <c r="I60" s="224" t="s">
        <v>1448</v>
      </c>
      <c r="J60" s="216">
        <v>45939</v>
      </c>
      <c r="L60">
        <f>3.99</f>
        <v>3.99</v>
      </c>
    </row>
    <row r="61" spans="1:12" ht="15.75" customHeight="1">
      <c r="A61" s="96" t="s">
        <v>1386</v>
      </c>
      <c r="B61" s="220" t="s">
        <v>1205</v>
      </c>
      <c r="C61" s="224" t="s">
        <v>1481</v>
      </c>
      <c r="D61" s="224" t="s">
        <v>1206</v>
      </c>
      <c r="E61" s="225">
        <v>6.85</v>
      </c>
      <c r="F61" s="225">
        <v>0.48</v>
      </c>
      <c r="G61" s="226">
        <f t="shared" si="1"/>
        <v>7.33</v>
      </c>
      <c r="H61" s="227">
        <v>1400</v>
      </c>
      <c r="I61" s="224" t="s">
        <v>1448</v>
      </c>
      <c r="J61" s="216">
        <v>45939</v>
      </c>
    </row>
    <row r="62" spans="1:12" ht="15.75" customHeight="1">
      <c r="A62" s="96" t="s">
        <v>1386</v>
      </c>
      <c r="B62" s="220" t="s">
        <v>1237</v>
      </c>
      <c r="C62" s="224" t="s">
        <v>1238</v>
      </c>
      <c r="D62" s="224" t="s">
        <v>1238</v>
      </c>
      <c r="E62" s="225">
        <v>36.79</v>
      </c>
      <c r="F62" s="225">
        <v>2.21</v>
      </c>
      <c r="G62" s="226">
        <f t="shared" si="1"/>
        <v>39</v>
      </c>
      <c r="H62" s="227">
        <v>180</v>
      </c>
      <c r="I62" s="224" t="s">
        <v>1448</v>
      </c>
      <c r="J62" s="216">
        <v>45939</v>
      </c>
    </row>
    <row r="63" spans="1:12" ht="15.75" customHeight="1">
      <c r="A63" s="96" t="s">
        <v>1386</v>
      </c>
      <c r="B63" s="220" t="s">
        <v>1353</v>
      </c>
      <c r="C63" s="224" t="s">
        <v>1354</v>
      </c>
      <c r="D63" s="224" t="s">
        <v>1354</v>
      </c>
      <c r="E63" s="225">
        <v>13.2</v>
      </c>
      <c r="F63" s="225">
        <v>2.21</v>
      </c>
      <c r="G63" s="226">
        <f t="shared" si="1"/>
        <v>15.41</v>
      </c>
      <c r="H63" s="227">
        <v>400</v>
      </c>
      <c r="I63" s="224" t="s">
        <v>1448</v>
      </c>
      <c r="J63" s="216">
        <v>45939</v>
      </c>
    </row>
    <row r="64" spans="1:12" ht="15.75" customHeight="1">
      <c r="A64" s="96" t="s">
        <v>1386</v>
      </c>
      <c r="B64" s="220" t="s">
        <v>1244</v>
      </c>
      <c r="C64" s="224" t="s">
        <v>1245</v>
      </c>
      <c r="D64" s="224" t="s">
        <v>1245</v>
      </c>
      <c r="E64" s="225">
        <v>38.119999999999997</v>
      </c>
      <c r="F64" s="225">
        <v>2.21</v>
      </c>
      <c r="G64" s="226">
        <f t="shared" si="1"/>
        <v>40.33</v>
      </c>
      <c r="H64" s="227">
        <v>120</v>
      </c>
      <c r="I64" s="224" t="s">
        <v>1448</v>
      </c>
      <c r="J64" s="216">
        <v>45939</v>
      </c>
    </row>
    <row r="65" spans="1:10" ht="15.75" customHeight="1">
      <c r="A65" s="96" t="s">
        <v>1386</v>
      </c>
      <c r="B65" s="220" t="s">
        <v>1211</v>
      </c>
      <c r="C65" s="224" t="s">
        <v>1482</v>
      </c>
      <c r="D65" s="224" t="s">
        <v>1212</v>
      </c>
      <c r="E65" s="225">
        <v>1.88</v>
      </c>
      <c r="F65" s="225">
        <v>1.21</v>
      </c>
      <c r="G65" s="226">
        <f t="shared" si="1"/>
        <v>3.09</v>
      </c>
      <c r="H65" s="227">
        <v>24000</v>
      </c>
      <c r="I65" s="224" t="s">
        <v>1448</v>
      </c>
      <c r="J65" s="216">
        <v>45939</v>
      </c>
    </row>
    <row r="66" spans="1:10" ht="15.75" customHeight="1">
      <c r="A66" s="96" t="s">
        <v>1386</v>
      </c>
      <c r="B66" s="220" t="s">
        <v>1323</v>
      </c>
      <c r="C66" s="224" t="s">
        <v>1483</v>
      </c>
      <c r="D66" s="224" t="s">
        <v>1324</v>
      </c>
      <c r="E66" s="225">
        <v>19.321423203381901</v>
      </c>
      <c r="F66" s="225">
        <v>0.45</v>
      </c>
      <c r="G66" s="226">
        <f t="shared" ref="G66:G97" si="2">SUM(E66:F66)</f>
        <v>19.7714232033819</v>
      </c>
      <c r="H66" s="227">
        <v>75</v>
      </c>
      <c r="I66" s="224" t="s">
        <v>1448</v>
      </c>
      <c r="J66" s="216">
        <v>45939</v>
      </c>
    </row>
    <row r="67" spans="1:10" ht="15.75" customHeight="1">
      <c r="A67" s="96" t="s">
        <v>1386</v>
      </c>
      <c r="B67" s="220" t="s">
        <v>1233</v>
      </c>
      <c r="C67" s="224" t="s">
        <v>1334</v>
      </c>
      <c r="D67" s="224" t="s">
        <v>1334</v>
      </c>
      <c r="E67" s="225">
        <v>30.27</v>
      </c>
      <c r="F67" s="225">
        <v>1.66</v>
      </c>
      <c r="G67" s="226">
        <f t="shared" si="2"/>
        <v>31.93</v>
      </c>
      <c r="H67" s="227">
        <v>100</v>
      </c>
      <c r="I67" s="224" t="s">
        <v>1448</v>
      </c>
      <c r="J67" s="216">
        <v>45939</v>
      </c>
    </row>
    <row r="68" spans="1:10" ht="15.75" customHeight="1">
      <c r="A68" s="96" t="s">
        <v>1386</v>
      </c>
      <c r="B68" s="220" t="s">
        <v>1235</v>
      </c>
      <c r="C68" s="224" t="s">
        <v>1338</v>
      </c>
      <c r="D68" s="224" t="s">
        <v>1338</v>
      </c>
      <c r="E68" s="225">
        <v>44.43</v>
      </c>
      <c r="F68" s="225">
        <v>1.66</v>
      </c>
      <c r="G68" s="226">
        <f t="shared" si="2"/>
        <v>46.089999999999996</v>
      </c>
      <c r="H68" s="227">
        <v>50</v>
      </c>
      <c r="I68" s="224" t="s">
        <v>1448</v>
      </c>
      <c r="J68" s="216">
        <v>45939</v>
      </c>
    </row>
    <row r="69" spans="1:10" ht="15.75" customHeight="1">
      <c r="A69" s="96" t="s">
        <v>1386</v>
      </c>
      <c r="B69" s="220" t="s">
        <v>1343</v>
      </c>
      <c r="C69" s="224" t="s">
        <v>1344</v>
      </c>
      <c r="D69" s="224" t="s">
        <v>1344</v>
      </c>
      <c r="E69" s="225">
        <v>45.13</v>
      </c>
      <c r="F69" s="225">
        <v>1.66</v>
      </c>
      <c r="G69" s="226">
        <f t="shared" si="2"/>
        <v>46.79</v>
      </c>
      <c r="H69" s="227">
        <v>50</v>
      </c>
      <c r="I69" s="224" t="s">
        <v>1448</v>
      </c>
      <c r="J69" s="216">
        <v>45939</v>
      </c>
    </row>
    <row r="70" spans="1:10" ht="15.75" customHeight="1">
      <c r="A70" s="96" t="s">
        <v>1386</v>
      </c>
      <c r="B70" s="220" t="s">
        <v>1347</v>
      </c>
      <c r="C70" s="224" t="s">
        <v>1348</v>
      </c>
      <c r="D70" s="224" t="s">
        <v>1348</v>
      </c>
      <c r="E70" s="225">
        <v>47.92</v>
      </c>
      <c r="F70" s="225">
        <v>1.66</v>
      </c>
      <c r="G70" s="226">
        <f t="shared" si="2"/>
        <v>49.58</v>
      </c>
      <c r="H70" s="227">
        <v>50</v>
      </c>
      <c r="I70" s="224" t="s">
        <v>1448</v>
      </c>
      <c r="J70" s="216">
        <v>45939</v>
      </c>
    </row>
    <row r="71" spans="1:10" ht="15.75" customHeight="1">
      <c r="A71" s="96" t="s">
        <v>1386</v>
      </c>
      <c r="B71" s="220" t="s">
        <v>1331</v>
      </c>
      <c r="C71" s="224" t="s">
        <v>1332</v>
      </c>
      <c r="D71" s="224" t="s">
        <v>1332</v>
      </c>
      <c r="E71" s="225">
        <v>83.29</v>
      </c>
      <c r="F71" s="225">
        <v>4.47</v>
      </c>
      <c r="G71" s="226">
        <f t="shared" si="2"/>
        <v>87.76</v>
      </c>
      <c r="H71" s="227">
        <v>50</v>
      </c>
      <c r="I71" s="224" t="s">
        <v>1448</v>
      </c>
      <c r="J71" s="216">
        <v>45939</v>
      </c>
    </row>
    <row r="72" spans="1:10" ht="15.75" customHeight="1">
      <c r="A72" s="96" t="s">
        <v>1386</v>
      </c>
      <c r="B72" s="220" t="s">
        <v>1350</v>
      </c>
      <c r="C72" s="224" t="s">
        <v>1484</v>
      </c>
      <c r="D72" s="224" t="s">
        <v>1484</v>
      </c>
      <c r="E72" s="225">
        <v>49.07</v>
      </c>
      <c r="F72" s="225">
        <v>1.59</v>
      </c>
      <c r="G72" s="226">
        <f t="shared" si="2"/>
        <v>50.660000000000004</v>
      </c>
      <c r="H72" s="227">
        <v>100</v>
      </c>
      <c r="I72" s="224" t="s">
        <v>1448</v>
      </c>
      <c r="J72" s="216">
        <v>45939</v>
      </c>
    </row>
    <row r="73" spans="1:10" ht="15.75" customHeight="1">
      <c r="A73" s="96" t="s">
        <v>1386</v>
      </c>
      <c r="B73" s="220" t="s">
        <v>1340</v>
      </c>
      <c r="C73" s="224" t="s">
        <v>1485</v>
      </c>
      <c r="D73" s="224" t="s">
        <v>1485</v>
      </c>
      <c r="E73" s="225">
        <v>70.41</v>
      </c>
      <c r="F73" s="225">
        <v>1.59</v>
      </c>
      <c r="G73" s="226">
        <f t="shared" si="2"/>
        <v>72</v>
      </c>
      <c r="H73" s="227">
        <v>100</v>
      </c>
      <c r="I73" s="224" t="s">
        <v>1448</v>
      </c>
      <c r="J73" s="216">
        <v>45939</v>
      </c>
    </row>
    <row r="74" spans="1:10" ht="15.75" customHeight="1">
      <c r="A74" s="96" t="s">
        <v>1386</v>
      </c>
      <c r="B74" s="220" t="s">
        <v>1199</v>
      </c>
      <c r="C74" s="224" t="s">
        <v>1486</v>
      </c>
      <c r="D74" s="224" t="s">
        <v>1486</v>
      </c>
      <c r="E74" s="225">
        <v>15.68</v>
      </c>
      <c r="F74" s="225">
        <v>2.2599999999999998</v>
      </c>
      <c r="G74" s="226">
        <f t="shared" si="2"/>
        <v>17.939999999999998</v>
      </c>
      <c r="H74" s="227">
        <v>200</v>
      </c>
      <c r="I74" s="224" t="s">
        <v>1448</v>
      </c>
      <c r="J74" s="216">
        <v>45939</v>
      </c>
    </row>
    <row r="75" spans="1:10" ht="15.75" customHeight="1">
      <c r="A75" s="96" t="s">
        <v>1386</v>
      </c>
      <c r="B75" s="220" t="s">
        <v>1487</v>
      </c>
      <c r="C75" s="224" t="s">
        <v>1488</v>
      </c>
      <c r="D75" s="224" t="s">
        <v>1488</v>
      </c>
      <c r="E75" s="225">
        <v>57.47</v>
      </c>
      <c r="F75" s="225">
        <v>0</v>
      </c>
      <c r="G75" s="226">
        <f t="shared" si="2"/>
        <v>57.47</v>
      </c>
      <c r="H75" s="227"/>
      <c r="I75" s="224" t="s">
        <v>1448</v>
      </c>
      <c r="J75" s="216">
        <v>45939</v>
      </c>
    </row>
    <row r="76" spans="1:10" ht="15.75" customHeight="1">
      <c r="A76" s="96" t="s">
        <v>1386</v>
      </c>
      <c r="B76" s="220" t="s">
        <v>1489</v>
      </c>
      <c r="C76" s="224" t="s">
        <v>1490</v>
      </c>
      <c r="D76" s="224" t="s">
        <v>1490</v>
      </c>
      <c r="E76" s="225">
        <v>90.45</v>
      </c>
      <c r="F76" s="225">
        <v>0</v>
      </c>
      <c r="G76" s="226">
        <f t="shared" si="2"/>
        <v>90.45</v>
      </c>
      <c r="H76" s="227"/>
      <c r="I76" s="224" t="s">
        <v>1448</v>
      </c>
      <c r="J76" s="216">
        <v>45939</v>
      </c>
    </row>
    <row r="77" spans="1:10" ht="15.75" customHeight="1">
      <c r="A77" s="96" t="s">
        <v>1386</v>
      </c>
      <c r="B77" s="220" t="s">
        <v>1316</v>
      </c>
      <c r="C77" s="224" t="s">
        <v>1342</v>
      </c>
      <c r="D77" s="224" t="s">
        <v>1342</v>
      </c>
      <c r="E77" s="225">
        <f>SUMIFS('Ficha de Produção'!N:N,'Ficha de Produção'!C:C,B77)</f>
        <v>22.279999999999998</v>
      </c>
      <c r="F77" s="225">
        <v>0</v>
      </c>
      <c r="G77" s="226">
        <f t="shared" si="2"/>
        <v>22.279999999999998</v>
      </c>
      <c r="H77" s="227"/>
      <c r="I77" s="224" t="s">
        <v>1448</v>
      </c>
      <c r="J77" s="216">
        <v>45939</v>
      </c>
    </row>
    <row r="78" spans="1:10" ht="15.75" customHeight="1">
      <c r="A78" s="96" t="s">
        <v>1386</v>
      </c>
      <c r="B78" s="220" t="s">
        <v>1304</v>
      </c>
      <c r="C78" s="224" t="s">
        <v>1352</v>
      </c>
      <c r="D78" s="224" t="s">
        <v>1352</v>
      </c>
      <c r="E78" s="225">
        <f>SUMIFS('Ficha de Produção'!N:N,'Ficha de Produção'!C:C,B78)</f>
        <v>15.74</v>
      </c>
      <c r="F78" s="225">
        <v>0</v>
      </c>
      <c r="G78" s="226">
        <f t="shared" si="2"/>
        <v>15.74</v>
      </c>
      <c r="H78" s="227"/>
      <c r="I78" s="224" t="s">
        <v>1448</v>
      </c>
      <c r="J78" s="216">
        <v>45939</v>
      </c>
    </row>
    <row r="79" spans="1:10" ht="15.75" customHeight="1">
      <c r="A79" s="96" t="s">
        <v>1386</v>
      </c>
      <c r="B79" s="220" t="s">
        <v>1306</v>
      </c>
      <c r="C79" s="224" t="s">
        <v>1337</v>
      </c>
      <c r="D79" s="224" t="s">
        <v>1337</v>
      </c>
      <c r="E79" s="225">
        <f>SUMIFS('Ficha de Produção'!N:N,'Ficha de Produção'!C:C,B79)</f>
        <v>22.97</v>
      </c>
      <c r="F79" s="225">
        <v>0</v>
      </c>
      <c r="G79" s="226">
        <f t="shared" si="2"/>
        <v>22.97</v>
      </c>
      <c r="H79" s="227"/>
      <c r="I79" s="224" t="s">
        <v>1448</v>
      </c>
      <c r="J79" s="216">
        <v>45939</v>
      </c>
    </row>
    <row r="80" spans="1:10" ht="15.75" customHeight="1">
      <c r="A80" s="96" t="s">
        <v>1386</v>
      </c>
      <c r="B80" s="220" t="s">
        <v>1314</v>
      </c>
      <c r="C80" s="224" t="s">
        <v>1491</v>
      </c>
      <c r="D80" s="224" t="s">
        <v>1491</v>
      </c>
      <c r="E80" s="225">
        <f>SUMIFS('Ficha de Produção'!N:N,'Ficha de Produção'!C:C,B80)</f>
        <v>32.47</v>
      </c>
      <c r="F80" s="225">
        <v>0</v>
      </c>
      <c r="G80" s="226">
        <f t="shared" si="2"/>
        <v>32.47</v>
      </c>
      <c r="H80" s="227"/>
      <c r="I80" s="224" t="s">
        <v>1448</v>
      </c>
      <c r="J80" s="216">
        <v>45939</v>
      </c>
    </row>
    <row r="81" spans="1:10" ht="15.75" customHeight="1">
      <c r="A81" s="96" t="s">
        <v>1386</v>
      </c>
      <c r="B81" s="220" t="s">
        <v>1302</v>
      </c>
      <c r="C81" s="224" t="s">
        <v>1339</v>
      </c>
      <c r="D81" s="224" t="s">
        <v>1339</v>
      </c>
      <c r="E81" s="225">
        <f>SUMIFS('Ficha de Produção'!N:N,'Ficha de Produção'!C:C,B81)</f>
        <v>39.89</v>
      </c>
      <c r="F81" s="225">
        <v>0</v>
      </c>
      <c r="G81" s="226">
        <f t="shared" si="2"/>
        <v>39.89</v>
      </c>
      <c r="H81" s="227"/>
      <c r="I81" s="224" t="s">
        <v>1448</v>
      </c>
      <c r="J81" s="216">
        <v>45939</v>
      </c>
    </row>
    <row r="82" spans="1:10" ht="15.75" customHeight="1">
      <c r="A82" s="96" t="s">
        <v>1386</v>
      </c>
      <c r="B82" s="220" t="s">
        <v>1312</v>
      </c>
      <c r="C82" s="224" t="s">
        <v>1492</v>
      </c>
      <c r="D82" s="224" t="s">
        <v>1492</v>
      </c>
      <c r="E82" s="225">
        <f>SUMIFS('Ficha de Produção'!N:N,'Ficha de Produção'!C:C,B82)</f>
        <v>15.82</v>
      </c>
      <c r="F82" s="225">
        <v>0</v>
      </c>
      <c r="G82" s="226">
        <f t="shared" si="2"/>
        <v>15.82</v>
      </c>
      <c r="H82" s="227"/>
      <c r="I82" s="224" t="s">
        <v>1448</v>
      </c>
      <c r="J82" s="216">
        <v>45939</v>
      </c>
    </row>
    <row r="83" spans="1:10" ht="15.75" customHeight="1">
      <c r="A83" s="96" t="s">
        <v>1386</v>
      </c>
      <c r="B83" s="220" t="s">
        <v>1356</v>
      </c>
      <c r="C83" s="220" t="s">
        <v>1357</v>
      </c>
      <c r="D83" s="220" t="s">
        <v>1357</v>
      </c>
      <c r="E83" s="225">
        <v>3.19</v>
      </c>
      <c r="F83" s="225">
        <v>0.63</v>
      </c>
      <c r="G83" s="226">
        <f t="shared" si="2"/>
        <v>3.82</v>
      </c>
      <c r="H83" s="220"/>
      <c r="I83" s="224" t="s">
        <v>1448</v>
      </c>
      <c r="J83" s="216">
        <v>45939</v>
      </c>
    </row>
    <row r="84" spans="1:10" ht="15.75" customHeight="1">
      <c r="A84" s="96" t="s">
        <v>1386</v>
      </c>
      <c r="B84" s="220" t="s">
        <v>1270</v>
      </c>
      <c r="C84" s="220" t="s">
        <v>1493</v>
      </c>
      <c r="D84" s="220" t="s">
        <v>1493</v>
      </c>
      <c r="E84" s="225">
        <f>SUMIFS('Ficha de Produção'!N:N,'Ficha de Produção'!C:C,B84)</f>
        <v>8.9700000000000006</v>
      </c>
      <c r="F84" s="225">
        <v>0</v>
      </c>
      <c r="G84" s="226">
        <f t="shared" si="2"/>
        <v>8.9700000000000006</v>
      </c>
      <c r="H84" s="220"/>
      <c r="I84" s="224" t="s">
        <v>1448</v>
      </c>
      <c r="J84" s="216">
        <v>45939</v>
      </c>
    </row>
    <row r="85" spans="1:10" ht="15.75" customHeight="1">
      <c r="A85" s="96" t="s">
        <v>1386</v>
      </c>
      <c r="B85" s="220" t="s">
        <v>1279</v>
      </c>
      <c r="C85" s="220" t="s">
        <v>1280</v>
      </c>
      <c r="D85" s="220" t="s">
        <v>1280</v>
      </c>
      <c r="E85" s="225">
        <v>0.24</v>
      </c>
      <c r="F85" s="225">
        <v>7.0000000000000007E-2</v>
      </c>
      <c r="G85" s="226">
        <f t="shared" si="2"/>
        <v>0.31</v>
      </c>
      <c r="H85" s="220"/>
      <c r="I85" s="224" t="s">
        <v>1448</v>
      </c>
      <c r="J85" s="216">
        <v>45939</v>
      </c>
    </row>
    <row r="86" spans="1:10" ht="15.75" customHeight="1">
      <c r="A86" s="96" t="s">
        <v>1386</v>
      </c>
      <c r="B86" s="220" t="s">
        <v>1309</v>
      </c>
      <c r="C86" s="220" t="s">
        <v>1333</v>
      </c>
      <c r="D86" s="220" t="s">
        <v>1333</v>
      </c>
      <c r="E86" s="225">
        <f>SUMIFS('Ficha de Produção'!N:N,'Ficha de Produção'!C:C,B86)</f>
        <v>17.02</v>
      </c>
      <c r="F86" s="225">
        <v>0</v>
      </c>
      <c r="G86" s="226">
        <f t="shared" si="2"/>
        <v>17.02</v>
      </c>
      <c r="H86" s="220"/>
      <c r="I86" s="224" t="s">
        <v>1448</v>
      </c>
      <c r="J86" s="216">
        <v>45939</v>
      </c>
    </row>
    <row r="87" spans="1:10" ht="15.75" customHeight="1">
      <c r="A87" s="96" t="s">
        <v>1386</v>
      </c>
      <c r="B87" s="220" t="s">
        <v>1291</v>
      </c>
      <c r="C87" s="220" t="s">
        <v>1292</v>
      </c>
      <c r="D87" s="220" t="s">
        <v>1292</v>
      </c>
      <c r="E87" s="225">
        <f>SUMIFS('Ficha de Produção'!N:N,'Ficha de Produção'!C:C,B87)</f>
        <v>16.190000000000001</v>
      </c>
      <c r="F87" s="225">
        <v>0</v>
      </c>
      <c r="G87" s="226">
        <f t="shared" si="2"/>
        <v>16.190000000000001</v>
      </c>
      <c r="H87" s="220"/>
      <c r="I87" s="224" t="s">
        <v>1448</v>
      </c>
      <c r="J87" s="216">
        <v>45939</v>
      </c>
    </row>
    <row r="88" spans="1:10">
      <c r="A88" s="96" t="s">
        <v>1386</v>
      </c>
      <c r="B88" s="220" t="s">
        <v>1345</v>
      </c>
      <c r="C88" t="s">
        <v>1346</v>
      </c>
      <c r="D88" s="220" t="s">
        <v>1494</v>
      </c>
      <c r="E88" s="225">
        <f>SUMIFS('Ficha de Produção'!N:N,'Ficha de Produção'!C:C,B88)</f>
        <v>24.359999999999996</v>
      </c>
      <c r="F88" s="225">
        <v>0</v>
      </c>
      <c r="G88" s="226">
        <f t="shared" si="2"/>
        <v>24.359999999999996</v>
      </c>
      <c r="I88" s="224" t="s">
        <v>1448</v>
      </c>
      <c r="J88" s="216">
        <v>45939</v>
      </c>
    </row>
    <row r="89" spans="1:10" ht="14.25" customHeight="1">
      <c r="A89" s="48"/>
      <c r="B89" s="48"/>
      <c r="J89" s="216"/>
    </row>
    <row r="90" spans="1:10" ht="14.25" customHeight="1">
      <c r="A90" s="48"/>
      <c r="B90" s="48"/>
      <c r="J90" s="216"/>
    </row>
    <row r="91" spans="1:10" ht="14.25" customHeight="1">
      <c r="A91" s="48"/>
      <c r="B91" s="48"/>
      <c r="J91" s="216"/>
    </row>
    <row r="92" spans="1:10" ht="14.25" customHeight="1">
      <c r="A92" s="48"/>
      <c r="B92" s="48"/>
      <c r="J92" s="216"/>
    </row>
    <row r="93" spans="1:10" ht="14.25" customHeight="1">
      <c r="A93" s="48"/>
      <c r="B93" s="48"/>
      <c r="J93" s="216"/>
    </row>
    <row r="94" spans="1:10" ht="14.25" customHeight="1">
      <c r="A94" s="48"/>
      <c r="B94" s="48"/>
      <c r="J94" s="216"/>
    </row>
    <row r="95" spans="1:10" ht="14.25" customHeight="1">
      <c r="A95" s="48"/>
      <c r="B95" s="48"/>
      <c r="J95" s="216"/>
    </row>
    <row r="96" spans="1:10" ht="14.25" customHeight="1">
      <c r="A96" s="48"/>
      <c r="B96" s="48"/>
      <c r="J96" s="216"/>
    </row>
    <row r="97" spans="1:10" ht="14.25" customHeight="1">
      <c r="A97" s="48"/>
      <c r="B97" s="48"/>
      <c r="J97" s="216"/>
    </row>
    <row r="98" spans="1:10" ht="14.25" customHeight="1">
      <c r="A98" s="48"/>
      <c r="B98" s="48"/>
      <c r="J98" s="216"/>
    </row>
    <row r="99" spans="1:10" ht="14.25" customHeight="1">
      <c r="A99" s="48"/>
      <c r="B99" s="48"/>
      <c r="J99" s="216"/>
    </row>
    <row r="100" spans="1:10" ht="14.25" customHeight="1">
      <c r="A100" s="48"/>
      <c r="B100" s="48"/>
      <c r="J100" s="216"/>
    </row>
    <row r="101" spans="1:10" ht="14.25" customHeight="1">
      <c r="A101" s="48"/>
      <c r="B101" s="48"/>
      <c r="J101" s="216"/>
    </row>
    <row r="102" spans="1:10" ht="14.25" customHeight="1">
      <c r="A102" s="48"/>
      <c r="B102" s="48"/>
      <c r="J102" s="216"/>
    </row>
    <row r="103" spans="1:10" ht="14.25" customHeight="1">
      <c r="A103" s="48"/>
      <c r="B103" s="48"/>
      <c r="J103" s="216"/>
    </row>
    <row r="104" spans="1:10" ht="14.25" customHeight="1">
      <c r="A104" s="48"/>
      <c r="B104" s="48"/>
      <c r="J104" s="216"/>
    </row>
    <row r="105" spans="1:10" ht="14.25" customHeight="1">
      <c r="A105" s="48"/>
      <c r="B105" s="48"/>
      <c r="J105" s="216"/>
    </row>
    <row r="106" spans="1:10" ht="14.25" customHeight="1">
      <c r="A106" s="48"/>
      <c r="B106" s="48"/>
      <c r="J106" s="216"/>
    </row>
    <row r="107" spans="1:10" ht="14.25" customHeight="1">
      <c r="A107" s="48"/>
      <c r="B107" s="48"/>
      <c r="J107" s="216"/>
    </row>
    <row r="108" spans="1:10" ht="14.25" customHeight="1">
      <c r="A108" s="48"/>
      <c r="B108" s="48"/>
      <c r="J108" s="216"/>
    </row>
    <row r="109" spans="1:10" ht="14.25" customHeight="1">
      <c r="A109" s="48"/>
      <c r="B109" s="48"/>
      <c r="J109" s="216"/>
    </row>
    <row r="110" spans="1:10" ht="14.25" customHeight="1">
      <c r="A110" s="48"/>
      <c r="B110" s="48"/>
      <c r="J110" s="216"/>
    </row>
    <row r="111" spans="1:10" ht="14.25" customHeight="1">
      <c r="A111" s="48"/>
      <c r="B111" s="48"/>
      <c r="J111" s="216"/>
    </row>
    <row r="112" spans="1:10" ht="14.25" customHeight="1">
      <c r="A112" s="48"/>
      <c r="B112" s="48"/>
      <c r="J112" s="216"/>
    </row>
    <row r="113" spans="1:10" ht="14.25" customHeight="1">
      <c r="A113" s="48"/>
      <c r="B113" s="48"/>
      <c r="J113" s="216"/>
    </row>
    <row r="114" spans="1:10" ht="14.25" customHeight="1">
      <c r="A114" s="48"/>
      <c r="B114" s="48"/>
      <c r="J114" s="216"/>
    </row>
    <row r="115" spans="1:10" ht="14.25" customHeight="1">
      <c r="A115" s="48"/>
      <c r="B115" s="48"/>
      <c r="J115" s="216"/>
    </row>
    <row r="116" spans="1:10" ht="14.25" customHeight="1">
      <c r="A116" s="48"/>
      <c r="B116" s="48"/>
      <c r="J116" s="216"/>
    </row>
    <row r="117" spans="1:10" ht="14.25" customHeight="1">
      <c r="A117" s="48"/>
      <c r="B117" s="48"/>
      <c r="J117" s="216"/>
    </row>
    <row r="118" spans="1:10" ht="14.25" customHeight="1">
      <c r="A118" s="48"/>
      <c r="B118" s="48"/>
      <c r="J118" s="216"/>
    </row>
    <row r="119" spans="1:10" ht="14.25" customHeight="1">
      <c r="A119" s="48"/>
      <c r="B119" s="48"/>
      <c r="J119" s="216"/>
    </row>
    <row r="120" spans="1:10" ht="14.25" customHeight="1">
      <c r="A120" s="48"/>
      <c r="B120" s="48"/>
      <c r="J120" s="216"/>
    </row>
    <row r="121" spans="1:10" ht="14.25" customHeight="1">
      <c r="A121" s="48"/>
      <c r="B121" s="48"/>
      <c r="J121" s="216"/>
    </row>
    <row r="122" spans="1:10" ht="14.25" customHeight="1">
      <c r="A122" s="48"/>
      <c r="B122" s="48"/>
      <c r="J122" s="216"/>
    </row>
    <row r="123" spans="1:10" ht="14.25" customHeight="1">
      <c r="A123" s="48"/>
      <c r="B123" s="48"/>
      <c r="J123" s="216"/>
    </row>
    <row r="124" spans="1:10" ht="14.25" customHeight="1">
      <c r="A124" s="48"/>
      <c r="B124" s="48"/>
      <c r="J124" s="216"/>
    </row>
    <row r="125" spans="1:10" ht="14.25" customHeight="1">
      <c r="A125" s="48"/>
      <c r="B125" s="48"/>
      <c r="J125" s="216"/>
    </row>
    <row r="126" spans="1:10" ht="14.25" customHeight="1">
      <c r="A126" s="48"/>
      <c r="B126" s="48"/>
      <c r="J126" s="216"/>
    </row>
    <row r="127" spans="1:10" ht="14.25" customHeight="1">
      <c r="A127" s="48"/>
      <c r="B127" s="48"/>
      <c r="J127" s="216"/>
    </row>
    <row r="128" spans="1:10" ht="14.25" customHeight="1">
      <c r="A128" s="48"/>
      <c r="B128" s="48"/>
      <c r="J128" s="216"/>
    </row>
    <row r="129" spans="1:10" ht="14.25" customHeight="1">
      <c r="A129" s="48"/>
      <c r="B129" s="48"/>
      <c r="J129" s="216"/>
    </row>
    <row r="130" spans="1:10" ht="14.25" customHeight="1">
      <c r="A130" s="48"/>
      <c r="B130" s="48"/>
      <c r="J130" s="216"/>
    </row>
    <row r="131" spans="1:10" ht="14.25" customHeight="1">
      <c r="A131" s="48"/>
      <c r="B131" s="48"/>
      <c r="J131" s="216"/>
    </row>
    <row r="132" spans="1:10" ht="14.25" customHeight="1">
      <c r="A132" s="48"/>
      <c r="B132" s="48"/>
      <c r="J132" s="216"/>
    </row>
    <row r="133" spans="1:10" ht="14.25" customHeight="1">
      <c r="A133" s="48"/>
      <c r="B133" s="48"/>
      <c r="J133" s="216"/>
    </row>
    <row r="134" spans="1:10" ht="14.25" customHeight="1">
      <c r="A134" s="48"/>
      <c r="B134" s="48"/>
      <c r="J134" s="216"/>
    </row>
    <row r="135" spans="1:10" ht="14.25" customHeight="1">
      <c r="A135" s="48"/>
      <c r="B135" s="48"/>
      <c r="J135" s="216"/>
    </row>
    <row r="136" spans="1:10" ht="14.25" customHeight="1">
      <c r="A136" s="48"/>
      <c r="B136" s="48"/>
      <c r="J136" s="216"/>
    </row>
    <row r="137" spans="1:10" ht="14.25" customHeight="1">
      <c r="A137" s="48"/>
      <c r="B137" s="48"/>
      <c r="J137" s="216"/>
    </row>
    <row r="138" spans="1:10" ht="14.25" customHeight="1">
      <c r="A138" s="48"/>
      <c r="B138" s="48"/>
      <c r="J138" s="216"/>
    </row>
    <row r="139" spans="1:10" ht="14.25" customHeight="1">
      <c r="A139" s="48"/>
      <c r="B139" s="48"/>
      <c r="J139" s="216"/>
    </row>
    <row r="140" spans="1:10" ht="14.25" customHeight="1">
      <c r="A140" s="48"/>
      <c r="B140" s="48"/>
      <c r="J140" s="216"/>
    </row>
    <row r="141" spans="1:10" ht="14.25" customHeight="1">
      <c r="A141" s="48"/>
      <c r="B141" s="48"/>
      <c r="J141" s="216"/>
    </row>
    <row r="142" spans="1:10" ht="14.25" customHeight="1">
      <c r="A142" s="48"/>
      <c r="B142" s="48"/>
      <c r="J142" s="216"/>
    </row>
    <row r="143" spans="1:10" ht="14.25" customHeight="1">
      <c r="A143" s="48"/>
      <c r="B143" s="48"/>
      <c r="J143" s="216"/>
    </row>
    <row r="144" spans="1:10" ht="14.25" customHeight="1">
      <c r="A144" s="48"/>
      <c r="B144" s="48"/>
      <c r="J144" s="216"/>
    </row>
    <row r="145" spans="1:10" ht="14.25" customHeight="1">
      <c r="A145" s="48"/>
      <c r="B145" s="48"/>
      <c r="J145" s="216"/>
    </row>
    <row r="146" spans="1:10" ht="14.25" customHeight="1">
      <c r="A146" s="48"/>
      <c r="B146" s="48"/>
      <c r="J146" s="216"/>
    </row>
    <row r="147" spans="1:10" ht="14.25" customHeight="1">
      <c r="A147" s="48"/>
      <c r="B147" s="48"/>
      <c r="J147" s="216"/>
    </row>
    <row r="148" spans="1:10" ht="14.25" customHeight="1">
      <c r="A148" s="48"/>
      <c r="B148" s="48"/>
      <c r="J148" s="216"/>
    </row>
    <row r="149" spans="1:10" ht="14.25" customHeight="1">
      <c r="A149" s="48"/>
      <c r="B149" s="48"/>
      <c r="J149" s="216"/>
    </row>
    <row r="150" spans="1:10" ht="14.25" customHeight="1">
      <c r="A150" s="48"/>
      <c r="B150" s="48"/>
      <c r="J150" s="216"/>
    </row>
    <row r="151" spans="1:10" ht="14.25" customHeight="1">
      <c r="A151" s="48"/>
      <c r="B151" s="48"/>
      <c r="J151" s="216"/>
    </row>
    <row r="152" spans="1:10" ht="14.25" customHeight="1">
      <c r="A152" s="48"/>
      <c r="B152" s="48"/>
      <c r="J152" s="216"/>
    </row>
    <row r="153" spans="1:10" ht="14.25" customHeight="1">
      <c r="A153" s="48"/>
      <c r="B153" s="48"/>
      <c r="J153" s="216"/>
    </row>
    <row r="154" spans="1:10" ht="14.25" customHeight="1">
      <c r="A154" s="48"/>
      <c r="B154" s="48"/>
      <c r="J154" s="216"/>
    </row>
    <row r="155" spans="1:10" ht="14.25" customHeight="1">
      <c r="A155" s="48"/>
      <c r="B155" s="48"/>
      <c r="J155" s="216"/>
    </row>
    <row r="156" spans="1:10" ht="14.25" customHeight="1">
      <c r="A156" s="48"/>
      <c r="B156" s="48"/>
      <c r="J156" s="216"/>
    </row>
    <row r="157" spans="1:10" ht="14.25" customHeight="1">
      <c r="A157" s="48"/>
      <c r="B157" s="48"/>
      <c r="J157" s="216"/>
    </row>
    <row r="158" spans="1:10" ht="14.25" customHeight="1">
      <c r="A158" s="48"/>
      <c r="B158" s="48"/>
      <c r="J158" s="216"/>
    </row>
    <row r="159" spans="1:10" ht="14.25" customHeight="1">
      <c r="A159" s="48"/>
      <c r="B159" s="48"/>
      <c r="J159" s="216"/>
    </row>
    <row r="160" spans="1:10" ht="14.25" customHeight="1">
      <c r="A160" s="48"/>
      <c r="B160" s="48"/>
      <c r="J160" s="216"/>
    </row>
    <row r="161" spans="1:10" ht="14.25" customHeight="1">
      <c r="A161" s="48"/>
      <c r="B161" s="48"/>
      <c r="J161" s="216"/>
    </row>
    <row r="162" spans="1:10" ht="14.25" customHeight="1">
      <c r="A162" s="48"/>
      <c r="B162" s="48"/>
      <c r="J162" s="216"/>
    </row>
    <row r="163" spans="1:10" ht="14.25" customHeight="1">
      <c r="A163" s="48"/>
      <c r="B163" s="48"/>
      <c r="J163" s="216"/>
    </row>
    <row r="164" spans="1:10" ht="14.25" customHeight="1">
      <c r="A164" s="48"/>
      <c r="B164" s="48"/>
      <c r="J164" s="216"/>
    </row>
    <row r="165" spans="1:10" ht="14.25" customHeight="1">
      <c r="A165" s="48"/>
      <c r="B165" s="48"/>
      <c r="J165" s="216"/>
    </row>
    <row r="166" spans="1:10" ht="14.25" customHeight="1">
      <c r="A166" s="48"/>
      <c r="B166" s="48"/>
      <c r="J166" s="216"/>
    </row>
    <row r="167" spans="1:10" ht="14.25" customHeight="1">
      <c r="A167" s="48"/>
      <c r="B167" s="48"/>
      <c r="J167" s="216"/>
    </row>
    <row r="168" spans="1:10" ht="14.25" customHeight="1">
      <c r="A168" s="48"/>
      <c r="B168" s="48"/>
      <c r="J168" s="216"/>
    </row>
    <row r="169" spans="1:10" ht="14.25" customHeight="1">
      <c r="A169" s="48"/>
      <c r="B169" s="48"/>
      <c r="J169" s="216"/>
    </row>
    <row r="170" spans="1:10" ht="14.25" customHeight="1">
      <c r="A170" s="48"/>
      <c r="B170" s="48"/>
      <c r="J170" s="216"/>
    </row>
    <row r="171" spans="1:10" ht="14.25" customHeight="1">
      <c r="A171" s="48"/>
      <c r="B171" s="48"/>
      <c r="J171" s="216"/>
    </row>
    <row r="172" spans="1:10" ht="14.25" customHeight="1">
      <c r="A172" s="48"/>
      <c r="B172" s="48"/>
      <c r="J172" s="216"/>
    </row>
    <row r="173" spans="1:10" ht="14.25" customHeight="1">
      <c r="A173" s="48"/>
      <c r="B173" s="48"/>
      <c r="J173" s="216"/>
    </row>
    <row r="174" spans="1:10" ht="14.25" customHeight="1">
      <c r="A174" s="48"/>
      <c r="B174" s="48"/>
      <c r="J174" s="216"/>
    </row>
    <row r="175" spans="1:10" ht="14.25" customHeight="1">
      <c r="A175" s="48"/>
      <c r="B175" s="48"/>
      <c r="J175" s="216"/>
    </row>
    <row r="176" spans="1:10" ht="14.25" customHeight="1">
      <c r="A176" s="48"/>
      <c r="B176" s="48"/>
      <c r="J176" s="216"/>
    </row>
    <row r="177" spans="1:10" ht="14.25" customHeight="1">
      <c r="A177" s="48"/>
      <c r="B177" s="48"/>
      <c r="J177" s="216"/>
    </row>
    <row r="178" spans="1:10" ht="14.25" customHeight="1">
      <c r="A178" s="48"/>
      <c r="B178" s="48"/>
      <c r="J178" s="216"/>
    </row>
    <row r="179" spans="1:10" ht="14.25" customHeight="1">
      <c r="A179" s="48"/>
      <c r="B179" s="48"/>
      <c r="J179" s="216"/>
    </row>
    <row r="180" spans="1:10" ht="14.25" customHeight="1">
      <c r="A180" s="48"/>
      <c r="B180" s="48"/>
      <c r="J180" s="216"/>
    </row>
    <row r="181" spans="1:10" ht="14.25" customHeight="1">
      <c r="A181" s="48"/>
      <c r="B181" s="48"/>
      <c r="J181" s="216"/>
    </row>
    <row r="182" spans="1:10" ht="14.25" customHeight="1">
      <c r="A182" s="48"/>
      <c r="B182" s="48"/>
      <c r="J182" s="216"/>
    </row>
    <row r="183" spans="1:10" ht="14.25" customHeight="1">
      <c r="A183" s="48"/>
      <c r="B183" s="48"/>
      <c r="J183" s="216"/>
    </row>
    <row r="184" spans="1:10" ht="14.25" customHeight="1">
      <c r="A184" s="48"/>
      <c r="B184" s="48"/>
      <c r="J184" s="216"/>
    </row>
    <row r="185" spans="1:10" ht="14.25" customHeight="1">
      <c r="A185" s="48"/>
      <c r="B185" s="48"/>
      <c r="J185" s="216"/>
    </row>
    <row r="186" spans="1:10" ht="14.25" customHeight="1">
      <c r="A186" s="48"/>
      <c r="B186" s="48"/>
      <c r="J186" s="216"/>
    </row>
    <row r="187" spans="1:10" ht="14.25" customHeight="1">
      <c r="A187" s="48"/>
      <c r="B187" s="48"/>
      <c r="J187" s="216"/>
    </row>
    <row r="188" spans="1:10" ht="14.25" customHeight="1">
      <c r="A188" s="48"/>
      <c r="B188" s="48"/>
      <c r="J188" s="216"/>
    </row>
    <row r="189" spans="1:10" ht="14.25" customHeight="1">
      <c r="A189" s="48"/>
      <c r="B189" s="48"/>
      <c r="J189" s="216"/>
    </row>
    <row r="190" spans="1:10" ht="14.25" customHeight="1">
      <c r="A190" s="48"/>
      <c r="B190" s="48"/>
      <c r="J190" s="216"/>
    </row>
    <row r="191" spans="1:10" ht="14.25" customHeight="1">
      <c r="A191" s="48"/>
      <c r="B191" s="48"/>
      <c r="J191" s="216"/>
    </row>
    <row r="192" spans="1:10" ht="14.25" customHeight="1">
      <c r="A192" s="48"/>
      <c r="B192" s="48"/>
      <c r="J192" s="216"/>
    </row>
    <row r="193" spans="1:10" ht="14.25" customHeight="1">
      <c r="A193" s="48"/>
      <c r="B193" s="48"/>
      <c r="J193" s="216"/>
    </row>
    <row r="194" spans="1:10" ht="14.25" customHeight="1">
      <c r="A194" s="48"/>
      <c r="B194" s="48"/>
      <c r="J194" s="216"/>
    </row>
    <row r="195" spans="1:10" ht="14.25" customHeight="1">
      <c r="A195" s="48"/>
      <c r="B195" s="48"/>
      <c r="J195" s="216"/>
    </row>
    <row r="196" spans="1:10" ht="14.25" customHeight="1">
      <c r="A196" s="48"/>
      <c r="B196" s="48"/>
      <c r="J196" s="216"/>
    </row>
    <row r="197" spans="1:10" ht="14.25" customHeight="1">
      <c r="A197" s="48"/>
      <c r="B197" s="48"/>
      <c r="J197" s="216"/>
    </row>
    <row r="198" spans="1:10" ht="14.25" customHeight="1">
      <c r="A198" s="48"/>
      <c r="B198" s="48"/>
      <c r="J198" s="216"/>
    </row>
    <row r="199" spans="1:10" ht="14.25" customHeight="1">
      <c r="A199" s="48"/>
      <c r="B199" s="48"/>
      <c r="J199" s="216"/>
    </row>
    <row r="200" spans="1:10" ht="14.25" customHeight="1">
      <c r="A200" s="48"/>
      <c r="B200" s="48"/>
      <c r="J200" s="216"/>
    </row>
    <row r="201" spans="1:10" ht="14.25" customHeight="1">
      <c r="A201" s="48"/>
      <c r="B201" s="48"/>
      <c r="J201" s="216"/>
    </row>
    <row r="202" spans="1:10" ht="14.25" customHeight="1">
      <c r="A202" s="48"/>
      <c r="B202" s="48"/>
      <c r="J202" s="216"/>
    </row>
    <row r="203" spans="1:10" ht="14.25" customHeight="1">
      <c r="A203" s="48"/>
      <c r="B203" s="48"/>
      <c r="J203" s="216"/>
    </row>
    <row r="204" spans="1:10" ht="14.25" customHeight="1">
      <c r="A204" s="48"/>
      <c r="B204" s="48"/>
      <c r="J204" s="216"/>
    </row>
    <row r="205" spans="1:10" ht="14.25" customHeight="1">
      <c r="A205" s="48"/>
      <c r="B205" s="48"/>
      <c r="J205" s="216"/>
    </row>
    <row r="206" spans="1:10" ht="14.25" customHeight="1">
      <c r="A206" s="48"/>
      <c r="B206" s="48"/>
      <c r="J206" s="216"/>
    </row>
    <row r="207" spans="1:10" ht="14.25" customHeight="1">
      <c r="A207" s="48"/>
      <c r="B207" s="48"/>
      <c r="J207" s="216"/>
    </row>
    <row r="208" spans="1:10" ht="14.25" customHeight="1">
      <c r="A208" s="48"/>
      <c r="B208" s="48"/>
      <c r="J208" s="216"/>
    </row>
    <row r="209" spans="1:10" ht="14.25" customHeight="1">
      <c r="A209" s="48"/>
      <c r="B209" s="48"/>
      <c r="J209" s="216"/>
    </row>
    <row r="210" spans="1:10" ht="14.25" customHeight="1">
      <c r="A210" s="48"/>
      <c r="B210" s="48"/>
      <c r="J210" s="216"/>
    </row>
    <row r="211" spans="1:10" ht="14.25" customHeight="1">
      <c r="A211" s="48"/>
      <c r="B211" s="48"/>
      <c r="J211" s="216"/>
    </row>
    <row r="212" spans="1:10" ht="14.25" customHeight="1">
      <c r="A212" s="48"/>
      <c r="B212" s="48"/>
      <c r="J212" s="216"/>
    </row>
    <row r="213" spans="1:10" ht="14.25" customHeight="1">
      <c r="A213" s="48"/>
      <c r="B213" s="48"/>
      <c r="J213" s="216"/>
    </row>
    <row r="214" spans="1:10" ht="14.25" customHeight="1">
      <c r="A214" s="48"/>
      <c r="B214" s="48"/>
      <c r="J214" s="216"/>
    </row>
    <row r="215" spans="1:10" ht="14.25" customHeight="1">
      <c r="A215" s="48"/>
      <c r="B215" s="48"/>
      <c r="J215" s="216"/>
    </row>
    <row r="216" spans="1:10" ht="14.25" customHeight="1">
      <c r="A216" s="48"/>
      <c r="B216" s="48"/>
      <c r="J216" s="216"/>
    </row>
    <row r="217" spans="1:10" ht="14.25" customHeight="1">
      <c r="A217" s="48"/>
      <c r="B217" s="48"/>
      <c r="J217" s="216"/>
    </row>
    <row r="218" spans="1:10" ht="14.25" customHeight="1">
      <c r="A218" s="48"/>
      <c r="B218" s="48"/>
      <c r="J218" s="216"/>
    </row>
    <row r="219" spans="1:10" ht="14.25" customHeight="1">
      <c r="A219" s="48"/>
      <c r="B219" s="48"/>
      <c r="J219" s="216"/>
    </row>
    <row r="220" spans="1:10" ht="14.25" customHeight="1">
      <c r="A220" s="48"/>
      <c r="B220" s="48"/>
      <c r="J220" s="216"/>
    </row>
    <row r="221" spans="1:10" ht="14.25" customHeight="1">
      <c r="A221" s="48"/>
      <c r="B221" s="48"/>
      <c r="J221" s="216"/>
    </row>
    <row r="222" spans="1:10" ht="14.25" customHeight="1">
      <c r="A222" s="48"/>
      <c r="B222" s="48"/>
      <c r="J222" s="216"/>
    </row>
    <row r="223" spans="1:10" ht="14.25" customHeight="1">
      <c r="A223" s="48"/>
      <c r="B223" s="48"/>
      <c r="J223" s="216"/>
    </row>
    <row r="224" spans="1:10" ht="14.25" customHeight="1">
      <c r="A224" s="48"/>
      <c r="B224" s="48"/>
      <c r="J224" s="216"/>
    </row>
    <row r="225" spans="1:10" ht="14.25" customHeight="1">
      <c r="A225" s="48"/>
      <c r="B225" s="48"/>
      <c r="J225" s="216"/>
    </row>
    <row r="226" spans="1:10" ht="14.25" customHeight="1">
      <c r="A226" s="48"/>
      <c r="B226" s="48"/>
      <c r="J226" s="216"/>
    </row>
    <row r="227" spans="1:10" ht="14.25" customHeight="1">
      <c r="A227" s="48"/>
      <c r="B227" s="48"/>
      <c r="J227" s="216"/>
    </row>
    <row r="228" spans="1:10" ht="14.25" customHeight="1">
      <c r="A228" s="48"/>
      <c r="B228" s="48"/>
      <c r="J228" s="216"/>
    </row>
    <row r="229" spans="1:10" ht="14.25" customHeight="1">
      <c r="A229" s="48"/>
      <c r="B229" s="48"/>
      <c r="J229" s="216"/>
    </row>
    <row r="230" spans="1:10" ht="14.25" customHeight="1">
      <c r="A230" s="48"/>
      <c r="B230" s="48"/>
      <c r="J230" s="216"/>
    </row>
    <row r="231" spans="1:10" ht="14.25" customHeight="1">
      <c r="A231" s="48"/>
      <c r="B231" s="48"/>
      <c r="J231" s="216"/>
    </row>
    <row r="232" spans="1:10" ht="14.25" customHeight="1">
      <c r="A232" s="48"/>
      <c r="B232" s="48"/>
      <c r="J232" s="216"/>
    </row>
    <row r="233" spans="1:10" ht="14.25" customHeight="1">
      <c r="A233" s="48"/>
      <c r="B233" s="48"/>
      <c r="J233" s="216"/>
    </row>
    <row r="234" spans="1:10" ht="14.25" customHeight="1">
      <c r="A234" s="48"/>
      <c r="B234" s="48"/>
      <c r="J234" s="216"/>
    </row>
    <row r="235" spans="1:10" ht="14.25" customHeight="1">
      <c r="A235" s="48"/>
      <c r="B235" s="48"/>
      <c r="J235" s="216"/>
    </row>
    <row r="236" spans="1:10" ht="14.25" customHeight="1">
      <c r="A236" s="48"/>
      <c r="B236" s="48"/>
      <c r="J236" s="216"/>
    </row>
    <row r="237" spans="1:10" ht="14.25" customHeight="1">
      <c r="A237" s="48"/>
      <c r="B237" s="48"/>
      <c r="J237" s="216"/>
    </row>
    <row r="238" spans="1:10" ht="14.25" customHeight="1">
      <c r="A238" s="48"/>
      <c r="B238" s="48"/>
      <c r="J238" s="216"/>
    </row>
    <row r="239" spans="1:10" ht="14.25" customHeight="1">
      <c r="A239" s="48"/>
      <c r="B239" s="48"/>
      <c r="J239" s="216"/>
    </row>
    <row r="240" spans="1:10" ht="14.25" customHeight="1">
      <c r="A240" s="48"/>
      <c r="B240" s="48"/>
      <c r="J240" s="216"/>
    </row>
    <row r="241" spans="1:10" ht="14.25" customHeight="1">
      <c r="A241" s="48"/>
      <c r="B241" s="48"/>
      <c r="J241" s="216"/>
    </row>
    <row r="242" spans="1:10" ht="14.25" customHeight="1">
      <c r="A242" s="48"/>
      <c r="B242" s="48"/>
      <c r="J242" s="216"/>
    </row>
    <row r="243" spans="1:10" ht="14.25" customHeight="1">
      <c r="A243" s="48"/>
      <c r="B243" s="48"/>
      <c r="J243" s="216"/>
    </row>
    <row r="244" spans="1:10" ht="14.25" customHeight="1">
      <c r="A244" s="48"/>
      <c r="B244" s="48"/>
      <c r="J244" s="216"/>
    </row>
    <row r="245" spans="1:10" ht="14.25" customHeight="1">
      <c r="A245" s="48"/>
      <c r="B245" s="48"/>
      <c r="J245" s="216"/>
    </row>
    <row r="246" spans="1:10" ht="14.25" customHeight="1">
      <c r="A246" s="48"/>
      <c r="B246" s="48"/>
      <c r="J246" s="216"/>
    </row>
    <row r="247" spans="1:10" ht="14.25" customHeight="1">
      <c r="A247" s="48"/>
      <c r="B247" s="48"/>
      <c r="J247" s="216"/>
    </row>
    <row r="248" spans="1:10" ht="14.25" customHeight="1">
      <c r="A248" s="48"/>
      <c r="B248" s="48"/>
      <c r="J248" s="216"/>
    </row>
    <row r="249" spans="1:10" ht="14.25" customHeight="1">
      <c r="A249" s="48"/>
      <c r="B249" s="48"/>
      <c r="J249" s="216"/>
    </row>
    <row r="250" spans="1:10" ht="14.25" customHeight="1">
      <c r="A250" s="48"/>
      <c r="B250" s="48"/>
      <c r="J250" s="216"/>
    </row>
    <row r="251" spans="1:10" ht="14.25" customHeight="1">
      <c r="A251" s="48"/>
      <c r="B251" s="48"/>
      <c r="J251" s="216"/>
    </row>
    <row r="252" spans="1:10" ht="14.25" customHeight="1">
      <c r="A252" s="48"/>
      <c r="B252" s="48"/>
      <c r="J252" s="216"/>
    </row>
    <row r="253" spans="1:10" ht="14.25" customHeight="1">
      <c r="A253" s="48"/>
      <c r="B253" s="48"/>
      <c r="J253" s="216"/>
    </row>
    <row r="254" spans="1:10" ht="14.25" customHeight="1">
      <c r="A254" s="48"/>
      <c r="B254" s="48"/>
      <c r="J254" s="216"/>
    </row>
    <row r="255" spans="1:10" ht="14.25" customHeight="1">
      <c r="A255" s="48"/>
      <c r="B255" s="48"/>
      <c r="J255" s="216"/>
    </row>
    <row r="256" spans="1:10" ht="14.25" customHeight="1">
      <c r="A256" s="48"/>
      <c r="B256" s="48"/>
      <c r="J256" s="216"/>
    </row>
    <row r="257" spans="1:10" ht="14.25" customHeight="1">
      <c r="A257" s="48"/>
      <c r="B257" s="48"/>
      <c r="J257" s="216"/>
    </row>
    <row r="258" spans="1:10" ht="14.25" customHeight="1">
      <c r="A258" s="48"/>
      <c r="B258" s="48"/>
      <c r="J258" s="216"/>
    </row>
    <row r="259" spans="1:10" ht="14.25" customHeight="1">
      <c r="A259" s="48"/>
      <c r="B259" s="48"/>
      <c r="J259" s="216"/>
    </row>
    <row r="260" spans="1:10" ht="14.25" customHeight="1">
      <c r="A260" s="48"/>
      <c r="B260" s="48"/>
      <c r="J260" s="216"/>
    </row>
    <row r="261" spans="1:10" ht="14.25" customHeight="1">
      <c r="A261" s="48"/>
      <c r="B261" s="48"/>
      <c r="J261" s="216"/>
    </row>
    <row r="262" spans="1:10" ht="14.25" customHeight="1">
      <c r="A262" s="48"/>
      <c r="B262" s="48"/>
      <c r="J262" s="216"/>
    </row>
    <row r="263" spans="1:10" ht="14.25" customHeight="1">
      <c r="A263" s="48"/>
      <c r="B263" s="48"/>
      <c r="J263" s="216"/>
    </row>
    <row r="264" spans="1:10" ht="14.25" customHeight="1">
      <c r="A264" s="48"/>
      <c r="B264" s="48"/>
      <c r="J264" s="216"/>
    </row>
    <row r="265" spans="1:10" ht="14.25" customHeight="1">
      <c r="A265" s="48"/>
      <c r="B265" s="48"/>
      <c r="J265" s="216"/>
    </row>
    <row r="266" spans="1:10" ht="14.25" customHeight="1">
      <c r="A266" s="48"/>
      <c r="B266" s="48"/>
      <c r="J266" s="216"/>
    </row>
    <row r="267" spans="1:10" ht="14.25" customHeight="1">
      <c r="A267" s="48"/>
      <c r="B267" s="48"/>
      <c r="J267" s="216"/>
    </row>
    <row r="268" spans="1:10" ht="14.25" customHeight="1">
      <c r="A268" s="48"/>
      <c r="B268" s="48"/>
      <c r="J268" s="216"/>
    </row>
    <row r="269" spans="1:10" ht="14.25" customHeight="1">
      <c r="A269" s="48"/>
      <c r="B269" s="48"/>
      <c r="J269" s="216"/>
    </row>
    <row r="270" spans="1:10" ht="14.25" customHeight="1">
      <c r="A270" s="48"/>
      <c r="B270" s="48"/>
      <c r="J270" s="216"/>
    </row>
    <row r="271" spans="1:10" ht="14.25" customHeight="1">
      <c r="A271" s="48"/>
      <c r="B271" s="48"/>
      <c r="J271" s="216"/>
    </row>
    <row r="272" spans="1:10" ht="14.25" customHeight="1">
      <c r="A272" s="48"/>
      <c r="B272" s="48"/>
      <c r="J272" s="216"/>
    </row>
    <row r="273" spans="1:10" ht="14.25" customHeight="1">
      <c r="A273" s="48"/>
      <c r="B273" s="48"/>
      <c r="J273" s="216"/>
    </row>
    <row r="274" spans="1:10" ht="14.25" customHeight="1">
      <c r="A274" s="48"/>
      <c r="B274" s="48"/>
      <c r="J274" s="216"/>
    </row>
    <row r="275" spans="1:10" ht="14.25" customHeight="1">
      <c r="A275" s="48"/>
      <c r="B275" s="48"/>
      <c r="J275" s="216"/>
    </row>
    <row r="276" spans="1:10" ht="14.25" customHeight="1">
      <c r="A276" s="48"/>
      <c r="B276" s="48"/>
      <c r="J276" s="216"/>
    </row>
    <row r="277" spans="1:10" ht="14.25" customHeight="1">
      <c r="A277" s="48"/>
      <c r="B277" s="48"/>
      <c r="J277" s="216"/>
    </row>
    <row r="278" spans="1:10" ht="14.25" customHeight="1">
      <c r="A278" s="48"/>
      <c r="B278" s="48"/>
      <c r="J278" s="216"/>
    </row>
    <row r="279" spans="1:10" ht="14.25" customHeight="1">
      <c r="A279" s="48"/>
      <c r="B279" s="48"/>
      <c r="J279" s="216"/>
    </row>
    <row r="280" spans="1:10" ht="14.25" customHeight="1">
      <c r="A280" s="48"/>
      <c r="B280" s="48"/>
      <c r="J280" s="216"/>
    </row>
    <row r="281" spans="1:10" ht="14.25" customHeight="1">
      <c r="A281" s="48"/>
      <c r="B281" s="48"/>
      <c r="J281" s="216"/>
    </row>
    <row r="282" spans="1:10" ht="14.25" customHeight="1">
      <c r="A282" s="48"/>
      <c r="B282" s="48"/>
      <c r="J282" s="216"/>
    </row>
    <row r="283" spans="1:10" ht="14.25" customHeight="1">
      <c r="A283" s="48"/>
      <c r="B283" s="48"/>
      <c r="J283" s="216"/>
    </row>
    <row r="284" spans="1:10" ht="14.25" customHeight="1">
      <c r="A284" s="48"/>
      <c r="B284" s="48"/>
      <c r="J284" s="216"/>
    </row>
    <row r="285" spans="1:10" ht="14.25" customHeight="1">
      <c r="A285" s="48"/>
      <c r="B285" s="48"/>
      <c r="J285" s="216"/>
    </row>
    <row r="286" spans="1:10" ht="14.25" customHeight="1">
      <c r="A286" s="48"/>
      <c r="B286" s="48"/>
      <c r="J286" s="216"/>
    </row>
    <row r="287" spans="1:10" ht="14.25" customHeight="1">
      <c r="A287" s="48"/>
      <c r="B287" s="48"/>
      <c r="J287" s="216"/>
    </row>
    <row r="288" spans="1:10" ht="14.25" customHeight="1">
      <c r="A288" s="48"/>
      <c r="B288" s="48"/>
      <c r="J288" s="216"/>
    </row>
    <row r="289" spans="1:10" ht="14.25" customHeight="1">
      <c r="A289" s="48"/>
      <c r="B289" s="48"/>
      <c r="J289" s="216"/>
    </row>
    <row r="290" spans="1:10" ht="14.25" customHeight="1">
      <c r="A290" s="48"/>
      <c r="B290" s="48"/>
      <c r="J290" s="216"/>
    </row>
    <row r="291" spans="1:10" ht="14.25" customHeight="1">
      <c r="A291" s="48"/>
      <c r="B291" s="48"/>
      <c r="J291" s="216"/>
    </row>
    <row r="292" spans="1:10" ht="14.25" customHeight="1">
      <c r="A292" s="48"/>
      <c r="B292" s="48"/>
      <c r="J292" s="216"/>
    </row>
    <row r="293" spans="1:10" ht="14.25" customHeight="1">
      <c r="A293" s="48"/>
      <c r="B293" s="48"/>
      <c r="J293" s="216"/>
    </row>
    <row r="294" spans="1:10" ht="14.25" customHeight="1">
      <c r="A294" s="48"/>
      <c r="B294" s="48"/>
      <c r="J294" s="216"/>
    </row>
    <row r="295" spans="1:10" ht="14.25" customHeight="1">
      <c r="A295" s="48"/>
      <c r="B295" s="48"/>
      <c r="J295" s="216"/>
    </row>
    <row r="296" spans="1:10" ht="14.25" customHeight="1">
      <c r="A296" s="48"/>
      <c r="B296" s="48"/>
      <c r="J296" s="216"/>
    </row>
    <row r="297" spans="1:10" ht="14.25" customHeight="1">
      <c r="A297" s="48"/>
      <c r="B297" s="48"/>
      <c r="J297" s="216"/>
    </row>
    <row r="298" spans="1:10" ht="14.25" customHeight="1">
      <c r="A298" s="48"/>
      <c r="B298" s="48"/>
      <c r="J298" s="216"/>
    </row>
    <row r="299" spans="1:10" ht="14.25" customHeight="1">
      <c r="A299" s="48"/>
      <c r="B299" s="48"/>
      <c r="J299" s="216"/>
    </row>
    <row r="300" spans="1:10" ht="14.25" customHeight="1">
      <c r="A300" s="48"/>
      <c r="B300" s="48"/>
      <c r="J300" s="216"/>
    </row>
    <row r="301" spans="1:10" ht="14.25" customHeight="1">
      <c r="A301" s="48"/>
      <c r="B301" s="48"/>
      <c r="J301" s="216"/>
    </row>
    <row r="302" spans="1:10" ht="14.25" customHeight="1">
      <c r="A302" s="48"/>
      <c r="B302" s="48"/>
      <c r="J302" s="216"/>
    </row>
    <row r="303" spans="1:10" ht="14.25" customHeight="1">
      <c r="A303" s="48"/>
      <c r="B303" s="48"/>
      <c r="J303" s="216"/>
    </row>
    <row r="304" spans="1:10" ht="14.25" customHeight="1">
      <c r="A304" s="48"/>
      <c r="B304" s="48"/>
      <c r="J304" s="216"/>
    </row>
    <row r="305" spans="1:10" ht="14.25" customHeight="1">
      <c r="A305" s="48"/>
      <c r="B305" s="48"/>
      <c r="J305" s="216"/>
    </row>
    <row r="306" spans="1:10" ht="14.25" customHeight="1">
      <c r="A306" s="48"/>
      <c r="B306" s="48"/>
      <c r="J306" s="216"/>
    </row>
    <row r="307" spans="1:10" ht="14.25" customHeight="1">
      <c r="A307" s="48"/>
      <c r="B307" s="48"/>
      <c r="J307" s="216"/>
    </row>
    <row r="308" spans="1:10" ht="14.25" customHeight="1">
      <c r="A308" s="48"/>
      <c r="B308" s="48"/>
      <c r="J308" s="216"/>
    </row>
    <row r="309" spans="1:10" ht="14.25" customHeight="1">
      <c r="A309" s="48"/>
      <c r="B309" s="48"/>
      <c r="J309" s="216"/>
    </row>
    <row r="310" spans="1:10" ht="14.25" customHeight="1">
      <c r="A310" s="48"/>
      <c r="B310" s="48"/>
      <c r="J310" s="216"/>
    </row>
    <row r="311" spans="1:10" ht="14.25" customHeight="1">
      <c r="A311" s="48"/>
      <c r="B311" s="48"/>
      <c r="J311" s="216"/>
    </row>
    <row r="312" spans="1:10" ht="14.25" customHeight="1">
      <c r="A312" s="48"/>
      <c r="B312" s="48"/>
      <c r="J312" s="216"/>
    </row>
    <row r="313" spans="1:10" ht="14.25" customHeight="1">
      <c r="A313" s="48"/>
      <c r="B313" s="48"/>
      <c r="J313" s="216"/>
    </row>
    <row r="314" spans="1:10" ht="14.25" customHeight="1">
      <c r="A314" s="48"/>
      <c r="B314" s="48"/>
      <c r="J314" s="216"/>
    </row>
    <row r="315" spans="1:10" ht="14.25" customHeight="1">
      <c r="A315" s="48"/>
      <c r="B315" s="48"/>
      <c r="J315" s="216"/>
    </row>
    <row r="316" spans="1:10" ht="14.25" customHeight="1">
      <c r="A316" s="48"/>
      <c r="B316" s="48"/>
      <c r="J316" s="216"/>
    </row>
    <row r="317" spans="1:10" ht="14.25" customHeight="1">
      <c r="A317" s="48"/>
      <c r="B317" s="48"/>
      <c r="J317" s="216"/>
    </row>
    <row r="318" spans="1:10" ht="14.25" customHeight="1">
      <c r="A318" s="48"/>
      <c r="B318" s="48"/>
      <c r="J318" s="216"/>
    </row>
    <row r="319" spans="1:10" ht="14.25" customHeight="1">
      <c r="A319" s="48"/>
      <c r="B319" s="48"/>
      <c r="J319" s="216"/>
    </row>
    <row r="320" spans="1:10" ht="14.25" customHeight="1">
      <c r="A320" s="48"/>
      <c r="B320" s="48"/>
      <c r="J320" s="216"/>
    </row>
    <row r="321" spans="1:10" ht="14.25" customHeight="1">
      <c r="A321" s="48"/>
      <c r="B321" s="48"/>
      <c r="J321" s="216"/>
    </row>
    <row r="322" spans="1:10" ht="14.25" customHeight="1">
      <c r="A322" s="48"/>
      <c r="B322" s="48"/>
      <c r="J322" s="216"/>
    </row>
    <row r="323" spans="1:10" ht="14.25" customHeight="1">
      <c r="A323" s="48"/>
      <c r="B323" s="48"/>
      <c r="J323" s="216"/>
    </row>
    <row r="324" spans="1:10" ht="14.25" customHeight="1">
      <c r="A324" s="48"/>
      <c r="B324" s="48"/>
      <c r="J324" s="216"/>
    </row>
    <row r="325" spans="1:10" ht="14.25" customHeight="1">
      <c r="A325" s="48"/>
      <c r="B325" s="48"/>
      <c r="J325" s="216"/>
    </row>
    <row r="326" spans="1:10" ht="14.25" customHeight="1">
      <c r="A326" s="48"/>
      <c r="B326" s="48"/>
      <c r="J326" s="216"/>
    </row>
    <row r="327" spans="1:10" ht="14.25" customHeight="1">
      <c r="A327" s="48"/>
      <c r="B327" s="48"/>
      <c r="J327" s="216"/>
    </row>
    <row r="328" spans="1:10" ht="14.25" customHeight="1">
      <c r="A328" s="48"/>
      <c r="B328" s="48"/>
      <c r="J328" s="216"/>
    </row>
    <row r="329" spans="1:10" ht="14.25" customHeight="1">
      <c r="A329" s="48"/>
      <c r="B329" s="48"/>
      <c r="J329" s="216"/>
    </row>
    <row r="330" spans="1:10" ht="14.25" customHeight="1">
      <c r="A330" s="48"/>
      <c r="B330" s="48"/>
      <c r="J330" s="216"/>
    </row>
    <row r="331" spans="1:10" ht="14.25" customHeight="1">
      <c r="A331" s="48"/>
      <c r="B331" s="48"/>
      <c r="J331" s="216"/>
    </row>
    <row r="332" spans="1:10" ht="14.25" customHeight="1">
      <c r="A332" s="48"/>
      <c r="B332" s="48"/>
      <c r="J332" s="216"/>
    </row>
    <row r="333" spans="1:10" ht="14.25" customHeight="1">
      <c r="A333" s="48"/>
      <c r="B333" s="48"/>
      <c r="J333" s="216"/>
    </row>
    <row r="334" spans="1:10" ht="14.25" customHeight="1">
      <c r="A334" s="48"/>
      <c r="B334" s="48"/>
      <c r="J334" s="216"/>
    </row>
    <row r="335" spans="1:10" ht="14.25" customHeight="1">
      <c r="A335" s="48"/>
      <c r="B335" s="48"/>
      <c r="J335" s="216"/>
    </row>
    <row r="336" spans="1:10" ht="14.25" customHeight="1">
      <c r="A336" s="48"/>
      <c r="B336" s="48"/>
      <c r="J336" s="216"/>
    </row>
    <row r="337" spans="1:10" ht="14.25" customHeight="1">
      <c r="A337" s="48"/>
      <c r="B337" s="48"/>
      <c r="J337" s="216"/>
    </row>
    <row r="338" spans="1:10" ht="14.25" customHeight="1">
      <c r="A338" s="48"/>
      <c r="B338" s="48"/>
      <c r="J338" s="216"/>
    </row>
    <row r="339" spans="1:10" ht="14.25" customHeight="1">
      <c r="A339" s="48"/>
      <c r="B339" s="48"/>
      <c r="J339" s="216"/>
    </row>
    <row r="340" spans="1:10" ht="14.25" customHeight="1">
      <c r="A340" s="48"/>
      <c r="B340" s="48"/>
      <c r="J340" s="216"/>
    </row>
    <row r="341" spans="1:10" ht="14.25" customHeight="1">
      <c r="A341" s="48"/>
      <c r="B341" s="48"/>
      <c r="J341" s="216"/>
    </row>
    <row r="342" spans="1:10" ht="14.25" customHeight="1">
      <c r="A342" s="48"/>
      <c r="B342" s="48"/>
      <c r="J342" s="216"/>
    </row>
    <row r="343" spans="1:10" ht="14.25" customHeight="1">
      <c r="A343" s="48"/>
      <c r="B343" s="48"/>
      <c r="J343" s="216"/>
    </row>
    <row r="344" spans="1:10" ht="14.25" customHeight="1">
      <c r="A344" s="48"/>
      <c r="B344" s="48"/>
      <c r="J344" s="216"/>
    </row>
    <row r="345" spans="1:10" ht="14.25" customHeight="1">
      <c r="A345" s="48"/>
      <c r="B345" s="48"/>
      <c r="J345" s="216"/>
    </row>
    <row r="346" spans="1:10" ht="14.25" customHeight="1">
      <c r="A346" s="48"/>
      <c r="B346" s="48"/>
      <c r="J346" s="216"/>
    </row>
    <row r="347" spans="1:10" ht="14.25" customHeight="1">
      <c r="A347" s="48"/>
      <c r="B347" s="48"/>
      <c r="J347" s="216"/>
    </row>
    <row r="348" spans="1:10" ht="14.25" customHeight="1">
      <c r="A348" s="48"/>
      <c r="B348" s="48"/>
      <c r="J348" s="216"/>
    </row>
    <row r="349" spans="1:10" ht="14.25" customHeight="1">
      <c r="A349" s="48"/>
      <c r="B349" s="48"/>
      <c r="J349" s="216"/>
    </row>
    <row r="350" spans="1:10" ht="14.25" customHeight="1">
      <c r="A350" s="48"/>
      <c r="B350" s="48"/>
      <c r="J350" s="216"/>
    </row>
    <row r="351" spans="1:10" ht="14.25" customHeight="1">
      <c r="A351" s="48"/>
      <c r="B351" s="48"/>
      <c r="J351" s="216"/>
    </row>
    <row r="352" spans="1:10" ht="14.25" customHeight="1">
      <c r="A352" s="48"/>
      <c r="B352" s="48"/>
      <c r="J352" s="216"/>
    </row>
    <row r="353" spans="1:10" ht="14.25" customHeight="1">
      <c r="A353" s="48"/>
      <c r="B353" s="48"/>
      <c r="J353" s="216"/>
    </row>
    <row r="354" spans="1:10" ht="14.25" customHeight="1">
      <c r="A354" s="48"/>
      <c r="B354" s="48"/>
      <c r="J354" s="216"/>
    </row>
    <row r="355" spans="1:10" ht="14.25" customHeight="1">
      <c r="A355" s="48"/>
      <c r="B355" s="48"/>
      <c r="J355" s="216"/>
    </row>
    <row r="356" spans="1:10" ht="14.25" customHeight="1">
      <c r="A356" s="48"/>
      <c r="B356" s="48"/>
      <c r="J356" s="216"/>
    </row>
    <row r="357" spans="1:10" ht="14.25" customHeight="1">
      <c r="A357" s="48"/>
      <c r="B357" s="48"/>
      <c r="J357" s="216"/>
    </row>
    <row r="358" spans="1:10" ht="14.25" customHeight="1">
      <c r="A358" s="48"/>
      <c r="B358" s="48"/>
      <c r="J358" s="216"/>
    </row>
    <row r="359" spans="1:10" ht="14.25" customHeight="1">
      <c r="A359" s="48"/>
      <c r="B359" s="48"/>
      <c r="J359" s="216"/>
    </row>
    <row r="360" spans="1:10" ht="14.25" customHeight="1">
      <c r="A360" s="48"/>
      <c r="B360" s="48"/>
      <c r="J360" s="216"/>
    </row>
    <row r="361" spans="1:10" ht="14.25" customHeight="1">
      <c r="A361" s="48"/>
      <c r="B361" s="48"/>
      <c r="J361" s="216"/>
    </row>
    <row r="362" spans="1:10" ht="14.25" customHeight="1">
      <c r="A362" s="48"/>
      <c r="B362" s="48"/>
      <c r="J362" s="216"/>
    </row>
    <row r="363" spans="1:10" ht="14.25" customHeight="1">
      <c r="A363" s="48"/>
      <c r="B363" s="48"/>
      <c r="J363" s="216"/>
    </row>
    <row r="364" spans="1:10" ht="14.25" customHeight="1">
      <c r="A364" s="48"/>
      <c r="B364" s="48"/>
      <c r="J364" s="216"/>
    </row>
    <row r="365" spans="1:10" ht="14.25" customHeight="1">
      <c r="A365" s="48"/>
      <c r="B365" s="48"/>
      <c r="J365" s="216"/>
    </row>
    <row r="366" spans="1:10" ht="14.25" customHeight="1">
      <c r="A366" s="48"/>
      <c r="B366" s="48"/>
      <c r="J366" s="216"/>
    </row>
    <row r="367" spans="1:10" ht="14.25" customHeight="1">
      <c r="A367" s="48"/>
      <c r="B367" s="48"/>
      <c r="J367" s="216"/>
    </row>
    <row r="368" spans="1:10" ht="14.25" customHeight="1">
      <c r="A368" s="48"/>
      <c r="B368" s="48"/>
      <c r="J368" s="216"/>
    </row>
    <row r="369" spans="1:10" ht="14.25" customHeight="1">
      <c r="A369" s="48"/>
      <c r="B369" s="48"/>
      <c r="J369" s="216"/>
    </row>
    <row r="370" spans="1:10" ht="14.25" customHeight="1">
      <c r="A370" s="48"/>
      <c r="B370" s="48"/>
      <c r="J370" s="216"/>
    </row>
    <row r="371" spans="1:10" ht="14.25" customHeight="1">
      <c r="A371" s="48"/>
      <c r="B371" s="48"/>
      <c r="J371" s="216"/>
    </row>
    <row r="372" spans="1:10" ht="14.25" customHeight="1">
      <c r="A372" s="48"/>
      <c r="B372" s="48"/>
      <c r="J372" s="216"/>
    </row>
    <row r="373" spans="1:10" ht="14.25" customHeight="1">
      <c r="A373" s="48"/>
      <c r="B373" s="48"/>
      <c r="J373" s="216"/>
    </row>
    <row r="374" spans="1:10" ht="14.25" customHeight="1">
      <c r="A374" s="48"/>
      <c r="B374" s="48"/>
      <c r="J374" s="216"/>
    </row>
    <row r="375" spans="1:10" ht="14.25" customHeight="1">
      <c r="A375" s="48"/>
      <c r="B375" s="48"/>
      <c r="J375" s="216"/>
    </row>
    <row r="376" spans="1:10" ht="14.25" customHeight="1">
      <c r="A376" s="48"/>
      <c r="B376" s="48"/>
      <c r="J376" s="216"/>
    </row>
    <row r="377" spans="1:10" ht="14.25" customHeight="1">
      <c r="A377" s="48"/>
      <c r="B377" s="48"/>
      <c r="J377" s="216"/>
    </row>
    <row r="378" spans="1:10" ht="14.25" customHeight="1">
      <c r="A378" s="48"/>
      <c r="B378" s="48"/>
      <c r="J378" s="216"/>
    </row>
    <row r="379" spans="1:10" ht="14.25" customHeight="1">
      <c r="A379" s="48"/>
      <c r="B379" s="48"/>
      <c r="J379" s="216"/>
    </row>
    <row r="380" spans="1:10" ht="14.25" customHeight="1">
      <c r="A380" s="48"/>
      <c r="B380" s="48"/>
      <c r="J380" s="216"/>
    </row>
    <row r="381" spans="1:10" ht="14.25" customHeight="1">
      <c r="A381" s="48"/>
      <c r="B381" s="48"/>
      <c r="J381" s="216"/>
    </row>
    <row r="382" spans="1:10" ht="14.25" customHeight="1">
      <c r="A382" s="48"/>
      <c r="B382" s="48"/>
      <c r="J382" s="216"/>
    </row>
    <row r="383" spans="1:10" ht="14.25" customHeight="1">
      <c r="A383" s="48"/>
      <c r="B383" s="48"/>
      <c r="J383" s="216"/>
    </row>
    <row r="384" spans="1:10" ht="14.25" customHeight="1">
      <c r="A384" s="48"/>
      <c r="B384" s="48"/>
      <c r="J384" s="216"/>
    </row>
    <row r="385" spans="1:10" ht="14.25" customHeight="1">
      <c r="A385" s="48"/>
      <c r="B385" s="48"/>
      <c r="J385" s="216"/>
    </row>
    <row r="386" spans="1:10" ht="14.25" customHeight="1">
      <c r="A386" s="48"/>
      <c r="B386" s="48"/>
      <c r="J386" s="216"/>
    </row>
    <row r="387" spans="1:10" ht="14.25" customHeight="1">
      <c r="A387" s="48"/>
      <c r="B387" s="48"/>
      <c r="J387" s="216"/>
    </row>
    <row r="388" spans="1:10" ht="14.25" customHeight="1">
      <c r="A388" s="48"/>
      <c r="B388" s="48"/>
      <c r="J388" s="216"/>
    </row>
    <row r="389" spans="1:10" ht="14.25" customHeight="1">
      <c r="A389" s="48"/>
      <c r="B389" s="48"/>
      <c r="J389" s="216"/>
    </row>
    <row r="390" spans="1:10" ht="14.25" customHeight="1">
      <c r="A390" s="48"/>
      <c r="B390" s="48"/>
      <c r="J390" s="216"/>
    </row>
    <row r="391" spans="1:10" ht="14.25" customHeight="1">
      <c r="A391" s="48"/>
      <c r="B391" s="48"/>
      <c r="J391" s="216"/>
    </row>
    <row r="392" spans="1:10" ht="14.25" customHeight="1">
      <c r="A392" s="48"/>
      <c r="B392" s="48"/>
      <c r="J392" s="216"/>
    </row>
    <row r="393" spans="1:10" ht="14.25" customHeight="1">
      <c r="A393" s="48"/>
      <c r="B393" s="48"/>
      <c r="J393" s="216"/>
    </row>
    <row r="394" spans="1:10" ht="14.25" customHeight="1">
      <c r="A394" s="48"/>
      <c r="B394" s="48"/>
      <c r="J394" s="216"/>
    </row>
    <row r="395" spans="1:10" ht="14.25" customHeight="1">
      <c r="A395" s="48"/>
      <c r="B395" s="48"/>
      <c r="J395" s="216"/>
    </row>
    <row r="396" spans="1:10" ht="14.25" customHeight="1">
      <c r="A396" s="48"/>
      <c r="B396" s="48"/>
      <c r="J396" s="216"/>
    </row>
    <row r="397" spans="1:10" ht="14.25" customHeight="1">
      <c r="A397" s="48"/>
      <c r="B397" s="48"/>
      <c r="J397" s="216"/>
    </row>
    <row r="398" spans="1:10" ht="14.25" customHeight="1">
      <c r="A398" s="48"/>
      <c r="B398" s="48"/>
      <c r="J398" s="216"/>
    </row>
    <row r="399" spans="1:10" ht="14.25" customHeight="1">
      <c r="A399" s="48"/>
      <c r="B399" s="48"/>
      <c r="J399" s="216"/>
    </row>
    <row r="400" spans="1:10" ht="14.25" customHeight="1">
      <c r="A400" s="48"/>
      <c r="B400" s="48"/>
      <c r="J400" s="216"/>
    </row>
    <row r="401" spans="1:10" ht="14.25" customHeight="1">
      <c r="A401" s="48"/>
      <c r="B401" s="48"/>
      <c r="J401" s="216"/>
    </row>
    <row r="402" spans="1:10" ht="14.25" customHeight="1">
      <c r="A402" s="48"/>
      <c r="B402" s="48"/>
      <c r="J402" s="216"/>
    </row>
    <row r="403" spans="1:10" ht="14.25" customHeight="1">
      <c r="A403" s="48"/>
      <c r="B403" s="48"/>
      <c r="J403" s="216"/>
    </row>
    <row r="404" spans="1:10" ht="14.25" customHeight="1">
      <c r="A404" s="48"/>
      <c r="B404" s="48"/>
      <c r="J404" s="216"/>
    </row>
    <row r="405" spans="1:10" ht="14.25" customHeight="1">
      <c r="A405" s="48"/>
      <c r="B405" s="48"/>
      <c r="J405" s="216"/>
    </row>
    <row r="406" spans="1:10" ht="14.25" customHeight="1">
      <c r="A406" s="48"/>
      <c r="B406" s="48"/>
      <c r="J406" s="216"/>
    </row>
    <row r="407" spans="1:10" ht="14.25" customHeight="1">
      <c r="A407" s="48"/>
      <c r="B407" s="48"/>
      <c r="J407" s="216"/>
    </row>
    <row r="408" spans="1:10" ht="14.25" customHeight="1">
      <c r="A408" s="48"/>
      <c r="B408" s="48"/>
      <c r="J408" s="216"/>
    </row>
    <row r="409" spans="1:10" ht="14.25" customHeight="1">
      <c r="A409" s="48"/>
      <c r="B409" s="48"/>
      <c r="J409" s="216"/>
    </row>
    <row r="410" spans="1:10" ht="14.25" customHeight="1">
      <c r="A410" s="48"/>
      <c r="B410" s="48"/>
      <c r="J410" s="216"/>
    </row>
    <row r="411" spans="1:10" ht="14.25" customHeight="1">
      <c r="A411" s="48"/>
      <c r="B411" s="48"/>
      <c r="J411" s="216"/>
    </row>
    <row r="412" spans="1:10" ht="14.25" customHeight="1">
      <c r="A412" s="48"/>
      <c r="B412" s="48"/>
      <c r="J412" s="216"/>
    </row>
    <row r="413" spans="1:10" ht="14.25" customHeight="1">
      <c r="A413" s="48"/>
      <c r="B413" s="48"/>
      <c r="J413" s="216"/>
    </row>
    <row r="414" spans="1:10" ht="14.25" customHeight="1">
      <c r="A414" s="48"/>
      <c r="B414" s="48"/>
      <c r="J414" s="216"/>
    </row>
    <row r="415" spans="1:10" ht="14.25" customHeight="1">
      <c r="A415" s="48"/>
      <c r="B415" s="48"/>
      <c r="J415" s="216"/>
    </row>
    <row r="416" spans="1:10" ht="14.25" customHeight="1">
      <c r="A416" s="48"/>
      <c r="B416" s="48"/>
      <c r="J416" s="216"/>
    </row>
    <row r="417" spans="1:10" ht="14.25" customHeight="1">
      <c r="A417" s="48"/>
      <c r="B417" s="48"/>
      <c r="J417" s="216"/>
    </row>
    <row r="418" spans="1:10" ht="14.25" customHeight="1">
      <c r="A418" s="48"/>
      <c r="B418" s="48"/>
      <c r="J418" s="216"/>
    </row>
    <row r="419" spans="1:10" ht="14.25" customHeight="1">
      <c r="A419" s="48"/>
      <c r="B419" s="48"/>
      <c r="J419" s="216"/>
    </row>
    <row r="420" spans="1:10" ht="14.25" customHeight="1">
      <c r="A420" s="48"/>
      <c r="B420" s="48"/>
      <c r="J420" s="216"/>
    </row>
    <row r="421" spans="1:10" ht="14.25" customHeight="1">
      <c r="A421" s="48"/>
      <c r="B421" s="48"/>
      <c r="J421" s="216"/>
    </row>
    <row r="422" spans="1:10" ht="14.25" customHeight="1">
      <c r="A422" s="48"/>
      <c r="B422" s="48"/>
      <c r="J422" s="216"/>
    </row>
    <row r="423" spans="1:10" ht="14.25" customHeight="1">
      <c r="A423" s="48"/>
      <c r="B423" s="48"/>
      <c r="J423" s="216"/>
    </row>
    <row r="424" spans="1:10" ht="14.25" customHeight="1">
      <c r="A424" s="48"/>
      <c r="B424" s="48"/>
      <c r="J424" s="216"/>
    </row>
    <row r="425" spans="1:10" ht="14.25" customHeight="1">
      <c r="A425" s="48"/>
      <c r="B425" s="48"/>
      <c r="J425" s="216"/>
    </row>
    <row r="426" spans="1:10" ht="14.25" customHeight="1">
      <c r="A426" s="48"/>
      <c r="B426" s="48"/>
      <c r="J426" s="216"/>
    </row>
    <row r="427" spans="1:10" ht="14.25" customHeight="1">
      <c r="A427" s="48"/>
      <c r="B427" s="48"/>
      <c r="J427" s="216"/>
    </row>
    <row r="428" spans="1:10" ht="14.25" customHeight="1">
      <c r="A428" s="48"/>
      <c r="B428" s="48"/>
      <c r="J428" s="216"/>
    </row>
    <row r="429" spans="1:10" ht="14.25" customHeight="1">
      <c r="A429" s="48"/>
      <c r="B429" s="48"/>
      <c r="J429" s="216"/>
    </row>
    <row r="430" spans="1:10" ht="14.25" customHeight="1">
      <c r="A430" s="48"/>
      <c r="B430" s="48"/>
      <c r="J430" s="216"/>
    </row>
    <row r="431" spans="1:10" ht="14.25" customHeight="1">
      <c r="A431" s="48"/>
      <c r="B431" s="48"/>
      <c r="J431" s="216"/>
    </row>
    <row r="432" spans="1:10" ht="14.25" customHeight="1">
      <c r="A432" s="48"/>
      <c r="B432" s="48"/>
      <c r="J432" s="216"/>
    </row>
    <row r="433" spans="1:10" ht="14.25" customHeight="1">
      <c r="A433" s="48"/>
      <c r="B433" s="48"/>
      <c r="J433" s="216"/>
    </row>
    <row r="434" spans="1:10" ht="14.25" customHeight="1">
      <c r="A434" s="48"/>
      <c r="B434" s="48"/>
      <c r="J434" s="216"/>
    </row>
    <row r="435" spans="1:10" ht="14.25" customHeight="1">
      <c r="A435" s="48"/>
      <c r="B435" s="48"/>
      <c r="J435" s="216"/>
    </row>
    <row r="436" spans="1:10" ht="14.25" customHeight="1">
      <c r="A436" s="48"/>
      <c r="B436" s="48"/>
      <c r="J436" s="216"/>
    </row>
    <row r="437" spans="1:10" ht="14.25" customHeight="1">
      <c r="A437" s="48"/>
      <c r="B437" s="48"/>
      <c r="J437" s="216"/>
    </row>
    <row r="438" spans="1:10" ht="14.25" customHeight="1">
      <c r="A438" s="48"/>
      <c r="B438" s="48"/>
      <c r="J438" s="216"/>
    </row>
    <row r="439" spans="1:10" ht="14.25" customHeight="1">
      <c r="A439" s="48"/>
      <c r="B439" s="48"/>
      <c r="J439" s="216"/>
    </row>
    <row r="440" spans="1:10" ht="14.25" customHeight="1">
      <c r="A440" s="48"/>
      <c r="B440" s="48"/>
      <c r="J440" s="216"/>
    </row>
    <row r="441" spans="1:10" ht="14.25" customHeight="1">
      <c r="A441" s="48"/>
      <c r="B441" s="48"/>
      <c r="J441" s="216"/>
    </row>
    <row r="442" spans="1:10" ht="14.25" customHeight="1">
      <c r="A442" s="48"/>
      <c r="B442" s="48"/>
      <c r="J442" s="216"/>
    </row>
    <row r="443" spans="1:10" ht="14.25" customHeight="1">
      <c r="A443" s="48"/>
      <c r="B443" s="48"/>
      <c r="J443" s="216"/>
    </row>
    <row r="444" spans="1:10" ht="14.25" customHeight="1">
      <c r="A444" s="48"/>
      <c r="B444" s="48"/>
      <c r="J444" s="216"/>
    </row>
    <row r="445" spans="1:10" ht="14.25" customHeight="1">
      <c r="A445" s="48"/>
      <c r="B445" s="48"/>
      <c r="J445" s="216"/>
    </row>
    <row r="446" spans="1:10" ht="14.25" customHeight="1">
      <c r="A446" s="48"/>
      <c r="B446" s="48"/>
      <c r="J446" s="216"/>
    </row>
    <row r="447" spans="1:10" ht="14.25" customHeight="1">
      <c r="A447" s="48"/>
      <c r="B447" s="48"/>
      <c r="J447" s="216"/>
    </row>
    <row r="448" spans="1:10" ht="14.25" customHeight="1">
      <c r="A448" s="48"/>
      <c r="B448" s="48"/>
      <c r="J448" s="216"/>
    </row>
    <row r="449" spans="1:10" ht="14.25" customHeight="1">
      <c r="A449" s="48"/>
      <c r="B449" s="48"/>
      <c r="J449" s="216"/>
    </row>
    <row r="450" spans="1:10" ht="14.25" customHeight="1">
      <c r="A450" s="48"/>
      <c r="B450" s="48"/>
      <c r="J450" s="216"/>
    </row>
    <row r="451" spans="1:10" ht="14.25" customHeight="1">
      <c r="A451" s="48"/>
      <c r="B451" s="48"/>
      <c r="J451" s="216"/>
    </row>
    <row r="452" spans="1:10" ht="14.25" customHeight="1">
      <c r="A452" s="48"/>
      <c r="B452" s="48"/>
      <c r="J452" s="216"/>
    </row>
    <row r="453" spans="1:10" ht="14.25" customHeight="1">
      <c r="A453" s="48"/>
      <c r="B453" s="48"/>
      <c r="J453" s="216"/>
    </row>
    <row r="454" spans="1:10" ht="14.25" customHeight="1">
      <c r="A454" s="48"/>
      <c r="B454" s="48"/>
      <c r="J454" s="216"/>
    </row>
    <row r="455" spans="1:10" ht="14.25" customHeight="1">
      <c r="A455" s="48"/>
      <c r="B455" s="48"/>
      <c r="J455" s="216"/>
    </row>
    <row r="456" spans="1:10" ht="14.25" customHeight="1">
      <c r="A456" s="48"/>
      <c r="B456" s="48"/>
      <c r="J456" s="216"/>
    </row>
    <row r="457" spans="1:10" ht="14.25" customHeight="1">
      <c r="A457" s="48"/>
      <c r="B457" s="48"/>
      <c r="J457" s="216"/>
    </row>
    <row r="458" spans="1:10" ht="14.25" customHeight="1">
      <c r="A458" s="48"/>
      <c r="B458" s="48"/>
      <c r="J458" s="216"/>
    </row>
    <row r="459" spans="1:10" ht="14.25" customHeight="1">
      <c r="A459" s="48"/>
      <c r="B459" s="48"/>
      <c r="J459" s="216"/>
    </row>
    <row r="460" spans="1:10" ht="14.25" customHeight="1">
      <c r="A460" s="48"/>
      <c r="B460" s="48"/>
      <c r="J460" s="216"/>
    </row>
    <row r="461" spans="1:10" ht="14.25" customHeight="1">
      <c r="A461" s="48"/>
      <c r="B461" s="48"/>
      <c r="J461" s="216"/>
    </row>
    <row r="462" spans="1:10" ht="14.25" customHeight="1">
      <c r="A462" s="48"/>
      <c r="B462" s="48"/>
      <c r="J462" s="216"/>
    </row>
    <row r="463" spans="1:10" ht="14.25" customHeight="1">
      <c r="A463" s="48"/>
      <c r="B463" s="48"/>
      <c r="J463" s="216"/>
    </row>
    <row r="464" spans="1:10" ht="14.25" customHeight="1">
      <c r="A464" s="48"/>
      <c r="B464" s="48"/>
      <c r="J464" s="216"/>
    </row>
    <row r="465" spans="1:10" ht="14.25" customHeight="1">
      <c r="A465" s="48"/>
      <c r="B465" s="48"/>
      <c r="J465" s="216"/>
    </row>
    <row r="466" spans="1:10" ht="14.25" customHeight="1">
      <c r="A466" s="48"/>
      <c r="B466" s="48"/>
      <c r="J466" s="216"/>
    </row>
    <row r="467" spans="1:10" ht="14.25" customHeight="1">
      <c r="A467" s="48"/>
      <c r="B467" s="48"/>
      <c r="J467" s="216"/>
    </row>
    <row r="468" spans="1:10" ht="14.25" customHeight="1">
      <c r="A468" s="48"/>
      <c r="B468" s="48"/>
      <c r="J468" s="216"/>
    </row>
    <row r="469" spans="1:10" ht="14.25" customHeight="1">
      <c r="A469" s="48"/>
      <c r="B469" s="48"/>
      <c r="J469" s="216"/>
    </row>
    <row r="470" spans="1:10" ht="14.25" customHeight="1">
      <c r="A470" s="48"/>
      <c r="B470" s="48"/>
      <c r="J470" s="216"/>
    </row>
    <row r="471" spans="1:10" ht="14.25" customHeight="1">
      <c r="A471" s="48"/>
      <c r="B471" s="48"/>
      <c r="J471" s="216"/>
    </row>
    <row r="472" spans="1:10" ht="14.25" customHeight="1">
      <c r="A472" s="48"/>
      <c r="B472" s="48"/>
      <c r="J472" s="216"/>
    </row>
    <row r="473" spans="1:10" ht="14.25" customHeight="1">
      <c r="A473" s="48"/>
      <c r="B473" s="48"/>
      <c r="J473" s="216"/>
    </row>
    <row r="474" spans="1:10" ht="14.25" customHeight="1">
      <c r="A474" s="48"/>
      <c r="B474" s="48"/>
      <c r="J474" s="216"/>
    </row>
    <row r="475" spans="1:10" ht="14.25" customHeight="1">
      <c r="A475" s="48"/>
      <c r="B475" s="48"/>
      <c r="J475" s="216"/>
    </row>
    <row r="476" spans="1:10" ht="14.25" customHeight="1">
      <c r="A476" s="48"/>
      <c r="B476" s="48"/>
      <c r="J476" s="216"/>
    </row>
    <row r="477" spans="1:10" ht="14.25" customHeight="1">
      <c r="A477" s="48"/>
      <c r="B477" s="48"/>
      <c r="J477" s="216"/>
    </row>
    <row r="478" spans="1:10" ht="14.25" customHeight="1">
      <c r="A478" s="48"/>
      <c r="B478" s="48"/>
      <c r="J478" s="216"/>
    </row>
    <row r="479" spans="1:10" ht="14.25" customHeight="1">
      <c r="A479" s="48"/>
      <c r="B479" s="48"/>
      <c r="J479" s="216"/>
    </row>
    <row r="480" spans="1:10" ht="14.25" customHeight="1">
      <c r="A480" s="48"/>
      <c r="B480" s="48"/>
      <c r="J480" s="216"/>
    </row>
    <row r="481" spans="1:10" ht="14.25" customHeight="1">
      <c r="A481" s="48"/>
      <c r="B481" s="48"/>
      <c r="J481" s="216"/>
    </row>
    <row r="482" spans="1:10" ht="14.25" customHeight="1">
      <c r="A482" s="48"/>
      <c r="B482" s="48"/>
      <c r="J482" s="216"/>
    </row>
    <row r="483" spans="1:10" ht="14.25" customHeight="1">
      <c r="A483" s="48"/>
      <c r="B483" s="48"/>
      <c r="J483" s="216"/>
    </row>
    <row r="484" spans="1:10" ht="14.25" customHeight="1">
      <c r="A484" s="48"/>
      <c r="B484" s="48"/>
      <c r="J484" s="216"/>
    </row>
    <row r="485" spans="1:10" ht="14.25" customHeight="1">
      <c r="A485" s="48"/>
      <c r="B485" s="48"/>
      <c r="J485" s="216"/>
    </row>
    <row r="486" spans="1:10" ht="14.25" customHeight="1">
      <c r="A486" s="48"/>
      <c r="B486" s="48"/>
      <c r="J486" s="216"/>
    </row>
    <row r="487" spans="1:10" ht="14.25" customHeight="1">
      <c r="A487" s="48"/>
      <c r="B487" s="48"/>
      <c r="J487" s="216"/>
    </row>
    <row r="488" spans="1:10" ht="14.25" customHeight="1">
      <c r="A488" s="48"/>
      <c r="B488" s="48"/>
      <c r="J488" s="216"/>
    </row>
    <row r="489" spans="1:10" ht="14.25" customHeight="1">
      <c r="A489" s="48"/>
      <c r="B489" s="48"/>
      <c r="J489" s="216"/>
    </row>
    <row r="490" spans="1:10" ht="14.25" customHeight="1">
      <c r="A490" s="48"/>
      <c r="B490" s="48"/>
      <c r="J490" s="216"/>
    </row>
    <row r="491" spans="1:10" ht="14.25" customHeight="1">
      <c r="A491" s="48"/>
      <c r="B491" s="48"/>
      <c r="J491" s="216"/>
    </row>
    <row r="492" spans="1:10" ht="14.25" customHeight="1">
      <c r="A492" s="48"/>
      <c r="B492" s="48"/>
      <c r="J492" s="216"/>
    </row>
    <row r="493" spans="1:10" ht="14.25" customHeight="1">
      <c r="A493" s="48"/>
      <c r="B493" s="48"/>
      <c r="J493" s="216"/>
    </row>
    <row r="494" spans="1:10" ht="14.25" customHeight="1">
      <c r="A494" s="48"/>
      <c r="B494" s="48"/>
      <c r="J494" s="216"/>
    </row>
    <row r="495" spans="1:10" ht="14.25" customHeight="1">
      <c r="A495" s="48"/>
      <c r="B495" s="48"/>
      <c r="J495" s="216"/>
    </row>
    <row r="496" spans="1:10" ht="14.25" customHeight="1">
      <c r="A496" s="48"/>
      <c r="B496" s="48"/>
      <c r="J496" s="216"/>
    </row>
    <row r="497" spans="1:10" ht="14.25" customHeight="1">
      <c r="A497" s="48"/>
      <c r="B497" s="48"/>
      <c r="J497" s="216"/>
    </row>
    <row r="498" spans="1:10" ht="14.25" customHeight="1">
      <c r="A498" s="48"/>
      <c r="B498" s="48"/>
      <c r="J498" s="216"/>
    </row>
    <row r="499" spans="1:10" ht="14.25" customHeight="1">
      <c r="A499" s="48"/>
      <c r="B499" s="48"/>
      <c r="J499" s="216"/>
    </row>
    <row r="500" spans="1:10" ht="14.25" customHeight="1">
      <c r="A500" s="48"/>
      <c r="B500" s="48"/>
      <c r="J500" s="216"/>
    </row>
    <row r="501" spans="1:10" ht="14.25" customHeight="1">
      <c r="A501" s="48"/>
      <c r="B501" s="48"/>
      <c r="J501" s="216"/>
    </row>
    <row r="502" spans="1:10" ht="14.25" customHeight="1">
      <c r="A502" s="48"/>
      <c r="B502" s="48"/>
      <c r="J502" s="216"/>
    </row>
    <row r="503" spans="1:10" ht="14.25" customHeight="1">
      <c r="A503" s="48"/>
      <c r="B503" s="48"/>
      <c r="J503" s="216"/>
    </row>
    <row r="504" spans="1:10" ht="14.25" customHeight="1">
      <c r="A504" s="48"/>
      <c r="B504" s="48"/>
      <c r="J504" s="216"/>
    </row>
    <row r="505" spans="1:10" ht="14.25" customHeight="1">
      <c r="A505" s="48"/>
      <c r="B505" s="48"/>
      <c r="J505" s="216"/>
    </row>
    <row r="506" spans="1:10" ht="14.25" customHeight="1">
      <c r="A506" s="48"/>
      <c r="B506" s="48"/>
      <c r="J506" s="216"/>
    </row>
    <row r="507" spans="1:10" ht="14.25" customHeight="1">
      <c r="A507" s="48"/>
      <c r="B507" s="48"/>
      <c r="J507" s="216"/>
    </row>
    <row r="508" spans="1:10" ht="14.25" customHeight="1">
      <c r="A508" s="48"/>
      <c r="B508" s="48"/>
      <c r="J508" s="216"/>
    </row>
    <row r="509" spans="1:10" ht="14.25" customHeight="1">
      <c r="A509" s="48"/>
      <c r="B509" s="48"/>
      <c r="J509" s="216"/>
    </row>
    <row r="510" spans="1:10" ht="14.25" customHeight="1">
      <c r="A510" s="48"/>
      <c r="B510" s="48"/>
      <c r="J510" s="216"/>
    </row>
    <row r="511" spans="1:10" ht="14.25" customHeight="1">
      <c r="A511" s="48"/>
      <c r="B511" s="48"/>
      <c r="J511" s="216"/>
    </row>
    <row r="512" spans="1:10" ht="14.25" customHeight="1">
      <c r="A512" s="48"/>
      <c r="B512" s="48"/>
      <c r="J512" s="216"/>
    </row>
    <row r="513" spans="1:10" ht="14.25" customHeight="1">
      <c r="A513" s="48"/>
      <c r="B513" s="48"/>
      <c r="J513" s="216"/>
    </row>
    <row r="514" spans="1:10" ht="14.25" customHeight="1">
      <c r="A514" s="48"/>
      <c r="B514" s="48"/>
      <c r="J514" s="216"/>
    </row>
    <row r="515" spans="1:10" ht="14.25" customHeight="1">
      <c r="A515" s="48"/>
      <c r="B515" s="48"/>
      <c r="J515" s="216"/>
    </row>
    <row r="516" spans="1:10" ht="14.25" customHeight="1">
      <c r="A516" s="48"/>
      <c r="B516" s="48"/>
      <c r="J516" s="216"/>
    </row>
    <row r="517" spans="1:10" ht="14.25" customHeight="1">
      <c r="A517" s="48"/>
      <c r="B517" s="48"/>
      <c r="J517" s="216"/>
    </row>
    <row r="518" spans="1:10" ht="14.25" customHeight="1">
      <c r="A518" s="48"/>
      <c r="B518" s="48"/>
      <c r="J518" s="216"/>
    </row>
    <row r="519" spans="1:10" ht="14.25" customHeight="1">
      <c r="A519" s="48"/>
      <c r="B519" s="48"/>
      <c r="J519" s="216"/>
    </row>
    <row r="520" spans="1:10" ht="14.25" customHeight="1">
      <c r="A520" s="48"/>
      <c r="B520" s="48"/>
      <c r="J520" s="216"/>
    </row>
    <row r="521" spans="1:10" ht="14.25" customHeight="1">
      <c r="A521" s="48"/>
      <c r="B521" s="48"/>
      <c r="J521" s="216"/>
    </row>
    <row r="522" spans="1:10" ht="14.25" customHeight="1">
      <c r="A522" s="48"/>
      <c r="B522" s="48"/>
      <c r="J522" s="216"/>
    </row>
    <row r="523" spans="1:10" ht="14.25" customHeight="1">
      <c r="A523" s="48"/>
      <c r="B523" s="48"/>
      <c r="J523" s="216"/>
    </row>
    <row r="524" spans="1:10" ht="14.25" customHeight="1">
      <c r="A524" s="48"/>
      <c r="B524" s="48"/>
      <c r="J524" s="216"/>
    </row>
    <row r="525" spans="1:10" ht="14.25" customHeight="1">
      <c r="A525" s="48"/>
      <c r="B525" s="48"/>
      <c r="J525" s="216"/>
    </row>
    <row r="526" spans="1:10" ht="14.25" customHeight="1">
      <c r="A526" s="48"/>
      <c r="B526" s="48"/>
      <c r="J526" s="216"/>
    </row>
    <row r="527" spans="1:10" ht="14.25" customHeight="1">
      <c r="A527" s="48"/>
      <c r="B527" s="48"/>
      <c r="J527" s="216"/>
    </row>
    <row r="528" spans="1:10" ht="14.25" customHeight="1">
      <c r="A528" s="48"/>
      <c r="B528" s="48"/>
      <c r="J528" s="216"/>
    </row>
    <row r="529" spans="1:10" ht="14.25" customHeight="1">
      <c r="A529" s="48"/>
      <c r="B529" s="48"/>
      <c r="J529" s="216"/>
    </row>
    <row r="530" spans="1:10" ht="14.25" customHeight="1">
      <c r="A530" s="48"/>
      <c r="B530" s="48"/>
      <c r="J530" s="216"/>
    </row>
    <row r="531" spans="1:10" ht="14.25" customHeight="1">
      <c r="A531" s="48"/>
      <c r="B531" s="48"/>
      <c r="J531" s="216"/>
    </row>
    <row r="532" spans="1:10" ht="14.25" customHeight="1">
      <c r="A532" s="48"/>
      <c r="B532" s="48"/>
      <c r="J532" s="216"/>
    </row>
    <row r="533" spans="1:10" ht="14.25" customHeight="1">
      <c r="A533" s="48"/>
      <c r="B533" s="48"/>
      <c r="J533" s="216"/>
    </row>
    <row r="534" spans="1:10" ht="14.25" customHeight="1">
      <c r="A534" s="48"/>
      <c r="B534" s="48"/>
      <c r="J534" s="216"/>
    </row>
    <row r="535" spans="1:10" ht="14.25" customHeight="1">
      <c r="A535" s="48"/>
      <c r="B535" s="48"/>
      <c r="J535" s="216"/>
    </row>
    <row r="536" spans="1:10" ht="14.25" customHeight="1">
      <c r="A536" s="48"/>
      <c r="B536" s="48"/>
      <c r="J536" s="216"/>
    </row>
    <row r="537" spans="1:10" ht="14.25" customHeight="1">
      <c r="A537" s="48"/>
      <c r="B537" s="48"/>
      <c r="J537" s="216"/>
    </row>
    <row r="538" spans="1:10" ht="14.25" customHeight="1">
      <c r="A538" s="48"/>
      <c r="B538" s="48"/>
      <c r="J538" s="216"/>
    </row>
    <row r="539" spans="1:10" ht="14.25" customHeight="1">
      <c r="A539" s="48"/>
      <c r="B539" s="48"/>
      <c r="J539" s="216"/>
    </row>
    <row r="540" spans="1:10" ht="14.25" customHeight="1">
      <c r="A540" s="48"/>
      <c r="B540" s="48"/>
      <c r="J540" s="216"/>
    </row>
    <row r="541" spans="1:10" ht="14.25" customHeight="1">
      <c r="A541" s="48"/>
      <c r="B541" s="48"/>
      <c r="J541" s="216"/>
    </row>
    <row r="542" spans="1:10" ht="14.25" customHeight="1">
      <c r="A542" s="48"/>
      <c r="B542" s="48"/>
      <c r="J542" s="216"/>
    </row>
    <row r="543" spans="1:10" ht="14.25" customHeight="1">
      <c r="A543" s="48"/>
      <c r="B543" s="48"/>
      <c r="J543" s="216"/>
    </row>
    <row r="544" spans="1:10" ht="14.25" customHeight="1">
      <c r="A544" s="48"/>
      <c r="B544" s="48"/>
      <c r="J544" s="216"/>
    </row>
    <row r="545" spans="1:10" ht="14.25" customHeight="1">
      <c r="A545" s="48"/>
      <c r="B545" s="48"/>
      <c r="J545" s="216"/>
    </row>
    <row r="546" spans="1:10" ht="14.25" customHeight="1">
      <c r="A546" s="48"/>
      <c r="B546" s="48"/>
      <c r="J546" s="216"/>
    </row>
    <row r="547" spans="1:10" ht="14.25" customHeight="1">
      <c r="A547" s="48"/>
      <c r="B547" s="48"/>
      <c r="J547" s="216"/>
    </row>
    <row r="548" spans="1:10" ht="14.25" customHeight="1">
      <c r="A548" s="48"/>
      <c r="B548" s="48"/>
      <c r="J548" s="216"/>
    </row>
    <row r="549" spans="1:10" ht="14.25" customHeight="1">
      <c r="A549" s="48"/>
      <c r="B549" s="48"/>
      <c r="J549" s="216"/>
    </row>
    <row r="550" spans="1:10" ht="14.25" customHeight="1">
      <c r="A550" s="48"/>
      <c r="B550" s="48"/>
      <c r="J550" s="216"/>
    </row>
    <row r="551" spans="1:10" ht="14.25" customHeight="1">
      <c r="A551" s="48"/>
      <c r="B551" s="48"/>
      <c r="J551" s="216"/>
    </row>
    <row r="552" spans="1:10" ht="14.25" customHeight="1">
      <c r="A552" s="48"/>
      <c r="B552" s="48"/>
      <c r="J552" s="216"/>
    </row>
    <row r="553" spans="1:10" ht="14.25" customHeight="1">
      <c r="A553" s="48"/>
      <c r="B553" s="48"/>
      <c r="J553" s="216"/>
    </row>
    <row r="554" spans="1:10" ht="14.25" customHeight="1">
      <c r="A554" s="48"/>
      <c r="B554" s="48"/>
      <c r="J554" s="216"/>
    </row>
    <row r="555" spans="1:10" ht="14.25" customHeight="1">
      <c r="A555" s="48"/>
      <c r="B555" s="48"/>
      <c r="J555" s="216"/>
    </row>
    <row r="556" spans="1:10" ht="14.25" customHeight="1">
      <c r="A556" s="48"/>
      <c r="B556" s="48"/>
      <c r="J556" s="216"/>
    </row>
    <row r="557" spans="1:10" ht="14.25" customHeight="1">
      <c r="A557" s="48"/>
      <c r="B557" s="48"/>
      <c r="J557" s="216"/>
    </row>
    <row r="558" spans="1:10" ht="14.25" customHeight="1">
      <c r="A558" s="48"/>
      <c r="B558" s="48"/>
      <c r="J558" s="216"/>
    </row>
    <row r="559" spans="1:10" ht="14.25" customHeight="1">
      <c r="A559" s="48"/>
      <c r="B559" s="48"/>
      <c r="J559" s="216"/>
    </row>
    <row r="560" spans="1:10" ht="14.25" customHeight="1">
      <c r="A560" s="48"/>
      <c r="B560" s="48"/>
      <c r="J560" s="216"/>
    </row>
    <row r="561" spans="1:10" ht="14.25" customHeight="1">
      <c r="A561" s="48"/>
      <c r="B561" s="48"/>
      <c r="J561" s="216"/>
    </row>
    <row r="562" spans="1:10" ht="14.25" customHeight="1">
      <c r="A562" s="48"/>
      <c r="B562" s="48"/>
      <c r="J562" s="216"/>
    </row>
    <row r="563" spans="1:10" ht="14.25" customHeight="1">
      <c r="A563" s="48"/>
      <c r="B563" s="48"/>
      <c r="J563" s="216"/>
    </row>
    <row r="564" spans="1:10" ht="14.25" customHeight="1">
      <c r="A564" s="48"/>
      <c r="B564" s="48"/>
      <c r="J564" s="216"/>
    </row>
    <row r="565" spans="1:10" ht="14.25" customHeight="1">
      <c r="A565" s="48"/>
      <c r="B565" s="48"/>
      <c r="J565" s="216"/>
    </row>
    <row r="566" spans="1:10" ht="14.25" customHeight="1">
      <c r="A566" s="48"/>
      <c r="B566" s="48"/>
      <c r="J566" s="216"/>
    </row>
    <row r="567" spans="1:10" ht="14.25" customHeight="1">
      <c r="A567" s="48"/>
      <c r="B567" s="48"/>
      <c r="J567" s="216"/>
    </row>
    <row r="568" spans="1:10" ht="14.25" customHeight="1">
      <c r="A568" s="48"/>
      <c r="B568" s="48"/>
      <c r="J568" s="216"/>
    </row>
    <row r="569" spans="1:10" ht="14.25" customHeight="1">
      <c r="A569" s="48"/>
      <c r="B569" s="48"/>
      <c r="J569" s="216"/>
    </row>
    <row r="570" spans="1:10" ht="14.25" customHeight="1">
      <c r="A570" s="48"/>
      <c r="B570" s="48"/>
      <c r="J570" s="216"/>
    </row>
    <row r="571" spans="1:10" ht="14.25" customHeight="1">
      <c r="A571" s="48"/>
      <c r="B571" s="48"/>
      <c r="J571" s="216"/>
    </row>
    <row r="572" spans="1:10" ht="14.25" customHeight="1">
      <c r="A572" s="48"/>
      <c r="B572" s="48"/>
      <c r="J572" s="216"/>
    </row>
    <row r="573" spans="1:10" ht="14.25" customHeight="1">
      <c r="A573" s="48"/>
      <c r="B573" s="48"/>
      <c r="J573" s="216"/>
    </row>
    <row r="574" spans="1:10" ht="14.25" customHeight="1">
      <c r="A574" s="48"/>
      <c r="B574" s="48"/>
      <c r="J574" s="216"/>
    </row>
    <row r="575" spans="1:10" ht="14.25" customHeight="1">
      <c r="A575" s="48"/>
      <c r="B575" s="48"/>
      <c r="J575" s="216"/>
    </row>
    <row r="576" spans="1:10" ht="14.25" customHeight="1">
      <c r="A576" s="48"/>
      <c r="B576" s="48"/>
      <c r="J576" s="216"/>
    </row>
    <row r="577" spans="1:10" ht="14.25" customHeight="1">
      <c r="A577" s="48"/>
      <c r="B577" s="48"/>
      <c r="J577" s="216"/>
    </row>
    <row r="578" spans="1:10" ht="14.25" customHeight="1">
      <c r="A578" s="48"/>
      <c r="B578" s="48"/>
      <c r="J578" s="216"/>
    </row>
    <row r="579" spans="1:10" ht="14.25" customHeight="1">
      <c r="A579" s="48"/>
      <c r="B579" s="48"/>
      <c r="J579" s="216"/>
    </row>
    <row r="580" spans="1:10" ht="14.25" customHeight="1">
      <c r="A580" s="48"/>
      <c r="B580" s="48"/>
      <c r="J580" s="216"/>
    </row>
    <row r="581" spans="1:10" ht="14.25" customHeight="1">
      <c r="A581" s="48"/>
      <c r="B581" s="48"/>
      <c r="J581" s="216"/>
    </row>
    <row r="582" spans="1:10" ht="14.25" customHeight="1">
      <c r="A582" s="48"/>
      <c r="B582" s="48"/>
      <c r="J582" s="216"/>
    </row>
    <row r="583" spans="1:10" ht="14.25" customHeight="1">
      <c r="A583" s="48"/>
      <c r="B583" s="48"/>
      <c r="J583" s="216"/>
    </row>
    <row r="584" spans="1:10" ht="14.25" customHeight="1">
      <c r="A584" s="48"/>
      <c r="B584" s="48"/>
      <c r="J584" s="216"/>
    </row>
    <row r="585" spans="1:10" ht="14.25" customHeight="1">
      <c r="A585" s="48"/>
      <c r="B585" s="48"/>
      <c r="J585" s="216"/>
    </row>
    <row r="586" spans="1:10" ht="14.25" customHeight="1">
      <c r="A586" s="48"/>
      <c r="B586" s="48"/>
      <c r="J586" s="216"/>
    </row>
    <row r="587" spans="1:10" ht="14.25" customHeight="1">
      <c r="A587" s="48"/>
      <c r="B587" s="48"/>
      <c r="J587" s="216"/>
    </row>
    <row r="588" spans="1:10" ht="14.25" customHeight="1">
      <c r="A588" s="48"/>
      <c r="B588" s="48"/>
      <c r="J588" s="216"/>
    </row>
    <row r="589" spans="1:10" ht="14.25" customHeight="1">
      <c r="A589" s="48"/>
      <c r="B589" s="48"/>
      <c r="J589" s="216"/>
    </row>
    <row r="590" spans="1:10" ht="14.25" customHeight="1">
      <c r="A590" s="48"/>
      <c r="B590" s="48"/>
      <c r="J590" s="216"/>
    </row>
    <row r="591" spans="1:10" ht="14.25" customHeight="1">
      <c r="A591" s="48"/>
      <c r="B591" s="48"/>
      <c r="J591" s="216"/>
    </row>
    <row r="592" spans="1:10" ht="14.25" customHeight="1">
      <c r="A592" s="48"/>
      <c r="B592" s="48"/>
      <c r="J592" s="216"/>
    </row>
    <row r="593" spans="1:10" ht="14.25" customHeight="1">
      <c r="A593" s="48"/>
      <c r="B593" s="48"/>
      <c r="J593" s="216"/>
    </row>
    <row r="594" spans="1:10" ht="14.25" customHeight="1">
      <c r="A594" s="48"/>
      <c r="B594" s="48"/>
      <c r="J594" s="216"/>
    </row>
    <row r="595" spans="1:10" ht="14.25" customHeight="1">
      <c r="A595" s="48"/>
      <c r="B595" s="48"/>
      <c r="J595" s="216"/>
    </row>
    <row r="596" spans="1:10" ht="14.25" customHeight="1">
      <c r="A596" s="48"/>
      <c r="B596" s="48"/>
      <c r="J596" s="216"/>
    </row>
    <row r="597" spans="1:10" ht="14.25" customHeight="1">
      <c r="A597" s="48"/>
      <c r="B597" s="48"/>
      <c r="J597" s="216"/>
    </row>
    <row r="598" spans="1:10" ht="14.25" customHeight="1">
      <c r="A598" s="48"/>
      <c r="B598" s="48"/>
      <c r="J598" s="216"/>
    </row>
    <row r="599" spans="1:10" ht="14.25" customHeight="1">
      <c r="A599" s="48"/>
      <c r="B599" s="48"/>
      <c r="J599" s="216"/>
    </row>
    <row r="600" spans="1:10" ht="14.25" customHeight="1">
      <c r="A600" s="48"/>
      <c r="B600" s="48"/>
      <c r="J600" s="216"/>
    </row>
    <row r="601" spans="1:10" ht="14.25" customHeight="1">
      <c r="A601" s="48"/>
      <c r="B601" s="48"/>
      <c r="J601" s="216"/>
    </row>
    <row r="602" spans="1:10" ht="14.25" customHeight="1">
      <c r="A602" s="48"/>
      <c r="B602" s="48"/>
      <c r="J602" s="216"/>
    </row>
    <row r="603" spans="1:10" ht="14.25" customHeight="1">
      <c r="A603" s="48"/>
      <c r="B603" s="48"/>
      <c r="J603" s="216"/>
    </row>
    <row r="604" spans="1:10" ht="14.25" customHeight="1">
      <c r="A604" s="48"/>
      <c r="B604" s="48"/>
      <c r="J604" s="216"/>
    </row>
    <row r="605" spans="1:10" ht="14.25" customHeight="1">
      <c r="A605" s="48"/>
      <c r="B605" s="48"/>
      <c r="J605" s="216"/>
    </row>
    <row r="606" spans="1:10" ht="14.25" customHeight="1">
      <c r="A606" s="48"/>
      <c r="B606" s="48"/>
      <c r="J606" s="216"/>
    </row>
    <row r="607" spans="1:10" ht="14.25" customHeight="1">
      <c r="A607" s="48"/>
      <c r="B607" s="48"/>
      <c r="J607" s="216"/>
    </row>
    <row r="608" spans="1:10" ht="14.25" customHeight="1">
      <c r="A608" s="48"/>
      <c r="B608" s="48"/>
      <c r="J608" s="216"/>
    </row>
    <row r="609" spans="1:10" ht="14.25" customHeight="1">
      <c r="A609" s="48"/>
      <c r="B609" s="48"/>
      <c r="J609" s="216"/>
    </row>
    <row r="610" spans="1:10" ht="14.25" customHeight="1">
      <c r="A610" s="48"/>
      <c r="B610" s="48"/>
      <c r="J610" s="216"/>
    </row>
    <row r="611" spans="1:10" ht="14.25" customHeight="1">
      <c r="A611" s="48"/>
      <c r="B611" s="48"/>
      <c r="J611" s="216"/>
    </row>
    <row r="612" spans="1:10" ht="14.25" customHeight="1">
      <c r="A612" s="48"/>
      <c r="B612" s="48"/>
      <c r="J612" s="216"/>
    </row>
    <row r="613" spans="1:10" ht="14.25" customHeight="1">
      <c r="A613" s="48"/>
      <c r="B613" s="48"/>
      <c r="J613" s="216"/>
    </row>
    <row r="614" spans="1:10" ht="14.25" customHeight="1">
      <c r="A614" s="48"/>
      <c r="B614" s="48"/>
      <c r="J614" s="216"/>
    </row>
    <row r="615" spans="1:10" ht="14.25" customHeight="1">
      <c r="A615" s="48"/>
      <c r="B615" s="48"/>
      <c r="J615" s="216"/>
    </row>
    <row r="616" spans="1:10" ht="14.25" customHeight="1">
      <c r="A616" s="48"/>
      <c r="B616" s="48"/>
      <c r="J616" s="216"/>
    </row>
    <row r="617" spans="1:10" ht="14.25" customHeight="1">
      <c r="A617" s="48"/>
      <c r="B617" s="48"/>
      <c r="J617" s="216"/>
    </row>
    <row r="618" spans="1:10" ht="14.25" customHeight="1">
      <c r="A618" s="48"/>
      <c r="B618" s="48"/>
      <c r="J618" s="216"/>
    </row>
    <row r="619" spans="1:10" ht="14.25" customHeight="1">
      <c r="A619" s="48"/>
      <c r="B619" s="48"/>
      <c r="J619" s="216"/>
    </row>
    <row r="620" spans="1:10" ht="14.25" customHeight="1">
      <c r="A620" s="48"/>
      <c r="B620" s="48"/>
      <c r="J620" s="216"/>
    </row>
    <row r="621" spans="1:10" ht="14.25" customHeight="1">
      <c r="A621" s="48"/>
      <c r="B621" s="48"/>
      <c r="J621" s="216"/>
    </row>
    <row r="622" spans="1:10" ht="14.25" customHeight="1">
      <c r="A622" s="48"/>
      <c r="B622" s="48"/>
      <c r="J622" s="216"/>
    </row>
    <row r="623" spans="1:10" ht="14.25" customHeight="1">
      <c r="A623" s="48"/>
      <c r="B623" s="48"/>
      <c r="J623" s="216"/>
    </row>
    <row r="624" spans="1:10" ht="14.25" customHeight="1">
      <c r="A624" s="48"/>
      <c r="B624" s="48"/>
      <c r="J624" s="216"/>
    </row>
    <row r="625" spans="1:10" ht="14.25" customHeight="1">
      <c r="A625" s="48"/>
      <c r="B625" s="48"/>
      <c r="J625" s="216"/>
    </row>
    <row r="626" spans="1:10" ht="14.25" customHeight="1">
      <c r="A626" s="48"/>
      <c r="B626" s="48"/>
      <c r="J626" s="216"/>
    </row>
    <row r="627" spans="1:10" ht="14.25" customHeight="1">
      <c r="A627" s="48"/>
      <c r="B627" s="48"/>
      <c r="J627" s="216"/>
    </row>
    <row r="628" spans="1:10" ht="14.25" customHeight="1">
      <c r="A628" s="48"/>
      <c r="B628" s="48"/>
      <c r="J628" s="216"/>
    </row>
    <row r="629" spans="1:10" ht="14.25" customHeight="1">
      <c r="A629" s="48"/>
      <c r="B629" s="48"/>
      <c r="J629" s="216"/>
    </row>
    <row r="630" spans="1:10" ht="14.25" customHeight="1">
      <c r="A630" s="48"/>
      <c r="B630" s="48"/>
      <c r="J630" s="216"/>
    </row>
    <row r="631" spans="1:10" ht="14.25" customHeight="1">
      <c r="A631" s="48"/>
      <c r="B631" s="48"/>
      <c r="J631" s="216"/>
    </row>
    <row r="632" spans="1:10" ht="14.25" customHeight="1">
      <c r="A632" s="48"/>
      <c r="B632" s="48"/>
      <c r="J632" s="216"/>
    </row>
    <row r="633" spans="1:10" ht="14.25" customHeight="1">
      <c r="A633" s="48"/>
      <c r="B633" s="48"/>
      <c r="J633" s="216"/>
    </row>
    <row r="634" spans="1:10" ht="14.25" customHeight="1">
      <c r="A634" s="48"/>
      <c r="B634" s="48"/>
      <c r="J634" s="216"/>
    </row>
    <row r="635" spans="1:10" ht="14.25" customHeight="1">
      <c r="A635" s="48"/>
      <c r="B635" s="48"/>
      <c r="J635" s="216"/>
    </row>
    <row r="636" spans="1:10" ht="14.25" customHeight="1">
      <c r="A636" s="48"/>
      <c r="B636" s="48"/>
      <c r="J636" s="216"/>
    </row>
    <row r="637" spans="1:10" ht="14.25" customHeight="1">
      <c r="A637" s="48"/>
      <c r="B637" s="48"/>
      <c r="J637" s="216"/>
    </row>
    <row r="638" spans="1:10" ht="14.25" customHeight="1">
      <c r="A638" s="48"/>
      <c r="B638" s="48"/>
      <c r="J638" s="216"/>
    </row>
    <row r="639" spans="1:10" ht="14.25" customHeight="1">
      <c r="A639" s="48"/>
      <c r="B639" s="48"/>
      <c r="J639" s="216"/>
    </row>
    <row r="640" spans="1:10" ht="14.25" customHeight="1">
      <c r="A640" s="48"/>
      <c r="B640" s="48"/>
      <c r="J640" s="216"/>
    </row>
    <row r="641" spans="1:10" ht="14.25" customHeight="1">
      <c r="A641" s="48"/>
      <c r="B641" s="48"/>
      <c r="J641" s="216"/>
    </row>
    <row r="642" spans="1:10" ht="14.25" customHeight="1">
      <c r="A642" s="48"/>
      <c r="B642" s="48"/>
      <c r="J642" s="216"/>
    </row>
    <row r="643" spans="1:10" ht="14.25" customHeight="1">
      <c r="A643" s="48"/>
      <c r="B643" s="48"/>
      <c r="J643" s="216"/>
    </row>
    <row r="644" spans="1:10" ht="14.25" customHeight="1">
      <c r="A644" s="48"/>
      <c r="B644" s="48"/>
      <c r="J644" s="216"/>
    </row>
    <row r="645" spans="1:10" ht="14.25" customHeight="1">
      <c r="A645" s="48"/>
      <c r="B645" s="48"/>
      <c r="J645" s="216"/>
    </row>
    <row r="646" spans="1:10" ht="14.25" customHeight="1">
      <c r="A646" s="48"/>
      <c r="B646" s="48"/>
      <c r="J646" s="216"/>
    </row>
    <row r="647" spans="1:10" ht="14.25" customHeight="1">
      <c r="A647" s="48"/>
      <c r="B647" s="48"/>
      <c r="J647" s="216"/>
    </row>
    <row r="648" spans="1:10" ht="14.25" customHeight="1">
      <c r="A648" s="48"/>
      <c r="B648" s="48"/>
      <c r="J648" s="216"/>
    </row>
    <row r="649" spans="1:10" ht="14.25" customHeight="1">
      <c r="A649" s="48"/>
      <c r="B649" s="48"/>
      <c r="J649" s="216"/>
    </row>
    <row r="650" spans="1:10" ht="14.25" customHeight="1">
      <c r="A650" s="48"/>
      <c r="B650" s="48"/>
      <c r="J650" s="216"/>
    </row>
    <row r="651" spans="1:10" ht="14.25" customHeight="1">
      <c r="A651" s="48"/>
      <c r="B651" s="48"/>
      <c r="J651" s="216"/>
    </row>
    <row r="652" spans="1:10" ht="14.25" customHeight="1">
      <c r="A652" s="48"/>
      <c r="B652" s="48"/>
      <c r="J652" s="216"/>
    </row>
    <row r="653" spans="1:10" ht="14.25" customHeight="1">
      <c r="A653" s="48"/>
      <c r="B653" s="48"/>
      <c r="J653" s="216"/>
    </row>
    <row r="654" spans="1:10" ht="14.25" customHeight="1">
      <c r="A654" s="48"/>
      <c r="B654" s="48"/>
      <c r="J654" s="216"/>
    </row>
    <row r="655" spans="1:10" ht="14.25" customHeight="1">
      <c r="A655" s="48"/>
      <c r="B655" s="48"/>
      <c r="J655" s="216"/>
    </row>
    <row r="656" spans="1:10" ht="14.25" customHeight="1">
      <c r="A656" s="48"/>
      <c r="B656" s="48"/>
      <c r="J656" s="216"/>
    </row>
    <row r="657" spans="1:10" ht="14.25" customHeight="1">
      <c r="A657" s="48"/>
      <c r="B657" s="48"/>
      <c r="J657" s="216"/>
    </row>
    <row r="658" spans="1:10" ht="14.25" customHeight="1">
      <c r="A658" s="48"/>
      <c r="B658" s="48"/>
      <c r="J658" s="216"/>
    </row>
    <row r="659" spans="1:10" ht="14.25" customHeight="1">
      <c r="A659" s="48"/>
      <c r="B659" s="48"/>
      <c r="J659" s="216"/>
    </row>
    <row r="660" spans="1:10" ht="14.25" customHeight="1">
      <c r="A660" s="48"/>
      <c r="B660" s="48"/>
      <c r="J660" s="216"/>
    </row>
    <row r="661" spans="1:10" ht="14.25" customHeight="1">
      <c r="A661" s="48"/>
      <c r="B661" s="48"/>
      <c r="J661" s="216"/>
    </row>
    <row r="662" spans="1:10" ht="14.25" customHeight="1">
      <c r="A662" s="48"/>
      <c r="B662" s="48"/>
      <c r="J662" s="216"/>
    </row>
    <row r="663" spans="1:10" ht="14.25" customHeight="1">
      <c r="A663" s="48"/>
      <c r="B663" s="48"/>
      <c r="J663" s="216"/>
    </row>
    <row r="664" spans="1:10" ht="14.25" customHeight="1">
      <c r="A664" s="48"/>
      <c r="B664" s="48"/>
      <c r="J664" s="216"/>
    </row>
    <row r="665" spans="1:10" ht="14.25" customHeight="1">
      <c r="A665" s="48"/>
      <c r="B665" s="48"/>
      <c r="J665" s="216"/>
    </row>
    <row r="666" spans="1:10" ht="14.25" customHeight="1">
      <c r="A666" s="48"/>
      <c r="B666" s="48"/>
      <c r="J666" s="216"/>
    </row>
    <row r="667" spans="1:10" ht="14.25" customHeight="1">
      <c r="A667" s="48"/>
      <c r="B667" s="48"/>
      <c r="J667" s="216"/>
    </row>
    <row r="668" spans="1:10" ht="14.25" customHeight="1">
      <c r="A668" s="48"/>
      <c r="B668" s="48"/>
      <c r="J668" s="216"/>
    </row>
    <row r="669" spans="1:10" ht="14.25" customHeight="1">
      <c r="A669" s="48"/>
      <c r="B669" s="48"/>
      <c r="J669" s="216"/>
    </row>
    <row r="670" spans="1:10" ht="14.25" customHeight="1">
      <c r="A670" s="48"/>
      <c r="B670" s="48"/>
      <c r="J670" s="216"/>
    </row>
    <row r="671" spans="1:10" ht="14.25" customHeight="1">
      <c r="A671" s="48"/>
      <c r="B671" s="48"/>
      <c r="J671" s="216"/>
    </row>
    <row r="672" spans="1:10" ht="14.25" customHeight="1">
      <c r="A672" s="48"/>
      <c r="B672" s="48"/>
      <c r="J672" s="216"/>
    </row>
    <row r="673" spans="1:10" ht="14.25" customHeight="1">
      <c r="A673" s="48"/>
      <c r="B673" s="48"/>
      <c r="J673" s="216"/>
    </row>
    <row r="674" spans="1:10" ht="14.25" customHeight="1">
      <c r="A674" s="48"/>
      <c r="B674" s="48"/>
      <c r="J674" s="216"/>
    </row>
    <row r="675" spans="1:10" ht="14.25" customHeight="1">
      <c r="A675" s="48"/>
      <c r="B675" s="48"/>
      <c r="J675" s="216"/>
    </row>
    <row r="676" spans="1:10" ht="14.25" customHeight="1">
      <c r="A676" s="48"/>
      <c r="B676" s="48"/>
      <c r="J676" s="216"/>
    </row>
    <row r="677" spans="1:10" ht="14.25" customHeight="1">
      <c r="A677" s="48"/>
      <c r="B677" s="48"/>
      <c r="J677" s="216"/>
    </row>
    <row r="678" spans="1:10" ht="14.25" customHeight="1">
      <c r="A678" s="48"/>
      <c r="B678" s="48"/>
      <c r="J678" s="216"/>
    </row>
    <row r="679" spans="1:10" ht="14.25" customHeight="1">
      <c r="A679" s="48"/>
      <c r="B679" s="48"/>
      <c r="J679" s="216"/>
    </row>
    <row r="680" spans="1:10" ht="14.25" customHeight="1">
      <c r="A680" s="48"/>
      <c r="B680" s="48"/>
      <c r="J680" s="216"/>
    </row>
    <row r="681" spans="1:10" ht="14.25" customHeight="1">
      <c r="A681" s="48"/>
      <c r="B681" s="48"/>
      <c r="J681" s="216"/>
    </row>
    <row r="682" spans="1:10" ht="14.25" customHeight="1">
      <c r="A682" s="48"/>
      <c r="B682" s="48"/>
      <c r="J682" s="216"/>
    </row>
    <row r="683" spans="1:10" ht="14.25" customHeight="1">
      <c r="A683" s="48"/>
      <c r="B683" s="48"/>
      <c r="J683" s="216"/>
    </row>
    <row r="684" spans="1:10" ht="14.25" customHeight="1">
      <c r="A684" s="48"/>
      <c r="B684" s="48"/>
      <c r="J684" s="216"/>
    </row>
    <row r="685" spans="1:10" ht="14.25" customHeight="1">
      <c r="A685" s="48"/>
      <c r="B685" s="48"/>
      <c r="J685" s="216"/>
    </row>
    <row r="686" spans="1:10" ht="14.25" customHeight="1">
      <c r="A686" s="48"/>
      <c r="B686" s="48"/>
      <c r="J686" s="216"/>
    </row>
    <row r="687" spans="1:10" ht="14.25" customHeight="1">
      <c r="A687" s="48"/>
      <c r="B687" s="48"/>
      <c r="J687" s="216"/>
    </row>
    <row r="688" spans="1:10" ht="14.25" customHeight="1">
      <c r="A688" s="48"/>
      <c r="B688" s="48"/>
      <c r="J688" s="216"/>
    </row>
    <row r="689" spans="1:10" ht="14.25" customHeight="1">
      <c r="A689" s="48"/>
      <c r="B689" s="48"/>
      <c r="J689" s="216"/>
    </row>
    <row r="690" spans="1:10" ht="14.25" customHeight="1">
      <c r="A690" s="48"/>
      <c r="B690" s="48"/>
      <c r="J690" s="216"/>
    </row>
    <row r="691" spans="1:10" ht="14.25" customHeight="1">
      <c r="A691" s="48"/>
      <c r="B691" s="48"/>
      <c r="J691" s="216"/>
    </row>
    <row r="692" spans="1:10" ht="14.25" customHeight="1">
      <c r="A692" s="48"/>
      <c r="B692" s="48"/>
      <c r="J692" s="216"/>
    </row>
    <row r="693" spans="1:10" ht="14.25" customHeight="1">
      <c r="A693" s="48"/>
      <c r="B693" s="48"/>
      <c r="J693" s="216"/>
    </row>
    <row r="694" spans="1:10" ht="14.25" customHeight="1">
      <c r="A694" s="48"/>
      <c r="B694" s="48"/>
      <c r="J694" s="216"/>
    </row>
    <row r="695" spans="1:10" ht="14.25" customHeight="1">
      <c r="A695" s="48"/>
      <c r="B695" s="48"/>
      <c r="J695" s="216"/>
    </row>
    <row r="696" spans="1:10" ht="14.25" customHeight="1">
      <c r="A696" s="48"/>
      <c r="B696" s="48"/>
      <c r="J696" s="216"/>
    </row>
    <row r="697" spans="1:10" ht="14.25" customHeight="1">
      <c r="A697" s="48"/>
      <c r="B697" s="48"/>
      <c r="J697" s="216"/>
    </row>
    <row r="698" spans="1:10" ht="14.25" customHeight="1">
      <c r="A698" s="48"/>
      <c r="B698" s="48"/>
      <c r="J698" s="216"/>
    </row>
    <row r="699" spans="1:10" ht="14.25" customHeight="1">
      <c r="A699" s="48"/>
      <c r="B699" s="48"/>
      <c r="J699" s="216"/>
    </row>
    <row r="700" spans="1:10" ht="14.25" customHeight="1">
      <c r="A700" s="48"/>
      <c r="B700" s="48"/>
      <c r="J700" s="216"/>
    </row>
    <row r="701" spans="1:10" ht="14.25" customHeight="1">
      <c r="A701" s="48"/>
      <c r="B701" s="48"/>
      <c r="J701" s="216"/>
    </row>
    <row r="702" spans="1:10" ht="14.25" customHeight="1">
      <c r="A702" s="48"/>
      <c r="B702" s="48"/>
      <c r="J702" s="216"/>
    </row>
    <row r="703" spans="1:10" ht="14.25" customHeight="1">
      <c r="A703" s="48"/>
      <c r="B703" s="48"/>
      <c r="J703" s="216"/>
    </row>
    <row r="704" spans="1:10" ht="14.25" customHeight="1">
      <c r="A704" s="48"/>
      <c r="B704" s="48"/>
      <c r="J704" s="216"/>
    </row>
    <row r="705" spans="1:10" ht="14.25" customHeight="1">
      <c r="A705" s="48"/>
      <c r="B705" s="48"/>
      <c r="J705" s="216"/>
    </row>
    <row r="706" spans="1:10" ht="14.25" customHeight="1">
      <c r="A706" s="48"/>
      <c r="B706" s="48"/>
      <c r="J706" s="216"/>
    </row>
    <row r="707" spans="1:10" ht="14.25" customHeight="1">
      <c r="A707" s="48"/>
      <c r="B707" s="48"/>
      <c r="J707" s="216"/>
    </row>
    <row r="708" spans="1:10" ht="14.25" customHeight="1">
      <c r="A708" s="48"/>
      <c r="B708" s="48"/>
      <c r="J708" s="216"/>
    </row>
    <row r="709" spans="1:10" ht="14.25" customHeight="1">
      <c r="A709" s="48"/>
      <c r="B709" s="48"/>
      <c r="J709" s="216"/>
    </row>
    <row r="710" spans="1:10" ht="14.25" customHeight="1">
      <c r="A710" s="48"/>
      <c r="B710" s="48"/>
      <c r="J710" s="216"/>
    </row>
    <row r="711" spans="1:10" ht="14.25" customHeight="1">
      <c r="A711" s="48"/>
      <c r="B711" s="48"/>
      <c r="J711" s="216"/>
    </row>
    <row r="712" spans="1:10" ht="14.25" customHeight="1">
      <c r="A712" s="48"/>
      <c r="B712" s="48"/>
      <c r="J712" s="216"/>
    </row>
    <row r="713" spans="1:10" ht="14.25" customHeight="1">
      <c r="A713" s="48"/>
      <c r="B713" s="48"/>
      <c r="J713" s="216"/>
    </row>
    <row r="714" spans="1:10" ht="14.25" customHeight="1">
      <c r="A714" s="48"/>
      <c r="B714" s="48"/>
      <c r="J714" s="216"/>
    </row>
    <row r="715" spans="1:10" ht="14.25" customHeight="1">
      <c r="A715" s="48"/>
      <c r="B715" s="48"/>
      <c r="J715" s="216"/>
    </row>
    <row r="716" spans="1:10" ht="14.25" customHeight="1">
      <c r="A716" s="48"/>
      <c r="B716" s="48"/>
      <c r="J716" s="216"/>
    </row>
    <row r="717" spans="1:10" ht="14.25" customHeight="1">
      <c r="A717" s="48"/>
      <c r="B717" s="48"/>
      <c r="J717" s="216"/>
    </row>
    <row r="718" spans="1:10" ht="14.25" customHeight="1">
      <c r="A718" s="48"/>
      <c r="B718" s="48"/>
      <c r="J718" s="216"/>
    </row>
    <row r="719" spans="1:10" ht="14.25" customHeight="1">
      <c r="A719" s="48"/>
      <c r="B719" s="48"/>
      <c r="J719" s="216"/>
    </row>
    <row r="720" spans="1:10" ht="14.25" customHeight="1">
      <c r="A720" s="48"/>
      <c r="B720" s="48"/>
      <c r="J720" s="216"/>
    </row>
    <row r="721" spans="1:10" ht="14.25" customHeight="1">
      <c r="A721" s="48"/>
      <c r="B721" s="48"/>
      <c r="J721" s="216"/>
    </row>
    <row r="722" spans="1:10" ht="14.25" customHeight="1">
      <c r="A722" s="48"/>
      <c r="B722" s="48"/>
      <c r="J722" s="216"/>
    </row>
    <row r="723" spans="1:10" ht="14.25" customHeight="1">
      <c r="A723" s="48"/>
      <c r="B723" s="48"/>
      <c r="J723" s="216"/>
    </row>
    <row r="724" spans="1:10" ht="14.25" customHeight="1">
      <c r="A724" s="48"/>
      <c r="B724" s="48"/>
      <c r="J724" s="216"/>
    </row>
    <row r="725" spans="1:10" ht="14.25" customHeight="1">
      <c r="A725" s="48"/>
      <c r="B725" s="48"/>
      <c r="J725" s="216"/>
    </row>
    <row r="726" spans="1:10" ht="14.25" customHeight="1">
      <c r="A726" s="48"/>
      <c r="B726" s="48"/>
      <c r="J726" s="216"/>
    </row>
    <row r="727" spans="1:10" ht="14.25" customHeight="1">
      <c r="A727" s="48"/>
      <c r="B727" s="48"/>
      <c r="J727" s="216"/>
    </row>
    <row r="728" spans="1:10" ht="14.25" customHeight="1">
      <c r="A728" s="48"/>
      <c r="B728" s="48"/>
      <c r="J728" s="216"/>
    </row>
    <row r="729" spans="1:10" ht="14.25" customHeight="1">
      <c r="A729" s="48"/>
      <c r="B729" s="48"/>
      <c r="J729" s="216"/>
    </row>
    <row r="730" spans="1:10" ht="14.25" customHeight="1">
      <c r="A730" s="48"/>
      <c r="B730" s="48"/>
      <c r="J730" s="216"/>
    </row>
    <row r="731" spans="1:10" ht="14.25" customHeight="1">
      <c r="A731" s="48"/>
      <c r="B731" s="48"/>
      <c r="J731" s="216"/>
    </row>
    <row r="732" spans="1:10" ht="14.25" customHeight="1">
      <c r="A732" s="48"/>
      <c r="B732" s="48"/>
      <c r="J732" s="216"/>
    </row>
    <row r="733" spans="1:10" ht="14.25" customHeight="1">
      <c r="A733" s="48"/>
      <c r="B733" s="48"/>
      <c r="J733" s="216"/>
    </row>
    <row r="734" spans="1:10" ht="14.25" customHeight="1">
      <c r="A734" s="48"/>
      <c r="B734" s="48"/>
      <c r="J734" s="216"/>
    </row>
    <row r="735" spans="1:10" ht="14.25" customHeight="1">
      <c r="A735" s="48"/>
      <c r="B735" s="48"/>
      <c r="J735" s="216"/>
    </row>
    <row r="736" spans="1:10" ht="14.25" customHeight="1">
      <c r="A736" s="48"/>
      <c r="B736" s="48"/>
      <c r="J736" s="216"/>
    </row>
    <row r="737" spans="1:10" ht="14.25" customHeight="1">
      <c r="A737" s="48"/>
      <c r="B737" s="48"/>
      <c r="J737" s="216"/>
    </row>
    <row r="738" spans="1:10" ht="14.25" customHeight="1">
      <c r="A738" s="48"/>
      <c r="B738" s="48"/>
      <c r="J738" s="216"/>
    </row>
    <row r="739" spans="1:10" ht="14.25" customHeight="1">
      <c r="A739" s="48"/>
      <c r="B739" s="48"/>
      <c r="J739" s="216"/>
    </row>
    <row r="740" spans="1:10" ht="14.25" customHeight="1">
      <c r="A740" s="48"/>
      <c r="B740" s="48"/>
      <c r="J740" s="216"/>
    </row>
    <row r="741" spans="1:10" ht="14.25" customHeight="1">
      <c r="A741" s="48"/>
      <c r="B741" s="48"/>
      <c r="J741" s="216"/>
    </row>
    <row r="742" spans="1:10" ht="14.25" customHeight="1">
      <c r="A742" s="48"/>
      <c r="B742" s="48"/>
      <c r="J742" s="216"/>
    </row>
    <row r="743" spans="1:10" ht="14.25" customHeight="1">
      <c r="A743" s="48"/>
      <c r="B743" s="48"/>
      <c r="J743" s="216"/>
    </row>
    <row r="744" spans="1:10" ht="14.25" customHeight="1">
      <c r="A744" s="48"/>
      <c r="B744" s="48"/>
      <c r="J744" s="216"/>
    </row>
    <row r="745" spans="1:10" ht="14.25" customHeight="1">
      <c r="A745" s="48"/>
      <c r="B745" s="48"/>
      <c r="J745" s="216"/>
    </row>
    <row r="746" spans="1:10" ht="14.25" customHeight="1">
      <c r="A746" s="48"/>
      <c r="B746" s="48"/>
      <c r="J746" s="216"/>
    </row>
    <row r="747" spans="1:10" ht="14.25" customHeight="1">
      <c r="A747" s="48"/>
      <c r="B747" s="48"/>
      <c r="J747" s="216"/>
    </row>
    <row r="748" spans="1:10" ht="14.25" customHeight="1">
      <c r="A748" s="48"/>
      <c r="B748" s="48"/>
      <c r="J748" s="216"/>
    </row>
    <row r="749" spans="1:10" ht="14.25" customHeight="1">
      <c r="A749" s="48"/>
      <c r="B749" s="48"/>
      <c r="J749" s="216"/>
    </row>
    <row r="750" spans="1:10" ht="14.25" customHeight="1">
      <c r="A750" s="48"/>
      <c r="B750" s="48"/>
      <c r="J750" s="216"/>
    </row>
    <row r="751" spans="1:10" ht="14.25" customHeight="1">
      <c r="A751" s="48"/>
      <c r="B751" s="48"/>
      <c r="J751" s="216"/>
    </row>
    <row r="752" spans="1:10" ht="14.25" customHeight="1">
      <c r="A752" s="48"/>
      <c r="B752" s="48"/>
      <c r="J752" s="216"/>
    </row>
    <row r="753" spans="1:10" ht="14.25" customHeight="1">
      <c r="A753" s="48"/>
      <c r="B753" s="48"/>
      <c r="J753" s="216"/>
    </row>
    <row r="754" spans="1:10" ht="14.25" customHeight="1">
      <c r="A754" s="48"/>
      <c r="B754" s="48"/>
      <c r="J754" s="216"/>
    </row>
    <row r="755" spans="1:10" ht="14.25" customHeight="1">
      <c r="A755" s="48"/>
      <c r="B755" s="48"/>
      <c r="J755" s="216"/>
    </row>
    <row r="756" spans="1:10" ht="14.25" customHeight="1">
      <c r="A756" s="48"/>
      <c r="B756" s="48"/>
      <c r="J756" s="216"/>
    </row>
    <row r="757" spans="1:10" ht="14.25" customHeight="1">
      <c r="A757" s="48"/>
      <c r="B757" s="48"/>
      <c r="J757" s="216"/>
    </row>
    <row r="758" spans="1:10" ht="14.25" customHeight="1">
      <c r="A758" s="48"/>
      <c r="B758" s="48"/>
      <c r="J758" s="216"/>
    </row>
    <row r="759" spans="1:10" ht="14.25" customHeight="1">
      <c r="A759" s="48"/>
      <c r="B759" s="48"/>
      <c r="J759" s="216"/>
    </row>
    <row r="760" spans="1:10" ht="14.25" customHeight="1">
      <c r="A760" s="48"/>
      <c r="B760" s="48"/>
      <c r="J760" s="216"/>
    </row>
    <row r="761" spans="1:10" ht="14.25" customHeight="1">
      <c r="A761" s="48"/>
      <c r="B761" s="48"/>
      <c r="J761" s="216"/>
    </row>
    <row r="762" spans="1:10" ht="14.25" customHeight="1">
      <c r="A762" s="48"/>
      <c r="B762" s="48"/>
      <c r="J762" s="216"/>
    </row>
    <row r="763" spans="1:10" ht="14.25" customHeight="1">
      <c r="A763" s="48"/>
      <c r="B763" s="48"/>
      <c r="J763" s="216"/>
    </row>
    <row r="764" spans="1:10" ht="14.25" customHeight="1">
      <c r="A764" s="48"/>
      <c r="B764" s="48"/>
      <c r="J764" s="216"/>
    </row>
    <row r="765" spans="1:10" ht="14.25" customHeight="1">
      <c r="A765" s="48"/>
      <c r="B765" s="48"/>
      <c r="J765" s="216"/>
    </row>
    <row r="766" spans="1:10" ht="14.25" customHeight="1">
      <c r="A766" s="48"/>
      <c r="B766" s="48"/>
      <c r="J766" s="216"/>
    </row>
    <row r="767" spans="1:10" ht="14.25" customHeight="1">
      <c r="A767" s="48"/>
      <c r="B767" s="48"/>
      <c r="J767" s="216"/>
    </row>
    <row r="768" spans="1:10" ht="14.25" customHeight="1">
      <c r="A768" s="48"/>
      <c r="B768" s="48"/>
      <c r="J768" s="216"/>
    </row>
    <row r="769" spans="1:10" ht="14.25" customHeight="1">
      <c r="A769" s="48"/>
      <c r="B769" s="48"/>
      <c r="J769" s="216"/>
    </row>
    <row r="770" spans="1:10" ht="14.25" customHeight="1">
      <c r="A770" s="48"/>
      <c r="B770" s="48"/>
      <c r="J770" s="216"/>
    </row>
    <row r="771" spans="1:10" ht="14.25" customHeight="1">
      <c r="A771" s="48"/>
      <c r="B771" s="48"/>
      <c r="J771" s="216"/>
    </row>
    <row r="772" spans="1:10" ht="14.25" customHeight="1">
      <c r="A772" s="48"/>
      <c r="B772" s="48"/>
      <c r="J772" s="216"/>
    </row>
    <row r="773" spans="1:10" ht="14.25" customHeight="1">
      <c r="A773" s="48"/>
      <c r="B773" s="48"/>
      <c r="J773" s="216"/>
    </row>
    <row r="774" spans="1:10" ht="14.25" customHeight="1">
      <c r="A774" s="48"/>
      <c r="B774" s="48"/>
      <c r="J774" s="216"/>
    </row>
    <row r="775" spans="1:10" ht="14.25" customHeight="1">
      <c r="A775" s="48"/>
      <c r="B775" s="48"/>
      <c r="J775" s="216"/>
    </row>
    <row r="776" spans="1:10" ht="14.25" customHeight="1">
      <c r="A776" s="48"/>
      <c r="B776" s="48"/>
      <c r="J776" s="216"/>
    </row>
    <row r="777" spans="1:10" ht="14.25" customHeight="1">
      <c r="A777" s="48"/>
      <c r="B777" s="48"/>
      <c r="J777" s="216"/>
    </row>
    <row r="778" spans="1:10" ht="14.25" customHeight="1">
      <c r="A778" s="48"/>
      <c r="B778" s="48"/>
      <c r="J778" s="216"/>
    </row>
    <row r="779" spans="1:10" ht="14.25" customHeight="1">
      <c r="A779" s="48"/>
      <c r="B779" s="48"/>
      <c r="J779" s="216"/>
    </row>
    <row r="780" spans="1:10" ht="14.25" customHeight="1">
      <c r="A780" s="48"/>
      <c r="B780" s="48"/>
      <c r="J780" s="216"/>
    </row>
    <row r="781" spans="1:10" ht="14.25" customHeight="1">
      <c r="A781" s="48"/>
      <c r="B781" s="48"/>
      <c r="J781" s="216"/>
    </row>
    <row r="782" spans="1:10" ht="14.25" customHeight="1">
      <c r="A782" s="48"/>
      <c r="B782" s="48"/>
      <c r="J782" s="216"/>
    </row>
    <row r="783" spans="1:10" ht="14.25" customHeight="1">
      <c r="A783" s="48"/>
      <c r="B783" s="48"/>
      <c r="J783" s="216"/>
    </row>
    <row r="784" spans="1:10" ht="14.25" customHeight="1">
      <c r="A784" s="48"/>
      <c r="B784" s="48"/>
      <c r="J784" s="216"/>
    </row>
    <row r="785" spans="1:10" ht="14.25" customHeight="1">
      <c r="A785" s="48"/>
      <c r="B785" s="48"/>
      <c r="J785" s="216"/>
    </row>
    <row r="786" spans="1:10" ht="14.25" customHeight="1">
      <c r="A786" s="48"/>
      <c r="B786" s="48"/>
      <c r="J786" s="216"/>
    </row>
    <row r="787" spans="1:10" ht="14.25" customHeight="1">
      <c r="A787" s="48"/>
      <c r="B787" s="48"/>
      <c r="J787" s="216"/>
    </row>
    <row r="788" spans="1:10" ht="14.25" customHeight="1">
      <c r="A788" s="48"/>
      <c r="B788" s="48"/>
      <c r="J788" s="216"/>
    </row>
    <row r="789" spans="1:10" ht="14.25" customHeight="1">
      <c r="A789" s="48"/>
      <c r="B789" s="48"/>
      <c r="J789" s="216"/>
    </row>
    <row r="790" spans="1:10" ht="14.25" customHeight="1">
      <c r="A790" s="48"/>
      <c r="B790" s="48"/>
      <c r="J790" s="216"/>
    </row>
    <row r="791" spans="1:10" ht="14.25" customHeight="1">
      <c r="A791" s="48"/>
      <c r="B791" s="48"/>
      <c r="J791" s="216"/>
    </row>
    <row r="792" spans="1:10" ht="14.25" customHeight="1">
      <c r="A792" s="48"/>
      <c r="B792" s="48"/>
      <c r="J792" s="216"/>
    </row>
    <row r="793" spans="1:10" ht="14.25" customHeight="1">
      <c r="A793" s="48"/>
      <c r="B793" s="48"/>
      <c r="J793" s="216"/>
    </row>
    <row r="794" spans="1:10" ht="14.25" customHeight="1">
      <c r="A794" s="48"/>
      <c r="B794" s="48"/>
      <c r="J794" s="216"/>
    </row>
    <row r="795" spans="1:10" ht="14.25" customHeight="1">
      <c r="A795" s="48"/>
      <c r="B795" s="48"/>
      <c r="J795" s="216"/>
    </row>
    <row r="796" spans="1:10" ht="14.25" customHeight="1">
      <c r="A796" s="48"/>
      <c r="B796" s="48"/>
      <c r="J796" s="216"/>
    </row>
    <row r="797" spans="1:10" ht="14.25" customHeight="1">
      <c r="A797" s="48"/>
      <c r="B797" s="48"/>
      <c r="J797" s="216"/>
    </row>
    <row r="798" spans="1:10" ht="14.25" customHeight="1">
      <c r="A798" s="48"/>
      <c r="B798" s="48"/>
      <c r="J798" s="216"/>
    </row>
    <row r="799" spans="1:10" ht="14.25" customHeight="1">
      <c r="A799" s="48"/>
      <c r="B799" s="48"/>
      <c r="J799" s="216"/>
    </row>
    <row r="800" spans="1:10" ht="14.25" customHeight="1">
      <c r="A800" s="48"/>
      <c r="B800" s="48"/>
      <c r="J800" s="216"/>
    </row>
    <row r="801" spans="1:10" ht="14.25" customHeight="1">
      <c r="A801" s="48"/>
      <c r="B801" s="48"/>
      <c r="J801" s="216"/>
    </row>
    <row r="802" spans="1:10" ht="14.25" customHeight="1">
      <c r="A802" s="48"/>
      <c r="B802" s="48"/>
      <c r="J802" s="216"/>
    </row>
    <row r="803" spans="1:10" ht="14.25" customHeight="1">
      <c r="A803" s="48"/>
      <c r="B803" s="48"/>
      <c r="J803" s="216"/>
    </row>
    <row r="804" spans="1:10" ht="14.25" customHeight="1">
      <c r="A804" s="48"/>
      <c r="B804" s="48"/>
      <c r="J804" s="216"/>
    </row>
    <row r="805" spans="1:10" ht="14.25" customHeight="1">
      <c r="A805" s="48"/>
      <c r="B805" s="48"/>
      <c r="J805" s="216"/>
    </row>
    <row r="806" spans="1:10" ht="14.25" customHeight="1">
      <c r="A806" s="48"/>
      <c r="B806" s="48"/>
      <c r="J806" s="216"/>
    </row>
    <row r="807" spans="1:10" ht="14.25" customHeight="1">
      <c r="A807" s="48"/>
      <c r="B807" s="48"/>
      <c r="J807" s="216"/>
    </row>
    <row r="808" spans="1:10" ht="14.25" customHeight="1">
      <c r="A808" s="48"/>
      <c r="B808" s="48"/>
      <c r="J808" s="216"/>
    </row>
    <row r="809" spans="1:10" ht="14.25" customHeight="1">
      <c r="A809" s="48"/>
      <c r="B809" s="48"/>
      <c r="J809" s="216"/>
    </row>
    <row r="810" spans="1:10" ht="14.25" customHeight="1">
      <c r="A810" s="48"/>
      <c r="B810" s="48"/>
      <c r="J810" s="216"/>
    </row>
    <row r="811" spans="1:10" ht="14.25" customHeight="1">
      <c r="A811" s="48"/>
      <c r="B811" s="48"/>
      <c r="J811" s="216"/>
    </row>
    <row r="812" spans="1:10" ht="14.25" customHeight="1">
      <c r="A812" s="48"/>
      <c r="B812" s="48"/>
      <c r="J812" s="216"/>
    </row>
    <row r="813" spans="1:10" ht="14.25" customHeight="1">
      <c r="A813" s="48"/>
      <c r="B813" s="48"/>
      <c r="J813" s="216"/>
    </row>
    <row r="814" spans="1:10" ht="14.25" customHeight="1">
      <c r="A814" s="48"/>
      <c r="B814" s="48"/>
      <c r="J814" s="216"/>
    </row>
    <row r="815" spans="1:10" ht="14.25" customHeight="1">
      <c r="A815" s="48"/>
      <c r="B815" s="48"/>
      <c r="J815" s="216"/>
    </row>
    <row r="816" spans="1:10" ht="14.25" customHeight="1">
      <c r="A816" s="48"/>
      <c r="B816" s="48"/>
      <c r="J816" s="216"/>
    </row>
    <row r="817" spans="1:10" ht="14.25" customHeight="1">
      <c r="A817" s="48"/>
      <c r="B817" s="48"/>
      <c r="J817" s="216"/>
    </row>
    <row r="818" spans="1:10" ht="14.25" customHeight="1">
      <c r="A818" s="48"/>
      <c r="B818" s="48"/>
      <c r="J818" s="216"/>
    </row>
    <row r="819" spans="1:10" ht="14.25" customHeight="1">
      <c r="A819" s="48"/>
      <c r="B819" s="48"/>
      <c r="J819" s="216"/>
    </row>
    <row r="820" spans="1:10" ht="14.25" customHeight="1">
      <c r="A820" s="48"/>
      <c r="B820" s="48"/>
      <c r="J820" s="216"/>
    </row>
    <row r="821" spans="1:10" ht="14.25" customHeight="1">
      <c r="A821" s="48"/>
      <c r="B821" s="48"/>
      <c r="J821" s="216"/>
    </row>
    <row r="822" spans="1:10" ht="14.25" customHeight="1">
      <c r="A822" s="48"/>
      <c r="B822" s="48"/>
      <c r="J822" s="216"/>
    </row>
    <row r="823" spans="1:10" ht="14.25" customHeight="1">
      <c r="A823" s="48"/>
      <c r="B823" s="48"/>
      <c r="J823" s="216"/>
    </row>
    <row r="824" spans="1:10" ht="14.25" customHeight="1">
      <c r="A824" s="48"/>
      <c r="B824" s="48"/>
      <c r="J824" s="216"/>
    </row>
    <row r="825" spans="1:10" ht="14.25" customHeight="1">
      <c r="A825" s="48"/>
      <c r="B825" s="48"/>
      <c r="J825" s="216"/>
    </row>
    <row r="826" spans="1:10" ht="14.25" customHeight="1">
      <c r="A826" s="48"/>
      <c r="B826" s="48"/>
      <c r="J826" s="216"/>
    </row>
    <row r="827" spans="1:10" ht="14.25" customHeight="1">
      <c r="A827" s="48"/>
      <c r="B827" s="48"/>
      <c r="J827" s="216"/>
    </row>
    <row r="828" spans="1:10" ht="14.25" customHeight="1">
      <c r="A828" s="48"/>
      <c r="B828" s="48"/>
      <c r="J828" s="216"/>
    </row>
    <row r="829" spans="1:10" ht="14.25" customHeight="1">
      <c r="A829" s="48"/>
      <c r="B829" s="48"/>
      <c r="J829" s="216"/>
    </row>
    <row r="830" spans="1:10" ht="14.25" customHeight="1">
      <c r="A830" s="48"/>
      <c r="B830" s="48"/>
      <c r="J830" s="216"/>
    </row>
    <row r="831" spans="1:10" ht="14.25" customHeight="1">
      <c r="A831" s="48"/>
      <c r="B831" s="48"/>
      <c r="J831" s="216"/>
    </row>
    <row r="832" spans="1:10" ht="14.25" customHeight="1">
      <c r="A832" s="48"/>
      <c r="B832" s="48"/>
      <c r="J832" s="216"/>
    </row>
    <row r="833" spans="1:10" ht="14.25" customHeight="1">
      <c r="A833" s="48"/>
      <c r="B833" s="48"/>
      <c r="J833" s="216"/>
    </row>
    <row r="834" spans="1:10" ht="14.25" customHeight="1">
      <c r="A834" s="48"/>
      <c r="B834" s="48"/>
      <c r="J834" s="216"/>
    </row>
    <row r="835" spans="1:10" ht="14.25" customHeight="1">
      <c r="A835" s="48"/>
      <c r="B835" s="48"/>
      <c r="J835" s="216"/>
    </row>
    <row r="836" spans="1:10" ht="14.25" customHeight="1">
      <c r="A836" s="48"/>
      <c r="B836" s="48"/>
      <c r="J836" s="216"/>
    </row>
    <row r="837" spans="1:10" ht="14.25" customHeight="1">
      <c r="A837" s="48"/>
      <c r="B837" s="48"/>
      <c r="J837" s="216"/>
    </row>
    <row r="838" spans="1:10" ht="14.25" customHeight="1">
      <c r="A838" s="48"/>
      <c r="B838" s="48"/>
      <c r="J838" s="216"/>
    </row>
    <row r="839" spans="1:10" ht="14.25" customHeight="1">
      <c r="A839" s="48"/>
      <c r="B839" s="48"/>
      <c r="J839" s="216"/>
    </row>
    <row r="840" spans="1:10" ht="14.25" customHeight="1">
      <c r="A840" s="48"/>
      <c r="B840" s="48"/>
      <c r="J840" s="216"/>
    </row>
    <row r="841" spans="1:10" ht="14.25" customHeight="1">
      <c r="A841" s="48"/>
      <c r="B841" s="48"/>
      <c r="J841" s="216"/>
    </row>
    <row r="842" spans="1:10" ht="14.25" customHeight="1">
      <c r="A842" s="48"/>
      <c r="B842" s="48"/>
      <c r="J842" s="216"/>
    </row>
    <row r="843" spans="1:10" ht="14.25" customHeight="1">
      <c r="A843" s="48"/>
      <c r="B843" s="48"/>
      <c r="J843" s="216"/>
    </row>
    <row r="844" spans="1:10" ht="14.25" customHeight="1">
      <c r="A844" s="48"/>
      <c r="B844" s="48"/>
      <c r="J844" s="216"/>
    </row>
    <row r="845" spans="1:10" ht="14.25" customHeight="1">
      <c r="A845" s="48"/>
      <c r="B845" s="48"/>
      <c r="J845" s="216"/>
    </row>
    <row r="846" spans="1:10" ht="14.25" customHeight="1">
      <c r="A846" s="48"/>
      <c r="B846" s="48"/>
      <c r="J846" s="216"/>
    </row>
    <row r="847" spans="1:10" ht="14.25" customHeight="1">
      <c r="A847" s="48"/>
      <c r="B847" s="48"/>
      <c r="J847" s="216"/>
    </row>
    <row r="848" spans="1:10" ht="14.25" customHeight="1">
      <c r="A848" s="48"/>
      <c r="B848" s="48"/>
      <c r="J848" s="216"/>
    </row>
    <row r="849" spans="1:10" ht="14.25" customHeight="1">
      <c r="A849" s="48"/>
      <c r="B849" s="48"/>
      <c r="J849" s="216"/>
    </row>
    <row r="850" spans="1:10" ht="14.25" customHeight="1">
      <c r="A850" s="48"/>
      <c r="B850" s="48"/>
      <c r="J850" s="216"/>
    </row>
    <row r="851" spans="1:10" ht="14.25" customHeight="1">
      <c r="A851" s="48"/>
      <c r="B851" s="48"/>
      <c r="J851" s="216"/>
    </row>
    <row r="852" spans="1:10" ht="14.25" customHeight="1">
      <c r="A852" s="48"/>
      <c r="B852" s="48"/>
      <c r="J852" s="216"/>
    </row>
    <row r="853" spans="1:10" ht="14.25" customHeight="1">
      <c r="A853" s="48"/>
      <c r="B853" s="48"/>
      <c r="J853" s="216"/>
    </row>
    <row r="854" spans="1:10" ht="14.25" customHeight="1">
      <c r="A854" s="48"/>
      <c r="B854" s="48"/>
      <c r="J854" s="216"/>
    </row>
    <row r="855" spans="1:10" ht="14.25" customHeight="1">
      <c r="A855" s="48"/>
      <c r="B855" s="48"/>
      <c r="J855" s="216"/>
    </row>
    <row r="856" spans="1:10" ht="14.25" customHeight="1">
      <c r="A856" s="48"/>
      <c r="B856" s="48"/>
      <c r="J856" s="216"/>
    </row>
    <row r="857" spans="1:10" ht="14.25" customHeight="1">
      <c r="A857" s="48"/>
      <c r="B857" s="48"/>
      <c r="J857" s="216"/>
    </row>
    <row r="858" spans="1:10" ht="14.25" customHeight="1">
      <c r="A858" s="48"/>
      <c r="B858" s="48"/>
      <c r="J858" s="216"/>
    </row>
    <row r="859" spans="1:10" ht="14.25" customHeight="1">
      <c r="A859" s="48"/>
      <c r="B859" s="48"/>
      <c r="J859" s="216"/>
    </row>
    <row r="860" spans="1:10" ht="14.25" customHeight="1">
      <c r="A860" s="48"/>
      <c r="B860" s="48"/>
      <c r="J860" s="216"/>
    </row>
    <row r="861" spans="1:10" ht="14.25" customHeight="1">
      <c r="A861" s="48"/>
      <c r="B861" s="48"/>
      <c r="J861" s="216"/>
    </row>
    <row r="862" spans="1:10" ht="14.25" customHeight="1">
      <c r="A862" s="48"/>
      <c r="B862" s="48"/>
      <c r="J862" s="216"/>
    </row>
    <row r="863" spans="1:10" ht="14.25" customHeight="1">
      <c r="A863" s="48"/>
      <c r="B863" s="48"/>
      <c r="J863" s="216"/>
    </row>
    <row r="864" spans="1:10" ht="14.25" customHeight="1">
      <c r="A864" s="48"/>
      <c r="B864" s="48"/>
      <c r="J864" s="216"/>
    </row>
    <row r="865" spans="1:10" ht="14.25" customHeight="1">
      <c r="A865" s="48"/>
      <c r="B865" s="48"/>
      <c r="J865" s="216"/>
    </row>
    <row r="866" spans="1:10" ht="14.25" customHeight="1">
      <c r="A866" s="48"/>
      <c r="B866" s="48"/>
      <c r="J866" s="216"/>
    </row>
    <row r="867" spans="1:10" ht="14.25" customHeight="1">
      <c r="A867" s="48"/>
      <c r="B867" s="48"/>
      <c r="J867" s="216"/>
    </row>
    <row r="868" spans="1:10" ht="14.25" customHeight="1">
      <c r="A868" s="48"/>
      <c r="B868" s="48"/>
      <c r="J868" s="216"/>
    </row>
    <row r="869" spans="1:10" ht="14.25" customHeight="1">
      <c r="A869" s="48"/>
      <c r="B869" s="48"/>
      <c r="J869" s="216"/>
    </row>
    <row r="870" spans="1:10" ht="14.25" customHeight="1">
      <c r="A870" s="48"/>
      <c r="B870" s="48"/>
      <c r="J870" s="216"/>
    </row>
    <row r="871" spans="1:10" ht="14.25" customHeight="1">
      <c r="A871" s="48"/>
      <c r="B871" s="48"/>
      <c r="J871" s="216"/>
    </row>
    <row r="872" spans="1:10" ht="14.25" customHeight="1">
      <c r="A872" s="48"/>
      <c r="B872" s="48"/>
      <c r="J872" s="216"/>
    </row>
    <row r="873" spans="1:10" ht="14.25" customHeight="1">
      <c r="A873" s="48"/>
      <c r="B873" s="48"/>
      <c r="J873" s="216"/>
    </row>
    <row r="874" spans="1:10" ht="14.25" customHeight="1">
      <c r="A874" s="48"/>
      <c r="B874" s="48"/>
      <c r="J874" s="216"/>
    </row>
    <row r="875" spans="1:10" ht="14.25" customHeight="1">
      <c r="A875" s="48"/>
      <c r="B875" s="48"/>
      <c r="J875" s="216"/>
    </row>
    <row r="876" spans="1:10" ht="14.25" customHeight="1">
      <c r="A876" s="48"/>
      <c r="B876" s="48"/>
      <c r="J876" s="216"/>
    </row>
    <row r="877" spans="1:10" ht="14.25" customHeight="1">
      <c r="A877" s="48"/>
      <c r="B877" s="48"/>
      <c r="J877" s="216"/>
    </row>
    <row r="878" spans="1:10" ht="14.25" customHeight="1">
      <c r="A878" s="48"/>
      <c r="B878" s="48"/>
      <c r="J878" s="216"/>
    </row>
    <row r="879" spans="1:10" ht="14.25" customHeight="1">
      <c r="A879" s="48"/>
      <c r="B879" s="48"/>
      <c r="J879" s="216"/>
    </row>
    <row r="880" spans="1:10" ht="14.25" customHeight="1">
      <c r="A880" s="48"/>
      <c r="B880" s="48"/>
      <c r="J880" s="216"/>
    </row>
    <row r="881" spans="1:10" ht="14.25" customHeight="1">
      <c r="A881" s="48"/>
      <c r="B881" s="48"/>
      <c r="J881" s="216"/>
    </row>
    <row r="882" spans="1:10" ht="14.25" customHeight="1">
      <c r="A882" s="48"/>
      <c r="B882" s="48"/>
      <c r="J882" s="216"/>
    </row>
    <row r="883" spans="1:10" ht="14.25" customHeight="1">
      <c r="A883" s="48"/>
      <c r="B883" s="48"/>
      <c r="J883" s="216"/>
    </row>
    <row r="884" spans="1:10" ht="14.25" customHeight="1">
      <c r="A884" s="48"/>
      <c r="B884" s="48"/>
      <c r="J884" s="216"/>
    </row>
    <row r="885" spans="1:10" ht="14.25" customHeight="1">
      <c r="A885" s="48"/>
      <c r="B885" s="48"/>
      <c r="J885" s="216"/>
    </row>
    <row r="886" spans="1:10" ht="14.25" customHeight="1">
      <c r="A886" s="48"/>
      <c r="B886" s="48"/>
      <c r="J886" s="216"/>
    </row>
    <row r="887" spans="1:10" ht="14.25" customHeight="1">
      <c r="A887" s="48"/>
      <c r="B887" s="48"/>
      <c r="J887" s="216"/>
    </row>
    <row r="888" spans="1:10" ht="14.25" customHeight="1">
      <c r="A888" s="48"/>
      <c r="B888" s="48"/>
      <c r="J888" s="216"/>
    </row>
    <row r="889" spans="1:10" ht="14.25" customHeight="1">
      <c r="A889" s="48"/>
      <c r="B889" s="48"/>
      <c r="J889" s="216"/>
    </row>
    <row r="890" spans="1:10" ht="14.25" customHeight="1">
      <c r="A890" s="48"/>
      <c r="B890" s="48"/>
      <c r="J890" s="216"/>
    </row>
    <row r="891" spans="1:10" ht="14.25" customHeight="1">
      <c r="A891" s="48"/>
      <c r="B891" s="48"/>
      <c r="J891" s="216"/>
    </row>
    <row r="892" spans="1:10" ht="14.25" customHeight="1">
      <c r="A892" s="48"/>
      <c r="B892" s="48"/>
      <c r="J892" s="216"/>
    </row>
    <row r="893" spans="1:10" ht="14.25" customHeight="1">
      <c r="A893" s="48"/>
      <c r="B893" s="48"/>
      <c r="J893" s="216"/>
    </row>
    <row r="894" spans="1:10" ht="14.25" customHeight="1">
      <c r="A894" s="48"/>
      <c r="B894" s="48"/>
      <c r="J894" s="216"/>
    </row>
    <row r="895" spans="1:10" ht="14.25" customHeight="1">
      <c r="A895" s="48"/>
      <c r="B895" s="48"/>
      <c r="J895" s="216"/>
    </row>
    <row r="896" spans="1:10" ht="14.25" customHeight="1">
      <c r="A896" s="48"/>
      <c r="B896" s="48"/>
      <c r="J896" s="216"/>
    </row>
    <row r="897" spans="1:10" ht="14.25" customHeight="1">
      <c r="A897" s="48"/>
      <c r="B897" s="48"/>
      <c r="J897" s="216"/>
    </row>
    <row r="898" spans="1:10" ht="14.25" customHeight="1">
      <c r="A898" s="48"/>
      <c r="B898" s="48"/>
      <c r="J898" s="216"/>
    </row>
    <row r="899" spans="1:10" ht="14.25" customHeight="1">
      <c r="A899" s="48"/>
      <c r="B899" s="48"/>
      <c r="J899" s="216"/>
    </row>
    <row r="900" spans="1:10" ht="14.25" customHeight="1">
      <c r="A900" s="48"/>
      <c r="B900" s="48"/>
      <c r="J900" s="216"/>
    </row>
    <row r="901" spans="1:10" ht="14.25" customHeight="1">
      <c r="A901" s="48"/>
      <c r="B901" s="48"/>
      <c r="J901" s="216"/>
    </row>
    <row r="902" spans="1:10" ht="14.25" customHeight="1">
      <c r="A902" s="48"/>
      <c r="B902" s="48"/>
      <c r="J902" s="216"/>
    </row>
    <row r="903" spans="1:10" ht="14.25" customHeight="1">
      <c r="A903" s="48"/>
      <c r="B903" s="48"/>
      <c r="J903" s="216"/>
    </row>
    <row r="904" spans="1:10" ht="14.25" customHeight="1">
      <c r="A904" s="48"/>
      <c r="B904" s="48"/>
      <c r="J904" s="216"/>
    </row>
    <row r="905" spans="1:10" ht="14.25" customHeight="1">
      <c r="A905" s="48"/>
      <c r="B905" s="48"/>
      <c r="J905" s="216"/>
    </row>
    <row r="906" spans="1:10" ht="14.25" customHeight="1">
      <c r="A906" s="48"/>
      <c r="B906" s="48"/>
      <c r="J906" s="216"/>
    </row>
    <row r="907" spans="1:10" ht="14.25" customHeight="1">
      <c r="A907" s="48"/>
      <c r="B907" s="48"/>
      <c r="J907" s="216"/>
    </row>
    <row r="908" spans="1:10" ht="14.25" customHeight="1">
      <c r="A908" s="48"/>
      <c r="B908" s="48"/>
      <c r="J908" s="216"/>
    </row>
    <row r="909" spans="1:10" ht="14.25" customHeight="1">
      <c r="A909" s="48"/>
      <c r="B909" s="48"/>
      <c r="J909" s="216"/>
    </row>
    <row r="910" spans="1:10" ht="14.25" customHeight="1">
      <c r="A910" s="48"/>
      <c r="B910" s="48"/>
      <c r="J910" s="216"/>
    </row>
    <row r="911" spans="1:10" ht="14.25" customHeight="1">
      <c r="A911" s="48"/>
      <c r="B911" s="48"/>
      <c r="J911" s="216"/>
    </row>
    <row r="912" spans="1:10" ht="14.25" customHeight="1">
      <c r="A912" s="48"/>
      <c r="B912" s="48"/>
      <c r="J912" s="216"/>
    </row>
    <row r="913" spans="1:10" ht="14.25" customHeight="1">
      <c r="A913" s="48"/>
      <c r="B913" s="48"/>
      <c r="J913" s="216"/>
    </row>
    <row r="914" spans="1:10" ht="14.25" customHeight="1">
      <c r="A914" s="48"/>
      <c r="B914" s="48"/>
      <c r="J914" s="216"/>
    </row>
    <row r="915" spans="1:10" ht="14.25" customHeight="1">
      <c r="A915" s="48"/>
      <c r="B915" s="48"/>
      <c r="J915" s="216"/>
    </row>
    <row r="916" spans="1:10" ht="14.25" customHeight="1">
      <c r="A916" s="48"/>
      <c r="B916" s="48"/>
      <c r="J916" s="216"/>
    </row>
    <row r="917" spans="1:10" ht="14.25" customHeight="1">
      <c r="A917" s="48"/>
      <c r="B917" s="48"/>
      <c r="J917" s="216"/>
    </row>
    <row r="918" spans="1:10" ht="14.25" customHeight="1">
      <c r="A918" s="48"/>
      <c r="B918" s="48"/>
      <c r="J918" s="216"/>
    </row>
    <row r="919" spans="1:10" ht="14.25" customHeight="1">
      <c r="A919" s="48"/>
      <c r="B919" s="48"/>
      <c r="J919" s="216"/>
    </row>
    <row r="920" spans="1:10" ht="14.25" customHeight="1">
      <c r="A920" s="48"/>
      <c r="B920" s="48"/>
      <c r="J920" s="216"/>
    </row>
    <row r="921" spans="1:10" ht="14.25" customHeight="1">
      <c r="A921" s="48"/>
      <c r="B921" s="48"/>
      <c r="J921" s="216"/>
    </row>
    <row r="922" spans="1:10" ht="14.25" customHeight="1">
      <c r="A922" s="48"/>
      <c r="B922" s="48"/>
      <c r="J922" s="216"/>
    </row>
    <row r="923" spans="1:10" ht="14.25" customHeight="1">
      <c r="A923" s="48"/>
      <c r="B923" s="48"/>
      <c r="J923" s="216"/>
    </row>
    <row r="924" spans="1:10" ht="14.25" customHeight="1">
      <c r="A924" s="48"/>
      <c r="B924" s="48"/>
      <c r="J924" s="216"/>
    </row>
    <row r="925" spans="1:10" ht="14.25" customHeight="1">
      <c r="A925" s="48"/>
      <c r="B925" s="48"/>
      <c r="J925" s="216"/>
    </row>
    <row r="926" spans="1:10" ht="14.25" customHeight="1">
      <c r="A926" s="48"/>
      <c r="B926" s="48"/>
      <c r="J926" s="216"/>
    </row>
    <row r="927" spans="1:10" ht="14.25" customHeight="1">
      <c r="A927" s="48"/>
      <c r="B927" s="48"/>
      <c r="J927" s="216"/>
    </row>
    <row r="928" spans="1:10" ht="14.25" customHeight="1">
      <c r="A928" s="48"/>
      <c r="B928" s="48"/>
      <c r="J928" s="216"/>
    </row>
    <row r="929" spans="1:10" ht="14.25" customHeight="1">
      <c r="A929" s="48"/>
      <c r="B929" s="48"/>
      <c r="J929" s="216"/>
    </row>
    <row r="930" spans="1:10" ht="14.25" customHeight="1">
      <c r="A930" s="48"/>
      <c r="B930" s="48"/>
      <c r="J930" s="216"/>
    </row>
    <row r="931" spans="1:10" ht="14.25" customHeight="1">
      <c r="A931" s="48"/>
      <c r="B931" s="48"/>
      <c r="J931" s="216"/>
    </row>
    <row r="932" spans="1:10" ht="14.25" customHeight="1">
      <c r="A932" s="48"/>
      <c r="B932" s="48"/>
      <c r="J932" s="216"/>
    </row>
    <row r="933" spans="1:10" ht="14.25" customHeight="1">
      <c r="A933" s="48"/>
      <c r="B933" s="48"/>
      <c r="J933" s="216"/>
    </row>
    <row r="934" spans="1:10" ht="14.25" customHeight="1">
      <c r="A934" s="48"/>
      <c r="B934" s="48"/>
      <c r="J934" s="216"/>
    </row>
    <row r="935" spans="1:10" ht="14.25" customHeight="1">
      <c r="A935" s="48"/>
      <c r="B935" s="48"/>
      <c r="J935" s="216"/>
    </row>
    <row r="936" spans="1:10" ht="14.25" customHeight="1">
      <c r="A936" s="48"/>
      <c r="B936" s="48"/>
      <c r="J936" s="216"/>
    </row>
    <row r="937" spans="1:10" ht="14.25" customHeight="1">
      <c r="A937" s="48"/>
      <c r="B937" s="48"/>
      <c r="J937" s="216"/>
    </row>
    <row r="938" spans="1:10" ht="14.25" customHeight="1">
      <c r="A938" s="48"/>
      <c r="B938" s="48"/>
      <c r="J938" s="216"/>
    </row>
    <row r="939" spans="1:10" ht="14.25" customHeight="1">
      <c r="A939" s="48"/>
      <c r="B939" s="48"/>
      <c r="J939" s="216"/>
    </row>
    <row r="940" spans="1:10" ht="14.25" customHeight="1">
      <c r="A940" s="48"/>
      <c r="B940" s="48"/>
      <c r="J940" s="216"/>
    </row>
    <row r="941" spans="1:10" ht="14.25" customHeight="1">
      <c r="A941" s="48"/>
      <c r="B941" s="48"/>
      <c r="J941" s="216"/>
    </row>
    <row r="942" spans="1:10" ht="14.25" customHeight="1">
      <c r="A942" s="48"/>
      <c r="B942" s="48"/>
      <c r="J942" s="216"/>
    </row>
    <row r="943" spans="1:10" ht="14.25" customHeight="1">
      <c r="A943" s="48"/>
      <c r="B943" s="48"/>
      <c r="J943" s="216"/>
    </row>
    <row r="944" spans="1:10" ht="14.25" customHeight="1">
      <c r="A944" s="48"/>
      <c r="B944" s="48"/>
      <c r="J944" s="216"/>
    </row>
    <row r="945" spans="1:10" ht="14.25" customHeight="1">
      <c r="A945" s="48"/>
      <c r="B945" s="48"/>
      <c r="J945" s="216"/>
    </row>
    <row r="946" spans="1:10" ht="14.25" customHeight="1">
      <c r="A946" s="48"/>
      <c r="B946" s="48"/>
      <c r="J946" s="216"/>
    </row>
    <row r="947" spans="1:10" ht="14.25" customHeight="1">
      <c r="A947" s="48"/>
      <c r="B947" s="48"/>
      <c r="J947" s="216"/>
    </row>
    <row r="948" spans="1:10" ht="14.25" customHeight="1">
      <c r="A948" s="48"/>
      <c r="B948" s="48"/>
      <c r="J948" s="216"/>
    </row>
    <row r="949" spans="1:10" ht="14.25" customHeight="1">
      <c r="A949" s="48"/>
      <c r="B949" s="48"/>
      <c r="J949" s="216"/>
    </row>
    <row r="950" spans="1:10" ht="14.25" customHeight="1">
      <c r="A950" s="48"/>
      <c r="B950" s="48"/>
      <c r="J950" s="216"/>
    </row>
    <row r="951" spans="1:10" ht="14.25" customHeight="1">
      <c r="A951" s="48"/>
      <c r="B951" s="48"/>
      <c r="J951" s="216"/>
    </row>
    <row r="952" spans="1:10" ht="14.25" customHeight="1">
      <c r="A952" s="48"/>
      <c r="B952" s="48"/>
      <c r="J952" s="216"/>
    </row>
    <row r="953" spans="1:10" ht="14.25" customHeight="1">
      <c r="A953" s="48"/>
      <c r="B953" s="48"/>
      <c r="J953" s="216"/>
    </row>
    <row r="954" spans="1:10" ht="14.25" customHeight="1">
      <c r="A954" s="48"/>
      <c r="B954" s="48"/>
      <c r="J954" s="216"/>
    </row>
    <row r="955" spans="1:10" ht="14.25" customHeight="1">
      <c r="A955" s="48"/>
      <c r="B955" s="48"/>
      <c r="J955" s="216"/>
    </row>
    <row r="956" spans="1:10" ht="14.25" customHeight="1">
      <c r="A956" s="48"/>
      <c r="B956" s="48"/>
      <c r="J956" s="216"/>
    </row>
    <row r="957" spans="1:10" ht="14.25" customHeight="1">
      <c r="A957" s="48"/>
      <c r="B957" s="48"/>
      <c r="J957" s="216"/>
    </row>
    <row r="958" spans="1:10" ht="14.25" customHeight="1">
      <c r="A958" s="48"/>
      <c r="B958" s="48"/>
      <c r="J958" s="216"/>
    </row>
    <row r="959" spans="1:10" ht="14.25" customHeight="1">
      <c r="A959" s="48"/>
      <c r="B959" s="48"/>
      <c r="J959" s="216"/>
    </row>
    <row r="960" spans="1:10" ht="14.25" customHeight="1">
      <c r="A960" s="48"/>
      <c r="B960" s="48"/>
      <c r="J960" s="216"/>
    </row>
    <row r="961" spans="1:10" ht="14.25" customHeight="1">
      <c r="A961" s="48"/>
      <c r="B961" s="48"/>
      <c r="J961" s="216"/>
    </row>
    <row r="962" spans="1:10" ht="14.25" customHeight="1">
      <c r="A962" s="48"/>
      <c r="B962" s="48"/>
      <c r="J962" s="216"/>
    </row>
    <row r="963" spans="1:10" ht="14.25" customHeight="1">
      <c r="A963" s="48"/>
      <c r="B963" s="48"/>
      <c r="J963" s="216"/>
    </row>
    <row r="964" spans="1:10" ht="14.25" customHeight="1">
      <c r="A964" s="48"/>
      <c r="B964" s="48"/>
      <c r="J964" s="216"/>
    </row>
    <row r="965" spans="1:10" ht="14.25" customHeight="1">
      <c r="A965" s="48"/>
      <c r="B965" s="48"/>
      <c r="J965" s="216"/>
    </row>
    <row r="966" spans="1:10" ht="14.25" customHeight="1">
      <c r="A966" s="48"/>
      <c r="B966" s="48"/>
      <c r="J966" s="216"/>
    </row>
    <row r="967" spans="1:10" ht="14.25" customHeight="1">
      <c r="A967" s="48"/>
      <c r="B967" s="48"/>
      <c r="J967" s="216"/>
    </row>
    <row r="968" spans="1:10" ht="14.25" customHeight="1">
      <c r="A968" s="48"/>
      <c r="B968" s="48"/>
      <c r="J968" s="216"/>
    </row>
    <row r="969" spans="1:10" ht="14.25" customHeight="1">
      <c r="A969" s="48"/>
      <c r="B969" s="48"/>
      <c r="J969" s="216"/>
    </row>
    <row r="970" spans="1:10" ht="14.25" customHeight="1">
      <c r="A970" s="48"/>
      <c r="B970" s="48"/>
      <c r="J970" s="216"/>
    </row>
    <row r="971" spans="1:10" ht="14.25" customHeight="1">
      <c r="A971" s="48"/>
      <c r="B971" s="48"/>
      <c r="J971" s="216"/>
    </row>
    <row r="972" spans="1:10" ht="14.25" customHeight="1">
      <c r="A972" s="48"/>
      <c r="B972" s="48"/>
      <c r="J972" s="216"/>
    </row>
    <row r="973" spans="1:10" ht="14.25" customHeight="1">
      <c r="A973" s="48"/>
      <c r="B973" s="48"/>
      <c r="J973" s="216"/>
    </row>
    <row r="974" spans="1:10" ht="14.25" customHeight="1">
      <c r="A974" s="48"/>
      <c r="B974" s="48"/>
      <c r="J974" s="216"/>
    </row>
    <row r="975" spans="1:10" ht="14.25" customHeight="1">
      <c r="A975" s="48"/>
      <c r="B975" s="48"/>
      <c r="J975" s="216"/>
    </row>
    <row r="976" spans="1:10" ht="14.25" customHeight="1">
      <c r="A976" s="48"/>
      <c r="B976" s="48"/>
      <c r="J976" s="216"/>
    </row>
    <row r="977" spans="1:10" ht="14.25" customHeight="1">
      <c r="A977" s="48"/>
      <c r="B977" s="48"/>
      <c r="J977" s="216"/>
    </row>
    <row r="978" spans="1:10" ht="14.25" customHeight="1">
      <c r="A978" s="48"/>
      <c r="B978" s="48"/>
      <c r="J978" s="216"/>
    </row>
    <row r="979" spans="1:10" ht="14.25" customHeight="1">
      <c r="A979" s="48"/>
      <c r="B979" s="48"/>
      <c r="J979" s="216"/>
    </row>
    <row r="980" spans="1:10" ht="14.25" customHeight="1">
      <c r="A980" s="48"/>
      <c r="B980" s="48"/>
      <c r="J980" s="216"/>
    </row>
    <row r="981" spans="1:10" ht="14.25" customHeight="1">
      <c r="A981" s="48"/>
      <c r="B981" s="48"/>
      <c r="J981" s="216"/>
    </row>
    <row r="982" spans="1:10" ht="14.25" customHeight="1">
      <c r="A982" s="48"/>
      <c r="B982" s="48"/>
      <c r="J982" s="216"/>
    </row>
    <row r="983" spans="1:10" ht="14.25" customHeight="1">
      <c r="A983" s="48"/>
      <c r="B983" s="48"/>
      <c r="J983" s="216"/>
    </row>
    <row r="984" spans="1:10" ht="14.25" customHeight="1">
      <c r="A984" s="48"/>
      <c r="B984" s="48"/>
      <c r="J984" s="216"/>
    </row>
    <row r="985" spans="1:10" ht="14.25" customHeight="1">
      <c r="A985" s="48"/>
      <c r="B985" s="48"/>
      <c r="J985" s="216"/>
    </row>
    <row r="986" spans="1:10" ht="14.25" customHeight="1">
      <c r="A986" s="48"/>
      <c r="B986" s="48"/>
      <c r="J986" s="216"/>
    </row>
    <row r="987" spans="1:10" ht="14.25" customHeight="1">
      <c r="A987" s="48"/>
      <c r="B987" s="48"/>
      <c r="J987" s="216"/>
    </row>
    <row r="988" spans="1:10" ht="14.25" customHeight="1">
      <c r="A988" s="48"/>
      <c r="B988" s="48"/>
      <c r="J988" s="216"/>
    </row>
    <row r="989" spans="1:10" ht="14.25" customHeight="1">
      <c r="A989" s="48"/>
      <c r="B989" s="48"/>
      <c r="J989" s="216"/>
    </row>
    <row r="990" spans="1:10" ht="14.25" customHeight="1">
      <c r="A990" s="48"/>
      <c r="B990" s="48"/>
      <c r="J990" s="216"/>
    </row>
    <row r="991" spans="1:10" ht="14.25" customHeight="1">
      <c r="A991" s="48"/>
      <c r="B991" s="48"/>
      <c r="J991" s="216"/>
    </row>
    <row r="992" spans="1:10" ht="14.25" customHeight="1">
      <c r="A992" s="48"/>
      <c r="B992" s="48"/>
      <c r="J992" s="216"/>
    </row>
    <row r="993" spans="1:10" ht="14.25" customHeight="1">
      <c r="A993" s="48"/>
      <c r="B993" s="48"/>
      <c r="J993" s="216"/>
    </row>
    <row r="994" spans="1:10" ht="14.25" customHeight="1">
      <c r="A994" s="48"/>
      <c r="B994" s="48"/>
      <c r="J994" s="216"/>
    </row>
    <row r="995" spans="1:10" ht="14.25" customHeight="1">
      <c r="A995" s="48"/>
      <c r="B995" s="48"/>
      <c r="J995" s="216"/>
    </row>
    <row r="996" spans="1:10" ht="14.25" customHeight="1">
      <c r="A996" s="48"/>
      <c r="B996" s="48"/>
      <c r="J996" s="216"/>
    </row>
    <row r="997" spans="1:10" ht="14.25" customHeight="1">
      <c r="A997" s="48"/>
      <c r="B997" s="48"/>
      <c r="J997" s="216"/>
    </row>
    <row r="998" spans="1:10" ht="14.25" customHeight="1">
      <c r="A998" s="48"/>
      <c r="B998" s="48"/>
      <c r="J998" s="216"/>
    </row>
    <row r="999" spans="1:10" ht="14.25" customHeight="1">
      <c r="A999" s="48"/>
      <c r="B999" s="48"/>
      <c r="J999" s="216"/>
    </row>
    <row r="1000" spans="1:10" ht="14.25" customHeight="1">
      <c r="A1000" s="48"/>
      <c r="B1000" s="48"/>
      <c r="J1000" s="216"/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6B1E1"/>
  </sheetPr>
  <dimension ref="A2:H66"/>
  <sheetViews>
    <sheetView showGridLines="0" topLeftCell="A27" zoomScaleNormal="100" workbookViewId="0">
      <selection activeCell="F4" sqref="F4"/>
    </sheetView>
  </sheetViews>
  <sheetFormatPr baseColWidth="10" defaultColWidth="12.5" defaultRowHeight="15"/>
  <cols>
    <col min="1" max="1" width="6.5" customWidth="1"/>
    <col min="2" max="2" width="35.5" customWidth="1"/>
    <col min="3" max="4" width="18.5" customWidth="1"/>
    <col min="5" max="5" width="43.5" customWidth="1"/>
    <col min="6" max="6" width="14.5" customWidth="1"/>
    <col min="7" max="7" width="2.5" customWidth="1"/>
    <col min="8" max="8" width="15.5" customWidth="1"/>
    <col min="9" max="26" width="8.5" customWidth="1"/>
  </cols>
  <sheetData>
    <row r="2" spans="1:6" ht="42.75" customHeight="1">
      <c r="A2" s="302" t="s">
        <v>1495</v>
      </c>
      <c r="B2" s="302"/>
      <c r="C2" s="302"/>
      <c r="D2" s="302"/>
      <c r="E2" s="302"/>
      <c r="F2" s="302"/>
    </row>
    <row r="3" spans="1:6">
      <c r="C3" s="230"/>
      <c r="D3" s="96"/>
      <c r="F3" s="231" t="s">
        <v>1162</v>
      </c>
    </row>
    <row r="4" spans="1:6" ht="14.25" customHeight="1">
      <c r="A4" s="232"/>
      <c r="B4" s="214" t="s">
        <v>1496</v>
      </c>
      <c r="C4" s="230"/>
      <c r="D4" s="96"/>
      <c r="F4" s="233">
        <f>SUM(F8:F1048576)-F5</f>
        <v>22985.370833333334</v>
      </c>
    </row>
    <row r="5" spans="1:6" ht="14.25" customHeight="1">
      <c r="A5" s="232"/>
      <c r="B5" s="214" t="s">
        <v>1497</v>
      </c>
      <c r="C5" s="230"/>
      <c r="D5" s="96"/>
      <c r="F5" s="233">
        <f>F9+F56+F57+F10</f>
        <v>24592</v>
      </c>
    </row>
    <row r="6" spans="1:6" ht="14.25" customHeight="1">
      <c r="C6" s="230"/>
      <c r="D6" s="96"/>
      <c r="F6" s="233"/>
    </row>
    <row r="7" spans="1:6" ht="56.25" customHeight="1">
      <c r="A7" s="70"/>
      <c r="B7" s="107" t="s">
        <v>1498</v>
      </c>
      <c r="C7" s="134" t="s">
        <v>7</v>
      </c>
      <c r="D7" s="107" t="s">
        <v>8</v>
      </c>
      <c r="E7" s="107" t="s">
        <v>1499</v>
      </c>
      <c r="F7" s="134" t="s">
        <v>1500</v>
      </c>
    </row>
    <row r="8" spans="1:6">
      <c r="B8" s="234" t="s">
        <v>1501</v>
      </c>
      <c r="C8" s="235"/>
      <c r="D8" s="236"/>
      <c r="E8" s="234"/>
      <c r="F8" s="237"/>
    </row>
    <row r="9" spans="1:6" ht="14.25" customHeight="1">
      <c r="B9" s="238" t="s">
        <v>1502</v>
      </c>
      <c r="C9" s="239">
        <f>15000</f>
        <v>15000</v>
      </c>
      <c r="D9" s="240">
        <v>1</v>
      </c>
      <c r="E9" s="238" t="s">
        <v>1503</v>
      </c>
      <c r="F9" s="237">
        <f>C9*D9</f>
        <v>15000</v>
      </c>
    </row>
    <row r="10" spans="1:6" ht="14.25" customHeight="1">
      <c r="B10" s="238" t="s">
        <v>1502</v>
      </c>
      <c r="C10" s="241">
        <v>1980</v>
      </c>
      <c r="D10" s="240">
        <v>1</v>
      </c>
      <c r="E10" s="238" t="s">
        <v>1504</v>
      </c>
      <c r="F10" s="237">
        <v>1980</v>
      </c>
    </row>
    <row r="11" spans="1:6" ht="14.25" customHeight="1">
      <c r="B11" s="238" t="s">
        <v>1505</v>
      </c>
      <c r="C11" s="241">
        <v>0</v>
      </c>
      <c r="D11" s="240"/>
      <c r="E11" s="238"/>
      <c r="F11" s="237"/>
    </row>
    <row r="12" spans="1:6" ht="14.25" customHeight="1">
      <c r="B12" s="238" t="s">
        <v>1506</v>
      </c>
      <c r="C12" s="241">
        <v>0</v>
      </c>
      <c r="D12" s="240"/>
      <c r="E12" s="238"/>
      <c r="F12" s="237"/>
    </row>
    <row r="13" spans="1:6" ht="14.25" customHeight="1">
      <c r="B13" s="238" t="s">
        <v>1507</v>
      </c>
      <c r="C13" s="241">
        <v>0</v>
      </c>
      <c r="D13" s="240"/>
      <c r="E13" s="238"/>
      <c r="F13" s="237"/>
    </row>
    <row r="14" spans="1:6">
      <c r="B14" s="234" t="s">
        <v>1508</v>
      </c>
      <c r="C14" s="235"/>
      <c r="D14" s="236"/>
      <c r="E14" s="234"/>
      <c r="F14" s="237"/>
    </row>
    <row r="15" spans="1:6" ht="14.25" customHeight="1">
      <c r="B15" s="238" t="s">
        <v>1509</v>
      </c>
      <c r="C15" s="241">
        <v>0</v>
      </c>
      <c r="D15" s="240"/>
      <c r="E15" s="238"/>
      <c r="F15" s="237"/>
    </row>
    <row r="16" spans="1:6" ht="14.25" customHeight="1">
      <c r="B16" s="238" t="s">
        <v>1510</v>
      </c>
      <c r="C16" s="241">
        <v>0</v>
      </c>
      <c r="D16" s="240"/>
      <c r="E16" s="238"/>
      <c r="F16" s="237"/>
    </row>
    <row r="17" spans="2:8" ht="14.25" customHeight="1">
      <c r="B17" s="238" t="s">
        <v>1511</v>
      </c>
      <c r="C17" s="241">
        <v>0</v>
      </c>
      <c r="D17" s="240"/>
      <c r="E17" s="238"/>
      <c r="F17" s="237"/>
    </row>
    <row r="18" spans="2:8" ht="14.25" customHeight="1">
      <c r="B18" s="238" t="s">
        <v>1512</v>
      </c>
      <c r="C18" s="241">
        <v>0</v>
      </c>
      <c r="D18" s="240"/>
      <c r="E18" s="238"/>
      <c r="F18" s="237"/>
    </row>
    <row r="19" spans="2:8" ht="14.25" customHeight="1">
      <c r="B19" s="238" t="s">
        <v>51</v>
      </c>
      <c r="C19" s="239">
        <f>969.61+304.96</f>
        <v>1274.57</v>
      </c>
      <c r="D19" s="240">
        <v>1</v>
      </c>
      <c r="E19" s="238" t="s">
        <v>1513</v>
      </c>
      <c r="F19" s="237">
        <f>C19*D19</f>
        <v>1274.57</v>
      </c>
      <c r="H19" s="48"/>
    </row>
    <row r="20" spans="2:8" ht="14.25" customHeight="1">
      <c r="B20" s="238" t="s">
        <v>1514</v>
      </c>
      <c r="C20" s="241">
        <f>1962.49/12</f>
        <v>163.54083333333332</v>
      </c>
      <c r="D20" s="240">
        <v>1</v>
      </c>
      <c r="E20" s="238" t="s">
        <v>1514</v>
      </c>
      <c r="F20" s="237">
        <f>C20*D20</f>
        <v>163.54083333333332</v>
      </c>
    </row>
    <row r="21" spans="2:8" ht="15.75" customHeight="1">
      <c r="B21" s="238" t="s">
        <v>1515</v>
      </c>
      <c r="C21" s="241">
        <v>0</v>
      </c>
      <c r="D21" s="240"/>
      <c r="E21" s="238"/>
      <c r="F21" s="237"/>
    </row>
    <row r="22" spans="2:8" ht="15.75" customHeight="1">
      <c r="B22" s="238" t="s">
        <v>1516</v>
      </c>
      <c r="C22" s="241">
        <v>0</v>
      </c>
      <c r="D22" s="240"/>
      <c r="E22" s="238"/>
      <c r="F22" s="237"/>
    </row>
    <row r="23" spans="2:8" ht="15.75" customHeight="1">
      <c r="B23" s="234" t="s">
        <v>1517</v>
      </c>
      <c r="C23" s="235"/>
      <c r="D23" s="236"/>
      <c r="E23" s="234"/>
      <c r="F23" s="237"/>
    </row>
    <row r="24" spans="2:8" ht="15.75" customHeight="1">
      <c r="B24" s="238" t="s">
        <v>1518</v>
      </c>
      <c r="C24" s="241">
        <f>127.27+222+49.99</f>
        <v>399.26</v>
      </c>
      <c r="D24" s="240">
        <v>1</v>
      </c>
      <c r="E24" s="238" t="s">
        <v>1519</v>
      </c>
      <c r="F24" s="237">
        <f>C24*D24</f>
        <v>399.26</v>
      </c>
    </row>
    <row r="25" spans="2:8" ht="15.75" customHeight="1">
      <c r="B25" s="238" t="s">
        <v>1520</v>
      </c>
      <c r="C25" s="241">
        <v>1148</v>
      </c>
      <c r="D25" s="240">
        <v>1</v>
      </c>
      <c r="E25" s="238" t="s">
        <v>1521</v>
      </c>
      <c r="F25" s="237">
        <f>C25*D25</f>
        <v>1148</v>
      </c>
    </row>
    <row r="26" spans="2:8" ht="15.75" customHeight="1">
      <c r="B26" s="238" t="s">
        <v>1522</v>
      </c>
      <c r="C26" s="241">
        <v>0</v>
      </c>
      <c r="D26" s="240"/>
      <c r="E26" s="238"/>
      <c r="F26" s="237"/>
    </row>
    <row r="27" spans="2:8" ht="15.75" customHeight="1">
      <c r="B27" s="238" t="s">
        <v>1523</v>
      </c>
      <c r="C27" s="241">
        <v>0</v>
      </c>
      <c r="D27" s="240"/>
      <c r="E27" s="238"/>
      <c r="F27" s="237"/>
    </row>
    <row r="28" spans="2:8" ht="15.75" customHeight="1">
      <c r="B28" s="238" t="s">
        <v>1524</v>
      </c>
      <c r="C28" s="241">
        <v>0</v>
      </c>
      <c r="D28" s="240"/>
      <c r="E28" s="238"/>
      <c r="F28" s="237"/>
    </row>
    <row r="29" spans="2:8" ht="15.75" customHeight="1">
      <c r="B29" s="234" t="s">
        <v>1525</v>
      </c>
      <c r="C29" s="235"/>
      <c r="D29" s="236"/>
      <c r="E29" s="234"/>
      <c r="F29" s="237"/>
    </row>
    <row r="30" spans="2:8" ht="15.75" customHeight="1">
      <c r="B30" s="238" t="s">
        <v>1526</v>
      </c>
      <c r="C30" s="241">
        <v>0</v>
      </c>
      <c r="D30" s="240"/>
      <c r="E30" s="238"/>
      <c r="F30" s="237"/>
    </row>
    <row r="31" spans="2:8" ht="15.75" customHeight="1">
      <c r="B31" s="238" t="s">
        <v>1527</v>
      </c>
      <c r="C31" s="241">
        <v>0</v>
      </c>
      <c r="D31" s="240"/>
      <c r="E31" s="238"/>
      <c r="F31" s="237"/>
    </row>
    <row r="32" spans="2:8" ht="15.75" customHeight="1">
      <c r="B32" s="238" t="s">
        <v>1528</v>
      </c>
      <c r="C32" s="241">
        <v>0</v>
      </c>
      <c r="D32" s="240"/>
      <c r="E32" s="238"/>
      <c r="F32" s="237"/>
    </row>
    <row r="33" spans="2:6" ht="15.75" customHeight="1">
      <c r="B33" s="234" t="s">
        <v>1529</v>
      </c>
      <c r="C33" s="235"/>
      <c r="D33" s="236"/>
      <c r="E33" s="234"/>
      <c r="F33" s="237"/>
    </row>
    <row r="34" spans="2:6" ht="15.75" customHeight="1">
      <c r="B34" s="238" t="s">
        <v>1530</v>
      </c>
      <c r="C34" s="241">
        <v>0</v>
      </c>
      <c r="D34" s="240"/>
      <c r="E34" s="238"/>
      <c r="F34" s="237"/>
    </row>
    <row r="35" spans="2:6" ht="15.75" customHeight="1">
      <c r="B35" s="234" t="s">
        <v>1531</v>
      </c>
      <c r="C35" s="235"/>
      <c r="D35" s="236"/>
      <c r="E35" s="234"/>
      <c r="F35" s="237"/>
    </row>
    <row r="36" spans="2:6" ht="15.75" customHeight="1">
      <c r="B36" s="238" t="s">
        <v>1532</v>
      </c>
      <c r="C36" s="241">
        <v>0</v>
      </c>
      <c r="D36" s="240"/>
      <c r="E36" s="238"/>
      <c r="F36" s="237"/>
    </row>
    <row r="37" spans="2:6" ht="15.75" customHeight="1">
      <c r="B37" s="238" t="s">
        <v>1533</v>
      </c>
      <c r="C37" s="241">
        <v>0</v>
      </c>
      <c r="D37" s="240"/>
      <c r="E37" s="238"/>
      <c r="F37" s="237"/>
    </row>
    <row r="38" spans="2:6" ht="15.75" customHeight="1">
      <c r="B38" s="238" t="s">
        <v>1534</v>
      </c>
      <c r="C38" s="241">
        <v>0</v>
      </c>
      <c r="D38" s="240"/>
      <c r="E38" s="238"/>
      <c r="F38" s="237"/>
    </row>
    <row r="39" spans="2:6" ht="15.75" customHeight="1">
      <c r="B39" s="238" t="s">
        <v>1535</v>
      </c>
      <c r="C39" s="239">
        <v>500</v>
      </c>
      <c r="D39" s="240"/>
      <c r="E39" s="238" t="s">
        <v>1536</v>
      </c>
      <c r="F39" s="237"/>
    </row>
    <row r="40" spans="2:6" ht="15.75" customHeight="1">
      <c r="B40" s="238" t="s">
        <v>1537</v>
      </c>
      <c r="C40" s="241">
        <v>0</v>
      </c>
      <c r="D40" s="240"/>
      <c r="E40" s="238"/>
      <c r="F40" s="237"/>
    </row>
    <row r="41" spans="2:6" ht="15.75" customHeight="1">
      <c r="B41" s="238" t="s">
        <v>1538</v>
      </c>
      <c r="C41" s="241">
        <v>0</v>
      </c>
      <c r="D41" s="240"/>
      <c r="E41" s="238"/>
      <c r="F41" s="237"/>
    </row>
    <row r="42" spans="2:6" ht="15.75" customHeight="1">
      <c r="B42" s="234" t="s">
        <v>1539</v>
      </c>
      <c r="C42" s="235"/>
      <c r="D42" s="236"/>
      <c r="E42" s="234"/>
      <c r="F42" s="237"/>
    </row>
    <row r="43" spans="2:6" ht="15.75" customHeight="1">
      <c r="B43" s="238" t="s">
        <v>1540</v>
      </c>
      <c r="C43" s="241">
        <v>0</v>
      </c>
      <c r="D43" s="240"/>
      <c r="E43" s="238"/>
      <c r="F43" s="237"/>
    </row>
    <row r="44" spans="2:6" ht="15.75" customHeight="1">
      <c r="B44" s="238" t="s">
        <v>1541</v>
      </c>
      <c r="C44" s="241">
        <v>0</v>
      </c>
      <c r="D44" s="240"/>
      <c r="E44" s="238"/>
      <c r="F44" s="237"/>
    </row>
    <row r="45" spans="2:6" ht="15.75" customHeight="1">
      <c r="B45" s="238" t="s">
        <v>1542</v>
      </c>
      <c r="C45" s="241">
        <v>0</v>
      </c>
      <c r="D45" s="240"/>
      <c r="E45" s="238"/>
      <c r="F45" s="237"/>
    </row>
    <row r="46" spans="2:6" ht="15.75" customHeight="1">
      <c r="B46" s="238" t="s">
        <v>1543</v>
      </c>
      <c r="C46" s="239">
        <v>4500</v>
      </c>
      <c r="D46" s="240">
        <v>1</v>
      </c>
      <c r="E46" s="238" t="s">
        <v>1544</v>
      </c>
      <c r="F46" s="237">
        <f>C46*D46</f>
        <v>4500</v>
      </c>
    </row>
    <row r="47" spans="2:6" ht="15.75" customHeight="1">
      <c r="B47" s="238" t="s">
        <v>1545</v>
      </c>
      <c r="C47" s="241">
        <v>0</v>
      </c>
      <c r="D47" s="240"/>
      <c r="E47" s="238"/>
      <c r="F47" s="237"/>
    </row>
    <row r="48" spans="2:6" ht="15.75" customHeight="1">
      <c r="B48" s="238" t="s">
        <v>1546</v>
      </c>
      <c r="C48" s="239">
        <v>9500</v>
      </c>
      <c r="D48" s="240">
        <v>1</v>
      </c>
      <c r="E48" s="238" t="s">
        <v>1547</v>
      </c>
      <c r="F48" s="237">
        <f>C48*D48</f>
        <v>9500</v>
      </c>
    </row>
    <row r="49" spans="2:6" ht="15.75" customHeight="1">
      <c r="B49" s="238" t="s">
        <v>1546</v>
      </c>
      <c r="C49" s="239">
        <v>3000</v>
      </c>
      <c r="D49" s="240">
        <v>1</v>
      </c>
      <c r="E49" s="238" t="s">
        <v>1548</v>
      </c>
      <c r="F49" s="237">
        <f>C49*D49</f>
        <v>3000</v>
      </c>
    </row>
    <row r="50" spans="2:6" ht="15.75" customHeight="1">
      <c r="B50" s="238" t="s">
        <v>1546</v>
      </c>
      <c r="C50" s="239">
        <v>1000</v>
      </c>
      <c r="D50" s="240">
        <v>1</v>
      </c>
      <c r="E50" s="238" t="s">
        <v>1549</v>
      </c>
      <c r="F50" s="237">
        <f>C50*D50</f>
        <v>1000</v>
      </c>
    </row>
    <row r="51" spans="2:6" ht="15.75" customHeight="1">
      <c r="B51" s="238" t="s">
        <v>1546</v>
      </c>
      <c r="C51" s="239"/>
      <c r="D51" s="240"/>
      <c r="E51" s="238"/>
      <c r="F51" s="237">
        <f>C51*D51</f>
        <v>0</v>
      </c>
    </row>
    <row r="52" spans="2:6" ht="15.75" customHeight="1">
      <c r="B52" s="238" t="s">
        <v>1546</v>
      </c>
      <c r="C52" s="241"/>
      <c r="D52" s="240"/>
      <c r="E52" s="238"/>
      <c r="F52" s="237">
        <f>C52*D52</f>
        <v>0</v>
      </c>
    </row>
    <row r="53" spans="2:6" ht="15.75" customHeight="1">
      <c r="B53" s="238" t="s">
        <v>1550</v>
      </c>
      <c r="C53" s="241">
        <v>0</v>
      </c>
      <c r="D53" s="240"/>
      <c r="E53" s="238"/>
      <c r="F53" s="237"/>
    </row>
    <row r="54" spans="2:6" ht="15.75" customHeight="1">
      <c r="B54" s="238" t="s">
        <v>1551</v>
      </c>
      <c r="C54" s="241">
        <v>0</v>
      </c>
      <c r="D54" s="240"/>
      <c r="E54" s="238"/>
      <c r="F54" s="237"/>
    </row>
    <row r="55" spans="2:6" ht="15.75" customHeight="1">
      <c r="B55" s="234" t="s">
        <v>1552</v>
      </c>
      <c r="C55" s="235"/>
      <c r="D55" s="236"/>
      <c r="E55" s="234"/>
      <c r="F55" s="237"/>
    </row>
    <row r="56" spans="2:6" ht="15.75" customHeight="1">
      <c r="B56" s="238" t="s">
        <v>1553</v>
      </c>
      <c r="C56" s="239">
        <v>3612</v>
      </c>
      <c r="D56" s="240">
        <v>1</v>
      </c>
      <c r="E56" s="238" t="s">
        <v>1554</v>
      </c>
      <c r="F56" s="237">
        <f>C56*D56</f>
        <v>3612</v>
      </c>
    </row>
    <row r="57" spans="2:6" ht="15.75" customHeight="1">
      <c r="B57" s="238" t="s">
        <v>1555</v>
      </c>
      <c r="C57" s="239">
        <v>4000</v>
      </c>
      <c r="D57" s="240">
        <v>1</v>
      </c>
      <c r="E57" s="238" t="s">
        <v>1554</v>
      </c>
      <c r="F57" s="237">
        <f>C57*D57</f>
        <v>4000</v>
      </c>
    </row>
    <row r="58" spans="2:6" ht="15.75" customHeight="1">
      <c r="B58" s="238" t="s">
        <v>1556</v>
      </c>
      <c r="C58" s="239">
        <v>2000</v>
      </c>
      <c r="D58" s="240">
        <v>1</v>
      </c>
      <c r="E58" s="238" t="s">
        <v>1554</v>
      </c>
      <c r="F58" s="237">
        <f>C58*D58</f>
        <v>2000</v>
      </c>
    </row>
    <row r="59" spans="2:6" ht="15.75" customHeight="1">
      <c r="B59" s="238" t="s">
        <v>1557</v>
      </c>
      <c r="C59" s="241">
        <v>0</v>
      </c>
      <c r="D59" s="240"/>
      <c r="E59" s="238"/>
      <c r="F59" s="237"/>
    </row>
    <row r="60" spans="2:6" ht="15.75" customHeight="1">
      <c r="B60" s="238" t="s">
        <v>1558</v>
      </c>
      <c r="C60" s="241">
        <v>0</v>
      </c>
      <c r="D60" s="240"/>
      <c r="E60" s="238"/>
      <c r="F60" s="237"/>
    </row>
    <row r="61" spans="2:6" ht="15.75" customHeight="1">
      <c r="B61" s="238" t="s">
        <v>1559</v>
      </c>
      <c r="C61" s="241">
        <v>0</v>
      </c>
      <c r="D61" s="240"/>
      <c r="E61" s="238"/>
      <c r="F61" s="237"/>
    </row>
    <row r="62" spans="2:6" ht="15.75" customHeight="1">
      <c r="B62" s="238" t="s">
        <v>1560</v>
      </c>
      <c r="C62" s="241">
        <v>0</v>
      </c>
      <c r="D62" s="240"/>
      <c r="E62" s="238"/>
      <c r="F62" s="237"/>
    </row>
    <row r="63" spans="2:6" ht="15.75" customHeight="1">
      <c r="B63" s="238" t="s">
        <v>1561</v>
      </c>
      <c r="C63" s="241">
        <v>0</v>
      </c>
      <c r="D63" s="240"/>
      <c r="E63" s="238"/>
      <c r="F63" s="237"/>
    </row>
    <row r="64" spans="2:6" ht="15.75" customHeight="1">
      <c r="B64" s="238" t="s">
        <v>1562</v>
      </c>
      <c r="C64" s="241">
        <v>0</v>
      </c>
      <c r="D64" s="240"/>
      <c r="E64" s="238"/>
      <c r="F64" s="237"/>
    </row>
    <row r="65" spans="2:6" ht="15.75" customHeight="1">
      <c r="B65" s="234" t="s">
        <v>1563</v>
      </c>
      <c r="C65" s="235"/>
      <c r="D65" s="236"/>
      <c r="E65" s="234"/>
      <c r="F65" s="237"/>
    </row>
    <row r="66" spans="2:6" ht="15.75" customHeight="1">
      <c r="B66" s="238" t="s">
        <v>1564</v>
      </c>
      <c r="C66" s="241">
        <v>0</v>
      </c>
      <c r="D66" s="240"/>
      <c r="E66" s="238"/>
      <c r="F66" s="237"/>
    </row>
  </sheetData>
  <mergeCells count="1">
    <mergeCell ref="A2:F2"/>
  </mergeCells>
  <conditionalFormatting sqref="B8:E66">
    <cfRule type="cellIs" dxfId="2" priority="2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6B1E1"/>
  </sheetPr>
  <dimension ref="A2:K80"/>
  <sheetViews>
    <sheetView showGridLines="0" zoomScaleNormal="100" workbookViewId="0">
      <selection activeCell="K4" sqref="K4"/>
    </sheetView>
  </sheetViews>
  <sheetFormatPr baseColWidth="10" defaultColWidth="12.5" defaultRowHeight="15"/>
  <cols>
    <col min="1" max="1" width="6.5" customWidth="1"/>
    <col min="2" max="2" width="35.5" customWidth="1"/>
    <col min="3" max="3" width="15.5" customWidth="1"/>
    <col min="4" max="5" width="16.5" customWidth="1"/>
    <col min="6" max="10" width="9.1640625" customWidth="1"/>
    <col min="11" max="11" width="15.1640625" customWidth="1"/>
    <col min="12" max="26" width="8.5" customWidth="1"/>
  </cols>
  <sheetData>
    <row r="2" spans="1:11" ht="42.75" customHeight="1">
      <c r="A2" s="302" t="s">
        <v>1495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</row>
    <row r="3" spans="1:11">
      <c r="D3" s="97"/>
      <c r="E3" s="96"/>
      <c r="F3" s="120"/>
      <c r="G3" s="120"/>
      <c r="H3" s="97"/>
      <c r="I3" s="120"/>
      <c r="J3" s="96"/>
      <c r="K3" s="231" t="s">
        <v>1162</v>
      </c>
    </row>
    <row r="4" spans="1:11" ht="14.25" customHeight="1">
      <c r="A4" s="232"/>
      <c r="B4" s="214" t="s">
        <v>1565</v>
      </c>
      <c r="D4" s="97"/>
      <c r="E4" s="96"/>
      <c r="F4" s="120"/>
      <c r="G4" s="120"/>
      <c r="H4" s="97"/>
      <c r="I4" s="120"/>
      <c r="J4" s="96"/>
      <c r="K4" s="233">
        <f>SUM(K7:K1048576)</f>
        <v>4805.01</v>
      </c>
    </row>
    <row r="5" spans="1:11" ht="14.25" customHeight="1">
      <c r="A5" s="232"/>
      <c r="B5" s="214" t="s">
        <v>1566</v>
      </c>
      <c r="D5" s="97"/>
      <c r="E5" s="96"/>
      <c r="F5" s="120"/>
      <c r="G5" s="120"/>
      <c r="H5" s="97"/>
      <c r="I5" s="120"/>
      <c r="J5" s="96"/>
    </row>
    <row r="6" spans="1:11" ht="14.25" customHeight="1">
      <c r="D6" s="97"/>
      <c r="E6" s="96"/>
      <c r="F6" s="120"/>
      <c r="G6" s="120"/>
      <c r="H6" s="97"/>
      <c r="I6" s="120"/>
      <c r="J6" s="96"/>
    </row>
    <row r="7" spans="1:11">
      <c r="B7" s="303" t="s">
        <v>1567</v>
      </c>
      <c r="C7" s="303"/>
      <c r="D7" s="303"/>
      <c r="E7" s="303"/>
      <c r="F7" s="303"/>
      <c r="G7" s="303"/>
      <c r="H7" s="303"/>
      <c r="I7" s="303"/>
      <c r="J7" s="303"/>
      <c r="K7" s="303"/>
    </row>
    <row r="8" spans="1:11" ht="14.25" customHeight="1">
      <c r="D8" s="97"/>
      <c r="E8" s="96"/>
      <c r="F8" s="120"/>
      <c r="G8" s="120"/>
      <c r="H8" s="97"/>
      <c r="I8" s="120"/>
      <c r="J8" s="96"/>
    </row>
    <row r="9" spans="1:11" ht="37.5" customHeight="1">
      <c r="B9" s="107" t="s">
        <v>1498</v>
      </c>
      <c r="C9" s="107" t="s">
        <v>1568</v>
      </c>
      <c r="D9" s="242" t="s">
        <v>1569</v>
      </c>
      <c r="E9" s="107" t="s">
        <v>8</v>
      </c>
      <c r="F9" s="156" t="s">
        <v>1570</v>
      </c>
      <c r="G9" s="156" t="s">
        <v>1571</v>
      </c>
      <c r="H9" s="242" t="s">
        <v>1572</v>
      </c>
      <c r="I9" s="156" t="s">
        <v>1573</v>
      </c>
      <c r="J9" s="107" t="s">
        <v>1574</v>
      </c>
      <c r="K9" s="107" t="s">
        <v>1575</v>
      </c>
    </row>
    <row r="10" spans="1:11" ht="14.25" customHeight="1">
      <c r="B10" s="243" t="s">
        <v>1576</v>
      </c>
      <c r="C10" s="96" t="s">
        <v>1577</v>
      </c>
      <c r="D10" s="97">
        <v>43</v>
      </c>
      <c r="E10" s="96">
        <v>15</v>
      </c>
      <c r="F10" s="120">
        <v>0</v>
      </c>
      <c r="G10" s="120">
        <v>0</v>
      </c>
      <c r="H10" s="97">
        <v>0</v>
      </c>
      <c r="I10" s="120">
        <v>0</v>
      </c>
      <c r="J10" s="120">
        <v>0.05</v>
      </c>
      <c r="K10" s="118">
        <f>D10*E10+(((F10+G10)*D10)*E10)+H10+(H10*I10)+((D10*E10+(((F10+G10)*D10)*E10)+H10+(H10*I10))*J10)</f>
        <v>677.25</v>
      </c>
    </row>
    <row r="11" spans="1:11" ht="14.25" customHeight="1">
      <c r="B11" s="244" t="s">
        <v>1578</v>
      </c>
      <c r="D11" s="97"/>
      <c r="E11" s="96"/>
      <c r="F11" s="120"/>
      <c r="G11" s="120"/>
      <c r="H11" s="97"/>
      <c r="I11" s="120"/>
      <c r="J11" s="96"/>
      <c r="K11" s="245"/>
    </row>
    <row r="12" spans="1:11" ht="14.25" customHeight="1">
      <c r="B12" s="244" t="s">
        <v>1579</v>
      </c>
      <c r="D12" s="97"/>
      <c r="E12" s="96"/>
      <c r="F12" s="120"/>
      <c r="G12" s="120"/>
      <c r="H12" s="97"/>
      <c r="I12" s="120"/>
      <c r="J12" s="96"/>
      <c r="K12" s="245"/>
    </row>
    <row r="13" spans="1:11" ht="14.25" customHeight="1">
      <c r="B13" s="244" t="s">
        <v>1580</v>
      </c>
      <c r="D13" s="97"/>
      <c r="E13" s="96"/>
      <c r="F13" s="120"/>
      <c r="G13" s="120"/>
      <c r="H13" s="97"/>
      <c r="I13" s="120"/>
      <c r="J13" s="96"/>
      <c r="K13" s="245"/>
    </row>
    <row r="14" spans="1:11" ht="14.25" customHeight="1">
      <c r="B14" s="244" t="s">
        <v>1581</v>
      </c>
      <c r="D14" s="97"/>
      <c r="E14" s="96"/>
      <c r="F14" s="120"/>
      <c r="G14" s="120"/>
      <c r="H14" s="97"/>
      <c r="I14" s="120"/>
      <c r="J14" s="96"/>
      <c r="K14" s="245"/>
    </row>
    <row r="20" spans="2:11">
      <c r="B20" s="303" t="s">
        <v>1582</v>
      </c>
      <c r="C20" s="303"/>
      <c r="D20" s="303"/>
      <c r="E20" s="303"/>
      <c r="F20" s="303"/>
      <c r="G20" s="303"/>
      <c r="H20" s="303"/>
      <c r="I20" s="303"/>
      <c r="J20" s="303"/>
      <c r="K20" s="303"/>
    </row>
    <row r="21" spans="2:11" ht="15.75" customHeight="1">
      <c r="D21" s="97"/>
      <c r="E21" s="96"/>
      <c r="F21" s="120"/>
      <c r="G21" s="120"/>
      <c r="H21" s="97"/>
      <c r="I21" s="120"/>
      <c r="J21" s="96"/>
    </row>
    <row r="22" spans="2:11" ht="15.75" customHeight="1">
      <c r="B22" s="107" t="s">
        <v>1498</v>
      </c>
      <c r="C22" s="107" t="s">
        <v>1568</v>
      </c>
      <c r="D22" s="242" t="s">
        <v>1569</v>
      </c>
      <c r="E22" s="107" t="s">
        <v>8</v>
      </c>
      <c r="F22" s="156" t="s">
        <v>1570</v>
      </c>
      <c r="G22" s="156" t="s">
        <v>1571</v>
      </c>
      <c r="H22" s="242" t="s">
        <v>1572</v>
      </c>
      <c r="I22" s="156" t="s">
        <v>1573</v>
      </c>
      <c r="J22" s="107" t="s">
        <v>1574</v>
      </c>
      <c r="K22" s="107" t="s">
        <v>1575</v>
      </c>
    </row>
    <row r="23" spans="2:11" ht="15.75" customHeight="1">
      <c r="B23" s="244" t="s">
        <v>1583</v>
      </c>
      <c r="D23" s="97"/>
      <c r="E23" s="96"/>
      <c r="F23" s="120"/>
      <c r="G23" s="120"/>
      <c r="H23" s="97"/>
      <c r="I23" s="120"/>
      <c r="J23" s="96"/>
      <c r="K23" s="118">
        <f>D23*E23+(((F23+G23)*D23)*E23)+H23+(H23*I23)+((D23*E23+(((F23+G23)*D23)*E23)+H23+(H23*I23))*J23)</f>
        <v>0</v>
      </c>
    </row>
    <row r="24" spans="2:11" ht="15.75" customHeight="1">
      <c r="B24" s="244" t="s">
        <v>1584</v>
      </c>
      <c r="D24" s="97"/>
      <c r="E24" s="96"/>
      <c r="F24" s="120"/>
      <c r="G24" s="120"/>
      <c r="H24" s="97"/>
      <c r="I24" s="120"/>
      <c r="J24" s="96"/>
      <c r="K24" s="245"/>
    </row>
    <row r="25" spans="2:11" ht="15.75" customHeight="1">
      <c r="B25" s="244" t="s">
        <v>1585</v>
      </c>
      <c r="D25" s="97"/>
      <c r="E25" s="96"/>
      <c r="F25" s="120"/>
      <c r="G25" s="120"/>
      <c r="H25" s="97"/>
      <c r="I25" s="120"/>
      <c r="J25" s="96"/>
      <c r="K25" s="245"/>
    </row>
    <row r="26" spans="2:11" ht="15.75" customHeight="1">
      <c r="B26" s="244" t="s">
        <v>1586</v>
      </c>
      <c r="D26" s="97"/>
      <c r="E26" s="96"/>
      <c r="F26" s="120"/>
      <c r="G26" s="120"/>
      <c r="H26" s="97"/>
      <c r="I26" s="120"/>
      <c r="J26" s="96"/>
      <c r="K26" s="245"/>
    </row>
    <row r="27" spans="2:11" ht="15.75" customHeight="1">
      <c r="B27" s="244" t="s">
        <v>1587</v>
      </c>
      <c r="D27" s="97"/>
      <c r="E27" s="96"/>
      <c r="F27" s="120"/>
      <c r="G27" s="120"/>
      <c r="H27" s="97"/>
      <c r="I27" s="120"/>
      <c r="J27" s="96"/>
      <c r="K27" s="245"/>
    </row>
    <row r="33" spans="2:11" ht="15.75" customHeight="1">
      <c r="B33" s="303" t="s">
        <v>1588</v>
      </c>
      <c r="C33" s="303"/>
      <c r="D33" s="303"/>
      <c r="E33" s="303"/>
      <c r="F33" s="303"/>
      <c r="G33" s="303"/>
      <c r="H33" s="303"/>
      <c r="I33" s="303"/>
      <c r="J33" s="303"/>
      <c r="K33" s="303"/>
    </row>
    <row r="34" spans="2:11" ht="15.75" customHeight="1">
      <c r="D34" s="97"/>
      <c r="E34" s="96"/>
      <c r="F34" s="120"/>
      <c r="G34" s="120"/>
      <c r="H34" s="97"/>
      <c r="I34" s="120"/>
      <c r="J34" s="96"/>
    </row>
    <row r="35" spans="2:11" ht="15.75" customHeight="1">
      <c r="B35" s="107" t="s">
        <v>1498</v>
      </c>
      <c r="C35" s="107" t="s">
        <v>1568</v>
      </c>
      <c r="D35" s="242" t="s">
        <v>1569</v>
      </c>
      <c r="E35" s="107" t="s">
        <v>8</v>
      </c>
      <c r="F35" s="156" t="s">
        <v>1570</v>
      </c>
      <c r="G35" s="156" t="s">
        <v>1571</v>
      </c>
      <c r="H35" s="242" t="s">
        <v>1572</v>
      </c>
      <c r="I35" s="156" t="s">
        <v>1573</v>
      </c>
      <c r="J35" s="107" t="s">
        <v>1574</v>
      </c>
      <c r="K35" s="107" t="s">
        <v>1575</v>
      </c>
    </row>
    <row r="36" spans="2:11" ht="15.75" customHeight="1">
      <c r="B36" s="243" t="s">
        <v>1589</v>
      </c>
      <c r="C36" s="96" t="s">
        <v>1577</v>
      </c>
      <c r="D36" s="97">
        <v>238</v>
      </c>
      <c r="E36" s="96">
        <v>4</v>
      </c>
      <c r="F36" s="120">
        <v>0</v>
      </c>
      <c r="G36" s="120">
        <v>0</v>
      </c>
      <c r="H36" s="97">
        <v>0</v>
      </c>
      <c r="I36" s="120">
        <v>0</v>
      </c>
      <c r="J36" s="120">
        <v>0.05</v>
      </c>
      <c r="K36" s="118">
        <f>D36*E36+(((F36+G36)*D36)*E36)+H36+(H36*I36)+((D36*E36+(((F36+G36)*D36)*E36)+H36+(H36*I36))*J36)</f>
        <v>999.6</v>
      </c>
    </row>
    <row r="37" spans="2:11" ht="15.75" customHeight="1">
      <c r="B37" s="244"/>
      <c r="D37" s="97"/>
      <c r="E37" s="96"/>
      <c r="F37" s="120"/>
      <c r="G37" s="120"/>
      <c r="H37" s="97"/>
      <c r="I37" s="120"/>
      <c r="J37" s="96"/>
      <c r="K37" s="245"/>
    </row>
    <row r="38" spans="2:11" ht="15.75" customHeight="1">
      <c r="B38" s="244"/>
      <c r="D38" s="97"/>
      <c r="E38" s="96"/>
      <c r="F38" s="120"/>
      <c r="G38" s="120"/>
      <c r="H38" s="97"/>
      <c r="I38" s="120"/>
      <c r="J38" s="96"/>
      <c r="K38" s="245"/>
    </row>
    <row r="39" spans="2:11" ht="15.75" customHeight="1">
      <c r="B39" s="244"/>
      <c r="D39" s="97"/>
      <c r="E39" s="96"/>
      <c r="F39" s="120"/>
      <c r="G39" s="120"/>
      <c r="H39" s="97"/>
      <c r="I39" s="120"/>
      <c r="J39" s="96"/>
      <c r="K39" s="245"/>
    </row>
    <row r="40" spans="2:11" ht="15.75" customHeight="1">
      <c r="D40" s="97"/>
      <c r="E40" s="96"/>
      <c r="F40" s="120"/>
      <c r="G40" s="120"/>
      <c r="H40" s="97"/>
      <c r="I40" s="120"/>
      <c r="J40" s="96"/>
      <c r="K40" s="245"/>
    </row>
    <row r="41" spans="2:11" ht="15.75" customHeight="1">
      <c r="D41" s="97"/>
      <c r="E41" s="96"/>
      <c r="F41" s="120"/>
      <c r="G41" s="120"/>
      <c r="H41" s="97"/>
      <c r="I41" s="120"/>
      <c r="J41" s="96"/>
      <c r="K41" s="245"/>
    </row>
    <row r="42" spans="2:11" ht="15.75" customHeight="1">
      <c r="D42" s="97"/>
      <c r="E42" s="96"/>
      <c r="F42" s="120"/>
      <c r="G42" s="120"/>
      <c r="H42" s="97"/>
      <c r="I42" s="120"/>
      <c r="J42" s="96"/>
      <c r="K42" s="245"/>
    </row>
    <row r="43" spans="2:11" ht="15.75" customHeight="1">
      <c r="D43" s="97"/>
      <c r="E43" s="96"/>
      <c r="F43" s="120"/>
      <c r="G43" s="120"/>
      <c r="H43" s="97"/>
      <c r="I43" s="120"/>
      <c r="J43" s="96"/>
      <c r="K43" s="245"/>
    </row>
    <row r="44" spans="2:11" ht="15.75" customHeight="1">
      <c r="D44" s="97"/>
      <c r="E44" s="96"/>
      <c r="F44" s="120"/>
      <c r="G44" s="120"/>
      <c r="H44" s="97"/>
      <c r="I44" s="120"/>
      <c r="J44" s="96"/>
      <c r="K44" s="245"/>
    </row>
    <row r="45" spans="2:11" ht="15.75" customHeight="1">
      <c r="D45" s="97"/>
      <c r="E45" s="96"/>
      <c r="F45" s="120"/>
      <c r="G45" s="120"/>
      <c r="H45" s="97"/>
      <c r="I45" s="120"/>
      <c r="J45" s="96"/>
    </row>
    <row r="46" spans="2:11" ht="15.75" customHeight="1">
      <c r="B46" s="303" t="s">
        <v>1590</v>
      </c>
      <c r="C46" s="303"/>
      <c r="D46" s="303"/>
      <c r="E46" s="303"/>
      <c r="F46" s="303"/>
      <c r="G46" s="303"/>
      <c r="H46" s="303"/>
      <c r="I46" s="303"/>
      <c r="J46" s="303"/>
      <c r="K46" s="303"/>
    </row>
    <row r="47" spans="2:11" ht="15.75" customHeight="1">
      <c r="D47" s="97"/>
      <c r="E47" s="96"/>
      <c r="F47" s="120"/>
      <c r="G47" s="120"/>
      <c r="H47" s="97"/>
      <c r="I47" s="120"/>
      <c r="J47" s="96"/>
    </row>
    <row r="48" spans="2:11" ht="15.75" customHeight="1">
      <c r="B48" s="107" t="s">
        <v>1498</v>
      </c>
      <c r="C48" s="107" t="s">
        <v>1568</v>
      </c>
      <c r="D48" s="242" t="s">
        <v>1569</v>
      </c>
      <c r="E48" s="107" t="s">
        <v>8</v>
      </c>
      <c r="F48" s="156" t="s">
        <v>1570</v>
      </c>
      <c r="G48" s="156" t="s">
        <v>1571</v>
      </c>
      <c r="H48" s="242" t="s">
        <v>1572</v>
      </c>
      <c r="I48" s="156" t="s">
        <v>1573</v>
      </c>
      <c r="J48" s="107" t="s">
        <v>1574</v>
      </c>
      <c r="K48" s="107" t="s">
        <v>1575</v>
      </c>
    </row>
    <row r="49" spans="2:11" ht="15.75" customHeight="1">
      <c r="B49" s="243" t="s">
        <v>1591</v>
      </c>
      <c r="C49" s="96" t="s">
        <v>1577</v>
      </c>
      <c r="D49" s="117">
        <v>21.28</v>
      </c>
      <c r="E49" s="96">
        <v>140</v>
      </c>
      <c r="F49" s="120">
        <v>0</v>
      </c>
      <c r="G49" s="120">
        <v>0</v>
      </c>
      <c r="H49" s="97">
        <v>0</v>
      </c>
      <c r="I49" s="120">
        <v>0</v>
      </c>
      <c r="J49" s="120">
        <v>0.05</v>
      </c>
      <c r="K49" s="118">
        <f>D49*E49+(((F49+G49)*D49)*E49)+H49+(H49*I49)+((D49*E49+(((F49+G49)*D49)*E49)+H49+(H49*I49))*J49)</f>
        <v>3128.1600000000003</v>
      </c>
    </row>
    <row r="50" spans="2:11" ht="15.75" customHeight="1">
      <c r="B50" s="244"/>
      <c r="D50" s="97"/>
      <c r="E50" s="96"/>
      <c r="F50" s="120"/>
      <c r="G50" s="120"/>
      <c r="H50" s="97"/>
      <c r="I50" s="120"/>
      <c r="J50" s="96"/>
      <c r="K50" s="245"/>
    </row>
    <row r="51" spans="2:11" ht="15.75" customHeight="1">
      <c r="B51" s="244"/>
      <c r="D51" s="97"/>
      <c r="E51" s="96"/>
      <c r="F51" s="120"/>
      <c r="G51" s="120"/>
      <c r="H51" s="97"/>
      <c r="I51" s="120"/>
      <c r="J51" s="96"/>
      <c r="K51" s="245"/>
    </row>
    <row r="52" spans="2:11" ht="15.75" customHeight="1">
      <c r="D52" s="97"/>
      <c r="E52" s="96"/>
      <c r="F52" s="120"/>
      <c r="G52" s="120"/>
      <c r="H52" s="97"/>
      <c r="I52" s="120"/>
      <c r="J52" s="96"/>
      <c r="K52" s="245"/>
    </row>
    <row r="53" spans="2:11" ht="15.75" customHeight="1">
      <c r="D53" s="97"/>
      <c r="E53" s="96"/>
      <c r="F53" s="120"/>
      <c r="G53" s="120"/>
      <c r="H53" s="97"/>
      <c r="I53" s="120"/>
      <c r="J53" s="96"/>
      <c r="K53" s="245"/>
    </row>
    <row r="54" spans="2:11" ht="15.75" customHeight="1">
      <c r="D54" s="97"/>
      <c r="E54" s="96"/>
      <c r="F54" s="120"/>
      <c r="G54" s="120"/>
      <c r="H54" s="97"/>
      <c r="I54" s="120"/>
      <c r="J54" s="96"/>
      <c r="K54" s="245"/>
    </row>
    <row r="55" spans="2:11" ht="15.75" customHeight="1">
      <c r="D55" s="97"/>
      <c r="E55" s="96"/>
      <c r="F55" s="120"/>
      <c r="G55" s="120"/>
      <c r="H55" s="97"/>
      <c r="I55" s="120"/>
      <c r="J55" s="96"/>
      <c r="K55" s="245"/>
    </row>
    <row r="56" spans="2:11" ht="15.75" customHeight="1">
      <c r="D56" s="97"/>
      <c r="E56" s="96"/>
      <c r="F56" s="120"/>
      <c r="G56" s="120"/>
      <c r="H56" s="97"/>
      <c r="I56" s="120"/>
      <c r="J56" s="96"/>
      <c r="K56" s="245"/>
    </row>
    <row r="57" spans="2:11" ht="15.75" customHeight="1">
      <c r="D57" s="97"/>
      <c r="E57" s="96"/>
      <c r="F57" s="120"/>
      <c r="G57" s="120"/>
      <c r="H57" s="97"/>
      <c r="I57" s="120"/>
      <c r="J57" s="96"/>
      <c r="K57" s="245"/>
    </row>
    <row r="58" spans="2:11" ht="15.75" customHeight="1">
      <c r="D58" s="97"/>
      <c r="E58" s="96"/>
      <c r="F58" s="120"/>
      <c r="G58" s="120"/>
      <c r="H58" s="97"/>
      <c r="I58" s="120"/>
      <c r="J58" s="96"/>
    </row>
    <row r="59" spans="2:11" ht="15.75" customHeight="1">
      <c r="B59" s="303" t="s">
        <v>1592</v>
      </c>
      <c r="C59" s="303"/>
      <c r="D59" s="303"/>
      <c r="E59" s="303"/>
      <c r="F59" s="303"/>
      <c r="G59" s="303"/>
      <c r="H59" s="303"/>
      <c r="I59" s="303"/>
      <c r="J59" s="303"/>
      <c r="K59" s="303"/>
    </row>
    <row r="60" spans="2:11" ht="15.75" customHeight="1">
      <c r="D60" s="97"/>
      <c r="E60" s="96"/>
      <c r="F60" s="120"/>
      <c r="G60" s="120"/>
      <c r="H60" s="97"/>
      <c r="I60" s="120"/>
      <c r="J60" s="96"/>
    </row>
    <row r="61" spans="2:11" ht="15.75" customHeight="1">
      <c r="B61" s="107" t="s">
        <v>1498</v>
      </c>
      <c r="C61" s="107" t="s">
        <v>1568</v>
      </c>
      <c r="D61" s="242" t="s">
        <v>1569</v>
      </c>
      <c r="E61" s="107" t="s">
        <v>8</v>
      </c>
      <c r="F61" s="156" t="s">
        <v>1570</v>
      </c>
      <c r="G61" s="156" t="s">
        <v>1571</v>
      </c>
      <c r="H61" s="242" t="s">
        <v>1572</v>
      </c>
      <c r="I61" s="156" t="s">
        <v>1573</v>
      </c>
      <c r="J61" s="107" t="s">
        <v>1574</v>
      </c>
      <c r="K61" s="107" t="s">
        <v>1575</v>
      </c>
    </row>
    <row r="62" spans="2:11" ht="15.75" customHeight="1">
      <c r="B62" s="244" t="s">
        <v>1593</v>
      </c>
      <c r="D62" s="97"/>
      <c r="E62" s="96"/>
      <c r="F62" s="120"/>
      <c r="G62" s="120"/>
      <c r="H62" s="97"/>
      <c r="I62" s="120"/>
      <c r="J62" s="96"/>
      <c r="K62" s="118">
        <f>D62*E62+(((F62+G62)*D62)*E62)+H62+(H62*I62)+((D62*E62+(((F62+G62)*D62)*E62)+H62+(H62*I62))*J62)</f>
        <v>0</v>
      </c>
    </row>
    <row r="72" spans="2:11" ht="15.75" customHeight="1">
      <c r="B72" s="303" t="s">
        <v>1594</v>
      </c>
      <c r="C72" s="303"/>
      <c r="D72" s="303"/>
      <c r="E72" s="303"/>
      <c r="F72" s="303"/>
      <c r="G72" s="303"/>
      <c r="H72" s="303"/>
      <c r="I72" s="303"/>
      <c r="J72" s="303"/>
      <c r="K72" s="303"/>
    </row>
    <row r="73" spans="2:11" ht="15.75" customHeight="1">
      <c r="D73" s="97"/>
      <c r="E73" s="96"/>
      <c r="F73" s="120"/>
      <c r="G73" s="120"/>
      <c r="H73" s="97"/>
      <c r="I73" s="120"/>
      <c r="J73" s="96"/>
    </row>
    <row r="74" spans="2:11" ht="15.75" customHeight="1">
      <c r="B74" s="144" t="s">
        <v>1498</v>
      </c>
      <c r="C74" s="144" t="s">
        <v>1568</v>
      </c>
      <c r="D74" s="246" t="s">
        <v>7</v>
      </c>
      <c r="E74" s="107" t="s">
        <v>8</v>
      </c>
      <c r="F74" s="247" t="s">
        <v>1595</v>
      </c>
      <c r="G74" s="247" t="s">
        <v>1596</v>
      </c>
      <c r="H74" s="246" t="s">
        <v>1595</v>
      </c>
      <c r="I74" s="247" t="s">
        <v>1596</v>
      </c>
      <c r="J74" s="144"/>
      <c r="K74" s="144" t="s">
        <v>1575</v>
      </c>
    </row>
    <row r="75" spans="2:11" ht="15.75" customHeight="1">
      <c r="B75" s="244" t="s">
        <v>1597</v>
      </c>
      <c r="D75" s="97"/>
      <c r="E75" s="96"/>
      <c r="F75" s="120"/>
      <c r="G75" s="120"/>
      <c r="H75" s="97"/>
      <c r="I75" s="120"/>
      <c r="J75" s="96"/>
      <c r="K75" s="118">
        <f>D75*E75+(((F75+G75)*D75)*E75)+H75+(H75*I75)+((D75*E75+(((F75+G75)*D75)*E75)+H75+(H75*I75))*J75)</f>
        <v>0</v>
      </c>
    </row>
    <row r="76" spans="2:11" ht="15.75" customHeight="1">
      <c r="B76" s="244" t="s">
        <v>1598</v>
      </c>
      <c r="D76" s="97"/>
      <c r="E76" s="96"/>
      <c r="F76" s="120"/>
      <c r="G76" s="120"/>
      <c r="H76" s="97"/>
      <c r="I76" s="120"/>
      <c r="J76" s="96"/>
      <c r="K76" s="248"/>
    </row>
    <row r="77" spans="2:11" ht="15.75" customHeight="1">
      <c r="B77" s="244" t="s">
        <v>1599</v>
      </c>
      <c r="D77" s="97"/>
      <c r="E77" s="96"/>
      <c r="F77" s="120"/>
      <c r="G77" s="120"/>
      <c r="H77" s="97"/>
      <c r="I77" s="120"/>
      <c r="J77" s="96"/>
      <c r="K77" s="248"/>
    </row>
    <row r="78" spans="2:11" ht="15.75" customHeight="1">
      <c r="B78" s="244" t="s">
        <v>1600</v>
      </c>
      <c r="D78" s="97"/>
      <c r="E78" s="96"/>
      <c r="F78" s="120"/>
      <c r="G78" s="120"/>
      <c r="H78" s="97"/>
      <c r="I78" s="120"/>
      <c r="J78" s="96"/>
      <c r="K78" s="248"/>
    </row>
    <row r="79" spans="2:11" ht="15.75" customHeight="1">
      <c r="B79" s="244" t="s">
        <v>1601</v>
      </c>
      <c r="D79" s="97"/>
      <c r="E79" s="96"/>
      <c r="F79" s="120"/>
      <c r="G79" s="120"/>
      <c r="H79" s="97"/>
      <c r="I79" s="120"/>
      <c r="J79" s="96"/>
      <c r="K79" s="248"/>
    </row>
    <row r="80" spans="2:11" ht="15.75" customHeight="1">
      <c r="B80" s="244" t="s">
        <v>1602</v>
      </c>
      <c r="D80" s="97"/>
      <c r="E80" s="96"/>
      <c r="F80" s="120"/>
      <c r="G80" s="120"/>
      <c r="H80" s="97"/>
      <c r="I80" s="120"/>
      <c r="J80" s="96"/>
      <c r="K80" s="248"/>
    </row>
  </sheetData>
  <mergeCells count="7">
    <mergeCell ref="B59:K59"/>
    <mergeCell ref="B72:K72"/>
    <mergeCell ref="A2:K2"/>
    <mergeCell ref="B7:K7"/>
    <mergeCell ref="B20:K20"/>
    <mergeCell ref="B33:K33"/>
    <mergeCell ref="B46:K46"/>
  </mergeCells>
  <pageMargins left="0.51180555555555596" right="0.51180555555555596" top="0.78749999999999998" bottom="0.78749999999999998" header="0.511811023622047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6B1E1"/>
  </sheetPr>
  <dimension ref="A2:T28"/>
  <sheetViews>
    <sheetView showGridLines="0" topLeftCell="C1" zoomScaleNormal="100" workbookViewId="0">
      <selection activeCell="M12" sqref="M12"/>
    </sheetView>
  </sheetViews>
  <sheetFormatPr baseColWidth="10" defaultColWidth="12.5" defaultRowHeight="15"/>
  <cols>
    <col min="1" max="1" width="6.5" customWidth="1"/>
    <col min="2" max="2" width="16.5" customWidth="1"/>
    <col min="3" max="3" width="25.5" customWidth="1"/>
    <col min="4" max="4" width="16.5" customWidth="1"/>
    <col min="5" max="9" width="10.5" customWidth="1"/>
    <col min="10" max="10" width="17" customWidth="1"/>
    <col min="11" max="11" width="1.6640625" customWidth="1"/>
    <col min="12" max="12" width="11.83203125" customWidth="1"/>
    <col min="13" max="13" width="13.6640625" customWidth="1"/>
    <col min="14" max="14" width="11.83203125" customWidth="1"/>
    <col min="15" max="15" width="12" customWidth="1"/>
    <col min="16" max="17" width="8.5" customWidth="1"/>
    <col min="18" max="19" width="12.1640625" customWidth="1"/>
    <col min="20" max="26" width="8.5" customWidth="1"/>
  </cols>
  <sheetData>
    <row r="2" spans="1:20" ht="42.75" customHeight="1">
      <c r="A2" s="302" t="s">
        <v>1495</v>
      </c>
      <c r="B2" s="302"/>
      <c r="C2" s="302"/>
      <c r="D2" s="302"/>
      <c r="E2" s="302"/>
      <c r="F2" s="302"/>
      <c r="G2" s="302"/>
      <c r="H2" s="302"/>
      <c r="I2" s="302"/>
      <c r="J2" s="302"/>
    </row>
    <row r="3" spans="1:20">
      <c r="D3" s="96"/>
      <c r="E3" s="249"/>
      <c r="F3" s="249"/>
      <c r="G3" s="249"/>
      <c r="H3" s="249"/>
      <c r="I3" s="249"/>
      <c r="J3" s="250" t="s">
        <v>1162</v>
      </c>
    </row>
    <row r="4" spans="1:20" ht="14.25" customHeight="1">
      <c r="A4" s="232"/>
      <c r="B4" s="214"/>
      <c r="D4" s="96"/>
      <c r="E4" s="249"/>
      <c r="F4" s="249"/>
      <c r="G4" s="249"/>
      <c r="H4" s="249"/>
      <c r="I4" s="249"/>
      <c r="J4" s="233">
        <f>J7+J21</f>
        <v>47735.040000000001</v>
      </c>
    </row>
    <row r="5" spans="1:20" ht="14.25" customHeight="1">
      <c r="A5" s="232"/>
      <c r="B5" s="214"/>
      <c r="D5" s="96"/>
      <c r="E5" s="249"/>
      <c r="F5" s="249"/>
      <c r="G5" s="249"/>
      <c r="H5" s="249"/>
      <c r="I5" s="249"/>
      <c r="J5" s="97"/>
    </row>
    <row r="6" spans="1:20" ht="14.25" customHeight="1">
      <c r="D6" s="96"/>
      <c r="E6" s="249"/>
      <c r="F6" s="249"/>
      <c r="G6" s="249"/>
      <c r="H6" s="249"/>
      <c r="I6" s="249"/>
      <c r="J6" s="97"/>
    </row>
    <row r="7" spans="1:20">
      <c r="B7" s="303" t="s">
        <v>1603</v>
      </c>
      <c r="C7" s="303"/>
      <c r="D7" s="303"/>
      <c r="E7" s="303"/>
      <c r="F7" s="303"/>
      <c r="G7" s="303"/>
      <c r="H7" s="303"/>
      <c r="I7" s="303"/>
      <c r="J7" s="119">
        <f>SUM(J11:J17)</f>
        <v>20179.440000000002</v>
      </c>
    </row>
    <row r="8" spans="1:20" ht="14.25" customHeight="1">
      <c r="D8" s="96"/>
      <c r="E8" s="249"/>
      <c r="F8" s="249"/>
      <c r="G8" s="249"/>
      <c r="H8" s="249"/>
      <c r="I8" s="249"/>
      <c r="J8" s="97"/>
    </row>
    <row r="9" spans="1:20" ht="27" customHeight="1">
      <c r="B9" s="296" t="s">
        <v>1604</v>
      </c>
      <c r="C9" s="296" t="s">
        <v>1605</v>
      </c>
      <c r="D9" s="296" t="s">
        <v>8</v>
      </c>
      <c r="E9" s="304" t="s">
        <v>1606</v>
      </c>
      <c r="F9" s="304"/>
      <c r="G9" s="304"/>
      <c r="H9" s="304"/>
      <c r="I9" s="304"/>
      <c r="J9" s="305" t="s">
        <v>1575</v>
      </c>
      <c r="L9" s="306" t="s">
        <v>1607</v>
      </c>
      <c r="M9" s="306"/>
      <c r="N9" s="306"/>
      <c r="O9" s="306"/>
      <c r="P9" s="306"/>
      <c r="Q9" s="306"/>
      <c r="R9" s="306"/>
      <c r="S9" s="306" t="s">
        <v>1608</v>
      </c>
      <c r="T9" s="306"/>
    </row>
    <row r="10" spans="1:20" ht="11.25" customHeight="1">
      <c r="B10" s="296"/>
      <c r="C10" s="296"/>
      <c r="D10" s="296"/>
      <c r="E10" s="251" t="s">
        <v>1609</v>
      </c>
      <c r="F10" s="251" t="s">
        <v>1610</v>
      </c>
      <c r="G10" s="251" t="s">
        <v>1611</v>
      </c>
      <c r="H10" s="251" t="s">
        <v>1612</v>
      </c>
      <c r="I10" s="251" t="s">
        <v>1613</v>
      </c>
      <c r="J10" s="305"/>
      <c r="L10" s="252" t="s">
        <v>1614</v>
      </c>
      <c r="M10" s="253" t="s">
        <v>1615</v>
      </c>
      <c r="N10" s="253" t="s">
        <v>1616</v>
      </c>
      <c r="O10" s="253" t="s">
        <v>1617</v>
      </c>
      <c r="P10" s="253" t="s">
        <v>1618</v>
      </c>
      <c r="Q10" s="253" t="s">
        <v>1619</v>
      </c>
      <c r="R10" s="253" t="s">
        <v>1620</v>
      </c>
      <c r="S10" s="253" t="s">
        <v>1620</v>
      </c>
      <c r="T10" s="253" t="s">
        <v>1621</v>
      </c>
    </row>
    <row r="11" spans="1:20" ht="14.25" customHeight="1">
      <c r="B11" s="48" t="s">
        <v>1622</v>
      </c>
      <c r="C11" s="48" t="s">
        <v>1623</v>
      </c>
      <c r="D11" s="96">
        <v>3</v>
      </c>
      <c r="E11" s="249">
        <v>2100</v>
      </c>
      <c r="F11" s="249">
        <v>772.8</v>
      </c>
      <c r="G11" s="249">
        <v>670.32</v>
      </c>
      <c r="H11" s="249">
        <f>250+120+200+420</f>
        <v>990</v>
      </c>
      <c r="I11" s="249">
        <f>SUM(E11:H11)</f>
        <v>4533.1200000000008</v>
      </c>
      <c r="J11" s="118">
        <f>I11*D11</f>
        <v>13599.360000000002</v>
      </c>
      <c r="L11" s="254">
        <f>E11/12</f>
        <v>175</v>
      </c>
      <c r="M11" s="254">
        <f>E11/12</f>
        <v>175</v>
      </c>
      <c r="N11" s="254">
        <f>M11/3</f>
        <v>58.333333333333336</v>
      </c>
      <c r="O11" s="254">
        <f>E11*8%</f>
        <v>168</v>
      </c>
      <c r="P11" s="254">
        <f>L11*8%</f>
        <v>14</v>
      </c>
      <c r="Q11" s="254">
        <f>SUM(M11:N11)*8%</f>
        <v>18.666666666666668</v>
      </c>
      <c r="R11" s="254">
        <f>E11*20%</f>
        <v>420</v>
      </c>
      <c r="S11" s="254">
        <f>E11*8%</f>
        <v>168</v>
      </c>
      <c r="T11" s="254">
        <f>E11*20%</f>
        <v>420</v>
      </c>
    </row>
    <row r="12" spans="1:20" ht="14.25" customHeight="1">
      <c r="B12" s="48" t="s">
        <v>1622</v>
      </c>
      <c r="C12" s="48" t="s">
        <v>1624</v>
      </c>
      <c r="D12" s="96">
        <v>1</v>
      </c>
      <c r="E12" s="249">
        <v>3313.23</v>
      </c>
      <c r="F12" s="249">
        <v>1219.27</v>
      </c>
      <c r="G12" s="249">
        <v>1057.58</v>
      </c>
      <c r="H12" s="249">
        <f>250+120+200+420</f>
        <v>990</v>
      </c>
      <c r="I12" s="249">
        <f>SUM(E12:H12)</f>
        <v>6580.08</v>
      </c>
      <c r="J12" s="118">
        <f>I12*D12</f>
        <v>6580.08</v>
      </c>
      <c r="L12" s="254">
        <f>E12/12</f>
        <v>276.10250000000002</v>
      </c>
      <c r="M12" s="254">
        <f>E12/12</f>
        <v>276.10250000000002</v>
      </c>
      <c r="N12" s="254">
        <f>M12/3</f>
        <v>92.034166666666678</v>
      </c>
      <c r="O12" s="254">
        <f>E12*8%</f>
        <v>265.05840000000001</v>
      </c>
      <c r="P12" s="254">
        <f>L12*8%</f>
        <v>22.088200000000001</v>
      </c>
      <c r="Q12" s="254">
        <f>SUM(M12:N12)*8%</f>
        <v>29.450933333333339</v>
      </c>
      <c r="R12" s="254">
        <f>E12*20%</f>
        <v>662.64600000000007</v>
      </c>
      <c r="S12" s="254">
        <f>E12*8%</f>
        <v>265.05840000000001</v>
      </c>
      <c r="T12" s="254">
        <f>E12*20%</f>
        <v>662.64600000000007</v>
      </c>
    </row>
    <row r="21" spans="2:20" ht="15.75" customHeight="1">
      <c r="B21" s="303" t="s">
        <v>1625</v>
      </c>
      <c r="C21" s="303"/>
      <c r="D21" s="303"/>
      <c r="E21" s="303"/>
      <c r="F21" s="303"/>
      <c r="G21" s="303"/>
      <c r="H21" s="303"/>
      <c r="I21" s="303"/>
      <c r="J21" s="119">
        <f>SUM(J25:J32)</f>
        <v>27555.599999999999</v>
      </c>
    </row>
    <row r="22" spans="2:20" ht="15.75" customHeight="1">
      <c r="D22" s="96"/>
      <c r="E22" s="249"/>
      <c r="F22" s="249"/>
      <c r="G22" s="249"/>
      <c r="H22" s="249"/>
      <c r="I22" s="249"/>
      <c r="J22" s="97"/>
    </row>
    <row r="23" spans="2:20" ht="15" customHeight="1">
      <c r="B23" s="296" t="s">
        <v>1604</v>
      </c>
      <c r="C23" s="296" t="s">
        <v>1605</v>
      </c>
      <c r="D23" s="296" t="s">
        <v>8</v>
      </c>
      <c r="E23" s="304" t="s">
        <v>1606</v>
      </c>
      <c r="F23" s="304"/>
      <c r="G23" s="304"/>
      <c r="H23" s="304"/>
      <c r="I23" s="304"/>
      <c r="J23" s="305" t="s">
        <v>1575</v>
      </c>
      <c r="L23" s="306" t="s">
        <v>1607</v>
      </c>
      <c r="M23" s="306"/>
      <c r="N23" s="306"/>
      <c r="O23" s="306"/>
      <c r="P23" s="306"/>
      <c r="Q23" s="306"/>
      <c r="R23" s="306"/>
      <c r="S23" s="306" t="s">
        <v>1608</v>
      </c>
      <c r="T23" s="306"/>
    </row>
    <row r="24" spans="2:20" ht="15" customHeight="1">
      <c r="B24" s="296"/>
      <c r="C24" s="296"/>
      <c r="D24" s="296"/>
      <c r="E24" s="251" t="s">
        <v>1609</v>
      </c>
      <c r="F24" s="251" t="s">
        <v>1610</v>
      </c>
      <c r="G24" s="251" t="s">
        <v>1611</v>
      </c>
      <c r="H24" s="251" t="s">
        <v>1612</v>
      </c>
      <c r="I24" s="251" t="s">
        <v>1613</v>
      </c>
      <c r="J24" s="305"/>
      <c r="L24" s="252" t="s">
        <v>1614</v>
      </c>
      <c r="M24" s="253" t="s">
        <v>1615</v>
      </c>
      <c r="N24" s="253" t="s">
        <v>1616</v>
      </c>
      <c r="O24" s="253" t="s">
        <v>1617</v>
      </c>
      <c r="P24" s="253" t="s">
        <v>1618</v>
      </c>
      <c r="Q24" s="253" t="s">
        <v>1619</v>
      </c>
      <c r="R24" s="253" t="s">
        <v>1620</v>
      </c>
      <c r="S24" s="253" t="s">
        <v>1620</v>
      </c>
      <c r="T24" s="253" t="s">
        <v>1621</v>
      </c>
    </row>
    <row r="25" spans="2:20" ht="15.75" customHeight="1">
      <c r="B25" s="48" t="s">
        <v>1626</v>
      </c>
      <c r="C25" s="48" t="s">
        <v>1627</v>
      </c>
      <c r="D25" s="96">
        <v>1</v>
      </c>
      <c r="E25" s="249">
        <v>4000</v>
      </c>
      <c r="F25" s="249">
        <f>SUM(S25:T25)</f>
        <v>1120</v>
      </c>
      <c r="G25" s="249">
        <f>SUM(L25:R25)</f>
        <v>1960.0000000000002</v>
      </c>
      <c r="H25" s="249">
        <f>250+120+200</f>
        <v>570</v>
      </c>
      <c r="I25" s="249">
        <f>SUM(E25:H25)</f>
        <v>7650</v>
      </c>
      <c r="J25" s="118">
        <f>I25*D25</f>
        <v>7650</v>
      </c>
      <c r="L25" s="254">
        <f>E25/12</f>
        <v>333.33333333333331</v>
      </c>
      <c r="M25" s="254">
        <f>E25/12</f>
        <v>333.33333333333331</v>
      </c>
      <c r="N25" s="254">
        <f>M25/3</f>
        <v>111.1111111111111</v>
      </c>
      <c r="O25" s="254">
        <f>E25*8%</f>
        <v>320</v>
      </c>
      <c r="P25" s="254">
        <f>L25*8%</f>
        <v>26.666666666666664</v>
      </c>
      <c r="Q25" s="254">
        <f>SUM(M25:N25)*8%</f>
        <v>35.55555555555555</v>
      </c>
      <c r="R25" s="254">
        <f>E25*20%</f>
        <v>800</v>
      </c>
      <c r="S25" s="254">
        <f>E25*8%</f>
        <v>320</v>
      </c>
      <c r="T25" s="254">
        <f>E25*20%</f>
        <v>800</v>
      </c>
    </row>
    <row r="26" spans="2:20" ht="15.75" customHeight="1">
      <c r="B26" s="48" t="s">
        <v>1626</v>
      </c>
      <c r="C26" s="48" t="s">
        <v>1628</v>
      </c>
      <c r="D26" s="96">
        <v>1</v>
      </c>
      <c r="E26" s="249">
        <v>5000</v>
      </c>
      <c r="F26" s="249">
        <f>SUM(S26:T26)</f>
        <v>1400</v>
      </c>
      <c r="G26" s="249">
        <f>SUM(L26:R26)</f>
        <v>2450</v>
      </c>
      <c r="H26" s="249">
        <f>250+120+200</f>
        <v>570</v>
      </c>
      <c r="I26" s="249">
        <f>SUM(E26:H26)</f>
        <v>9420</v>
      </c>
      <c r="J26" s="118">
        <f>I26*D26</f>
        <v>9420</v>
      </c>
      <c r="L26" s="254">
        <f>E26/12</f>
        <v>416.66666666666669</v>
      </c>
      <c r="M26" s="254">
        <f>E26/12</f>
        <v>416.66666666666669</v>
      </c>
      <c r="N26" s="254">
        <f>M26/3</f>
        <v>138.88888888888889</v>
      </c>
      <c r="O26" s="254">
        <f>E26*8%</f>
        <v>400</v>
      </c>
      <c r="P26" s="254">
        <f>L26*8%</f>
        <v>33.333333333333336</v>
      </c>
      <c r="Q26" s="254">
        <f>SUM(M26:N26)*8%</f>
        <v>44.444444444444443</v>
      </c>
      <c r="R26" s="254">
        <f>E26*20%</f>
        <v>1000</v>
      </c>
      <c r="S26" s="254">
        <f>E26*8%</f>
        <v>400</v>
      </c>
      <c r="T26" s="254">
        <f>E26*20%</f>
        <v>1000</v>
      </c>
    </row>
    <row r="27" spans="2:20" ht="15.75" customHeight="1">
      <c r="B27" s="48" t="s">
        <v>1629</v>
      </c>
      <c r="C27" s="48" t="s">
        <v>1630</v>
      </c>
      <c r="D27" s="96">
        <v>1</v>
      </c>
      <c r="E27" s="249">
        <v>3500</v>
      </c>
      <c r="F27" s="249">
        <f>SUM(S27:T27)</f>
        <v>980</v>
      </c>
      <c r="G27" s="249">
        <f>SUM(L27:R27)</f>
        <v>1715</v>
      </c>
      <c r="H27" s="249">
        <f>250+120+200</f>
        <v>570</v>
      </c>
      <c r="I27" s="249">
        <f>SUM(E27:H27)</f>
        <v>6765</v>
      </c>
      <c r="J27" s="118">
        <f>I27*D27</f>
        <v>6765</v>
      </c>
      <c r="L27" s="254">
        <f>E27/12</f>
        <v>291.66666666666669</v>
      </c>
      <c r="M27" s="254">
        <f>E27/12</f>
        <v>291.66666666666669</v>
      </c>
      <c r="N27" s="254">
        <f>M27/3</f>
        <v>97.222222222222229</v>
      </c>
      <c r="O27" s="254">
        <f>E27*8%</f>
        <v>280</v>
      </c>
      <c r="P27" s="254">
        <f>L27*8%</f>
        <v>23.333333333333336</v>
      </c>
      <c r="Q27" s="254">
        <f>SUM(M27:N27)*8%</f>
        <v>31.111111111111114</v>
      </c>
      <c r="R27" s="254">
        <f>E27*20%</f>
        <v>700</v>
      </c>
      <c r="S27" s="254">
        <f>E27*8%</f>
        <v>280</v>
      </c>
      <c r="T27" s="254">
        <f>E27*20%</f>
        <v>700</v>
      </c>
    </row>
    <row r="28" spans="2:20" ht="15.75" customHeight="1">
      <c r="B28" s="48" t="s">
        <v>1631</v>
      </c>
      <c r="C28" s="48" t="s">
        <v>1632</v>
      </c>
      <c r="D28" s="96">
        <v>1</v>
      </c>
      <c r="E28" s="249">
        <v>1780</v>
      </c>
      <c r="F28" s="249">
        <f>SUM(S28:T28)</f>
        <v>498.4</v>
      </c>
      <c r="G28" s="249">
        <f>SUM(L28:R28)</f>
        <v>872.2</v>
      </c>
      <c r="H28" s="249">
        <f>250+120+200</f>
        <v>570</v>
      </c>
      <c r="I28" s="249">
        <f>SUM(E28:H28)</f>
        <v>3720.6000000000004</v>
      </c>
      <c r="J28" s="118">
        <f>I28*D28</f>
        <v>3720.6000000000004</v>
      </c>
      <c r="L28" s="254">
        <f>E28/12</f>
        <v>148.33333333333334</v>
      </c>
      <c r="M28" s="254">
        <f>E28/12</f>
        <v>148.33333333333334</v>
      </c>
      <c r="N28" s="254">
        <f>M28/3</f>
        <v>49.44444444444445</v>
      </c>
      <c r="O28" s="254">
        <f>E28*8%</f>
        <v>142.4</v>
      </c>
      <c r="P28" s="254">
        <f>L28*8%</f>
        <v>11.866666666666667</v>
      </c>
      <c r="Q28" s="254">
        <f>SUM(M28:N28)*8%</f>
        <v>15.822222222222225</v>
      </c>
      <c r="R28" s="254">
        <f>E28*20%</f>
        <v>356</v>
      </c>
      <c r="S28" s="254">
        <f>E28*8%</f>
        <v>142.4</v>
      </c>
      <c r="T28" s="254">
        <f>E28*20%</f>
        <v>356</v>
      </c>
    </row>
  </sheetData>
  <mergeCells count="17">
    <mergeCell ref="L9:R9"/>
    <mergeCell ref="S9:T9"/>
    <mergeCell ref="B21:I21"/>
    <mergeCell ref="B23:B24"/>
    <mergeCell ref="C23:C24"/>
    <mergeCell ref="D23:D24"/>
    <mergeCell ref="E23:I23"/>
    <mergeCell ref="J23:J24"/>
    <mergeCell ref="L23:R23"/>
    <mergeCell ref="S23:T23"/>
    <mergeCell ref="A2:J2"/>
    <mergeCell ref="B7:I7"/>
    <mergeCell ref="B9:B10"/>
    <mergeCell ref="C9:C10"/>
    <mergeCell ref="D9:D10"/>
    <mergeCell ref="E9:I9"/>
    <mergeCell ref="J9:J10"/>
  </mergeCells>
  <pageMargins left="0.51180555555555596" right="0.51180555555555596" top="0.78749999999999998" bottom="0.78749999999999998" header="0.511811023622047" footer="0.511811023622047"/>
  <pageSetup orientation="landscape" horizontalDpi="300" verticalDpi="30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2:G22"/>
  <sheetViews>
    <sheetView showGridLines="0" topLeftCell="A5" zoomScaleNormal="100" workbookViewId="0">
      <selection activeCell="H31" sqref="H31"/>
    </sheetView>
  </sheetViews>
  <sheetFormatPr baseColWidth="10" defaultColWidth="12.5" defaultRowHeight="15"/>
  <cols>
    <col min="1" max="1" width="6.5" customWidth="1"/>
    <col min="2" max="2" width="35.5" customWidth="1"/>
    <col min="3" max="3" width="15.5" customWidth="1"/>
    <col min="4" max="5" width="16.5" customWidth="1"/>
    <col min="6" max="6" width="35.5" customWidth="1"/>
    <col min="7" max="7" width="14.1640625" customWidth="1"/>
    <col min="8" max="26" width="8.5" customWidth="1"/>
  </cols>
  <sheetData>
    <row r="2" spans="1:7" ht="42.75" customHeight="1">
      <c r="A2" s="302" t="s">
        <v>1495</v>
      </c>
      <c r="B2" s="302"/>
      <c r="C2" s="302"/>
      <c r="D2" s="302"/>
      <c r="E2" s="302"/>
      <c r="F2" s="302"/>
      <c r="G2" s="302"/>
    </row>
    <row r="3" spans="1:7">
      <c r="D3" s="97"/>
      <c r="E3" s="96"/>
      <c r="G3" s="250" t="s">
        <v>1162</v>
      </c>
    </row>
    <row r="4" spans="1:7" ht="14.25" customHeight="1">
      <c r="A4" s="232"/>
      <c r="B4" s="214" t="s">
        <v>1633</v>
      </c>
      <c r="D4" s="97"/>
      <c r="E4" s="96"/>
      <c r="G4" s="97">
        <f>SUM(G6:G1048576)</f>
        <v>0</v>
      </c>
    </row>
    <row r="5" spans="1:7" ht="14.25" customHeight="1">
      <c r="D5" s="97"/>
      <c r="E5" s="96"/>
      <c r="G5" s="97"/>
    </row>
    <row r="6" spans="1:7">
      <c r="B6" s="303" t="s">
        <v>1634</v>
      </c>
      <c r="C6" s="303"/>
      <c r="D6" s="303"/>
      <c r="E6" s="303"/>
      <c r="F6" s="303"/>
      <c r="G6" s="303"/>
    </row>
    <row r="7" spans="1:7" ht="14.25" customHeight="1">
      <c r="D7" s="97"/>
      <c r="E7" s="96"/>
      <c r="G7" s="97"/>
    </row>
    <row r="8" spans="1:7" ht="37.5" customHeight="1">
      <c r="B8" s="107" t="s">
        <v>1498</v>
      </c>
      <c r="C8" s="107" t="s">
        <v>1568</v>
      </c>
      <c r="D8" s="242" t="s">
        <v>7</v>
      </c>
      <c r="E8" s="107" t="s">
        <v>8</v>
      </c>
      <c r="F8" s="107" t="s">
        <v>1499</v>
      </c>
      <c r="G8" s="242" t="s">
        <v>1575</v>
      </c>
    </row>
    <row r="9" spans="1:7" ht="14.25" customHeight="1">
      <c r="B9" s="244" t="s">
        <v>1635</v>
      </c>
      <c r="C9" s="48" t="s">
        <v>1636</v>
      </c>
      <c r="D9" s="97">
        <v>0</v>
      </c>
      <c r="E9" s="96">
        <v>0</v>
      </c>
      <c r="G9" s="255">
        <f>D9*E9</f>
        <v>0</v>
      </c>
    </row>
    <row r="10" spans="1:7" ht="15" customHeight="1">
      <c r="D10" s="48" t="s">
        <v>1637</v>
      </c>
    </row>
    <row r="19" spans="2:7">
      <c r="B19" s="303" t="s">
        <v>1638</v>
      </c>
      <c r="C19" s="303"/>
      <c r="D19" s="303"/>
      <c r="E19" s="303"/>
      <c r="F19" s="303"/>
      <c r="G19" s="303"/>
    </row>
    <row r="20" spans="2:7" ht="14.25" customHeight="1">
      <c r="D20" s="97"/>
      <c r="E20" s="96"/>
      <c r="G20" s="97"/>
    </row>
    <row r="21" spans="2:7" ht="15.75" customHeight="1">
      <c r="B21" s="107" t="s">
        <v>1498</v>
      </c>
      <c r="C21" s="107" t="s">
        <v>1568</v>
      </c>
      <c r="D21" s="242" t="s">
        <v>7</v>
      </c>
      <c r="E21" s="107" t="s">
        <v>8</v>
      </c>
      <c r="F21" s="107" t="s">
        <v>1499</v>
      </c>
      <c r="G21" s="242" t="s">
        <v>1575</v>
      </c>
    </row>
    <row r="22" spans="2:7" ht="15.75" customHeight="1">
      <c r="B22" s="244" t="s">
        <v>1639</v>
      </c>
      <c r="D22" s="97"/>
      <c r="E22" s="96"/>
      <c r="G22" s="255">
        <f>D22*E22</f>
        <v>0</v>
      </c>
    </row>
  </sheetData>
  <mergeCells count="3">
    <mergeCell ref="A2:G2"/>
    <mergeCell ref="B6:G6"/>
    <mergeCell ref="B19:G19"/>
  </mergeCells>
  <pageMargins left="0.51180555555555596" right="0.51180555555555596" top="0.78749999999999998" bottom="0.78749999999999998" header="0.511811023622047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2:K25"/>
  <sheetViews>
    <sheetView showGridLines="0" topLeftCell="A5" zoomScaleNormal="100" workbookViewId="0">
      <selection activeCell="K50" sqref="K50"/>
    </sheetView>
  </sheetViews>
  <sheetFormatPr baseColWidth="10" defaultColWidth="12.5" defaultRowHeight="15"/>
  <cols>
    <col min="1" max="1" width="6.5" customWidth="1"/>
    <col min="2" max="2" width="33.5" customWidth="1"/>
    <col min="3" max="3" width="17.1640625" customWidth="1"/>
    <col min="4" max="4" width="10.5" customWidth="1"/>
    <col min="6" max="10" width="10.5" customWidth="1"/>
    <col min="11" max="11" width="14.5" customWidth="1"/>
    <col min="12" max="12" width="2.5" customWidth="1"/>
    <col min="13" max="13" width="15.5" customWidth="1"/>
    <col min="14" max="26" width="8.5" customWidth="1"/>
  </cols>
  <sheetData>
    <row r="2" spans="1:11" ht="42.75" customHeight="1">
      <c r="A2" s="302" t="s">
        <v>1495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</row>
    <row r="3" spans="1:11">
      <c r="C3" s="96"/>
      <c r="D3" s="96"/>
      <c r="E3" s="249"/>
      <c r="G3" s="120"/>
      <c r="H3" s="256"/>
      <c r="I3" s="257"/>
      <c r="J3" s="249"/>
      <c r="K3" s="250" t="s">
        <v>1162</v>
      </c>
    </row>
    <row r="4" spans="1:11" ht="14.25" customHeight="1">
      <c r="A4" s="232"/>
      <c r="B4" s="214" t="s">
        <v>1640</v>
      </c>
      <c r="C4" s="96"/>
      <c r="D4" s="96"/>
      <c r="E4" s="249"/>
      <c r="G4" s="120"/>
      <c r="H4" s="256"/>
      <c r="I4" s="257"/>
      <c r="J4" s="249"/>
      <c r="K4" s="233">
        <f>SUM(K7:K1048576)</f>
        <v>0</v>
      </c>
    </row>
    <row r="5" spans="1:11" ht="14.25" customHeight="1">
      <c r="C5" s="96"/>
      <c r="D5" s="96"/>
      <c r="E5" s="249"/>
      <c r="G5" s="120"/>
      <c r="H5" s="256"/>
      <c r="I5" s="257"/>
      <c r="J5" s="249"/>
    </row>
    <row r="6" spans="1:11">
      <c r="B6" s="303" t="s">
        <v>1641</v>
      </c>
      <c r="C6" s="303"/>
      <c r="D6" s="303"/>
      <c r="E6" s="303"/>
      <c r="F6" s="303"/>
      <c r="G6" s="303"/>
      <c r="H6" s="303"/>
      <c r="I6" s="303"/>
      <c r="J6" s="303"/>
      <c r="K6" s="303"/>
    </row>
    <row r="7" spans="1:11" ht="14.25" customHeight="1">
      <c r="C7" s="96"/>
      <c r="D7" s="96"/>
      <c r="E7" s="249"/>
      <c r="G7" s="120"/>
      <c r="H7" s="256"/>
      <c r="I7" s="257"/>
      <c r="J7" s="249"/>
    </row>
    <row r="8" spans="1:11" ht="14.25" customHeight="1">
      <c r="B8" s="296" t="s">
        <v>1642</v>
      </c>
      <c r="C8" s="296" t="s">
        <v>1643</v>
      </c>
      <c r="D8" s="296" t="s">
        <v>8</v>
      </c>
      <c r="E8" s="307" t="s">
        <v>1644</v>
      </c>
      <c r="F8" s="307"/>
      <c r="G8" s="307"/>
      <c r="H8" s="307"/>
      <c r="I8" s="307"/>
      <c r="J8" s="307"/>
      <c r="K8" s="296" t="s">
        <v>1645</v>
      </c>
    </row>
    <row r="9" spans="1:11" ht="21.75" customHeight="1">
      <c r="B9" s="296"/>
      <c r="C9" s="296"/>
      <c r="D9" s="296"/>
      <c r="E9" s="258" t="s">
        <v>1646</v>
      </c>
      <c r="F9" s="259" t="s">
        <v>1647</v>
      </c>
      <c r="G9" s="260" t="s">
        <v>1648</v>
      </c>
      <c r="H9" s="258" t="s">
        <v>1649</v>
      </c>
      <c r="I9" s="260" t="s">
        <v>1650</v>
      </c>
      <c r="J9" s="258" t="s">
        <v>1651</v>
      </c>
      <c r="K9" s="296"/>
    </row>
    <row r="10" spans="1:11" ht="14.25" customHeight="1">
      <c r="A10" s="48" t="s">
        <v>1652</v>
      </c>
      <c r="B10" s="96" t="s">
        <v>1653</v>
      </c>
      <c r="C10" s="96" t="s">
        <v>1654</v>
      </c>
      <c r="D10" s="96"/>
      <c r="E10" s="249">
        <v>100000</v>
      </c>
      <c r="F10" s="96">
        <v>5</v>
      </c>
      <c r="G10" s="120">
        <v>0</v>
      </c>
      <c r="H10" s="256">
        <f>G10*E10</f>
        <v>0</v>
      </c>
      <c r="I10" s="120">
        <f>1-G10</f>
        <v>1</v>
      </c>
      <c r="J10" s="249">
        <f>I10*E10</f>
        <v>100000</v>
      </c>
      <c r="K10" s="261">
        <f>IF(F10=0,0,(D10*E10-(D10*E10*G10))/F10/12)</f>
        <v>0</v>
      </c>
    </row>
    <row r="20" spans="1:11">
      <c r="B20" s="303" t="s">
        <v>1655</v>
      </c>
      <c r="C20" s="303"/>
      <c r="D20" s="303"/>
      <c r="E20" s="303"/>
      <c r="F20" s="303"/>
      <c r="G20" s="303"/>
      <c r="H20" s="303"/>
      <c r="I20" s="303"/>
      <c r="J20" s="303"/>
      <c r="K20" s="303"/>
    </row>
    <row r="21" spans="1:11" ht="15.75" customHeight="1">
      <c r="C21" s="96"/>
      <c r="D21" s="96"/>
      <c r="E21" s="249"/>
      <c r="G21" s="120"/>
      <c r="H21" s="256"/>
      <c r="I21" s="257"/>
      <c r="J21" s="249"/>
    </row>
    <row r="22" spans="1:11" ht="14.25" customHeight="1">
      <c r="B22" s="296" t="s">
        <v>1642</v>
      </c>
      <c r="C22" s="296" t="s">
        <v>1643</v>
      </c>
      <c r="D22" s="296" t="s">
        <v>8</v>
      </c>
      <c r="E22" s="307" t="s">
        <v>1644</v>
      </c>
      <c r="F22" s="307"/>
      <c r="G22" s="307"/>
      <c r="H22" s="307"/>
      <c r="I22" s="307"/>
      <c r="J22" s="307"/>
      <c r="K22" s="296" t="s">
        <v>1645</v>
      </c>
    </row>
    <row r="23" spans="1:11" ht="15.75" customHeight="1">
      <c r="B23" s="296"/>
      <c r="C23" s="296"/>
      <c r="D23" s="296"/>
      <c r="E23" s="258" t="s">
        <v>1646</v>
      </c>
      <c r="F23" s="259" t="s">
        <v>1647</v>
      </c>
      <c r="G23" s="260" t="s">
        <v>1656</v>
      </c>
      <c r="H23" s="258" t="s">
        <v>1649</v>
      </c>
      <c r="I23" s="260" t="s">
        <v>1657</v>
      </c>
      <c r="J23" s="258" t="s">
        <v>1651</v>
      </c>
      <c r="K23" s="296"/>
    </row>
    <row r="24" spans="1:11" ht="15.75" customHeight="1">
      <c r="A24" s="48" t="s">
        <v>1652</v>
      </c>
      <c r="B24" s="96" t="s">
        <v>1658</v>
      </c>
      <c r="C24" s="96" t="s">
        <v>1638</v>
      </c>
      <c r="D24" s="96"/>
      <c r="E24" s="249">
        <v>80000</v>
      </c>
      <c r="F24" s="48">
        <v>5</v>
      </c>
      <c r="G24" s="120">
        <v>0.5</v>
      </c>
      <c r="H24" s="256">
        <f>G24*E24</f>
        <v>40000</v>
      </c>
      <c r="I24" s="120">
        <f>1-G24</f>
        <v>0.5</v>
      </c>
      <c r="J24" s="249">
        <f>I24*E24</f>
        <v>40000</v>
      </c>
      <c r="K24" s="261">
        <f>IF(F24=0,0,(D24*E24-(D24*E24*G24))/F24/12)</f>
        <v>0</v>
      </c>
    </row>
    <row r="25" spans="1:11" ht="15.75" customHeight="1">
      <c r="A25" s="48" t="s">
        <v>1652</v>
      </c>
      <c r="B25" s="96" t="s">
        <v>1659</v>
      </c>
      <c r="C25" s="96" t="s">
        <v>1626</v>
      </c>
      <c r="D25" s="96"/>
      <c r="E25" s="249">
        <v>2000</v>
      </c>
      <c r="F25" s="48">
        <v>5</v>
      </c>
      <c r="G25" s="120">
        <v>0.5</v>
      </c>
      <c r="H25" s="256">
        <f>G25*E25</f>
        <v>1000</v>
      </c>
      <c r="I25" s="120">
        <f>1-G25</f>
        <v>0.5</v>
      </c>
      <c r="J25" s="249">
        <f>I25*E25</f>
        <v>1000</v>
      </c>
      <c r="K25" s="261">
        <f>IF(F25=0,0,(D25*E25-(D25*E25*G25))/F25/12)</f>
        <v>0</v>
      </c>
    </row>
  </sheetData>
  <mergeCells count="13">
    <mergeCell ref="B20:K20"/>
    <mergeCell ref="B22:B23"/>
    <mergeCell ref="C22:C23"/>
    <mergeCell ref="D22:D23"/>
    <mergeCell ref="E22:J22"/>
    <mergeCell ref="K22:K23"/>
    <mergeCell ref="A2:K2"/>
    <mergeCell ref="B6:K6"/>
    <mergeCell ref="B8:B9"/>
    <mergeCell ref="C8:C9"/>
    <mergeCell ref="D8:D9"/>
    <mergeCell ref="E8:J8"/>
    <mergeCell ref="K8:K9"/>
  </mergeCells>
  <conditionalFormatting sqref="B8:E8 K8">
    <cfRule type="cellIs" dxfId="1" priority="2" operator="equal">
      <formula>0</formula>
    </cfRule>
  </conditionalFormatting>
  <conditionalFormatting sqref="B22:E22 K22">
    <cfRule type="cellIs" dxfId="0" priority="3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924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7" sqref="A7"/>
    </sheetView>
  </sheetViews>
  <sheetFormatPr baseColWidth="10" defaultColWidth="12.5" defaultRowHeight="15"/>
  <cols>
    <col min="1" max="1" width="10.5" customWidth="1"/>
    <col min="2" max="2" width="75.83203125" customWidth="1"/>
    <col min="3" max="3" width="16.83203125" customWidth="1"/>
    <col min="4" max="4" width="26.5" customWidth="1"/>
    <col min="5" max="5" width="19" customWidth="1"/>
    <col min="7" max="7" width="16.1640625" customWidth="1"/>
    <col min="8" max="8" width="13.5" customWidth="1"/>
    <col min="9" max="9" width="14.5" customWidth="1"/>
    <col min="10" max="10" width="19.6640625" customWidth="1"/>
    <col min="11" max="11" width="21.83203125" customWidth="1"/>
    <col min="12" max="12" width="21.5" customWidth="1"/>
    <col min="13" max="13" width="13.5" customWidth="1"/>
    <col min="14" max="22" width="8.5" customWidth="1"/>
  </cols>
  <sheetData>
    <row r="1" spans="1:12" ht="30" customHeight="1">
      <c r="A1" s="217" t="s">
        <v>508</v>
      </c>
      <c r="B1" s="217" t="s">
        <v>509</v>
      </c>
      <c r="C1" s="217" t="s">
        <v>1358</v>
      </c>
      <c r="D1" s="217" t="s">
        <v>1359</v>
      </c>
      <c r="E1" s="217" t="s">
        <v>1660</v>
      </c>
      <c r="F1" s="262" t="s">
        <v>1661</v>
      </c>
      <c r="G1" s="263" t="s">
        <v>1662</v>
      </c>
      <c r="H1" s="262" t="s">
        <v>1663</v>
      </c>
      <c r="I1" s="262" t="s">
        <v>1664</v>
      </c>
      <c r="J1" s="264" t="s">
        <v>1665</v>
      </c>
      <c r="K1" s="264" t="s">
        <v>1361</v>
      </c>
      <c r="L1" s="219" t="s">
        <v>1362</v>
      </c>
    </row>
    <row r="2" spans="1:12" ht="18.75" customHeight="1">
      <c r="A2" s="114" t="s">
        <v>81</v>
      </c>
      <c r="B2" s="114" t="str">
        <f>VLOOKUP(A2,'Tabela de Produtos'!A:B,2,0)</f>
        <v>BRAZIMIL MASSA CORRIDA 4,0KG</v>
      </c>
      <c r="C2" s="265"/>
      <c r="D2" s="265"/>
      <c r="E2" s="265"/>
      <c r="F2" s="266"/>
      <c r="G2" s="267"/>
      <c r="H2" s="266"/>
      <c r="I2" s="266"/>
      <c r="J2" s="268"/>
      <c r="K2" s="268"/>
      <c r="L2" s="269"/>
    </row>
    <row r="3" spans="1:12" ht="18.75" customHeight="1">
      <c r="A3" s="265"/>
      <c r="B3" s="265"/>
      <c r="C3" s="265"/>
      <c r="D3" s="265"/>
      <c r="E3" s="265"/>
      <c r="F3" s="266"/>
      <c r="G3" s="267"/>
      <c r="H3" s="266"/>
      <c r="I3" s="266"/>
      <c r="J3" s="268"/>
      <c r="K3" s="268"/>
      <c r="L3" s="269"/>
    </row>
    <row r="4" spans="1:12" ht="18.75" customHeight="1">
      <c r="A4" s="265"/>
      <c r="B4" s="265"/>
      <c r="C4" s="265"/>
      <c r="D4" s="265"/>
      <c r="E4" s="265"/>
      <c r="F4" s="266"/>
      <c r="G4" s="267"/>
      <c r="H4" s="266"/>
      <c r="I4" s="266"/>
      <c r="J4" s="268"/>
      <c r="K4" s="268"/>
      <c r="L4" s="269"/>
    </row>
    <row r="5" spans="1:12" ht="18.75" customHeight="1">
      <c r="A5" s="265"/>
      <c r="B5" s="265"/>
      <c r="C5" s="265"/>
      <c r="D5" s="265"/>
      <c r="E5" s="265"/>
      <c r="F5" s="266"/>
      <c r="G5" s="267"/>
      <c r="H5" s="266"/>
      <c r="I5" s="266"/>
      <c r="J5" s="268"/>
      <c r="K5" s="268"/>
      <c r="L5" s="269"/>
    </row>
    <row r="6" spans="1:12" ht="18.75" customHeight="1">
      <c r="A6" s="265"/>
      <c r="B6" s="265"/>
      <c r="C6" s="265"/>
      <c r="D6" s="265"/>
      <c r="E6" s="265"/>
      <c r="F6" s="266"/>
      <c r="G6" s="267"/>
      <c r="H6" s="266"/>
      <c r="I6" s="266"/>
      <c r="J6" s="268"/>
      <c r="K6" s="268"/>
      <c r="L6" s="269"/>
    </row>
    <row r="7" spans="1:12" ht="14.25" customHeight="1">
      <c r="A7" s="114" t="s">
        <v>81</v>
      </c>
      <c r="B7" s="114" t="str">
        <f>VLOOKUP(A7,'Tabela de Produtos'!A:B,2,0)</f>
        <v>BRAZIMIL MASSA CORRIDA 4,0KG</v>
      </c>
      <c r="C7" s="48" t="s">
        <v>1197</v>
      </c>
      <c r="D7" s="114" t="str">
        <f>VLOOKUP(C7,'Custos Matéria Prima Embalagens'!B:C,2,0)</f>
        <v>AGUA</v>
      </c>
      <c r="E7" s="114" t="str">
        <f>VLOOKUP(C7,'Custos Matéria Prima Embalagens'!B:D,3,0)</f>
        <v>AGUA</v>
      </c>
      <c r="F7" s="270">
        <f t="shared" ref="F7:F14" si="0">SUMIFS(H:H,A:A,A7)</f>
        <v>1040.8</v>
      </c>
      <c r="G7" s="148">
        <f t="shared" ref="G7:G14" si="1">H7/F7</f>
        <v>0.28823981552651806</v>
      </c>
      <c r="H7" s="271">
        <v>300</v>
      </c>
      <c r="I7" s="272">
        <f>ROUND(F7/VLOOKUP(A7,'Tabela de Produtos'!A:J,10,0),0)</f>
        <v>1041</v>
      </c>
      <c r="J7" s="97">
        <f>IFERROR(VLOOKUP(C7,'Custos Matéria Prima Embalagens'!B:G,6,0)*H7,"Matéria Prima Não Cadastrada")</f>
        <v>0</v>
      </c>
      <c r="K7" s="97">
        <f>IFERROR(J7/(I7/VLOOKUP(A7,'Tabela de Produtos'!A:H,8,0)),"Matéria Prima Não Cadastrada")</f>
        <v>0</v>
      </c>
      <c r="L7" s="216">
        <v>45939</v>
      </c>
    </row>
    <row r="8" spans="1:12" ht="14.25" customHeight="1">
      <c r="A8" s="114" t="s">
        <v>81</v>
      </c>
      <c r="B8" s="114" t="str">
        <f>VLOOKUP(A8,'Tabela de Produtos'!A:B,2,0)</f>
        <v>BRAZIMIL MASSA CORRIDA 4,0KG</v>
      </c>
      <c r="C8" s="48" t="s">
        <v>1201</v>
      </c>
      <c r="D8" s="114" t="str">
        <f>VLOOKUP(C8,'Custos Matéria Prima Embalagens'!B:C,2,0)</f>
        <v>WANFOAM 528 CE (BB-190)</v>
      </c>
      <c r="E8" s="114" t="str">
        <f>VLOOKUP(C8,'Custos Matéria Prima Embalagens'!B:D,3,0)</f>
        <v>ANTI ESPUMA LATEX</v>
      </c>
      <c r="F8" s="270">
        <f t="shared" si="0"/>
        <v>1040.8</v>
      </c>
      <c r="G8" s="148">
        <f t="shared" si="1"/>
        <v>1.4411990776325905E-3</v>
      </c>
      <c r="H8" s="271">
        <v>1.5</v>
      </c>
      <c r="I8" s="272">
        <f>ROUND(F8/VLOOKUP(A8,'Tabela de Produtos'!A:J,10,0),0)</f>
        <v>1041</v>
      </c>
      <c r="J8" s="97">
        <f>IFERROR(VLOOKUP(C8,'Custos Matéria Prima Embalagens'!B:G,6,0)*H8,"Matéria Prima Não Cadastrada")</f>
        <v>10.77</v>
      </c>
      <c r="K8" s="97">
        <f>IFERROR(J8/(I8/VLOOKUP(A8,'Tabela de Produtos'!A:H,8,0)),"Matéria Prima Não Cadastrada")</f>
        <v>4.1383285302593657E-2</v>
      </c>
      <c r="L8" s="216">
        <v>45939</v>
      </c>
    </row>
    <row r="9" spans="1:12" ht="14.25" customHeight="1">
      <c r="A9" s="114" t="s">
        <v>81</v>
      </c>
      <c r="B9" s="114" t="str">
        <f>VLOOKUP(A9,'Tabela de Produtos'!A:B,2,0)</f>
        <v>BRAZIMIL MASSA CORRIDA 4,0KG</v>
      </c>
      <c r="C9" s="48" t="s">
        <v>1203</v>
      </c>
      <c r="D9" s="114" t="str">
        <f>VLOOKUP(C9,'Custos Matéria Prima Embalagens'!B:C,2,0)</f>
        <v>WANBAC WBT CE (BH-200)</v>
      </c>
      <c r="E9" s="114" t="str">
        <f>VLOOKUP(C9,'Custos Matéria Prima Embalagens'!B:D,3,0)</f>
        <v>BACTERICIDA</v>
      </c>
      <c r="F9" s="270">
        <f t="shared" si="0"/>
        <v>1040.8</v>
      </c>
      <c r="G9" s="148">
        <f t="shared" si="1"/>
        <v>1.9215987701767872E-3</v>
      </c>
      <c r="H9" s="271">
        <v>2</v>
      </c>
      <c r="I9" s="272">
        <f>ROUND(F9/VLOOKUP(A9,'Tabela de Produtos'!A:J,10,0),0)</f>
        <v>1041</v>
      </c>
      <c r="J9" s="97">
        <f>IFERROR(VLOOKUP(C9,'Custos Matéria Prima Embalagens'!B:G,6,0)*H9,"Matéria Prima Não Cadastrada")</f>
        <v>9.879999999999999</v>
      </c>
      <c r="K9" s="97">
        <f>IFERROR(J9/(I9/VLOOKUP(A9,'Tabela de Produtos'!A:H,8,0)),"Matéria Prima Não Cadastrada")</f>
        <v>3.7963496637848218E-2</v>
      </c>
      <c r="L9" s="216">
        <v>45939</v>
      </c>
    </row>
    <row r="10" spans="1:12" ht="14.25" customHeight="1">
      <c r="A10" s="114" t="s">
        <v>81</v>
      </c>
      <c r="B10" s="114" t="str">
        <f>VLOOKUP(A10,'Tabela de Produtos'!A:B,2,0)</f>
        <v>BRAZIMIL MASSA CORRIDA 4,0KG</v>
      </c>
      <c r="C10" s="48" t="s">
        <v>1327</v>
      </c>
      <c r="D10" s="114" t="str">
        <f>VLOOKUP(C10,'Custos Matéria Prima Embalagens'!B:C,2,0)</f>
        <v>REOGEL 400 (SC-25)</v>
      </c>
      <c r="E10" s="114" t="str">
        <f>VLOOKUP(C10,'Custos Matéria Prima Embalagens'!B:D,3,0)</f>
        <v>BENTONITA</v>
      </c>
      <c r="F10" s="270">
        <f t="shared" si="0"/>
        <v>1040.8</v>
      </c>
      <c r="G10" s="148">
        <f t="shared" si="1"/>
        <v>1.9215987701767872E-3</v>
      </c>
      <c r="H10" s="271">
        <v>2</v>
      </c>
      <c r="I10" s="272">
        <f>ROUND(F10/VLOOKUP(A10,'Tabela de Produtos'!A:J,10,0),0)</f>
        <v>1041</v>
      </c>
      <c r="J10" s="97">
        <f>IFERROR(VLOOKUP(C10,'Custos Matéria Prima Embalagens'!B:G,6,0)*H10,"Matéria Prima Não Cadastrada")</f>
        <v>3.56</v>
      </c>
      <c r="K10" s="97">
        <f>IFERROR(J10/(I10/VLOOKUP(A10,'Tabela de Produtos'!A:H,8,0)),"Matéria Prima Não Cadastrada")</f>
        <v>1.3679154658981748E-2</v>
      </c>
      <c r="L10" s="216">
        <v>45939</v>
      </c>
    </row>
    <row r="11" spans="1:12" ht="14.25" customHeight="1">
      <c r="A11" s="114" t="s">
        <v>81</v>
      </c>
      <c r="B11" s="114" t="str">
        <f>VLOOKUP(A11,'Tabela de Produtos'!A:B,2,0)</f>
        <v>BRAZIMIL MASSA CORRIDA 4,0KG</v>
      </c>
      <c r="C11" s="48" t="s">
        <v>1225</v>
      </c>
      <c r="D11" s="114" t="str">
        <f>VLOOKUP(C11,'Custos Matéria Prima Embalagens'!B:C,2,0)</f>
        <v>CALCARIO DOLOMITICO #325 ( SACOS 25 KG)</v>
      </c>
      <c r="E11" s="114" t="str">
        <f>VLOOKUP(C11,'Custos Matéria Prima Embalagens'!B:D,3,0)</f>
        <v>CARBONATO #325</v>
      </c>
      <c r="F11" s="270">
        <f t="shared" si="0"/>
        <v>1040.8</v>
      </c>
      <c r="G11" s="148">
        <f t="shared" si="1"/>
        <v>0.67255956956187546</v>
      </c>
      <c r="H11" s="271">
        <v>700</v>
      </c>
      <c r="I11" s="272">
        <f>ROUND(F11/VLOOKUP(A11,'Tabela de Produtos'!A:J,10,0),0)</f>
        <v>1041</v>
      </c>
      <c r="J11" s="97">
        <f>IFERROR(VLOOKUP(C11,'Custos Matéria Prima Embalagens'!B:G,6,0)*H11,"Matéria Prima Não Cadastrada")</f>
        <v>480.04496932515343</v>
      </c>
      <c r="K11" s="97">
        <f>IFERROR(J11/(I11/VLOOKUP(A11,'Tabela de Produtos'!A:H,8,0)),"Matéria Prima Não Cadastrada")</f>
        <v>1.8445531962541919</v>
      </c>
      <c r="L11" s="216">
        <v>45939</v>
      </c>
    </row>
    <row r="12" spans="1:12" ht="14.25" customHeight="1">
      <c r="A12" s="114" t="s">
        <v>81</v>
      </c>
      <c r="B12" s="114" t="str">
        <f>VLOOKUP(A12,'Tabela de Produtos'!A:B,2,0)</f>
        <v>BRAZIMIL MASSA CORRIDA 4,0KG</v>
      </c>
      <c r="C12" s="48" t="s">
        <v>1217</v>
      </c>
      <c r="D12" s="114" t="str">
        <f>VLOOKUP(C12,'Custos Matéria Prima Embalagens'!B:C,2,0)</f>
        <v>WANCRIL W 51 CE (CT-1000P)</v>
      </c>
      <c r="E12" s="114" t="str">
        <f>VLOOKUP(C12,'Custos Matéria Prima Embalagens'!B:D,3,0)</f>
        <v>RESINA ACRILICA ESTIRENADA</v>
      </c>
      <c r="F12" s="270">
        <f t="shared" si="0"/>
        <v>1040.8</v>
      </c>
      <c r="G12" s="148">
        <f t="shared" si="1"/>
        <v>1.7294388931591083E-2</v>
      </c>
      <c r="H12" s="271">
        <v>18</v>
      </c>
      <c r="I12" s="272">
        <f>ROUND(F12/VLOOKUP(A12,'Tabela de Produtos'!A:J,10,0),0)</f>
        <v>1041</v>
      </c>
      <c r="J12" s="97">
        <f>IFERROR(VLOOKUP(C12,'Custos Matéria Prima Embalagens'!B:G,6,0)*H12,"Matéria Prima Não Cadastrada")</f>
        <v>151.74</v>
      </c>
      <c r="K12" s="97">
        <f>IFERROR(J12/(I12/VLOOKUP(A12,'Tabela de Produtos'!A:H,8,0)),"Matéria Prima Não Cadastrada")</f>
        <v>0.58305475504322768</v>
      </c>
      <c r="L12" s="216">
        <v>45939</v>
      </c>
    </row>
    <row r="13" spans="1:12" ht="14.25" customHeight="1">
      <c r="A13" s="114" t="s">
        <v>81</v>
      </c>
      <c r="B13" s="114" t="str">
        <f>VLOOKUP(A13,'Tabela de Produtos'!A:B,2,0)</f>
        <v>BRAZIMIL MASSA CORRIDA 4,0KG</v>
      </c>
      <c r="C13" s="48" t="s">
        <v>1325</v>
      </c>
      <c r="D13" s="114" t="str">
        <f>VLOOKUP(C13,'Custos Matéria Prima Embalagens'!B:C,2,0)</f>
        <v>WANESP 450 CE (CT-1000P)</v>
      </c>
      <c r="E13" s="114" t="str">
        <f>VLOOKUP(C13,'Custos Matéria Prima Embalagens'!B:D,3,0)</f>
        <v>ESPESSANTE DE ALTA</v>
      </c>
      <c r="F13" s="270">
        <f t="shared" si="0"/>
        <v>1040.8</v>
      </c>
      <c r="G13" s="148">
        <f t="shared" si="1"/>
        <v>1.3451191391237511E-2</v>
      </c>
      <c r="H13" s="271">
        <v>14</v>
      </c>
      <c r="I13" s="272">
        <f>ROUND(F13/VLOOKUP(A13,'Tabela de Produtos'!A:J,10,0),0)</f>
        <v>1041</v>
      </c>
      <c r="J13" s="97">
        <f>IFERROR(VLOOKUP(C13,'Custos Matéria Prima Embalagens'!B:G,6,0)*H13,"Matéria Prima Não Cadastrada")</f>
        <v>105.41999999999999</v>
      </c>
      <c r="K13" s="97">
        <f>IFERROR(J13/(I13/VLOOKUP(A13,'Tabela de Produtos'!A:H,8,0)),"Matéria Prima Não Cadastrada")</f>
        <v>0.40507204610951003</v>
      </c>
      <c r="L13" s="216">
        <v>45939</v>
      </c>
    </row>
    <row r="14" spans="1:12" ht="14.25" customHeight="1">
      <c r="A14" s="114" t="s">
        <v>81</v>
      </c>
      <c r="B14" s="114" t="str">
        <f>VLOOKUP(A14,'Tabela de Produtos'!A:B,2,0)</f>
        <v>BRAZIMIL MASSA CORRIDA 4,0KG</v>
      </c>
      <c r="C14" s="48" t="s">
        <v>1219</v>
      </c>
      <c r="D14" s="114" t="str">
        <f>VLOOKUP(C14,'Custos Matéria Prima Embalagens'!B:C,2,0)</f>
        <v>WANALK 70 CE (BH-200)</v>
      </c>
      <c r="E14" s="114" t="str">
        <f>VLOOKUP(C14,'Custos Matéria Prima Embalagens'!B:D,3,0)</f>
        <v>ALCALINIZANTE</v>
      </c>
      <c r="F14" s="270">
        <f t="shared" si="0"/>
        <v>1040.8</v>
      </c>
      <c r="G14" s="148">
        <f t="shared" si="1"/>
        <v>3.1706379707916988E-3</v>
      </c>
      <c r="H14" s="271">
        <v>3.3</v>
      </c>
      <c r="I14" s="272">
        <f>ROUND(F14/VLOOKUP(A14,'Tabela de Produtos'!A:J,10,0),0)</f>
        <v>1041</v>
      </c>
      <c r="J14" s="97">
        <f>IFERROR(VLOOKUP(C14,'Custos Matéria Prima Embalagens'!B:G,6,0)*H14,"Matéria Prima Não Cadastrada")</f>
        <v>16.434000000000001</v>
      </c>
      <c r="K14" s="97">
        <f>IFERROR(J14/(I14/VLOOKUP(A14,'Tabela de Produtos'!A:H,8,0)),"Matéria Prima Não Cadastrada")</f>
        <v>6.3146974063400585E-2</v>
      </c>
      <c r="L14" s="216">
        <v>45939</v>
      </c>
    </row>
    <row r="15" spans="1:12" ht="14.25" customHeight="1">
      <c r="A15" s="114"/>
      <c r="B15" s="114"/>
      <c r="D15" s="114"/>
      <c r="E15" s="114"/>
      <c r="F15" s="270"/>
      <c r="G15" s="273"/>
      <c r="H15" s="271"/>
      <c r="I15" s="272"/>
      <c r="J15" s="97"/>
      <c r="K15" s="97"/>
      <c r="L15" s="216">
        <v>45939</v>
      </c>
    </row>
    <row r="16" spans="1:12" ht="14.25" customHeight="1">
      <c r="A16" s="48" t="s">
        <v>82</v>
      </c>
      <c r="B16" s="114" t="str">
        <f>VLOOKUP(A16,'Tabela de Produtos'!A:B,2,0)</f>
        <v>BRAZIMIL MASSA CORRIDA 20,0 KG</v>
      </c>
      <c r="C16" s="48" t="s">
        <v>1197</v>
      </c>
      <c r="D16" s="114" t="str">
        <f>VLOOKUP(C16,'Custos Matéria Prima Embalagens'!B:C,2,0)</f>
        <v>AGUA</v>
      </c>
      <c r="E16" s="114" t="str">
        <f>VLOOKUP(C16,'Custos Matéria Prima Embalagens'!B:D,3,0)</f>
        <v>AGUA</v>
      </c>
      <c r="F16" s="270">
        <f t="shared" ref="F16:F23" si="2">SUMIFS(H:H,A:A,A16)</f>
        <v>1040.8</v>
      </c>
      <c r="G16" s="148">
        <f t="shared" ref="G16:G23" si="3">H16/F16</f>
        <v>0.28823981552651806</v>
      </c>
      <c r="H16" s="271">
        <v>300</v>
      </c>
      <c r="I16" s="272">
        <f>ROUND(F16/VLOOKUP(A16,'Tabela de Produtos'!A:J,10,0),0)</f>
        <v>1041</v>
      </c>
      <c r="J16" s="97">
        <f>IFERROR(VLOOKUP(C16,'Custos Matéria Prima Embalagens'!B:G,6,0)*H16,"Matéria Prima Não Cadastrada")</f>
        <v>0</v>
      </c>
      <c r="K16" s="97">
        <f>IFERROR(J16/(I16/VLOOKUP(A16,'Tabela de Produtos'!A:H,8,0)),"Matéria Prima Não Cadastrada")</f>
        <v>0</v>
      </c>
      <c r="L16" s="216">
        <v>45939</v>
      </c>
    </row>
    <row r="17" spans="1:12" ht="14.25" customHeight="1">
      <c r="A17" s="48" t="s">
        <v>82</v>
      </c>
      <c r="B17" s="114" t="str">
        <f>VLOOKUP(A17,'Tabela de Produtos'!A:B,2,0)</f>
        <v>BRAZIMIL MASSA CORRIDA 20,0 KG</v>
      </c>
      <c r="C17" s="48" t="s">
        <v>1201</v>
      </c>
      <c r="D17" s="114" t="str">
        <f>VLOOKUP(C17,'Custos Matéria Prima Embalagens'!B:C,2,0)</f>
        <v>WANFOAM 528 CE (BB-190)</v>
      </c>
      <c r="E17" s="114" t="str">
        <f>VLOOKUP(C17,'Custos Matéria Prima Embalagens'!B:D,3,0)</f>
        <v>ANTI ESPUMA LATEX</v>
      </c>
      <c r="F17" s="270">
        <f t="shared" si="2"/>
        <v>1040.8</v>
      </c>
      <c r="G17" s="148">
        <f t="shared" si="3"/>
        <v>1.4411990776325905E-3</v>
      </c>
      <c r="H17" s="271">
        <v>1.5</v>
      </c>
      <c r="I17" s="272">
        <f>ROUND(F17/VLOOKUP(A17,'Tabela de Produtos'!A:J,10,0),0)</f>
        <v>1041</v>
      </c>
      <c r="J17" s="97">
        <f>IFERROR(VLOOKUP(C17,'Custos Matéria Prima Embalagens'!B:G,6,0)*H17,"Matéria Prima Não Cadastrada")</f>
        <v>10.77</v>
      </c>
      <c r="K17" s="97">
        <f>IFERROR(J17/(I17/VLOOKUP(A17,'Tabela de Produtos'!A:H,8,0)),"Matéria Prima Não Cadastrada")</f>
        <v>0.20691642651296829</v>
      </c>
      <c r="L17" s="216">
        <v>45939</v>
      </c>
    </row>
    <row r="18" spans="1:12" ht="14.25" customHeight="1">
      <c r="A18" s="48" t="s">
        <v>82</v>
      </c>
      <c r="B18" s="114" t="str">
        <f>VLOOKUP(A18,'Tabela de Produtos'!A:B,2,0)</f>
        <v>BRAZIMIL MASSA CORRIDA 20,0 KG</v>
      </c>
      <c r="C18" s="48" t="s">
        <v>1203</v>
      </c>
      <c r="D18" s="114" t="str">
        <f>VLOOKUP(C18,'Custos Matéria Prima Embalagens'!B:C,2,0)</f>
        <v>WANBAC WBT CE (BH-200)</v>
      </c>
      <c r="E18" s="114" t="str">
        <f>VLOOKUP(C18,'Custos Matéria Prima Embalagens'!B:D,3,0)</f>
        <v>BACTERICIDA</v>
      </c>
      <c r="F18" s="270">
        <f t="shared" si="2"/>
        <v>1040.8</v>
      </c>
      <c r="G18" s="148">
        <f t="shared" si="3"/>
        <v>1.9215987701767872E-3</v>
      </c>
      <c r="H18" s="271">
        <v>2</v>
      </c>
      <c r="I18" s="272">
        <f>ROUND(F18/VLOOKUP(A18,'Tabela de Produtos'!A:J,10,0),0)</f>
        <v>1041</v>
      </c>
      <c r="J18" s="97">
        <f>IFERROR(VLOOKUP(C18,'Custos Matéria Prima Embalagens'!B:G,6,0)*H18,"Matéria Prima Não Cadastrada")</f>
        <v>9.879999999999999</v>
      </c>
      <c r="K18" s="97">
        <f>IFERROR(J18/(I18/VLOOKUP(A18,'Tabela de Produtos'!A:H,8,0)),"Matéria Prima Não Cadastrada")</f>
        <v>0.1898174831892411</v>
      </c>
      <c r="L18" s="216">
        <v>45939</v>
      </c>
    </row>
    <row r="19" spans="1:12" ht="14.25" customHeight="1">
      <c r="A19" s="48" t="s">
        <v>82</v>
      </c>
      <c r="B19" s="114" t="str">
        <f>VLOOKUP(A19,'Tabela de Produtos'!A:B,2,0)</f>
        <v>BRAZIMIL MASSA CORRIDA 20,0 KG</v>
      </c>
      <c r="C19" s="48" t="s">
        <v>1327</v>
      </c>
      <c r="D19" s="114" t="str">
        <f>VLOOKUP(C19,'Custos Matéria Prima Embalagens'!B:C,2,0)</f>
        <v>REOGEL 400 (SC-25)</v>
      </c>
      <c r="E19" s="114" t="str">
        <f>VLOOKUP(C19,'Custos Matéria Prima Embalagens'!B:D,3,0)</f>
        <v>BENTONITA</v>
      </c>
      <c r="F19" s="270">
        <f t="shared" si="2"/>
        <v>1040.8</v>
      </c>
      <c r="G19" s="148">
        <f t="shared" si="3"/>
        <v>1.9215987701767872E-3</v>
      </c>
      <c r="H19" s="271">
        <v>2</v>
      </c>
      <c r="I19" s="272">
        <f>ROUND(F19/VLOOKUP(A19,'Tabela de Produtos'!A:J,10,0),0)</f>
        <v>1041</v>
      </c>
      <c r="J19" s="97">
        <f>IFERROR(VLOOKUP(C19,'Custos Matéria Prima Embalagens'!B:G,6,0)*H19,"Matéria Prima Não Cadastrada")</f>
        <v>3.56</v>
      </c>
      <c r="K19" s="97">
        <f>IFERROR(J19/(I19/VLOOKUP(A19,'Tabela de Produtos'!A:H,8,0)),"Matéria Prima Não Cadastrada")</f>
        <v>6.8395773294908743E-2</v>
      </c>
      <c r="L19" s="216">
        <v>45939</v>
      </c>
    </row>
    <row r="20" spans="1:12" ht="14.25" customHeight="1">
      <c r="A20" s="48" t="s">
        <v>82</v>
      </c>
      <c r="B20" s="114" t="str">
        <f>VLOOKUP(A20,'Tabela de Produtos'!A:B,2,0)</f>
        <v>BRAZIMIL MASSA CORRIDA 20,0 KG</v>
      </c>
      <c r="C20" s="48" t="s">
        <v>1225</v>
      </c>
      <c r="D20" s="114" t="str">
        <f>VLOOKUP(C20,'Custos Matéria Prima Embalagens'!B:C,2,0)</f>
        <v>CALCARIO DOLOMITICO #325 ( SACOS 25 KG)</v>
      </c>
      <c r="E20" s="114" t="str">
        <f>VLOOKUP(C20,'Custos Matéria Prima Embalagens'!B:D,3,0)</f>
        <v>CARBONATO #325</v>
      </c>
      <c r="F20" s="270">
        <f t="shared" si="2"/>
        <v>1040.8</v>
      </c>
      <c r="G20" s="148">
        <f t="shared" si="3"/>
        <v>0.67255956956187546</v>
      </c>
      <c r="H20" s="271">
        <v>700</v>
      </c>
      <c r="I20" s="272">
        <f>ROUND(F20/VLOOKUP(A20,'Tabela de Produtos'!A:J,10,0),0)</f>
        <v>1041</v>
      </c>
      <c r="J20" s="97">
        <f>IFERROR(VLOOKUP(C20,'Custos Matéria Prima Embalagens'!B:G,6,0)*H20,"Matéria Prima Não Cadastrada")</f>
        <v>480.04496932515343</v>
      </c>
      <c r="K20" s="97">
        <f>IFERROR(J20/(I20/VLOOKUP(A20,'Tabela de Produtos'!A:H,8,0)),"Matéria Prima Não Cadastrada")</f>
        <v>9.2227659812709604</v>
      </c>
      <c r="L20" s="216">
        <v>45939</v>
      </c>
    </row>
    <row r="21" spans="1:12" ht="14.25" customHeight="1">
      <c r="A21" s="48" t="s">
        <v>82</v>
      </c>
      <c r="B21" s="114" t="str">
        <f>VLOOKUP(A21,'Tabela de Produtos'!A:B,2,0)</f>
        <v>BRAZIMIL MASSA CORRIDA 20,0 KG</v>
      </c>
      <c r="C21" s="48" t="s">
        <v>1217</v>
      </c>
      <c r="D21" s="114" t="str">
        <f>VLOOKUP(C21,'Custos Matéria Prima Embalagens'!B:C,2,0)</f>
        <v>WANCRIL W 51 CE (CT-1000P)</v>
      </c>
      <c r="E21" s="114" t="str">
        <f>VLOOKUP(C21,'Custos Matéria Prima Embalagens'!B:D,3,0)</f>
        <v>RESINA ACRILICA ESTIRENADA</v>
      </c>
      <c r="F21" s="270">
        <f t="shared" si="2"/>
        <v>1040.8</v>
      </c>
      <c r="G21" s="148">
        <f t="shared" si="3"/>
        <v>1.7294388931591083E-2</v>
      </c>
      <c r="H21" s="271">
        <v>18</v>
      </c>
      <c r="I21" s="272">
        <f>ROUND(F21/VLOOKUP(A21,'Tabela de Produtos'!A:J,10,0),0)</f>
        <v>1041</v>
      </c>
      <c r="J21" s="97">
        <f>IFERROR(VLOOKUP(C21,'Custos Matéria Prima Embalagens'!B:G,6,0)*H21,"Matéria Prima Não Cadastrada")</f>
        <v>151.74</v>
      </c>
      <c r="K21" s="97">
        <f>IFERROR(J21/(I21/VLOOKUP(A21,'Tabela de Produtos'!A:H,8,0)),"Matéria Prima Não Cadastrada")</f>
        <v>2.9152737752161388</v>
      </c>
      <c r="L21" s="216">
        <v>45939</v>
      </c>
    </row>
    <row r="22" spans="1:12" ht="14.25" customHeight="1">
      <c r="A22" s="48" t="s">
        <v>82</v>
      </c>
      <c r="B22" s="114" t="str">
        <f>VLOOKUP(A22,'Tabela de Produtos'!A:B,2,0)</f>
        <v>BRAZIMIL MASSA CORRIDA 20,0 KG</v>
      </c>
      <c r="C22" s="48" t="s">
        <v>1325</v>
      </c>
      <c r="D22" s="114" t="str">
        <f>VLOOKUP(C22,'Custos Matéria Prima Embalagens'!B:C,2,0)</f>
        <v>WANESP 450 CE (CT-1000P)</v>
      </c>
      <c r="E22" s="114" t="str">
        <f>VLOOKUP(C22,'Custos Matéria Prima Embalagens'!B:D,3,0)</f>
        <v>ESPESSANTE DE ALTA</v>
      </c>
      <c r="F22" s="270">
        <f t="shared" si="2"/>
        <v>1040.8</v>
      </c>
      <c r="G22" s="148">
        <f t="shared" si="3"/>
        <v>1.3451191391237511E-2</v>
      </c>
      <c r="H22" s="271">
        <v>14</v>
      </c>
      <c r="I22" s="272">
        <f>ROUND(F22/VLOOKUP(A22,'Tabela de Produtos'!A:J,10,0),0)</f>
        <v>1041</v>
      </c>
      <c r="J22" s="97">
        <f>IFERROR(VLOOKUP(C22,'Custos Matéria Prima Embalagens'!B:G,6,0)*H22,"Matéria Prima Não Cadastrada")</f>
        <v>105.41999999999999</v>
      </c>
      <c r="K22" s="97">
        <f>IFERROR(J22/(I22/VLOOKUP(A22,'Tabela de Produtos'!A:H,8,0)),"Matéria Prima Não Cadastrada")</f>
        <v>2.0253602305475504</v>
      </c>
      <c r="L22" s="216">
        <v>45939</v>
      </c>
    </row>
    <row r="23" spans="1:12" ht="14.25" customHeight="1">
      <c r="A23" s="48" t="s">
        <v>82</v>
      </c>
      <c r="B23" s="114" t="str">
        <f>VLOOKUP(A23,'Tabela de Produtos'!A:B,2,0)</f>
        <v>BRAZIMIL MASSA CORRIDA 20,0 KG</v>
      </c>
      <c r="C23" s="48" t="s">
        <v>1219</v>
      </c>
      <c r="D23" s="114" t="str">
        <f>VLOOKUP(C23,'Custos Matéria Prima Embalagens'!B:C,2,0)</f>
        <v>WANALK 70 CE (BH-200)</v>
      </c>
      <c r="E23" s="114" t="str">
        <f>VLOOKUP(C23,'Custos Matéria Prima Embalagens'!B:D,3,0)</f>
        <v>ALCALINIZANTE</v>
      </c>
      <c r="F23" s="270">
        <f t="shared" si="2"/>
        <v>1040.8</v>
      </c>
      <c r="G23" s="148">
        <f t="shared" si="3"/>
        <v>3.1706379707916988E-3</v>
      </c>
      <c r="H23" s="271">
        <v>3.3</v>
      </c>
      <c r="I23" s="272">
        <f>ROUND(F23/VLOOKUP(A23,'Tabela de Produtos'!A:J,10,0),0)</f>
        <v>1041</v>
      </c>
      <c r="J23" s="97">
        <f>IFERROR(VLOOKUP(C23,'Custos Matéria Prima Embalagens'!B:G,6,0)*H23,"Matéria Prima Não Cadastrada")</f>
        <v>16.434000000000001</v>
      </c>
      <c r="K23" s="97">
        <f>IFERROR(J23/(I23/VLOOKUP(A23,'Tabela de Produtos'!A:H,8,0)),"Matéria Prima Não Cadastrada")</f>
        <v>0.31573487031700292</v>
      </c>
      <c r="L23" s="216">
        <v>45939</v>
      </c>
    </row>
    <row r="24" spans="1:12" ht="14.25" customHeight="1">
      <c r="D24" s="114"/>
      <c r="E24" s="114"/>
      <c r="F24" s="270"/>
      <c r="G24" s="148"/>
      <c r="H24" s="271"/>
      <c r="I24" s="272"/>
      <c r="J24" s="97"/>
      <c r="K24" s="97"/>
      <c r="L24" s="216">
        <v>45939</v>
      </c>
    </row>
    <row r="25" spans="1:12" ht="14.25" customHeight="1">
      <c r="A25" s="48" t="s">
        <v>83</v>
      </c>
      <c r="B25" s="114" t="str">
        <f>VLOOKUP(A25,'Tabela de Produtos'!A:B,2,0)</f>
        <v>BRAZIMIL SELADOR ACRILICO 3L</v>
      </c>
      <c r="C25" s="48" t="s">
        <v>1197</v>
      </c>
      <c r="D25" s="114" t="str">
        <f>VLOOKUP(C25,'Custos Matéria Prima Embalagens'!B:C,2,0)</f>
        <v>AGUA</v>
      </c>
      <c r="E25" s="114" t="str">
        <f>VLOOKUP(C25,'Custos Matéria Prima Embalagens'!B:D,3,0)</f>
        <v>AGUA</v>
      </c>
      <c r="F25" s="270">
        <f t="shared" ref="F25:F37" si="4">SUMIFS(H:H,A:A,A25)</f>
        <v>818.5</v>
      </c>
      <c r="G25" s="148">
        <f t="shared" ref="G25:G37" si="5">H25/F25</f>
        <v>0.56200366524129508</v>
      </c>
      <c r="H25" s="271">
        <v>460</v>
      </c>
      <c r="I25" s="272">
        <f>ROUND(F25/VLOOKUP(A25,'Tabela de Produtos'!A:J,10,0),0)</f>
        <v>644</v>
      </c>
      <c r="J25" s="97">
        <f>IFERROR(VLOOKUP(C25,'Custos Matéria Prima Embalagens'!B:G,6,0)*H25,"Matéria Prima Não Cadastrada")</f>
        <v>0</v>
      </c>
      <c r="K25" s="97">
        <f>IFERROR(J25/(I25/VLOOKUP(A25,'Tabela de Produtos'!A:H,8,0)),"Matéria Prima Não Cadastrada")</f>
        <v>0</v>
      </c>
      <c r="L25" s="216">
        <v>45939</v>
      </c>
    </row>
    <row r="26" spans="1:12" ht="15.75" customHeight="1">
      <c r="A26" s="48" t="s">
        <v>83</v>
      </c>
      <c r="B26" s="114" t="str">
        <f>VLOOKUP(A26,'Tabela de Produtos'!A:B,2,0)</f>
        <v>BRAZIMIL SELADOR ACRILICO 3L</v>
      </c>
      <c r="C26" s="48" t="s">
        <v>1201</v>
      </c>
      <c r="D26" s="114" t="str">
        <f>VLOOKUP(C26,'Custos Matéria Prima Embalagens'!B:C,2,0)</f>
        <v>WANFOAM 528 CE (BB-190)</v>
      </c>
      <c r="E26" s="114" t="str">
        <f>VLOOKUP(C26,'Custos Matéria Prima Embalagens'!B:D,3,0)</f>
        <v>ANTI ESPUMA LATEX</v>
      </c>
      <c r="F26" s="270">
        <f t="shared" si="4"/>
        <v>818.5</v>
      </c>
      <c r="G26" s="148">
        <f t="shared" si="5"/>
        <v>3.0543677458766036E-3</v>
      </c>
      <c r="H26" s="271">
        <v>2.5</v>
      </c>
      <c r="I26" s="272">
        <f>ROUND(F26/VLOOKUP(A26,'Tabela de Produtos'!A:J,10,0),0)</f>
        <v>644</v>
      </c>
      <c r="J26" s="97">
        <f>IFERROR(VLOOKUP(C26,'Custos Matéria Prima Embalagens'!B:G,6,0)*H26,"Matéria Prima Não Cadastrada")</f>
        <v>17.95</v>
      </c>
      <c r="K26" s="97">
        <f>IFERROR(J26/(I26/VLOOKUP(A26,'Tabela de Produtos'!A:H,8,0)),"Matéria Prima Não Cadastrada")</f>
        <v>8.3618012422360249E-2</v>
      </c>
      <c r="L26" s="216">
        <v>45939</v>
      </c>
    </row>
    <row r="27" spans="1:12" ht="15.75" customHeight="1">
      <c r="A27" s="48" t="s">
        <v>83</v>
      </c>
      <c r="B27" s="114" t="str">
        <f>VLOOKUP(A27,'Tabela de Produtos'!A:B,2,0)</f>
        <v>BRAZIMIL SELADOR ACRILICO 3L</v>
      </c>
      <c r="C27" s="48" t="s">
        <v>1203</v>
      </c>
      <c r="D27" s="114" t="str">
        <f>VLOOKUP(C27,'Custos Matéria Prima Embalagens'!B:C,2,0)</f>
        <v>WANBAC WBT CE (BH-200)</v>
      </c>
      <c r="E27" s="114" t="str">
        <f>VLOOKUP(C27,'Custos Matéria Prima Embalagens'!B:D,3,0)</f>
        <v>BACTERICIDA</v>
      </c>
      <c r="F27" s="270">
        <f t="shared" si="4"/>
        <v>818.5</v>
      </c>
      <c r="G27" s="148">
        <f t="shared" si="5"/>
        <v>3.6652412950519244E-3</v>
      </c>
      <c r="H27" s="271">
        <v>3</v>
      </c>
      <c r="I27" s="272">
        <f>ROUND(F27/VLOOKUP(A27,'Tabela de Produtos'!A:J,10,0),0)</f>
        <v>644</v>
      </c>
      <c r="J27" s="97">
        <f>IFERROR(VLOOKUP(C27,'Custos Matéria Prima Embalagens'!B:G,6,0)*H27,"Matéria Prima Não Cadastrada")</f>
        <v>14.819999999999999</v>
      </c>
      <c r="K27" s="97">
        <f>IFERROR(J27/(I27/VLOOKUP(A27,'Tabela de Produtos'!A:H,8,0)),"Matéria Prima Não Cadastrada")</f>
        <v>6.903726708074534E-2</v>
      </c>
      <c r="L27" s="216">
        <v>45939</v>
      </c>
    </row>
    <row r="28" spans="1:12" ht="15.75" customHeight="1">
      <c r="A28" s="48" t="s">
        <v>83</v>
      </c>
      <c r="B28" s="114" t="str">
        <f>VLOOKUP(A28,'Tabela de Produtos'!A:B,2,0)</f>
        <v>BRAZIMIL SELADOR ACRILICO 3L</v>
      </c>
      <c r="C28" s="48" t="s">
        <v>1205</v>
      </c>
      <c r="D28" s="114" t="str">
        <f>VLOOKUP(C28,'Custos Matéria Prima Embalagens'!B:C,2,0)</f>
        <v>WANSUR 840 CE (BB-200)01</v>
      </c>
      <c r="E28" s="114" t="str">
        <f>VLOOKUP(C28,'Custos Matéria Prima Embalagens'!B:D,3,0)</f>
        <v>UMECTANTE</v>
      </c>
      <c r="F28" s="270">
        <f t="shared" si="4"/>
        <v>818.5</v>
      </c>
      <c r="G28" s="148">
        <f t="shared" si="5"/>
        <v>2.4434941967012829E-3</v>
      </c>
      <c r="H28" s="271">
        <v>2</v>
      </c>
      <c r="I28" s="272">
        <f>ROUND(F28/VLOOKUP(A28,'Tabela de Produtos'!A:J,10,0),0)</f>
        <v>644</v>
      </c>
      <c r="J28" s="97">
        <f>IFERROR(VLOOKUP(C28,'Custos Matéria Prima Embalagens'!B:G,6,0)*H28,"Matéria Prima Não Cadastrada")</f>
        <v>14.66</v>
      </c>
      <c r="K28" s="97">
        <f>IFERROR(J28/(I28/VLOOKUP(A28,'Tabela de Produtos'!A:H,8,0)),"Matéria Prima Não Cadastrada")</f>
        <v>6.829192546583851E-2</v>
      </c>
      <c r="L28" s="216">
        <v>45939</v>
      </c>
    </row>
    <row r="29" spans="1:12" ht="15.75" customHeight="1">
      <c r="A29" s="48" t="s">
        <v>83</v>
      </c>
      <c r="B29" s="114" t="str">
        <f>VLOOKUP(A29,'Tabela de Produtos'!A:B,2,0)</f>
        <v>BRAZIMIL SELADOR ACRILICO 3L</v>
      </c>
      <c r="C29" s="48" t="s">
        <v>1207</v>
      </c>
      <c r="D29" s="114" t="str">
        <f>VLOOKUP(C29,'Custos Matéria Prima Embalagens'!B:C,2,0)</f>
        <v>WANPEX 1510 (BB-200)</v>
      </c>
      <c r="E29" s="114" t="str">
        <f>VLOOKUP(C29,'Custos Matéria Prima Embalagens'!B:D,3,0)</f>
        <v>DISPERSANTE LATEX</v>
      </c>
      <c r="F29" s="270">
        <f t="shared" si="4"/>
        <v>818.5</v>
      </c>
      <c r="G29" s="148">
        <f t="shared" si="5"/>
        <v>3.6652412950519244E-3</v>
      </c>
      <c r="H29" s="271">
        <v>3</v>
      </c>
      <c r="I29" s="272">
        <f>ROUND(F29/VLOOKUP(A29,'Tabela de Produtos'!A:J,10,0),0)</f>
        <v>644</v>
      </c>
      <c r="J29" s="97">
        <f>IFERROR(VLOOKUP(C29,'Custos Matéria Prima Embalagens'!B:G,6,0)*H29,"Matéria Prima Não Cadastrada")</f>
        <v>20.58</v>
      </c>
      <c r="K29" s="97">
        <f>IFERROR(J29/(I29/VLOOKUP(A29,'Tabela de Produtos'!A:H,8,0)),"Matéria Prima Não Cadastrada")</f>
        <v>9.5869565217391303E-2</v>
      </c>
      <c r="L29" s="216">
        <v>45939</v>
      </c>
    </row>
    <row r="30" spans="1:12" ht="15.75" customHeight="1">
      <c r="A30" s="48" t="s">
        <v>83</v>
      </c>
      <c r="B30" s="114" t="str">
        <f>VLOOKUP(A30,'Tabela de Produtos'!A:B,2,0)</f>
        <v>BRAZIMIL SELADOR ACRILICO 3L</v>
      </c>
      <c r="C30" s="48" t="s">
        <v>1209</v>
      </c>
      <c r="D30" s="114" t="str">
        <f>VLOOKUP(C30,'Custos Matéria Prima Embalagens'!B:C,2,0)</f>
        <v>WANFUNG WFT CE (BH-200)</v>
      </c>
      <c r="E30" s="114" t="str">
        <f>VLOOKUP(C30,'Custos Matéria Prima Embalagens'!B:D,3,0)</f>
        <v>FUNGICIDA</v>
      </c>
      <c r="F30" s="270">
        <f t="shared" si="4"/>
        <v>818.5</v>
      </c>
      <c r="G30" s="148">
        <f t="shared" si="5"/>
        <v>3.0543677458766036E-3</v>
      </c>
      <c r="H30" s="271">
        <v>2.5</v>
      </c>
      <c r="I30" s="272">
        <f>ROUND(F30/VLOOKUP(A30,'Tabela de Produtos'!A:J,10,0),0)</f>
        <v>644</v>
      </c>
      <c r="J30" s="97">
        <f>IFERROR(VLOOKUP(C30,'Custos Matéria Prima Embalagens'!B:G,6,0)*H30,"Matéria Prima Não Cadastrada")</f>
        <v>17.5</v>
      </c>
      <c r="K30" s="97">
        <f>IFERROR(J30/(I30/VLOOKUP(A30,'Tabela de Produtos'!A:H,8,0)),"Matéria Prima Não Cadastrada")</f>
        <v>8.1521739130434784E-2</v>
      </c>
      <c r="L30" s="216">
        <v>45939</v>
      </c>
    </row>
    <row r="31" spans="1:12" ht="15.75" customHeight="1">
      <c r="A31" s="48" t="s">
        <v>83</v>
      </c>
      <c r="B31" s="114" t="str">
        <f>VLOOKUP(A31,'Tabela de Produtos'!A:B,2,0)</f>
        <v>BRAZIMIL SELADOR ACRILICO 3L</v>
      </c>
      <c r="C31" s="48" t="s">
        <v>1225</v>
      </c>
      <c r="D31" s="114" t="str">
        <f>VLOOKUP(C31,'Custos Matéria Prima Embalagens'!B:C,2,0)</f>
        <v>CALCARIO DOLOMITICO #325 ( SACOS 25 KG)</v>
      </c>
      <c r="E31" s="114" t="str">
        <f>VLOOKUP(C31,'Custos Matéria Prima Embalagens'!B:D,3,0)</f>
        <v>CARBONATO #325</v>
      </c>
      <c r="F31" s="270">
        <f t="shared" si="4"/>
        <v>818.5</v>
      </c>
      <c r="G31" s="148">
        <f t="shared" si="5"/>
        <v>9.1631032376298105E-2</v>
      </c>
      <c r="H31" s="271">
        <v>75</v>
      </c>
      <c r="I31" s="272">
        <f>ROUND(F31/VLOOKUP(A31,'Tabela de Produtos'!A:J,10,0),0)</f>
        <v>644</v>
      </c>
      <c r="J31" s="97">
        <f>IFERROR(VLOOKUP(C31,'Custos Matéria Prima Embalagens'!B:G,6,0)*H31,"Matéria Prima Não Cadastrada")</f>
        <v>51.433389570552151</v>
      </c>
      <c r="K31" s="97">
        <f>IFERROR(J31/(I31/VLOOKUP(A31,'Tabela de Produtos'!A:H,8,0)),"Matéria Prima Não Cadastrada")</f>
        <v>0.23959653526654731</v>
      </c>
      <c r="L31" s="216">
        <v>45939</v>
      </c>
    </row>
    <row r="32" spans="1:12" ht="15.75" customHeight="1">
      <c r="A32" s="48" t="s">
        <v>83</v>
      </c>
      <c r="B32" s="114" t="str">
        <f>VLOOKUP(A32,'Tabela de Produtos'!A:B,2,0)</f>
        <v>BRAZIMIL SELADOR ACRILICO 3L</v>
      </c>
      <c r="C32" s="48" t="s">
        <v>1215</v>
      </c>
      <c r="D32" s="114" t="str">
        <f>VLOOKUP(C32,'Custos Matéria Prima Embalagens'!B:C,2,0)</f>
        <v>CALCARIO DOLOMITICO #500 ( SACOS 25 KG)</v>
      </c>
      <c r="E32" s="114" t="str">
        <f>VLOOKUP(C32,'Custos Matéria Prima Embalagens'!B:D,3,0)</f>
        <v>CARBONATO #500</v>
      </c>
      <c r="F32" s="270">
        <f t="shared" si="4"/>
        <v>818.5</v>
      </c>
      <c r="G32" s="148">
        <f t="shared" si="5"/>
        <v>0.18326206475259621</v>
      </c>
      <c r="H32" s="271">
        <v>150</v>
      </c>
      <c r="I32" s="272">
        <f>ROUND(F32/VLOOKUP(A32,'Tabela de Produtos'!A:J,10,0),0)</f>
        <v>644</v>
      </c>
      <c r="J32" s="97">
        <f>IFERROR(VLOOKUP(C32,'Custos Matéria Prima Embalagens'!B:G,6,0)*H32,"Matéria Prima Não Cadastrada")</f>
        <v>120</v>
      </c>
      <c r="K32" s="97">
        <f>IFERROR(J32/(I32/VLOOKUP(A32,'Tabela de Produtos'!A:H,8,0)),"Matéria Prima Não Cadastrada")</f>
        <v>0.55900621118012428</v>
      </c>
      <c r="L32" s="216">
        <v>45939</v>
      </c>
    </row>
    <row r="33" spans="1:12" ht="15.75" customHeight="1">
      <c r="A33" s="48" t="s">
        <v>83</v>
      </c>
      <c r="B33" s="114" t="str">
        <f>VLOOKUP(A33,'Tabela de Produtos'!A:B,2,0)</f>
        <v>BRAZIMIL SELADOR ACRILICO 3L</v>
      </c>
      <c r="C33" s="48" t="s">
        <v>1227</v>
      </c>
      <c r="D33" s="114" t="str">
        <f>VLOOKUP(C33,'Custos Matéria Prima Embalagens'!B:C,2,0)</f>
        <v>CAULIM MALHA 325</v>
      </c>
      <c r="E33" s="114" t="str">
        <f>VLOOKUP(C33,'Custos Matéria Prima Embalagens'!B:D,3,0)</f>
        <v>caulim</v>
      </c>
      <c r="F33" s="270">
        <f t="shared" si="4"/>
        <v>818.5</v>
      </c>
      <c r="G33" s="148">
        <f t="shared" si="5"/>
        <v>9.1631032376298105E-2</v>
      </c>
      <c r="H33" s="271">
        <v>75</v>
      </c>
      <c r="I33" s="272">
        <f>ROUND(F33/VLOOKUP(A33,'Tabela de Produtos'!A:J,10,0),0)</f>
        <v>644</v>
      </c>
      <c r="J33" s="97">
        <f>IFERROR(VLOOKUP(C33,'Custos Matéria Prima Embalagens'!B:G,6,0)*H33,"Matéria Prima Não Cadastrada")</f>
        <v>114.03716666666662</v>
      </c>
      <c r="K33" s="97">
        <f>IFERROR(J33/(I33/VLOOKUP(A33,'Tabela de Produtos'!A:H,8,0)),"Matéria Prima Não Cadastrada")</f>
        <v>0.53122903726708059</v>
      </c>
      <c r="L33" s="216">
        <v>45939</v>
      </c>
    </row>
    <row r="34" spans="1:12" ht="15.75" customHeight="1">
      <c r="A34" s="48" t="s">
        <v>83</v>
      </c>
      <c r="B34" s="114" t="str">
        <f>VLOOKUP(A34,'Tabela de Produtos'!A:B,2,0)</f>
        <v>BRAZIMIL SELADOR ACRILICO 3L</v>
      </c>
      <c r="C34" s="48" t="s">
        <v>1217</v>
      </c>
      <c r="D34" s="114" t="str">
        <f>VLOOKUP(C34,'Custos Matéria Prima Embalagens'!B:C,2,0)</f>
        <v>WANCRIL W 51 CE (CT-1000P)</v>
      </c>
      <c r="E34" s="114" t="str">
        <f>VLOOKUP(C34,'Custos Matéria Prima Embalagens'!B:D,3,0)</f>
        <v>RESINA ACRILICA ESTIRENADA</v>
      </c>
      <c r="F34" s="270">
        <f t="shared" si="4"/>
        <v>818.5</v>
      </c>
      <c r="G34" s="148">
        <f t="shared" si="5"/>
        <v>3.0543677458766034E-2</v>
      </c>
      <c r="H34" s="271">
        <v>25</v>
      </c>
      <c r="I34" s="272">
        <f>ROUND(F34/VLOOKUP(A34,'Tabela de Produtos'!A:J,10,0),0)</f>
        <v>644</v>
      </c>
      <c r="J34" s="97">
        <f>IFERROR(VLOOKUP(C34,'Custos Matéria Prima Embalagens'!B:G,6,0)*H34,"Matéria Prima Não Cadastrada")</f>
        <v>210.75</v>
      </c>
      <c r="K34" s="97">
        <f>IFERROR(J34/(I34/VLOOKUP(A34,'Tabela de Produtos'!A:H,8,0)),"Matéria Prima Não Cadastrada")</f>
        <v>0.98175465838509324</v>
      </c>
      <c r="L34" s="216">
        <v>45939</v>
      </c>
    </row>
    <row r="35" spans="1:12" ht="15.75" customHeight="1">
      <c r="A35" s="48" t="s">
        <v>83</v>
      </c>
      <c r="B35" s="114" t="str">
        <f>VLOOKUP(A35,'Tabela de Produtos'!A:B,2,0)</f>
        <v>BRAZIMIL SELADOR ACRILICO 3L</v>
      </c>
      <c r="C35" s="48" t="s">
        <v>1219</v>
      </c>
      <c r="D35" s="114" t="str">
        <f>VLOOKUP(C35,'Custos Matéria Prima Embalagens'!B:C,2,0)</f>
        <v>WANALK 70 CE (BH-200)</v>
      </c>
      <c r="E35" s="114" t="str">
        <f>VLOOKUP(C35,'Custos Matéria Prima Embalagens'!B:D,3,0)</f>
        <v>ALCALINIZANTE</v>
      </c>
      <c r="F35" s="270">
        <f t="shared" si="4"/>
        <v>818.5</v>
      </c>
      <c r="G35" s="148">
        <f t="shared" si="5"/>
        <v>3.0543677458766036E-3</v>
      </c>
      <c r="H35" s="271">
        <v>2.5</v>
      </c>
      <c r="I35" s="272">
        <f>ROUND(F35/VLOOKUP(A35,'Tabela de Produtos'!A:J,10,0),0)</f>
        <v>644</v>
      </c>
      <c r="J35" s="97">
        <f>IFERROR(VLOOKUP(C35,'Custos Matéria Prima Embalagens'!B:G,6,0)*H35,"Matéria Prima Não Cadastrada")</f>
        <v>12.450000000000001</v>
      </c>
      <c r="K35" s="97">
        <f>IFERROR(J35/(I35/VLOOKUP(A35,'Tabela de Produtos'!A:H,8,0)),"Matéria Prima Não Cadastrada")</f>
        <v>5.7996894409937896E-2</v>
      </c>
      <c r="L35" s="216">
        <v>45939</v>
      </c>
    </row>
    <row r="36" spans="1:12" ht="15.75" customHeight="1">
      <c r="A36" s="48" t="s">
        <v>83</v>
      </c>
      <c r="B36" s="114" t="str">
        <f>VLOOKUP(A36,'Tabela de Produtos'!A:B,2,0)</f>
        <v>BRAZIMIL SELADOR ACRILICO 3L</v>
      </c>
      <c r="C36" s="48" t="s">
        <v>1221</v>
      </c>
      <c r="D36" s="114" t="str">
        <f>VLOOKUP(C36,'Custos Matéria Prima Embalagens'!B:C,2,0)</f>
        <v>MODIWAN 105H CE (CT-1000P)</v>
      </c>
      <c r="E36" s="114" t="str">
        <f>VLOOKUP(C36,'Custos Matéria Prima Embalagens'!B:D,3,0)</f>
        <v>ESPESSANTE DE MEDIA</v>
      </c>
      <c r="F36" s="270">
        <f t="shared" si="4"/>
        <v>818.5</v>
      </c>
      <c r="G36" s="148">
        <f t="shared" si="5"/>
        <v>1.2828344532681736E-2</v>
      </c>
      <c r="H36" s="271">
        <v>10.5</v>
      </c>
      <c r="I36" s="272">
        <f>ROUND(F36/VLOOKUP(A36,'Tabela de Produtos'!A:J,10,0),0)</f>
        <v>644</v>
      </c>
      <c r="J36" s="97">
        <f>IFERROR(VLOOKUP(C36,'Custos Matéria Prima Embalagens'!B:G,6,0)*H36,"Matéria Prima Não Cadastrada")</f>
        <v>83.002499999999998</v>
      </c>
      <c r="K36" s="97">
        <f>IFERROR(J36/(I36/VLOOKUP(A36,'Tabela de Produtos'!A:H,8,0)),"Matéria Prima Não Cadastrada")</f>
        <v>0.38665760869565219</v>
      </c>
      <c r="L36" s="216">
        <v>45939</v>
      </c>
    </row>
    <row r="37" spans="1:12" ht="15.75" customHeight="1">
      <c r="A37" s="48" t="s">
        <v>83</v>
      </c>
      <c r="B37" s="114" t="str">
        <f>VLOOKUP(A37,'Tabela de Produtos'!A:B,2,0)</f>
        <v>BRAZIMIL SELADOR ACRILICO 3L</v>
      </c>
      <c r="C37" s="48" t="s">
        <v>1223</v>
      </c>
      <c r="D37" s="114" t="str">
        <f>VLOOKUP(C37,'Custos Matéria Prima Embalagens'!B:C,2,0)</f>
        <v>TURBOWAN H CE (BH-200)</v>
      </c>
      <c r="E37" s="114" t="str">
        <f>VLOOKUP(C37,'Custos Matéria Prima Embalagens'!B:D,3,0)</f>
        <v>PROMOTOR DE LAVABILIDADE</v>
      </c>
      <c r="F37" s="270">
        <f t="shared" si="4"/>
        <v>818.5</v>
      </c>
      <c r="G37" s="148">
        <f t="shared" si="5"/>
        <v>9.1631032376298105E-3</v>
      </c>
      <c r="H37" s="271">
        <v>7.5</v>
      </c>
      <c r="I37" s="272">
        <f>ROUND(F37/VLOOKUP(A37,'Tabela de Produtos'!A:J,10,0),0)</f>
        <v>644</v>
      </c>
      <c r="J37" s="97">
        <f>IFERROR(VLOOKUP(C37,'Custos Matéria Prima Embalagens'!B:G,6,0)*H37,"Matéria Prima Não Cadastrada")</f>
        <v>36.375</v>
      </c>
      <c r="K37" s="97">
        <f>IFERROR(J37/(I37/VLOOKUP(A37,'Tabela de Produtos'!A:H,8,0)),"Matéria Prima Não Cadastrada")</f>
        <v>0.16944875776397517</v>
      </c>
      <c r="L37" s="216">
        <v>45939</v>
      </c>
    </row>
    <row r="38" spans="1:12" ht="15.75" customHeight="1">
      <c r="D38" s="114"/>
      <c r="E38" s="114"/>
      <c r="F38" s="270"/>
      <c r="G38" s="148"/>
      <c r="H38" s="271"/>
      <c r="I38" s="272"/>
      <c r="J38" s="97"/>
      <c r="K38" s="97"/>
      <c r="L38" s="216">
        <v>45939</v>
      </c>
    </row>
    <row r="39" spans="1:12" ht="15.75" customHeight="1">
      <c r="A39" s="48" t="s">
        <v>84</v>
      </c>
      <c r="B39" s="114" t="str">
        <f>VLOOKUP(A39,'Tabela de Produtos'!A:B,2,0)</f>
        <v>BRAZIMIL SELADOR ACRILICO 15L</v>
      </c>
      <c r="C39" s="48" t="s">
        <v>1197</v>
      </c>
      <c r="D39" s="114" t="str">
        <f>VLOOKUP(C39,'Custos Matéria Prima Embalagens'!B:C,2,0)</f>
        <v>AGUA</v>
      </c>
      <c r="E39" s="114" t="str">
        <f>VLOOKUP(C39,'Custos Matéria Prima Embalagens'!B:D,3,0)</f>
        <v>AGUA</v>
      </c>
      <c r="F39" s="270">
        <f t="shared" ref="F39:F51" si="6">SUMIFS(H:H,A:A,A39)</f>
        <v>818.5</v>
      </c>
      <c r="G39" s="148">
        <f t="shared" ref="G39:G51" si="7">H39/F39</f>
        <v>0.56200366524129508</v>
      </c>
      <c r="H39" s="271">
        <v>460</v>
      </c>
      <c r="I39" s="272">
        <f>ROUND(F39/VLOOKUP(A39,'Tabela de Produtos'!A:J,10,0),0)</f>
        <v>644</v>
      </c>
      <c r="J39" s="97">
        <f>IFERROR(VLOOKUP(C39,'Custos Matéria Prima Embalagens'!B:G,6,0)*H39,"Matéria Prima Não Cadastrada")</f>
        <v>0</v>
      </c>
      <c r="K39" s="97">
        <f>IFERROR(J39/(I39/VLOOKUP(A39,'Tabela de Produtos'!A:H,8,0)),"Matéria Prima Não Cadastrada")</f>
        <v>0</v>
      </c>
      <c r="L39" s="216">
        <v>45939</v>
      </c>
    </row>
    <row r="40" spans="1:12" ht="15.75" customHeight="1">
      <c r="A40" s="48" t="s">
        <v>84</v>
      </c>
      <c r="B40" s="114" t="str">
        <f>VLOOKUP(A40,'Tabela de Produtos'!A:B,2,0)</f>
        <v>BRAZIMIL SELADOR ACRILICO 15L</v>
      </c>
      <c r="C40" s="48" t="s">
        <v>1201</v>
      </c>
      <c r="D40" s="114" t="str">
        <f>VLOOKUP(C40,'Custos Matéria Prima Embalagens'!B:C,2,0)</f>
        <v>WANFOAM 528 CE (BB-190)</v>
      </c>
      <c r="E40" s="114" t="str">
        <f>VLOOKUP(C40,'Custos Matéria Prima Embalagens'!B:D,3,0)</f>
        <v>ANTI ESPUMA LATEX</v>
      </c>
      <c r="F40" s="270">
        <f t="shared" si="6"/>
        <v>818.5</v>
      </c>
      <c r="G40" s="148">
        <f t="shared" si="7"/>
        <v>3.0543677458766036E-3</v>
      </c>
      <c r="H40" s="271">
        <v>2.5</v>
      </c>
      <c r="I40" s="272">
        <f>ROUND(F40/VLOOKUP(A40,'Tabela de Produtos'!A:J,10,0),0)</f>
        <v>644</v>
      </c>
      <c r="J40" s="97">
        <f>IFERROR(VLOOKUP(C40,'Custos Matéria Prima Embalagens'!B:G,6,0)*H40,"Matéria Prima Não Cadastrada")</f>
        <v>17.95</v>
      </c>
      <c r="K40" s="97">
        <f>IFERROR(J40/(I40/VLOOKUP(A40,'Tabela de Produtos'!A:H,8,0)),"Matéria Prima Não Cadastrada")</f>
        <v>0.41809006211180127</v>
      </c>
      <c r="L40" s="216">
        <v>45939</v>
      </c>
    </row>
    <row r="41" spans="1:12" ht="15.75" customHeight="1">
      <c r="A41" s="48" t="s">
        <v>84</v>
      </c>
      <c r="B41" s="114" t="str">
        <f>VLOOKUP(A41,'Tabela de Produtos'!A:B,2,0)</f>
        <v>BRAZIMIL SELADOR ACRILICO 15L</v>
      </c>
      <c r="C41" s="48" t="s">
        <v>1203</v>
      </c>
      <c r="D41" s="114" t="str">
        <f>VLOOKUP(C41,'Custos Matéria Prima Embalagens'!B:C,2,0)</f>
        <v>WANBAC WBT CE (BH-200)</v>
      </c>
      <c r="E41" s="114" t="str">
        <f>VLOOKUP(C41,'Custos Matéria Prima Embalagens'!B:D,3,0)</f>
        <v>BACTERICIDA</v>
      </c>
      <c r="F41" s="270">
        <f t="shared" si="6"/>
        <v>818.5</v>
      </c>
      <c r="G41" s="148">
        <f t="shared" si="7"/>
        <v>3.6652412950519244E-3</v>
      </c>
      <c r="H41" s="271">
        <v>3</v>
      </c>
      <c r="I41" s="272">
        <f>ROUND(F41/VLOOKUP(A41,'Tabela de Produtos'!A:J,10,0),0)</f>
        <v>644</v>
      </c>
      <c r="J41" s="97">
        <f>IFERROR(VLOOKUP(C41,'Custos Matéria Prima Embalagens'!B:G,6,0)*H41,"Matéria Prima Não Cadastrada")</f>
        <v>14.819999999999999</v>
      </c>
      <c r="K41" s="97">
        <f>IFERROR(J41/(I41/VLOOKUP(A41,'Tabela de Produtos'!A:H,8,0)),"Matéria Prima Não Cadastrada")</f>
        <v>0.34518633540372667</v>
      </c>
      <c r="L41" s="216">
        <v>45939</v>
      </c>
    </row>
    <row r="42" spans="1:12" ht="15.75" customHeight="1">
      <c r="A42" s="48" t="s">
        <v>84</v>
      </c>
      <c r="B42" s="114" t="str">
        <f>VLOOKUP(A42,'Tabela de Produtos'!A:B,2,0)</f>
        <v>BRAZIMIL SELADOR ACRILICO 15L</v>
      </c>
      <c r="C42" s="48" t="s">
        <v>1205</v>
      </c>
      <c r="D42" s="114" t="str">
        <f>VLOOKUP(C42,'Custos Matéria Prima Embalagens'!B:C,2,0)</f>
        <v>WANSUR 840 CE (BB-200)01</v>
      </c>
      <c r="E42" s="114" t="str">
        <f>VLOOKUP(C42,'Custos Matéria Prima Embalagens'!B:D,3,0)</f>
        <v>UMECTANTE</v>
      </c>
      <c r="F42" s="270">
        <f t="shared" si="6"/>
        <v>818.5</v>
      </c>
      <c r="G42" s="148">
        <f t="shared" si="7"/>
        <v>2.4434941967012829E-3</v>
      </c>
      <c r="H42" s="271">
        <v>2</v>
      </c>
      <c r="I42" s="272">
        <f>ROUND(F42/VLOOKUP(A42,'Tabela de Produtos'!A:J,10,0),0)</f>
        <v>644</v>
      </c>
      <c r="J42" s="97">
        <f>IFERROR(VLOOKUP(C42,'Custos Matéria Prima Embalagens'!B:G,6,0)*H42,"Matéria Prima Não Cadastrada")</f>
        <v>14.66</v>
      </c>
      <c r="K42" s="97">
        <f>IFERROR(J42/(I42/VLOOKUP(A42,'Tabela de Produtos'!A:H,8,0)),"Matéria Prima Não Cadastrada")</f>
        <v>0.34145962732919255</v>
      </c>
      <c r="L42" s="216">
        <v>45939</v>
      </c>
    </row>
    <row r="43" spans="1:12" ht="15.75" customHeight="1">
      <c r="A43" s="48" t="s">
        <v>84</v>
      </c>
      <c r="B43" s="114" t="str">
        <f>VLOOKUP(A43,'Tabela de Produtos'!A:B,2,0)</f>
        <v>BRAZIMIL SELADOR ACRILICO 15L</v>
      </c>
      <c r="C43" s="48" t="s">
        <v>1207</v>
      </c>
      <c r="D43" s="114" t="str">
        <f>VLOOKUP(C43,'Custos Matéria Prima Embalagens'!B:C,2,0)</f>
        <v>WANPEX 1510 (BB-200)</v>
      </c>
      <c r="E43" s="114" t="str">
        <f>VLOOKUP(C43,'Custos Matéria Prima Embalagens'!B:D,3,0)</f>
        <v>DISPERSANTE LATEX</v>
      </c>
      <c r="F43" s="270">
        <f t="shared" si="6"/>
        <v>818.5</v>
      </c>
      <c r="G43" s="148">
        <f t="shared" si="7"/>
        <v>3.6652412950519244E-3</v>
      </c>
      <c r="H43" s="271">
        <v>3</v>
      </c>
      <c r="I43" s="272">
        <f>ROUND(F43/VLOOKUP(A43,'Tabela de Produtos'!A:J,10,0),0)</f>
        <v>644</v>
      </c>
      <c r="J43" s="97">
        <f>IFERROR(VLOOKUP(C43,'Custos Matéria Prima Embalagens'!B:G,6,0)*H43,"Matéria Prima Não Cadastrada")</f>
        <v>20.58</v>
      </c>
      <c r="K43" s="97">
        <f>IFERROR(J43/(I43/VLOOKUP(A43,'Tabela de Produtos'!A:H,8,0)),"Matéria Prima Não Cadastrada")</f>
        <v>0.47934782608695653</v>
      </c>
      <c r="L43" s="216">
        <v>45939</v>
      </c>
    </row>
    <row r="44" spans="1:12" ht="15.75" customHeight="1">
      <c r="A44" s="48" t="s">
        <v>84</v>
      </c>
      <c r="B44" s="114" t="str">
        <f>VLOOKUP(A44,'Tabela de Produtos'!A:B,2,0)</f>
        <v>BRAZIMIL SELADOR ACRILICO 15L</v>
      </c>
      <c r="C44" s="48" t="s">
        <v>1209</v>
      </c>
      <c r="D44" s="114" t="str">
        <f>VLOOKUP(C44,'Custos Matéria Prima Embalagens'!B:C,2,0)</f>
        <v>WANFUNG WFT CE (BH-200)</v>
      </c>
      <c r="E44" s="114" t="str">
        <f>VLOOKUP(C44,'Custos Matéria Prima Embalagens'!B:D,3,0)</f>
        <v>FUNGICIDA</v>
      </c>
      <c r="F44" s="270">
        <f t="shared" si="6"/>
        <v>818.5</v>
      </c>
      <c r="G44" s="148">
        <f t="shared" si="7"/>
        <v>3.0543677458766036E-3</v>
      </c>
      <c r="H44" s="271">
        <v>2.5</v>
      </c>
      <c r="I44" s="272">
        <f>ROUND(F44/VLOOKUP(A44,'Tabela de Produtos'!A:J,10,0),0)</f>
        <v>644</v>
      </c>
      <c r="J44" s="97">
        <f>IFERROR(VLOOKUP(C44,'Custos Matéria Prima Embalagens'!B:G,6,0)*H44,"Matéria Prima Não Cadastrada")</f>
        <v>17.5</v>
      </c>
      <c r="K44" s="97">
        <f>IFERROR(J44/(I44/VLOOKUP(A44,'Tabela de Produtos'!A:H,8,0)),"Matéria Prima Não Cadastrada")</f>
        <v>0.40760869565217395</v>
      </c>
      <c r="L44" s="216">
        <v>45939</v>
      </c>
    </row>
    <row r="45" spans="1:12" ht="15.75" customHeight="1">
      <c r="A45" s="48" t="s">
        <v>84</v>
      </c>
      <c r="B45" s="114" t="str">
        <f>VLOOKUP(A45,'Tabela de Produtos'!A:B,2,0)</f>
        <v>BRAZIMIL SELADOR ACRILICO 15L</v>
      </c>
      <c r="C45" s="48" t="s">
        <v>1225</v>
      </c>
      <c r="D45" s="114" t="str">
        <f>VLOOKUP(C45,'Custos Matéria Prima Embalagens'!B:C,2,0)</f>
        <v>CALCARIO DOLOMITICO #325 ( SACOS 25 KG)</v>
      </c>
      <c r="E45" s="114" t="str">
        <f>VLOOKUP(C45,'Custos Matéria Prima Embalagens'!B:D,3,0)</f>
        <v>CARBONATO #325</v>
      </c>
      <c r="F45" s="270">
        <f t="shared" si="6"/>
        <v>818.5</v>
      </c>
      <c r="G45" s="148">
        <f t="shared" si="7"/>
        <v>9.1631032376298105E-2</v>
      </c>
      <c r="H45" s="271">
        <v>75</v>
      </c>
      <c r="I45" s="272">
        <f>ROUND(F45/VLOOKUP(A45,'Tabela de Produtos'!A:J,10,0),0)</f>
        <v>644</v>
      </c>
      <c r="J45" s="97">
        <f>IFERROR(VLOOKUP(C45,'Custos Matéria Prima Embalagens'!B:G,6,0)*H45,"Matéria Prima Não Cadastrada")</f>
        <v>51.433389570552151</v>
      </c>
      <c r="K45" s="97">
        <f>IFERROR(J45/(I45/VLOOKUP(A45,'Tabela de Produtos'!A:H,8,0)),"Matéria Prima Não Cadastrada")</f>
        <v>1.1979826763327366</v>
      </c>
      <c r="L45" s="216">
        <v>45939</v>
      </c>
    </row>
    <row r="46" spans="1:12" ht="15.75" customHeight="1">
      <c r="A46" s="48" t="s">
        <v>84</v>
      </c>
      <c r="B46" s="114" t="str">
        <f>VLOOKUP(A46,'Tabela de Produtos'!A:B,2,0)</f>
        <v>BRAZIMIL SELADOR ACRILICO 15L</v>
      </c>
      <c r="C46" s="48" t="s">
        <v>1215</v>
      </c>
      <c r="D46" s="114" t="str">
        <f>VLOOKUP(C46,'Custos Matéria Prima Embalagens'!B:C,2,0)</f>
        <v>CALCARIO DOLOMITICO #500 ( SACOS 25 KG)</v>
      </c>
      <c r="E46" s="114" t="str">
        <f>VLOOKUP(C46,'Custos Matéria Prima Embalagens'!B:D,3,0)</f>
        <v>CARBONATO #500</v>
      </c>
      <c r="F46" s="270">
        <f t="shared" si="6"/>
        <v>818.5</v>
      </c>
      <c r="G46" s="148">
        <f t="shared" si="7"/>
        <v>0.18326206475259621</v>
      </c>
      <c r="H46" s="271">
        <v>150</v>
      </c>
      <c r="I46" s="272">
        <f>ROUND(F46/VLOOKUP(A46,'Tabela de Produtos'!A:J,10,0),0)</f>
        <v>644</v>
      </c>
      <c r="J46" s="97">
        <f>IFERROR(VLOOKUP(C46,'Custos Matéria Prima Embalagens'!B:G,6,0)*H46,"Matéria Prima Não Cadastrada")</f>
        <v>120</v>
      </c>
      <c r="K46" s="97">
        <f>IFERROR(J46/(I46/VLOOKUP(A46,'Tabela de Produtos'!A:H,8,0)),"Matéria Prima Não Cadastrada")</f>
        <v>2.7950310559006213</v>
      </c>
      <c r="L46" s="216">
        <v>45939</v>
      </c>
    </row>
    <row r="47" spans="1:12" ht="15.75" customHeight="1">
      <c r="A47" s="48" t="s">
        <v>84</v>
      </c>
      <c r="B47" s="114" t="str">
        <f>VLOOKUP(A47,'Tabela de Produtos'!A:B,2,0)</f>
        <v>BRAZIMIL SELADOR ACRILICO 15L</v>
      </c>
      <c r="C47" s="48" t="s">
        <v>1227</v>
      </c>
      <c r="D47" s="114" t="str">
        <f>VLOOKUP(C47,'Custos Matéria Prima Embalagens'!B:C,2,0)</f>
        <v>CAULIM MALHA 325</v>
      </c>
      <c r="E47" s="114" t="str">
        <f>VLOOKUP(C47,'Custos Matéria Prima Embalagens'!B:D,3,0)</f>
        <v>caulim</v>
      </c>
      <c r="F47" s="270">
        <f t="shared" si="6"/>
        <v>818.5</v>
      </c>
      <c r="G47" s="148">
        <f t="shared" si="7"/>
        <v>9.1631032376298105E-2</v>
      </c>
      <c r="H47" s="271">
        <v>75</v>
      </c>
      <c r="I47" s="272">
        <f>ROUND(F47/VLOOKUP(A47,'Tabela de Produtos'!A:J,10,0),0)</f>
        <v>644</v>
      </c>
      <c r="J47" s="97">
        <f>IFERROR(VLOOKUP(C47,'Custos Matéria Prima Embalagens'!B:G,6,0)*H47,"Matéria Prima Não Cadastrada")</f>
        <v>114.03716666666662</v>
      </c>
      <c r="K47" s="97">
        <f>IFERROR(J47/(I47/VLOOKUP(A47,'Tabela de Produtos'!A:H,8,0)),"Matéria Prima Não Cadastrada")</f>
        <v>2.6561451863354031</v>
      </c>
      <c r="L47" s="216">
        <v>45939</v>
      </c>
    </row>
    <row r="48" spans="1:12" ht="15.75" customHeight="1">
      <c r="A48" s="48" t="s">
        <v>84</v>
      </c>
      <c r="B48" s="114" t="str">
        <f>VLOOKUP(A48,'Tabela de Produtos'!A:B,2,0)</f>
        <v>BRAZIMIL SELADOR ACRILICO 15L</v>
      </c>
      <c r="C48" s="48" t="s">
        <v>1217</v>
      </c>
      <c r="D48" s="114" t="str">
        <f>VLOOKUP(C48,'Custos Matéria Prima Embalagens'!B:C,2,0)</f>
        <v>WANCRIL W 51 CE (CT-1000P)</v>
      </c>
      <c r="E48" s="114" t="str">
        <f>VLOOKUP(C48,'Custos Matéria Prima Embalagens'!B:D,3,0)</f>
        <v>RESINA ACRILICA ESTIRENADA</v>
      </c>
      <c r="F48" s="270">
        <f t="shared" si="6"/>
        <v>818.5</v>
      </c>
      <c r="G48" s="148">
        <f t="shared" si="7"/>
        <v>3.0543677458766034E-2</v>
      </c>
      <c r="H48" s="271">
        <v>25</v>
      </c>
      <c r="I48" s="272">
        <f>ROUND(F48/VLOOKUP(A48,'Tabela de Produtos'!A:J,10,0),0)</f>
        <v>644</v>
      </c>
      <c r="J48" s="97">
        <f>IFERROR(VLOOKUP(C48,'Custos Matéria Prima Embalagens'!B:G,6,0)*H48,"Matéria Prima Não Cadastrada")</f>
        <v>210.75</v>
      </c>
      <c r="K48" s="97">
        <f>IFERROR(J48/(I48/VLOOKUP(A48,'Tabela de Produtos'!A:H,8,0)),"Matéria Prima Não Cadastrada")</f>
        <v>4.9087732919254661</v>
      </c>
      <c r="L48" s="216">
        <v>45939</v>
      </c>
    </row>
    <row r="49" spans="1:12" ht="15.75" customHeight="1">
      <c r="A49" s="48" t="s">
        <v>84</v>
      </c>
      <c r="B49" s="114" t="str">
        <f>VLOOKUP(A49,'Tabela de Produtos'!A:B,2,0)</f>
        <v>BRAZIMIL SELADOR ACRILICO 15L</v>
      </c>
      <c r="C49" s="48" t="s">
        <v>1219</v>
      </c>
      <c r="D49" s="114" t="str">
        <f>VLOOKUP(C49,'Custos Matéria Prima Embalagens'!B:C,2,0)</f>
        <v>WANALK 70 CE (BH-200)</v>
      </c>
      <c r="E49" s="114" t="str">
        <f>VLOOKUP(C49,'Custos Matéria Prima Embalagens'!B:D,3,0)</f>
        <v>ALCALINIZANTE</v>
      </c>
      <c r="F49" s="270">
        <f t="shared" si="6"/>
        <v>818.5</v>
      </c>
      <c r="G49" s="148">
        <f t="shared" si="7"/>
        <v>3.0543677458766036E-3</v>
      </c>
      <c r="H49" s="271">
        <v>2.5</v>
      </c>
      <c r="I49" s="272">
        <f>ROUND(F49/VLOOKUP(A49,'Tabela de Produtos'!A:J,10,0),0)</f>
        <v>644</v>
      </c>
      <c r="J49" s="97">
        <f>IFERROR(VLOOKUP(C49,'Custos Matéria Prima Embalagens'!B:G,6,0)*H49,"Matéria Prima Não Cadastrada")</f>
        <v>12.450000000000001</v>
      </c>
      <c r="K49" s="97">
        <f>IFERROR(J49/(I49/VLOOKUP(A49,'Tabela de Produtos'!A:H,8,0)),"Matéria Prima Não Cadastrada")</f>
        <v>0.28998447204968947</v>
      </c>
      <c r="L49" s="216">
        <v>45939</v>
      </c>
    </row>
    <row r="50" spans="1:12" ht="15.75" customHeight="1">
      <c r="A50" s="48" t="s">
        <v>84</v>
      </c>
      <c r="B50" s="114" t="str">
        <f>VLOOKUP(A50,'Tabela de Produtos'!A:B,2,0)</f>
        <v>BRAZIMIL SELADOR ACRILICO 15L</v>
      </c>
      <c r="C50" s="48" t="s">
        <v>1221</v>
      </c>
      <c r="D50" s="114" t="str">
        <f>VLOOKUP(C50,'Custos Matéria Prima Embalagens'!B:C,2,0)</f>
        <v>MODIWAN 105H CE (CT-1000P)</v>
      </c>
      <c r="E50" s="114" t="str">
        <f>VLOOKUP(C50,'Custos Matéria Prima Embalagens'!B:D,3,0)</f>
        <v>ESPESSANTE DE MEDIA</v>
      </c>
      <c r="F50" s="270">
        <f t="shared" si="6"/>
        <v>818.5</v>
      </c>
      <c r="G50" s="148">
        <f t="shared" si="7"/>
        <v>1.2828344532681736E-2</v>
      </c>
      <c r="H50" s="271">
        <v>10.5</v>
      </c>
      <c r="I50" s="272">
        <f>ROUND(F50/VLOOKUP(A50,'Tabela de Produtos'!A:J,10,0),0)</f>
        <v>644</v>
      </c>
      <c r="J50" s="97">
        <f>IFERROR(VLOOKUP(C50,'Custos Matéria Prima Embalagens'!B:G,6,0)*H50,"Matéria Prima Não Cadastrada")</f>
        <v>83.002499999999998</v>
      </c>
      <c r="K50" s="97">
        <f>IFERROR(J50/(I50/VLOOKUP(A50,'Tabela de Produtos'!A:H,8,0)),"Matéria Prima Não Cadastrada")</f>
        <v>1.9332880434782609</v>
      </c>
      <c r="L50" s="216">
        <v>45939</v>
      </c>
    </row>
    <row r="51" spans="1:12" ht="15.75" customHeight="1">
      <c r="A51" s="48" t="s">
        <v>84</v>
      </c>
      <c r="B51" s="114" t="str">
        <f>VLOOKUP(A51,'Tabela de Produtos'!A:B,2,0)</f>
        <v>BRAZIMIL SELADOR ACRILICO 15L</v>
      </c>
      <c r="C51" s="48" t="s">
        <v>1223</v>
      </c>
      <c r="D51" s="114" t="str">
        <f>VLOOKUP(C51,'Custos Matéria Prima Embalagens'!B:C,2,0)</f>
        <v>TURBOWAN H CE (BH-200)</v>
      </c>
      <c r="E51" s="114" t="str">
        <f>VLOOKUP(C51,'Custos Matéria Prima Embalagens'!B:D,3,0)</f>
        <v>PROMOTOR DE LAVABILIDADE</v>
      </c>
      <c r="F51" s="270">
        <f t="shared" si="6"/>
        <v>818.5</v>
      </c>
      <c r="G51" s="148">
        <f t="shared" si="7"/>
        <v>9.1631032376298105E-3</v>
      </c>
      <c r="H51" s="271">
        <v>7.5</v>
      </c>
      <c r="I51" s="272">
        <f>ROUND(F51/VLOOKUP(A51,'Tabela de Produtos'!A:J,10,0),0)</f>
        <v>644</v>
      </c>
      <c r="J51" s="97">
        <f>IFERROR(VLOOKUP(C51,'Custos Matéria Prima Embalagens'!B:G,6,0)*H51,"Matéria Prima Não Cadastrada")</f>
        <v>36.375</v>
      </c>
      <c r="K51" s="97">
        <f>IFERROR(J51/(I51/VLOOKUP(A51,'Tabela de Produtos'!A:H,8,0)),"Matéria Prima Não Cadastrada")</f>
        <v>0.84724378881987583</v>
      </c>
      <c r="L51" s="216">
        <v>45939</v>
      </c>
    </row>
    <row r="52" spans="1:12" ht="15.75" customHeight="1">
      <c r="D52" s="114"/>
      <c r="E52" s="114"/>
      <c r="F52" s="270"/>
      <c r="G52" s="148"/>
      <c r="H52" s="271"/>
      <c r="I52" s="272"/>
      <c r="J52" s="97"/>
      <c r="K52" s="97"/>
      <c r="L52" s="216">
        <v>45939</v>
      </c>
    </row>
    <row r="53" spans="1:12" ht="15.75" customHeight="1">
      <c r="A53" s="48" t="s">
        <v>87</v>
      </c>
      <c r="B53" s="114" t="str">
        <f>VLOOKUP(A53,'Tabela de Produtos'!A:B,2,0)</f>
        <v>BRAZIMIL MASSA ACRÍLICA 4KG</v>
      </c>
      <c r="C53" s="48" t="s">
        <v>1197</v>
      </c>
      <c r="D53" s="114" t="str">
        <f>VLOOKUP(C53,'Custos Matéria Prima Embalagens'!B:C,2,0)</f>
        <v>AGUA</v>
      </c>
      <c r="E53" s="114" t="str">
        <f>VLOOKUP(C53,'Custos Matéria Prima Embalagens'!B:D,3,0)</f>
        <v>AGUA</v>
      </c>
      <c r="F53" s="270">
        <f t="shared" ref="F53:F60" si="8">SUMIFS(H:H,A:A,A53)</f>
        <v>1106.5</v>
      </c>
      <c r="G53" s="148">
        <f t="shared" ref="G53:G60" si="9">H53/F53</f>
        <v>0.2349751468594668</v>
      </c>
      <c r="H53" s="271">
        <v>260</v>
      </c>
      <c r="I53" s="272">
        <f>ROUND(F53/VLOOKUP(A53,'Tabela de Produtos'!A:J,10,0),0)</f>
        <v>1107</v>
      </c>
      <c r="J53" s="97">
        <f>IFERROR(VLOOKUP(C53,'Custos Matéria Prima Embalagens'!B:G,6,0)*H53,"Matéria Prima Não Cadastrada")</f>
        <v>0</v>
      </c>
      <c r="K53" s="97">
        <f>IFERROR(J53/(I53/VLOOKUP(A53,'Tabela de Produtos'!A:H,8,0)),"Matéria Prima Não Cadastrada")</f>
        <v>0</v>
      </c>
      <c r="L53" s="216">
        <v>45939</v>
      </c>
    </row>
    <row r="54" spans="1:12" ht="15.75" customHeight="1">
      <c r="A54" s="48" t="s">
        <v>87</v>
      </c>
      <c r="B54" s="114" t="str">
        <f>VLOOKUP(A54,'Tabela de Produtos'!A:B,2,0)</f>
        <v>BRAZIMIL MASSA ACRÍLICA 4KG</v>
      </c>
      <c r="C54" s="48" t="s">
        <v>1201</v>
      </c>
      <c r="D54" s="114" t="str">
        <f>VLOOKUP(C54,'Custos Matéria Prima Embalagens'!B:C,2,0)</f>
        <v>WANFOAM 528 CE (BB-190)</v>
      </c>
      <c r="E54" s="114" t="str">
        <f>VLOOKUP(C54,'Custos Matéria Prima Embalagens'!B:D,3,0)</f>
        <v>ANTI ESPUMA LATEX</v>
      </c>
      <c r="F54" s="270">
        <f t="shared" si="8"/>
        <v>1106.5</v>
      </c>
      <c r="G54" s="148">
        <f t="shared" si="9"/>
        <v>1.8075011296882061E-3</v>
      </c>
      <c r="H54" s="271">
        <v>2</v>
      </c>
      <c r="I54" s="272">
        <f>ROUND(F54/VLOOKUP(A54,'Tabela de Produtos'!A:J,10,0),0)</f>
        <v>1107</v>
      </c>
      <c r="J54" s="97">
        <f>IFERROR(VLOOKUP(C54,'Custos Matéria Prima Embalagens'!B:G,6,0)*H54,"Matéria Prima Não Cadastrada")</f>
        <v>14.36</v>
      </c>
      <c r="K54" s="97">
        <f>IFERROR(J54/(I54/VLOOKUP(A54,'Tabela de Produtos'!A:H,8,0)),"Matéria Prima Não Cadastrada")</f>
        <v>5.1887985546522131E-2</v>
      </c>
      <c r="L54" s="216">
        <v>45939</v>
      </c>
    </row>
    <row r="55" spans="1:12" ht="15.75" customHeight="1">
      <c r="A55" s="48" t="s">
        <v>87</v>
      </c>
      <c r="B55" s="114" t="str">
        <f>VLOOKUP(A55,'Tabela de Produtos'!A:B,2,0)</f>
        <v>BRAZIMIL MASSA ACRÍLICA 4KG</v>
      </c>
      <c r="C55" s="48" t="s">
        <v>1203</v>
      </c>
      <c r="D55" s="114" t="str">
        <f>VLOOKUP(C55,'Custos Matéria Prima Embalagens'!B:C,2,0)</f>
        <v>WANBAC WBT CE (BH-200)</v>
      </c>
      <c r="E55" s="114" t="str">
        <f>VLOOKUP(C55,'Custos Matéria Prima Embalagens'!B:D,3,0)</f>
        <v>BACTERICIDA</v>
      </c>
      <c r="F55" s="270">
        <f t="shared" si="8"/>
        <v>1106.5</v>
      </c>
      <c r="G55" s="148">
        <f t="shared" si="9"/>
        <v>1.8075011296882061E-3</v>
      </c>
      <c r="H55" s="271">
        <v>2</v>
      </c>
      <c r="I55" s="272">
        <f>ROUND(F55/VLOOKUP(A55,'Tabela de Produtos'!A:J,10,0),0)</f>
        <v>1107</v>
      </c>
      <c r="J55" s="97">
        <f>IFERROR(VLOOKUP(C55,'Custos Matéria Prima Embalagens'!B:G,6,0)*H55,"Matéria Prima Não Cadastrada")</f>
        <v>9.879999999999999</v>
      </c>
      <c r="K55" s="97">
        <f>IFERROR(J55/(I55/VLOOKUP(A55,'Tabela de Produtos'!A:H,8,0)),"Matéria Prima Não Cadastrada")</f>
        <v>3.570009033423667E-2</v>
      </c>
      <c r="L55" s="216">
        <v>45939</v>
      </c>
    </row>
    <row r="56" spans="1:12" ht="15.75" customHeight="1">
      <c r="A56" s="48" t="s">
        <v>87</v>
      </c>
      <c r="B56" s="114" t="str">
        <f>VLOOKUP(A56,'Tabela de Produtos'!A:B,2,0)</f>
        <v>BRAZIMIL MASSA ACRÍLICA 4KG</v>
      </c>
      <c r="C56" s="48" t="s">
        <v>1323</v>
      </c>
      <c r="D56" s="114" t="str">
        <f>VLOOKUP(C56,'Custos Matéria Prima Embalagens'!B:C,2,0)</f>
        <v>SUPRAWAN RA 7 (SC-25)</v>
      </c>
      <c r="E56" s="114" t="str">
        <f>VLOOKUP(C56,'Custos Matéria Prima Embalagens'!B:D,3,0)</f>
        <v>SUPRAWAN RA 7</v>
      </c>
      <c r="F56" s="270">
        <f t="shared" si="8"/>
        <v>1106.5</v>
      </c>
      <c r="G56" s="148">
        <f t="shared" si="9"/>
        <v>9.0375056484410295E-3</v>
      </c>
      <c r="H56" s="271">
        <v>10</v>
      </c>
      <c r="I56" s="272">
        <f>ROUND(F56/VLOOKUP(A56,'Tabela de Produtos'!A:J,10,0),0)</f>
        <v>1107</v>
      </c>
      <c r="J56" s="97">
        <f>IFERROR(VLOOKUP(C56,'Custos Matéria Prima Embalagens'!B:G,6,0)*H56,"Matéria Prima Não Cadastrada")</f>
        <v>197.714232033819</v>
      </c>
      <c r="K56" s="97">
        <f>IFERROR(J56/(I56/VLOOKUP(A56,'Tabela de Produtos'!A:H,8,0)),"Matéria Prima Não Cadastrada")</f>
        <v>0.71441456922789159</v>
      </c>
      <c r="L56" s="216">
        <v>45939</v>
      </c>
    </row>
    <row r="57" spans="1:12" ht="15.75" customHeight="1">
      <c r="A57" s="48" t="s">
        <v>87</v>
      </c>
      <c r="B57" s="114" t="str">
        <f>VLOOKUP(A57,'Tabela de Produtos'!A:B,2,0)</f>
        <v>BRAZIMIL MASSA ACRÍLICA 4KG</v>
      </c>
      <c r="C57" s="48" t="s">
        <v>1225</v>
      </c>
      <c r="D57" s="114" t="str">
        <f>VLOOKUP(C57,'Custos Matéria Prima Embalagens'!B:C,2,0)</f>
        <v>CALCARIO DOLOMITICO #325 ( SACOS 25 KG)</v>
      </c>
      <c r="E57" s="114" t="str">
        <f>VLOOKUP(C57,'Custos Matéria Prima Embalagens'!B:D,3,0)</f>
        <v>CARBONATO #325</v>
      </c>
      <c r="F57" s="270">
        <f t="shared" si="8"/>
        <v>1106.5</v>
      </c>
      <c r="G57" s="148">
        <f t="shared" si="9"/>
        <v>0.63262539539087215</v>
      </c>
      <c r="H57" s="271">
        <v>700</v>
      </c>
      <c r="I57" s="272">
        <f>ROUND(F57/VLOOKUP(A57,'Tabela de Produtos'!A:J,10,0),0)</f>
        <v>1107</v>
      </c>
      <c r="J57" s="97">
        <f>IFERROR(VLOOKUP(C57,'Custos Matéria Prima Embalagens'!B:G,6,0)*H57,"Matéria Prima Não Cadastrada")</f>
        <v>480.04496932515343</v>
      </c>
      <c r="K57" s="97">
        <f>IFERROR(J57/(I57/VLOOKUP(A57,'Tabela de Produtos'!A:H,8,0)),"Matéria Prima Não Cadastrada")</f>
        <v>1.734579834959904</v>
      </c>
      <c r="L57" s="216">
        <v>45939</v>
      </c>
    </row>
    <row r="58" spans="1:12" ht="15.75" customHeight="1">
      <c r="A58" s="48" t="s">
        <v>87</v>
      </c>
      <c r="B58" s="114" t="str">
        <f>VLOOKUP(A58,'Tabela de Produtos'!A:B,2,0)</f>
        <v>BRAZIMIL MASSA ACRÍLICA 4KG</v>
      </c>
      <c r="C58" s="48" t="s">
        <v>1217</v>
      </c>
      <c r="D58" s="114" t="str">
        <f>VLOOKUP(C58,'Custos Matéria Prima Embalagens'!B:C,2,0)</f>
        <v>WANCRIL W 51 CE (CT-1000P)</v>
      </c>
      <c r="E58" s="114" t="str">
        <f>VLOOKUP(C58,'Custos Matéria Prima Embalagens'!B:D,3,0)</f>
        <v>RESINA ACRILICA ESTIRENADA</v>
      </c>
      <c r="F58" s="270">
        <f t="shared" si="8"/>
        <v>1106.5</v>
      </c>
      <c r="G58" s="148">
        <f t="shared" si="9"/>
        <v>9.9412562132851337E-2</v>
      </c>
      <c r="H58" s="271">
        <v>110</v>
      </c>
      <c r="I58" s="272">
        <f>ROUND(F58/VLOOKUP(A58,'Tabela de Produtos'!A:J,10,0),0)</f>
        <v>1107</v>
      </c>
      <c r="J58" s="97">
        <f>IFERROR(VLOOKUP(C58,'Custos Matéria Prima Embalagens'!B:G,6,0)*H58,"Matéria Prima Não Cadastrada")</f>
        <v>927.3</v>
      </c>
      <c r="K58" s="97">
        <f>IFERROR(J58/(I58/VLOOKUP(A58,'Tabela de Produtos'!A:H,8,0)),"Matéria Prima Não Cadastrada")</f>
        <v>3.3506775067750674</v>
      </c>
      <c r="L58" s="216">
        <v>45939</v>
      </c>
    </row>
    <row r="59" spans="1:12" ht="15.75" customHeight="1">
      <c r="A59" s="48" t="s">
        <v>87</v>
      </c>
      <c r="B59" s="114" t="str">
        <f>VLOOKUP(A59,'Tabela de Produtos'!A:B,2,0)</f>
        <v>BRAZIMIL MASSA ACRÍLICA 4KG</v>
      </c>
      <c r="C59" s="48" t="s">
        <v>1325</v>
      </c>
      <c r="D59" s="114" t="str">
        <f>VLOOKUP(C59,'Custos Matéria Prima Embalagens'!B:C,2,0)</f>
        <v>WANESP 450 CE (CT-1000P)</v>
      </c>
      <c r="E59" s="114" t="str">
        <f>VLOOKUP(C59,'Custos Matéria Prima Embalagens'!B:D,3,0)</f>
        <v>ESPESSANTE DE ALTA</v>
      </c>
      <c r="F59" s="270">
        <f t="shared" si="8"/>
        <v>1106.5</v>
      </c>
      <c r="G59" s="148">
        <f t="shared" si="9"/>
        <v>1.5363759602349751E-2</v>
      </c>
      <c r="H59" s="271">
        <v>17</v>
      </c>
      <c r="I59" s="272">
        <f>ROUND(F59/VLOOKUP(A59,'Tabela de Produtos'!A:J,10,0),0)</f>
        <v>1107</v>
      </c>
      <c r="J59" s="97">
        <f>IFERROR(VLOOKUP(C59,'Custos Matéria Prima Embalagens'!B:G,6,0)*H59,"Matéria Prima Não Cadastrada")</f>
        <v>128.01</v>
      </c>
      <c r="K59" s="97">
        <f>IFERROR(J59/(I59/VLOOKUP(A59,'Tabela de Produtos'!A:H,8,0)),"Matéria Prima Não Cadastrada")</f>
        <v>0.4625474254742547</v>
      </c>
      <c r="L59" s="216">
        <v>45939</v>
      </c>
    </row>
    <row r="60" spans="1:12" ht="15.75" customHeight="1">
      <c r="A60" s="48" t="s">
        <v>87</v>
      </c>
      <c r="B60" s="114" t="str">
        <f>VLOOKUP(A60,'Tabela de Produtos'!A:B,2,0)</f>
        <v>BRAZIMIL MASSA ACRÍLICA 4KG</v>
      </c>
      <c r="C60" s="48" t="s">
        <v>1219</v>
      </c>
      <c r="D60" s="114" t="str">
        <f>VLOOKUP(C60,'Custos Matéria Prima Embalagens'!B:C,2,0)</f>
        <v>WANALK 70 CE (BH-200)</v>
      </c>
      <c r="E60" s="114" t="str">
        <f>VLOOKUP(C60,'Custos Matéria Prima Embalagens'!B:D,3,0)</f>
        <v>ALCALINIZANTE</v>
      </c>
      <c r="F60" s="270">
        <f t="shared" si="8"/>
        <v>1106.5</v>
      </c>
      <c r="G60" s="148">
        <f t="shared" si="9"/>
        <v>4.9706281066425667E-3</v>
      </c>
      <c r="H60" s="271">
        <v>5.5</v>
      </c>
      <c r="I60" s="272">
        <f>ROUND(F60/VLOOKUP(A60,'Tabela de Produtos'!A:J,10,0),0)</f>
        <v>1107</v>
      </c>
      <c r="J60" s="97">
        <f>IFERROR(VLOOKUP(C60,'Custos Matéria Prima Embalagens'!B:G,6,0)*H60,"Matéria Prima Não Cadastrada")</f>
        <v>27.39</v>
      </c>
      <c r="K60" s="97">
        <f>IFERROR(J60/(I60/VLOOKUP(A60,'Tabela de Produtos'!A:H,8,0)),"Matéria Prima Não Cadastrada")</f>
        <v>9.8970189701897027E-2</v>
      </c>
      <c r="L60" s="216">
        <v>45939</v>
      </c>
    </row>
    <row r="61" spans="1:12" ht="15.75" customHeight="1">
      <c r="D61" s="114"/>
      <c r="E61" s="114"/>
      <c r="F61" s="270"/>
      <c r="G61" s="148"/>
      <c r="H61" s="271"/>
      <c r="I61" s="272"/>
      <c r="J61" s="97"/>
      <c r="K61" s="97"/>
      <c r="L61" s="216">
        <v>45939</v>
      </c>
    </row>
    <row r="62" spans="1:12" ht="15.75" customHeight="1">
      <c r="A62" s="48" t="s">
        <v>88</v>
      </c>
      <c r="B62" s="114" t="str">
        <f>VLOOKUP(A62,'Tabela de Produtos'!A:B,2,0)</f>
        <v>BRAZIMIL MASSA ACRÍLICA 20KG</v>
      </c>
      <c r="C62" s="48" t="s">
        <v>1197</v>
      </c>
      <c r="D62" s="114" t="str">
        <f>VLOOKUP(C62,'Custos Matéria Prima Embalagens'!B:C,2,0)</f>
        <v>AGUA</v>
      </c>
      <c r="E62" s="114" t="str">
        <f>VLOOKUP(C62,'Custos Matéria Prima Embalagens'!B:D,3,0)</f>
        <v>AGUA</v>
      </c>
      <c r="F62" s="270">
        <f t="shared" ref="F62:F69" si="10">SUMIFS(H:H,A:A,A62)</f>
        <v>1106.5</v>
      </c>
      <c r="G62" s="148">
        <f t="shared" ref="G62:G69" si="11">H62/F62</f>
        <v>0.2349751468594668</v>
      </c>
      <c r="H62" s="271">
        <v>260</v>
      </c>
      <c r="I62" s="272">
        <f>ROUND(F62/VLOOKUP(A62,'Tabela de Produtos'!A:J,10,0),0)</f>
        <v>1107</v>
      </c>
      <c r="J62" s="97">
        <f>IFERROR(VLOOKUP(C62,'Custos Matéria Prima Embalagens'!B:G,6,0)*H62,"Matéria Prima Não Cadastrada")</f>
        <v>0</v>
      </c>
      <c r="K62" s="97">
        <f>IFERROR(J62/(I62/VLOOKUP(A62,'Tabela de Produtos'!A:H,8,0)),"Matéria Prima Não Cadastrada")</f>
        <v>0</v>
      </c>
      <c r="L62" s="216">
        <v>45939</v>
      </c>
    </row>
    <row r="63" spans="1:12" ht="15.75" customHeight="1">
      <c r="A63" s="48" t="s">
        <v>88</v>
      </c>
      <c r="B63" s="114" t="str">
        <f>VLOOKUP(A63,'Tabela de Produtos'!A:B,2,0)</f>
        <v>BRAZIMIL MASSA ACRÍLICA 20KG</v>
      </c>
      <c r="C63" s="48" t="s">
        <v>1201</v>
      </c>
      <c r="D63" s="114" t="str">
        <f>VLOOKUP(C63,'Custos Matéria Prima Embalagens'!B:C,2,0)</f>
        <v>WANFOAM 528 CE (BB-190)</v>
      </c>
      <c r="E63" s="114" t="str">
        <f>VLOOKUP(C63,'Custos Matéria Prima Embalagens'!B:D,3,0)</f>
        <v>ANTI ESPUMA LATEX</v>
      </c>
      <c r="F63" s="270">
        <f t="shared" si="10"/>
        <v>1106.5</v>
      </c>
      <c r="G63" s="148">
        <f t="shared" si="11"/>
        <v>1.8075011296882061E-3</v>
      </c>
      <c r="H63" s="271">
        <v>2</v>
      </c>
      <c r="I63" s="272">
        <f>ROUND(F63/VLOOKUP(A63,'Tabela de Produtos'!A:J,10,0),0)</f>
        <v>1107</v>
      </c>
      <c r="J63" s="97">
        <f>IFERROR(VLOOKUP(C63,'Custos Matéria Prima Embalagens'!B:G,6,0)*H63,"Matéria Prima Não Cadastrada")</f>
        <v>14.36</v>
      </c>
      <c r="K63" s="97">
        <f>IFERROR(J63/(I63/VLOOKUP(A63,'Tabela de Produtos'!A:H,8,0)),"Matéria Prima Não Cadastrada")</f>
        <v>0.25943992773261065</v>
      </c>
      <c r="L63" s="216">
        <v>45939</v>
      </c>
    </row>
    <row r="64" spans="1:12" ht="15.75" customHeight="1">
      <c r="A64" s="48" t="s">
        <v>88</v>
      </c>
      <c r="B64" s="114" t="str">
        <f>VLOOKUP(A64,'Tabela de Produtos'!A:B,2,0)</f>
        <v>BRAZIMIL MASSA ACRÍLICA 20KG</v>
      </c>
      <c r="C64" s="48" t="s">
        <v>1203</v>
      </c>
      <c r="D64" s="114" t="str">
        <f>VLOOKUP(C64,'Custos Matéria Prima Embalagens'!B:C,2,0)</f>
        <v>WANBAC WBT CE (BH-200)</v>
      </c>
      <c r="E64" s="114" t="str">
        <f>VLOOKUP(C64,'Custos Matéria Prima Embalagens'!B:D,3,0)</f>
        <v>BACTERICIDA</v>
      </c>
      <c r="F64" s="270">
        <f t="shared" si="10"/>
        <v>1106.5</v>
      </c>
      <c r="G64" s="148">
        <f t="shared" si="11"/>
        <v>1.8075011296882061E-3</v>
      </c>
      <c r="H64" s="271">
        <v>2</v>
      </c>
      <c r="I64" s="272">
        <f>ROUND(F64/VLOOKUP(A64,'Tabela de Produtos'!A:J,10,0),0)</f>
        <v>1107</v>
      </c>
      <c r="J64" s="97">
        <f>IFERROR(VLOOKUP(C64,'Custos Matéria Prima Embalagens'!B:G,6,0)*H64,"Matéria Prima Não Cadastrada")</f>
        <v>9.879999999999999</v>
      </c>
      <c r="K64" s="97">
        <f>IFERROR(J64/(I64/VLOOKUP(A64,'Tabela de Produtos'!A:H,8,0)),"Matéria Prima Não Cadastrada")</f>
        <v>0.17850045167118336</v>
      </c>
      <c r="L64" s="216">
        <v>45939</v>
      </c>
    </row>
    <row r="65" spans="1:12" ht="15.75" customHeight="1">
      <c r="A65" s="48" t="s">
        <v>88</v>
      </c>
      <c r="B65" s="114" t="str">
        <f>VLOOKUP(A65,'Tabela de Produtos'!A:B,2,0)</f>
        <v>BRAZIMIL MASSA ACRÍLICA 20KG</v>
      </c>
      <c r="C65" s="48" t="s">
        <v>1323</v>
      </c>
      <c r="D65" s="114" t="str">
        <f>VLOOKUP(C65,'Custos Matéria Prima Embalagens'!B:C,2,0)</f>
        <v>SUPRAWAN RA 7 (SC-25)</v>
      </c>
      <c r="E65" s="114" t="str">
        <f>VLOOKUP(C65,'Custos Matéria Prima Embalagens'!B:D,3,0)</f>
        <v>SUPRAWAN RA 7</v>
      </c>
      <c r="F65" s="270">
        <f t="shared" si="10"/>
        <v>1106.5</v>
      </c>
      <c r="G65" s="148">
        <f t="shared" si="11"/>
        <v>9.0375056484410295E-3</v>
      </c>
      <c r="H65" s="271">
        <v>10</v>
      </c>
      <c r="I65" s="272">
        <f>ROUND(F65/VLOOKUP(A65,'Tabela de Produtos'!A:J,10,0),0)</f>
        <v>1107</v>
      </c>
      <c r="J65" s="97">
        <f>IFERROR(VLOOKUP(C65,'Custos Matéria Prima Embalagens'!B:G,6,0)*H65,"Matéria Prima Não Cadastrada")</f>
        <v>197.714232033819</v>
      </c>
      <c r="K65" s="97">
        <f>IFERROR(J65/(I65/VLOOKUP(A65,'Tabela de Produtos'!A:H,8,0)),"Matéria Prima Não Cadastrada")</f>
        <v>3.572072846139458</v>
      </c>
      <c r="L65" s="216">
        <v>45939</v>
      </c>
    </row>
    <row r="66" spans="1:12" ht="15.75" customHeight="1">
      <c r="A66" s="48" t="s">
        <v>88</v>
      </c>
      <c r="B66" s="114" t="str">
        <f>VLOOKUP(A66,'Tabela de Produtos'!A:B,2,0)</f>
        <v>BRAZIMIL MASSA ACRÍLICA 20KG</v>
      </c>
      <c r="C66" s="48" t="s">
        <v>1225</v>
      </c>
      <c r="D66" s="114" t="str">
        <f>VLOOKUP(C66,'Custos Matéria Prima Embalagens'!B:C,2,0)</f>
        <v>CALCARIO DOLOMITICO #325 ( SACOS 25 KG)</v>
      </c>
      <c r="E66" s="114" t="str">
        <f>VLOOKUP(C66,'Custos Matéria Prima Embalagens'!B:D,3,0)</f>
        <v>CARBONATO #325</v>
      </c>
      <c r="F66" s="270">
        <f t="shared" si="10"/>
        <v>1106.5</v>
      </c>
      <c r="G66" s="148">
        <f t="shared" si="11"/>
        <v>0.63262539539087215</v>
      </c>
      <c r="H66" s="271">
        <v>700</v>
      </c>
      <c r="I66" s="272">
        <f>ROUND(F66/VLOOKUP(A66,'Tabela de Produtos'!A:J,10,0),0)</f>
        <v>1107</v>
      </c>
      <c r="J66" s="97">
        <f>IFERROR(VLOOKUP(C66,'Custos Matéria Prima Embalagens'!B:G,6,0)*H66,"Matéria Prima Não Cadastrada")</f>
        <v>480.04496932515343</v>
      </c>
      <c r="K66" s="97">
        <f>IFERROR(J66/(I66/VLOOKUP(A66,'Tabela de Produtos'!A:H,8,0)),"Matéria Prima Não Cadastrada")</f>
        <v>8.6728991747995199</v>
      </c>
      <c r="L66" s="216">
        <v>45939</v>
      </c>
    </row>
    <row r="67" spans="1:12" ht="15.75" customHeight="1">
      <c r="A67" s="48" t="s">
        <v>88</v>
      </c>
      <c r="B67" s="114" t="str">
        <f>VLOOKUP(A67,'Tabela de Produtos'!A:B,2,0)</f>
        <v>BRAZIMIL MASSA ACRÍLICA 20KG</v>
      </c>
      <c r="C67" s="48" t="s">
        <v>1217</v>
      </c>
      <c r="D67" s="114" t="str">
        <f>VLOOKUP(C67,'Custos Matéria Prima Embalagens'!B:C,2,0)</f>
        <v>WANCRIL W 51 CE (CT-1000P)</v>
      </c>
      <c r="E67" s="114" t="str">
        <f>VLOOKUP(C67,'Custos Matéria Prima Embalagens'!B:D,3,0)</f>
        <v>RESINA ACRILICA ESTIRENADA</v>
      </c>
      <c r="F67" s="270">
        <f t="shared" si="10"/>
        <v>1106.5</v>
      </c>
      <c r="G67" s="148">
        <f t="shared" si="11"/>
        <v>9.9412562132851337E-2</v>
      </c>
      <c r="H67" s="271">
        <v>110</v>
      </c>
      <c r="I67" s="272">
        <f>ROUND(F67/VLOOKUP(A67,'Tabela de Produtos'!A:J,10,0),0)</f>
        <v>1107</v>
      </c>
      <c r="J67" s="97">
        <f>IFERROR(VLOOKUP(C67,'Custos Matéria Prima Embalagens'!B:G,6,0)*H67,"Matéria Prima Não Cadastrada")</f>
        <v>927.3</v>
      </c>
      <c r="K67" s="97">
        <f>IFERROR(J67/(I67/VLOOKUP(A67,'Tabela de Produtos'!A:H,8,0)),"Matéria Prima Não Cadastrada")</f>
        <v>16.753387533875337</v>
      </c>
      <c r="L67" s="216">
        <v>45939</v>
      </c>
    </row>
    <row r="68" spans="1:12" ht="15.75" customHeight="1">
      <c r="A68" s="48" t="s">
        <v>88</v>
      </c>
      <c r="B68" s="114" t="str">
        <f>VLOOKUP(A68,'Tabela de Produtos'!A:B,2,0)</f>
        <v>BRAZIMIL MASSA ACRÍLICA 20KG</v>
      </c>
      <c r="C68" s="48" t="s">
        <v>1325</v>
      </c>
      <c r="D68" s="114" t="str">
        <f>VLOOKUP(C68,'Custos Matéria Prima Embalagens'!B:C,2,0)</f>
        <v>WANESP 450 CE (CT-1000P)</v>
      </c>
      <c r="E68" s="114" t="str">
        <f>VLOOKUP(C68,'Custos Matéria Prima Embalagens'!B:D,3,0)</f>
        <v>ESPESSANTE DE ALTA</v>
      </c>
      <c r="F68" s="270">
        <f t="shared" si="10"/>
        <v>1106.5</v>
      </c>
      <c r="G68" s="148">
        <f t="shared" si="11"/>
        <v>1.5363759602349751E-2</v>
      </c>
      <c r="H68" s="271">
        <v>17</v>
      </c>
      <c r="I68" s="272">
        <f>ROUND(F68/VLOOKUP(A68,'Tabela de Produtos'!A:J,10,0),0)</f>
        <v>1107</v>
      </c>
      <c r="J68" s="97">
        <f>IFERROR(VLOOKUP(C68,'Custos Matéria Prima Embalagens'!B:G,6,0)*H68,"Matéria Prima Não Cadastrada")</f>
        <v>128.01</v>
      </c>
      <c r="K68" s="97">
        <f>IFERROR(J68/(I68/VLOOKUP(A68,'Tabela de Produtos'!A:H,8,0)),"Matéria Prima Não Cadastrada")</f>
        <v>2.3127371273712733</v>
      </c>
      <c r="L68" s="216">
        <v>45939</v>
      </c>
    </row>
    <row r="69" spans="1:12" ht="15.75" customHeight="1">
      <c r="A69" s="48" t="s">
        <v>88</v>
      </c>
      <c r="B69" s="114" t="str">
        <f>VLOOKUP(A69,'Tabela de Produtos'!A:B,2,0)</f>
        <v>BRAZIMIL MASSA ACRÍLICA 20KG</v>
      </c>
      <c r="C69" s="48" t="s">
        <v>1219</v>
      </c>
      <c r="D69" s="114" t="str">
        <f>VLOOKUP(C69,'Custos Matéria Prima Embalagens'!B:C,2,0)</f>
        <v>WANALK 70 CE (BH-200)</v>
      </c>
      <c r="E69" s="114" t="str">
        <f>VLOOKUP(C69,'Custos Matéria Prima Embalagens'!B:D,3,0)</f>
        <v>ALCALINIZANTE</v>
      </c>
      <c r="F69" s="270">
        <f t="shared" si="10"/>
        <v>1106.5</v>
      </c>
      <c r="G69" s="148">
        <f t="shared" si="11"/>
        <v>4.9706281066425667E-3</v>
      </c>
      <c r="H69" s="271">
        <v>5.5</v>
      </c>
      <c r="I69" s="272">
        <f>ROUND(F69/VLOOKUP(A69,'Tabela de Produtos'!A:J,10,0),0)</f>
        <v>1107</v>
      </c>
      <c r="J69" s="97">
        <f>IFERROR(VLOOKUP(C69,'Custos Matéria Prima Embalagens'!B:G,6,0)*H69,"Matéria Prima Não Cadastrada")</f>
        <v>27.39</v>
      </c>
      <c r="K69" s="97">
        <f>IFERROR(J69/(I69/VLOOKUP(A69,'Tabela de Produtos'!A:H,8,0)),"Matéria Prima Não Cadastrada")</f>
        <v>0.49485094850948508</v>
      </c>
      <c r="L69" s="216">
        <v>45939</v>
      </c>
    </row>
    <row r="70" spans="1:12" ht="15.75" customHeight="1">
      <c r="D70" s="114"/>
      <c r="E70" s="114"/>
      <c r="F70" s="270"/>
      <c r="G70" s="148"/>
      <c r="H70" s="274"/>
      <c r="I70" s="272"/>
      <c r="J70" s="97"/>
      <c r="K70" s="97"/>
      <c r="L70" s="216">
        <v>45939</v>
      </c>
    </row>
    <row r="71" spans="1:12" ht="15.75" customHeight="1">
      <c r="A71" s="48" t="s">
        <v>89</v>
      </c>
      <c r="B71" s="114" t="str">
        <f>VLOOKUP(A71,'Tabela de Produtos'!A:B,2,0)</f>
        <v>BRAZIMIL LÁTEX ECONÔMICO INT FOSCO 3L BRANCO NEVE</v>
      </c>
      <c r="C71" s="48" t="s">
        <v>1197</v>
      </c>
      <c r="D71" s="114" t="str">
        <f>VLOOKUP(C71,'Custos Matéria Prima Embalagens'!B:C,2,0)</f>
        <v>AGUA</v>
      </c>
      <c r="E71" s="114" t="str">
        <f>VLOOKUP(C71,'Custos Matéria Prima Embalagens'!B:D,3,0)</f>
        <v>AGUA</v>
      </c>
      <c r="F71" s="270">
        <f t="shared" ref="F71:F85" si="12">SUMIFS(H:H,A:A,A71)</f>
        <v>854</v>
      </c>
      <c r="G71" s="148">
        <f t="shared" ref="G71:G85" si="13">H71/F71</f>
        <v>0.44496487119437939</v>
      </c>
      <c r="H71" s="274">
        <v>380</v>
      </c>
      <c r="I71" s="272">
        <f>ROUND(F71/VLOOKUP(A71,'Tabela de Produtos'!A:J,10,0),0)</f>
        <v>672</v>
      </c>
      <c r="J71" s="97">
        <f>IFERROR(VLOOKUP(C71,'Custos Matéria Prima Embalagens'!B:G,6,0)*H71,"Matéria Prima Não Cadastrada")</f>
        <v>0</v>
      </c>
      <c r="K71" s="97">
        <f>IFERROR(J71/(I71/VLOOKUP(A71,'Tabela de Produtos'!A:H,8,0)),"Matéria Prima Não Cadastrada")</f>
        <v>0</v>
      </c>
      <c r="L71" s="216">
        <v>45974</v>
      </c>
    </row>
    <row r="72" spans="1:12" ht="15.75" customHeight="1">
      <c r="A72" s="48" t="s">
        <v>89</v>
      </c>
      <c r="B72" s="114" t="str">
        <f>VLOOKUP(A72,'Tabela de Produtos'!A:B,2,0)</f>
        <v>BRAZIMIL LÁTEX ECONÔMICO INT FOSCO 3L BRANCO NEVE</v>
      </c>
      <c r="C72" t="s">
        <v>1199</v>
      </c>
      <c r="D72" s="114" t="str">
        <f>VLOOKUP(C72,'Custos Matéria Prima Embalagens'!B:C,2,0)</f>
        <v>HEXAMETAFOSFATO DE SODIO</v>
      </c>
      <c r="E72" s="114" t="str">
        <f>VLOOKUP(C72,'Custos Matéria Prima Embalagens'!B:D,3,0)</f>
        <v>HEXAMETAFOSFATO DE SODIO</v>
      </c>
      <c r="F72" s="270">
        <f t="shared" si="12"/>
        <v>854</v>
      </c>
      <c r="G72" s="148">
        <f t="shared" si="13"/>
        <v>5.8548009367681499E-4</v>
      </c>
      <c r="H72" s="274">
        <v>0.5</v>
      </c>
      <c r="I72" s="272">
        <f>ROUND(F72/VLOOKUP(A72,'Tabela de Produtos'!A:J,10,0),0)</f>
        <v>672</v>
      </c>
      <c r="J72" s="97">
        <f>IFERROR(VLOOKUP(C72,'Custos Matéria Prima Embalagens'!B:G,6,0)*H72,"Matéria Prima Não Cadastrada")</f>
        <v>8.9699999999999989</v>
      </c>
      <c r="K72" s="97">
        <f>IFERROR(J72/(I72/VLOOKUP(A72,'Tabela de Produtos'!A:H,8,0)),"Matéria Prima Não Cadastrada")</f>
        <v>4.0044642857142855E-2</v>
      </c>
      <c r="L72" s="216">
        <v>45974</v>
      </c>
    </row>
    <row r="73" spans="1:12" ht="15.75" customHeight="1">
      <c r="A73" s="48" t="s">
        <v>89</v>
      </c>
      <c r="B73" s="114" t="str">
        <f>VLOOKUP(A73,'Tabela de Produtos'!A:B,2,0)</f>
        <v>BRAZIMIL LÁTEX ECONÔMICO INT FOSCO 3L BRANCO NEVE</v>
      </c>
      <c r="C73" s="48" t="s">
        <v>1201</v>
      </c>
      <c r="D73" s="114" t="str">
        <f>VLOOKUP(C73,'Custos Matéria Prima Embalagens'!B:C,2,0)</f>
        <v>WANFOAM 528 CE (BB-190)</v>
      </c>
      <c r="E73" s="114" t="str">
        <f>VLOOKUP(C73,'Custos Matéria Prima Embalagens'!B:D,3,0)</f>
        <v>ANTI ESPUMA LATEX</v>
      </c>
      <c r="F73" s="270">
        <f t="shared" si="12"/>
        <v>854</v>
      </c>
      <c r="G73" s="148">
        <f t="shared" si="13"/>
        <v>2.9274004683840752E-3</v>
      </c>
      <c r="H73" s="274">
        <v>2.5</v>
      </c>
      <c r="I73" s="272">
        <f>ROUND(F73/VLOOKUP(A73,'Tabela de Produtos'!A:J,10,0),0)</f>
        <v>672</v>
      </c>
      <c r="J73" s="97">
        <f>IFERROR(VLOOKUP(C73,'Custos Matéria Prima Embalagens'!B:G,6,0)*H73,"Matéria Prima Não Cadastrada")</f>
        <v>17.95</v>
      </c>
      <c r="K73" s="97">
        <f>IFERROR(J73/(I73/VLOOKUP(A73,'Tabela de Produtos'!A:H,8,0)),"Matéria Prima Não Cadastrada")</f>
        <v>8.0133928571428564E-2</v>
      </c>
      <c r="L73" s="216">
        <v>45974</v>
      </c>
    </row>
    <row r="74" spans="1:12" ht="15.75" customHeight="1">
      <c r="A74" s="48" t="s">
        <v>89</v>
      </c>
      <c r="B74" s="114" t="str">
        <f>VLOOKUP(A74,'Tabela de Produtos'!A:B,2,0)</f>
        <v>BRAZIMIL LÁTEX ECONÔMICO INT FOSCO 3L BRANCO NEVE</v>
      </c>
      <c r="C74" s="48" t="s">
        <v>1203</v>
      </c>
      <c r="D74" s="114" t="str">
        <f>VLOOKUP(C74,'Custos Matéria Prima Embalagens'!B:C,2,0)</f>
        <v>WANBAC WBT CE (BH-200)</v>
      </c>
      <c r="E74" s="114" t="str">
        <f>VLOOKUP(C74,'Custos Matéria Prima Embalagens'!B:D,3,0)</f>
        <v>BACTERICIDA</v>
      </c>
      <c r="F74" s="270">
        <f t="shared" si="12"/>
        <v>854</v>
      </c>
      <c r="G74" s="148">
        <f t="shared" si="13"/>
        <v>3.5128805620608899E-3</v>
      </c>
      <c r="H74" s="274">
        <v>3</v>
      </c>
      <c r="I74" s="272">
        <f>ROUND(F74/VLOOKUP(A74,'Tabela de Produtos'!A:J,10,0),0)</f>
        <v>672</v>
      </c>
      <c r="J74" s="97">
        <f>IFERROR(VLOOKUP(C74,'Custos Matéria Prima Embalagens'!B:G,6,0)*H74,"Matéria Prima Não Cadastrada")</f>
        <v>14.819999999999999</v>
      </c>
      <c r="K74" s="97">
        <f>IFERROR(J74/(I74/VLOOKUP(A74,'Tabela de Produtos'!A:H,8,0)),"Matéria Prima Não Cadastrada")</f>
        <v>6.6160714285714281E-2</v>
      </c>
      <c r="L74" s="216">
        <v>45974</v>
      </c>
    </row>
    <row r="75" spans="1:12" ht="15.75" customHeight="1">
      <c r="A75" s="48" t="s">
        <v>89</v>
      </c>
      <c r="B75" s="114" t="str">
        <f>VLOOKUP(A75,'Tabela de Produtos'!A:B,2,0)</f>
        <v>BRAZIMIL LÁTEX ECONÔMICO INT FOSCO 3L BRANCO NEVE</v>
      </c>
      <c r="C75" s="48" t="s">
        <v>1205</v>
      </c>
      <c r="D75" s="114" t="str">
        <f>VLOOKUP(C75,'Custos Matéria Prima Embalagens'!B:C,2,0)</f>
        <v>WANSUR 840 CE (BB-200)01</v>
      </c>
      <c r="E75" s="114" t="str">
        <f>VLOOKUP(C75,'Custos Matéria Prima Embalagens'!B:D,3,0)</f>
        <v>UMECTANTE</v>
      </c>
      <c r="F75" s="270">
        <f t="shared" si="12"/>
        <v>854</v>
      </c>
      <c r="G75" s="148">
        <f t="shared" si="13"/>
        <v>2.34192037470726E-3</v>
      </c>
      <c r="H75" s="274">
        <v>2</v>
      </c>
      <c r="I75" s="272">
        <f>ROUND(F75/VLOOKUP(A75,'Tabela de Produtos'!A:J,10,0),0)</f>
        <v>672</v>
      </c>
      <c r="J75" s="97">
        <f>IFERROR(VLOOKUP(C75,'Custos Matéria Prima Embalagens'!B:G,6,0)*H75,"Matéria Prima Não Cadastrada")</f>
        <v>14.66</v>
      </c>
      <c r="K75" s="97">
        <f>IFERROR(J75/(I75/VLOOKUP(A75,'Tabela de Produtos'!A:H,8,0)),"Matéria Prima Não Cadastrada")</f>
        <v>6.5446428571428572E-2</v>
      </c>
      <c r="L75" s="216">
        <v>45974</v>
      </c>
    </row>
    <row r="76" spans="1:12" ht="15.75" customHeight="1">
      <c r="A76" s="48" t="s">
        <v>89</v>
      </c>
      <c r="B76" s="114" t="str">
        <f>VLOOKUP(A76,'Tabela de Produtos'!A:B,2,0)</f>
        <v>BRAZIMIL LÁTEX ECONÔMICO INT FOSCO 3L BRANCO NEVE</v>
      </c>
      <c r="C76" s="48" t="s">
        <v>1207</v>
      </c>
      <c r="D76" s="114" t="str">
        <f>VLOOKUP(C76,'Custos Matéria Prima Embalagens'!B:C,2,0)</f>
        <v>WANPEX 1510 (BB-200)</v>
      </c>
      <c r="E76" s="114" t="str">
        <f>VLOOKUP(C76,'Custos Matéria Prima Embalagens'!B:D,3,0)</f>
        <v>DISPERSANTE LATEX</v>
      </c>
      <c r="F76" s="270">
        <f t="shared" si="12"/>
        <v>854</v>
      </c>
      <c r="G76" s="148">
        <f t="shared" si="13"/>
        <v>2.34192037470726E-3</v>
      </c>
      <c r="H76" s="274">
        <v>2</v>
      </c>
      <c r="I76" s="272">
        <f>ROUND(F76/VLOOKUP(A76,'Tabela de Produtos'!A:J,10,0),0)</f>
        <v>672</v>
      </c>
      <c r="J76" s="97">
        <f>IFERROR(VLOOKUP(C76,'Custos Matéria Prima Embalagens'!B:G,6,0)*H76,"Matéria Prima Não Cadastrada")</f>
        <v>13.719999999999999</v>
      </c>
      <c r="K76" s="97">
        <f>IFERROR(J76/(I76/VLOOKUP(A76,'Tabela de Produtos'!A:H,8,0)),"Matéria Prima Não Cadastrada")</f>
        <v>6.1249999999999992E-2</v>
      </c>
      <c r="L76" s="216">
        <v>45974</v>
      </c>
    </row>
    <row r="77" spans="1:12" ht="15.75" customHeight="1">
      <c r="A77" s="48" t="s">
        <v>89</v>
      </c>
      <c r="B77" s="114" t="str">
        <f>VLOOKUP(A77,'Tabela de Produtos'!A:B,2,0)</f>
        <v>BRAZIMIL LÁTEX ECONÔMICO INT FOSCO 3L BRANCO NEVE</v>
      </c>
      <c r="C77" s="48" t="s">
        <v>1209</v>
      </c>
      <c r="D77" s="114" t="str">
        <f>VLOOKUP(C77,'Custos Matéria Prima Embalagens'!B:C,2,0)</f>
        <v>WANFUNG WFT CE (BH-200)</v>
      </c>
      <c r="E77" s="114" t="str">
        <f>VLOOKUP(C77,'Custos Matéria Prima Embalagens'!B:D,3,0)</f>
        <v>FUNGICIDA</v>
      </c>
      <c r="F77" s="270">
        <f t="shared" si="12"/>
        <v>854</v>
      </c>
      <c r="G77" s="148">
        <f t="shared" si="13"/>
        <v>2.9274004683840752E-3</v>
      </c>
      <c r="H77" s="274">
        <v>2.5</v>
      </c>
      <c r="I77" s="272">
        <f>ROUND(F77/VLOOKUP(A77,'Tabela de Produtos'!A:J,10,0),0)</f>
        <v>672</v>
      </c>
      <c r="J77" s="97">
        <f>IFERROR(VLOOKUP(C77,'Custos Matéria Prima Embalagens'!B:G,6,0)*H77,"Matéria Prima Não Cadastrada")</f>
        <v>17.5</v>
      </c>
      <c r="K77" s="97">
        <f>IFERROR(J77/(I77/VLOOKUP(A77,'Tabela de Produtos'!A:H,8,0)),"Matéria Prima Não Cadastrada")</f>
        <v>7.8125E-2</v>
      </c>
      <c r="L77" s="216">
        <v>45974</v>
      </c>
    </row>
    <row r="78" spans="1:12" ht="15.75" customHeight="1">
      <c r="A78" s="48" t="s">
        <v>89</v>
      </c>
      <c r="B78" s="114" t="str">
        <f>VLOOKUP(A78,'Tabela de Produtos'!A:B,2,0)</f>
        <v>BRAZIMIL LÁTEX ECONÔMICO INT FOSCO 3L BRANCO NEVE</v>
      </c>
      <c r="C78" s="48" t="s">
        <v>1211</v>
      </c>
      <c r="D78" s="114" t="str">
        <f>VLOOKUP(C78,'Custos Matéria Prima Embalagens'!B:C,2,0)</f>
        <v>WHITE PLUS PB (SC-25) (Em negociação)</v>
      </c>
      <c r="E78" s="114" t="str">
        <f>VLOOKUP(C78,'Custos Matéria Prima Embalagens'!B:D,3,0)</f>
        <v>WHITE PLUS</v>
      </c>
      <c r="F78" s="270">
        <f t="shared" si="12"/>
        <v>854</v>
      </c>
      <c r="G78" s="148">
        <f t="shared" si="13"/>
        <v>5.8548009367681501E-2</v>
      </c>
      <c r="H78" s="274">
        <v>50</v>
      </c>
      <c r="I78" s="272">
        <f>ROUND(F78/VLOOKUP(A78,'Tabela de Produtos'!A:J,10,0),0)</f>
        <v>672</v>
      </c>
      <c r="J78" s="97">
        <f>IFERROR(VLOOKUP(C78,'Custos Matéria Prima Embalagens'!B:G,6,0)*H78,"Matéria Prima Não Cadastrada")</f>
        <v>154.5</v>
      </c>
      <c r="K78" s="97">
        <f>IFERROR(J78/(I78/VLOOKUP(A78,'Tabela de Produtos'!A:H,8,0)),"Matéria Prima Não Cadastrada")</f>
        <v>0.6897321428571429</v>
      </c>
      <c r="L78" s="216">
        <v>45974</v>
      </c>
    </row>
    <row r="79" spans="1:12" ht="15.75" customHeight="1">
      <c r="A79" s="48" t="s">
        <v>89</v>
      </c>
      <c r="B79" s="114" t="str">
        <f>VLOOKUP(A79,'Tabela de Produtos'!A:B,2,0)</f>
        <v>BRAZIMIL LÁTEX ECONÔMICO INT FOSCO 3L BRANCO NEVE</v>
      </c>
      <c r="C79" s="48" t="s">
        <v>1213</v>
      </c>
      <c r="D79" s="114" t="str">
        <f>VLOOKUP(C79,'Custos Matéria Prima Embalagens'!B:C,2,0)</f>
        <v>DIOXIDO DE TITANIO RUTILO R-996</v>
      </c>
      <c r="E79" s="114" t="str">
        <f>VLOOKUP(C79,'Custos Matéria Prima Embalagens'!B:D,3,0)</f>
        <v>TITANIO</v>
      </c>
      <c r="F79" s="270">
        <f t="shared" si="12"/>
        <v>854</v>
      </c>
      <c r="G79" s="148">
        <f t="shared" si="13"/>
        <v>5.8548009367681503E-3</v>
      </c>
      <c r="H79" s="274">
        <v>5</v>
      </c>
      <c r="I79" s="272">
        <f>ROUND(F79/VLOOKUP(A79,'Tabela de Produtos'!A:J,10,0),0)</f>
        <v>672</v>
      </c>
      <c r="J79" s="97">
        <f>IFERROR(VLOOKUP(C79,'Custos Matéria Prima Embalagens'!B:G,6,0)*H79,"Matéria Prima Não Cadastrada")</f>
        <v>96.5</v>
      </c>
      <c r="K79" s="97">
        <f>IFERROR(J79/(I79/VLOOKUP(A79,'Tabela de Produtos'!A:H,8,0)),"Matéria Prima Não Cadastrada")</f>
        <v>0.43080357142857145</v>
      </c>
      <c r="L79" s="216">
        <v>45974</v>
      </c>
    </row>
    <row r="80" spans="1:12" ht="15.75" customHeight="1">
      <c r="A80" s="48" t="s">
        <v>89</v>
      </c>
      <c r="B80" s="114" t="str">
        <f>VLOOKUP(A80,'Tabela de Produtos'!A:B,2,0)</f>
        <v>BRAZIMIL LÁTEX ECONÔMICO INT FOSCO 3L BRANCO NEVE</v>
      </c>
      <c r="C80" s="48" t="s">
        <v>1215</v>
      </c>
      <c r="D80" s="114" t="str">
        <f>VLOOKUP(C80,'Custos Matéria Prima Embalagens'!B:C,2,0)</f>
        <v>CALCARIO DOLOMITICO #500 ( SACOS 25 KG)</v>
      </c>
      <c r="E80" s="114" t="str">
        <f>VLOOKUP(C80,'Custos Matéria Prima Embalagens'!B:D,3,0)</f>
        <v>CARBONATO #500</v>
      </c>
      <c r="F80" s="270">
        <f t="shared" si="12"/>
        <v>854</v>
      </c>
      <c r="G80" s="148">
        <f t="shared" si="13"/>
        <v>0.4098360655737705</v>
      </c>
      <c r="H80" s="274">
        <v>350</v>
      </c>
      <c r="I80" s="272">
        <f>ROUND(F80/VLOOKUP(A80,'Tabela de Produtos'!A:J,10,0),0)</f>
        <v>672</v>
      </c>
      <c r="J80" s="97">
        <f>IFERROR(VLOOKUP(C80,'Custos Matéria Prima Embalagens'!B:G,6,0)*H80,"Matéria Prima Não Cadastrada")</f>
        <v>280</v>
      </c>
      <c r="K80" s="97">
        <f>IFERROR(J80/(I80/VLOOKUP(A80,'Tabela de Produtos'!A:H,8,0)),"Matéria Prima Não Cadastrada")</f>
        <v>1.25</v>
      </c>
      <c r="L80" s="216">
        <v>45974</v>
      </c>
    </row>
    <row r="81" spans="1:12" ht="15.75" customHeight="1">
      <c r="A81" s="48" t="s">
        <v>89</v>
      </c>
      <c r="B81" s="114" t="str">
        <f>VLOOKUP(A81,'Tabela de Produtos'!A:B,2,0)</f>
        <v>BRAZIMIL LÁTEX ECONÔMICO INT FOSCO 3L BRANCO NEVE</v>
      </c>
      <c r="C81" s="48" t="s">
        <v>1217</v>
      </c>
      <c r="D81" s="114" t="str">
        <f>VLOOKUP(C81,'Custos Matéria Prima Embalagens'!B:C,2,0)</f>
        <v>WANCRIL W 51 CE (CT-1000P)</v>
      </c>
      <c r="E81" s="114" t="str">
        <f>VLOOKUP(C81,'Custos Matéria Prima Embalagens'!B:D,3,0)</f>
        <v>RESINA ACRILICA ESTIRENADA</v>
      </c>
      <c r="F81" s="270">
        <f t="shared" si="12"/>
        <v>854</v>
      </c>
      <c r="G81" s="148">
        <f t="shared" si="13"/>
        <v>3.5128805620608897E-2</v>
      </c>
      <c r="H81" s="274">
        <v>30</v>
      </c>
      <c r="I81" s="272">
        <f>ROUND(F81/VLOOKUP(A81,'Tabela de Produtos'!A:J,10,0),0)</f>
        <v>672</v>
      </c>
      <c r="J81" s="97">
        <f>IFERROR(VLOOKUP(C81,'Custos Matéria Prima Embalagens'!B:G,6,0)*H81,"Matéria Prima Não Cadastrada")</f>
        <v>252.89999999999998</v>
      </c>
      <c r="K81" s="97">
        <f>IFERROR(J81/(I81/VLOOKUP(A81,'Tabela de Produtos'!A:H,8,0)),"Matéria Prima Não Cadastrada")</f>
        <v>1.1290178571428571</v>
      </c>
      <c r="L81" s="216">
        <v>45974</v>
      </c>
    </row>
    <row r="82" spans="1:12" ht="15.75" customHeight="1">
      <c r="A82" s="48" t="s">
        <v>89</v>
      </c>
      <c r="B82" s="114" t="str">
        <f>VLOOKUP(A82,'Tabela de Produtos'!A:B,2,0)</f>
        <v>BRAZIMIL LÁTEX ECONÔMICO INT FOSCO 3L BRANCO NEVE</v>
      </c>
      <c r="C82" s="48" t="s">
        <v>1219</v>
      </c>
      <c r="D82" s="114" t="str">
        <f>VLOOKUP(C82,'Custos Matéria Prima Embalagens'!B:C,2,0)</f>
        <v>WANALK 70 CE (BH-200)</v>
      </c>
      <c r="E82" s="114" t="str">
        <f>VLOOKUP(C82,'Custos Matéria Prima Embalagens'!B:D,3,0)</f>
        <v>ALCALINIZANTE</v>
      </c>
      <c r="F82" s="270">
        <f t="shared" si="12"/>
        <v>854</v>
      </c>
      <c r="G82" s="148">
        <f t="shared" si="13"/>
        <v>2.9274004683840752E-3</v>
      </c>
      <c r="H82" s="274">
        <v>2.5</v>
      </c>
      <c r="I82" s="272">
        <f>ROUND(F82/VLOOKUP(A82,'Tabela de Produtos'!A:J,10,0),0)</f>
        <v>672</v>
      </c>
      <c r="J82" s="97">
        <f>IFERROR(VLOOKUP(C82,'Custos Matéria Prima Embalagens'!B:G,6,0)*H82,"Matéria Prima Não Cadastrada")</f>
        <v>12.450000000000001</v>
      </c>
      <c r="K82" s="97">
        <f>IFERROR(J82/(I82/VLOOKUP(A82,'Tabela de Produtos'!A:H,8,0)),"Matéria Prima Não Cadastrada")</f>
        <v>5.5580357142857147E-2</v>
      </c>
      <c r="L82" s="216">
        <v>45974</v>
      </c>
    </row>
    <row r="83" spans="1:12" ht="15.75" customHeight="1">
      <c r="A83" s="48" t="s">
        <v>89</v>
      </c>
      <c r="B83" s="114" t="str">
        <f>VLOOKUP(A83,'Tabela de Produtos'!A:B,2,0)</f>
        <v>BRAZIMIL LÁTEX ECONÔMICO INT FOSCO 3L BRANCO NEVE</v>
      </c>
      <c r="C83" s="48" t="s">
        <v>1221</v>
      </c>
      <c r="D83" s="114" t="str">
        <f>VLOOKUP(C83,'Custos Matéria Prima Embalagens'!B:C,2,0)</f>
        <v>MODIWAN 105H CE (CT-1000P)</v>
      </c>
      <c r="E83" s="114" t="str">
        <f>VLOOKUP(C83,'Custos Matéria Prima Embalagens'!B:D,3,0)</f>
        <v>ESPESSANTE DE MEDIA</v>
      </c>
      <c r="F83" s="270">
        <f t="shared" si="12"/>
        <v>854</v>
      </c>
      <c r="G83" s="148">
        <f t="shared" si="13"/>
        <v>1.5807962529274005E-2</v>
      </c>
      <c r="H83" s="274">
        <v>13.5</v>
      </c>
      <c r="I83" s="272">
        <f>ROUND(F83/VLOOKUP(A83,'Tabela de Produtos'!A:J,10,0),0)</f>
        <v>672</v>
      </c>
      <c r="J83" s="97">
        <f>IFERROR(VLOOKUP(C83,'Custos Matéria Prima Embalagens'!B:G,6,0)*H83,"Matéria Prima Não Cadastrada")</f>
        <v>106.71749999999999</v>
      </c>
      <c r="K83" s="97">
        <f>IFERROR(J83/(I83/VLOOKUP(A83,'Tabela de Produtos'!A:H,8,0)),"Matéria Prima Não Cadastrada")</f>
        <v>0.47641741071428567</v>
      </c>
      <c r="L83" s="216">
        <v>45974</v>
      </c>
    </row>
    <row r="84" spans="1:12" ht="15.75" customHeight="1">
      <c r="A84" s="48" t="s">
        <v>89</v>
      </c>
      <c r="B84" s="114" t="str">
        <f>VLOOKUP(A84,'Tabela de Produtos'!A:B,2,0)</f>
        <v>BRAZIMIL LÁTEX ECONÔMICO INT FOSCO 3L BRANCO NEVE</v>
      </c>
      <c r="C84" s="48" t="s">
        <v>1223</v>
      </c>
      <c r="D84" s="114" t="str">
        <f>VLOOKUP(C84,'Custos Matéria Prima Embalagens'!B:C,2,0)</f>
        <v>TURBOWAN H CE (BH-200)</v>
      </c>
      <c r="E84" s="114" t="str">
        <f>VLOOKUP(C84,'Custos Matéria Prima Embalagens'!B:D,3,0)</f>
        <v>PROMOTOR DE LAVABILIDADE</v>
      </c>
      <c r="F84" s="270">
        <f t="shared" si="12"/>
        <v>854</v>
      </c>
      <c r="G84" s="148">
        <f t="shared" si="13"/>
        <v>8.7822014051522242E-3</v>
      </c>
      <c r="H84" s="274">
        <v>7.5</v>
      </c>
      <c r="I84" s="272">
        <f>ROUND(F84/VLOOKUP(A84,'Tabela de Produtos'!A:J,10,0),0)</f>
        <v>672</v>
      </c>
      <c r="J84" s="97">
        <f>IFERROR(VLOOKUP(C84,'Custos Matéria Prima Embalagens'!B:G,6,0)*H84,"Matéria Prima Não Cadastrada")</f>
        <v>36.375</v>
      </c>
      <c r="K84" s="97">
        <f>IFERROR(J84/(I84/VLOOKUP(A84,'Tabela de Produtos'!A:H,8,0)),"Matéria Prima Não Cadastrada")</f>
        <v>0.16238839285714285</v>
      </c>
      <c r="L84" s="216">
        <v>45974</v>
      </c>
    </row>
    <row r="85" spans="1:12" ht="15.75" customHeight="1">
      <c r="A85" s="48" t="s">
        <v>89</v>
      </c>
      <c r="B85" s="114" t="str">
        <f>VLOOKUP(A85,'Tabela de Produtos'!A:B,2,0)</f>
        <v>BRAZIMIL LÁTEX ECONÔMICO INT FOSCO 3L BRANCO NEVE</v>
      </c>
      <c r="C85" s="48" t="s">
        <v>1229</v>
      </c>
      <c r="D85" s="114" t="str">
        <f>VLOOKUP(C85,'Custos Matéria Prima Embalagens'!B:C,2,0)</f>
        <v>WANSOL 340 CE (BB-200)</v>
      </c>
      <c r="E85" s="114" t="str">
        <f>VLOOKUP(C85,'Custos Matéria Prima Embalagens'!B:D,3,0)</f>
        <v>COALESCENTE</v>
      </c>
      <c r="F85" s="270">
        <f t="shared" si="12"/>
        <v>854</v>
      </c>
      <c r="G85" s="148">
        <f t="shared" si="13"/>
        <v>3.5128805620608899E-3</v>
      </c>
      <c r="H85" s="274">
        <v>3</v>
      </c>
      <c r="I85" s="272">
        <f>ROUND(F85/VLOOKUP(A85,'Tabela de Produtos'!A:J,10,0),0)</f>
        <v>672</v>
      </c>
      <c r="J85" s="97">
        <f>IFERROR(VLOOKUP(C85,'Custos Matéria Prima Embalagens'!B:G,6,0)*H85,"Matéria Prima Não Cadastrada")</f>
        <v>57.66</v>
      </c>
      <c r="K85" s="97">
        <f>IFERROR(J85/(I85/VLOOKUP(A85,'Tabela de Produtos'!A:H,8,0)),"Matéria Prima Não Cadastrada")</f>
        <v>0.25741071428571427</v>
      </c>
      <c r="L85" s="216">
        <v>45974</v>
      </c>
    </row>
    <row r="86" spans="1:12" ht="15.75" customHeight="1">
      <c r="D86" s="114"/>
      <c r="E86" s="114"/>
      <c r="F86" s="270"/>
      <c r="G86" s="148"/>
      <c r="H86" s="274"/>
      <c r="I86" s="272"/>
      <c r="J86" s="97"/>
      <c r="K86" s="97"/>
      <c r="L86" s="216">
        <v>45939</v>
      </c>
    </row>
    <row r="87" spans="1:12" ht="15.75" customHeight="1">
      <c r="A87" s="48" t="s">
        <v>90</v>
      </c>
      <c r="B87" s="114" t="str">
        <f>VLOOKUP(A87,'Tabela de Produtos'!A:B,2,0)</f>
        <v>BRAZIMIL LÁTEX ECONÔMICO INT FOSCO 3L BRANCO GELO</v>
      </c>
      <c r="C87" s="48" t="s">
        <v>1197</v>
      </c>
      <c r="D87" s="114" t="str">
        <f>VLOOKUP(C87,'Custos Matéria Prima Embalagens'!B:C,2,0)</f>
        <v>AGUA</v>
      </c>
      <c r="E87" s="114" t="str">
        <f>VLOOKUP(C87,'Custos Matéria Prima Embalagens'!B:D,3,0)</f>
        <v>AGUA</v>
      </c>
      <c r="F87" s="270">
        <f t="shared" ref="F87:F100" si="14">SUMIFS(H:H,A:A,A87)</f>
        <v>909.07500000000005</v>
      </c>
      <c r="G87" s="148">
        <f t="shared" ref="G87:G100" si="15">H87/F87</f>
        <v>0.50600885515496519</v>
      </c>
      <c r="H87" s="274">
        <v>460</v>
      </c>
      <c r="I87" s="272">
        <f>ROUND(F87/VLOOKUP(A87,'Tabela de Produtos'!A:J,10,0),0)</f>
        <v>716</v>
      </c>
      <c r="J87" s="97">
        <f>IFERROR(VLOOKUP(C87,'Custos Matéria Prima Embalagens'!B:G,6,0)*H87,"Matéria Prima Não Cadastrada")</f>
        <v>0</v>
      </c>
      <c r="K87" s="97">
        <f>IFERROR(J87/(I87/VLOOKUP(A87,'Tabela de Produtos'!A:H,8,0)),"Matéria Prima Não Cadastrada")</f>
        <v>0</v>
      </c>
      <c r="L87" s="216">
        <v>45939</v>
      </c>
    </row>
    <row r="88" spans="1:12" ht="15.75" customHeight="1">
      <c r="A88" s="48" t="s">
        <v>90</v>
      </c>
      <c r="B88" s="114" t="str">
        <f>VLOOKUP(A88,'Tabela de Produtos'!A:B,2,0)</f>
        <v>BRAZIMIL LÁTEX ECONÔMICO INT FOSCO 3L BRANCO GELO</v>
      </c>
      <c r="C88" s="48" t="s">
        <v>1201</v>
      </c>
      <c r="D88" s="114" t="str">
        <f>VLOOKUP(C88,'Custos Matéria Prima Embalagens'!B:C,2,0)</f>
        <v>WANFOAM 528 CE (BB-190)</v>
      </c>
      <c r="E88" s="114" t="str">
        <f>VLOOKUP(C88,'Custos Matéria Prima Embalagens'!B:D,3,0)</f>
        <v>ANTI ESPUMA LATEX</v>
      </c>
      <c r="F88" s="270">
        <f t="shared" si="14"/>
        <v>909.07500000000005</v>
      </c>
      <c r="G88" s="148">
        <f t="shared" si="15"/>
        <v>2.7500481258422023E-3</v>
      </c>
      <c r="H88" s="274">
        <v>2.5</v>
      </c>
      <c r="I88" s="272">
        <f>ROUND(F88/VLOOKUP(A88,'Tabela de Produtos'!A:J,10,0),0)</f>
        <v>716</v>
      </c>
      <c r="J88" s="97">
        <f>IFERROR(VLOOKUP(C88,'Custos Matéria Prima Embalagens'!B:G,6,0)*H88,"Matéria Prima Não Cadastrada")</f>
        <v>17.95</v>
      </c>
      <c r="K88" s="97">
        <f>IFERROR(J88/(I88/VLOOKUP(A88,'Tabela de Produtos'!A:H,8,0)),"Matéria Prima Não Cadastrada")</f>
        <v>7.5209497206703904E-2</v>
      </c>
      <c r="L88" s="216">
        <v>45939</v>
      </c>
    </row>
    <row r="89" spans="1:12" ht="15.75" customHeight="1">
      <c r="A89" s="48" t="s">
        <v>90</v>
      </c>
      <c r="B89" s="114" t="str">
        <f>VLOOKUP(A89,'Tabela de Produtos'!A:B,2,0)</f>
        <v>BRAZIMIL LÁTEX ECONÔMICO INT FOSCO 3L BRANCO GELO</v>
      </c>
      <c r="C89" s="48" t="s">
        <v>1203</v>
      </c>
      <c r="D89" s="114" t="str">
        <f>VLOOKUP(C89,'Custos Matéria Prima Embalagens'!B:C,2,0)</f>
        <v>WANBAC WBT CE (BH-200)</v>
      </c>
      <c r="E89" s="114" t="str">
        <f>VLOOKUP(C89,'Custos Matéria Prima Embalagens'!B:D,3,0)</f>
        <v>BACTERICIDA</v>
      </c>
      <c r="F89" s="270">
        <f t="shared" si="14"/>
        <v>909.07500000000005</v>
      </c>
      <c r="G89" s="148">
        <f t="shared" si="15"/>
        <v>3.3000577510106425E-3</v>
      </c>
      <c r="H89" s="274">
        <v>3</v>
      </c>
      <c r="I89" s="272">
        <f>ROUND(F89/VLOOKUP(A89,'Tabela de Produtos'!A:J,10,0),0)</f>
        <v>716</v>
      </c>
      <c r="J89" s="97">
        <f>IFERROR(VLOOKUP(C89,'Custos Matéria Prima Embalagens'!B:G,6,0)*H89,"Matéria Prima Não Cadastrada")</f>
        <v>14.819999999999999</v>
      </c>
      <c r="K89" s="97">
        <f>IFERROR(J89/(I89/VLOOKUP(A89,'Tabela de Produtos'!A:H,8,0)),"Matéria Prima Não Cadastrada")</f>
        <v>6.2094972067039102E-2</v>
      </c>
      <c r="L89" s="216">
        <v>45939</v>
      </c>
    </row>
    <row r="90" spans="1:12" ht="15.75" customHeight="1">
      <c r="A90" s="48" t="s">
        <v>90</v>
      </c>
      <c r="B90" s="114" t="str">
        <f>VLOOKUP(A90,'Tabela de Produtos'!A:B,2,0)</f>
        <v>BRAZIMIL LÁTEX ECONÔMICO INT FOSCO 3L BRANCO GELO</v>
      </c>
      <c r="C90" s="48" t="s">
        <v>1205</v>
      </c>
      <c r="D90" s="114" t="str">
        <f>VLOOKUP(C90,'Custos Matéria Prima Embalagens'!B:C,2,0)</f>
        <v>WANSUR 840 CE (BB-200)01</v>
      </c>
      <c r="E90" s="114" t="str">
        <f>VLOOKUP(C90,'Custos Matéria Prima Embalagens'!B:D,3,0)</f>
        <v>UMECTANTE</v>
      </c>
      <c r="F90" s="270">
        <f t="shared" si="14"/>
        <v>909.07500000000005</v>
      </c>
      <c r="G90" s="148">
        <f t="shared" si="15"/>
        <v>2.2000385006737616E-3</v>
      </c>
      <c r="H90" s="274">
        <v>2</v>
      </c>
      <c r="I90" s="272">
        <f>ROUND(F90/VLOOKUP(A90,'Tabela de Produtos'!A:J,10,0),0)</f>
        <v>716</v>
      </c>
      <c r="J90" s="97">
        <f>IFERROR(VLOOKUP(C90,'Custos Matéria Prima Embalagens'!B:G,6,0)*H90,"Matéria Prima Não Cadastrada")</f>
        <v>14.66</v>
      </c>
      <c r="K90" s="97">
        <f>IFERROR(J90/(I90/VLOOKUP(A90,'Tabela de Produtos'!A:H,8,0)),"Matéria Prima Não Cadastrada")</f>
        <v>6.1424581005586593E-2</v>
      </c>
      <c r="L90" s="216">
        <v>45939</v>
      </c>
    </row>
    <row r="91" spans="1:12" ht="15.75" customHeight="1">
      <c r="A91" s="48" t="s">
        <v>90</v>
      </c>
      <c r="B91" s="114" t="str">
        <f>VLOOKUP(A91,'Tabela de Produtos'!A:B,2,0)</f>
        <v>BRAZIMIL LÁTEX ECONÔMICO INT FOSCO 3L BRANCO GELO</v>
      </c>
      <c r="C91" s="48" t="s">
        <v>1207</v>
      </c>
      <c r="D91" s="114" t="str">
        <f>VLOOKUP(C91,'Custos Matéria Prima Embalagens'!B:C,2,0)</f>
        <v>WANPEX 1510 (BB-200)</v>
      </c>
      <c r="E91" s="114" t="str">
        <f>VLOOKUP(C91,'Custos Matéria Prima Embalagens'!B:D,3,0)</f>
        <v>DISPERSANTE LATEX</v>
      </c>
      <c r="F91" s="270">
        <f t="shared" si="14"/>
        <v>909.07500000000005</v>
      </c>
      <c r="G91" s="148">
        <f t="shared" si="15"/>
        <v>3.3000577510106425E-3</v>
      </c>
      <c r="H91" s="274">
        <v>3</v>
      </c>
      <c r="I91" s="272">
        <f>ROUND(F91/VLOOKUP(A91,'Tabela de Produtos'!A:J,10,0),0)</f>
        <v>716</v>
      </c>
      <c r="J91" s="97">
        <f>IFERROR(VLOOKUP(C91,'Custos Matéria Prima Embalagens'!B:G,6,0)*H91,"Matéria Prima Não Cadastrada")</f>
        <v>20.58</v>
      </c>
      <c r="K91" s="97">
        <f>IFERROR(J91/(I91/VLOOKUP(A91,'Tabela de Produtos'!A:H,8,0)),"Matéria Prima Não Cadastrada")</f>
        <v>8.6229050279329603E-2</v>
      </c>
      <c r="L91" s="216">
        <v>45939</v>
      </c>
    </row>
    <row r="92" spans="1:12" ht="15.75" customHeight="1">
      <c r="A92" s="48" t="s">
        <v>90</v>
      </c>
      <c r="B92" s="114" t="str">
        <f>VLOOKUP(A92,'Tabela de Produtos'!A:B,2,0)</f>
        <v>BRAZIMIL LÁTEX ECONÔMICO INT FOSCO 3L BRANCO GELO</v>
      </c>
      <c r="C92" s="48" t="s">
        <v>1209</v>
      </c>
      <c r="D92" s="114" t="str">
        <f>VLOOKUP(C92,'Custos Matéria Prima Embalagens'!B:C,2,0)</f>
        <v>WANFUNG WFT CE (BH-200)</v>
      </c>
      <c r="E92" s="114" t="str">
        <f>VLOOKUP(C92,'Custos Matéria Prima Embalagens'!B:D,3,0)</f>
        <v>FUNGICIDA</v>
      </c>
      <c r="F92" s="270">
        <f t="shared" si="14"/>
        <v>909.07500000000005</v>
      </c>
      <c r="G92" s="148">
        <f t="shared" si="15"/>
        <v>2.7500481258422023E-3</v>
      </c>
      <c r="H92" s="274">
        <v>2.5</v>
      </c>
      <c r="I92" s="272">
        <f>ROUND(F92/VLOOKUP(A92,'Tabela de Produtos'!A:J,10,0),0)</f>
        <v>716</v>
      </c>
      <c r="J92" s="97">
        <f>IFERROR(VLOOKUP(C92,'Custos Matéria Prima Embalagens'!B:G,6,0)*H92,"Matéria Prima Não Cadastrada")</f>
        <v>17.5</v>
      </c>
      <c r="K92" s="97">
        <f>IFERROR(J92/(I92/VLOOKUP(A92,'Tabela de Produtos'!A:H,8,0)),"Matéria Prima Não Cadastrada")</f>
        <v>7.3324022346368714E-2</v>
      </c>
      <c r="L92" s="216">
        <v>45939</v>
      </c>
    </row>
    <row r="93" spans="1:12" ht="15.75" customHeight="1">
      <c r="A93" s="48" t="s">
        <v>90</v>
      </c>
      <c r="B93" s="114" t="str">
        <f>VLOOKUP(A93,'Tabela de Produtos'!A:B,2,0)</f>
        <v>BRAZIMIL LÁTEX ECONÔMICO INT FOSCO 3L BRANCO GELO</v>
      </c>
      <c r="C93" s="48" t="s">
        <v>1215</v>
      </c>
      <c r="D93" s="114" t="str">
        <f>VLOOKUP(C93,'Custos Matéria Prima Embalagens'!B:C,2,0)</f>
        <v>CALCARIO DOLOMITICO #500 ( SACOS 25 KG)</v>
      </c>
      <c r="E93" s="114" t="str">
        <f>VLOOKUP(C93,'Custos Matéria Prima Embalagens'!B:D,3,0)</f>
        <v>CARBONATO #500</v>
      </c>
      <c r="F93" s="270">
        <f t="shared" si="14"/>
        <v>909.07500000000005</v>
      </c>
      <c r="G93" s="148">
        <f t="shared" si="15"/>
        <v>5.500096251684404E-2</v>
      </c>
      <c r="H93" s="274">
        <v>50</v>
      </c>
      <c r="I93" s="272">
        <f>ROUND(F93/VLOOKUP(A93,'Tabela de Produtos'!A:J,10,0),0)</f>
        <v>716</v>
      </c>
      <c r="J93" s="97">
        <f>IFERROR(VLOOKUP(C93,'Custos Matéria Prima Embalagens'!B:G,6,0)*H93,"Matéria Prima Não Cadastrada")</f>
        <v>40</v>
      </c>
      <c r="K93" s="97">
        <f>IFERROR(J93/(I93/VLOOKUP(A93,'Tabela de Produtos'!A:H,8,0)),"Matéria Prima Não Cadastrada")</f>
        <v>0.16759776536312851</v>
      </c>
      <c r="L93" s="216">
        <v>45939</v>
      </c>
    </row>
    <row r="94" spans="1:12" ht="15.75" customHeight="1">
      <c r="A94" s="48" t="s">
        <v>90</v>
      </c>
      <c r="B94" s="114" t="str">
        <f>VLOOKUP(A94,'Tabela de Produtos'!A:B,2,0)</f>
        <v>BRAZIMIL LÁTEX ECONÔMICO INT FOSCO 3L BRANCO GELO</v>
      </c>
      <c r="C94" s="48" t="s">
        <v>1227</v>
      </c>
      <c r="D94" s="114" t="str">
        <f>VLOOKUP(C94,'Custos Matéria Prima Embalagens'!B:C,2,0)</f>
        <v>CAULIM MALHA 325</v>
      </c>
      <c r="E94" s="114" t="str">
        <f>VLOOKUP(C94,'Custos Matéria Prima Embalagens'!B:D,3,0)</f>
        <v>caulim</v>
      </c>
      <c r="F94" s="270">
        <f t="shared" si="14"/>
        <v>909.07500000000005</v>
      </c>
      <c r="G94" s="148">
        <f t="shared" si="15"/>
        <v>0.3575062563594863</v>
      </c>
      <c r="H94" s="274">
        <v>325</v>
      </c>
      <c r="I94" s="272">
        <f>ROUND(F94/VLOOKUP(A94,'Tabela de Produtos'!A:J,10,0),0)</f>
        <v>716</v>
      </c>
      <c r="J94" s="97">
        <f>IFERROR(VLOOKUP(C94,'Custos Matéria Prima Embalagens'!B:G,6,0)*H94,"Matéria Prima Não Cadastrada")</f>
        <v>494.16105555555538</v>
      </c>
      <c r="K94" s="97">
        <f>IFERROR(J94/(I94/VLOOKUP(A94,'Tabela de Produtos'!A:H,8,0)),"Matéria Prima Não Cadastrada")</f>
        <v>2.0705072160148967</v>
      </c>
      <c r="L94" s="216">
        <v>45939</v>
      </c>
    </row>
    <row r="95" spans="1:12" ht="15.75" customHeight="1">
      <c r="A95" s="48" t="s">
        <v>90</v>
      </c>
      <c r="B95" s="114" t="str">
        <f>VLOOKUP(A95,'Tabela de Produtos'!A:B,2,0)</f>
        <v>BRAZIMIL LÁTEX ECONÔMICO INT FOSCO 3L BRANCO GELO</v>
      </c>
      <c r="C95" s="48" t="s">
        <v>1217</v>
      </c>
      <c r="D95" s="114" t="str">
        <f>VLOOKUP(C95,'Custos Matéria Prima Embalagens'!B:C,2,0)</f>
        <v>WANCRIL W 51 CE (CT-1000P)</v>
      </c>
      <c r="E95" s="114" t="str">
        <f>VLOOKUP(C95,'Custos Matéria Prima Embalagens'!B:D,3,0)</f>
        <v>RESINA ACRILICA ESTIRENADA</v>
      </c>
      <c r="F95" s="270">
        <f t="shared" si="14"/>
        <v>909.07500000000005</v>
      </c>
      <c r="G95" s="148">
        <f t="shared" si="15"/>
        <v>3.3000577510106426E-2</v>
      </c>
      <c r="H95" s="274">
        <v>30</v>
      </c>
      <c r="I95" s="272">
        <f>ROUND(F95/VLOOKUP(A95,'Tabela de Produtos'!A:J,10,0),0)</f>
        <v>716</v>
      </c>
      <c r="J95" s="97">
        <f>IFERROR(VLOOKUP(C95,'Custos Matéria Prima Embalagens'!B:G,6,0)*H95,"Matéria Prima Não Cadastrada")</f>
        <v>252.89999999999998</v>
      </c>
      <c r="K95" s="97">
        <f>IFERROR(J95/(I95/VLOOKUP(A95,'Tabela de Produtos'!A:H,8,0)),"Matéria Prima Não Cadastrada")</f>
        <v>1.0596368715083799</v>
      </c>
      <c r="L95" s="216">
        <v>45939</v>
      </c>
    </row>
    <row r="96" spans="1:12" ht="15.75" customHeight="1">
      <c r="A96" s="48" t="s">
        <v>90</v>
      </c>
      <c r="B96" s="114" t="str">
        <f>VLOOKUP(A96,'Tabela de Produtos'!A:B,2,0)</f>
        <v>BRAZIMIL LÁTEX ECONÔMICO INT FOSCO 3L BRANCO GELO</v>
      </c>
      <c r="C96" s="48" t="s">
        <v>1219</v>
      </c>
      <c r="D96" s="114" t="str">
        <f>VLOOKUP(C96,'Custos Matéria Prima Embalagens'!B:C,2,0)</f>
        <v>WANALK 70 CE (BH-200)</v>
      </c>
      <c r="E96" s="114" t="str">
        <f>VLOOKUP(C96,'Custos Matéria Prima Embalagens'!B:D,3,0)</f>
        <v>ALCALINIZANTE</v>
      </c>
      <c r="F96" s="270">
        <f t="shared" si="14"/>
        <v>909.07500000000005</v>
      </c>
      <c r="G96" s="148">
        <f t="shared" si="15"/>
        <v>3.3000577510106425E-3</v>
      </c>
      <c r="H96" s="274">
        <v>3</v>
      </c>
      <c r="I96" s="272">
        <f>ROUND(F96/VLOOKUP(A96,'Tabela de Produtos'!A:J,10,0),0)</f>
        <v>716</v>
      </c>
      <c r="J96" s="97">
        <f>IFERROR(VLOOKUP(C96,'Custos Matéria Prima Embalagens'!B:G,6,0)*H96,"Matéria Prima Não Cadastrada")</f>
        <v>14.940000000000001</v>
      </c>
      <c r="K96" s="97">
        <f>IFERROR(J96/(I96/VLOOKUP(A96,'Tabela de Produtos'!A:H,8,0)),"Matéria Prima Não Cadastrada")</f>
        <v>6.2597765363128499E-2</v>
      </c>
      <c r="L96" s="216">
        <v>45939</v>
      </c>
    </row>
    <row r="97" spans="1:12" ht="15.75" customHeight="1">
      <c r="A97" s="48" t="s">
        <v>90</v>
      </c>
      <c r="B97" s="114" t="str">
        <f>VLOOKUP(A97,'Tabela de Produtos'!A:B,2,0)</f>
        <v>BRAZIMIL LÁTEX ECONÔMICO INT FOSCO 3L BRANCO GELO</v>
      </c>
      <c r="C97" s="48" t="s">
        <v>1221</v>
      </c>
      <c r="D97" s="114" t="str">
        <f>VLOOKUP(C97,'Custos Matéria Prima Embalagens'!B:C,2,0)</f>
        <v>MODIWAN 105H CE (CT-1000P)</v>
      </c>
      <c r="E97" s="114" t="str">
        <f>VLOOKUP(C97,'Custos Matéria Prima Embalagens'!B:D,3,0)</f>
        <v>ESPESSANTE DE MEDIA</v>
      </c>
      <c r="F97" s="270">
        <f t="shared" si="14"/>
        <v>909.07500000000005</v>
      </c>
      <c r="G97" s="148">
        <f t="shared" si="15"/>
        <v>1.7050298380221655E-2</v>
      </c>
      <c r="H97" s="274">
        <v>15.5</v>
      </c>
      <c r="I97" s="272">
        <f>ROUND(F97/VLOOKUP(A97,'Tabela de Produtos'!A:J,10,0),0)</f>
        <v>716</v>
      </c>
      <c r="J97" s="97">
        <f>IFERROR(VLOOKUP(C97,'Custos Matéria Prima Embalagens'!B:G,6,0)*H97,"Matéria Prima Não Cadastrada")</f>
        <v>122.52749999999999</v>
      </c>
      <c r="K97" s="97">
        <f>IFERROR(J97/(I97/VLOOKUP(A97,'Tabela de Produtos'!A:H,8,0)),"Matéria Prima Não Cadastrada")</f>
        <v>0.5133833798882681</v>
      </c>
      <c r="L97" s="216">
        <v>45939</v>
      </c>
    </row>
    <row r="98" spans="1:12" ht="15.75" customHeight="1">
      <c r="A98" s="48" t="s">
        <v>90</v>
      </c>
      <c r="B98" s="114" t="str">
        <f>VLOOKUP(A98,'Tabela de Produtos'!A:B,2,0)</f>
        <v>BRAZIMIL LÁTEX ECONÔMICO INT FOSCO 3L BRANCO GELO</v>
      </c>
      <c r="C98" s="48" t="s">
        <v>1223</v>
      </c>
      <c r="D98" s="114" t="str">
        <f>VLOOKUP(C98,'Custos Matéria Prima Embalagens'!B:C,2,0)</f>
        <v>TURBOWAN H CE (BH-200)</v>
      </c>
      <c r="E98" s="114" t="str">
        <f>VLOOKUP(C98,'Custos Matéria Prima Embalagens'!B:D,3,0)</f>
        <v>PROMOTOR DE LAVABILIDADE</v>
      </c>
      <c r="F98" s="270">
        <f t="shared" si="14"/>
        <v>909.07500000000005</v>
      </c>
      <c r="G98" s="148">
        <f t="shared" si="15"/>
        <v>8.2501443775266064E-3</v>
      </c>
      <c r="H98" s="274">
        <v>7.5</v>
      </c>
      <c r="I98" s="272">
        <f>ROUND(F98/VLOOKUP(A98,'Tabela de Produtos'!A:J,10,0),0)</f>
        <v>716</v>
      </c>
      <c r="J98" s="97">
        <f>IFERROR(VLOOKUP(C98,'Custos Matéria Prima Embalagens'!B:G,6,0)*H98,"Matéria Prima Não Cadastrada")</f>
        <v>36.375</v>
      </c>
      <c r="K98" s="97">
        <f>IFERROR(J98/(I98/VLOOKUP(A98,'Tabela de Produtos'!A:H,8,0)),"Matéria Prima Não Cadastrada")</f>
        <v>0.15240921787709497</v>
      </c>
      <c r="L98" s="216">
        <v>45939</v>
      </c>
    </row>
    <row r="99" spans="1:12" ht="15.75" customHeight="1">
      <c r="A99" s="48" t="s">
        <v>90</v>
      </c>
      <c r="B99" s="114" t="str">
        <f>VLOOKUP(A99,'Tabela de Produtos'!A:B,2,0)</f>
        <v>BRAZIMIL LÁTEX ECONÔMICO INT FOSCO 3L BRANCO GELO</v>
      </c>
      <c r="C99" s="48" t="s">
        <v>1229</v>
      </c>
      <c r="D99" s="114" t="str">
        <f>VLOOKUP(C99,'Custos Matéria Prima Embalagens'!B:C,2,0)</f>
        <v>WANSOL 340 CE (BB-200)</v>
      </c>
      <c r="E99" s="114" t="str">
        <f>VLOOKUP(C99,'Custos Matéria Prima Embalagens'!B:D,3,0)</f>
        <v>COALESCENTE</v>
      </c>
      <c r="F99" s="270">
        <f t="shared" si="14"/>
        <v>909.07500000000005</v>
      </c>
      <c r="G99" s="148">
        <f t="shared" si="15"/>
        <v>5.5000962516844045E-3</v>
      </c>
      <c r="H99" s="274">
        <v>5</v>
      </c>
      <c r="I99" s="272">
        <f>ROUND(F99/VLOOKUP(A99,'Tabela de Produtos'!A:J,10,0),0)</f>
        <v>716</v>
      </c>
      <c r="J99" s="97">
        <f>IFERROR(VLOOKUP(C99,'Custos Matéria Prima Embalagens'!B:G,6,0)*H99,"Matéria Prima Não Cadastrada")</f>
        <v>96.1</v>
      </c>
      <c r="K99" s="97">
        <f>IFERROR(J99/(I99/VLOOKUP(A99,'Tabela de Produtos'!A:H,8,0)),"Matéria Prima Não Cadastrada")</f>
        <v>0.40265363128491621</v>
      </c>
      <c r="L99" s="216">
        <v>45939</v>
      </c>
    </row>
    <row r="100" spans="1:12" ht="15.75" customHeight="1">
      <c r="A100" s="48" t="s">
        <v>90</v>
      </c>
      <c r="B100" s="114" t="str">
        <f>VLOOKUP(A100,'Tabela de Produtos'!A:B,2,0)</f>
        <v>BRAZIMIL LÁTEX ECONÔMICO INT FOSCO 3L BRANCO GELO</v>
      </c>
      <c r="C100" s="48" t="s">
        <v>1231</v>
      </c>
      <c r="D100" s="114" t="str">
        <f>VLOOKUP(C100,'Custos Matéria Prima Embalagens'!B:C,2,0)</f>
        <v>PRETO SPECTRAPRINT SFF</v>
      </c>
      <c r="E100" s="114" t="str">
        <f>VLOOKUP(C100,'Custos Matéria Prima Embalagens'!B:D,3,0)</f>
        <v>PRETO SPECTRAPRINT SFF</v>
      </c>
      <c r="F100" s="270">
        <f t="shared" si="14"/>
        <v>909.07500000000005</v>
      </c>
      <c r="G100" s="148">
        <f t="shared" si="15"/>
        <v>8.2501443775266062E-5</v>
      </c>
      <c r="H100" s="274">
        <v>7.4999999999999997E-2</v>
      </c>
      <c r="I100" s="272">
        <f>ROUND(F100/VLOOKUP(A100,'Tabela de Produtos'!A:J,10,0),0)</f>
        <v>716</v>
      </c>
      <c r="J100" s="97">
        <f>IFERROR(VLOOKUP(C100,'Custos Matéria Prima Embalagens'!B:G,6,0)*H100,"Matéria Prima Não Cadastrada")</f>
        <v>1.1399999999999999</v>
      </c>
      <c r="K100" s="97">
        <f>IFERROR(J100/(I100/VLOOKUP(A100,'Tabela de Produtos'!A:H,8,0)),"Matéria Prima Não Cadastrada")</f>
        <v>4.776536312849162E-3</v>
      </c>
      <c r="L100" s="216">
        <v>45939</v>
      </c>
    </row>
    <row r="101" spans="1:12" ht="15.75" customHeight="1">
      <c r="D101" s="114"/>
      <c r="E101" s="114"/>
      <c r="F101" s="96"/>
      <c r="G101" s="148"/>
      <c r="H101" s="274"/>
      <c r="I101" s="272"/>
      <c r="J101" s="97"/>
      <c r="K101" s="97"/>
      <c r="L101" s="216">
        <v>45939</v>
      </c>
    </row>
    <row r="102" spans="1:12" ht="15.75" customHeight="1">
      <c r="A102" s="48" t="s">
        <v>91</v>
      </c>
      <c r="B102" s="114" t="str">
        <f>VLOOKUP(A102,'Tabela de Produtos'!A:B,2,0)</f>
        <v>BRAZIMIL LÁTEX ECONÔMICO INT FOSCO 3L AREIA</v>
      </c>
      <c r="C102" s="48" t="s">
        <v>1197</v>
      </c>
      <c r="D102" s="114" t="str">
        <f>VLOOKUP(C102,'Custos Matéria Prima Embalagens'!B:C,2,0)</f>
        <v>AGUA</v>
      </c>
      <c r="E102" s="114" t="str">
        <f>VLOOKUP(C102,'Custos Matéria Prima Embalagens'!B:D,3,0)</f>
        <v>AGUA</v>
      </c>
      <c r="F102" s="270">
        <f t="shared" ref="F102:F117" si="16">SUMIFS(H:H,A:A,A102)</f>
        <v>912.32499999999993</v>
      </c>
      <c r="G102" s="148">
        <f t="shared" ref="G102:G117" si="17">H102/F102</f>
        <v>0.50420628613706742</v>
      </c>
      <c r="H102" s="274">
        <v>460</v>
      </c>
      <c r="I102" s="272">
        <f>ROUND(F102/VLOOKUP(A102,'Tabela de Produtos'!A:J,10,0),0)</f>
        <v>718</v>
      </c>
      <c r="J102" s="97">
        <f>IFERROR(VLOOKUP(C102,'Custos Matéria Prima Embalagens'!B:G,6,0)*H102,"Matéria Prima Não Cadastrada")</f>
        <v>0</v>
      </c>
      <c r="K102" s="97">
        <f>IFERROR(J102/(I102/VLOOKUP(A102,'Tabela de Produtos'!A:H,8,0)),"Matéria Prima Não Cadastrada")</f>
        <v>0</v>
      </c>
      <c r="L102" s="216">
        <v>45939</v>
      </c>
    </row>
    <row r="103" spans="1:12" ht="15.75" customHeight="1">
      <c r="A103" s="48" t="s">
        <v>91</v>
      </c>
      <c r="B103" s="114" t="str">
        <f>VLOOKUP(A103,'Tabela de Produtos'!A:B,2,0)</f>
        <v>BRAZIMIL LÁTEX ECONÔMICO INT FOSCO 3L AREIA</v>
      </c>
      <c r="C103" s="48" t="s">
        <v>1201</v>
      </c>
      <c r="D103" s="114" t="str">
        <f>VLOOKUP(C103,'Custos Matéria Prima Embalagens'!B:C,2,0)</f>
        <v>WANFOAM 528 CE (BB-190)</v>
      </c>
      <c r="E103" s="114" t="str">
        <f>VLOOKUP(C103,'Custos Matéria Prima Embalagens'!B:D,3,0)</f>
        <v>ANTI ESPUMA LATEX</v>
      </c>
      <c r="F103" s="270">
        <f t="shared" si="16"/>
        <v>912.32499999999993</v>
      </c>
      <c r="G103" s="148">
        <f t="shared" si="17"/>
        <v>2.7402515550927578E-3</v>
      </c>
      <c r="H103" s="274">
        <v>2.5</v>
      </c>
      <c r="I103" s="272">
        <f>ROUND(F103/VLOOKUP(A103,'Tabela de Produtos'!A:J,10,0),0)</f>
        <v>718</v>
      </c>
      <c r="J103" s="97">
        <f>IFERROR(VLOOKUP(C103,'Custos Matéria Prima Embalagens'!B:G,6,0)*H103,"Matéria Prima Não Cadastrada")</f>
        <v>17.95</v>
      </c>
      <c r="K103" s="97">
        <f>IFERROR(J103/(I103/VLOOKUP(A103,'Tabela de Produtos'!A:H,8,0)),"Matéria Prima Não Cadastrada")</f>
        <v>7.4999999999999997E-2</v>
      </c>
      <c r="L103" s="216">
        <v>45939</v>
      </c>
    </row>
    <row r="104" spans="1:12" ht="15.75" customHeight="1">
      <c r="A104" s="48" t="s">
        <v>91</v>
      </c>
      <c r="B104" s="114" t="str">
        <f>VLOOKUP(A104,'Tabela de Produtos'!A:B,2,0)</f>
        <v>BRAZIMIL LÁTEX ECONÔMICO INT FOSCO 3L AREIA</v>
      </c>
      <c r="C104" s="48" t="s">
        <v>1203</v>
      </c>
      <c r="D104" s="114" t="str">
        <f>VLOOKUP(C104,'Custos Matéria Prima Embalagens'!B:C,2,0)</f>
        <v>WANBAC WBT CE (BH-200)</v>
      </c>
      <c r="E104" s="114" t="str">
        <f>VLOOKUP(C104,'Custos Matéria Prima Embalagens'!B:D,3,0)</f>
        <v>BACTERICIDA</v>
      </c>
      <c r="F104" s="270">
        <f t="shared" si="16"/>
        <v>912.32499999999993</v>
      </c>
      <c r="G104" s="148">
        <f t="shared" si="17"/>
        <v>3.2883018661113094E-3</v>
      </c>
      <c r="H104" s="274">
        <v>3</v>
      </c>
      <c r="I104" s="272">
        <f>ROUND(F104/VLOOKUP(A104,'Tabela de Produtos'!A:J,10,0),0)</f>
        <v>718</v>
      </c>
      <c r="J104" s="97">
        <f>IFERROR(VLOOKUP(C104,'Custos Matéria Prima Embalagens'!B:G,6,0)*H104,"Matéria Prima Não Cadastrada")</f>
        <v>14.819999999999999</v>
      </c>
      <c r="K104" s="97">
        <f>IFERROR(J104/(I104/VLOOKUP(A104,'Tabela de Produtos'!A:H,8,0)),"Matéria Prima Não Cadastrada")</f>
        <v>6.1922005571030635E-2</v>
      </c>
      <c r="L104" s="216">
        <v>45939</v>
      </c>
    </row>
    <row r="105" spans="1:12" ht="15.75" customHeight="1">
      <c r="A105" s="48" t="s">
        <v>91</v>
      </c>
      <c r="B105" s="114" t="str">
        <f>VLOOKUP(A105,'Tabela de Produtos'!A:B,2,0)</f>
        <v>BRAZIMIL LÁTEX ECONÔMICO INT FOSCO 3L AREIA</v>
      </c>
      <c r="C105" s="48" t="s">
        <v>1205</v>
      </c>
      <c r="D105" s="114" t="str">
        <f>VLOOKUP(C105,'Custos Matéria Prima Embalagens'!B:C,2,0)</f>
        <v>WANSUR 840 CE (BB-200)01</v>
      </c>
      <c r="E105" s="114" t="str">
        <f>VLOOKUP(C105,'Custos Matéria Prima Embalagens'!B:D,3,0)</f>
        <v>UMECTANTE</v>
      </c>
      <c r="F105" s="270">
        <f t="shared" si="16"/>
        <v>912.32499999999993</v>
      </c>
      <c r="G105" s="148">
        <f t="shared" si="17"/>
        <v>2.1922012440742061E-3</v>
      </c>
      <c r="H105" s="274">
        <v>2</v>
      </c>
      <c r="I105" s="272">
        <f>ROUND(F105/VLOOKUP(A105,'Tabela de Produtos'!A:J,10,0),0)</f>
        <v>718</v>
      </c>
      <c r="J105" s="97">
        <f>IFERROR(VLOOKUP(C105,'Custos Matéria Prima Embalagens'!B:G,6,0)*H105,"Matéria Prima Não Cadastrada")</f>
        <v>14.66</v>
      </c>
      <c r="K105" s="97">
        <f>IFERROR(J105/(I105/VLOOKUP(A105,'Tabela de Produtos'!A:H,8,0)),"Matéria Prima Não Cadastrada")</f>
        <v>6.1253481894150419E-2</v>
      </c>
      <c r="L105" s="216">
        <v>45939</v>
      </c>
    </row>
    <row r="106" spans="1:12" ht="15.75" customHeight="1">
      <c r="A106" s="48" t="s">
        <v>91</v>
      </c>
      <c r="B106" s="114" t="str">
        <f>VLOOKUP(A106,'Tabela de Produtos'!A:B,2,0)</f>
        <v>BRAZIMIL LÁTEX ECONÔMICO INT FOSCO 3L AREIA</v>
      </c>
      <c r="C106" s="48" t="s">
        <v>1207</v>
      </c>
      <c r="D106" s="114" t="str">
        <f>VLOOKUP(C106,'Custos Matéria Prima Embalagens'!B:C,2,0)</f>
        <v>WANPEX 1510 (BB-200)</v>
      </c>
      <c r="E106" s="114" t="str">
        <f>VLOOKUP(C106,'Custos Matéria Prima Embalagens'!B:D,3,0)</f>
        <v>DISPERSANTE LATEX</v>
      </c>
      <c r="F106" s="270">
        <f t="shared" si="16"/>
        <v>912.32499999999993</v>
      </c>
      <c r="G106" s="148">
        <f t="shared" si="17"/>
        <v>3.2883018661113094E-3</v>
      </c>
      <c r="H106" s="274">
        <v>3</v>
      </c>
      <c r="I106" s="272">
        <f>ROUND(F106/VLOOKUP(A106,'Tabela de Produtos'!A:J,10,0),0)</f>
        <v>718</v>
      </c>
      <c r="J106" s="97">
        <f>IFERROR(VLOOKUP(C106,'Custos Matéria Prima Embalagens'!B:G,6,0)*H106,"Matéria Prima Não Cadastrada")</f>
        <v>20.58</v>
      </c>
      <c r="K106" s="97">
        <f>IFERROR(J106/(I106/VLOOKUP(A106,'Tabela de Produtos'!A:H,8,0)),"Matéria Prima Não Cadastrada")</f>
        <v>8.5988857938718646E-2</v>
      </c>
      <c r="L106" s="216">
        <v>45939</v>
      </c>
    </row>
    <row r="107" spans="1:12" ht="15.75" customHeight="1">
      <c r="A107" s="48" t="s">
        <v>91</v>
      </c>
      <c r="B107" s="114" t="str">
        <f>VLOOKUP(A107,'Tabela de Produtos'!A:B,2,0)</f>
        <v>BRAZIMIL LÁTEX ECONÔMICO INT FOSCO 3L AREIA</v>
      </c>
      <c r="C107" s="48" t="s">
        <v>1209</v>
      </c>
      <c r="D107" s="114" t="str">
        <f>VLOOKUP(C107,'Custos Matéria Prima Embalagens'!B:C,2,0)</f>
        <v>WANFUNG WFT CE (BH-200)</v>
      </c>
      <c r="E107" s="114" t="str">
        <f>VLOOKUP(C107,'Custos Matéria Prima Embalagens'!B:D,3,0)</f>
        <v>FUNGICIDA</v>
      </c>
      <c r="F107" s="270">
        <f t="shared" si="16"/>
        <v>912.32499999999993</v>
      </c>
      <c r="G107" s="148">
        <f t="shared" si="17"/>
        <v>2.7402515550927578E-3</v>
      </c>
      <c r="H107" s="274">
        <v>2.5</v>
      </c>
      <c r="I107" s="272">
        <f>ROUND(F107/VLOOKUP(A107,'Tabela de Produtos'!A:J,10,0),0)</f>
        <v>718</v>
      </c>
      <c r="J107" s="97">
        <f>IFERROR(VLOOKUP(C107,'Custos Matéria Prima Embalagens'!B:G,6,0)*H107,"Matéria Prima Não Cadastrada")</f>
        <v>17.5</v>
      </c>
      <c r="K107" s="97">
        <f>IFERROR(J107/(I107/VLOOKUP(A107,'Tabela de Produtos'!A:H,8,0)),"Matéria Prima Não Cadastrada")</f>
        <v>7.3119777158774366E-2</v>
      </c>
      <c r="L107" s="216">
        <v>45939</v>
      </c>
    </row>
    <row r="108" spans="1:12" ht="15.75" customHeight="1">
      <c r="A108" s="48" t="s">
        <v>91</v>
      </c>
      <c r="B108" s="114" t="str">
        <f>VLOOKUP(A108,'Tabela de Produtos'!A:B,2,0)</f>
        <v>BRAZIMIL LÁTEX ECONÔMICO INT FOSCO 3L AREIA</v>
      </c>
      <c r="C108" s="48" t="s">
        <v>1215</v>
      </c>
      <c r="D108" s="114" t="str">
        <f>VLOOKUP(C108,'Custos Matéria Prima Embalagens'!B:C,2,0)</f>
        <v>CALCARIO DOLOMITICO #500 ( SACOS 25 KG)</v>
      </c>
      <c r="E108" s="114" t="str">
        <f>VLOOKUP(C108,'Custos Matéria Prima Embalagens'!B:D,3,0)</f>
        <v>CARBONATO #500</v>
      </c>
      <c r="F108" s="270">
        <f t="shared" si="16"/>
        <v>912.32499999999993</v>
      </c>
      <c r="G108" s="148">
        <f t="shared" si="17"/>
        <v>5.4805031101855153E-2</v>
      </c>
      <c r="H108" s="274">
        <v>50</v>
      </c>
      <c r="I108" s="272">
        <f>ROUND(F108/VLOOKUP(A108,'Tabela de Produtos'!A:J,10,0),0)</f>
        <v>718</v>
      </c>
      <c r="J108" s="97">
        <f>IFERROR(VLOOKUP(C108,'Custos Matéria Prima Embalagens'!B:G,6,0)*H108,"Matéria Prima Não Cadastrada")</f>
        <v>40</v>
      </c>
      <c r="K108" s="97">
        <f>IFERROR(J108/(I108/VLOOKUP(A108,'Tabela de Produtos'!A:H,8,0)),"Matéria Prima Não Cadastrada")</f>
        <v>0.16713091922005571</v>
      </c>
      <c r="L108" s="216">
        <v>45939</v>
      </c>
    </row>
    <row r="109" spans="1:12" ht="15.75" customHeight="1">
      <c r="A109" s="48" t="s">
        <v>91</v>
      </c>
      <c r="B109" s="114" t="str">
        <f>VLOOKUP(A109,'Tabela de Produtos'!A:B,2,0)</f>
        <v>BRAZIMIL LÁTEX ECONÔMICO INT FOSCO 3L AREIA</v>
      </c>
      <c r="C109" s="48" t="s">
        <v>1227</v>
      </c>
      <c r="D109" s="114" t="str">
        <f>VLOOKUP(C109,'Custos Matéria Prima Embalagens'!B:C,2,0)</f>
        <v>CAULIM MALHA 325</v>
      </c>
      <c r="E109" s="114" t="str">
        <f>VLOOKUP(C109,'Custos Matéria Prima Embalagens'!B:D,3,0)</f>
        <v>caulim</v>
      </c>
      <c r="F109" s="270">
        <f t="shared" si="16"/>
        <v>912.32499999999993</v>
      </c>
      <c r="G109" s="148">
        <f t="shared" si="17"/>
        <v>0.35623270216205849</v>
      </c>
      <c r="H109" s="274">
        <v>325</v>
      </c>
      <c r="I109" s="272">
        <f>ROUND(F109/VLOOKUP(A109,'Tabela de Produtos'!A:J,10,0),0)</f>
        <v>718</v>
      </c>
      <c r="J109" s="97">
        <f>IFERROR(VLOOKUP(C109,'Custos Matéria Prima Embalagens'!B:G,6,0)*H109,"Matéria Prima Não Cadastrada")</f>
        <v>494.16105555555538</v>
      </c>
      <c r="K109" s="97">
        <f>IFERROR(J109/(I109/VLOOKUP(A109,'Tabela de Produtos'!A:H,8,0)),"Matéria Prima Não Cadastrada")</f>
        <v>2.0647397864438246</v>
      </c>
      <c r="L109" s="216">
        <v>45939</v>
      </c>
    </row>
    <row r="110" spans="1:12" ht="15.75" customHeight="1">
      <c r="A110" s="48" t="s">
        <v>91</v>
      </c>
      <c r="B110" s="114" t="str">
        <f>VLOOKUP(A110,'Tabela de Produtos'!A:B,2,0)</f>
        <v>BRAZIMIL LÁTEX ECONÔMICO INT FOSCO 3L AREIA</v>
      </c>
      <c r="C110" s="48" t="s">
        <v>1217</v>
      </c>
      <c r="D110" s="114" t="str">
        <f>VLOOKUP(C110,'Custos Matéria Prima Embalagens'!B:C,2,0)</f>
        <v>WANCRIL W 51 CE (CT-1000P)</v>
      </c>
      <c r="E110" s="114" t="str">
        <f>VLOOKUP(C110,'Custos Matéria Prima Embalagens'!B:D,3,0)</f>
        <v>RESINA ACRILICA ESTIRENADA</v>
      </c>
      <c r="F110" s="270">
        <f t="shared" si="16"/>
        <v>912.32499999999993</v>
      </c>
      <c r="G110" s="148">
        <f t="shared" si="17"/>
        <v>3.2883018661113095E-2</v>
      </c>
      <c r="H110" s="274">
        <v>30</v>
      </c>
      <c r="I110" s="272">
        <f>ROUND(F110/VLOOKUP(A110,'Tabela de Produtos'!A:J,10,0),0)</f>
        <v>718</v>
      </c>
      <c r="J110" s="97">
        <f>IFERROR(VLOOKUP(C110,'Custos Matéria Prima Embalagens'!B:G,6,0)*H110,"Matéria Prima Não Cadastrada")</f>
        <v>252.89999999999998</v>
      </c>
      <c r="K110" s="97">
        <f>IFERROR(J110/(I110/VLOOKUP(A110,'Tabela de Produtos'!A:H,8,0)),"Matéria Prima Não Cadastrada")</f>
        <v>1.056685236768802</v>
      </c>
      <c r="L110" s="216">
        <v>45939</v>
      </c>
    </row>
    <row r="111" spans="1:12" ht="15.75" customHeight="1">
      <c r="A111" s="48" t="s">
        <v>91</v>
      </c>
      <c r="B111" s="114" t="str">
        <f>VLOOKUP(A111,'Tabela de Produtos'!A:B,2,0)</f>
        <v>BRAZIMIL LÁTEX ECONÔMICO INT FOSCO 3L AREIA</v>
      </c>
      <c r="C111" s="48" t="s">
        <v>1219</v>
      </c>
      <c r="D111" s="114" t="str">
        <f>VLOOKUP(C111,'Custos Matéria Prima Embalagens'!B:C,2,0)</f>
        <v>WANALK 70 CE (BH-200)</v>
      </c>
      <c r="E111" s="114" t="str">
        <f>VLOOKUP(C111,'Custos Matéria Prima Embalagens'!B:D,3,0)</f>
        <v>ALCALINIZANTE</v>
      </c>
      <c r="F111" s="270">
        <f t="shared" si="16"/>
        <v>912.32499999999993</v>
      </c>
      <c r="G111" s="148">
        <f t="shared" si="17"/>
        <v>3.2883018661113094E-3</v>
      </c>
      <c r="H111" s="274">
        <v>3</v>
      </c>
      <c r="I111" s="272">
        <f>ROUND(F111/VLOOKUP(A111,'Tabela de Produtos'!A:J,10,0),0)</f>
        <v>718</v>
      </c>
      <c r="J111" s="97">
        <f>IFERROR(VLOOKUP(C111,'Custos Matéria Prima Embalagens'!B:G,6,0)*H111,"Matéria Prima Não Cadastrada")</f>
        <v>14.940000000000001</v>
      </c>
      <c r="K111" s="97">
        <f>IFERROR(J111/(I111/VLOOKUP(A111,'Tabela de Produtos'!A:H,8,0)),"Matéria Prima Não Cadastrada")</f>
        <v>6.2423398328690809E-2</v>
      </c>
      <c r="L111" s="216">
        <v>45939</v>
      </c>
    </row>
    <row r="112" spans="1:12" ht="15.75" customHeight="1">
      <c r="A112" s="48" t="s">
        <v>91</v>
      </c>
      <c r="B112" s="114" t="str">
        <f>VLOOKUP(A112,'Tabela de Produtos'!A:B,2,0)</f>
        <v>BRAZIMIL LÁTEX ECONÔMICO INT FOSCO 3L AREIA</v>
      </c>
      <c r="C112" s="48" t="s">
        <v>1221</v>
      </c>
      <c r="D112" s="114" t="str">
        <f>VLOOKUP(C112,'Custos Matéria Prima Embalagens'!B:C,2,0)</f>
        <v>MODIWAN 105H CE (CT-1000P)</v>
      </c>
      <c r="E112" s="114" t="str">
        <f>VLOOKUP(C112,'Custos Matéria Prima Embalagens'!B:D,3,0)</f>
        <v>ESPESSANTE DE MEDIA</v>
      </c>
      <c r="F112" s="270">
        <f t="shared" si="16"/>
        <v>912.32499999999993</v>
      </c>
      <c r="G112" s="148">
        <f t="shared" si="17"/>
        <v>1.6989559641575096E-2</v>
      </c>
      <c r="H112" s="274">
        <v>15.5</v>
      </c>
      <c r="I112" s="272">
        <f>ROUND(F112/VLOOKUP(A112,'Tabela de Produtos'!A:J,10,0),0)</f>
        <v>718</v>
      </c>
      <c r="J112" s="97">
        <f>IFERROR(VLOOKUP(C112,'Custos Matéria Prima Embalagens'!B:G,6,0)*H112,"Matéria Prima Não Cadastrada")</f>
        <v>122.52749999999999</v>
      </c>
      <c r="K112" s="97">
        <f>IFERROR(J112/(I112/VLOOKUP(A112,'Tabela de Produtos'!A:H,8,0)),"Matéria Prima Não Cadastrada")</f>
        <v>0.51195334261838432</v>
      </c>
      <c r="L112" s="216">
        <v>45939</v>
      </c>
    </row>
    <row r="113" spans="1:12" ht="15.75" customHeight="1">
      <c r="A113" s="48" t="s">
        <v>91</v>
      </c>
      <c r="B113" s="114" t="str">
        <f>VLOOKUP(A113,'Tabela de Produtos'!A:B,2,0)</f>
        <v>BRAZIMIL LÁTEX ECONÔMICO INT FOSCO 3L AREIA</v>
      </c>
      <c r="C113" s="48" t="s">
        <v>1223</v>
      </c>
      <c r="D113" s="114" t="str">
        <f>VLOOKUP(C113,'Custos Matéria Prima Embalagens'!B:C,2,0)</f>
        <v>TURBOWAN H CE (BH-200)</v>
      </c>
      <c r="E113" s="114" t="str">
        <f>VLOOKUP(C113,'Custos Matéria Prima Embalagens'!B:D,3,0)</f>
        <v>PROMOTOR DE LAVABILIDADE</v>
      </c>
      <c r="F113" s="270">
        <f t="shared" si="16"/>
        <v>912.32499999999993</v>
      </c>
      <c r="G113" s="148">
        <f t="shared" si="17"/>
        <v>8.2207546652782737E-3</v>
      </c>
      <c r="H113" s="274">
        <v>7.5</v>
      </c>
      <c r="I113" s="272">
        <f>ROUND(F113/VLOOKUP(A113,'Tabela de Produtos'!A:J,10,0),0)</f>
        <v>718</v>
      </c>
      <c r="J113" s="97">
        <f>IFERROR(VLOOKUP(C113,'Custos Matéria Prima Embalagens'!B:G,6,0)*H113,"Matéria Prima Não Cadastrada")</f>
        <v>36.375</v>
      </c>
      <c r="K113" s="97">
        <f>IFERROR(J113/(I113/VLOOKUP(A113,'Tabela de Produtos'!A:H,8,0)),"Matéria Prima Não Cadastrada")</f>
        <v>0.15198467966573814</v>
      </c>
      <c r="L113" s="216">
        <v>45939</v>
      </c>
    </row>
    <row r="114" spans="1:12" ht="15.75" customHeight="1">
      <c r="A114" s="48" t="s">
        <v>91</v>
      </c>
      <c r="B114" s="114" t="str">
        <f>VLOOKUP(A114,'Tabela de Produtos'!A:B,2,0)</f>
        <v>BRAZIMIL LÁTEX ECONÔMICO INT FOSCO 3L AREIA</v>
      </c>
      <c r="C114" s="48" t="s">
        <v>1229</v>
      </c>
      <c r="D114" s="114" t="str">
        <f>VLOOKUP(C114,'Custos Matéria Prima Embalagens'!B:C,2,0)</f>
        <v>WANSOL 340 CE (BB-200)</v>
      </c>
      <c r="E114" s="114" t="str">
        <f>VLOOKUP(C114,'Custos Matéria Prima Embalagens'!B:D,3,0)</f>
        <v>COALESCENTE</v>
      </c>
      <c r="F114" s="270">
        <f t="shared" si="16"/>
        <v>912.32499999999993</v>
      </c>
      <c r="G114" s="148">
        <f t="shared" si="17"/>
        <v>5.4805031101855155E-3</v>
      </c>
      <c r="H114" s="274">
        <v>5</v>
      </c>
      <c r="I114" s="272">
        <f>ROUND(F114/VLOOKUP(A114,'Tabela de Produtos'!A:J,10,0),0)</f>
        <v>718</v>
      </c>
      <c r="J114" s="97">
        <f>IFERROR(VLOOKUP(C114,'Custos Matéria Prima Embalagens'!B:G,6,0)*H114,"Matéria Prima Não Cadastrada")</f>
        <v>96.1</v>
      </c>
      <c r="K114" s="97">
        <f>IFERROR(J114/(I114/VLOOKUP(A114,'Tabela de Produtos'!A:H,8,0)),"Matéria Prima Não Cadastrada")</f>
        <v>0.40153203342618382</v>
      </c>
      <c r="L114" s="216">
        <v>45939</v>
      </c>
    </row>
    <row r="115" spans="1:12" ht="15.75" customHeight="1">
      <c r="A115" s="48" t="s">
        <v>91</v>
      </c>
      <c r="B115" s="114" t="str">
        <f>VLOOKUP(A115,'Tabela de Produtos'!A:B,2,0)</f>
        <v>BRAZIMIL LÁTEX ECONÔMICO INT FOSCO 3L AREIA</v>
      </c>
      <c r="C115" s="48" t="s">
        <v>1273</v>
      </c>
      <c r="D115" s="114" t="str">
        <f>VLOOKUP(C115,'Custos Matéria Prima Embalagens'!B:C,2,0)</f>
        <v>AMARELO SPECTRA RO</v>
      </c>
      <c r="E115" s="114" t="str">
        <f>VLOOKUP(C115,'Custos Matéria Prima Embalagens'!B:D,3,0)</f>
        <v>AMARELO SPECTRA RO</v>
      </c>
      <c r="F115" s="270">
        <f t="shared" si="16"/>
        <v>912.32499999999993</v>
      </c>
      <c r="G115" s="148">
        <f t="shared" si="17"/>
        <v>2.7402515550927578E-3</v>
      </c>
      <c r="H115" s="274">
        <v>2.5</v>
      </c>
      <c r="I115" s="272">
        <f>ROUND(F115/VLOOKUP(A115,'Tabela de Produtos'!A:J,10,0),0)</f>
        <v>718</v>
      </c>
      <c r="J115" s="97">
        <f>IFERROR(VLOOKUP(C115,'Custos Matéria Prima Embalagens'!B:G,6,0)*H115,"Matéria Prima Não Cadastrada")</f>
        <v>39</v>
      </c>
      <c r="K115" s="97">
        <f>IFERROR(J115/(I115/VLOOKUP(A115,'Tabela de Produtos'!A:H,8,0)),"Matéria Prima Não Cadastrada")</f>
        <v>0.1629526462395543</v>
      </c>
      <c r="L115" s="216">
        <v>45939</v>
      </c>
    </row>
    <row r="116" spans="1:12" ht="15.75" customHeight="1">
      <c r="A116" s="48" t="s">
        <v>91</v>
      </c>
      <c r="B116" s="114" t="str">
        <f>VLOOKUP(A116,'Tabela de Produtos'!A:B,2,0)</f>
        <v>BRAZIMIL LÁTEX ECONÔMICO INT FOSCO 3L AREIA</v>
      </c>
      <c r="C116" s="48" t="s">
        <v>1353</v>
      </c>
      <c r="D116" s="114" t="str">
        <f>VLOOKUP(C116,'Custos Matéria Prima Embalagens'!B:C,2,0)</f>
        <v>VERMELHO SPECTRA RO</v>
      </c>
      <c r="E116" s="114" t="str">
        <f>VLOOKUP(C116,'Custos Matéria Prima Embalagens'!B:D,3,0)</f>
        <v>VERMELHO SPECTRA RO</v>
      </c>
      <c r="F116" s="270">
        <f t="shared" si="16"/>
        <v>912.32499999999993</v>
      </c>
      <c r="G116" s="148">
        <f t="shared" si="17"/>
        <v>7.1246540432411706E-4</v>
      </c>
      <c r="H116" s="274">
        <v>0.65</v>
      </c>
      <c r="I116" s="272">
        <f>ROUND(F116/VLOOKUP(A116,'Tabela de Produtos'!A:J,10,0),0)</f>
        <v>718</v>
      </c>
      <c r="J116" s="97">
        <f>IFERROR(VLOOKUP(C116,'Custos Matéria Prima Embalagens'!B:G,6,0)*H116,"Matéria Prima Não Cadastrada")</f>
        <v>10.016500000000001</v>
      </c>
      <c r="K116" s="97">
        <f>IFERROR(J116/(I116/VLOOKUP(A116,'Tabela de Produtos'!A:H,8,0)),"Matéria Prima Não Cadastrada")</f>
        <v>4.18516713091922E-2</v>
      </c>
      <c r="L116" s="216">
        <v>45939</v>
      </c>
    </row>
    <row r="117" spans="1:12" ht="15.75" customHeight="1">
      <c r="A117" s="48" t="s">
        <v>91</v>
      </c>
      <c r="B117" s="114" t="str">
        <f>VLOOKUP(A117,'Tabela de Produtos'!A:B,2,0)</f>
        <v>BRAZIMIL LÁTEX ECONÔMICO INT FOSCO 3L AREIA</v>
      </c>
      <c r="C117" s="48" t="s">
        <v>1231</v>
      </c>
      <c r="D117" s="114" t="str">
        <f>VLOOKUP(C117,'Custos Matéria Prima Embalagens'!B:C,2,0)</f>
        <v>PRETO SPECTRAPRINT SFF</v>
      </c>
      <c r="E117" s="114" t="str">
        <f>VLOOKUP(C117,'Custos Matéria Prima Embalagens'!B:D,3,0)</f>
        <v>PRETO SPECTRAPRINT SFF</v>
      </c>
      <c r="F117" s="270">
        <f t="shared" si="16"/>
        <v>912.32499999999993</v>
      </c>
      <c r="G117" s="148">
        <f t="shared" si="17"/>
        <v>1.9181760885649302E-4</v>
      </c>
      <c r="H117" s="274">
        <v>0.17499999999999999</v>
      </c>
      <c r="I117" s="272">
        <f>ROUND(F117/VLOOKUP(A117,'Tabela de Produtos'!A:J,10,0),0)</f>
        <v>718</v>
      </c>
      <c r="J117" s="97">
        <f>IFERROR(VLOOKUP(C117,'Custos Matéria Prima Embalagens'!B:G,6,0)*H117,"Matéria Prima Não Cadastrada")</f>
        <v>2.6599999999999997</v>
      </c>
      <c r="K117" s="97">
        <f>IFERROR(J117/(I117/VLOOKUP(A117,'Tabela de Produtos'!A:H,8,0)),"Matéria Prima Não Cadastrada")</f>
        <v>1.1114206128133703E-2</v>
      </c>
      <c r="L117" s="216">
        <v>45939</v>
      </c>
    </row>
    <row r="118" spans="1:12" ht="15.75" customHeight="1">
      <c r="D118" s="114"/>
      <c r="E118" s="114"/>
      <c r="F118" s="96"/>
      <c r="G118" s="148"/>
      <c r="H118" s="274"/>
      <c r="I118" s="272"/>
      <c r="J118" s="97"/>
      <c r="K118" s="97"/>
      <c r="L118" s="216">
        <v>45939</v>
      </c>
    </row>
    <row r="119" spans="1:12" ht="15.75" customHeight="1">
      <c r="A119" s="48" t="s">
        <v>92</v>
      </c>
      <c r="B119" s="114" t="str">
        <f>VLOOKUP(A119,'Tabela de Produtos'!A:B,2,0)</f>
        <v>BRAZIMIL LÁTEX ECONÔMICO INT FOSCO 3L PALHA</v>
      </c>
      <c r="C119" s="48" t="s">
        <v>1197</v>
      </c>
      <c r="D119" s="114" t="str">
        <f>VLOOKUP(C119,'Custos Matéria Prima Embalagens'!B:C,2,0)</f>
        <v>AGUA</v>
      </c>
      <c r="E119" s="114" t="str">
        <f>VLOOKUP(C119,'Custos Matéria Prima Embalagens'!B:D,3,0)</f>
        <v>AGUA</v>
      </c>
      <c r="F119" s="270">
        <f t="shared" ref="F119:F133" si="18">SUMIFS(H:H,A:A,A119)</f>
        <v>910.25</v>
      </c>
      <c r="G119" s="148">
        <f t="shared" ref="G119:G133" si="19">H119/F119</f>
        <v>0.50535567151881355</v>
      </c>
      <c r="H119" s="274">
        <v>460</v>
      </c>
      <c r="I119" s="272">
        <f>ROUND(F119/VLOOKUP(A119,'Tabela de Produtos'!A:J,10,0),0)</f>
        <v>717</v>
      </c>
      <c r="J119" s="97">
        <f>IFERROR(VLOOKUP(C119,'Custos Matéria Prima Embalagens'!B:G,6,0)*H119,"Matéria Prima Não Cadastrada")</f>
        <v>0</v>
      </c>
      <c r="K119" s="97">
        <f>IFERROR(J119/(I119/VLOOKUP(A119,'Tabela de Produtos'!A:H,8,0)),"Matéria Prima Não Cadastrada")</f>
        <v>0</v>
      </c>
      <c r="L119" s="216">
        <v>45939</v>
      </c>
    </row>
    <row r="120" spans="1:12" ht="15.75" customHeight="1">
      <c r="A120" s="48" t="s">
        <v>92</v>
      </c>
      <c r="B120" s="114" t="str">
        <f>VLOOKUP(A120,'Tabela de Produtos'!A:B,2,0)</f>
        <v>BRAZIMIL LÁTEX ECONÔMICO INT FOSCO 3L PALHA</v>
      </c>
      <c r="C120" s="48" t="s">
        <v>1201</v>
      </c>
      <c r="D120" s="114" t="str">
        <f>VLOOKUP(C120,'Custos Matéria Prima Embalagens'!B:C,2,0)</f>
        <v>WANFOAM 528 CE (BB-190)</v>
      </c>
      <c r="E120" s="114" t="str">
        <f>VLOOKUP(C120,'Custos Matéria Prima Embalagens'!B:D,3,0)</f>
        <v>ANTI ESPUMA LATEX</v>
      </c>
      <c r="F120" s="270">
        <f t="shared" si="18"/>
        <v>910.25</v>
      </c>
      <c r="G120" s="148">
        <f t="shared" si="19"/>
        <v>2.7464982147761604E-3</v>
      </c>
      <c r="H120" s="274">
        <v>2.5</v>
      </c>
      <c r="I120" s="272">
        <f>ROUND(F120/VLOOKUP(A120,'Tabela de Produtos'!A:J,10,0),0)</f>
        <v>717</v>
      </c>
      <c r="J120" s="97">
        <f>IFERROR(VLOOKUP(C120,'Custos Matéria Prima Embalagens'!B:G,6,0)*H120,"Matéria Prima Não Cadastrada")</f>
        <v>17.95</v>
      </c>
      <c r="K120" s="97">
        <f>IFERROR(J120/(I120/VLOOKUP(A120,'Tabela de Produtos'!A:H,8,0)),"Matéria Prima Não Cadastrada")</f>
        <v>7.510460251046025E-2</v>
      </c>
      <c r="L120" s="216">
        <v>45939</v>
      </c>
    </row>
    <row r="121" spans="1:12" ht="15.75" customHeight="1">
      <c r="A121" s="48" t="s">
        <v>92</v>
      </c>
      <c r="B121" s="114" t="str">
        <f>VLOOKUP(A121,'Tabela de Produtos'!A:B,2,0)</f>
        <v>BRAZIMIL LÁTEX ECONÔMICO INT FOSCO 3L PALHA</v>
      </c>
      <c r="C121" s="48" t="s">
        <v>1203</v>
      </c>
      <c r="D121" s="114" t="str">
        <f>VLOOKUP(C121,'Custos Matéria Prima Embalagens'!B:C,2,0)</f>
        <v>WANBAC WBT CE (BH-200)</v>
      </c>
      <c r="E121" s="114" t="str">
        <f>VLOOKUP(C121,'Custos Matéria Prima Embalagens'!B:D,3,0)</f>
        <v>BACTERICIDA</v>
      </c>
      <c r="F121" s="270">
        <f t="shared" si="18"/>
        <v>910.25</v>
      </c>
      <c r="G121" s="148">
        <f t="shared" si="19"/>
        <v>3.2957978577313925E-3</v>
      </c>
      <c r="H121" s="274">
        <v>3</v>
      </c>
      <c r="I121" s="272">
        <f>ROUND(F121/VLOOKUP(A121,'Tabela de Produtos'!A:J,10,0),0)</f>
        <v>717</v>
      </c>
      <c r="J121" s="97">
        <f>IFERROR(VLOOKUP(C121,'Custos Matéria Prima Embalagens'!B:G,6,0)*H121,"Matéria Prima Não Cadastrada")</f>
        <v>14.819999999999999</v>
      </c>
      <c r="K121" s="97">
        <f>IFERROR(J121/(I121/VLOOKUP(A121,'Tabela de Produtos'!A:H,8,0)),"Matéria Prima Não Cadastrada")</f>
        <v>6.2008368200836814E-2</v>
      </c>
      <c r="L121" s="216">
        <v>45939</v>
      </c>
    </row>
    <row r="122" spans="1:12" ht="15.75" customHeight="1">
      <c r="A122" s="48" t="s">
        <v>92</v>
      </c>
      <c r="B122" s="114" t="str">
        <f>VLOOKUP(A122,'Tabela de Produtos'!A:B,2,0)</f>
        <v>BRAZIMIL LÁTEX ECONÔMICO INT FOSCO 3L PALHA</v>
      </c>
      <c r="C122" s="48" t="s">
        <v>1205</v>
      </c>
      <c r="D122" s="114" t="str">
        <f>VLOOKUP(C122,'Custos Matéria Prima Embalagens'!B:C,2,0)</f>
        <v>WANSUR 840 CE (BB-200)01</v>
      </c>
      <c r="E122" s="114" t="str">
        <f>VLOOKUP(C122,'Custos Matéria Prima Embalagens'!B:D,3,0)</f>
        <v>UMECTANTE</v>
      </c>
      <c r="F122" s="270">
        <f t="shared" si="18"/>
        <v>910.25</v>
      </c>
      <c r="G122" s="148">
        <f t="shared" si="19"/>
        <v>2.1971985718209283E-3</v>
      </c>
      <c r="H122" s="274">
        <v>2</v>
      </c>
      <c r="I122" s="272">
        <f>ROUND(F122/VLOOKUP(A122,'Tabela de Produtos'!A:J,10,0),0)</f>
        <v>717</v>
      </c>
      <c r="J122" s="97">
        <f>IFERROR(VLOOKUP(C122,'Custos Matéria Prima Embalagens'!B:G,6,0)*H122,"Matéria Prima Não Cadastrada")</f>
        <v>14.66</v>
      </c>
      <c r="K122" s="97">
        <f>IFERROR(J122/(I122/VLOOKUP(A122,'Tabela de Produtos'!A:H,8,0)),"Matéria Prima Não Cadastrada")</f>
        <v>6.1338912133891213E-2</v>
      </c>
      <c r="L122" s="216">
        <v>45939</v>
      </c>
    </row>
    <row r="123" spans="1:12" ht="15.75" customHeight="1">
      <c r="A123" s="48" t="s">
        <v>92</v>
      </c>
      <c r="B123" s="114" t="str">
        <f>VLOOKUP(A123,'Tabela de Produtos'!A:B,2,0)</f>
        <v>BRAZIMIL LÁTEX ECONÔMICO INT FOSCO 3L PALHA</v>
      </c>
      <c r="C123" s="48" t="s">
        <v>1207</v>
      </c>
      <c r="D123" s="114" t="str">
        <f>VLOOKUP(C123,'Custos Matéria Prima Embalagens'!B:C,2,0)</f>
        <v>WANPEX 1510 (BB-200)</v>
      </c>
      <c r="E123" s="114" t="str">
        <f>VLOOKUP(C123,'Custos Matéria Prima Embalagens'!B:D,3,0)</f>
        <v>DISPERSANTE LATEX</v>
      </c>
      <c r="F123" s="270">
        <f t="shared" si="18"/>
        <v>910.25</v>
      </c>
      <c r="G123" s="148">
        <f t="shared" si="19"/>
        <v>3.2957978577313925E-3</v>
      </c>
      <c r="H123" s="274">
        <v>3</v>
      </c>
      <c r="I123" s="272">
        <f>ROUND(F123/VLOOKUP(A123,'Tabela de Produtos'!A:J,10,0),0)</f>
        <v>717</v>
      </c>
      <c r="J123" s="97">
        <f>IFERROR(VLOOKUP(C123,'Custos Matéria Prima Embalagens'!B:G,6,0)*H123,"Matéria Prima Não Cadastrada")</f>
        <v>20.58</v>
      </c>
      <c r="K123" s="97">
        <f>IFERROR(J123/(I123/VLOOKUP(A123,'Tabela de Produtos'!A:H,8,0)),"Matéria Prima Não Cadastrada")</f>
        <v>8.610878661087866E-2</v>
      </c>
      <c r="L123" s="216">
        <v>45939</v>
      </c>
    </row>
    <row r="124" spans="1:12" ht="15.75" customHeight="1">
      <c r="A124" s="48" t="s">
        <v>92</v>
      </c>
      <c r="B124" s="114" t="str">
        <f>VLOOKUP(A124,'Tabela de Produtos'!A:B,2,0)</f>
        <v>BRAZIMIL LÁTEX ECONÔMICO INT FOSCO 3L PALHA</v>
      </c>
      <c r="C124" s="48" t="s">
        <v>1209</v>
      </c>
      <c r="D124" s="114" t="str">
        <f>VLOOKUP(C124,'Custos Matéria Prima Embalagens'!B:C,2,0)</f>
        <v>WANFUNG WFT CE (BH-200)</v>
      </c>
      <c r="E124" s="114" t="str">
        <f>VLOOKUP(C124,'Custos Matéria Prima Embalagens'!B:D,3,0)</f>
        <v>FUNGICIDA</v>
      </c>
      <c r="F124" s="270">
        <f t="shared" si="18"/>
        <v>910.25</v>
      </c>
      <c r="G124" s="148">
        <f t="shared" si="19"/>
        <v>2.7464982147761604E-3</v>
      </c>
      <c r="H124" s="274">
        <v>2.5</v>
      </c>
      <c r="I124" s="272">
        <f>ROUND(F124/VLOOKUP(A124,'Tabela de Produtos'!A:J,10,0),0)</f>
        <v>717</v>
      </c>
      <c r="J124" s="97">
        <f>IFERROR(VLOOKUP(C124,'Custos Matéria Prima Embalagens'!B:G,6,0)*H124,"Matéria Prima Não Cadastrada")</f>
        <v>17.5</v>
      </c>
      <c r="K124" s="97">
        <f>IFERROR(J124/(I124/VLOOKUP(A124,'Tabela de Produtos'!A:H,8,0)),"Matéria Prima Não Cadastrada")</f>
        <v>7.3221757322175729E-2</v>
      </c>
      <c r="L124" s="216">
        <v>45939</v>
      </c>
    </row>
    <row r="125" spans="1:12" ht="15.75" customHeight="1">
      <c r="A125" s="48" t="s">
        <v>92</v>
      </c>
      <c r="B125" s="114" t="str">
        <f>VLOOKUP(A125,'Tabela de Produtos'!A:B,2,0)</f>
        <v>BRAZIMIL LÁTEX ECONÔMICO INT FOSCO 3L PALHA</v>
      </c>
      <c r="C125" s="48" t="s">
        <v>1215</v>
      </c>
      <c r="D125" s="114" t="str">
        <f>VLOOKUP(C125,'Custos Matéria Prima Embalagens'!B:C,2,0)</f>
        <v>CALCARIO DOLOMITICO #500 ( SACOS 25 KG)</v>
      </c>
      <c r="E125" s="114" t="str">
        <f>VLOOKUP(C125,'Custos Matéria Prima Embalagens'!B:D,3,0)</f>
        <v>CARBONATO #500</v>
      </c>
      <c r="F125" s="270">
        <f t="shared" si="18"/>
        <v>910.25</v>
      </c>
      <c r="G125" s="148">
        <f t="shared" si="19"/>
        <v>5.4929964295523208E-2</v>
      </c>
      <c r="H125" s="274">
        <v>50</v>
      </c>
      <c r="I125" s="272">
        <f>ROUND(F125/VLOOKUP(A125,'Tabela de Produtos'!A:J,10,0),0)</f>
        <v>717</v>
      </c>
      <c r="J125" s="97">
        <f>IFERROR(VLOOKUP(C125,'Custos Matéria Prima Embalagens'!B:G,6,0)*H125,"Matéria Prima Não Cadastrada")</f>
        <v>40</v>
      </c>
      <c r="K125" s="97">
        <f>IFERROR(J125/(I125/VLOOKUP(A125,'Tabela de Produtos'!A:H,8,0)),"Matéria Prima Não Cadastrada")</f>
        <v>0.16736401673640167</v>
      </c>
      <c r="L125" s="216">
        <v>45939</v>
      </c>
    </row>
    <row r="126" spans="1:12" ht="15.75" customHeight="1">
      <c r="A126" s="48" t="s">
        <v>92</v>
      </c>
      <c r="B126" s="114" t="str">
        <f>VLOOKUP(A126,'Tabela de Produtos'!A:B,2,0)</f>
        <v>BRAZIMIL LÁTEX ECONÔMICO INT FOSCO 3L PALHA</v>
      </c>
      <c r="C126" s="48" t="s">
        <v>1227</v>
      </c>
      <c r="D126" s="114" t="str">
        <f>VLOOKUP(C126,'Custos Matéria Prima Embalagens'!B:C,2,0)</f>
        <v>CAULIM MALHA 325</v>
      </c>
      <c r="E126" s="114" t="str">
        <f>VLOOKUP(C126,'Custos Matéria Prima Embalagens'!B:D,3,0)</f>
        <v>caulim</v>
      </c>
      <c r="F126" s="270">
        <f t="shared" si="18"/>
        <v>910.25</v>
      </c>
      <c r="G126" s="148">
        <f t="shared" si="19"/>
        <v>0.35704476792090084</v>
      </c>
      <c r="H126" s="274">
        <v>325</v>
      </c>
      <c r="I126" s="272">
        <f>ROUND(F126/VLOOKUP(A126,'Tabela de Produtos'!A:J,10,0),0)</f>
        <v>717</v>
      </c>
      <c r="J126" s="97">
        <f>IFERROR(VLOOKUP(C126,'Custos Matéria Prima Embalagens'!B:G,6,0)*H126,"Matéria Prima Não Cadastrada")</f>
        <v>494.16105555555538</v>
      </c>
      <c r="K126" s="97">
        <f>IFERROR(J126/(I126/VLOOKUP(A126,'Tabela de Produtos'!A:H,8,0)),"Matéria Prima Não Cadastrada")</f>
        <v>2.0676194793119471</v>
      </c>
      <c r="L126" s="216">
        <v>45939</v>
      </c>
    </row>
    <row r="127" spans="1:12" ht="15.75" customHeight="1">
      <c r="A127" s="48" t="s">
        <v>92</v>
      </c>
      <c r="B127" s="114" t="str">
        <f>VLOOKUP(A127,'Tabela de Produtos'!A:B,2,0)</f>
        <v>BRAZIMIL LÁTEX ECONÔMICO INT FOSCO 3L PALHA</v>
      </c>
      <c r="C127" s="48" t="s">
        <v>1217</v>
      </c>
      <c r="D127" s="114" t="str">
        <f>VLOOKUP(C127,'Custos Matéria Prima Embalagens'!B:C,2,0)</f>
        <v>WANCRIL W 51 CE (CT-1000P)</v>
      </c>
      <c r="E127" s="114" t="str">
        <f>VLOOKUP(C127,'Custos Matéria Prima Embalagens'!B:D,3,0)</f>
        <v>RESINA ACRILICA ESTIRENADA</v>
      </c>
      <c r="F127" s="270">
        <f t="shared" si="18"/>
        <v>910.25</v>
      </c>
      <c r="G127" s="148">
        <f t="shared" si="19"/>
        <v>3.2957978577313925E-2</v>
      </c>
      <c r="H127" s="274">
        <v>30</v>
      </c>
      <c r="I127" s="272">
        <f>ROUND(F127/VLOOKUP(A127,'Tabela de Produtos'!A:J,10,0),0)</f>
        <v>717</v>
      </c>
      <c r="J127" s="97">
        <f>IFERROR(VLOOKUP(C127,'Custos Matéria Prima Embalagens'!B:G,6,0)*H127,"Matéria Prima Não Cadastrada")</f>
        <v>252.89999999999998</v>
      </c>
      <c r="K127" s="97">
        <f>IFERROR(J127/(I127/VLOOKUP(A127,'Tabela de Produtos'!A:H,8,0)),"Matéria Prima Não Cadastrada")</f>
        <v>1.0581589958158995</v>
      </c>
      <c r="L127" s="216">
        <v>45939</v>
      </c>
    </row>
    <row r="128" spans="1:12" ht="15.75" customHeight="1">
      <c r="A128" s="48" t="s">
        <v>92</v>
      </c>
      <c r="B128" s="114" t="str">
        <f>VLOOKUP(A128,'Tabela de Produtos'!A:B,2,0)</f>
        <v>BRAZIMIL LÁTEX ECONÔMICO INT FOSCO 3L PALHA</v>
      </c>
      <c r="C128" s="48" t="s">
        <v>1219</v>
      </c>
      <c r="D128" s="114" t="str">
        <f>VLOOKUP(C128,'Custos Matéria Prima Embalagens'!B:C,2,0)</f>
        <v>WANALK 70 CE (BH-200)</v>
      </c>
      <c r="E128" s="114" t="str">
        <f>VLOOKUP(C128,'Custos Matéria Prima Embalagens'!B:D,3,0)</f>
        <v>ALCALINIZANTE</v>
      </c>
      <c r="F128" s="270">
        <f t="shared" si="18"/>
        <v>910.25</v>
      </c>
      <c r="G128" s="148">
        <f t="shared" si="19"/>
        <v>3.2957978577313925E-3</v>
      </c>
      <c r="H128" s="274">
        <v>3</v>
      </c>
      <c r="I128" s="272">
        <f>ROUND(F128/VLOOKUP(A128,'Tabela de Produtos'!A:J,10,0),0)</f>
        <v>717</v>
      </c>
      <c r="J128" s="97">
        <f>IFERROR(VLOOKUP(C128,'Custos Matéria Prima Embalagens'!B:G,6,0)*H128,"Matéria Prima Não Cadastrada")</f>
        <v>14.940000000000001</v>
      </c>
      <c r="K128" s="97">
        <f>IFERROR(J128/(I128/VLOOKUP(A128,'Tabela de Produtos'!A:H,8,0)),"Matéria Prima Não Cadastrada")</f>
        <v>6.2510460251046035E-2</v>
      </c>
      <c r="L128" s="216">
        <v>45939</v>
      </c>
    </row>
    <row r="129" spans="1:12" ht="15.75" customHeight="1">
      <c r="A129" s="48" t="s">
        <v>92</v>
      </c>
      <c r="B129" s="114" t="str">
        <f>VLOOKUP(A129,'Tabela de Produtos'!A:B,2,0)</f>
        <v>BRAZIMIL LÁTEX ECONÔMICO INT FOSCO 3L PALHA</v>
      </c>
      <c r="C129" s="48" t="s">
        <v>1221</v>
      </c>
      <c r="D129" s="114" t="str">
        <f>VLOOKUP(C129,'Custos Matéria Prima Embalagens'!B:C,2,0)</f>
        <v>MODIWAN 105H CE (CT-1000P)</v>
      </c>
      <c r="E129" s="114" t="str">
        <f>VLOOKUP(C129,'Custos Matéria Prima Embalagens'!B:D,3,0)</f>
        <v>ESPESSANTE DE MEDIA</v>
      </c>
      <c r="F129" s="270">
        <f t="shared" si="18"/>
        <v>910.25</v>
      </c>
      <c r="G129" s="148">
        <f t="shared" si="19"/>
        <v>1.7028288931612196E-2</v>
      </c>
      <c r="H129" s="274">
        <v>15.5</v>
      </c>
      <c r="I129" s="272">
        <f>ROUND(F129/VLOOKUP(A129,'Tabela de Produtos'!A:J,10,0),0)</f>
        <v>717</v>
      </c>
      <c r="J129" s="97">
        <f>IFERROR(VLOOKUP(C129,'Custos Matéria Prima Embalagens'!B:G,6,0)*H129,"Matéria Prima Não Cadastrada")</f>
        <v>122.52749999999999</v>
      </c>
      <c r="K129" s="97">
        <f>IFERROR(J129/(I129/VLOOKUP(A129,'Tabela de Produtos'!A:H,8,0)),"Matéria Prima Não Cadastrada")</f>
        <v>0.5126673640167364</v>
      </c>
      <c r="L129" s="216">
        <v>45939</v>
      </c>
    </row>
    <row r="130" spans="1:12" ht="15.75" customHeight="1">
      <c r="A130" s="48" t="s">
        <v>92</v>
      </c>
      <c r="B130" s="114" t="str">
        <f>VLOOKUP(A130,'Tabela de Produtos'!A:B,2,0)</f>
        <v>BRAZIMIL LÁTEX ECONÔMICO INT FOSCO 3L PALHA</v>
      </c>
      <c r="C130" s="48" t="s">
        <v>1223</v>
      </c>
      <c r="D130" s="114" t="str">
        <f>VLOOKUP(C130,'Custos Matéria Prima Embalagens'!B:C,2,0)</f>
        <v>TURBOWAN H CE (BH-200)</v>
      </c>
      <c r="E130" s="114" t="str">
        <f>VLOOKUP(C130,'Custos Matéria Prima Embalagens'!B:D,3,0)</f>
        <v>PROMOTOR DE LAVABILIDADE</v>
      </c>
      <c r="F130" s="270">
        <f t="shared" si="18"/>
        <v>910.25</v>
      </c>
      <c r="G130" s="148">
        <f t="shared" si="19"/>
        <v>8.2394946443284812E-3</v>
      </c>
      <c r="H130" s="274">
        <v>7.5</v>
      </c>
      <c r="I130" s="272">
        <f>ROUND(F130/VLOOKUP(A130,'Tabela de Produtos'!A:J,10,0),0)</f>
        <v>717</v>
      </c>
      <c r="J130" s="97">
        <f>IFERROR(VLOOKUP(C130,'Custos Matéria Prima Embalagens'!B:G,6,0)*H130,"Matéria Prima Não Cadastrada")</f>
        <v>36.375</v>
      </c>
      <c r="K130" s="97">
        <f>IFERROR(J130/(I130/VLOOKUP(A130,'Tabela de Produtos'!A:H,8,0)),"Matéria Prima Não Cadastrada")</f>
        <v>0.15219665271966526</v>
      </c>
      <c r="L130" s="216">
        <v>45939</v>
      </c>
    </row>
    <row r="131" spans="1:12" ht="15.75" customHeight="1">
      <c r="A131" s="48" t="s">
        <v>92</v>
      </c>
      <c r="B131" s="114" t="str">
        <f>VLOOKUP(A131,'Tabela de Produtos'!A:B,2,0)</f>
        <v>BRAZIMIL LÁTEX ECONÔMICO INT FOSCO 3L PALHA</v>
      </c>
      <c r="C131" s="48" t="s">
        <v>1229</v>
      </c>
      <c r="D131" s="114" t="str">
        <f>VLOOKUP(C131,'Custos Matéria Prima Embalagens'!B:C,2,0)</f>
        <v>WANSOL 340 CE (BB-200)</v>
      </c>
      <c r="E131" s="114" t="str">
        <f>VLOOKUP(C131,'Custos Matéria Prima Embalagens'!B:D,3,0)</f>
        <v>COALESCENTE</v>
      </c>
      <c r="F131" s="270">
        <f t="shared" si="18"/>
        <v>910.25</v>
      </c>
      <c r="G131" s="148">
        <f t="shared" si="19"/>
        <v>5.4929964295523208E-3</v>
      </c>
      <c r="H131" s="274">
        <v>5</v>
      </c>
      <c r="I131" s="272">
        <f>ROUND(F131/VLOOKUP(A131,'Tabela de Produtos'!A:J,10,0),0)</f>
        <v>717</v>
      </c>
      <c r="J131" s="97">
        <f>IFERROR(VLOOKUP(C131,'Custos Matéria Prima Embalagens'!B:G,6,0)*H131,"Matéria Prima Não Cadastrada")</f>
        <v>96.1</v>
      </c>
      <c r="K131" s="97">
        <f>IFERROR(J131/(I131/VLOOKUP(A131,'Tabela de Produtos'!A:H,8,0)),"Matéria Prima Não Cadastrada")</f>
        <v>0.40209205020920502</v>
      </c>
      <c r="L131" s="216">
        <v>45939</v>
      </c>
    </row>
    <row r="132" spans="1:12" ht="15.75" customHeight="1">
      <c r="A132" s="48" t="s">
        <v>92</v>
      </c>
      <c r="B132" s="114" t="str">
        <f>VLOOKUP(A132,'Tabela de Produtos'!A:B,2,0)</f>
        <v>BRAZIMIL LÁTEX ECONÔMICO INT FOSCO 3L PALHA</v>
      </c>
      <c r="C132" s="48" t="s">
        <v>1273</v>
      </c>
      <c r="D132" s="114" t="str">
        <f>VLOOKUP(C132,'Custos Matéria Prima Embalagens'!B:C,2,0)</f>
        <v>AMARELO SPECTRA RO</v>
      </c>
      <c r="E132" s="114" t="str">
        <f>VLOOKUP(C132,'Custos Matéria Prima Embalagens'!B:D,3,0)</f>
        <v>AMARELO SPECTRA RO</v>
      </c>
      <c r="F132" s="270">
        <f t="shared" si="18"/>
        <v>910.25</v>
      </c>
      <c r="G132" s="148">
        <f t="shared" si="19"/>
        <v>1.318319143092557E-3</v>
      </c>
      <c r="H132" s="274">
        <v>1.2</v>
      </c>
      <c r="I132" s="272">
        <f>ROUND(F132/VLOOKUP(A132,'Tabela de Produtos'!A:J,10,0),0)</f>
        <v>717</v>
      </c>
      <c r="J132" s="97">
        <f>IFERROR(VLOOKUP(C132,'Custos Matéria Prima Embalagens'!B:G,6,0)*H132,"Matéria Prima Não Cadastrada")</f>
        <v>18.720000000000002</v>
      </c>
      <c r="K132" s="97">
        <f>IFERROR(J132/(I132/VLOOKUP(A132,'Tabela de Produtos'!A:H,8,0)),"Matéria Prima Não Cadastrada")</f>
        <v>7.8326359832636E-2</v>
      </c>
      <c r="L132" s="216">
        <v>45939</v>
      </c>
    </row>
    <row r="133" spans="1:12" ht="15.75" customHeight="1">
      <c r="A133" s="48" t="s">
        <v>92</v>
      </c>
      <c r="B133" s="114" t="str">
        <f>VLOOKUP(A133,'Tabela de Produtos'!A:B,2,0)</f>
        <v>BRAZIMIL LÁTEX ECONÔMICO INT FOSCO 3L PALHA</v>
      </c>
      <c r="C133" s="48" t="s">
        <v>1237</v>
      </c>
      <c r="D133" s="114" t="str">
        <f>VLOOKUP(C133,'Custos Matéria Prima Embalagens'!B:C,2,0)</f>
        <v>VERDE SPECTRAPERSE BLS</v>
      </c>
      <c r="E133" s="114" t="str">
        <f>VLOOKUP(C133,'Custos Matéria Prima Embalagens'!B:D,3,0)</f>
        <v>VERDE SPECTRAPERSE BLS</v>
      </c>
      <c r="F133" s="270">
        <f t="shared" si="18"/>
        <v>910.25</v>
      </c>
      <c r="G133" s="148">
        <f t="shared" si="19"/>
        <v>5.4929964295523208E-5</v>
      </c>
      <c r="H133" s="274">
        <v>0.05</v>
      </c>
      <c r="I133" s="272">
        <f>ROUND(F133/VLOOKUP(A133,'Tabela de Produtos'!A:J,10,0),0)</f>
        <v>717</v>
      </c>
      <c r="J133" s="97">
        <f>IFERROR(VLOOKUP(C133,'Custos Matéria Prima Embalagens'!B:G,6,0)*H133,"Matéria Prima Não Cadastrada")</f>
        <v>1.9500000000000002</v>
      </c>
      <c r="K133" s="97">
        <f>IFERROR(J133/(I133/VLOOKUP(A133,'Tabela de Produtos'!A:H,8,0)),"Matéria Prima Não Cadastrada")</f>
        <v>8.1589958158995828E-3</v>
      </c>
      <c r="L133" s="216">
        <v>45939</v>
      </c>
    </row>
    <row r="134" spans="1:12" ht="15.75" customHeight="1">
      <c r="D134" s="114"/>
      <c r="E134" s="114"/>
      <c r="F134" s="96"/>
      <c r="G134" s="148"/>
      <c r="H134" s="274"/>
      <c r="I134" s="272"/>
      <c r="J134" s="97"/>
      <c r="K134" s="97"/>
      <c r="L134" s="216">
        <v>45939</v>
      </c>
    </row>
    <row r="135" spans="1:12" ht="15.75" customHeight="1">
      <c r="A135" s="48" t="s">
        <v>93</v>
      </c>
      <c r="B135" s="114" t="str">
        <f>VLOOKUP(A135,'Tabela de Produtos'!A:B,2,0)</f>
        <v>BRAZIMIL LÁTEX ECONÔMICO INT FOSCO 3L VERDE PRIMAVERA</v>
      </c>
      <c r="C135" s="48" t="s">
        <v>1197</v>
      </c>
      <c r="D135" s="114" t="str">
        <f>VLOOKUP(C135,'Custos Matéria Prima Embalagens'!B:C,2,0)</f>
        <v>AGUA</v>
      </c>
      <c r="E135" s="114" t="str">
        <f>VLOOKUP(C135,'Custos Matéria Prima Embalagens'!B:D,3,0)</f>
        <v>AGUA</v>
      </c>
      <c r="F135" s="270">
        <f t="shared" ref="F135:F150" si="20">SUMIFS(H:H,A:A,A135)</f>
        <v>916.58</v>
      </c>
      <c r="G135" s="148">
        <f t="shared" ref="G135:G150" si="21">H135/F135</f>
        <v>0.50186563093237901</v>
      </c>
      <c r="H135" s="274">
        <v>460</v>
      </c>
      <c r="I135" s="272">
        <f>ROUND(F135/VLOOKUP(A135,'Tabela de Produtos'!A:J,10,0),0)</f>
        <v>722</v>
      </c>
      <c r="J135" s="97">
        <f>IFERROR(VLOOKUP(C135,'Custos Matéria Prima Embalagens'!B:G,6,0)*H135,"Matéria Prima Não Cadastrada")</f>
        <v>0</v>
      </c>
      <c r="K135" s="97">
        <f>IFERROR(J135/(I135/VLOOKUP(A135,'Tabela de Produtos'!A:H,8,0)),"Matéria Prima Não Cadastrada")</f>
        <v>0</v>
      </c>
      <c r="L135" s="216">
        <v>45939</v>
      </c>
    </row>
    <row r="136" spans="1:12" ht="15.75" customHeight="1">
      <c r="A136" s="48" t="s">
        <v>93</v>
      </c>
      <c r="B136" s="114" t="str">
        <f>VLOOKUP(A136,'Tabela de Produtos'!A:B,2,0)</f>
        <v>BRAZIMIL LÁTEX ECONÔMICO INT FOSCO 3L VERDE PRIMAVERA</v>
      </c>
      <c r="C136" s="48" t="s">
        <v>1201</v>
      </c>
      <c r="D136" s="114" t="str">
        <f>VLOOKUP(C136,'Custos Matéria Prima Embalagens'!B:C,2,0)</f>
        <v>WANFOAM 528 CE (BB-190)</v>
      </c>
      <c r="E136" s="114" t="str">
        <f>VLOOKUP(C136,'Custos Matéria Prima Embalagens'!B:D,3,0)</f>
        <v>ANTI ESPUMA LATEX</v>
      </c>
      <c r="F136" s="270">
        <f t="shared" si="20"/>
        <v>916.58</v>
      </c>
      <c r="G136" s="148">
        <f t="shared" si="21"/>
        <v>2.7275306028933643E-3</v>
      </c>
      <c r="H136" s="274">
        <v>2.5</v>
      </c>
      <c r="I136" s="272">
        <f>ROUND(F136/VLOOKUP(A136,'Tabela de Produtos'!A:J,10,0),0)</f>
        <v>722</v>
      </c>
      <c r="J136" s="97">
        <f>IFERROR(VLOOKUP(C136,'Custos Matéria Prima Embalagens'!B:G,6,0)*H136,"Matéria Prima Não Cadastrada")</f>
        <v>17.95</v>
      </c>
      <c r="K136" s="97">
        <f>IFERROR(J136/(I136/VLOOKUP(A136,'Tabela de Produtos'!A:H,8,0)),"Matéria Prima Não Cadastrada")</f>
        <v>7.4584487534626043E-2</v>
      </c>
      <c r="L136" s="216">
        <v>45939</v>
      </c>
    </row>
    <row r="137" spans="1:12" ht="15.75" customHeight="1">
      <c r="A137" s="48" t="s">
        <v>93</v>
      </c>
      <c r="B137" s="114" t="str">
        <f>VLOOKUP(A137,'Tabela de Produtos'!A:B,2,0)</f>
        <v>BRAZIMIL LÁTEX ECONÔMICO INT FOSCO 3L VERDE PRIMAVERA</v>
      </c>
      <c r="C137" s="48" t="s">
        <v>1203</v>
      </c>
      <c r="D137" s="114" t="str">
        <f>VLOOKUP(C137,'Custos Matéria Prima Embalagens'!B:C,2,0)</f>
        <v>WANBAC WBT CE (BH-200)</v>
      </c>
      <c r="E137" s="114" t="str">
        <f>VLOOKUP(C137,'Custos Matéria Prima Embalagens'!B:D,3,0)</f>
        <v>BACTERICIDA</v>
      </c>
      <c r="F137" s="270">
        <f t="shared" si="20"/>
        <v>916.58</v>
      </c>
      <c r="G137" s="148">
        <f t="shared" si="21"/>
        <v>3.2730367234720371E-3</v>
      </c>
      <c r="H137" s="274">
        <v>3</v>
      </c>
      <c r="I137" s="272">
        <f>ROUND(F137/VLOOKUP(A137,'Tabela de Produtos'!A:J,10,0),0)</f>
        <v>722</v>
      </c>
      <c r="J137" s="97">
        <f>IFERROR(VLOOKUP(C137,'Custos Matéria Prima Embalagens'!B:G,6,0)*H137,"Matéria Prima Não Cadastrada")</f>
        <v>14.819999999999999</v>
      </c>
      <c r="K137" s="97">
        <f>IFERROR(J137/(I137/VLOOKUP(A137,'Tabela de Produtos'!A:H,8,0)),"Matéria Prima Não Cadastrada")</f>
        <v>6.1578947368421046E-2</v>
      </c>
      <c r="L137" s="216">
        <v>45939</v>
      </c>
    </row>
    <row r="138" spans="1:12" ht="15.75" customHeight="1">
      <c r="A138" s="48" t="s">
        <v>93</v>
      </c>
      <c r="B138" s="114" t="str">
        <f>VLOOKUP(A138,'Tabela de Produtos'!A:B,2,0)</f>
        <v>BRAZIMIL LÁTEX ECONÔMICO INT FOSCO 3L VERDE PRIMAVERA</v>
      </c>
      <c r="C138" s="48" t="s">
        <v>1205</v>
      </c>
      <c r="D138" s="114" t="str">
        <f>VLOOKUP(C138,'Custos Matéria Prima Embalagens'!B:C,2,0)</f>
        <v>WANSUR 840 CE (BB-200)01</v>
      </c>
      <c r="E138" s="114" t="str">
        <f>VLOOKUP(C138,'Custos Matéria Prima Embalagens'!B:D,3,0)</f>
        <v>UMECTANTE</v>
      </c>
      <c r="F138" s="270">
        <f t="shared" si="20"/>
        <v>916.58</v>
      </c>
      <c r="G138" s="148">
        <f t="shared" si="21"/>
        <v>2.1820244823146915E-3</v>
      </c>
      <c r="H138" s="274">
        <v>2</v>
      </c>
      <c r="I138" s="272">
        <f>ROUND(F138/VLOOKUP(A138,'Tabela de Produtos'!A:J,10,0),0)</f>
        <v>722</v>
      </c>
      <c r="J138" s="97">
        <f>IFERROR(VLOOKUP(C138,'Custos Matéria Prima Embalagens'!B:G,6,0)*H138,"Matéria Prima Não Cadastrada")</f>
        <v>14.66</v>
      </c>
      <c r="K138" s="97">
        <f>IFERROR(J138/(I138/VLOOKUP(A138,'Tabela de Produtos'!A:H,8,0)),"Matéria Prima Não Cadastrada")</f>
        <v>6.0914127423822718E-2</v>
      </c>
      <c r="L138" s="216">
        <v>45939</v>
      </c>
    </row>
    <row r="139" spans="1:12" ht="15.75" customHeight="1">
      <c r="A139" s="48" t="s">
        <v>93</v>
      </c>
      <c r="B139" s="114" t="str">
        <f>VLOOKUP(A139,'Tabela de Produtos'!A:B,2,0)</f>
        <v>BRAZIMIL LÁTEX ECONÔMICO INT FOSCO 3L VERDE PRIMAVERA</v>
      </c>
      <c r="C139" s="48" t="s">
        <v>1207</v>
      </c>
      <c r="D139" s="114" t="str">
        <f>VLOOKUP(C139,'Custos Matéria Prima Embalagens'!B:C,2,0)</f>
        <v>WANPEX 1510 (BB-200)</v>
      </c>
      <c r="E139" s="114" t="str">
        <f>VLOOKUP(C139,'Custos Matéria Prima Embalagens'!B:D,3,0)</f>
        <v>DISPERSANTE LATEX</v>
      </c>
      <c r="F139" s="270">
        <f t="shared" si="20"/>
        <v>916.58</v>
      </c>
      <c r="G139" s="148">
        <f t="shared" si="21"/>
        <v>3.2730367234720371E-3</v>
      </c>
      <c r="H139" s="274">
        <v>3</v>
      </c>
      <c r="I139" s="272">
        <f>ROUND(F139/VLOOKUP(A139,'Tabela de Produtos'!A:J,10,0),0)</f>
        <v>722</v>
      </c>
      <c r="J139" s="97">
        <f>IFERROR(VLOOKUP(C139,'Custos Matéria Prima Embalagens'!B:G,6,0)*H139,"Matéria Prima Não Cadastrada")</f>
        <v>20.58</v>
      </c>
      <c r="K139" s="97">
        <f>IFERROR(J139/(I139/VLOOKUP(A139,'Tabela de Produtos'!A:H,8,0)),"Matéria Prima Não Cadastrada")</f>
        <v>8.5512465373961219E-2</v>
      </c>
      <c r="L139" s="216">
        <v>45939</v>
      </c>
    </row>
    <row r="140" spans="1:12" ht="15.75" customHeight="1">
      <c r="A140" s="48" t="s">
        <v>93</v>
      </c>
      <c r="B140" s="114" t="str">
        <f>VLOOKUP(A140,'Tabela de Produtos'!A:B,2,0)</f>
        <v>BRAZIMIL LÁTEX ECONÔMICO INT FOSCO 3L VERDE PRIMAVERA</v>
      </c>
      <c r="C140" s="48" t="s">
        <v>1209</v>
      </c>
      <c r="D140" s="114" t="str">
        <f>VLOOKUP(C140,'Custos Matéria Prima Embalagens'!B:C,2,0)</f>
        <v>WANFUNG WFT CE (BH-200)</v>
      </c>
      <c r="E140" s="114" t="str">
        <f>VLOOKUP(C140,'Custos Matéria Prima Embalagens'!B:D,3,0)</f>
        <v>FUNGICIDA</v>
      </c>
      <c r="F140" s="270">
        <f t="shared" si="20"/>
        <v>916.58</v>
      </c>
      <c r="G140" s="148">
        <f t="shared" si="21"/>
        <v>2.7275306028933643E-3</v>
      </c>
      <c r="H140" s="274">
        <v>2.5</v>
      </c>
      <c r="I140" s="272">
        <f>ROUND(F140/VLOOKUP(A140,'Tabela de Produtos'!A:J,10,0),0)</f>
        <v>722</v>
      </c>
      <c r="J140" s="97">
        <f>IFERROR(VLOOKUP(C140,'Custos Matéria Prima Embalagens'!B:G,6,0)*H140,"Matéria Prima Não Cadastrada")</f>
        <v>17.5</v>
      </c>
      <c r="K140" s="97">
        <f>IFERROR(J140/(I140/VLOOKUP(A140,'Tabela de Produtos'!A:H,8,0)),"Matéria Prima Não Cadastrada")</f>
        <v>7.2714681440443213E-2</v>
      </c>
      <c r="L140" s="216">
        <v>45939</v>
      </c>
    </row>
    <row r="141" spans="1:12" ht="15.75" customHeight="1">
      <c r="A141" s="48" t="s">
        <v>93</v>
      </c>
      <c r="B141" s="114" t="str">
        <f>VLOOKUP(A141,'Tabela de Produtos'!A:B,2,0)</f>
        <v>BRAZIMIL LÁTEX ECONÔMICO INT FOSCO 3L VERDE PRIMAVERA</v>
      </c>
      <c r="C141" s="48" t="s">
        <v>1215</v>
      </c>
      <c r="D141" s="114" t="str">
        <f>VLOOKUP(C141,'Custos Matéria Prima Embalagens'!B:C,2,0)</f>
        <v>CALCARIO DOLOMITICO #500 ( SACOS 25 KG)</v>
      </c>
      <c r="E141" s="114" t="str">
        <f>VLOOKUP(C141,'Custos Matéria Prima Embalagens'!B:D,3,0)</f>
        <v>CARBONATO #500</v>
      </c>
      <c r="F141" s="270">
        <f t="shared" si="20"/>
        <v>916.58</v>
      </c>
      <c r="G141" s="148">
        <f t="shared" si="21"/>
        <v>5.4550612057867286E-2</v>
      </c>
      <c r="H141" s="274">
        <v>50</v>
      </c>
      <c r="I141" s="272">
        <f>ROUND(F141/VLOOKUP(A141,'Tabela de Produtos'!A:J,10,0),0)</f>
        <v>722</v>
      </c>
      <c r="J141" s="97">
        <f>IFERROR(VLOOKUP(C141,'Custos Matéria Prima Embalagens'!B:G,6,0)*H141,"Matéria Prima Não Cadastrada")</f>
        <v>40</v>
      </c>
      <c r="K141" s="97">
        <f>IFERROR(J141/(I141/VLOOKUP(A141,'Tabela de Produtos'!A:H,8,0)),"Matéria Prima Não Cadastrada")</f>
        <v>0.16620498614958448</v>
      </c>
      <c r="L141" s="216">
        <v>45939</v>
      </c>
    </row>
    <row r="142" spans="1:12" ht="15.75" customHeight="1">
      <c r="A142" s="48" t="s">
        <v>93</v>
      </c>
      <c r="B142" s="114" t="str">
        <f>VLOOKUP(A142,'Tabela de Produtos'!A:B,2,0)</f>
        <v>BRAZIMIL LÁTEX ECONÔMICO INT FOSCO 3L VERDE PRIMAVERA</v>
      </c>
      <c r="C142" s="48" t="s">
        <v>1227</v>
      </c>
      <c r="D142" s="114" t="str">
        <f>VLOOKUP(C142,'Custos Matéria Prima Embalagens'!B:C,2,0)</f>
        <v>CAULIM MALHA 325</v>
      </c>
      <c r="E142" s="114" t="str">
        <f>VLOOKUP(C142,'Custos Matéria Prima Embalagens'!B:D,3,0)</f>
        <v>caulim</v>
      </c>
      <c r="F142" s="270">
        <f t="shared" si="20"/>
        <v>916.58</v>
      </c>
      <c r="G142" s="148">
        <f t="shared" si="21"/>
        <v>0.35457897837613739</v>
      </c>
      <c r="H142" s="274">
        <v>325</v>
      </c>
      <c r="I142" s="272">
        <f>ROUND(F142/VLOOKUP(A142,'Tabela de Produtos'!A:J,10,0),0)</f>
        <v>722</v>
      </c>
      <c r="J142" s="97">
        <f>IFERROR(VLOOKUP(C142,'Custos Matéria Prima Embalagens'!B:G,6,0)*H142,"Matéria Prima Não Cadastrada")</f>
        <v>494.16105555555538</v>
      </c>
      <c r="K142" s="97">
        <f>IFERROR(J142/(I142/VLOOKUP(A142,'Tabela de Produtos'!A:H,8,0)),"Matéria Prima Não Cadastrada")</f>
        <v>2.0533007848568783</v>
      </c>
      <c r="L142" s="216">
        <v>45939</v>
      </c>
    </row>
    <row r="143" spans="1:12" ht="15.75" customHeight="1">
      <c r="A143" s="48" t="s">
        <v>93</v>
      </c>
      <c r="B143" s="114" t="str">
        <f>VLOOKUP(A143,'Tabela de Produtos'!A:B,2,0)</f>
        <v>BRAZIMIL LÁTEX ECONÔMICO INT FOSCO 3L VERDE PRIMAVERA</v>
      </c>
      <c r="C143" s="48" t="s">
        <v>1217</v>
      </c>
      <c r="D143" s="114" t="str">
        <f>VLOOKUP(C143,'Custos Matéria Prima Embalagens'!B:C,2,0)</f>
        <v>WANCRIL W 51 CE (CT-1000P)</v>
      </c>
      <c r="E143" s="114" t="str">
        <f>VLOOKUP(C143,'Custos Matéria Prima Embalagens'!B:D,3,0)</f>
        <v>RESINA ACRILICA ESTIRENADA</v>
      </c>
      <c r="F143" s="270">
        <f t="shared" si="20"/>
        <v>916.58</v>
      </c>
      <c r="G143" s="148">
        <f t="shared" si="21"/>
        <v>3.2730367234720371E-2</v>
      </c>
      <c r="H143" s="274">
        <v>30</v>
      </c>
      <c r="I143" s="272">
        <f>ROUND(F143/VLOOKUP(A143,'Tabela de Produtos'!A:J,10,0),0)</f>
        <v>722</v>
      </c>
      <c r="J143" s="97">
        <f>IFERROR(VLOOKUP(C143,'Custos Matéria Prima Embalagens'!B:G,6,0)*H143,"Matéria Prima Não Cadastrada")</f>
        <v>252.89999999999998</v>
      </c>
      <c r="K143" s="97">
        <f>IFERROR(J143/(I143/VLOOKUP(A143,'Tabela de Produtos'!A:H,8,0)),"Matéria Prima Não Cadastrada")</f>
        <v>1.0508310249307478</v>
      </c>
      <c r="L143" s="216">
        <v>45939</v>
      </c>
    </row>
    <row r="144" spans="1:12" ht="15.75" customHeight="1">
      <c r="A144" s="48" t="s">
        <v>93</v>
      </c>
      <c r="B144" s="114" t="str">
        <f>VLOOKUP(A144,'Tabela de Produtos'!A:B,2,0)</f>
        <v>BRAZIMIL LÁTEX ECONÔMICO INT FOSCO 3L VERDE PRIMAVERA</v>
      </c>
      <c r="C144" s="48" t="s">
        <v>1219</v>
      </c>
      <c r="D144" s="114" t="str">
        <f>VLOOKUP(C144,'Custos Matéria Prima Embalagens'!B:C,2,0)</f>
        <v>WANALK 70 CE (BH-200)</v>
      </c>
      <c r="E144" s="114" t="str">
        <f>VLOOKUP(C144,'Custos Matéria Prima Embalagens'!B:D,3,0)</f>
        <v>ALCALINIZANTE</v>
      </c>
      <c r="F144" s="270">
        <f t="shared" si="20"/>
        <v>916.58</v>
      </c>
      <c r="G144" s="148">
        <f t="shared" si="21"/>
        <v>3.2730367234720371E-3</v>
      </c>
      <c r="H144" s="274">
        <v>3</v>
      </c>
      <c r="I144" s="272">
        <f>ROUND(F144/VLOOKUP(A144,'Tabela de Produtos'!A:J,10,0),0)</f>
        <v>722</v>
      </c>
      <c r="J144" s="97">
        <f>IFERROR(VLOOKUP(C144,'Custos Matéria Prima Embalagens'!B:G,6,0)*H144,"Matéria Prima Não Cadastrada")</f>
        <v>14.940000000000001</v>
      </c>
      <c r="K144" s="97">
        <f>IFERROR(J144/(I144/VLOOKUP(A144,'Tabela de Produtos'!A:H,8,0)),"Matéria Prima Não Cadastrada")</f>
        <v>6.2077562326869812E-2</v>
      </c>
      <c r="L144" s="216">
        <v>45939</v>
      </c>
    </row>
    <row r="145" spans="1:12" ht="15.75" customHeight="1">
      <c r="A145" s="48" t="s">
        <v>93</v>
      </c>
      <c r="B145" s="114" t="str">
        <f>VLOOKUP(A145,'Tabela de Produtos'!A:B,2,0)</f>
        <v>BRAZIMIL LÁTEX ECONÔMICO INT FOSCO 3L VERDE PRIMAVERA</v>
      </c>
      <c r="C145" s="48" t="s">
        <v>1221</v>
      </c>
      <c r="D145" s="114" t="str">
        <f>VLOOKUP(C145,'Custos Matéria Prima Embalagens'!B:C,2,0)</f>
        <v>MODIWAN 105H CE (CT-1000P)</v>
      </c>
      <c r="E145" s="114" t="str">
        <f>VLOOKUP(C145,'Custos Matéria Prima Embalagens'!B:D,3,0)</f>
        <v>ESPESSANTE DE MEDIA</v>
      </c>
      <c r="F145" s="270">
        <f t="shared" si="20"/>
        <v>916.58</v>
      </c>
      <c r="G145" s="148">
        <f t="shared" si="21"/>
        <v>1.6910689737938859E-2</v>
      </c>
      <c r="H145" s="274">
        <v>15.5</v>
      </c>
      <c r="I145" s="272">
        <f>ROUND(F145/VLOOKUP(A145,'Tabela de Produtos'!A:J,10,0),0)</f>
        <v>722</v>
      </c>
      <c r="J145" s="97">
        <f>IFERROR(VLOOKUP(C145,'Custos Matéria Prima Embalagens'!B:G,6,0)*H145,"Matéria Prima Não Cadastrada")</f>
        <v>122.52749999999999</v>
      </c>
      <c r="K145" s="97">
        <f>IFERROR(J145/(I145/VLOOKUP(A145,'Tabela de Produtos'!A:H,8,0)),"Matéria Prima Não Cadastrada")</f>
        <v>0.50911703601108027</v>
      </c>
      <c r="L145" s="216">
        <v>45939</v>
      </c>
    </row>
    <row r="146" spans="1:12" ht="15.75" customHeight="1">
      <c r="A146" s="48" t="s">
        <v>93</v>
      </c>
      <c r="B146" s="114" t="str">
        <f>VLOOKUP(A146,'Tabela de Produtos'!A:B,2,0)</f>
        <v>BRAZIMIL LÁTEX ECONÔMICO INT FOSCO 3L VERDE PRIMAVERA</v>
      </c>
      <c r="C146" s="48" t="s">
        <v>1223</v>
      </c>
      <c r="D146" s="114" t="str">
        <f>VLOOKUP(C146,'Custos Matéria Prima Embalagens'!B:C,2,0)</f>
        <v>TURBOWAN H CE (BH-200)</v>
      </c>
      <c r="E146" s="114" t="str">
        <f>VLOOKUP(C146,'Custos Matéria Prima Embalagens'!B:D,3,0)</f>
        <v>PROMOTOR DE LAVABILIDADE</v>
      </c>
      <c r="F146" s="270">
        <f t="shared" si="20"/>
        <v>916.58</v>
      </c>
      <c r="G146" s="148">
        <f t="shared" si="21"/>
        <v>8.1825918086800929E-3</v>
      </c>
      <c r="H146" s="274">
        <v>7.5</v>
      </c>
      <c r="I146" s="272">
        <f>ROUND(F146/VLOOKUP(A146,'Tabela de Produtos'!A:J,10,0),0)</f>
        <v>722</v>
      </c>
      <c r="J146" s="97">
        <f>IFERROR(VLOOKUP(C146,'Custos Matéria Prima Embalagens'!B:G,6,0)*H146,"Matéria Prima Não Cadastrada")</f>
        <v>36.375</v>
      </c>
      <c r="K146" s="97">
        <f>IFERROR(J146/(I146/VLOOKUP(A146,'Tabela de Produtos'!A:H,8,0)),"Matéria Prima Não Cadastrada")</f>
        <v>0.15114265927977841</v>
      </c>
      <c r="L146" s="216">
        <v>45939</v>
      </c>
    </row>
    <row r="147" spans="1:12" ht="15.75" customHeight="1">
      <c r="A147" s="48" t="s">
        <v>93</v>
      </c>
      <c r="B147" s="114" t="str">
        <f>VLOOKUP(A147,'Tabela de Produtos'!A:B,2,0)</f>
        <v>BRAZIMIL LÁTEX ECONÔMICO INT FOSCO 3L VERDE PRIMAVERA</v>
      </c>
      <c r="C147" s="48" t="s">
        <v>1229</v>
      </c>
      <c r="D147" s="114" t="str">
        <f>VLOOKUP(C147,'Custos Matéria Prima Embalagens'!B:C,2,0)</f>
        <v>WANSOL 340 CE (BB-200)</v>
      </c>
      <c r="E147" s="114" t="str">
        <f>VLOOKUP(C147,'Custos Matéria Prima Embalagens'!B:D,3,0)</f>
        <v>COALESCENTE</v>
      </c>
      <c r="F147" s="270">
        <f t="shared" si="20"/>
        <v>916.58</v>
      </c>
      <c r="G147" s="148">
        <f t="shared" si="21"/>
        <v>5.4550612057867286E-3</v>
      </c>
      <c r="H147" s="274">
        <v>5</v>
      </c>
      <c r="I147" s="272">
        <f>ROUND(F147/VLOOKUP(A147,'Tabela de Produtos'!A:J,10,0),0)</f>
        <v>722</v>
      </c>
      <c r="J147" s="97">
        <f>IFERROR(VLOOKUP(C147,'Custos Matéria Prima Embalagens'!B:G,6,0)*H147,"Matéria Prima Não Cadastrada")</f>
        <v>96.1</v>
      </c>
      <c r="K147" s="97">
        <f>IFERROR(J147/(I147/VLOOKUP(A147,'Tabela de Produtos'!A:H,8,0)),"Matéria Prima Não Cadastrada")</f>
        <v>0.3993074792243767</v>
      </c>
      <c r="L147" s="216">
        <v>45939</v>
      </c>
    </row>
    <row r="148" spans="1:12" ht="15.75" customHeight="1">
      <c r="A148" s="48" t="s">
        <v>93</v>
      </c>
      <c r="B148" s="114" t="str">
        <f>VLOOKUP(A148,'Tabela de Produtos'!A:B,2,0)</f>
        <v>BRAZIMIL LÁTEX ECONÔMICO INT FOSCO 3L VERDE PRIMAVERA</v>
      </c>
      <c r="C148" s="48" t="s">
        <v>1273</v>
      </c>
      <c r="D148" s="114" t="str">
        <f>VLOOKUP(C148,'Custos Matéria Prima Embalagens'!B:C,2,0)</f>
        <v>AMARELO SPECTRA RO</v>
      </c>
      <c r="E148" s="114" t="str">
        <f>VLOOKUP(C148,'Custos Matéria Prima Embalagens'!B:D,3,0)</f>
        <v>AMARELO SPECTRA RO</v>
      </c>
      <c r="F148" s="270">
        <f t="shared" si="20"/>
        <v>916.58</v>
      </c>
      <c r="G148" s="148">
        <f t="shared" si="21"/>
        <v>7.0915795675227473E-3</v>
      </c>
      <c r="H148" s="274">
        <v>6.5</v>
      </c>
      <c r="I148" s="272">
        <f>ROUND(F148/VLOOKUP(A148,'Tabela de Produtos'!A:J,10,0),0)</f>
        <v>722</v>
      </c>
      <c r="J148" s="97">
        <f>IFERROR(VLOOKUP(C148,'Custos Matéria Prima Embalagens'!B:G,6,0)*H148,"Matéria Prima Não Cadastrada")</f>
        <v>101.4</v>
      </c>
      <c r="K148" s="97">
        <f>IFERROR(J148/(I148/VLOOKUP(A148,'Tabela de Produtos'!A:H,8,0)),"Matéria Prima Não Cadastrada")</f>
        <v>0.42132963988919669</v>
      </c>
      <c r="L148" s="216">
        <v>45939</v>
      </c>
    </row>
    <row r="149" spans="1:12" ht="15.75" customHeight="1">
      <c r="A149" s="48" t="s">
        <v>93</v>
      </c>
      <c r="B149" s="114" t="str">
        <f>VLOOKUP(A149,'Tabela de Produtos'!A:B,2,0)</f>
        <v>BRAZIMIL LÁTEX ECONÔMICO INT FOSCO 3L VERDE PRIMAVERA</v>
      </c>
      <c r="C149" s="48" t="s">
        <v>1237</v>
      </c>
      <c r="D149" s="114" t="str">
        <f>VLOOKUP(C149,'Custos Matéria Prima Embalagens'!B:C,2,0)</f>
        <v>VERDE SPECTRAPERSE BLS</v>
      </c>
      <c r="E149" s="114" t="str">
        <f>VLOOKUP(C149,'Custos Matéria Prima Embalagens'!B:D,3,0)</f>
        <v>VERDE SPECTRAPERSE BLS</v>
      </c>
      <c r="F149" s="270">
        <f t="shared" si="20"/>
        <v>916.58</v>
      </c>
      <c r="G149" s="148">
        <f t="shared" si="21"/>
        <v>1.0910122411573458E-3</v>
      </c>
      <c r="H149" s="274">
        <v>1</v>
      </c>
      <c r="I149" s="272">
        <f>ROUND(F149/VLOOKUP(A149,'Tabela de Produtos'!A:J,10,0),0)</f>
        <v>722</v>
      </c>
      <c r="J149" s="97">
        <f>IFERROR(VLOOKUP(C149,'Custos Matéria Prima Embalagens'!B:G,6,0)*H149,"Matéria Prima Não Cadastrada")</f>
        <v>39</v>
      </c>
      <c r="K149" s="97">
        <f>IFERROR(J149/(I149/VLOOKUP(A149,'Tabela de Produtos'!A:H,8,0)),"Matéria Prima Não Cadastrada")</f>
        <v>0.16204986149584488</v>
      </c>
      <c r="L149" s="216">
        <v>45939</v>
      </c>
    </row>
    <row r="150" spans="1:12" ht="15.75" customHeight="1">
      <c r="A150" s="48" t="s">
        <v>93</v>
      </c>
      <c r="B150" s="114" t="str">
        <f>VLOOKUP(A150,'Tabela de Produtos'!A:B,2,0)</f>
        <v>BRAZIMIL LÁTEX ECONÔMICO INT FOSCO 3L VERDE PRIMAVERA</v>
      </c>
      <c r="C150" s="48" t="s">
        <v>1353</v>
      </c>
      <c r="D150" s="114" t="str">
        <f>VLOOKUP(C150,'Custos Matéria Prima Embalagens'!B:C,2,0)</f>
        <v>VERMELHO SPECTRA RO</v>
      </c>
      <c r="E150" s="114" t="str">
        <f>VLOOKUP(C150,'Custos Matéria Prima Embalagens'!B:D,3,0)</f>
        <v>VERMELHO SPECTRA RO</v>
      </c>
      <c r="F150" s="270">
        <f t="shared" si="20"/>
        <v>916.58</v>
      </c>
      <c r="G150" s="148">
        <f t="shared" si="21"/>
        <v>8.7280979292587659E-5</v>
      </c>
      <c r="H150" s="274">
        <v>0.08</v>
      </c>
      <c r="I150" s="272">
        <f>ROUND(F150/VLOOKUP(A150,'Tabela de Produtos'!A:J,10,0),0)</f>
        <v>722</v>
      </c>
      <c r="J150" s="97">
        <f>IFERROR(VLOOKUP(C150,'Custos Matéria Prima Embalagens'!B:G,6,0)*H150,"Matéria Prima Não Cadastrada")</f>
        <v>1.2328000000000001</v>
      </c>
      <c r="K150" s="97">
        <f>IFERROR(J150/(I150/VLOOKUP(A150,'Tabela de Produtos'!A:H,8,0)),"Matéria Prima Não Cadastrada")</f>
        <v>5.1224376731301945E-3</v>
      </c>
      <c r="L150" s="216">
        <v>45939</v>
      </c>
    </row>
    <row r="151" spans="1:12" ht="15.75" customHeight="1">
      <c r="D151" s="114"/>
      <c r="E151" s="114"/>
      <c r="F151" s="96"/>
      <c r="G151" s="148"/>
      <c r="H151" s="274"/>
      <c r="I151" s="272"/>
      <c r="J151" s="97"/>
      <c r="K151" s="97"/>
      <c r="L151" s="216">
        <v>45939</v>
      </c>
    </row>
    <row r="152" spans="1:12" ht="15.75" customHeight="1">
      <c r="A152" s="48" t="s">
        <v>94</v>
      </c>
      <c r="B152" s="114" t="str">
        <f>VLOOKUP(A152,'Tabela de Produtos'!A:B,2,0)</f>
        <v>BRAZIMIL LÁTEX ECONÔMICO INT FOSCO 3L VERDE FOLHA</v>
      </c>
      <c r="C152" s="48" t="s">
        <v>1197</v>
      </c>
      <c r="D152" s="114" t="str">
        <f>VLOOKUP(C152,'Custos Matéria Prima Embalagens'!B:C,2,0)</f>
        <v>AGUA</v>
      </c>
      <c r="E152" s="114" t="str">
        <f>VLOOKUP(C152,'Custos Matéria Prima Embalagens'!B:D,3,0)</f>
        <v>AGUA</v>
      </c>
      <c r="F152" s="270">
        <f t="shared" ref="F152:F169" si="22">SUMIFS(H:H,A:A,A152)</f>
        <v>906.8</v>
      </c>
      <c r="G152" s="148">
        <f t="shared" ref="G152:G169" si="23">H152/F152</f>
        <v>0.50727834142037942</v>
      </c>
      <c r="H152" s="274">
        <v>460</v>
      </c>
      <c r="I152" s="272">
        <f>ROUND(F152/VLOOKUP(A152,'Tabela de Produtos'!A:J,10,0),0)</f>
        <v>714</v>
      </c>
      <c r="J152" s="97">
        <f>IFERROR(VLOOKUP(C152,'Custos Matéria Prima Embalagens'!B:G,6,0)*H152,"Matéria Prima Não Cadastrada")</f>
        <v>0</v>
      </c>
      <c r="K152" s="97">
        <f>IFERROR(J152/(I152/VLOOKUP(A152,'Tabela de Produtos'!A:H,8,0)),"Matéria Prima Não Cadastrada")</f>
        <v>0</v>
      </c>
      <c r="L152" s="216">
        <v>45939</v>
      </c>
    </row>
    <row r="153" spans="1:12" ht="15.75" customHeight="1">
      <c r="A153" s="48" t="s">
        <v>94</v>
      </c>
      <c r="B153" s="114" t="str">
        <f>VLOOKUP(A153,'Tabela de Produtos'!A:B,2,0)</f>
        <v>BRAZIMIL LÁTEX ECONÔMICO INT FOSCO 3L VERDE FOLHA</v>
      </c>
      <c r="C153" s="48" t="s">
        <v>1201</v>
      </c>
      <c r="D153" s="114" t="str">
        <f>VLOOKUP(C153,'Custos Matéria Prima Embalagens'!B:C,2,0)</f>
        <v>WANFOAM 528 CE (BB-190)</v>
      </c>
      <c r="E153" s="114" t="str">
        <f>VLOOKUP(C153,'Custos Matéria Prima Embalagens'!B:D,3,0)</f>
        <v>ANTI ESPUMA LATEX</v>
      </c>
      <c r="F153" s="270">
        <f t="shared" si="22"/>
        <v>906.8</v>
      </c>
      <c r="G153" s="148">
        <f t="shared" si="23"/>
        <v>2.7569475077194533E-3</v>
      </c>
      <c r="H153" s="274">
        <v>2.5</v>
      </c>
      <c r="I153" s="272">
        <f>ROUND(F153/VLOOKUP(A153,'Tabela de Produtos'!A:J,10,0),0)</f>
        <v>714</v>
      </c>
      <c r="J153" s="97">
        <f>IFERROR(VLOOKUP(C153,'Custos Matéria Prima Embalagens'!B:G,6,0)*H153,"Matéria Prima Não Cadastrada")</f>
        <v>17.95</v>
      </c>
      <c r="K153" s="97">
        <f>IFERROR(J153/(I153/VLOOKUP(A153,'Tabela de Produtos'!A:H,8,0)),"Matéria Prima Não Cadastrada")</f>
        <v>7.5420168067226886E-2</v>
      </c>
      <c r="L153" s="216">
        <v>45939</v>
      </c>
    </row>
    <row r="154" spans="1:12" ht="15.75" customHeight="1">
      <c r="A154" s="48" t="s">
        <v>94</v>
      </c>
      <c r="B154" s="114" t="str">
        <f>VLOOKUP(A154,'Tabela de Produtos'!A:B,2,0)</f>
        <v>BRAZIMIL LÁTEX ECONÔMICO INT FOSCO 3L VERDE FOLHA</v>
      </c>
      <c r="C154" s="48" t="s">
        <v>1203</v>
      </c>
      <c r="D154" s="114" t="str">
        <f>VLOOKUP(C154,'Custos Matéria Prima Embalagens'!B:C,2,0)</f>
        <v>WANBAC WBT CE (BH-200)</v>
      </c>
      <c r="E154" s="114" t="str">
        <f>VLOOKUP(C154,'Custos Matéria Prima Embalagens'!B:D,3,0)</f>
        <v>BACTERICIDA</v>
      </c>
      <c r="F154" s="270">
        <f t="shared" si="22"/>
        <v>906.8</v>
      </c>
      <c r="G154" s="148">
        <f t="shared" si="23"/>
        <v>3.3083370092633437E-3</v>
      </c>
      <c r="H154" s="274">
        <v>3</v>
      </c>
      <c r="I154" s="272">
        <f>ROUND(F154/VLOOKUP(A154,'Tabela de Produtos'!A:J,10,0),0)</f>
        <v>714</v>
      </c>
      <c r="J154" s="97">
        <f>IFERROR(VLOOKUP(C154,'Custos Matéria Prima Embalagens'!B:G,6,0)*H154,"Matéria Prima Não Cadastrada")</f>
        <v>14.819999999999999</v>
      </c>
      <c r="K154" s="97">
        <f>IFERROR(J154/(I154/VLOOKUP(A154,'Tabela de Produtos'!A:H,8,0)),"Matéria Prima Não Cadastrada")</f>
        <v>6.2268907563025201E-2</v>
      </c>
      <c r="L154" s="216">
        <v>45939</v>
      </c>
    </row>
    <row r="155" spans="1:12" ht="15.75" customHeight="1">
      <c r="A155" s="48" t="s">
        <v>94</v>
      </c>
      <c r="B155" s="114" t="str">
        <f>VLOOKUP(A155,'Tabela de Produtos'!A:B,2,0)</f>
        <v>BRAZIMIL LÁTEX ECONÔMICO INT FOSCO 3L VERDE FOLHA</v>
      </c>
      <c r="C155" s="48" t="s">
        <v>1205</v>
      </c>
      <c r="D155" s="114" t="str">
        <f>VLOOKUP(C155,'Custos Matéria Prima Embalagens'!B:C,2,0)</f>
        <v>WANSUR 840 CE (BB-200)01</v>
      </c>
      <c r="E155" s="114" t="str">
        <f>VLOOKUP(C155,'Custos Matéria Prima Embalagens'!B:D,3,0)</f>
        <v>UMECTANTE</v>
      </c>
      <c r="F155" s="270">
        <f t="shared" si="22"/>
        <v>906.8</v>
      </c>
      <c r="G155" s="148">
        <f t="shared" si="23"/>
        <v>2.2055580061755625E-3</v>
      </c>
      <c r="H155" s="274">
        <v>2</v>
      </c>
      <c r="I155" s="272">
        <f>ROUND(F155/VLOOKUP(A155,'Tabela de Produtos'!A:J,10,0),0)</f>
        <v>714</v>
      </c>
      <c r="J155" s="97">
        <f>IFERROR(VLOOKUP(C155,'Custos Matéria Prima Embalagens'!B:G,6,0)*H155,"Matéria Prima Não Cadastrada")</f>
        <v>14.66</v>
      </c>
      <c r="K155" s="97">
        <f>IFERROR(J155/(I155/VLOOKUP(A155,'Tabela de Produtos'!A:H,8,0)),"Matéria Prima Não Cadastrada")</f>
        <v>6.1596638655462187E-2</v>
      </c>
      <c r="L155" s="216">
        <v>45939</v>
      </c>
    </row>
    <row r="156" spans="1:12" ht="15.75" customHeight="1">
      <c r="A156" s="48" t="s">
        <v>94</v>
      </c>
      <c r="B156" s="114" t="str">
        <f>VLOOKUP(A156,'Tabela de Produtos'!A:B,2,0)</f>
        <v>BRAZIMIL LÁTEX ECONÔMICO INT FOSCO 3L VERDE FOLHA</v>
      </c>
      <c r="C156" s="48" t="s">
        <v>1207</v>
      </c>
      <c r="D156" s="114" t="str">
        <f>VLOOKUP(C156,'Custos Matéria Prima Embalagens'!B:C,2,0)</f>
        <v>WANPEX 1510 (BB-200)</v>
      </c>
      <c r="E156" s="114" t="str">
        <f>VLOOKUP(C156,'Custos Matéria Prima Embalagens'!B:D,3,0)</f>
        <v>DISPERSANTE LATEX</v>
      </c>
      <c r="F156" s="270">
        <f t="shared" si="22"/>
        <v>906.8</v>
      </c>
      <c r="G156" s="148">
        <f t="shared" si="23"/>
        <v>3.3083370092633437E-3</v>
      </c>
      <c r="H156" s="274">
        <v>3</v>
      </c>
      <c r="I156" s="272">
        <f>ROUND(F156/VLOOKUP(A156,'Tabela de Produtos'!A:J,10,0),0)</f>
        <v>714</v>
      </c>
      <c r="J156" s="97">
        <f>IFERROR(VLOOKUP(C156,'Custos Matéria Prima Embalagens'!B:G,6,0)*H156,"Matéria Prima Não Cadastrada")</f>
        <v>20.58</v>
      </c>
      <c r="K156" s="97">
        <f>IFERROR(J156/(I156/VLOOKUP(A156,'Tabela de Produtos'!A:H,8,0)),"Matéria Prima Não Cadastrada")</f>
        <v>8.6470588235294105E-2</v>
      </c>
      <c r="L156" s="216">
        <v>45939</v>
      </c>
    </row>
    <row r="157" spans="1:12" ht="15.75" customHeight="1">
      <c r="A157" s="48" t="s">
        <v>94</v>
      </c>
      <c r="B157" s="114" t="str">
        <f>VLOOKUP(A157,'Tabela de Produtos'!A:B,2,0)</f>
        <v>BRAZIMIL LÁTEX ECONÔMICO INT FOSCO 3L VERDE FOLHA</v>
      </c>
      <c r="C157" s="48" t="s">
        <v>1209</v>
      </c>
      <c r="D157" s="114" t="str">
        <f>VLOOKUP(C157,'Custos Matéria Prima Embalagens'!B:C,2,0)</f>
        <v>WANFUNG WFT CE (BH-200)</v>
      </c>
      <c r="E157" s="114" t="str">
        <f>VLOOKUP(C157,'Custos Matéria Prima Embalagens'!B:D,3,0)</f>
        <v>FUNGICIDA</v>
      </c>
      <c r="F157" s="270">
        <f t="shared" si="22"/>
        <v>906.8</v>
      </c>
      <c r="G157" s="148">
        <f t="shared" si="23"/>
        <v>2.7569475077194533E-3</v>
      </c>
      <c r="H157" s="274">
        <v>2.5</v>
      </c>
      <c r="I157" s="272">
        <f>ROUND(F157/VLOOKUP(A157,'Tabela de Produtos'!A:J,10,0),0)</f>
        <v>714</v>
      </c>
      <c r="J157" s="97">
        <f>IFERROR(VLOOKUP(C157,'Custos Matéria Prima Embalagens'!B:G,6,0)*H157,"Matéria Prima Não Cadastrada")</f>
        <v>17.5</v>
      </c>
      <c r="K157" s="97">
        <f>IFERROR(J157/(I157/VLOOKUP(A157,'Tabela de Produtos'!A:H,8,0)),"Matéria Prima Não Cadastrada")</f>
        <v>7.3529411764705885E-2</v>
      </c>
      <c r="L157" s="216">
        <v>45939</v>
      </c>
    </row>
    <row r="158" spans="1:12" ht="15.75" customHeight="1">
      <c r="A158" s="48" t="s">
        <v>94</v>
      </c>
      <c r="B158" s="114" t="str">
        <f>VLOOKUP(A158,'Tabela de Produtos'!A:B,2,0)</f>
        <v>BRAZIMIL LÁTEX ECONÔMICO INT FOSCO 3L VERDE FOLHA</v>
      </c>
      <c r="C158" s="48" t="s">
        <v>1227</v>
      </c>
      <c r="D158" s="114" t="str">
        <f>VLOOKUP(C158,'Custos Matéria Prima Embalagens'!B:C,2,0)</f>
        <v>CAULIM MALHA 325</v>
      </c>
      <c r="E158" s="114" t="str">
        <f>VLOOKUP(C158,'Custos Matéria Prima Embalagens'!B:D,3,0)</f>
        <v>caulim</v>
      </c>
      <c r="F158" s="270">
        <f t="shared" si="22"/>
        <v>906.8</v>
      </c>
      <c r="G158" s="148">
        <f t="shared" si="23"/>
        <v>0.11027790030877813</v>
      </c>
      <c r="H158" s="274">
        <v>100</v>
      </c>
      <c r="I158" s="272">
        <f>ROUND(F158/VLOOKUP(A158,'Tabela de Produtos'!A:J,10,0),0)</f>
        <v>714</v>
      </c>
      <c r="J158" s="97">
        <f>IFERROR(VLOOKUP(C158,'Custos Matéria Prima Embalagens'!B:G,6,0)*H158,"Matéria Prima Não Cadastrada")</f>
        <v>152.04955555555551</v>
      </c>
      <c r="K158" s="97">
        <f>IFERROR(J158/(I158/VLOOKUP(A158,'Tabela de Produtos'!A:H,8,0)),"Matéria Prima Não Cadastrada")</f>
        <v>0.63886367880485506</v>
      </c>
      <c r="L158" s="216">
        <v>45939</v>
      </c>
    </row>
    <row r="159" spans="1:12" ht="15.75" customHeight="1">
      <c r="A159" s="48" t="s">
        <v>94</v>
      </c>
      <c r="B159" s="114" t="str">
        <f>VLOOKUP(A159,'Tabela de Produtos'!A:B,2,0)</f>
        <v>BRAZIMIL LÁTEX ECONÔMICO INT FOSCO 3L VERDE FOLHA</v>
      </c>
      <c r="C159" s="48" t="s">
        <v>1225</v>
      </c>
      <c r="D159" s="114" t="str">
        <f>VLOOKUP(C159,'Custos Matéria Prima Embalagens'!B:C,2,0)</f>
        <v>CALCARIO DOLOMITICO #325 ( SACOS 25 KG)</v>
      </c>
      <c r="E159" s="114" t="str">
        <f>VLOOKUP(C159,'Custos Matéria Prima Embalagens'!B:D,3,0)</f>
        <v>CARBONATO #325</v>
      </c>
      <c r="F159" s="270">
        <f t="shared" si="22"/>
        <v>906.8</v>
      </c>
      <c r="G159" s="148">
        <f t="shared" si="23"/>
        <v>0.11027790030877813</v>
      </c>
      <c r="H159" s="274">
        <v>100</v>
      </c>
      <c r="I159" s="272">
        <f>ROUND(F159/VLOOKUP(A159,'Tabela de Produtos'!A:J,10,0),0)</f>
        <v>714</v>
      </c>
      <c r="J159" s="97">
        <f>IFERROR(VLOOKUP(C159,'Custos Matéria Prima Embalagens'!B:G,6,0)*H159,"Matéria Prima Não Cadastrada")</f>
        <v>68.577852760736207</v>
      </c>
      <c r="K159" s="97">
        <f>IFERROR(J159/(I159/VLOOKUP(A159,'Tabela de Produtos'!A:H,8,0)),"Matéria Prima Não Cadastrada")</f>
        <v>0.28814223849048826</v>
      </c>
      <c r="L159" s="216">
        <v>45939</v>
      </c>
    </row>
    <row r="160" spans="1:12" ht="15.75" customHeight="1">
      <c r="A160" s="48" t="s">
        <v>94</v>
      </c>
      <c r="B160" s="114" t="str">
        <f>VLOOKUP(A160,'Tabela de Produtos'!A:B,2,0)</f>
        <v>BRAZIMIL LÁTEX ECONÔMICO INT FOSCO 3L VERDE FOLHA</v>
      </c>
      <c r="C160" s="48" t="s">
        <v>1215</v>
      </c>
      <c r="D160" s="114" t="str">
        <f>VLOOKUP(C160,'Custos Matéria Prima Embalagens'!B:C,2,0)</f>
        <v>CALCARIO DOLOMITICO #500 ( SACOS 25 KG)</v>
      </c>
      <c r="E160" s="114" t="str">
        <f>VLOOKUP(C160,'Custos Matéria Prima Embalagens'!B:D,3,0)</f>
        <v>CARBONATO #500</v>
      </c>
      <c r="F160" s="270">
        <f t="shared" si="22"/>
        <v>906.8</v>
      </c>
      <c r="G160" s="148">
        <f t="shared" si="23"/>
        <v>0.1654168504631672</v>
      </c>
      <c r="H160" s="274">
        <v>150</v>
      </c>
      <c r="I160" s="272">
        <f>ROUND(F160/VLOOKUP(A160,'Tabela de Produtos'!A:J,10,0),0)</f>
        <v>714</v>
      </c>
      <c r="J160" s="97">
        <f>IFERROR(VLOOKUP(C160,'Custos Matéria Prima Embalagens'!B:G,6,0)*H160,"Matéria Prima Não Cadastrada")</f>
        <v>120</v>
      </c>
      <c r="K160" s="97">
        <f>IFERROR(J160/(I160/VLOOKUP(A160,'Tabela de Produtos'!A:H,8,0)),"Matéria Prima Não Cadastrada")</f>
        <v>0.50420168067226889</v>
      </c>
      <c r="L160" s="216">
        <v>45939</v>
      </c>
    </row>
    <row r="161" spans="1:12" ht="15.75" customHeight="1">
      <c r="A161" s="48" t="s">
        <v>94</v>
      </c>
      <c r="B161" s="114" t="str">
        <f>VLOOKUP(A161,'Tabela de Produtos'!A:B,2,0)</f>
        <v>BRAZIMIL LÁTEX ECONÔMICO INT FOSCO 3L VERDE FOLHA</v>
      </c>
      <c r="C161" s="48" t="s">
        <v>1217</v>
      </c>
      <c r="D161" s="114" t="str">
        <f>VLOOKUP(C161,'Custos Matéria Prima Embalagens'!B:C,2,0)</f>
        <v>WANCRIL W 51 CE (CT-1000P)</v>
      </c>
      <c r="E161" s="114" t="str">
        <f>VLOOKUP(C161,'Custos Matéria Prima Embalagens'!B:D,3,0)</f>
        <v>RESINA ACRILICA ESTIRENADA</v>
      </c>
      <c r="F161" s="270">
        <f t="shared" si="22"/>
        <v>906.8</v>
      </c>
      <c r="G161" s="148">
        <f t="shared" si="23"/>
        <v>4.4111160123511253E-2</v>
      </c>
      <c r="H161" s="274">
        <v>40</v>
      </c>
      <c r="I161" s="272">
        <f>ROUND(F161/VLOOKUP(A161,'Tabela de Produtos'!A:J,10,0),0)</f>
        <v>714</v>
      </c>
      <c r="J161" s="97">
        <f>IFERROR(VLOOKUP(C161,'Custos Matéria Prima Embalagens'!B:G,6,0)*H161,"Matéria Prima Não Cadastrada")</f>
        <v>337.2</v>
      </c>
      <c r="K161" s="97">
        <f>IFERROR(J161/(I161/VLOOKUP(A161,'Tabela de Produtos'!A:H,8,0)),"Matéria Prima Não Cadastrada")</f>
        <v>1.4168067226890755</v>
      </c>
      <c r="L161" s="216">
        <v>45939</v>
      </c>
    </row>
    <row r="162" spans="1:12" ht="15.75" customHeight="1">
      <c r="A162" s="48" t="s">
        <v>94</v>
      </c>
      <c r="B162" s="114" t="str">
        <f>VLOOKUP(A162,'Tabela de Produtos'!A:B,2,0)</f>
        <v>BRAZIMIL LÁTEX ECONÔMICO INT FOSCO 3L VERDE FOLHA</v>
      </c>
      <c r="C162" s="48" t="s">
        <v>1219</v>
      </c>
      <c r="D162" s="114" t="str">
        <f>VLOOKUP(C162,'Custos Matéria Prima Embalagens'!B:C,2,0)</f>
        <v>WANALK 70 CE (BH-200)</v>
      </c>
      <c r="E162" s="114" t="str">
        <f>VLOOKUP(C162,'Custos Matéria Prima Embalagens'!B:D,3,0)</f>
        <v>ALCALINIZANTE</v>
      </c>
      <c r="F162" s="270">
        <f t="shared" si="22"/>
        <v>906.8</v>
      </c>
      <c r="G162" s="148">
        <f t="shared" si="23"/>
        <v>3.3083370092633437E-3</v>
      </c>
      <c r="H162" s="274">
        <v>3</v>
      </c>
      <c r="I162" s="272">
        <f>ROUND(F162/VLOOKUP(A162,'Tabela de Produtos'!A:J,10,0),0)</f>
        <v>714</v>
      </c>
      <c r="J162" s="97">
        <f>IFERROR(VLOOKUP(C162,'Custos Matéria Prima Embalagens'!B:G,6,0)*H162,"Matéria Prima Não Cadastrada")</f>
        <v>14.940000000000001</v>
      </c>
      <c r="K162" s="97">
        <f>IFERROR(J162/(I162/VLOOKUP(A162,'Tabela de Produtos'!A:H,8,0)),"Matéria Prima Não Cadastrada")</f>
        <v>6.2773109243697486E-2</v>
      </c>
      <c r="L162" s="216">
        <v>45939</v>
      </c>
    </row>
    <row r="163" spans="1:12" ht="15.75" customHeight="1">
      <c r="A163" s="48" t="s">
        <v>94</v>
      </c>
      <c r="B163" s="114" t="str">
        <f>VLOOKUP(A163,'Tabela de Produtos'!A:B,2,0)</f>
        <v>BRAZIMIL LÁTEX ECONÔMICO INT FOSCO 3L VERDE FOLHA</v>
      </c>
      <c r="C163" s="48" t="s">
        <v>1221</v>
      </c>
      <c r="D163" s="114" t="str">
        <f>VLOOKUP(C163,'Custos Matéria Prima Embalagens'!B:C,2,0)</f>
        <v>MODIWAN 105H CE (CT-1000P)</v>
      </c>
      <c r="E163" s="114" t="str">
        <f>VLOOKUP(C163,'Custos Matéria Prima Embalagens'!B:D,3,0)</f>
        <v>ESPESSANTE DE MEDIA</v>
      </c>
      <c r="F163" s="270">
        <f t="shared" si="22"/>
        <v>906.8</v>
      </c>
      <c r="G163" s="148">
        <f t="shared" si="23"/>
        <v>1.7093074547860611E-2</v>
      </c>
      <c r="H163" s="274">
        <v>15.5</v>
      </c>
      <c r="I163" s="272">
        <f>ROUND(F163/VLOOKUP(A163,'Tabela de Produtos'!A:J,10,0),0)</f>
        <v>714</v>
      </c>
      <c r="J163" s="97">
        <f>IFERROR(VLOOKUP(C163,'Custos Matéria Prima Embalagens'!B:G,6,0)*H163,"Matéria Prima Não Cadastrada")</f>
        <v>122.52749999999999</v>
      </c>
      <c r="K163" s="97">
        <f>IFERROR(J163/(I163/VLOOKUP(A163,'Tabela de Produtos'!A:H,8,0)),"Matéria Prima Não Cadastrada")</f>
        <v>0.51482142857142854</v>
      </c>
      <c r="L163" s="216">
        <v>45939</v>
      </c>
    </row>
    <row r="164" spans="1:12" ht="15.75" customHeight="1">
      <c r="A164" s="48" t="s">
        <v>94</v>
      </c>
      <c r="B164" s="114" t="str">
        <f>VLOOKUP(A164,'Tabela de Produtos'!A:B,2,0)</f>
        <v>BRAZIMIL LÁTEX ECONÔMICO INT FOSCO 3L VERDE FOLHA</v>
      </c>
      <c r="C164" s="48" t="s">
        <v>1223</v>
      </c>
      <c r="D164" s="114" t="str">
        <f>VLOOKUP(C164,'Custos Matéria Prima Embalagens'!B:C,2,0)</f>
        <v>TURBOWAN H CE (BH-200)</v>
      </c>
      <c r="E164" s="114" t="str">
        <f>VLOOKUP(C164,'Custos Matéria Prima Embalagens'!B:D,3,0)</f>
        <v>PROMOTOR DE LAVABILIDADE</v>
      </c>
      <c r="F164" s="270">
        <f t="shared" si="22"/>
        <v>906.8</v>
      </c>
      <c r="G164" s="148">
        <f t="shared" si="23"/>
        <v>8.2708425231583591E-3</v>
      </c>
      <c r="H164" s="274">
        <v>7.5</v>
      </c>
      <c r="I164" s="272">
        <f>ROUND(F164/VLOOKUP(A164,'Tabela de Produtos'!A:J,10,0),0)</f>
        <v>714</v>
      </c>
      <c r="J164" s="97">
        <f>IFERROR(VLOOKUP(C164,'Custos Matéria Prima Embalagens'!B:G,6,0)*H164,"Matéria Prima Não Cadastrada")</f>
        <v>36.375</v>
      </c>
      <c r="K164" s="97">
        <f>IFERROR(J164/(I164/VLOOKUP(A164,'Tabela de Produtos'!A:H,8,0)),"Matéria Prima Não Cadastrada")</f>
        <v>0.15283613445378152</v>
      </c>
      <c r="L164" s="216">
        <v>45939</v>
      </c>
    </row>
    <row r="165" spans="1:12" ht="15.75" customHeight="1">
      <c r="A165" s="48" t="s">
        <v>94</v>
      </c>
      <c r="B165" s="114" t="str">
        <f>VLOOKUP(A165,'Tabela de Produtos'!A:B,2,0)</f>
        <v>BRAZIMIL LÁTEX ECONÔMICO INT FOSCO 3L VERDE FOLHA</v>
      </c>
      <c r="C165" s="48" t="s">
        <v>1229</v>
      </c>
      <c r="D165" s="114" t="str">
        <f>VLOOKUP(C165,'Custos Matéria Prima Embalagens'!B:C,2,0)</f>
        <v>WANSOL 340 CE (BB-200)</v>
      </c>
      <c r="E165" s="114" t="str">
        <f>VLOOKUP(C165,'Custos Matéria Prima Embalagens'!B:D,3,0)</f>
        <v>COALESCENTE</v>
      </c>
      <c r="F165" s="270">
        <f t="shared" si="22"/>
        <v>906.8</v>
      </c>
      <c r="G165" s="148">
        <f t="shared" si="23"/>
        <v>5.5138950154389067E-3</v>
      </c>
      <c r="H165" s="274">
        <v>5</v>
      </c>
      <c r="I165" s="272">
        <f>ROUND(F165/VLOOKUP(A165,'Tabela de Produtos'!A:J,10,0),0)</f>
        <v>714</v>
      </c>
      <c r="J165" s="97">
        <f>IFERROR(VLOOKUP(C165,'Custos Matéria Prima Embalagens'!B:G,6,0)*H165,"Matéria Prima Não Cadastrada")</f>
        <v>96.1</v>
      </c>
      <c r="K165" s="97">
        <f>IFERROR(J165/(I165/VLOOKUP(A165,'Tabela de Produtos'!A:H,8,0)),"Matéria Prima Não Cadastrada")</f>
        <v>0.40378151260504197</v>
      </c>
      <c r="L165" s="216">
        <v>45939</v>
      </c>
    </row>
    <row r="166" spans="1:12" ht="15.75" customHeight="1">
      <c r="A166" s="48" t="s">
        <v>94</v>
      </c>
      <c r="B166" s="114" t="str">
        <f>VLOOKUP(A166,'Tabela de Produtos'!A:B,2,0)</f>
        <v>BRAZIMIL LÁTEX ECONÔMICO INT FOSCO 3L VERDE FOLHA</v>
      </c>
      <c r="C166" s="48" t="s">
        <v>1273</v>
      </c>
      <c r="D166" s="114" t="str">
        <f>VLOOKUP(C166,'Custos Matéria Prima Embalagens'!B:C,2,0)</f>
        <v>AMARELO SPECTRA RO</v>
      </c>
      <c r="E166" s="114" t="str">
        <f>VLOOKUP(C166,'Custos Matéria Prima Embalagens'!B:D,3,0)</f>
        <v>AMARELO SPECTRA RO</v>
      </c>
      <c r="F166" s="270">
        <f t="shared" si="22"/>
        <v>906.8</v>
      </c>
      <c r="G166" s="148">
        <f t="shared" si="23"/>
        <v>1.4336127040141158E-3</v>
      </c>
      <c r="H166" s="274">
        <v>1.3</v>
      </c>
      <c r="I166" s="272">
        <f>ROUND(F166/VLOOKUP(A166,'Tabela de Produtos'!A:J,10,0),0)</f>
        <v>714</v>
      </c>
      <c r="J166" s="97">
        <f>IFERROR(VLOOKUP(C166,'Custos Matéria Prima Embalagens'!B:G,6,0)*H166,"Matéria Prima Não Cadastrada")</f>
        <v>20.28</v>
      </c>
      <c r="K166" s="97">
        <f>IFERROR(J166/(I166/VLOOKUP(A166,'Tabela de Produtos'!A:H,8,0)),"Matéria Prima Não Cadastrada")</f>
        <v>8.5210084033613451E-2</v>
      </c>
      <c r="L166" s="216">
        <v>45939</v>
      </c>
    </row>
    <row r="167" spans="1:12" ht="15.75" customHeight="1">
      <c r="A167" s="48" t="s">
        <v>94</v>
      </c>
      <c r="B167" s="114" t="str">
        <f>VLOOKUP(A167,'Tabela de Produtos'!A:B,2,0)</f>
        <v>BRAZIMIL LÁTEX ECONÔMICO INT FOSCO 3L VERDE FOLHA</v>
      </c>
      <c r="C167" s="48" t="s">
        <v>1237</v>
      </c>
      <c r="D167" s="114" t="str">
        <f>VLOOKUP(C167,'Custos Matéria Prima Embalagens'!B:C,2,0)</f>
        <v>VERDE SPECTRAPERSE BLS</v>
      </c>
      <c r="E167" s="114" t="str">
        <f>VLOOKUP(C167,'Custos Matéria Prima Embalagens'!B:D,3,0)</f>
        <v>VERDE SPECTRAPERSE BLS</v>
      </c>
      <c r="F167" s="270">
        <f t="shared" si="22"/>
        <v>906.8</v>
      </c>
      <c r="G167" s="148">
        <f t="shared" si="23"/>
        <v>1.1027790030877813E-2</v>
      </c>
      <c r="H167" s="274">
        <v>10</v>
      </c>
      <c r="I167" s="272">
        <f>ROUND(F167/VLOOKUP(A167,'Tabela de Produtos'!A:J,10,0),0)</f>
        <v>714</v>
      </c>
      <c r="J167" s="97">
        <f>IFERROR(VLOOKUP(C167,'Custos Matéria Prima Embalagens'!B:G,6,0)*H167,"Matéria Prima Não Cadastrada")</f>
        <v>390</v>
      </c>
      <c r="K167" s="97">
        <f>IFERROR(J167/(I167/VLOOKUP(A167,'Tabela de Produtos'!A:H,8,0)),"Matéria Prima Não Cadastrada")</f>
        <v>1.6386554621848739</v>
      </c>
      <c r="L167" s="216">
        <v>45939</v>
      </c>
    </row>
    <row r="168" spans="1:12" ht="15.75" customHeight="1">
      <c r="A168" s="48" t="s">
        <v>94</v>
      </c>
      <c r="B168" s="114" t="str">
        <f>VLOOKUP(A168,'Tabela de Produtos'!A:B,2,0)</f>
        <v>BRAZIMIL LÁTEX ECONÔMICO INT FOSCO 3L VERDE FOLHA</v>
      </c>
      <c r="C168" s="48" t="s">
        <v>1239</v>
      </c>
      <c r="D168" s="114" t="str">
        <f>VLOOKUP(C168,'Custos Matéria Prima Embalagens'!B:C,2,0)</f>
        <v>AMARELO SPECTRAPRINT 2GXH</v>
      </c>
      <c r="E168" s="114" t="str">
        <f>VLOOKUP(C168,'Custos Matéria Prima Embalagens'!B:D,3,0)</f>
        <v>AMARELO SPECTRAPRINT 2GXH</v>
      </c>
      <c r="F168" s="270">
        <f t="shared" si="22"/>
        <v>906.8</v>
      </c>
      <c r="G168" s="148">
        <f t="shared" si="23"/>
        <v>1.1027790030877812E-3</v>
      </c>
      <c r="H168" s="274">
        <v>1</v>
      </c>
      <c r="I168" s="272">
        <f>ROUND(F168/VLOOKUP(A168,'Tabela de Produtos'!A:J,10,0),0)</f>
        <v>714</v>
      </c>
      <c r="J168" s="97">
        <f>IFERROR(VLOOKUP(C168,'Custos Matéria Prima Embalagens'!B:G,6,0)*H168,"Matéria Prima Não Cadastrada")</f>
        <v>21.11</v>
      </c>
      <c r="K168" s="97">
        <f>IFERROR(J168/(I168/VLOOKUP(A168,'Tabela de Produtos'!A:H,8,0)),"Matéria Prima Não Cadastrada")</f>
        <v>8.8697478991596634E-2</v>
      </c>
      <c r="L168" s="216">
        <v>45939</v>
      </c>
    </row>
    <row r="169" spans="1:12" ht="15.75" customHeight="1">
      <c r="A169" s="48" t="s">
        <v>94</v>
      </c>
      <c r="B169" s="114" t="str">
        <f>VLOOKUP(A169,'Tabela de Produtos'!A:B,2,0)</f>
        <v>BRAZIMIL LÁTEX ECONÔMICO INT FOSCO 3L VERDE FOLHA</v>
      </c>
      <c r="C169" s="48" t="s">
        <v>1241</v>
      </c>
      <c r="D169" s="114" t="str">
        <f>VLOOKUP(C169,'Custos Matéria Prima Embalagens'!B:C,2,0)</f>
        <v>AZUL SPECTRAPRINT SRH</v>
      </c>
      <c r="E169" s="114" t="str">
        <f>VLOOKUP(C169,'Custos Matéria Prima Embalagens'!B:D,3,0)</f>
        <v>AZUL SPECTRAPRINT SRH</v>
      </c>
      <c r="F169" s="270">
        <f t="shared" si="22"/>
        <v>906.8</v>
      </c>
      <c r="G169" s="148">
        <f t="shared" si="23"/>
        <v>5.5138950154389062E-4</v>
      </c>
      <c r="H169" s="274">
        <v>0.5</v>
      </c>
      <c r="I169" s="272">
        <f>ROUND(F169/VLOOKUP(A169,'Tabela de Produtos'!A:J,10,0),0)</f>
        <v>714</v>
      </c>
      <c r="J169" s="97">
        <f>IFERROR(VLOOKUP(C169,'Custos Matéria Prima Embalagens'!B:G,6,0)*H169,"Matéria Prima Não Cadastrada")</f>
        <v>15.625</v>
      </c>
      <c r="K169" s="97">
        <f>IFERROR(J169/(I169/VLOOKUP(A169,'Tabela de Produtos'!A:H,8,0)),"Matéria Prima Não Cadastrada")</f>
        <v>6.5651260504201683E-2</v>
      </c>
      <c r="L169" s="216">
        <v>45939</v>
      </c>
    </row>
    <row r="170" spans="1:12" ht="15.75" customHeight="1">
      <c r="D170" s="114"/>
      <c r="E170" s="114"/>
      <c r="F170" s="96"/>
      <c r="G170" s="148"/>
      <c r="H170" s="274"/>
      <c r="I170" s="272"/>
      <c r="J170" s="97"/>
      <c r="K170" s="97"/>
      <c r="L170" s="216">
        <v>45939</v>
      </c>
    </row>
    <row r="171" spans="1:12" ht="15.75" customHeight="1">
      <c r="A171" s="48" t="s">
        <v>95</v>
      </c>
      <c r="B171" s="114" t="str">
        <f>VLOOKUP(A171,'Tabela de Produtos'!A:B,2,0)</f>
        <v>BRAZIMIL LÁTEX ECONÔMICO INT FOSCO 3L AZUL CEU</v>
      </c>
      <c r="C171" s="48" t="s">
        <v>1197</v>
      </c>
      <c r="D171" s="114" t="str">
        <f>VLOOKUP(C171,'Custos Matéria Prima Embalagens'!B:C,2,0)</f>
        <v>AGUA</v>
      </c>
      <c r="E171" s="114" t="str">
        <f>VLOOKUP(C171,'Custos Matéria Prima Embalagens'!B:D,3,0)</f>
        <v>AGUA</v>
      </c>
      <c r="F171" s="270">
        <f t="shared" ref="F171:F185" si="24">SUMIFS(H:H,A:A,A171)</f>
        <v>909.80799999999999</v>
      </c>
      <c r="G171" s="148">
        <f t="shared" ref="G171:G185" si="25">H171/F171</f>
        <v>0.50560118178780578</v>
      </c>
      <c r="H171" s="274">
        <v>460</v>
      </c>
      <c r="I171" s="272">
        <f>ROUND(F171/VLOOKUP(A171,'Tabela de Produtos'!A:J,10,0),0)</f>
        <v>716</v>
      </c>
      <c r="J171" s="97">
        <f>IFERROR(VLOOKUP(C171,'Custos Matéria Prima Embalagens'!B:G,6,0)*H171,"Matéria Prima Não Cadastrada")</f>
        <v>0</v>
      </c>
      <c r="K171" s="97">
        <f>IFERROR(J171/(I171/VLOOKUP(A171,'Tabela de Produtos'!A:H,8,0)),"Matéria Prima Não Cadastrada")</f>
        <v>0</v>
      </c>
      <c r="L171" s="216">
        <v>45939</v>
      </c>
    </row>
    <row r="172" spans="1:12" ht="15.75" customHeight="1">
      <c r="A172" s="48" t="s">
        <v>95</v>
      </c>
      <c r="B172" s="114" t="str">
        <f>VLOOKUP(A172,'Tabela de Produtos'!A:B,2,0)</f>
        <v>BRAZIMIL LÁTEX ECONÔMICO INT FOSCO 3L AZUL CEU</v>
      </c>
      <c r="C172" s="48" t="s">
        <v>1201</v>
      </c>
      <c r="D172" s="114" t="str">
        <f>VLOOKUP(C172,'Custos Matéria Prima Embalagens'!B:C,2,0)</f>
        <v>WANFOAM 528 CE (BB-190)</v>
      </c>
      <c r="E172" s="114" t="str">
        <f>VLOOKUP(C172,'Custos Matéria Prima Embalagens'!B:D,3,0)</f>
        <v>ANTI ESPUMA LATEX</v>
      </c>
      <c r="F172" s="270">
        <f t="shared" si="24"/>
        <v>909.80799999999999</v>
      </c>
      <c r="G172" s="148">
        <f t="shared" si="25"/>
        <v>2.7478325097163359E-3</v>
      </c>
      <c r="H172" s="274">
        <v>2.5</v>
      </c>
      <c r="I172" s="272">
        <f>ROUND(F172/VLOOKUP(A172,'Tabela de Produtos'!A:J,10,0),0)</f>
        <v>716</v>
      </c>
      <c r="J172" s="97">
        <f>IFERROR(VLOOKUP(C172,'Custos Matéria Prima Embalagens'!B:G,6,0)*H172,"Matéria Prima Não Cadastrada")</f>
        <v>17.95</v>
      </c>
      <c r="K172" s="97">
        <f>IFERROR(J172/(I172/VLOOKUP(A172,'Tabela de Produtos'!A:H,8,0)),"Matéria Prima Não Cadastrada")</f>
        <v>7.5209497206703904E-2</v>
      </c>
      <c r="L172" s="216">
        <v>45939</v>
      </c>
    </row>
    <row r="173" spans="1:12" ht="15.75" customHeight="1">
      <c r="A173" s="48" t="s">
        <v>95</v>
      </c>
      <c r="B173" s="114" t="str">
        <f>VLOOKUP(A173,'Tabela de Produtos'!A:B,2,0)</f>
        <v>BRAZIMIL LÁTEX ECONÔMICO INT FOSCO 3L AZUL CEU</v>
      </c>
      <c r="C173" s="48" t="s">
        <v>1203</v>
      </c>
      <c r="D173" s="114" t="str">
        <f>VLOOKUP(C173,'Custos Matéria Prima Embalagens'!B:C,2,0)</f>
        <v>WANBAC WBT CE (BH-200)</v>
      </c>
      <c r="E173" s="114" t="str">
        <f>VLOOKUP(C173,'Custos Matéria Prima Embalagens'!B:D,3,0)</f>
        <v>BACTERICIDA</v>
      </c>
      <c r="F173" s="270">
        <f t="shared" si="24"/>
        <v>909.80799999999999</v>
      </c>
      <c r="G173" s="148">
        <f t="shared" si="25"/>
        <v>3.2973990116596029E-3</v>
      </c>
      <c r="H173" s="274">
        <v>3</v>
      </c>
      <c r="I173" s="272">
        <f>ROUND(F173/VLOOKUP(A173,'Tabela de Produtos'!A:J,10,0),0)</f>
        <v>716</v>
      </c>
      <c r="J173" s="97">
        <f>IFERROR(VLOOKUP(C173,'Custos Matéria Prima Embalagens'!B:G,6,0)*H173,"Matéria Prima Não Cadastrada")</f>
        <v>14.819999999999999</v>
      </c>
      <c r="K173" s="97">
        <f>IFERROR(J173/(I173/VLOOKUP(A173,'Tabela de Produtos'!A:H,8,0)),"Matéria Prima Não Cadastrada")</f>
        <v>6.2094972067039102E-2</v>
      </c>
      <c r="L173" s="216">
        <v>45939</v>
      </c>
    </row>
    <row r="174" spans="1:12" ht="15.75" customHeight="1">
      <c r="A174" s="48" t="s">
        <v>95</v>
      </c>
      <c r="B174" s="114" t="str">
        <f>VLOOKUP(A174,'Tabela de Produtos'!A:B,2,0)</f>
        <v>BRAZIMIL LÁTEX ECONÔMICO INT FOSCO 3L AZUL CEU</v>
      </c>
      <c r="C174" s="48" t="s">
        <v>1205</v>
      </c>
      <c r="D174" s="114" t="str">
        <f>VLOOKUP(C174,'Custos Matéria Prima Embalagens'!B:C,2,0)</f>
        <v>WANSUR 840 CE (BB-200)01</v>
      </c>
      <c r="E174" s="114" t="str">
        <f>VLOOKUP(C174,'Custos Matéria Prima Embalagens'!B:D,3,0)</f>
        <v>UMECTANTE</v>
      </c>
      <c r="F174" s="270">
        <f t="shared" si="24"/>
        <v>909.80799999999999</v>
      </c>
      <c r="G174" s="148">
        <f t="shared" si="25"/>
        <v>2.1982660077730686E-3</v>
      </c>
      <c r="H174" s="274">
        <v>2</v>
      </c>
      <c r="I174" s="272">
        <f>ROUND(F174/VLOOKUP(A174,'Tabela de Produtos'!A:J,10,0),0)</f>
        <v>716</v>
      </c>
      <c r="J174" s="97">
        <f>IFERROR(VLOOKUP(C174,'Custos Matéria Prima Embalagens'!B:G,6,0)*H174,"Matéria Prima Não Cadastrada")</f>
        <v>14.66</v>
      </c>
      <c r="K174" s="97">
        <f>IFERROR(J174/(I174/VLOOKUP(A174,'Tabela de Produtos'!A:H,8,0)),"Matéria Prima Não Cadastrada")</f>
        <v>6.1424581005586593E-2</v>
      </c>
      <c r="L174" s="216">
        <v>45939</v>
      </c>
    </row>
    <row r="175" spans="1:12" ht="15.75" customHeight="1">
      <c r="A175" s="48" t="s">
        <v>95</v>
      </c>
      <c r="B175" s="114" t="str">
        <f>VLOOKUP(A175,'Tabela de Produtos'!A:B,2,0)</f>
        <v>BRAZIMIL LÁTEX ECONÔMICO INT FOSCO 3L AZUL CEU</v>
      </c>
      <c r="C175" s="48" t="s">
        <v>1207</v>
      </c>
      <c r="D175" s="114" t="str">
        <f>VLOOKUP(C175,'Custos Matéria Prima Embalagens'!B:C,2,0)</f>
        <v>WANPEX 1510 (BB-200)</v>
      </c>
      <c r="E175" s="114" t="str">
        <f>VLOOKUP(C175,'Custos Matéria Prima Embalagens'!B:D,3,0)</f>
        <v>DISPERSANTE LATEX</v>
      </c>
      <c r="F175" s="270">
        <f t="shared" si="24"/>
        <v>909.80799999999999</v>
      </c>
      <c r="G175" s="148">
        <f t="shared" si="25"/>
        <v>3.2973990116596029E-3</v>
      </c>
      <c r="H175" s="274">
        <v>3</v>
      </c>
      <c r="I175" s="272">
        <f>ROUND(F175/VLOOKUP(A175,'Tabela de Produtos'!A:J,10,0),0)</f>
        <v>716</v>
      </c>
      <c r="J175" s="97">
        <f>IFERROR(VLOOKUP(C175,'Custos Matéria Prima Embalagens'!B:G,6,0)*H175,"Matéria Prima Não Cadastrada")</f>
        <v>20.58</v>
      </c>
      <c r="K175" s="97">
        <f>IFERROR(J175/(I175/VLOOKUP(A175,'Tabela de Produtos'!A:H,8,0)),"Matéria Prima Não Cadastrada")</f>
        <v>8.6229050279329603E-2</v>
      </c>
      <c r="L175" s="216">
        <v>45939</v>
      </c>
    </row>
    <row r="176" spans="1:12" ht="15.75" customHeight="1">
      <c r="A176" s="48" t="s">
        <v>95</v>
      </c>
      <c r="B176" s="114" t="str">
        <f>VLOOKUP(A176,'Tabela de Produtos'!A:B,2,0)</f>
        <v>BRAZIMIL LÁTEX ECONÔMICO INT FOSCO 3L AZUL CEU</v>
      </c>
      <c r="C176" s="48" t="s">
        <v>1209</v>
      </c>
      <c r="D176" s="114" t="str">
        <f>VLOOKUP(C176,'Custos Matéria Prima Embalagens'!B:C,2,0)</f>
        <v>WANFUNG WFT CE (BH-200)</v>
      </c>
      <c r="E176" s="114" t="str">
        <f>VLOOKUP(C176,'Custos Matéria Prima Embalagens'!B:D,3,0)</f>
        <v>FUNGICIDA</v>
      </c>
      <c r="F176" s="270">
        <f t="shared" si="24"/>
        <v>909.80799999999999</v>
      </c>
      <c r="G176" s="148">
        <f t="shared" si="25"/>
        <v>2.7478325097163359E-3</v>
      </c>
      <c r="H176" s="274">
        <v>2.5</v>
      </c>
      <c r="I176" s="272">
        <f>ROUND(F176/VLOOKUP(A176,'Tabela de Produtos'!A:J,10,0),0)</f>
        <v>716</v>
      </c>
      <c r="J176" s="97">
        <f>IFERROR(VLOOKUP(C176,'Custos Matéria Prima Embalagens'!B:G,6,0)*H176,"Matéria Prima Não Cadastrada")</f>
        <v>17.5</v>
      </c>
      <c r="K176" s="97">
        <f>IFERROR(J176/(I176/VLOOKUP(A176,'Tabela de Produtos'!A:H,8,0)),"Matéria Prima Não Cadastrada")</f>
        <v>7.3324022346368714E-2</v>
      </c>
      <c r="L176" s="216">
        <v>45939</v>
      </c>
    </row>
    <row r="177" spans="1:12" ht="15.75" customHeight="1">
      <c r="A177" s="48" t="s">
        <v>95</v>
      </c>
      <c r="B177" s="114" t="str">
        <f>VLOOKUP(A177,'Tabela de Produtos'!A:B,2,0)</f>
        <v>BRAZIMIL LÁTEX ECONÔMICO INT FOSCO 3L AZUL CEU</v>
      </c>
      <c r="C177" s="48" t="s">
        <v>1215</v>
      </c>
      <c r="D177" s="114" t="str">
        <f>VLOOKUP(C177,'Custos Matéria Prima Embalagens'!B:C,2,0)</f>
        <v>CALCARIO DOLOMITICO #500 ( SACOS 25 KG)</v>
      </c>
      <c r="E177" s="114" t="str">
        <f>VLOOKUP(C177,'Custos Matéria Prima Embalagens'!B:D,3,0)</f>
        <v>CARBONATO #500</v>
      </c>
      <c r="F177" s="270">
        <f t="shared" si="24"/>
        <v>909.80799999999999</v>
      </c>
      <c r="G177" s="148">
        <f t="shared" si="25"/>
        <v>5.4956650194326717E-2</v>
      </c>
      <c r="H177" s="274">
        <v>50</v>
      </c>
      <c r="I177" s="272">
        <f>ROUND(F177/VLOOKUP(A177,'Tabela de Produtos'!A:J,10,0),0)</f>
        <v>716</v>
      </c>
      <c r="J177" s="97">
        <f>IFERROR(VLOOKUP(C177,'Custos Matéria Prima Embalagens'!B:G,6,0)*H177,"Matéria Prima Não Cadastrada")</f>
        <v>40</v>
      </c>
      <c r="K177" s="97">
        <f>IFERROR(J177/(I177/VLOOKUP(A177,'Tabela de Produtos'!A:H,8,0)),"Matéria Prima Não Cadastrada")</f>
        <v>0.16759776536312851</v>
      </c>
      <c r="L177" s="216">
        <v>45939</v>
      </c>
    </row>
    <row r="178" spans="1:12" ht="15.75" customHeight="1">
      <c r="A178" s="48" t="s">
        <v>95</v>
      </c>
      <c r="B178" s="114" t="str">
        <f>VLOOKUP(A178,'Tabela de Produtos'!A:B,2,0)</f>
        <v>BRAZIMIL LÁTEX ECONÔMICO INT FOSCO 3L AZUL CEU</v>
      </c>
      <c r="C178" s="48" t="s">
        <v>1227</v>
      </c>
      <c r="D178" s="114" t="str">
        <f>VLOOKUP(C178,'Custos Matéria Prima Embalagens'!B:C,2,0)</f>
        <v>CAULIM MALHA 325</v>
      </c>
      <c r="E178" s="114" t="str">
        <f>VLOOKUP(C178,'Custos Matéria Prima Embalagens'!B:D,3,0)</f>
        <v>caulim</v>
      </c>
      <c r="F178" s="270">
        <f t="shared" si="24"/>
        <v>909.80799999999999</v>
      </c>
      <c r="G178" s="148">
        <f t="shared" si="25"/>
        <v>0.35721822626312366</v>
      </c>
      <c r="H178" s="274">
        <v>325</v>
      </c>
      <c r="I178" s="272">
        <f>ROUND(F178/VLOOKUP(A178,'Tabela de Produtos'!A:J,10,0),0)</f>
        <v>716</v>
      </c>
      <c r="J178" s="97">
        <f>IFERROR(VLOOKUP(C178,'Custos Matéria Prima Embalagens'!B:G,6,0)*H178,"Matéria Prima Não Cadastrada")</f>
        <v>494.16105555555538</v>
      </c>
      <c r="K178" s="97">
        <f>IFERROR(J178/(I178/VLOOKUP(A178,'Tabela de Produtos'!A:H,8,0)),"Matéria Prima Não Cadastrada")</f>
        <v>2.0705072160148967</v>
      </c>
      <c r="L178" s="216">
        <v>45939</v>
      </c>
    </row>
    <row r="179" spans="1:12" ht="15.75" customHeight="1">
      <c r="A179" s="48" t="s">
        <v>95</v>
      </c>
      <c r="B179" s="114" t="str">
        <f>VLOOKUP(A179,'Tabela de Produtos'!A:B,2,0)</f>
        <v>BRAZIMIL LÁTEX ECONÔMICO INT FOSCO 3L AZUL CEU</v>
      </c>
      <c r="C179" s="48" t="s">
        <v>1217</v>
      </c>
      <c r="D179" s="114" t="str">
        <f>VLOOKUP(C179,'Custos Matéria Prima Embalagens'!B:C,2,0)</f>
        <v>WANCRIL W 51 CE (CT-1000P)</v>
      </c>
      <c r="E179" s="114" t="str">
        <f>VLOOKUP(C179,'Custos Matéria Prima Embalagens'!B:D,3,0)</f>
        <v>RESINA ACRILICA ESTIRENADA</v>
      </c>
      <c r="F179" s="270">
        <f t="shared" si="24"/>
        <v>909.80799999999999</v>
      </c>
      <c r="G179" s="148">
        <f t="shared" si="25"/>
        <v>3.2973990116596026E-2</v>
      </c>
      <c r="H179" s="274">
        <v>30</v>
      </c>
      <c r="I179" s="272">
        <f>ROUND(F179/VLOOKUP(A179,'Tabela de Produtos'!A:J,10,0),0)</f>
        <v>716</v>
      </c>
      <c r="J179" s="97">
        <f>IFERROR(VLOOKUP(C179,'Custos Matéria Prima Embalagens'!B:G,6,0)*H179,"Matéria Prima Não Cadastrada")</f>
        <v>252.89999999999998</v>
      </c>
      <c r="K179" s="97">
        <f>IFERROR(J179/(I179/VLOOKUP(A179,'Tabela de Produtos'!A:H,8,0)),"Matéria Prima Não Cadastrada")</f>
        <v>1.0596368715083799</v>
      </c>
      <c r="L179" s="216">
        <v>45939</v>
      </c>
    </row>
    <row r="180" spans="1:12" ht="15.75" customHeight="1">
      <c r="A180" s="48" t="s">
        <v>95</v>
      </c>
      <c r="B180" s="114" t="str">
        <f>VLOOKUP(A180,'Tabela de Produtos'!A:B,2,0)</f>
        <v>BRAZIMIL LÁTEX ECONÔMICO INT FOSCO 3L AZUL CEU</v>
      </c>
      <c r="C180" s="48" t="s">
        <v>1219</v>
      </c>
      <c r="D180" s="114" t="str">
        <f>VLOOKUP(C180,'Custos Matéria Prima Embalagens'!B:C,2,0)</f>
        <v>WANALK 70 CE (BH-200)</v>
      </c>
      <c r="E180" s="114" t="str">
        <f>VLOOKUP(C180,'Custos Matéria Prima Embalagens'!B:D,3,0)</f>
        <v>ALCALINIZANTE</v>
      </c>
      <c r="F180" s="270">
        <f t="shared" si="24"/>
        <v>909.80799999999999</v>
      </c>
      <c r="G180" s="148">
        <f t="shared" si="25"/>
        <v>3.2973990116596029E-3</v>
      </c>
      <c r="H180" s="274">
        <v>3</v>
      </c>
      <c r="I180" s="272">
        <f>ROUND(F180/VLOOKUP(A180,'Tabela de Produtos'!A:J,10,0),0)</f>
        <v>716</v>
      </c>
      <c r="J180" s="97">
        <f>IFERROR(VLOOKUP(C180,'Custos Matéria Prima Embalagens'!B:G,6,0)*H180,"Matéria Prima Não Cadastrada")</f>
        <v>14.940000000000001</v>
      </c>
      <c r="K180" s="97">
        <f>IFERROR(J180/(I180/VLOOKUP(A180,'Tabela de Produtos'!A:H,8,0)),"Matéria Prima Não Cadastrada")</f>
        <v>6.2597765363128499E-2</v>
      </c>
      <c r="L180" s="216">
        <v>45939</v>
      </c>
    </row>
    <row r="181" spans="1:12" ht="15.75" customHeight="1">
      <c r="A181" s="48" t="s">
        <v>95</v>
      </c>
      <c r="B181" s="114" t="str">
        <f>VLOOKUP(A181,'Tabela de Produtos'!A:B,2,0)</f>
        <v>BRAZIMIL LÁTEX ECONÔMICO INT FOSCO 3L AZUL CEU</v>
      </c>
      <c r="C181" s="48" t="s">
        <v>1221</v>
      </c>
      <c r="D181" s="114" t="str">
        <f>VLOOKUP(C181,'Custos Matéria Prima Embalagens'!B:C,2,0)</f>
        <v>MODIWAN 105H CE (CT-1000P)</v>
      </c>
      <c r="E181" s="114" t="str">
        <f>VLOOKUP(C181,'Custos Matéria Prima Embalagens'!B:D,3,0)</f>
        <v>ESPESSANTE DE MEDIA</v>
      </c>
      <c r="F181" s="270">
        <f t="shared" si="24"/>
        <v>909.80799999999999</v>
      </c>
      <c r="G181" s="148">
        <f t="shared" si="25"/>
        <v>1.7036561560241283E-2</v>
      </c>
      <c r="H181" s="274">
        <v>15.5</v>
      </c>
      <c r="I181" s="272">
        <f>ROUND(F181/VLOOKUP(A181,'Tabela de Produtos'!A:J,10,0),0)</f>
        <v>716</v>
      </c>
      <c r="J181" s="97">
        <f>IFERROR(VLOOKUP(C181,'Custos Matéria Prima Embalagens'!B:G,6,0)*H181,"Matéria Prima Não Cadastrada")</f>
        <v>122.52749999999999</v>
      </c>
      <c r="K181" s="97">
        <f>IFERROR(J181/(I181/VLOOKUP(A181,'Tabela de Produtos'!A:H,8,0)),"Matéria Prima Não Cadastrada")</f>
        <v>0.5133833798882681</v>
      </c>
      <c r="L181" s="216">
        <v>45939</v>
      </c>
    </row>
    <row r="182" spans="1:12" ht="15.75" customHeight="1">
      <c r="A182" s="48" t="s">
        <v>95</v>
      </c>
      <c r="B182" s="114" t="str">
        <f>VLOOKUP(A182,'Tabela de Produtos'!A:B,2,0)</f>
        <v>BRAZIMIL LÁTEX ECONÔMICO INT FOSCO 3L AZUL CEU</v>
      </c>
      <c r="C182" s="48" t="s">
        <v>1223</v>
      </c>
      <c r="D182" s="114" t="str">
        <f>VLOOKUP(C182,'Custos Matéria Prima Embalagens'!B:C,2,0)</f>
        <v>TURBOWAN H CE (BH-200)</v>
      </c>
      <c r="E182" s="114" t="str">
        <f>VLOOKUP(C182,'Custos Matéria Prima Embalagens'!B:D,3,0)</f>
        <v>PROMOTOR DE LAVABILIDADE</v>
      </c>
      <c r="F182" s="270">
        <f t="shared" si="24"/>
        <v>909.80799999999999</v>
      </c>
      <c r="G182" s="148">
        <f t="shared" si="25"/>
        <v>8.2434975291490065E-3</v>
      </c>
      <c r="H182" s="274">
        <v>7.5</v>
      </c>
      <c r="I182" s="272">
        <f>ROUND(F182/VLOOKUP(A182,'Tabela de Produtos'!A:J,10,0),0)</f>
        <v>716</v>
      </c>
      <c r="J182" s="97">
        <f>IFERROR(VLOOKUP(C182,'Custos Matéria Prima Embalagens'!B:G,6,0)*H182,"Matéria Prima Não Cadastrada")</f>
        <v>36.375</v>
      </c>
      <c r="K182" s="97">
        <f>IFERROR(J182/(I182/VLOOKUP(A182,'Tabela de Produtos'!A:H,8,0)),"Matéria Prima Não Cadastrada")</f>
        <v>0.15240921787709497</v>
      </c>
      <c r="L182" s="216">
        <v>45939</v>
      </c>
    </row>
    <row r="183" spans="1:12" ht="15.75" customHeight="1">
      <c r="A183" s="48" t="s">
        <v>95</v>
      </c>
      <c r="B183" s="114" t="str">
        <f>VLOOKUP(A183,'Tabela de Produtos'!A:B,2,0)</f>
        <v>BRAZIMIL LÁTEX ECONÔMICO INT FOSCO 3L AZUL CEU</v>
      </c>
      <c r="C183" s="48" t="s">
        <v>1229</v>
      </c>
      <c r="D183" s="114" t="str">
        <f>VLOOKUP(C183,'Custos Matéria Prima Embalagens'!B:C,2,0)</f>
        <v>WANSOL 340 CE (BB-200)</v>
      </c>
      <c r="E183" s="114" t="str">
        <f>VLOOKUP(C183,'Custos Matéria Prima Embalagens'!B:D,3,0)</f>
        <v>COALESCENTE</v>
      </c>
      <c r="F183" s="270">
        <f t="shared" si="24"/>
        <v>909.80799999999999</v>
      </c>
      <c r="G183" s="148">
        <f t="shared" si="25"/>
        <v>5.4956650194326719E-3</v>
      </c>
      <c r="H183" s="274">
        <v>5</v>
      </c>
      <c r="I183" s="272">
        <f>ROUND(F183/VLOOKUP(A183,'Tabela de Produtos'!A:J,10,0),0)</f>
        <v>716</v>
      </c>
      <c r="J183" s="97">
        <f>IFERROR(VLOOKUP(C183,'Custos Matéria Prima Embalagens'!B:G,6,0)*H183,"Matéria Prima Não Cadastrada")</f>
        <v>96.1</v>
      </c>
      <c r="K183" s="97">
        <f>IFERROR(J183/(I183/VLOOKUP(A183,'Tabela de Produtos'!A:H,8,0)),"Matéria Prima Não Cadastrada")</f>
        <v>0.40265363128491621</v>
      </c>
      <c r="L183" s="216">
        <v>45939</v>
      </c>
    </row>
    <row r="184" spans="1:12" ht="15.75" customHeight="1">
      <c r="A184" s="48" t="s">
        <v>95</v>
      </c>
      <c r="B184" s="114" t="str">
        <f>VLOOKUP(A184,'Tabela de Produtos'!A:B,2,0)</f>
        <v>BRAZIMIL LÁTEX ECONÔMICO INT FOSCO 3L AZUL CEU</v>
      </c>
      <c r="C184" s="48" t="s">
        <v>1241</v>
      </c>
      <c r="D184" s="114" t="str">
        <f>VLOOKUP(C184,'Custos Matéria Prima Embalagens'!B:C,2,0)</f>
        <v>AZUL SPECTRAPRINT SRH</v>
      </c>
      <c r="E184" s="114" t="str">
        <f>VLOOKUP(C184,'Custos Matéria Prima Embalagens'!B:D,3,0)</f>
        <v>AZUL SPECTRAPRINT SRH</v>
      </c>
      <c r="F184" s="270">
        <f t="shared" si="24"/>
        <v>909.80799999999999</v>
      </c>
      <c r="G184" s="148">
        <f t="shared" si="25"/>
        <v>8.7930640310922748E-4</v>
      </c>
      <c r="H184" s="274">
        <v>0.8</v>
      </c>
      <c r="I184" s="272">
        <f>ROUND(F184/VLOOKUP(A184,'Tabela de Produtos'!A:J,10,0),0)</f>
        <v>716</v>
      </c>
      <c r="J184" s="97">
        <f>IFERROR(VLOOKUP(C184,'Custos Matéria Prima Embalagens'!B:G,6,0)*H184,"Matéria Prima Não Cadastrada")</f>
        <v>25</v>
      </c>
      <c r="K184" s="97">
        <f>IFERROR(J184/(I184/VLOOKUP(A184,'Tabela de Produtos'!A:H,8,0)),"Matéria Prima Não Cadastrada")</f>
        <v>0.10474860335195531</v>
      </c>
      <c r="L184" s="216">
        <v>45939</v>
      </c>
    </row>
    <row r="185" spans="1:12" ht="15.75" customHeight="1">
      <c r="A185" s="48" t="s">
        <v>95</v>
      </c>
      <c r="B185" s="114" t="str">
        <f>VLOOKUP(A185,'Tabela de Produtos'!A:B,2,0)</f>
        <v>BRAZIMIL LÁTEX ECONÔMICO INT FOSCO 3L AZUL CEU</v>
      </c>
      <c r="C185" s="48" t="s">
        <v>1237</v>
      </c>
      <c r="D185" s="114" t="str">
        <f>VLOOKUP(C185,'Custos Matéria Prima Embalagens'!B:C,2,0)</f>
        <v>VERDE SPECTRAPERSE BLS</v>
      </c>
      <c r="E185" s="114" t="str">
        <f>VLOOKUP(C185,'Custos Matéria Prima Embalagens'!B:D,3,0)</f>
        <v>VERDE SPECTRAPERSE BLS</v>
      </c>
      <c r="F185" s="270">
        <f t="shared" si="24"/>
        <v>909.80799999999999</v>
      </c>
      <c r="G185" s="148">
        <f t="shared" si="25"/>
        <v>8.7930640310922743E-6</v>
      </c>
      <c r="H185" s="274">
        <v>8.0000000000000002E-3</v>
      </c>
      <c r="I185" s="272">
        <f>ROUND(F185/VLOOKUP(A185,'Tabela de Produtos'!A:J,10,0),0)</f>
        <v>716</v>
      </c>
      <c r="J185" s="97">
        <f>IFERROR(VLOOKUP(C185,'Custos Matéria Prima Embalagens'!B:G,6,0)*H185,"Matéria Prima Não Cadastrada")</f>
        <v>0.312</v>
      </c>
      <c r="K185" s="97">
        <f>IFERROR(J185/(I185/VLOOKUP(A185,'Tabela de Produtos'!A:H,8,0)),"Matéria Prima Não Cadastrada")</f>
        <v>1.3072625698324022E-3</v>
      </c>
      <c r="L185" s="216">
        <v>45939</v>
      </c>
    </row>
    <row r="186" spans="1:12" ht="15.75" customHeight="1">
      <c r="D186" s="114"/>
      <c r="E186" s="114"/>
      <c r="F186" s="96"/>
      <c r="G186" s="148"/>
      <c r="H186" s="274"/>
      <c r="I186" s="272"/>
      <c r="J186" s="97"/>
      <c r="K186" s="97"/>
      <c r="L186" s="216">
        <v>45939</v>
      </c>
    </row>
    <row r="187" spans="1:12" ht="15.75" customHeight="1">
      <c r="A187" s="48" t="s">
        <v>96</v>
      </c>
      <c r="B187" s="114" t="str">
        <f>VLOOKUP(A187,'Tabela de Produtos'!A:B,2,0)</f>
        <v>BRAZIMIL LÁTEX ECONÔMICO INT FOSCO 3L AZUL OCEANO</v>
      </c>
      <c r="C187" s="48" t="s">
        <v>1197</v>
      </c>
      <c r="D187" s="114" t="str">
        <f>VLOOKUP(C187,'Custos Matéria Prima Embalagens'!B:C,2,0)</f>
        <v>AGUA</v>
      </c>
      <c r="E187" s="114" t="str">
        <f>VLOOKUP(C187,'Custos Matéria Prima Embalagens'!B:D,3,0)</f>
        <v>AGUA</v>
      </c>
      <c r="F187" s="270">
        <f t="shared" ref="F187:F201" si="26">SUMIFS(H:H,A:A,A187)</f>
        <v>922.8</v>
      </c>
      <c r="G187" s="148">
        <f t="shared" ref="G187:G201" si="27">H187/F187</f>
        <v>0.49848287819679238</v>
      </c>
      <c r="H187" s="274">
        <v>460</v>
      </c>
      <c r="I187" s="272">
        <f>ROUND(F187/VLOOKUP(A187,'Tabela de Produtos'!A:J,10,0),0)</f>
        <v>727</v>
      </c>
      <c r="J187" s="97">
        <f>IFERROR(VLOOKUP(C187,'Custos Matéria Prima Embalagens'!B:G,6,0)*H187,"Matéria Prima Não Cadastrada")</f>
        <v>0</v>
      </c>
      <c r="K187" s="97">
        <f>IFERROR(J187/(I187/VLOOKUP(A187,'Tabela de Produtos'!A:H,8,0)),"Matéria Prima Não Cadastrada")</f>
        <v>0</v>
      </c>
      <c r="L187" s="216">
        <v>45939</v>
      </c>
    </row>
    <row r="188" spans="1:12" ht="15.75" customHeight="1">
      <c r="A188" s="48" t="s">
        <v>96</v>
      </c>
      <c r="B188" s="114" t="str">
        <f>VLOOKUP(A188,'Tabela de Produtos'!A:B,2,0)</f>
        <v>BRAZIMIL LÁTEX ECONÔMICO INT FOSCO 3L AZUL OCEANO</v>
      </c>
      <c r="C188" s="48" t="s">
        <v>1201</v>
      </c>
      <c r="D188" s="114" t="str">
        <f>VLOOKUP(C188,'Custos Matéria Prima Embalagens'!B:C,2,0)</f>
        <v>WANFOAM 528 CE (BB-190)</v>
      </c>
      <c r="E188" s="114" t="str">
        <f>VLOOKUP(C188,'Custos Matéria Prima Embalagens'!B:D,3,0)</f>
        <v>ANTI ESPUMA LATEX</v>
      </c>
      <c r="F188" s="270">
        <f t="shared" si="26"/>
        <v>922.8</v>
      </c>
      <c r="G188" s="148">
        <f t="shared" si="27"/>
        <v>2.7091460771564804E-3</v>
      </c>
      <c r="H188" s="274">
        <v>2.5</v>
      </c>
      <c r="I188" s="272">
        <f>ROUND(F188/VLOOKUP(A188,'Tabela de Produtos'!A:J,10,0),0)</f>
        <v>727</v>
      </c>
      <c r="J188" s="97">
        <f>IFERROR(VLOOKUP(C188,'Custos Matéria Prima Embalagens'!B:G,6,0)*H188,"Matéria Prima Não Cadastrada")</f>
        <v>17.95</v>
      </c>
      <c r="K188" s="97">
        <f>IFERROR(J188/(I188/VLOOKUP(A188,'Tabela de Produtos'!A:H,8,0)),"Matéria Prima Não Cadastrada")</f>
        <v>7.4071526822558451E-2</v>
      </c>
      <c r="L188" s="216">
        <v>45939</v>
      </c>
    </row>
    <row r="189" spans="1:12" ht="15.75" customHeight="1">
      <c r="A189" s="48" t="s">
        <v>96</v>
      </c>
      <c r="B189" s="114" t="str">
        <f>VLOOKUP(A189,'Tabela de Produtos'!A:B,2,0)</f>
        <v>BRAZIMIL LÁTEX ECONÔMICO INT FOSCO 3L AZUL OCEANO</v>
      </c>
      <c r="C189" s="48" t="s">
        <v>1203</v>
      </c>
      <c r="D189" s="114" t="str">
        <f>VLOOKUP(C189,'Custos Matéria Prima Embalagens'!B:C,2,0)</f>
        <v>WANBAC WBT CE (BH-200)</v>
      </c>
      <c r="E189" s="114" t="str">
        <f>VLOOKUP(C189,'Custos Matéria Prima Embalagens'!B:D,3,0)</f>
        <v>BACTERICIDA</v>
      </c>
      <c r="F189" s="270">
        <f t="shared" si="26"/>
        <v>922.8</v>
      </c>
      <c r="G189" s="148">
        <f t="shared" si="27"/>
        <v>3.2509752925877766E-3</v>
      </c>
      <c r="H189" s="274">
        <v>3</v>
      </c>
      <c r="I189" s="272">
        <f>ROUND(F189/VLOOKUP(A189,'Tabela de Produtos'!A:J,10,0),0)</f>
        <v>727</v>
      </c>
      <c r="J189" s="97">
        <f>IFERROR(VLOOKUP(C189,'Custos Matéria Prima Embalagens'!B:G,6,0)*H189,"Matéria Prima Não Cadastrada")</f>
        <v>14.819999999999999</v>
      </c>
      <c r="K189" s="97">
        <f>IFERROR(J189/(I189/VLOOKUP(A189,'Tabela de Produtos'!A:H,8,0)),"Matéria Prima Não Cadastrada")</f>
        <v>6.1155433287482797E-2</v>
      </c>
      <c r="L189" s="216">
        <v>45939</v>
      </c>
    </row>
    <row r="190" spans="1:12" ht="15.75" customHeight="1">
      <c r="A190" s="48" t="s">
        <v>96</v>
      </c>
      <c r="B190" s="114" t="str">
        <f>VLOOKUP(A190,'Tabela de Produtos'!A:B,2,0)</f>
        <v>BRAZIMIL LÁTEX ECONÔMICO INT FOSCO 3L AZUL OCEANO</v>
      </c>
      <c r="C190" s="48" t="s">
        <v>1205</v>
      </c>
      <c r="D190" s="114" t="str">
        <f>VLOOKUP(C190,'Custos Matéria Prima Embalagens'!B:C,2,0)</f>
        <v>WANSUR 840 CE (BB-200)01</v>
      </c>
      <c r="E190" s="114" t="str">
        <f>VLOOKUP(C190,'Custos Matéria Prima Embalagens'!B:D,3,0)</f>
        <v>UMECTANTE</v>
      </c>
      <c r="F190" s="270">
        <f t="shared" si="26"/>
        <v>922.8</v>
      </c>
      <c r="G190" s="148">
        <f t="shared" si="27"/>
        <v>2.1673168617251841E-3</v>
      </c>
      <c r="H190" s="274">
        <v>2</v>
      </c>
      <c r="I190" s="272">
        <f>ROUND(F190/VLOOKUP(A190,'Tabela de Produtos'!A:J,10,0),0)</f>
        <v>727</v>
      </c>
      <c r="J190" s="97">
        <f>IFERROR(VLOOKUP(C190,'Custos Matéria Prima Embalagens'!B:G,6,0)*H190,"Matéria Prima Não Cadastrada")</f>
        <v>14.66</v>
      </c>
      <c r="K190" s="97">
        <f>IFERROR(J190/(I190/VLOOKUP(A190,'Tabela de Produtos'!A:H,8,0)),"Matéria Prima Não Cadastrada")</f>
        <v>6.0495185694635488E-2</v>
      </c>
      <c r="L190" s="216">
        <v>45939</v>
      </c>
    </row>
    <row r="191" spans="1:12" ht="15.75" customHeight="1">
      <c r="A191" s="48" t="s">
        <v>96</v>
      </c>
      <c r="B191" s="114" t="str">
        <f>VLOOKUP(A191,'Tabela de Produtos'!A:B,2,0)</f>
        <v>BRAZIMIL LÁTEX ECONÔMICO INT FOSCO 3L AZUL OCEANO</v>
      </c>
      <c r="C191" s="48" t="s">
        <v>1207</v>
      </c>
      <c r="D191" s="114" t="str">
        <f>VLOOKUP(C191,'Custos Matéria Prima Embalagens'!B:C,2,0)</f>
        <v>WANPEX 1510 (BB-200)</v>
      </c>
      <c r="E191" s="114" t="str">
        <f>VLOOKUP(C191,'Custos Matéria Prima Embalagens'!B:D,3,0)</f>
        <v>DISPERSANTE LATEX</v>
      </c>
      <c r="F191" s="270">
        <f t="shared" si="26"/>
        <v>922.8</v>
      </c>
      <c r="G191" s="148">
        <f t="shared" si="27"/>
        <v>3.2509752925877766E-3</v>
      </c>
      <c r="H191" s="274">
        <v>3</v>
      </c>
      <c r="I191" s="272">
        <f>ROUND(F191/VLOOKUP(A191,'Tabela de Produtos'!A:J,10,0),0)</f>
        <v>727</v>
      </c>
      <c r="J191" s="97">
        <f>IFERROR(VLOOKUP(C191,'Custos Matéria Prima Embalagens'!B:G,6,0)*H191,"Matéria Prima Não Cadastrada")</f>
        <v>20.58</v>
      </c>
      <c r="K191" s="97">
        <f>IFERROR(J191/(I191/VLOOKUP(A191,'Tabela de Produtos'!A:H,8,0)),"Matéria Prima Não Cadastrada")</f>
        <v>8.4924346629986228E-2</v>
      </c>
      <c r="L191" s="216">
        <v>45939</v>
      </c>
    </row>
    <row r="192" spans="1:12" ht="15.75" customHeight="1">
      <c r="A192" s="48" t="s">
        <v>96</v>
      </c>
      <c r="B192" s="114" t="str">
        <f>VLOOKUP(A192,'Tabela de Produtos'!A:B,2,0)</f>
        <v>BRAZIMIL LÁTEX ECONÔMICO INT FOSCO 3L AZUL OCEANO</v>
      </c>
      <c r="C192" s="48" t="s">
        <v>1209</v>
      </c>
      <c r="D192" s="114" t="str">
        <f>VLOOKUP(C192,'Custos Matéria Prima Embalagens'!B:C,2,0)</f>
        <v>WANFUNG WFT CE (BH-200)</v>
      </c>
      <c r="E192" s="114" t="str">
        <f>VLOOKUP(C192,'Custos Matéria Prima Embalagens'!B:D,3,0)</f>
        <v>FUNGICIDA</v>
      </c>
      <c r="F192" s="270">
        <f t="shared" si="26"/>
        <v>922.8</v>
      </c>
      <c r="G192" s="148">
        <f t="shared" si="27"/>
        <v>2.7091460771564804E-3</v>
      </c>
      <c r="H192" s="274">
        <v>2.5</v>
      </c>
      <c r="I192" s="272">
        <f>ROUND(F192/VLOOKUP(A192,'Tabela de Produtos'!A:J,10,0),0)</f>
        <v>727</v>
      </c>
      <c r="J192" s="97">
        <f>IFERROR(VLOOKUP(C192,'Custos Matéria Prima Embalagens'!B:G,6,0)*H192,"Matéria Prima Não Cadastrada")</f>
        <v>17.5</v>
      </c>
      <c r="K192" s="97">
        <f>IFERROR(J192/(I192/VLOOKUP(A192,'Tabela de Produtos'!A:H,8,0)),"Matéria Prima Não Cadastrada")</f>
        <v>7.2214580467675371E-2</v>
      </c>
      <c r="L192" s="216">
        <v>45939</v>
      </c>
    </row>
    <row r="193" spans="1:12" ht="15.75" customHeight="1">
      <c r="A193" s="48" t="s">
        <v>96</v>
      </c>
      <c r="B193" s="114" t="str">
        <f>VLOOKUP(A193,'Tabela de Produtos'!A:B,2,0)</f>
        <v>BRAZIMIL LÁTEX ECONÔMICO INT FOSCO 3L AZUL OCEANO</v>
      </c>
      <c r="C193" s="48" t="s">
        <v>1215</v>
      </c>
      <c r="D193" s="114" t="str">
        <f>VLOOKUP(C193,'Custos Matéria Prima Embalagens'!B:C,2,0)</f>
        <v>CALCARIO DOLOMITICO #500 ( SACOS 25 KG)</v>
      </c>
      <c r="E193" s="114" t="str">
        <f>VLOOKUP(C193,'Custos Matéria Prima Embalagens'!B:D,3,0)</f>
        <v>CARBONATO #500</v>
      </c>
      <c r="F193" s="270">
        <f t="shared" si="26"/>
        <v>922.8</v>
      </c>
      <c r="G193" s="148">
        <f t="shared" si="27"/>
        <v>5.4182921543129606E-2</v>
      </c>
      <c r="H193" s="274">
        <v>50</v>
      </c>
      <c r="I193" s="272">
        <f>ROUND(F193/VLOOKUP(A193,'Tabela de Produtos'!A:J,10,0),0)</f>
        <v>727</v>
      </c>
      <c r="J193" s="97">
        <f>IFERROR(VLOOKUP(C193,'Custos Matéria Prima Embalagens'!B:G,6,0)*H193,"Matéria Prima Não Cadastrada")</f>
        <v>40</v>
      </c>
      <c r="K193" s="97">
        <f>IFERROR(J193/(I193/VLOOKUP(A193,'Tabela de Produtos'!A:H,8,0)),"Matéria Prima Não Cadastrada")</f>
        <v>0.16506189821182943</v>
      </c>
      <c r="L193" s="216">
        <v>45939</v>
      </c>
    </row>
    <row r="194" spans="1:12" ht="15.75" customHeight="1">
      <c r="A194" s="48" t="s">
        <v>96</v>
      </c>
      <c r="B194" s="114" t="str">
        <f>VLOOKUP(A194,'Tabela de Produtos'!A:B,2,0)</f>
        <v>BRAZIMIL LÁTEX ECONÔMICO INT FOSCO 3L AZUL OCEANO</v>
      </c>
      <c r="C194" s="48" t="s">
        <v>1227</v>
      </c>
      <c r="D194" s="114" t="str">
        <f>VLOOKUP(C194,'Custos Matéria Prima Embalagens'!B:C,2,0)</f>
        <v>CAULIM MALHA 325</v>
      </c>
      <c r="E194" s="114" t="str">
        <f>VLOOKUP(C194,'Custos Matéria Prima Embalagens'!B:D,3,0)</f>
        <v>caulim</v>
      </c>
      <c r="F194" s="270">
        <f t="shared" si="26"/>
        <v>922.8</v>
      </c>
      <c r="G194" s="148">
        <f t="shared" si="27"/>
        <v>0.35218899003034243</v>
      </c>
      <c r="H194" s="274">
        <v>325</v>
      </c>
      <c r="I194" s="272">
        <f>ROUND(F194/VLOOKUP(A194,'Tabela de Produtos'!A:J,10,0),0)</f>
        <v>727</v>
      </c>
      <c r="J194" s="97">
        <f>IFERROR(VLOOKUP(C194,'Custos Matéria Prima Embalagens'!B:G,6,0)*H194,"Matéria Prima Não Cadastrada")</f>
        <v>494.16105555555538</v>
      </c>
      <c r="K194" s="97">
        <f>IFERROR(J194/(I194/VLOOKUP(A194,'Tabela de Produtos'!A:H,8,0)),"Matéria Prima Não Cadastrada")</f>
        <v>2.0391790463090316</v>
      </c>
      <c r="L194" s="216">
        <v>45939</v>
      </c>
    </row>
    <row r="195" spans="1:12" ht="15.75" customHeight="1">
      <c r="A195" s="48" t="s">
        <v>96</v>
      </c>
      <c r="B195" s="114" t="str">
        <f>VLOOKUP(A195,'Tabela de Produtos'!A:B,2,0)</f>
        <v>BRAZIMIL LÁTEX ECONÔMICO INT FOSCO 3L AZUL OCEANO</v>
      </c>
      <c r="C195" s="48" t="s">
        <v>1217</v>
      </c>
      <c r="D195" s="114" t="str">
        <f>VLOOKUP(C195,'Custos Matéria Prima Embalagens'!B:C,2,0)</f>
        <v>WANCRIL W 51 CE (CT-1000P)</v>
      </c>
      <c r="E195" s="114" t="str">
        <f>VLOOKUP(C195,'Custos Matéria Prima Embalagens'!B:D,3,0)</f>
        <v>RESINA ACRILICA ESTIRENADA</v>
      </c>
      <c r="F195" s="270">
        <f t="shared" si="26"/>
        <v>922.8</v>
      </c>
      <c r="G195" s="148">
        <f t="shared" si="27"/>
        <v>3.7928045080190723E-2</v>
      </c>
      <c r="H195" s="274">
        <v>35</v>
      </c>
      <c r="I195" s="272">
        <f>ROUND(F195/VLOOKUP(A195,'Tabela de Produtos'!A:J,10,0),0)</f>
        <v>727</v>
      </c>
      <c r="J195" s="97">
        <f>IFERROR(VLOOKUP(C195,'Custos Matéria Prima Embalagens'!B:G,6,0)*H195,"Matéria Prima Não Cadastrada")</f>
        <v>295.05</v>
      </c>
      <c r="K195" s="97">
        <f>IFERROR(J195/(I195/VLOOKUP(A195,'Tabela de Produtos'!A:H,8,0)),"Matéria Prima Não Cadastrada")</f>
        <v>1.217537826685007</v>
      </c>
      <c r="L195" s="216">
        <v>45939</v>
      </c>
    </row>
    <row r="196" spans="1:12" ht="15.75" customHeight="1">
      <c r="A196" s="48" t="s">
        <v>96</v>
      </c>
      <c r="B196" s="114" t="str">
        <f>VLOOKUP(A196,'Tabela de Produtos'!A:B,2,0)</f>
        <v>BRAZIMIL LÁTEX ECONÔMICO INT FOSCO 3L AZUL OCEANO</v>
      </c>
      <c r="C196" s="48" t="s">
        <v>1219</v>
      </c>
      <c r="D196" s="114" t="str">
        <f>VLOOKUP(C196,'Custos Matéria Prima Embalagens'!B:C,2,0)</f>
        <v>WANALK 70 CE (BH-200)</v>
      </c>
      <c r="E196" s="114" t="str">
        <f>VLOOKUP(C196,'Custos Matéria Prima Embalagens'!B:D,3,0)</f>
        <v>ALCALINIZANTE</v>
      </c>
      <c r="F196" s="270">
        <f t="shared" si="26"/>
        <v>922.8</v>
      </c>
      <c r="G196" s="148">
        <f t="shared" si="27"/>
        <v>3.2509752925877766E-3</v>
      </c>
      <c r="H196" s="274">
        <v>3</v>
      </c>
      <c r="I196" s="272">
        <f>ROUND(F196/VLOOKUP(A196,'Tabela de Produtos'!A:J,10,0),0)</f>
        <v>727</v>
      </c>
      <c r="J196" s="97">
        <f>IFERROR(VLOOKUP(C196,'Custos Matéria Prima Embalagens'!B:G,6,0)*H196,"Matéria Prima Não Cadastrada")</f>
        <v>14.940000000000001</v>
      </c>
      <c r="K196" s="97">
        <f>IFERROR(J196/(I196/VLOOKUP(A196,'Tabela de Produtos'!A:H,8,0)),"Matéria Prima Não Cadastrada")</f>
        <v>6.1650618982118301E-2</v>
      </c>
      <c r="L196" s="216">
        <v>45939</v>
      </c>
    </row>
    <row r="197" spans="1:12" ht="15.75" customHeight="1">
      <c r="A197" s="48" t="s">
        <v>96</v>
      </c>
      <c r="B197" s="114" t="str">
        <f>VLOOKUP(A197,'Tabela de Produtos'!A:B,2,0)</f>
        <v>BRAZIMIL LÁTEX ECONÔMICO INT FOSCO 3L AZUL OCEANO</v>
      </c>
      <c r="C197" s="48" t="s">
        <v>1221</v>
      </c>
      <c r="D197" s="114" t="str">
        <f>VLOOKUP(C197,'Custos Matéria Prima Embalagens'!B:C,2,0)</f>
        <v>MODIWAN 105H CE (CT-1000P)</v>
      </c>
      <c r="E197" s="114" t="str">
        <f>VLOOKUP(C197,'Custos Matéria Prima Embalagens'!B:D,3,0)</f>
        <v>ESPESSANTE DE MEDIA</v>
      </c>
      <c r="F197" s="270">
        <f t="shared" si="26"/>
        <v>922.8</v>
      </c>
      <c r="G197" s="148">
        <f t="shared" si="27"/>
        <v>1.6796705678370178E-2</v>
      </c>
      <c r="H197" s="274">
        <v>15.5</v>
      </c>
      <c r="I197" s="272">
        <f>ROUND(F197/VLOOKUP(A197,'Tabela de Produtos'!A:J,10,0),0)</f>
        <v>727</v>
      </c>
      <c r="J197" s="97">
        <f>IFERROR(VLOOKUP(C197,'Custos Matéria Prima Embalagens'!B:G,6,0)*H197,"Matéria Prima Não Cadastrada")</f>
        <v>122.52749999999999</v>
      </c>
      <c r="K197" s="97">
        <f>IFERROR(J197/(I197/VLOOKUP(A197,'Tabela de Produtos'!A:H,8,0)),"Matéria Prima Não Cadastrada")</f>
        <v>0.50561554332874825</v>
      </c>
      <c r="L197" s="216">
        <v>45939</v>
      </c>
    </row>
    <row r="198" spans="1:12" ht="15.75" customHeight="1">
      <c r="A198" s="48" t="s">
        <v>96</v>
      </c>
      <c r="B198" s="114" t="str">
        <f>VLOOKUP(A198,'Tabela de Produtos'!A:B,2,0)</f>
        <v>BRAZIMIL LÁTEX ECONÔMICO INT FOSCO 3L AZUL OCEANO</v>
      </c>
      <c r="C198" s="48" t="s">
        <v>1223</v>
      </c>
      <c r="D198" s="114" t="str">
        <f>VLOOKUP(C198,'Custos Matéria Prima Embalagens'!B:C,2,0)</f>
        <v>TURBOWAN H CE (BH-200)</v>
      </c>
      <c r="E198" s="114" t="str">
        <f>VLOOKUP(C198,'Custos Matéria Prima Embalagens'!B:D,3,0)</f>
        <v>PROMOTOR DE LAVABILIDADE</v>
      </c>
      <c r="F198" s="270">
        <f t="shared" si="26"/>
        <v>922.8</v>
      </c>
      <c r="G198" s="148">
        <f t="shared" si="27"/>
        <v>8.1274382314694416E-3</v>
      </c>
      <c r="H198" s="274">
        <v>7.5</v>
      </c>
      <c r="I198" s="272">
        <f>ROUND(F198/VLOOKUP(A198,'Tabela de Produtos'!A:J,10,0),0)</f>
        <v>727</v>
      </c>
      <c r="J198" s="97">
        <f>IFERROR(VLOOKUP(C198,'Custos Matéria Prima Embalagens'!B:G,6,0)*H198,"Matéria Prima Não Cadastrada")</f>
        <v>36.375</v>
      </c>
      <c r="K198" s="97">
        <f>IFERROR(J198/(I198/VLOOKUP(A198,'Tabela de Produtos'!A:H,8,0)),"Matéria Prima Não Cadastrada")</f>
        <v>0.15010316368638238</v>
      </c>
      <c r="L198" s="216">
        <v>45939</v>
      </c>
    </row>
    <row r="199" spans="1:12" ht="15.75" customHeight="1">
      <c r="A199" s="48" t="s">
        <v>96</v>
      </c>
      <c r="B199" s="114" t="str">
        <f>VLOOKUP(A199,'Tabela de Produtos'!A:B,2,0)</f>
        <v>BRAZIMIL LÁTEX ECONÔMICO INT FOSCO 3L AZUL OCEANO</v>
      </c>
      <c r="C199" s="48" t="s">
        <v>1229</v>
      </c>
      <c r="D199" s="114" t="str">
        <f>VLOOKUP(C199,'Custos Matéria Prima Embalagens'!B:C,2,0)</f>
        <v>WANSOL 340 CE (BB-200)</v>
      </c>
      <c r="E199" s="114" t="str">
        <f>VLOOKUP(C199,'Custos Matéria Prima Embalagens'!B:D,3,0)</f>
        <v>COALESCENTE</v>
      </c>
      <c r="F199" s="270">
        <f t="shared" si="26"/>
        <v>922.8</v>
      </c>
      <c r="G199" s="148">
        <f t="shared" si="27"/>
        <v>5.4182921543129607E-3</v>
      </c>
      <c r="H199" s="274">
        <v>5</v>
      </c>
      <c r="I199" s="272">
        <f>ROUND(F199/VLOOKUP(A199,'Tabela de Produtos'!A:J,10,0),0)</f>
        <v>727</v>
      </c>
      <c r="J199" s="97">
        <f>IFERROR(VLOOKUP(C199,'Custos Matéria Prima Embalagens'!B:G,6,0)*H199,"Matéria Prima Não Cadastrada")</f>
        <v>96.1</v>
      </c>
      <c r="K199" s="97">
        <f>IFERROR(J199/(I199/VLOOKUP(A199,'Tabela de Produtos'!A:H,8,0)),"Matéria Prima Não Cadastrada")</f>
        <v>0.39656121045392018</v>
      </c>
      <c r="L199" s="216">
        <v>45939</v>
      </c>
    </row>
    <row r="200" spans="1:12" ht="15.75" customHeight="1">
      <c r="A200" s="48" t="s">
        <v>96</v>
      </c>
      <c r="B200" s="114" t="str">
        <f>VLOOKUP(A200,'Tabela de Produtos'!A:B,2,0)</f>
        <v>BRAZIMIL LÁTEX ECONÔMICO INT FOSCO 3L AZUL OCEANO</v>
      </c>
      <c r="C200" s="48" t="s">
        <v>1241</v>
      </c>
      <c r="D200" s="114" t="str">
        <f>VLOOKUP(C200,'Custos Matéria Prima Embalagens'!B:C,2,0)</f>
        <v>AZUL SPECTRAPRINT SRH</v>
      </c>
      <c r="E200" s="114" t="str">
        <f>VLOOKUP(C200,'Custos Matéria Prima Embalagens'!B:D,3,0)</f>
        <v>AZUL SPECTRAPRINT SRH</v>
      </c>
      <c r="F200" s="270">
        <f t="shared" si="26"/>
        <v>922.8</v>
      </c>
      <c r="G200" s="148">
        <f t="shared" si="27"/>
        <v>8.6692674469007365E-3</v>
      </c>
      <c r="H200" s="274">
        <v>8</v>
      </c>
      <c r="I200" s="272">
        <f>ROUND(F200/VLOOKUP(A200,'Tabela de Produtos'!A:J,10,0),0)</f>
        <v>727</v>
      </c>
      <c r="J200" s="97">
        <f>IFERROR(VLOOKUP(C200,'Custos Matéria Prima Embalagens'!B:G,6,0)*H200,"Matéria Prima Não Cadastrada")</f>
        <v>250</v>
      </c>
      <c r="K200" s="97">
        <f>IFERROR(J200/(I200/VLOOKUP(A200,'Tabela de Produtos'!A:H,8,0)),"Matéria Prima Não Cadastrada")</f>
        <v>1.0316368638239339</v>
      </c>
      <c r="L200" s="216">
        <v>45939</v>
      </c>
    </row>
    <row r="201" spans="1:12" ht="15.75" customHeight="1">
      <c r="A201" s="48" t="s">
        <v>96</v>
      </c>
      <c r="B201" s="114" t="str">
        <f>VLOOKUP(A201,'Tabela de Produtos'!A:B,2,0)</f>
        <v>BRAZIMIL LÁTEX ECONÔMICO INT FOSCO 3L AZUL OCEANO</v>
      </c>
      <c r="C201" s="48" t="s">
        <v>1244</v>
      </c>
      <c r="D201" s="114" t="str">
        <f>VLOOKUP(C201,'Custos Matéria Prima Embalagens'!B:C,2,0)</f>
        <v>VERMELHO SPECTRAPRINT GR</v>
      </c>
      <c r="E201" s="114" t="str">
        <f>VLOOKUP(C201,'Custos Matéria Prima Embalagens'!B:D,3,0)</f>
        <v>VERMELHO SPECTRAPRINT GR</v>
      </c>
      <c r="F201" s="270">
        <f t="shared" si="26"/>
        <v>922.8</v>
      </c>
      <c r="G201" s="148">
        <f t="shared" si="27"/>
        <v>8.6692674469007378E-4</v>
      </c>
      <c r="H201" s="274">
        <v>0.8</v>
      </c>
      <c r="I201" s="272">
        <f>ROUND(F201/VLOOKUP(A201,'Tabela de Produtos'!A:J,10,0),0)</f>
        <v>727</v>
      </c>
      <c r="J201" s="97">
        <f>IFERROR(VLOOKUP(C201,'Custos Matéria Prima Embalagens'!B:G,6,0)*H201,"Matéria Prima Não Cadastrada")</f>
        <v>32.264000000000003</v>
      </c>
      <c r="K201" s="97">
        <f>IFERROR(J201/(I201/VLOOKUP(A201,'Tabela de Produtos'!A:H,8,0)),"Matéria Prima Não Cadastrada")</f>
        <v>0.13313892709766162</v>
      </c>
      <c r="L201" s="216">
        <v>45939</v>
      </c>
    </row>
    <row r="202" spans="1:12" ht="15.75" customHeight="1">
      <c r="D202" s="114"/>
      <c r="E202" s="114"/>
      <c r="F202" s="96"/>
      <c r="G202" s="148"/>
      <c r="H202" s="274"/>
      <c r="I202" s="272"/>
      <c r="J202" s="97"/>
      <c r="K202" s="97"/>
      <c r="L202" s="216">
        <v>45939</v>
      </c>
    </row>
    <row r="203" spans="1:12" ht="15.75" customHeight="1">
      <c r="A203" s="48" t="s">
        <v>97</v>
      </c>
      <c r="B203" s="114" t="str">
        <f>VLOOKUP(A203,'Tabela de Produtos'!A:B,2,0)</f>
        <v>BRAZIMIL LÁTEX ECONÔMICO INT FOSCO 3L AMARELO CANARIO</v>
      </c>
      <c r="C203" s="48" t="s">
        <v>1197</v>
      </c>
      <c r="D203" s="114" t="str">
        <f>VLOOKUP(C203,'Custos Matéria Prima Embalagens'!B:C,2,0)</f>
        <v>AGUA</v>
      </c>
      <c r="E203" s="114" t="str">
        <f>VLOOKUP(C203,'Custos Matéria Prima Embalagens'!B:D,3,0)</f>
        <v>AGUA</v>
      </c>
      <c r="F203" s="270">
        <f t="shared" ref="F203:F216" si="28">SUMIFS(H:H,A:A,A203)</f>
        <v>913</v>
      </c>
      <c r="G203" s="148">
        <f t="shared" ref="G203:G216" si="29">H203/F203</f>
        <v>0.50383351588170866</v>
      </c>
      <c r="H203" s="274">
        <v>460</v>
      </c>
      <c r="I203" s="272">
        <f>ROUND(F203/VLOOKUP(A203,'Tabela de Produtos'!A:J,10,0),0)</f>
        <v>719</v>
      </c>
      <c r="J203" s="97">
        <f>IFERROR(VLOOKUP(C203,'Custos Matéria Prima Embalagens'!B:G,6,0)*H203,"Matéria Prima Não Cadastrada")</f>
        <v>0</v>
      </c>
      <c r="K203" s="97">
        <f>IFERROR(J203/(I203/VLOOKUP(A203,'Tabela de Produtos'!A:H,8,0)),"Matéria Prima Não Cadastrada")</f>
        <v>0</v>
      </c>
      <c r="L203" s="216">
        <v>45939</v>
      </c>
    </row>
    <row r="204" spans="1:12" ht="15.75" customHeight="1">
      <c r="A204" s="48" t="s">
        <v>97</v>
      </c>
      <c r="B204" s="114" t="str">
        <f>VLOOKUP(A204,'Tabela de Produtos'!A:B,2,0)</f>
        <v>BRAZIMIL LÁTEX ECONÔMICO INT FOSCO 3L AMARELO CANARIO</v>
      </c>
      <c r="C204" s="48" t="s">
        <v>1201</v>
      </c>
      <c r="D204" s="114" t="str">
        <f>VLOOKUP(C204,'Custos Matéria Prima Embalagens'!B:C,2,0)</f>
        <v>WANFOAM 528 CE (BB-190)</v>
      </c>
      <c r="E204" s="114" t="str">
        <f>VLOOKUP(C204,'Custos Matéria Prima Embalagens'!B:D,3,0)</f>
        <v>ANTI ESPUMA LATEX</v>
      </c>
      <c r="F204" s="270">
        <f t="shared" si="28"/>
        <v>913</v>
      </c>
      <c r="G204" s="148">
        <f t="shared" si="29"/>
        <v>2.7382256297918948E-3</v>
      </c>
      <c r="H204" s="274">
        <v>2.5</v>
      </c>
      <c r="I204" s="272">
        <f>ROUND(F204/VLOOKUP(A204,'Tabela de Produtos'!A:J,10,0),0)</f>
        <v>719</v>
      </c>
      <c r="J204" s="97">
        <f>IFERROR(VLOOKUP(C204,'Custos Matéria Prima Embalagens'!B:G,6,0)*H204,"Matéria Prima Não Cadastrada")</f>
        <v>17.95</v>
      </c>
      <c r="K204" s="97">
        <f>IFERROR(J204/(I204/VLOOKUP(A204,'Tabela de Produtos'!A:H,8,0)),"Matéria Prima Não Cadastrada")</f>
        <v>7.4895688456189158E-2</v>
      </c>
      <c r="L204" s="216">
        <v>45939</v>
      </c>
    </row>
    <row r="205" spans="1:12" ht="15.75" customHeight="1">
      <c r="A205" s="48" t="s">
        <v>97</v>
      </c>
      <c r="B205" s="114" t="str">
        <f>VLOOKUP(A205,'Tabela de Produtos'!A:B,2,0)</f>
        <v>BRAZIMIL LÁTEX ECONÔMICO INT FOSCO 3L AMARELO CANARIO</v>
      </c>
      <c r="C205" s="48" t="s">
        <v>1203</v>
      </c>
      <c r="D205" s="114" t="str">
        <f>VLOOKUP(C205,'Custos Matéria Prima Embalagens'!B:C,2,0)</f>
        <v>WANBAC WBT CE (BH-200)</v>
      </c>
      <c r="E205" s="114" t="str">
        <f>VLOOKUP(C205,'Custos Matéria Prima Embalagens'!B:D,3,0)</f>
        <v>BACTERICIDA</v>
      </c>
      <c r="F205" s="270">
        <f t="shared" si="28"/>
        <v>913</v>
      </c>
      <c r="G205" s="148">
        <f t="shared" si="29"/>
        <v>3.2858707557502738E-3</v>
      </c>
      <c r="H205" s="274">
        <v>3</v>
      </c>
      <c r="I205" s="272">
        <f>ROUND(F205/VLOOKUP(A205,'Tabela de Produtos'!A:J,10,0),0)</f>
        <v>719</v>
      </c>
      <c r="J205" s="97">
        <f>IFERROR(VLOOKUP(C205,'Custos Matéria Prima Embalagens'!B:G,6,0)*H205,"Matéria Prima Não Cadastrada")</f>
        <v>14.819999999999999</v>
      </c>
      <c r="K205" s="97">
        <f>IFERROR(J205/(I205/VLOOKUP(A205,'Tabela de Produtos'!A:H,8,0)),"Matéria Prima Não Cadastrada")</f>
        <v>6.1835883171070929E-2</v>
      </c>
      <c r="L205" s="216">
        <v>45939</v>
      </c>
    </row>
    <row r="206" spans="1:12" ht="15.75" customHeight="1">
      <c r="A206" s="48" t="s">
        <v>97</v>
      </c>
      <c r="B206" s="114" t="str">
        <f>VLOOKUP(A206,'Tabela de Produtos'!A:B,2,0)</f>
        <v>BRAZIMIL LÁTEX ECONÔMICO INT FOSCO 3L AMARELO CANARIO</v>
      </c>
      <c r="C206" s="48" t="s">
        <v>1205</v>
      </c>
      <c r="D206" s="114" t="str">
        <f>VLOOKUP(C206,'Custos Matéria Prima Embalagens'!B:C,2,0)</f>
        <v>WANSUR 840 CE (BB-200)01</v>
      </c>
      <c r="E206" s="114" t="str">
        <f>VLOOKUP(C206,'Custos Matéria Prima Embalagens'!B:D,3,0)</f>
        <v>UMECTANTE</v>
      </c>
      <c r="F206" s="270">
        <f t="shared" si="28"/>
        <v>913</v>
      </c>
      <c r="G206" s="148">
        <f t="shared" si="29"/>
        <v>2.1905805038335158E-3</v>
      </c>
      <c r="H206" s="274">
        <v>2</v>
      </c>
      <c r="I206" s="272">
        <f>ROUND(F206/VLOOKUP(A206,'Tabela de Produtos'!A:J,10,0),0)</f>
        <v>719</v>
      </c>
      <c r="J206" s="97">
        <f>IFERROR(VLOOKUP(C206,'Custos Matéria Prima Embalagens'!B:G,6,0)*H206,"Matéria Prima Não Cadastrada")</f>
        <v>14.66</v>
      </c>
      <c r="K206" s="97">
        <f>IFERROR(J206/(I206/VLOOKUP(A206,'Tabela de Produtos'!A:H,8,0)),"Matéria Prima Não Cadastrada")</f>
        <v>6.1168289290681507E-2</v>
      </c>
      <c r="L206" s="216">
        <v>45939</v>
      </c>
    </row>
    <row r="207" spans="1:12" ht="15.75" customHeight="1">
      <c r="A207" s="48" t="s">
        <v>97</v>
      </c>
      <c r="B207" s="114" t="str">
        <f>VLOOKUP(A207,'Tabela de Produtos'!A:B,2,0)</f>
        <v>BRAZIMIL LÁTEX ECONÔMICO INT FOSCO 3L AMARELO CANARIO</v>
      </c>
      <c r="C207" s="48" t="s">
        <v>1207</v>
      </c>
      <c r="D207" s="114" t="str">
        <f>VLOOKUP(C207,'Custos Matéria Prima Embalagens'!B:C,2,0)</f>
        <v>WANPEX 1510 (BB-200)</v>
      </c>
      <c r="E207" s="114" t="str">
        <f>VLOOKUP(C207,'Custos Matéria Prima Embalagens'!B:D,3,0)</f>
        <v>DISPERSANTE LATEX</v>
      </c>
      <c r="F207" s="270">
        <f t="shared" si="28"/>
        <v>913</v>
      </c>
      <c r="G207" s="148">
        <f t="shared" si="29"/>
        <v>3.2858707557502738E-3</v>
      </c>
      <c r="H207" s="274">
        <v>3</v>
      </c>
      <c r="I207" s="272">
        <f>ROUND(F207/VLOOKUP(A207,'Tabela de Produtos'!A:J,10,0),0)</f>
        <v>719</v>
      </c>
      <c r="J207" s="97">
        <f>IFERROR(VLOOKUP(C207,'Custos Matéria Prima Embalagens'!B:G,6,0)*H207,"Matéria Prima Não Cadastrada")</f>
        <v>20.58</v>
      </c>
      <c r="K207" s="97">
        <f>IFERROR(J207/(I207/VLOOKUP(A207,'Tabela de Produtos'!A:H,8,0)),"Matéria Prima Não Cadastrada")</f>
        <v>8.5869262865090404E-2</v>
      </c>
      <c r="L207" s="216">
        <v>45939</v>
      </c>
    </row>
    <row r="208" spans="1:12" ht="15.75" customHeight="1">
      <c r="A208" s="48" t="s">
        <v>97</v>
      </c>
      <c r="B208" s="114" t="str">
        <f>VLOOKUP(A208,'Tabela de Produtos'!A:B,2,0)</f>
        <v>BRAZIMIL LÁTEX ECONÔMICO INT FOSCO 3L AMARELO CANARIO</v>
      </c>
      <c r="C208" s="48" t="s">
        <v>1209</v>
      </c>
      <c r="D208" s="114" t="str">
        <f>VLOOKUP(C208,'Custos Matéria Prima Embalagens'!B:C,2,0)</f>
        <v>WANFUNG WFT CE (BH-200)</v>
      </c>
      <c r="E208" s="114" t="str">
        <f>VLOOKUP(C208,'Custos Matéria Prima Embalagens'!B:D,3,0)</f>
        <v>FUNGICIDA</v>
      </c>
      <c r="F208" s="270">
        <f t="shared" si="28"/>
        <v>913</v>
      </c>
      <c r="G208" s="148">
        <f t="shared" si="29"/>
        <v>2.7382256297918948E-3</v>
      </c>
      <c r="H208" s="274">
        <v>2.5</v>
      </c>
      <c r="I208" s="272">
        <f>ROUND(F208/VLOOKUP(A208,'Tabela de Produtos'!A:J,10,0),0)</f>
        <v>719</v>
      </c>
      <c r="J208" s="97">
        <f>IFERROR(VLOOKUP(C208,'Custos Matéria Prima Embalagens'!B:G,6,0)*H208,"Matéria Prima Não Cadastrada")</f>
        <v>17.5</v>
      </c>
      <c r="K208" s="97">
        <f>IFERROR(J208/(I208/VLOOKUP(A208,'Tabela de Produtos'!A:H,8,0)),"Matéria Prima Não Cadastrada")</f>
        <v>7.3018080667593882E-2</v>
      </c>
      <c r="L208" s="216">
        <v>45939</v>
      </c>
    </row>
    <row r="209" spans="1:12" ht="15.75" customHeight="1">
      <c r="A209" s="48" t="s">
        <v>97</v>
      </c>
      <c r="B209" s="114" t="str">
        <f>VLOOKUP(A209,'Tabela de Produtos'!A:B,2,0)</f>
        <v>BRAZIMIL LÁTEX ECONÔMICO INT FOSCO 3L AMARELO CANARIO</v>
      </c>
      <c r="C209" s="48" t="s">
        <v>1215</v>
      </c>
      <c r="D209" s="114" t="str">
        <f>VLOOKUP(C209,'Custos Matéria Prima Embalagens'!B:C,2,0)</f>
        <v>CALCARIO DOLOMITICO #500 ( SACOS 25 KG)</v>
      </c>
      <c r="E209" s="114" t="str">
        <f>VLOOKUP(C209,'Custos Matéria Prima Embalagens'!B:D,3,0)</f>
        <v>CARBONATO #500</v>
      </c>
      <c r="F209" s="270">
        <f t="shared" si="28"/>
        <v>913</v>
      </c>
      <c r="G209" s="148">
        <f t="shared" si="29"/>
        <v>5.4764512595837894E-2</v>
      </c>
      <c r="H209" s="274">
        <v>50</v>
      </c>
      <c r="I209" s="272">
        <f>ROUND(F209/VLOOKUP(A209,'Tabela de Produtos'!A:J,10,0),0)</f>
        <v>719</v>
      </c>
      <c r="J209" s="97">
        <f>IFERROR(VLOOKUP(C209,'Custos Matéria Prima Embalagens'!B:G,6,0)*H209,"Matéria Prima Não Cadastrada")</f>
        <v>40</v>
      </c>
      <c r="K209" s="97">
        <f>IFERROR(J209/(I209/VLOOKUP(A209,'Tabela de Produtos'!A:H,8,0)),"Matéria Prima Não Cadastrada")</f>
        <v>0.16689847009735745</v>
      </c>
      <c r="L209" s="216">
        <v>45939</v>
      </c>
    </row>
    <row r="210" spans="1:12" ht="15.75" customHeight="1">
      <c r="A210" s="48" t="s">
        <v>97</v>
      </c>
      <c r="B210" s="114" t="str">
        <f>VLOOKUP(A210,'Tabela de Produtos'!A:B,2,0)</f>
        <v>BRAZIMIL LÁTEX ECONÔMICO INT FOSCO 3L AMARELO CANARIO</v>
      </c>
      <c r="C210" s="48" t="s">
        <v>1227</v>
      </c>
      <c r="D210" s="114" t="str">
        <f>VLOOKUP(C210,'Custos Matéria Prima Embalagens'!B:C,2,0)</f>
        <v>CAULIM MALHA 325</v>
      </c>
      <c r="E210" s="114" t="str">
        <f>VLOOKUP(C210,'Custos Matéria Prima Embalagens'!B:D,3,0)</f>
        <v>caulim</v>
      </c>
      <c r="F210" s="270">
        <f t="shared" si="28"/>
        <v>913</v>
      </c>
      <c r="G210" s="148">
        <f t="shared" si="29"/>
        <v>0.35596933187294633</v>
      </c>
      <c r="H210" s="274">
        <v>325</v>
      </c>
      <c r="I210" s="272">
        <f>ROUND(F210/VLOOKUP(A210,'Tabela de Produtos'!A:J,10,0),0)</f>
        <v>719</v>
      </c>
      <c r="J210" s="97">
        <f>IFERROR(VLOOKUP(C210,'Custos Matéria Prima Embalagens'!B:G,6,0)*H210,"Matéria Prima Não Cadastrada")</f>
        <v>494.16105555555538</v>
      </c>
      <c r="K210" s="97">
        <f>IFERROR(J210/(I210/VLOOKUP(A210,'Tabela de Produtos'!A:H,8,0)),"Matéria Prima Não Cadastrada")</f>
        <v>2.0618681038479365</v>
      </c>
      <c r="L210" s="216">
        <v>45939</v>
      </c>
    </row>
    <row r="211" spans="1:12" ht="15.75" customHeight="1">
      <c r="A211" s="48" t="s">
        <v>97</v>
      </c>
      <c r="B211" s="114" t="str">
        <f>VLOOKUP(A211,'Tabela de Produtos'!A:B,2,0)</f>
        <v>BRAZIMIL LÁTEX ECONÔMICO INT FOSCO 3L AMARELO CANARIO</v>
      </c>
      <c r="C211" s="48" t="s">
        <v>1217</v>
      </c>
      <c r="D211" s="114" t="str">
        <f>VLOOKUP(C211,'Custos Matéria Prima Embalagens'!B:C,2,0)</f>
        <v>WANCRIL W 51 CE (CT-1000P)</v>
      </c>
      <c r="E211" s="114" t="str">
        <f>VLOOKUP(C211,'Custos Matéria Prima Embalagens'!B:D,3,0)</f>
        <v>RESINA ACRILICA ESTIRENADA</v>
      </c>
      <c r="F211" s="270">
        <f t="shared" si="28"/>
        <v>913</v>
      </c>
      <c r="G211" s="148">
        <f t="shared" si="29"/>
        <v>3.2858707557502739E-2</v>
      </c>
      <c r="H211" s="274">
        <v>30</v>
      </c>
      <c r="I211" s="272">
        <f>ROUND(F211/VLOOKUP(A211,'Tabela de Produtos'!A:J,10,0),0)</f>
        <v>719</v>
      </c>
      <c r="J211" s="97">
        <f>IFERROR(VLOOKUP(C211,'Custos Matéria Prima Embalagens'!B:G,6,0)*H211,"Matéria Prima Não Cadastrada")</f>
        <v>252.89999999999998</v>
      </c>
      <c r="K211" s="97">
        <f>IFERROR(J211/(I211/VLOOKUP(A211,'Tabela de Produtos'!A:H,8,0)),"Matéria Prima Não Cadastrada")</f>
        <v>1.0552155771905423</v>
      </c>
      <c r="L211" s="216">
        <v>45939</v>
      </c>
    </row>
    <row r="212" spans="1:12" ht="15.75" customHeight="1">
      <c r="A212" s="48" t="s">
        <v>97</v>
      </c>
      <c r="B212" s="114" t="str">
        <f>VLOOKUP(A212,'Tabela de Produtos'!A:B,2,0)</f>
        <v>BRAZIMIL LÁTEX ECONÔMICO INT FOSCO 3L AMARELO CANARIO</v>
      </c>
      <c r="C212" s="48" t="s">
        <v>1219</v>
      </c>
      <c r="D212" s="114" t="str">
        <f>VLOOKUP(C212,'Custos Matéria Prima Embalagens'!B:C,2,0)</f>
        <v>WANALK 70 CE (BH-200)</v>
      </c>
      <c r="E212" s="114" t="str">
        <f>VLOOKUP(C212,'Custos Matéria Prima Embalagens'!B:D,3,0)</f>
        <v>ALCALINIZANTE</v>
      </c>
      <c r="F212" s="270">
        <f t="shared" si="28"/>
        <v>913</v>
      </c>
      <c r="G212" s="148">
        <f t="shared" si="29"/>
        <v>3.2858707557502738E-3</v>
      </c>
      <c r="H212" s="274">
        <v>3</v>
      </c>
      <c r="I212" s="272">
        <f>ROUND(F212/VLOOKUP(A212,'Tabela de Produtos'!A:J,10,0),0)</f>
        <v>719</v>
      </c>
      <c r="J212" s="97">
        <f>IFERROR(VLOOKUP(C212,'Custos Matéria Prima Embalagens'!B:G,6,0)*H212,"Matéria Prima Não Cadastrada")</f>
        <v>14.940000000000001</v>
      </c>
      <c r="K212" s="97">
        <f>IFERROR(J212/(I212/VLOOKUP(A212,'Tabela de Produtos'!A:H,8,0)),"Matéria Prima Não Cadastrada")</f>
        <v>6.233657858136301E-2</v>
      </c>
      <c r="L212" s="216">
        <v>45939</v>
      </c>
    </row>
    <row r="213" spans="1:12" ht="15.75" customHeight="1">
      <c r="A213" s="48" t="s">
        <v>97</v>
      </c>
      <c r="B213" s="114" t="str">
        <f>VLOOKUP(A213,'Tabela de Produtos'!A:B,2,0)</f>
        <v>BRAZIMIL LÁTEX ECONÔMICO INT FOSCO 3L AMARELO CANARIO</v>
      </c>
      <c r="C213" s="48" t="s">
        <v>1221</v>
      </c>
      <c r="D213" s="114" t="str">
        <f>VLOOKUP(C213,'Custos Matéria Prima Embalagens'!B:C,2,0)</f>
        <v>MODIWAN 105H CE (CT-1000P)</v>
      </c>
      <c r="E213" s="114" t="str">
        <f>VLOOKUP(C213,'Custos Matéria Prima Embalagens'!B:D,3,0)</f>
        <v>ESPESSANTE DE MEDIA</v>
      </c>
      <c r="F213" s="270">
        <f t="shared" si="28"/>
        <v>913</v>
      </c>
      <c r="G213" s="148">
        <f t="shared" si="29"/>
        <v>1.6976998904709748E-2</v>
      </c>
      <c r="H213" s="274">
        <v>15.5</v>
      </c>
      <c r="I213" s="272">
        <f>ROUND(F213/VLOOKUP(A213,'Tabela de Produtos'!A:J,10,0),0)</f>
        <v>719</v>
      </c>
      <c r="J213" s="97">
        <f>IFERROR(VLOOKUP(C213,'Custos Matéria Prima Embalagens'!B:G,6,0)*H213,"Matéria Prima Não Cadastrada")</f>
        <v>122.52749999999999</v>
      </c>
      <c r="K213" s="97">
        <f>IFERROR(J213/(I213/VLOOKUP(A213,'Tabela de Produtos'!A:H,8,0)),"Matéria Prima Não Cadastrada")</f>
        <v>0.5112413073713491</v>
      </c>
      <c r="L213" s="216">
        <v>45939</v>
      </c>
    </row>
    <row r="214" spans="1:12" ht="15.75" customHeight="1">
      <c r="A214" s="48" t="s">
        <v>97</v>
      </c>
      <c r="B214" s="114" t="str">
        <f>VLOOKUP(A214,'Tabela de Produtos'!A:B,2,0)</f>
        <v>BRAZIMIL LÁTEX ECONÔMICO INT FOSCO 3L AMARELO CANARIO</v>
      </c>
      <c r="C214" s="48" t="s">
        <v>1223</v>
      </c>
      <c r="D214" s="114" t="str">
        <f>VLOOKUP(C214,'Custos Matéria Prima Embalagens'!B:C,2,0)</f>
        <v>TURBOWAN H CE (BH-200)</v>
      </c>
      <c r="E214" s="114" t="str">
        <f>VLOOKUP(C214,'Custos Matéria Prima Embalagens'!B:D,3,0)</f>
        <v>PROMOTOR DE LAVABILIDADE</v>
      </c>
      <c r="F214" s="270">
        <f t="shared" si="28"/>
        <v>913</v>
      </c>
      <c r="G214" s="148">
        <f t="shared" si="29"/>
        <v>8.2146768893756848E-3</v>
      </c>
      <c r="H214" s="274">
        <v>7.5</v>
      </c>
      <c r="I214" s="272">
        <f>ROUND(F214/VLOOKUP(A214,'Tabela de Produtos'!A:J,10,0),0)</f>
        <v>719</v>
      </c>
      <c r="J214" s="97">
        <f>IFERROR(VLOOKUP(C214,'Custos Matéria Prima Embalagens'!B:G,6,0)*H214,"Matéria Prima Não Cadastrada")</f>
        <v>36.375</v>
      </c>
      <c r="K214" s="97">
        <f>IFERROR(J214/(I214/VLOOKUP(A214,'Tabela de Produtos'!A:H,8,0)),"Matéria Prima Não Cadastrada")</f>
        <v>0.15177329624478442</v>
      </c>
      <c r="L214" s="216">
        <v>45939</v>
      </c>
    </row>
    <row r="215" spans="1:12" ht="15.75" customHeight="1">
      <c r="A215" s="48" t="s">
        <v>97</v>
      </c>
      <c r="B215" s="114" t="str">
        <f>VLOOKUP(A215,'Tabela de Produtos'!A:B,2,0)</f>
        <v>BRAZIMIL LÁTEX ECONÔMICO INT FOSCO 3L AMARELO CANARIO</v>
      </c>
      <c r="C215" s="48" t="s">
        <v>1229</v>
      </c>
      <c r="D215" s="114" t="str">
        <f>VLOOKUP(C215,'Custos Matéria Prima Embalagens'!B:C,2,0)</f>
        <v>WANSOL 340 CE (BB-200)</v>
      </c>
      <c r="E215" s="114" t="str">
        <f>VLOOKUP(C215,'Custos Matéria Prima Embalagens'!B:D,3,0)</f>
        <v>COALESCENTE</v>
      </c>
      <c r="F215" s="270">
        <f t="shared" si="28"/>
        <v>913</v>
      </c>
      <c r="G215" s="148">
        <f t="shared" si="29"/>
        <v>4.3811610076670317E-3</v>
      </c>
      <c r="H215" s="274">
        <v>4</v>
      </c>
      <c r="I215" s="272">
        <f>ROUND(F215/VLOOKUP(A215,'Tabela de Produtos'!A:J,10,0),0)</f>
        <v>719</v>
      </c>
      <c r="J215" s="97">
        <f>IFERROR(VLOOKUP(C215,'Custos Matéria Prima Embalagens'!B:G,6,0)*H215,"Matéria Prima Não Cadastrada")</f>
        <v>76.88</v>
      </c>
      <c r="K215" s="97">
        <f>IFERROR(J215/(I215/VLOOKUP(A215,'Tabela de Produtos'!A:H,8,0)),"Matéria Prima Não Cadastrada")</f>
        <v>0.32077885952712099</v>
      </c>
      <c r="L215" s="216">
        <v>45939</v>
      </c>
    </row>
    <row r="216" spans="1:12" ht="15.75" customHeight="1">
      <c r="A216" s="48" t="s">
        <v>97</v>
      </c>
      <c r="B216" s="114" t="str">
        <f>VLOOKUP(A216,'Tabela de Produtos'!A:B,2,0)</f>
        <v>BRAZIMIL LÁTEX ECONÔMICO INT FOSCO 3L AMARELO CANARIO</v>
      </c>
      <c r="C216" s="48" t="s">
        <v>1239</v>
      </c>
      <c r="D216" s="114" t="str">
        <f>VLOOKUP(C216,'Custos Matéria Prima Embalagens'!B:C,2,0)</f>
        <v>AMARELO SPECTRAPRINT 2GXH</v>
      </c>
      <c r="E216" s="114" t="str">
        <f>VLOOKUP(C216,'Custos Matéria Prima Embalagens'!B:D,3,0)</f>
        <v>AMARELO SPECTRAPRINT 2GXH</v>
      </c>
      <c r="F216" s="270">
        <f t="shared" si="28"/>
        <v>913</v>
      </c>
      <c r="G216" s="148">
        <f t="shared" si="29"/>
        <v>5.4764512595837896E-3</v>
      </c>
      <c r="H216" s="274">
        <v>5</v>
      </c>
      <c r="I216" s="272">
        <f>ROUND(F216/VLOOKUP(A216,'Tabela de Produtos'!A:J,10,0),0)</f>
        <v>719</v>
      </c>
      <c r="J216" s="97">
        <f>IFERROR(VLOOKUP(C216,'Custos Matéria Prima Embalagens'!B:G,6,0)*H216,"Matéria Prima Não Cadastrada")</f>
        <v>105.55</v>
      </c>
      <c r="K216" s="97">
        <f>IFERROR(J216/(I216/VLOOKUP(A216,'Tabela de Produtos'!A:H,8,0)),"Matéria Prima Não Cadastrada")</f>
        <v>0.44040333796940195</v>
      </c>
      <c r="L216" s="216">
        <v>45939</v>
      </c>
    </row>
    <row r="217" spans="1:12" ht="15.75" customHeight="1">
      <c r="D217" s="114"/>
      <c r="E217" s="114"/>
      <c r="F217" s="96"/>
      <c r="G217" s="148"/>
      <c r="H217" s="96"/>
      <c r="I217" s="272"/>
      <c r="J217" s="97"/>
      <c r="K217" s="97"/>
      <c r="L217" s="216">
        <v>45939</v>
      </c>
    </row>
    <row r="218" spans="1:12" ht="15.75" customHeight="1">
      <c r="A218" s="48" t="s">
        <v>98</v>
      </c>
      <c r="B218" s="114" t="str">
        <f>VLOOKUP(A218,'Tabela de Produtos'!A:B,2,0)</f>
        <v>BRAZIMIL LÁTEX ECONÔMICO INT FOSCO 3L CROMO SUAVE</v>
      </c>
      <c r="C218" s="48" t="s">
        <v>1197</v>
      </c>
      <c r="D218" s="114" t="str">
        <f>VLOOKUP(C218,'Custos Matéria Prima Embalagens'!B:C,2,0)</f>
        <v>AGUA</v>
      </c>
      <c r="E218" s="114" t="str">
        <f>VLOOKUP(C218,'Custos Matéria Prima Embalagens'!B:D,3,0)</f>
        <v>AGUA</v>
      </c>
      <c r="F218" s="270">
        <f t="shared" ref="F218:F233" si="30">SUMIFS(H:H,A:A,A218)</f>
        <v>917.64</v>
      </c>
      <c r="G218" s="148">
        <f t="shared" ref="G218:G233" si="31">H218/F218</f>
        <v>0.50128590732749223</v>
      </c>
      <c r="H218" s="96">
        <v>460</v>
      </c>
      <c r="I218" s="272">
        <f>ROUND(F218/VLOOKUP(A218,'Tabela de Produtos'!A:J,10,0),0)</f>
        <v>723</v>
      </c>
      <c r="J218" s="97">
        <f>IFERROR(VLOOKUP(C218,'Custos Matéria Prima Embalagens'!B:G,6,0)*H218,"Matéria Prima Não Cadastrada")</f>
        <v>0</v>
      </c>
      <c r="K218" s="97">
        <f>IFERROR(J218/(I218/VLOOKUP(A218,'Tabela de Produtos'!A:H,8,0)),"Matéria Prima Não Cadastrada")</f>
        <v>0</v>
      </c>
      <c r="L218" s="216">
        <v>45939</v>
      </c>
    </row>
    <row r="219" spans="1:12" ht="15.75" customHeight="1">
      <c r="A219" s="48" t="s">
        <v>98</v>
      </c>
      <c r="B219" s="114" t="str">
        <f>VLOOKUP(A219,'Tabela de Produtos'!A:B,2,0)</f>
        <v>BRAZIMIL LÁTEX ECONÔMICO INT FOSCO 3L CROMO SUAVE</v>
      </c>
      <c r="C219" s="48" t="s">
        <v>1201</v>
      </c>
      <c r="D219" s="114" t="str">
        <f>VLOOKUP(C219,'Custos Matéria Prima Embalagens'!B:C,2,0)</f>
        <v>WANFOAM 528 CE (BB-190)</v>
      </c>
      <c r="E219" s="114" t="str">
        <f>VLOOKUP(C219,'Custos Matéria Prima Embalagens'!B:D,3,0)</f>
        <v>ANTI ESPUMA LATEX</v>
      </c>
      <c r="F219" s="270">
        <f t="shared" si="30"/>
        <v>917.64</v>
      </c>
      <c r="G219" s="148">
        <f t="shared" si="31"/>
        <v>2.7243799311276753E-3</v>
      </c>
      <c r="H219" s="96">
        <v>2.5</v>
      </c>
      <c r="I219" s="272">
        <f>ROUND(F219/VLOOKUP(A219,'Tabela de Produtos'!A:J,10,0),0)</f>
        <v>723</v>
      </c>
      <c r="J219" s="97">
        <f>IFERROR(VLOOKUP(C219,'Custos Matéria Prima Embalagens'!B:G,6,0)*H219,"Matéria Prima Não Cadastrada")</f>
        <v>17.95</v>
      </c>
      <c r="K219" s="97">
        <f>IFERROR(J219/(I219/VLOOKUP(A219,'Tabela de Produtos'!A:H,8,0)),"Matéria Prima Não Cadastrada")</f>
        <v>7.4481327800829875E-2</v>
      </c>
      <c r="L219" s="216">
        <v>45939</v>
      </c>
    </row>
    <row r="220" spans="1:12" ht="15.75" customHeight="1">
      <c r="A220" s="48" t="s">
        <v>98</v>
      </c>
      <c r="B220" s="114" t="str">
        <f>VLOOKUP(A220,'Tabela de Produtos'!A:B,2,0)</f>
        <v>BRAZIMIL LÁTEX ECONÔMICO INT FOSCO 3L CROMO SUAVE</v>
      </c>
      <c r="C220" s="48" t="s">
        <v>1203</v>
      </c>
      <c r="D220" s="114" t="str">
        <f>VLOOKUP(C220,'Custos Matéria Prima Embalagens'!B:C,2,0)</f>
        <v>WANBAC WBT CE (BH-200)</v>
      </c>
      <c r="E220" s="114" t="str">
        <f>VLOOKUP(C220,'Custos Matéria Prima Embalagens'!B:D,3,0)</f>
        <v>BACTERICIDA</v>
      </c>
      <c r="F220" s="270">
        <f t="shared" si="30"/>
        <v>917.64</v>
      </c>
      <c r="G220" s="148">
        <f t="shared" si="31"/>
        <v>3.2692559173532103E-3</v>
      </c>
      <c r="H220" s="96">
        <v>3</v>
      </c>
      <c r="I220" s="272">
        <f>ROUND(F220/VLOOKUP(A220,'Tabela de Produtos'!A:J,10,0),0)</f>
        <v>723</v>
      </c>
      <c r="J220" s="97">
        <f>IFERROR(VLOOKUP(C220,'Custos Matéria Prima Embalagens'!B:G,6,0)*H220,"Matéria Prima Não Cadastrada")</f>
        <v>14.819999999999999</v>
      </c>
      <c r="K220" s="97">
        <f>IFERROR(J220/(I220/VLOOKUP(A220,'Tabela de Produtos'!A:H,8,0)),"Matéria Prima Não Cadastrada")</f>
        <v>6.1493775933609954E-2</v>
      </c>
      <c r="L220" s="216">
        <v>45939</v>
      </c>
    </row>
    <row r="221" spans="1:12" ht="15.75" customHeight="1">
      <c r="A221" s="48" t="s">
        <v>98</v>
      </c>
      <c r="B221" s="114" t="str">
        <f>VLOOKUP(A221,'Tabela de Produtos'!A:B,2,0)</f>
        <v>BRAZIMIL LÁTEX ECONÔMICO INT FOSCO 3L CROMO SUAVE</v>
      </c>
      <c r="C221" s="48" t="s">
        <v>1205</v>
      </c>
      <c r="D221" s="114" t="str">
        <f>VLOOKUP(C221,'Custos Matéria Prima Embalagens'!B:C,2,0)</f>
        <v>WANSUR 840 CE (BB-200)01</v>
      </c>
      <c r="E221" s="114" t="str">
        <f>VLOOKUP(C221,'Custos Matéria Prima Embalagens'!B:D,3,0)</f>
        <v>UMECTANTE</v>
      </c>
      <c r="F221" s="270">
        <f t="shared" si="30"/>
        <v>917.64</v>
      </c>
      <c r="G221" s="148">
        <f t="shared" si="31"/>
        <v>2.1795039449021402E-3</v>
      </c>
      <c r="H221" s="96">
        <v>2</v>
      </c>
      <c r="I221" s="272">
        <f>ROUND(F221/VLOOKUP(A221,'Tabela de Produtos'!A:J,10,0),0)</f>
        <v>723</v>
      </c>
      <c r="J221" s="97">
        <f>IFERROR(VLOOKUP(C221,'Custos Matéria Prima Embalagens'!B:G,6,0)*H221,"Matéria Prima Não Cadastrada")</f>
        <v>14.66</v>
      </c>
      <c r="K221" s="97">
        <f>IFERROR(J221/(I221/VLOOKUP(A221,'Tabela de Produtos'!A:H,8,0)),"Matéria Prima Não Cadastrada")</f>
        <v>6.0829875518672201E-2</v>
      </c>
      <c r="L221" s="216">
        <v>45939</v>
      </c>
    </row>
    <row r="222" spans="1:12" ht="15.75" customHeight="1">
      <c r="A222" s="48" t="s">
        <v>98</v>
      </c>
      <c r="B222" s="114" t="str">
        <f>VLOOKUP(A222,'Tabela de Produtos'!A:B,2,0)</f>
        <v>BRAZIMIL LÁTEX ECONÔMICO INT FOSCO 3L CROMO SUAVE</v>
      </c>
      <c r="C222" s="48" t="s">
        <v>1207</v>
      </c>
      <c r="D222" s="114" t="str">
        <f>VLOOKUP(C222,'Custos Matéria Prima Embalagens'!B:C,2,0)</f>
        <v>WANPEX 1510 (BB-200)</v>
      </c>
      <c r="E222" s="114" t="str">
        <f>VLOOKUP(C222,'Custos Matéria Prima Embalagens'!B:D,3,0)</f>
        <v>DISPERSANTE LATEX</v>
      </c>
      <c r="F222" s="270">
        <f t="shared" si="30"/>
        <v>917.64</v>
      </c>
      <c r="G222" s="148">
        <f t="shared" si="31"/>
        <v>3.2692559173532103E-3</v>
      </c>
      <c r="H222" s="96">
        <v>3</v>
      </c>
      <c r="I222" s="272">
        <f>ROUND(F222/VLOOKUP(A222,'Tabela de Produtos'!A:J,10,0),0)</f>
        <v>723</v>
      </c>
      <c r="J222" s="97">
        <f>IFERROR(VLOOKUP(C222,'Custos Matéria Prima Embalagens'!B:G,6,0)*H222,"Matéria Prima Não Cadastrada")</f>
        <v>20.58</v>
      </c>
      <c r="K222" s="97">
        <f>IFERROR(J222/(I222/VLOOKUP(A222,'Tabela de Produtos'!A:H,8,0)),"Matéria Prima Não Cadastrada")</f>
        <v>8.5394190871369291E-2</v>
      </c>
      <c r="L222" s="216">
        <v>45939</v>
      </c>
    </row>
    <row r="223" spans="1:12" ht="15.75" customHeight="1">
      <c r="A223" s="48" t="s">
        <v>98</v>
      </c>
      <c r="B223" s="114" t="str">
        <f>VLOOKUP(A223,'Tabela de Produtos'!A:B,2,0)</f>
        <v>BRAZIMIL LÁTEX ECONÔMICO INT FOSCO 3L CROMO SUAVE</v>
      </c>
      <c r="C223" s="48" t="s">
        <v>1209</v>
      </c>
      <c r="D223" s="114" t="str">
        <f>VLOOKUP(C223,'Custos Matéria Prima Embalagens'!B:C,2,0)</f>
        <v>WANFUNG WFT CE (BH-200)</v>
      </c>
      <c r="E223" s="114" t="str">
        <f>VLOOKUP(C223,'Custos Matéria Prima Embalagens'!B:D,3,0)</f>
        <v>FUNGICIDA</v>
      </c>
      <c r="F223" s="270">
        <f t="shared" si="30"/>
        <v>917.64</v>
      </c>
      <c r="G223" s="148">
        <f t="shared" si="31"/>
        <v>2.7243799311276753E-3</v>
      </c>
      <c r="H223" s="96">
        <v>2.5</v>
      </c>
      <c r="I223" s="272">
        <f>ROUND(F223/VLOOKUP(A223,'Tabela de Produtos'!A:J,10,0),0)</f>
        <v>723</v>
      </c>
      <c r="J223" s="97">
        <f>IFERROR(VLOOKUP(C223,'Custos Matéria Prima Embalagens'!B:G,6,0)*H223,"Matéria Prima Não Cadastrada")</f>
        <v>17.5</v>
      </c>
      <c r="K223" s="97">
        <f>IFERROR(J223/(I223/VLOOKUP(A223,'Tabela de Produtos'!A:H,8,0)),"Matéria Prima Não Cadastrada")</f>
        <v>7.2614107883817433E-2</v>
      </c>
      <c r="L223" s="216">
        <v>45939</v>
      </c>
    </row>
    <row r="224" spans="1:12" ht="15.75" customHeight="1">
      <c r="A224" s="48" t="s">
        <v>98</v>
      </c>
      <c r="B224" s="114" t="str">
        <f>VLOOKUP(A224,'Tabela de Produtos'!A:B,2,0)</f>
        <v>BRAZIMIL LÁTEX ECONÔMICO INT FOSCO 3L CROMO SUAVE</v>
      </c>
      <c r="C224" s="48" t="s">
        <v>1215</v>
      </c>
      <c r="D224" s="114" t="str">
        <f>VLOOKUP(C224,'Custos Matéria Prima Embalagens'!B:C,2,0)</f>
        <v>CALCARIO DOLOMITICO #500 ( SACOS 25 KG)</v>
      </c>
      <c r="E224" s="114" t="str">
        <f>VLOOKUP(C224,'Custos Matéria Prima Embalagens'!B:D,3,0)</f>
        <v>CARBONATO #500</v>
      </c>
      <c r="F224" s="270">
        <f t="shared" si="30"/>
        <v>917.64</v>
      </c>
      <c r="G224" s="148">
        <f t="shared" si="31"/>
        <v>5.4487598622553507E-2</v>
      </c>
      <c r="H224" s="96">
        <v>50</v>
      </c>
      <c r="I224" s="272">
        <f>ROUND(F224/VLOOKUP(A224,'Tabela de Produtos'!A:J,10,0),0)</f>
        <v>723</v>
      </c>
      <c r="J224" s="97">
        <f>IFERROR(VLOOKUP(C224,'Custos Matéria Prima Embalagens'!B:G,6,0)*H224,"Matéria Prima Não Cadastrada")</f>
        <v>40</v>
      </c>
      <c r="K224" s="97">
        <f>IFERROR(J224/(I224/VLOOKUP(A224,'Tabela de Produtos'!A:H,8,0)),"Matéria Prima Não Cadastrada")</f>
        <v>0.16597510373443983</v>
      </c>
      <c r="L224" s="216">
        <v>45939</v>
      </c>
    </row>
    <row r="225" spans="1:12" ht="15.75" customHeight="1">
      <c r="A225" s="48" t="s">
        <v>98</v>
      </c>
      <c r="B225" s="114" t="str">
        <f>VLOOKUP(A225,'Tabela de Produtos'!A:B,2,0)</f>
        <v>BRAZIMIL LÁTEX ECONÔMICO INT FOSCO 3L CROMO SUAVE</v>
      </c>
      <c r="C225" s="48" t="s">
        <v>1227</v>
      </c>
      <c r="D225" s="114" t="str">
        <f>VLOOKUP(C225,'Custos Matéria Prima Embalagens'!B:C,2,0)</f>
        <v>CAULIM MALHA 325</v>
      </c>
      <c r="E225" s="114" t="str">
        <f>VLOOKUP(C225,'Custos Matéria Prima Embalagens'!B:D,3,0)</f>
        <v>caulim</v>
      </c>
      <c r="F225" s="270">
        <f t="shared" si="30"/>
        <v>917.64</v>
      </c>
      <c r="G225" s="148">
        <f t="shared" si="31"/>
        <v>0.35416939104659778</v>
      </c>
      <c r="H225" s="96">
        <v>325</v>
      </c>
      <c r="I225" s="272">
        <f>ROUND(F225/VLOOKUP(A225,'Tabela de Produtos'!A:J,10,0),0)</f>
        <v>723</v>
      </c>
      <c r="J225" s="97">
        <f>IFERROR(VLOOKUP(C225,'Custos Matéria Prima Embalagens'!B:G,6,0)*H225,"Matéria Prima Não Cadastrada")</f>
        <v>494.16105555555538</v>
      </c>
      <c r="K225" s="97">
        <f>IFERROR(J225/(I225/VLOOKUP(A225,'Tabela de Produtos'!A:H,8,0)),"Matéria Prima Não Cadastrada")</f>
        <v>2.0504608114338398</v>
      </c>
      <c r="L225" s="216">
        <v>45939</v>
      </c>
    </row>
    <row r="226" spans="1:12" ht="15.75" customHeight="1">
      <c r="A226" s="48" t="s">
        <v>98</v>
      </c>
      <c r="B226" s="114" t="str">
        <f>VLOOKUP(A226,'Tabela de Produtos'!A:B,2,0)</f>
        <v>BRAZIMIL LÁTEX ECONÔMICO INT FOSCO 3L CROMO SUAVE</v>
      </c>
      <c r="C226" s="48" t="s">
        <v>1217</v>
      </c>
      <c r="D226" s="114" t="str">
        <f>VLOOKUP(C226,'Custos Matéria Prima Embalagens'!B:C,2,0)</f>
        <v>WANCRIL W 51 CE (CT-1000P)</v>
      </c>
      <c r="E226" s="114" t="str">
        <f>VLOOKUP(C226,'Custos Matéria Prima Embalagens'!B:D,3,0)</f>
        <v>RESINA ACRILICA ESTIRENADA</v>
      </c>
      <c r="F226" s="270">
        <f t="shared" si="30"/>
        <v>917.64</v>
      </c>
      <c r="G226" s="148">
        <f t="shared" si="31"/>
        <v>3.2692559173532101E-2</v>
      </c>
      <c r="H226" s="96">
        <v>30</v>
      </c>
      <c r="I226" s="272">
        <f>ROUND(F226/VLOOKUP(A226,'Tabela de Produtos'!A:J,10,0),0)</f>
        <v>723</v>
      </c>
      <c r="J226" s="97">
        <f>IFERROR(VLOOKUP(C226,'Custos Matéria Prima Embalagens'!B:G,6,0)*H226,"Matéria Prima Não Cadastrada")</f>
        <v>252.89999999999998</v>
      </c>
      <c r="K226" s="97">
        <f>IFERROR(J226/(I226/VLOOKUP(A226,'Tabela de Produtos'!A:H,8,0)),"Matéria Prima Não Cadastrada")</f>
        <v>1.0493775933609957</v>
      </c>
      <c r="L226" s="216">
        <v>45939</v>
      </c>
    </row>
    <row r="227" spans="1:12" ht="15.75" customHeight="1">
      <c r="A227" s="48" t="s">
        <v>98</v>
      </c>
      <c r="B227" s="114" t="str">
        <f>VLOOKUP(A227,'Tabela de Produtos'!A:B,2,0)</f>
        <v>BRAZIMIL LÁTEX ECONÔMICO INT FOSCO 3L CROMO SUAVE</v>
      </c>
      <c r="C227" s="48" t="s">
        <v>1219</v>
      </c>
      <c r="D227" s="114" t="str">
        <f>VLOOKUP(C227,'Custos Matéria Prima Embalagens'!B:C,2,0)</f>
        <v>WANALK 70 CE (BH-200)</v>
      </c>
      <c r="E227" s="114" t="str">
        <f>VLOOKUP(C227,'Custos Matéria Prima Embalagens'!B:D,3,0)</f>
        <v>ALCALINIZANTE</v>
      </c>
      <c r="F227" s="270">
        <f t="shared" si="30"/>
        <v>917.64</v>
      </c>
      <c r="G227" s="148">
        <f t="shared" si="31"/>
        <v>3.2692559173532103E-3</v>
      </c>
      <c r="H227" s="96">
        <v>3</v>
      </c>
      <c r="I227" s="272">
        <f>ROUND(F227/VLOOKUP(A227,'Tabela de Produtos'!A:J,10,0),0)</f>
        <v>723</v>
      </c>
      <c r="J227" s="97">
        <f>IFERROR(VLOOKUP(C227,'Custos Matéria Prima Embalagens'!B:G,6,0)*H227,"Matéria Prima Não Cadastrada")</f>
        <v>14.940000000000001</v>
      </c>
      <c r="K227" s="97">
        <f>IFERROR(J227/(I227/VLOOKUP(A227,'Tabela de Produtos'!A:H,8,0)),"Matéria Prima Não Cadastrada")</f>
        <v>6.1991701244813284E-2</v>
      </c>
      <c r="L227" s="216">
        <v>45939</v>
      </c>
    </row>
    <row r="228" spans="1:12" ht="15.75" customHeight="1">
      <c r="A228" s="48" t="s">
        <v>98</v>
      </c>
      <c r="B228" s="114" t="str">
        <f>VLOOKUP(A228,'Tabela de Produtos'!A:B,2,0)</f>
        <v>BRAZIMIL LÁTEX ECONÔMICO INT FOSCO 3L CROMO SUAVE</v>
      </c>
      <c r="C228" s="48" t="s">
        <v>1221</v>
      </c>
      <c r="D228" s="114" t="str">
        <f>VLOOKUP(C228,'Custos Matéria Prima Embalagens'!B:C,2,0)</f>
        <v>MODIWAN 105H CE (CT-1000P)</v>
      </c>
      <c r="E228" s="114" t="str">
        <f>VLOOKUP(C228,'Custos Matéria Prima Embalagens'!B:D,3,0)</f>
        <v>ESPESSANTE DE MEDIA</v>
      </c>
      <c r="F228" s="270">
        <f t="shared" si="30"/>
        <v>917.64</v>
      </c>
      <c r="G228" s="148">
        <f t="shared" si="31"/>
        <v>1.6891155572991586E-2</v>
      </c>
      <c r="H228" s="96">
        <v>15.5</v>
      </c>
      <c r="I228" s="272">
        <f>ROUND(F228/VLOOKUP(A228,'Tabela de Produtos'!A:J,10,0),0)</f>
        <v>723</v>
      </c>
      <c r="J228" s="97">
        <f>IFERROR(VLOOKUP(C228,'Custos Matéria Prima Embalagens'!B:G,6,0)*H228,"Matéria Prima Não Cadastrada")</f>
        <v>122.52749999999999</v>
      </c>
      <c r="K228" s="97">
        <f>IFERROR(J228/(I228/VLOOKUP(A228,'Tabela de Produtos'!A:H,8,0)),"Matéria Prima Não Cadastrada")</f>
        <v>0.50841286307053934</v>
      </c>
      <c r="L228" s="216">
        <v>45939</v>
      </c>
    </row>
    <row r="229" spans="1:12" ht="15.75" customHeight="1">
      <c r="A229" s="48" t="s">
        <v>98</v>
      </c>
      <c r="B229" s="114" t="str">
        <f>VLOOKUP(A229,'Tabela de Produtos'!A:B,2,0)</f>
        <v>BRAZIMIL LÁTEX ECONÔMICO INT FOSCO 3L CROMO SUAVE</v>
      </c>
      <c r="C229" s="48" t="s">
        <v>1223</v>
      </c>
      <c r="D229" s="114" t="str">
        <f>VLOOKUP(C229,'Custos Matéria Prima Embalagens'!B:C,2,0)</f>
        <v>TURBOWAN H CE (BH-200)</v>
      </c>
      <c r="E229" s="114" t="str">
        <f>VLOOKUP(C229,'Custos Matéria Prima Embalagens'!B:D,3,0)</f>
        <v>PROMOTOR DE LAVABILIDADE</v>
      </c>
      <c r="F229" s="270">
        <f t="shared" si="30"/>
        <v>917.64</v>
      </c>
      <c r="G229" s="148">
        <f t="shared" si="31"/>
        <v>8.1731397933830253E-3</v>
      </c>
      <c r="H229" s="96">
        <v>7.5</v>
      </c>
      <c r="I229" s="272">
        <f>ROUND(F229/VLOOKUP(A229,'Tabela de Produtos'!A:J,10,0),0)</f>
        <v>723</v>
      </c>
      <c r="J229" s="97">
        <f>IFERROR(VLOOKUP(C229,'Custos Matéria Prima Embalagens'!B:G,6,0)*H229,"Matéria Prima Não Cadastrada")</f>
        <v>36.375</v>
      </c>
      <c r="K229" s="97">
        <f>IFERROR(J229/(I229/VLOOKUP(A229,'Tabela de Produtos'!A:H,8,0)),"Matéria Prima Não Cadastrada")</f>
        <v>0.15093360995850622</v>
      </c>
      <c r="L229" s="216">
        <v>45939</v>
      </c>
    </row>
    <row r="230" spans="1:12" ht="15.75" customHeight="1">
      <c r="A230" s="48" t="s">
        <v>98</v>
      </c>
      <c r="B230" s="114" t="str">
        <f>VLOOKUP(A230,'Tabela de Produtos'!A:B,2,0)</f>
        <v>BRAZIMIL LÁTEX ECONÔMICO INT FOSCO 3L CROMO SUAVE</v>
      </c>
      <c r="C230" s="48" t="s">
        <v>1229</v>
      </c>
      <c r="D230" s="114" t="str">
        <f>VLOOKUP(C230,'Custos Matéria Prima Embalagens'!B:C,2,0)</f>
        <v>WANSOL 340 CE (BB-200)</v>
      </c>
      <c r="E230" s="114" t="str">
        <f>VLOOKUP(C230,'Custos Matéria Prima Embalagens'!B:D,3,0)</f>
        <v>COALESCENTE</v>
      </c>
      <c r="F230" s="270">
        <f t="shared" si="30"/>
        <v>917.64</v>
      </c>
      <c r="G230" s="148">
        <f t="shared" si="31"/>
        <v>5.4487598622553505E-3</v>
      </c>
      <c r="H230" s="96">
        <v>5</v>
      </c>
      <c r="I230" s="272">
        <f>ROUND(F230/VLOOKUP(A230,'Tabela de Produtos'!A:J,10,0),0)</f>
        <v>723</v>
      </c>
      <c r="J230" s="97">
        <f>IFERROR(VLOOKUP(C230,'Custos Matéria Prima Embalagens'!B:G,6,0)*H230,"Matéria Prima Não Cadastrada")</f>
        <v>96.1</v>
      </c>
      <c r="K230" s="97">
        <f>IFERROR(J230/(I230/VLOOKUP(A230,'Tabela de Produtos'!A:H,8,0)),"Matéria Prima Não Cadastrada")</f>
        <v>0.39875518672199167</v>
      </c>
      <c r="L230" s="216">
        <v>45939</v>
      </c>
    </row>
    <row r="231" spans="1:12" ht="15.75" customHeight="1">
      <c r="A231" s="48" t="s">
        <v>98</v>
      </c>
      <c r="B231" s="114" t="str">
        <f>VLOOKUP(A231,'Tabela de Produtos'!A:B,2,0)</f>
        <v>BRAZIMIL LÁTEX ECONÔMICO INT FOSCO 3L CROMO SUAVE</v>
      </c>
      <c r="C231" s="48" t="s">
        <v>1273</v>
      </c>
      <c r="D231" s="114" t="str">
        <f>VLOOKUP(C231,'Custos Matéria Prima Embalagens'!B:C,2,0)</f>
        <v>AMARELO SPECTRA RO</v>
      </c>
      <c r="E231" s="114" t="str">
        <f>VLOOKUP(C231,'Custos Matéria Prima Embalagens'!B:D,3,0)</f>
        <v>AMARELO SPECTRA RO</v>
      </c>
      <c r="F231" s="270">
        <f t="shared" si="30"/>
        <v>917.64</v>
      </c>
      <c r="G231" s="148">
        <f t="shared" si="31"/>
        <v>8.7180157796085608E-3</v>
      </c>
      <c r="H231" s="96">
        <v>8</v>
      </c>
      <c r="I231" s="272">
        <f>ROUND(F231/VLOOKUP(A231,'Tabela de Produtos'!A:J,10,0),0)</f>
        <v>723</v>
      </c>
      <c r="J231" s="97">
        <f>IFERROR(VLOOKUP(C231,'Custos Matéria Prima Embalagens'!B:G,6,0)*H231,"Matéria Prima Não Cadastrada")</f>
        <v>124.80000000000001</v>
      </c>
      <c r="K231" s="97">
        <f>IFERROR(J231/(I231/VLOOKUP(A231,'Tabela de Produtos'!A:H,8,0)),"Matéria Prima Não Cadastrada")</f>
        <v>0.51784232365145233</v>
      </c>
      <c r="L231" s="216">
        <v>45939</v>
      </c>
    </row>
    <row r="232" spans="1:12" ht="15.75" customHeight="1">
      <c r="A232" s="48" t="s">
        <v>98</v>
      </c>
      <c r="B232" s="114" t="str">
        <f>VLOOKUP(A232,'Tabela de Produtos'!A:B,2,0)</f>
        <v>BRAZIMIL LÁTEX ECONÔMICO INT FOSCO 3L CROMO SUAVE</v>
      </c>
      <c r="C232" s="48" t="s">
        <v>1353</v>
      </c>
      <c r="D232" s="114" t="str">
        <f>VLOOKUP(C232,'Custos Matéria Prima Embalagens'!B:C,2,0)</f>
        <v>VERMELHO SPECTRA RO</v>
      </c>
      <c r="E232" s="114" t="str">
        <f>VLOOKUP(C232,'Custos Matéria Prima Embalagens'!B:D,3,0)</f>
        <v>VERMELHO SPECTRA RO</v>
      </c>
      <c r="F232" s="270">
        <f t="shared" si="30"/>
        <v>917.64</v>
      </c>
      <c r="G232" s="148">
        <f t="shared" si="31"/>
        <v>2.6154047338825681E-4</v>
      </c>
      <c r="H232" s="96">
        <v>0.24</v>
      </c>
      <c r="I232" s="272">
        <f>ROUND(F232/VLOOKUP(A232,'Tabela de Produtos'!A:J,10,0),0)</f>
        <v>723</v>
      </c>
      <c r="J232" s="97">
        <f>IFERROR(VLOOKUP(C232,'Custos Matéria Prima Embalagens'!B:G,6,0)*H232,"Matéria Prima Não Cadastrada")</f>
        <v>3.6983999999999999</v>
      </c>
      <c r="K232" s="97">
        <f>IFERROR(J232/(I232/VLOOKUP(A232,'Tabela de Produtos'!A:H,8,0)),"Matéria Prima Não Cadastrada")</f>
        <v>1.5346058091286306E-2</v>
      </c>
      <c r="L232" s="216">
        <v>45939</v>
      </c>
    </row>
    <row r="233" spans="1:12" ht="15.75" customHeight="1">
      <c r="A233" s="48" t="s">
        <v>98</v>
      </c>
      <c r="B233" s="114" t="str">
        <f>VLOOKUP(A233,'Tabela de Produtos'!A:B,2,0)</f>
        <v>BRAZIMIL LÁTEX ECONÔMICO INT FOSCO 3L CROMO SUAVE</v>
      </c>
      <c r="C233" s="48" t="s">
        <v>1239</v>
      </c>
      <c r="D233" s="114" t="str">
        <f>VLOOKUP(C233,'Custos Matéria Prima Embalagens'!B:C,2,0)</f>
        <v>AMARELO SPECTRAPRINT 2GXH</v>
      </c>
      <c r="E233" s="114" t="str">
        <f>VLOOKUP(C233,'Custos Matéria Prima Embalagens'!B:D,3,0)</f>
        <v>AMARELO SPECTRAPRINT 2GXH</v>
      </c>
      <c r="F233" s="270">
        <f t="shared" si="30"/>
        <v>917.64</v>
      </c>
      <c r="G233" s="148">
        <f t="shared" si="31"/>
        <v>4.3590078898042811E-4</v>
      </c>
      <c r="H233" s="96">
        <v>0.4</v>
      </c>
      <c r="I233" s="272">
        <f>ROUND(F233/VLOOKUP(A233,'Tabela de Produtos'!A:J,10,0),0)</f>
        <v>723</v>
      </c>
      <c r="J233" s="97">
        <f>IFERROR(VLOOKUP(C233,'Custos Matéria Prima Embalagens'!B:G,6,0)*H233,"Matéria Prima Não Cadastrada")</f>
        <v>8.4440000000000008</v>
      </c>
      <c r="K233" s="97">
        <f>IFERROR(J233/(I233/VLOOKUP(A233,'Tabela de Produtos'!A:H,8,0)),"Matéria Prima Não Cadastrada")</f>
        <v>3.5037344398340255E-2</v>
      </c>
      <c r="L233" s="216">
        <v>45939</v>
      </c>
    </row>
    <row r="234" spans="1:12" ht="15.75" customHeight="1">
      <c r="D234" s="114"/>
      <c r="E234" s="114"/>
      <c r="F234" s="96"/>
      <c r="G234" s="148"/>
      <c r="H234" s="96"/>
      <c r="I234" s="272"/>
      <c r="J234" s="97"/>
      <c r="K234" s="97"/>
      <c r="L234" s="216">
        <v>45939</v>
      </c>
    </row>
    <row r="235" spans="1:12" ht="15.75" customHeight="1">
      <c r="A235" s="48" t="s">
        <v>99</v>
      </c>
      <c r="B235" s="114" t="str">
        <f>VLOOKUP(A235,'Tabela de Produtos'!A:B,2,0)</f>
        <v>BRAZIMIL LÁTEX ECONÔMICO INT FOSCO 3L ROSA BEBE</v>
      </c>
      <c r="C235" s="48" t="s">
        <v>1197</v>
      </c>
      <c r="D235" s="114" t="str">
        <f>VLOOKUP(C235,'Custos Matéria Prima Embalagens'!B:C,2,0)</f>
        <v>AGUA</v>
      </c>
      <c r="E235" s="114" t="str">
        <f>VLOOKUP(C235,'Custos Matéria Prima Embalagens'!B:D,3,0)</f>
        <v>AGUA</v>
      </c>
      <c r="F235" s="270">
        <f t="shared" ref="F235:F248" si="32">SUMIFS(H:H,A:A,A235)</f>
        <v>910</v>
      </c>
      <c r="G235" s="148">
        <f t="shared" ref="G235:G248" si="33">H235/F235</f>
        <v>0.50549450549450547</v>
      </c>
      <c r="H235" s="96">
        <v>460</v>
      </c>
      <c r="I235" s="272">
        <f>ROUND(F235/VLOOKUP(A235,'Tabela de Produtos'!A:J,10,0),0)</f>
        <v>717</v>
      </c>
      <c r="J235" s="97">
        <f>IFERROR(VLOOKUP(C235,'Custos Matéria Prima Embalagens'!B:G,6,0)*H235,"Matéria Prima Não Cadastrada")</f>
        <v>0</v>
      </c>
      <c r="K235" s="97">
        <f>IFERROR(J235/(I235/VLOOKUP(A235,'Tabela de Produtos'!A:H,8,0)),"Matéria Prima Não Cadastrada")</f>
        <v>0</v>
      </c>
      <c r="L235" s="216">
        <v>45939</v>
      </c>
    </row>
    <row r="236" spans="1:12" ht="15.75" customHeight="1">
      <c r="A236" s="48" t="s">
        <v>99</v>
      </c>
      <c r="B236" s="114" t="str">
        <f>VLOOKUP(A236,'Tabela de Produtos'!A:B,2,0)</f>
        <v>BRAZIMIL LÁTEX ECONÔMICO INT FOSCO 3L ROSA BEBE</v>
      </c>
      <c r="C236" s="48" t="s">
        <v>1201</v>
      </c>
      <c r="D236" s="114" t="str">
        <f>VLOOKUP(C236,'Custos Matéria Prima Embalagens'!B:C,2,0)</f>
        <v>WANFOAM 528 CE (BB-190)</v>
      </c>
      <c r="E236" s="114" t="str">
        <f>VLOOKUP(C236,'Custos Matéria Prima Embalagens'!B:D,3,0)</f>
        <v>ANTI ESPUMA LATEX</v>
      </c>
      <c r="F236" s="270">
        <f t="shared" si="32"/>
        <v>910</v>
      </c>
      <c r="G236" s="148">
        <f t="shared" si="33"/>
        <v>2.7472527472527475E-3</v>
      </c>
      <c r="H236" s="96">
        <v>2.5</v>
      </c>
      <c r="I236" s="272">
        <f>ROUND(F236/VLOOKUP(A236,'Tabela de Produtos'!A:J,10,0),0)</f>
        <v>717</v>
      </c>
      <c r="J236" s="97">
        <f>IFERROR(VLOOKUP(C236,'Custos Matéria Prima Embalagens'!B:G,6,0)*H236,"Matéria Prima Não Cadastrada")</f>
        <v>17.95</v>
      </c>
      <c r="K236" s="97">
        <f>IFERROR(J236/(I236/VLOOKUP(A236,'Tabela de Produtos'!A:H,8,0)),"Matéria Prima Não Cadastrada")</f>
        <v>7.510460251046025E-2</v>
      </c>
      <c r="L236" s="216">
        <v>45939</v>
      </c>
    </row>
    <row r="237" spans="1:12" ht="15.75" customHeight="1">
      <c r="A237" s="48" t="s">
        <v>99</v>
      </c>
      <c r="B237" s="114" t="str">
        <f>VLOOKUP(A237,'Tabela de Produtos'!A:B,2,0)</f>
        <v>BRAZIMIL LÁTEX ECONÔMICO INT FOSCO 3L ROSA BEBE</v>
      </c>
      <c r="C237" s="48" t="s">
        <v>1203</v>
      </c>
      <c r="D237" s="114" t="str">
        <f>VLOOKUP(C237,'Custos Matéria Prima Embalagens'!B:C,2,0)</f>
        <v>WANBAC WBT CE (BH-200)</v>
      </c>
      <c r="E237" s="114" t="str">
        <f>VLOOKUP(C237,'Custos Matéria Prima Embalagens'!B:D,3,0)</f>
        <v>BACTERICIDA</v>
      </c>
      <c r="F237" s="270">
        <f t="shared" si="32"/>
        <v>910</v>
      </c>
      <c r="G237" s="148">
        <f t="shared" si="33"/>
        <v>3.2967032967032967E-3</v>
      </c>
      <c r="H237" s="96">
        <v>3</v>
      </c>
      <c r="I237" s="272">
        <f>ROUND(F237/VLOOKUP(A237,'Tabela de Produtos'!A:J,10,0),0)</f>
        <v>717</v>
      </c>
      <c r="J237" s="97">
        <f>IFERROR(VLOOKUP(C237,'Custos Matéria Prima Embalagens'!B:G,6,0)*H237,"Matéria Prima Não Cadastrada")</f>
        <v>14.819999999999999</v>
      </c>
      <c r="K237" s="97">
        <f>IFERROR(J237/(I237/VLOOKUP(A237,'Tabela de Produtos'!A:H,8,0)),"Matéria Prima Não Cadastrada")</f>
        <v>6.2008368200836814E-2</v>
      </c>
      <c r="L237" s="216">
        <v>45939</v>
      </c>
    </row>
    <row r="238" spans="1:12" ht="15.75" customHeight="1">
      <c r="A238" s="48" t="s">
        <v>99</v>
      </c>
      <c r="B238" s="114" t="str">
        <f>VLOOKUP(A238,'Tabela de Produtos'!A:B,2,0)</f>
        <v>BRAZIMIL LÁTEX ECONÔMICO INT FOSCO 3L ROSA BEBE</v>
      </c>
      <c r="C238" s="48" t="s">
        <v>1205</v>
      </c>
      <c r="D238" s="114" t="str">
        <f>VLOOKUP(C238,'Custos Matéria Prima Embalagens'!B:C,2,0)</f>
        <v>WANSUR 840 CE (BB-200)01</v>
      </c>
      <c r="E238" s="114" t="str">
        <f>VLOOKUP(C238,'Custos Matéria Prima Embalagens'!B:D,3,0)</f>
        <v>UMECTANTE</v>
      </c>
      <c r="F238" s="270">
        <f t="shared" si="32"/>
        <v>910</v>
      </c>
      <c r="G238" s="148">
        <f t="shared" si="33"/>
        <v>2.1978021978021978E-3</v>
      </c>
      <c r="H238" s="96">
        <v>2</v>
      </c>
      <c r="I238" s="272">
        <f>ROUND(F238/VLOOKUP(A238,'Tabela de Produtos'!A:J,10,0),0)</f>
        <v>717</v>
      </c>
      <c r="J238" s="97">
        <f>IFERROR(VLOOKUP(C238,'Custos Matéria Prima Embalagens'!B:G,6,0)*H238,"Matéria Prima Não Cadastrada")</f>
        <v>14.66</v>
      </c>
      <c r="K238" s="97">
        <f>IFERROR(J238/(I238/VLOOKUP(A238,'Tabela de Produtos'!A:H,8,0)),"Matéria Prima Não Cadastrada")</f>
        <v>6.1338912133891213E-2</v>
      </c>
      <c r="L238" s="216">
        <v>45939</v>
      </c>
    </row>
    <row r="239" spans="1:12" ht="15.75" customHeight="1">
      <c r="A239" s="48" t="s">
        <v>99</v>
      </c>
      <c r="B239" s="114" t="str">
        <f>VLOOKUP(A239,'Tabela de Produtos'!A:B,2,0)</f>
        <v>BRAZIMIL LÁTEX ECONÔMICO INT FOSCO 3L ROSA BEBE</v>
      </c>
      <c r="C239" s="48" t="s">
        <v>1207</v>
      </c>
      <c r="D239" s="114" t="str">
        <f>VLOOKUP(C239,'Custos Matéria Prima Embalagens'!B:C,2,0)</f>
        <v>WANPEX 1510 (BB-200)</v>
      </c>
      <c r="E239" s="114" t="str">
        <f>VLOOKUP(C239,'Custos Matéria Prima Embalagens'!B:D,3,0)</f>
        <v>DISPERSANTE LATEX</v>
      </c>
      <c r="F239" s="270">
        <f t="shared" si="32"/>
        <v>910</v>
      </c>
      <c r="G239" s="148">
        <f t="shared" si="33"/>
        <v>3.2967032967032967E-3</v>
      </c>
      <c r="H239" s="96">
        <v>3</v>
      </c>
      <c r="I239" s="272">
        <f>ROUND(F239/VLOOKUP(A239,'Tabela de Produtos'!A:J,10,0),0)</f>
        <v>717</v>
      </c>
      <c r="J239" s="97">
        <f>IFERROR(VLOOKUP(C239,'Custos Matéria Prima Embalagens'!B:G,6,0)*H239,"Matéria Prima Não Cadastrada")</f>
        <v>20.58</v>
      </c>
      <c r="K239" s="97">
        <f>IFERROR(J239/(I239/VLOOKUP(A239,'Tabela de Produtos'!A:H,8,0)),"Matéria Prima Não Cadastrada")</f>
        <v>8.610878661087866E-2</v>
      </c>
      <c r="L239" s="216">
        <v>45939</v>
      </c>
    </row>
    <row r="240" spans="1:12" ht="15.75" customHeight="1">
      <c r="A240" s="48" t="s">
        <v>99</v>
      </c>
      <c r="B240" s="114" t="str">
        <f>VLOOKUP(A240,'Tabela de Produtos'!A:B,2,0)</f>
        <v>BRAZIMIL LÁTEX ECONÔMICO INT FOSCO 3L ROSA BEBE</v>
      </c>
      <c r="C240" s="48" t="s">
        <v>1209</v>
      </c>
      <c r="D240" s="114" t="str">
        <f>VLOOKUP(C240,'Custos Matéria Prima Embalagens'!B:C,2,0)</f>
        <v>WANFUNG WFT CE (BH-200)</v>
      </c>
      <c r="E240" s="114" t="str">
        <f>VLOOKUP(C240,'Custos Matéria Prima Embalagens'!B:D,3,0)</f>
        <v>FUNGICIDA</v>
      </c>
      <c r="F240" s="270">
        <f t="shared" si="32"/>
        <v>910</v>
      </c>
      <c r="G240" s="148">
        <f t="shared" si="33"/>
        <v>2.7472527472527475E-3</v>
      </c>
      <c r="H240" s="96">
        <v>2.5</v>
      </c>
      <c r="I240" s="272">
        <f>ROUND(F240/VLOOKUP(A240,'Tabela de Produtos'!A:J,10,0),0)</f>
        <v>717</v>
      </c>
      <c r="J240" s="97">
        <f>IFERROR(VLOOKUP(C240,'Custos Matéria Prima Embalagens'!B:G,6,0)*H240,"Matéria Prima Não Cadastrada")</f>
        <v>17.5</v>
      </c>
      <c r="K240" s="97">
        <f>IFERROR(J240/(I240/VLOOKUP(A240,'Tabela de Produtos'!A:H,8,0)),"Matéria Prima Não Cadastrada")</f>
        <v>7.3221757322175729E-2</v>
      </c>
      <c r="L240" s="216">
        <v>45939</v>
      </c>
    </row>
    <row r="241" spans="1:12" ht="15.75" customHeight="1">
      <c r="A241" s="48" t="s">
        <v>99</v>
      </c>
      <c r="B241" s="114" t="str">
        <f>VLOOKUP(A241,'Tabela de Produtos'!A:B,2,0)</f>
        <v>BRAZIMIL LÁTEX ECONÔMICO INT FOSCO 3L ROSA BEBE</v>
      </c>
      <c r="C241" s="48" t="s">
        <v>1215</v>
      </c>
      <c r="D241" s="114" t="str">
        <f>VLOOKUP(C241,'Custos Matéria Prima Embalagens'!B:C,2,0)</f>
        <v>CALCARIO DOLOMITICO #500 ( SACOS 25 KG)</v>
      </c>
      <c r="E241" s="114" t="str">
        <f>VLOOKUP(C241,'Custos Matéria Prima Embalagens'!B:D,3,0)</f>
        <v>CARBONATO #500</v>
      </c>
      <c r="F241" s="270">
        <f t="shared" si="32"/>
        <v>910</v>
      </c>
      <c r="G241" s="148">
        <f t="shared" si="33"/>
        <v>5.4945054945054944E-2</v>
      </c>
      <c r="H241" s="96">
        <v>50</v>
      </c>
      <c r="I241" s="272">
        <f>ROUND(F241/VLOOKUP(A241,'Tabela de Produtos'!A:J,10,0),0)</f>
        <v>717</v>
      </c>
      <c r="J241" s="97">
        <f>IFERROR(VLOOKUP(C241,'Custos Matéria Prima Embalagens'!B:G,6,0)*H241,"Matéria Prima Não Cadastrada")</f>
        <v>40</v>
      </c>
      <c r="K241" s="97">
        <f>IFERROR(J241/(I241/VLOOKUP(A241,'Tabela de Produtos'!A:H,8,0)),"Matéria Prima Não Cadastrada")</f>
        <v>0.16736401673640167</v>
      </c>
      <c r="L241" s="216">
        <v>45939</v>
      </c>
    </row>
    <row r="242" spans="1:12" ht="15.75" customHeight="1">
      <c r="A242" s="48" t="s">
        <v>99</v>
      </c>
      <c r="B242" s="114" t="str">
        <f>VLOOKUP(A242,'Tabela de Produtos'!A:B,2,0)</f>
        <v>BRAZIMIL LÁTEX ECONÔMICO INT FOSCO 3L ROSA BEBE</v>
      </c>
      <c r="C242" s="48" t="s">
        <v>1227</v>
      </c>
      <c r="D242" s="114" t="str">
        <f>VLOOKUP(C242,'Custos Matéria Prima Embalagens'!B:C,2,0)</f>
        <v>CAULIM MALHA 325</v>
      </c>
      <c r="E242" s="114" t="str">
        <f>VLOOKUP(C242,'Custos Matéria Prima Embalagens'!B:D,3,0)</f>
        <v>caulim</v>
      </c>
      <c r="F242" s="270">
        <f t="shared" si="32"/>
        <v>910</v>
      </c>
      <c r="G242" s="148">
        <f t="shared" si="33"/>
        <v>0.35714285714285715</v>
      </c>
      <c r="H242" s="96">
        <v>325</v>
      </c>
      <c r="I242" s="272">
        <f>ROUND(F242/VLOOKUP(A242,'Tabela de Produtos'!A:J,10,0),0)</f>
        <v>717</v>
      </c>
      <c r="J242" s="97">
        <f>IFERROR(VLOOKUP(C242,'Custos Matéria Prima Embalagens'!B:G,6,0)*H242,"Matéria Prima Não Cadastrada")</f>
        <v>494.16105555555538</v>
      </c>
      <c r="K242" s="97">
        <f>IFERROR(J242/(I242/VLOOKUP(A242,'Tabela de Produtos'!A:H,8,0)),"Matéria Prima Não Cadastrada")</f>
        <v>2.0676194793119471</v>
      </c>
      <c r="L242" s="216">
        <v>45939</v>
      </c>
    </row>
    <row r="243" spans="1:12" ht="15.75" customHeight="1">
      <c r="A243" s="48" t="s">
        <v>99</v>
      </c>
      <c r="B243" s="114" t="str">
        <f>VLOOKUP(A243,'Tabela de Produtos'!A:B,2,0)</f>
        <v>BRAZIMIL LÁTEX ECONÔMICO INT FOSCO 3L ROSA BEBE</v>
      </c>
      <c r="C243" s="48" t="s">
        <v>1217</v>
      </c>
      <c r="D243" s="114" t="str">
        <f>VLOOKUP(C243,'Custos Matéria Prima Embalagens'!B:C,2,0)</f>
        <v>WANCRIL W 51 CE (CT-1000P)</v>
      </c>
      <c r="E243" s="114" t="str">
        <f>VLOOKUP(C243,'Custos Matéria Prima Embalagens'!B:D,3,0)</f>
        <v>RESINA ACRILICA ESTIRENADA</v>
      </c>
      <c r="F243" s="270">
        <f t="shared" si="32"/>
        <v>910</v>
      </c>
      <c r="G243" s="148">
        <f t="shared" si="33"/>
        <v>3.2967032967032968E-2</v>
      </c>
      <c r="H243" s="96">
        <v>30</v>
      </c>
      <c r="I243" s="272">
        <f>ROUND(F243/VLOOKUP(A243,'Tabela de Produtos'!A:J,10,0),0)</f>
        <v>717</v>
      </c>
      <c r="J243" s="97">
        <f>IFERROR(VLOOKUP(C243,'Custos Matéria Prima Embalagens'!B:G,6,0)*H243,"Matéria Prima Não Cadastrada")</f>
        <v>252.89999999999998</v>
      </c>
      <c r="K243" s="97">
        <f>IFERROR(J243/(I243/VLOOKUP(A243,'Tabela de Produtos'!A:H,8,0)),"Matéria Prima Não Cadastrada")</f>
        <v>1.0581589958158995</v>
      </c>
      <c r="L243" s="216">
        <v>45939</v>
      </c>
    </row>
    <row r="244" spans="1:12" ht="15.75" customHeight="1">
      <c r="A244" s="48" t="s">
        <v>99</v>
      </c>
      <c r="B244" s="114" t="str">
        <f>VLOOKUP(A244,'Tabela de Produtos'!A:B,2,0)</f>
        <v>BRAZIMIL LÁTEX ECONÔMICO INT FOSCO 3L ROSA BEBE</v>
      </c>
      <c r="C244" s="48" t="s">
        <v>1219</v>
      </c>
      <c r="D244" s="114" t="str">
        <f>VLOOKUP(C244,'Custos Matéria Prima Embalagens'!B:C,2,0)</f>
        <v>WANALK 70 CE (BH-200)</v>
      </c>
      <c r="E244" s="114" t="str">
        <f>VLOOKUP(C244,'Custos Matéria Prima Embalagens'!B:D,3,0)</f>
        <v>ALCALINIZANTE</v>
      </c>
      <c r="F244" s="270">
        <f t="shared" si="32"/>
        <v>910</v>
      </c>
      <c r="G244" s="148">
        <f t="shared" si="33"/>
        <v>3.2967032967032967E-3</v>
      </c>
      <c r="H244" s="96">
        <v>3</v>
      </c>
      <c r="I244" s="272">
        <f>ROUND(F244/VLOOKUP(A244,'Tabela de Produtos'!A:J,10,0),0)</f>
        <v>717</v>
      </c>
      <c r="J244" s="97">
        <f>IFERROR(VLOOKUP(C244,'Custos Matéria Prima Embalagens'!B:G,6,0)*H244,"Matéria Prima Não Cadastrada")</f>
        <v>14.940000000000001</v>
      </c>
      <c r="K244" s="97">
        <f>IFERROR(J244/(I244/VLOOKUP(A244,'Tabela de Produtos'!A:H,8,0)),"Matéria Prima Não Cadastrada")</f>
        <v>6.2510460251046035E-2</v>
      </c>
      <c r="L244" s="216">
        <v>45939</v>
      </c>
    </row>
    <row r="245" spans="1:12" ht="15.75" customHeight="1">
      <c r="A245" s="48" t="s">
        <v>99</v>
      </c>
      <c r="B245" s="114" t="str">
        <f>VLOOKUP(A245,'Tabela de Produtos'!A:B,2,0)</f>
        <v>BRAZIMIL LÁTEX ECONÔMICO INT FOSCO 3L ROSA BEBE</v>
      </c>
      <c r="C245" s="48" t="s">
        <v>1221</v>
      </c>
      <c r="D245" s="114" t="str">
        <f>VLOOKUP(C245,'Custos Matéria Prima Embalagens'!B:C,2,0)</f>
        <v>MODIWAN 105H CE (CT-1000P)</v>
      </c>
      <c r="E245" s="114" t="str">
        <f>VLOOKUP(C245,'Custos Matéria Prima Embalagens'!B:D,3,0)</f>
        <v>ESPESSANTE DE MEDIA</v>
      </c>
      <c r="F245" s="270">
        <f t="shared" si="32"/>
        <v>910</v>
      </c>
      <c r="G245" s="148">
        <f t="shared" si="33"/>
        <v>1.7032967032967031E-2</v>
      </c>
      <c r="H245" s="96">
        <v>15.5</v>
      </c>
      <c r="I245" s="272">
        <f>ROUND(F245/VLOOKUP(A245,'Tabela de Produtos'!A:J,10,0),0)</f>
        <v>717</v>
      </c>
      <c r="J245" s="97">
        <f>IFERROR(VLOOKUP(C245,'Custos Matéria Prima Embalagens'!B:G,6,0)*H245,"Matéria Prima Não Cadastrada")</f>
        <v>122.52749999999999</v>
      </c>
      <c r="K245" s="97">
        <f>IFERROR(J245/(I245/VLOOKUP(A245,'Tabela de Produtos'!A:H,8,0)),"Matéria Prima Não Cadastrada")</f>
        <v>0.5126673640167364</v>
      </c>
      <c r="L245" s="216">
        <v>45939</v>
      </c>
    </row>
    <row r="246" spans="1:12" ht="15.75" customHeight="1">
      <c r="A246" s="48" t="s">
        <v>99</v>
      </c>
      <c r="B246" s="114" t="str">
        <f>VLOOKUP(A246,'Tabela de Produtos'!A:B,2,0)</f>
        <v>BRAZIMIL LÁTEX ECONÔMICO INT FOSCO 3L ROSA BEBE</v>
      </c>
      <c r="C246" s="48" t="s">
        <v>1223</v>
      </c>
      <c r="D246" s="114" t="str">
        <f>VLOOKUP(C246,'Custos Matéria Prima Embalagens'!B:C,2,0)</f>
        <v>TURBOWAN H CE (BH-200)</v>
      </c>
      <c r="E246" s="114" t="str">
        <f>VLOOKUP(C246,'Custos Matéria Prima Embalagens'!B:D,3,0)</f>
        <v>PROMOTOR DE LAVABILIDADE</v>
      </c>
      <c r="F246" s="270">
        <f t="shared" si="32"/>
        <v>910</v>
      </c>
      <c r="G246" s="148">
        <f t="shared" si="33"/>
        <v>8.241758241758242E-3</v>
      </c>
      <c r="H246" s="96">
        <v>7.5</v>
      </c>
      <c r="I246" s="272">
        <f>ROUND(F246/VLOOKUP(A246,'Tabela de Produtos'!A:J,10,0),0)</f>
        <v>717</v>
      </c>
      <c r="J246" s="97">
        <f>IFERROR(VLOOKUP(C246,'Custos Matéria Prima Embalagens'!B:G,6,0)*H246,"Matéria Prima Não Cadastrada")</f>
        <v>36.375</v>
      </c>
      <c r="K246" s="97">
        <f>IFERROR(J246/(I246/VLOOKUP(A246,'Tabela de Produtos'!A:H,8,0)),"Matéria Prima Não Cadastrada")</f>
        <v>0.15219665271966526</v>
      </c>
      <c r="L246" s="216">
        <v>45939</v>
      </c>
    </row>
    <row r="247" spans="1:12" ht="15.75" customHeight="1">
      <c r="A247" s="48" t="s">
        <v>99</v>
      </c>
      <c r="B247" s="114" t="str">
        <f>VLOOKUP(A247,'Tabela de Produtos'!A:B,2,0)</f>
        <v>BRAZIMIL LÁTEX ECONÔMICO INT FOSCO 3L ROSA BEBE</v>
      </c>
      <c r="C247" s="48" t="s">
        <v>1229</v>
      </c>
      <c r="D247" s="114" t="str">
        <f>VLOOKUP(C247,'Custos Matéria Prima Embalagens'!B:C,2,0)</f>
        <v>WANSOL 340 CE (BB-200)</v>
      </c>
      <c r="E247" s="114" t="str">
        <f>VLOOKUP(C247,'Custos Matéria Prima Embalagens'!B:D,3,0)</f>
        <v>COALESCENTE</v>
      </c>
      <c r="F247" s="270">
        <f t="shared" si="32"/>
        <v>910</v>
      </c>
      <c r="G247" s="148">
        <f t="shared" si="33"/>
        <v>5.4945054945054949E-3</v>
      </c>
      <c r="H247" s="96">
        <v>5</v>
      </c>
      <c r="I247" s="272">
        <f>ROUND(F247/VLOOKUP(A247,'Tabela de Produtos'!A:J,10,0),0)</f>
        <v>717</v>
      </c>
      <c r="J247" s="97">
        <f>IFERROR(VLOOKUP(C247,'Custos Matéria Prima Embalagens'!B:G,6,0)*H247,"Matéria Prima Não Cadastrada")</f>
        <v>96.1</v>
      </c>
      <c r="K247" s="97">
        <f>IFERROR(J247/(I247/VLOOKUP(A247,'Tabela de Produtos'!A:H,8,0)),"Matéria Prima Não Cadastrada")</f>
        <v>0.40209205020920502</v>
      </c>
      <c r="L247" s="216">
        <v>45939</v>
      </c>
    </row>
    <row r="248" spans="1:12" ht="15.75" customHeight="1">
      <c r="A248" s="48" t="s">
        <v>99</v>
      </c>
      <c r="B248" s="114" t="str">
        <f>VLOOKUP(A248,'Tabela de Produtos'!A:B,2,0)</f>
        <v>BRAZIMIL LÁTEX ECONÔMICO INT FOSCO 3L ROSA BEBE</v>
      </c>
      <c r="C248" s="48" t="s">
        <v>1244</v>
      </c>
      <c r="D248" s="114" t="str">
        <f>VLOOKUP(C248,'Custos Matéria Prima Embalagens'!B:C,2,0)</f>
        <v>VERMELHO SPECTRAPRINT GR</v>
      </c>
      <c r="E248" s="114" t="str">
        <f>VLOOKUP(C248,'Custos Matéria Prima Embalagens'!B:D,3,0)</f>
        <v>VERMELHO SPECTRAPRINT GR</v>
      </c>
      <c r="F248" s="270">
        <f t="shared" si="32"/>
        <v>910</v>
      </c>
      <c r="G248" s="148">
        <f t="shared" si="33"/>
        <v>1.0989010989010989E-3</v>
      </c>
      <c r="H248" s="96">
        <v>1</v>
      </c>
      <c r="I248" s="272">
        <f>ROUND(F248/VLOOKUP(A248,'Tabela de Produtos'!A:J,10,0),0)</f>
        <v>717</v>
      </c>
      <c r="J248" s="97">
        <f>IFERROR(VLOOKUP(C248,'Custos Matéria Prima Embalagens'!B:G,6,0)*H248,"Matéria Prima Não Cadastrada")</f>
        <v>40.33</v>
      </c>
      <c r="K248" s="97">
        <f>IFERROR(J248/(I248/VLOOKUP(A248,'Tabela de Produtos'!A:H,8,0)),"Matéria Prima Não Cadastrada")</f>
        <v>0.16874476987447698</v>
      </c>
      <c r="L248" s="216">
        <v>45939</v>
      </c>
    </row>
    <row r="249" spans="1:12" ht="15.75" customHeight="1">
      <c r="D249" s="114"/>
      <c r="E249" s="114"/>
      <c r="F249" s="96"/>
      <c r="G249" s="148"/>
      <c r="H249" s="96"/>
      <c r="I249" s="272"/>
      <c r="J249" s="97"/>
      <c r="K249" s="97"/>
      <c r="L249" s="216">
        <v>45939</v>
      </c>
    </row>
    <row r="250" spans="1:12" ht="15.75" customHeight="1">
      <c r="A250" s="48" t="s">
        <v>100</v>
      </c>
      <c r="B250" s="114" t="str">
        <f>VLOOKUP(A250,'Tabela de Produtos'!A:B,2,0)</f>
        <v>BRAZIMIL LÁTEX ECONÔMICO INT FOSCO 3L MARFIM</v>
      </c>
      <c r="C250" s="48" t="s">
        <v>1197</v>
      </c>
      <c r="D250" s="114" t="str">
        <f>VLOOKUP(C250,'Custos Matéria Prima Embalagens'!B:C,2,0)</f>
        <v>AGUA</v>
      </c>
      <c r="E250" s="114" t="str">
        <f>VLOOKUP(C250,'Custos Matéria Prima Embalagens'!B:D,3,0)</f>
        <v>AGUA</v>
      </c>
      <c r="F250" s="270">
        <f t="shared" ref="F250:F265" si="34">SUMIFS(H:H,A:A,A250)</f>
        <v>910.94500000000005</v>
      </c>
      <c r="G250" s="148">
        <f t="shared" ref="G250:G265" si="35">H250/F250</f>
        <v>0.50497011345361131</v>
      </c>
      <c r="H250" s="96">
        <v>460</v>
      </c>
      <c r="I250" s="272">
        <f>ROUND(F250/VLOOKUP(A250,'Tabela de Produtos'!A:J,10,0),0)</f>
        <v>717</v>
      </c>
      <c r="J250" s="97">
        <f>IFERROR(VLOOKUP(C250,'Custos Matéria Prima Embalagens'!B:G,6,0)*H250,"Matéria Prima Não Cadastrada")</f>
        <v>0</v>
      </c>
      <c r="K250" s="97">
        <f>IFERROR(J250/(I250/VLOOKUP(A250,'Tabela de Produtos'!A:H,8,0)),"Matéria Prima Não Cadastrada")</f>
        <v>0</v>
      </c>
      <c r="L250" s="216">
        <v>45939</v>
      </c>
    </row>
    <row r="251" spans="1:12" ht="15.75" customHeight="1">
      <c r="A251" s="48" t="s">
        <v>100</v>
      </c>
      <c r="B251" s="114" t="str">
        <f>VLOOKUP(A251,'Tabela de Produtos'!A:B,2,0)</f>
        <v>BRAZIMIL LÁTEX ECONÔMICO INT FOSCO 3L MARFIM</v>
      </c>
      <c r="C251" s="48" t="s">
        <v>1201</v>
      </c>
      <c r="D251" s="114" t="str">
        <f>VLOOKUP(C251,'Custos Matéria Prima Embalagens'!B:C,2,0)</f>
        <v>WANFOAM 528 CE (BB-190)</v>
      </c>
      <c r="E251" s="114" t="str">
        <f>VLOOKUP(C251,'Custos Matéria Prima Embalagens'!B:D,3,0)</f>
        <v>ANTI ESPUMA LATEX</v>
      </c>
      <c r="F251" s="270">
        <f t="shared" si="34"/>
        <v>910.94500000000005</v>
      </c>
      <c r="G251" s="148">
        <f t="shared" si="35"/>
        <v>2.7444027905087574E-3</v>
      </c>
      <c r="H251" s="96">
        <v>2.5</v>
      </c>
      <c r="I251" s="272">
        <f>ROUND(F251/VLOOKUP(A251,'Tabela de Produtos'!A:J,10,0),0)</f>
        <v>717</v>
      </c>
      <c r="J251" s="97">
        <f>IFERROR(VLOOKUP(C251,'Custos Matéria Prima Embalagens'!B:G,6,0)*H251,"Matéria Prima Não Cadastrada")</f>
        <v>17.95</v>
      </c>
      <c r="K251" s="97">
        <f>IFERROR(J251/(I251/VLOOKUP(A251,'Tabela de Produtos'!A:H,8,0)),"Matéria Prima Não Cadastrada")</f>
        <v>7.510460251046025E-2</v>
      </c>
      <c r="L251" s="216">
        <v>45939</v>
      </c>
    </row>
    <row r="252" spans="1:12" ht="15.75" customHeight="1">
      <c r="A252" s="48" t="s">
        <v>100</v>
      </c>
      <c r="B252" s="114" t="str">
        <f>VLOOKUP(A252,'Tabela de Produtos'!A:B,2,0)</f>
        <v>BRAZIMIL LÁTEX ECONÔMICO INT FOSCO 3L MARFIM</v>
      </c>
      <c r="C252" s="48" t="s">
        <v>1203</v>
      </c>
      <c r="D252" s="114" t="str">
        <f>VLOOKUP(C252,'Custos Matéria Prima Embalagens'!B:C,2,0)</f>
        <v>WANBAC WBT CE (BH-200)</v>
      </c>
      <c r="E252" s="114" t="str">
        <f>VLOOKUP(C252,'Custos Matéria Prima Embalagens'!B:D,3,0)</f>
        <v>BACTERICIDA</v>
      </c>
      <c r="F252" s="270">
        <f t="shared" si="34"/>
        <v>910.94500000000005</v>
      </c>
      <c r="G252" s="148">
        <f t="shared" si="35"/>
        <v>3.2932833486105087E-3</v>
      </c>
      <c r="H252" s="96">
        <v>3</v>
      </c>
      <c r="I252" s="272">
        <f>ROUND(F252/VLOOKUP(A252,'Tabela de Produtos'!A:J,10,0),0)</f>
        <v>717</v>
      </c>
      <c r="J252" s="97">
        <f>IFERROR(VLOOKUP(C252,'Custos Matéria Prima Embalagens'!B:G,6,0)*H252,"Matéria Prima Não Cadastrada")</f>
        <v>14.819999999999999</v>
      </c>
      <c r="K252" s="97">
        <f>IFERROR(J252/(I252/VLOOKUP(A252,'Tabela de Produtos'!A:H,8,0)),"Matéria Prima Não Cadastrada")</f>
        <v>6.2008368200836814E-2</v>
      </c>
      <c r="L252" s="216">
        <v>45939</v>
      </c>
    </row>
    <row r="253" spans="1:12" ht="15.75" customHeight="1">
      <c r="A253" s="48" t="s">
        <v>100</v>
      </c>
      <c r="B253" s="114" t="str">
        <f>VLOOKUP(A253,'Tabela de Produtos'!A:B,2,0)</f>
        <v>BRAZIMIL LÁTEX ECONÔMICO INT FOSCO 3L MARFIM</v>
      </c>
      <c r="C253" s="48" t="s">
        <v>1205</v>
      </c>
      <c r="D253" s="114" t="str">
        <f>VLOOKUP(C253,'Custos Matéria Prima Embalagens'!B:C,2,0)</f>
        <v>WANSUR 840 CE (BB-200)01</v>
      </c>
      <c r="E253" s="114" t="str">
        <f>VLOOKUP(C253,'Custos Matéria Prima Embalagens'!B:D,3,0)</f>
        <v>UMECTANTE</v>
      </c>
      <c r="F253" s="270">
        <f t="shared" si="34"/>
        <v>910.94500000000005</v>
      </c>
      <c r="G253" s="148">
        <f t="shared" si="35"/>
        <v>2.1955222324070056E-3</v>
      </c>
      <c r="H253" s="96">
        <v>2</v>
      </c>
      <c r="I253" s="272">
        <f>ROUND(F253/VLOOKUP(A253,'Tabela de Produtos'!A:J,10,0),0)</f>
        <v>717</v>
      </c>
      <c r="J253" s="97">
        <f>IFERROR(VLOOKUP(C253,'Custos Matéria Prima Embalagens'!B:G,6,0)*H253,"Matéria Prima Não Cadastrada")</f>
        <v>14.66</v>
      </c>
      <c r="K253" s="97">
        <f>IFERROR(J253/(I253/VLOOKUP(A253,'Tabela de Produtos'!A:H,8,0)),"Matéria Prima Não Cadastrada")</f>
        <v>6.1338912133891213E-2</v>
      </c>
      <c r="L253" s="216">
        <v>45939</v>
      </c>
    </row>
    <row r="254" spans="1:12" ht="15.75" customHeight="1">
      <c r="A254" s="48" t="s">
        <v>100</v>
      </c>
      <c r="B254" s="114" t="str">
        <f>VLOOKUP(A254,'Tabela de Produtos'!A:B,2,0)</f>
        <v>BRAZIMIL LÁTEX ECONÔMICO INT FOSCO 3L MARFIM</v>
      </c>
      <c r="C254" s="48" t="s">
        <v>1207</v>
      </c>
      <c r="D254" s="114" t="str">
        <f>VLOOKUP(C254,'Custos Matéria Prima Embalagens'!B:C,2,0)</f>
        <v>WANPEX 1510 (BB-200)</v>
      </c>
      <c r="E254" s="114" t="str">
        <f>VLOOKUP(C254,'Custos Matéria Prima Embalagens'!B:D,3,0)</f>
        <v>DISPERSANTE LATEX</v>
      </c>
      <c r="F254" s="270">
        <f t="shared" si="34"/>
        <v>910.94500000000005</v>
      </c>
      <c r="G254" s="148">
        <f t="shared" si="35"/>
        <v>3.2932833486105087E-3</v>
      </c>
      <c r="H254" s="96">
        <v>3</v>
      </c>
      <c r="I254" s="272">
        <f>ROUND(F254/VLOOKUP(A254,'Tabela de Produtos'!A:J,10,0),0)</f>
        <v>717</v>
      </c>
      <c r="J254" s="97">
        <f>IFERROR(VLOOKUP(C254,'Custos Matéria Prima Embalagens'!B:G,6,0)*H254,"Matéria Prima Não Cadastrada")</f>
        <v>20.58</v>
      </c>
      <c r="K254" s="97">
        <f>IFERROR(J254/(I254/VLOOKUP(A254,'Tabela de Produtos'!A:H,8,0)),"Matéria Prima Não Cadastrada")</f>
        <v>8.610878661087866E-2</v>
      </c>
      <c r="L254" s="216">
        <v>45939</v>
      </c>
    </row>
    <row r="255" spans="1:12" ht="15.75" customHeight="1">
      <c r="A255" s="48" t="s">
        <v>100</v>
      </c>
      <c r="B255" s="114" t="str">
        <f>VLOOKUP(A255,'Tabela de Produtos'!A:B,2,0)</f>
        <v>BRAZIMIL LÁTEX ECONÔMICO INT FOSCO 3L MARFIM</v>
      </c>
      <c r="C255" s="48" t="s">
        <v>1209</v>
      </c>
      <c r="D255" s="114" t="str">
        <f>VLOOKUP(C255,'Custos Matéria Prima Embalagens'!B:C,2,0)</f>
        <v>WANFUNG WFT CE (BH-200)</v>
      </c>
      <c r="E255" s="114" t="str">
        <f>VLOOKUP(C255,'Custos Matéria Prima Embalagens'!B:D,3,0)</f>
        <v>FUNGICIDA</v>
      </c>
      <c r="F255" s="270">
        <f t="shared" si="34"/>
        <v>910.94500000000005</v>
      </c>
      <c r="G255" s="148">
        <f t="shared" si="35"/>
        <v>2.7444027905087574E-3</v>
      </c>
      <c r="H255" s="96">
        <v>2.5</v>
      </c>
      <c r="I255" s="272">
        <f>ROUND(F255/VLOOKUP(A255,'Tabela de Produtos'!A:J,10,0),0)</f>
        <v>717</v>
      </c>
      <c r="J255" s="97">
        <f>IFERROR(VLOOKUP(C255,'Custos Matéria Prima Embalagens'!B:G,6,0)*H255,"Matéria Prima Não Cadastrada")</f>
        <v>17.5</v>
      </c>
      <c r="K255" s="97">
        <f>IFERROR(J255/(I255/VLOOKUP(A255,'Tabela de Produtos'!A:H,8,0)),"Matéria Prima Não Cadastrada")</f>
        <v>7.3221757322175729E-2</v>
      </c>
      <c r="L255" s="216">
        <v>45939</v>
      </c>
    </row>
    <row r="256" spans="1:12" ht="15.75" customHeight="1">
      <c r="A256" s="48" t="s">
        <v>100</v>
      </c>
      <c r="B256" s="114" t="str">
        <f>VLOOKUP(A256,'Tabela de Produtos'!A:B,2,0)</f>
        <v>BRAZIMIL LÁTEX ECONÔMICO INT FOSCO 3L MARFIM</v>
      </c>
      <c r="C256" s="48" t="s">
        <v>1215</v>
      </c>
      <c r="D256" s="114" t="str">
        <f>VLOOKUP(C256,'Custos Matéria Prima Embalagens'!B:C,2,0)</f>
        <v>CALCARIO DOLOMITICO #500 ( SACOS 25 KG)</v>
      </c>
      <c r="E256" s="114" t="str">
        <f>VLOOKUP(C256,'Custos Matéria Prima Embalagens'!B:D,3,0)</f>
        <v>CARBONATO #500</v>
      </c>
      <c r="F256" s="270">
        <f t="shared" si="34"/>
        <v>910.94500000000005</v>
      </c>
      <c r="G256" s="148">
        <f t="shared" si="35"/>
        <v>5.4888055810175147E-2</v>
      </c>
      <c r="H256" s="96">
        <v>50</v>
      </c>
      <c r="I256" s="272">
        <f>ROUND(F256/VLOOKUP(A256,'Tabela de Produtos'!A:J,10,0),0)</f>
        <v>717</v>
      </c>
      <c r="J256" s="97">
        <f>IFERROR(VLOOKUP(C256,'Custos Matéria Prima Embalagens'!B:G,6,0)*H256,"Matéria Prima Não Cadastrada")</f>
        <v>40</v>
      </c>
      <c r="K256" s="97">
        <f>IFERROR(J256/(I256/VLOOKUP(A256,'Tabela de Produtos'!A:H,8,0)),"Matéria Prima Não Cadastrada")</f>
        <v>0.16736401673640167</v>
      </c>
      <c r="L256" s="216">
        <v>45939</v>
      </c>
    </row>
    <row r="257" spans="1:12" ht="15.75" customHeight="1">
      <c r="A257" s="48" t="s">
        <v>100</v>
      </c>
      <c r="B257" s="114" t="str">
        <f>VLOOKUP(A257,'Tabela de Produtos'!A:B,2,0)</f>
        <v>BRAZIMIL LÁTEX ECONÔMICO INT FOSCO 3L MARFIM</v>
      </c>
      <c r="C257" s="48" t="s">
        <v>1227</v>
      </c>
      <c r="D257" s="114" t="str">
        <f>VLOOKUP(C257,'Custos Matéria Prima Embalagens'!B:C,2,0)</f>
        <v>CAULIM MALHA 325</v>
      </c>
      <c r="E257" s="114" t="str">
        <f>VLOOKUP(C257,'Custos Matéria Prima Embalagens'!B:D,3,0)</f>
        <v>caulim</v>
      </c>
      <c r="F257" s="270">
        <f t="shared" si="34"/>
        <v>910.94500000000005</v>
      </c>
      <c r="G257" s="148">
        <f t="shared" si="35"/>
        <v>0.35677236276613844</v>
      </c>
      <c r="H257" s="96">
        <v>325</v>
      </c>
      <c r="I257" s="272">
        <f>ROUND(F257/VLOOKUP(A257,'Tabela de Produtos'!A:J,10,0),0)</f>
        <v>717</v>
      </c>
      <c r="J257" s="97">
        <f>IFERROR(VLOOKUP(C257,'Custos Matéria Prima Embalagens'!B:G,6,0)*H257,"Matéria Prima Não Cadastrada")</f>
        <v>494.16105555555538</v>
      </c>
      <c r="K257" s="97">
        <f>IFERROR(J257/(I257/VLOOKUP(A257,'Tabela de Produtos'!A:H,8,0)),"Matéria Prima Não Cadastrada")</f>
        <v>2.0676194793119471</v>
      </c>
      <c r="L257" s="216">
        <v>45939</v>
      </c>
    </row>
    <row r="258" spans="1:12" ht="15.75" customHeight="1">
      <c r="A258" s="48" t="s">
        <v>100</v>
      </c>
      <c r="B258" s="114" t="str">
        <f>VLOOKUP(A258,'Tabela de Produtos'!A:B,2,0)</f>
        <v>BRAZIMIL LÁTEX ECONÔMICO INT FOSCO 3L MARFIM</v>
      </c>
      <c r="C258" s="48" t="s">
        <v>1217</v>
      </c>
      <c r="D258" s="114" t="str">
        <f>VLOOKUP(C258,'Custos Matéria Prima Embalagens'!B:C,2,0)</f>
        <v>WANCRIL W 51 CE (CT-1000P)</v>
      </c>
      <c r="E258" s="114" t="str">
        <f>VLOOKUP(C258,'Custos Matéria Prima Embalagens'!B:D,3,0)</f>
        <v>RESINA ACRILICA ESTIRENADA</v>
      </c>
      <c r="F258" s="270">
        <f t="shared" si="34"/>
        <v>910.94500000000005</v>
      </c>
      <c r="G258" s="148">
        <f t="shared" si="35"/>
        <v>3.2932833486105088E-2</v>
      </c>
      <c r="H258" s="96">
        <v>30</v>
      </c>
      <c r="I258" s="272">
        <f>ROUND(F258/VLOOKUP(A258,'Tabela de Produtos'!A:J,10,0),0)</f>
        <v>717</v>
      </c>
      <c r="J258" s="97">
        <f>IFERROR(VLOOKUP(C258,'Custos Matéria Prima Embalagens'!B:G,6,0)*H258,"Matéria Prima Não Cadastrada")</f>
        <v>252.89999999999998</v>
      </c>
      <c r="K258" s="97">
        <f>IFERROR(J258/(I258/VLOOKUP(A258,'Tabela de Produtos'!A:H,8,0)),"Matéria Prima Não Cadastrada")</f>
        <v>1.0581589958158995</v>
      </c>
      <c r="L258" s="216">
        <v>45939</v>
      </c>
    </row>
    <row r="259" spans="1:12" ht="15.75" customHeight="1">
      <c r="A259" s="48" t="s">
        <v>100</v>
      </c>
      <c r="B259" s="114" t="str">
        <f>VLOOKUP(A259,'Tabela de Produtos'!A:B,2,0)</f>
        <v>BRAZIMIL LÁTEX ECONÔMICO INT FOSCO 3L MARFIM</v>
      </c>
      <c r="C259" s="48" t="s">
        <v>1219</v>
      </c>
      <c r="D259" s="114" t="str">
        <f>VLOOKUP(C259,'Custos Matéria Prima Embalagens'!B:C,2,0)</f>
        <v>WANALK 70 CE (BH-200)</v>
      </c>
      <c r="E259" s="114" t="str">
        <f>VLOOKUP(C259,'Custos Matéria Prima Embalagens'!B:D,3,0)</f>
        <v>ALCALINIZANTE</v>
      </c>
      <c r="F259" s="270">
        <f t="shared" si="34"/>
        <v>910.94500000000005</v>
      </c>
      <c r="G259" s="148">
        <f t="shared" si="35"/>
        <v>3.2932833486105087E-3</v>
      </c>
      <c r="H259" s="96">
        <v>3</v>
      </c>
      <c r="I259" s="272">
        <f>ROUND(F259/VLOOKUP(A259,'Tabela de Produtos'!A:J,10,0),0)</f>
        <v>717</v>
      </c>
      <c r="J259" s="97">
        <f>IFERROR(VLOOKUP(C259,'Custos Matéria Prima Embalagens'!B:G,6,0)*H259,"Matéria Prima Não Cadastrada")</f>
        <v>14.940000000000001</v>
      </c>
      <c r="K259" s="97">
        <f>IFERROR(J259/(I259/VLOOKUP(A259,'Tabela de Produtos'!A:H,8,0)),"Matéria Prima Não Cadastrada")</f>
        <v>6.2510460251046035E-2</v>
      </c>
      <c r="L259" s="216">
        <v>45939</v>
      </c>
    </row>
    <row r="260" spans="1:12" ht="15.75" customHeight="1">
      <c r="A260" s="48" t="s">
        <v>100</v>
      </c>
      <c r="B260" s="114" t="str">
        <f>VLOOKUP(A260,'Tabela de Produtos'!A:B,2,0)</f>
        <v>BRAZIMIL LÁTEX ECONÔMICO INT FOSCO 3L MARFIM</v>
      </c>
      <c r="C260" s="48" t="s">
        <v>1221</v>
      </c>
      <c r="D260" s="114" t="str">
        <f>VLOOKUP(C260,'Custos Matéria Prima Embalagens'!B:C,2,0)</f>
        <v>MODIWAN 105H CE (CT-1000P)</v>
      </c>
      <c r="E260" s="114" t="str">
        <f>VLOOKUP(C260,'Custos Matéria Prima Embalagens'!B:D,3,0)</f>
        <v>ESPESSANTE DE MEDIA</v>
      </c>
      <c r="F260" s="270">
        <f t="shared" si="34"/>
        <v>910.94500000000005</v>
      </c>
      <c r="G260" s="148">
        <f t="shared" si="35"/>
        <v>1.7015297301154295E-2</v>
      </c>
      <c r="H260" s="96">
        <v>15.5</v>
      </c>
      <c r="I260" s="272">
        <f>ROUND(F260/VLOOKUP(A260,'Tabela de Produtos'!A:J,10,0),0)</f>
        <v>717</v>
      </c>
      <c r="J260" s="97">
        <f>IFERROR(VLOOKUP(C260,'Custos Matéria Prima Embalagens'!B:G,6,0)*H260,"Matéria Prima Não Cadastrada")</f>
        <v>122.52749999999999</v>
      </c>
      <c r="K260" s="97">
        <f>IFERROR(J260/(I260/VLOOKUP(A260,'Tabela de Produtos'!A:H,8,0)),"Matéria Prima Não Cadastrada")</f>
        <v>0.5126673640167364</v>
      </c>
      <c r="L260" s="216">
        <v>45939</v>
      </c>
    </row>
    <row r="261" spans="1:12" ht="15.75" customHeight="1">
      <c r="A261" s="48" t="s">
        <v>100</v>
      </c>
      <c r="B261" s="114" t="str">
        <f>VLOOKUP(A261,'Tabela de Produtos'!A:B,2,0)</f>
        <v>BRAZIMIL LÁTEX ECONÔMICO INT FOSCO 3L MARFIM</v>
      </c>
      <c r="C261" s="48" t="s">
        <v>1223</v>
      </c>
      <c r="D261" s="114" t="str">
        <f>VLOOKUP(C261,'Custos Matéria Prima Embalagens'!B:C,2,0)</f>
        <v>TURBOWAN H CE (BH-200)</v>
      </c>
      <c r="E261" s="114" t="str">
        <f>VLOOKUP(C261,'Custos Matéria Prima Embalagens'!B:D,3,0)</f>
        <v>PROMOTOR DE LAVABILIDADE</v>
      </c>
      <c r="F261" s="270">
        <f t="shared" si="34"/>
        <v>910.94500000000005</v>
      </c>
      <c r="G261" s="148">
        <f t="shared" si="35"/>
        <v>8.2332083715262721E-3</v>
      </c>
      <c r="H261" s="96">
        <v>7.5</v>
      </c>
      <c r="I261" s="272">
        <f>ROUND(F261/VLOOKUP(A261,'Tabela de Produtos'!A:J,10,0),0)</f>
        <v>717</v>
      </c>
      <c r="J261" s="97">
        <f>IFERROR(VLOOKUP(C261,'Custos Matéria Prima Embalagens'!B:G,6,0)*H261,"Matéria Prima Não Cadastrada")</f>
        <v>36.375</v>
      </c>
      <c r="K261" s="97">
        <f>IFERROR(J261/(I261/VLOOKUP(A261,'Tabela de Produtos'!A:H,8,0)),"Matéria Prima Não Cadastrada")</f>
        <v>0.15219665271966526</v>
      </c>
      <c r="L261" s="216">
        <v>45939</v>
      </c>
    </row>
    <row r="262" spans="1:12" ht="15.75" customHeight="1">
      <c r="A262" s="48" t="s">
        <v>100</v>
      </c>
      <c r="B262" s="114" t="str">
        <f>VLOOKUP(A262,'Tabela de Produtos'!A:B,2,0)</f>
        <v>BRAZIMIL LÁTEX ECONÔMICO INT FOSCO 3L MARFIM</v>
      </c>
      <c r="C262" s="48" t="s">
        <v>1229</v>
      </c>
      <c r="D262" s="114" t="str">
        <f>VLOOKUP(C262,'Custos Matéria Prima Embalagens'!B:C,2,0)</f>
        <v>WANSOL 340 CE (BB-200)</v>
      </c>
      <c r="E262" s="114" t="str">
        <f>VLOOKUP(C262,'Custos Matéria Prima Embalagens'!B:D,3,0)</f>
        <v>COALESCENTE</v>
      </c>
      <c r="F262" s="270">
        <f t="shared" si="34"/>
        <v>910.94500000000005</v>
      </c>
      <c r="G262" s="148">
        <f t="shared" si="35"/>
        <v>5.4888055810175147E-3</v>
      </c>
      <c r="H262" s="96">
        <v>5</v>
      </c>
      <c r="I262" s="272">
        <f>ROUND(F262/VLOOKUP(A262,'Tabela de Produtos'!A:J,10,0),0)</f>
        <v>717</v>
      </c>
      <c r="J262" s="97">
        <f>IFERROR(VLOOKUP(C262,'Custos Matéria Prima Embalagens'!B:G,6,0)*H262,"Matéria Prima Não Cadastrada")</f>
        <v>96.1</v>
      </c>
      <c r="K262" s="97">
        <f>IFERROR(J262/(I262/VLOOKUP(A262,'Tabela de Produtos'!A:H,8,0)),"Matéria Prima Não Cadastrada")</f>
        <v>0.40209205020920502</v>
      </c>
      <c r="L262" s="216">
        <v>45939</v>
      </c>
    </row>
    <row r="263" spans="1:12" ht="15.75" customHeight="1">
      <c r="A263" s="48" t="s">
        <v>100</v>
      </c>
      <c r="B263" s="114" t="str">
        <f>VLOOKUP(A263,'Tabela de Produtos'!A:B,2,0)</f>
        <v>BRAZIMIL LÁTEX ECONÔMICO INT FOSCO 3L MARFIM</v>
      </c>
      <c r="C263" s="48" t="s">
        <v>1273</v>
      </c>
      <c r="D263" s="114" t="str">
        <f>VLOOKUP(C263,'Custos Matéria Prima Embalagens'!B:C,2,0)</f>
        <v>AMARELO SPECTRA RO</v>
      </c>
      <c r="E263" s="114" t="str">
        <f>VLOOKUP(C263,'Custos Matéria Prima Embalagens'!B:D,3,0)</f>
        <v>AMARELO SPECTRA RO</v>
      </c>
      <c r="F263" s="270">
        <f t="shared" si="34"/>
        <v>910.94500000000005</v>
      </c>
      <c r="G263" s="148">
        <f t="shared" si="35"/>
        <v>1.3173133394442035E-3</v>
      </c>
      <c r="H263" s="96">
        <v>1.2</v>
      </c>
      <c r="I263" s="272">
        <f>ROUND(F263/VLOOKUP(A263,'Tabela de Produtos'!A:J,10,0),0)</f>
        <v>717</v>
      </c>
      <c r="J263" s="97">
        <f>IFERROR(VLOOKUP(C263,'Custos Matéria Prima Embalagens'!B:G,6,0)*H263,"Matéria Prima Não Cadastrada")</f>
        <v>18.720000000000002</v>
      </c>
      <c r="K263" s="97">
        <f>IFERROR(J263/(I263/VLOOKUP(A263,'Tabela de Produtos'!A:H,8,0)),"Matéria Prima Não Cadastrada")</f>
        <v>7.8326359832636E-2</v>
      </c>
      <c r="L263" s="216">
        <v>45939</v>
      </c>
    </row>
    <row r="264" spans="1:12" ht="15.75" customHeight="1">
      <c r="A264" s="48" t="s">
        <v>100</v>
      </c>
      <c r="B264" s="114" t="str">
        <f>VLOOKUP(A264,'Tabela de Produtos'!A:B,2,0)</f>
        <v>BRAZIMIL LÁTEX ECONÔMICO INT FOSCO 3L MARFIM</v>
      </c>
      <c r="C264" s="48" t="s">
        <v>1239</v>
      </c>
      <c r="D264" s="114" t="str">
        <f>VLOOKUP(C264,'Custos Matéria Prima Embalagens'!B:C,2,0)</f>
        <v>AMARELO SPECTRAPRINT 2GXH</v>
      </c>
      <c r="E264" s="114" t="str">
        <f>VLOOKUP(C264,'Custos Matéria Prima Embalagens'!B:D,3,0)</f>
        <v>AMARELO SPECTRAPRINT 2GXH</v>
      </c>
      <c r="F264" s="270">
        <f t="shared" si="34"/>
        <v>910.94500000000005</v>
      </c>
      <c r="G264" s="148">
        <f t="shared" si="35"/>
        <v>7.6843278134245199E-4</v>
      </c>
      <c r="H264" s="96">
        <v>0.7</v>
      </c>
      <c r="I264" s="272">
        <f>ROUND(F264/VLOOKUP(A264,'Tabela de Produtos'!A:J,10,0),0)</f>
        <v>717</v>
      </c>
      <c r="J264" s="97">
        <f>IFERROR(VLOOKUP(C264,'Custos Matéria Prima Embalagens'!B:G,6,0)*H264,"Matéria Prima Não Cadastrada")</f>
        <v>14.776999999999999</v>
      </c>
      <c r="K264" s="97">
        <f>IFERROR(J264/(I264/VLOOKUP(A264,'Tabela de Produtos'!A:H,8,0)),"Matéria Prima Não Cadastrada")</f>
        <v>6.1828451882845185E-2</v>
      </c>
      <c r="L264" s="216">
        <v>45939</v>
      </c>
    </row>
    <row r="265" spans="1:12" ht="15.75" customHeight="1">
      <c r="A265" s="48" t="s">
        <v>100</v>
      </c>
      <c r="B265" s="114" t="str">
        <f>VLOOKUP(A265,'Tabela de Produtos'!A:B,2,0)</f>
        <v>BRAZIMIL LÁTEX ECONÔMICO INT FOSCO 3L MARFIM</v>
      </c>
      <c r="C265" s="48" t="s">
        <v>1231</v>
      </c>
      <c r="D265" s="114" t="str">
        <f>VLOOKUP(C265,'Custos Matéria Prima Embalagens'!B:C,2,0)</f>
        <v>PRETO SPECTRAPRINT SFF</v>
      </c>
      <c r="E265" s="114" t="str">
        <f>VLOOKUP(C265,'Custos Matéria Prima Embalagens'!B:D,3,0)</f>
        <v>PRETO SPECTRAPRINT SFF</v>
      </c>
      <c r="F265" s="270">
        <f t="shared" si="34"/>
        <v>910.94500000000005</v>
      </c>
      <c r="G265" s="148">
        <f t="shared" si="35"/>
        <v>4.9399250229157632E-5</v>
      </c>
      <c r="H265" s="96">
        <v>4.4999999999999998E-2</v>
      </c>
      <c r="I265" s="272">
        <f>ROUND(F265/VLOOKUP(A265,'Tabela de Produtos'!A:J,10,0),0)</f>
        <v>717</v>
      </c>
      <c r="J265" s="97">
        <f>IFERROR(VLOOKUP(C265,'Custos Matéria Prima Embalagens'!B:G,6,0)*H265,"Matéria Prima Não Cadastrada")</f>
        <v>0.68399999999999994</v>
      </c>
      <c r="K265" s="97">
        <f>IFERROR(J265/(I265/VLOOKUP(A265,'Tabela de Produtos'!A:H,8,0)),"Matéria Prima Não Cadastrada")</f>
        <v>2.8619246861924684E-3</v>
      </c>
      <c r="L265" s="216">
        <v>45939</v>
      </c>
    </row>
    <row r="266" spans="1:12" ht="15.75" customHeight="1">
      <c r="D266" s="114"/>
      <c r="E266" s="114"/>
      <c r="F266" s="96"/>
      <c r="G266" s="148"/>
      <c r="H266" s="96"/>
      <c r="I266" s="272"/>
      <c r="J266" s="97"/>
      <c r="K266" s="97"/>
      <c r="L266" s="216">
        <v>45939</v>
      </c>
    </row>
    <row r="267" spans="1:12" ht="15.75" customHeight="1">
      <c r="A267" s="48" t="s">
        <v>101</v>
      </c>
      <c r="B267" s="114" t="str">
        <f>VLOOKUP(A267,'Tabela de Produtos'!A:B,2,0)</f>
        <v>BRAZIMIL LÁTEX ECONÔMICO INT FOSCO 3L AMARELO IPE</v>
      </c>
      <c r="C267" s="48" t="s">
        <v>1197</v>
      </c>
      <c r="D267" s="114" t="str">
        <f>VLOOKUP(C267,'Custos Matéria Prima Embalagens'!B:C,2,0)</f>
        <v>AGUA</v>
      </c>
      <c r="E267" s="114" t="str">
        <f>VLOOKUP(C267,'Custos Matéria Prima Embalagens'!B:D,3,0)</f>
        <v>AGUA</v>
      </c>
      <c r="F267" s="270">
        <f t="shared" ref="F267:F281" si="36">SUMIFS(H:H,A:A,A267)</f>
        <v>921</v>
      </c>
      <c r="G267" s="148">
        <f t="shared" ref="G267:G281" si="37">H267/F267</f>
        <v>0.499457111834962</v>
      </c>
      <c r="H267" s="96">
        <v>460</v>
      </c>
      <c r="I267" s="272">
        <f>ROUND(F267/VLOOKUP(A267,'Tabela de Produtos'!A:J,10,0),0)</f>
        <v>725</v>
      </c>
      <c r="J267" s="97">
        <f>IFERROR(VLOOKUP(C267,'Custos Matéria Prima Embalagens'!B:G,6,0)*H267,"Matéria Prima Não Cadastrada")</f>
        <v>0</v>
      </c>
      <c r="K267" s="97">
        <f>IFERROR(J267/(I267/VLOOKUP(A267,'Tabela de Produtos'!A:H,8,0)),"Matéria Prima Não Cadastrada")</f>
        <v>0</v>
      </c>
      <c r="L267" s="216">
        <v>45939</v>
      </c>
    </row>
    <row r="268" spans="1:12" ht="15.75" customHeight="1">
      <c r="A268" s="48" t="s">
        <v>101</v>
      </c>
      <c r="B268" s="114" t="str">
        <f>VLOOKUP(A268,'Tabela de Produtos'!A:B,2,0)</f>
        <v>BRAZIMIL LÁTEX ECONÔMICO INT FOSCO 3L AMARELO IPE</v>
      </c>
      <c r="C268" s="48" t="s">
        <v>1201</v>
      </c>
      <c r="D268" s="114" t="str">
        <f>VLOOKUP(C268,'Custos Matéria Prima Embalagens'!B:C,2,0)</f>
        <v>WANFOAM 528 CE (BB-190)</v>
      </c>
      <c r="E268" s="114" t="str">
        <f>VLOOKUP(C268,'Custos Matéria Prima Embalagens'!B:D,3,0)</f>
        <v>ANTI ESPUMA LATEX</v>
      </c>
      <c r="F268" s="270">
        <f t="shared" si="36"/>
        <v>921</v>
      </c>
      <c r="G268" s="148">
        <f t="shared" si="37"/>
        <v>2.7144408251900108E-3</v>
      </c>
      <c r="H268" s="96">
        <v>2.5</v>
      </c>
      <c r="I268" s="272">
        <f>ROUND(F268/VLOOKUP(A268,'Tabela de Produtos'!A:J,10,0),0)</f>
        <v>725</v>
      </c>
      <c r="J268" s="97">
        <f>IFERROR(VLOOKUP(C268,'Custos Matéria Prima Embalagens'!B:G,6,0)*H268,"Matéria Prima Não Cadastrada")</f>
        <v>17.95</v>
      </c>
      <c r="K268" s="97">
        <f>IFERROR(J268/(I268/VLOOKUP(A268,'Tabela de Produtos'!A:H,8,0)),"Matéria Prima Não Cadastrada")</f>
        <v>7.4275862068965512E-2</v>
      </c>
      <c r="L268" s="216">
        <v>45939</v>
      </c>
    </row>
    <row r="269" spans="1:12" ht="15.75" customHeight="1">
      <c r="A269" s="48" t="s">
        <v>101</v>
      </c>
      <c r="B269" s="114" t="str">
        <f>VLOOKUP(A269,'Tabela de Produtos'!A:B,2,0)</f>
        <v>BRAZIMIL LÁTEX ECONÔMICO INT FOSCO 3L AMARELO IPE</v>
      </c>
      <c r="C269" s="48" t="s">
        <v>1203</v>
      </c>
      <c r="D269" s="114" t="str">
        <f>VLOOKUP(C269,'Custos Matéria Prima Embalagens'!B:C,2,0)</f>
        <v>WANBAC WBT CE (BH-200)</v>
      </c>
      <c r="E269" s="114" t="str">
        <f>VLOOKUP(C269,'Custos Matéria Prima Embalagens'!B:D,3,0)</f>
        <v>BACTERICIDA</v>
      </c>
      <c r="F269" s="270">
        <f t="shared" si="36"/>
        <v>921</v>
      </c>
      <c r="G269" s="148">
        <f t="shared" si="37"/>
        <v>3.2573289902280132E-3</v>
      </c>
      <c r="H269" s="96">
        <v>3</v>
      </c>
      <c r="I269" s="272">
        <f>ROUND(F269/VLOOKUP(A269,'Tabela de Produtos'!A:J,10,0),0)</f>
        <v>725</v>
      </c>
      <c r="J269" s="97">
        <f>IFERROR(VLOOKUP(C269,'Custos Matéria Prima Embalagens'!B:G,6,0)*H269,"Matéria Prima Não Cadastrada")</f>
        <v>14.819999999999999</v>
      </c>
      <c r="K269" s="97">
        <f>IFERROR(J269/(I269/VLOOKUP(A269,'Tabela de Produtos'!A:H,8,0)),"Matéria Prima Não Cadastrada")</f>
        <v>6.1324137931034479E-2</v>
      </c>
      <c r="L269" s="216">
        <v>45939</v>
      </c>
    </row>
    <row r="270" spans="1:12" ht="15.75" customHeight="1">
      <c r="A270" s="48" t="s">
        <v>101</v>
      </c>
      <c r="B270" s="114" t="str">
        <f>VLOOKUP(A270,'Tabela de Produtos'!A:B,2,0)</f>
        <v>BRAZIMIL LÁTEX ECONÔMICO INT FOSCO 3L AMARELO IPE</v>
      </c>
      <c r="C270" s="48" t="s">
        <v>1205</v>
      </c>
      <c r="D270" s="114" t="str">
        <f>VLOOKUP(C270,'Custos Matéria Prima Embalagens'!B:C,2,0)</f>
        <v>WANSUR 840 CE (BB-200)01</v>
      </c>
      <c r="E270" s="114" t="str">
        <f>VLOOKUP(C270,'Custos Matéria Prima Embalagens'!B:D,3,0)</f>
        <v>UMECTANTE</v>
      </c>
      <c r="F270" s="270">
        <f t="shared" si="36"/>
        <v>921</v>
      </c>
      <c r="G270" s="148">
        <f t="shared" si="37"/>
        <v>2.1715526601520088E-3</v>
      </c>
      <c r="H270" s="96">
        <v>2</v>
      </c>
      <c r="I270" s="272">
        <f>ROUND(F270/VLOOKUP(A270,'Tabela de Produtos'!A:J,10,0),0)</f>
        <v>725</v>
      </c>
      <c r="J270" s="97">
        <f>IFERROR(VLOOKUP(C270,'Custos Matéria Prima Embalagens'!B:G,6,0)*H270,"Matéria Prima Não Cadastrada")</f>
        <v>14.66</v>
      </c>
      <c r="K270" s="97">
        <f>IFERROR(J270/(I270/VLOOKUP(A270,'Tabela de Produtos'!A:H,8,0)),"Matéria Prima Não Cadastrada")</f>
        <v>6.0662068965517242E-2</v>
      </c>
      <c r="L270" s="216">
        <v>45939</v>
      </c>
    </row>
    <row r="271" spans="1:12" ht="15.75" customHeight="1">
      <c r="A271" s="48" t="s">
        <v>101</v>
      </c>
      <c r="B271" s="114" t="str">
        <f>VLOOKUP(A271,'Tabela de Produtos'!A:B,2,0)</f>
        <v>BRAZIMIL LÁTEX ECONÔMICO INT FOSCO 3L AMARELO IPE</v>
      </c>
      <c r="C271" s="48" t="s">
        <v>1207</v>
      </c>
      <c r="D271" s="114" t="str">
        <f>VLOOKUP(C271,'Custos Matéria Prima Embalagens'!B:C,2,0)</f>
        <v>WANPEX 1510 (BB-200)</v>
      </c>
      <c r="E271" s="114" t="str">
        <f>VLOOKUP(C271,'Custos Matéria Prima Embalagens'!B:D,3,0)</f>
        <v>DISPERSANTE LATEX</v>
      </c>
      <c r="F271" s="270">
        <f t="shared" si="36"/>
        <v>921</v>
      </c>
      <c r="G271" s="148">
        <f t="shared" si="37"/>
        <v>3.2573289902280132E-3</v>
      </c>
      <c r="H271" s="96">
        <v>3</v>
      </c>
      <c r="I271" s="272">
        <f>ROUND(F271/VLOOKUP(A271,'Tabela de Produtos'!A:J,10,0),0)</f>
        <v>725</v>
      </c>
      <c r="J271" s="97">
        <f>IFERROR(VLOOKUP(C271,'Custos Matéria Prima Embalagens'!B:G,6,0)*H271,"Matéria Prima Não Cadastrada")</f>
        <v>20.58</v>
      </c>
      <c r="K271" s="97">
        <f>IFERROR(J271/(I271/VLOOKUP(A271,'Tabela de Produtos'!A:H,8,0)),"Matéria Prima Não Cadastrada")</f>
        <v>8.5158620689655171E-2</v>
      </c>
      <c r="L271" s="216">
        <v>45939</v>
      </c>
    </row>
    <row r="272" spans="1:12" ht="15.75" customHeight="1">
      <c r="A272" s="48" t="s">
        <v>101</v>
      </c>
      <c r="B272" s="114" t="str">
        <f>VLOOKUP(A272,'Tabela de Produtos'!A:B,2,0)</f>
        <v>BRAZIMIL LÁTEX ECONÔMICO INT FOSCO 3L AMARELO IPE</v>
      </c>
      <c r="C272" s="48" t="s">
        <v>1209</v>
      </c>
      <c r="D272" s="114" t="str">
        <f>VLOOKUP(C272,'Custos Matéria Prima Embalagens'!B:C,2,0)</f>
        <v>WANFUNG WFT CE (BH-200)</v>
      </c>
      <c r="E272" s="114" t="str">
        <f>VLOOKUP(C272,'Custos Matéria Prima Embalagens'!B:D,3,0)</f>
        <v>FUNGICIDA</v>
      </c>
      <c r="F272" s="270">
        <f t="shared" si="36"/>
        <v>921</v>
      </c>
      <c r="G272" s="148">
        <f t="shared" si="37"/>
        <v>2.7144408251900108E-3</v>
      </c>
      <c r="H272" s="96">
        <v>2.5</v>
      </c>
      <c r="I272" s="272">
        <f>ROUND(F272/VLOOKUP(A272,'Tabela de Produtos'!A:J,10,0),0)</f>
        <v>725</v>
      </c>
      <c r="J272" s="97">
        <f>IFERROR(VLOOKUP(C272,'Custos Matéria Prima Embalagens'!B:G,6,0)*H272,"Matéria Prima Não Cadastrada")</f>
        <v>17.5</v>
      </c>
      <c r="K272" s="97">
        <f>IFERROR(J272/(I272/VLOOKUP(A272,'Tabela de Produtos'!A:H,8,0)),"Matéria Prima Não Cadastrada")</f>
        <v>7.2413793103448282E-2</v>
      </c>
      <c r="L272" s="216">
        <v>45939</v>
      </c>
    </row>
    <row r="273" spans="1:12" ht="15.75" customHeight="1">
      <c r="A273" s="48" t="s">
        <v>101</v>
      </c>
      <c r="B273" s="114" t="str">
        <f>VLOOKUP(A273,'Tabela de Produtos'!A:B,2,0)</f>
        <v>BRAZIMIL LÁTEX ECONÔMICO INT FOSCO 3L AMARELO IPE</v>
      </c>
      <c r="C273" s="48" t="s">
        <v>1215</v>
      </c>
      <c r="D273" s="114" t="str">
        <f>VLOOKUP(C273,'Custos Matéria Prima Embalagens'!B:C,2,0)</f>
        <v>CALCARIO DOLOMITICO #500 ( SACOS 25 KG)</v>
      </c>
      <c r="E273" s="114" t="str">
        <f>VLOOKUP(C273,'Custos Matéria Prima Embalagens'!B:D,3,0)</f>
        <v>CARBONATO #500</v>
      </c>
      <c r="F273" s="270">
        <f t="shared" si="36"/>
        <v>921</v>
      </c>
      <c r="G273" s="148">
        <f t="shared" si="37"/>
        <v>5.428881650380022E-2</v>
      </c>
      <c r="H273" s="96">
        <v>50</v>
      </c>
      <c r="I273" s="272">
        <f>ROUND(F273/VLOOKUP(A273,'Tabela de Produtos'!A:J,10,0),0)</f>
        <v>725</v>
      </c>
      <c r="J273" s="97">
        <f>IFERROR(VLOOKUP(C273,'Custos Matéria Prima Embalagens'!B:G,6,0)*H273,"Matéria Prima Não Cadastrada")</f>
        <v>40</v>
      </c>
      <c r="K273" s="97">
        <f>IFERROR(J273/(I273/VLOOKUP(A273,'Tabela de Produtos'!A:H,8,0)),"Matéria Prima Não Cadastrada")</f>
        <v>0.16551724137931034</v>
      </c>
      <c r="L273" s="216">
        <v>45939</v>
      </c>
    </row>
    <row r="274" spans="1:12" ht="15.75" customHeight="1">
      <c r="A274" s="48" t="s">
        <v>101</v>
      </c>
      <c r="B274" s="114" t="str">
        <f>VLOOKUP(A274,'Tabela de Produtos'!A:B,2,0)</f>
        <v>BRAZIMIL LÁTEX ECONÔMICO INT FOSCO 3L AMARELO IPE</v>
      </c>
      <c r="C274" s="48" t="s">
        <v>1227</v>
      </c>
      <c r="D274" s="114" t="str">
        <f>VLOOKUP(C274,'Custos Matéria Prima Embalagens'!B:C,2,0)</f>
        <v>CAULIM MALHA 325</v>
      </c>
      <c r="E274" s="114" t="str">
        <f>VLOOKUP(C274,'Custos Matéria Prima Embalagens'!B:D,3,0)</f>
        <v>caulim</v>
      </c>
      <c r="F274" s="270">
        <f t="shared" si="36"/>
        <v>921</v>
      </c>
      <c r="G274" s="148">
        <f t="shared" si="37"/>
        <v>0.3528773072747014</v>
      </c>
      <c r="H274" s="96">
        <v>325</v>
      </c>
      <c r="I274" s="272">
        <f>ROUND(F274/VLOOKUP(A274,'Tabela de Produtos'!A:J,10,0),0)</f>
        <v>725</v>
      </c>
      <c r="J274" s="97">
        <f>IFERROR(VLOOKUP(C274,'Custos Matéria Prima Embalagens'!B:G,6,0)*H274,"Matéria Prima Não Cadastrada")</f>
        <v>494.16105555555538</v>
      </c>
      <c r="K274" s="97">
        <f>IFERROR(J274/(I274/VLOOKUP(A274,'Tabela de Produtos'!A:H,8,0)),"Matéria Prima Não Cadastrada")</f>
        <v>2.0448043678160914</v>
      </c>
      <c r="L274" s="216">
        <v>45939</v>
      </c>
    </row>
    <row r="275" spans="1:12" ht="15.75" customHeight="1">
      <c r="A275" s="48" t="s">
        <v>101</v>
      </c>
      <c r="B275" s="114" t="str">
        <f>VLOOKUP(A275,'Tabela de Produtos'!A:B,2,0)</f>
        <v>BRAZIMIL LÁTEX ECONÔMICO INT FOSCO 3L AMARELO IPE</v>
      </c>
      <c r="C275" s="48" t="s">
        <v>1217</v>
      </c>
      <c r="D275" s="114" t="str">
        <f>VLOOKUP(C275,'Custos Matéria Prima Embalagens'!B:C,2,0)</f>
        <v>WANCRIL W 51 CE (CT-1000P)</v>
      </c>
      <c r="E275" s="114" t="str">
        <f>VLOOKUP(C275,'Custos Matéria Prima Embalagens'!B:D,3,0)</f>
        <v>RESINA ACRILICA ESTIRENADA</v>
      </c>
      <c r="F275" s="270">
        <f t="shared" si="36"/>
        <v>921</v>
      </c>
      <c r="G275" s="148">
        <f t="shared" si="37"/>
        <v>3.2573289902280131E-2</v>
      </c>
      <c r="H275" s="96">
        <v>30</v>
      </c>
      <c r="I275" s="272">
        <f>ROUND(F275/VLOOKUP(A275,'Tabela de Produtos'!A:J,10,0),0)</f>
        <v>725</v>
      </c>
      <c r="J275" s="97">
        <f>IFERROR(VLOOKUP(C275,'Custos Matéria Prima Embalagens'!B:G,6,0)*H275,"Matéria Prima Não Cadastrada")</f>
        <v>252.89999999999998</v>
      </c>
      <c r="K275" s="97">
        <f>IFERROR(J275/(I275/VLOOKUP(A275,'Tabela de Produtos'!A:H,8,0)),"Matéria Prima Não Cadastrada")</f>
        <v>1.0464827586206895</v>
      </c>
      <c r="L275" s="216">
        <v>45939</v>
      </c>
    </row>
    <row r="276" spans="1:12" ht="15.75" customHeight="1">
      <c r="A276" s="48" t="s">
        <v>101</v>
      </c>
      <c r="B276" s="114" t="str">
        <f>VLOOKUP(A276,'Tabela de Produtos'!A:B,2,0)</f>
        <v>BRAZIMIL LÁTEX ECONÔMICO INT FOSCO 3L AMARELO IPE</v>
      </c>
      <c r="C276" s="48" t="s">
        <v>1219</v>
      </c>
      <c r="D276" s="114" t="str">
        <f>VLOOKUP(C276,'Custos Matéria Prima Embalagens'!B:C,2,0)</f>
        <v>WANALK 70 CE (BH-200)</v>
      </c>
      <c r="E276" s="114" t="str">
        <f>VLOOKUP(C276,'Custos Matéria Prima Embalagens'!B:D,3,0)</f>
        <v>ALCALINIZANTE</v>
      </c>
      <c r="F276" s="270">
        <f t="shared" si="36"/>
        <v>921</v>
      </c>
      <c r="G276" s="148">
        <f t="shared" si="37"/>
        <v>3.2573289902280132E-3</v>
      </c>
      <c r="H276" s="96">
        <v>3</v>
      </c>
      <c r="I276" s="272">
        <f>ROUND(F276/VLOOKUP(A276,'Tabela de Produtos'!A:J,10,0),0)</f>
        <v>725</v>
      </c>
      <c r="J276" s="97">
        <f>IFERROR(VLOOKUP(C276,'Custos Matéria Prima Embalagens'!B:G,6,0)*H276,"Matéria Prima Não Cadastrada")</f>
        <v>14.940000000000001</v>
      </c>
      <c r="K276" s="97">
        <f>IFERROR(J276/(I276/VLOOKUP(A276,'Tabela de Produtos'!A:H,8,0)),"Matéria Prima Não Cadastrada")</f>
        <v>6.1820689655172421E-2</v>
      </c>
      <c r="L276" s="216">
        <v>45939</v>
      </c>
    </row>
    <row r="277" spans="1:12" ht="15.75" customHeight="1">
      <c r="A277" s="48" t="s">
        <v>101</v>
      </c>
      <c r="B277" s="114" t="str">
        <f>VLOOKUP(A277,'Tabela de Produtos'!A:B,2,0)</f>
        <v>BRAZIMIL LÁTEX ECONÔMICO INT FOSCO 3L AMARELO IPE</v>
      </c>
      <c r="C277" s="48" t="s">
        <v>1221</v>
      </c>
      <c r="D277" s="114" t="str">
        <f>VLOOKUP(C277,'Custos Matéria Prima Embalagens'!B:C,2,0)</f>
        <v>MODIWAN 105H CE (CT-1000P)</v>
      </c>
      <c r="E277" s="114" t="str">
        <f>VLOOKUP(C277,'Custos Matéria Prima Embalagens'!B:D,3,0)</f>
        <v>ESPESSANTE DE MEDIA</v>
      </c>
      <c r="F277" s="270">
        <f t="shared" si="36"/>
        <v>921</v>
      </c>
      <c r="G277" s="148">
        <f t="shared" si="37"/>
        <v>1.6829533116178068E-2</v>
      </c>
      <c r="H277" s="96">
        <v>15.5</v>
      </c>
      <c r="I277" s="272">
        <f>ROUND(F277/VLOOKUP(A277,'Tabela de Produtos'!A:J,10,0),0)</f>
        <v>725</v>
      </c>
      <c r="J277" s="97">
        <f>IFERROR(VLOOKUP(C277,'Custos Matéria Prima Embalagens'!B:G,6,0)*H277,"Matéria Prima Não Cadastrada")</f>
        <v>122.52749999999999</v>
      </c>
      <c r="K277" s="97">
        <f>IFERROR(J277/(I277/VLOOKUP(A277,'Tabela de Produtos'!A:H,8,0)),"Matéria Prima Não Cadastrada")</f>
        <v>0.50701034482758622</v>
      </c>
      <c r="L277" s="216">
        <v>45939</v>
      </c>
    </row>
    <row r="278" spans="1:12" ht="15.75" customHeight="1">
      <c r="A278" s="48" t="s">
        <v>101</v>
      </c>
      <c r="B278" s="114" t="str">
        <f>VLOOKUP(A278,'Tabela de Produtos'!A:B,2,0)</f>
        <v>BRAZIMIL LÁTEX ECONÔMICO INT FOSCO 3L AMARELO IPE</v>
      </c>
      <c r="C278" s="48" t="s">
        <v>1223</v>
      </c>
      <c r="D278" s="114" t="str">
        <f>VLOOKUP(C278,'Custos Matéria Prima Embalagens'!B:C,2,0)</f>
        <v>TURBOWAN H CE (BH-200)</v>
      </c>
      <c r="E278" s="114" t="str">
        <f>VLOOKUP(C278,'Custos Matéria Prima Embalagens'!B:D,3,0)</f>
        <v>PROMOTOR DE LAVABILIDADE</v>
      </c>
      <c r="F278" s="270">
        <f t="shared" si="36"/>
        <v>921</v>
      </c>
      <c r="G278" s="148">
        <f t="shared" si="37"/>
        <v>8.1433224755700327E-3</v>
      </c>
      <c r="H278" s="96">
        <v>7.5</v>
      </c>
      <c r="I278" s="272">
        <f>ROUND(F278/VLOOKUP(A278,'Tabela de Produtos'!A:J,10,0),0)</f>
        <v>725</v>
      </c>
      <c r="J278" s="97">
        <f>IFERROR(VLOOKUP(C278,'Custos Matéria Prima Embalagens'!B:G,6,0)*H278,"Matéria Prima Não Cadastrada")</f>
        <v>36.375</v>
      </c>
      <c r="K278" s="97">
        <f>IFERROR(J278/(I278/VLOOKUP(A278,'Tabela de Produtos'!A:H,8,0)),"Matéria Prima Não Cadastrada")</f>
        <v>0.15051724137931036</v>
      </c>
      <c r="L278" s="216">
        <v>45939</v>
      </c>
    </row>
    <row r="279" spans="1:12" ht="15.75" customHeight="1">
      <c r="A279" s="48" t="s">
        <v>101</v>
      </c>
      <c r="B279" s="114" t="str">
        <f>VLOOKUP(A279,'Tabela de Produtos'!A:B,2,0)</f>
        <v>BRAZIMIL LÁTEX ECONÔMICO INT FOSCO 3L AMARELO IPE</v>
      </c>
      <c r="C279" s="48" t="s">
        <v>1229</v>
      </c>
      <c r="D279" s="114" t="str">
        <f>VLOOKUP(C279,'Custos Matéria Prima Embalagens'!B:C,2,0)</f>
        <v>WANSOL 340 CE (BB-200)</v>
      </c>
      <c r="E279" s="114" t="str">
        <f>VLOOKUP(C279,'Custos Matéria Prima Embalagens'!B:D,3,0)</f>
        <v>COALESCENTE</v>
      </c>
      <c r="F279" s="270">
        <f t="shared" si="36"/>
        <v>921</v>
      </c>
      <c r="G279" s="148">
        <f t="shared" si="37"/>
        <v>5.4288816503800215E-3</v>
      </c>
      <c r="H279" s="96">
        <v>5</v>
      </c>
      <c r="I279" s="272">
        <f>ROUND(F279/VLOOKUP(A279,'Tabela de Produtos'!A:J,10,0),0)</f>
        <v>725</v>
      </c>
      <c r="J279" s="97">
        <f>IFERROR(VLOOKUP(C279,'Custos Matéria Prima Embalagens'!B:G,6,0)*H279,"Matéria Prima Não Cadastrada")</f>
        <v>96.1</v>
      </c>
      <c r="K279" s="97">
        <f>IFERROR(J279/(I279/VLOOKUP(A279,'Tabela de Produtos'!A:H,8,0)),"Matéria Prima Não Cadastrada")</f>
        <v>0.39765517241379311</v>
      </c>
      <c r="L279" s="216">
        <v>45939</v>
      </c>
    </row>
    <row r="280" spans="1:12" ht="15.75" customHeight="1">
      <c r="A280" s="48" t="s">
        <v>101</v>
      </c>
      <c r="B280" s="114" t="str">
        <f>VLOOKUP(A280,'Tabela de Produtos'!A:B,2,0)</f>
        <v>BRAZIMIL LÁTEX ECONÔMICO INT FOSCO 3L AMARELO IPE</v>
      </c>
      <c r="C280" s="48" t="s">
        <v>1273</v>
      </c>
      <c r="D280" s="114" t="str">
        <f>VLOOKUP(C280,'Custos Matéria Prima Embalagens'!B:C,2,0)</f>
        <v>AMARELO SPECTRA RO</v>
      </c>
      <c r="E280" s="114" t="str">
        <f>VLOOKUP(C280,'Custos Matéria Prima Embalagens'!B:D,3,0)</f>
        <v>AMARELO SPECTRA RO</v>
      </c>
      <c r="F280" s="270">
        <f t="shared" si="36"/>
        <v>921</v>
      </c>
      <c r="G280" s="148">
        <f t="shared" si="37"/>
        <v>2.1715526601520088E-3</v>
      </c>
      <c r="H280" s="96">
        <v>2</v>
      </c>
      <c r="I280" s="272">
        <f>ROUND(F280/VLOOKUP(A280,'Tabela de Produtos'!A:J,10,0),0)</f>
        <v>725</v>
      </c>
      <c r="J280" s="97">
        <f>IFERROR(VLOOKUP(C280,'Custos Matéria Prima Embalagens'!B:G,6,0)*H280,"Matéria Prima Não Cadastrada")</f>
        <v>31.200000000000003</v>
      </c>
      <c r="K280" s="97">
        <f>IFERROR(J280/(I280/VLOOKUP(A280,'Tabela de Produtos'!A:H,8,0)),"Matéria Prima Não Cadastrada")</f>
        <v>0.12910344827586209</v>
      </c>
      <c r="L280" s="216">
        <v>45939</v>
      </c>
    </row>
    <row r="281" spans="1:12" ht="15.75" customHeight="1">
      <c r="A281" s="48" t="s">
        <v>101</v>
      </c>
      <c r="B281" s="114" t="str">
        <f>VLOOKUP(A281,'Tabela de Produtos'!A:B,2,0)</f>
        <v>BRAZIMIL LÁTEX ECONÔMICO INT FOSCO 3L AMARELO IPE</v>
      </c>
      <c r="C281" s="48" t="s">
        <v>1239</v>
      </c>
      <c r="D281" s="114" t="str">
        <f>VLOOKUP(C281,'Custos Matéria Prima Embalagens'!B:C,2,0)</f>
        <v>AMARELO SPECTRAPRINT 2GXH</v>
      </c>
      <c r="E281" s="114" t="str">
        <f>VLOOKUP(C281,'Custos Matéria Prima Embalagens'!B:D,3,0)</f>
        <v>AMARELO SPECTRAPRINT 2GXH</v>
      </c>
      <c r="F281" s="270">
        <f t="shared" si="36"/>
        <v>921</v>
      </c>
      <c r="G281" s="148">
        <f t="shared" si="37"/>
        <v>1.0857763300760043E-2</v>
      </c>
      <c r="H281" s="96">
        <v>10</v>
      </c>
      <c r="I281" s="272">
        <f>ROUND(F281/VLOOKUP(A281,'Tabela de Produtos'!A:J,10,0),0)</f>
        <v>725</v>
      </c>
      <c r="J281" s="97">
        <f>IFERROR(VLOOKUP(C281,'Custos Matéria Prima Embalagens'!B:G,6,0)*H281,"Matéria Prima Não Cadastrada")</f>
        <v>211.1</v>
      </c>
      <c r="K281" s="97">
        <f>IFERROR(J281/(I281/VLOOKUP(A281,'Tabela de Produtos'!A:H,8,0)),"Matéria Prima Não Cadastrada")</f>
        <v>0.87351724137931031</v>
      </c>
      <c r="L281" s="216">
        <v>45939</v>
      </c>
    </row>
    <row r="282" spans="1:12" ht="15.75" customHeight="1">
      <c r="D282" s="114"/>
      <c r="E282" s="114"/>
      <c r="F282" s="96"/>
      <c r="G282" s="148"/>
      <c r="H282" s="96"/>
      <c r="I282" s="272"/>
      <c r="J282" s="97"/>
      <c r="K282" s="97"/>
      <c r="L282" s="216">
        <v>45939</v>
      </c>
    </row>
    <row r="283" spans="1:12" ht="15.75" customHeight="1">
      <c r="A283" s="48" t="s">
        <v>102</v>
      </c>
      <c r="B283" s="114" t="str">
        <f>VLOOKUP(A283,'Tabela de Produtos'!A:B,2,0)</f>
        <v>BRAZIMIL LÁTEX ECONÔMICO INT FOSCO 3L DAMASCO</v>
      </c>
      <c r="C283" s="48" t="s">
        <v>1197</v>
      </c>
      <c r="D283" s="114" t="str">
        <f>VLOOKUP(C283,'Custos Matéria Prima Embalagens'!B:C,2,0)</f>
        <v>AGUA</v>
      </c>
      <c r="E283" s="114" t="str">
        <f>VLOOKUP(C283,'Custos Matéria Prima Embalagens'!B:D,3,0)</f>
        <v>AGUA</v>
      </c>
      <c r="F283" s="270">
        <f t="shared" ref="F283:F298" si="38">SUMIFS(H:H,A:A,A283)</f>
        <v>919.19999999999993</v>
      </c>
      <c r="G283" s="148">
        <f t="shared" ref="G283:G298" si="39">H283/F283</f>
        <v>0.50043516100957353</v>
      </c>
      <c r="H283" s="96">
        <v>460</v>
      </c>
      <c r="I283" s="272">
        <f>ROUND(F283/VLOOKUP(A283,'Tabela de Produtos'!A:J,10,0),0)</f>
        <v>724</v>
      </c>
      <c r="J283" s="97">
        <f>IFERROR(VLOOKUP(C283,'Custos Matéria Prima Embalagens'!B:G,6,0)*H283,"Matéria Prima Não Cadastrada")</f>
        <v>0</v>
      </c>
      <c r="K283" s="97">
        <f>IFERROR(J283/(I283/VLOOKUP(A283,'Tabela de Produtos'!A:H,8,0)),"Matéria Prima Não Cadastrada")</f>
        <v>0</v>
      </c>
      <c r="L283" s="216">
        <v>45939</v>
      </c>
    </row>
    <row r="284" spans="1:12" ht="15.75" customHeight="1">
      <c r="A284" s="48" t="s">
        <v>102</v>
      </c>
      <c r="B284" s="114" t="str">
        <f>VLOOKUP(A284,'Tabela de Produtos'!A:B,2,0)</f>
        <v>BRAZIMIL LÁTEX ECONÔMICO INT FOSCO 3L DAMASCO</v>
      </c>
      <c r="C284" s="48" t="s">
        <v>1201</v>
      </c>
      <c r="D284" s="114" t="str">
        <f>VLOOKUP(C284,'Custos Matéria Prima Embalagens'!B:C,2,0)</f>
        <v>WANFOAM 528 CE (BB-190)</v>
      </c>
      <c r="E284" s="114" t="str">
        <f>VLOOKUP(C284,'Custos Matéria Prima Embalagens'!B:D,3,0)</f>
        <v>ANTI ESPUMA LATEX</v>
      </c>
      <c r="F284" s="270">
        <f t="shared" si="38"/>
        <v>919.19999999999993</v>
      </c>
      <c r="G284" s="148">
        <f t="shared" si="39"/>
        <v>2.7197563098346391E-3</v>
      </c>
      <c r="H284" s="96">
        <v>2.5</v>
      </c>
      <c r="I284" s="272">
        <f>ROUND(F284/VLOOKUP(A284,'Tabela de Produtos'!A:J,10,0),0)</f>
        <v>724</v>
      </c>
      <c r="J284" s="97">
        <f>IFERROR(VLOOKUP(C284,'Custos Matéria Prima Embalagens'!B:G,6,0)*H284,"Matéria Prima Não Cadastrada")</f>
        <v>17.95</v>
      </c>
      <c r="K284" s="97">
        <f>IFERROR(J284/(I284/VLOOKUP(A284,'Tabela de Produtos'!A:H,8,0)),"Matéria Prima Não Cadastrada")</f>
        <v>7.4378453038674033E-2</v>
      </c>
      <c r="L284" s="216">
        <v>45939</v>
      </c>
    </row>
    <row r="285" spans="1:12" ht="15.75" customHeight="1">
      <c r="A285" s="48" t="s">
        <v>102</v>
      </c>
      <c r="B285" s="114" t="str">
        <f>VLOOKUP(A285,'Tabela de Produtos'!A:B,2,0)</f>
        <v>BRAZIMIL LÁTEX ECONÔMICO INT FOSCO 3L DAMASCO</v>
      </c>
      <c r="C285" s="48" t="s">
        <v>1203</v>
      </c>
      <c r="D285" s="114" t="str">
        <f>VLOOKUP(C285,'Custos Matéria Prima Embalagens'!B:C,2,0)</f>
        <v>WANBAC WBT CE (BH-200)</v>
      </c>
      <c r="E285" s="114" t="str">
        <f>VLOOKUP(C285,'Custos Matéria Prima Embalagens'!B:D,3,0)</f>
        <v>BACTERICIDA</v>
      </c>
      <c r="F285" s="270">
        <f t="shared" si="38"/>
        <v>919.19999999999993</v>
      </c>
      <c r="G285" s="148">
        <f t="shared" si="39"/>
        <v>3.2637075718015668E-3</v>
      </c>
      <c r="H285" s="96">
        <v>3</v>
      </c>
      <c r="I285" s="272">
        <f>ROUND(F285/VLOOKUP(A285,'Tabela de Produtos'!A:J,10,0),0)</f>
        <v>724</v>
      </c>
      <c r="J285" s="97">
        <f>IFERROR(VLOOKUP(C285,'Custos Matéria Prima Embalagens'!B:G,6,0)*H285,"Matéria Prima Não Cadastrada")</f>
        <v>14.819999999999999</v>
      </c>
      <c r="K285" s="97">
        <f>IFERROR(J285/(I285/VLOOKUP(A285,'Tabela de Produtos'!A:H,8,0)),"Matéria Prima Não Cadastrada")</f>
        <v>6.140883977900552E-2</v>
      </c>
      <c r="L285" s="216">
        <v>45939</v>
      </c>
    </row>
    <row r="286" spans="1:12" ht="15.75" customHeight="1">
      <c r="A286" s="48" t="s">
        <v>102</v>
      </c>
      <c r="B286" s="114" t="str">
        <f>VLOOKUP(A286,'Tabela de Produtos'!A:B,2,0)</f>
        <v>BRAZIMIL LÁTEX ECONÔMICO INT FOSCO 3L DAMASCO</v>
      </c>
      <c r="C286" s="48" t="s">
        <v>1205</v>
      </c>
      <c r="D286" s="114" t="str">
        <f>VLOOKUP(C286,'Custos Matéria Prima Embalagens'!B:C,2,0)</f>
        <v>WANSUR 840 CE (BB-200)01</v>
      </c>
      <c r="E286" s="114" t="str">
        <f>VLOOKUP(C286,'Custos Matéria Prima Embalagens'!B:D,3,0)</f>
        <v>UMECTANTE</v>
      </c>
      <c r="F286" s="270">
        <f t="shared" si="38"/>
        <v>919.19999999999993</v>
      </c>
      <c r="G286" s="148">
        <f t="shared" si="39"/>
        <v>2.1758050478677114E-3</v>
      </c>
      <c r="H286" s="96">
        <v>2</v>
      </c>
      <c r="I286" s="272">
        <f>ROUND(F286/VLOOKUP(A286,'Tabela de Produtos'!A:J,10,0),0)</f>
        <v>724</v>
      </c>
      <c r="J286" s="97">
        <f>IFERROR(VLOOKUP(C286,'Custos Matéria Prima Embalagens'!B:G,6,0)*H286,"Matéria Prima Não Cadastrada")</f>
        <v>14.66</v>
      </c>
      <c r="K286" s="97">
        <f>IFERROR(J286/(I286/VLOOKUP(A286,'Tabela de Produtos'!A:H,8,0)),"Matéria Prima Não Cadastrada")</f>
        <v>6.0745856353591157E-2</v>
      </c>
      <c r="L286" s="216">
        <v>45939</v>
      </c>
    </row>
    <row r="287" spans="1:12" ht="15.75" customHeight="1">
      <c r="A287" s="48" t="s">
        <v>102</v>
      </c>
      <c r="B287" s="114" t="str">
        <f>VLOOKUP(A287,'Tabela de Produtos'!A:B,2,0)</f>
        <v>BRAZIMIL LÁTEX ECONÔMICO INT FOSCO 3L DAMASCO</v>
      </c>
      <c r="C287" s="48" t="s">
        <v>1207</v>
      </c>
      <c r="D287" s="114" t="str">
        <f>VLOOKUP(C287,'Custos Matéria Prima Embalagens'!B:C,2,0)</f>
        <v>WANPEX 1510 (BB-200)</v>
      </c>
      <c r="E287" s="114" t="str">
        <f>VLOOKUP(C287,'Custos Matéria Prima Embalagens'!B:D,3,0)</f>
        <v>DISPERSANTE LATEX</v>
      </c>
      <c r="F287" s="270">
        <f t="shared" si="38"/>
        <v>919.19999999999993</v>
      </c>
      <c r="G287" s="148">
        <f t="shared" si="39"/>
        <v>3.2637075718015668E-3</v>
      </c>
      <c r="H287" s="96">
        <v>3</v>
      </c>
      <c r="I287" s="272">
        <f>ROUND(F287/VLOOKUP(A287,'Tabela de Produtos'!A:J,10,0),0)</f>
        <v>724</v>
      </c>
      <c r="J287" s="97">
        <f>IFERROR(VLOOKUP(C287,'Custos Matéria Prima Embalagens'!B:G,6,0)*H287,"Matéria Prima Não Cadastrada")</f>
        <v>20.58</v>
      </c>
      <c r="K287" s="97">
        <f>IFERROR(J287/(I287/VLOOKUP(A287,'Tabela de Produtos'!A:H,8,0)),"Matéria Prima Não Cadastrada")</f>
        <v>8.5276243093922635E-2</v>
      </c>
      <c r="L287" s="216">
        <v>45939</v>
      </c>
    </row>
    <row r="288" spans="1:12" ht="15.75" customHeight="1">
      <c r="A288" s="48" t="s">
        <v>102</v>
      </c>
      <c r="B288" s="114" t="str">
        <f>VLOOKUP(A288,'Tabela de Produtos'!A:B,2,0)</f>
        <v>BRAZIMIL LÁTEX ECONÔMICO INT FOSCO 3L DAMASCO</v>
      </c>
      <c r="C288" s="48" t="s">
        <v>1209</v>
      </c>
      <c r="D288" s="114" t="str">
        <f>VLOOKUP(C288,'Custos Matéria Prima Embalagens'!B:C,2,0)</f>
        <v>WANFUNG WFT CE (BH-200)</v>
      </c>
      <c r="E288" s="114" t="str">
        <f>VLOOKUP(C288,'Custos Matéria Prima Embalagens'!B:D,3,0)</f>
        <v>FUNGICIDA</v>
      </c>
      <c r="F288" s="270">
        <f t="shared" si="38"/>
        <v>919.19999999999993</v>
      </c>
      <c r="G288" s="148">
        <f t="shared" si="39"/>
        <v>2.7197563098346391E-3</v>
      </c>
      <c r="H288" s="96">
        <v>2.5</v>
      </c>
      <c r="I288" s="272">
        <f>ROUND(F288/VLOOKUP(A288,'Tabela de Produtos'!A:J,10,0),0)</f>
        <v>724</v>
      </c>
      <c r="J288" s="97">
        <f>IFERROR(VLOOKUP(C288,'Custos Matéria Prima Embalagens'!B:G,6,0)*H288,"Matéria Prima Não Cadastrada")</f>
        <v>17.5</v>
      </c>
      <c r="K288" s="97">
        <f>IFERROR(J288/(I288/VLOOKUP(A288,'Tabela de Produtos'!A:H,8,0)),"Matéria Prima Não Cadastrada")</f>
        <v>7.2513812154696128E-2</v>
      </c>
      <c r="L288" s="216">
        <v>45939</v>
      </c>
    </row>
    <row r="289" spans="1:12" ht="15.75" customHeight="1">
      <c r="A289" s="48" t="s">
        <v>102</v>
      </c>
      <c r="B289" s="114" t="str">
        <f>VLOOKUP(A289,'Tabela de Produtos'!A:B,2,0)</f>
        <v>BRAZIMIL LÁTEX ECONÔMICO INT FOSCO 3L DAMASCO</v>
      </c>
      <c r="C289" s="48" t="s">
        <v>1215</v>
      </c>
      <c r="D289" s="114" t="str">
        <f>VLOOKUP(C289,'Custos Matéria Prima Embalagens'!B:C,2,0)</f>
        <v>CALCARIO DOLOMITICO #500 ( SACOS 25 KG)</v>
      </c>
      <c r="E289" s="114" t="str">
        <f>VLOOKUP(C289,'Custos Matéria Prima Embalagens'!B:D,3,0)</f>
        <v>CARBONATO #500</v>
      </c>
      <c r="F289" s="270">
        <f t="shared" si="38"/>
        <v>919.19999999999993</v>
      </c>
      <c r="G289" s="148">
        <f t="shared" si="39"/>
        <v>5.4395126196692782E-2</v>
      </c>
      <c r="H289" s="96">
        <v>50</v>
      </c>
      <c r="I289" s="272">
        <f>ROUND(F289/VLOOKUP(A289,'Tabela de Produtos'!A:J,10,0),0)</f>
        <v>724</v>
      </c>
      <c r="J289" s="97">
        <f>IFERROR(VLOOKUP(C289,'Custos Matéria Prima Embalagens'!B:G,6,0)*H289,"Matéria Prima Não Cadastrada")</f>
        <v>40</v>
      </c>
      <c r="K289" s="97">
        <f>IFERROR(J289/(I289/VLOOKUP(A289,'Tabela de Produtos'!A:H,8,0)),"Matéria Prima Não Cadastrada")</f>
        <v>0.16574585635359115</v>
      </c>
      <c r="L289" s="216">
        <v>45939</v>
      </c>
    </row>
    <row r="290" spans="1:12" ht="15.75" customHeight="1">
      <c r="A290" s="48" t="s">
        <v>102</v>
      </c>
      <c r="B290" s="114" t="str">
        <f>VLOOKUP(A290,'Tabela de Produtos'!A:B,2,0)</f>
        <v>BRAZIMIL LÁTEX ECONÔMICO INT FOSCO 3L DAMASCO</v>
      </c>
      <c r="C290" s="48" t="s">
        <v>1227</v>
      </c>
      <c r="D290" s="114" t="str">
        <f>VLOOKUP(C290,'Custos Matéria Prima Embalagens'!B:C,2,0)</f>
        <v>CAULIM MALHA 325</v>
      </c>
      <c r="E290" s="114" t="str">
        <f>VLOOKUP(C290,'Custos Matéria Prima Embalagens'!B:D,3,0)</f>
        <v>caulim</v>
      </c>
      <c r="F290" s="270">
        <f t="shared" si="38"/>
        <v>919.19999999999993</v>
      </c>
      <c r="G290" s="148">
        <f t="shared" si="39"/>
        <v>0.35356832027850305</v>
      </c>
      <c r="H290" s="96">
        <v>325</v>
      </c>
      <c r="I290" s="272">
        <f>ROUND(F290/VLOOKUP(A290,'Tabela de Produtos'!A:J,10,0),0)</f>
        <v>724</v>
      </c>
      <c r="J290" s="97">
        <f>IFERROR(VLOOKUP(C290,'Custos Matéria Prima Embalagens'!B:G,6,0)*H290,"Matéria Prima Não Cadastrada")</f>
        <v>494.16105555555538</v>
      </c>
      <c r="K290" s="97">
        <f>IFERROR(J290/(I290/VLOOKUP(A290,'Tabela de Produtos'!A:H,8,0)),"Matéria Prima Não Cadastrada")</f>
        <v>2.0476286832412516</v>
      </c>
      <c r="L290" s="216">
        <v>45939</v>
      </c>
    </row>
    <row r="291" spans="1:12" ht="15.75" customHeight="1">
      <c r="A291" s="48" t="s">
        <v>102</v>
      </c>
      <c r="B291" s="114" t="str">
        <f>VLOOKUP(A291,'Tabela de Produtos'!A:B,2,0)</f>
        <v>BRAZIMIL LÁTEX ECONÔMICO INT FOSCO 3L DAMASCO</v>
      </c>
      <c r="C291" s="48" t="s">
        <v>1217</v>
      </c>
      <c r="D291" s="114" t="str">
        <f>VLOOKUP(C291,'Custos Matéria Prima Embalagens'!B:C,2,0)</f>
        <v>WANCRIL W 51 CE (CT-1000P)</v>
      </c>
      <c r="E291" s="114" t="str">
        <f>VLOOKUP(C291,'Custos Matéria Prima Embalagens'!B:D,3,0)</f>
        <v>RESINA ACRILICA ESTIRENADA</v>
      </c>
      <c r="F291" s="270">
        <f t="shared" si="38"/>
        <v>919.19999999999993</v>
      </c>
      <c r="G291" s="148">
        <f t="shared" si="39"/>
        <v>3.2637075718015669E-2</v>
      </c>
      <c r="H291" s="96">
        <v>30</v>
      </c>
      <c r="I291" s="272">
        <f>ROUND(F291/VLOOKUP(A291,'Tabela de Produtos'!A:J,10,0),0)</f>
        <v>724</v>
      </c>
      <c r="J291" s="97">
        <f>IFERROR(VLOOKUP(C291,'Custos Matéria Prima Embalagens'!B:G,6,0)*H291,"Matéria Prima Não Cadastrada")</f>
        <v>252.89999999999998</v>
      </c>
      <c r="K291" s="97">
        <f>IFERROR(J291/(I291/VLOOKUP(A291,'Tabela de Produtos'!A:H,8,0)),"Matéria Prima Não Cadastrada")</f>
        <v>1.0479281767955799</v>
      </c>
      <c r="L291" s="216">
        <v>45939</v>
      </c>
    </row>
    <row r="292" spans="1:12" ht="15.75" customHeight="1">
      <c r="A292" s="48" t="s">
        <v>102</v>
      </c>
      <c r="B292" s="114" t="str">
        <f>VLOOKUP(A292,'Tabela de Produtos'!A:B,2,0)</f>
        <v>BRAZIMIL LÁTEX ECONÔMICO INT FOSCO 3L DAMASCO</v>
      </c>
      <c r="C292" s="48" t="s">
        <v>1219</v>
      </c>
      <c r="D292" s="114" t="str">
        <f>VLOOKUP(C292,'Custos Matéria Prima Embalagens'!B:C,2,0)</f>
        <v>WANALK 70 CE (BH-200)</v>
      </c>
      <c r="E292" s="114" t="str">
        <f>VLOOKUP(C292,'Custos Matéria Prima Embalagens'!B:D,3,0)</f>
        <v>ALCALINIZANTE</v>
      </c>
      <c r="F292" s="270">
        <f t="shared" si="38"/>
        <v>919.19999999999993</v>
      </c>
      <c r="G292" s="148">
        <f t="shared" si="39"/>
        <v>3.2637075718015668E-3</v>
      </c>
      <c r="H292" s="96">
        <v>3</v>
      </c>
      <c r="I292" s="272">
        <f>ROUND(F292/VLOOKUP(A292,'Tabela de Produtos'!A:J,10,0),0)</f>
        <v>724</v>
      </c>
      <c r="J292" s="97">
        <f>IFERROR(VLOOKUP(C292,'Custos Matéria Prima Embalagens'!B:G,6,0)*H292,"Matéria Prima Não Cadastrada")</f>
        <v>14.940000000000001</v>
      </c>
      <c r="K292" s="97">
        <f>IFERROR(J292/(I292/VLOOKUP(A292,'Tabela de Produtos'!A:H,8,0)),"Matéria Prima Não Cadastrada")</f>
        <v>6.1906077348066302E-2</v>
      </c>
      <c r="L292" s="216">
        <v>45939</v>
      </c>
    </row>
    <row r="293" spans="1:12" ht="15.75" customHeight="1">
      <c r="A293" s="48" t="s">
        <v>102</v>
      </c>
      <c r="B293" s="114" t="str">
        <f>VLOOKUP(A293,'Tabela de Produtos'!A:B,2,0)</f>
        <v>BRAZIMIL LÁTEX ECONÔMICO INT FOSCO 3L DAMASCO</v>
      </c>
      <c r="C293" s="48" t="s">
        <v>1221</v>
      </c>
      <c r="D293" s="114" t="str">
        <f>VLOOKUP(C293,'Custos Matéria Prima Embalagens'!B:C,2,0)</f>
        <v>MODIWAN 105H CE (CT-1000P)</v>
      </c>
      <c r="E293" s="114" t="str">
        <f>VLOOKUP(C293,'Custos Matéria Prima Embalagens'!B:D,3,0)</f>
        <v>ESPESSANTE DE MEDIA</v>
      </c>
      <c r="F293" s="270">
        <f t="shared" si="38"/>
        <v>919.19999999999993</v>
      </c>
      <c r="G293" s="148">
        <f t="shared" si="39"/>
        <v>1.6862489120974763E-2</v>
      </c>
      <c r="H293" s="96">
        <v>15.5</v>
      </c>
      <c r="I293" s="272">
        <f>ROUND(F293/VLOOKUP(A293,'Tabela de Produtos'!A:J,10,0),0)</f>
        <v>724</v>
      </c>
      <c r="J293" s="97">
        <f>IFERROR(VLOOKUP(C293,'Custos Matéria Prima Embalagens'!B:G,6,0)*H293,"Matéria Prima Não Cadastrada")</f>
        <v>122.52749999999999</v>
      </c>
      <c r="K293" s="97">
        <f>IFERROR(J293/(I293/VLOOKUP(A293,'Tabela de Produtos'!A:H,8,0)),"Matéria Prima Não Cadastrada")</f>
        <v>0.50771063535911598</v>
      </c>
      <c r="L293" s="216">
        <v>45939</v>
      </c>
    </row>
    <row r="294" spans="1:12" ht="15.75" customHeight="1">
      <c r="A294" s="48" t="s">
        <v>102</v>
      </c>
      <c r="B294" s="114" t="str">
        <f>VLOOKUP(A294,'Tabela de Produtos'!A:B,2,0)</f>
        <v>BRAZIMIL LÁTEX ECONÔMICO INT FOSCO 3L DAMASCO</v>
      </c>
      <c r="C294" s="48" t="s">
        <v>1223</v>
      </c>
      <c r="D294" s="114" t="str">
        <f>VLOOKUP(C294,'Custos Matéria Prima Embalagens'!B:C,2,0)</f>
        <v>TURBOWAN H CE (BH-200)</v>
      </c>
      <c r="E294" s="114" t="str">
        <f>VLOOKUP(C294,'Custos Matéria Prima Embalagens'!B:D,3,0)</f>
        <v>PROMOTOR DE LAVABILIDADE</v>
      </c>
      <c r="F294" s="270">
        <f t="shared" si="38"/>
        <v>919.19999999999993</v>
      </c>
      <c r="G294" s="148">
        <f t="shared" si="39"/>
        <v>8.1592689295039173E-3</v>
      </c>
      <c r="H294" s="96">
        <v>7.5</v>
      </c>
      <c r="I294" s="272">
        <f>ROUND(F294/VLOOKUP(A294,'Tabela de Produtos'!A:J,10,0),0)</f>
        <v>724</v>
      </c>
      <c r="J294" s="97">
        <f>IFERROR(VLOOKUP(C294,'Custos Matéria Prima Embalagens'!B:G,6,0)*H294,"Matéria Prima Não Cadastrada")</f>
        <v>36.375</v>
      </c>
      <c r="K294" s="97">
        <f>IFERROR(J294/(I294/VLOOKUP(A294,'Tabela de Produtos'!A:H,8,0)),"Matéria Prima Não Cadastrada")</f>
        <v>0.15072513812154695</v>
      </c>
      <c r="L294" s="216">
        <v>45939</v>
      </c>
    </row>
    <row r="295" spans="1:12" ht="15.75" customHeight="1">
      <c r="A295" s="48" t="s">
        <v>102</v>
      </c>
      <c r="B295" s="114" t="str">
        <f>VLOOKUP(A295,'Tabela de Produtos'!A:B,2,0)</f>
        <v>BRAZIMIL LÁTEX ECONÔMICO INT FOSCO 3L DAMASCO</v>
      </c>
      <c r="C295" s="48" t="s">
        <v>1229</v>
      </c>
      <c r="D295" s="114" t="str">
        <f>VLOOKUP(C295,'Custos Matéria Prima Embalagens'!B:C,2,0)</f>
        <v>WANSOL 340 CE (BB-200)</v>
      </c>
      <c r="E295" s="114" t="str">
        <f>VLOOKUP(C295,'Custos Matéria Prima Embalagens'!B:D,3,0)</f>
        <v>COALESCENTE</v>
      </c>
      <c r="F295" s="270">
        <f t="shared" si="38"/>
        <v>919.19999999999993</v>
      </c>
      <c r="G295" s="148">
        <f t="shared" si="39"/>
        <v>5.4395126196692782E-3</v>
      </c>
      <c r="H295" s="96">
        <v>5</v>
      </c>
      <c r="I295" s="272">
        <f>ROUND(F295/VLOOKUP(A295,'Tabela de Produtos'!A:J,10,0),0)</f>
        <v>724</v>
      </c>
      <c r="J295" s="97">
        <f>IFERROR(VLOOKUP(C295,'Custos Matéria Prima Embalagens'!B:G,6,0)*H295,"Matéria Prima Não Cadastrada")</f>
        <v>96.1</v>
      </c>
      <c r="K295" s="97">
        <f>IFERROR(J295/(I295/VLOOKUP(A295,'Tabela de Produtos'!A:H,8,0)),"Matéria Prima Não Cadastrada")</f>
        <v>0.39820441988950273</v>
      </c>
      <c r="L295" s="216">
        <v>45939</v>
      </c>
    </row>
    <row r="296" spans="1:12" ht="15.75" customHeight="1">
      <c r="A296" s="48" t="s">
        <v>102</v>
      </c>
      <c r="B296" s="114" t="str">
        <f>VLOOKUP(A296,'Tabela de Produtos'!A:B,2,0)</f>
        <v>BRAZIMIL LÁTEX ECONÔMICO INT FOSCO 3L DAMASCO</v>
      </c>
      <c r="C296" s="48" t="s">
        <v>1273</v>
      </c>
      <c r="D296" s="114" t="str">
        <f>VLOOKUP(C296,'Custos Matéria Prima Embalagens'!B:C,2,0)</f>
        <v>AMARELO SPECTRA RO</v>
      </c>
      <c r="E296" s="114" t="str">
        <f>VLOOKUP(C296,'Custos Matéria Prima Embalagens'!B:D,3,0)</f>
        <v>AMARELO SPECTRA RO</v>
      </c>
      <c r="F296" s="270">
        <f t="shared" si="38"/>
        <v>919.19999999999993</v>
      </c>
      <c r="G296" s="148">
        <f t="shared" si="39"/>
        <v>6.0922541340295913E-3</v>
      </c>
      <c r="H296" s="96">
        <v>5.6</v>
      </c>
      <c r="I296" s="272">
        <f>ROUND(F296/VLOOKUP(A296,'Tabela de Produtos'!A:J,10,0),0)</f>
        <v>724</v>
      </c>
      <c r="J296" s="97">
        <f>IFERROR(VLOOKUP(C296,'Custos Matéria Prima Embalagens'!B:G,6,0)*H296,"Matéria Prima Não Cadastrada")</f>
        <v>87.36</v>
      </c>
      <c r="K296" s="97">
        <f>IFERROR(J296/(I296/VLOOKUP(A296,'Tabela de Produtos'!A:H,8,0)),"Matéria Prima Não Cadastrada")</f>
        <v>0.36198895027624306</v>
      </c>
      <c r="L296" s="216">
        <v>45939</v>
      </c>
    </row>
    <row r="297" spans="1:12" ht="15.75" customHeight="1">
      <c r="A297" s="48" t="s">
        <v>102</v>
      </c>
      <c r="B297" s="114" t="str">
        <f>VLOOKUP(A297,'Tabela de Produtos'!A:B,2,0)</f>
        <v>BRAZIMIL LÁTEX ECONÔMICO INT FOSCO 3L DAMASCO</v>
      </c>
      <c r="C297" s="48" t="s">
        <v>1353</v>
      </c>
      <c r="D297" s="114" t="str">
        <f>VLOOKUP(C297,'Custos Matéria Prima Embalagens'!B:C,2,0)</f>
        <v>VERMELHO SPECTRA RO</v>
      </c>
      <c r="E297" s="114" t="str">
        <f>VLOOKUP(C297,'Custos Matéria Prima Embalagens'!B:D,3,0)</f>
        <v>VERMELHO SPECTRA RO</v>
      </c>
      <c r="F297" s="270">
        <f t="shared" si="38"/>
        <v>919.19999999999993</v>
      </c>
      <c r="G297" s="148">
        <f t="shared" si="39"/>
        <v>1.9582245430809402E-3</v>
      </c>
      <c r="H297" s="96">
        <v>1.8</v>
      </c>
      <c r="I297" s="272">
        <f>ROUND(F297/VLOOKUP(A297,'Tabela de Produtos'!A:J,10,0),0)</f>
        <v>724</v>
      </c>
      <c r="J297" s="97">
        <f>IFERROR(VLOOKUP(C297,'Custos Matéria Prima Embalagens'!B:G,6,0)*H297,"Matéria Prima Não Cadastrada")</f>
        <v>27.738</v>
      </c>
      <c r="K297" s="97">
        <f>IFERROR(J297/(I297/VLOOKUP(A297,'Tabela de Produtos'!A:H,8,0)),"Matéria Prima Não Cadastrada")</f>
        <v>0.11493646408839778</v>
      </c>
      <c r="L297" s="216">
        <v>45939</v>
      </c>
    </row>
    <row r="298" spans="1:12" ht="15.75" customHeight="1">
      <c r="A298" s="48" t="s">
        <v>102</v>
      </c>
      <c r="B298" s="114" t="str">
        <f>VLOOKUP(A298,'Tabela de Produtos'!A:B,2,0)</f>
        <v>BRAZIMIL LÁTEX ECONÔMICO INT FOSCO 3L DAMASCO</v>
      </c>
      <c r="C298" s="48" t="s">
        <v>1239</v>
      </c>
      <c r="D298" s="114" t="str">
        <f>VLOOKUP(C298,'Custos Matéria Prima Embalagens'!B:C,2,0)</f>
        <v>AMARELO SPECTRAPRINT 2GXH</v>
      </c>
      <c r="E298" s="114" t="str">
        <f>VLOOKUP(C298,'Custos Matéria Prima Embalagens'!B:D,3,0)</f>
        <v>AMARELO SPECTRAPRINT 2GXH</v>
      </c>
      <c r="F298" s="270">
        <f t="shared" si="38"/>
        <v>919.19999999999993</v>
      </c>
      <c r="G298" s="148">
        <f t="shared" si="39"/>
        <v>3.0461270670147957E-3</v>
      </c>
      <c r="H298" s="96">
        <v>2.8</v>
      </c>
      <c r="I298" s="272">
        <f>ROUND(F298/VLOOKUP(A298,'Tabela de Produtos'!A:J,10,0),0)</f>
        <v>724</v>
      </c>
      <c r="J298" s="97">
        <f>IFERROR(VLOOKUP(C298,'Custos Matéria Prima Embalagens'!B:G,6,0)*H298,"Matéria Prima Não Cadastrada")</f>
        <v>59.107999999999997</v>
      </c>
      <c r="K298" s="97">
        <f>IFERROR(J298/(I298/VLOOKUP(A298,'Tabela de Produtos'!A:H,8,0)),"Matéria Prima Não Cadastrada")</f>
        <v>0.24492265193370164</v>
      </c>
      <c r="L298" s="216">
        <v>45939</v>
      </c>
    </row>
    <row r="299" spans="1:12" ht="15.75" customHeight="1">
      <c r="D299" s="114"/>
      <c r="E299" s="114"/>
      <c r="F299" s="96"/>
      <c r="G299" s="148"/>
      <c r="H299" s="96"/>
      <c r="I299" s="272"/>
      <c r="J299" s="97"/>
      <c r="K299" s="97"/>
      <c r="L299" s="216">
        <v>45939</v>
      </c>
    </row>
    <row r="300" spans="1:12" ht="15.75" customHeight="1">
      <c r="A300" s="48" t="s">
        <v>103</v>
      </c>
      <c r="B300" s="114" t="str">
        <f>VLOOKUP(A300,'Tabela de Produtos'!A:B,2,0)</f>
        <v>BRAZIMIL LÁTEX ECONÔMICO INT FOSCO 3L PEROLA</v>
      </c>
      <c r="C300" s="48" t="s">
        <v>1197</v>
      </c>
      <c r="D300" s="114" t="str">
        <f>VLOOKUP(C300,'Custos Matéria Prima Embalagens'!B:C,2,0)</f>
        <v>AGUA</v>
      </c>
      <c r="E300" s="114" t="str">
        <f>VLOOKUP(C300,'Custos Matéria Prima Embalagens'!B:D,3,0)</f>
        <v>AGUA</v>
      </c>
      <c r="F300" s="270">
        <f t="shared" ref="F300:F314" si="40">SUMIFS(H:H,A:A,A300)</f>
        <v>910.25</v>
      </c>
      <c r="G300" s="148">
        <f t="shared" ref="G300:G314" si="41">H300/F300</f>
        <v>0.50535567151881355</v>
      </c>
      <c r="H300" s="96">
        <v>460</v>
      </c>
      <c r="I300" s="272">
        <f>ROUND(F300/VLOOKUP(A300,'Tabela de Produtos'!A:J,10,0),0)</f>
        <v>717</v>
      </c>
      <c r="J300" s="97">
        <f>IFERROR(VLOOKUP(C300,'Custos Matéria Prima Embalagens'!B:G,6,0)*H300,"Matéria Prima Não Cadastrada")</f>
        <v>0</v>
      </c>
      <c r="K300" s="97">
        <f>IFERROR(J300/(I300/VLOOKUP(A300,'Tabela de Produtos'!A:H,8,0)),"Matéria Prima Não Cadastrada")</f>
        <v>0</v>
      </c>
      <c r="L300" s="216">
        <v>45939</v>
      </c>
    </row>
    <row r="301" spans="1:12" ht="15.75" customHeight="1">
      <c r="A301" s="48" t="s">
        <v>103</v>
      </c>
      <c r="B301" s="114" t="str">
        <f>VLOOKUP(A301,'Tabela de Produtos'!A:B,2,0)</f>
        <v>BRAZIMIL LÁTEX ECONÔMICO INT FOSCO 3L PEROLA</v>
      </c>
      <c r="C301" s="48" t="s">
        <v>1201</v>
      </c>
      <c r="D301" s="114" t="str">
        <f>VLOOKUP(C301,'Custos Matéria Prima Embalagens'!B:C,2,0)</f>
        <v>WANFOAM 528 CE (BB-190)</v>
      </c>
      <c r="E301" s="114" t="str">
        <f>VLOOKUP(C301,'Custos Matéria Prima Embalagens'!B:D,3,0)</f>
        <v>ANTI ESPUMA LATEX</v>
      </c>
      <c r="F301" s="270">
        <f t="shared" si="40"/>
        <v>910.25</v>
      </c>
      <c r="G301" s="148">
        <f t="shared" si="41"/>
        <v>2.7464982147761604E-3</v>
      </c>
      <c r="H301" s="96">
        <v>2.5</v>
      </c>
      <c r="I301" s="272">
        <f>ROUND(F301/VLOOKUP(A301,'Tabela de Produtos'!A:J,10,0),0)</f>
        <v>717</v>
      </c>
      <c r="J301" s="97">
        <f>IFERROR(VLOOKUP(C301,'Custos Matéria Prima Embalagens'!B:G,6,0)*H301,"Matéria Prima Não Cadastrada")</f>
        <v>17.95</v>
      </c>
      <c r="K301" s="97">
        <f>IFERROR(J301/(I301/VLOOKUP(A301,'Tabela de Produtos'!A:H,8,0)),"Matéria Prima Não Cadastrada")</f>
        <v>7.510460251046025E-2</v>
      </c>
      <c r="L301" s="216">
        <v>45939</v>
      </c>
    </row>
    <row r="302" spans="1:12" ht="15.75" customHeight="1">
      <c r="A302" s="48" t="s">
        <v>103</v>
      </c>
      <c r="B302" s="114" t="str">
        <f>VLOOKUP(A302,'Tabela de Produtos'!A:B,2,0)</f>
        <v>BRAZIMIL LÁTEX ECONÔMICO INT FOSCO 3L PEROLA</v>
      </c>
      <c r="C302" s="48" t="s">
        <v>1203</v>
      </c>
      <c r="D302" s="114" t="str">
        <f>VLOOKUP(C302,'Custos Matéria Prima Embalagens'!B:C,2,0)</f>
        <v>WANBAC WBT CE (BH-200)</v>
      </c>
      <c r="E302" s="114" t="str">
        <f>VLOOKUP(C302,'Custos Matéria Prima Embalagens'!B:D,3,0)</f>
        <v>BACTERICIDA</v>
      </c>
      <c r="F302" s="270">
        <f t="shared" si="40"/>
        <v>910.25</v>
      </c>
      <c r="G302" s="148">
        <f t="shared" si="41"/>
        <v>3.2957978577313925E-3</v>
      </c>
      <c r="H302" s="96">
        <v>3</v>
      </c>
      <c r="I302" s="272">
        <f>ROUND(F302/VLOOKUP(A302,'Tabela de Produtos'!A:J,10,0),0)</f>
        <v>717</v>
      </c>
      <c r="J302" s="97">
        <f>IFERROR(VLOOKUP(C302,'Custos Matéria Prima Embalagens'!B:G,6,0)*H302,"Matéria Prima Não Cadastrada")</f>
        <v>14.819999999999999</v>
      </c>
      <c r="K302" s="97">
        <f>IFERROR(J302/(I302/VLOOKUP(A302,'Tabela de Produtos'!A:H,8,0)),"Matéria Prima Não Cadastrada")</f>
        <v>6.2008368200836814E-2</v>
      </c>
      <c r="L302" s="216">
        <v>45939</v>
      </c>
    </row>
    <row r="303" spans="1:12" ht="15.75" customHeight="1">
      <c r="A303" s="48" t="s">
        <v>103</v>
      </c>
      <c r="B303" s="114" t="str">
        <f>VLOOKUP(A303,'Tabela de Produtos'!A:B,2,0)</f>
        <v>BRAZIMIL LÁTEX ECONÔMICO INT FOSCO 3L PEROLA</v>
      </c>
      <c r="C303" s="48" t="s">
        <v>1205</v>
      </c>
      <c r="D303" s="114" t="str">
        <f>VLOOKUP(C303,'Custos Matéria Prima Embalagens'!B:C,2,0)</f>
        <v>WANSUR 840 CE (BB-200)01</v>
      </c>
      <c r="E303" s="114" t="str">
        <f>VLOOKUP(C303,'Custos Matéria Prima Embalagens'!B:D,3,0)</f>
        <v>UMECTANTE</v>
      </c>
      <c r="F303" s="270">
        <f t="shared" si="40"/>
        <v>910.25</v>
      </c>
      <c r="G303" s="148">
        <f t="shared" si="41"/>
        <v>2.1971985718209283E-3</v>
      </c>
      <c r="H303" s="96">
        <v>2</v>
      </c>
      <c r="I303" s="272">
        <f>ROUND(F303/VLOOKUP(A303,'Tabela de Produtos'!A:J,10,0),0)</f>
        <v>717</v>
      </c>
      <c r="J303" s="97">
        <f>IFERROR(VLOOKUP(C303,'Custos Matéria Prima Embalagens'!B:G,6,0)*H303,"Matéria Prima Não Cadastrada")</f>
        <v>14.66</v>
      </c>
      <c r="K303" s="97">
        <f>IFERROR(J303/(I303/VLOOKUP(A303,'Tabela de Produtos'!A:H,8,0)),"Matéria Prima Não Cadastrada")</f>
        <v>6.1338912133891213E-2</v>
      </c>
      <c r="L303" s="216">
        <v>45939</v>
      </c>
    </row>
    <row r="304" spans="1:12" ht="15.75" customHeight="1">
      <c r="A304" s="48" t="s">
        <v>103</v>
      </c>
      <c r="B304" s="114" t="str">
        <f>VLOOKUP(A304,'Tabela de Produtos'!A:B,2,0)</f>
        <v>BRAZIMIL LÁTEX ECONÔMICO INT FOSCO 3L PEROLA</v>
      </c>
      <c r="C304" s="48" t="s">
        <v>1207</v>
      </c>
      <c r="D304" s="114" t="str">
        <f>VLOOKUP(C304,'Custos Matéria Prima Embalagens'!B:C,2,0)</f>
        <v>WANPEX 1510 (BB-200)</v>
      </c>
      <c r="E304" s="114" t="str">
        <f>VLOOKUP(C304,'Custos Matéria Prima Embalagens'!B:D,3,0)</f>
        <v>DISPERSANTE LATEX</v>
      </c>
      <c r="F304" s="270">
        <f t="shared" si="40"/>
        <v>910.25</v>
      </c>
      <c r="G304" s="148">
        <f t="shared" si="41"/>
        <v>3.2957978577313925E-3</v>
      </c>
      <c r="H304" s="96">
        <v>3</v>
      </c>
      <c r="I304" s="272">
        <f>ROUND(F304/VLOOKUP(A304,'Tabela de Produtos'!A:J,10,0),0)</f>
        <v>717</v>
      </c>
      <c r="J304" s="97">
        <f>IFERROR(VLOOKUP(C304,'Custos Matéria Prima Embalagens'!B:G,6,0)*H304,"Matéria Prima Não Cadastrada")</f>
        <v>20.58</v>
      </c>
      <c r="K304" s="97">
        <f>IFERROR(J304/(I304/VLOOKUP(A304,'Tabela de Produtos'!A:H,8,0)),"Matéria Prima Não Cadastrada")</f>
        <v>8.610878661087866E-2</v>
      </c>
      <c r="L304" s="216">
        <v>45939</v>
      </c>
    </row>
    <row r="305" spans="1:12" ht="15.75" customHeight="1">
      <c r="A305" s="48" t="s">
        <v>103</v>
      </c>
      <c r="B305" s="114" t="str">
        <f>VLOOKUP(A305,'Tabela de Produtos'!A:B,2,0)</f>
        <v>BRAZIMIL LÁTEX ECONÔMICO INT FOSCO 3L PEROLA</v>
      </c>
      <c r="C305" s="48" t="s">
        <v>1209</v>
      </c>
      <c r="D305" s="114" t="str">
        <f>VLOOKUP(C305,'Custos Matéria Prima Embalagens'!B:C,2,0)</f>
        <v>WANFUNG WFT CE (BH-200)</v>
      </c>
      <c r="E305" s="114" t="str">
        <f>VLOOKUP(C305,'Custos Matéria Prima Embalagens'!B:D,3,0)</f>
        <v>FUNGICIDA</v>
      </c>
      <c r="F305" s="270">
        <f t="shared" si="40"/>
        <v>910.25</v>
      </c>
      <c r="G305" s="148">
        <f t="shared" si="41"/>
        <v>2.7464982147761604E-3</v>
      </c>
      <c r="H305" s="96">
        <v>2.5</v>
      </c>
      <c r="I305" s="272">
        <f>ROUND(F305/VLOOKUP(A305,'Tabela de Produtos'!A:J,10,0),0)</f>
        <v>717</v>
      </c>
      <c r="J305" s="97">
        <f>IFERROR(VLOOKUP(C305,'Custos Matéria Prima Embalagens'!B:G,6,0)*H305,"Matéria Prima Não Cadastrada")</f>
        <v>17.5</v>
      </c>
      <c r="K305" s="97">
        <f>IFERROR(J305/(I305/VLOOKUP(A305,'Tabela de Produtos'!A:H,8,0)),"Matéria Prima Não Cadastrada")</f>
        <v>7.3221757322175729E-2</v>
      </c>
      <c r="L305" s="216">
        <v>45939</v>
      </c>
    </row>
    <row r="306" spans="1:12" ht="15.75" customHeight="1">
      <c r="A306" s="48" t="s">
        <v>103</v>
      </c>
      <c r="B306" s="114" t="str">
        <f>VLOOKUP(A306,'Tabela de Produtos'!A:B,2,0)</f>
        <v>BRAZIMIL LÁTEX ECONÔMICO INT FOSCO 3L PEROLA</v>
      </c>
      <c r="C306" s="48" t="s">
        <v>1215</v>
      </c>
      <c r="D306" s="114" t="str">
        <f>VLOOKUP(C306,'Custos Matéria Prima Embalagens'!B:C,2,0)</f>
        <v>CALCARIO DOLOMITICO #500 ( SACOS 25 KG)</v>
      </c>
      <c r="E306" s="114" t="str">
        <f>VLOOKUP(C306,'Custos Matéria Prima Embalagens'!B:D,3,0)</f>
        <v>CARBONATO #500</v>
      </c>
      <c r="F306" s="270">
        <f t="shared" si="40"/>
        <v>910.25</v>
      </c>
      <c r="G306" s="148">
        <f t="shared" si="41"/>
        <v>5.4929964295523208E-2</v>
      </c>
      <c r="H306" s="96">
        <v>50</v>
      </c>
      <c r="I306" s="272">
        <f>ROUND(F306/VLOOKUP(A306,'Tabela de Produtos'!A:J,10,0),0)</f>
        <v>717</v>
      </c>
      <c r="J306" s="97">
        <f>IFERROR(VLOOKUP(C306,'Custos Matéria Prima Embalagens'!B:G,6,0)*H306,"Matéria Prima Não Cadastrada")</f>
        <v>40</v>
      </c>
      <c r="K306" s="97">
        <f>IFERROR(J306/(I306/VLOOKUP(A306,'Tabela de Produtos'!A:H,8,0)),"Matéria Prima Não Cadastrada")</f>
        <v>0.16736401673640167</v>
      </c>
      <c r="L306" s="216">
        <v>45939</v>
      </c>
    </row>
    <row r="307" spans="1:12" ht="15.75" customHeight="1">
      <c r="A307" s="48" t="s">
        <v>103</v>
      </c>
      <c r="B307" s="114" t="str">
        <f>VLOOKUP(A307,'Tabela de Produtos'!A:B,2,0)</f>
        <v>BRAZIMIL LÁTEX ECONÔMICO INT FOSCO 3L PEROLA</v>
      </c>
      <c r="C307" s="48" t="s">
        <v>1227</v>
      </c>
      <c r="D307" s="114" t="str">
        <f>VLOOKUP(C307,'Custos Matéria Prima Embalagens'!B:C,2,0)</f>
        <v>CAULIM MALHA 325</v>
      </c>
      <c r="E307" s="114" t="str">
        <f>VLOOKUP(C307,'Custos Matéria Prima Embalagens'!B:D,3,0)</f>
        <v>caulim</v>
      </c>
      <c r="F307" s="270">
        <f t="shared" si="40"/>
        <v>910.25</v>
      </c>
      <c r="G307" s="148">
        <f t="shared" si="41"/>
        <v>0.35704476792090084</v>
      </c>
      <c r="H307" s="96">
        <v>325</v>
      </c>
      <c r="I307" s="272">
        <f>ROUND(F307/VLOOKUP(A307,'Tabela de Produtos'!A:J,10,0),0)</f>
        <v>717</v>
      </c>
      <c r="J307" s="97">
        <f>IFERROR(VLOOKUP(C307,'Custos Matéria Prima Embalagens'!B:G,6,0)*H307,"Matéria Prima Não Cadastrada")</f>
        <v>494.16105555555538</v>
      </c>
      <c r="K307" s="97">
        <f>IFERROR(J307/(I307/VLOOKUP(A307,'Tabela de Produtos'!A:H,8,0)),"Matéria Prima Não Cadastrada")</f>
        <v>2.0676194793119471</v>
      </c>
      <c r="L307" s="216">
        <v>45939</v>
      </c>
    </row>
    <row r="308" spans="1:12" ht="15.75" customHeight="1">
      <c r="A308" s="48" t="s">
        <v>103</v>
      </c>
      <c r="B308" s="114" t="str">
        <f>VLOOKUP(A308,'Tabela de Produtos'!A:B,2,0)</f>
        <v>BRAZIMIL LÁTEX ECONÔMICO INT FOSCO 3L PEROLA</v>
      </c>
      <c r="C308" s="48" t="s">
        <v>1217</v>
      </c>
      <c r="D308" s="114" t="str">
        <f>VLOOKUP(C308,'Custos Matéria Prima Embalagens'!B:C,2,0)</f>
        <v>WANCRIL W 51 CE (CT-1000P)</v>
      </c>
      <c r="E308" s="114" t="str">
        <f>VLOOKUP(C308,'Custos Matéria Prima Embalagens'!B:D,3,0)</f>
        <v>RESINA ACRILICA ESTIRENADA</v>
      </c>
      <c r="F308" s="270">
        <f t="shared" si="40"/>
        <v>910.25</v>
      </c>
      <c r="G308" s="148">
        <f t="shared" si="41"/>
        <v>3.2957978577313925E-2</v>
      </c>
      <c r="H308" s="96">
        <v>30</v>
      </c>
      <c r="I308" s="272">
        <f>ROUND(F308/VLOOKUP(A308,'Tabela de Produtos'!A:J,10,0),0)</f>
        <v>717</v>
      </c>
      <c r="J308" s="97">
        <f>IFERROR(VLOOKUP(C308,'Custos Matéria Prima Embalagens'!B:G,6,0)*H308,"Matéria Prima Não Cadastrada")</f>
        <v>252.89999999999998</v>
      </c>
      <c r="K308" s="97">
        <f>IFERROR(J308/(I308/VLOOKUP(A308,'Tabela de Produtos'!A:H,8,0)),"Matéria Prima Não Cadastrada")</f>
        <v>1.0581589958158995</v>
      </c>
      <c r="L308" s="216">
        <v>45939</v>
      </c>
    </row>
    <row r="309" spans="1:12" ht="15.75" customHeight="1">
      <c r="A309" s="48" t="s">
        <v>103</v>
      </c>
      <c r="B309" s="114" t="str">
        <f>VLOOKUP(A309,'Tabela de Produtos'!A:B,2,0)</f>
        <v>BRAZIMIL LÁTEX ECONÔMICO INT FOSCO 3L PEROLA</v>
      </c>
      <c r="C309" s="48" t="s">
        <v>1219</v>
      </c>
      <c r="D309" s="114" t="str">
        <f>VLOOKUP(C309,'Custos Matéria Prima Embalagens'!B:C,2,0)</f>
        <v>WANALK 70 CE (BH-200)</v>
      </c>
      <c r="E309" s="114" t="str">
        <f>VLOOKUP(C309,'Custos Matéria Prima Embalagens'!B:D,3,0)</f>
        <v>ALCALINIZANTE</v>
      </c>
      <c r="F309" s="270">
        <f t="shared" si="40"/>
        <v>910.25</v>
      </c>
      <c r="G309" s="148">
        <f t="shared" si="41"/>
        <v>3.2957978577313925E-3</v>
      </c>
      <c r="H309" s="96">
        <v>3</v>
      </c>
      <c r="I309" s="272">
        <f>ROUND(F309/VLOOKUP(A309,'Tabela de Produtos'!A:J,10,0),0)</f>
        <v>717</v>
      </c>
      <c r="J309" s="97">
        <f>IFERROR(VLOOKUP(C309,'Custos Matéria Prima Embalagens'!B:G,6,0)*H309,"Matéria Prima Não Cadastrada")</f>
        <v>14.940000000000001</v>
      </c>
      <c r="K309" s="97">
        <f>IFERROR(J309/(I309/VLOOKUP(A309,'Tabela de Produtos'!A:H,8,0)),"Matéria Prima Não Cadastrada")</f>
        <v>6.2510460251046035E-2</v>
      </c>
      <c r="L309" s="216">
        <v>45939</v>
      </c>
    </row>
    <row r="310" spans="1:12" ht="15.75" customHeight="1">
      <c r="A310" s="48" t="s">
        <v>103</v>
      </c>
      <c r="B310" s="114" t="str">
        <f>VLOOKUP(A310,'Tabela de Produtos'!A:B,2,0)</f>
        <v>BRAZIMIL LÁTEX ECONÔMICO INT FOSCO 3L PEROLA</v>
      </c>
      <c r="C310" s="48" t="s">
        <v>1221</v>
      </c>
      <c r="D310" s="114" t="str">
        <f>VLOOKUP(C310,'Custos Matéria Prima Embalagens'!B:C,2,0)</f>
        <v>MODIWAN 105H CE (CT-1000P)</v>
      </c>
      <c r="E310" s="114" t="str">
        <f>VLOOKUP(C310,'Custos Matéria Prima Embalagens'!B:D,3,0)</f>
        <v>ESPESSANTE DE MEDIA</v>
      </c>
      <c r="F310" s="270">
        <f t="shared" si="40"/>
        <v>910.25</v>
      </c>
      <c r="G310" s="148">
        <f t="shared" si="41"/>
        <v>1.7028288931612196E-2</v>
      </c>
      <c r="H310" s="96">
        <v>15.5</v>
      </c>
      <c r="I310" s="272">
        <f>ROUND(F310/VLOOKUP(A310,'Tabela de Produtos'!A:J,10,0),0)</f>
        <v>717</v>
      </c>
      <c r="J310" s="97">
        <f>IFERROR(VLOOKUP(C310,'Custos Matéria Prima Embalagens'!B:G,6,0)*H310,"Matéria Prima Não Cadastrada")</f>
        <v>122.52749999999999</v>
      </c>
      <c r="K310" s="97">
        <f>IFERROR(J310/(I310/VLOOKUP(A310,'Tabela de Produtos'!A:H,8,0)),"Matéria Prima Não Cadastrada")</f>
        <v>0.5126673640167364</v>
      </c>
      <c r="L310" s="216">
        <v>45939</v>
      </c>
    </row>
    <row r="311" spans="1:12" ht="15.75" customHeight="1">
      <c r="A311" s="48" t="s">
        <v>103</v>
      </c>
      <c r="B311" s="114" t="str">
        <f>VLOOKUP(A311,'Tabela de Produtos'!A:B,2,0)</f>
        <v>BRAZIMIL LÁTEX ECONÔMICO INT FOSCO 3L PEROLA</v>
      </c>
      <c r="C311" s="48" t="s">
        <v>1223</v>
      </c>
      <c r="D311" s="114" t="str">
        <f>VLOOKUP(C311,'Custos Matéria Prima Embalagens'!B:C,2,0)</f>
        <v>TURBOWAN H CE (BH-200)</v>
      </c>
      <c r="E311" s="114" t="str">
        <f>VLOOKUP(C311,'Custos Matéria Prima Embalagens'!B:D,3,0)</f>
        <v>PROMOTOR DE LAVABILIDADE</v>
      </c>
      <c r="F311" s="270">
        <f t="shared" si="40"/>
        <v>910.25</v>
      </c>
      <c r="G311" s="148">
        <f t="shared" si="41"/>
        <v>8.2394946443284812E-3</v>
      </c>
      <c r="H311" s="96">
        <v>7.5</v>
      </c>
      <c r="I311" s="272">
        <f>ROUND(F311/VLOOKUP(A311,'Tabela de Produtos'!A:J,10,0),0)</f>
        <v>717</v>
      </c>
      <c r="J311" s="97">
        <f>IFERROR(VLOOKUP(C311,'Custos Matéria Prima Embalagens'!B:G,6,0)*H311,"Matéria Prima Não Cadastrada")</f>
        <v>36.375</v>
      </c>
      <c r="K311" s="97">
        <f>IFERROR(J311/(I311/VLOOKUP(A311,'Tabela de Produtos'!A:H,8,0)),"Matéria Prima Não Cadastrada")</f>
        <v>0.15219665271966526</v>
      </c>
      <c r="L311" s="216">
        <v>45939</v>
      </c>
    </row>
    <row r="312" spans="1:12" ht="15.75" customHeight="1">
      <c r="A312" s="48" t="s">
        <v>103</v>
      </c>
      <c r="B312" s="114" t="str">
        <f>VLOOKUP(A312,'Tabela de Produtos'!A:B,2,0)</f>
        <v>BRAZIMIL LÁTEX ECONÔMICO INT FOSCO 3L PEROLA</v>
      </c>
      <c r="C312" s="48" t="s">
        <v>1229</v>
      </c>
      <c r="D312" s="114" t="str">
        <f>VLOOKUP(C312,'Custos Matéria Prima Embalagens'!B:C,2,0)</f>
        <v>WANSOL 340 CE (BB-200)</v>
      </c>
      <c r="E312" s="114" t="str">
        <f>VLOOKUP(C312,'Custos Matéria Prima Embalagens'!B:D,3,0)</f>
        <v>COALESCENTE</v>
      </c>
      <c r="F312" s="270">
        <f t="shared" si="40"/>
        <v>910.25</v>
      </c>
      <c r="G312" s="148">
        <f t="shared" si="41"/>
        <v>5.4929964295523208E-3</v>
      </c>
      <c r="H312" s="96">
        <v>5</v>
      </c>
      <c r="I312" s="272">
        <f>ROUND(F312/VLOOKUP(A312,'Tabela de Produtos'!A:J,10,0),0)</f>
        <v>717</v>
      </c>
      <c r="J312" s="97">
        <f>IFERROR(VLOOKUP(C312,'Custos Matéria Prima Embalagens'!B:G,6,0)*H312,"Matéria Prima Não Cadastrada")</f>
        <v>96.1</v>
      </c>
      <c r="K312" s="97">
        <f>IFERROR(J312/(I312/VLOOKUP(A312,'Tabela de Produtos'!A:H,8,0)),"Matéria Prima Não Cadastrada")</f>
        <v>0.40209205020920502</v>
      </c>
      <c r="L312" s="216">
        <v>45939</v>
      </c>
    </row>
    <row r="313" spans="1:12" ht="15.75" customHeight="1">
      <c r="A313" s="48" t="s">
        <v>103</v>
      </c>
      <c r="B313" s="114" t="str">
        <f>VLOOKUP(A313,'Tabela de Produtos'!A:B,2,0)</f>
        <v>BRAZIMIL LÁTEX ECONÔMICO INT FOSCO 3L PEROLA</v>
      </c>
      <c r="C313" s="48" t="s">
        <v>1273</v>
      </c>
      <c r="D313" s="114" t="str">
        <f>VLOOKUP(C313,'Custos Matéria Prima Embalagens'!B:C,2,0)</f>
        <v>AMARELO SPECTRA RO</v>
      </c>
      <c r="E313" s="114" t="str">
        <f>VLOOKUP(C313,'Custos Matéria Prima Embalagens'!B:D,3,0)</f>
        <v>AMARELO SPECTRA RO</v>
      </c>
      <c r="F313" s="270">
        <f t="shared" si="40"/>
        <v>910.25</v>
      </c>
      <c r="G313" s="148">
        <f t="shared" si="41"/>
        <v>1.318319143092557E-3</v>
      </c>
      <c r="H313" s="96">
        <v>1.2</v>
      </c>
      <c r="I313" s="272">
        <f>ROUND(F313/VLOOKUP(A313,'Tabela de Produtos'!A:J,10,0),0)</f>
        <v>717</v>
      </c>
      <c r="J313" s="97">
        <f>IFERROR(VLOOKUP(C313,'Custos Matéria Prima Embalagens'!B:G,6,0)*H313,"Matéria Prima Não Cadastrada")</f>
        <v>18.720000000000002</v>
      </c>
      <c r="K313" s="97">
        <f>IFERROR(J313/(I313/VLOOKUP(A313,'Tabela de Produtos'!A:H,8,0)),"Matéria Prima Não Cadastrada")</f>
        <v>7.8326359832636E-2</v>
      </c>
      <c r="L313" s="216">
        <v>45939</v>
      </c>
    </row>
    <row r="314" spans="1:12" ht="15.75" customHeight="1">
      <c r="A314" s="48" t="s">
        <v>103</v>
      </c>
      <c r="B314" s="114" t="str">
        <f>VLOOKUP(A314,'Tabela de Produtos'!A:B,2,0)</f>
        <v>BRAZIMIL LÁTEX ECONÔMICO INT FOSCO 3L PEROLA</v>
      </c>
      <c r="C314" s="48" t="s">
        <v>1353</v>
      </c>
      <c r="D314" s="114" t="str">
        <f>VLOOKUP(C314,'Custos Matéria Prima Embalagens'!B:C,2,0)</f>
        <v>VERMELHO SPECTRA RO</v>
      </c>
      <c r="E314" s="114" t="str">
        <f>VLOOKUP(C314,'Custos Matéria Prima Embalagens'!B:D,3,0)</f>
        <v>VERMELHO SPECTRA RO</v>
      </c>
      <c r="F314" s="270">
        <f t="shared" si="40"/>
        <v>910.25</v>
      </c>
      <c r="G314" s="148">
        <f t="shared" si="41"/>
        <v>5.4929964295523208E-5</v>
      </c>
      <c r="H314" s="96">
        <v>0.05</v>
      </c>
      <c r="I314" s="272">
        <f>ROUND(F314/VLOOKUP(A314,'Tabela de Produtos'!A:J,10,0),0)</f>
        <v>717</v>
      </c>
      <c r="J314" s="97">
        <f>IFERROR(VLOOKUP(C314,'Custos Matéria Prima Embalagens'!B:G,6,0)*H314,"Matéria Prima Não Cadastrada")</f>
        <v>0.77050000000000007</v>
      </c>
      <c r="K314" s="97">
        <f>IFERROR(J314/(I314/VLOOKUP(A314,'Tabela de Produtos'!A:H,8,0)),"Matéria Prima Não Cadastrada")</f>
        <v>3.2238493723849375E-3</v>
      </c>
      <c r="L314" s="216">
        <v>45939</v>
      </c>
    </row>
    <row r="315" spans="1:12" ht="15.75" customHeight="1">
      <c r="D315" s="114"/>
      <c r="E315" s="114"/>
      <c r="F315" s="96"/>
      <c r="G315" s="148"/>
      <c r="H315" s="96"/>
      <c r="I315" s="272"/>
      <c r="J315" s="97"/>
      <c r="K315" s="97"/>
      <c r="L315" s="216">
        <v>45939</v>
      </c>
    </row>
    <row r="316" spans="1:12" ht="15.75" customHeight="1">
      <c r="A316" s="48" t="s">
        <v>119</v>
      </c>
      <c r="B316" s="114" t="str">
        <f>VLOOKUP(A316,'Tabela de Produtos'!A:B,2,0)</f>
        <v>BRAZIMIL LÁTEX ECONÔMICO INT FOSCO 15L BRANCO NEVE</v>
      </c>
      <c r="C316" s="48" t="s">
        <v>1197</v>
      </c>
      <c r="D316" s="114" t="str">
        <f>VLOOKUP(C316,'Custos Matéria Prima Embalagens'!B:C,2,0)</f>
        <v>AGUA</v>
      </c>
      <c r="E316" s="114" t="str">
        <f>VLOOKUP(C316,'Custos Matéria Prima Embalagens'!B:D,3,0)</f>
        <v>AGUA</v>
      </c>
      <c r="F316" s="270">
        <f t="shared" ref="F316:F330" si="42">SUMIFS(H:H,A:A,A316)</f>
        <v>854</v>
      </c>
      <c r="G316" s="148">
        <f t="shared" ref="G316:G330" si="43">H316/F316</f>
        <v>0.44496487119437939</v>
      </c>
      <c r="H316" s="274">
        <v>380</v>
      </c>
      <c r="I316" s="272">
        <f>ROUND(F316/VLOOKUP(A316,'Tabela de Produtos'!A:J,10,0),0)</f>
        <v>672</v>
      </c>
      <c r="J316" s="97">
        <f>IFERROR(VLOOKUP(C316,'Custos Matéria Prima Embalagens'!B:G,6,0)*H316,"Matéria Prima Não Cadastrada")</f>
        <v>0</v>
      </c>
      <c r="K316" s="97">
        <f>IFERROR(J316/(I316/VLOOKUP(A316,'Tabela de Produtos'!A:H,8,0)),"Matéria Prima Não Cadastrada")</f>
        <v>0</v>
      </c>
      <c r="L316" s="216">
        <v>45974</v>
      </c>
    </row>
    <row r="317" spans="1:12" ht="15.75" customHeight="1">
      <c r="A317" s="48" t="s">
        <v>119</v>
      </c>
      <c r="B317" s="114" t="str">
        <f>VLOOKUP(A317,'Tabela de Produtos'!A:B,2,0)</f>
        <v>BRAZIMIL LÁTEX ECONÔMICO INT FOSCO 15L BRANCO NEVE</v>
      </c>
      <c r="C317" t="s">
        <v>1199</v>
      </c>
      <c r="D317" s="114" t="str">
        <f>VLOOKUP(C317,'Custos Matéria Prima Embalagens'!B:C,2,0)</f>
        <v>HEXAMETAFOSFATO DE SODIO</v>
      </c>
      <c r="E317" s="114" t="str">
        <f>VLOOKUP(C317,'Custos Matéria Prima Embalagens'!B:D,3,0)</f>
        <v>HEXAMETAFOSFATO DE SODIO</v>
      </c>
      <c r="F317" s="270">
        <f t="shared" si="42"/>
        <v>854</v>
      </c>
      <c r="G317" s="148">
        <f t="shared" si="43"/>
        <v>5.8548009367681499E-4</v>
      </c>
      <c r="H317" s="274">
        <v>0.5</v>
      </c>
      <c r="I317" s="272">
        <f>ROUND(F317/VLOOKUP(A317,'Tabela de Produtos'!A:J,10,0),0)</f>
        <v>672</v>
      </c>
      <c r="J317" s="97">
        <f>IFERROR(VLOOKUP(C317,'Custos Matéria Prima Embalagens'!B:G,6,0)*H317,"Matéria Prima Não Cadastrada")</f>
        <v>8.9699999999999989</v>
      </c>
      <c r="K317" s="97">
        <f>IFERROR(J317/(I317/VLOOKUP(A317,'Tabela de Produtos'!A:H,8,0)),"Matéria Prima Não Cadastrada")</f>
        <v>0.20022321428571427</v>
      </c>
      <c r="L317" s="216">
        <v>45974</v>
      </c>
    </row>
    <row r="318" spans="1:12" ht="15.75" customHeight="1">
      <c r="A318" s="48" t="s">
        <v>119</v>
      </c>
      <c r="B318" s="114" t="str">
        <f>VLOOKUP(A318,'Tabela de Produtos'!A:B,2,0)</f>
        <v>BRAZIMIL LÁTEX ECONÔMICO INT FOSCO 15L BRANCO NEVE</v>
      </c>
      <c r="C318" s="48" t="s">
        <v>1201</v>
      </c>
      <c r="D318" s="114" t="str">
        <f>VLOOKUP(C318,'Custos Matéria Prima Embalagens'!B:C,2,0)</f>
        <v>WANFOAM 528 CE (BB-190)</v>
      </c>
      <c r="E318" s="114" t="str">
        <f>VLOOKUP(C318,'Custos Matéria Prima Embalagens'!B:D,3,0)</f>
        <v>ANTI ESPUMA LATEX</v>
      </c>
      <c r="F318" s="270">
        <f t="shared" si="42"/>
        <v>854</v>
      </c>
      <c r="G318" s="148">
        <f t="shared" si="43"/>
        <v>2.9274004683840752E-3</v>
      </c>
      <c r="H318" s="274">
        <v>2.5</v>
      </c>
      <c r="I318" s="272">
        <f>ROUND(F318/VLOOKUP(A318,'Tabela de Produtos'!A:J,10,0),0)</f>
        <v>672</v>
      </c>
      <c r="J318" s="97">
        <f>IFERROR(VLOOKUP(C318,'Custos Matéria Prima Embalagens'!B:G,6,0)*H318,"Matéria Prima Não Cadastrada")</f>
        <v>17.95</v>
      </c>
      <c r="K318" s="97">
        <f>IFERROR(J318/(I318/VLOOKUP(A318,'Tabela de Produtos'!A:H,8,0)),"Matéria Prima Não Cadastrada")</f>
        <v>0.40066964285714285</v>
      </c>
      <c r="L318" s="216">
        <v>45974</v>
      </c>
    </row>
    <row r="319" spans="1:12" ht="15.75" customHeight="1">
      <c r="A319" s="48" t="s">
        <v>119</v>
      </c>
      <c r="B319" s="114" t="str">
        <f>VLOOKUP(A319,'Tabela de Produtos'!A:B,2,0)</f>
        <v>BRAZIMIL LÁTEX ECONÔMICO INT FOSCO 15L BRANCO NEVE</v>
      </c>
      <c r="C319" s="48" t="s">
        <v>1203</v>
      </c>
      <c r="D319" s="114" t="str">
        <f>VLOOKUP(C319,'Custos Matéria Prima Embalagens'!B:C,2,0)</f>
        <v>WANBAC WBT CE (BH-200)</v>
      </c>
      <c r="E319" s="114" t="str">
        <f>VLOOKUP(C319,'Custos Matéria Prima Embalagens'!B:D,3,0)</f>
        <v>BACTERICIDA</v>
      </c>
      <c r="F319" s="270">
        <f t="shared" si="42"/>
        <v>854</v>
      </c>
      <c r="G319" s="148">
        <f t="shared" si="43"/>
        <v>3.5128805620608899E-3</v>
      </c>
      <c r="H319" s="274">
        <v>3</v>
      </c>
      <c r="I319" s="272">
        <f>ROUND(F319/VLOOKUP(A319,'Tabela de Produtos'!A:J,10,0),0)</f>
        <v>672</v>
      </c>
      <c r="J319" s="97">
        <f>IFERROR(VLOOKUP(C319,'Custos Matéria Prima Embalagens'!B:G,6,0)*H319,"Matéria Prima Não Cadastrada")</f>
        <v>14.819999999999999</v>
      </c>
      <c r="K319" s="97">
        <f>IFERROR(J319/(I319/VLOOKUP(A319,'Tabela de Produtos'!A:H,8,0)),"Matéria Prima Não Cadastrada")</f>
        <v>0.33080357142857142</v>
      </c>
      <c r="L319" s="216">
        <v>45974</v>
      </c>
    </row>
    <row r="320" spans="1:12" ht="15.75" customHeight="1">
      <c r="A320" s="48" t="s">
        <v>119</v>
      </c>
      <c r="B320" s="114" t="str">
        <f>VLOOKUP(A320,'Tabela de Produtos'!A:B,2,0)</f>
        <v>BRAZIMIL LÁTEX ECONÔMICO INT FOSCO 15L BRANCO NEVE</v>
      </c>
      <c r="C320" s="48" t="s">
        <v>1205</v>
      </c>
      <c r="D320" s="114" t="str">
        <f>VLOOKUP(C320,'Custos Matéria Prima Embalagens'!B:C,2,0)</f>
        <v>WANSUR 840 CE (BB-200)01</v>
      </c>
      <c r="E320" s="114" t="str">
        <f>VLOOKUP(C320,'Custos Matéria Prima Embalagens'!B:D,3,0)</f>
        <v>UMECTANTE</v>
      </c>
      <c r="F320" s="270">
        <f t="shared" si="42"/>
        <v>854</v>
      </c>
      <c r="G320" s="148">
        <f t="shared" si="43"/>
        <v>2.34192037470726E-3</v>
      </c>
      <c r="H320" s="274">
        <v>2</v>
      </c>
      <c r="I320" s="272">
        <f>ROUND(F320/VLOOKUP(A320,'Tabela de Produtos'!A:J,10,0),0)</f>
        <v>672</v>
      </c>
      <c r="J320" s="97">
        <f>IFERROR(VLOOKUP(C320,'Custos Matéria Prima Embalagens'!B:G,6,0)*H320,"Matéria Prima Não Cadastrada")</f>
        <v>14.66</v>
      </c>
      <c r="K320" s="97">
        <f>IFERROR(J320/(I320/VLOOKUP(A320,'Tabela de Produtos'!A:H,8,0)),"Matéria Prima Não Cadastrada")</f>
        <v>0.32723214285714286</v>
      </c>
      <c r="L320" s="216">
        <v>45974</v>
      </c>
    </row>
    <row r="321" spans="1:12" ht="15.75" customHeight="1">
      <c r="A321" s="48" t="s">
        <v>119</v>
      </c>
      <c r="B321" s="114" t="str">
        <f>VLOOKUP(A321,'Tabela de Produtos'!A:B,2,0)</f>
        <v>BRAZIMIL LÁTEX ECONÔMICO INT FOSCO 15L BRANCO NEVE</v>
      </c>
      <c r="C321" s="48" t="s">
        <v>1207</v>
      </c>
      <c r="D321" s="114" t="str">
        <f>VLOOKUP(C321,'Custos Matéria Prima Embalagens'!B:C,2,0)</f>
        <v>WANPEX 1510 (BB-200)</v>
      </c>
      <c r="E321" s="114" t="str">
        <f>VLOOKUP(C321,'Custos Matéria Prima Embalagens'!B:D,3,0)</f>
        <v>DISPERSANTE LATEX</v>
      </c>
      <c r="F321" s="270">
        <f t="shared" si="42"/>
        <v>854</v>
      </c>
      <c r="G321" s="148">
        <f t="shared" si="43"/>
        <v>2.34192037470726E-3</v>
      </c>
      <c r="H321" s="274">
        <v>2</v>
      </c>
      <c r="I321" s="272">
        <f>ROUND(F321/VLOOKUP(A321,'Tabela de Produtos'!A:J,10,0),0)</f>
        <v>672</v>
      </c>
      <c r="J321" s="97">
        <f>IFERROR(VLOOKUP(C321,'Custos Matéria Prima Embalagens'!B:G,6,0)*H321,"Matéria Prima Não Cadastrada")</f>
        <v>13.719999999999999</v>
      </c>
      <c r="K321" s="97">
        <f>IFERROR(J321/(I321/VLOOKUP(A321,'Tabela de Produtos'!A:H,8,0)),"Matéria Prima Não Cadastrada")</f>
        <v>0.30624999999999997</v>
      </c>
      <c r="L321" s="216">
        <v>45974</v>
      </c>
    </row>
    <row r="322" spans="1:12" ht="15.75" customHeight="1">
      <c r="A322" s="48" t="s">
        <v>119</v>
      </c>
      <c r="B322" s="114" t="str">
        <f>VLOOKUP(A322,'Tabela de Produtos'!A:B,2,0)</f>
        <v>BRAZIMIL LÁTEX ECONÔMICO INT FOSCO 15L BRANCO NEVE</v>
      </c>
      <c r="C322" s="48" t="s">
        <v>1209</v>
      </c>
      <c r="D322" s="114" t="str">
        <f>VLOOKUP(C322,'Custos Matéria Prima Embalagens'!B:C,2,0)</f>
        <v>WANFUNG WFT CE (BH-200)</v>
      </c>
      <c r="E322" s="114" t="str">
        <f>VLOOKUP(C322,'Custos Matéria Prima Embalagens'!B:D,3,0)</f>
        <v>FUNGICIDA</v>
      </c>
      <c r="F322" s="270">
        <f t="shared" si="42"/>
        <v>854</v>
      </c>
      <c r="G322" s="148">
        <f t="shared" si="43"/>
        <v>2.9274004683840752E-3</v>
      </c>
      <c r="H322" s="274">
        <v>2.5</v>
      </c>
      <c r="I322" s="272">
        <f>ROUND(F322/VLOOKUP(A322,'Tabela de Produtos'!A:J,10,0),0)</f>
        <v>672</v>
      </c>
      <c r="J322" s="97">
        <f>IFERROR(VLOOKUP(C322,'Custos Matéria Prima Embalagens'!B:G,6,0)*H322,"Matéria Prima Não Cadastrada")</f>
        <v>17.5</v>
      </c>
      <c r="K322" s="97">
        <f>IFERROR(J322/(I322/VLOOKUP(A322,'Tabela de Produtos'!A:H,8,0)),"Matéria Prima Não Cadastrada")</f>
        <v>0.390625</v>
      </c>
      <c r="L322" s="216">
        <v>45974</v>
      </c>
    </row>
    <row r="323" spans="1:12" ht="15.75" customHeight="1">
      <c r="A323" s="48" t="s">
        <v>119</v>
      </c>
      <c r="B323" s="114" t="str">
        <f>VLOOKUP(A323,'Tabela de Produtos'!A:B,2,0)</f>
        <v>BRAZIMIL LÁTEX ECONÔMICO INT FOSCO 15L BRANCO NEVE</v>
      </c>
      <c r="C323" s="48" t="s">
        <v>1211</v>
      </c>
      <c r="D323" s="114" t="str">
        <f>VLOOKUP(C323,'Custos Matéria Prima Embalagens'!B:C,2,0)</f>
        <v>WHITE PLUS PB (SC-25) (Em negociação)</v>
      </c>
      <c r="E323" s="114" t="str">
        <f>VLOOKUP(C323,'Custos Matéria Prima Embalagens'!B:D,3,0)</f>
        <v>WHITE PLUS</v>
      </c>
      <c r="F323" s="270">
        <f t="shared" si="42"/>
        <v>854</v>
      </c>
      <c r="G323" s="148">
        <f t="shared" si="43"/>
        <v>5.8548009367681501E-2</v>
      </c>
      <c r="H323" s="274">
        <v>50</v>
      </c>
      <c r="I323" s="272">
        <f>ROUND(F323/VLOOKUP(A323,'Tabela de Produtos'!A:J,10,0),0)</f>
        <v>672</v>
      </c>
      <c r="J323" s="97">
        <f>IFERROR(VLOOKUP(C323,'Custos Matéria Prima Embalagens'!B:G,6,0)*H323,"Matéria Prima Não Cadastrada")</f>
        <v>154.5</v>
      </c>
      <c r="K323" s="97">
        <f>IFERROR(J323/(I323/VLOOKUP(A323,'Tabela de Produtos'!A:H,8,0)),"Matéria Prima Não Cadastrada")</f>
        <v>3.4486607142857144</v>
      </c>
      <c r="L323" s="216">
        <v>45974</v>
      </c>
    </row>
    <row r="324" spans="1:12" ht="15.75" customHeight="1">
      <c r="A324" s="48" t="s">
        <v>119</v>
      </c>
      <c r="B324" s="114" t="str">
        <f>VLOOKUP(A324,'Tabela de Produtos'!A:B,2,0)</f>
        <v>BRAZIMIL LÁTEX ECONÔMICO INT FOSCO 15L BRANCO NEVE</v>
      </c>
      <c r="C324" s="48" t="s">
        <v>1213</v>
      </c>
      <c r="D324" s="114" t="str">
        <f>VLOOKUP(C324,'Custos Matéria Prima Embalagens'!B:C,2,0)</f>
        <v>DIOXIDO DE TITANIO RUTILO R-996</v>
      </c>
      <c r="E324" s="114" t="str">
        <f>VLOOKUP(C324,'Custos Matéria Prima Embalagens'!B:D,3,0)</f>
        <v>TITANIO</v>
      </c>
      <c r="F324" s="270">
        <f t="shared" si="42"/>
        <v>854</v>
      </c>
      <c r="G324" s="148">
        <f t="shared" si="43"/>
        <v>5.8548009367681503E-3</v>
      </c>
      <c r="H324" s="274">
        <v>5</v>
      </c>
      <c r="I324" s="272">
        <f>ROUND(F324/VLOOKUP(A324,'Tabela de Produtos'!A:J,10,0),0)</f>
        <v>672</v>
      </c>
      <c r="J324" s="97">
        <f>IFERROR(VLOOKUP(C324,'Custos Matéria Prima Embalagens'!B:G,6,0)*H324,"Matéria Prima Não Cadastrada")</f>
        <v>96.5</v>
      </c>
      <c r="K324" s="97">
        <f>IFERROR(J324/(I324/VLOOKUP(A324,'Tabela de Produtos'!A:H,8,0)),"Matéria Prima Não Cadastrada")</f>
        <v>2.1540178571428572</v>
      </c>
      <c r="L324" s="216">
        <v>45974</v>
      </c>
    </row>
    <row r="325" spans="1:12" ht="15.75" customHeight="1">
      <c r="A325" s="48" t="s">
        <v>119</v>
      </c>
      <c r="B325" s="114" t="str">
        <f>VLOOKUP(A325,'Tabela de Produtos'!A:B,2,0)</f>
        <v>BRAZIMIL LÁTEX ECONÔMICO INT FOSCO 15L BRANCO NEVE</v>
      </c>
      <c r="C325" s="48" t="s">
        <v>1215</v>
      </c>
      <c r="D325" s="114" t="str">
        <f>VLOOKUP(C325,'Custos Matéria Prima Embalagens'!B:C,2,0)</f>
        <v>CALCARIO DOLOMITICO #500 ( SACOS 25 KG)</v>
      </c>
      <c r="E325" s="114" t="str">
        <f>VLOOKUP(C325,'Custos Matéria Prima Embalagens'!B:D,3,0)</f>
        <v>CARBONATO #500</v>
      </c>
      <c r="F325" s="270">
        <f t="shared" si="42"/>
        <v>854</v>
      </c>
      <c r="G325" s="148">
        <f t="shared" si="43"/>
        <v>0.4098360655737705</v>
      </c>
      <c r="H325" s="274">
        <v>350</v>
      </c>
      <c r="I325" s="272">
        <f>ROUND(F325/VLOOKUP(A325,'Tabela de Produtos'!A:J,10,0),0)</f>
        <v>672</v>
      </c>
      <c r="J325" s="97">
        <f>IFERROR(VLOOKUP(C325,'Custos Matéria Prima Embalagens'!B:G,6,0)*H325,"Matéria Prima Não Cadastrada")</f>
        <v>280</v>
      </c>
      <c r="K325" s="97">
        <f>IFERROR(J325/(I325/VLOOKUP(A325,'Tabela de Produtos'!A:H,8,0)),"Matéria Prima Não Cadastrada")</f>
        <v>6.25</v>
      </c>
      <c r="L325" s="216">
        <v>45974</v>
      </c>
    </row>
    <row r="326" spans="1:12" ht="15.75" customHeight="1">
      <c r="A326" s="48" t="s">
        <v>119</v>
      </c>
      <c r="B326" s="114" t="str">
        <f>VLOOKUP(A326,'Tabela de Produtos'!A:B,2,0)</f>
        <v>BRAZIMIL LÁTEX ECONÔMICO INT FOSCO 15L BRANCO NEVE</v>
      </c>
      <c r="C326" s="48" t="s">
        <v>1217</v>
      </c>
      <c r="D326" s="114" t="str">
        <f>VLOOKUP(C326,'Custos Matéria Prima Embalagens'!B:C,2,0)</f>
        <v>WANCRIL W 51 CE (CT-1000P)</v>
      </c>
      <c r="E326" s="114" t="str">
        <f>VLOOKUP(C326,'Custos Matéria Prima Embalagens'!B:D,3,0)</f>
        <v>RESINA ACRILICA ESTIRENADA</v>
      </c>
      <c r="F326" s="270">
        <f t="shared" si="42"/>
        <v>854</v>
      </c>
      <c r="G326" s="148">
        <f t="shared" si="43"/>
        <v>3.5128805620608897E-2</v>
      </c>
      <c r="H326" s="274">
        <v>30</v>
      </c>
      <c r="I326" s="272">
        <f>ROUND(F326/VLOOKUP(A326,'Tabela de Produtos'!A:J,10,0),0)</f>
        <v>672</v>
      </c>
      <c r="J326" s="97">
        <f>IFERROR(VLOOKUP(C326,'Custos Matéria Prima Embalagens'!B:G,6,0)*H326,"Matéria Prima Não Cadastrada")</f>
        <v>252.89999999999998</v>
      </c>
      <c r="K326" s="97">
        <f>IFERROR(J326/(I326/VLOOKUP(A326,'Tabela de Produtos'!A:H,8,0)),"Matéria Prima Não Cadastrada")</f>
        <v>5.6450892857142856</v>
      </c>
      <c r="L326" s="216">
        <v>45974</v>
      </c>
    </row>
    <row r="327" spans="1:12" ht="15.75" customHeight="1">
      <c r="A327" s="48" t="s">
        <v>119</v>
      </c>
      <c r="B327" s="114" t="str">
        <f>VLOOKUP(A327,'Tabela de Produtos'!A:B,2,0)</f>
        <v>BRAZIMIL LÁTEX ECONÔMICO INT FOSCO 15L BRANCO NEVE</v>
      </c>
      <c r="C327" s="48" t="s">
        <v>1219</v>
      </c>
      <c r="D327" s="114" t="str">
        <f>VLOOKUP(C327,'Custos Matéria Prima Embalagens'!B:C,2,0)</f>
        <v>WANALK 70 CE (BH-200)</v>
      </c>
      <c r="E327" s="114" t="str">
        <f>VLOOKUP(C327,'Custos Matéria Prima Embalagens'!B:D,3,0)</f>
        <v>ALCALINIZANTE</v>
      </c>
      <c r="F327" s="270">
        <f t="shared" si="42"/>
        <v>854</v>
      </c>
      <c r="G327" s="148">
        <f t="shared" si="43"/>
        <v>2.9274004683840752E-3</v>
      </c>
      <c r="H327" s="274">
        <v>2.5</v>
      </c>
      <c r="I327" s="272">
        <f>ROUND(F327/VLOOKUP(A327,'Tabela de Produtos'!A:J,10,0),0)</f>
        <v>672</v>
      </c>
      <c r="J327" s="97">
        <f>IFERROR(VLOOKUP(C327,'Custos Matéria Prima Embalagens'!B:G,6,0)*H327,"Matéria Prima Não Cadastrada")</f>
        <v>12.450000000000001</v>
      </c>
      <c r="K327" s="97">
        <f>IFERROR(J327/(I327/VLOOKUP(A327,'Tabela de Produtos'!A:H,8,0)),"Matéria Prima Não Cadastrada")</f>
        <v>0.27790178571428575</v>
      </c>
      <c r="L327" s="216">
        <v>45974</v>
      </c>
    </row>
    <row r="328" spans="1:12" ht="15.75" customHeight="1">
      <c r="A328" s="48" t="s">
        <v>119</v>
      </c>
      <c r="B328" s="114" t="str">
        <f>VLOOKUP(A328,'Tabela de Produtos'!A:B,2,0)</f>
        <v>BRAZIMIL LÁTEX ECONÔMICO INT FOSCO 15L BRANCO NEVE</v>
      </c>
      <c r="C328" s="48" t="s">
        <v>1221</v>
      </c>
      <c r="D328" s="114" t="str">
        <f>VLOOKUP(C328,'Custos Matéria Prima Embalagens'!B:C,2,0)</f>
        <v>MODIWAN 105H CE (CT-1000P)</v>
      </c>
      <c r="E328" s="114" t="str">
        <f>VLOOKUP(C328,'Custos Matéria Prima Embalagens'!B:D,3,0)</f>
        <v>ESPESSANTE DE MEDIA</v>
      </c>
      <c r="F328" s="270">
        <f t="shared" si="42"/>
        <v>854</v>
      </c>
      <c r="G328" s="148">
        <f t="shared" si="43"/>
        <v>1.5807962529274005E-2</v>
      </c>
      <c r="H328" s="274">
        <v>13.5</v>
      </c>
      <c r="I328" s="272">
        <f>ROUND(F328/VLOOKUP(A328,'Tabela de Produtos'!A:J,10,0),0)</f>
        <v>672</v>
      </c>
      <c r="J328" s="97">
        <f>IFERROR(VLOOKUP(C328,'Custos Matéria Prima Embalagens'!B:G,6,0)*H328,"Matéria Prima Não Cadastrada")</f>
        <v>106.71749999999999</v>
      </c>
      <c r="K328" s="97">
        <f>IFERROR(J328/(I328/VLOOKUP(A328,'Tabela de Produtos'!A:H,8,0)),"Matéria Prima Não Cadastrada")</f>
        <v>2.3820870535714285</v>
      </c>
      <c r="L328" s="216">
        <v>45974</v>
      </c>
    </row>
    <row r="329" spans="1:12" ht="15.75" customHeight="1">
      <c r="A329" s="48" t="s">
        <v>119</v>
      </c>
      <c r="B329" s="114" t="str">
        <f>VLOOKUP(A329,'Tabela de Produtos'!A:B,2,0)</f>
        <v>BRAZIMIL LÁTEX ECONÔMICO INT FOSCO 15L BRANCO NEVE</v>
      </c>
      <c r="C329" s="48" t="s">
        <v>1223</v>
      </c>
      <c r="D329" s="114" t="str">
        <f>VLOOKUP(C329,'Custos Matéria Prima Embalagens'!B:C,2,0)</f>
        <v>TURBOWAN H CE (BH-200)</v>
      </c>
      <c r="E329" s="114" t="str">
        <f>VLOOKUP(C329,'Custos Matéria Prima Embalagens'!B:D,3,0)</f>
        <v>PROMOTOR DE LAVABILIDADE</v>
      </c>
      <c r="F329" s="270">
        <f t="shared" si="42"/>
        <v>854</v>
      </c>
      <c r="G329" s="148">
        <f t="shared" si="43"/>
        <v>8.7822014051522242E-3</v>
      </c>
      <c r="H329" s="274">
        <v>7.5</v>
      </c>
      <c r="I329" s="272">
        <f>ROUND(F329/VLOOKUP(A329,'Tabela de Produtos'!A:J,10,0),0)</f>
        <v>672</v>
      </c>
      <c r="J329" s="97">
        <f>IFERROR(VLOOKUP(C329,'Custos Matéria Prima Embalagens'!B:G,6,0)*H329,"Matéria Prima Não Cadastrada")</f>
        <v>36.375</v>
      </c>
      <c r="K329" s="97">
        <f>IFERROR(J329/(I329/VLOOKUP(A329,'Tabela de Produtos'!A:H,8,0)),"Matéria Prima Não Cadastrada")</f>
        <v>0.8119419642857143</v>
      </c>
      <c r="L329" s="216">
        <v>45974</v>
      </c>
    </row>
    <row r="330" spans="1:12" ht="15.75" customHeight="1">
      <c r="A330" s="48" t="s">
        <v>119</v>
      </c>
      <c r="B330" s="114" t="str">
        <f>VLOOKUP(A330,'Tabela de Produtos'!A:B,2,0)</f>
        <v>BRAZIMIL LÁTEX ECONÔMICO INT FOSCO 15L BRANCO NEVE</v>
      </c>
      <c r="C330" s="48" t="s">
        <v>1229</v>
      </c>
      <c r="D330" s="114" t="str">
        <f>VLOOKUP(C330,'Custos Matéria Prima Embalagens'!B:C,2,0)</f>
        <v>WANSOL 340 CE (BB-200)</v>
      </c>
      <c r="E330" s="114" t="str">
        <f>VLOOKUP(C330,'Custos Matéria Prima Embalagens'!B:D,3,0)</f>
        <v>COALESCENTE</v>
      </c>
      <c r="F330" s="270">
        <f t="shared" si="42"/>
        <v>854</v>
      </c>
      <c r="G330" s="148">
        <f t="shared" si="43"/>
        <v>3.5128805620608899E-3</v>
      </c>
      <c r="H330" s="274">
        <v>3</v>
      </c>
      <c r="I330" s="272">
        <f>ROUND(F330/VLOOKUP(A330,'Tabela de Produtos'!A:J,10,0),0)</f>
        <v>672</v>
      </c>
      <c r="J330" s="97">
        <f>IFERROR(VLOOKUP(C330,'Custos Matéria Prima Embalagens'!B:G,6,0)*H330,"Matéria Prima Não Cadastrada")</f>
        <v>57.66</v>
      </c>
      <c r="K330" s="97">
        <f>IFERROR(J330/(I330/VLOOKUP(A330,'Tabela de Produtos'!A:H,8,0)),"Matéria Prima Não Cadastrada")</f>
        <v>1.2870535714285714</v>
      </c>
      <c r="L330" s="216">
        <v>45974</v>
      </c>
    </row>
    <row r="331" spans="1:12" ht="15.75" customHeight="1">
      <c r="D331" s="114"/>
      <c r="E331" s="114"/>
      <c r="F331" s="270"/>
      <c r="G331" s="148"/>
      <c r="H331" s="274"/>
      <c r="I331" s="272"/>
      <c r="J331" s="97"/>
      <c r="K331" s="97"/>
      <c r="L331" s="216">
        <v>45939</v>
      </c>
    </row>
    <row r="332" spans="1:12" ht="15.75" customHeight="1">
      <c r="A332" s="48" t="s">
        <v>120</v>
      </c>
      <c r="B332" s="114" t="str">
        <f>VLOOKUP(A332,'Tabela de Produtos'!A:B,2,0)</f>
        <v>BRAZIMIL LÁTEX ECONÔMICO INT FOSCO 15L BRANCO GELO</v>
      </c>
      <c r="C332" s="48" t="s">
        <v>1197</v>
      </c>
      <c r="D332" s="114" t="str">
        <f>VLOOKUP(C332,'Custos Matéria Prima Embalagens'!B:C,2,0)</f>
        <v>AGUA</v>
      </c>
      <c r="E332" s="114" t="str">
        <f>VLOOKUP(C332,'Custos Matéria Prima Embalagens'!B:D,3,0)</f>
        <v>AGUA</v>
      </c>
      <c r="F332" s="270">
        <f t="shared" ref="F332:F345" si="44">SUMIFS(H:H,A:A,A332)</f>
        <v>909.07500000000005</v>
      </c>
      <c r="G332" s="148">
        <f t="shared" ref="G332:G345" si="45">H332/F332</f>
        <v>0.50600885515496519</v>
      </c>
      <c r="H332" s="274">
        <v>460</v>
      </c>
      <c r="I332" s="272">
        <f>ROUND(F332/VLOOKUP(A332,'Tabela de Produtos'!A:J,10,0),0)</f>
        <v>716</v>
      </c>
      <c r="J332" s="97">
        <f>IFERROR(VLOOKUP(C332,'Custos Matéria Prima Embalagens'!B:G,6,0)*H332,"Matéria Prima Não Cadastrada")</f>
        <v>0</v>
      </c>
      <c r="K332" s="97">
        <f>IFERROR(J332/(I332/VLOOKUP(A332,'Tabela de Produtos'!A:H,8,0)),"Matéria Prima Não Cadastrada")</f>
        <v>0</v>
      </c>
      <c r="L332" s="216">
        <v>45939</v>
      </c>
    </row>
    <row r="333" spans="1:12" ht="15.75" customHeight="1">
      <c r="A333" s="48" t="s">
        <v>120</v>
      </c>
      <c r="B333" s="114" t="str">
        <f>VLOOKUP(A333,'Tabela de Produtos'!A:B,2,0)</f>
        <v>BRAZIMIL LÁTEX ECONÔMICO INT FOSCO 15L BRANCO GELO</v>
      </c>
      <c r="C333" s="48" t="s">
        <v>1201</v>
      </c>
      <c r="D333" s="114" t="str">
        <f>VLOOKUP(C333,'Custos Matéria Prima Embalagens'!B:C,2,0)</f>
        <v>WANFOAM 528 CE (BB-190)</v>
      </c>
      <c r="E333" s="114" t="str">
        <f>VLOOKUP(C333,'Custos Matéria Prima Embalagens'!B:D,3,0)</f>
        <v>ANTI ESPUMA LATEX</v>
      </c>
      <c r="F333" s="270">
        <f t="shared" si="44"/>
        <v>909.07500000000005</v>
      </c>
      <c r="G333" s="148">
        <f t="shared" si="45"/>
        <v>2.7500481258422023E-3</v>
      </c>
      <c r="H333" s="274">
        <v>2.5</v>
      </c>
      <c r="I333" s="272">
        <f>ROUND(F333/VLOOKUP(A333,'Tabela de Produtos'!A:J,10,0),0)</f>
        <v>716</v>
      </c>
      <c r="J333" s="97">
        <f>IFERROR(VLOOKUP(C333,'Custos Matéria Prima Embalagens'!B:G,6,0)*H333,"Matéria Prima Não Cadastrada")</f>
        <v>17.95</v>
      </c>
      <c r="K333" s="97">
        <f>IFERROR(J333/(I333/VLOOKUP(A333,'Tabela de Produtos'!A:H,8,0)),"Matéria Prima Não Cadastrada")</f>
        <v>0.37604748603351951</v>
      </c>
      <c r="L333" s="216">
        <v>45939</v>
      </c>
    </row>
    <row r="334" spans="1:12" ht="15.75" customHeight="1">
      <c r="A334" s="48" t="s">
        <v>120</v>
      </c>
      <c r="B334" s="114" t="str">
        <f>VLOOKUP(A334,'Tabela de Produtos'!A:B,2,0)</f>
        <v>BRAZIMIL LÁTEX ECONÔMICO INT FOSCO 15L BRANCO GELO</v>
      </c>
      <c r="C334" s="48" t="s">
        <v>1203</v>
      </c>
      <c r="D334" s="114" t="str">
        <f>VLOOKUP(C334,'Custos Matéria Prima Embalagens'!B:C,2,0)</f>
        <v>WANBAC WBT CE (BH-200)</v>
      </c>
      <c r="E334" s="114" t="str">
        <f>VLOOKUP(C334,'Custos Matéria Prima Embalagens'!B:D,3,0)</f>
        <v>BACTERICIDA</v>
      </c>
      <c r="F334" s="270">
        <f t="shared" si="44"/>
        <v>909.07500000000005</v>
      </c>
      <c r="G334" s="148">
        <f t="shared" si="45"/>
        <v>3.3000577510106425E-3</v>
      </c>
      <c r="H334" s="274">
        <v>3</v>
      </c>
      <c r="I334" s="272">
        <f>ROUND(F334/VLOOKUP(A334,'Tabela de Produtos'!A:J,10,0),0)</f>
        <v>716</v>
      </c>
      <c r="J334" s="97">
        <f>IFERROR(VLOOKUP(C334,'Custos Matéria Prima Embalagens'!B:G,6,0)*H334,"Matéria Prima Não Cadastrada")</f>
        <v>14.819999999999999</v>
      </c>
      <c r="K334" s="97">
        <f>IFERROR(J334/(I334/VLOOKUP(A334,'Tabela de Produtos'!A:H,8,0)),"Matéria Prima Não Cadastrada")</f>
        <v>0.3104748603351955</v>
      </c>
      <c r="L334" s="216">
        <v>45939</v>
      </c>
    </row>
    <row r="335" spans="1:12" ht="15.75" customHeight="1">
      <c r="A335" s="48" t="s">
        <v>120</v>
      </c>
      <c r="B335" s="114" t="str">
        <f>VLOOKUP(A335,'Tabela de Produtos'!A:B,2,0)</f>
        <v>BRAZIMIL LÁTEX ECONÔMICO INT FOSCO 15L BRANCO GELO</v>
      </c>
      <c r="C335" s="48" t="s">
        <v>1205</v>
      </c>
      <c r="D335" s="114" t="str">
        <f>VLOOKUP(C335,'Custos Matéria Prima Embalagens'!B:C,2,0)</f>
        <v>WANSUR 840 CE (BB-200)01</v>
      </c>
      <c r="E335" s="114" t="str">
        <f>VLOOKUP(C335,'Custos Matéria Prima Embalagens'!B:D,3,0)</f>
        <v>UMECTANTE</v>
      </c>
      <c r="F335" s="270">
        <f t="shared" si="44"/>
        <v>909.07500000000005</v>
      </c>
      <c r="G335" s="148">
        <f t="shared" si="45"/>
        <v>2.2000385006737616E-3</v>
      </c>
      <c r="H335" s="274">
        <v>2</v>
      </c>
      <c r="I335" s="272">
        <f>ROUND(F335/VLOOKUP(A335,'Tabela de Produtos'!A:J,10,0),0)</f>
        <v>716</v>
      </c>
      <c r="J335" s="97">
        <f>IFERROR(VLOOKUP(C335,'Custos Matéria Prima Embalagens'!B:G,6,0)*H335,"Matéria Prima Não Cadastrada")</f>
        <v>14.66</v>
      </c>
      <c r="K335" s="97">
        <f>IFERROR(J335/(I335/VLOOKUP(A335,'Tabela de Produtos'!A:H,8,0)),"Matéria Prima Não Cadastrada")</f>
        <v>0.30712290502793294</v>
      </c>
      <c r="L335" s="216">
        <v>45939</v>
      </c>
    </row>
    <row r="336" spans="1:12" ht="15.75" customHeight="1">
      <c r="A336" s="48" t="s">
        <v>120</v>
      </c>
      <c r="B336" s="114" t="str">
        <f>VLOOKUP(A336,'Tabela de Produtos'!A:B,2,0)</f>
        <v>BRAZIMIL LÁTEX ECONÔMICO INT FOSCO 15L BRANCO GELO</v>
      </c>
      <c r="C336" s="48" t="s">
        <v>1207</v>
      </c>
      <c r="D336" s="114" t="str">
        <f>VLOOKUP(C336,'Custos Matéria Prima Embalagens'!B:C,2,0)</f>
        <v>WANPEX 1510 (BB-200)</v>
      </c>
      <c r="E336" s="114" t="str">
        <f>VLOOKUP(C336,'Custos Matéria Prima Embalagens'!B:D,3,0)</f>
        <v>DISPERSANTE LATEX</v>
      </c>
      <c r="F336" s="270">
        <f t="shared" si="44"/>
        <v>909.07500000000005</v>
      </c>
      <c r="G336" s="148">
        <f t="shared" si="45"/>
        <v>3.3000577510106425E-3</v>
      </c>
      <c r="H336" s="274">
        <v>3</v>
      </c>
      <c r="I336" s="272">
        <f>ROUND(F336/VLOOKUP(A336,'Tabela de Produtos'!A:J,10,0),0)</f>
        <v>716</v>
      </c>
      <c r="J336" s="97">
        <f>IFERROR(VLOOKUP(C336,'Custos Matéria Prima Embalagens'!B:G,6,0)*H336,"Matéria Prima Não Cadastrada")</f>
        <v>20.58</v>
      </c>
      <c r="K336" s="97">
        <f>IFERROR(J336/(I336/VLOOKUP(A336,'Tabela de Produtos'!A:H,8,0)),"Matéria Prima Não Cadastrada")</f>
        <v>0.431145251396648</v>
      </c>
      <c r="L336" s="216">
        <v>45939</v>
      </c>
    </row>
    <row r="337" spans="1:12" ht="15.75" customHeight="1">
      <c r="A337" s="48" t="s">
        <v>120</v>
      </c>
      <c r="B337" s="114" t="str">
        <f>VLOOKUP(A337,'Tabela de Produtos'!A:B,2,0)</f>
        <v>BRAZIMIL LÁTEX ECONÔMICO INT FOSCO 15L BRANCO GELO</v>
      </c>
      <c r="C337" s="48" t="s">
        <v>1209</v>
      </c>
      <c r="D337" s="114" t="str">
        <f>VLOOKUP(C337,'Custos Matéria Prima Embalagens'!B:C,2,0)</f>
        <v>WANFUNG WFT CE (BH-200)</v>
      </c>
      <c r="E337" s="114" t="str">
        <f>VLOOKUP(C337,'Custos Matéria Prima Embalagens'!B:D,3,0)</f>
        <v>FUNGICIDA</v>
      </c>
      <c r="F337" s="270">
        <f t="shared" si="44"/>
        <v>909.07500000000005</v>
      </c>
      <c r="G337" s="148">
        <f t="shared" si="45"/>
        <v>2.7500481258422023E-3</v>
      </c>
      <c r="H337" s="274">
        <v>2.5</v>
      </c>
      <c r="I337" s="272">
        <f>ROUND(F337/VLOOKUP(A337,'Tabela de Produtos'!A:J,10,0),0)</f>
        <v>716</v>
      </c>
      <c r="J337" s="97">
        <f>IFERROR(VLOOKUP(C337,'Custos Matéria Prima Embalagens'!B:G,6,0)*H337,"Matéria Prima Não Cadastrada")</f>
        <v>17.5</v>
      </c>
      <c r="K337" s="97">
        <f>IFERROR(J337/(I337/VLOOKUP(A337,'Tabela de Produtos'!A:H,8,0)),"Matéria Prima Não Cadastrada")</f>
        <v>0.36662011173184356</v>
      </c>
      <c r="L337" s="216">
        <v>45939</v>
      </c>
    </row>
    <row r="338" spans="1:12" ht="15.75" customHeight="1">
      <c r="A338" s="48" t="s">
        <v>120</v>
      </c>
      <c r="B338" s="114" t="str">
        <f>VLOOKUP(A338,'Tabela de Produtos'!A:B,2,0)</f>
        <v>BRAZIMIL LÁTEX ECONÔMICO INT FOSCO 15L BRANCO GELO</v>
      </c>
      <c r="C338" s="48" t="s">
        <v>1215</v>
      </c>
      <c r="D338" s="114" t="str">
        <f>VLOOKUP(C338,'Custos Matéria Prima Embalagens'!B:C,2,0)</f>
        <v>CALCARIO DOLOMITICO #500 ( SACOS 25 KG)</v>
      </c>
      <c r="E338" s="114" t="str">
        <f>VLOOKUP(C338,'Custos Matéria Prima Embalagens'!B:D,3,0)</f>
        <v>CARBONATO #500</v>
      </c>
      <c r="F338" s="270">
        <f t="shared" si="44"/>
        <v>909.07500000000005</v>
      </c>
      <c r="G338" s="148">
        <f t="shared" si="45"/>
        <v>5.500096251684404E-2</v>
      </c>
      <c r="H338" s="274">
        <v>50</v>
      </c>
      <c r="I338" s="272">
        <f>ROUND(F338/VLOOKUP(A338,'Tabela de Produtos'!A:J,10,0),0)</f>
        <v>716</v>
      </c>
      <c r="J338" s="97">
        <f>IFERROR(VLOOKUP(C338,'Custos Matéria Prima Embalagens'!B:G,6,0)*H338,"Matéria Prima Não Cadastrada")</f>
        <v>40</v>
      </c>
      <c r="K338" s="97">
        <f>IFERROR(J338/(I338/VLOOKUP(A338,'Tabela de Produtos'!A:H,8,0)),"Matéria Prima Não Cadastrada")</f>
        <v>0.83798882681564246</v>
      </c>
      <c r="L338" s="216">
        <v>45939</v>
      </c>
    </row>
    <row r="339" spans="1:12" ht="15.75" customHeight="1">
      <c r="A339" s="48" t="s">
        <v>120</v>
      </c>
      <c r="B339" s="114" t="str">
        <f>VLOOKUP(A339,'Tabela de Produtos'!A:B,2,0)</f>
        <v>BRAZIMIL LÁTEX ECONÔMICO INT FOSCO 15L BRANCO GELO</v>
      </c>
      <c r="C339" s="48" t="s">
        <v>1227</v>
      </c>
      <c r="D339" s="114" t="str">
        <f>VLOOKUP(C339,'Custos Matéria Prima Embalagens'!B:C,2,0)</f>
        <v>CAULIM MALHA 325</v>
      </c>
      <c r="E339" s="114" t="str">
        <f>VLOOKUP(C339,'Custos Matéria Prima Embalagens'!B:D,3,0)</f>
        <v>caulim</v>
      </c>
      <c r="F339" s="270">
        <f t="shared" si="44"/>
        <v>909.07500000000005</v>
      </c>
      <c r="G339" s="148">
        <f t="shared" si="45"/>
        <v>0.3575062563594863</v>
      </c>
      <c r="H339" s="274">
        <v>325</v>
      </c>
      <c r="I339" s="272">
        <f>ROUND(F339/VLOOKUP(A339,'Tabela de Produtos'!A:J,10,0),0)</f>
        <v>716</v>
      </c>
      <c r="J339" s="97">
        <f>IFERROR(VLOOKUP(C339,'Custos Matéria Prima Embalagens'!B:G,6,0)*H339,"Matéria Prima Não Cadastrada")</f>
        <v>494.16105555555538</v>
      </c>
      <c r="K339" s="97">
        <f>IFERROR(J339/(I339/VLOOKUP(A339,'Tabela de Produtos'!A:H,8,0)),"Matéria Prima Não Cadastrada")</f>
        <v>10.352536080074485</v>
      </c>
      <c r="L339" s="216">
        <v>45939</v>
      </c>
    </row>
    <row r="340" spans="1:12" ht="15.75" customHeight="1">
      <c r="A340" s="48" t="s">
        <v>120</v>
      </c>
      <c r="B340" s="114" t="str">
        <f>VLOOKUP(A340,'Tabela de Produtos'!A:B,2,0)</f>
        <v>BRAZIMIL LÁTEX ECONÔMICO INT FOSCO 15L BRANCO GELO</v>
      </c>
      <c r="C340" s="48" t="s">
        <v>1217</v>
      </c>
      <c r="D340" s="114" t="str">
        <f>VLOOKUP(C340,'Custos Matéria Prima Embalagens'!B:C,2,0)</f>
        <v>WANCRIL W 51 CE (CT-1000P)</v>
      </c>
      <c r="E340" s="114" t="str">
        <f>VLOOKUP(C340,'Custos Matéria Prima Embalagens'!B:D,3,0)</f>
        <v>RESINA ACRILICA ESTIRENADA</v>
      </c>
      <c r="F340" s="270">
        <f t="shared" si="44"/>
        <v>909.07500000000005</v>
      </c>
      <c r="G340" s="148">
        <f t="shared" si="45"/>
        <v>3.3000577510106426E-2</v>
      </c>
      <c r="H340" s="274">
        <v>30</v>
      </c>
      <c r="I340" s="272">
        <f>ROUND(F340/VLOOKUP(A340,'Tabela de Produtos'!A:J,10,0),0)</f>
        <v>716</v>
      </c>
      <c r="J340" s="97">
        <f>IFERROR(VLOOKUP(C340,'Custos Matéria Prima Embalagens'!B:G,6,0)*H340,"Matéria Prima Não Cadastrada")</f>
        <v>252.89999999999998</v>
      </c>
      <c r="K340" s="97">
        <f>IFERROR(J340/(I340/VLOOKUP(A340,'Tabela de Produtos'!A:H,8,0)),"Matéria Prima Não Cadastrada")</f>
        <v>5.2981843575418992</v>
      </c>
      <c r="L340" s="216">
        <v>45939</v>
      </c>
    </row>
    <row r="341" spans="1:12" ht="15.75" customHeight="1">
      <c r="A341" s="48" t="s">
        <v>120</v>
      </c>
      <c r="B341" s="114" t="str">
        <f>VLOOKUP(A341,'Tabela de Produtos'!A:B,2,0)</f>
        <v>BRAZIMIL LÁTEX ECONÔMICO INT FOSCO 15L BRANCO GELO</v>
      </c>
      <c r="C341" s="48" t="s">
        <v>1219</v>
      </c>
      <c r="D341" s="114" t="str">
        <f>VLOOKUP(C341,'Custos Matéria Prima Embalagens'!B:C,2,0)</f>
        <v>WANALK 70 CE (BH-200)</v>
      </c>
      <c r="E341" s="114" t="str">
        <f>VLOOKUP(C341,'Custos Matéria Prima Embalagens'!B:D,3,0)</f>
        <v>ALCALINIZANTE</v>
      </c>
      <c r="F341" s="270">
        <f t="shared" si="44"/>
        <v>909.07500000000005</v>
      </c>
      <c r="G341" s="148">
        <f t="shared" si="45"/>
        <v>3.3000577510106425E-3</v>
      </c>
      <c r="H341" s="274">
        <v>3</v>
      </c>
      <c r="I341" s="272">
        <f>ROUND(F341/VLOOKUP(A341,'Tabela de Produtos'!A:J,10,0),0)</f>
        <v>716</v>
      </c>
      <c r="J341" s="97">
        <f>IFERROR(VLOOKUP(C341,'Custos Matéria Prima Embalagens'!B:G,6,0)*H341,"Matéria Prima Não Cadastrada")</f>
        <v>14.940000000000001</v>
      </c>
      <c r="K341" s="97">
        <f>IFERROR(J341/(I341/VLOOKUP(A341,'Tabela de Produtos'!A:H,8,0)),"Matéria Prima Não Cadastrada")</f>
        <v>0.3129888268156425</v>
      </c>
      <c r="L341" s="216">
        <v>45939</v>
      </c>
    </row>
    <row r="342" spans="1:12" ht="15.75" customHeight="1">
      <c r="A342" s="48" t="s">
        <v>120</v>
      </c>
      <c r="B342" s="114" t="str">
        <f>VLOOKUP(A342,'Tabela de Produtos'!A:B,2,0)</f>
        <v>BRAZIMIL LÁTEX ECONÔMICO INT FOSCO 15L BRANCO GELO</v>
      </c>
      <c r="C342" s="48" t="s">
        <v>1221</v>
      </c>
      <c r="D342" s="114" t="str">
        <f>VLOOKUP(C342,'Custos Matéria Prima Embalagens'!B:C,2,0)</f>
        <v>MODIWAN 105H CE (CT-1000P)</v>
      </c>
      <c r="E342" s="114" t="str">
        <f>VLOOKUP(C342,'Custos Matéria Prima Embalagens'!B:D,3,0)</f>
        <v>ESPESSANTE DE MEDIA</v>
      </c>
      <c r="F342" s="270">
        <f t="shared" si="44"/>
        <v>909.07500000000005</v>
      </c>
      <c r="G342" s="148">
        <f t="shared" si="45"/>
        <v>1.7050298380221655E-2</v>
      </c>
      <c r="H342" s="274">
        <v>15.5</v>
      </c>
      <c r="I342" s="272">
        <f>ROUND(F342/VLOOKUP(A342,'Tabela de Produtos'!A:J,10,0),0)</f>
        <v>716</v>
      </c>
      <c r="J342" s="97">
        <f>IFERROR(VLOOKUP(C342,'Custos Matéria Prima Embalagens'!B:G,6,0)*H342,"Matéria Prima Não Cadastrada")</f>
        <v>122.52749999999999</v>
      </c>
      <c r="K342" s="97">
        <f>IFERROR(J342/(I342/VLOOKUP(A342,'Tabela de Produtos'!A:H,8,0)),"Matéria Prima Não Cadastrada")</f>
        <v>2.5669168994413405</v>
      </c>
      <c r="L342" s="216">
        <v>45939</v>
      </c>
    </row>
    <row r="343" spans="1:12" ht="15.75" customHeight="1">
      <c r="A343" s="48" t="s">
        <v>120</v>
      </c>
      <c r="B343" s="114" t="str">
        <f>VLOOKUP(A343,'Tabela de Produtos'!A:B,2,0)</f>
        <v>BRAZIMIL LÁTEX ECONÔMICO INT FOSCO 15L BRANCO GELO</v>
      </c>
      <c r="C343" s="48" t="s">
        <v>1223</v>
      </c>
      <c r="D343" s="114" t="str">
        <f>VLOOKUP(C343,'Custos Matéria Prima Embalagens'!B:C,2,0)</f>
        <v>TURBOWAN H CE (BH-200)</v>
      </c>
      <c r="E343" s="114" t="str">
        <f>VLOOKUP(C343,'Custos Matéria Prima Embalagens'!B:D,3,0)</f>
        <v>PROMOTOR DE LAVABILIDADE</v>
      </c>
      <c r="F343" s="270">
        <f t="shared" si="44"/>
        <v>909.07500000000005</v>
      </c>
      <c r="G343" s="148">
        <f t="shared" si="45"/>
        <v>8.2501443775266064E-3</v>
      </c>
      <c r="H343" s="274">
        <v>7.5</v>
      </c>
      <c r="I343" s="272">
        <f>ROUND(F343/VLOOKUP(A343,'Tabela de Produtos'!A:J,10,0),0)</f>
        <v>716</v>
      </c>
      <c r="J343" s="97">
        <f>IFERROR(VLOOKUP(C343,'Custos Matéria Prima Embalagens'!B:G,6,0)*H343,"Matéria Prima Não Cadastrada")</f>
        <v>36.375</v>
      </c>
      <c r="K343" s="97">
        <f>IFERROR(J343/(I343/VLOOKUP(A343,'Tabela de Produtos'!A:H,8,0)),"Matéria Prima Não Cadastrada")</f>
        <v>0.7620460893854748</v>
      </c>
      <c r="L343" s="216">
        <v>45939</v>
      </c>
    </row>
    <row r="344" spans="1:12" ht="15.75" customHeight="1">
      <c r="A344" s="48" t="s">
        <v>120</v>
      </c>
      <c r="B344" s="114" t="str">
        <f>VLOOKUP(A344,'Tabela de Produtos'!A:B,2,0)</f>
        <v>BRAZIMIL LÁTEX ECONÔMICO INT FOSCO 15L BRANCO GELO</v>
      </c>
      <c r="C344" s="48" t="s">
        <v>1229</v>
      </c>
      <c r="D344" s="114" t="str">
        <f>VLOOKUP(C344,'Custos Matéria Prima Embalagens'!B:C,2,0)</f>
        <v>WANSOL 340 CE (BB-200)</v>
      </c>
      <c r="E344" s="114" t="str">
        <f>VLOOKUP(C344,'Custos Matéria Prima Embalagens'!B:D,3,0)</f>
        <v>COALESCENTE</v>
      </c>
      <c r="F344" s="270">
        <f t="shared" si="44"/>
        <v>909.07500000000005</v>
      </c>
      <c r="G344" s="148">
        <f t="shared" si="45"/>
        <v>5.5000962516844045E-3</v>
      </c>
      <c r="H344" s="274">
        <v>5</v>
      </c>
      <c r="I344" s="272">
        <f>ROUND(F344/VLOOKUP(A344,'Tabela de Produtos'!A:J,10,0),0)</f>
        <v>716</v>
      </c>
      <c r="J344" s="97">
        <f>IFERROR(VLOOKUP(C344,'Custos Matéria Prima Embalagens'!B:G,6,0)*H344,"Matéria Prima Não Cadastrada")</f>
        <v>96.1</v>
      </c>
      <c r="K344" s="97">
        <f>IFERROR(J344/(I344/VLOOKUP(A344,'Tabela de Produtos'!A:H,8,0)),"Matéria Prima Não Cadastrada")</f>
        <v>2.0132681564245809</v>
      </c>
      <c r="L344" s="216">
        <v>45939</v>
      </c>
    </row>
    <row r="345" spans="1:12" ht="15.75" customHeight="1">
      <c r="A345" s="48" t="s">
        <v>120</v>
      </c>
      <c r="B345" s="114" t="str">
        <f>VLOOKUP(A345,'Tabela de Produtos'!A:B,2,0)</f>
        <v>BRAZIMIL LÁTEX ECONÔMICO INT FOSCO 15L BRANCO GELO</v>
      </c>
      <c r="C345" s="48" t="s">
        <v>1231</v>
      </c>
      <c r="D345" s="114" t="str">
        <f>VLOOKUP(C345,'Custos Matéria Prima Embalagens'!B:C,2,0)</f>
        <v>PRETO SPECTRAPRINT SFF</v>
      </c>
      <c r="E345" s="114" t="str">
        <f>VLOOKUP(C345,'Custos Matéria Prima Embalagens'!B:D,3,0)</f>
        <v>PRETO SPECTRAPRINT SFF</v>
      </c>
      <c r="F345" s="270">
        <f t="shared" si="44"/>
        <v>909.07500000000005</v>
      </c>
      <c r="G345" s="148">
        <f t="shared" si="45"/>
        <v>8.2501443775266062E-5</v>
      </c>
      <c r="H345" s="274">
        <v>7.4999999999999997E-2</v>
      </c>
      <c r="I345" s="272">
        <f>ROUND(F345/VLOOKUP(A345,'Tabela de Produtos'!A:J,10,0),0)</f>
        <v>716</v>
      </c>
      <c r="J345" s="97">
        <f>IFERROR(VLOOKUP(C345,'Custos Matéria Prima Embalagens'!B:G,6,0)*H345,"Matéria Prima Não Cadastrada")</f>
        <v>1.1399999999999999</v>
      </c>
      <c r="K345" s="97">
        <f>IFERROR(J345/(I345/VLOOKUP(A345,'Tabela de Produtos'!A:H,8,0)),"Matéria Prima Não Cadastrada")</f>
        <v>2.3882681564245809E-2</v>
      </c>
      <c r="L345" s="216">
        <v>45939</v>
      </c>
    </row>
    <row r="346" spans="1:12" ht="15.75" customHeight="1">
      <c r="D346" s="114"/>
      <c r="E346" s="114"/>
      <c r="F346" s="96"/>
      <c r="G346" s="148"/>
      <c r="H346" s="274"/>
      <c r="I346" s="272"/>
      <c r="J346" s="97"/>
      <c r="K346" s="97"/>
      <c r="L346" s="216">
        <v>45939</v>
      </c>
    </row>
    <row r="347" spans="1:12" ht="15.75" customHeight="1">
      <c r="A347" s="48" t="s">
        <v>121</v>
      </c>
      <c r="B347" s="114" t="str">
        <f>VLOOKUP(A347,'Tabela de Produtos'!A:B,2,0)</f>
        <v>BRAZIMIL LÁTEX ECONÔMICO INT FOSCO 15L AREIA</v>
      </c>
      <c r="C347" s="48" t="s">
        <v>1197</v>
      </c>
      <c r="D347" s="114" t="str">
        <f>VLOOKUP(C347,'Custos Matéria Prima Embalagens'!B:C,2,0)</f>
        <v>AGUA</v>
      </c>
      <c r="E347" s="114" t="str">
        <f>VLOOKUP(C347,'Custos Matéria Prima Embalagens'!B:D,3,0)</f>
        <v>AGUA</v>
      </c>
      <c r="F347" s="270">
        <f t="shared" ref="F347:F362" si="46">SUMIFS(H:H,A:A,A347)</f>
        <v>912.32499999999993</v>
      </c>
      <c r="G347" s="148">
        <f t="shared" ref="G347:G362" si="47">H347/F347</f>
        <v>0.50420628613706742</v>
      </c>
      <c r="H347" s="274">
        <v>460</v>
      </c>
      <c r="I347" s="272">
        <f>ROUND(F347/VLOOKUP(A347,'Tabela de Produtos'!A:J,10,0),0)</f>
        <v>718</v>
      </c>
      <c r="J347" s="97">
        <f>IFERROR(VLOOKUP(C347,'Custos Matéria Prima Embalagens'!B:G,6,0)*H347,"Matéria Prima Não Cadastrada")</f>
        <v>0</v>
      </c>
      <c r="K347" s="97">
        <f>IFERROR(J347/(I347/VLOOKUP(A347,'Tabela de Produtos'!A:H,8,0)),"Matéria Prima Não Cadastrada")</f>
        <v>0</v>
      </c>
      <c r="L347" s="216">
        <v>45939</v>
      </c>
    </row>
    <row r="348" spans="1:12" ht="15.75" customHeight="1">
      <c r="A348" s="48" t="s">
        <v>121</v>
      </c>
      <c r="B348" s="114" t="str">
        <f>VLOOKUP(A348,'Tabela de Produtos'!A:B,2,0)</f>
        <v>BRAZIMIL LÁTEX ECONÔMICO INT FOSCO 15L AREIA</v>
      </c>
      <c r="C348" s="48" t="s">
        <v>1201</v>
      </c>
      <c r="D348" s="114" t="str">
        <f>VLOOKUP(C348,'Custos Matéria Prima Embalagens'!B:C,2,0)</f>
        <v>WANFOAM 528 CE (BB-190)</v>
      </c>
      <c r="E348" s="114" t="str">
        <f>VLOOKUP(C348,'Custos Matéria Prima Embalagens'!B:D,3,0)</f>
        <v>ANTI ESPUMA LATEX</v>
      </c>
      <c r="F348" s="270">
        <f t="shared" si="46"/>
        <v>912.32499999999993</v>
      </c>
      <c r="G348" s="148">
        <f t="shared" si="47"/>
        <v>2.7402515550927578E-3</v>
      </c>
      <c r="H348" s="274">
        <v>2.5</v>
      </c>
      <c r="I348" s="272">
        <f>ROUND(F348/VLOOKUP(A348,'Tabela de Produtos'!A:J,10,0),0)</f>
        <v>718</v>
      </c>
      <c r="J348" s="97">
        <f>IFERROR(VLOOKUP(C348,'Custos Matéria Prima Embalagens'!B:G,6,0)*H348,"Matéria Prima Não Cadastrada")</f>
        <v>17.95</v>
      </c>
      <c r="K348" s="97">
        <f>IFERROR(J348/(I348/VLOOKUP(A348,'Tabela de Produtos'!A:H,8,0)),"Matéria Prima Não Cadastrada")</f>
        <v>0.375</v>
      </c>
      <c r="L348" s="216">
        <v>45939</v>
      </c>
    </row>
    <row r="349" spans="1:12" ht="15.75" customHeight="1">
      <c r="A349" s="48" t="s">
        <v>121</v>
      </c>
      <c r="B349" s="114" t="str">
        <f>VLOOKUP(A349,'Tabela de Produtos'!A:B,2,0)</f>
        <v>BRAZIMIL LÁTEX ECONÔMICO INT FOSCO 15L AREIA</v>
      </c>
      <c r="C349" s="48" t="s">
        <v>1203</v>
      </c>
      <c r="D349" s="114" t="str">
        <f>VLOOKUP(C349,'Custos Matéria Prima Embalagens'!B:C,2,0)</f>
        <v>WANBAC WBT CE (BH-200)</v>
      </c>
      <c r="E349" s="114" t="str">
        <f>VLOOKUP(C349,'Custos Matéria Prima Embalagens'!B:D,3,0)</f>
        <v>BACTERICIDA</v>
      </c>
      <c r="F349" s="270">
        <f t="shared" si="46"/>
        <v>912.32499999999993</v>
      </c>
      <c r="G349" s="148">
        <f t="shared" si="47"/>
        <v>3.2883018661113094E-3</v>
      </c>
      <c r="H349" s="274">
        <v>3</v>
      </c>
      <c r="I349" s="272">
        <f>ROUND(F349/VLOOKUP(A349,'Tabela de Produtos'!A:J,10,0),0)</f>
        <v>718</v>
      </c>
      <c r="J349" s="97">
        <f>IFERROR(VLOOKUP(C349,'Custos Matéria Prima Embalagens'!B:G,6,0)*H349,"Matéria Prima Não Cadastrada")</f>
        <v>14.819999999999999</v>
      </c>
      <c r="K349" s="97">
        <f>IFERROR(J349/(I349/VLOOKUP(A349,'Tabela de Produtos'!A:H,8,0)),"Matéria Prima Não Cadastrada")</f>
        <v>0.30961002785515318</v>
      </c>
      <c r="L349" s="216">
        <v>45939</v>
      </c>
    </row>
    <row r="350" spans="1:12" ht="15.75" customHeight="1">
      <c r="A350" s="48" t="s">
        <v>121</v>
      </c>
      <c r="B350" s="114" t="str">
        <f>VLOOKUP(A350,'Tabela de Produtos'!A:B,2,0)</f>
        <v>BRAZIMIL LÁTEX ECONÔMICO INT FOSCO 15L AREIA</v>
      </c>
      <c r="C350" s="48" t="s">
        <v>1205</v>
      </c>
      <c r="D350" s="114" t="str">
        <f>VLOOKUP(C350,'Custos Matéria Prima Embalagens'!B:C,2,0)</f>
        <v>WANSUR 840 CE (BB-200)01</v>
      </c>
      <c r="E350" s="114" t="str">
        <f>VLOOKUP(C350,'Custos Matéria Prima Embalagens'!B:D,3,0)</f>
        <v>UMECTANTE</v>
      </c>
      <c r="F350" s="270">
        <f t="shared" si="46"/>
        <v>912.32499999999993</v>
      </c>
      <c r="G350" s="148">
        <f t="shared" si="47"/>
        <v>2.1922012440742061E-3</v>
      </c>
      <c r="H350" s="274">
        <v>2</v>
      </c>
      <c r="I350" s="272">
        <f>ROUND(F350/VLOOKUP(A350,'Tabela de Produtos'!A:J,10,0),0)</f>
        <v>718</v>
      </c>
      <c r="J350" s="97">
        <f>IFERROR(VLOOKUP(C350,'Custos Matéria Prima Embalagens'!B:G,6,0)*H350,"Matéria Prima Não Cadastrada")</f>
        <v>14.66</v>
      </c>
      <c r="K350" s="97">
        <f>IFERROR(J350/(I350/VLOOKUP(A350,'Tabela de Produtos'!A:H,8,0)),"Matéria Prima Não Cadastrada")</f>
        <v>0.30626740947075209</v>
      </c>
      <c r="L350" s="216">
        <v>45939</v>
      </c>
    </row>
    <row r="351" spans="1:12" ht="15.75" customHeight="1">
      <c r="A351" s="48" t="s">
        <v>121</v>
      </c>
      <c r="B351" s="114" t="str">
        <f>VLOOKUP(A351,'Tabela de Produtos'!A:B,2,0)</f>
        <v>BRAZIMIL LÁTEX ECONÔMICO INT FOSCO 15L AREIA</v>
      </c>
      <c r="C351" s="48" t="s">
        <v>1207</v>
      </c>
      <c r="D351" s="114" t="str">
        <f>VLOOKUP(C351,'Custos Matéria Prima Embalagens'!B:C,2,0)</f>
        <v>WANPEX 1510 (BB-200)</v>
      </c>
      <c r="E351" s="114" t="str">
        <f>VLOOKUP(C351,'Custos Matéria Prima Embalagens'!B:D,3,0)</f>
        <v>DISPERSANTE LATEX</v>
      </c>
      <c r="F351" s="270">
        <f t="shared" si="46"/>
        <v>912.32499999999993</v>
      </c>
      <c r="G351" s="148">
        <f t="shared" si="47"/>
        <v>3.2883018661113094E-3</v>
      </c>
      <c r="H351" s="274">
        <v>3</v>
      </c>
      <c r="I351" s="272">
        <f>ROUND(F351/VLOOKUP(A351,'Tabela de Produtos'!A:J,10,0),0)</f>
        <v>718</v>
      </c>
      <c r="J351" s="97">
        <f>IFERROR(VLOOKUP(C351,'Custos Matéria Prima Embalagens'!B:G,6,0)*H351,"Matéria Prima Não Cadastrada")</f>
        <v>20.58</v>
      </c>
      <c r="K351" s="97">
        <f>IFERROR(J351/(I351/VLOOKUP(A351,'Tabela de Produtos'!A:H,8,0)),"Matéria Prima Não Cadastrada")</f>
        <v>0.42994428969359327</v>
      </c>
      <c r="L351" s="216">
        <v>45939</v>
      </c>
    </row>
    <row r="352" spans="1:12" ht="15.75" customHeight="1">
      <c r="A352" s="48" t="s">
        <v>121</v>
      </c>
      <c r="B352" s="114" t="str">
        <f>VLOOKUP(A352,'Tabela de Produtos'!A:B,2,0)</f>
        <v>BRAZIMIL LÁTEX ECONÔMICO INT FOSCO 15L AREIA</v>
      </c>
      <c r="C352" s="48" t="s">
        <v>1209</v>
      </c>
      <c r="D352" s="114" t="str">
        <f>VLOOKUP(C352,'Custos Matéria Prima Embalagens'!B:C,2,0)</f>
        <v>WANFUNG WFT CE (BH-200)</v>
      </c>
      <c r="E352" s="114" t="str">
        <f>VLOOKUP(C352,'Custos Matéria Prima Embalagens'!B:D,3,0)</f>
        <v>FUNGICIDA</v>
      </c>
      <c r="F352" s="270">
        <f t="shared" si="46"/>
        <v>912.32499999999993</v>
      </c>
      <c r="G352" s="148">
        <f t="shared" si="47"/>
        <v>2.7402515550927578E-3</v>
      </c>
      <c r="H352" s="274">
        <v>2.5</v>
      </c>
      <c r="I352" s="272">
        <f>ROUND(F352/VLOOKUP(A352,'Tabela de Produtos'!A:J,10,0),0)</f>
        <v>718</v>
      </c>
      <c r="J352" s="97">
        <f>IFERROR(VLOOKUP(C352,'Custos Matéria Prima Embalagens'!B:G,6,0)*H352,"Matéria Prima Não Cadastrada")</f>
        <v>17.5</v>
      </c>
      <c r="K352" s="97">
        <f>IFERROR(J352/(I352/VLOOKUP(A352,'Tabela de Produtos'!A:H,8,0)),"Matéria Prima Não Cadastrada")</f>
        <v>0.36559888579387184</v>
      </c>
      <c r="L352" s="216">
        <v>45939</v>
      </c>
    </row>
    <row r="353" spans="1:12" ht="15.75" customHeight="1">
      <c r="A353" s="48" t="s">
        <v>121</v>
      </c>
      <c r="B353" s="114" t="str">
        <f>VLOOKUP(A353,'Tabela de Produtos'!A:B,2,0)</f>
        <v>BRAZIMIL LÁTEX ECONÔMICO INT FOSCO 15L AREIA</v>
      </c>
      <c r="C353" s="48" t="s">
        <v>1215</v>
      </c>
      <c r="D353" s="114" t="str">
        <f>VLOOKUP(C353,'Custos Matéria Prima Embalagens'!B:C,2,0)</f>
        <v>CALCARIO DOLOMITICO #500 ( SACOS 25 KG)</v>
      </c>
      <c r="E353" s="114" t="str">
        <f>VLOOKUP(C353,'Custos Matéria Prima Embalagens'!B:D,3,0)</f>
        <v>CARBONATO #500</v>
      </c>
      <c r="F353" s="270">
        <f t="shared" si="46"/>
        <v>912.32499999999993</v>
      </c>
      <c r="G353" s="148">
        <f t="shared" si="47"/>
        <v>5.4805031101855153E-2</v>
      </c>
      <c r="H353" s="274">
        <v>50</v>
      </c>
      <c r="I353" s="272">
        <f>ROUND(F353/VLOOKUP(A353,'Tabela de Produtos'!A:J,10,0),0)</f>
        <v>718</v>
      </c>
      <c r="J353" s="97">
        <f>IFERROR(VLOOKUP(C353,'Custos Matéria Prima Embalagens'!B:G,6,0)*H353,"Matéria Prima Não Cadastrada")</f>
        <v>40</v>
      </c>
      <c r="K353" s="97">
        <f>IFERROR(J353/(I353/VLOOKUP(A353,'Tabela de Produtos'!A:H,8,0)),"Matéria Prima Não Cadastrada")</f>
        <v>0.83565459610027859</v>
      </c>
      <c r="L353" s="216">
        <v>45939</v>
      </c>
    </row>
    <row r="354" spans="1:12" ht="15.75" customHeight="1">
      <c r="A354" s="48" t="s">
        <v>121</v>
      </c>
      <c r="B354" s="114" t="str">
        <f>VLOOKUP(A354,'Tabela de Produtos'!A:B,2,0)</f>
        <v>BRAZIMIL LÁTEX ECONÔMICO INT FOSCO 15L AREIA</v>
      </c>
      <c r="C354" s="48" t="s">
        <v>1227</v>
      </c>
      <c r="D354" s="114" t="str">
        <f>VLOOKUP(C354,'Custos Matéria Prima Embalagens'!B:C,2,0)</f>
        <v>CAULIM MALHA 325</v>
      </c>
      <c r="E354" s="114" t="str">
        <f>VLOOKUP(C354,'Custos Matéria Prima Embalagens'!B:D,3,0)</f>
        <v>caulim</v>
      </c>
      <c r="F354" s="270">
        <f t="shared" si="46"/>
        <v>912.32499999999993</v>
      </c>
      <c r="G354" s="148">
        <f t="shared" si="47"/>
        <v>0.35623270216205849</v>
      </c>
      <c r="H354" s="274">
        <v>325</v>
      </c>
      <c r="I354" s="272">
        <f>ROUND(F354/VLOOKUP(A354,'Tabela de Produtos'!A:J,10,0),0)</f>
        <v>718</v>
      </c>
      <c r="J354" s="97">
        <f>IFERROR(VLOOKUP(C354,'Custos Matéria Prima Embalagens'!B:G,6,0)*H354,"Matéria Prima Não Cadastrada")</f>
        <v>494.16105555555538</v>
      </c>
      <c r="K354" s="97">
        <f>IFERROR(J354/(I354/VLOOKUP(A354,'Tabela de Produtos'!A:H,8,0)),"Matéria Prima Não Cadastrada")</f>
        <v>10.323698932219123</v>
      </c>
      <c r="L354" s="216">
        <v>45939</v>
      </c>
    </row>
    <row r="355" spans="1:12" ht="15.75" customHeight="1">
      <c r="A355" s="48" t="s">
        <v>121</v>
      </c>
      <c r="B355" s="114" t="str">
        <f>VLOOKUP(A355,'Tabela de Produtos'!A:B,2,0)</f>
        <v>BRAZIMIL LÁTEX ECONÔMICO INT FOSCO 15L AREIA</v>
      </c>
      <c r="C355" s="48" t="s">
        <v>1217</v>
      </c>
      <c r="D355" s="114" t="str">
        <f>VLOOKUP(C355,'Custos Matéria Prima Embalagens'!B:C,2,0)</f>
        <v>WANCRIL W 51 CE (CT-1000P)</v>
      </c>
      <c r="E355" s="114" t="str">
        <f>VLOOKUP(C355,'Custos Matéria Prima Embalagens'!B:D,3,0)</f>
        <v>RESINA ACRILICA ESTIRENADA</v>
      </c>
      <c r="F355" s="270">
        <f t="shared" si="46"/>
        <v>912.32499999999993</v>
      </c>
      <c r="G355" s="148">
        <f t="shared" si="47"/>
        <v>3.2883018661113095E-2</v>
      </c>
      <c r="H355" s="274">
        <v>30</v>
      </c>
      <c r="I355" s="272">
        <f>ROUND(F355/VLOOKUP(A355,'Tabela de Produtos'!A:J,10,0),0)</f>
        <v>718</v>
      </c>
      <c r="J355" s="97">
        <f>IFERROR(VLOOKUP(C355,'Custos Matéria Prima Embalagens'!B:G,6,0)*H355,"Matéria Prima Não Cadastrada")</f>
        <v>252.89999999999998</v>
      </c>
      <c r="K355" s="97">
        <f>IFERROR(J355/(I355/VLOOKUP(A355,'Tabela de Produtos'!A:H,8,0)),"Matéria Prima Não Cadastrada")</f>
        <v>5.2834261838440106</v>
      </c>
      <c r="L355" s="216">
        <v>45939</v>
      </c>
    </row>
    <row r="356" spans="1:12" ht="15.75" customHeight="1">
      <c r="A356" s="48" t="s">
        <v>121</v>
      </c>
      <c r="B356" s="114" t="str">
        <f>VLOOKUP(A356,'Tabela de Produtos'!A:B,2,0)</f>
        <v>BRAZIMIL LÁTEX ECONÔMICO INT FOSCO 15L AREIA</v>
      </c>
      <c r="C356" s="48" t="s">
        <v>1219</v>
      </c>
      <c r="D356" s="114" t="str">
        <f>VLOOKUP(C356,'Custos Matéria Prima Embalagens'!B:C,2,0)</f>
        <v>WANALK 70 CE (BH-200)</v>
      </c>
      <c r="E356" s="114" t="str">
        <f>VLOOKUP(C356,'Custos Matéria Prima Embalagens'!B:D,3,0)</f>
        <v>ALCALINIZANTE</v>
      </c>
      <c r="F356" s="270">
        <f t="shared" si="46"/>
        <v>912.32499999999993</v>
      </c>
      <c r="G356" s="148">
        <f t="shared" si="47"/>
        <v>3.2883018661113094E-3</v>
      </c>
      <c r="H356" s="274">
        <v>3</v>
      </c>
      <c r="I356" s="272">
        <f>ROUND(F356/VLOOKUP(A356,'Tabela de Produtos'!A:J,10,0),0)</f>
        <v>718</v>
      </c>
      <c r="J356" s="97">
        <f>IFERROR(VLOOKUP(C356,'Custos Matéria Prima Embalagens'!B:G,6,0)*H356,"Matéria Prima Não Cadastrada")</f>
        <v>14.940000000000001</v>
      </c>
      <c r="K356" s="97">
        <f>IFERROR(J356/(I356/VLOOKUP(A356,'Tabela de Produtos'!A:H,8,0)),"Matéria Prima Não Cadastrada")</f>
        <v>0.31211699164345408</v>
      </c>
      <c r="L356" s="216">
        <v>45939</v>
      </c>
    </row>
    <row r="357" spans="1:12" ht="15.75" customHeight="1">
      <c r="A357" s="48" t="s">
        <v>121</v>
      </c>
      <c r="B357" s="114" t="str">
        <f>VLOOKUP(A357,'Tabela de Produtos'!A:B,2,0)</f>
        <v>BRAZIMIL LÁTEX ECONÔMICO INT FOSCO 15L AREIA</v>
      </c>
      <c r="C357" s="48" t="s">
        <v>1221</v>
      </c>
      <c r="D357" s="114" t="str">
        <f>VLOOKUP(C357,'Custos Matéria Prima Embalagens'!B:C,2,0)</f>
        <v>MODIWAN 105H CE (CT-1000P)</v>
      </c>
      <c r="E357" s="114" t="str">
        <f>VLOOKUP(C357,'Custos Matéria Prima Embalagens'!B:D,3,0)</f>
        <v>ESPESSANTE DE MEDIA</v>
      </c>
      <c r="F357" s="270">
        <f t="shared" si="46"/>
        <v>912.32499999999993</v>
      </c>
      <c r="G357" s="148">
        <f t="shared" si="47"/>
        <v>1.6989559641575096E-2</v>
      </c>
      <c r="H357" s="274">
        <v>15.5</v>
      </c>
      <c r="I357" s="272">
        <f>ROUND(F357/VLOOKUP(A357,'Tabela de Produtos'!A:J,10,0),0)</f>
        <v>718</v>
      </c>
      <c r="J357" s="97">
        <f>IFERROR(VLOOKUP(C357,'Custos Matéria Prima Embalagens'!B:G,6,0)*H357,"Matéria Prima Não Cadastrada")</f>
        <v>122.52749999999999</v>
      </c>
      <c r="K357" s="97">
        <f>IFERROR(J357/(I357/VLOOKUP(A357,'Tabela de Produtos'!A:H,8,0)),"Matéria Prima Não Cadastrada")</f>
        <v>2.5597667130919217</v>
      </c>
      <c r="L357" s="216">
        <v>45939</v>
      </c>
    </row>
    <row r="358" spans="1:12" ht="15.75" customHeight="1">
      <c r="A358" s="48" t="s">
        <v>121</v>
      </c>
      <c r="B358" s="114" t="str">
        <f>VLOOKUP(A358,'Tabela de Produtos'!A:B,2,0)</f>
        <v>BRAZIMIL LÁTEX ECONÔMICO INT FOSCO 15L AREIA</v>
      </c>
      <c r="C358" s="48" t="s">
        <v>1223</v>
      </c>
      <c r="D358" s="114" t="str">
        <f>VLOOKUP(C358,'Custos Matéria Prima Embalagens'!B:C,2,0)</f>
        <v>TURBOWAN H CE (BH-200)</v>
      </c>
      <c r="E358" s="114" t="str">
        <f>VLOOKUP(C358,'Custos Matéria Prima Embalagens'!B:D,3,0)</f>
        <v>PROMOTOR DE LAVABILIDADE</v>
      </c>
      <c r="F358" s="270">
        <f t="shared" si="46"/>
        <v>912.32499999999993</v>
      </c>
      <c r="G358" s="148">
        <f t="shared" si="47"/>
        <v>8.2207546652782737E-3</v>
      </c>
      <c r="H358" s="274">
        <v>7.5</v>
      </c>
      <c r="I358" s="272">
        <f>ROUND(F358/VLOOKUP(A358,'Tabela de Produtos'!A:J,10,0),0)</f>
        <v>718</v>
      </c>
      <c r="J358" s="97">
        <f>IFERROR(VLOOKUP(C358,'Custos Matéria Prima Embalagens'!B:G,6,0)*H358,"Matéria Prima Não Cadastrada")</f>
        <v>36.375</v>
      </c>
      <c r="K358" s="97">
        <f>IFERROR(J358/(I358/VLOOKUP(A358,'Tabela de Produtos'!A:H,8,0)),"Matéria Prima Não Cadastrada")</f>
        <v>0.75992339832869082</v>
      </c>
      <c r="L358" s="216">
        <v>45939</v>
      </c>
    </row>
    <row r="359" spans="1:12" ht="15.75" customHeight="1">
      <c r="A359" s="48" t="s">
        <v>121</v>
      </c>
      <c r="B359" s="114" t="str">
        <f>VLOOKUP(A359,'Tabela de Produtos'!A:B,2,0)</f>
        <v>BRAZIMIL LÁTEX ECONÔMICO INT FOSCO 15L AREIA</v>
      </c>
      <c r="C359" s="48" t="s">
        <v>1229</v>
      </c>
      <c r="D359" s="114" t="str">
        <f>VLOOKUP(C359,'Custos Matéria Prima Embalagens'!B:C,2,0)</f>
        <v>WANSOL 340 CE (BB-200)</v>
      </c>
      <c r="E359" s="114" t="str">
        <f>VLOOKUP(C359,'Custos Matéria Prima Embalagens'!B:D,3,0)</f>
        <v>COALESCENTE</v>
      </c>
      <c r="F359" s="270">
        <f t="shared" si="46"/>
        <v>912.32499999999993</v>
      </c>
      <c r="G359" s="148">
        <f t="shared" si="47"/>
        <v>5.4805031101855155E-3</v>
      </c>
      <c r="H359" s="274">
        <v>5</v>
      </c>
      <c r="I359" s="272">
        <f>ROUND(F359/VLOOKUP(A359,'Tabela de Produtos'!A:J,10,0),0)</f>
        <v>718</v>
      </c>
      <c r="J359" s="97">
        <f>IFERROR(VLOOKUP(C359,'Custos Matéria Prima Embalagens'!B:G,6,0)*H359,"Matéria Prima Não Cadastrada")</f>
        <v>96.1</v>
      </c>
      <c r="K359" s="97">
        <f>IFERROR(J359/(I359/VLOOKUP(A359,'Tabela de Produtos'!A:H,8,0)),"Matéria Prima Não Cadastrada")</f>
        <v>2.0076601671309189</v>
      </c>
      <c r="L359" s="216">
        <v>45939</v>
      </c>
    </row>
    <row r="360" spans="1:12" ht="15.75" customHeight="1">
      <c r="A360" s="48" t="s">
        <v>121</v>
      </c>
      <c r="B360" s="114" t="str">
        <f>VLOOKUP(A360,'Tabela de Produtos'!A:B,2,0)</f>
        <v>BRAZIMIL LÁTEX ECONÔMICO INT FOSCO 15L AREIA</v>
      </c>
      <c r="C360" s="48" t="s">
        <v>1273</v>
      </c>
      <c r="D360" s="114" t="str">
        <f>VLOOKUP(C360,'Custos Matéria Prima Embalagens'!B:C,2,0)</f>
        <v>AMARELO SPECTRA RO</v>
      </c>
      <c r="E360" s="114" t="str">
        <f>VLOOKUP(C360,'Custos Matéria Prima Embalagens'!B:D,3,0)</f>
        <v>AMARELO SPECTRA RO</v>
      </c>
      <c r="F360" s="270">
        <f t="shared" si="46"/>
        <v>912.32499999999993</v>
      </c>
      <c r="G360" s="148">
        <f t="shared" si="47"/>
        <v>2.7402515550927578E-3</v>
      </c>
      <c r="H360" s="274">
        <v>2.5</v>
      </c>
      <c r="I360" s="272">
        <f>ROUND(F360/VLOOKUP(A360,'Tabela de Produtos'!A:J,10,0),0)</f>
        <v>718</v>
      </c>
      <c r="J360" s="97">
        <f>IFERROR(VLOOKUP(C360,'Custos Matéria Prima Embalagens'!B:G,6,0)*H360,"Matéria Prima Não Cadastrada")</f>
        <v>39</v>
      </c>
      <c r="K360" s="97">
        <f>IFERROR(J360/(I360/VLOOKUP(A360,'Tabela de Produtos'!A:H,8,0)),"Matéria Prima Não Cadastrada")</f>
        <v>0.81476323119777161</v>
      </c>
      <c r="L360" s="216">
        <v>45939</v>
      </c>
    </row>
    <row r="361" spans="1:12" ht="15.75" customHeight="1">
      <c r="A361" s="48" t="s">
        <v>121</v>
      </c>
      <c r="B361" s="114" t="str">
        <f>VLOOKUP(A361,'Tabela de Produtos'!A:B,2,0)</f>
        <v>BRAZIMIL LÁTEX ECONÔMICO INT FOSCO 15L AREIA</v>
      </c>
      <c r="C361" s="48" t="s">
        <v>1353</v>
      </c>
      <c r="D361" s="114" t="str">
        <f>VLOOKUP(C361,'Custos Matéria Prima Embalagens'!B:C,2,0)</f>
        <v>VERMELHO SPECTRA RO</v>
      </c>
      <c r="E361" s="114" t="str">
        <f>VLOOKUP(C361,'Custos Matéria Prima Embalagens'!B:D,3,0)</f>
        <v>VERMELHO SPECTRA RO</v>
      </c>
      <c r="F361" s="270">
        <f t="shared" si="46"/>
        <v>912.32499999999993</v>
      </c>
      <c r="G361" s="148">
        <f t="shared" si="47"/>
        <v>7.1246540432411706E-4</v>
      </c>
      <c r="H361" s="274">
        <v>0.65</v>
      </c>
      <c r="I361" s="272">
        <f>ROUND(F361/VLOOKUP(A361,'Tabela de Produtos'!A:J,10,0),0)</f>
        <v>718</v>
      </c>
      <c r="J361" s="97">
        <f>IFERROR(VLOOKUP(C361,'Custos Matéria Prima Embalagens'!B:G,6,0)*H361,"Matéria Prima Não Cadastrada")</f>
        <v>10.016500000000001</v>
      </c>
      <c r="K361" s="97">
        <f>IFERROR(J361/(I361/VLOOKUP(A361,'Tabela de Produtos'!A:H,8,0)),"Matéria Prima Não Cadastrada")</f>
        <v>0.20925835654596101</v>
      </c>
      <c r="L361" s="216">
        <v>45939</v>
      </c>
    </row>
    <row r="362" spans="1:12" ht="15.75" customHeight="1">
      <c r="A362" s="48" t="s">
        <v>121</v>
      </c>
      <c r="B362" s="114" t="str">
        <f>VLOOKUP(A362,'Tabela de Produtos'!A:B,2,0)</f>
        <v>BRAZIMIL LÁTEX ECONÔMICO INT FOSCO 15L AREIA</v>
      </c>
      <c r="C362" s="48" t="s">
        <v>1231</v>
      </c>
      <c r="D362" s="114" t="str">
        <f>VLOOKUP(C362,'Custos Matéria Prima Embalagens'!B:C,2,0)</f>
        <v>PRETO SPECTRAPRINT SFF</v>
      </c>
      <c r="E362" s="114" t="str">
        <f>VLOOKUP(C362,'Custos Matéria Prima Embalagens'!B:D,3,0)</f>
        <v>PRETO SPECTRAPRINT SFF</v>
      </c>
      <c r="F362" s="270">
        <f t="shared" si="46"/>
        <v>912.32499999999993</v>
      </c>
      <c r="G362" s="148">
        <f t="shared" si="47"/>
        <v>1.9181760885649302E-4</v>
      </c>
      <c r="H362" s="274">
        <v>0.17499999999999999</v>
      </c>
      <c r="I362" s="272">
        <f>ROUND(F362/VLOOKUP(A362,'Tabela de Produtos'!A:J,10,0),0)</f>
        <v>718</v>
      </c>
      <c r="J362" s="97">
        <f>IFERROR(VLOOKUP(C362,'Custos Matéria Prima Embalagens'!B:G,6,0)*H362,"Matéria Prima Não Cadastrada")</f>
        <v>2.6599999999999997</v>
      </c>
      <c r="K362" s="97">
        <f>IFERROR(J362/(I362/VLOOKUP(A362,'Tabela de Produtos'!A:H,8,0)),"Matéria Prima Não Cadastrada")</f>
        <v>5.5571030640668519E-2</v>
      </c>
      <c r="L362" s="216">
        <v>45939</v>
      </c>
    </row>
    <row r="363" spans="1:12" ht="15.75" customHeight="1">
      <c r="D363" s="114"/>
      <c r="E363" s="114"/>
      <c r="F363" s="96"/>
      <c r="G363" s="148"/>
      <c r="H363" s="274"/>
      <c r="I363" s="272"/>
      <c r="J363" s="97"/>
      <c r="K363" s="97"/>
      <c r="L363" s="216">
        <v>45939</v>
      </c>
    </row>
    <row r="364" spans="1:12" ht="15.75" customHeight="1">
      <c r="A364" s="48" t="s">
        <v>122</v>
      </c>
      <c r="B364" s="114" t="str">
        <f>VLOOKUP(A364,'Tabela de Produtos'!A:B,2,0)</f>
        <v>BRAZIMIL LÁTEX ECONÔMICO INT FOSCO 15L PALHA</v>
      </c>
      <c r="C364" s="48" t="s">
        <v>1197</v>
      </c>
      <c r="D364" s="114" t="str">
        <f>VLOOKUP(C364,'Custos Matéria Prima Embalagens'!B:C,2,0)</f>
        <v>AGUA</v>
      </c>
      <c r="E364" s="114" t="str">
        <f>VLOOKUP(C364,'Custos Matéria Prima Embalagens'!B:D,3,0)</f>
        <v>AGUA</v>
      </c>
      <c r="F364" s="270">
        <f t="shared" ref="F364:F378" si="48">SUMIFS(H:H,A:A,A364)</f>
        <v>910.25</v>
      </c>
      <c r="G364" s="148">
        <f t="shared" ref="G364:G378" si="49">H364/F364</f>
        <v>0.50535567151881355</v>
      </c>
      <c r="H364" s="274">
        <v>460</v>
      </c>
      <c r="I364" s="272">
        <f>ROUND(F364/VLOOKUP(A364,'Tabela de Produtos'!A:J,10,0),0)</f>
        <v>717</v>
      </c>
      <c r="J364" s="97">
        <f>IFERROR(VLOOKUP(C364,'Custos Matéria Prima Embalagens'!B:G,6,0)*H364,"Matéria Prima Não Cadastrada")</f>
        <v>0</v>
      </c>
      <c r="K364" s="97">
        <f>IFERROR(J364/(I364/VLOOKUP(A364,'Tabela de Produtos'!A:H,8,0)),"Matéria Prima Não Cadastrada")</f>
        <v>0</v>
      </c>
      <c r="L364" s="216">
        <v>45939</v>
      </c>
    </row>
    <row r="365" spans="1:12" ht="15.75" customHeight="1">
      <c r="A365" s="48" t="s">
        <v>122</v>
      </c>
      <c r="B365" s="114" t="str">
        <f>VLOOKUP(A365,'Tabela de Produtos'!A:B,2,0)</f>
        <v>BRAZIMIL LÁTEX ECONÔMICO INT FOSCO 15L PALHA</v>
      </c>
      <c r="C365" s="48" t="s">
        <v>1201</v>
      </c>
      <c r="D365" s="114" t="str">
        <f>VLOOKUP(C365,'Custos Matéria Prima Embalagens'!B:C,2,0)</f>
        <v>WANFOAM 528 CE (BB-190)</v>
      </c>
      <c r="E365" s="114" t="str">
        <f>VLOOKUP(C365,'Custos Matéria Prima Embalagens'!B:D,3,0)</f>
        <v>ANTI ESPUMA LATEX</v>
      </c>
      <c r="F365" s="270">
        <f t="shared" si="48"/>
        <v>910.25</v>
      </c>
      <c r="G365" s="148">
        <f t="shared" si="49"/>
        <v>2.7464982147761604E-3</v>
      </c>
      <c r="H365" s="274">
        <v>2.5</v>
      </c>
      <c r="I365" s="272">
        <f>ROUND(F365/VLOOKUP(A365,'Tabela de Produtos'!A:J,10,0),0)</f>
        <v>717</v>
      </c>
      <c r="J365" s="97">
        <f>IFERROR(VLOOKUP(C365,'Custos Matéria Prima Embalagens'!B:G,6,0)*H365,"Matéria Prima Não Cadastrada")</f>
        <v>17.95</v>
      </c>
      <c r="K365" s="97">
        <f>IFERROR(J365/(I365/VLOOKUP(A365,'Tabela de Produtos'!A:H,8,0)),"Matéria Prima Não Cadastrada")</f>
        <v>0.37552301255230125</v>
      </c>
      <c r="L365" s="216">
        <v>45939</v>
      </c>
    </row>
    <row r="366" spans="1:12" ht="15.75" customHeight="1">
      <c r="A366" s="48" t="s">
        <v>122</v>
      </c>
      <c r="B366" s="114" t="str">
        <f>VLOOKUP(A366,'Tabela de Produtos'!A:B,2,0)</f>
        <v>BRAZIMIL LÁTEX ECONÔMICO INT FOSCO 15L PALHA</v>
      </c>
      <c r="C366" s="48" t="s">
        <v>1203</v>
      </c>
      <c r="D366" s="114" t="str">
        <f>VLOOKUP(C366,'Custos Matéria Prima Embalagens'!B:C,2,0)</f>
        <v>WANBAC WBT CE (BH-200)</v>
      </c>
      <c r="E366" s="114" t="str">
        <f>VLOOKUP(C366,'Custos Matéria Prima Embalagens'!B:D,3,0)</f>
        <v>BACTERICIDA</v>
      </c>
      <c r="F366" s="270">
        <f t="shared" si="48"/>
        <v>910.25</v>
      </c>
      <c r="G366" s="148">
        <f t="shared" si="49"/>
        <v>3.2957978577313925E-3</v>
      </c>
      <c r="H366" s="274">
        <v>3</v>
      </c>
      <c r="I366" s="272">
        <f>ROUND(F366/VLOOKUP(A366,'Tabela de Produtos'!A:J,10,0),0)</f>
        <v>717</v>
      </c>
      <c r="J366" s="97">
        <f>IFERROR(VLOOKUP(C366,'Custos Matéria Prima Embalagens'!B:G,6,0)*H366,"Matéria Prima Não Cadastrada")</f>
        <v>14.819999999999999</v>
      </c>
      <c r="K366" s="97">
        <f>IFERROR(J366/(I366/VLOOKUP(A366,'Tabela de Produtos'!A:H,8,0)),"Matéria Prima Não Cadastrada")</f>
        <v>0.31004184100418408</v>
      </c>
      <c r="L366" s="216">
        <v>45939</v>
      </c>
    </row>
    <row r="367" spans="1:12" ht="15.75" customHeight="1">
      <c r="A367" s="48" t="s">
        <v>122</v>
      </c>
      <c r="B367" s="114" t="str">
        <f>VLOOKUP(A367,'Tabela de Produtos'!A:B,2,0)</f>
        <v>BRAZIMIL LÁTEX ECONÔMICO INT FOSCO 15L PALHA</v>
      </c>
      <c r="C367" s="48" t="s">
        <v>1205</v>
      </c>
      <c r="D367" s="114" t="str">
        <f>VLOOKUP(C367,'Custos Matéria Prima Embalagens'!B:C,2,0)</f>
        <v>WANSUR 840 CE (BB-200)01</v>
      </c>
      <c r="E367" s="114" t="str">
        <f>VLOOKUP(C367,'Custos Matéria Prima Embalagens'!B:D,3,0)</f>
        <v>UMECTANTE</v>
      </c>
      <c r="F367" s="270">
        <f t="shared" si="48"/>
        <v>910.25</v>
      </c>
      <c r="G367" s="148">
        <f t="shared" si="49"/>
        <v>2.1971985718209283E-3</v>
      </c>
      <c r="H367" s="274">
        <v>2</v>
      </c>
      <c r="I367" s="272">
        <f>ROUND(F367/VLOOKUP(A367,'Tabela de Produtos'!A:J,10,0),0)</f>
        <v>717</v>
      </c>
      <c r="J367" s="97">
        <f>IFERROR(VLOOKUP(C367,'Custos Matéria Prima Embalagens'!B:G,6,0)*H367,"Matéria Prima Não Cadastrada")</f>
        <v>14.66</v>
      </c>
      <c r="K367" s="97">
        <f>IFERROR(J367/(I367/VLOOKUP(A367,'Tabela de Produtos'!A:H,8,0)),"Matéria Prima Não Cadastrada")</f>
        <v>0.30669456066945611</v>
      </c>
      <c r="L367" s="216">
        <v>45939</v>
      </c>
    </row>
    <row r="368" spans="1:12" ht="15.75" customHeight="1">
      <c r="A368" s="48" t="s">
        <v>122</v>
      </c>
      <c r="B368" s="114" t="str">
        <f>VLOOKUP(A368,'Tabela de Produtos'!A:B,2,0)</f>
        <v>BRAZIMIL LÁTEX ECONÔMICO INT FOSCO 15L PALHA</v>
      </c>
      <c r="C368" s="48" t="s">
        <v>1207</v>
      </c>
      <c r="D368" s="114" t="str">
        <f>VLOOKUP(C368,'Custos Matéria Prima Embalagens'!B:C,2,0)</f>
        <v>WANPEX 1510 (BB-200)</v>
      </c>
      <c r="E368" s="114" t="str">
        <f>VLOOKUP(C368,'Custos Matéria Prima Embalagens'!B:D,3,0)</f>
        <v>DISPERSANTE LATEX</v>
      </c>
      <c r="F368" s="270">
        <f t="shared" si="48"/>
        <v>910.25</v>
      </c>
      <c r="G368" s="148">
        <f t="shared" si="49"/>
        <v>3.2957978577313925E-3</v>
      </c>
      <c r="H368" s="274">
        <v>3</v>
      </c>
      <c r="I368" s="272">
        <f>ROUND(F368/VLOOKUP(A368,'Tabela de Produtos'!A:J,10,0),0)</f>
        <v>717</v>
      </c>
      <c r="J368" s="97">
        <f>IFERROR(VLOOKUP(C368,'Custos Matéria Prima Embalagens'!B:G,6,0)*H368,"Matéria Prima Não Cadastrada")</f>
        <v>20.58</v>
      </c>
      <c r="K368" s="97">
        <f>IFERROR(J368/(I368/VLOOKUP(A368,'Tabela de Produtos'!A:H,8,0)),"Matéria Prima Não Cadastrada")</f>
        <v>0.43054393305439331</v>
      </c>
      <c r="L368" s="216">
        <v>45939</v>
      </c>
    </row>
    <row r="369" spans="1:12" ht="15.75" customHeight="1">
      <c r="A369" s="48" t="s">
        <v>122</v>
      </c>
      <c r="B369" s="114" t="str">
        <f>VLOOKUP(A369,'Tabela de Produtos'!A:B,2,0)</f>
        <v>BRAZIMIL LÁTEX ECONÔMICO INT FOSCO 15L PALHA</v>
      </c>
      <c r="C369" s="48" t="s">
        <v>1209</v>
      </c>
      <c r="D369" s="114" t="str">
        <f>VLOOKUP(C369,'Custos Matéria Prima Embalagens'!B:C,2,0)</f>
        <v>WANFUNG WFT CE (BH-200)</v>
      </c>
      <c r="E369" s="114" t="str">
        <f>VLOOKUP(C369,'Custos Matéria Prima Embalagens'!B:D,3,0)</f>
        <v>FUNGICIDA</v>
      </c>
      <c r="F369" s="270">
        <f t="shared" si="48"/>
        <v>910.25</v>
      </c>
      <c r="G369" s="148">
        <f t="shared" si="49"/>
        <v>2.7464982147761604E-3</v>
      </c>
      <c r="H369" s="274">
        <v>2.5</v>
      </c>
      <c r="I369" s="272">
        <f>ROUND(F369/VLOOKUP(A369,'Tabela de Produtos'!A:J,10,0),0)</f>
        <v>717</v>
      </c>
      <c r="J369" s="97">
        <f>IFERROR(VLOOKUP(C369,'Custos Matéria Prima Embalagens'!B:G,6,0)*H369,"Matéria Prima Não Cadastrada")</f>
        <v>17.5</v>
      </c>
      <c r="K369" s="97">
        <f>IFERROR(J369/(I369/VLOOKUP(A369,'Tabela de Produtos'!A:H,8,0)),"Matéria Prima Não Cadastrada")</f>
        <v>0.3661087866108787</v>
      </c>
      <c r="L369" s="216">
        <v>45939</v>
      </c>
    </row>
    <row r="370" spans="1:12" ht="15.75" customHeight="1">
      <c r="A370" s="48" t="s">
        <v>122</v>
      </c>
      <c r="B370" s="114" t="str">
        <f>VLOOKUP(A370,'Tabela de Produtos'!A:B,2,0)</f>
        <v>BRAZIMIL LÁTEX ECONÔMICO INT FOSCO 15L PALHA</v>
      </c>
      <c r="C370" s="48" t="s">
        <v>1215</v>
      </c>
      <c r="D370" s="114" t="str">
        <f>VLOOKUP(C370,'Custos Matéria Prima Embalagens'!B:C,2,0)</f>
        <v>CALCARIO DOLOMITICO #500 ( SACOS 25 KG)</v>
      </c>
      <c r="E370" s="114" t="str">
        <f>VLOOKUP(C370,'Custos Matéria Prima Embalagens'!B:D,3,0)</f>
        <v>CARBONATO #500</v>
      </c>
      <c r="F370" s="270">
        <f t="shared" si="48"/>
        <v>910.25</v>
      </c>
      <c r="G370" s="148">
        <f t="shared" si="49"/>
        <v>5.4929964295523208E-2</v>
      </c>
      <c r="H370" s="274">
        <v>50</v>
      </c>
      <c r="I370" s="272">
        <f>ROUND(F370/VLOOKUP(A370,'Tabela de Produtos'!A:J,10,0),0)</f>
        <v>717</v>
      </c>
      <c r="J370" s="97">
        <f>IFERROR(VLOOKUP(C370,'Custos Matéria Prima Embalagens'!B:G,6,0)*H370,"Matéria Prima Não Cadastrada")</f>
        <v>40</v>
      </c>
      <c r="K370" s="97">
        <f>IFERROR(J370/(I370/VLOOKUP(A370,'Tabela de Produtos'!A:H,8,0)),"Matéria Prima Não Cadastrada")</f>
        <v>0.83682008368200844</v>
      </c>
      <c r="L370" s="216">
        <v>45939</v>
      </c>
    </row>
    <row r="371" spans="1:12" ht="15.75" customHeight="1">
      <c r="A371" s="48" t="s">
        <v>122</v>
      </c>
      <c r="B371" s="114" t="str">
        <f>VLOOKUP(A371,'Tabela de Produtos'!A:B,2,0)</f>
        <v>BRAZIMIL LÁTEX ECONÔMICO INT FOSCO 15L PALHA</v>
      </c>
      <c r="C371" s="48" t="s">
        <v>1227</v>
      </c>
      <c r="D371" s="114" t="str">
        <f>VLOOKUP(C371,'Custos Matéria Prima Embalagens'!B:C,2,0)</f>
        <v>CAULIM MALHA 325</v>
      </c>
      <c r="E371" s="114" t="str">
        <f>VLOOKUP(C371,'Custos Matéria Prima Embalagens'!B:D,3,0)</f>
        <v>caulim</v>
      </c>
      <c r="F371" s="270">
        <f t="shared" si="48"/>
        <v>910.25</v>
      </c>
      <c r="G371" s="148">
        <f t="shared" si="49"/>
        <v>0.35704476792090084</v>
      </c>
      <c r="H371" s="274">
        <v>325</v>
      </c>
      <c r="I371" s="272">
        <f>ROUND(F371/VLOOKUP(A371,'Tabela de Produtos'!A:J,10,0),0)</f>
        <v>717</v>
      </c>
      <c r="J371" s="97">
        <f>IFERROR(VLOOKUP(C371,'Custos Matéria Prima Embalagens'!B:G,6,0)*H371,"Matéria Prima Não Cadastrada")</f>
        <v>494.16105555555538</v>
      </c>
      <c r="K371" s="97">
        <f>IFERROR(J371/(I371/VLOOKUP(A371,'Tabela de Produtos'!A:H,8,0)),"Matéria Prima Não Cadastrada")</f>
        <v>10.338097396559737</v>
      </c>
      <c r="L371" s="216">
        <v>45939</v>
      </c>
    </row>
    <row r="372" spans="1:12" ht="15.75" customHeight="1">
      <c r="A372" s="48" t="s">
        <v>122</v>
      </c>
      <c r="B372" s="114" t="str">
        <f>VLOOKUP(A372,'Tabela de Produtos'!A:B,2,0)</f>
        <v>BRAZIMIL LÁTEX ECONÔMICO INT FOSCO 15L PALHA</v>
      </c>
      <c r="C372" s="48" t="s">
        <v>1217</v>
      </c>
      <c r="D372" s="114" t="str">
        <f>VLOOKUP(C372,'Custos Matéria Prima Embalagens'!B:C,2,0)</f>
        <v>WANCRIL W 51 CE (CT-1000P)</v>
      </c>
      <c r="E372" s="114" t="str">
        <f>VLOOKUP(C372,'Custos Matéria Prima Embalagens'!B:D,3,0)</f>
        <v>RESINA ACRILICA ESTIRENADA</v>
      </c>
      <c r="F372" s="270">
        <f t="shared" si="48"/>
        <v>910.25</v>
      </c>
      <c r="G372" s="148">
        <f t="shared" si="49"/>
        <v>3.2957978577313925E-2</v>
      </c>
      <c r="H372" s="274">
        <v>30</v>
      </c>
      <c r="I372" s="272">
        <f>ROUND(F372/VLOOKUP(A372,'Tabela de Produtos'!A:J,10,0),0)</f>
        <v>717</v>
      </c>
      <c r="J372" s="97">
        <f>IFERROR(VLOOKUP(C372,'Custos Matéria Prima Embalagens'!B:G,6,0)*H372,"Matéria Prima Não Cadastrada")</f>
        <v>252.89999999999998</v>
      </c>
      <c r="K372" s="97">
        <f>IFERROR(J372/(I372/VLOOKUP(A372,'Tabela de Produtos'!A:H,8,0)),"Matéria Prima Não Cadastrada")</f>
        <v>5.2907949790794975</v>
      </c>
      <c r="L372" s="216">
        <v>45939</v>
      </c>
    </row>
    <row r="373" spans="1:12" ht="15.75" customHeight="1">
      <c r="A373" s="48" t="s">
        <v>122</v>
      </c>
      <c r="B373" s="114" t="str">
        <f>VLOOKUP(A373,'Tabela de Produtos'!A:B,2,0)</f>
        <v>BRAZIMIL LÁTEX ECONÔMICO INT FOSCO 15L PALHA</v>
      </c>
      <c r="C373" s="48" t="s">
        <v>1219</v>
      </c>
      <c r="D373" s="114" t="str">
        <f>VLOOKUP(C373,'Custos Matéria Prima Embalagens'!B:C,2,0)</f>
        <v>WANALK 70 CE (BH-200)</v>
      </c>
      <c r="E373" s="114" t="str">
        <f>VLOOKUP(C373,'Custos Matéria Prima Embalagens'!B:D,3,0)</f>
        <v>ALCALINIZANTE</v>
      </c>
      <c r="F373" s="270">
        <f t="shared" si="48"/>
        <v>910.25</v>
      </c>
      <c r="G373" s="148">
        <f t="shared" si="49"/>
        <v>3.2957978577313925E-3</v>
      </c>
      <c r="H373" s="274">
        <v>3</v>
      </c>
      <c r="I373" s="272">
        <f>ROUND(F373/VLOOKUP(A373,'Tabela de Produtos'!A:J,10,0),0)</f>
        <v>717</v>
      </c>
      <c r="J373" s="97">
        <f>IFERROR(VLOOKUP(C373,'Custos Matéria Prima Embalagens'!B:G,6,0)*H373,"Matéria Prima Não Cadastrada")</f>
        <v>14.940000000000001</v>
      </c>
      <c r="K373" s="97">
        <f>IFERROR(J373/(I373/VLOOKUP(A373,'Tabela de Produtos'!A:H,8,0)),"Matéria Prima Não Cadastrada")</f>
        <v>0.31255230125523015</v>
      </c>
      <c r="L373" s="216">
        <v>45939</v>
      </c>
    </row>
    <row r="374" spans="1:12" ht="15.75" customHeight="1">
      <c r="A374" s="48" t="s">
        <v>122</v>
      </c>
      <c r="B374" s="114" t="str">
        <f>VLOOKUP(A374,'Tabela de Produtos'!A:B,2,0)</f>
        <v>BRAZIMIL LÁTEX ECONÔMICO INT FOSCO 15L PALHA</v>
      </c>
      <c r="C374" s="48" t="s">
        <v>1221</v>
      </c>
      <c r="D374" s="114" t="str">
        <f>VLOOKUP(C374,'Custos Matéria Prima Embalagens'!B:C,2,0)</f>
        <v>MODIWAN 105H CE (CT-1000P)</v>
      </c>
      <c r="E374" s="114" t="str">
        <f>VLOOKUP(C374,'Custos Matéria Prima Embalagens'!B:D,3,0)</f>
        <v>ESPESSANTE DE MEDIA</v>
      </c>
      <c r="F374" s="270">
        <f t="shared" si="48"/>
        <v>910.25</v>
      </c>
      <c r="G374" s="148">
        <f t="shared" si="49"/>
        <v>1.7028288931612196E-2</v>
      </c>
      <c r="H374" s="274">
        <v>15.5</v>
      </c>
      <c r="I374" s="272">
        <f>ROUND(F374/VLOOKUP(A374,'Tabela de Produtos'!A:J,10,0),0)</f>
        <v>717</v>
      </c>
      <c r="J374" s="97">
        <f>IFERROR(VLOOKUP(C374,'Custos Matéria Prima Embalagens'!B:G,6,0)*H374,"Matéria Prima Não Cadastrada")</f>
        <v>122.52749999999999</v>
      </c>
      <c r="K374" s="97">
        <f>IFERROR(J374/(I374/VLOOKUP(A374,'Tabela de Produtos'!A:H,8,0)),"Matéria Prima Não Cadastrada")</f>
        <v>2.5633368200836819</v>
      </c>
      <c r="L374" s="216">
        <v>45939</v>
      </c>
    </row>
    <row r="375" spans="1:12" ht="15.75" customHeight="1">
      <c r="A375" s="48" t="s">
        <v>122</v>
      </c>
      <c r="B375" s="114" t="str">
        <f>VLOOKUP(A375,'Tabela de Produtos'!A:B,2,0)</f>
        <v>BRAZIMIL LÁTEX ECONÔMICO INT FOSCO 15L PALHA</v>
      </c>
      <c r="C375" s="48" t="s">
        <v>1223</v>
      </c>
      <c r="D375" s="114" t="str">
        <f>VLOOKUP(C375,'Custos Matéria Prima Embalagens'!B:C,2,0)</f>
        <v>TURBOWAN H CE (BH-200)</v>
      </c>
      <c r="E375" s="114" t="str">
        <f>VLOOKUP(C375,'Custos Matéria Prima Embalagens'!B:D,3,0)</f>
        <v>PROMOTOR DE LAVABILIDADE</v>
      </c>
      <c r="F375" s="270">
        <f t="shared" si="48"/>
        <v>910.25</v>
      </c>
      <c r="G375" s="148">
        <f t="shared" si="49"/>
        <v>8.2394946443284812E-3</v>
      </c>
      <c r="H375" s="274">
        <v>7.5</v>
      </c>
      <c r="I375" s="272">
        <f>ROUND(F375/VLOOKUP(A375,'Tabela de Produtos'!A:J,10,0),0)</f>
        <v>717</v>
      </c>
      <c r="J375" s="97">
        <f>IFERROR(VLOOKUP(C375,'Custos Matéria Prima Embalagens'!B:G,6,0)*H375,"Matéria Prima Não Cadastrada")</f>
        <v>36.375</v>
      </c>
      <c r="K375" s="97">
        <f>IFERROR(J375/(I375/VLOOKUP(A375,'Tabela de Produtos'!A:H,8,0)),"Matéria Prima Não Cadastrada")</f>
        <v>0.76098326359832635</v>
      </c>
      <c r="L375" s="216">
        <v>45939</v>
      </c>
    </row>
    <row r="376" spans="1:12" ht="15.75" customHeight="1">
      <c r="A376" s="48" t="s">
        <v>122</v>
      </c>
      <c r="B376" s="114" t="str">
        <f>VLOOKUP(A376,'Tabela de Produtos'!A:B,2,0)</f>
        <v>BRAZIMIL LÁTEX ECONÔMICO INT FOSCO 15L PALHA</v>
      </c>
      <c r="C376" s="48" t="s">
        <v>1229</v>
      </c>
      <c r="D376" s="114" t="str">
        <f>VLOOKUP(C376,'Custos Matéria Prima Embalagens'!B:C,2,0)</f>
        <v>WANSOL 340 CE (BB-200)</v>
      </c>
      <c r="E376" s="114" t="str">
        <f>VLOOKUP(C376,'Custos Matéria Prima Embalagens'!B:D,3,0)</f>
        <v>COALESCENTE</v>
      </c>
      <c r="F376" s="270">
        <f t="shared" si="48"/>
        <v>910.25</v>
      </c>
      <c r="G376" s="148">
        <f t="shared" si="49"/>
        <v>5.4929964295523208E-3</v>
      </c>
      <c r="H376" s="274">
        <v>5</v>
      </c>
      <c r="I376" s="272">
        <f>ROUND(F376/VLOOKUP(A376,'Tabela de Produtos'!A:J,10,0),0)</f>
        <v>717</v>
      </c>
      <c r="J376" s="97">
        <f>IFERROR(VLOOKUP(C376,'Custos Matéria Prima Embalagens'!B:G,6,0)*H376,"Matéria Prima Não Cadastrada")</f>
        <v>96.1</v>
      </c>
      <c r="K376" s="97">
        <f>IFERROR(J376/(I376/VLOOKUP(A376,'Tabela de Produtos'!A:H,8,0)),"Matéria Prima Não Cadastrada")</f>
        <v>2.010460251046025</v>
      </c>
      <c r="L376" s="216">
        <v>45939</v>
      </c>
    </row>
    <row r="377" spans="1:12" ht="15.75" customHeight="1">
      <c r="A377" s="48" t="s">
        <v>122</v>
      </c>
      <c r="B377" s="114" t="str">
        <f>VLOOKUP(A377,'Tabela de Produtos'!A:B,2,0)</f>
        <v>BRAZIMIL LÁTEX ECONÔMICO INT FOSCO 15L PALHA</v>
      </c>
      <c r="C377" s="48" t="s">
        <v>1273</v>
      </c>
      <c r="D377" s="114" t="str">
        <f>VLOOKUP(C377,'Custos Matéria Prima Embalagens'!B:C,2,0)</f>
        <v>AMARELO SPECTRA RO</v>
      </c>
      <c r="E377" s="114" t="str">
        <f>VLOOKUP(C377,'Custos Matéria Prima Embalagens'!B:D,3,0)</f>
        <v>AMARELO SPECTRA RO</v>
      </c>
      <c r="F377" s="270">
        <f t="shared" si="48"/>
        <v>910.25</v>
      </c>
      <c r="G377" s="148">
        <f t="shared" si="49"/>
        <v>1.318319143092557E-3</v>
      </c>
      <c r="H377" s="274">
        <v>1.2</v>
      </c>
      <c r="I377" s="272">
        <f>ROUND(F377/VLOOKUP(A377,'Tabela de Produtos'!A:J,10,0),0)</f>
        <v>717</v>
      </c>
      <c r="J377" s="97">
        <f>IFERROR(VLOOKUP(C377,'Custos Matéria Prima Embalagens'!B:G,6,0)*H377,"Matéria Prima Não Cadastrada")</f>
        <v>18.720000000000002</v>
      </c>
      <c r="K377" s="97">
        <f>IFERROR(J377/(I377/VLOOKUP(A377,'Tabela de Produtos'!A:H,8,0)),"Matéria Prima Não Cadastrada")</f>
        <v>0.39163179916317997</v>
      </c>
      <c r="L377" s="216">
        <v>45939</v>
      </c>
    </row>
    <row r="378" spans="1:12" ht="15.75" customHeight="1">
      <c r="A378" s="48" t="s">
        <v>122</v>
      </c>
      <c r="B378" s="114" t="str">
        <f>VLOOKUP(A378,'Tabela de Produtos'!A:B,2,0)</f>
        <v>BRAZIMIL LÁTEX ECONÔMICO INT FOSCO 15L PALHA</v>
      </c>
      <c r="C378" s="48" t="s">
        <v>1237</v>
      </c>
      <c r="D378" s="114" t="str">
        <f>VLOOKUP(C378,'Custos Matéria Prima Embalagens'!B:C,2,0)</f>
        <v>VERDE SPECTRAPERSE BLS</v>
      </c>
      <c r="E378" s="114" t="str">
        <f>VLOOKUP(C378,'Custos Matéria Prima Embalagens'!B:D,3,0)</f>
        <v>VERDE SPECTRAPERSE BLS</v>
      </c>
      <c r="F378" s="270">
        <f t="shared" si="48"/>
        <v>910.25</v>
      </c>
      <c r="G378" s="148">
        <f t="shared" si="49"/>
        <v>5.4929964295523208E-5</v>
      </c>
      <c r="H378" s="274">
        <v>0.05</v>
      </c>
      <c r="I378" s="272">
        <f>ROUND(F378/VLOOKUP(A378,'Tabela de Produtos'!A:J,10,0),0)</f>
        <v>717</v>
      </c>
      <c r="J378" s="97">
        <f>IFERROR(VLOOKUP(C378,'Custos Matéria Prima Embalagens'!B:G,6,0)*H378,"Matéria Prima Não Cadastrada")</f>
        <v>1.9500000000000002</v>
      </c>
      <c r="K378" s="97">
        <f>IFERROR(J378/(I378/VLOOKUP(A378,'Tabela de Produtos'!A:H,8,0)),"Matéria Prima Não Cadastrada")</f>
        <v>4.0794979079497917E-2</v>
      </c>
      <c r="L378" s="216">
        <v>45939</v>
      </c>
    </row>
    <row r="379" spans="1:12" ht="15.75" customHeight="1">
      <c r="D379" s="114"/>
      <c r="E379" s="114"/>
      <c r="F379" s="96"/>
      <c r="G379" s="148"/>
      <c r="H379" s="274"/>
      <c r="I379" s="272"/>
      <c r="J379" s="97"/>
      <c r="K379" s="97"/>
      <c r="L379" s="216">
        <v>45939</v>
      </c>
    </row>
    <row r="380" spans="1:12" ht="15.75" customHeight="1">
      <c r="A380" s="48" t="s">
        <v>123</v>
      </c>
      <c r="B380" s="114" t="str">
        <f>VLOOKUP(A380,'Tabela de Produtos'!A:B,2,0)</f>
        <v>BRAZIMIL LÁTEX ECONÔMICO INT FOSCO 15L VERDE PRIMAVERA</v>
      </c>
      <c r="C380" s="48" t="s">
        <v>1197</v>
      </c>
      <c r="D380" s="114" t="str">
        <f>VLOOKUP(C380,'Custos Matéria Prima Embalagens'!B:C,2,0)</f>
        <v>AGUA</v>
      </c>
      <c r="E380" s="114" t="str">
        <f>VLOOKUP(C380,'Custos Matéria Prima Embalagens'!B:D,3,0)</f>
        <v>AGUA</v>
      </c>
      <c r="F380" s="270">
        <f t="shared" ref="F380:F395" si="50">SUMIFS(H:H,A:A,A380)</f>
        <v>916.58</v>
      </c>
      <c r="G380" s="148">
        <f t="shared" ref="G380:G395" si="51">H380/F380</f>
        <v>0.50186563093237901</v>
      </c>
      <c r="H380" s="274">
        <v>460</v>
      </c>
      <c r="I380" s="272">
        <f>ROUND(F380/VLOOKUP(A380,'Tabela de Produtos'!A:J,10,0),0)</f>
        <v>722</v>
      </c>
      <c r="J380" s="97">
        <f>IFERROR(VLOOKUP(C380,'Custos Matéria Prima Embalagens'!B:G,6,0)*H380,"Matéria Prima Não Cadastrada")</f>
        <v>0</v>
      </c>
      <c r="K380" s="97">
        <f>IFERROR(J380/(I380/VLOOKUP(A380,'Tabela de Produtos'!A:H,8,0)),"Matéria Prima Não Cadastrada")</f>
        <v>0</v>
      </c>
      <c r="L380" s="216">
        <v>45939</v>
      </c>
    </row>
    <row r="381" spans="1:12" ht="15.75" customHeight="1">
      <c r="A381" s="48" t="s">
        <v>123</v>
      </c>
      <c r="B381" s="114" t="str">
        <f>VLOOKUP(A381,'Tabela de Produtos'!A:B,2,0)</f>
        <v>BRAZIMIL LÁTEX ECONÔMICO INT FOSCO 15L VERDE PRIMAVERA</v>
      </c>
      <c r="C381" s="48" t="s">
        <v>1201</v>
      </c>
      <c r="D381" s="114" t="str">
        <f>VLOOKUP(C381,'Custos Matéria Prima Embalagens'!B:C,2,0)</f>
        <v>WANFOAM 528 CE (BB-190)</v>
      </c>
      <c r="E381" s="114" t="str">
        <f>VLOOKUP(C381,'Custos Matéria Prima Embalagens'!B:D,3,0)</f>
        <v>ANTI ESPUMA LATEX</v>
      </c>
      <c r="F381" s="270">
        <f t="shared" si="50"/>
        <v>916.58</v>
      </c>
      <c r="G381" s="148">
        <f t="shared" si="51"/>
        <v>2.7275306028933643E-3</v>
      </c>
      <c r="H381" s="274">
        <v>2.5</v>
      </c>
      <c r="I381" s="272">
        <f>ROUND(F381/VLOOKUP(A381,'Tabela de Produtos'!A:J,10,0),0)</f>
        <v>722</v>
      </c>
      <c r="J381" s="97">
        <f>IFERROR(VLOOKUP(C381,'Custos Matéria Prima Embalagens'!B:G,6,0)*H381,"Matéria Prima Não Cadastrada")</f>
        <v>17.95</v>
      </c>
      <c r="K381" s="97">
        <f>IFERROR(J381/(I381/VLOOKUP(A381,'Tabela de Produtos'!A:H,8,0)),"Matéria Prima Não Cadastrada")</f>
        <v>0.37292243767313016</v>
      </c>
      <c r="L381" s="216">
        <v>45939</v>
      </c>
    </row>
    <row r="382" spans="1:12" ht="15.75" customHeight="1">
      <c r="A382" s="48" t="s">
        <v>123</v>
      </c>
      <c r="B382" s="114" t="str">
        <f>VLOOKUP(A382,'Tabela de Produtos'!A:B,2,0)</f>
        <v>BRAZIMIL LÁTEX ECONÔMICO INT FOSCO 15L VERDE PRIMAVERA</v>
      </c>
      <c r="C382" s="48" t="s">
        <v>1203</v>
      </c>
      <c r="D382" s="114" t="str">
        <f>VLOOKUP(C382,'Custos Matéria Prima Embalagens'!B:C,2,0)</f>
        <v>WANBAC WBT CE (BH-200)</v>
      </c>
      <c r="E382" s="114" t="str">
        <f>VLOOKUP(C382,'Custos Matéria Prima Embalagens'!B:D,3,0)</f>
        <v>BACTERICIDA</v>
      </c>
      <c r="F382" s="270">
        <f t="shared" si="50"/>
        <v>916.58</v>
      </c>
      <c r="G382" s="148">
        <f t="shared" si="51"/>
        <v>3.2730367234720371E-3</v>
      </c>
      <c r="H382" s="274">
        <v>3</v>
      </c>
      <c r="I382" s="272">
        <f>ROUND(F382/VLOOKUP(A382,'Tabela de Produtos'!A:J,10,0),0)</f>
        <v>722</v>
      </c>
      <c r="J382" s="97">
        <f>IFERROR(VLOOKUP(C382,'Custos Matéria Prima Embalagens'!B:G,6,0)*H382,"Matéria Prima Não Cadastrada")</f>
        <v>14.819999999999999</v>
      </c>
      <c r="K382" s="97">
        <f>IFERROR(J382/(I382/VLOOKUP(A382,'Tabela de Produtos'!A:H,8,0)),"Matéria Prima Não Cadastrada")</f>
        <v>0.30789473684210522</v>
      </c>
      <c r="L382" s="216">
        <v>45939</v>
      </c>
    </row>
    <row r="383" spans="1:12" ht="15.75" customHeight="1">
      <c r="A383" s="48" t="s">
        <v>123</v>
      </c>
      <c r="B383" s="114" t="str">
        <f>VLOOKUP(A383,'Tabela de Produtos'!A:B,2,0)</f>
        <v>BRAZIMIL LÁTEX ECONÔMICO INT FOSCO 15L VERDE PRIMAVERA</v>
      </c>
      <c r="C383" s="48" t="s">
        <v>1205</v>
      </c>
      <c r="D383" s="114" t="str">
        <f>VLOOKUP(C383,'Custos Matéria Prima Embalagens'!B:C,2,0)</f>
        <v>WANSUR 840 CE (BB-200)01</v>
      </c>
      <c r="E383" s="114" t="str">
        <f>VLOOKUP(C383,'Custos Matéria Prima Embalagens'!B:D,3,0)</f>
        <v>UMECTANTE</v>
      </c>
      <c r="F383" s="270">
        <f t="shared" si="50"/>
        <v>916.58</v>
      </c>
      <c r="G383" s="148">
        <f t="shared" si="51"/>
        <v>2.1820244823146915E-3</v>
      </c>
      <c r="H383" s="274">
        <v>2</v>
      </c>
      <c r="I383" s="272">
        <f>ROUND(F383/VLOOKUP(A383,'Tabela de Produtos'!A:J,10,0),0)</f>
        <v>722</v>
      </c>
      <c r="J383" s="97">
        <f>IFERROR(VLOOKUP(C383,'Custos Matéria Prima Embalagens'!B:G,6,0)*H383,"Matéria Prima Não Cadastrada")</f>
        <v>14.66</v>
      </c>
      <c r="K383" s="97">
        <f>IFERROR(J383/(I383/VLOOKUP(A383,'Tabela de Produtos'!A:H,8,0)),"Matéria Prima Não Cadastrada")</f>
        <v>0.30457063711911359</v>
      </c>
      <c r="L383" s="216">
        <v>45939</v>
      </c>
    </row>
    <row r="384" spans="1:12" ht="15.75" customHeight="1">
      <c r="A384" s="48" t="s">
        <v>123</v>
      </c>
      <c r="B384" s="114" t="str">
        <f>VLOOKUP(A384,'Tabela de Produtos'!A:B,2,0)</f>
        <v>BRAZIMIL LÁTEX ECONÔMICO INT FOSCO 15L VERDE PRIMAVERA</v>
      </c>
      <c r="C384" s="48" t="s">
        <v>1207</v>
      </c>
      <c r="D384" s="114" t="str">
        <f>VLOOKUP(C384,'Custos Matéria Prima Embalagens'!B:C,2,0)</f>
        <v>WANPEX 1510 (BB-200)</v>
      </c>
      <c r="E384" s="114" t="str">
        <f>VLOOKUP(C384,'Custos Matéria Prima Embalagens'!B:D,3,0)</f>
        <v>DISPERSANTE LATEX</v>
      </c>
      <c r="F384" s="270">
        <f t="shared" si="50"/>
        <v>916.58</v>
      </c>
      <c r="G384" s="148">
        <f t="shared" si="51"/>
        <v>3.2730367234720371E-3</v>
      </c>
      <c r="H384" s="274">
        <v>3</v>
      </c>
      <c r="I384" s="272">
        <f>ROUND(F384/VLOOKUP(A384,'Tabela de Produtos'!A:J,10,0),0)</f>
        <v>722</v>
      </c>
      <c r="J384" s="97">
        <f>IFERROR(VLOOKUP(C384,'Custos Matéria Prima Embalagens'!B:G,6,0)*H384,"Matéria Prima Não Cadastrada")</f>
        <v>20.58</v>
      </c>
      <c r="K384" s="97">
        <f>IFERROR(J384/(I384/VLOOKUP(A384,'Tabela de Produtos'!A:H,8,0)),"Matéria Prima Não Cadastrada")</f>
        <v>0.42756232686980605</v>
      </c>
      <c r="L384" s="216">
        <v>45939</v>
      </c>
    </row>
    <row r="385" spans="1:12" ht="15.75" customHeight="1">
      <c r="A385" s="48" t="s">
        <v>123</v>
      </c>
      <c r="B385" s="114" t="str">
        <f>VLOOKUP(A385,'Tabela de Produtos'!A:B,2,0)</f>
        <v>BRAZIMIL LÁTEX ECONÔMICO INT FOSCO 15L VERDE PRIMAVERA</v>
      </c>
      <c r="C385" s="48" t="s">
        <v>1209</v>
      </c>
      <c r="D385" s="114" t="str">
        <f>VLOOKUP(C385,'Custos Matéria Prima Embalagens'!B:C,2,0)</f>
        <v>WANFUNG WFT CE (BH-200)</v>
      </c>
      <c r="E385" s="114" t="str">
        <f>VLOOKUP(C385,'Custos Matéria Prima Embalagens'!B:D,3,0)</f>
        <v>FUNGICIDA</v>
      </c>
      <c r="F385" s="270">
        <f t="shared" si="50"/>
        <v>916.58</v>
      </c>
      <c r="G385" s="148">
        <f t="shared" si="51"/>
        <v>2.7275306028933643E-3</v>
      </c>
      <c r="H385" s="274">
        <v>2.5</v>
      </c>
      <c r="I385" s="272">
        <f>ROUND(F385/VLOOKUP(A385,'Tabela de Produtos'!A:J,10,0),0)</f>
        <v>722</v>
      </c>
      <c r="J385" s="97">
        <f>IFERROR(VLOOKUP(C385,'Custos Matéria Prima Embalagens'!B:G,6,0)*H385,"Matéria Prima Não Cadastrada")</f>
        <v>17.5</v>
      </c>
      <c r="K385" s="97">
        <f>IFERROR(J385/(I385/VLOOKUP(A385,'Tabela de Produtos'!A:H,8,0)),"Matéria Prima Não Cadastrada")</f>
        <v>0.36357340720221609</v>
      </c>
      <c r="L385" s="216">
        <v>45939</v>
      </c>
    </row>
    <row r="386" spans="1:12" ht="15.75" customHeight="1">
      <c r="A386" s="48" t="s">
        <v>123</v>
      </c>
      <c r="B386" s="114" t="str">
        <f>VLOOKUP(A386,'Tabela de Produtos'!A:B,2,0)</f>
        <v>BRAZIMIL LÁTEX ECONÔMICO INT FOSCO 15L VERDE PRIMAVERA</v>
      </c>
      <c r="C386" s="48" t="s">
        <v>1215</v>
      </c>
      <c r="D386" s="114" t="str">
        <f>VLOOKUP(C386,'Custos Matéria Prima Embalagens'!B:C,2,0)</f>
        <v>CALCARIO DOLOMITICO #500 ( SACOS 25 KG)</v>
      </c>
      <c r="E386" s="114" t="str">
        <f>VLOOKUP(C386,'Custos Matéria Prima Embalagens'!B:D,3,0)</f>
        <v>CARBONATO #500</v>
      </c>
      <c r="F386" s="270">
        <f t="shared" si="50"/>
        <v>916.58</v>
      </c>
      <c r="G386" s="148">
        <f t="shared" si="51"/>
        <v>5.4550612057867286E-2</v>
      </c>
      <c r="H386" s="274">
        <v>50</v>
      </c>
      <c r="I386" s="272">
        <f>ROUND(F386/VLOOKUP(A386,'Tabela de Produtos'!A:J,10,0),0)</f>
        <v>722</v>
      </c>
      <c r="J386" s="97">
        <f>IFERROR(VLOOKUP(C386,'Custos Matéria Prima Embalagens'!B:G,6,0)*H386,"Matéria Prima Não Cadastrada")</f>
        <v>40</v>
      </c>
      <c r="K386" s="97">
        <f>IFERROR(J386/(I386/VLOOKUP(A386,'Tabela de Produtos'!A:H,8,0)),"Matéria Prima Não Cadastrada")</f>
        <v>0.8310249307479225</v>
      </c>
      <c r="L386" s="216">
        <v>45939</v>
      </c>
    </row>
    <row r="387" spans="1:12" ht="15.75" customHeight="1">
      <c r="A387" s="48" t="s">
        <v>123</v>
      </c>
      <c r="B387" s="114" t="str">
        <f>VLOOKUP(A387,'Tabela de Produtos'!A:B,2,0)</f>
        <v>BRAZIMIL LÁTEX ECONÔMICO INT FOSCO 15L VERDE PRIMAVERA</v>
      </c>
      <c r="C387" s="48" t="s">
        <v>1227</v>
      </c>
      <c r="D387" s="114" t="str">
        <f>VLOOKUP(C387,'Custos Matéria Prima Embalagens'!B:C,2,0)</f>
        <v>CAULIM MALHA 325</v>
      </c>
      <c r="E387" s="114" t="str">
        <f>VLOOKUP(C387,'Custos Matéria Prima Embalagens'!B:D,3,0)</f>
        <v>caulim</v>
      </c>
      <c r="F387" s="270">
        <f t="shared" si="50"/>
        <v>916.58</v>
      </c>
      <c r="G387" s="148">
        <f t="shared" si="51"/>
        <v>0.35457897837613739</v>
      </c>
      <c r="H387" s="274">
        <v>325</v>
      </c>
      <c r="I387" s="272">
        <f>ROUND(F387/VLOOKUP(A387,'Tabela de Produtos'!A:J,10,0),0)</f>
        <v>722</v>
      </c>
      <c r="J387" s="97">
        <f>IFERROR(VLOOKUP(C387,'Custos Matéria Prima Embalagens'!B:G,6,0)*H387,"Matéria Prima Não Cadastrada")</f>
        <v>494.16105555555538</v>
      </c>
      <c r="K387" s="97">
        <f>IFERROR(J387/(I387/VLOOKUP(A387,'Tabela de Produtos'!A:H,8,0)),"Matéria Prima Não Cadastrada")</f>
        <v>10.266503924284391</v>
      </c>
      <c r="L387" s="216">
        <v>45939</v>
      </c>
    </row>
    <row r="388" spans="1:12" ht="15.75" customHeight="1">
      <c r="A388" s="48" t="s">
        <v>123</v>
      </c>
      <c r="B388" s="114" t="str">
        <f>VLOOKUP(A388,'Tabela de Produtos'!A:B,2,0)</f>
        <v>BRAZIMIL LÁTEX ECONÔMICO INT FOSCO 15L VERDE PRIMAVERA</v>
      </c>
      <c r="C388" s="48" t="s">
        <v>1217</v>
      </c>
      <c r="D388" s="114" t="str">
        <f>VLOOKUP(C388,'Custos Matéria Prima Embalagens'!B:C,2,0)</f>
        <v>WANCRIL W 51 CE (CT-1000P)</v>
      </c>
      <c r="E388" s="114" t="str">
        <f>VLOOKUP(C388,'Custos Matéria Prima Embalagens'!B:D,3,0)</f>
        <v>RESINA ACRILICA ESTIRENADA</v>
      </c>
      <c r="F388" s="270">
        <f t="shared" si="50"/>
        <v>916.58</v>
      </c>
      <c r="G388" s="148">
        <f t="shared" si="51"/>
        <v>3.2730367234720371E-2</v>
      </c>
      <c r="H388" s="274">
        <v>30</v>
      </c>
      <c r="I388" s="272">
        <f>ROUND(F388/VLOOKUP(A388,'Tabela de Produtos'!A:J,10,0),0)</f>
        <v>722</v>
      </c>
      <c r="J388" s="97">
        <f>IFERROR(VLOOKUP(C388,'Custos Matéria Prima Embalagens'!B:G,6,0)*H388,"Matéria Prima Não Cadastrada")</f>
        <v>252.89999999999998</v>
      </c>
      <c r="K388" s="97">
        <f>IFERROR(J388/(I388/VLOOKUP(A388,'Tabela de Produtos'!A:H,8,0)),"Matéria Prima Não Cadastrada")</f>
        <v>5.2541551246537388</v>
      </c>
      <c r="L388" s="216">
        <v>45939</v>
      </c>
    </row>
    <row r="389" spans="1:12" ht="15.75" customHeight="1">
      <c r="A389" s="48" t="s">
        <v>123</v>
      </c>
      <c r="B389" s="114" t="str">
        <f>VLOOKUP(A389,'Tabela de Produtos'!A:B,2,0)</f>
        <v>BRAZIMIL LÁTEX ECONÔMICO INT FOSCO 15L VERDE PRIMAVERA</v>
      </c>
      <c r="C389" s="48" t="s">
        <v>1219</v>
      </c>
      <c r="D389" s="114" t="str">
        <f>VLOOKUP(C389,'Custos Matéria Prima Embalagens'!B:C,2,0)</f>
        <v>WANALK 70 CE (BH-200)</v>
      </c>
      <c r="E389" s="114" t="str">
        <f>VLOOKUP(C389,'Custos Matéria Prima Embalagens'!B:D,3,0)</f>
        <v>ALCALINIZANTE</v>
      </c>
      <c r="F389" s="270">
        <f t="shared" si="50"/>
        <v>916.58</v>
      </c>
      <c r="G389" s="148">
        <f t="shared" si="51"/>
        <v>3.2730367234720371E-3</v>
      </c>
      <c r="H389" s="274">
        <v>3</v>
      </c>
      <c r="I389" s="272">
        <f>ROUND(F389/VLOOKUP(A389,'Tabela de Produtos'!A:J,10,0),0)</f>
        <v>722</v>
      </c>
      <c r="J389" s="97">
        <f>IFERROR(VLOOKUP(C389,'Custos Matéria Prima Embalagens'!B:G,6,0)*H389,"Matéria Prima Não Cadastrada")</f>
        <v>14.940000000000001</v>
      </c>
      <c r="K389" s="97">
        <f>IFERROR(J389/(I389/VLOOKUP(A389,'Tabela de Produtos'!A:H,8,0)),"Matéria Prima Não Cadastrada")</f>
        <v>0.31038781163434909</v>
      </c>
      <c r="L389" s="216">
        <v>45939</v>
      </c>
    </row>
    <row r="390" spans="1:12" ht="15.75" customHeight="1">
      <c r="A390" s="48" t="s">
        <v>123</v>
      </c>
      <c r="B390" s="114" t="str">
        <f>VLOOKUP(A390,'Tabela de Produtos'!A:B,2,0)</f>
        <v>BRAZIMIL LÁTEX ECONÔMICO INT FOSCO 15L VERDE PRIMAVERA</v>
      </c>
      <c r="C390" s="48" t="s">
        <v>1221</v>
      </c>
      <c r="D390" s="114" t="str">
        <f>VLOOKUP(C390,'Custos Matéria Prima Embalagens'!B:C,2,0)</f>
        <v>MODIWAN 105H CE (CT-1000P)</v>
      </c>
      <c r="E390" s="114" t="str">
        <f>VLOOKUP(C390,'Custos Matéria Prima Embalagens'!B:D,3,0)</f>
        <v>ESPESSANTE DE MEDIA</v>
      </c>
      <c r="F390" s="270">
        <f t="shared" si="50"/>
        <v>916.58</v>
      </c>
      <c r="G390" s="148">
        <f t="shared" si="51"/>
        <v>1.6910689737938859E-2</v>
      </c>
      <c r="H390" s="274">
        <v>15.5</v>
      </c>
      <c r="I390" s="272">
        <f>ROUND(F390/VLOOKUP(A390,'Tabela de Produtos'!A:J,10,0),0)</f>
        <v>722</v>
      </c>
      <c r="J390" s="97">
        <f>IFERROR(VLOOKUP(C390,'Custos Matéria Prima Embalagens'!B:G,6,0)*H390,"Matéria Prima Não Cadastrada")</f>
        <v>122.52749999999999</v>
      </c>
      <c r="K390" s="97">
        <f>IFERROR(J390/(I390/VLOOKUP(A390,'Tabela de Produtos'!A:H,8,0)),"Matéria Prima Não Cadastrada")</f>
        <v>2.5455851800554012</v>
      </c>
      <c r="L390" s="216">
        <v>45939</v>
      </c>
    </row>
    <row r="391" spans="1:12" ht="15.75" customHeight="1">
      <c r="A391" s="48" t="s">
        <v>123</v>
      </c>
      <c r="B391" s="114" t="str">
        <f>VLOOKUP(A391,'Tabela de Produtos'!A:B,2,0)</f>
        <v>BRAZIMIL LÁTEX ECONÔMICO INT FOSCO 15L VERDE PRIMAVERA</v>
      </c>
      <c r="C391" s="48" t="s">
        <v>1223</v>
      </c>
      <c r="D391" s="114" t="str">
        <f>VLOOKUP(C391,'Custos Matéria Prima Embalagens'!B:C,2,0)</f>
        <v>TURBOWAN H CE (BH-200)</v>
      </c>
      <c r="E391" s="114" t="str">
        <f>VLOOKUP(C391,'Custos Matéria Prima Embalagens'!B:D,3,0)</f>
        <v>PROMOTOR DE LAVABILIDADE</v>
      </c>
      <c r="F391" s="270">
        <f t="shared" si="50"/>
        <v>916.58</v>
      </c>
      <c r="G391" s="148">
        <f t="shared" si="51"/>
        <v>8.1825918086800929E-3</v>
      </c>
      <c r="H391" s="274">
        <v>7.5</v>
      </c>
      <c r="I391" s="272">
        <f>ROUND(F391/VLOOKUP(A391,'Tabela de Produtos'!A:J,10,0),0)</f>
        <v>722</v>
      </c>
      <c r="J391" s="97">
        <f>IFERROR(VLOOKUP(C391,'Custos Matéria Prima Embalagens'!B:G,6,0)*H391,"Matéria Prima Não Cadastrada")</f>
        <v>36.375</v>
      </c>
      <c r="K391" s="97">
        <f>IFERROR(J391/(I391/VLOOKUP(A391,'Tabela de Produtos'!A:H,8,0)),"Matéria Prima Não Cadastrada")</f>
        <v>0.75571329639889195</v>
      </c>
      <c r="L391" s="216">
        <v>45939</v>
      </c>
    </row>
    <row r="392" spans="1:12" ht="15.75" customHeight="1">
      <c r="A392" s="48" t="s">
        <v>123</v>
      </c>
      <c r="B392" s="114" t="str">
        <f>VLOOKUP(A392,'Tabela de Produtos'!A:B,2,0)</f>
        <v>BRAZIMIL LÁTEX ECONÔMICO INT FOSCO 15L VERDE PRIMAVERA</v>
      </c>
      <c r="C392" s="48" t="s">
        <v>1229</v>
      </c>
      <c r="D392" s="114" t="str">
        <f>VLOOKUP(C392,'Custos Matéria Prima Embalagens'!B:C,2,0)</f>
        <v>WANSOL 340 CE (BB-200)</v>
      </c>
      <c r="E392" s="114" t="str">
        <f>VLOOKUP(C392,'Custos Matéria Prima Embalagens'!B:D,3,0)</f>
        <v>COALESCENTE</v>
      </c>
      <c r="F392" s="270">
        <f t="shared" si="50"/>
        <v>916.58</v>
      </c>
      <c r="G392" s="148">
        <f t="shared" si="51"/>
        <v>5.4550612057867286E-3</v>
      </c>
      <c r="H392" s="274">
        <v>5</v>
      </c>
      <c r="I392" s="272">
        <f>ROUND(F392/VLOOKUP(A392,'Tabela de Produtos'!A:J,10,0),0)</f>
        <v>722</v>
      </c>
      <c r="J392" s="97">
        <f>IFERROR(VLOOKUP(C392,'Custos Matéria Prima Embalagens'!B:G,6,0)*H392,"Matéria Prima Não Cadastrada")</f>
        <v>96.1</v>
      </c>
      <c r="K392" s="97">
        <f>IFERROR(J392/(I392/VLOOKUP(A392,'Tabela de Produtos'!A:H,8,0)),"Matéria Prima Não Cadastrada")</f>
        <v>1.9965373961218835</v>
      </c>
      <c r="L392" s="216">
        <v>45939</v>
      </c>
    </row>
    <row r="393" spans="1:12" ht="15.75" customHeight="1">
      <c r="A393" s="48" t="s">
        <v>123</v>
      </c>
      <c r="B393" s="114" t="str">
        <f>VLOOKUP(A393,'Tabela de Produtos'!A:B,2,0)</f>
        <v>BRAZIMIL LÁTEX ECONÔMICO INT FOSCO 15L VERDE PRIMAVERA</v>
      </c>
      <c r="C393" s="48" t="s">
        <v>1273</v>
      </c>
      <c r="D393" s="114" t="str">
        <f>VLOOKUP(C393,'Custos Matéria Prima Embalagens'!B:C,2,0)</f>
        <v>AMARELO SPECTRA RO</v>
      </c>
      <c r="E393" s="114" t="str">
        <f>VLOOKUP(C393,'Custos Matéria Prima Embalagens'!B:D,3,0)</f>
        <v>AMARELO SPECTRA RO</v>
      </c>
      <c r="F393" s="270">
        <f t="shared" si="50"/>
        <v>916.58</v>
      </c>
      <c r="G393" s="148">
        <f t="shared" si="51"/>
        <v>7.0915795675227473E-3</v>
      </c>
      <c r="H393" s="274">
        <v>6.5</v>
      </c>
      <c r="I393" s="272">
        <f>ROUND(F393/VLOOKUP(A393,'Tabela de Produtos'!A:J,10,0),0)</f>
        <v>722</v>
      </c>
      <c r="J393" s="97">
        <f>IFERROR(VLOOKUP(C393,'Custos Matéria Prima Embalagens'!B:G,6,0)*H393,"Matéria Prima Não Cadastrada")</f>
        <v>101.4</v>
      </c>
      <c r="K393" s="97">
        <f>IFERROR(J393/(I393/VLOOKUP(A393,'Tabela de Produtos'!A:H,8,0)),"Matéria Prima Não Cadastrada")</f>
        <v>2.1066481994459836</v>
      </c>
      <c r="L393" s="216">
        <v>45939</v>
      </c>
    </row>
    <row r="394" spans="1:12" ht="15.75" customHeight="1">
      <c r="A394" s="48" t="s">
        <v>123</v>
      </c>
      <c r="B394" s="114" t="str">
        <f>VLOOKUP(A394,'Tabela de Produtos'!A:B,2,0)</f>
        <v>BRAZIMIL LÁTEX ECONÔMICO INT FOSCO 15L VERDE PRIMAVERA</v>
      </c>
      <c r="C394" s="48" t="s">
        <v>1237</v>
      </c>
      <c r="D394" s="114" t="str">
        <f>VLOOKUP(C394,'Custos Matéria Prima Embalagens'!B:C,2,0)</f>
        <v>VERDE SPECTRAPERSE BLS</v>
      </c>
      <c r="E394" s="114" t="str">
        <f>VLOOKUP(C394,'Custos Matéria Prima Embalagens'!B:D,3,0)</f>
        <v>VERDE SPECTRAPERSE BLS</v>
      </c>
      <c r="F394" s="270">
        <f t="shared" si="50"/>
        <v>916.58</v>
      </c>
      <c r="G394" s="148">
        <f t="shared" si="51"/>
        <v>1.0910122411573458E-3</v>
      </c>
      <c r="H394" s="274">
        <v>1</v>
      </c>
      <c r="I394" s="272">
        <f>ROUND(F394/VLOOKUP(A394,'Tabela de Produtos'!A:J,10,0),0)</f>
        <v>722</v>
      </c>
      <c r="J394" s="97">
        <f>IFERROR(VLOOKUP(C394,'Custos Matéria Prima Embalagens'!B:G,6,0)*H394,"Matéria Prima Não Cadastrada")</f>
        <v>39</v>
      </c>
      <c r="K394" s="97">
        <f>IFERROR(J394/(I394/VLOOKUP(A394,'Tabela de Produtos'!A:H,8,0)),"Matéria Prima Não Cadastrada")</f>
        <v>0.81024930747922441</v>
      </c>
      <c r="L394" s="216">
        <v>45939</v>
      </c>
    </row>
    <row r="395" spans="1:12" ht="15.75" customHeight="1">
      <c r="A395" s="48" t="s">
        <v>123</v>
      </c>
      <c r="B395" s="114" t="str">
        <f>VLOOKUP(A395,'Tabela de Produtos'!A:B,2,0)</f>
        <v>BRAZIMIL LÁTEX ECONÔMICO INT FOSCO 15L VERDE PRIMAVERA</v>
      </c>
      <c r="C395" s="48" t="s">
        <v>1353</v>
      </c>
      <c r="D395" s="114" t="str">
        <f>VLOOKUP(C395,'Custos Matéria Prima Embalagens'!B:C,2,0)</f>
        <v>VERMELHO SPECTRA RO</v>
      </c>
      <c r="E395" s="114" t="str">
        <f>VLOOKUP(C395,'Custos Matéria Prima Embalagens'!B:D,3,0)</f>
        <v>VERMELHO SPECTRA RO</v>
      </c>
      <c r="F395" s="270">
        <f t="shared" si="50"/>
        <v>916.58</v>
      </c>
      <c r="G395" s="148">
        <f t="shared" si="51"/>
        <v>8.7280979292587659E-5</v>
      </c>
      <c r="H395" s="274">
        <v>0.08</v>
      </c>
      <c r="I395" s="272">
        <f>ROUND(F395/VLOOKUP(A395,'Tabela de Produtos'!A:J,10,0),0)</f>
        <v>722</v>
      </c>
      <c r="J395" s="97">
        <f>IFERROR(VLOOKUP(C395,'Custos Matéria Prima Embalagens'!B:G,6,0)*H395,"Matéria Prima Não Cadastrada")</f>
        <v>1.2328000000000001</v>
      </c>
      <c r="K395" s="97">
        <f>IFERROR(J395/(I395/VLOOKUP(A395,'Tabela de Produtos'!A:H,8,0)),"Matéria Prima Não Cadastrada")</f>
        <v>2.5612188365650972E-2</v>
      </c>
      <c r="L395" s="216">
        <v>45939</v>
      </c>
    </row>
    <row r="396" spans="1:12" ht="15.75" customHeight="1">
      <c r="D396" s="114"/>
      <c r="E396" s="114"/>
      <c r="F396" s="96"/>
      <c r="G396" s="148"/>
      <c r="H396" s="274"/>
      <c r="I396" s="272"/>
      <c r="J396" s="97"/>
      <c r="K396" s="97"/>
      <c r="L396" s="216">
        <v>45939</v>
      </c>
    </row>
    <row r="397" spans="1:12" ht="15.75" customHeight="1">
      <c r="A397" s="48" t="s">
        <v>124</v>
      </c>
      <c r="B397" s="114" t="str">
        <f>VLOOKUP(A397,'Tabela de Produtos'!A:B,2,0)</f>
        <v>BRAZIMIL LÁTEX ECONÔMICO INT FOSCO 15L VERDE FOLHA</v>
      </c>
      <c r="C397" s="48" t="s">
        <v>1197</v>
      </c>
      <c r="D397" s="114" t="str">
        <f>VLOOKUP(C397,'Custos Matéria Prima Embalagens'!B:C,2,0)</f>
        <v>AGUA</v>
      </c>
      <c r="E397" s="114" t="str">
        <f>VLOOKUP(C397,'Custos Matéria Prima Embalagens'!B:D,3,0)</f>
        <v>AGUA</v>
      </c>
      <c r="F397" s="270">
        <f t="shared" ref="F397:F414" si="52">SUMIFS(H:H,A:A,A397)</f>
        <v>906.8</v>
      </c>
      <c r="G397" s="148">
        <f t="shared" ref="G397:G414" si="53">H397/F397</f>
        <v>0.50727834142037942</v>
      </c>
      <c r="H397" s="274">
        <v>460</v>
      </c>
      <c r="I397" s="272">
        <f>ROUND(F397/VLOOKUP(A397,'Tabela de Produtos'!A:J,10,0),0)</f>
        <v>714</v>
      </c>
      <c r="J397" s="97">
        <f>IFERROR(VLOOKUP(C397,'Custos Matéria Prima Embalagens'!B:G,6,0)*H397,"Matéria Prima Não Cadastrada")</f>
        <v>0</v>
      </c>
      <c r="K397" s="97">
        <f>IFERROR(J397/(I397/VLOOKUP(A397,'Tabela de Produtos'!A:H,8,0)),"Matéria Prima Não Cadastrada")</f>
        <v>0</v>
      </c>
      <c r="L397" s="216">
        <v>45939</v>
      </c>
    </row>
    <row r="398" spans="1:12" ht="15.75" customHeight="1">
      <c r="A398" s="48" t="s">
        <v>124</v>
      </c>
      <c r="B398" s="114" t="str">
        <f>VLOOKUP(A398,'Tabela de Produtos'!A:B,2,0)</f>
        <v>BRAZIMIL LÁTEX ECONÔMICO INT FOSCO 15L VERDE FOLHA</v>
      </c>
      <c r="C398" s="48" t="s">
        <v>1201</v>
      </c>
      <c r="D398" s="114" t="str">
        <f>VLOOKUP(C398,'Custos Matéria Prima Embalagens'!B:C,2,0)</f>
        <v>WANFOAM 528 CE (BB-190)</v>
      </c>
      <c r="E398" s="114" t="str">
        <f>VLOOKUP(C398,'Custos Matéria Prima Embalagens'!B:D,3,0)</f>
        <v>ANTI ESPUMA LATEX</v>
      </c>
      <c r="F398" s="270">
        <f t="shared" si="52"/>
        <v>906.8</v>
      </c>
      <c r="G398" s="148">
        <f t="shared" si="53"/>
        <v>2.7569475077194533E-3</v>
      </c>
      <c r="H398" s="274">
        <v>2.5</v>
      </c>
      <c r="I398" s="272">
        <f>ROUND(F398/VLOOKUP(A398,'Tabela de Produtos'!A:J,10,0),0)</f>
        <v>714</v>
      </c>
      <c r="J398" s="97">
        <f>IFERROR(VLOOKUP(C398,'Custos Matéria Prima Embalagens'!B:G,6,0)*H398,"Matéria Prima Não Cadastrada")</f>
        <v>17.95</v>
      </c>
      <c r="K398" s="97">
        <f>IFERROR(J398/(I398/VLOOKUP(A398,'Tabela de Produtos'!A:H,8,0)),"Matéria Prima Não Cadastrada")</f>
        <v>0.37710084033613445</v>
      </c>
      <c r="L398" s="216">
        <v>45939</v>
      </c>
    </row>
    <row r="399" spans="1:12" ht="15.75" customHeight="1">
      <c r="A399" s="48" t="s">
        <v>124</v>
      </c>
      <c r="B399" s="114" t="str">
        <f>VLOOKUP(A399,'Tabela de Produtos'!A:B,2,0)</f>
        <v>BRAZIMIL LÁTEX ECONÔMICO INT FOSCO 15L VERDE FOLHA</v>
      </c>
      <c r="C399" s="48" t="s">
        <v>1203</v>
      </c>
      <c r="D399" s="114" t="str">
        <f>VLOOKUP(C399,'Custos Matéria Prima Embalagens'!B:C,2,0)</f>
        <v>WANBAC WBT CE (BH-200)</v>
      </c>
      <c r="E399" s="114" t="str">
        <f>VLOOKUP(C399,'Custos Matéria Prima Embalagens'!B:D,3,0)</f>
        <v>BACTERICIDA</v>
      </c>
      <c r="F399" s="270">
        <f t="shared" si="52"/>
        <v>906.8</v>
      </c>
      <c r="G399" s="148">
        <f t="shared" si="53"/>
        <v>3.3083370092633437E-3</v>
      </c>
      <c r="H399" s="274">
        <v>3</v>
      </c>
      <c r="I399" s="272">
        <f>ROUND(F399/VLOOKUP(A399,'Tabela de Produtos'!A:J,10,0),0)</f>
        <v>714</v>
      </c>
      <c r="J399" s="97">
        <f>IFERROR(VLOOKUP(C399,'Custos Matéria Prima Embalagens'!B:G,6,0)*H399,"Matéria Prima Não Cadastrada")</f>
        <v>14.819999999999999</v>
      </c>
      <c r="K399" s="97">
        <f>IFERROR(J399/(I399/VLOOKUP(A399,'Tabela de Produtos'!A:H,8,0)),"Matéria Prima Não Cadastrada")</f>
        <v>0.311344537815126</v>
      </c>
      <c r="L399" s="216">
        <v>45939</v>
      </c>
    </row>
    <row r="400" spans="1:12" ht="15.75" customHeight="1">
      <c r="A400" s="48" t="s">
        <v>124</v>
      </c>
      <c r="B400" s="114" t="str">
        <f>VLOOKUP(A400,'Tabela de Produtos'!A:B,2,0)</f>
        <v>BRAZIMIL LÁTEX ECONÔMICO INT FOSCO 15L VERDE FOLHA</v>
      </c>
      <c r="C400" s="48" t="s">
        <v>1205</v>
      </c>
      <c r="D400" s="114" t="str">
        <f>VLOOKUP(C400,'Custos Matéria Prima Embalagens'!B:C,2,0)</f>
        <v>WANSUR 840 CE (BB-200)01</v>
      </c>
      <c r="E400" s="114" t="str">
        <f>VLOOKUP(C400,'Custos Matéria Prima Embalagens'!B:D,3,0)</f>
        <v>UMECTANTE</v>
      </c>
      <c r="F400" s="270">
        <f t="shared" si="52"/>
        <v>906.8</v>
      </c>
      <c r="G400" s="148">
        <f t="shared" si="53"/>
        <v>2.2055580061755625E-3</v>
      </c>
      <c r="H400" s="274">
        <v>2</v>
      </c>
      <c r="I400" s="272">
        <f>ROUND(F400/VLOOKUP(A400,'Tabela de Produtos'!A:J,10,0),0)</f>
        <v>714</v>
      </c>
      <c r="J400" s="97">
        <f>IFERROR(VLOOKUP(C400,'Custos Matéria Prima Embalagens'!B:G,6,0)*H400,"Matéria Prima Não Cadastrada")</f>
        <v>14.66</v>
      </c>
      <c r="K400" s="97">
        <f>IFERROR(J400/(I400/VLOOKUP(A400,'Tabela de Produtos'!A:H,8,0)),"Matéria Prima Não Cadastrada")</f>
        <v>0.30798319327731094</v>
      </c>
      <c r="L400" s="216">
        <v>45939</v>
      </c>
    </row>
    <row r="401" spans="1:12" ht="15.75" customHeight="1">
      <c r="A401" s="48" t="s">
        <v>124</v>
      </c>
      <c r="B401" s="114" t="str">
        <f>VLOOKUP(A401,'Tabela de Produtos'!A:B,2,0)</f>
        <v>BRAZIMIL LÁTEX ECONÔMICO INT FOSCO 15L VERDE FOLHA</v>
      </c>
      <c r="C401" s="48" t="s">
        <v>1207</v>
      </c>
      <c r="D401" s="114" t="str">
        <f>VLOOKUP(C401,'Custos Matéria Prima Embalagens'!B:C,2,0)</f>
        <v>WANPEX 1510 (BB-200)</v>
      </c>
      <c r="E401" s="114" t="str">
        <f>VLOOKUP(C401,'Custos Matéria Prima Embalagens'!B:D,3,0)</f>
        <v>DISPERSANTE LATEX</v>
      </c>
      <c r="F401" s="270">
        <f t="shared" si="52"/>
        <v>906.8</v>
      </c>
      <c r="G401" s="148">
        <f t="shared" si="53"/>
        <v>3.3083370092633437E-3</v>
      </c>
      <c r="H401" s="274">
        <v>3</v>
      </c>
      <c r="I401" s="272">
        <f>ROUND(F401/VLOOKUP(A401,'Tabela de Produtos'!A:J,10,0),0)</f>
        <v>714</v>
      </c>
      <c r="J401" s="97">
        <f>IFERROR(VLOOKUP(C401,'Custos Matéria Prima Embalagens'!B:G,6,0)*H401,"Matéria Prima Não Cadastrada")</f>
        <v>20.58</v>
      </c>
      <c r="K401" s="97">
        <f>IFERROR(J401/(I401/VLOOKUP(A401,'Tabela de Produtos'!A:H,8,0)),"Matéria Prima Não Cadastrada")</f>
        <v>0.43235294117647055</v>
      </c>
      <c r="L401" s="216">
        <v>45939</v>
      </c>
    </row>
    <row r="402" spans="1:12" ht="15.75" customHeight="1">
      <c r="A402" s="48" t="s">
        <v>124</v>
      </c>
      <c r="B402" s="114" t="str">
        <f>VLOOKUP(A402,'Tabela de Produtos'!A:B,2,0)</f>
        <v>BRAZIMIL LÁTEX ECONÔMICO INT FOSCO 15L VERDE FOLHA</v>
      </c>
      <c r="C402" s="48" t="s">
        <v>1209</v>
      </c>
      <c r="D402" s="114" t="str">
        <f>VLOOKUP(C402,'Custos Matéria Prima Embalagens'!B:C,2,0)</f>
        <v>WANFUNG WFT CE (BH-200)</v>
      </c>
      <c r="E402" s="114" t="str">
        <f>VLOOKUP(C402,'Custos Matéria Prima Embalagens'!B:D,3,0)</f>
        <v>FUNGICIDA</v>
      </c>
      <c r="F402" s="270">
        <f t="shared" si="52"/>
        <v>906.8</v>
      </c>
      <c r="G402" s="148">
        <f t="shared" si="53"/>
        <v>2.7569475077194533E-3</v>
      </c>
      <c r="H402" s="274">
        <v>2.5</v>
      </c>
      <c r="I402" s="272">
        <f>ROUND(F402/VLOOKUP(A402,'Tabela de Produtos'!A:J,10,0),0)</f>
        <v>714</v>
      </c>
      <c r="J402" s="97">
        <f>IFERROR(VLOOKUP(C402,'Custos Matéria Prima Embalagens'!B:G,6,0)*H402,"Matéria Prima Não Cadastrada")</f>
        <v>17.5</v>
      </c>
      <c r="K402" s="97">
        <f>IFERROR(J402/(I402/VLOOKUP(A402,'Tabela de Produtos'!A:H,8,0)),"Matéria Prima Não Cadastrada")</f>
        <v>0.36764705882352938</v>
      </c>
      <c r="L402" s="216">
        <v>45939</v>
      </c>
    </row>
    <row r="403" spans="1:12" ht="15.75" customHeight="1">
      <c r="A403" s="48" t="s">
        <v>124</v>
      </c>
      <c r="B403" s="114" t="str">
        <f>VLOOKUP(A403,'Tabela de Produtos'!A:B,2,0)</f>
        <v>BRAZIMIL LÁTEX ECONÔMICO INT FOSCO 15L VERDE FOLHA</v>
      </c>
      <c r="C403" s="48" t="s">
        <v>1227</v>
      </c>
      <c r="D403" s="114" t="str">
        <f>VLOOKUP(C403,'Custos Matéria Prima Embalagens'!B:C,2,0)</f>
        <v>CAULIM MALHA 325</v>
      </c>
      <c r="E403" s="114" t="str">
        <f>VLOOKUP(C403,'Custos Matéria Prima Embalagens'!B:D,3,0)</f>
        <v>caulim</v>
      </c>
      <c r="F403" s="270">
        <f t="shared" si="52"/>
        <v>906.8</v>
      </c>
      <c r="G403" s="148">
        <f t="shared" si="53"/>
        <v>0.11027790030877813</v>
      </c>
      <c r="H403" s="274">
        <v>100</v>
      </c>
      <c r="I403" s="272">
        <f>ROUND(F403/VLOOKUP(A403,'Tabela de Produtos'!A:J,10,0),0)</f>
        <v>714</v>
      </c>
      <c r="J403" s="97">
        <f>IFERROR(VLOOKUP(C403,'Custos Matéria Prima Embalagens'!B:G,6,0)*H403,"Matéria Prima Não Cadastrada")</f>
        <v>152.04955555555551</v>
      </c>
      <c r="K403" s="97">
        <f>IFERROR(J403/(I403/VLOOKUP(A403,'Tabela de Produtos'!A:H,8,0)),"Matéria Prima Não Cadastrada")</f>
        <v>3.1943183940242754</v>
      </c>
      <c r="L403" s="216">
        <v>45939</v>
      </c>
    </row>
    <row r="404" spans="1:12" ht="15.75" customHeight="1">
      <c r="A404" s="48" t="s">
        <v>124</v>
      </c>
      <c r="B404" s="114" t="str">
        <f>VLOOKUP(A404,'Tabela de Produtos'!A:B,2,0)</f>
        <v>BRAZIMIL LÁTEX ECONÔMICO INT FOSCO 15L VERDE FOLHA</v>
      </c>
      <c r="C404" s="48" t="s">
        <v>1225</v>
      </c>
      <c r="D404" s="114" t="str">
        <f>VLOOKUP(C404,'Custos Matéria Prima Embalagens'!B:C,2,0)</f>
        <v>CALCARIO DOLOMITICO #325 ( SACOS 25 KG)</v>
      </c>
      <c r="E404" s="114" t="str">
        <f>VLOOKUP(C404,'Custos Matéria Prima Embalagens'!B:D,3,0)</f>
        <v>CARBONATO #325</v>
      </c>
      <c r="F404" s="270">
        <f t="shared" si="52"/>
        <v>906.8</v>
      </c>
      <c r="G404" s="148">
        <f t="shared" si="53"/>
        <v>0.11027790030877813</v>
      </c>
      <c r="H404" s="274">
        <v>100</v>
      </c>
      <c r="I404" s="272">
        <f>ROUND(F404/VLOOKUP(A404,'Tabela de Produtos'!A:J,10,0),0)</f>
        <v>714</v>
      </c>
      <c r="J404" s="97">
        <f>IFERROR(VLOOKUP(C404,'Custos Matéria Prima Embalagens'!B:G,6,0)*H404,"Matéria Prima Não Cadastrada")</f>
        <v>68.577852760736207</v>
      </c>
      <c r="K404" s="97">
        <f>IFERROR(J404/(I404/VLOOKUP(A404,'Tabela de Produtos'!A:H,8,0)),"Matéria Prima Não Cadastrada")</f>
        <v>1.4407111924524412</v>
      </c>
      <c r="L404" s="216">
        <v>45939</v>
      </c>
    </row>
    <row r="405" spans="1:12" ht="15.75" customHeight="1">
      <c r="A405" s="48" t="s">
        <v>124</v>
      </c>
      <c r="B405" s="114" t="str">
        <f>VLOOKUP(A405,'Tabela de Produtos'!A:B,2,0)</f>
        <v>BRAZIMIL LÁTEX ECONÔMICO INT FOSCO 15L VERDE FOLHA</v>
      </c>
      <c r="C405" s="48" t="s">
        <v>1215</v>
      </c>
      <c r="D405" s="114" t="str">
        <f>VLOOKUP(C405,'Custos Matéria Prima Embalagens'!B:C,2,0)</f>
        <v>CALCARIO DOLOMITICO #500 ( SACOS 25 KG)</v>
      </c>
      <c r="E405" s="114" t="str">
        <f>VLOOKUP(C405,'Custos Matéria Prima Embalagens'!B:D,3,0)</f>
        <v>CARBONATO #500</v>
      </c>
      <c r="F405" s="270">
        <f t="shared" si="52"/>
        <v>906.8</v>
      </c>
      <c r="G405" s="148">
        <f t="shared" si="53"/>
        <v>0.1654168504631672</v>
      </c>
      <c r="H405" s="274">
        <v>150</v>
      </c>
      <c r="I405" s="272">
        <f>ROUND(F405/VLOOKUP(A405,'Tabela de Produtos'!A:J,10,0),0)</f>
        <v>714</v>
      </c>
      <c r="J405" s="97">
        <f>IFERROR(VLOOKUP(C405,'Custos Matéria Prima Embalagens'!B:G,6,0)*H405,"Matéria Prima Não Cadastrada")</f>
        <v>120</v>
      </c>
      <c r="K405" s="97">
        <f>IFERROR(J405/(I405/VLOOKUP(A405,'Tabela de Produtos'!A:H,8,0)),"Matéria Prima Não Cadastrada")</f>
        <v>2.5210084033613445</v>
      </c>
      <c r="L405" s="216">
        <v>45939</v>
      </c>
    </row>
    <row r="406" spans="1:12" ht="15.75" customHeight="1">
      <c r="A406" s="48" t="s">
        <v>124</v>
      </c>
      <c r="B406" s="114" t="str">
        <f>VLOOKUP(A406,'Tabela de Produtos'!A:B,2,0)</f>
        <v>BRAZIMIL LÁTEX ECONÔMICO INT FOSCO 15L VERDE FOLHA</v>
      </c>
      <c r="C406" s="48" t="s">
        <v>1217</v>
      </c>
      <c r="D406" s="114" t="str">
        <f>VLOOKUP(C406,'Custos Matéria Prima Embalagens'!B:C,2,0)</f>
        <v>WANCRIL W 51 CE (CT-1000P)</v>
      </c>
      <c r="E406" s="114" t="str">
        <f>VLOOKUP(C406,'Custos Matéria Prima Embalagens'!B:D,3,0)</f>
        <v>RESINA ACRILICA ESTIRENADA</v>
      </c>
      <c r="F406" s="270">
        <f t="shared" si="52"/>
        <v>906.8</v>
      </c>
      <c r="G406" s="148">
        <f t="shared" si="53"/>
        <v>4.4111160123511253E-2</v>
      </c>
      <c r="H406" s="274">
        <v>40</v>
      </c>
      <c r="I406" s="272">
        <f>ROUND(F406/VLOOKUP(A406,'Tabela de Produtos'!A:J,10,0),0)</f>
        <v>714</v>
      </c>
      <c r="J406" s="97">
        <f>IFERROR(VLOOKUP(C406,'Custos Matéria Prima Embalagens'!B:G,6,0)*H406,"Matéria Prima Não Cadastrada")</f>
        <v>337.2</v>
      </c>
      <c r="K406" s="97">
        <f>IFERROR(J406/(I406/VLOOKUP(A406,'Tabela de Produtos'!A:H,8,0)),"Matéria Prima Não Cadastrada")</f>
        <v>7.0840336134453779</v>
      </c>
      <c r="L406" s="216">
        <v>45939</v>
      </c>
    </row>
    <row r="407" spans="1:12" ht="15.75" customHeight="1">
      <c r="A407" s="48" t="s">
        <v>124</v>
      </c>
      <c r="B407" s="114" t="str">
        <f>VLOOKUP(A407,'Tabela de Produtos'!A:B,2,0)</f>
        <v>BRAZIMIL LÁTEX ECONÔMICO INT FOSCO 15L VERDE FOLHA</v>
      </c>
      <c r="C407" s="48" t="s">
        <v>1219</v>
      </c>
      <c r="D407" s="114" t="str">
        <f>VLOOKUP(C407,'Custos Matéria Prima Embalagens'!B:C,2,0)</f>
        <v>WANALK 70 CE (BH-200)</v>
      </c>
      <c r="E407" s="114" t="str">
        <f>VLOOKUP(C407,'Custos Matéria Prima Embalagens'!B:D,3,0)</f>
        <v>ALCALINIZANTE</v>
      </c>
      <c r="F407" s="270">
        <f t="shared" si="52"/>
        <v>906.8</v>
      </c>
      <c r="G407" s="148">
        <f t="shared" si="53"/>
        <v>3.3083370092633437E-3</v>
      </c>
      <c r="H407" s="274">
        <v>3</v>
      </c>
      <c r="I407" s="272">
        <f>ROUND(F407/VLOOKUP(A407,'Tabela de Produtos'!A:J,10,0),0)</f>
        <v>714</v>
      </c>
      <c r="J407" s="97">
        <f>IFERROR(VLOOKUP(C407,'Custos Matéria Prima Embalagens'!B:G,6,0)*H407,"Matéria Prima Não Cadastrada")</f>
        <v>14.940000000000001</v>
      </c>
      <c r="K407" s="97">
        <f>IFERROR(J407/(I407/VLOOKUP(A407,'Tabela de Produtos'!A:H,8,0)),"Matéria Prima Não Cadastrada")</f>
        <v>0.31386554621848739</v>
      </c>
      <c r="L407" s="216">
        <v>45939</v>
      </c>
    </row>
    <row r="408" spans="1:12" ht="15.75" customHeight="1">
      <c r="A408" s="48" t="s">
        <v>124</v>
      </c>
      <c r="B408" s="114" t="str">
        <f>VLOOKUP(A408,'Tabela de Produtos'!A:B,2,0)</f>
        <v>BRAZIMIL LÁTEX ECONÔMICO INT FOSCO 15L VERDE FOLHA</v>
      </c>
      <c r="C408" s="48" t="s">
        <v>1221</v>
      </c>
      <c r="D408" s="114" t="str">
        <f>VLOOKUP(C408,'Custos Matéria Prima Embalagens'!B:C,2,0)</f>
        <v>MODIWAN 105H CE (CT-1000P)</v>
      </c>
      <c r="E408" s="114" t="str">
        <f>VLOOKUP(C408,'Custos Matéria Prima Embalagens'!B:D,3,0)</f>
        <v>ESPESSANTE DE MEDIA</v>
      </c>
      <c r="F408" s="270">
        <f t="shared" si="52"/>
        <v>906.8</v>
      </c>
      <c r="G408" s="148">
        <f t="shared" si="53"/>
        <v>1.7093074547860611E-2</v>
      </c>
      <c r="H408" s="274">
        <v>15.5</v>
      </c>
      <c r="I408" s="272">
        <f>ROUND(F408/VLOOKUP(A408,'Tabela de Produtos'!A:J,10,0),0)</f>
        <v>714</v>
      </c>
      <c r="J408" s="97">
        <f>IFERROR(VLOOKUP(C408,'Custos Matéria Prima Embalagens'!B:G,6,0)*H408,"Matéria Prima Não Cadastrada")</f>
        <v>122.52749999999999</v>
      </c>
      <c r="K408" s="97">
        <f>IFERROR(J408/(I408/VLOOKUP(A408,'Tabela de Produtos'!A:H,8,0)),"Matéria Prima Não Cadastrada")</f>
        <v>2.5741071428571427</v>
      </c>
      <c r="L408" s="216">
        <v>45939</v>
      </c>
    </row>
    <row r="409" spans="1:12" ht="15.75" customHeight="1">
      <c r="A409" s="48" t="s">
        <v>124</v>
      </c>
      <c r="B409" s="114" t="str">
        <f>VLOOKUP(A409,'Tabela de Produtos'!A:B,2,0)</f>
        <v>BRAZIMIL LÁTEX ECONÔMICO INT FOSCO 15L VERDE FOLHA</v>
      </c>
      <c r="C409" s="48" t="s">
        <v>1223</v>
      </c>
      <c r="D409" s="114" t="str">
        <f>VLOOKUP(C409,'Custos Matéria Prima Embalagens'!B:C,2,0)</f>
        <v>TURBOWAN H CE (BH-200)</v>
      </c>
      <c r="E409" s="114" t="str">
        <f>VLOOKUP(C409,'Custos Matéria Prima Embalagens'!B:D,3,0)</f>
        <v>PROMOTOR DE LAVABILIDADE</v>
      </c>
      <c r="F409" s="270">
        <f t="shared" si="52"/>
        <v>906.8</v>
      </c>
      <c r="G409" s="148">
        <f t="shared" si="53"/>
        <v>8.2708425231583591E-3</v>
      </c>
      <c r="H409" s="274">
        <v>7.5</v>
      </c>
      <c r="I409" s="272">
        <f>ROUND(F409/VLOOKUP(A409,'Tabela de Produtos'!A:J,10,0),0)</f>
        <v>714</v>
      </c>
      <c r="J409" s="97">
        <f>IFERROR(VLOOKUP(C409,'Custos Matéria Prima Embalagens'!B:G,6,0)*H409,"Matéria Prima Não Cadastrada")</f>
        <v>36.375</v>
      </c>
      <c r="K409" s="97">
        <f>IFERROR(J409/(I409/VLOOKUP(A409,'Tabela de Produtos'!A:H,8,0)),"Matéria Prima Não Cadastrada")</f>
        <v>0.76418067226890751</v>
      </c>
      <c r="L409" s="216">
        <v>45939</v>
      </c>
    </row>
    <row r="410" spans="1:12" ht="15.75" customHeight="1">
      <c r="A410" s="48" t="s">
        <v>124</v>
      </c>
      <c r="B410" s="114" t="str">
        <f>VLOOKUP(A410,'Tabela de Produtos'!A:B,2,0)</f>
        <v>BRAZIMIL LÁTEX ECONÔMICO INT FOSCO 15L VERDE FOLHA</v>
      </c>
      <c r="C410" s="48" t="s">
        <v>1229</v>
      </c>
      <c r="D410" s="114" t="str">
        <f>VLOOKUP(C410,'Custos Matéria Prima Embalagens'!B:C,2,0)</f>
        <v>WANSOL 340 CE (BB-200)</v>
      </c>
      <c r="E410" s="114" t="str">
        <f>VLOOKUP(C410,'Custos Matéria Prima Embalagens'!B:D,3,0)</f>
        <v>COALESCENTE</v>
      </c>
      <c r="F410" s="270">
        <f t="shared" si="52"/>
        <v>906.8</v>
      </c>
      <c r="G410" s="148">
        <f t="shared" si="53"/>
        <v>5.5138950154389067E-3</v>
      </c>
      <c r="H410" s="274">
        <v>5</v>
      </c>
      <c r="I410" s="272">
        <f>ROUND(F410/VLOOKUP(A410,'Tabela de Produtos'!A:J,10,0),0)</f>
        <v>714</v>
      </c>
      <c r="J410" s="97">
        <f>IFERROR(VLOOKUP(C410,'Custos Matéria Prima Embalagens'!B:G,6,0)*H410,"Matéria Prima Não Cadastrada")</f>
        <v>96.1</v>
      </c>
      <c r="K410" s="97">
        <f>IFERROR(J410/(I410/VLOOKUP(A410,'Tabela de Produtos'!A:H,8,0)),"Matéria Prima Não Cadastrada")</f>
        <v>2.01890756302521</v>
      </c>
      <c r="L410" s="216">
        <v>45939</v>
      </c>
    </row>
    <row r="411" spans="1:12" ht="15.75" customHeight="1">
      <c r="A411" s="48" t="s">
        <v>124</v>
      </c>
      <c r="B411" s="114" t="str">
        <f>VLOOKUP(A411,'Tabela de Produtos'!A:B,2,0)</f>
        <v>BRAZIMIL LÁTEX ECONÔMICO INT FOSCO 15L VERDE FOLHA</v>
      </c>
      <c r="C411" s="48" t="s">
        <v>1273</v>
      </c>
      <c r="D411" s="114" t="str">
        <f>VLOOKUP(C411,'Custos Matéria Prima Embalagens'!B:C,2,0)</f>
        <v>AMARELO SPECTRA RO</v>
      </c>
      <c r="E411" s="114" t="str">
        <f>VLOOKUP(C411,'Custos Matéria Prima Embalagens'!B:D,3,0)</f>
        <v>AMARELO SPECTRA RO</v>
      </c>
      <c r="F411" s="270">
        <f t="shared" si="52"/>
        <v>906.8</v>
      </c>
      <c r="G411" s="148">
        <f t="shared" si="53"/>
        <v>1.4336127040141158E-3</v>
      </c>
      <c r="H411" s="274">
        <v>1.3</v>
      </c>
      <c r="I411" s="272">
        <f>ROUND(F411/VLOOKUP(A411,'Tabela de Produtos'!A:J,10,0),0)</f>
        <v>714</v>
      </c>
      <c r="J411" s="97">
        <f>IFERROR(VLOOKUP(C411,'Custos Matéria Prima Embalagens'!B:G,6,0)*H411,"Matéria Prima Não Cadastrada")</f>
        <v>20.28</v>
      </c>
      <c r="K411" s="97">
        <f>IFERROR(J411/(I411/VLOOKUP(A411,'Tabela de Produtos'!A:H,8,0)),"Matéria Prima Não Cadastrada")</f>
        <v>0.42605042016806721</v>
      </c>
      <c r="L411" s="216">
        <v>45939</v>
      </c>
    </row>
    <row r="412" spans="1:12" ht="15.75" customHeight="1">
      <c r="A412" s="48" t="s">
        <v>124</v>
      </c>
      <c r="B412" s="114" t="str">
        <f>VLOOKUP(A412,'Tabela de Produtos'!A:B,2,0)</f>
        <v>BRAZIMIL LÁTEX ECONÔMICO INT FOSCO 15L VERDE FOLHA</v>
      </c>
      <c r="C412" s="48" t="s">
        <v>1237</v>
      </c>
      <c r="D412" s="114" t="str">
        <f>VLOOKUP(C412,'Custos Matéria Prima Embalagens'!B:C,2,0)</f>
        <v>VERDE SPECTRAPERSE BLS</v>
      </c>
      <c r="E412" s="114" t="str">
        <f>VLOOKUP(C412,'Custos Matéria Prima Embalagens'!B:D,3,0)</f>
        <v>VERDE SPECTRAPERSE BLS</v>
      </c>
      <c r="F412" s="270">
        <f t="shared" si="52"/>
        <v>906.8</v>
      </c>
      <c r="G412" s="148">
        <f t="shared" si="53"/>
        <v>1.1027790030877813E-2</v>
      </c>
      <c r="H412" s="274">
        <v>10</v>
      </c>
      <c r="I412" s="272">
        <f>ROUND(F412/VLOOKUP(A412,'Tabela de Produtos'!A:J,10,0),0)</f>
        <v>714</v>
      </c>
      <c r="J412" s="97">
        <f>IFERROR(VLOOKUP(C412,'Custos Matéria Prima Embalagens'!B:G,6,0)*H412,"Matéria Prima Não Cadastrada")</f>
        <v>390</v>
      </c>
      <c r="K412" s="97">
        <f>IFERROR(J412/(I412/VLOOKUP(A412,'Tabela de Produtos'!A:H,8,0)),"Matéria Prima Não Cadastrada")</f>
        <v>8.1932773109243691</v>
      </c>
      <c r="L412" s="216">
        <v>45939</v>
      </c>
    </row>
    <row r="413" spans="1:12" ht="15.75" customHeight="1">
      <c r="A413" s="48" t="s">
        <v>124</v>
      </c>
      <c r="B413" s="114" t="str">
        <f>VLOOKUP(A413,'Tabela de Produtos'!A:B,2,0)</f>
        <v>BRAZIMIL LÁTEX ECONÔMICO INT FOSCO 15L VERDE FOLHA</v>
      </c>
      <c r="C413" s="48" t="s">
        <v>1239</v>
      </c>
      <c r="D413" s="114" t="str">
        <f>VLOOKUP(C413,'Custos Matéria Prima Embalagens'!B:C,2,0)</f>
        <v>AMARELO SPECTRAPRINT 2GXH</v>
      </c>
      <c r="E413" s="114" t="str">
        <f>VLOOKUP(C413,'Custos Matéria Prima Embalagens'!B:D,3,0)</f>
        <v>AMARELO SPECTRAPRINT 2GXH</v>
      </c>
      <c r="F413" s="270">
        <f t="shared" si="52"/>
        <v>906.8</v>
      </c>
      <c r="G413" s="148">
        <f t="shared" si="53"/>
        <v>1.1027790030877812E-3</v>
      </c>
      <c r="H413" s="274">
        <v>1</v>
      </c>
      <c r="I413" s="272">
        <f>ROUND(F413/VLOOKUP(A413,'Tabela de Produtos'!A:J,10,0),0)</f>
        <v>714</v>
      </c>
      <c r="J413" s="97">
        <f>IFERROR(VLOOKUP(C413,'Custos Matéria Prima Embalagens'!B:G,6,0)*H413,"Matéria Prima Não Cadastrada")</f>
        <v>21.11</v>
      </c>
      <c r="K413" s="97">
        <f>IFERROR(J413/(I413/VLOOKUP(A413,'Tabela de Produtos'!A:H,8,0)),"Matéria Prima Não Cadastrada")</f>
        <v>0.44348739495798317</v>
      </c>
      <c r="L413" s="216">
        <v>45939</v>
      </c>
    </row>
    <row r="414" spans="1:12" ht="15.75" customHeight="1">
      <c r="A414" s="48" t="s">
        <v>124</v>
      </c>
      <c r="B414" s="114" t="str">
        <f>VLOOKUP(A414,'Tabela de Produtos'!A:B,2,0)</f>
        <v>BRAZIMIL LÁTEX ECONÔMICO INT FOSCO 15L VERDE FOLHA</v>
      </c>
      <c r="C414" s="48" t="s">
        <v>1241</v>
      </c>
      <c r="D414" s="114" t="str">
        <f>VLOOKUP(C414,'Custos Matéria Prima Embalagens'!B:C,2,0)</f>
        <v>AZUL SPECTRAPRINT SRH</v>
      </c>
      <c r="E414" s="114" t="str">
        <f>VLOOKUP(C414,'Custos Matéria Prima Embalagens'!B:D,3,0)</f>
        <v>AZUL SPECTRAPRINT SRH</v>
      </c>
      <c r="F414" s="270">
        <f t="shared" si="52"/>
        <v>906.8</v>
      </c>
      <c r="G414" s="148">
        <f t="shared" si="53"/>
        <v>5.5138950154389062E-4</v>
      </c>
      <c r="H414" s="274">
        <v>0.5</v>
      </c>
      <c r="I414" s="272">
        <f>ROUND(F414/VLOOKUP(A414,'Tabela de Produtos'!A:J,10,0),0)</f>
        <v>714</v>
      </c>
      <c r="J414" s="97">
        <f>IFERROR(VLOOKUP(C414,'Custos Matéria Prima Embalagens'!B:G,6,0)*H414,"Matéria Prima Não Cadastrada")</f>
        <v>15.625</v>
      </c>
      <c r="K414" s="97">
        <f>IFERROR(J414/(I414/VLOOKUP(A414,'Tabela de Produtos'!A:H,8,0)),"Matéria Prima Não Cadastrada")</f>
        <v>0.3282563025210084</v>
      </c>
      <c r="L414" s="216">
        <v>45939</v>
      </c>
    </row>
    <row r="415" spans="1:12" ht="15.75" customHeight="1">
      <c r="D415" s="114"/>
      <c r="E415" s="114"/>
      <c r="F415" s="96"/>
      <c r="G415" s="148"/>
      <c r="H415" s="274"/>
      <c r="I415" s="272"/>
      <c r="J415" s="97"/>
      <c r="K415" s="97"/>
      <c r="L415" s="216">
        <v>45939</v>
      </c>
    </row>
    <row r="416" spans="1:12" ht="15.75" customHeight="1">
      <c r="A416" s="48" t="s">
        <v>125</v>
      </c>
      <c r="B416" s="114" t="str">
        <f>VLOOKUP(A416,'Tabela de Produtos'!A:B,2,0)</f>
        <v>BRAZIMIL LÁTEX ECONÔMICO INT FOSCO 15L AZUL CEU</v>
      </c>
      <c r="C416" s="48" t="s">
        <v>1197</v>
      </c>
      <c r="D416" s="114" t="str">
        <f>VLOOKUP(C416,'Custos Matéria Prima Embalagens'!B:C,2,0)</f>
        <v>AGUA</v>
      </c>
      <c r="E416" s="114" t="str">
        <f>VLOOKUP(C416,'Custos Matéria Prima Embalagens'!B:D,3,0)</f>
        <v>AGUA</v>
      </c>
      <c r="F416" s="270">
        <f t="shared" ref="F416:F430" si="54">SUMIFS(H:H,A:A,A416)</f>
        <v>909.80799999999999</v>
      </c>
      <c r="G416" s="148">
        <f t="shared" ref="G416:G430" si="55">H416/F416</f>
        <v>0.50560118178780578</v>
      </c>
      <c r="H416" s="274">
        <v>460</v>
      </c>
      <c r="I416" s="272">
        <f>ROUND(F416/VLOOKUP(A416,'Tabela de Produtos'!A:J,10,0),0)</f>
        <v>716</v>
      </c>
      <c r="J416" s="97">
        <f>IFERROR(VLOOKUP(C416,'Custos Matéria Prima Embalagens'!B:G,6,0)*H416,"Matéria Prima Não Cadastrada")</f>
        <v>0</v>
      </c>
      <c r="K416" s="97">
        <f>IFERROR(J416/(I416/VLOOKUP(A416,'Tabela de Produtos'!A:H,8,0)),"Matéria Prima Não Cadastrada")</f>
        <v>0</v>
      </c>
      <c r="L416" s="216">
        <v>45939</v>
      </c>
    </row>
    <row r="417" spans="1:12" ht="15.75" customHeight="1">
      <c r="A417" s="48" t="s">
        <v>125</v>
      </c>
      <c r="B417" s="114" t="str">
        <f>VLOOKUP(A417,'Tabela de Produtos'!A:B,2,0)</f>
        <v>BRAZIMIL LÁTEX ECONÔMICO INT FOSCO 15L AZUL CEU</v>
      </c>
      <c r="C417" s="48" t="s">
        <v>1201</v>
      </c>
      <c r="D417" s="114" t="str">
        <f>VLOOKUP(C417,'Custos Matéria Prima Embalagens'!B:C,2,0)</f>
        <v>WANFOAM 528 CE (BB-190)</v>
      </c>
      <c r="E417" s="114" t="str">
        <f>VLOOKUP(C417,'Custos Matéria Prima Embalagens'!B:D,3,0)</f>
        <v>ANTI ESPUMA LATEX</v>
      </c>
      <c r="F417" s="270">
        <f t="shared" si="54"/>
        <v>909.80799999999999</v>
      </c>
      <c r="G417" s="148">
        <f t="shared" si="55"/>
        <v>2.7478325097163359E-3</v>
      </c>
      <c r="H417" s="274">
        <v>2.5</v>
      </c>
      <c r="I417" s="272">
        <f>ROUND(F417/VLOOKUP(A417,'Tabela de Produtos'!A:J,10,0),0)</f>
        <v>716</v>
      </c>
      <c r="J417" s="97">
        <f>IFERROR(VLOOKUP(C417,'Custos Matéria Prima Embalagens'!B:G,6,0)*H417,"Matéria Prima Não Cadastrada")</f>
        <v>17.95</v>
      </c>
      <c r="K417" s="97">
        <f>IFERROR(J417/(I417/VLOOKUP(A417,'Tabela de Produtos'!A:H,8,0)),"Matéria Prima Não Cadastrada")</f>
        <v>0.37604748603351951</v>
      </c>
      <c r="L417" s="216">
        <v>45939</v>
      </c>
    </row>
    <row r="418" spans="1:12" ht="15.75" customHeight="1">
      <c r="A418" s="48" t="s">
        <v>125</v>
      </c>
      <c r="B418" s="114" t="str">
        <f>VLOOKUP(A418,'Tabela de Produtos'!A:B,2,0)</f>
        <v>BRAZIMIL LÁTEX ECONÔMICO INT FOSCO 15L AZUL CEU</v>
      </c>
      <c r="C418" s="48" t="s">
        <v>1203</v>
      </c>
      <c r="D418" s="114" t="str">
        <f>VLOOKUP(C418,'Custos Matéria Prima Embalagens'!B:C,2,0)</f>
        <v>WANBAC WBT CE (BH-200)</v>
      </c>
      <c r="E418" s="114" t="str">
        <f>VLOOKUP(C418,'Custos Matéria Prima Embalagens'!B:D,3,0)</f>
        <v>BACTERICIDA</v>
      </c>
      <c r="F418" s="270">
        <f t="shared" si="54"/>
        <v>909.80799999999999</v>
      </c>
      <c r="G418" s="148">
        <f t="shared" si="55"/>
        <v>3.2973990116596029E-3</v>
      </c>
      <c r="H418" s="274">
        <v>3</v>
      </c>
      <c r="I418" s="272">
        <f>ROUND(F418/VLOOKUP(A418,'Tabela de Produtos'!A:J,10,0),0)</f>
        <v>716</v>
      </c>
      <c r="J418" s="97">
        <f>IFERROR(VLOOKUP(C418,'Custos Matéria Prima Embalagens'!B:G,6,0)*H418,"Matéria Prima Não Cadastrada")</f>
        <v>14.819999999999999</v>
      </c>
      <c r="K418" s="97">
        <f>IFERROR(J418/(I418/VLOOKUP(A418,'Tabela de Produtos'!A:H,8,0)),"Matéria Prima Não Cadastrada")</f>
        <v>0.3104748603351955</v>
      </c>
      <c r="L418" s="216">
        <v>45939</v>
      </c>
    </row>
    <row r="419" spans="1:12" ht="15.75" customHeight="1">
      <c r="A419" s="48" t="s">
        <v>125</v>
      </c>
      <c r="B419" s="114" t="str">
        <f>VLOOKUP(A419,'Tabela de Produtos'!A:B,2,0)</f>
        <v>BRAZIMIL LÁTEX ECONÔMICO INT FOSCO 15L AZUL CEU</v>
      </c>
      <c r="C419" s="48" t="s">
        <v>1205</v>
      </c>
      <c r="D419" s="114" t="str">
        <f>VLOOKUP(C419,'Custos Matéria Prima Embalagens'!B:C,2,0)</f>
        <v>WANSUR 840 CE (BB-200)01</v>
      </c>
      <c r="E419" s="114" t="str">
        <f>VLOOKUP(C419,'Custos Matéria Prima Embalagens'!B:D,3,0)</f>
        <v>UMECTANTE</v>
      </c>
      <c r="F419" s="270">
        <f t="shared" si="54"/>
        <v>909.80799999999999</v>
      </c>
      <c r="G419" s="148">
        <f t="shared" si="55"/>
        <v>2.1982660077730686E-3</v>
      </c>
      <c r="H419" s="274">
        <v>2</v>
      </c>
      <c r="I419" s="272">
        <f>ROUND(F419/VLOOKUP(A419,'Tabela de Produtos'!A:J,10,0),0)</f>
        <v>716</v>
      </c>
      <c r="J419" s="97">
        <f>IFERROR(VLOOKUP(C419,'Custos Matéria Prima Embalagens'!B:G,6,0)*H419,"Matéria Prima Não Cadastrada")</f>
        <v>14.66</v>
      </c>
      <c r="K419" s="97">
        <f>IFERROR(J419/(I419/VLOOKUP(A419,'Tabela de Produtos'!A:H,8,0)),"Matéria Prima Não Cadastrada")</f>
        <v>0.30712290502793294</v>
      </c>
      <c r="L419" s="216">
        <v>45939</v>
      </c>
    </row>
    <row r="420" spans="1:12" ht="15.75" customHeight="1">
      <c r="A420" s="48" t="s">
        <v>125</v>
      </c>
      <c r="B420" s="114" t="str">
        <f>VLOOKUP(A420,'Tabela de Produtos'!A:B,2,0)</f>
        <v>BRAZIMIL LÁTEX ECONÔMICO INT FOSCO 15L AZUL CEU</v>
      </c>
      <c r="C420" s="48" t="s">
        <v>1207</v>
      </c>
      <c r="D420" s="114" t="str">
        <f>VLOOKUP(C420,'Custos Matéria Prima Embalagens'!B:C,2,0)</f>
        <v>WANPEX 1510 (BB-200)</v>
      </c>
      <c r="E420" s="114" t="str">
        <f>VLOOKUP(C420,'Custos Matéria Prima Embalagens'!B:D,3,0)</f>
        <v>DISPERSANTE LATEX</v>
      </c>
      <c r="F420" s="270">
        <f t="shared" si="54"/>
        <v>909.80799999999999</v>
      </c>
      <c r="G420" s="148">
        <f t="shared" si="55"/>
        <v>3.2973990116596029E-3</v>
      </c>
      <c r="H420" s="274">
        <v>3</v>
      </c>
      <c r="I420" s="272">
        <f>ROUND(F420/VLOOKUP(A420,'Tabela de Produtos'!A:J,10,0),0)</f>
        <v>716</v>
      </c>
      <c r="J420" s="97">
        <f>IFERROR(VLOOKUP(C420,'Custos Matéria Prima Embalagens'!B:G,6,0)*H420,"Matéria Prima Não Cadastrada")</f>
        <v>20.58</v>
      </c>
      <c r="K420" s="97">
        <f>IFERROR(J420/(I420/VLOOKUP(A420,'Tabela de Produtos'!A:H,8,0)),"Matéria Prima Não Cadastrada")</f>
        <v>0.431145251396648</v>
      </c>
      <c r="L420" s="216">
        <v>45939</v>
      </c>
    </row>
    <row r="421" spans="1:12" ht="15.75" customHeight="1">
      <c r="A421" s="48" t="s">
        <v>125</v>
      </c>
      <c r="B421" s="114" t="str">
        <f>VLOOKUP(A421,'Tabela de Produtos'!A:B,2,0)</f>
        <v>BRAZIMIL LÁTEX ECONÔMICO INT FOSCO 15L AZUL CEU</v>
      </c>
      <c r="C421" s="48" t="s">
        <v>1209</v>
      </c>
      <c r="D421" s="114" t="str">
        <f>VLOOKUP(C421,'Custos Matéria Prima Embalagens'!B:C,2,0)</f>
        <v>WANFUNG WFT CE (BH-200)</v>
      </c>
      <c r="E421" s="114" t="str">
        <f>VLOOKUP(C421,'Custos Matéria Prima Embalagens'!B:D,3,0)</f>
        <v>FUNGICIDA</v>
      </c>
      <c r="F421" s="270">
        <f t="shared" si="54"/>
        <v>909.80799999999999</v>
      </c>
      <c r="G421" s="148">
        <f t="shared" si="55"/>
        <v>2.7478325097163359E-3</v>
      </c>
      <c r="H421" s="274">
        <v>2.5</v>
      </c>
      <c r="I421" s="272">
        <f>ROUND(F421/VLOOKUP(A421,'Tabela de Produtos'!A:J,10,0),0)</f>
        <v>716</v>
      </c>
      <c r="J421" s="97">
        <f>IFERROR(VLOOKUP(C421,'Custos Matéria Prima Embalagens'!B:G,6,0)*H421,"Matéria Prima Não Cadastrada")</f>
        <v>17.5</v>
      </c>
      <c r="K421" s="97">
        <f>IFERROR(J421/(I421/VLOOKUP(A421,'Tabela de Produtos'!A:H,8,0)),"Matéria Prima Não Cadastrada")</f>
        <v>0.36662011173184356</v>
      </c>
      <c r="L421" s="216">
        <v>45939</v>
      </c>
    </row>
    <row r="422" spans="1:12" ht="15.75" customHeight="1">
      <c r="A422" s="48" t="s">
        <v>125</v>
      </c>
      <c r="B422" s="114" t="str">
        <f>VLOOKUP(A422,'Tabela de Produtos'!A:B,2,0)</f>
        <v>BRAZIMIL LÁTEX ECONÔMICO INT FOSCO 15L AZUL CEU</v>
      </c>
      <c r="C422" s="48" t="s">
        <v>1215</v>
      </c>
      <c r="D422" s="114" t="str">
        <f>VLOOKUP(C422,'Custos Matéria Prima Embalagens'!B:C,2,0)</f>
        <v>CALCARIO DOLOMITICO #500 ( SACOS 25 KG)</v>
      </c>
      <c r="E422" s="114" t="str">
        <f>VLOOKUP(C422,'Custos Matéria Prima Embalagens'!B:D,3,0)</f>
        <v>CARBONATO #500</v>
      </c>
      <c r="F422" s="270">
        <f t="shared" si="54"/>
        <v>909.80799999999999</v>
      </c>
      <c r="G422" s="148">
        <f t="shared" si="55"/>
        <v>5.4956650194326717E-2</v>
      </c>
      <c r="H422" s="274">
        <v>50</v>
      </c>
      <c r="I422" s="272">
        <f>ROUND(F422/VLOOKUP(A422,'Tabela de Produtos'!A:J,10,0),0)</f>
        <v>716</v>
      </c>
      <c r="J422" s="97">
        <f>IFERROR(VLOOKUP(C422,'Custos Matéria Prima Embalagens'!B:G,6,0)*H422,"Matéria Prima Não Cadastrada")</f>
        <v>40</v>
      </c>
      <c r="K422" s="97">
        <f>IFERROR(J422/(I422/VLOOKUP(A422,'Tabela de Produtos'!A:H,8,0)),"Matéria Prima Não Cadastrada")</f>
        <v>0.83798882681564246</v>
      </c>
      <c r="L422" s="216">
        <v>45939</v>
      </c>
    </row>
    <row r="423" spans="1:12" ht="15.75" customHeight="1">
      <c r="A423" s="48" t="s">
        <v>125</v>
      </c>
      <c r="B423" s="114" t="str">
        <f>VLOOKUP(A423,'Tabela de Produtos'!A:B,2,0)</f>
        <v>BRAZIMIL LÁTEX ECONÔMICO INT FOSCO 15L AZUL CEU</v>
      </c>
      <c r="C423" s="48" t="s">
        <v>1227</v>
      </c>
      <c r="D423" s="114" t="str">
        <f>VLOOKUP(C423,'Custos Matéria Prima Embalagens'!B:C,2,0)</f>
        <v>CAULIM MALHA 325</v>
      </c>
      <c r="E423" s="114" t="str">
        <f>VLOOKUP(C423,'Custos Matéria Prima Embalagens'!B:D,3,0)</f>
        <v>caulim</v>
      </c>
      <c r="F423" s="270">
        <f t="shared" si="54"/>
        <v>909.80799999999999</v>
      </c>
      <c r="G423" s="148">
        <f t="shared" si="55"/>
        <v>0.35721822626312366</v>
      </c>
      <c r="H423" s="274">
        <v>325</v>
      </c>
      <c r="I423" s="272">
        <f>ROUND(F423/VLOOKUP(A423,'Tabela de Produtos'!A:J,10,0),0)</f>
        <v>716</v>
      </c>
      <c r="J423" s="97">
        <f>IFERROR(VLOOKUP(C423,'Custos Matéria Prima Embalagens'!B:G,6,0)*H423,"Matéria Prima Não Cadastrada")</f>
        <v>494.16105555555538</v>
      </c>
      <c r="K423" s="97">
        <f>IFERROR(J423/(I423/VLOOKUP(A423,'Tabela de Produtos'!A:H,8,0)),"Matéria Prima Não Cadastrada")</f>
        <v>10.352536080074485</v>
      </c>
      <c r="L423" s="216">
        <v>45939</v>
      </c>
    </row>
    <row r="424" spans="1:12" ht="15.75" customHeight="1">
      <c r="A424" s="48" t="s">
        <v>125</v>
      </c>
      <c r="B424" s="114" t="str">
        <f>VLOOKUP(A424,'Tabela de Produtos'!A:B,2,0)</f>
        <v>BRAZIMIL LÁTEX ECONÔMICO INT FOSCO 15L AZUL CEU</v>
      </c>
      <c r="C424" s="48" t="s">
        <v>1217</v>
      </c>
      <c r="D424" s="114" t="str">
        <f>VLOOKUP(C424,'Custos Matéria Prima Embalagens'!B:C,2,0)</f>
        <v>WANCRIL W 51 CE (CT-1000P)</v>
      </c>
      <c r="E424" s="114" t="str">
        <f>VLOOKUP(C424,'Custos Matéria Prima Embalagens'!B:D,3,0)</f>
        <v>RESINA ACRILICA ESTIRENADA</v>
      </c>
      <c r="F424" s="270">
        <f t="shared" si="54"/>
        <v>909.80799999999999</v>
      </c>
      <c r="G424" s="148">
        <f t="shared" si="55"/>
        <v>3.2973990116596026E-2</v>
      </c>
      <c r="H424" s="274">
        <v>30</v>
      </c>
      <c r="I424" s="272">
        <f>ROUND(F424/VLOOKUP(A424,'Tabela de Produtos'!A:J,10,0),0)</f>
        <v>716</v>
      </c>
      <c r="J424" s="97">
        <f>IFERROR(VLOOKUP(C424,'Custos Matéria Prima Embalagens'!B:G,6,0)*H424,"Matéria Prima Não Cadastrada")</f>
        <v>252.89999999999998</v>
      </c>
      <c r="K424" s="97">
        <f>IFERROR(J424/(I424/VLOOKUP(A424,'Tabela de Produtos'!A:H,8,0)),"Matéria Prima Não Cadastrada")</f>
        <v>5.2981843575418992</v>
      </c>
      <c r="L424" s="216">
        <v>45939</v>
      </c>
    </row>
    <row r="425" spans="1:12" ht="15.75" customHeight="1">
      <c r="A425" s="48" t="s">
        <v>125</v>
      </c>
      <c r="B425" s="114" t="str">
        <f>VLOOKUP(A425,'Tabela de Produtos'!A:B,2,0)</f>
        <v>BRAZIMIL LÁTEX ECONÔMICO INT FOSCO 15L AZUL CEU</v>
      </c>
      <c r="C425" s="48" t="s">
        <v>1219</v>
      </c>
      <c r="D425" s="114" t="str">
        <f>VLOOKUP(C425,'Custos Matéria Prima Embalagens'!B:C,2,0)</f>
        <v>WANALK 70 CE (BH-200)</v>
      </c>
      <c r="E425" s="114" t="str">
        <f>VLOOKUP(C425,'Custos Matéria Prima Embalagens'!B:D,3,0)</f>
        <v>ALCALINIZANTE</v>
      </c>
      <c r="F425" s="270">
        <f t="shared" si="54"/>
        <v>909.80799999999999</v>
      </c>
      <c r="G425" s="148">
        <f t="shared" si="55"/>
        <v>3.2973990116596029E-3</v>
      </c>
      <c r="H425" s="274">
        <v>3</v>
      </c>
      <c r="I425" s="272">
        <f>ROUND(F425/VLOOKUP(A425,'Tabela de Produtos'!A:J,10,0),0)</f>
        <v>716</v>
      </c>
      <c r="J425" s="97">
        <f>IFERROR(VLOOKUP(C425,'Custos Matéria Prima Embalagens'!B:G,6,0)*H425,"Matéria Prima Não Cadastrada")</f>
        <v>14.940000000000001</v>
      </c>
      <c r="K425" s="97">
        <f>IFERROR(J425/(I425/VLOOKUP(A425,'Tabela de Produtos'!A:H,8,0)),"Matéria Prima Não Cadastrada")</f>
        <v>0.3129888268156425</v>
      </c>
      <c r="L425" s="216">
        <v>45939</v>
      </c>
    </row>
    <row r="426" spans="1:12" ht="15.75" customHeight="1">
      <c r="A426" s="48" t="s">
        <v>125</v>
      </c>
      <c r="B426" s="114" t="str">
        <f>VLOOKUP(A426,'Tabela de Produtos'!A:B,2,0)</f>
        <v>BRAZIMIL LÁTEX ECONÔMICO INT FOSCO 15L AZUL CEU</v>
      </c>
      <c r="C426" s="48" t="s">
        <v>1221</v>
      </c>
      <c r="D426" s="114" t="str">
        <f>VLOOKUP(C426,'Custos Matéria Prima Embalagens'!B:C,2,0)</f>
        <v>MODIWAN 105H CE (CT-1000P)</v>
      </c>
      <c r="E426" s="114" t="str">
        <f>VLOOKUP(C426,'Custos Matéria Prima Embalagens'!B:D,3,0)</f>
        <v>ESPESSANTE DE MEDIA</v>
      </c>
      <c r="F426" s="270">
        <f t="shared" si="54"/>
        <v>909.80799999999999</v>
      </c>
      <c r="G426" s="148">
        <f t="shared" si="55"/>
        <v>1.7036561560241283E-2</v>
      </c>
      <c r="H426" s="274">
        <v>15.5</v>
      </c>
      <c r="I426" s="272">
        <f>ROUND(F426/VLOOKUP(A426,'Tabela de Produtos'!A:J,10,0),0)</f>
        <v>716</v>
      </c>
      <c r="J426" s="97">
        <f>IFERROR(VLOOKUP(C426,'Custos Matéria Prima Embalagens'!B:G,6,0)*H426,"Matéria Prima Não Cadastrada")</f>
        <v>122.52749999999999</v>
      </c>
      <c r="K426" s="97">
        <f>IFERROR(J426/(I426/VLOOKUP(A426,'Tabela de Produtos'!A:H,8,0)),"Matéria Prima Não Cadastrada")</f>
        <v>2.5669168994413405</v>
      </c>
      <c r="L426" s="216">
        <v>45939</v>
      </c>
    </row>
    <row r="427" spans="1:12" ht="15.75" customHeight="1">
      <c r="A427" s="48" t="s">
        <v>125</v>
      </c>
      <c r="B427" s="114" t="str">
        <f>VLOOKUP(A427,'Tabela de Produtos'!A:B,2,0)</f>
        <v>BRAZIMIL LÁTEX ECONÔMICO INT FOSCO 15L AZUL CEU</v>
      </c>
      <c r="C427" s="48" t="s">
        <v>1223</v>
      </c>
      <c r="D427" s="114" t="str">
        <f>VLOOKUP(C427,'Custos Matéria Prima Embalagens'!B:C,2,0)</f>
        <v>TURBOWAN H CE (BH-200)</v>
      </c>
      <c r="E427" s="114" t="str">
        <f>VLOOKUP(C427,'Custos Matéria Prima Embalagens'!B:D,3,0)</f>
        <v>PROMOTOR DE LAVABILIDADE</v>
      </c>
      <c r="F427" s="270">
        <f t="shared" si="54"/>
        <v>909.80799999999999</v>
      </c>
      <c r="G427" s="148">
        <f t="shared" si="55"/>
        <v>8.2434975291490065E-3</v>
      </c>
      <c r="H427" s="274">
        <v>7.5</v>
      </c>
      <c r="I427" s="272">
        <f>ROUND(F427/VLOOKUP(A427,'Tabela de Produtos'!A:J,10,0),0)</f>
        <v>716</v>
      </c>
      <c r="J427" s="97">
        <f>IFERROR(VLOOKUP(C427,'Custos Matéria Prima Embalagens'!B:G,6,0)*H427,"Matéria Prima Não Cadastrada")</f>
        <v>36.375</v>
      </c>
      <c r="K427" s="97">
        <f>IFERROR(J427/(I427/VLOOKUP(A427,'Tabela de Produtos'!A:H,8,0)),"Matéria Prima Não Cadastrada")</f>
        <v>0.7620460893854748</v>
      </c>
      <c r="L427" s="216">
        <v>45939</v>
      </c>
    </row>
    <row r="428" spans="1:12" ht="15.75" customHeight="1">
      <c r="A428" s="48" t="s">
        <v>125</v>
      </c>
      <c r="B428" s="114" t="str">
        <f>VLOOKUP(A428,'Tabela de Produtos'!A:B,2,0)</f>
        <v>BRAZIMIL LÁTEX ECONÔMICO INT FOSCO 15L AZUL CEU</v>
      </c>
      <c r="C428" s="48" t="s">
        <v>1229</v>
      </c>
      <c r="D428" s="114" t="str">
        <f>VLOOKUP(C428,'Custos Matéria Prima Embalagens'!B:C,2,0)</f>
        <v>WANSOL 340 CE (BB-200)</v>
      </c>
      <c r="E428" s="114" t="str">
        <f>VLOOKUP(C428,'Custos Matéria Prima Embalagens'!B:D,3,0)</f>
        <v>COALESCENTE</v>
      </c>
      <c r="F428" s="270">
        <f t="shared" si="54"/>
        <v>909.80799999999999</v>
      </c>
      <c r="G428" s="148">
        <f t="shared" si="55"/>
        <v>5.4956650194326719E-3</v>
      </c>
      <c r="H428" s="274">
        <v>5</v>
      </c>
      <c r="I428" s="272">
        <f>ROUND(F428/VLOOKUP(A428,'Tabela de Produtos'!A:J,10,0),0)</f>
        <v>716</v>
      </c>
      <c r="J428" s="97">
        <f>IFERROR(VLOOKUP(C428,'Custos Matéria Prima Embalagens'!B:G,6,0)*H428,"Matéria Prima Não Cadastrada")</f>
        <v>96.1</v>
      </c>
      <c r="K428" s="97">
        <f>IFERROR(J428/(I428/VLOOKUP(A428,'Tabela de Produtos'!A:H,8,0)),"Matéria Prima Não Cadastrada")</f>
        <v>2.0132681564245809</v>
      </c>
      <c r="L428" s="216">
        <v>45939</v>
      </c>
    </row>
    <row r="429" spans="1:12" ht="15.75" customHeight="1">
      <c r="A429" s="48" t="s">
        <v>125</v>
      </c>
      <c r="B429" s="114" t="str">
        <f>VLOOKUP(A429,'Tabela de Produtos'!A:B,2,0)</f>
        <v>BRAZIMIL LÁTEX ECONÔMICO INT FOSCO 15L AZUL CEU</v>
      </c>
      <c r="C429" s="48" t="s">
        <v>1241</v>
      </c>
      <c r="D429" s="114" t="str">
        <f>VLOOKUP(C429,'Custos Matéria Prima Embalagens'!B:C,2,0)</f>
        <v>AZUL SPECTRAPRINT SRH</v>
      </c>
      <c r="E429" s="114" t="str">
        <f>VLOOKUP(C429,'Custos Matéria Prima Embalagens'!B:D,3,0)</f>
        <v>AZUL SPECTRAPRINT SRH</v>
      </c>
      <c r="F429" s="270">
        <f t="shared" si="54"/>
        <v>909.80799999999999</v>
      </c>
      <c r="G429" s="148">
        <f t="shared" si="55"/>
        <v>8.7930640310922748E-4</v>
      </c>
      <c r="H429" s="274">
        <v>0.8</v>
      </c>
      <c r="I429" s="272">
        <f>ROUND(F429/VLOOKUP(A429,'Tabela de Produtos'!A:J,10,0),0)</f>
        <v>716</v>
      </c>
      <c r="J429" s="97">
        <f>IFERROR(VLOOKUP(C429,'Custos Matéria Prima Embalagens'!B:G,6,0)*H429,"Matéria Prima Não Cadastrada")</f>
        <v>25</v>
      </c>
      <c r="K429" s="97">
        <f>IFERROR(J429/(I429/VLOOKUP(A429,'Tabela de Produtos'!A:H,8,0)),"Matéria Prima Não Cadastrada")</f>
        <v>0.52374301675977653</v>
      </c>
      <c r="L429" s="216">
        <v>45939</v>
      </c>
    </row>
    <row r="430" spans="1:12" ht="15.75" customHeight="1">
      <c r="A430" s="48" t="s">
        <v>125</v>
      </c>
      <c r="B430" s="114" t="str">
        <f>VLOOKUP(A430,'Tabela de Produtos'!A:B,2,0)</f>
        <v>BRAZIMIL LÁTEX ECONÔMICO INT FOSCO 15L AZUL CEU</v>
      </c>
      <c r="C430" s="48" t="s">
        <v>1237</v>
      </c>
      <c r="D430" s="114" t="str">
        <f>VLOOKUP(C430,'Custos Matéria Prima Embalagens'!B:C,2,0)</f>
        <v>VERDE SPECTRAPERSE BLS</v>
      </c>
      <c r="E430" s="114" t="str">
        <f>VLOOKUP(C430,'Custos Matéria Prima Embalagens'!B:D,3,0)</f>
        <v>VERDE SPECTRAPERSE BLS</v>
      </c>
      <c r="F430" s="270">
        <f t="shared" si="54"/>
        <v>909.80799999999999</v>
      </c>
      <c r="G430" s="148">
        <f t="shared" si="55"/>
        <v>8.7930640310922743E-6</v>
      </c>
      <c r="H430" s="274">
        <v>8.0000000000000002E-3</v>
      </c>
      <c r="I430" s="272">
        <f>ROUND(F430/VLOOKUP(A430,'Tabela de Produtos'!A:J,10,0),0)</f>
        <v>716</v>
      </c>
      <c r="J430" s="97">
        <f>IFERROR(VLOOKUP(C430,'Custos Matéria Prima Embalagens'!B:G,6,0)*H430,"Matéria Prima Não Cadastrada")</f>
        <v>0.312</v>
      </c>
      <c r="K430" s="97">
        <f>IFERROR(J430/(I430/VLOOKUP(A430,'Tabela de Produtos'!A:H,8,0)),"Matéria Prima Não Cadastrada")</f>
        <v>6.5363128491620114E-3</v>
      </c>
      <c r="L430" s="216">
        <v>45939</v>
      </c>
    </row>
    <row r="431" spans="1:12" ht="15.75" customHeight="1">
      <c r="D431" s="114"/>
      <c r="E431" s="114"/>
      <c r="F431" s="96"/>
      <c r="G431" s="148"/>
      <c r="H431" s="274"/>
      <c r="I431" s="272"/>
      <c r="J431" s="97"/>
      <c r="K431" s="97"/>
      <c r="L431" s="216">
        <v>45939</v>
      </c>
    </row>
    <row r="432" spans="1:12" ht="15.75" customHeight="1">
      <c r="A432" s="48" t="s">
        <v>126</v>
      </c>
      <c r="B432" s="114" t="str">
        <f>VLOOKUP(A432,'Tabela de Produtos'!A:B,2,0)</f>
        <v>BRAZIMIL LÁTEX ECONÔMICO INT FOSCO 15L AZUL OCEANO</v>
      </c>
      <c r="C432" s="48" t="s">
        <v>1197</v>
      </c>
      <c r="D432" s="114" t="str">
        <f>VLOOKUP(C432,'Custos Matéria Prima Embalagens'!B:C,2,0)</f>
        <v>AGUA</v>
      </c>
      <c r="E432" s="114" t="str">
        <f>VLOOKUP(C432,'Custos Matéria Prima Embalagens'!B:D,3,0)</f>
        <v>AGUA</v>
      </c>
      <c r="F432" s="270">
        <f t="shared" ref="F432:F446" si="56">SUMIFS(H:H,A:A,A432)</f>
        <v>922.8</v>
      </c>
      <c r="G432" s="148">
        <f t="shared" ref="G432:G446" si="57">H432/F432</f>
        <v>0.49848287819679238</v>
      </c>
      <c r="H432" s="274">
        <v>460</v>
      </c>
      <c r="I432" s="272">
        <f>ROUND(F432/VLOOKUP(A432,'Tabela de Produtos'!A:J,10,0),0)</f>
        <v>727</v>
      </c>
      <c r="J432" s="97">
        <f>IFERROR(VLOOKUP(C432,'Custos Matéria Prima Embalagens'!B:G,6,0)*H432,"Matéria Prima Não Cadastrada")</f>
        <v>0</v>
      </c>
      <c r="K432" s="97">
        <f>IFERROR(J432/(I432/VLOOKUP(A432,'Tabela de Produtos'!A:H,8,0)),"Matéria Prima Não Cadastrada")</f>
        <v>0</v>
      </c>
      <c r="L432" s="216">
        <v>45939</v>
      </c>
    </row>
    <row r="433" spans="1:12" ht="15.75" customHeight="1">
      <c r="A433" s="48" t="s">
        <v>126</v>
      </c>
      <c r="B433" s="114" t="str">
        <f>VLOOKUP(A433,'Tabela de Produtos'!A:B,2,0)</f>
        <v>BRAZIMIL LÁTEX ECONÔMICO INT FOSCO 15L AZUL OCEANO</v>
      </c>
      <c r="C433" s="48" t="s">
        <v>1201</v>
      </c>
      <c r="D433" s="114" t="str">
        <f>VLOOKUP(C433,'Custos Matéria Prima Embalagens'!B:C,2,0)</f>
        <v>WANFOAM 528 CE (BB-190)</v>
      </c>
      <c r="E433" s="114" t="str">
        <f>VLOOKUP(C433,'Custos Matéria Prima Embalagens'!B:D,3,0)</f>
        <v>ANTI ESPUMA LATEX</v>
      </c>
      <c r="F433" s="270">
        <f t="shared" si="56"/>
        <v>922.8</v>
      </c>
      <c r="G433" s="148">
        <f t="shared" si="57"/>
        <v>2.7091460771564804E-3</v>
      </c>
      <c r="H433" s="274">
        <v>2.5</v>
      </c>
      <c r="I433" s="272">
        <f>ROUND(F433/VLOOKUP(A433,'Tabela de Produtos'!A:J,10,0),0)</f>
        <v>727</v>
      </c>
      <c r="J433" s="97">
        <f>IFERROR(VLOOKUP(C433,'Custos Matéria Prima Embalagens'!B:G,6,0)*H433,"Matéria Prima Não Cadastrada")</f>
        <v>17.95</v>
      </c>
      <c r="K433" s="97">
        <f>IFERROR(J433/(I433/VLOOKUP(A433,'Tabela de Produtos'!A:H,8,0)),"Matéria Prima Não Cadastrada")</f>
        <v>0.37035763411279227</v>
      </c>
      <c r="L433" s="216">
        <v>45939</v>
      </c>
    </row>
    <row r="434" spans="1:12" ht="15.75" customHeight="1">
      <c r="A434" s="48" t="s">
        <v>126</v>
      </c>
      <c r="B434" s="114" t="str">
        <f>VLOOKUP(A434,'Tabela de Produtos'!A:B,2,0)</f>
        <v>BRAZIMIL LÁTEX ECONÔMICO INT FOSCO 15L AZUL OCEANO</v>
      </c>
      <c r="C434" s="48" t="s">
        <v>1203</v>
      </c>
      <c r="D434" s="114" t="str">
        <f>VLOOKUP(C434,'Custos Matéria Prima Embalagens'!B:C,2,0)</f>
        <v>WANBAC WBT CE (BH-200)</v>
      </c>
      <c r="E434" s="114" t="str">
        <f>VLOOKUP(C434,'Custos Matéria Prima Embalagens'!B:D,3,0)</f>
        <v>BACTERICIDA</v>
      </c>
      <c r="F434" s="270">
        <f t="shared" si="56"/>
        <v>922.8</v>
      </c>
      <c r="G434" s="148">
        <f t="shared" si="57"/>
        <v>3.2509752925877766E-3</v>
      </c>
      <c r="H434" s="274">
        <v>3</v>
      </c>
      <c r="I434" s="272">
        <f>ROUND(F434/VLOOKUP(A434,'Tabela de Produtos'!A:J,10,0),0)</f>
        <v>727</v>
      </c>
      <c r="J434" s="97">
        <f>IFERROR(VLOOKUP(C434,'Custos Matéria Prima Embalagens'!B:G,6,0)*H434,"Matéria Prima Não Cadastrada")</f>
        <v>14.819999999999999</v>
      </c>
      <c r="K434" s="97">
        <f>IFERROR(J434/(I434/VLOOKUP(A434,'Tabela de Produtos'!A:H,8,0)),"Matéria Prima Não Cadastrada")</f>
        <v>0.30577716643741398</v>
      </c>
      <c r="L434" s="216">
        <v>45939</v>
      </c>
    </row>
    <row r="435" spans="1:12" ht="15.75" customHeight="1">
      <c r="A435" s="48" t="s">
        <v>126</v>
      </c>
      <c r="B435" s="114" t="str">
        <f>VLOOKUP(A435,'Tabela de Produtos'!A:B,2,0)</f>
        <v>BRAZIMIL LÁTEX ECONÔMICO INT FOSCO 15L AZUL OCEANO</v>
      </c>
      <c r="C435" s="48" t="s">
        <v>1205</v>
      </c>
      <c r="D435" s="114" t="str">
        <f>VLOOKUP(C435,'Custos Matéria Prima Embalagens'!B:C,2,0)</f>
        <v>WANSUR 840 CE (BB-200)01</v>
      </c>
      <c r="E435" s="114" t="str">
        <f>VLOOKUP(C435,'Custos Matéria Prima Embalagens'!B:D,3,0)</f>
        <v>UMECTANTE</v>
      </c>
      <c r="F435" s="270">
        <f t="shared" si="56"/>
        <v>922.8</v>
      </c>
      <c r="G435" s="148">
        <f t="shared" si="57"/>
        <v>2.1673168617251841E-3</v>
      </c>
      <c r="H435" s="274">
        <v>2</v>
      </c>
      <c r="I435" s="272">
        <f>ROUND(F435/VLOOKUP(A435,'Tabela de Produtos'!A:J,10,0),0)</f>
        <v>727</v>
      </c>
      <c r="J435" s="97">
        <f>IFERROR(VLOOKUP(C435,'Custos Matéria Prima Embalagens'!B:G,6,0)*H435,"Matéria Prima Não Cadastrada")</f>
        <v>14.66</v>
      </c>
      <c r="K435" s="97">
        <f>IFERROR(J435/(I435/VLOOKUP(A435,'Tabela de Produtos'!A:H,8,0)),"Matéria Prima Não Cadastrada")</f>
        <v>0.30247592847317745</v>
      </c>
      <c r="L435" s="216">
        <v>45939</v>
      </c>
    </row>
    <row r="436" spans="1:12" ht="15.75" customHeight="1">
      <c r="A436" s="48" t="s">
        <v>126</v>
      </c>
      <c r="B436" s="114" t="str">
        <f>VLOOKUP(A436,'Tabela de Produtos'!A:B,2,0)</f>
        <v>BRAZIMIL LÁTEX ECONÔMICO INT FOSCO 15L AZUL OCEANO</v>
      </c>
      <c r="C436" s="48" t="s">
        <v>1207</v>
      </c>
      <c r="D436" s="114" t="str">
        <f>VLOOKUP(C436,'Custos Matéria Prima Embalagens'!B:C,2,0)</f>
        <v>WANPEX 1510 (BB-200)</v>
      </c>
      <c r="E436" s="114" t="str">
        <f>VLOOKUP(C436,'Custos Matéria Prima Embalagens'!B:D,3,0)</f>
        <v>DISPERSANTE LATEX</v>
      </c>
      <c r="F436" s="270">
        <f t="shared" si="56"/>
        <v>922.8</v>
      </c>
      <c r="G436" s="148">
        <f t="shared" si="57"/>
        <v>3.2509752925877766E-3</v>
      </c>
      <c r="H436" s="274">
        <v>3</v>
      </c>
      <c r="I436" s="272">
        <f>ROUND(F436/VLOOKUP(A436,'Tabela de Produtos'!A:J,10,0),0)</f>
        <v>727</v>
      </c>
      <c r="J436" s="97">
        <f>IFERROR(VLOOKUP(C436,'Custos Matéria Prima Embalagens'!B:G,6,0)*H436,"Matéria Prima Não Cadastrada")</f>
        <v>20.58</v>
      </c>
      <c r="K436" s="97">
        <f>IFERROR(J436/(I436/VLOOKUP(A436,'Tabela de Produtos'!A:H,8,0)),"Matéria Prima Não Cadastrada")</f>
        <v>0.42462173314993118</v>
      </c>
      <c r="L436" s="216">
        <v>45939</v>
      </c>
    </row>
    <row r="437" spans="1:12" ht="15.75" customHeight="1">
      <c r="A437" s="48" t="s">
        <v>126</v>
      </c>
      <c r="B437" s="114" t="str">
        <f>VLOOKUP(A437,'Tabela de Produtos'!A:B,2,0)</f>
        <v>BRAZIMIL LÁTEX ECONÔMICO INT FOSCO 15L AZUL OCEANO</v>
      </c>
      <c r="C437" s="48" t="s">
        <v>1209</v>
      </c>
      <c r="D437" s="114" t="str">
        <f>VLOOKUP(C437,'Custos Matéria Prima Embalagens'!B:C,2,0)</f>
        <v>WANFUNG WFT CE (BH-200)</v>
      </c>
      <c r="E437" s="114" t="str">
        <f>VLOOKUP(C437,'Custos Matéria Prima Embalagens'!B:D,3,0)</f>
        <v>FUNGICIDA</v>
      </c>
      <c r="F437" s="270">
        <f t="shared" si="56"/>
        <v>922.8</v>
      </c>
      <c r="G437" s="148">
        <f t="shared" si="57"/>
        <v>2.7091460771564804E-3</v>
      </c>
      <c r="H437" s="274">
        <v>2.5</v>
      </c>
      <c r="I437" s="272">
        <f>ROUND(F437/VLOOKUP(A437,'Tabela de Produtos'!A:J,10,0),0)</f>
        <v>727</v>
      </c>
      <c r="J437" s="97">
        <f>IFERROR(VLOOKUP(C437,'Custos Matéria Prima Embalagens'!B:G,6,0)*H437,"Matéria Prima Não Cadastrada")</f>
        <v>17.5</v>
      </c>
      <c r="K437" s="97">
        <f>IFERROR(J437/(I437/VLOOKUP(A437,'Tabela de Produtos'!A:H,8,0)),"Matéria Prima Não Cadastrada")</f>
        <v>0.36107290233837686</v>
      </c>
      <c r="L437" s="216">
        <v>45939</v>
      </c>
    </row>
    <row r="438" spans="1:12" ht="15.75" customHeight="1">
      <c r="A438" s="48" t="s">
        <v>126</v>
      </c>
      <c r="B438" s="114" t="str">
        <f>VLOOKUP(A438,'Tabela de Produtos'!A:B,2,0)</f>
        <v>BRAZIMIL LÁTEX ECONÔMICO INT FOSCO 15L AZUL OCEANO</v>
      </c>
      <c r="C438" s="48" t="s">
        <v>1215</v>
      </c>
      <c r="D438" s="114" t="str">
        <f>VLOOKUP(C438,'Custos Matéria Prima Embalagens'!B:C,2,0)</f>
        <v>CALCARIO DOLOMITICO #500 ( SACOS 25 KG)</v>
      </c>
      <c r="E438" s="114" t="str">
        <f>VLOOKUP(C438,'Custos Matéria Prima Embalagens'!B:D,3,0)</f>
        <v>CARBONATO #500</v>
      </c>
      <c r="F438" s="270">
        <f t="shared" si="56"/>
        <v>922.8</v>
      </c>
      <c r="G438" s="148">
        <f t="shared" si="57"/>
        <v>5.4182921543129606E-2</v>
      </c>
      <c r="H438" s="274">
        <v>50</v>
      </c>
      <c r="I438" s="272">
        <f>ROUND(F438/VLOOKUP(A438,'Tabela de Produtos'!A:J,10,0),0)</f>
        <v>727</v>
      </c>
      <c r="J438" s="97">
        <f>IFERROR(VLOOKUP(C438,'Custos Matéria Prima Embalagens'!B:G,6,0)*H438,"Matéria Prima Não Cadastrada")</f>
        <v>40</v>
      </c>
      <c r="K438" s="97">
        <f>IFERROR(J438/(I438/VLOOKUP(A438,'Tabela de Produtos'!A:H,8,0)),"Matéria Prima Não Cadastrada")</f>
        <v>0.82530949105914719</v>
      </c>
      <c r="L438" s="216">
        <v>45939</v>
      </c>
    </row>
    <row r="439" spans="1:12" ht="15.75" customHeight="1">
      <c r="A439" s="48" t="s">
        <v>126</v>
      </c>
      <c r="B439" s="114" t="str">
        <f>VLOOKUP(A439,'Tabela de Produtos'!A:B,2,0)</f>
        <v>BRAZIMIL LÁTEX ECONÔMICO INT FOSCO 15L AZUL OCEANO</v>
      </c>
      <c r="C439" s="48" t="s">
        <v>1227</v>
      </c>
      <c r="D439" s="114" t="str">
        <f>VLOOKUP(C439,'Custos Matéria Prima Embalagens'!B:C,2,0)</f>
        <v>CAULIM MALHA 325</v>
      </c>
      <c r="E439" s="114" t="str">
        <f>VLOOKUP(C439,'Custos Matéria Prima Embalagens'!B:D,3,0)</f>
        <v>caulim</v>
      </c>
      <c r="F439" s="270">
        <f t="shared" si="56"/>
        <v>922.8</v>
      </c>
      <c r="G439" s="148">
        <f t="shared" si="57"/>
        <v>0.35218899003034243</v>
      </c>
      <c r="H439" s="274">
        <v>325</v>
      </c>
      <c r="I439" s="272">
        <f>ROUND(F439/VLOOKUP(A439,'Tabela de Produtos'!A:J,10,0),0)</f>
        <v>727</v>
      </c>
      <c r="J439" s="97">
        <f>IFERROR(VLOOKUP(C439,'Custos Matéria Prima Embalagens'!B:G,6,0)*H439,"Matéria Prima Não Cadastrada")</f>
        <v>494.16105555555538</v>
      </c>
      <c r="K439" s="97">
        <f>IFERROR(J439/(I439/VLOOKUP(A439,'Tabela de Produtos'!A:H,8,0)),"Matéria Prima Não Cadastrada")</f>
        <v>10.195895231545158</v>
      </c>
      <c r="L439" s="216">
        <v>45939</v>
      </c>
    </row>
    <row r="440" spans="1:12" ht="15.75" customHeight="1">
      <c r="A440" s="48" t="s">
        <v>126</v>
      </c>
      <c r="B440" s="114" t="str">
        <f>VLOOKUP(A440,'Tabela de Produtos'!A:B,2,0)</f>
        <v>BRAZIMIL LÁTEX ECONÔMICO INT FOSCO 15L AZUL OCEANO</v>
      </c>
      <c r="C440" s="48" t="s">
        <v>1217</v>
      </c>
      <c r="D440" s="114" t="str">
        <f>VLOOKUP(C440,'Custos Matéria Prima Embalagens'!B:C,2,0)</f>
        <v>WANCRIL W 51 CE (CT-1000P)</v>
      </c>
      <c r="E440" s="114" t="str">
        <f>VLOOKUP(C440,'Custos Matéria Prima Embalagens'!B:D,3,0)</f>
        <v>RESINA ACRILICA ESTIRENADA</v>
      </c>
      <c r="F440" s="270">
        <f t="shared" si="56"/>
        <v>922.8</v>
      </c>
      <c r="G440" s="148">
        <f t="shared" si="57"/>
        <v>3.7928045080190723E-2</v>
      </c>
      <c r="H440" s="274">
        <v>35</v>
      </c>
      <c r="I440" s="272">
        <f>ROUND(F440/VLOOKUP(A440,'Tabela de Produtos'!A:J,10,0),0)</f>
        <v>727</v>
      </c>
      <c r="J440" s="97">
        <f>IFERROR(VLOOKUP(C440,'Custos Matéria Prima Embalagens'!B:G,6,0)*H440,"Matéria Prima Não Cadastrada")</f>
        <v>295.05</v>
      </c>
      <c r="K440" s="97">
        <f>IFERROR(J440/(I440/VLOOKUP(A440,'Tabela de Produtos'!A:H,8,0)),"Matéria Prima Não Cadastrada")</f>
        <v>6.0876891334250347</v>
      </c>
      <c r="L440" s="216">
        <v>45939</v>
      </c>
    </row>
    <row r="441" spans="1:12" ht="15.75" customHeight="1">
      <c r="A441" s="48" t="s">
        <v>126</v>
      </c>
      <c r="B441" s="114" t="str">
        <f>VLOOKUP(A441,'Tabela de Produtos'!A:B,2,0)</f>
        <v>BRAZIMIL LÁTEX ECONÔMICO INT FOSCO 15L AZUL OCEANO</v>
      </c>
      <c r="C441" s="48" t="s">
        <v>1219</v>
      </c>
      <c r="D441" s="114" t="str">
        <f>VLOOKUP(C441,'Custos Matéria Prima Embalagens'!B:C,2,0)</f>
        <v>WANALK 70 CE (BH-200)</v>
      </c>
      <c r="E441" s="114" t="str">
        <f>VLOOKUP(C441,'Custos Matéria Prima Embalagens'!B:D,3,0)</f>
        <v>ALCALINIZANTE</v>
      </c>
      <c r="F441" s="270">
        <f t="shared" si="56"/>
        <v>922.8</v>
      </c>
      <c r="G441" s="148">
        <f t="shared" si="57"/>
        <v>3.2509752925877766E-3</v>
      </c>
      <c r="H441" s="274">
        <v>3</v>
      </c>
      <c r="I441" s="272">
        <f>ROUND(F441/VLOOKUP(A441,'Tabela de Produtos'!A:J,10,0),0)</f>
        <v>727</v>
      </c>
      <c r="J441" s="97">
        <f>IFERROR(VLOOKUP(C441,'Custos Matéria Prima Embalagens'!B:G,6,0)*H441,"Matéria Prima Não Cadastrada")</f>
        <v>14.940000000000001</v>
      </c>
      <c r="K441" s="97">
        <f>IFERROR(J441/(I441/VLOOKUP(A441,'Tabela de Produtos'!A:H,8,0)),"Matéria Prima Não Cadastrada")</f>
        <v>0.3082530949105915</v>
      </c>
      <c r="L441" s="216">
        <v>45939</v>
      </c>
    </row>
    <row r="442" spans="1:12" ht="15.75" customHeight="1">
      <c r="A442" s="48" t="s">
        <v>126</v>
      </c>
      <c r="B442" s="114" t="str">
        <f>VLOOKUP(A442,'Tabela de Produtos'!A:B,2,0)</f>
        <v>BRAZIMIL LÁTEX ECONÔMICO INT FOSCO 15L AZUL OCEANO</v>
      </c>
      <c r="C442" s="48" t="s">
        <v>1221</v>
      </c>
      <c r="D442" s="114" t="str">
        <f>VLOOKUP(C442,'Custos Matéria Prima Embalagens'!B:C,2,0)</f>
        <v>MODIWAN 105H CE (CT-1000P)</v>
      </c>
      <c r="E442" s="114" t="str">
        <f>VLOOKUP(C442,'Custos Matéria Prima Embalagens'!B:D,3,0)</f>
        <v>ESPESSANTE DE MEDIA</v>
      </c>
      <c r="F442" s="270">
        <f t="shared" si="56"/>
        <v>922.8</v>
      </c>
      <c r="G442" s="148">
        <f t="shared" si="57"/>
        <v>1.6796705678370178E-2</v>
      </c>
      <c r="H442" s="274">
        <v>15.5</v>
      </c>
      <c r="I442" s="272">
        <f>ROUND(F442/VLOOKUP(A442,'Tabela de Produtos'!A:J,10,0),0)</f>
        <v>727</v>
      </c>
      <c r="J442" s="97">
        <f>IFERROR(VLOOKUP(C442,'Custos Matéria Prima Embalagens'!B:G,6,0)*H442,"Matéria Prima Não Cadastrada")</f>
        <v>122.52749999999999</v>
      </c>
      <c r="K442" s="97">
        <f>IFERROR(J442/(I442/VLOOKUP(A442,'Tabela de Produtos'!A:H,8,0)),"Matéria Prima Não Cadastrada")</f>
        <v>2.5280777166437409</v>
      </c>
      <c r="L442" s="216">
        <v>45939</v>
      </c>
    </row>
    <row r="443" spans="1:12" ht="15.75" customHeight="1">
      <c r="A443" s="48" t="s">
        <v>126</v>
      </c>
      <c r="B443" s="114" t="str">
        <f>VLOOKUP(A443,'Tabela de Produtos'!A:B,2,0)</f>
        <v>BRAZIMIL LÁTEX ECONÔMICO INT FOSCO 15L AZUL OCEANO</v>
      </c>
      <c r="C443" s="48" t="s">
        <v>1223</v>
      </c>
      <c r="D443" s="114" t="str">
        <f>VLOOKUP(C443,'Custos Matéria Prima Embalagens'!B:C,2,0)</f>
        <v>TURBOWAN H CE (BH-200)</v>
      </c>
      <c r="E443" s="114" t="str">
        <f>VLOOKUP(C443,'Custos Matéria Prima Embalagens'!B:D,3,0)</f>
        <v>PROMOTOR DE LAVABILIDADE</v>
      </c>
      <c r="F443" s="270">
        <f t="shared" si="56"/>
        <v>922.8</v>
      </c>
      <c r="G443" s="148">
        <f t="shared" si="57"/>
        <v>8.1274382314694416E-3</v>
      </c>
      <c r="H443" s="274">
        <v>7.5</v>
      </c>
      <c r="I443" s="272">
        <f>ROUND(F443/VLOOKUP(A443,'Tabela de Produtos'!A:J,10,0),0)</f>
        <v>727</v>
      </c>
      <c r="J443" s="97">
        <f>IFERROR(VLOOKUP(C443,'Custos Matéria Prima Embalagens'!B:G,6,0)*H443,"Matéria Prima Não Cadastrada")</f>
        <v>36.375</v>
      </c>
      <c r="K443" s="97">
        <f>IFERROR(J443/(I443/VLOOKUP(A443,'Tabela de Produtos'!A:H,8,0)),"Matéria Prima Não Cadastrada")</f>
        <v>0.75051581843191195</v>
      </c>
      <c r="L443" s="216">
        <v>45939</v>
      </c>
    </row>
    <row r="444" spans="1:12" ht="15.75" customHeight="1">
      <c r="A444" s="48" t="s">
        <v>126</v>
      </c>
      <c r="B444" s="114" t="str">
        <f>VLOOKUP(A444,'Tabela de Produtos'!A:B,2,0)</f>
        <v>BRAZIMIL LÁTEX ECONÔMICO INT FOSCO 15L AZUL OCEANO</v>
      </c>
      <c r="C444" s="48" t="s">
        <v>1229</v>
      </c>
      <c r="D444" s="114" t="str">
        <f>VLOOKUP(C444,'Custos Matéria Prima Embalagens'!B:C,2,0)</f>
        <v>WANSOL 340 CE (BB-200)</v>
      </c>
      <c r="E444" s="114" t="str">
        <f>VLOOKUP(C444,'Custos Matéria Prima Embalagens'!B:D,3,0)</f>
        <v>COALESCENTE</v>
      </c>
      <c r="F444" s="270">
        <f t="shared" si="56"/>
        <v>922.8</v>
      </c>
      <c r="G444" s="148">
        <f t="shared" si="57"/>
        <v>5.4182921543129607E-3</v>
      </c>
      <c r="H444" s="274">
        <v>5</v>
      </c>
      <c r="I444" s="272">
        <f>ROUND(F444/VLOOKUP(A444,'Tabela de Produtos'!A:J,10,0),0)</f>
        <v>727</v>
      </c>
      <c r="J444" s="97">
        <f>IFERROR(VLOOKUP(C444,'Custos Matéria Prima Embalagens'!B:G,6,0)*H444,"Matéria Prima Não Cadastrada")</f>
        <v>96.1</v>
      </c>
      <c r="K444" s="97">
        <f>IFERROR(J444/(I444/VLOOKUP(A444,'Tabela de Produtos'!A:H,8,0)),"Matéria Prima Não Cadastrada")</f>
        <v>1.9828060522696009</v>
      </c>
      <c r="L444" s="216">
        <v>45939</v>
      </c>
    </row>
    <row r="445" spans="1:12" ht="15.75" customHeight="1">
      <c r="A445" s="48" t="s">
        <v>126</v>
      </c>
      <c r="B445" s="114" t="str">
        <f>VLOOKUP(A445,'Tabela de Produtos'!A:B,2,0)</f>
        <v>BRAZIMIL LÁTEX ECONÔMICO INT FOSCO 15L AZUL OCEANO</v>
      </c>
      <c r="C445" s="48" t="s">
        <v>1241</v>
      </c>
      <c r="D445" s="114" t="str">
        <f>VLOOKUP(C445,'Custos Matéria Prima Embalagens'!B:C,2,0)</f>
        <v>AZUL SPECTRAPRINT SRH</v>
      </c>
      <c r="E445" s="114" t="str">
        <f>VLOOKUP(C445,'Custos Matéria Prima Embalagens'!B:D,3,0)</f>
        <v>AZUL SPECTRAPRINT SRH</v>
      </c>
      <c r="F445" s="270">
        <f t="shared" si="56"/>
        <v>922.8</v>
      </c>
      <c r="G445" s="148">
        <f t="shared" si="57"/>
        <v>8.6692674469007365E-3</v>
      </c>
      <c r="H445" s="274">
        <v>8</v>
      </c>
      <c r="I445" s="272">
        <f>ROUND(F445/VLOOKUP(A445,'Tabela de Produtos'!A:J,10,0),0)</f>
        <v>727</v>
      </c>
      <c r="J445" s="97">
        <f>IFERROR(VLOOKUP(C445,'Custos Matéria Prima Embalagens'!B:G,6,0)*H445,"Matéria Prima Não Cadastrada")</f>
        <v>250</v>
      </c>
      <c r="K445" s="97">
        <f>IFERROR(J445/(I445/VLOOKUP(A445,'Tabela de Produtos'!A:H,8,0)),"Matéria Prima Não Cadastrada")</f>
        <v>5.1581843191196697</v>
      </c>
      <c r="L445" s="216">
        <v>45939</v>
      </c>
    </row>
    <row r="446" spans="1:12" ht="15.75" customHeight="1">
      <c r="A446" s="48" t="s">
        <v>126</v>
      </c>
      <c r="B446" s="114" t="str">
        <f>VLOOKUP(A446,'Tabela de Produtos'!A:B,2,0)</f>
        <v>BRAZIMIL LÁTEX ECONÔMICO INT FOSCO 15L AZUL OCEANO</v>
      </c>
      <c r="C446" s="48" t="s">
        <v>1244</v>
      </c>
      <c r="D446" s="114" t="str">
        <f>VLOOKUP(C446,'Custos Matéria Prima Embalagens'!B:C,2,0)</f>
        <v>VERMELHO SPECTRAPRINT GR</v>
      </c>
      <c r="E446" s="114" t="str">
        <f>VLOOKUP(C446,'Custos Matéria Prima Embalagens'!B:D,3,0)</f>
        <v>VERMELHO SPECTRAPRINT GR</v>
      </c>
      <c r="F446" s="270">
        <f t="shared" si="56"/>
        <v>922.8</v>
      </c>
      <c r="G446" s="148">
        <f t="shared" si="57"/>
        <v>8.6692674469007378E-4</v>
      </c>
      <c r="H446" s="274">
        <v>0.8</v>
      </c>
      <c r="I446" s="272">
        <f>ROUND(F446/VLOOKUP(A446,'Tabela de Produtos'!A:J,10,0),0)</f>
        <v>727</v>
      </c>
      <c r="J446" s="97">
        <f>IFERROR(VLOOKUP(C446,'Custos Matéria Prima Embalagens'!B:G,6,0)*H446,"Matéria Prima Não Cadastrada")</f>
        <v>32.264000000000003</v>
      </c>
      <c r="K446" s="97">
        <f>IFERROR(J446/(I446/VLOOKUP(A446,'Tabela de Produtos'!A:H,8,0)),"Matéria Prima Não Cadastrada")</f>
        <v>0.6656946354883081</v>
      </c>
      <c r="L446" s="216">
        <v>45939</v>
      </c>
    </row>
    <row r="447" spans="1:12" ht="15.75" customHeight="1">
      <c r="D447" s="114"/>
      <c r="E447" s="114"/>
      <c r="F447" s="96"/>
      <c r="G447" s="148"/>
      <c r="H447" s="274"/>
      <c r="I447" s="272"/>
      <c r="J447" s="97"/>
      <c r="K447" s="97"/>
      <c r="L447" s="216">
        <v>45939</v>
      </c>
    </row>
    <row r="448" spans="1:12" ht="15.75" customHeight="1">
      <c r="A448" s="48" t="s">
        <v>127</v>
      </c>
      <c r="B448" s="114" t="str">
        <f>VLOOKUP(A448,'Tabela de Produtos'!A:B,2,0)</f>
        <v>BRAZIMIL LÁTEX ECONÔMICO INT FOSCO 15L AMARELO CANARIO</v>
      </c>
      <c r="C448" s="48" t="s">
        <v>1197</v>
      </c>
      <c r="D448" s="114" t="str">
        <f>VLOOKUP(C448,'Custos Matéria Prima Embalagens'!B:C,2,0)</f>
        <v>AGUA</v>
      </c>
      <c r="E448" s="114" t="str">
        <f>VLOOKUP(C448,'Custos Matéria Prima Embalagens'!B:D,3,0)</f>
        <v>AGUA</v>
      </c>
      <c r="F448" s="270">
        <f t="shared" ref="F448:F461" si="58">SUMIFS(H:H,A:A,A448)</f>
        <v>913</v>
      </c>
      <c r="G448" s="148">
        <f t="shared" ref="G448:G461" si="59">H448/F448</f>
        <v>0.50383351588170866</v>
      </c>
      <c r="H448" s="274">
        <v>460</v>
      </c>
      <c r="I448" s="272">
        <f>ROUND(F448/VLOOKUP(A448,'Tabela de Produtos'!A:J,10,0),0)</f>
        <v>719</v>
      </c>
      <c r="J448" s="97">
        <f>IFERROR(VLOOKUP(C448,'Custos Matéria Prima Embalagens'!B:G,6,0)*H448,"Matéria Prima Não Cadastrada")</f>
        <v>0</v>
      </c>
      <c r="K448" s="97">
        <f>IFERROR(J448/(I448/VLOOKUP(A448,'Tabela de Produtos'!A:H,8,0)),"Matéria Prima Não Cadastrada")</f>
        <v>0</v>
      </c>
      <c r="L448" s="216">
        <v>45939</v>
      </c>
    </row>
    <row r="449" spans="1:12" ht="15.75" customHeight="1">
      <c r="A449" s="48" t="s">
        <v>127</v>
      </c>
      <c r="B449" s="114" t="str">
        <f>VLOOKUP(A449,'Tabela de Produtos'!A:B,2,0)</f>
        <v>BRAZIMIL LÁTEX ECONÔMICO INT FOSCO 15L AMARELO CANARIO</v>
      </c>
      <c r="C449" s="48" t="s">
        <v>1201</v>
      </c>
      <c r="D449" s="114" t="str">
        <f>VLOOKUP(C449,'Custos Matéria Prima Embalagens'!B:C,2,0)</f>
        <v>WANFOAM 528 CE (BB-190)</v>
      </c>
      <c r="E449" s="114" t="str">
        <f>VLOOKUP(C449,'Custos Matéria Prima Embalagens'!B:D,3,0)</f>
        <v>ANTI ESPUMA LATEX</v>
      </c>
      <c r="F449" s="270">
        <f t="shared" si="58"/>
        <v>913</v>
      </c>
      <c r="G449" s="148">
        <f t="shared" si="59"/>
        <v>2.7382256297918948E-3</v>
      </c>
      <c r="H449" s="274">
        <v>2.5</v>
      </c>
      <c r="I449" s="272">
        <f>ROUND(F449/VLOOKUP(A449,'Tabela de Produtos'!A:J,10,0),0)</f>
        <v>719</v>
      </c>
      <c r="J449" s="97">
        <f>IFERROR(VLOOKUP(C449,'Custos Matéria Prima Embalagens'!B:G,6,0)*H449,"Matéria Prima Não Cadastrada")</f>
        <v>17.95</v>
      </c>
      <c r="K449" s="97">
        <f>IFERROR(J449/(I449/VLOOKUP(A449,'Tabela de Produtos'!A:H,8,0)),"Matéria Prima Não Cadastrada")</f>
        <v>0.37447844228094579</v>
      </c>
      <c r="L449" s="216">
        <v>45939</v>
      </c>
    </row>
    <row r="450" spans="1:12" ht="15.75" customHeight="1">
      <c r="A450" s="48" t="s">
        <v>127</v>
      </c>
      <c r="B450" s="114" t="str">
        <f>VLOOKUP(A450,'Tabela de Produtos'!A:B,2,0)</f>
        <v>BRAZIMIL LÁTEX ECONÔMICO INT FOSCO 15L AMARELO CANARIO</v>
      </c>
      <c r="C450" s="48" t="s">
        <v>1203</v>
      </c>
      <c r="D450" s="114" t="str">
        <f>VLOOKUP(C450,'Custos Matéria Prima Embalagens'!B:C,2,0)</f>
        <v>WANBAC WBT CE (BH-200)</v>
      </c>
      <c r="E450" s="114" t="str">
        <f>VLOOKUP(C450,'Custos Matéria Prima Embalagens'!B:D,3,0)</f>
        <v>BACTERICIDA</v>
      </c>
      <c r="F450" s="270">
        <f t="shared" si="58"/>
        <v>913</v>
      </c>
      <c r="G450" s="148">
        <f t="shared" si="59"/>
        <v>3.2858707557502738E-3</v>
      </c>
      <c r="H450" s="274">
        <v>3</v>
      </c>
      <c r="I450" s="272">
        <f>ROUND(F450/VLOOKUP(A450,'Tabela de Produtos'!A:J,10,0),0)</f>
        <v>719</v>
      </c>
      <c r="J450" s="97">
        <f>IFERROR(VLOOKUP(C450,'Custos Matéria Prima Embalagens'!B:G,6,0)*H450,"Matéria Prima Não Cadastrada")</f>
        <v>14.819999999999999</v>
      </c>
      <c r="K450" s="97">
        <f>IFERROR(J450/(I450/VLOOKUP(A450,'Tabela de Produtos'!A:H,8,0)),"Matéria Prima Não Cadastrada")</f>
        <v>0.30917941585535463</v>
      </c>
      <c r="L450" s="216">
        <v>45939</v>
      </c>
    </row>
    <row r="451" spans="1:12" ht="15.75" customHeight="1">
      <c r="A451" s="48" t="s">
        <v>127</v>
      </c>
      <c r="B451" s="114" t="str">
        <f>VLOOKUP(A451,'Tabela de Produtos'!A:B,2,0)</f>
        <v>BRAZIMIL LÁTEX ECONÔMICO INT FOSCO 15L AMARELO CANARIO</v>
      </c>
      <c r="C451" s="48" t="s">
        <v>1205</v>
      </c>
      <c r="D451" s="114" t="str">
        <f>VLOOKUP(C451,'Custos Matéria Prima Embalagens'!B:C,2,0)</f>
        <v>WANSUR 840 CE (BB-200)01</v>
      </c>
      <c r="E451" s="114" t="str">
        <f>VLOOKUP(C451,'Custos Matéria Prima Embalagens'!B:D,3,0)</f>
        <v>UMECTANTE</v>
      </c>
      <c r="F451" s="270">
        <f t="shared" si="58"/>
        <v>913</v>
      </c>
      <c r="G451" s="148">
        <f t="shared" si="59"/>
        <v>2.1905805038335158E-3</v>
      </c>
      <c r="H451" s="274">
        <v>2</v>
      </c>
      <c r="I451" s="272">
        <f>ROUND(F451/VLOOKUP(A451,'Tabela de Produtos'!A:J,10,0),0)</f>
        <v>719</v>
      </c>
      <c r="J451" s="97">
        <f>IFERROR(VLOOKUP(C451,'Custos Matéria Prima Embalagens'!B:G,6,0)*H451,"Matéria Prima Não Cadastrada")</f>
        <v>14.66</v>
      </c>
      <c r="K451" s="97">
        <f>IFERROR(J451/(I451/VLOOKUP(A451,'Tabela de Produtos'!A:H,8,0)),"Matéria Prima Não Cadastrada")</f>
        <v>0.30584144645340755</v>
      </c>
      <c r="L451" s="216">
        <v>45939</v>
      </c>
    </row>
    <row r="452" spans="1:12" ht="15.75" customHeight="1">
      <c r="A452" s="48" t="s">
        <v>127</v>
      </c>
      <c r="B452" s="114" t="str">
        <f>VLOOKUP(A452,'Tabela de Produtos'!A:B,2,0)</f>
        <v>BRAZIMIL LÁTEX ECONÔMICO INT FOSCO 15L AMARELO CANARIO</v>
      </c>
      <c r="C452" s="48" t="s">
        <v>1207</v>
      </c>
      <c r="D452" s="114" t="str">
        <f>VLOOKUP(C452,'Custos Matéria Prima Embalagens'!B:C,2,0)</f>
        <v>WANPEX 1510 (BB-200)</v>
      </c>
      <c r="E452" s="114" t="str">
        <f>VLOOKUP(C452,'Custos Matéria Prima Embalagens'!B:D,3,0)</f>
        <v>DISPERSANTE LATEX</v>
      </c>
      <c r="F452" s="270">
        <f t="shared" si="58"/>
        <v>913</v>
      </c>
      <c r="G452" s="148">
        <f t="shared" si="59"/>
        <v>3.2858707557502738E-3</v>
      </c>
      <c r="H452" s="274">
        <v>3</v>
      </c>
      <c r="I452" s="272">
        <f>ROUND(F452/VLOOKUP(A452,'Tabela de Produtos'!A:J,10,0),0)</f>
        <v>719</v>
      </c>
      <c r="J452" s="97">
        <f>IFERROR(VLOOKUP(C452,'Custos Matéria Prima Embalagens'!B:G,6,0)*H452,"Matéria Prima Não Cadastrada")</f>
        <v>20.58</v>
      </c>
      <c r="K452" s="97">
        <f>IFERROR(J452/(I452/VLOOKUP(A452,'Tabela de Produtos'!A:H,8,0)),"Matéria Prima Não Cadastrada")</f>
        <v>0.42934631432545201</v>
      </c>
      <c r="L452" s="216">
        <v>45939</v>
      </c>
    </row>
    <row r="453" spans="1:12" ht="15.75" customHeight="1">
      <c r="A453" s="48" t="s">
        <v>127</v>
      </c>
      <c r="B453" s="114" t="str">
        <f>VLOOKUP(A453,'Tabela de Produtos'!A:B,2,0)</f>
        <v>BRAZIMIL LÁTEX ECONÔMICO INT FOSCO 15L AMARELO CANARIO</v>
      </c>
      <c r="C453" s="48" t="s">
        <v>1209</v>
      </c>
      <c r="D453" s="114" t="str">
        <f>VLOOKUP(C453,'Custos Matéria Prima Embalagens'!B:C,2,0)</f>
        <v>WANFUNG WFT CE (BH-200)</v>
      </c>
      <c r="E453" s="114" t="str">
        <f>VLOOKUP(C453,'Custos Matéria Prima Embalagens'!B:D,3,0)</f>
        <v>FUNGICIDA</v>
      </c>
      <c r="F453" s="270">
        <f t="shared" si="58"/>
        <v>913</v>
      </c>
      <c r="G453" s="148">
        <f t="shared" si="59"/>
        <v>2.7382256297918948E-3</v>
      </c>
      <c r="H453" s="274">
        <v>2.5</v>
      </c>
      <c r="I453" s="272">
        <f>ROUND(F453/VLOOKUP(A453,'Tabela de Produtos'!A:J,10,0),0)</f>
        <v>719</v>
      </c>
      <c r="J453" s="97">
        <f>IFERROR(VLOOKUP(C453,'Custos Matéria Prima Embalagens'!B:G,6,0)*H453,"Matéria Prima Não Cadastrada")</f>
        <v>17.5</v>
      </c>
      <c r="K453" s="97">
        <f>IFERROR(J453/(I453/VLOOKUP(A453,'Tabela de Produtos'!A:H,8,0)),"Matéria Prima Não Cadastrada")</f>
        <v>0.36509040333796944</v>
      </c>
      <c r="L453" s="216">
        <v>45939</v>
      </c>
    </row>
    <row r="454" spans="1:12" ht="15.75" customHeight="1">
      <c r="A454" s="48" t="s">
        <v>127</v>
      </c>
      <c r="B454" s="114" t="str">
        <f>VLOOKUP(A454,'Tabela de Produtos'!A:B,2,0)</f>
        <v>BRAZIMIL LÁTEX ECONÔMICO INT FOSCO 15L AMARELO CANARIO</v>
      </c>
      <c r="C454" s="48" t="s">
        <v>1215</v>
      </c>
      <c r="D454" s="114" t="str">
        <f>VLOOKUP(C454,'Custos Matéria Prima Embalagens'!B:C,2,0)</f>
        <v>CALCARIO DOLOMITICO #500 ( SACOS 25 KG)</v>
      </c>
      <c r="E454" s="114" t="str">
        <f>VLOOKUP(C454,'Custos Matéria Prima Embalagens'!B:D,3,0)</f>
        <v>CARBONATO #500</v>
      </c>
      <c r="F454" s="270">
        <f t="shared" si="58"/>
        <v>913</v>
      </c>
      <c r="G454" s="148">
        <f t="shared" si="59"/>
        <v>5.4764512595837894E-2</v>
      </c>
      <c r="H454" s="274">
        <v>50</v>
      </c>
      <c r="I454" s="272">
        <f>ROUND(F454/VLOOKUP(A454,'Tabela de Produtos'!A:J,10,0),0)</f>
        <v>719</v>
      </c>
      <c r="J454" s="97">
        <f>IFERROR(VLOOKUP(C454,'Custos Matéria Prima Embalagens'!B:G,6,0)*H454,"Matéria Prima Não Cadastrada")</f>
        <v>40</v>
      </c>
      <c r="K454" s="97">
        <f>IFERROR(J454/(I454/VLOOKUP(A454,'Tabela de Produtos'!A:H,8,0)),"Matéria Prima Não Cadastrada")</f>
        <v>0.83449235048678727</v>
      </c>
      <c r="L454" s="216">
        <v>45939</v>
      </c>
    </row>
    <row r="455" spans="1:12" ht="15.75" customHeight="1">
      <c r="A455" s="48" t="s">
        <v>127</v>
      </c>
      <c r="B455" s="114" t="str">
        <f>VLOOKUP(A455,'Tabela de Produtos'!A:B,2,0)</f>
        <v>BRAZIMIL LÁTEX ECONÔMICO INT FOSCO 15L AMARELO CANARIO</v>
      </c>
      <c r="C455" s="48" t="s">
        <v>1227</v>
      </c>
      <c r="D455" s="114" t="str">
        <f>VLOOKUP(C455,'Custos Matéria Prima Embalagens'!B:C,2,0)</f>
        <v>CAULIM MALHA 325</v>
      </c>
      <c r="E455" s="114" t="str">
        <f>VLOOKUP(C455,'Custos Matéria Prima Embalagens'!B:D,3,0)</f>
        <v>caulim</v>
      </c>
      <c r="F455" s="270">
        <f t="shared" si="58"/>
        <v>913</v>
      </c>
      <c r="G455" s="148">
        <f t="shared" si="59"/>
        <v>0.35596933187294633</v>
      </c>
      <c r="H455" s="274">
        <v>325</v>
      </c>
      <c r="I455" s="272">
        <f>ROUND(F455/VLOOKUP(A455,'Tabela de Produtos'!A:J,10,0),0)</f>
        <v>719</v>
      </c>
      <c r="J455" s="97">
        <f>IFERROR(VLOOKUP(C455,'Custos Matéria Prima Embalagens'!B:G,6,0)*H455,"Matéria Prima Não Cadastrada")</f>
        <v>494.16105555555538</v>
      </c>
      <c r="K455" s="97">
        <f>IFERROR(J455/(I455/VLOOKUP(A455,'Tabela de Produtos'!A:H,8,0)),"Matéria Prima Não Cadastrada")</f>
        <v>10.309340519239681</v>
      </c>
      <c r="L455" s="216">
        <v>45939</v>
      </c>
    </row>
    <row r="456" spans="1:12" ht="15.75" customHeight="1">
      <c r="A456" s="48" t="s">
        <v>127</v>
      </c>
      <c r="B456" s="114" t="str">
        <f>VLOOKUP(A456,'Tabela de Produtos'!A:B,2,0)</f>
        <v>BRAZIMIL LÁTEX ECONÔMICO INT FOSCO 15L AMARELO CANARIO</v>
      </c>
      <c r="C456" s="48" t="s">
        <v>1217</v>
      </c>
      <c r="D456" s="114" t="str">
        <f>VLOOKUP(C456,'Custos Matéria Prima Embalagens'!B:C,2,0)</f>
        <v>WANCRIL W 51 CE (CT-1000P)</v>
      </c>
      <c r="E456" s="114" t="str">
        <f>VLOOKUP(C456,'Custos Matéria Prima Embalagens'!B:D,3,0)</f>
        <v>RESINA ACRILICA ESTIRENADA</v>
      </c>
      <c r="F456" s="270">
        <f t="shared" si="58"/>
        <v>913</v>
      </c>
      <c r="G456" s="148">
        <f t="shared" si="59"/>
        <v>3.2858707557502739E-2</v>
      </c>
      <c r="H456" s="274">
        <v>30</v>
      </c>
      <c r="I456" s="272">
        <f>ROUND(F456/VLOOKUP(A456,'Tabela de Produtos'!A:J,10,0),0)</f>
        <v>719</v>
      </c>
      <c r="J456" s="97">
        <f>IFERROR(VLOOKUP(C456,'Custos Matéria Prima Embalagens'!B:G,6,0)*H456,"Matéria Prima Não Cadastrada")</f>
        <v>252.89999999999998</v>
      </c>
      <c r="K456" s="97">
        <f>IFERROR(J456/(I456/VLOOKUP(A456,'Tabela de Produtos'!A:H,8,0)),"Matéria Prima Não Cadastrada")</f>
        <v>5.276077885952712</v>
      </c>
      <c r="L456" s="216">
        <v>45939</v>
      </c>
    </row>
    <row r="457" spans="1:12" ht="15.75" customHeight="1">
      <c r="A457" s="48" t="s">
        <v>127</v>
      </c>
      <c r="B457" s="114" t="str">
        <f>VLOOKUP(A457,'Tabela de Produtos'!A:B,2,0)</f>
        <v>BRAZIMIL LÁTEX ECONÔMICO INT FOSCO 15L AMARELO CANARIO</v>
      </c>
      <c r="C457" s="48" t="s">
        <v>1219</v>
      </c>
      <c r="D457" s="114" t="str">
        <f>VLOOKUP(C457,'Custos Matéria Prima Embalagens'!B:C,2,0)</f>
        <v>WANALK 70 CE (BH-200)</v>
      </c>
      <c r="E457" s="114" t="str">
        <f>VLOOKUP(C457,'Custos Matéria Prima Embalagens'!B:D,3,0)</f>
        <v>ALCALINIZANTE</v>
      </c>
      <c r="F457" s="270">
        <f t="shared" si="58"/>
        <v>913</v>
      </c>
      <c r="G457" s="148">
        <f t="shared" si="59"/>
        <v>3.2858707557502738E-3</v>
      </c>
      <c r="H457" s="274">
        <v>3</v>
      </c>
      <c r="I457" s="272">
        <f>ROUND(F457/VLOOKUP(A457,'Tabela de Produtos'!A:J,10,0),0)</f>
        <v>719</v>
      </c>
      <c r="J457" s="97">
        <f>IFERROR(VLOOKUP(C457,'Custos Matéria Prima Embalagens'!B:G,6,0)*H457,"Matéria Prima Não Cadastrada")</f>
        <v>14.940000000000001</v>
      </c>
      <c r="K457" s="97">
        <f>IFERROR(J457/(I457/VLOOKUP(A457,'Tabela de Produtos'!A:H,8,0)),"Matéria Prima Não Cadastrada")</f>
        <v>0.31168289290681506</v>
      </c>
      <c r="L457" s="216">
        <v>45939</v>
      </c>
    </row>
    <row r="458" spans="1:12" ht="15.75" customHeight="1">
      <c r="A458" s="48" t="s">
        <v>127</v>
      </c>
      <c r="B458" s="114" t="str">
        <f>VLOOKUP(A458,'Tabela de Produtos'!A:B,2,0)</f>
        <v>BRAZIMIL LÁTEX ECONÔMICO INT FOSCO 15L AMARELO CANARIO</v>
      </c>
      <c r="C458" s="48" t="s">
        <v>1221</v>
      </c>
      <c r="D458" s="114" t="str">
        <f>VLOOKUP(C458,'Custos Matéria Prima Embalagens'!B:C,2,0)</f>
        <v>MODIWAN 105H CE (CT-1000P)</v>
      </c>
      <c r="E458" s="114" t="str">
        <f>VLOOKUP(C458,'Custos Matéria Prima Embalagens'!B:D,3,0)</f>
        <v>ESPESSANTE DE MEDIA</v>
      </c>
      <c r="F458" s="270">
        <f t="shared" si="58"/>
        <v>913</v>
      </c>
      <c r="G458" s="148">
        <f t="shared" si="59"/>
        <v>1.6976998904709748E-2</v>
      </c>
      <c r="H458" s="274">
        <v>15.5</v>
      </c>
      <c r="I458" s="272">
        <f>ROUND(F458/VLOOKUP(A458,'Tabela de Produtos'!A:J,10,0),0)</f>
        <v>719</v>
      </c>
      <c r="J458" s="97">
        <f>IFERROR(VLOOKUP(C458,'Custos Matéria Prima Embalagens'!B:G,6,0)*H458,"Matéria Prima Não Cadastrada")</f>
        <v>122.52749999999999</v>
      </c>
      <c r="K458" s="97">
        <f>IFERROR(J458/(I458/VLOOKUP(A458,'Tabela de Produtos'!A:H,8,0)),"Matéria Prima Não Cadastrada")</f>
        <v>2.5562065368567453</v>
      </c>
      <c r="L458" s="216">
        <v>45939</v>
      </c>
    </row>
    <row r="459" spans="1:12" ht="15.75" customHeight="1">
      <c r="A459" s="48" t="s">
        <v>127</v>
      </c>
      <c r="B459" s="114" t="str">
        <f>VLOOKUP(A459,'Tabela de Produtos'!A:B,2,0)</f>
        <v>BRAZIMIL LÁTEX ECONÔMICO INT FOSCO 15L AMARELO CANARIO</v>
      </c>
      <c r="C459" s="48" t="s">
        <v>1223</v>
      </c>
      <c r="D459" s="114" t="str">
        <f>VLOOKUP(C459,'Custos Matéria Prima Embalagens'!B:C,2,0)</f>
        <v>TURBOWAN H CE (BH-200)</v>
      </c>
      <c r="E459" s="114" t="str">
        <f>VLOOKUP(C459,'Custos Matéria Prima Embalagens'!B:D,3,0)</f>
        <v>PROMOTOR DE LAVABILIDADE</v>
      </c>
      <c r="F459" s="270">
        <f t="shared" si="58"/>
        <v>913</v>
      </c>
      <c r="G459" s="148">
        <f t="shared" si="59"/>
        <v>8.2146768893756848E-3</v>
      </c>
      <c r="H459" s="274">
        <v>7.5</v>
      </c>
      <c r="I459" s="272">
        <f>ROUND(F459/VLOOKUP(A459,'Tabela de Produtos'!A:J,10,0),0)</f>
        <v>719</v>
      </c>
      <c r="J459" s="97">
        <f>IFERROR(VLOOKUP(C459,'Custos Matéria Prima Embalagens'!B:G,6,0)*H459,"Matéria Prima Não Cadastrada")</f>
        <v>36.375</v>
      </c>
      <c r="K459" s="97">
        <f>IFERROR(J459/(I459/VLOOKUP(A459,'Tabela de Produtos'!A:H,8,0)),"Matéria Prima Não Cadastrada")</f>
        <v>0.7588664812239222</v>
      </c>
      <c r="L459" s="216">
        <v>45939</v>
      </c>
    </row>
    <row r="460" spans="1:12" ht="15.75" customHeight="1">
      <c r="A460" s="48" t="s">
        <v>127</v>
      </c>
      <c r="B460" s="114" t="str">
        <f>VLOOKUP(A460,'Tabela de Produtos'!A:B,2,0)</f>
        <v>BRAZIMIL LÁTEX ECONÔMICO INT FOSCO 15L AMARELO CANARIO</v>
      </c>
      <c r="C460" s="48" t="s">
        <v>1229</v>
      </c>
      <c r="D460" s="114" t="str">
        <f>VLOOKUP(C460,'Custos Matéria Prima Embalagens'!B:C,2,0)</f>
        <v>WANSOL 340 CE (BB-200)</v>
      </c>
      <c r="E460" s="114" t="str">
        <f>VLOOKUP(C460,'Custos Matéria Prima Embalagens'!B:D,3,0)</f>
        <v>COALESCENTE</v>
      </c>
      <c r="F460" s="270">
        <f t="shared" si="58"/>
        <v>913</v>
      </c>
      <c r="G460" s="148">
        <f t="shared" si="59"/>
        <v>4.3811610076670317E-3</v>
      </c>
      <c r="H460" s="274">
        <v>4</v>
      </c>
      <c r="I460" s="272">
        <f>ROUND(F460/VLOOKUP(A460,'Tabela de Produtos'!A:J,10,0),0)</f>
        <v>719</v>
      </c>
      <c r="J460" s="97">
        <f>IFERROR(VLOOKUP(C460,'Custos Matéria Prima Embalagens'!B:G,6,0)*H460,"Matéria Prima Não Cadastrada")</f>
        <v>76.88</v>
      </c>
      <c r="K460" s="97">
        <f>IFERROR(J460/(I460/VLOOKUP(A460,'Tabela de Produtos'!A:H,8,0)),"Matéria Prima Não Cadastrada")</f>
        <v>1.603894297635605</v>
      </c>
      <c r="L460" s="216">
        <v>45939</v>
      </c>
    </row>
    <row r="461" spans="1:12" ht="15.75" customHeight="1">
      <c r="A461" s="48" t="s">
        <v>127</v>
      </c>
      <c r="B461" s="114" t="str">
        <f>VLOOKUP(A461,'Tabela de Produtos'!A:B,2,0)</f>
        <v>BRAZIMIL LÁTEX ECONÔMICO INT FOSCO 15L AMARELO CANARIO</v>
      </c>
      <c r="C461" s="48" t="s">
        <v>1239</v>
      </c>
      <c r="D461" s="114" t="str">
        <f>VLOOKUP(C461,'Custos Matéria Prima Embalagens'!B:C,2,0)</f>
        <v>AMARELO SPECTRAPRINT 2GXH</v>
      </c>
      <c r="E461" s="114" t="str">
        <f>VLOOKUP(C461,'Custos Matéria Prima Embalagens'!B:D,3,0)</f>
        <v>AMARELO SPECTRAPRINT 2GXH</v>
      </c>
      <c r="F461" s="270">
        <f t="shared" si="58"/>
        <v>913</v>
      </c>
      <c r="G461" s="148">
        <f t="shared" si="59"/>
        <v>5.4764512595837896E-3</v>
      </c>
      <c r="H461" s="274">
        <v>5</v>
      </c>
      <c r="I461" s="272">
        <f>ROUND(F461/VLOOKUP(A461,'Tabela de Produtos'!A:J,10,0),0)</f>
        <v>719</v>
      </c>
      <c r="J461" s="97">
        <f>IFERROR(VLOOKUP(C461,'Custos Matéria Prima Embalagens'!B:G,6,0)*H461,"Matéria Prima Não Cadastrada")</f>
        <v>105.55</v>
      </c>
      <c r="K461" s="97">
        <f>IFERROR(J461/(I461/VLOOKUP(A461,'Tabela de Produtos'!A:H,8,0)),"Matéria Prima Não Cadastrada")</f>
        <v>2.2020166898470097</v>
      </c>
      <c r="L461" s="216">
        <v>45939</v>
      </c>
    </row>
    <row r="462" spans="1:12" ht="15.75" customHeight="1">
      <c r="D462" s="114"/>
      <c r="E462" s="114"/>
      <c r="F462" s="96"/>
      <c r="G462" s="148"/>
      <c r="H462" s="96"/>
      <c r="I462" s="272"/>
      <c r="J462" s="97"/>
      <c r="K462" s="97"/>
      <c r="L462" s="216">
        <v>45939</v>
      </c>
    </row>
    <row r="463" spans="1:12" ht="15.75" customHeight="1">
      <c r="A463" s="48" t="s">
        <v>128</v>
      </c>
      <c r="B463" s="114" t="str">
        <f>VLOOKUP(A463,'Tabela de Produtos'!A:B,2,0)</f>
        <v>BRAZIMIL LÁTEX ECONÔMICO INT FOSCO 15L CROMO SUAVE</v>
      </c>
      <c r="C463" s="48" t="s">
        <v>1197</v>
      </c>
      <c r="D463" s="114" t="str">
        <f>VLOOKUP(C463,'Custos Matéria Prima Embalagens'!B:C,2,0)</f>
        <v>AGUA</v>
      </c>
      <c r="E463" s="114" t="str">
        <f>VLOOKUP(C463,'Custos Matéria Prima Embalagens'!B:D,3,0)</f>
        <v>AGUA</v>
      </c>
      <c r="F463" s="270">
        <f t="shared" ref="F463:F478" si="60">SUMIFS(H:H,A:A,A463)</f>
        <v>917.64</v>
      </c>
      <c r="G463" s="148">
        <f t="shared" ref="G463:G478" si="61">H463/F463</f>
        <v>0.50128590732749223</v>
      </c>
      <c r="H463" s="96">
        <v>460</v>
      </c>
      <c r="I463" s="272">
        <f>ROUND(F463/VLOOKUP(A463,'Tabela de Produtos'!A:J,10,0),0)</f>
        <v>723</v>
      </c>
      <c r="J463" s="97">
        <f>IFERROR(VLOOKUP(C463,'Custos Matéria Prima Embalagens'!B:G,6,0)*H463,"Matéria Prima Não Cadastrada")</f>
        <v>0</v>
      </c>
      <c r="K463" s="97">
        <f>IFERROR(J463/(I463/VLOOKUP(A463,'Tabela de Produtos'!A:H,8,0)),"Matéria Prima Não Cadastrada")</f>
        <v>0</v>
      </c>
      <c r="L463" s="216">
        <v>45939</v>
      </c>
    </row>
    <row r="464" spans="1:12" ht="15.75" customHeight="1">
      <c r="A464" s="48" t="s">
        <v>128</v>
      </c>
      <c r="B464" s="114" t="str">
        <f>VLOOKUP(A464,'Tabela de Produtos'!A:B,2,0)</f>
        <v>BRAZIMIL LÁTEX ECONÔMICO INT FOSCO 15L CROMO SUAVE</v>
      </c>
      <c r="C464" s="48" t="s">
        <v>1201</v>
      </c>
      <c r="D464" s="114" t="str">
        <f>VLOOKUP(C464,'Custos Matéria Prima Embalagens'!B:C,2,0)</f>
        <v>WANFOAM 528 CE (BB-190)</v>
      </c>
      <c r="E464" s="114" t="str">
        <f>VLOOKUP(C464,'Custos Matéria Prima Embalagens'!B:D,3,0)</f>
        <v>ANTI ESPUMA LATEX</v>
      </c>
      <c r="F464" s="270">
        <f t="shared" si="60"/>
        <v>917.64</v>
      </c>
      <c r="G464" s="148">
        <f t="shared" si="61"/>
        <v>2.7243799311276753E-3</v>
      </c>
      <c r="H464" s="96">
        <v>2.5</v>
      </c>
      <c r="I464" s="272">
        <f>ROUND(F464/VLOOKUP(A464,'Tabela de Produtos'!A:J,10,0),0)</f>
        <v>723</v>
      </c>
      <c r="J464" s="97">
        <f>IFERROR(VLOOKUP(C464,'Custos Matéria Prima Embalagens'!B:G,6,0)*H464,"Matéria Prima Não Cadastrada")</f>
        <v>17.95</v>
      </c>
      <c r="K464" s="97">
        <f>IFERROR(J464/(I464/VLOOKUP(A464,'Tabela de Produtos'!A:H,8,0)),"Matéria Prima Não Cadastrada")</f>
        <v>0.37240663900414933</v>
      </c>
      <c r="L464" s="216">
        <v>45939</v>
      </c>
    </row>
    <row r="465" spans="1:12" ht="15.75" customHeight="1">
      <c r="A465" s="48" t="s">
        <v>128</v>
      </c>
      <c r="B465" s="114" t="str">
        <f>VLOOKUP(A465,'Tabela de Produtos'!A:B,2,0)</f>
        <v>BRAZIMIL LÁTEX ECONÔMICO INT FOSCO 15L CROMO SUAVE</v>
      </c>
      <c r="C465" s="48" t="s">
        <v>1203</v>
      </c>
      <c r="D465" s="114" t="str">
        <f>VLOOKUP(C465,'Custos Matéria Prima Embalagens'!B:C,2,0)</f>
        <v>WANBAC WBT CE (BH-200)</v>
      </c>
      <c r="E465" s="114" t="str">
        <f>VLOOKUP(C465,'Custos Matéria Prima Embalagens'!B:D,3,0)</f>
        <v>BACTERICIDA</v>
      </c>
      <c r="F465" s="270">
        <f t="shared" si="60"/>
        <v>917.64</v>
      </c>
      <c r="G465" s="148">
        <f t="shared" si="61"/>
        <v>3.2692559173532103E-3</v>
      </c>
      <c r="H465" s="96">
        <v>3</v>
      </c>
      <c r="I465" s="272">
        <f>ROUND(F465/VLOOKUP(A465,'Tabela de Produtos'!A:J,10,0),0)</f>
        <v>723</v>
      </c>
      <c r="J465" s="97">
        <f>IFERROR(VLOOKUP(C465,'Custos Matéria Prima Embalagens'!B:G,6,0)*H465,"Matéria Prima Não Cadastrada")</f>
        <v>14.819999999999999</v>
      </c>
      <c r="K465" s="97">
        <f>IFERROR(J465/(I465/VLOOKUP(A465,'Tabela de Produtos'!A:H,8,0)),"Matéria Prima Não Cadastrada")</f>
        <v>0.30746887966804975</v>
      </c>
      <c r="L465" s="216">
        <v>45939</v>
      </c>
    </row>
    <row r="466" spans="1:12" ht="15.75" customHeight="1">
      <c r="A466" s="48" t="s">
        <v>128</v>
      </c>
      <c r="B466" s="114" t="str">
        <f>VLOOKUP(A466,'Tabela de Produtos'!A:B,2,0)</f>
        <v>BRAZIMIL LÁTEX ECONÔMICO INT FOSCO 15L CROMO SUAVE</v>
      </c>
      <c r="C466" s="48" t="s">
        <v>1205</v>
      </c>
      <c r="D466" s="114" t="str">
        <f>VLOOKUP(C466,'Custos Matéria Prima Embalagens'!B:C,2,0)</f>
        <v>WANSUR 840 CE (BB-200)01</v>
      </c>
      <c r="E466" s="114" t="str">
        <f>VLOOKUP(C466,'Custos Matéria Prima Embalagens'!B:D,3,0)</f>
        <v>UMECTANTE</v>
      </c>
      <c r="F466" s="270">
        <f t="shared" si="60"/>
        <v>917.64</v>
      </c>
      <c r="G466" s="148">
        <f t="shared" si="61"/>
        <v>2.1795039449021402E-3</v>
      </c>
      <c r="H466" s="96">
        <v>2</v>
      </c>
      <c r="I466" s="272">
        <f>ROUND(F466/VLOOKUP(A466,'Tabela de Produtos'!A:J,10,0),0)</f>
        <v>723</v>
      </c>
      <c r="J466" s="97">
        <f>IFERROR(VLOOKUP(C466,'Custos Matéria Prima Embalagens'!B:G,6,0)*H466,"Matéria Prima Não Cadastrada")</f>
        <v>14.66</v>
      </c>
      <c r="K466" s="97">
        <f>IFERROR(J466/(I466/VLOOKUP(A466,'Tabela de Produtos'!A:H,8,0)),"Matéria Prima Não Cadastrada")</f>
        <v>0.30414937759336097</v>
      </c>
      <c r="L466" s="216">
        <v>45939</v>
      </c>
    </row>
    <row r="467" spans="1:12" ht="15.75" customHeight="1">
      <c r="A467" s="48" t="s">
        <v>128</v>
      </c>
      <c r="B467" s="114" t="str">
        <f>VLOOKUP(A467,'Tabela de Produtos'!A:B,2,0)</f>
        <v>BRAZIMIL LÁTEX ECONÔMICO INT FOSCO 15L CROMO SUAVE</v>
      </c>
      <c r="C467" s="48" t="s">
        <v>1207</v>
      </c>
      <c r="D467" s="114" t="str">
        <f>VLOOKUP(C467,'Custos Matéria Prima Embalagens'!B:C,2,0)</f>
        <v>WANPEX 1510 (BB-200)</v>
      </c>
      <c r="E467" s="114" t="str">
        <f>VLOOKUP(C467,'Custos Matéria Prima Embalagens'!B:D,3,0)</f>
        <v>DISPERSANTE LATEX</v>
      </c>
      <c r="F467" s="270">
        <f t="shared" si="60"/>
        <v>917.64</v>
      </c>
      <c r="G467" s="148">
        <f t="shared" si="61"/>
        <v>3.2692559173532103E-3</v>
      </c>
      <c r="H467" s="96">
        <v>3</v>
      </c>
      <c r="I467" s="272">
        <f>ROUND(F467/VLOOKUP(A467,'Tabela de Produtos'!A:J,10,0),0)</f>
        <v>723</v>
      </c>
      <c r="J467" s="97">
        <f>IFERROR(VLOOKUP(C467,'Custos Matéria Prima Embalagens'!B:G,6,0)*H467,"Matéria Prima Não Cadastrada")</f>
        <v>20.58</v>
      </c>
      <c r="K467" s="97">
        <f>IFERROR(J467/(I467/VLOOKUP(A467,'Tabela de Produtos'!A:H,8,0)),"Matéria Prima Não Cadastrada")</f>
        <v>0.4269709543568464</v>
      </c>
      <c r="L467" s="216">
        <v>45939</v>
      </c>
    </row>
    <row r="468" spans="1:12" ht="15.75" customHeight="1">
      <c r="A468" s="48" t="s">
        <v>128</v>
      </c>
      <c r="B468" s="114" t="str">
        <f>VLOOKUP(A468,'Tabela de Produtos'!A:B,2,0)</f>
        <v>BRAZIMIL LÁTEX ECONÔMICO INT FOSCO 15L CROMO SUAVE</v>
      </c>
      <c r="C468" s="48" t="s">
        <v>1209</v>
      </c>
      <c r="D468" s="114" t="str">
        <f>VLOOKUP(C468,'Custos Matéria Prima Embalagens'!B:C,2,0)</f>
        <v>WANFUNG WFT CE (BH-200)</v>
      </c>
      <c r="E468" s="114" t="str">
        <f>VLOOKUP(C468,'Custos Matéria Prima Embalagens'!B:D,3,0)</f>
        <v>FUNGICIDA</v>
      </c>
      <c r="F468" s="270">
        <f t="shared" si="60"/>
        <v>917.64</v>
      </c>
      <c r="G468" s="148">
        <f t="shared" si="61"/>
        <v>2.7243799311276753E-3</v>
      </c>
      <c r="H468" s="96">
        <v>2.5</v>
      </c>
      <c r="I468" s="272">
        <f>ROUND(F468/VLOOKUP(A468,'Tabela de Produtos'!A:J,10,0),0)</f>
        <v>723</v>
      </c>
      <c r="J468" s="97">
        <f>IFERROR(VLOOKUP(C468,'Custos Matéria Prima Embalagens'!B:G,6,0)*H468,"Matéria Prima Não Cadastrada")</f>
        <v>17.5</v>
      </c>
      <c r="K468" s="97">
        <f>IFERROR(J468/(I468/VLOOKUP(A468,'Tabela de Produtos'!A:H,8,0)),"Matéria Prima Não Cadastrada")</f>
        <v>0.36307053941908712</v>
      </c>
      <c r="L468" s="216">
        <v>45939</v>
      </c>
    </row>
    <row r="469" spans="1:12" ht="15.75" customHeight="1">
      <c r="A469" s="48" t="s">
        <v>128</v>
      </c>
      <c r="B469" s="114" t="str">
        <f>VLOOKUP(A469,'Tabela de Produtos'!A:B,2,0)</f>
        <v>BRAZIMIL LÁTEX ECONÔMICO INT FOSCO 15L CROMO SUAVE</v>
      </c>
      <c r="C469" s="48" t="s">
        <v>1215</v>
      </c>
      <c r="D469" s="114" t="str">
        <f>VLOOKUP(C469,'Custos Matéria Prima Embalagens'!B:C,2,0)</f>
        <v>CALCARIO DOLOMITICO #500 ( SACOS 25 KG)</v>
      </c>
      <c r="E469" s="114" t="str">
        <f>VLOOKUP(C469,'Custos Matéria Prima Embalagens'!B:D,3,0)</f>
        <v>CARBONATO #500</v>
      </c>
      <c r="F469" s="270">
        <f t="shared" si="60"/>
        <v>917.64</v>
      </c>
      <c r="G469" s="148">
        <f t="shared" si="61"/>
        <v>5.4487598622553507E-2</v>
      </c>
      <c r="H469" s="96">
        <v>50</v>
      </c>
      <c r="I469" s="272">
        <f>ROUND(F469/VLOOKUP(A469,'Tabela de Produtos'!A:J,10,0),0)</f>
        <v>723</v>
      </c>
      <c r="J469" s="97">
        <f>IFERROR(VLOOKUP(C469,'Custos Matéria Prima Embalagens'!B:G,6,0)*H469,"Matéria Prima Não Cadastrada")</f>
        <v>40</v>
      </c>
      <c r="K469" s="97">
        <f>IFERROR(J469/(I469/VLOOKUP(A469,'Tabela de Produtos'!A:H,8,0)),"Matéria Prima Não Cadastrada")</f>
        <v>0.82987551867219911</v>
      </c>
      <c r="L469" s="216">
        <v>45939</v>
      </c>
    </row>
    <row r="470" spans="1:12" ht="15.75" customHeight="1">
      <c r="A470" s="48" t="s">
        <v>128</v>
      </c>
      <c r="B470" s="114" t="str">
        <f>VLOOKUP(A470,'Tabela de Produtos'!A:B,2,0)</f>
        <v>BRAZIMIL LÁTEX ECONÔMICO INT FOSCO 15L CROMO SUAVE</v>
      </c>
      <c r="C470" s="48" t="s">
        <v>1227</v>
      </c>
      <c r="D470" s="114" t="str">
        <f>VLOOKUP(C470,'Custos Matéria Prima Embalagens'!B:C,2,0)</f>
        <v>CAULIM MALHA 325</v>
      </c>
      <c r="E470" s="114" t="str">
        <f>VLOOKUP(C470,'Custos Matéria Prima Embalagens'!B:D,3,0)</f>
        <v>caulim</v>
      </c>
      <c r="F470" s="270">
        <f t="shared" si="60"/>
        <v>917.64</v>
      </c>
      <c r="G470" s="148">
        <f t="shared" si="61"/>
        <v>0.35416939104659778</v>
      </c>
      <c r="H470" s="96">
        <v>325</v>
      </c>
      <c r="I470" s="272">
        <f>ROUND(F470/VLOOKUP(A470,'Tabela de Produtos'!A:J,10,0),0)</f>
        <v>723</v>
      </c>
      <c r="J470" s="97">
        <f>IFERROR(VLOOKUP(C470,'Custos Matéria Prima Embalagens'!B:G,6,0)*H470,"Matéria Prima Não Cadastrada")</f>
        <v>494.16105555555538</v>
      </c>
      <c r="K470" s="97">
        <f>IFERROR(J470/(I470/VLOOKUP(A470,'Tabela de Produtos'!A:H,8,0)),"Matéria Prima Não Cadastrada")</f>
        <v>10.252304057169198</v>
      </c>
      <c r="L470" s="216">
        <v>45939</v>
      </c>
    </row>
    <row r="471" spans="1:12" ht="15.75" customHeight="1">
      <c r="A471" s="48" t="s">
        <v>128</v>
      </c>
      <c r="B471" s="114" t="str">
        <f>VLOOKUP(A471,'Tabela de Produtos'!A:B,2,0)</f>
        <v>BRAZIMIL LÁTEX ECONÔMICO INT FOSCO 15L CROMO SUAVE</v>
      </c>
      <c r="C471" s="48" t="s">
        <v>1217</v>
      </c>
      <c r="D471" s="114" t="str">
        <f>VLOOKUP(C471,'Custos Matéria Prima Embalagens'!B:C,2,0)</f>
        <v>WANCRIL W 51 CE (CT-1000P)</v>
      </c>
      <c r="E471" s="114" t="str">
        <f>VLOOKUP(C471,'Custos Matéria Prima Embalagens'!B:D,3,0)</f>
        <v>RESINA ACRILICA ESTIRENADA</v>
      </c>
      <c r="F471" s="270">
        <f t="shared" si="60"/>
        <v>917.64</v>
      </c>
      <c r="G471" s="148">
        <f t="shared" si="61"/>
        <v>3.2692559173532101E-2</v>
      </c>
      <c r="H471" s="96">
        <v>30</v>
      </c>
      <c r="I471" s="272">
        <f>ROUND(F471/VLOOKUP(A471,'Tabela de Produtos'!A:J,10,0),0)</f>
        <v>723</v>
      </c>
      <c r="J471" s="97">
        <f>IFERROR(VLOOKUP(C471,'Custos Matéria Prima Embalagens'!B:G,6,0)*H471,"Matéria Prima Não Cadastrada")</f>
        <v>252.89999999999998</v>
      </c>
      <c r="K471" s="97">
        <f>IFERROR(J471/(I471/VLOOKUP(A471,'Tabela de Produtos'!A:H,8,0)),"Matéria Prima Não Cadastrada")</f>
        <v>5.2468879668049784</v>
      </c>
      <c r="L471" s="216">
        <v>45939</v>
      </c>
    </row>
    <row r="472" spans="1:12" ht="15.75" customHeight="1">
      <c r="A472" s="48" t="s">
        <v>128</v>
      </c>
      <c r="B472" s="114" t="str">
        <f>VLOOKUP(A472,'Tabela de Produtos'!A:B,2,0)</f>
        <v>BRAZIMIL LÁTEX ECONÔMICO INT FOSCO 15L CROMO SUAVE</v>
      </c>
      <c r="C472" s="48" t="s">
        <v>1219</v>
      </c>
      <c r="D472" s="114" t="str">
        <f>VLOOKUP(C472,'Custos Matéria Prima Embalagens'!B:C,2,0)</f>
        <v>WANALK 70 CE (BH-200)</v>
      </c>
      <c r="E472" s="114" t="str">
        <f>VLOOKUP(C472,'Custos Matéria Prima Embalagens'!B:D,3,0)</f>
        <v>ALCALINIZANTE</v>
      </c>
      <c r="F472" s="270">
        <f t="shared" si="60"/>
        <v>917.64</v>
      </c>
      <c r="G472" s="148">
        <f t="shared" si="61"/>
        <v>3.2692559173532103E-3</v>
      </c>
      <c r="H472" s="96">
        <v>3</v>
      </c>
      <c r="I472" s="272">
        <f>ROUND(F472/VLOOKUP(A472,'Tabela de Produtos'!A:J,10,0),0)</f>
        <v>723</v>
      </c>
      <c r="J472" s="97">
        <f>IFERROR(VLOOKUP(C472,'Custos Matéria Prima Embalagens'!B:G,6,0)*H472,"Matéria Prima Não Cadastrada")</f>
        <v>14.940000000000001</v>
      </c>
      <c r="K472" s="97">
        <f>IFERROR(J472/(I472/VLOOKUP(A472,'Tabela de Produtos'!A:H,8,0)),"Matéria Prima Não Cadastrada")</f>
        <v>0.3099585062240664</v>
      </c>
      <c r="L472" s="216">
        <v>45939</v>
      </c>
    </row>
    <row r="473" spans="1:12" ht="15.75" customHeight="1">
      <c r="A473" s="48" t="s">
        <v>128</v>
      </c>
      <c r="B473" s="114" t="str">
        <f>VLOOKUP(A473,'Tabela de Produtos'!A:B,2,0)</f>
        <v>BRAZIMIL LÁTEX ECONÔMICO INT FOSCO 15L CROMO SUAVE</v>
      </c>
      <c r="C473" s="48" t="s">
        <v>1221</v>
      </c>
      <c r="D473" s="114" t="str">
        <f>VLOOKUP(C473,'Custos Matéria Prima Embalagens'!B:C,2,0)</f>
        <v>MODIWAN 105H CE (CT-1000P)</v>
      </c>
      <c r="E473" s="114" t="str">
        <f>VLOOKUP(C473,'Custos Matéria Prima Embalagens'!B:D,3,0)</f>
        <v>ESPESSANTE DE MEDIA</v>
      </c>
      <c r="F473" s="270">
        <f t="shared" si="60"/>
        <v>917.64</v>
      </c>
      <c r="G473" s="148">
        <f t="shared" si="61"/>
        <v>1.6891155572991586E-2</v>
      </c>
      <c r="H473" s="96">
        <v>15.5</v>
      </c>
      <c r="I473" s="272">
        <f>ROUND(F473/VLOOKUP(A473,'Tabela de Produtos'!A:J,10,0),0)</f>
        <v>723</v>
      </c>
      <c r="J473" s="97">
        <f>IFERROR(VLOOKUP(C473,'Custos Matéria Prima Embalagens'!B:G,6,0)*H473,"Matéria Prima Não Cadastrada")</f>
        <v>122.52749999999999</v>
      </c>
      <c r="K473" s="97">
        <f>IFERROR(J473/(I473/VLOOKUP(A473,'Tabela de Produtos'!A:H,8,0)),"Matéria Prima Não Cadastrada")</f>
        <v>2.5420643153526967</v>
      </c>
      <c r="L473" s="216">
        <v>45939</v>
      </c>
    </row>
    <row r="474" spans="1:12" ht="15.75" customHeight="1">
      <c r="A474" s="48" t="s">
        <v>128</v>
      </c>
      <c r="B474" s="114" t="str">
        <f>VLOOKUP(A474,'Tabela de Produtos'!A:B,2,0)</f>
        <v>BRAZIMIL LÁTEX ECONÔMICO INT FOSCO 15L CROMO SUAVE</v>
      </c>
      <c r="C474" s="48" t="s">
        <v>1223</v>
      </c>
      <c r="D474" s="114" t="str">
        <f>VLOOKUP(C474,'Custos Matéria Prima Embalagens'!B:C,2,0)</f>
        <v>TURBOWAN H CE (BH-200)</v>
      </c>
      <c r="E474" s="114" t="str">
        <f>VLOOKUP(C474,'Custos Matéria Prima Embalagens'!B:D,3,0)</f>
        <v>PROMOTOR DE LAVABILIDADE</v>
      </c>
      <c r="F474" s="270">
        <f t="shared" si="60"/>
        <v>917.64</v>
      </c>
      <c r="G474" s="148">
        <f t="shared" si="61"/>
        <v>8.1731397933830253E-3</v>
      </c>
      <c r="H474" s="96">
        <v>7.5</v>
      </c>
      <c r="I474" s="272">
        <f>ROUND(F474/VLOOKUP(A474,'Tabela de Produtos'!A:J,10,0),0)</f>
        <v>723</v>
      </c>
      <c r="J474" s="97">
        <f>IFERROR(VLOOKUP(C474,'Custos Matéria Prima Embalagens'!B:G,6,0)*H474,"Matéria Prima Não Cadastrada")</f>
        <v>36.375</v>
      </c>
      <c r="K474" s="97">
        <f>IFERROR(J474/(I474/VLOOKUP(A474,'Tabela de Produtos'!A:H,8,0)),"Matéria Prima Não Cadastrada")</f>
        <v>0.7546680497925311</v>
      </c>
      <c r="L474" s="216">
        <v>45939</v>
      </c>
    </row>
    <row r="475" spans="1:12" ht="15.75" customHeight="1">
      <c r="A475" s="48" t="s">
        <v>128</v>
      </c>
      <c r="B475" s="114" t="str">
        <f>VLOOKUP(A475,'Tabela de Produtos'!A:B,2,0)</f>
        <v>BRAZIMIL LÁTEX ECONÔMICO INT FOSCO 15L CROMO SUAVE</v>
      </c>
      <c r="C475" s="48" t="s">
        <v>1229</v>
      </c>
      <c r="D475" s="114" t="str">
        <f>VLOOKUP(C475,'Custos Matéria Prima Embalagens'!B:C,2,0)</f>
        <v>WANSOL 340 CE (BB-200)</v>
      </c>
      <c r="E475" s="114" t="str">
        <f>VLOOKUP(C475,'Custos Matéria Prima Embalagens'!B:D,3,0)</f>
        <v>COALESCENTE</v>
      </c>
      <c r="F475" s="270">
        <f t="shared" si="60"/>
        <v>917.64</v>
      </c>
      <c r="G475" s="148">
        <f t="shared" si="61"/>
        <v>5.4487598622553505E-3</v>
      </c>
      <c r="H475" s="96">
        <v>5</v>
      </c>
      <c r="I475" s="272">
        <f>ROUND(F475/VLOOKUP(A475,'Tabela de Produtos'!A:J,10,0),0)</f>
        <v>723</v>
      </c>
      <c r="J475" s="97">
        <f>IFERROR(VLOOKUP(C475,'Custos Matéria Prima Embalagens'!B:G,6,0)*H475,"Matéria Prima Não Cadastrada")</f>
        <v>96.1</v>
      </c>
      <c r="K475" s="97">
        <f>IFERROR(J475/(I475/VLOOKUP(A475,'Tabela de Produtos'!A:H,8,0)),"Matéria Prima Não Cadastrada")</f>
        <v>1.9937759336099583</v>
      </c>
      <c r="L475" s="216">
        <v>45939</v>
      </c>
    </row>
    <row r="476" spans="1:12" ht="15.75" customHeight="1">
      <c r="A476" s="48" t="s">
        <v>128</v>
      </c>
      <c r="B476" s="114" t="str">
        <f>VLOOKUP(A476,'Tabela de Produtos'!A:B,2,0)</f>
        <v>BRAZIMIL LÁTEX ECONÔMICO INT FOSCO 15L CROMO SUAVE</v>
      </c>
      <c r="C476" s="48" t="s">
        <v>1273</v>
      </c>
      <c r="D476" s="114" t="str">
        <f>VLOOKUP(C476,'Custos Matéria Prima Embalagens'!B:C,2,0)</f>
        <v>AMARELO SPECTRA RO</v>
      </c>
      <c r="E476" s="114" t="str">
        <f>VLOOKUP(C476,'Custos Matéria Prima Embalagens'!B:D,3,0)</f>
        <v>AMARELO SPECTRA RO</v>
      </c>
      <c r="F476" s="270">
        <f t="shared" si="60"/>
        <v>917.64</v>
      </c>
      <c r="G476" s="148">
        <f t="shared" si="61"/>
        <v>8.7180157796085608E-3</v>
      </c>
      <c r="H476" s="96">
        <v>8</v>
      </c>
      <c r="I476" s="272">
        <f>ROUND(F476/VLOOKUP(A476,'Tabela de Produtos'!A:J,10,0),0)</f>
        <v>723</v>
      </c>
      <c r="J476" s="97">
        <f>IFERROR(VLOOKUP(C476,'Custos Matéria Prima Embalagens'!B:G,6,0)*H476,"Matéria Prima Não Cadastrada")</f>
        <v>124.80000000000001</v>
      </c>
      <c r="K476" s="97">
        <f>IFERROR(J476/(I476/VLOOKUP(A476,'Tabela de Produtos'!A:H,8,0)),"Matéria Prima Não Cadastrada")</f>
        <v>2.5892116182572615</v>
      </c>
      <c r="L476" s="216">
        <v>45939</v>
      </c>
    </row>
    <row r="477" spans="1:12" ht="15.75" customHeight="1">
      <c r="A477" s="48" t="s">
        <v>128</v>
      </c>
      <c r="B477" s="114" t="str">
        <f>VLOOKUP(A477,'Tabela de Produtos'!A:B,2,0)</f>
        <v>BRAZIMIL LÁTEX ECONÔMICO INT FOSCO 15L CROMO SUAVE</v>
      </c>
      <c r="C477" s="48" t="s">
        <v>1353</v>
      </c>
      <c r="D477" s="114" t="str">
        <f>VLOOKUP(C477,'Custos Matéria Prima Embalagens'!B:C,2,0)</f>
        <v>VERMELHO SPECTRA RO</v>
      </c>
      <c r="E477" s="114" t="str">
        <f>VLOOKUP(C477,'Custos Matéria Prima Embalagens'!B:D,3,0)</f>
        <v>VERMELHO SPECTRA RO</v>
      </c>
      <c r="F477" s="270">
        <f t="shared" si="60"/>
        <v>917.64</v>
      </c>
      <c r="G477" s="148">
        <f t="shared" si="61"/>
        <v>2.6154047338825681E-4</v>
      </c>
      <c r="H477" s="96">
        <v>0.24</v>
      </c>
      <c r="I477" s="272">
        <f>ROUND(F477/VLOOKUP(A477,'Tabela de Produtos'!A:J,10,0),0)</f>
        <v>723</v>
      </c>
      <c r="J477" s="97">
        <f>IFERROR(VLOOKUP(C477,'Custos Matéria Prima Embalagens'!B:G,6,0)*H477,"Matéria Prima Não Cadastrada")</f>
        <v>3.6983999999999999</v>
      </c>
      <c r="K477" s="97">
        <f>IFERROR(J477/(I477/VLOOKUP(A477,'Tabela de Produtos'!A:H,8,0)),"Matéria Prima Não Cadastrada")</f>
        <v>7.6730290456431524E-2</v>
      </c>
      <c r="L477" s="216">
        <v>45939</v>
      </c>
    </row>
    <row r="478" spans="1:12" ht="15.75" customHeight="1">
      <c r="A478" s="48" t="s">
        <v>128</v>
      </c>
      <c r="B478" s="114" t="str">
        <f>VLOOKUP(A478,'Tabela de Produtos'!A:B,2,0)</f>
        <v>BRAZIMIL LÁTEX ECONÔMICO INT FOSCO 15L CROMO SUAVE</v>
      </c>
      <c r="C478" s="48" t="s">
        <v>1239</v>
      </c>
      <c r="D478" s="114" t="str">
        <f>VLOOKUP(C478,'Custos Matéria Prima Embalagens'!B:C,2,0)</f>
        <v>AMARELO SPECTRAPRINT 2GXH</v>
      </c>
      <c r="E478" s="114" t="str">
        <f>VLOOKUP(C478,'Custos Matéria Prima Embalagens'!B:D,3,0)</f>
        <v>AMARELO SPECTRAPRINT 2GXH</v>
      </c>
      <c r="F478" s="270">
        <f t="shared" si="60"/>
        <v>917.64</v>
      </c>
      <c r="G478" s="148">
        <f t="shared" si="61"/>
        <v>4.3590078898042811E-4</v>
      </c>
      <c r="H478" s="96">
        <v>0.4</v>
      </c>
      <c r="I478" s="272">
        <f>ROUND(F478/VLOOKUP(A478,'Tabela de Produtos'!A:J,10,0),0)</f>
        <v>723</v>
      </c>
      <c r="J478" s="97">
        <f>IFERROR(VLOOKUP(C478,'Custos Matéria Prima Embalagens'!B:G,6,0)*H478,"Matéria Prima Não Cadastrada")</f>
        <v>8.4440000000000008</v>
      </c>
      <c r="K478" s="97">
        <f>IFERROR(J478/(I478/VLOOKUP(A478,'Tabela de Produtos'!A:H,8,0)),"Matéria Prima Não Cadastrada")</f>
        <v>0.17518672199170124</v>
      </c>
      <c r="L478" s="216">
        <v>45939</v>
      </c>
    </row>
    <row r="479" spans="1:12" ht="15.75" customHeight="1">
      <c r="D479" s="114"/>
      <c r="E479" s="114"/>
      <c r="F479" s="96"/>
      <c r="G479" s="148"/>
      <c r="H479" s="96"/>
      <c r="I479" s="272"/>
      <c r="J479" s="97"/>
      <c r="K479" s="97"/>
      <c r="L479" s="216">
        <v>45939</v>
      </c>
    </row>
    <row r="480" spans="1:12" ht="15.75" customHeight="1">
      <c r="A480" s="48" t="s">
        <v>129</v>
      </c>
      <c r="B480" s="114" t="str">
        <f>VLOOKUP(A480,'Tabela de Produtos'!A:B,2,0)</f>
        <v>BRAZIMIL LÁTEX ECONÔMICO INT FOSCO 15L ROSA BEBE</v>
      </c>
      <c r="C480" s="48" t="s">
        <v>1197</v>
      </c>
      <c r="D480" s="114" t="str">
        <f>VLOOKUP(C480,'Custos Matéria Prima Embalagens'!B:C,2,0)</f>
        <v>AGUA</v>
      </c>
      <c r="E480" s="114" t="str">
        <f>VLOOKUP(C480,'Custos Matéria Prima Embalagens'!B:D,3,0)</f>
        <v>AGUA</v>
      </c>
      <c r="F480" s="270">
        <f t="shared" ref="F480:F493" si="62">SUMIFS(H:H,A:A,A480)</f>
        <v>910</v>
      </c>
      <c r="G480" s="148">
        <f t="shared" ref="G480:G493" si="63">H480/F480</f>
        <v>0.50549450549450547</v>
      </c>
      <c r="H480" s="96">
        <v>460</v>
      </c>
      <c r="I480" s="272">
        <f>ROUND(F480/VLOOKUP(A480,'Tabela de Produtos'!A:J,10,0),0)</f>
        <v>717</v>
      </c>
      <c r="J480" s="97">
        <f>IFERROR(VLOOKUP(C480,'Custos Matéria Prima Embalagens'!B:G,6,0)*H480,"Matéria Prima Não Cadastrada")</f>
        <v>0</v>
      </c>
      <c r="K480" s="97">
        <f>IFERROR(J480/(I480/VLOOKUP(A480,'Tabela de Produtos'!A:H,8,0)),"Matéria Prima Não Cadastrada")</f>
        <v>0</v>
      </c>
      <c r="L480" s="216">
        <v>45939</v>
      </c>
    </row>
    <row r="481" spans="1:12" ht="15.75" customHeight="1">
      <c r="A481" s="48" t="s">
        <v>129</v>
      </c>
      <c r="B481" s="114" t="str">
        <f>VLOOKUP(A481,'Tabela de Produtos'!A:B,2,0)</f>
        <v>BRAZIMIL LÁTEX ECONÔMICO INT FOSCO 15L ROSA BEBE</v>
      </c>
      <c r="C481" s="48" t="s">
        <v>1201</v>
      </c>
      <c r="D481" s="114" t="str">
        <f>VLOOKUP(C481,'Custos Matéria Prima Embalagens'!B:C,2,0)</f>
        <v>WANFOAM 528 CE (BB-190)</v>
      </c>
      <c r="E481" s="114" t="str">
        <f>VLOOKUP(C481,'Custos Matéria Prima Embalagens'!B:D,3,0)</f>
        <v>ANTI ESPUMA LATEX</v>
      </c>
      <c r="F481" s="270">
        <f t="shared" si="62"/>
        <v>910</v>
      </c>
      <c r="G481" s="148">
        <f t="shared" si="63"/>
        <v>2.7472527472527475E-3</v>
      </c>
      <c r="H481" s="96">
        <v>2.5</v>
      </c>
      <c r="I481" s="272">
        <f>ROUND(F481/VLOOKUP(A481,'Tabela de Produtos'!A:J,10,0),0)</f>
        <v>717</v>
      </c>
      <c r="J481" s="97">
        <f>IFERROR(VLOOKUP(C481,'Custos Matéria Prima Embalagens'!B:G,6,0)*H481,"Matéria Prima Não Cadastrada")</f>
        <v>17.95</v>
      </c>
      <c r="K481" s="97">
        <f>IFERROR(J481/(I481/VLOOKUP(A481,'Tabela de Produtos'!A:H,8,0)),"Matéria Prima Não Cadastrada")</f>
        <v>0.37552301255230125</v>
      </c>
      <c r="L481" s="216">
        <v>45939</v>
      </c>
    </row>
    <row r="482" spans="1:12" ht="15.75" customHeight="1">
      <c r="A482" s="48" t="s">
        <v>129</v>
      </c>
      <c r="B482" s="114" t="str">
        <f>VLOOKUP(A482,'Tabela de Produtos'!A:B,2,0)</f>
        <v>BRAZIMIL LÁTEX ECONÔMICO INT FOSCO 15L ROSA BEBE</v>
      </c>
      <c r="C482" s="48" t="s">
        <v>1203</v>
      </c>
      <c r="D482" s="114" t="str">
        <f>VLOOKUP(C482,'Custos Matéria Prima Embalagens'!B:C,2,0)</f>
        <v>WANBAC WBT CE (BH-200)</v>
      </c>
      <c r="E482" s="114" t="str">
        <f>VLOOKUP(C482,'Custos Matéria Prima Embalagens'!B:D,3,0)</f>
        <v>BACTERICIDA</v>
      </c>
      <c r="F482" s="270">
        <f t="shared" si="62"/>
        <v>910</v>
      </c>
      <c r="G482" s="148">
        <f t="shared" si="63"/>
        <v>3.2967032967032967E-3</v>
      </c>
      <c r="H482" s="96">
        <v>3</v>
      </c>
      <c r="I482" s="272">
        <f>ROUND(F482/VLOOKUP(A482,'Tabela de Produtos'!A:J,10,0),0)</f>
        <v>717</v>
      </c>
      <c r="J482" s="97">
        <f>IFERROR(VLOOKUP(C482,'Custos Matéria Prima Embalagens'!B:G,6,0)*H482,"Matéria Prima Não Cadastrada")</f>
        <v>14.819999999999999</v>
      </c>
      <c r="K482" s="97">
        <f>IFERROR(J482/(I482/VLOOKUP(A482,'Tabela de Produtos'!A:H,8,0)),"Matéria Prima Não Cadastrada")</f>
        <v>0.31004184100418408</v>
      </c>
      <c r="L482" s="216">
        <v>45939</v>
      </c>
    </row>
    <row r="483" spans="1:12" ht="15.75" customHeight="1">
      <c r="A483" s="48" t="s">
        <v>129</v>
      </c>
      <c r="B483" s="114" t="str">
        <f>VLOOKUP(A483,'Tabela de Produtos'!A:B,2,0)</f>
        <v>BRAZIMIL LÁTEX ECONÔMICO INT FOSCO 15L ROSA BEBE</v>
      </c>
      <c r="C483" s="48" t="s">
        <v>1205</v>
      </c>
      <c r="D483" s="114" t="str">
        <f>VLOOKUP(C483,'Custos Matéria Prima Embalagens'!B:C,2,0)</f>
        <v>WANSUR 840 CE (BB-200)01</v>
      </c>
      <c r="E483" s="114" t="str">
        <f>VLOOKUP(C483,'Custos Matéria Prima Embalagens'!B:D,3,0)</f>
        <v>UMECTANTE</v>
      </c>
      <c r="F483" s="270">
        <f t="shared" si="62"/>
        <v>910</v>
      </c>
      <c r="G483" s="148">
        <f t="shared" si="63"/>
        <v>2.1978021978021978E-3</v>
      </c>
      <c r="H483" s="96">
        <v>2</v>
      </c>
      <c r="I483" s="272">
        <f>ROUND(F483/VLOOKUP(A483,'Tabela de Produtos'!A:J,10,0),0)</f>
        <v>717</v>
      </c>
      <c r="J483" s="97">
        <f>IFERROR(VLOOKUP(C483,'Custos Matéria Prima Embalagens'!B:G,6,0)*H483,"Matéria Prima Não Cadastrada")</f>
        <v>14.66</v>
      </c>
      <c r="K483" s="97">
        <f>IFERROR(J483/(I483/VLOOKUP(A483,'Tabela de Produtos'!A:H,8,0)),"Matéria Prima Não Cadastrada")</f>
        <v>0.30669456066945611</v>
      </c>
      <c r="L483" s="216">
        <v>45939</v>
      </c>
    </row>
    <row r="484" spans="1:12" ht="15.75" customHeight="1">
      <c r="A484" s="48" t="s">
        <v>129</v>
      </c>
      <c r="B484" s="114" t="str">
        <f>VLOOKUP(A484,'Tabela de Produtos'!A:B,2,0)</f>
        <v>BRAZIMIL LÁTEX ECONÔMICO INT FOSCO 15L ROSA BEBE</v>
      </c>
      <c r="C484" s="48" t="s">
        <v>1207</v>
      </c>
      <c r="D484" s="114" t="str">
        <f>VLOOKUP(C484,'Custos Matéria Prima Embalagens'!B:C,2,0)</f>
        <v>WANPEX 1510 (BB-200)</v>
      </c>
      <c r="E484" s="114" t="str">
        <f>VLOOKUP(C484,'Custos Matéria Prima Embalagens'!B:D,3,0)</f>
        <v>DISPERSANTE LATEX</v>
      </c>
      <c r="F484" s="270">
        <f t="shared" si="62"/>
        <v>910</v>
      </c>
      <c r="G484" s="148">
        <f t="shared" si="63"/>
        <v>3.2967032967032967E-3</v>
      </c>
      <c r="H484" s="96">
        <v>3</v>
      </c>
      <c r="I484" s="272">
        <f>ROUND(F484/VLOOKUP(A484,'Tabela de Produtos'!A:J,10,0),0)</f>
        <v>717</v>
      </c>
      <c r="J484" s="97">
        <f>IFERROR(VLOOKUP(C484,'Custos Matéria Prima Embalagens'!B:G,6,0)*H484,"Matéria Prima Não Cadastrada")</f>
        <v>20.58</v>
      </c>
      <c r="K484" s="97">
        <f>IFERROR(J484/(I484/VLOOKUP(A484,'Tabela de Produtos'!A:H,8,0)),"Matéria Prima Não Cadastrada")</f>
        <v>0.43054393305439331</v>
      </c>
      <c r="L484" s="216">
        <v>45939</v>
      </c>
    </row>
    <row r="485" spans="1:12" ht="15.75" customHeight="1">
      <c r="A485" s="48" t="s">
        <v>129</v>
      </c>
      <c r="B485" s="114" t="str">
        <f>VLOOKUP(A485,'Tabela de Produtos'!A:B,2,0)</f>
        <v>BRAZIMIL LÁTEX ECONÔMICO INT FOSCO 15L ROSA BEBE</v>
      </c>
      <c r="C485" s="48" t="s">
        <v>1209</v>
      </c>
      <c r="D485" s="114" t="str">
        <f>VLOOKUP(C485,'Custos Matéria Prima Embalagens'!B:C,2,0)</f>
        <v>WANFUNG WFT CE (BH-200)</v>
      </c>
      <c r="E485" s="114" t="str">
        <f>VLOOKUP(C485,'Custos Matéria Prima Embalagens'!B:D,3,0)</f>
        <v>FUNGICIDA</v>
      </c>
      <c r="F485" s="270">
        <f t="shared" si="62"/>
        <v>910</v>
      </c>
      <c r="G485" s="148">
        <f t="shared" si="63"/>
        <v>2.7472527472527475E-3</v>
      </c>
      <c r="H485" s="96">
        <v>2.5</v>
      </c>
      <c r="I485" s="272">
        <f>ROUND(F485/VLOOKUP(A485,'Tabela de Produtos'!A:J,10,0),0)</f>
        <v>717</v>
      </c>
      <c r="J485" s="97">
        <f>IFERROR(VLOOKUP(C485,'Custos Matéria Prima Embalagens'!B:G,6,0)*H485,"Matéria Prima Não Cadastrada")</f>
        <v>17.5</v>
      </c>
      <c r="K485" s="97">
        <f>IFERROR(J485/(I485/VLOOKUP(A485,'Tabela de Produtos'!A:H,8,0)),"Matéria Prima Não Cadastrada")</f>
        <v>0.3661087866108787</v>
      </c>
      <c r="L485" s="216">
        <v>45939</v>
      </c>
    </row>
    <row r="486" spans="1:12" ht="15.75" customHeight="1">
      <c r="A486" s="48" t="s">
        <v>129</v>
      </c>
      <c r="B486" s="114" t="str">
        <f>VLOOKUP(A486,'Tabela de Produtos'!A:B,2,0)</f>
        <v>BRAZIMIL LÁTEX ECONÔMICO INT FOSCO 15L ROSA BEBE</v>
      </c>
      <c r="C486" s="48" t="s">
        <v>1215</v>
      </c>
      <c r="D486" s="114" t="str">
        <f>VLOOKUP(C486,'Custos Matéria Prima Embalagens'!B:C,2,0)</f>
        <v>CALCARIO DOLOMITICO #500 ( SACOS 25 KG)</v>
      </c>
      <c r="E486" s="114" t="str">
        <f>VLOOKUP(C486,'Custos Matéria Prima Embalagens'!B:D,3,0)</f>
        <v>CARBONATO #500</v>
      </c>
      <c r="F486" s="270">
        <f t="shared" si="62"/>
        <v>910</v>
      </c>
      <c r="G486" s="148">
        <f t="shared" si="63"/>
        <v>5.4945054945054944E-2</v>
      </c>
      <c r="H486" s="96">
        <v>50</v>
      </c>
      <c r="I486" s="272">
        <f>ROUND(F486/VLOOKUP(A486,'Tabela de Produtos'!A:J,10,0),0)</f>
        <v>717</v>
      </c>
      <c r="J486" s="97">
        <f>IFERROR(VLOOKUP(C486,'Custos Matéria Prima Embalagens'!B:G,6,0)*H486,"Matéria Prima Não Cadastrada")</f>
        <v>40</v>
      </c>
      <c r="K486" s="97">
        <f>IFERROR(J486/(I486/VLOOKUP(A486,'Tabela de Produtos'!A:H,8,0)),"Matéria Prima Não Cadastrada")</f>
        <v>0.83682008368200844</v>
      </c>
      <c r="L486" s="216">
        <v>45939</v>
      </c>
    </row>
    <row r="487" spans="1:12" ht="15.75" customHeight="1">
      <c r="A487" s="48" t="s">
        <v>129</v>
      </c>
      <c r="B487" s="114" t="str">
        <f>VLOOKUP(A487,'Tabela de Produtos'!A:B,2,0)</f>
        <v>BRAZIMIL LÁTEX ECONÔMICO INT FOSCO 15L ROSA BEBE</v>
      </c>
      <c r="C487" s="48" t="s">
        <v>1227</v>
      </c>
      <c r="D487" s="114" t="str">
        <f>VLOOKUP(C487,'Custos Matéria Prima Embalagens'!B:C,2,0)</f>
        <v>CAULIM MALHA 325</v>
      </c>
      <c r="E487" s="114" t="str">
        <f>VLOOKUP(C487,'Custos Matéria Prima Embalagens'!B:D,3,0)</f>
        <v>caulim</v>
      </c>
      <c r="F487" s="270">
        <f t="shared" si="62"/>
        <v>910</v>
      </c>
      <c r="G487" s="148">
        <f t="shared" si="63"/>
        <v>0.35714285714285715</v>
      </c>
      <c r="H487" s="96">
        <v>325</v>
      </c>
      <c r="I487" s="272">
        <f>ROUND(F487/VLOOKUP(A487,'Tabela de Produtos'!A:J,10,0),0)</f>
        <v>717</v>
      </c>
      <c r="J487" s="97">
        <f>IFERROR(VLOOKUP(C487,'Custos Matéria Prima Embalagens'!B:G,6,0)*H487,"Matéria Prima Não Cadastrada")</f>
        <v>494.16105555555538</v>
      </c>
      <c r="K487" s="97">
        <f>IFERROR(J487/(I487/VLOOKUP(A487,'Tabela de Produtos'!A:H,8,0)),"Matéria Prima Não Cadastrada")</f>
        <v>10.338097396559737</v>
      </c>
      <c r="L487" s="216">
        <v>45939</v>
      </c>
    </row>
    <row r="488" spans="1:12" ht="15.75" customHeight="1">
      <c r="A488" s="48" t="s">
        <v>129</v>
      </c>
      <c r="B488" s="114" t="str">
        <f>VLOOKUP(A488,'Tabela de Produtos'!A:B,2,0)</f>
        <v>BRAZIMIL LÁTEX ECONÔMICO INT FOSCO 15L ROSA BEBE</v>
      </c>
      <c r="C488" s="48" t="s">
        <v>1217</v>
      </c>
      <c r="D488" s="114" t="str">
        <f>VLOOKUP(C488,'Custos Matéria Prima Embalagens'!B:C,2,0)</f>
        <v>WANCRIL W 51 CE (CT-1000P)</v>
      </c>
      <c r="E488" s="114" t="str">
        <f>VLOOKUP(C488,'Custos Matéria Prima Embalagens'!B:D,3,0)</f>
        <v>RESINA ACRILICA ESTIRENADA</v>
      </c>
      <c r="F488" s="270">
        <f t="shared" si="62"/>
        <v>910</v>
      </c>
      <c r="G488" s="148">
        <f t="shared" si="63"/>
        <v>3.2967032967032968E-2</v>
      </c>
      <c r="H488" s="96">
        <v>30</v>
      </c>
      <c r="I488" s="272">
        <f>ROUND(F488/VLOOKUP(A488,'Tabela de Produtos'!A:J,10,0),0)</f>
        <v>717</v>
      </c>
      <c r="J488" s="97">
        <f>IFERROR(VLOOKUP(C488,'Custos Matéria Prima Embalagens'!B:G,6,0)*H488,"Matéria Prima Não Cadastrada")</f>
        <v>252.89999999999998</v>
      </c>
      <c r="K488" s="97">
        <f>IFERROR(J488/(I488/VLOOKUP(A488,'Tabela de Produtos'!A:H,8,0)),"Matéria Prima Não Cadastrada")</f>
        <v>5.2907949790794975</v>
      </c>
      <c r="L488" s="216">
        <v>45939</v>
      </c>
    </row>
    <row r="489" spans="1:12" ht="15.75" customHeight="1">
      <c r="A489" s="48" t="s">
        <v>129</v>
      </c>
      <c r="B489" s="114" t="str">
        <f>VLOOKUP(A489,'Tabela de Produtos'!A:B,2,0)</f>
        <v>BRAZIMIL LÁTEX ECONÔMICO INT FOSCO 15L ROSA BEBE</v>
      </c>
      <c r="C489" s="48" t="s">
        <v>1219</v>
      </c>
      <c r="D489" s="114" t="str">
        <f>VLOOKUP(C489,'Custos Matéria Prima Embalagens'!B:C,2,0)</f>
        <v>WANALK 70 CE (BH-200)</v>
      </c>
      <c r="E489" s="114" t="str">
        <f>VLOOKUP(C489,'Custos Matéria Prima Embalagens'!B:D,3,0)</f>
        <v>ALCALINIZANTE</v>
      </c>
      <c r="F489" s="270">
        <f t="shared" si="62"/>
        <v>910</v>
      </c>
      <c r="G489" s="148">
        <f t="shared" si="63"/>
        <v>3.2967032967032967E-3</v>
      </c>
      <c r="H489" s="96">
        <v>3</v>
      </c>
      <c r="I489" s="272">
        <f>ROUND(F489/VLOOKUP(A489,'Tabela de Produtos'!A:J,10,0),0)</f>
        <v>717</v>
      </c>
      <c r="J489" s="97">
        <f>IFERROR(VLOOKUP(C489,'Custos Matéria Prima Embalagens'!B:G,6,0)*H489,"Matéria Prima Não Cadastrada")</f>
        <v>14.940000000000001</v>
      </c>
      <c r="K489" s="97">
        <f>IFERROR(J489/(I489/VLOOKUP(A489,'Tabela de Produtos'!A:H,8,0)),"Matéria Prima Não Cadastrada")</f>
        <v>0.31255230125523015</v>
      </c>
      <c r="L489" s="216">
        <v>45939</v>
      </c>
    </row>
    <row r="490" spans="1:12" ht="15.75" customHeight="1">
      <c r="A490" s="48" t="s">
        <v>129</v>
      </c>
      <c r="B490" s="114" t="str">
        <f>VLOOKUP(A490,'Tabela de Produtos'!A:B,2,0)</f>
        <v>BRAZIMIL LÁTEX ECONÔMICO INT FOSCO 15L ROSA BEBE</v>
      </c>
      <c r="C490" s="48" t="s">
        <v>1221</v>
      </c>
      <c r="D490" s="114" t="str">
        <f>VLOOKUP(C490,'Custos Matéria Prima Embalagens'!B:C,2,0)</f>
        <v>MODIWAN 105H CE (CT-1000P)</v>
      </c>
      <c r="E490" s="114" t="str">
        <f>VLOOKUP(C490,'Custos Matéria Prima Embalagens'!B:D,3,0)</f>
        <v>ESPESSANTE DE MEDIA</v>
      </c>
      <c r="F490" s="270">
        <f t="shared" si="62"/>
        <v>910</v>
      </c>
      <c r="G490" s="148">
        <f t="shared" si="63"/>
        <v>1.7032967032967031E-2</v>
      </c>
      <c r="H490" s="96">
        <v>15.5</v>
      </c>
      <c r="I490" s="272">
        <f>ROUND(F490/VLOOKUP(A490,'Tabela de Produtos'!A:J,10,0),0)</f>
        <v>717</v>
      </c>
      <c r="J490" s="97">
        <f>IFERROR(VLOOKUP(C490,'Custos Matéria Prima Embalagens'!B:G,6,0)*H490,"Matéria Prima Não Cadastrada")</f>
        <v>122.52749999999999</v>
      </c>
      <c r="K490" s="97">
        <f>IFERROR(J490/(I490/VLOOKUP(A490,'Tabela de Produtos'!A:H,8,0)),"Matéria Prima Não Cadastrada")</f>
        <v>2.5633368200836819</v>
      </c>
      <c r="L490" s="216">
        <v>45939</v>
      </c>
    </row>
    <row r="491" spans="1:12" ht="15.75" customHeight="1">
      <c r="A491" s="48" t="s">
        <v>129</v>
      </c>
      <c r="B491" s="114" t="str">
        <f>VLOOKUP(A491,'Tabela de Produtos'!A:B,2,0)</f>
        <v>BRAZIMIL LÁTEX ECONÔMICO INT FOSCO 15L ROSA BEBE</v>
      </c>
      <c r="C491" s="48" t="s">
        <v>1223</v>
      </c>
      <c r="D491" s="114" t="str">
        <f>VLOOKUP(C491,'Custos Matéria Prima Embalagens'!B:C,2,0)</f>
        <v>TURBOWAN H CE (BH-200)</v>
      </c>
      <c r="E491" s="114" t="str">
        <f>VLOOKUP(C491,'Custos Matéria Prima Embalagens'!B:D,3,0)</f>
        <v>PROMOTOR DE LAVABILIDADE</v>
      </c>
      <c r="F491" s="270">
        <f t="shared" si="62"/>
        <v>910</v>
      </c>
      <c r="G491" s="148">
        <f t="shared" si="63"/>
        <v>8.241758241758242E-3</v>
      </c>
      <c r="H491" s="96">
        <v>7.5</v>
      </c>
      <c r="I491" s="272">
        <f>ROUND(F491/VLOOKUP(A491,'Tabela de Produtos'!A:J,10,0),0)</f>
        <v>717</v>
      </c>
      <c r="J491" s="97">
        <f>IFERROR(VLOOKUP(C491,'Custos Matéria Prima Embalagens'!B:G,6,0)*H491,"Matéria Prima Não Cadastrada")</f>
        <v>36.375</v>
      </c>
      <c r="K491" s="97">
        <f>IFERROR(J491/(I491/VLOOKUP(A491,'Tabela de Produtos'!A:H,8,0)),"Matéria Prima Não Cadastrada")</f>
        <v>0.76098326359832635</v>
      </c>
      <c r="L491" s="216">
        <v>45939</v>
      </c>
    </row>
    <row r="492" spans="1:12" ht="15.75" customHeight="1">
      <c r="A492" s="48" t="s">
        <v>129</v>
      </c>
      <c r="B492" s="114" t="str">
        <f>VLOOKUP(A492,'Tabela de Produtos'!A:B,2,0)</f>
        <v>BRAZIMIL LÁTEX ECONÔMICO INT FOSCO 15L ROSA BEBE</v>
      </c>
      <c r="C492" s="48" t="s">
        <v>1229</v>
      </c>
      <c r="D492" s="114" t="str">
        <f>VLOOKUP(C492,'Custos Matéria Prima Embalagens'!B:C,2,0)</f>
        <v>WANSOL 340 CE (BB-200)</v>
      </c>
      <c r="E492" s="114" t="str">
        <f>VLOOKUP(C492,'Custos Matéria Prima Embalagens'!B:D,3,0)</f>
        <v>COALESCENTE</v>
      </c>
      <c r="F492" s="270">
        <f t="shared" si="62"/>
        <v>910</v>
      </c>
      <c r="G492" s="148">
        <f t="shared" si="63"/>
        <v>5.4945054945054949E-3</v>
      </c>
      <c r="H492" s="96">
        <v>5</v>
      </c>
      <c r="I492" s="272">
        <f>ROUND(F492/VLOOKUP(A492,'Tabela de Produtos'!A:J,10,0),0)</f>
        <v>717</v>
      </c>
      <c r="J492" s="97">
        <f>IFERROR(VLOOKUP(C492,'Custos Matéria Prima Embalagens'!B:G,6,0)*H492,"Matéria Prima Não Cadastrada")</f>
        <v>96.1</v>
      </c>
      <c r="K492" s="97">
        <f>IFERROR(J492/(I492/VLOOKUP(A492,'Tabela de Produtos'!A:H,8,0)),"Matéria Prima Não Cadastrada")</f>
        <v>2.010460251046025</v>
      </c>
      <c r="L492" s="216">
        <v>45939</v>
      </c>
    </row>
    <row r="493" spans="1:12" ht="15.75" customHeight="1">
      <c r="A493" s="48" t="s">
        <v>129</v>
      </c>
      <c r="B493" s="114" t="str">
        <f>VLOOKUP(A493,'Tabela de Produtos'!A:B,2,0)</f>
        <v>BRAZIMIL LÁTEX ECONÔMICO INT FOSCO 15L ROSA BEBE</v>
      </c>
      <c r="C493" s="48" t="s">
        <v>1244</v>
      </c>
      <c r="D493" s="114" t="str">
        <f>VLOOKUP(C493,'Custos Matéria Prima Embalagens'!B:C,2,0)</f>
        <v>VERMELHO SPECTRAPRINT GR</v>
      </c>
      <c r="E493" s="114" t="str">
        <f>VLOOKUP(C493,'Custos Matéria Prima Embalagens'!B:D,3,0)</f>
        <v>VERMELHO SPECTRAPRINT GR</v>
      </c>
      <c r="F493" s="270">
        <f t="shared" si="62"/>
        <v>910</v>
      </c>
      <c r="G493" s="148">
        <f t="shared" si="63"/>
        <v>1.0989010989010989E-3</v>
      </c>
      <c r="H493" s="96">
        <v>1</v>
      </c>
      <c r="I493" s="272">
        <f>ROUND(F493/VLOOKUP(A493,'Tabela de Produtos'!A:J,10,0),0)</f>
        <v>717</v>
      </c>
      <c r="J493" s="97">
        <f>IFERROR(VLOOKUP(C493,'Custos Matéria Prima Embalagens'!B:G,6,0)*H493,"Matéria Prima Não Cadastrada")</f>
        <v>40.33</v>
      </c>
      <c r="K493" s="97">
        <f>IFERROR(J493/(I493/VLOOKUP(A493,'Tabela de Produtos'!A:H,8,0)),"Matéria Prima Não Cadastrada")</f>
        <v>0.84372384937238498</v>
      </c>
      <c r="L493" s="216">
        <v>45939</v>
      </c>
    </row>
    <row r="494" spans="1:12" ht="15.75" customHeight="1">
      <c r="D494" s="114"/>
      <c r="E494" s="114"/>
      <c r="F494" s="96"/>
      <c r="G494" s="148"/>
      <c r="H494" s="96"/>
      <c r="I494" s="272"/>
      <c r="J494" s="97"/>
      <c r="K494" s="97"/>
      <c r="L494" s="216">
        <v>45939</v>
      </c>
    </row>
    <row r="495" spans="1:12" ht="15.75" customHeight="1">
      <c r="A495" s="48" t="s">
        <v>130</v>
      </c>
      <c r="B495" s="114" t="str">
        <f>VLOOKUP(A495,'Tabela de Produtos'!A:B,2,0)</f>
        <v>BRAZIMIL LÁTEX ECONÔMICO INT FOSCO 15L MARFIM</v>
      </c>
      <c r="C495" s="48" t="s">
        <v>1197</v>
      </c>
      <c r="D495" s="114" t="str">
        <f>VLOOKUP(C495,'Custos Matéria Prima Embalagens'!B:C,2,0)</f>
        <v>AGUA</v>
      </c>
      <c r="E495" s="114" t="str">
        <f>VLOOKUP(C495,'Custos Matéria Prima Embalagens'!B:D,3,0)</f>
        <v>AGUA</v>
      </c>
      <c r="F495" s="270">
        <f t="shared" ref="F495:F510" si="64">SUMIFS(H:H,A:A,A495)</f>
        <v>910.94500000000005</v>
      </c>
      <c r="G495" s="148">
        <f t="shared" ref="G495:G510" si="65">H495/F495</f>
        <v>0.50497011345361131</v>
      </c>
      <c r="H495" s="96">
        <v>460</v>
      </c>
      <c r="I495" s="272">
        <f>ROUND(F495/VLOOKUP(A495,'Tabela de Produtos'!A:J,10,0),0)</f>
        <v>717</v>
      </c>
      <c r="J495" s="97">
        <f>IFERROR(VLOOKUP(C495,'Custos Matéria Prima Embalagens'!B:G,6,0)*H495,"Matéria Prima Não Cadastrada")</f>
        <v>0</v>
      </c>
      <c r="K495" s="97">
        <f>IFERROR(J495/(I495/VLOOKUP(A495,'Tabela de Produtos'!A:H,8,0)),"Matéria Prima Não Cadastrada")</f>
        <v>0</v>
      </c>
      <c r="L495" s="216">
        <v>45939</v>
      </c>
    </row>
    <row r="496" spans="1:12" ht="15.75" customHeight="1">
      <c r="A496" s="48" t="s">
        <v>130</v>
      </c>
      <c r="B496" s="114" t="str">
        <f>VLOOKUP(A496,'Tabela de Produtos'!A:B,2,0)</f>
        <v>BRAZIMIL LÁTEX ECONÔMICO INT FOSCO 15L MARFIM</v>
      </c>
      <c r="C496" s="48" t="s">
        <v>1201</v>
      </c>
      <c r="D496" s="114" t="str">
        <f>VLOOKUP(C496,'Custos Matéria Prima Embalagens'!B:C,2,0)</f>
        <v>WANFOAM 528 CE (BB-190)</v>
      </c>
      <c r="E496" s="114" t="str">
        <f>VLOOKUP(C496,'Custos Matéria Prima Embalagens'!B:D,3,0)</f>
        <v>ANTI ESPUMA LATEX</v>
      </c>
      <c r="F496" s="270">
        <f t="shared" si="64"/>
        <v>910.94500000000005</v>
      </c>
      <c r="G496" s="148">
        <f t="shared" si="65"/>
        <v>2.7444027905087574E-3</v>
      </c>
      <c r="H496" s="96">
        <v>2.5</v>
      </c>
      <c r="I496" s="272">
        <f>ROUND(F496/VLOOKUP(A496,'Tabela de Produtos'!A:J,10,0),0)</f>
        <v>717</v>
      </c>
      <c r="J496" s="97">
        <f>IFERROR(VLOOKUP(C496,'Custos Matéria Prima Embalagens'!B:G,6,0)*H496,"Matéria Prima Não Cadastrada")</f>
        <v>17.95</v>
      </c>
      <c r="K496" s="97">
        <f>IFERROR(J496/(I496/VLOOKUP(A496,'Tabela de Produtos'!A:H,8,0)),"Matéria Prima Não Cadastrada")</f>
        <v>0.37552301255230125</v>
      </c>
      <c r="L496" s="216">
        <v>45939</v>
      </c>
    </row>
    <row r="497" spans="1:12" ht="15.75" customHeight="1">
      <c r="A497" s="48" t="s">
        <v>130</v>
      </c>
      <c r="B497" s="114" t="str">
        <f>VLOOKUP(A497,'Tabela de Produtos'!A:B,2,0)</f>
        <v>BRAZIMIL LÁTEX ECONÔMICO INT FOSCO 15L MARFIM</v>
      </c>
      <c r="C497" s="48" t="s">
        <v>1203</v>
      </c>
      <c r="D497" s="114" t="str">
        <f>VLOOKUP(C497,'Custos Matéria Prima Embalagens'!B:C,2,0)</f>
        <v>WANBAC WBT CE (BH-200)</v>
      </c>
      <c r="E497" s="114" t="str">
        <f>VLOOKUP(C497,'Custos Matéria Prima Embalagens'!B:D,3,0)</f>
        <v>BACTERICIDA</v>
      </c>
      <c r="F497" s="270">
        <f t="shared" si="64"/>
        <v>910.94500000000005</v>
      </c>
      <c r="G497" s="148">
        <f t="shared" si="65"/>
        <v>3.2932833486105087E-3</v>
      </c>
      <c r="H497" s="96">
        <v>3</v>
      </c>
      <c r="I497" s="272">
        <f>ROUND(F497/VLOOKUP(A497,'Tabela de Produtos'!A:J,10,0),0)</f>
        <v>717</v>
      </c>
      <c r="J497" s="97">
        <f>IFERROR(VLOOKUP(C497,'Custos Matéria Prima Embalagens'!B:G,6,0)*H497,"Matéria Prima Não Cadastrada")</f>
        <v>14.819999999999999</v>
      </c>
      <c r="K497" s="97">
        <f>IFERROR(J497/(I497/VLOOKUP(A497,'Tabela de Produtos'!A:H,8,0)),"Matéria Prima Não Cadastrada")</f>
        <v>0.31004184100418408</v>
      </c>
      <c r="L497" s="216">
        <v>45939</v>
      </c>
    </row>
    <row r="498" spans="1:12" ht="15.75" customHeight="1">
      <c r="A498" s="48" t="s">
        <v>130</v>
      </c>
      <c r="B498" s="114" t="str">
        <f>VLOOKUP(A498,'Tabela de Produtos'!A:B,2,0)</f>
        <v>BRAZIMIL LÁTEX ECONÔMICO INT FOSCO 15L MARFIM</v>
      </c>
      <c r="C498" s="48" t="s">
        <v>1205</v>
      </c>
      <c r="D498" s="114" t="str">
        <f>VLOOKUP(C498,'Custos Matéria Prima Embalagens'!B:C,2,0)</f>
        <v>WANSUR 840 CE (BB-200)01</v>
      </c>
      <c r="E498" s="114" t="str">
        <f>VLOOKUP(C498,'Custos Matéria Prima Embalagens'!B:D,3,0)</f>
        <v>UMECTANTE</v>
      </c>
      <c r="F498" s="270">
        <f t="shared" si="64"/>
        <v>910.94500000000005</v>
      </c>
      <c r="G498" s="148">
        <f t="shared" si="65"/>
        <v>2.1955222324070056E-3</v>
      </c>
      <c r="H498" s="96">
        <v>2</v>
      </c>
      <c r="I498" s="272">
        <f>ROUND(F498/VLOOKUP(A498,'Tabela de Produtos'!A:J,10,0),0)</f>
        <v>717</v>
      </c>
      <c r="J498" s="97">
        <f>IFERROR(VLOOKUP(C498,'Custos Matéria Prima Embalagens'!B:G,6,0)*H498,"Matéria Prima Não Cadastrada")</f>
        <v>14.66</v>
      </c>
      <c r="K498" s="97">
        <f>IFERROR(J498/(I498/VLOOKUP(A498,'Tabela de Produtos'!A:H,8,0)),"Matéria Prima Não Cadastrada")</f>
        <v>0.30669456066945611</v>
      </c>
      <c r="L498" s="216">
        <v>45939</v>
      </c>
    </row>
    <row r="499" spans="1:12" ht="15.75" customHeight="1">
      <c r="A499" s="48" t="s">
        <v>130</v>
      </c>
      <c r="B499" s="114" t="str">
        <f>VLOOKUP(A499,'Tabela de Produtos'!A:B,2,0)</f>
        <v>BRAZIMIL LÁTEX ECONÔMICO INT FOSCO 15L MARFIM</v>
      </c>
      <c r="C499" s="48" t="s">
        <v>1207</v>
      </c>
      <c r="D499" s="114" t="str">
        <f>VLOOKUP(C499,'Custos Matéria Prima Embalagens'!B:C,2,0)</f>
        <v>WANPEX 1510 (BB-200)</v>
      </c>
      <c r="E499" s="114" t="str">
        <f>VLOOKUP(C499,'Custos Matéria Prima Embalagens'!B:D,3,0)</f>
        <v>DISPERSANTE LATEX</v>
      </c>
      <c r="F499" s="270">
        <f t="shared" si="64"/>
        <v>910.94500000000005</v>
      </c>
      <c r="G499" s="148">
        <f t="shared" si="65"/>
        <v>3.2932833486105087E-3</v>
      </c>
      <c r="H499" s="96">
        <v>3</v>
      </c>
      <c r="I499" s="272">
        <f>ROUND(F499/VLOOKUP(A499,'Tabela de Produtos'!A:J,10,0),0)</f>
        <v>717</v>
      </c>
      <c r="J499" s="97">
        <f>IFERROR(VLOOKUP(C499,'Custos Matéria Prima Embalagens'!B:G,6,0)*H499,"Matéria Prima Não Cadastrada")</f>
        <v>20.58</v>
      </c>
      <c r="K499" s="97">
        <f>IFERROR(J499/(I499/VLOOKUP(A499,'Tabela de Produtos'!A:H,8,0)),"Matéria Prima Não Cadastrada")</f>
        <v>0.43054393305439331</v>
      </c>
      <c r="L499" s="216">
        <v>45939</v>
      </c>
    </row>
    <row r="500" spans="1:12" ht="15.75" customHeight="1">
      <c r="A500" s="48" t="s">
        <v>130</v>
      </c>
      <c r="B500" s="114" t="str">
        <f>VLOOKUP(A500,'Tabela de Produtos'!A:B,2,0)</f>
        <v>BRAZIMIL LÁTEX ECONÔMICO INT FOSCO 15L MARFIM</v>
      </c>
      <c r="C500" s="48" t="s">
        <v>1209</v>
      </c>
      <c r="D500" s="114" t="str">
        <f>VLOOKUP(C500,'Custos Matéria Prima Embalagens'!B:C,2,0)</f>
        <v>WANFUNG WFT CE (BH-200)</v>
      </c>
      <c r="E500" s="114" t="str">
        <f>VLOOKUP(C500,'Custos Matéria Prima Embalagens'!B:D,3,0)</f>
        <v>FUNGICIDA</v>
      </c>
      <c r="F500" s="270">
        <f t="shared" si="64"/>
        <v>910.94500000000005</v>
      </c>
      <c r="G500" s="148">
        <f t="shared" si="65"/>
        <v>2.7444027905087574E-3</v>
      </c>
      <c r="H500" s="96">
        <v>2.5</v>
      </c>
      <c r="I500" s="272">
        <f>ROUND(F500/VLOOKUP(A500,'Tabela de Produtos'!A:J,10,0),0)</f>
        <v>717</v>
      </c>
      <c r="J500" s="97">
        <f>IFERROR(VLOOKUP(C500,'Custos Matéria Prima Embalagens'!B:G,6,0)*H500,"Matéria Prima Não Cadastrada")</f>
        <v>17.5</v>
      </c>
      <c r="K500" s="97">
        <f>IFERROR(J500/(I500/VLOOKUP(A500,'Tabela de Produtos'!A:H,8,0)),"Matéria Prima Não Cadastrada")</f>
        <v>0.3661087866108787</v>
      </c>
      <c r="L500" s="216">
        <v>45939</v>
      </c>
    </row>
    <row r="501" spans="1:12" ht="15.75" customHeight="1">
      <c r="A501" s="48" t="s">
        <v>130</v>
      </c>
      <c r="B501" s="114" t="str">
        <f>VLOOKUP(A501,'Tabela de Produtos'!A:B,2,0)</f>
        <v>BRAZIMIL LÁTEX ECONÔMICO INT FOSCO 15L MARFIM</v>
      </c>
      <c r="C501" s="48" t="s">
        <v>1215</v>
      </c>
      <c r="D501" s="114" t="str">
        <f>VLOOKUP(C501,'Custos Matéria Prima Embalagens'!B:C,2,0)</f>
        <v>CALCARIO DOLOMITICO #500 ( SACOS 25 KG)</v>
      </c>
      <c r="E501" s="114" t="str">
        <f>VLOOKUP(C501,'Custos Matéria Prima Embalagens'!B:D,3,0)</f>
        <v>CARBONATO #500</v>
      </c>
      <c r="F501" s="270">
        <f t="shared" si="64"/>
        <v>910.94500000000005</v>
      </c>
      <c r="G501" s="148">
        <f t="shared" si="65"/>
        <v>5.4888055810175147E-2</v>
      </c>
      <c r="H501" s="96">
        <v>50</v>
      </c>
      <c r="I501" s="272">
        <f>ROUND(F501/VLOOKUP(A501,'Tabela de Produtos'!A:J,10,0),0)</f>
        <v>717</v>
      </c>
      <c r="J501" s="97">
        <f>IFERROR(VLOOKUP(C501,'Custos Matéria Prima Embalagens'!B:G,6,0)*H501,"Matéria Prima Não Cadastrada")</f>
        <v>40</v>
      </c>
      <c r="K501" s="97">
        <f>IFERROR(J501/(I501/VLOOKUP(A501,'Tabela de Produtos'!A:H,8,0)),"Matéria Prima Não Cadastrada")</f>
        <v>0.83682008368200844</v>
      </c>
      <c r="L501" s="216">
        <v>45939</v>
      </c>
    </row>
    <row r="502" spans="1:12" ht="15.75" customHeight="1">
      <c r="A502" s="48" t="s">
        <v>130</v>
      </c>
      <c r="B502" s="114" t="str">
        <f>VLOOKUP(A502,'Tabela de Produtos'!A:B,2,0)</f>
        <v>BRAZIMIL LÁTEX ECONÔMICO INT FOSCO 15L MARFIM</v>
      </c>
      <c r="C502" s="48" t="s">
        <v>1227</v>
      </c>
      <c r="D502" s="114" t="str">
        <f>VLOOKUP(C502,'Custos Matéria Prima Embalagens'!B:C,2,0)</f>
        <v>CAULIM MALHA 325</v>
      </c>
      <c r="E502" s="114" t="str">
        <f>VLOOKUP(C502,'Custos Matéria Prima Embalagens'!B:D,3,0)</f>
        <v>caulim</v>
      </c>
      <c r="F502" s="270">
        <f t="shared" si="64"/>
        <v>910.94500000000005</v>
      </c>
      <c r="G502" s="148">
        <f t="shared" si="65"/>
        <v>0.35677236276613844</v>
      </c>
      <c r="H502" s="96">
        <v>325</v>
      </c>
      <c r="I502" s="272">
        <f>ROUND(F502/VLOOKUP(A502,'Tabela de Produtos'!A:J,10,0),0)</f>
        <v>717</v>
      </c>
      <c r="J502" s="97">
        <f>IFERROR(VLOOKUP(C502,'Custos Matéria Prima Embalagens'!B:G,6,0)*H502,"Matéria Prima Não Cadastrada")</f>
        <v>494.16105555555538</v>
      </c>
      <c r="K502" s="97">
        <f>IFERROR(J502/(I502/VLOOKUP(A502,'Tabela de Produtos'!A:H,8,0)),"Matéria Prima Não Cadastrada")</f>
        <v>10.338097396559737</v>
      </c>
      <c r="L502" s="216">
        <v>45939</v>
      </c>
    </row>
    <row r="503" spans="1:12" ht="15.75" customHeight="1">
      <c r="A503" s="48" t="s">
        <v>130</v>
      </c>
      <c r="B503" s="114" t="str">
        <f>VLOOKUP(A503,'Tabela de Produtos'!A:B,2,0)</f>
        <v>BRAZIMIL LÁTEX ECONÔMICO INT FOSCO 15L MARFIM</v>
      </c>
      <c r="C503" s="48" t="s">
        <v>1217</v>
      </c>
      <c r="D503" s="114" t="str">
        <f>VLOOKUP(C503,'Custos Matéria Prima Embalagens'!B:C,2,0)</f>
        <v>WANCRIL W 51 CE (CT-1000P)</v>
      </c>
      <c r="E503" s="114" t="str">
        <f>VLOOKUP(C503,'Custos Matéria Prima Embalagens'!B:D,3,0)</f>
        <v>RESINA ACRILICA ESTIRENADA</v>
      </c>
      <c r="F503" s="270">
        <f t="shared" si="64"/>
        <v>910.94500000000005</v>
      </c>
      <c r="G503" s="148">
        <f t="shared" si="65"/>
        <v>3.2932833486105088E-2</v>
      </c>
      <c r="H503" s="96">
        <v>30</v>
      </c>
      <c r="I503" s="272">
        <f>ROUND(F503/VLOOKUP(A503,'Tabela de Produtos'!A:J,10,0),0)</f>
        <v>717</v>
      </c>
      <c r="J503" s="97">
        <f>IFERROR(VLOOKUP(C503,'Custos Matéria Prima Embalagens'!B:G,6,0)*H503,"Matéria Prima Não Cadastrada")</f>
        <v>252.89999999999998</v>
      </c>
      <c r="K503" s="97">
        <f>IFERROR(J503/(I503/VLOOKUP(A503,'Tabela de Produtos'!A:H,8,0)),"Matéria Prima Não Cadastrada")</f>
        <v>5.2907949790794975</v>
      </c>
      <c r="L503" s="216">
        <v>45939</v>
      </c>
    </row>
    <row r="504" spans="1:12" ht="15.75" customHeight="1">
      <c r="A504" s="48" t="s">
        <v>130</v>
      </c>
      <c r="B504" s="114" t="str">
        <f>VLOOKUP(A504,'Tabela de Produtos'!A:B,2,0)</f>
        <v>BRAZIMIL LÁTEX ECONÔMICO INT FOSCO 15L MARFIM</v>
      </c>
      <c r="C504" s="48" t="s">
        <v>1219</v>
      </c>
      <c r="D504" s="114" t="str">
        <f>VLOOKUP(C504,'Custos Matéria Prima Embalagens'!B:C,2,0)</f>
        <v>WANALK 70 CE (BH-200)</v>
      </c>
      <c r="E504" s="114" t="str">
        <f>VLOOKUP(C504,'Custos Matéria Prima Embalagens'!B:D,3,0)</f>
        <v>ALCALINIZANTE</v>
      </c>
      <c r="F504" s="270">
        <f t="shared" si="64"/>
        <v>910.94500000000005</v>
      </c>
      <c r="G504" s="148">
        <f t="shared" si="65"/>
        <v>3.2932833486105087E-3</v>
      </c>
      <c r="H504" s="96">
        <v>3</v>
      </c>
      <c r="I504" s="272">
        <f>ROUND(F504/VLOOKUP(A504,'Tabela de Produtos'!A:J,10,0),0)</f>
        <v>717</v>
      </c>
      <c r="J504" s="97">
        <f>IFERROR(VLOOKUP(C504,'Custos Matéria Prima Embalagens'!B:G,6,0)*H504,"Matéria Prima Não Cadastrada")</f>
        <v>14.940000000000001</v>
      </c>
      <c r="K504" s="97">
        <f>IFERROR(J504/(I504/VLOOKUP(A504,'Tabela de Produtos'!A:H,8,0)),"Matéria Prima Não Cadastrada")</f>
        <v>0.31255230125523015</v>
      </c>
      <c r="L504" s="216">
        <v>45939</v>
      </c>
    </row>
    <row r="505" spans="1:12" ht="15.75" customHeight="1">
      <c r="A505" s="48" t="s">
        <v>130</v>
      </c>
      <c r="B505" s="114" t="str">
        <f>VLOOKUP(A505,'Tabela de Produtos'!A:B,2,0)</f>
        <v>BRAZIMIL LÁTEX ECONÔMICO INT FOSCO 15L MARFIM</v>
      </c>
      <c r="C505" s="48" t="s">
        <v>1221</v>
      </c>
      <c r="D505" s="114" t="str">
        <f>VLOOKUP(C505,'Custos Matéria Prima Embalagens'!B:C,2,0)</f>
        <v>MODIWAN 105H CE (CT-1000P)</v>
      </c>
      <c r="E505" s="114" t="str">
        <f>VLOOKUP(C505,'Custos Matéria Prima Embalagens'!B:D,3,0)</f>
        <v>ESPESSANTE DE MEDIA</v>
      </c>
      <c r="F505" s="270">
        <f t="shared" si="64"/>
        <v>910.94500000000005</v>
      </c>
      <c r="G505" s="148">
        <f t="shared" si="65"/>
        <v>1.7015297301154295E-2</v>
      </c>
      <c r="H505" s="96">
        <v>15.5</v>
      </c>
      <c r="I505" s="272">
        <f>ROUND(F505/VLOOKUP(A505,'Tabela de Produtos'!A:J,10,0),0)</f>
        <v>717</v>
      </c>
      <c r="J505" s="97">
        <f>IFERROR(VLOOKUP(C505,'Custos Matéria Prima Embalagens'!B:G,6,0)*H505,"Matéria Prima Não Cadastrada")</f>
        <v>122.52749999999999</v>
      </c>
      <c r="K505" s="97">
        <f>IFERROR(J505/(I505/VLOOKUP(A505,'Tabela de Produtos'!A:H,8,0)),"Matéria Prima Não Cadastrada")</f>
        <v>2.5633368200836819</v>
      </c>
      <c r="L505" s="216">
        <v>45939</v>
      </c>
    </row>
    <row r="506" spans="1:12" ht="15.75" customHeight="1">
      <c r="A506" s="48" t="s">
        <v>130</v>
      </c>
      <c r="B506" s="114" t="str">
        <f>VLOOKUP(A506,'Tabela de Produtos'!A:B,2,0)</f>
        <v>BRAZIMIL LÁTEX ECONÔMICO INT FOSCO 15L MARFIM</v>
      </c>
      <c r="C506" s="48" t="s">
        <v>1223</v>
      </c>
      <c r="D506" s="114" t="str">
        <f>VLOOKUP(C506,'Custos Matéria Prima Embalagens'!B:C,2,0)</f>
        <v>TURBOWAN H CE (BH-200)</v>
      </c>
      <c r="E506" s="114" t="str">
        <f>VLOOKUP(C506,'Custos Matéria Prima Embalagens'!B:D,3,0)</f>
        <v>PROMOTOR DE LAVABILIDADE</v>
      </c>
      <c r="F506" s="270">
        <f t="shared" si="64"/>
        <v>910.94500000000005</v>
      </c>
      <c r="G506" s="148">
        <f t="shared" si="65"/>
        <v>8.2332083715262721E-3</v>
      </c>
      <c r="H506" s="96">
        <v>7.5</v>
      </c>
      <c r="I506" s="272">
        <f>ROUND(F506/VLOOKUP(A506,'Tabela de Produtos'!A:J,10,0),0)</f>
        <v>717</v>
      </c>
      <c r="J506" s="97">
        <f>IFERROR(VLOOKUP(C506,'Custos Matéria Prima Embalagens'!B:G,6,0)*H506,"Matéria Prima Não Cadastrada")</f>
        <v>36.375</v>
      </c>
      <c r="K506" s="97">
        <f>IFERROR(J506/(I506/VLOOKUP(A506,'Tabela de Produtos'!A:H,8,0)),"Matéria Prima Não Cadastrada")</f>
        <v>0.76098326359832635</v>
      </c>
      <c r="L506" s="216">
        <v>45939</v>
      </c>
    </row>
    <row r="507" spans="1:12" ht="15.75" customHeight="1">
      <c r="A507" s="48" t="s">
        <v>130</v>
      </c>
      <c r="B507" s="114" t="str">
        <f>VLOOKUP(A507,'Tabela de Produtos'!A:B,2,0)</f>
        <v>BRAZIMIL LÁTEX ECONÔMICO INT FOSCO 15L MARFIM</v>
      </c>
      <c r="C507" s="48" t="s">
        <v>1229</v>
      </c>
      <c r="D507" s="114" t="str">
        <f>VLOOKUP(C507,'Custos Matéria Prima Embalagens'!B:C,2,0)</f>
        <v>WANSOL 340 CE (BB-200)</v>
      </c>
      <c r="E507" s="114" t="str">
        <f>VLOOKUP(C507,'Custos Matéria Prima Embalagens'!B:D,3,0)</f>
        <v>COALESCENTE</v>
      </c>
      <c r="F507" s="270">
        <f t="shared" si="64"/>
        <v>910.94500000000005</v>
      </c>
      <c r="G507" s="148">
        <f t="shared" si="65"/>
        <v>5.4888055810175147E-3</v>
      </c>
      <c r="H507" s="96">
        <v>5</v>
      </c>
      <c r="I507" s="272">
        <f>ROUND(F507/VLOOKUP(A507,'Tabela de Produtos'!A:J,10,0),0)</f>
        <v>717</v>
      </c>
      <c r="J507" s="97">
        <f>IFERROR(VLOOKUP(C507,'Custos Matéria Prima Embalagens'!B:G,6,0)*H507,"Matéria Prima Não Cadastrada")</f>
        <v>96.1</v>
      </c>
      <c r="K507" s="97">
        <f>IFERROR(J507/(I507/VLOOKUP(A507,'Tabela de Produtos'!A:H,8,0)),"Matéria Prima Não Cadastrada")</f>
        <v>2.010460251046025</v>
      </c>
      <c r="L507" s="216">
        <v>45939</v>
      </c>
    </row>
    <row r="508" spans="1:12" ht="15.75" customHeight="1">
      <c r="A508" s="48" t="s">
        <v>130</v>
      </c>
      <c r="B508" s="114" t="str">
        <f>VLOOKUP(A508,'Tabela de Produtos'!A:B,2,0)</f>
        <v>BRAZIMIL LÁTEX ECONÔMICO INT FOSCO 15L MARFIM</v>
      </c>
      <c r="C508" s="48" t="s">
        <v>1273</v>
      </c>
      <c r="D508" s="114" t="str">
        <f>VLOOKUP(C508,'Custos Matéria Prima Embalagens'!B:C,2,0)</f>
        <v>AMARELO SPECTRA RO</v>
      </c>
      <c r="E508" s="114" t="str">
        <f>VLOOKUP(C508,'Custos Matéria Prima Embalagens'!B:D,3,0)</f>
        <v>AMARELO SPECTRA RO</v>
      </c>
      <c r="F508" s="270">
        <f t="shared" si="64"/>
        <v>910.94500000000005</v>
      </c>
      <c r="G508" s="148">
        <f t="shared" si="65"/>
        <v>1.3173133394442035E-3</v>
      </c>
      <c r="H508" s="96">
        <v>1.2</v>
      </c>
      <c r="I508" s="272">
        <f>ROUND(F508/VLOOKUP(A508,'Tabela de Produtos'!A:J,10,0),0)</f>
        <v>717</v>
      </c>
      <c r="J508" s="97">
        <f>IFERROR(VLOOKUP(C508,'Custos Matéria Prima Embalagens'!B:G,6,0)*H508,"Matéria Prima Não Cadastrada")</f>
        <v>18.720000000000002</v>
      </c>
      <c r="K508" s="97">
        <f>IFERROR(J508/(I508/VLOOKUP(A508,'Tabela de Produtos'!A:H,8,0)),"Matéria Prima Não Cadastrada")</f>
        <v>0.39163179916317997</v>
      </c>
      <c r="L508" s="216">
        <v>45939</v>
      </c>
    </row>
    <row r="509" spans="1:12" ht="15.75" customHeight="1">
      <c r="A509" s="48" t="s">
        <v>130</v>
      </c>
      <c r="B509" s="114" t="str">
        <f>VLOOKUP(A509,'Tabela de Produtos'!A:B,2,0)</f>
        <v>BRAZIMIL LÁTEX ECONÔMICO INT FOSCO 15L MARFIM</v>
      </c>
      <c r="C509" s="48" t="s">
        <v>1239</v>
      </c>
      <c r="D509" s="114" t="str">
        <f>VLOOKUP(C509,'Custos Matéria Prima Embalagens'!B:C,2,0)</f>
        <v>AMARELO SPECTRAPRINT 2GXH</v>
      </c>
      <c r="E509" s="114" t="str">
        <f>VLOOKUP(C509,'Custos Matéria Prima Embalagens'!B:D,3,0)</f>
        <v>AMARELO SPECTRAPRINT 2GXH</v>
      </c>
      <c r="F509" s="270">
        <f t="shared" si="64"/>
        <v>910.94500000000005</v>
      </c>
      <c r="G509" s="148">
        <f t="shared" si="65"/>
        <v>7.6843278134245199E-4</v>
      </c>
      <c r="H509" s="96">
        <v>0.7</v>
      </c>
      <c r="I509" s="272">
        <f>ROUND(F509/VLOOKUP(A509,'Tabela de Produtos'!A:J,10,0),0)</f>
        <v>717</v>
      </c>
      <c r="J509" s="97">
        <f>IFERROR(VLOOKUP(C509,'Custos Matéria Prima Embalagens'!B:G,6,0)*H509,"Matéria Prima Não Cadastrada")</f>
        <v>14.776999999999999</v>
      </c>
      <c r="K509" s="97">
        <f>IFERROR(J509/(I509/VLOOKUP(A509,'Tabela de Produtos'!A:H,8,0)),"Matéria Prima Não Cadastrada")</f>
        <v>0.30914225941422596</v>
      </c>
      <c r="L509" s="216">
        <v>45939</v>
      </c>
    </row>
    <row r="510" spans="1:12" ht="15.75" customHeight="1">
      <c r="A510" s="48" t="s">
        <v>130</v>
      </c>
      <c r="B510" s="114" t="str">
        <f>VLOOKUP(A510,'Tabela de Produtos'!A:B,2,0)</f>
        <v>BRAZIMIL LÁTEX ECONÔMICO INT FOSCO 15L MARFIM</v>
      </c>
      <c r="C510" s="48" t="s">
        <v>1231</v>
      </c>
      <c r="D510" s="114" t="str">
        <f>VLOOKUP(C510,'Custos Matéria Prima Embalagens'!B:C,2,0)</f>
        <v>PRETO SPECTRAPRINT SFF</v>
      </c>
      <c r="E510" s="114" t="str">
        <f>VLOOKUP(C510,'Custos Matéria Prima Embalagens'!B:D,3,0)</f>
        <v>PRETO SPECTRAPRINT SFF</v>
      </c>
      <c r="F510" s="270">
        <f t="shared" si="64"/>
        <v>910.94500000000005</v>
      </c>
      <c r="G510" s="148">
        <f t="shared" si="65"/>
        <v>4.9399250229157632E-5</v>
      </c>
      <c r="H510" s="96">
        <v>4.4999999999999998E-2</v>
      </c>
      <c r="I510" s="272">
        <f>ROUND(F510/VLOOKUP(A510,'Tabela de Produtos'!A:J,10,0),0)</f>
        <v>717</v>
      </c>
      <c r="J510" s="97">
        <f>IFERROR(VLOOKUP(C510,'Custos Matéria Prima Embalagens'!B:G,6,0)*H510,"Matéria Prima Não Cadastrada")</f>
        <v>0.68399999999999994</v>
      </c>
      <c r="K510" s="97">
        <f>IFERROR(J510/(I510/VLOOKUP(A510,'Tabela de Produtos'!A:H,8,0)),"Matéria Prima Não Cadastrada")</f>
        <v>1.4309623430962343E-2</v>
      </c>
      <c r="L510" s="216">
        <v>45939</v>
      </c>
    </row>
    <row r="511" spans="1:12" ht="15.75" customHeight="1">
      <c r="D511" s="114"/>
      <c r="E511" s="114"/>
      <c r="F511" s="96"/>
      <c r="G511" s="148"/>
      <c r="H511" s="96"/>
      <c r="I511" s="272"/>
      <c r="J511" s="97"/>
      <c r="K511" s="97"/>
      <c r="L511" s="216">
        <v>45939</v>
      </c>
    </row>
    <row r="512" spans="1:12" ht="15.75" customHeight="1">
      <c r="A512" s="48" t="s">
        <v>131</v>
      </c>
      <c r="B512" s="114" t="str">
        <f>VLOOKUP(A512,'Tabela de Produtos'!A:B,2,0)</f>
        <v>BRAZIMIL LÁTEX ECONÔMICO INT FOSCO 15L AMARELO IPE</v>
      </c>
      <c r="C512" s="48" t="s">
        <v>1197</v>
      </c>
      <c r="D512" s="114" t="str">
        <f>VLOOKUP(C512,'Custos Matéria Prima Embalagens'!B:C,2,0)</f>
        <v>AGUA</v>
      </c>
      <c r="E512" s="114" t="str">
        <f>VLOOKUP(C512,'Custos Matéria Prima Embalagens'!B:D,3,0)</f>
        <v>AGUA</v>
      </c>
      <c r="F512" s="270">
        <f t="shared" ref="F512:F526" si="66">SUMIFS(H:H,A:A,A512)</f>
        <v>921</v>
      </c>
      <c r="G512" s="148">
        <f t="shared" ref="G512:G526" si="67">H512/F512</f>
        <v>0.499457111834962</v>
      </c>
      <c r="H512" s="96">
        <v>460</v>
      </c>
      <c r="I512" s="272">
        <f>ROUND(F512/VLOOKUP(A512,'Tabela de Produtos'!A:J,10,0),0)</f>
        <v>725</v>
      </c>
      <c r="J512" s="97">
        <f>IFERROR(VLOOKUP(C512,'Custos Matéria Prima Embalagens'!B:G,6,0)*H512,"Matéria Prima Não Cadastrada")</f>
        <v>0</v>
      </c>
      <c r="K512" s="97">
        <f>IFERROR(J512/(I512/VLOOKUP(A512,'Tabela de Produtos'!A:H,8,0)),"Matéria Prima Não Cadastrada")</f>
        <v>0</v>
      </c>
      <c r="L512" s="216">
        <v>45939</v>
      </c>
    </row>
    <row r="513" spans="1:12" ht="15.75" customHeight="1">
      <c r="A513" s="48" t="s">
        <v>131</v>
      </c>
      <c r="B513" s="114" t="str">
        <f>VLOOKUP(A513,'Tabela de Produtos'!A:B,2,0)</f>
        <v>BRAZIMIL LÁTEX ECONÔMICO INT FOSCO 15L AMARELO IPE</v>
      </c>
      <c r="C513" s="48" t="s">
        <v>1201</v>
      </c>
      <c r="D513" s="114" t="str">
        <f>VLOOKUP(C513,'Custos Matéria Prima Embalagens'!B:C,2,0)</f>
        <v>WANFOAM 528 CE (BB-190)</v>
      </c>
      <c r="E513" s="114" t="str">
        <f>VLOOKUP(C513,'Custos Matéria Prima Embalagens'!B:D,3,0)</f>
        <v>ANTI ESPUMA LATEX</v>
      </c>
      <c r="F513" s="270">
        <f t="shared" si="66"/>
        <v>921</v>
      </c>
      <c r="G513" s="148">
        <f t="shared" si="67"/>
        <v>2.7144408251900108E-3</v>
      </c>
      <c r="H513" s="96">
        <v>2.5</v>
      </c>
      <c r="I513" s="272">
        <f>ROUND(F513/VLOOKUP(A513,'Tabela de Produtos'!A:J,10,0),0)</f>
        <v>725</v>
      </c>
      <c r="J513" s="97">
        <f>IFERROR(VLOOKUP(C513,'Custos Matéria Prima Embalagens'!B:G,6,0)*H513,"Matéria Prima Não Cadastrada")</f>
        <v>17.95</v>
      </c>
      <c r="K513" s="97">
        <f>IFERROR(J513/(I513/VLOOKUP(A513,'Tabela de Produtos'!A:H,8,0)),"Matéria Prima Não Cadastrada")</f>
        <v>0.37137931034482757</v>
      </c>
      <c r="L513" s="216">
        <v>45939</v>
      </c>
    </row>
    <row r="514" spans="1:12" ht="15.75" customHeight="1">
      <c r="A514" s="48" t="s">
        <v>131</v>
      </c>
      <c r="B514" s="114" t="str">
        <f>VLOOKUP(A514,'Tabela de Produtos'!A:B,2,0)</f>
        <v>BRAZIMIL LÁTEX ECONÔMICO INT FOSCO 15L AMARELO IPE</v>
      </c>
      <c r="C514" s="48" t="s">
        <v>1203</v>
      </c>
      <c r="D514" s="114" t="str">
        <f>VLOOKUP(C514,'Custos Matéria Prima Embalagens'!B:C,2,0)</f>
        <v>WANBAC WBT CE (BH-200)</v>
      </c>
      <c r="E514" s="114" t="str">
        <f>VLOOKUP(C514,'Custos Matéria Prima Embalagens'!B:D,3,0)</f>
        <v>BACTERICIDA</v>
      </c>
      <c r="F514" s="270">
        <f t="shared" si="66"/>
        <v>921</v>
      </c>
      <c r="G514" s="148">
        <f t="shared" si="67"/>
        <v>3.2573289902280132E-3</v>
      </c>
      <c r="H514" s="96">
        <v>3</v>
      </c>
      <c r="I514" s="272">
        <f>ROUND(F514/VLOOKUP(A514,'Tabela de Produtos'!A:J,10,0),0)</f>
        <v>725</v>
      </c>
      <c r="J514" s="97">
        <f>IFERROR(VLOOKUP(C514,'Custos Matéria Prima Embalagens'!B:G,6,0)*H514,"Matéria Prima Não Cadastrada")</f>
        <v>14.819999999999999</v>
      </c>
      <c r="K514" s="97">
        <f>IFERROR(J514/(I514/VLOOKUP(A514,'Tabela de Produtos'!A:H,8,0)),"Matéria Prima Não Cadastrada")</f>
        <v>0.30662068965517236</v>
      </c>
      <c r="L514" s="216">
        <v>45939</v>
      </c>
    </row>
    <row r="515" spans="1:12" ht="15.75" customHeight="1">
      <c r="A515" s="48" t="s">
        <v>131</v>
      </c>
      <c r="B515" s="114" t="str">
        <f>VLOOKUP(A515,'Tabela de Produtos'!A:B,2,0)</f>
        <v>BRAZIMIL LÁTEX ECONÔMICO INT FOSCO 15L AMARELO IPE</v>
      </c>
      <c r="C515" s="48" t="s">
        <v>1205</v>
      </c>
      <c r="D515" s="114" t="str">
        <f>VLOOKUP(C515,'Custos Matéria Prima Embalagens'!B:C,2,0)</f>
        <v>WANSUR 840 CE (BB-200)01</v>
      </c>
      <c r="E515" s="114" t="str">
        <f>VLOOKUP(C515,'Custos Matéria Prima Embalagens'!B:D,3,0)</f>
        <v>UMECTANTE</v>
      </c>
      <c r="F515" s="270">
        <f t="shared" si="66"/>
        <v>921</v>
      </c>
      <c r="G515" s="148">
        <f t="shared" si="67"/>
        <v>2.1715526601520088E-3</v>
      </c>
      <c r="H515" s="96">
        <v>2</v>
      </c>
      <c r="I515" s="272">
        <f>ROUND(F515/VLOOKUP(A515,'Tabela de Produtos'!A:J,10,0),0)</f>
        <v>725</v>
      </c>
      <c r="J515" s="97">
        <f>IFERROR(VLOOKUP(C515,'Custos Matéria Prima Embalagens'!B:G,6,0)*H515,"Matéria Prima Não Cadastrada")</f>
        <v>14.66</v>
      </c>
      <c r="K515" s="97">
        <f>IFERROR(J515/(I515/VLOOKUP(A515,'Tabela de Produtos'!A:H,8,0)),"Matéria Prima Não Cadastrada")</f>
        <v>0.30331034482758618</v>
      </c>
      <c r="L515" s="216">
        <v>45939</v>
      </c>
    </row>
    <row r="516" spans="1:12" ht="15.75" customHeight="1">
      <c r="A516" s="48" t="s">
        <v>131</v>
      </c>
      <c r="B516" s="114" t="str">
        <f>VLOOKUP(A516,'Tabela de Produtos'!A:B,2,0)</f>
        <v>BRAZIMIL LÁTEX ECONÔMICO INT FOSCO 15L AMARELO IPE</v>
      </c>
      <c r="C516" s="48" t="s">
        <v>1207</v>
      </c>
      <c r="D516" s="114" t="str">
        <f>VLOOKUP(C516,'Custos Matéria Prima Embalagens'!B:C,2,0)</f>
        <v>WANPEX 1510 (BB-200)</v>
      </c>
      <c r="E516" s="114" t="str">
        <f>VLOOKUP(C516,'Custos Matéria Prima Embalagens'!B:D,3,0)</f>
        <v>DISPERSANTE LATEX</v>
      </c>
      <c r="F516" s="270">
        <f t="shared" si="66"/>
        <v>921</v>
      </c>
      <c r="G516" s="148">
        <f t="shared" si="67"/>
        <v>3.2573289902280132E-3</v>
      </c>
      <c r="H516" s="96">
        <v>3</v>
      </c>
      <c r="I516" s="272">
        <f>ROUND(F516/VLOOKUP(A516,'Tabela de Produtos'!A:J,10,0),0)</f>
        <v>725</v>
      </c>
      <c r="J516" s="97">
        <f>IFERROR(VLOOKUP(C516,'Custos Matéria Prima Embalagens'!B:G,6,0)*H516,"Matéria Prima Não Cadastrada")</f>
        <v>20.58</v>
      </c>
      <c r="K516" s="97">
        <f>IFERROR(J516/(I516/VLOOKUP(A516,'Tabela de Produtos'!A:H,8,0)),"Matéria Prima Não Cadastrada")</f>
        <v>0.42579310344827581</v>
      </c>
      <c r="L516" s="216">
        <v>45939</v>
      </c>
    </row>
    <row r="517" spans="1:12" ht="15.75" customHeight="1">
      <c r="A517" s="48" t="s">
        <v>131</v>
      </c>
      <c r="B517" s="114" t="str">
        <f>VLOOKUP(A517,'Tabela de Produtos'!A:B,2,0)</f>
        <v>BRAZIMIL LÁTEX ECONÔMICO INT FOSCO 15L AMARELO IPE</v>
      </c>
      <c r="C517" s="48" t="s">
        <v>1209</v>
      </c>
      <c r="D517" s="114" t="str">
        <f>VLOOKUP(C517,'Custos Matéria Prima Embalagens'!B:C,2,0)</f>
        <v>WANFUNG WFT CE (BH-200)</v>
      </c>
      <c r="E517" s="114" t="str">
        <f>VLOOKUP(C517,'Custos Matéria Prima Embalagens'!B:D,3,0)</f>
        <v>FUNGICIDA</v>
      </c>
      <c r="F517" s="270">
        <f t="shared" si="66"/>
        <v>921</v>
      </c>
      <c r="G517" s="148">
        <f t="shared" si="67"/>
        <v>2.7144408251900108E-3</v>
      </c>
      <c r="H517" s="96">
        <v>2.5</v>
      </c>
      <c r="I517" s="272">
        <f>ROUND(F517/VLOOKUP(A517,'Tabela de Produtos'!A:J,10,0),0)</f>
        <v>725</v>
      </c>
      <c r="J517" s="97">
        <f>IFERROR(VLOOKUP(C517,'Custos Matéria Prima Embalagens'!B:G,6,0)*H517,"Matéria Prima Não Cadastrada")</f>
        <v>17.5</v>
      </c>
      <c r="K517" s="97">
        <f>IFERROR(J517/(I517/VLOOKUP(A517,'Tabela de Produtos'!A:H,8,0)),"Matéria Prima Não Cadastrada")</f>
        <v>0.36206896551724138</v>
      </c>
      <c r="L517" s="216">
        <v>45939</v>
      </c>
    </row>
    <row r="518" spans="1:12" ht="15.75" customHeight="1">
      <c r="A518" s="48" t="s">
        <v>131</v>
      </c>
      <c r="B518" s="114" t="str">
        <f>VLOOKUP(A518,'Tabela de Produtos'!A:B,2,0)</f>
        <v>BRAZIMIL LÁTEX ECONÔMICO INT FOSCO 15L AMARELO IPE</v>
      </c>
      <c r="C518" s="48" t="s">
        <v>1215</v>
      </c>
      <c r="D518" s="114" t="str">
        <f>VLOOKUP(C518,'Custos Matéria Prima Embalagens'!B:C,2,0)</f>
        <v>CALCARIO DOLOMITICO #500 ( SACOS 25 KG)</v>
      </c>
      <c r="E518" s="114" t="str">
        <f>VLOOKUP(C518,'Custos Matéria Prima Embalagens'!B:D,3,0)</f>
        <v>CARBONATO #500</v>
      </c>
      <c r="F518" s="270">
        <f t="shared" si="66"/>
        <v>921</v>
      </c>
      <c r="G518" s="148">
        <f t="shared" si="67"/>
        <v>5.428881650380022E-2</v>
      </c>
      <c r="H518" s="96">
        <v>50</v>
      </c>
      <c r="I518" s="272">
        <f>ROUND(F518/VLOOKUP(A518,'Tabela de Produtos'!A:J,10,0),0)</f>
        <v>725</v>
      </c>
      <c r="J518" s="97">
        <f>IFERROR(VLOOKUP(C518,'Custos Matéria Prima Embalagens'!B:G,6,0)*H518,"Matéria Prima Não Cadastrada")</f>
        <v>40</v>
      </c>
      <c r="K518" s="97">
        <f>IFERROR(J518/(I518/VLOOKUP(A518,'Tabela de Produtos'!A:H,8,0)),"Matéria Prima Não Cadastrada")</f>
        <v>0.82758620689655171</v>
      </c>
      <c r="L518" s="216">
        <v>45939</v>
      </c>
    </row>
    <row r="519" spans="1:12" ht="15.75" customHeight="1">
      <c r="A519" s="48" t="s">
        <v>131</v>
      </c>
      <c r="B519" s="114" t="str">
        <f>VLOOKUP(A519,'Tabela de Produtos'!A:B,2,0)</f>
        <v>BRAZIMIL LÁTEX ECONÔMICO INT FOSCO 15L AMARELO IPE</v>
      </c>
      <c r="C519" s="48" t="s">
        <v>1227</v>
      </c>
      <c r="D519" s="114" t="str">
        <f>VLOOKUP(C519,'Custos Matéria Prima Embalagens'!B:C,2,0)</f>
        <v>CAULIM MALHA 325</v>
      </c>
      <c r="E519" s="114" t="str">
        <f>VLOOKUP(C519,'Custos Matéria Prima Embalagens'!B:D,3,0)</f>
        <v>caulim</v>
      </c>
      <c r="F519" s="270">
        <f t="shared" si="66"/>
        <v>921</v>
      </c>
      <c r="G519" s="148">
        <f t="shared" si="67"/>
        <v>0.3528773072747014</v>
      </c>
      <c r="H519" s="96">
        <v>325</v>
      </c>
      <c r="I519" s="272">
        <f>ROUND(F519/VLOOKUP(A519,'Tabela de Produtos'!A:J,10,0),0)</f>
        <v>725</v>
      </c>
      <c r="J519" s="97">
        <f>IFERROR(VLOOKUP(C519,'Custos Matéria Prima Embalagens'!B:G,6,0)*H519,"Matéria Prima Não Cadastrada")</f>
        <v>494.16105555555538</v>
      </c>
      <c r="K519" s="97">
        <f>IFERROR(J519/(I519/VLOOKUP(A519,'Tabela de Produtos'!A:H,8,0)),"Matéria Prima Não Cadastrada")</f>
        <v>10.224021839080455</v>
      </c>
      <c r="L519" s="216">
        <v>45939</v>
      </c>
    </row>
    <row r="520" spans="1:12" ht="15.75" customHeight="1">
      <c r="A520" s="48" t="s">
        <v>131</v>
      </c>
      <c r="B520" s="114" t="str">
        <f>VLOOKUP(A520,'Tabela de Produtos'!A:B,2,0)</f>
        <v>BRAZIMIL LÁTEX ECONÔMICO INT FOSCO 15L AMARELO IPE</v>
      </c>
      <c r="C520" s="48" t="s">
        <v>1217</v>
      </c>
      <c r="D520" s="114" t="str">
        <f>VLOOKUP(C520,'Custos Matéria Prima Embalagens'!B:C,2,0)</f>
        <v>WANCRIL W 51 CE (CT-1000P)</v>
      </c>
      <c r="E520" s="114" t="str">
        <f>VLOOKUP(C520,'Custos Matéria Prima Embalagens'!B:D,3,0)</f>
        <v>RESINA ACRILICA ESTIRENADA</v>
      </c>
      <c r="F520" s="270">
        <f t="shared" si="66"/>
        <v>921</v>
      </c>
      <c r="G520" s="148">
        <f t="shared" si="67"/>
        <v>3.2573289902280131E-2</v>
      </c>
      <c r="H520" s="96">
        <v>30</v>
      </c>
      <c r="I520" s="272">
        <f>ROUND(F520/VLOOKUP(A520,'Tabela de Produtos'!A:J,10,0),0)</f>
        <v>725</v>
      </c>
      <c r="J520" s="97">
        <f>IFERROR(VLOOKUP(C520,'Custos Matéria Prima Embalagens'!B:G,6,0)*H520,"Matéria Prima Não Cadastrada")</f>
        <v>252.89999999999998</v>
      </c>
      <c r="K520" s="97">
        <f>IFERROR(J520/(I520/VLOOKUP(A520,'Tabela de Produtos'!A:H,8,0)),"Matéria Prima Não Cadastrada")</f>
        <v>5.2324137931034471</v>
      </c>
      <c r="L520" s="216">
        <v>45939</v>
      </c>
    </row>
    <row r="521" spans="1:12" ht="15.75" customHeight="1">
      <c r="A521" s="48" t="s">
        <v>131</v>
      </c>
      <c r="B521" s="114" t="str">
        <f>VLOOKUP(A521,'Tabela de Produtos'!A:B,2,0)</f>
        <v>BRAZIMIL LÁTEX ECONÔMICO INT FOSCO 15L AMARELO IPE</v>
      </c>
      <c r="C521" s="48" t="s">
        <v>1219</v>
      </c>
      <c r="D521" s="114" t="str">
        <f>VLOOKUP(C521,'Custos Matéria Prima Embalagens'!B:C,2,0)</f>
        <v>WANALK 70 CE (BH-200)</v>
      </c>
      <c r="E521" s="114" t="str">
        <f>VLOOKUP(C521,'Custos Matéria Prima Embalagens'!B:D,3,0)</f>
        <v>ALCALINIZANTE</v>
      </c>
      <c r="F521" s="270">
        <f t="shared" si="66"/>
        <v>921</v>
      </c>
      <c r="G521" s="148">
        <f t="shared" si="67"/>
        <v>3.2573289902280132E-3</v>
      </c>
      <c r="H521" s="96">
        <v>3</v>
      </c>
      <c r="I521" s="272">
        <f>ROUND(F521/VLOOKUP(A521,'Tabela de Produtos'!A:J,10,0),0)</f>
        <v>725</v>
      </c>
      <c r="J521" s="97">
        <f>IFERROR(VLOOKUP(C521,'Custos Matéria Prima Embalagens'!B:G,6,0)*H521,"Matéria Prima Não Cadastrada")</f>
        <v>14.940000000000001</v>
      </c>
      <c r="K521" s="97">
        <f>IFERROR(J521/(I521/VLOOKUP(A521,'Tabela de Produtos'!A:H,8,0)),"Matéria Prima Não Cadastrada")</f>
        <v>0.30910344827586206</v>
      </c>
      <c r="L521" s="216">
        <v>45939</v>
      </c>
    </row>
    <row r="522" spans="1:12" ht="15.75" customHeight="1">
      <c r="A522" s="48" t="s">
        <v>131</v>
      </c>
      <c r="B522" s="114" t="str">
        <f>VLOOKUP(A522,'Tabela de Produtos'!A:B,2,0)</f>
        <v>BRAZIMIL LÁTEX ECONÔMICO INT FOSCO 15L AMARELO IPE</v>
      </c>
      <c r="C522" s="48" t="s">
        <v>1221</v>
      </c>
      <c r="D522" s="114" t="str">
        <f>VLOOKUP(C522,'Custos Matéria Prima Embalagens'!B:C,2,0)</f>
        <v>MODIWAN 105H CE (CT-1000P)</v>
      </c>
      <c r="E522" s="114" t="str">
        <f>VLOOKUP(C522,'Custos Matéria Prima Embalagens'!B:D,3,0)</f>
        <v>ESPESSANTE DE MEDIA</v>
      </c>
      <c r="F522" s="270">
        <f t="shared" si="66"/>
        <v>921</v>
      </c>
      <c r="G522" s="148">
        <f t="shared" si="67"/>
        <v>1.6829533116178068E-2</v>
      </c>
      <c r="H522" s="96">
        <v>15.5</v>
      </c>
      <c r="I522" s="272">
        <f>ROUND(F522/VLOOKUP(A522,'Tabela de Produtos'!A:J,10,0),0)</f>
        <v>725</v>
      </c>
      <c r="J522" s="97">
        <f>IFERROR(VLOOKUP(C522,'Custos Matéria Prima Embalagens'!B:G,6,0)*H522,"Matéria Prima Não Cadastrada")</f>
        <v>122.52749999999999</v>
      </c>
      <c r="K522" s="97">
        <f>IFERROR(J522/(I522/VLOOKUP(A522,'Tabela de Produtos'!A:H,8,0)),"Matéria Prima Não Cadastrada")</f>
        <v>2.5350517241379307</v>
      </c>
      <c r="L522" s="216">
        <v>45939</v>
      </c>
    </row>
    <row r="523" spans="1:12" ht="15.75" customHeight="1">
      <c r="A523" s="48" t="s">
        <v>131</v>
      </c>
      <c r="B523" s="114" t="str">
        <f>VLOOKUP(A523,'Tabela de Produtos'!A:B,2,0)</f>
        <v>BRAZIMIL LÁTEX ECONÔMICO INT FOSCO 15L AMARELO IPE</v>
      </c>
      <c r="C523" s="48" t="s">
        <v>1223</v>
      </c>
      <c r="D523" s="114" t="str">
        <f>VLOOKUP(C523,'Custos Matéria Prima Embalagens'!B:C,2,0)</f>
        <v>TURBOWAN H CE (BH-200)</v>
      </c>
      <c r="E523" s="114" t="str">
        <f>VLOOKUP(C523,'Custos Matéria Prima Embalagens'!B:D,3,0)</f>
        <v>PROMOTOR DE LAVABILIDADE</v>
      </c>
      <c r="F523" s="270">
        <f t="shared" si="66"/>
        <v>921</v>
      </c>
      <c r="G523" s="148">
        <f t="shared" si="67"/>
        <v>8.1433224755700327E-3</v>
      </c>
      <c r="H523" s="96">
        <v>7.5</v>
      </c>
      <c r="I523" s="272">
        <f>ROUND(F523/VLOOKUP(A523,'Tabela de Produtos'!A:J,10,0),0)</f>
        <v>725</v>
      </c>
      <c r="J523" s="97">
        <f>IFERROR(VLOOKUP(C523,'Custos Matéria Prima Embalagens'!B:G,6,0)*H523,"Matéria Prima Não Cadastrada")</f>
        <v>36.375</v>
      </c>
      <c r="K523" s="97">
        <f>IFERROR(J523/(I523/VLOOKUP(A523,'Tabela de Produtos'!A:H,8,0)),"Matéria Prima Não Cadastrada")</f>
        <v>0.75258620689655165</v>
      </c>
      <c r="L523" s="216">
        <v>45939</v>
      </c>
    </row>
    <row r="524" spans="1:12" ht="15.75" customHeight="1">
      <c r="A524" s="48" t="s">
        <v>131</v>
      </c>
      <c r="B524" s="114" t="str">
        <f>VLOOKUP(A524,'Tabela de Produtos'!A:B,2,0)</f>
        <v>BRAZIMIL LÁTEX ECONÔMICO INT FOSCO 15L AMARELO IPE</v>
      </c>
      <c r="C524" s="48" t="s">
        <v>1229</v>
      </c>
      <c r="D524" s="114" t="str">
        <f>VLOOKUP(C524,'Custos Matéria Prima Embalagens'!B:C,2,0)</f>
        <v>WANSOL 340 CE (BB-200)</v>
      </c>
      <c r="E524" s="114" t="str">
        <f>VLOOKUP(C524,'Custos Matéria Prima Embalagens'!B:D,3,0)</f>
        <v>COALESCENTE</v>
      </c>
      <c r="F524" s="270">
        <f t="shared" si="66"/>
        <v>921</v>
      </c>
      <c r="G524" s="148">
        <f t="shared" si="67"/>
        <v>5.4288816503800215E-3</v>
      </c>
      <c r="H524" s="96">
        <v>5</v>
      </c>
      <c r="I524" s="272">
        <f>ROUND(F524/VLOOKUP(A524,'Tabela de Produtos'!A:J,10,0),0)</f>
        <v>725</v>
      </c>
      <c r="J524" s="97">
        <f>IFERROR(VLOOKUP(C524,'Custos Matéria Prima Embalagens'!B:G,6,0)*H524,"Matéria Prima Não Cadastrada")</f>
        <v>96.1</v>
      </c>
      <c r="K524" s="97">
        <f>IFERROR(J524/(I524/VLOOKUP(A524,'Tabela de Produtos'!A:H,8,0)),"Matéria Prima Não Cadastrada")</f>
        <v>1.9882758620689653</v>
      </c>
      <c r="L524" s="216">
        <v>45939</v>
      </c>
    </row>
    <row r="525" spans="1:12" ht="15.75" customHeight="1">
      <c r="A525" s="48" t="s">
        <v>131</v>
      </c>
      <c r="B525" s="114" t="str">
        <f>VLOOKUP(A525,'Tabela de Produtos'!A:B,2,0)</f>
        <v>BRAZIMIL LÁTEX ECONÔMICO INT FOSCO 15L AMARELO IPE</v>
      </c>
      <c r="C525" s="48" t="s">
        <v>1273</v>
      </c>
      <c r="D525" s="114" t="str">
        <f>VLOOKUP(C525,'Custos Matéria Prima Embalagens'!B:C,2,0)</f>
        <v>AMARELO SPECTRA RO</v>
      </c>
      <c r="E525" s="114" t="str">
        <f>VLOOKUP(C525,'Custos Matéria Prima Embalagens'!B:D,3,0)</f>
        <v>AMARELO SPECTRA RO</v>
      </c>
      <c r="F525" s="270">
        <f t="shared" si="66"/>
        <v>921</v>
      </c>
      <c r="G525" s="148">
        <f t="shared" si="67"/>
        <v>2.1715526601520088E-3</v>
      </c>
      <c r="H525" s="96">
        <v>2</v>
      </c>
      <c r="I525" s="272">
        <f>ROUND(F525/VLOOKUP(A525,'Tabela de Produtos'!A:J,10,0),0)</f>
        <v>725</v>
      </c>
      <c r="J525" s="97">
        <f>IFERROR(VLOOKUP(C525,'Custos Matéria Prima Embalagens'!B:G,6,0)*H525,"Matéria Prima Não Cadastrada")</f>
        <v>31.200000000000003</v>
      </c>
      <c r="K525" s="97">
        <f>IFERROR(J525/(I525/VLOOKUP(A525,'Tabela de Produtos'!A:H,8,0)),"Matéria Prima Não Cadastrada")</f>
        <v>0.64551724137931032</v>
      </c>
      <c r="L525" s="216">
        <v>45939</v>
      </c>
    </row>
    <row r="526" spans="1:12" ht="15.75" customHeight="1">
      <c r="A526" s="48" t="s">
        <v>131</v>
      </c>
      <c r="B526" s="114" t="str">
        <f>VLOOKUP(A526,'Tabela de Produtos'!A:B,2,0)</f>
        <v>BRAZIMIL LÁTEX ECONÔMICO INT FOSCO 15L AMARELO IPE</v>
      </c>
      <c r="C526" s="48" t="s">
        <v>1239</v>
      </c>
      <c r="D526" s="114" t="str">
        <f>VLOOKUP(C526,'Custos Matéria Prima Embalagens'!B:C,2,0)</f>
        <v>AMARELO SPECTRAPRINT 2GXH</v>
      </c>
      <c r="E526" s="114" t="str">
        <f>VLOOKUP(C526,'Custos Matéria Prima Embalagens'!B:D,3,0)</f>
        <v>AMARELO SPECTRAPRINT 2GXH</v>
      </c>
      <c r="F526" s="270">
        <f t="shared" si="66"/>
        <v>921</v>
      </c>
      <c r="G526" s="148">
        <f t="shared" si="67"/>
        <v>1.0857763300760043E-2</v>
      </c>
      <c r="H526" s="96">
        <v>10</v>
      </c>
      <c r="I526" s="272">
        <f>ROUND(F526/VLOOKUP(A526,'Tabela de Produtos'!A:J,10,0),0)</f>
        <v>725</v>
      </c>
      <c r="J526" s="97">
        <f>IFERROR(VLOOKUP(C526,'Custos Matéria Prima Embalagens'!B:G,6,0)*H526,"Matéria Prima Não Cadastrada")</f>
        <v>211.1</v>
      </c>
      <c r="K526" s="97">
        <f>IFERROR(J526/(I526/VLOOKUP(A526,'Tabela de Produtos'!A:H,8,0)),"Matéria Prima Não Cadastrada")</f>
        <v>4.3675862068965516</v>
      </c>
      <c r="L526" s="216">
        <v>45939</v>
      </c>
    </row>
    <row r="527" spans="1:12" ht="15.75" customHeight="1">
      <c r="D527" s="114"/>
      <c r="E527" s="114"/>
      <c r="F527" s="96"/>
      <c r="G527" s="148"/>
      <c r="H527" s="96"/>
      <c r="I527" s="272"/>
      <c r="J527" s="97"/>
      <c r="K527" s="97"/>
      <c r="L527" s="216">
        <v>45939</v>
      </c>
    </row>
    <row r="528" spans="1:12" ht="15.75" customHeight="1">
      <c r="A528" s="48" t="s">
        <v>132</v>
      </c>
      <c r="B528" s="114" t="str">
        <f>VLOOKUP(A528,'Tabela de Produtos'!A:B,2,0)</f>
        <v>BRAZIMIL LÁTEX ECONÔMICO INT FOSCO 15L DAMASCO</v>
      </c>
      <c r="C528" s="48" t="s">
        <v>1197</v>
      </c>
      <c r="D528" s="114" t="str">
        <f>VLOOKUP(C528,'Custos Matéria Prima Embalagens'!B:C,2,0)</f>
        <v>AGUA</v>
      </c>
      <c r="E528" s="114" t="str">
        <f>VLOOKUP(C528,'Custos Matéria Prima Embalagens'!B:D,3,0)</f>
        <v>AGUA</v>
      </c>
      <c r="F528" s="270">
        <f t="shared" ref="F528:F543" si="68">SUMIFS(H:H,A:A,A528)</f>
        <v>919.19999999999993</v>
      </c>
      <c r="G528" s="148">
        <f t="shared" ref="G528:G543" si="69">H528/F528</f>
        <v>0.50043516100957353</v>
      </c>
      <c r="H528" s="96">
        <v>460</v>
      </c>
      <c r="I528" s="272">
        <f>ROUND(F528/VLOOKUP(A528,'Tabela de Produtos'!A:J,10,0),0)</f>
        <v>724</v>
      </c>
      <c r="J528" s="97">
        <f>IFERROR(VLOOKUP(C528,'Custos Matéria Prima Embalagens'!B:G,6,0)*H528,"Matéria Prima Não Cadastrada")</f>
        <v>0</v>
      </c>
      <c r="K528" s="97">
        <f>IFERROR(J528/(I528/VLOOKUP(A528,'Tabela de Produtos'!A:H,8,0)),"Matéria Prima Não Cadastrada")</f>
        <v>0</v>
      </c>
      <c r="L528" s="216">
        <v>45939</v>
      </c>
    </row>
    <row r="529" spans="1:12" ht="15.75" customHeight="1">
      <c r="A529" s="48" t="s">
        <v>132</v>
      </c>
      <c r="B529" s="114" t="str">
        <f>VLOOKUP(A529,'Tabela de Produtos'!A:B,2,0)</f>
        <v>BRAZIMIL LÁTEX ECONÔMICO INT FOSCO 15L DAMASCO</v>
      </c>
      <c r="C529" s="48" t="s">
        <v>1201</v>
      </c>
      <c r="D529" s="114" t="str">
        <f>VLOOKUP(C529,'Custos Matéria Prima Embalagens'!B:C,2,0)</f>
        <v>WANFOAM 528 CE (BB-190)</v>
      </c>
      <c r="E529" s="114" t="str">
        <f>VLOOKUP(C529,'Custos Matéria Prima Embalagens'!B:D,3,0)</f>
        <v>ANTI ESPUMA LATEX</v>
      </c>
      <c r="F529" s="270">
        <f t="shared" si="68"/>
        <v>919.19999999999993</v>
      </c>
      <c r="G529" s="148">
        <f t="shared" si="69"/>
        <v>2.7197563098346391E-3</v>
      </c>
      <c r="H529" s="96">
        <v>2.5</v>
      </c>
      <c r="I529" s="272">
        <f>ROUND(F529/VLOOKUP(A529,'Tabela de Produtos'!A:J,10,0),0)</f>
        <v>724</v>
      </c>
      <c r="J529" s="97">
        <f>IFERROR(VLOOKUP(C529,'Custos Matéria Prima Embalagens'!B:G,6,0)*H529,"Matéria Prima Não Cadastrada")</f>
        <v>17.95</v>
      </c>
      <c r="K529" s="97">
        <f>IFERROR(J529/(I529/VLOOKUP(A529,'Tabela de Produtos'!A:H,8,0)),"Matéria Prima Não Cadastrada")</f>
        <v>0.37189226519337015</v>
      </c>
      <c r="L529" s="216">
        <v>45939</v>
      </c>
    </row>
    <row r="530" spans="1:12" ht="15.75" customHeight="1">
      <c r="A530" s="48" t="s">
        <v>132</v>
      </c>
      <c r="B530" s="114" t="str">
        <f>VLOOKUP(A530,'Tabela de Produtos'!A:B,2,0)</f>
        <v>BRAZIMIL LÁTEX ECONÔMICO INT FOSCO 15L DAMASCO</v>
      </c>
      <c r="C530" s="48" t="s">
        <v>1203</v>
      </c>
      <c r="D530" s="114" t="str">
        <f>VLOOKUP(C530,'Custos Matéria Prima Embalagens'!B:C,2,0)</f>
        <v>WANBAC WBT CE (BH-200)</v>
      </c>
      <c r="E530" s="114" t="str">
        <f>VLOOKUP(C530,'Custos Matéria Prima Embalagens'!B:D,3,0)</f>
        <v>BACTERICIDA</v>
      </c>
      <c r="F530" s="270">
        <f t="shared" si="68"/>
        <v>919.19999999999993</v>
      </c>
      <c r="G530" s="148">
        <f t="shared" si="69"/>
        <v>3.2637075718015668E-3</v>
      </c>
      <c r="H530" s="96">
        <v>3</v>
      </c>
      <c r="I530" s="272">
        <f>ROUND(F530/VLOOKUP(A530,'Tabela de Produtos'!A:J,10,0),0)</f>
        <v>724</v>
      </c>
      <c r="J530" s="97">
        <f>IFERROR(VLOOKUP(C530,'Custos Matéria Prima Embalagens'!B:G,6,0)*H530,"Matéria Prima Não Cadastrada")</f>
        <v>14.819999999999999</v>
      </c>
      <c r="K530" s="97">
        <f>IFERROR(J530/(I530/VLOOKUP(A530,'Tabela de Produtos'!A:H,8,0)),"Matéria Prima Não Cadastrada")</f>
        <v>0.3070441988950276</v>
      </c>
      <c r="L530" s="216">
        <v>45939</v>
      </c>
    </row>
    <row r="531" spans="1:12" ht="15.75" customHeight="1">
      <c r="A531" s="48" t="s">
        <v>132</v>
      </c>
      <c r="B531" s="114" t="str">
        <f>VLOOKUP(A531,'Tabela de Produtos'!A:B,2,0)</f>
        <v>BRAZIMIL LÁTEX ECONÔMICO INT FOSCO 15L DAMASCO</v>
      </c>
      <c r="C531" s="48" t="s">
        <v>1205</v>
      </c>
      <c r="D531" s="114" t="str">
        <f>VLOOKUP(C531,'Custos Matéria Prima Embalagens'!B:C,2,0)</f>
        <v>WANSUR 840 CE (BB-200)01</v>
      </c>
      <c r="E531" s="114" t="str">
        <f>VLOOKUP(C531,'Custos Matéria Prima Embalagens'!B:D,3,0)</f>
        <v>UMECTANTE</v>
      </c>
      <c r="F531" s="270">
        <f t="shared" si="68"/>
        <v>919.19999999999993</v>
      </c>
      <c r="G531" s="148">
        <f t="shared" si="69"/>
        <v>2.1758050478677114E-3</v>
      </c>
      <c r="H531" s="96">
        <v>2</v>
      </c>
      <c r="I531" s="272">
        <f>ROUND(F531/VLOOKUP(A531,'Tabela de Produtos'!A:J,10,0),0)</f>
        <v>724</v>
      </c>
      <c r="J531" s="97">
        <f>IFERROR(VLOOKUP(C531,'Custos Matéria Prima Embalagens'!B:G,6,0)*H531,"Matéria Prima Não Cadastrada")</f>
        <v>14.66</v>
      </c>
      <c r="K531" s="97">
        <f>IFERROR(J531/(I531/VLOOKUP(A531,'Tabela de Produtos'!A:H,8,0)),"Matéria Prima Não Cadastrada")</f>
        <v>0.30372928176795583</v>
      </c>
      <c r="L531" s="216">
        <v>45939</v>
      </c>
    </row>
    <row r="532" spans="1:12" ht="15.75" customHeight="1">
      <c r="A532" s="48" t="s">
        <v>132</v>
      </c>
      <c r="B532" s="114" t="str">
        <f>VLOOKUP(A532,'Tabela de Produtos'!A:B,2,0)</f>
        <v>BRAZIMIL LÁTEX ECONÔMICO INT FOSCO 15L DAMASCO</v>
      </c>
      <c r="C532" s="48" t="s">
        <v>1207</v>
      </c>
      <c r="D532" s="114" t="str">
        <f>VLOOKUP(C532,'Custos Matéria Prima Embalagens'!B:C,2,0)</f>
        <v>WANPEX 1510 (BB-200)</v>
      </c>
      <c r="E532" s="114" t="str">
        <f>VLOOKUP(C532,'Custos Matéria Prima Embalagens'!B:D,3,0)</f>
        <v>DISPERSANTE LATEX</v>
      </c>
      <c r="F532" s="270">
        <f t="shared" si="68"/>
        <v>919.19999999999993</v>
      </c>
      <c r="G532" s="148">
        <f t="shared" si="69"/>
        <v>3.2637075718015668E-3</v>
      </c>
      <c r="H532" s="96">
        <v>3</v>
      </c>
      <c r="I532" s="272">
        <f>ROUND(F532/VLOOKUP(A532,'Tabela de Produtos'!A:J,10,0),0)</f>
        <v>724</v>
      </c>
      <c r="J532" s="97">
        <f>IFERROR(VLOOKUP(C532,'Custos Matéria Prima Embalagens'!B:G,6,0)*H532,"Matéria Prima Não Cadastrada")</f>
        <v>20.58</v>
      </c>
      <c r="K532" s="97">
        <f>IFERROR(J532/(I532/VLOOKUP(A532,'Tabela de Produtos'!A:H,8,0)),"Matéria Prima Não Cadastrada")</f>
        <v>0.42638121546961322</v>
      </c>
      <c r="L532" s="216">
        <v>45939</v>
      </c>
    </row>
    <row r="533" spans="1:12" ht="15.75" customHeight="1">
      <c r="A533" s="48" t="s">
        <v>132</v>
      </c>
      <c r="B533" s="114" t="str">
        <f>VLOOKUP(A533,'Tabela de Produtos'!A:B,2,0)</f>
        <v>BRAZIMIL LÁTEX ECONÔMICO INT FOSCO 15L DAMASCO</v>
      </c>
      <c r="C533" s="48" t="s">
        <v>1209</v>
      </c>
      <c r="D533" s="114" t="str">
        <f>VLOOKUP(C533,'Custos Matéria Prima Embalagens'!B:C,2,0)</f>
        <v>WANFUNG WFT CE (BH-200)</v>
      </c>
      <c r="E533" s="114" t="str">
        <f>VLOOKUP(C533,'Custos Matéria Prima Embalagens'!B:D,3,0)</f>
        <v>FUNGICIDA</v>
      </c>
      <c r="F533" s="270">
        <f t="shared" si="68"/>
        <v>919.19999999999993</v>
      </c>
      <c r="G533" s="148">
        <f t="shared" si="69"/>
        <v>2.7197563098346391E-3</v>
      </c>
      <c r="H533" s="96">
        <v>2.5</v>
      </c>
      <c r="I533" s="272">
        <f>ROUND(F533/VLOOKUP(A533,'Tabela de Produtos'!A:J,10,0),0)</f>
        <v>724</v>
      </c>
      <c r="J533" s="97">
        <f>IFERROR(VLOOKUP(C533,'Custos Matéria Prima Embalagens'!B:G,6,0)*H533,"Matéria Prima Não Cadastrada")</f>
        <v>17.5</v>
      </c>
      <c r="K533" s="97">
        <f>IFERROR(J533/(I533/VLOOKUP(A533,'Tabela de Produtos'!A:H,8,0)),"Matéria Prima Não Cadastrada")</f>
        <v>0.36256906077348067</v>
      </c>
      <c r="L533" s="216">
        <v>45939</v>
      </c>
    </row>
    <row r="534" spans="1:12" ht="15.75" customHeight="1">
      <c r="A534" s="48" t="s">
        <v>132</v>
      </c>
      <c r="B534" s="114" t="str">
        <f>VLOOKUP(A534,'Tabela de Produtos'!A:B,2,0)</f>
        <v>BRAZIMIL LÁTEX ECONÔMICO INT FOSCO 15L DAMASCO</v>
      </c>
      <c r="C534" s="48" t="s">
        <v>1215</v>
      </c>
      <c r="D534" s="114" t="str">
        <f>VLOOKUP(C534,'Custos Matéria Prima Embalagens'!B:C,2,0)</f>
        <v>CALCARIO DOLOMITICO #500 ( SACOS 25 KG)</v>
      </c>
      <c r="E534" s="114" t="str">
        <f>VLOOKUP(C534,'Custos Matéria Prima Embalagens'!B:D,3,0)</f>
        <v>CARBONATO #500</v>
      </c>
      <c r="F534" s="270">
        <f t="shared" si="68"/>
        <v>919.19999999999993</v>
      </c>
      <c r="G534" s="148">
        <f t="shared" si="69"/>
        <v>5.4395126196692782E-2</v>
      </c>
      <c r="H534" s="96">
        <v>50</v>
      </c>
      <c r="I534" s="272">
        <f>ROUND(F534/VLOOKUP(A534,'Tabela de Produtos'!A:J,10,0),0)</f>
        <v>724</v>
      </c>
      <c r="J534" s="97">
        <f>IFERROR(VLOOKUP(C534,'Custos Matéria Prima Embalagens'!B:G,6,0)*H534,"Matéria Prima Não Cadastrada")</f>
        <v>40</v>
      </c>
      <c r="K534" s="97">
        <f>IFERROR(J534/(I534/VLOOKUP(A534,'Tabela de Produtos'!A:H,8,0)),"Matéria Prima Não Cadastrada")</f>
        <v>0.82872928176795579</v>
      </c>
      <c r="L534" s="216">
        <v>45939</v>
      </c>
    </row>
    <row r="535" spans="1:12" ht="15.75" customHeight="1">
      <c r="A535" s="48" t="s">
        <v>132</v>
      </c>
      <c r="B535" s="114" t="str">
        <f>VLOOKUP(A535,'Tabela de Produtos'!A:B,2,0)</f>
        <v>BRAZIMIL LÁTEX ECONÔMICO INT FOSCO 15L DAMASCO</v>
      </c>
      <c r="C535" s="48" t="s">
        <v>1227</v>
      </c>
      <c r="D535" s="114" t="str">
        <f>VLOOKUP(C535,'Custos Matéria Prima Embalagens'!B:C,2,0)</f>
        <v>CAULIM MALHA 325</v>
      </c>
      <c r="E535" s="114" t="str">
        <f>VLOOKUP(C535,'Custos Matéria Prima Embalagens'!B:D,3,0)</f>
        <v>caulim</v>
      </c>
      <c r="F535" s="270">
        <f t="shared" si="68"/>
        <v>919.19999999999993</v>
      </c>
      <c r="G535" s="148">
        <f t="shared" si="69"/>
        <v>0.35356832027850305</v>
      </c>
      <c r="H535" s="96">
        <v>325</v>
      </c>
      <c r="I535" s="272">
        <f>ROUND(F535/VLOOKUP(A535,'Tabela de Produtos'!A:J,10,0),0)</f>
        <v>724</v>
      </c>
      <c r="J535" s="97">
        <f>IFERROR(VLOOKUP(C535,'Custos Matéria Prima Embalagens'!B:G,6,0)*H535,"Matéria Prima Não Cadastrada")</f>
        <v>494.16105555555538</v>
      </c>
      <c r="K535" s="97">
        <f>IFERROR(J535/(I535/VLOOKUP(A535,'Tabela de Produtos'!A:H,8,0)),"Matéria Prima Não Cadastrada")</f>
        <v>10.238143416206258</v>
      </c>
      <c r="L535" s="216">
        <v>45939</v>
      </c>
    </row>
    <row r="536" spans="1:12" ht="15.75" customHeight="1">
      <c r="A536" s="48" t="s">
        <v>132</v>
      </c>
      <c r="B536" s="114" t="str">
        <f>VLOOKUP(A536,'Tabela de Produtos'!A:B,2,0)</f>
        <v>BRAZIMIL LÁTEX ECONÔMICO INT FOSCO 15L DAMASCO</v>
      </c>
      <c r="C536" s="48" t="s">
        <v>1217</v>
      </c>
      <c r="D536" s="114" t="str">
        <f>VLOOKUP(C536,'Custos Matéria Prima Embalagens'!B:C,2,0)</f>
        <v>WANCRIL W 51 CE (CT-1000P)</v>
      </c>
      <c r="E536" s="114" t="str">
        <f>VLOOKUP(C536,'Custos Matéria Prima Embalagens'!B:D,3,0)</f>
        <v>RESINA ACRILICA ESTIRENADA</v>
      </c>
      <c r="F536" s="270">
        <f t="shared" si="68"/>
        <v>919.19999999999993</v>
      </c>
      <c r="G536" s="148">
        <f t="shared" si="69"/>
        <v>3.2637075718015669E-2</v>
      </c>
      <c r="H536" s="96">
        <v>30</v>
      </c>
      <c r="I536" s="272">
        <f>ROUND(F536/VLOOKUP(A536,'Tabela de Produtos'!A:J,10,0),0)</f>
        <v>724</v>
      </c>
      <c r="J536" s="97">
        <f>IFERROR(VLOOKUP(C536,'Custos Matéria Prima Embalagens'!B:G,6,0)*H536,"Matéria Prima Não Cadastrada")</f>
        <v>252.89999999999998</v>
      </c>
      <c r="K536" s="97">
        <f>IFERROR(J536/(I536/VLOOKUP(A536,'Tabela de Produtos'!A:H,8,0)),"Matéria Prima Não Cadastrada")</f>
        <v>5.2396408839779003</v>
      </c>
      <c r="L536" s="216">
        <v>45939</v>
      </c>
    </row>
    <row r="537" spans="1:12" ht="15.75" customHeight="1">
      <c r="A537" s="48" t="s">
        <v>132</v>
      </c>
      <c r="B537" s="114" t="str">
        <f>VLOOKUP(A537,'Tabela de Produtos'!A:B,2,0)</f>
        <v>BRAZIMIL LÁTEX ECONÔMICO INT FOSCO 15L DAMASCO</v>
      </c>
      <c r="C537" s="48" t="s">
        <v>1219</v>
      </c>
      <c r="D537" s="114" t="str">
        <f>VLOOKUP(C537,'Custos Matéria Prima Embalagens'!B:C,2,0)</f>
        <v>WANALK 70 CE (BH-200)</v>
      </c>
      <c r="E537" s="114" t="str">
        <f>VLOOKUP(C537,'Custos Matéria Prima Embalagens'!B:D,3,0)</f>
        <v>ALCALINIZANTE</v>
      </c>
      <c r="F537" s="270">
        <f t="shared" si="68"/>
        <v>919.19999999999993</v>
      </c>
      <c r="G537" s="148">
        <f t="shared" si="69"/>
        <v>3.2637075718015668E-3</v>
      </c>
      <c r="H537" s="96">
        <v>3</v>
      </c>
      <c r="I537" s="272">
        <f>ROUND(F537/VLOOKUP(A537,'Tabela de Produtos'!A:J,10,0),0)</f>
        <v>724</v>
      </c>
      <c r="J537" s="97">
        <f>IFERROR(VLOOKUP(C537,'Custos Matéria Prima Embalagens'!B:G,6,0)*H537,"Matéria Prima Não Cadastrada")</f>
        <v>14.940000000000001</v>
      </c>
      <c r="K537" s="97">
        <f>IFERROR(J537/(I537/VLOOKUP(A537,'Tabela de Produtos'!A:H,8,0)),"Matéria Prima Não Cadastrada")</f>
        <v>0.30953038674033151</v>
      </c>
      <c r="L537" s="216">
        <v>45939</v>
      </c>
    </row>
    <row r="538" spans="1:12" ht="15.75" customHeight="1">
      <c r="A538" s="48" t="s">
        <v>132</v>
      </c>
      <c r="B538" s="114" t="str">
        <f>VLOOKUP(A538,'Tabela de Produtos'!A:B,2,0)</f>
        <v>BRAZIMIL LÁTEX ECONÔMICO INT FOSCO 15L DAMASCO</v>
      </c>
      <c r="C538" s="48" t="s">
        <v>1221</v>
      </c>
      <c r="D538" s="114" t="str">
        <f>VLOOKUP(C538,'Custos Matéria Prima Embalagens'!B:C,2,0)</f>
        <v>MODIWAN 105H CE (CT-1000P)</v>
      </c>
      <c r="E538" s="114" t="str">
        <f>VLOOKUP(C538,'Custos Matéria Prima Embalagens'!B:D,3,0)</f>
        <v>ESPESSANTE DE MEDIA</v>
      </c>
      <c r="F538" s="270">
        <f t="shared" si="68"/>
        <v>919.19999999999993</v>
      </c>
      <c r="G538" s="148">
        <f t="shared" si="69"/>
        <v>1.6862489120974763E-2</v>
      </c>
      <c r="H538" s="96">
        <v>15.5</v>
      </c>
      <c r="I538" s="272">
        <f>ROUND(F538/VLOOKUP(A538,'Tabela de Produtos'!A:J,10,0),0)</f>
        <v>724</v>
      </c>
      <c r="J538" s="97">
        <f>IFERROR(VLOOKUP(C538,'Custos Matéria Prima Embalagens'!B:G,6,0)*H538,"Matéria Prima Não Cadastrada")</f>
        <v>122.52749999999999</v>
      </c>
      <c r="K538" s="97">
        <f>IFERROR(J538/(I538/VLOOKUP(A538,'Tabela de Produtos'!A:H,8,0)),"Matéria Prima Não Cadastrada")</f>
        <v>2.5385531767955798</v>
      </c>
      <c r="L538" s="216">
        <v>45939</v>
      </c>
    </row>
    <row r="539" spans="1:12" ht="15.75" customHeight="1">
      <c r="A539" s="48" t="s">
        <v>132</v>
      </c>
      <c r="B539" s="114" t="str">
        <f>VLOOKUP(A539,'Tabela de Produtos'!A:B,2,0)</f>
        <v>BRAZIMIL LÁTEX ECONÔMICO INT FOSCO 15L DAMASCO</v>
      </c>
      <c r="C539" s="48" t="s">
        <v>1223</v>
      </c>
      <c r="D539" s="114" t="str">
        <f>VLOOKUP(C539,'Custos Matéria Prima Embalagens'!B:C,2,0)</f>
        <v>TURBOWAN H CE (BH-200)</v>
      </c>
      <c r="E539" s="114" t="str">
        <f>VLOOKUP(C539,'Custos Matéria Prima Embalagens'!B:D,3,0)</f>
        <v>PROMOTOR DE LAVABILIDADE</v>
      </c>
      <c r="F539" s="270">
        <f t="shared" si="68"/>
        <v>919.19999999999993</v>
      </c>
      <c r="G539" s="148">
        <f t="shared" si="69"/>
        <v>8.1592689295039173E-3</v>
      </c>
      <c r="H539" s="96">
        <v>7.5</v>
      </c>
      <c r="I539" s="272">
        <f>ROUND(F539/VLOOKUP(A539,'Tabela de Produtos'!A:J,10,0),0)</f>
        <v>724</v>
      </c>
      <c r="J539" s="97">
        <f>IFERROR(VLOOKUP(C539,'Custos Matéria Prima Embalagens'!B:G,6,0)*H539,"Matéria Prima Não Cadastrada")</f>
        <v>36.375</v>
      </c>
      <c r="K539" s="97">
        <f>IFERROR(J539/(I539/VLOOKUP(A539,'Tabela de Produtos'!A:H,8,0)),"Matéria Prima Não Cadastrada")</f>
        <v>0.75362569060773477</v>
      </c>
      <c r="L539" s="216">
        <v>45939</v>
      </c>
    </row>
    <row r="540" spans="1:12" ht="15.75" customHeight="1">
      <c r="A540" s="48" t="s">
        <v>132</v>
      </c>
      <c r="B540" s="114" t="str">
        <f>VLOOKUP(A540,'Tabela de Produtos'!A:B,2,0)</f>
        <v>BRAZIMIL LÁTEX ECONÔMICO INT FOSCO 15L DAMASCO</v>
      </c>
      <c r="C540" s="48" t="s">
        <v>1229</v>
      </c>
      <c r="D540" s="114" t="str">
        <f>VLOOKUP(C540,'Custos Matéria Prima Embalagens'!B:C,2,0)</f>
        <v>WANSOL 340 CE (BB-200)</v>
      </c>
      <c r="E540" s="114" t="str">
        <f>VLOOKUP(C540,'Custos Matéria Prima Embalagens'!B:D,3,0)</f>
        <v>COALESCENTE</v>
      </c>
      <c r="F540" s="270">
        <f t="shared" si="68"/>
        <v>919.19999999999993</v>
      </c>
      <c r="G540" s="148">
        <f t="shared" si="69"/>
        <v>5.4395126196692782E-3</v>
      </c>
      <c r="H540" s="96">
        <v>5</v>
      </c>
      <c r="I540" s="272">
        <f>ROUND(F540/VLOOKUP(A540,'Tabela de Produtos'!A:J,10,0),0)</f>
        <v>724</v>
      </c>
      <c r="J540" s="97">
        <f>IFERROR(VLOOKUP(C540,'Custos Matéria Prima Embalagens'!B:G,6,0)*H540,"Matéria Prima Não Cadastrada")</f>
        <v>96.1</v>
      </c>
      <c r="K540" s="97">
        <f>IFERROR(J540/(I540/VLOOKUP(A540,'Tabela de Produtos'!A:H,8,0)),"Matéria Prima Não Cadastrada")</f>
        <v>1.9910220994475136</v>
      </c>
      <c r="L540" s="216">
        <v>45939</v>
      </c>
    </row>
    <row r="541" spans="1:12" ht="15.75" customHeight="1">
      <c r="A541" s="48" t="s">
        <v>132</v>
      </c>
      <c r="B541" s="114" t="str">
        <f>VLOOKUP(A541,'Tabela de Produtos'!A:B,2,0)</f>
        <v>BRAZIMIL LÁTEX ECONÔMICO INT FOSCO 15L DAMASCO</v>
      </c>
      <c r="C541" s="48" t="s">
        <v>1273</v>
      </c>
      <c r="D541" s="114" t="str">
        <f>VLOOKUP(C541,'Custos Matéria Prima Embalagens'!B:C,2,0)</f>
        <v>AMARELO SPECTRA RO</v>
      </c>
      <c r="E541" s="114" t="str">
        <f>VLOOKUP(C541,'Custos Matéria Prima Embalagens'!B:D,3,0)</f>
        <v>AMARELO SPECTRA RO</v>
      </c>
      <c r="F541" s="270">
        <f t="shared" si="68"/>
        <v>919.19999999999993</v>
      </c>
      <c r="G541" s="148">
        <f t="shared" si="69"/>
        <v>6.0922541340295913E-3</v>
      </c>
      <c r="H541" s="96">
        <v>5.6</v>
      </c>
      <c r="I541" s="272">
        <f>ROUND(F541/VLOOKUP(A541,'Tabela de Produtos'!A:J,10,0),0)</f>
        <v>724</v>
      </c>
      <c r="J541" s="97">
        <f>IFERROR(VLOOKUP(C541,'Custos Matéria Prima Embalagens'!B:G,6,0)*H541,"Matéria Prima Não Cadastrada")</f>
        <v>87.36</v>
      </c>
      <c r="K541" s="97">
        <f>IFERROR(J541/(I541/VLOOKUP(A541,'Tabela de Produtos'!A:H,8,0)),"Matéria Prima Não Cadastrada")</f>
        <v>1.8099447513812155</v>
      </c>
      <c r="L541" s="216">
        <v>45939</v>
      </c>
    </row>
    <row r="542" spans="1:12" ht="15.75" customHeight="1">
      <c r="A542" s="48" t="s">
        <v>132</v>
      </c>
      <c r="B542" s="114" t="str">
        <f>VLOOKUP(A542,'Tabela de Produtos'!A:B,2,0)</f>
        <v>BRAZIMIL LÁTEX ECONÔMICO INT FOSCO 15L DAMASCO</v>
      </c>
      <c r="C542" s="48" t="s">
        <v>1353</v>
      </c>
      <c r="D542" s="114" t="str">
        <f>VLOOKUP(C542,'Custos Matéria Prima Embalagens'!B:C,2,0)</f>
        <v>VERMELHO SPECTRA RO</v>
      </c>
      <c r="E542" s="114" t="str">
        <f>VLOOKUP(C542,'Custos Matéria Prima Embalagens'!B:D,3,0)</f>
        <v>VERMELHO SPECTRA RO</v>
      </c>
      <c r="F542" s="270">
        <f t="shared" si="68"/>
        <v>919.19999999999993</v>
      </c>
      <c r="G542" s="148">
        <f t="shared" si="69"/>
        <v>1.9582245430809402E-3</v>
      </c>
      <c r="H542" s="96">
        <v>1.8</v>
      </c>
      <c r="I542" s="272">
        <f>ROUND(F542/VLOOKUP(A542,'Tabela de Produtos'!A:J,10,0),0)</f>
        <v>724</v>
      </c>
      <c r="J542" s="97">
        <f>IFERROR(VLOOKUP(C542,'Custos Matéria Prima Embalagens'!B:G,6,0)*H542,"Matéria Prima Não Cadastrada")</f>
        <v>27.738</v>
      </c>
      <c r="K542" s="97">
        <f>IFERROR(J542/(I542/VLOOKUP(A542,'Tabela de Produtos'!A:H,8,0)),"Matéria Prima Não Cadastrada")</f>
        <v>0.57468232044198897</v>
      </c>
      <c r="L542" s="216">
        <v>45939</v>
      </c>
    </row>
    <row r="543" spans="1:12" ht="15.75" customHeight="1">
      <c r="A543" s="48" t="s">
        <v>132</v>
      </c>
      <c r="B543" s="114" t="str">
        <f>VLOOKUP(A543,'Tabela de Produtos'!A:B,2,0)</f>
        <v>BRAZIMIL LÁTEX ECONÔMICO INT FOSCO 15L DAMASCO</v>
      </c>
      <c r="C543" s="48" t="s">
        <v>1239</v>
      </c>
      <c r="D543" s="114" t="str">
        <f>VLOOKUP(C543,'Custos Matéria Prima Embalagens'!B:C,2,0)</f>
        <v>AMARELO SPECTRAPRINT 2GXH</v>
      </c>
      <c r="E543" s="114" t="str">
        <f>VLOOKUP(C543,'Custos Matéria Prima Embalagens'!B:D,3,0)</f>
        <v>AMARELO SPECTRAPRINT 2GXH</v>
      </c>
      <c r="F543" s="270">
        <f t="shared" si="68"/>
        <v>919.19999999999993</v>
      </c>
      <c r="G543" s="148">
        <f t="shared" si="69"/>
        <v>3.0461270670147957E-3</v>
      </c>
      <c r="H543" s="96">
        <v>2.8</v>
      </c>
      <c r="I543" s="272">
        <f>ROUND(F543/VLOOKUP(A543,'Tabela de Produtos'!A:J,10,0),0)</f>
        <v>724</v>
      </c>
      <c r="J543" s="97">
        <f>IFERROR(VLOOKUP(C543,'Custos Matéria Prima Embalagens'!B:G,6,0)*H543,"Matéria Prima Não Cadastrada")</f>
        <v>59.107999999999997</v>
      </c>
      <c r="K543" s="97">
        <f>IFERROR(J543/(I543/VLOOKUP(A543,'Tabela de Produtos'!A:H,8,0)),"Matéria Prima Não Cadastrada")</f>
        <v>1.2246132596685082</v>
      </c>
      <c r="L543" s="216">
        <v>45939</v>
      </c>
    </row>
    <row r="544" spans="1:12" ht="15.75" customHeight="1">
      <c r="D544" s="114"/>
      <c r="E544" s="114"/>
      <c r="F544" s="96"/>
      <c r="G544" s="148"/>
      <c r="H544" s="96"/>
      <c r="I544" s="272"/>
      <c r="J544" s="97"/>
      <c r="K544" s="97"/>
      <c r="L544" s="216">
        <v>45939</v>
      </c>
    </row>
    <row r="545" spans="1:12" ht="15.75" customHeight="1">
      <c r="A545" s="48" t="s">
        <v>133</v>
      </c>
      <c r="B545" s="114" t="str">
        <f>VLOOKUP(A545,'Tabela de Produtos'!A:B,2,0)</f>
        <v>BRAZIMIL LÁTEX ECONÔMICO INT FOSCO 15L PEROLA</v>
      </c>
      <c r="C545" s="48" t="s">
        <v>1197</v>
      </c>
      <c r="D545" s="114" t="str">
        <f>VLOOKUP(C545,'Custos Matéria Prima Embalagens'!B:C,2,0)</f>
        <v>AGUA</v>
      </c>
      <c r="E545" s="114" t="str">
        <f>VLOOKUP(C545,'Custos Matéria Prima Embalagens'!B:D,3,0)</f>
        <v>AGUA</v>
      </c>
      <c r="F545" s="270">
        <f t="shared" ref="F545:F559" si="70">SUMIFS(H:H,A:A,A545)</f>
        <v>910.25</v>
      </c>
      <c r="G545" s="148">
        <f t="shared" ref="G545:G559" si="71">H545/F545</f>
        <v>0.50535567151881355</v>
      </c>
      <c r="H545" s="96">
        <v>460</v>
      </c>
      <c r="I545" s="272">
        <f>ROUND(F545/VLOOKUP(A545,'Tabela de Produtos'!A:J,10,0),0)</f>
        <v>717</v>
      </c>
      <c r="J545" s="97">
        <f>IFERROR(VLOOKUP(C545,'Custos Matéria Prima Embalagens'!B:G,6,0)*H545,"Matéria Prima Não Cadastrada")</f>
        <v>0</v>
      </c>
      <c r="K545" s="97">
        <f>IFERROR(J545/(I545/VLOOKUP(A545,'Tabela de Produtos'!A:H,8,0)),"Matéria Prima Não Cadastrada")</f>
        <v>0</v>
      </c>
      <c r="L545" s="216">
        <v>45939</v>
      </c>
    </row>
    <row r="546" spans="1:12" ht="15.75" customHeight="1">
      <c r="A546" s="48" t="s">
        <v>133</v>
      </c>
      <c r="B546" s="114" t="str">
        <f>VLOOKUP(A546,'Tabela de Produtos'!A:B,2,0)</f>
        <v>BRAZIMIL LÁTEX ECONÔMICO INT FOSCO 15L PEROLA</v>
      </c>
      <c r="C546" s="48" t="s">
        <v>1201</v>
      </c>
      <c r="D546" s="114" t="str">
        <f>VLOOKUP(C546,'Custos Matéria Prima Embalagens'!B:C,2,0)</f>
        <v>WANFOAM 528 CE (BB-190)</v>
      </c>
      <c r="E546" s="114" t="str">
        <f>VLOOKUP(C546,'Custos Matéria Prima Embalagens'!B:D,3,0)</f>
        <v>ANTI ESPUMA LATEX</v>
      </c>
      <c r="F546" s="270">
        <f t="shared" si="70"/>
        <v>910.25</v>
      </c>
      <c r="G546" s="148">
        <f t="shared" si="71"/>
        <v>2.7464982147761604E-3</v>
      </c>
      <c r="H546" s="96">
        <v>2.5</v>
      </c>
      <c r="I546" s="272">
        <f>ROUND(F546/VLOOKUP(A546,'Tabela de Produtos'!A:J,10,0),0)</f>
        <v>717</v>
      </c>
      <c r="J546" s="97">
        <f>IFERROR(VLOOKUP(C546,'Custos Matéria Prima Embalagens'!B:G,6,0)*H546,"Matéria Prima Não Cadastrada")</f>
        <v>17.95</v>
      </c>
      <c r="K546" s="97">
        <f>IFERROR(J546/(I546/VLOOKUP(A546,'Tabela de Produtos'!A:H,8,0)),"Matéria Prima Não Cadastrada")</f>
        <v>0.37552301255230125</v>
      </c>
      <c r="L546" s="216">
        <v>45939</v>
      </c>
    </row>
    <row r="547" spans="1:12" ht="15.75" customHeight="1">
      <c r="A547" s="48" t="s">
        <v>133</v>
      </c>
      <c r="B547" s="114" t="str">
        <f>VLOOKUP(A547,'Tabela de Produtos'!A:B,2,0)</f>
        <v>BRAZIMIL LÁTEX ECONÔMICO INT FOSCO 15L PEROLA</v>
      </c>
      <c r="C547" s="48" t="s">
        <v>1203</v>
      </c>
      <c r="D547" s="114" t="str">
        <f>VLOOKUP(C547,'Custos Matéria Prima Embalagens'!B:C,2,0)</f>
        <v>WANBAC WBT CE (BH-200)</v>
      </c>
      <c r="E547" s="114" t="str">
        <f>VLOOKUP(C547,'Custos Matéria Prima Embalagens'!B:D,3,0)</f>
        <v>BACTERICIDA</v>
      </c>
      <c r="F547" s="270">
        <f t="shared" si="70"/>
        <v>910.25</v>
      </c>
      <c r="G547" s="148">
        <f t="shared" si="71"/>
        <v>3.2957978577313925E-3</v>
      </c>
      <c r="H547" s="96">
        <v>3</v>
      </c>
      <c r="I547" s="272">
        <f>ROUND(F547/VLOOKUP(A547,'Tabela de Produtos'!A:J,10,0),0)</f>
        <v>717</v>
      </c>
      <c r="J547" s="97">
        <f>IFERROR(VLOOKUP(C547,'Custos Matéria Prima Embalagens'!B:G,6,0)*H547,"Matéria Prima Não Cadastrada")</f>
        <v>14.819999999999999</v>
      </c>
      <c r="K547" s="97">
        <f>IFERROR(J547/(I547/VLOOKUP(A547,'Tabela de Produtos'!A:H,8,0)),"Matéria Prima Não Cadastrada")</f>
        <v>0.31004184100418408</v>
      </c>
      <c r="L547" s="216">
        <v>45939</v>
      </c>
    </row>
    <row r="548" spans="1:12" ht="15.75" customHeight="1">
      <c r="A548" s="48" t="s">
        <v>133</v>
      </c>
      <c r="B548" s="114" t="str">
        <f>VLOOKUP(A548,'Tabela de Produtos'!A:B,2,0)</f>
        <v>BRAZIMIL LÁTEX ECONÔMICO INT FOSCO 15L PEROLA</v>
      </c>
      <c r="C548" s="48" t="s">
        <v>1205</v>
      </c>
      <c r="D548" s="114" t="str">
        <f>VLOOKUP(C548,'Custos Matéria Prima Embalagens'!B:C,2,0)</f>
        <v>WANSUR 840 CE (BB-200)01</v>
      </c>
      <c r="E548" s="114" t="str">
        <f>VLOOKUP(C548,'Custos Matéria Prima Embalagens'!B:D,3,0)</f>
        <v>UMECTANTE</v>
      </c>
      <c r="F548" s="270">
        <f t="shared" si="70"/>
        <v>910.25</v>
      </c>
      <c r="G548" s="148">
        <f t="shared" si="71"/>
        <v>2.1971985718209283E-3</v>
      </c>
      <c r="H548" s="96">
        <v>2</v>
      </c>
      <c r="I548" s="272">
        <f>ROUND(F548/VLOOKUP(A548,'Tabela de Produtos'!A:J,10,0),0)</f>
        <v>717</v>
      </c>
      <c r="J548" s="97">
        <f>IFERROR(VLOOKUP(C548,'Custos Matéria Prima Embalagens'!B:G,6,0)*H548,"Matéria Prima Não Cadastrada")</f>
        <v>14.66</v>
      </c>
      <c r="K548" s="97">
        <f>IFERROR(J548/(I548/VLOOKUP(A548,'Tabela de Produtos'!A:H,8,0)),"Matéria Prima Não Cadastrada")</f>
        <v>0.30669456066945611</v>
      </c>
      <c r="L548" s="216">
        <v>45939</v>
      </c>
    </row>
    <row r="549" spans="1:12" ht="15.75" customHeight="1">
      <c r="A549" s="48" t="s">
        <v>133</v>
      </c>
      <c r="B549" s="114" t="str">
        <f>VLOOKUP(A549,'Tabela de Produtos'!A:B,2,0)</f>
        <v>BRAZIMIL LÁTEX ECONÔMICO INT FOSCO 15L PEROLA</v>
      </c>
      <c r="C549" s="48" t="s">
        <v>1207</v>
      </c>
      <c r="D549" s="114" t="str">
        <f>VLOOKUP(C549,'Custos Matéria Prima Embalagens'!B:C,2,0)</f>
        <v>WANPEX 1510 (BB-200)</v>
      </c>
      <c r="E549" s="114" t="str">
        <f>VLOOKUP(C549,'Custos Matéria Prima Embalagens'!B:D,3,0)</f>
        <v>DISPERSANTE LATEX</v>
      </c>
      <c r="F549" s="270">
        <f t="shared" si="70"/>
        <v>910.25</v>
      </c>
      <c r="G549" s="148">
        <f t="shared" si="71"/>
        <v>3.2957978577313925E-3</v>
      </c>
      <c r="H549" s="96">
        <v>3</v>
      </c>
      <c r="I549" s="272">
        <f>ROUND(F549/VLOOKUP(A549,'Tabela de Produtos'!A:J,10,0),0)</f>
        <v>717</v>
      </c>
      <c r="J549" s="97">
        <f>IFERROR(VLOOKUP(C549,'Custos Matéria Prima Embalagens'!B:G,6,0)*H549,"Matéria Prima Não Cadastrada")</f>
        <v>20.58</v>
      </c>
      <c r="K549" s="97">
        <f>IFERROR(J549/(I549/VLOOKUP(A549,'Tabela de Produtos'!A:H,8,0)),"Matéria Prima Não Cadastrada")</f>
        <v>0.43054393305439331</v>
      </c>
      <c r="L549" s="216">
        <v>45939</v>
      </c>
    </row>
    <row r="550" spans="1:12" ht="15.75" customHeight="1">
      <c r="A550" s="48" t="s">
        <v>133</v>
      </c>
      <c r="B550" s="114" t="str">
        <f>VLOOKUP(A550,'Tabela de Produtos'!A:B,2,0)</f>
        <v>BRAZIMIL LÁTEX ECONÔMICO INT FOSCO 15L PEROLA</v>
      </c>
      <c r="C550" s="48" t="s">
        <v>1209</v>
      </c>
      <c r="D550" s="114" t="str">
        <f>VLOOKUP(C550,'Custos Matéria Prima Embalagens'!B:C,2,0)</f>
        <v>WANFUNG WFT CE (BH-200)</v>
      </c>
      <c r="E550" s="114" t="str">
        <f>VLOOKUP(C550,'Custos Matéria Prima Embalagens'!B:D,3,0)</f>
        <v>FUNGICIDA</v>
      </c>
      <c r="F550" s="270">
        <f t="shared" si="70"/>
        <v>910.25</v>
      </c>
      <c r="G550" s="148">
        <f t="shared" si="71"/>
        <v>2.7464982147761604E-3</v>
      </c>
      <c r="H550" s="96">
        <v>2.5</v>
      </c>
      <c r="I550" s="272">
        <f>ROUND(F550/VLOOKUP(A550,'Tabela de Produtos'!A:J,10,0),0)</f>
        <v>717</v>
      </c>
      <c r="J550" s="97">
        <f>IFERROR(VLOOKUP(C550,'Custos Matéria Prima Embalagens'!B:G,6,0)*H550,"Matéria Prima Não Cadastrada")</f>
        <v>17.5</v>
      </c>
      <c r="K550" s="97">
        <f>IFERROR(J550/(I550/VLOOKUP(A550,'Tabela de Produtos'!A:H,8,0)),"Matéria Prima Não Cadastrada")</f>
        <v>0.3661087866108787</v>
      </c>
      <c r="L550" s="216">
        <v>45939</v>
      </c>
    </row>
    <row r="551" spans="1:12" ht="15.75" customHeight="1">
      <c r="A551" s="48" t="s">
        <v>133</v>
      </c>
      <c r="B551" s="114" t="str">
        <f>VLOOKUP(A551,'Tabela de Produtos'!A:B,2,0)</f>
        <v>BRAZIMIL LÁTEX ECONÔMICO INT FOSCO 15L PEROLA</v>
      </c>
      <c r="C551" s="48" t="s">
        <v>1215</v>
      </c>
      <c r="D551" s="114" t="str">
        <f>VLOOKUP(C551,'Custos Matéria Prima Embalagens'!B:C,2,0)</f>
        <v>CALCARIO DOLOMITICO #500 ( SACOS 25 KG)</v>
      </c>
      <c r="E551" s="114" t="str">
        <f>VLOOKUP(C551,'Custos Matéria Prima Embalagens'!B:D,3,0)</f>
        <v>CARBONATO #500</v>
      </c>
      <c r="F551" s="270">
        <f t="shared" si="70"/>
        <v>910.25</v>
      </c>
      <c r="G551" s="148">
        <f t="shared" si="71"/>
        <v>5.4929964295523208E-2</v>
      </c>
      <c r="H551" s="96">
        <v>50</v>
      </c>
      <c r="I551" s="272">
        <f>ROUND(F551/VLOOKUP(A551,'Tabela de Produtos'!A:J,10,0),0)</f>
        <v>717</v>
      </c>
      <c r="J551" s="97">
        <f>IFERROR(VLOOKUP(C551,'Custos Matéria Prima Embalagens'!B:G,6,0)*H551,"Matéria Prima Não Cadastrada")</f>
        <v>40</v>
      </c>
      <c r="K551" s="97">
        <f>IFERROR(J551/(I551/VLOOKUP(A551,'Tabela de Produtos'!A:H,8,0)),"Matéria Prima Não Cadastrada")</f>
        <v>0.83682008368200844</v>
      </c>
      <c r="L551" s="216">
        <v>45939</v>
      </c>
    </row>
    <row r="552" spans="1:12" ht="15.75" customHeight="1">
      <c r="A552" s="48" t="s">
        <v>133</v>
      </c>
      <c r="B552" s="114" t="str">
        <f>VLOOKUP(A552,'Tabela de Produtos'!A:B,2,0)</f>
        <v>BRAZIMIL LÁTEX ECONÔMICO INT FOSCO 15L PEROLA</v>
      </c>
      <c r="C552" s="48" t="s">
        <v>1227</v>
      </c>
      <c r="D552" s="114" t="str">
        <f>VLOOKUP(C552,'Custos Matéria Prima Embalagens'!B:C,2,0)</f>
        <v>CAULIM MALHA 325</v>
      </c>
      <c r="E552" s="114" t="str">
        <f>VLOOKUP(C552,'Custos Matéria Prima Embalagens'!B:D,3,0)</f>
        <v>caulim</v>
      </c>
      <c r="F552" s="270">
        <f t="shared" si="70"/>
        <v>910.25</v>
      </c>
      <c r="G552" s="148">
        <f t="shared" si="71"/>
        <v>0.35704476792090084</v>
      </c>
      <c r="H552" s="96">
        <v>325</v>
      </c>
      <c r="I552" s="272">
        <f>ROUND(F552/VLOOKUP(A552,'Tabela de Produtos'!A:J,10,0),0)</f>
        <v>717</v>
      </c>
      <c r="J552" s="97">
        <f>IFERROR(VLOOKUP(C552,'Custos Matéria Prima Embalagens'!B:G,6,0)*H552,"Matéria Prima Não Cadastrada")</f>
        <v>494.16105555555538</v>
      </c>
      <c r="K552" s="97">
        <f>IFERROR(J552/(I552/VLOOKUP(A552,'Tabela de Produtos'!A:H,8,0)),"Matéria Prima Não Cadastrada")</f>
        <v>10.338097396559737</v>
      </c>
      <c r="L552" s="216">
        <v>45939</v>
      </c>
    </row>
    <row r="553" spans="1:12" ht="15.75" customHeight="1">
      <c r="A553" s="48" t="s">
        <v>133</v>
      </c>
      <c r="B553" s="114" t="str">
        <f>VLOOKUP(A553,'Tabela de Produtos'!A:B,2,0)</f>
        <v>BRAZIMIL LÁTEX ECONÔMICO INT FOSCO 15L PEROLA</v>
      </c>
      <c r="C553" s="48" t="s">
        <v>1217</v>
      </c>
      <c r="D553" s="114" t="str">
        <f>VLOOKUP(C553,'Custos Matéria Prima Embalagens'!B:C,2,0)</f>
        <v>WANCRIL W 51 CE (CT-1000P)</v>
      </c>
      <c r="E553" s="114" t="str">
        <f>VLOOKUP(C553,'Custos Matéria Prima Embalagens'!B:D,3,0)</f>
        <v>RESINA ACRILICA ESTIRENADA</v>
      </c>
      <c r="F553" s="270">
        <f t="shared" si="70"/>
        <v>910.25</v>
      </c>
      <c r="G553" s="148">
        <f t="shared" si="71"/>
        <v>3.2957978577313925E-2</v>
      </c>
      <c r="H553" s="96">
        <v>30</v>
      </c>
      <c r="I553" s="272">
        <f>ROUND(F553/VLOOKUP(A553,'Tabela de Produtos'!A:J,10,0),0)</f>
        <v>717</v>
      </c>
      <c r="J553" s="97">
        <f>IFERROR(VLOOKUP(C553,'Custos Matéria Prima Embalagens'!B:G,6,0)*H553,"Matéria Prima Não Cadastrada")</f>
        <v>252.89999999999998</v>
      </c>
      <c r="K553" s="97">
        <f>IFERROR(J553/(I553/VLOOKUP(A553,'Tabela de Produtos'!A:H,8,0)),"Matéria Prima Não Cadastrada")</f>
        <v>5.2907949790794975</v>
      </c>
      <c r="L553" s="216">
        <v>45939</v>
      </c>
    </row>
    <row r="554" spans="1:12" ht="15.75" customHeight="1">
      <c r="A554" s="48" t="s">
        <v>133</v>
      </c>
      <c r="B554" s="114" t="str">
        <f>VLOOKUP(A554,'Tabela de Produtos'!A:B,2,0)</f>
        <v>BRAZIMIL LÁTEX ECONÔMICO INT FOSCO 15L PEROLA</v>
      </c>
      <c r="C554" s="48" t="s">
        <v>1219</v>
      </c>
      <c r="D554" s="114" t="str">
        <f>VLOOKUP(C554,'Custos Matéria Prima Embalagens'!B:C,2,0)</f>
        <v>WANALK 70 CE (BH-200)</v>
      </c>
      <c r="E554" s="114" t="str">
        <f>VLOOKUP(C554,'Custos Matéria Prima Embalagens'!B:D,3,0)</f>
        <v>ALCALINIZANTE</v>
      </c>
      <c r="F554" s="270">
        <f t="shared" si="70"/>
        <v>910.25</v>
      </c>
      <c r="G554" s="148">
        <f t="shared" si="71"/>
        <v>3.2957978577313925E-3</v>
      </c>
      <c r="H554" s="96">
        <v>3</v>
      </c>
      <c r="I554" s="272">
        <f>ROUND(F554/VLOOKUP(A554,'Tabela de Produtos'!A:J,10,0),0)</f>
        <v>717</v>
      </c>
      <c r="J554" s="97">
        <f>IFERROR(VLOOKUP(C554,'Custos Matéria Prima Embalagens'!B:G,6,0)*H554,"Matéria Prima Não Cadastrada")</f>
        <v>14.940000000000001</v>
      </c>
      <c r="K554" s="97">
        <f>IFERROR(J554/(I554/VLOOKUP(A554,'Tabela de Produtos'!A:H,8,0)),"Matéria Prima Não Cadastrada")</f>
        <v>0.31255230125523015</v>
      </c>
      <c r="L554" s="216">
        <v>45939</v>
      </c>
    </row>
    <row r="555" spans="1:12" ht="15.75" customHeight="1">
      <c r="A555" s="48" t="s">
        <v>133</v>
      </c>
      <c r="B555" s="114" t="str">
        <f>VLOOKUP(A555,'Tabela de Produtos'!A:B,2,0)</f>
        <v>BRAZIMIL LÁTEX ECONÔMICO INT FOSCO 15L PEROLA</v>
      </c>
      <c r="C555" s="48" t="s">
        <v>1221</v>
      </c>
      <c r="D555" s="114" t="str">
        <f>VLOOKUP(C555,'Custos Matéria Prima Embalagens'!B:C,2,0)</f>
        <v>MODIWAN 105H CE (CT-1000P)</v>
      </c>
      <c r="E555" s="114" t="str">
        <f>VLOOKUP(C555,'Custos Matéria Prima Embalagens'!B:D,3,0)</f>
        <v>ESPESSANTE DE MEDIA</v>
      </c>
      <c r="F555" s="270">
        <f t="shared" si="70"/>
        <v>910.25</v>
      </c>
      <c r="G555" s="148">
        <f t="shared" si="71"/>
        <v>1.7028288931612196E-2</v>
      </c>
      <c r="H555" s="96">
        <v>15.5</v>
      </c>
      <c r="I555" s="272">
        <f>ROUND(F555/VLOOKUP(A555,'Tabela de Produtos'!A:J,10,0),0)</f>
        <v>717</v>
      </c>
      <c r="J555" s="97">
        <f>IFERROR(VLOOKUP(C555,'Custos Matéria Prima Embalagens'!B:G,6,0)*H555,"Matéria Prima Não Cadastrada")</f>
        <v>122.52749999999999</v>
      </c>
      <c r="K555" s="97">
        <f>IFERROR(J555/(I555/VLOOKUP(A555,'Tabela de Produtos'!A:H,8,0)),"Matéria Prima Não Cadastrada")</f>
        <v>2.5633368200836819</v>
      </c>
      <c r="L555" s="216">
        <v>45939</v>
      </c>
    </row>
    <row r="556" spans="1:12" ht="15.75" customHeight="1">
      <c r="A556" s="48" t="s">
        <v>133</v>
      </c>
      <c r="B556" s="114" t="str">
        <f>VLOOKUP(A556,'Tabela de Produtos'!A:B,2,0)</f>
        <v>BRAZIMIL LÁTEX ECONÔMICO INT FOSCO 15L PEROLA</v>
      </c>
      <c r="C556" s="48" t="s">
        <v>1223</v>
      </c>
      <c r="D556" s="114" t="str">
        <f>VLOOKUP(C556,'Custos Matéria Prima Embalagens'!B:C,2,0)</f>
        <v>TURBOWAN H CE (BH-200)</v>
      </c>
      <c r="E556" s="114" t="str">
        <f>VLOOKUP(C556,'Custos Matéria Prima Embalagens'!B:D,3,0)</f>
        <v>PROMOTOR DE LAVABILIDADE</v>
      </c>
      <c r="F556" s="270">
        <f t="shared" si="70"/>
        <v>910.25</v>
      </c>
      <c r="G556" s="148">
        <f t="shared" si="71"/>
        <v>8.2394946443284812E-3</v>
      </c>
      <c r="H556" s="96">
        <v>7.5</v>
      </c>
      <c r="I556" s="272">
        <f>ROUND(F556/VLOOKUP(A556,'Tabela de Produtos'!A:J,10,0),0)</f>
        <v>717</v>
      </c>
      <c r="J556" s="97">
        <f>IFERROR(VLOOKUP(C556,'Custos Matéria Prima Embalagens'!B:G,6,0)*H556,"Matéria Prima Não Cadastrada")</f>
        <v>36.375</v>
      </c>
      <c r="K556" s="97">
        <f>IFERROR(J556/(I556/VLOOKUP(A556,'Tabela de Produtos'!A:H,8,0)),"Matéria Prima Não Cadastrada")</f>
        <v>0.76098326359832635</v>
      </c>
      <c r="L556" s="216">
        <v>45939</v>
      </c>
    </row>
    <row r="557" spans="1:12" ht="15.75" customHeight="1">
      <c r="A557" s="48" t="s">
        <v>133</v>
      </c>
      <c r="B557" s="114" t="str">
        <f>VLOOKUP(A557,'Tabela de Produtos'!A:B,2,0)</f>
        <v>BRAZIMIL LÁTEX ECONÔMICO INT FOSCO 15L PEROLA</v>
      </c>
      <c r="C557" s="48" t="s">
        <v>1229</v>
      </c>
      <c r="D557" s="114" t="str">
        <f>VLOOKUP(C557,'Custos Matéria Prima Embalagens'!B:C,2,0)</f>
        <v>WANSOL 340 CE (BB-200)</v>
      </c>
      <c r="E557" s="114" t="str">
        <f>VLOOKUP(C557,'Custos Matéria Prima Embalagens'!B:D,3,0)</f>
        <v>COALESCENTE</v>
      </c>
      <c r="F557" s="270">
        <f t="shared" si="70"/>
        <v>910.25</v>
      </c>
      <c r="G557" s="148">
        <f t="shared" si="71"/>
        <v>5.4929964295523208E-3</v>
      </c>
      <c r="H557" s="96">
        <v>5</v>
      </c>
      <c r="I557" s="272">
        <f>ROUND(F557/VLOOKUP(A557,'Tabela de Produtos'!A:J,10,0),0)</f>
        <v>717</v>
      </c>
      <c r="J557" s="97">
        <f>IFERROR(VLOOKUP(C557,'Custos Matéria Prima Embalagens'!B:G,6,0)*H557,"Matéria Prima Não Cadastrada")</f>
        <v>96.1</v>
      </c>
      <c r="K557" s="97">
        <f>IFERROR(J557/(I557/VLOOKUP(A557,'Tabela de Produtos'!A:H,8,0)),"Matéria Prima Não Cadastrada")</f>
        <v>2.010460251046025</v>
      </c>
      <c r="L557" s="216">
        <v>45939</v>
      </c>
    </row>
    <row r="558" spans="1:12" ht="15.75" customHeight="1">
      <c r="A558" s="48" t="s">
        <v>133</v>
      </c>
      <c r="B558" s="114" t="str">
        <f>VLOOKUP(A558,'Tabela de Produtos'!A:B,2,0)</f>
        <v>BRAZIMIL LÁTEX ECONÔMICO INT FOSCO 15L PEROLA</v>
      </c>
      <c r="C558" s="48" t="s">
        <v>1273</v>
      </c>
      <c r="D558" s="114" t="str">
        <f>VLOOKUP(C558,'Custos Matéria Prima Embalagens'!B:C,2,0)</f>
        <v>AMARELO SPECTRA RO</v>
      </c>
      <c r="E558" s="114" t="str">
        <f>VLOOKUP(C558,'Custos Matéria Prima Embalagens'!B:D,3,0)</f>
        <v>AMARELO SPECTRA RO</v>
      </c>
      <c r="F558" s="270">
        <f t="shared" si="70"/>
        <v>910.25</v>
      </c>
      <c r="G558" s="148">
        <f t="shared" si="71"/>
        <v>1.318319143092557E-3</v>
      </c>
      <c r="H558" s="96">
        <v>1.2</v>
      </c>
      <c r="I558" s="272">
        <f>ROUND(F558/VLOOKUP(A558,'Tabela de Produtos'!A:J,10,0),0)</f>
        <v>717</v>
      </c>
      <c r="J558" s="97">
        <f>IFERROR(VLOOKUP(C558,'Custos Matéria Prima Embalagens'!B:G,6,0)*H558,"Matéria Prima Não Cadastrada")</f>
        <v>18.720000000000002</v>
      </c>
      <c r="K558" s="97">
        <f>IFERROR(J558/(I558/VLOOKUP(A558,'Tabela de Produtos'!A:H,8,0)),"Matéria Prima Não Cadastrada")</f>
        <v>0.39163179916317997</v>
      </c>
      <c r="L558" s="216">
        <v>45939</v>
      </c>
    </row>
    <row r="559" spans="1:12" ht="15.75" customHeight="1">
      <c r="A559" s="48" t="s">
        <v>133</v>
      </c>
      <c r="B559" s="114" t="str">
        <f>VLOOKUP(A559,'Tabela de Produtos'!A:B,2,0)</f>
        <v>BRAZIMIL LÁTEX ECONÔMICO INT FOSCO 15L PEROLA</v>
      </c>
      <c r="C559" s="48" t="s">
        <v>1353</v>
      </c>
      <c r="D559" s="114" t="str">
        <f>VLOOKUP(C559,'Custos Matéria Prima Embalagens'!B:C,2,0)</f>
        <v>VERMELHO SPECTRA RO</v>
      </c>
      <c r="E559" s="114" t="str">
        <f>VLOOKUP(C559,'Custos Matéria Prima Embalagens'!B:D,3,0)</f>
        <v>VERMELHO SPECTRA RO</v>
      </c>
      <c r="F559" s="270">
        <f t="shared" si="70"/>
        <v>910.25</v>
      </c>
      <c r="G559" s="148">
        <f t="shared" si="71"/>
        <v>5.4929964295523208E-5</v>
      </c>
      <c r="H559" s="96">
        <v>0.05</v>
      </c>
      <c r="I559" s="272">
        <f>ROUND(F559/VLOOKUP(A559,'Tabela de Produtos'!A:J,10,0),0)</f>
        <v>717</v>
      </c>
      <c r="J559" s="97">
        <f>IFERROR(VLOOKUP(C559,'Custos Matéria Prima Embalagens'!B:G,6,0)*H559,"Matéria Prima Não Cadastrada")</f>
        <v>0.77050000000000007</v>
      </c>
      <c r="K559" s="97">
        <f>IFERROR(J559/(I559/VLOOKUP(A559,'Tabela de Produtos'!A:H,8,0)),"Matéria Prima Não Cadastrada")</f>
        <v>1.6119246861924688E-2</v>
      </c>
      <c r="L559" s="216">
        <v>45939</v>
      </c>
    </row>
    <row r="560" spans="1:12" ht="15.75" customHeight="1">
      <c r="F560" s="96"/>
      <c r="G560" s="148"/>
      <c r="H560" s="96"/>
      <c r="I560" s="272"/>
      <c r="J560" s="97"/>
      <c r="K560" s="97"/>
      <c r="L560" s="216"/>
    </row>
    <row r="561" spans="1:12" ht="15.75" customHeight="1">
      <c r="A561" s="48" t="s">
        <v>149</v>
      </c>
      <c r="B561" s="114" t="str">
        <f>VLOOKUP(A561,'Tabela de Produtos'!A:B,2,0)</f>
        <v>BRAZIMIL LÁTEX STANDARD INT/EXT FOSCO 3L BRANCO NEVE</v>
      </c>
      <c r="C561" s="48" t="s">
        <v>1197</v>
      </c>
      <c r="D561" s="114" t="str">
        <f>VLOOKUP(C561,'Custos Matéria Prima Embalagens'!B:C,2,0)</f>
        <v>AGUA</v>
      </c>
      <c r="E561" s="114" t="str">
        <f>VLOOKUP(C561,'Custos Matéria Prima Embalagens'!B:D,3,0)</f>
        <v>AGUA</v>
      </c>
      <c r="F561" s="270">
        <f t="shared" ref="F561:F575" si="72">SUMIFS(H:H,A:A,A561)</f>
        <v>1956</v>
      </c>
      <c r="G561" s="148">
        <f t="shared" ref="G561:G575" si="73">H561/F561</f>
        <v>0.47034764826175868</v>
      </c>
      <c r="H561" s="96">
        <v>920</v>
      </c>
      <c r="I561" s="272">
        <f>ROUND(F561/VLOOKUP(A561,'Tabela de Produtos'!A:J,10,0),0)</f>
        <v>1540</v>
      </c>
      <c r="J561" s="97">
        <f>IFERROR(VLOOKUP(C561,'Custos Matéria Prima Embalagens'!B:G,6,0)*H561,"Matéria Prima Não Cadastrada")</f>
        <v>0</v>
      </c>
      <c r="K561" s="97">
        <f>IFERROR(J561/(I561/VLOOKUP(A561,'Tabela de Produtos'!A:H,8,0)),"Matéria Prima Não Cadastrada")</f>
        <v>0</v>
      </c>
      <c r="L561" s="216"/>
    </row>
    <row r="562" spans="1:12" ht="15.75" customHeight="1">
      <c r="A562" s="48" t="s">
        <v>149</v>
      </c>
      <c r="B562" s="114" t="str">
        <f>VLOOKUP(A562,'Tabela de Produtos'!A:B,2,0)</f>
        <v>BRAZIMIL LÁTEX STANDARD INT/EXT FOSCO 3L BRANCO NEVE</v>
      </c>
      <c r="C562" s="48" t="s">
        <v>1201</v>
      </c>
      <c r="D562" s="114" t="str">
        <f>VLOOKUP(C562,'Custos Matéria Prima Embalagens'!B:C,2,0)</f>
        <v>WANFOAM 528 CE (BB-190)</v>
      </c>
      <c r="E562" s="114" t="str">
        <f>VLOOKUP(C562,'Custos Matéria Prima Embalagens'!B:D,3,0)</f>
        <v>ANTI ESPUMA LATEX</v>
      </c>
      <c r="F562" s="270">
        <f t="shared" si="72"/>
        <v>1956</v>
      </c>
      <c r="G562" s="148">
        <f t="shared" si="73"/>
        <v>2.5562372188139061E-3</v>
      </c>
      <c r="H562" s="96">
        <v>5</v>
      </c>
      <c r="I562" s="272">
        <f>ROUND(F562/VLOOKUP(A562,'Tabela de Produtos'!A:J,10,0),0)</f>
        <v>1540</v>
      </c>
      <c r="J562" s="97">
        <f>IFERROR(VLOOKUP(C562,'Custos Matéria Prima Embalagens'!B:G,6,0)*H562,"Matéria Prima Não Cadastrada")</f>
        <v>35.9</v>
      </c>
      <c r="K562" s="97">
        <f>IFERROR(J562/(I562/VLOOKUP(A562,'Tabela de Produtos'!A:H,8,0)),"Matéria Prima Não Cadastrada")</f>
        <v>6.9935064935064933E-2</v>
      </c>
      <c r="L562" s="216"/>
    </row>
    <row r="563" spans="1:12" ht="15.75" customHeight="1">
      <c r="A563" s="48" t="s">
        <v>149</v>
      </c>
      <c r="B563" s="114" t="str">
        <f>VLOOKUP(A563,'Tabela de Produtos'!A:B,2,0)</f>
        <v>BRAZIMIL LÁTEX STANDARD INT/EXT FOSCO 3L BRANCO NEVE</v>
      </c>
      <c r="C563" s="48" t="s">
        <v>1203</v>
      </c>
      <c r="D563" s="114" t="str">
        <f>VLOOKUP(C563,'Custos Matéria Prima Embalagens'!B:C,2,0)</f>
        <v>WANBAC WBT CE (BH-200)</v>
      </c>
      <c r="E563" s="114" t="str">
        <f>VLOOKUP(C563,'Custos Matéria Prima Embalagens'!B:D,3,0)</f>
        <v>BACTERICIDA</v>
      </c>
      <c r="F563" s="270">
        <f t="shared" si="72"/>
        <v>1956</v>
      </c>
      <c r="G563" s="148">
        <f t="shared" si="73"/>
        <v>3.0674846625766872E-3</v>
      </c>
      <c r="H563" s="96">
        <v>6</v>
      </c>
      <c r="I563" s="272">
        <f>ROUND(F563/VLOOKUP(A563,'Tabela de Produtos'!A:J,10,0),0)</f>
        <v>1540</v>
      </c>
      <c r="J563" s="97">
        <f>IFERROR(VLOOKUP(C563,'Custos Matéria Prima Embalagens'!B:G,6,0)*H563,"Matéria Prima Não Cadastrada")</f>
        <v>29.639999999999997</v>
      </c>
      <c r="K563" s="97">
        <f>IFERROR(J563/(I563/VLOOKUP(A563,'Tabela de Produtos'!A:H,8,0)),"Matéria Prima Não Cadastrada")</f>
        <v>5.7740259740259731E-2</v>
      </c>
      <c r="L563" s="216"/>
    </row>
    <row r="564" spans="1:12" ht="15.75" customHeight="1">
      <c r="A564" s="48" t="s">
        <v>149</v>
      </c>
      <c r="B564" s="114" t="str">
        <f>VLOOKUP(A564,'Tabela de Produtos'!A:B,2,0)</f>
        <v>BRAZIMIL LÁTEX STANDARD INT/EXT FOSCO 3L BRANCO NEVE</v>
      </c>
      <c r="C564" s="48" t="s">
        <v>1205</v>
      </c>
      <c r="D564" s="114" t="str">
        <f>VLOOKUP(C564,'Custos Matéria Prima Embalagens'!B:C,2,0)</f>
        <v>WANSUR 840 CE (BB-200)01</v>
      </c>
      <c r="E564" s="114" t="str">
        <f>VLOOKUP(C564,'Custos Matéria Prima Embalagens'!B:D,3,0)</f>
        <v>UMECTANTE</v>
      </c>
      <c r="F564" s="270">
        <f t="shared" si="72"/>
        <v>1956</v>
      </c>
      <c r="G564" s="148">
        <f t="shared" si="73"/>
        <v>2.0449897750511249E-3</v>
      </c>
      <c r="H564" s="96">
        <v>4</v>
      </c>
      <c r="I564" s="272">
        <f>ROUND(F564/VLOOKUP(A564,'Tabela de Produtos'!A:J,10,0),0)</f>
        <v>1540</v>
      </c>
      <c r="J564" s="97">
        <f>IFERROR(VLOOKUP(C564,'Custos Matéria Prima Embalagens'!B:G,6,0)*H564,"Matéria Prima Não Cadastrada")</f>
        <v>29.32</v>
      </c>
      <c r="K564" s="97">
        <f>IFERROR(J564/(I564/VLOOKUP(A564,'Tabela de Produtos'!A:H,8,0)),"Matéria Prima Não Cadastrada")</f>
        <v>5.7116883116883115E-2</v>
      </c>
      <c r="L564" s="216"/>
    </row>
    <row r="565" spans="1:12" ht="15.75" customHeight="1">
      <c r="A565" s="48" t="s">
        <v>149</v>
      </c>
      <c r="B565" s="114" t="str">
        <f>VLOOKUP(A565,'Tabela de Produtos'!A:B,2,0)</f>
        <v>BRAZIMIL LÁTEX STANDARD INT/EXT FOSCO 3L BRANCO NEVE</v>
      </c>
      <c r="C565" s="48" t="s">
        <v>1207</v>
      </c>
      <c r="D565" s="114" t="str">
        <f>VLOOKUP(C565,'Custos Matéria Prima Embalagens'!B:C,2,0)</f>
        <v>WANPEX 1510 (BB-200)</v>
      </c>
      <c r="E565" s="114" t="str">
        <f>VLOOKUP(C565,'Custos Matéria Prima Embalagens'!B:D,3,0)</f>
        <v>DISPERSANTE LATEX</v>
      </c>
      <c r="F565" s="270">
        <f t="shared" si="72"/>
        <v>1956</v>
      </c>
      <c r="G565" s="148">
        <f t="shared" si="73"/>
        <v>3.0674846625766872E-3</v>
      </c>
      <c r="H565" s="96">
        <v>6</v>
      </c>
      <c r="I565" s="272">
        <f>ROUND(F565/VLOOKUP(A565,'Tabela de Produtos'!A:J,10,0),0)</f>
        <v>1540</v>
      </c>
      <c r="J565" s="97">
        <f>IFERROR(VLOOKUP(C565,'Custos Matéria Prima Embalagens'!B:G,6,0)*H565,"Matéria Prima Não Cadastrada")</f>
        <v>41.16</v>
      </c>
      <c r="K565" s="97">
        <f>IFERROR(J565/(I565/VLOOKUP(A565,'Tabela de Produtos'!A:H,8,0)),"Matéria Prima Não Cadastrada")</f>
        <v>8.0181818181818174E-2</v>
      </c>
      <c r="L565" s="216"/>
    </row>
    <row r="566" spans="1:12" ht="15.75" customHeight="1">
      <c r="A566" s="48" t="s">
        <v>149</v>
      </c>
      <c r="B566" s="114" t="str">
        <f>VLOOKUP(A566,'Tabela de Produtos'!A:B,2,0)</f>
        <v>BRAZIMIL LÁTEX STANDARD INT/EXT FOSCO 3L BRANCO NEVE</v>
      </c>
      <c r="C566" s="48" t="s">
        <v>1209</v>
      </c>
      <c r="D566" s="114" t="str">
        <f>VLOOKUP(C566,'Custos Matéria Prima Embalagens'!B:C,2,0)</f>
        <v>WANFUNG WFT CE (BH-200)</v>
      </c>
      <c r="E566" s="114" t="str">
        <f>VLOOKUP(C566,'Custos Matéria Prima Embalagens'!B:D,3,0)</f>
        <v>FUNGICIDA</v>
      </c>
      <c r="F566" s="270">
        <f t="shared" si="72"/>
        <v>1956</v>
      </c>
      <c r="G566" s="148">
        <f t="shared" si="73"/>
        <v>2.5562372188139061E-3</v>
      </c>
      <c r="H566" s="96">
        <v>5</v>
      </c>
      <c r="I566" s="272">
        <f>ROUND(F566/VLOOKUP(A566,'Tabela de Produtos'!A:J,10,0),0)</f>
        <v>1540</v>
      </c>
      <c r="J566" s="97">
        <f>IFERROR(VLOOKUP(C566,'Custos Matéria Prima Embalagens'!B:G,6,0)*H566,"Matéria Prima Não Cadastrada")</f>
        <v>35</v>
      </c>
      <c r="K566" s="97">
        <f>IFERROR(J566/(I566/VLOOKUP(A566,'Tabela de Produtos'!A:H,8,0)),"Matéria Prima Não Cadastrada")</f>
        <v>6.8181818181818177E-2</v>
      </c>
      <c r="L566" s="216"/>
    </row>
    <row r="567" spans="1:12" ht="15.75" customHeight="1">
      <c r="A567" s="48" t="s">
        <v>149</v>
      </c>
      <c r="B567" s="114" t="str">
        <f>VLOOKUP(A567,'Tabela de Produtos'!A:B,2,0)</f>
        <v>BRAZIMIL LÁTEX STANDARD INT/EXT FOSCO 3L BRANCO NEVE</v>
      </c>
      <c r="C567" s="48" t="s">
        <v>1211</v>
      </c>
      <c r="D567" s="114" t="str">
        <f>VLOOKUP(C567,'Custos Matéria Prima Embalagens'!B:C,2,0)</f>
        <v>WHITE PLUS PB (SC-25) (Em negociação)</v>
      </c>
      <c r="E567" s="114" t="str">
        <f>VLOOKUP(C567,'Custos Matéria Prima Embalagens'!B:D,3,0)</f>
        <v>WHITE PLUS</v>
      </c>
      <c r="F567" s="270">
        <f t="shared" si="72"/>
        <v>1956</v>
      </c>
      <c r="G567" s="148">
        <f t="shared" si="73"/>
        <v>0.15337423312883436</v>
      </c>
      <c r="H567" s="96">
        <v>300</v>
      </c>
      <c r="I567" s="272">
        <f>ROUND(F567/VLOOKUP(A567,'Tabela de Produtos'!A:J,10,0),0)</f>
        <v>1540</v>
      </c>
      <c r="J567" s="97">
        <f>IFERROR(VLOOKUP(C567,'Custos Matéria Prima Embalagens'!B:G,6,0)*H567,"Matéria Prima Não Cadastrada")</f>
        <v>927</v>
      </c>
      <c r="K567" s="97">
        <f>IFERROR(J567/(I567/VLOOKUP(A567,'Tabela de Produtos'!A:H,8,0)),"Matéria Prima Não Cadastrada")</f>
        <v>1.8058441558441558</v>
      </c>
      <c r="L567" s="216"/>
    </row>
    <row r="568" spans="1:12" ht="15.75" customHeight="1">
      <c r="A568" s="48" t="s">
        <v>149</v>
      </c>
      <c r="B568" s="114" t="str">
        <f>VLOOKUP(A568,'Tabela de Produtos'!A:B,2,0)</f>
        <v>BRAZIMIL LÁTEX STANDARD INT/EXT FOSCO 3L BRANCO NEVE</v>
      </c>
      <c r="C568" s="48" t="s">
        <v>1213</v>
      </c>
      <c r="D568" s="114" t="str">
        <f>VLOOKUP(C568,'Custos Matéria Prima Embalagens'!B:C,2,0)</f>
        <v>DIOXIDO DE TITANIO RUTILO R-996</v>
      </c>
      <c r="E568" s="114" t="str">
        <f>VLOOKUP(C568,'Custos Matéria Prima Embalagens'!B:D,3,0)</f>
        <v>TITANIO</v>
      </c>
      <c r="F568" s="270">
        <f t="shared" si="72"/>
        <v>1956</v>
      </c>
      <c r="G568" s="148">
        <f t="shared" si="73"/>
        <v>3.0674846625766871E-2</v>
      </c>
      <c r="H568" s="96">
        <v>60</v>
      </c>
      <c r="I568" s="272">
        <f>ROUND(F568/VLOOKUP(A568,'Tabela de Produtos'!A:J,10,0),0)</f>
        <v>1540</v>
      </c>
      <c r="J568" s="97">
        <f>IFERROR(VLOOKUP(C568,'Custos Matéria Prima Embalagens'!B:G,6,0)*H568,"Matéria Prima Não Cadastrada")</f>
        <v>1158</v>
      </c>
      <c r="K568" s="97">
        <f>IFERROR(J568/(I568/VLOOKUP(A568,'Tabela de Produtos'!A:H,8,0)),"Matéria Prima Não Cadastrada")</f>
        <v>2.2558441558441555</v>
      </c>
      <c r="L568" s="216"/>
    </row>
    <row r="569" spans="1:12" ht="15.75" customHeight="1">
      <c r="A569" s="48" t="s">
        <v>149</v>
      </c>
      <c r="B569" s="114" t="str">
        <f>VLOOKUP(A569,'Tabela de Produtos'!A:B,2,0)</f>
        <v>BRAZIMIL LÁTEX STANDARD INT/EXT FOSCO 3L BRANCO NEVE</v>
      </c>
      <c r="C569" s="48" t="s">
        <v>1215</v>
      </c>
      <c r="D569" s="114" t="str">
        <f>VLOOKUP(C569,'Custos Matéria Prima Embalagens'!B:C,2,0)</f>
        <v>CALCARIO DOLOMITICO #500 ( SACOS 25 KG)</v>
      </c>
      <c r="E569" s="114" t="str">
        <f>VLOOKUP(C569,'Custos Matéria Prima Embalagens'!B:D,3,0)</f>
        <v>CARBONATO #500</v>
      </c>
      <c r="F569" s="270">
        <f t="shared" si="72"/>
        <v>1956</v>
      </c>
      <c r="G569" s="148">
        <f t="shared" si="73"/>
        <v>0.15337423312883436</v>
      </c>
      <c r="H569" s="96">
        <v>300</v>
      </c>
      <c r="I569" s="272">
        <f>ROUND(F569/VLOOKUP(A569,'Tabela de Produtos'!A:J,10,0),0)</f>
        <v>1540</v>
      </c>
      <c r="J569" s="97">
        <f>IFERROR(VLOOKUP(C569,'Custos Matéria Prima Embalagens'!B:G,6,0)*H569,"Matéria Prima Não Cadastrada")</f>
        <v>240</v>
      </c>
      <c r="K569" s="97">
        <f>IFERROR(J569/(I569/VLOOKUP(A569,'Tabela de Produtos'!A:H,8,0)),"Matéria Prima Não Cadastrada")</f>
        <v>0.46753246753246752</v>
      </c>
      <c r="L569" s="216"/>
    </row>
    <row r="570" spans="1:12" ht="15.75" customHeight="1">
      <c r="A570" s="48" t="s">
        <v>149</v>
      </c>
      <c r="B570" s="114" t="str">
        <f>VLOOKUP(A570,'Tabela de Produtos'!A:B,2,0)</f>
        <v>BRAZIMIL LÁTEX STANDARD INT/EXT FOSCO 3L BRANCO NEVE</v>
      </c>
      <c r="C570" s="48" t="s">
        <v>1227</v>
      </c>
      <c r="D570" s="114" t="str">
        <f>VLOOKUP(C570,'Custos Matéria Prima Embalagens'!B:C,2,0)</f>
        <v>CAULIM MALHA 325</v>
      </c>
      <c r="E570" s="114" t="str">
        <f>VLOOKUP(C570,'Custos Matéria Prima Embalagens'!B:D,3,0)</f>
        <v>caulim</v>
      </c>
      <c r="F570" s="270">
        <f t="shared" si="72"/>
        <v>1956</v>
      </c>
      <c r="G570" s="148">
        <f t="shared" si="73"/>
        <v>5.112474437627812E-2</v>
      </c>
      <c r="H570" s="96">
        <v>100</v>
      </c>
      <c r="I570" s="272">
        <f>ROUND(F570/VLOOKUP(A570,'Tabela de Produtos'!A:J,10,0),0)</f>
        <v>1540</v>
      </c>
      <c r="J570" s="97">
        <f>IFERROR(VLOOKUP(C570,'Custos Matéria Prima Embalagens'!B:G,6,0)*H570,"Matéria Prima Não Cadastrada")</f>
        <v>152.04955555555551</v>
      </c>
      <c r="K570" s="97">
        <f>IFERROR(J570/(I570/VLOOKUP(A570,'Tabela de Produtos'!A:H,8,0)),"Matéria Prima Não Cadastrada")</f>
        <v>0.2962004329004328</v>
      </c>
      <c r="L570" s="216"/>
    </row>
    <row r="571" spans="1:12" ht="15.75" customHeight="1">
      <c r="A571" s="48" t="s">
        <v>149</v>
      </c>
      <c r="B571" s="114" t="str">
        <f>VLOOKUP(A571,'Tabela de Produtos'!A:B,2,0)</f>
        <v>BRAZIMIL LÁTEX STANDARD INT/EXT FOSCO 3L BRANCO NEVE</v>
      </c>
      <c r="C571" s="48" t="s">
        <v>1217</v>
      </c>
      <c r="D571" s="114" t="str">
        <f>VLOOKUP(C571,'Custos Matéria Prima Embalagens'!B:C,2,0)</f>
        <v>WANCRIL W 51 CE (CT-1000P)</v>
      </c>
      <c r="E571" s="114" t="str">
        <f>VLOOKUP(C571,'Custos Matéria Prima Embalagens'!B:D,3,0)</f>
        <v>RESINA ACRILICA ESTIRENADA</v>
      </c>
      <c r="F571" s="270">
        <f t="shared" si="72"/>
        <v>1956</v>
      </c>
      <c r="G571" s="148">
        <f t="shared" si="73"/>
        <v>0.10224948875255624</v>
      </c>
      <c r="H571" s="96">
        <v>200</v>
      </c>
      <c r="I571" s="272">
        <f>ROUND(F571/VLOOKUP(A571,'Tabela de Produtos'!A:J,10,0),0)</f>
        <v>1540</v>
      </c>
      <c r="J571" s="97">
        <f>IFERROR(VLOOKUP(C571,'Custos Matéria Prima Embalagens'!B:G,6,0)*H571,"Matéria Prima Não Cadastrada")</f>
        <v>1686</v>
      </c>
      <c r="K571" s="97">
        <f>IFERROR(J571/(I571/VLOOKUP(A571,'Tabela de Produtos'!A:H,8,0)),"Matéria Prima Não Cadastrada")</f>
        <v>3.284415584415584</v>
      </c>
      <c r="L571" s="216"/>
    </row>
    <row r="572" spans="1:12" ht="15.75" customHeight="1">
      <c r="A572" s="48" t="s">
        <v>149</v>
      </c>
      <c r="B572" s="114" t="str">
        <f>VLOOKUP(A572,'Tabela de Produtos'!A:B,2,0)</f>
        <v>BRAZIMIL LÁTEX STANDARD INT/EXT FOSCO 3L BRANCO NEVE</v>
      </c>
      <c r="C572" s="48" t="s">
        <v>1219</v>
      </c>
      <c r="D572" s="114" t="str">
        <f>VLOOKUP(C572,'Custos Matéria Prima Embalagens'!B:C,2,0)</f>
        <v>WANALK 70 CE (BH-200)</v>
      </c>
      <c r="E572" s="114" t="str">
        <f>VLOOKUP(C572,'Custos Matéria Prima Embalagens'!B:D,3,0)</f>
        <v>ALCALINIZANTE</v>
      </c>
      <c r="F572" s="270">
        <f t="shared" si="72"/>
        <v>1956</v>
      </c>
      <c r="G572" s="148">
        <f t="shared" si="73"/>
        <v>2.5562372188139061E-3</v>
      </c>
      <c r="H572" s="96">
        <v>5</v>
      </c>
      <c r="I572" s="272">
        <f>ROUND(F572/VLOOKUP(A572,'Tabela de Produtos'!A:J,10,0),0)</f>
        <v>1540</v>
      </c>
      <c r="J572" s="97">
        <f>IFERROR(VLOOKUP(C572,'Custos Matéria Prima Embalagens'!B:G,6,0)*H572,"Matéria Prima Não Cadastrada")</f>
        <v>24.900000000000002</v>
      </c>
      <c r="K572" s="97">
        <f>IFERROR(J572/(I572/VLOOKUP(A572,'Tabela de Produtos'!A:H,8,0)),"Matéria Prima Não Cadastrada")</f>
        <v>4.8506493506493505E-2</v>
      </c>
      <c r="L572" s="216"/>
    </row>
    <row r="573" spans="1:12" ht="15.75" customHeight="1">
      <c r="A573" s="48" t="s">
        <v>149</v>
      </c>
      <c r="B573" s="114" t="str">
        <f>VLOOKUP(A573,'Tabela de Produtos'!A:B,2,0)</f>
        <v>BRAZIMIL LÁTEX STANDARD INT/EXT FOSCO 3L BRANCO NEVE</v>
      </c>
      <c r="C573" s="48" t="s">
        <v>1221</v>
      </c>
      <c r="D573" s="114" t="str">
        <f>VLOOKUP(C573,'Custos Matéria Prima Embalagens'!B:C,2,0)</f>
        <v>MODIWAN 105H CE (CT-1000P)</v>
      </c>
      <c r="E573" s="114" t="str">
        <f>VLOOKUP(C573,'Custos Matéria Prima Embalagens'!B:D,3,0)</f>
        <v>ESPESSANTE DE MEDIA</v>
      </c>
      <c r="F573" s="270">
        <f t="shared" si="72"/>
        <v>1956</v>
      </c>
      <c r="G573" s="148">
        <f t="shared" si="73"/>
        <v>1.0224948875255624E-2</v>
      </c>
      <c r="H573" s="96">
        <v>20</v>
      </c>
      <c r="I573" s="272">
        <f>ROUND(F573/VLOOKUP(A573,'Tabela de Produtos'!A:J,10,0),0)</f>
        <v>1540</v>
      </c>
      <c r="J573" s="97">
        <f>IFERROR(VLOOKUP(C573,'Custos Matéria Prima Embalagens'!B:G,6,0)*H573,"Matéria Prima Não Cadastrada")</f>
        <v>158.1</v>
      </c>
      <c r="K573" s="97">
        <f>IFERROR(J573/(I573/VLOOKUP(A573,'Tabela de Produtos'!A:H,8,0)),"Matéria Prima Não Cadastrada")</f>
        <v>0.30798701298701298</v>
      </c>
      <c r="L573" s="216"/>
    </row>
    <row r="574" spans="1:12" ht="15.75" customHeight="1">
      <c r="A574" s="48" t="s">
        <v>149</v>
      </c>
      <c r="B574" s="114" t="str">
        <f>VLOOKUP(A574,'Tabela de Produtos'!A:B,2,0)</f>
        <v>BRAZIMIL LÁTEX STANDARD INT/EXT FOSCO 3L BRANCO NEVE</v>
      </c>
      <c r="C574" s="48" t="s">
        <v>1223</v>
      </c>
      <c r="D574" s="114" t="str">
        <f>VLOOKUP(C574,'Custos Matéria Prima Embalagens'!B:C,2,0)</f>
        <v>TURBOWAN H CE (BH-200)</v>
      </c>
      <c r="E574" s="114" t="str">
        <f>VLOOKUP(C574,'Custos Matéria Prima Embalagens'!B:D,3,0)</f>
        <v>PROMOTOR DE LAVABILIDADE</v>
      </c>
      <c r="F574" s="270">
        <f t="shared" si="72"/>
        <v>1956</v>
      </c>
      <c r="G574" s="148">
        <f t="shared" si="73"/>
        <v>7.6687116564417178E-3</v>
      </c>
      <c r="H574" s="96">
        <v>15</v>
      </c>
      <c r="I574" s="272">
        <f>ROUND(F574/VLOOKUP(A574,'Tabela de Produtos'!A:J,10,0),0)</f>
        <v>1540</v>
      </c>
      <c r="J574" s="97">
        <f>IFERROR(VLOOKUP(C574,'Custos Matéria Prima Embalagens'!B:G,6,0)*H574,"Matéria Prima Não Cadastrada")</f>
        <v>72.75</v>
      </c>
      <c r="K574" s="97">
        <f>IFERROR(J574/(I574/VLOOKUP(A574,'Tabela de Produtos'!A:H,8,0)),"Matéria Prima Não Cadastrada")</f>
        <v>0.14172077922077922</v>
      </c>
      <c r="L574" s="216"/>
    </row>
    <row r="575" spans="1:12" ht="15.75" customHeight="1">
      <c r="A575" s="48" t="s">
        <v>149</v>
      </c>
      <c r="B575" s="114" t="str">
        <f>VLOOKUP(A575,'Tabela de Produtos'!A:B,2,0)</f>
        <v>BRAZIMIL LÁTEX STANDARD INT/EXT FOSCO 3L BRANCO NEVE</v>
      </c>
      <c r="C575" s="48" t="s">
        <v>1229</v>
      </c>
      <c r="D575" s="114" t="str">
        <f>VLOOKUP(C575,'Custos Matéria Prima Embalagens'!B:C,2,0)</f>
        <v>WANSOL 340 CE (BB-200)</v>
      </c>
      <c r="E575" s="114" t="str">
        <f>VLOOKUP(C575,'Custos Matéria Prima Embalagens'!B:D,3,0)</f>
        <v>COALESCENTE</v>
      </c>
      <c r="F575" s="270">
        <f t="shared" si="72"/>
        <v>1956</v>
      </c>
      <c r="G575" s="148">
        <f t="shared" si="73"/>
        <v>5.1124744376278121E-3</v>
      </c>
      <c r="H575" s="96">
        <v>10</v>
      </c>
      <c r="I575" s="272">
        <f>ROUND(F575/VLOOKUP(A575,'Tabela de Produtos'!A:J,10,0),0)</f>
        <v>1540</v>
      </c>
      <c r="J575" s="97">
        <f>IFERROR(VLOOKUP(C575,'Custos Matéria Prima Embalagens'!B:G,6,0)*H575,"Matéria Prima Não Cadastrada")</f>
        <v>192.2</v>
      </c>
      <c r="K575" s="97">
        <f>IFERROR(J575/(I575/VLOOKUP(A575,'Tabela de Produtos'!A:H,8,0)),"Matéria Prima Não Cadastrada")</f>
        <v>0.37441558441558437</v>
      </c>
      <c r="L575" s="216"/>
    </row>
    <row r="576" spans="1:12" ht="15.75" customHeight="1">
      <c r="F576" s="96"/>
      <c r="G576" s="148"/>
      <c r="H576" s="96"/>
      <c r="I576" s="272"/>
      <c r="J576" s="97"/>
      <c r="K576" s="97"/>
      <c r="L576" s="216"/>
    </row>
    <row r="577" spans="1:12" ht="15.75" customHeight="1">
      <c r="A577" s="114" t="s">
        <v>150</v>
      </c>
      <c r="B577" s="114" t="str">
        <f>VLOOKUP(A577,'Tabela de Produtos'!A:B,2,0)</f>
        <v>BRAZIMIL LÁTEX STANDARD INT/EXT FOSCO 3L BRANCO GELO</v>
      </c>
      <c r="C577" s="48" t="s">
        <v>1197</v>
      </c>
      <c r="D577" s="114" t="str">
        <f>VLOOKUP(C577,'Custos Matéria Prima Embalagens'!B:C,2,0)</f>
        <v>AGUA</v>
      </c>
      <c r="E577" s="114" t="str">
        <f>VLOOKUP(C577,'Custos Matéria Prima Embalagens'!B:D,3,0)</f>
        <v>AGUA</v>
      </c>
      <c r="F577" s="270">
        <f t="shared" ref="F577:F591" si="74">SUMIFS(H:H,A:A,A577)</f>
        <v>1956</v>
      </c>
      <c r="G577" s="148">
        <f t="shared" ref="G577:G591" si="75">H577/F577</f>
        <v>0.47034764826175868</v>
      </c>
      <c r="H577" s="96">
        <v>920</v>
      </c>
      <c r="I577" s="272">
        <f>ROUND(F577/VLOOKUP(A577,'Tabela de Produtos'!A:J,10,0),0)</f>
        <v>1540</v>
      </c>
      <c r="J577" s="97">
        <f>IFERROR(VLOOKUP(C577,'Custos Matéria Prima Embalagens'!B:G,6,0)*H577,"Matéria Prima Não Cadastrada")</f>
        <v>0</v>
      </c>
      <c r="K577" s="97">
        <f>IFERROR(J577/(I577/VLOOKUP(A577,'Tabela de Produtos'!A:H,8,0)),"Matéria Prima Não Cadastrada")</f>
        <v>0</v>
      </c>
      <c r="L577" s="216"/>
    </row>
    <row r="578" spans="1:12" ht="15.75" customHeight="1">
      <c r="A578" s="114" t="s">
        <v>150</v>
      </c>
      <c r="B578" s="114" t="str">
        <f>VLOOKUP(A578,'Tabela de Produtos'!A:B,2,0)</f>
        <v>BRAZIMIL LÁTEX STANDARD INT/EXT FOSCO 3L BRANCO GELO</v>
      </c>
      <c r="C578" s="48" t="s">
        <v>1201</v>
      </c>
      <c r="D578" s="114" t="str">
        <f>VLOOKUP(C578,'Custos Matéria Prima Embalagens'!B:C,2,0)</f>
        <v>WANFOAM 528 CE (BB-190)</v>
      </c>
      <c r="E578" s="114" t="str">
        <f>VLOOKUP(C578,'Custos Matéria Prima Embalagens'!B:D,3,0)</f>
        <v>ANTI ESPUMA LATEX</v>
      </c>
      <c r="F578" s="270">
        <f t="shared" si="74"/>
        <v>1956</v>
      </c>
      <c r="G578" s="148">
        <f t="shared" si="75"/>
        <v>2.5562372188139061E-3</v>
      </c>
      <c r="H578" s="96">
        <v>5</v>
      </c>
      <c r="I578" s="272">
        <f>ROUND(F578/VLOOKUP(A578,'Tabela de Produtos'!A:J,10,0),0)</f>
        <v>1540</v>
      </c>
      <c r="J578" s="97">
        <f>IFERROR(VLOOKUP(C578,'Custos Matéria Prima Embalagens'!B:G,6,0)*H578,"Matéria Prima Não Cadastrada")</f>
        <v>35.9</v>
      </c>
      <c r="K578" s="97">
        <f>IFERROR(J578/(I578/VLOOKUP(A578,'Tabela de Produtos'!A:H,8,0)),"Matéria Prima Não Cadastrada")</f>
        <v>6.9935064935064933E-2</v>
      </c>
      <c r="L578" s="216"/>
    </row>
    <row r="579" spans="1:12" ht="15.75" customHeight="1">
      <c r="A579" s="114" t="s">
        <v>150</v>
      </c>
      <c r="B579" s="114" t="str">
        <f>VLOOKUP(A579,'Tabela de Produtos'!A:B,2,0)</f>
        <v>BRAZIMIL LÁTEX STANDARD INT/EXT FOSCO 3L BRANCO GELO</v>
      </c>
      <c r="C579" s="48" t="s">
        <v>1203</v>
      </c>
      <c r="D579" s="114" t="str">
        <f>VLOOKUP(C579,'Custos Matéria Prima Embalagens'!B:C,2,0)</f>
        <v>WANBAC WBT CE (BH-200)</v>
      </c>
      <c r="E579" s="114" t="str">
        <f>VLOOKUP(C579,'Custos Matéria Prima Embalagens'!B:D,3,0)</f>
        <v>BACTERICIDA</v>
      </c>
      <c r="F579" s="270">
        <f t="shared" si="74"/>
        <v>1956</v>
      </c>
      <c r="G579" s="148">
        <f t="shared" si="75"/>
        <v>3.0674846625766872E-3</v>
      </c>
      <c r="H579" s="96">
        <v>6</v>
      </c>
      <c r="I579" s="272">
        <f>ROUND(F579/VLOOKUP(A579,'Tabela de Produtos'!A:J,10,0),0)</f>
        <v>1540</v>
      </c>
      <c r="J579" s="97">
        <f>IFERROR(VLOOKUP(C579,'Custos Matéria Prima Embalagens'!B:G,6,0)*H579,"Matéria Prima Não Cadastrada")</f>
        <v>29.639999999999997</v>
      </c>
      <c r="K579" s="97">
        <f>IFERROR(J579/(I579/VLOOKUP(A579,'Tabela de Produtos'!A:H,8,0)),"Matéria Prima Não Cadastrada")</f>
        <v>5.7740259740259731E-2</v>
      </c>
      <c r="L579" s="216"/>
    </row>
    <row r="580" spans="1:12" ht="15.75" customHeight="1">
      <c r="A580" s="114" t="s">
        <v>150</v>
      </c>
      <c r="B580" s="114" t="str">
        <f>VLOOKUP(A580,'Tabela de Produtos'!A:B,2,0)</f>
        <v>BRAZIMIL LÁTEX STANDARD INT/EXT FOSCO 3L BRANCO GELO</v>
      </c>
      <c r="C580" s="48" t="s">
        <v>1205</v>
      </c>
      <c r="D580" s="114" t="str">
        <f>VLOOKUP(C580,'Custos Matéria Prima Embalagens'!B:C,2,0)</f>
        <v>WANSUR 840 CE (BB-200)01</v>
      </c>
      <c r="E580" s="114" t="str">
        <f>VLOOKUP(C580,'Custos Matéria Prima Embalagens'!B:D,3,0)</f>
        <v>UMECTANTE</v>
      </c>
      <c r="F580" s="270">
        <f t="shared" si="74"/>
        <v>1956</v>
      </c>
      <c r="G580" s="148">
        <f t="shared" si="75"/>
        <v>2.0449897750511249E-3</v>
      </c>
      <c r="H580" s="96">
        <v>4</v>
      </c>
      <c r="I580" s="272">
        <f>ROUND(F580/VLOOKUP(A580,'Tabela de Produtos'!A:J,10,0),0)</f>
        <v>1540</v>
      </c>
      <c r="J580" s="97">
        <f>IFERROR(VLOOKUP(C580,'Custos Matéria Prima Embalagens'!B:G,6,0)*H580,"Matéria Prima Não Cadastrada")</f>
        <v>29.32</v>
      </c>
      <c r="K580" s="97">
        <f>IFERROR(J580/(I580/VLOOKUP(A580,'Tabela de Produtos'!A:H,8,0)),"Matéria Prima Não Cadastrada")</f>
        <v>5.7116883116883115E-2</v>
      </c>
      <c r="L580" s="216"/>
    </row>
    <row r="581" spans="1:12" ht="15.75" customHeight="1">
      <c r="A581" s="114" t="s">
        <v>150</v>
      </c>
      <c r="B581" s="114" t="str">
        <f>VLOOKUP(A581,'Tabela de Produtos'!A:B,2,0)</f>
        <v>BRAZIMIL LÁTEX STANDARD INT/EXT FOSCO 3L BRANCO GELO</v>
      </c>
      <c r="C581" s="48" t="s">
        <v>1207</v>
      </c>
      <c r="D581" s="114" t="str">
        <f>VLOOKUP(C581,'Custos Matéria Prima Embalagens'!B:C,2,0)</f>
        <v>WANPEX 1510 (BB-200)</v>
      </c>
      <c r="E581" s="114" t="str">
        <f>VLOOKUP(C581,'Custos Matéria Prima Embalagens'!B:D,3,0)</f>
        <v>DISPERSANTE LATEX</v>
      </c>
      <c r="F581" s="270">
        <f t="shared" si="74"/>
        <v>1956</v>
      </c>
      <c r="G581" s="148">
        <f t="shared" si="75"/>
        <v>3.0674846625766872E-3</v>
      </c>
      <c r="H581" s="96">
        <v>6</v>
      </c>
      <c r="I581" s="272">
        <f>ROUND(F581/VLOOKUP(A581,'Tabela de Produtos'!A:J,10,0),0)</f>
        <v>1540</v>
      </c>
      <c r="J581" s="97">
        <f>IFERROR(VLOOKUP(C581,'Custos Matéria Prima Embalagens'!B:G,6,0)*H581,"Matéria Prima Não Cadastrada")</f>
        <v>41.16</v>
      </c>
      <c r="K581" s="97">
        <f>IFERROR(J581/(I581/VLOOKUP(A581,'Tabela de Produtos'!A:H,8,0)),"Matéria Prima Não Cadastrada")</f>
        <v>8.0181818181818174E-2</v>
      </c>
      <c r="L581" s="216"/>
    </row>
    <row r="582" spans="1:12" ht="15.75" customHeight="1">
      <c r="A582" s="114" t="s">
        <v>150</v>
      </c>
      <c r="B582" s="114" t="str">
        <f>VLOOKUP(A582,'Tabela de Produtos'!A:B,2,0)</f>
        <v>BRAZIMIL LÁTEX STANDARD INT/EXT FOSCO 3L BRANCO GELO</v>
      </c>
      <c r="C582" s="48" t="s">
        <v>1209</v>
      </c>
      <c r="D582" s="114" t="str">
        <f>VLOOKUP(C582,'Custos Matéria Prima Embalagens'!B:C,2,0)</f>
        <v>WANFUNG WFT CE (BH-200)</v>
      </c>
      <c r="E582" s="114" t="str">
        <f>VLOOKUP(C582,'Custos Matéria Prima Embalagens'!B:D,3,0)</f>
        <v>FUNGICIDA</v>
      </c>
      <c r="F582" s="270">
        <f t="shared" si="74"/>
        <v>1956</v>
      </c>
      <c r="G582" s="148">
        <f t="shared" si="75"/>
        <v>2.5562372188139061E-3</v>
      </c>
      <c r="H582" s="96">
        <v>5</v>
      </c>
      <c r="I582" s="272">
        <f>ROUND(F582/VLOOKUP(A582,'Tabela de Produtos'!A:J,10,0),0)</f>
        <v>1540</v>
      </c>
      <c r="J582" s="97">
        <f>IFERROR(VLOOKUP(C582,'Custos Matéria Prima Embalagens'!B:G,6,0)*H582,"Matéria Prima Não Cadastrada")</f>
        <v>35</v>
      </c>
      <c r="K582" s="97">
        <f>IFERROR(J582/(I582/VLOOKUP(A582,'Tabela de Produtos'!A:H,8,0)),"Matéria Prima Não Cadastrada")</f>
        <v>6.8181818181818177E-2</v>
      </c>
      <c r="L582" s="216"/>
    </row>
    <row r="583" spans="1:12" ht="15.75" customHeight="1">
      <c r="A583" s="114" t="s">
        <v>150</v>
      </c>
      <c r="B583" s="114" t="str">
        <f>VLOOKUP(A583,'Tabela de Produtos'!A:B,2,0)</f>
        <v>BRAZIMIL LÁTEX STANDARD INT/EXT FOSCO 3L BRANCO GELO</v>
      </c>
      <c r="C583" s="48" t="s">
        <v>1211</v>
      </c>
      <c r="D583" s="114" t="str">
        <f>VLOOKUP(C583,'Custos Matéria Prima Embalagens'!B:C,2,0)</f>
        <v>WHITE PLUS PB (SC-25) (Em negociação)</v>
      </c>
      <c r="E583" s="114" t="str">
        <f>VLOOKUP(C583,'Custos Matéria Prima Embalagens'!B:D,3,0)</f>
        <v>WHITE PLUS</v>
      </c>
      <c r="F583" s="270">
        <f t="shared" si="74"/>
        <v>1956</v>
      </c>
      <c r="G583" s="148">
        <f t="shared" si="75"/>
        <v>0.15337423312883436</v>
      </c>
      <c r="H583" s="96">
        <v>300</v>
      </c>
      <c r="I583" s="272">
        <f>ROUND(F583/VLOOKUP(A583,'Tabela de Produtos'!A:J,10,0),0)</f>
        <v>1540</v>
      </c>
      <c r="J583" s="97">
        <f>IFERROR(VLOOKUP(C583,'Custos Matéria Prima Embalagens'!B:G,6,0)*H583,"Matéria Prima Não Cadastrada")</f>
        <v>927</v>
      </c>
      <c r="K583" s="97">
        <f>IFERROR(J583/(I583/VLOOKUP(A583,'Tabela de Produtos'!A:H,8,0)),"Matéria Prima Não Cadastrada")</f>
        <v>1.8058441558441558</v>
      </c>
      <c r="L583" s="216"/>
    </row>
    <row r="584" spans="1:12" ht="15.75" customHeight="1">
      <c r="A584" s="114" t="s">
        <v>150</v>
      </c>
      <c r="B584" s="114" t="str">
        <f>VLOOKUP(A584,'Tabela de Produtos'!A:B,2,0)</f>
        <v>BRAZIMIL LÁTEX STANDARD INT/EXT FOSCO 3L BRANCO GELO</v>
      </c>
      <c r="C584" s="48" t="s">
        <v>1213</v>
      </c>
      <c r="D584" s="114" t="str">
        <f>VLOOKUP(C584,'Custos Matéria Prima Embalagens'!B:C,2,0)</f>
        <v>DIOXIDO DE TITANIO RUTILO R-996</v>
      </c>
      <c r="E584" s="114" t="str">
        <f>VLOOKUP(C584,'Custos Matéria Prima Embalagens'!B:D,3,0)</f>
        <v>TITANIO</v>
      </c>
      <c r="F584" s="270">
        <f t="shared" si="74"/>
        <v>1956</v>
      </c>
      <c r="G584" s="148">
        <f t="shared" si="75"/>
        <v>3.0674846625766871E-2</v>
      </c>
      <c r="H584" s="96">
        <v>60</v>
      </c>
      <c r="I584" s="272">
        <f>ROUND(F584/VLOOKUP(A584,'Tabela de Produtos'!A:J,10,0),0)</f>
        <v>1540</v>
      </c>
      <c r="J584" s="97">
        <f>IFERROR(VLOOKUP(C584,'Custos Matéria Prima Embalagens'!B:G,6,0)*H584,"Matéria Prima Não Cadastrada")</f>
        <v>1158</v>
      </c>
      <c r="K584" s="97">
        <f>IFERROR(J584/(I584/VLOOKUP(A584,'Tabela de Produtos'!A:H,8,0)),"Matéria Prima Não Cadastrada")</f>
        <v>2.2558441558441555</v>
      </c>
      <c r="L584" s="216"/>
    </row>
    <row r="585" spans="1:12" ht="15.75" customHeight="1">
      <c r="A585" s="114" t="s">
        <v>150</v>
      </c>
      <c r="B585" s="114" t="str">
        <f>VLOOKUP(A585,'Tabela de Produtos'!A:B,2,0)</f>
        <v>BRAZIMIL LÁTEX STANDARD INT/EXT FOSCO 3L BRANCO GELO</v>
      </c>
      <c r="C585" s="48" t="s">
        <v>1215</v>
      </c>
      <c r="D585" s="114" t="str">
        <f>VLOOKUP(C585,'Custos Matéria Prima Embalagens'!B:C,2,0)</f>
        <v>CALCARIO DOLOMITICO #500 ( SACOS 25 KG)</v>
      </c>
      <c r="E585" s="114" t="str">
        <f>VLOOKUP(C585,'Custos Matéria Prima Embalagens'!B:D,3,0)</f>
        <v>CARBONATO #500</v>
      </c>
      <c r="F585" s="270">
        <f t="shared" si="74"/>
        <v>1956</v>
      </c>
      <c r="G585" s="148">
        <f t="shared" si="75"/>
        <v>0.15337423312883436</v>
      </c>
      <c r="H585" s="96">
        <v>300</v>
      </c>
      <c r="I585" s="272">
        <f>ROUND(F585/VLOOKUP(A585,'Tabela de Produtos'!A:J,10,0),0)</f>
        <v>1540</v>
      </c>
      <c r="J585" s="97">
        <f>IFERROR(VLOOKUP(C585,'Custos Matéria Prima Embalagens'!B:G,6,0)*H585,"Matéria Prima Não Cadastrada")</f>
        <v>240</v>
      </c>
      <c r="K585" s="97">
        <f>IFERROR(J585/(I585/VLOOKUP(A585,'Tabela de Produtos'!A:H,8,0)),"Matéria Prima Não Cadastrada")</f>
        <v>0.46753246753246752</v>
      </c>
      <c r="L585" s="216"/>
    </row>
    <row r="586" spans="1:12" ht="15.75" customHeight="1">
      <c r="A586" s="114" t="s">
        <v>150</v>
      </c>
      <c r="B586" s="114" t="str">
        <f>VLOOKUP(A586,'Tabela de Produtos'!A:B,2,0)</f>
        <v>BRAZIMIL LÁTEX STANDARD INT/EXT FOSCO 3L BRANCO GELO</v>
      </c>
      <c r="C586" s="48" t="s">
        <v>1227</v>
      </c>
      <c r="D586" s="114" t="str">
        <f>VLOOKUP(C586,'Custos Matéria Prima Embalagens'!B:C,2,0)</f>
        <v>CAULIM MALHA 325</v>
      </c>
      <c r="E586" s="114" t="str">
        <f>VLOOKUP(C586,'Custos Matéria Prima Embalagens'!B:D,3,0)</f>
        <v>caulim</v>
      </c>
      <c r="F586" s="270">
        <f t="shared" si="74"/>
        <v>1956</v>
      </c>
      <c r="G586" s="148">
        <f t="shared" si="75"/>
        <v>5.112474437627812E-2</v>
      </c>
      <c r="H586" s="96">
        <v>100</v>
      </c>
      <c r="I586" s="272">
        <f>ROUND(F586/VLOOKUP(A586,'Tabela de Produtos'!A:J,10,0),0)</f>
        <v>1540</v>
      </c>
      <c r="J586" s="97">
        <f>IFERROR(VLOOKUP(C586,'Custos Matéria Prima Embalagens'!B:G,6,0)*H586,"Matéria Prima Não Cadastrada")</f>
        <v>152.04955555555551</v>
      </c>
      <c r="K586" s="97">
        <f>IFERROR(J586/(I586/VLOOKUP(A586,'Tabela de Produtos'!A:H,8,0)),"Matéria Prima Não Cadastrada")</f>
        <v>0.2962004329004328</v>
      </c>
      <c r="L586" s="216"/>
    </row>
    <row r="587" spans="1:12" ht="15.75" customHeight="1">
      <c r="A587" s="114" t="s">
        <v>150</v>
      </c>
      <c r="B587" s="114" t="str">
        <f>VLOOKUP(A587,'Tabela de Produtos'!A:B,2,0)</f>
        <v>BRAZIMIL LÁTEX STANDARD INT/EXT FOSCO 3L BRANCO GELO</v>
      </c>
      <c r="C587" s="48" t="s">
        <v>1217</v>
      </c>
      <c r="D587" s="114" t="str">
        <f>VLOOKUP(C587,'Custos Matéria Prima Embalagens'!B:C,2,0)</f>
        <v>WANCRIL W 51 CE (CT-1000P)</v>
      </c>
      <c r="E587" s="114" t="str">
        <f>VLOOKUP(C587,'Custos Matéria Prima Embalagens'!B:D,3,0)</f>
        <v>RESINA ACRILICA ESTIRENADA</v>
      </c>
      <c r="F587" s="270">
        <f t="shared" si="74"/>
        <v>1956</v>
      </c>
      <c r="G587" s="148">
        <f t="shared" si="75"/>
        <v>0.10224948875255624</v>
      </c>
      <c r="H587" s="96">
        <v>200</v>
      </c>
      <c r="I587" s="272">
        <f>ROUND(F587/VLOOKUP(A587,'Tabela de Produtos'!A:J,10,0),0)</f>
        <v>1540</v>
      </c>
      <c r="J587" s="97">
        <f>IFERROR(VLOOKUP(C587,'Custos Matéria Prima Embalagens'!B:G,6,0)*H587,"Matéria Prima Não Cadastrada")</f>
        <v>1686</v>
      </c>
      <c r="K587" s="97">
        <f>IFERROR(J587/(I587/VLOOKUP(A587,'Tabela de Produtos'!A:H,8,0)),"Matéria Prima Não Cadastrada")</f>
        <v>3.284415584415584</v>
      </c>
      <c r="L587" s="216"/>
    </row>
    <row r="588" spans="1:12" ht="15.75" customHeight="1">
      <c r="A588" s="114" t="s">
        <v>150</v>
      </c>
      <c r="B588" s="114" t="str">
        <f>VLOOKUP(A588,'Tabela de Produtos'!A:B,2,0)</f>
        <v>BRAZIMIL LÁTEX STANDARD INT/EXT FOSCO 3L BRANCO GELO</v>
      </c>
      <c r="C588" s="48" t="s">
        <v>1219</v>
      </c>
      <c r="D588" s="114" t="str">
        <f>VLOOKUP(C588,'Custos Matéria Prima Embalagens'!B:C,2,0)</f>
        <v>WANALK 70 CE (BH-200)</v>
      </c>
      <c r="E588" s="114" t="str">
        <f>VLOOKUP(C588,'Custos Matéria Prima Embalagens'!B:D,3,0)</f>
        <v>ALCALINIZANTE</v>
      </c>
      <c r="F588" s="270">
        <f t="shared" si="74"/>
        <v>1956</v>
      </c>
      <c r="G588" s="148">
        <f t="shared" si="75"/>
        <v>2.5562372188139061E-3</v>
      </c>
      <c r="H588" s="96">
        <v>5</v>
      </c>
      <c r="I588" s="272">
        <f>ROUND(F588/VLOOKUP(A588,'Tabela de Produtos'!A:J,10,0),0)</f>
        <v>1540</v>
      </c>
      <c r="J588" s="97">
        <f>IFERROR(VLOOKUP(C588,'Custos Matéria Prima Embalagens'!B:G,6,0)*H588,"Matéria Prima Não Cadastrada")</f>
        <v>24.900000000000002</v>
      </c>
      <c r="K588" s="97">
        <f>IFERROR(J588/(I588/VLOOKUP(A588,'Tabela de Produtos'!A:H,8,0)),"Matéria Prima Não Cadastrada")</f>
        <v>4.8506493506493505E-2</v>
      </c>
      <c r="L588" s="216"/>
    </row>
    <row r="589" spans="1:12" ht="15.75" customHeight="1">
      <c r="A589" s="114" t="s">
        <v>150</v>
      </c>
      <c r="B589" s="114" t="str">
        <f>VLOOKUP(A589,'Tabela de Produtos'!A:B,2,0)</f>
        <v>BRAZIMIL LÁTEX STANDARD INT/EXT FOSCO 3L BRANCO GELO</v>
      </c>
      <c r="C589" s="48" t="s">
        <v>1221</v>
      </c>
      <c r="D589" s="114" t="str">
        <f>VLOOKUP(C589,'Custos Matéria Prima Embalagens'!B:C,2,0)</f>
        <v>MODIWAN 105H CE (CT-1000P)</v>
      </c>
      <c r="E589" s="114" t="str">
        <f>VLOOKUP(C589,'Custos Matéria Prima Embalagens'!B:D,3,0)</f>
        <v>ESPESSANTE DE MEDIA</v>
      </c>
      <c r="F589" s="270">
        <f t="shared" si="74"/>
        <v>1956</v>
      </c>
      <c r="G589" s="148">
        <f t="shared" si="75"/>
        <v>1.0224948875255624E-2</v>
      </c>
      <c r="H589" s="96">
        <v>20</v>
      </c>
      <c r="I589" s="272">
        <f>ROUND(F589/VLOOKUP(A589,'Tabela de Produtos'!A:J,10,0),0)</f>
        <v>1540</v>
      </c>
      <c r="J589" s="97">
        <f>IFERROR(VLOOKUP(C589,'Custos Matéria Prima Embalagens'!B:G,6,0)*H589,"Matéria Prima Não Cadastrada")</f>
        <v>158.1</v>
      </c>
      <c r="K589" s="97">
        <f>IFERROR(J589/(I589/VLOOKUP(A589,'Tabela de Produtos'!A:H,8,0)),"Matéria Prima Não Cadastrada")</f>
        <v>0.30798701298701298</v>
      </c>
      <c r="L589" s="216"/>
    </row>
    <row r="590" spans="1:12" ht="15.75" customHeight="1">
      <c r="A590" s="114" t="s">
        <v>150</v>
      </c>
      <c r="B590" s="114" t="str">
        <f>VLOOKUP(A590,'Tabela de Produtos'!A:B,2,0)</f>
        <v>BRAZIMIL LÁTEX STANDARD INT/EXT FOSCO 3L BRANCO GELO</v>
      </c>
      <c r="C590" s="48" t="s">
        <v>1223</v>
      </c>
      <c r="D590" s="114" t="str">
        <f>VLOOKUP(C590,'Custos Matéria Prima Embalagens'!B:C,2,0)</f>
        <v>TURBOWAN H CE (BH-200)</v>
      </c>
      <c r="E590" s="114" t="str">
        <f>VLOOKUP(C590,'Custos Matéria Prima Embalagens'!B:D,3,0)</f>
        <v>PROMOTOR DE LAVABILIDADE</v>
      </c>
      <c r="F590" s="270">
        <f t="shared" si="74"/>
        <v>1956</v>
      </c>
      <c r="G590" s="148">
        <f t="shared" si="75"/>
        <v>7.6687116564417178E-3</v>
      </c>
      <c r="H590" s="96">
        <v>15</v>
      </c>
      <c r="I590" s="272">
        <f>ROUND(F590/VLOOKUP(A590,'Tabela de Produtos'!A:J,10,0),0)</f>
        <v>1540</v>
      </c>
      <c r="J590" s="97">
        <f>IFERROR(VLOOKUP(C590,'Custos Matéria Prima Embalagens'!B:G,6,0)*H590,"Matéria Prima Não Cadastrada")</f>
        <v>72.75</v>
      </c>
      <c r="K590" s="97">
        <f>IFERROR(J590/(I590/VLOOKUP(A590,'Tabela de Produtos'!A:H,8,0)),"Matéria Prima Não Cadastrada")</f>
        <v>0.14172077922077922</v>
      </c>
      <c r="L590" s="216"/>
    </row>
    <row r="591" spans="1:12" ht="15.75" customHeight="1">
      <c r="A591" s="114" t="s">
        <v>150</v>
      </c>
      <c r="B591" s="114" t="str">
        <f>VLOOKUP(A591,'Tabela de Produtos'!A:B,2,0)</f>
        <v>BRAZIMIL LÁTEX STANDARD INT/EXT FOSCO 3L BRANCO GELO</v>
      </c>
      <c r="C591" s="48" t="s">
        <v>1229</v>
      </c>
      <c r="D591" s="114" t="str">
        <f>VLOOKUP(C591,'Custos Matéria Prima Embalagens'!B:C,2,0)</f>
        <v>WANSOL 340 CE (BB-200)</v>
      </c>
      <c r="E591" s="114" t="str">
        <f>VLOOKUP(C591,'Custos Matéria Prima Embalagens'!B:D,3,0)</f>
        <v>COALESCENTE</v>
      </c>
      <c r="F591" s="270">
        <f t="shared" si="74"/>
        <v>1956</v>
      </c>
      <c r="G591" s="148">
        <f t="shared" si="75"/>
        <v>5.1124744376278121E-3</v>
      </c>
      <c r="H591" s="96">
        <v>10</v>
      </c>
      <c r="I591" s="272">
        <f>ROUND(F591/VLOOKUP(A591,'Tabela de Produtos'!A:J,10,0),0)</f>
        <v>1540</v>
      </c>
      <c r="J591" s="97">
        <f>IFERROR(VLOOKUP(C591,'Custos Matéria Prima Embalagens'!B:G,6,0)*H591,"Matéria Prima Não Cadastrada")</f>
        <v>192.2</v>
      </c>
      <c r="K591" s="97">
        <f>IFERROR(J591/(I591/VLOOKUP(A591,'Tabela de Produtos'!A:H,8,0)),"Matéria Prima Não Cadastrada")</f>
        <v>0.37441558441558437</v>
      </c>
      <c r="L591" s="216"/>
    </row>
    <row r="592" spans="1:12" ht="15.75" customHeight="1">
      <c r="D592" s="114"/>
      <c r="E592" s="114"/>
      <c r="F592" s="96"/>
      <c r="G592" s="148"/>
      <c r="H592" s="96"/>
      <c r="I592" s="272"/>
      <c r="J592" s="97"/>
      <c r="K592" s="97"/>
      <c r="L592" s="216"/>
    </row>
    <row r="593" spans="1:12" ht="15.75" customHeight="1">
      <c r="A593" s="114" t="s">
        <v>151</v>
      </c>
      <c r="B593" s="114" t="str">
        <f>VLOOKUP(A593,'Tabela de Produtos'!A:B,2,0)</f>
        <v>BRAZIMIL LÁTEX STANDARD INT/EXT FOSCO 3L FLAMINGO</v>
      </c>
      <c r="C593" s="48" t="s">
        <v>1197</v>
      </c>
      <c r="D593" s="114" t="str">
        <f>VLOOKUP(C593,'Custos Matéria Prima Embalagens'!B:C,2,0)</f>
        <v>AGUA</v>
      </c>
      <c r="E593" s="114" t="str">
        <f>VLOOKUP(C593,'Custos Matéria Prima Embalagens'!B:D,3,0)</f>
        <v>AGUA</v>
      </c>
      <c r="F593" s="270">
        <f t="shared" ref="F593:F607" si="76">SUMIFS(H:H,A:A,A593)</f>
        <v>1956</v>
      </c>
      <c r="G593" s="148">
        <f t="shared" ref="G593:G607" si="77">H593/F593</f>
        <v>0.47034764826175868</v>
      </c>
      <c r="H593" s="96">
        <v>920</v>
      </c>
      <c r="I593" s="272">
        <f>ROUND(F593/VLOOKUP(A593,'Tabela de Produtos'!A:J,10,0),0)</f>
        <v>1540</v>
      </c>
      <c r="J593" s="97">
        <f>IFERROR(VLOOKUP(C593,'Custos Matéria Prima Embalagens'!B:G,6,0)*H593,"Matéria Prima Não Cadastrada")</f>
        <v>0</v>
      </c>
      <c r="K593" s="97">
        <f>IFERROR(J593/(I593/VLOOKUP(A593,'Tabela de Produtos'!A:H,8,0)),"Matéria Prima Não Cadastrada")</f>
        <v>0</v>
      </c>
      <c r="L593" s="216"/>
    </row>
    <row r="594" spans="1:12" ht="15.75" customHeight="1">
      <c r="A594" s="114" t="s">
        <v>151</v>
      </c>
      <c r="B594" s="114" t="str">
        <f>VLOOKUP(A594,'Tabela de Produtos'!A:B,2,0)</f>
        <v>BRAZIMIL LÁTEX STANDARD INT/EXT FOSCO 3L FLAMINGO</v>
      </c>
      <c r="C594" s="48" t="s">
        <v>1201</v>
      </c>
      <c r="D594" s="114" t="str">
        <f>VLOOKUP(C594,'Custos Matéria Prima Embalagens'!B:C,2,0)</f>
        <v>WANFOAM 528 CE (BB-190)</v>
      </c>
      <c r="E594" s="114" t="str">
        <f>VLOOKUP(C594,'Custos Matéria Prima Embalagens'!B:D,3,0)</f>
        <v>ANTI ESPUMA LATEX</v>
      </c>
      <c r="F594" s="270">
        <f t="shared" si="76"/>
        <v>1956</v>
      </c>
      <c r="G594" s="148">
        <f t="shared" si="77"/>
        <v>2.5562372188139061E-3</v>
      </c>
      <c r="H594" s="96">
        <v>5</v>
      </c>
      <c r="I594" s="272">
        <f>ROUND(F594/VLOOKUP(A594,'Tabela de Produtos'!A:J,10,0),0)</f>
        <v>1540</v>
      </c>
      <c r="J594" s="97">
        <f>IFERROR(VLOOKUP(C594,'Custos Matéria Prima Embalagens'!B:G,6,0)*H594,"Matéria Prima Não Cadastrada")</f>
        <v>35.9</v>
      </c>
      <c r="K594" s="97">
        <f>IFERROR(J594/(I594/VLOOKUP(A594,'Tabela de Produtos'!A:H,8,0)),"Matéria Prima Não Cadastrada")</f>
        <v>6.9935064935064933E-2</v>
      </c>
      <c r="L594" s="216"/>
    </row>
    <row r="595" spans="1:12" ht="15.75" customHeight="1">
      <c r="A595" s="114" t="s">
        <v>151</v>
      </c>
      <c r="B595" s="114" t="str">
        <f>VLOOKUP(A595,'Tabela de Produtos'!A:B,2,0)</f>
        <v>BRAZIMIL LÁTEX STANDARD INT/EXT FOSCO 3L FLAMINGO</v>
      </c>
      <c r="C595" s="48" t="s">
        <v>1203</v>
      </c>
      <c r="D595" s="114" t="str">
        <f>VLOOKUP(C595,'Custos Matéria Prima Embalagens'!B:C,2,0)</f>
        <v>WANBAC WBT CE (BH-200)</v>
      </c>
      <c r="E595" s="114" t="str">
        <f>VLOOKUP(C595,'Custos Matéria Prima Embalagens'!B:D,3,0)</f>
        <v>BACTERICIDA</v>
      </c>
      <c r="F595" s="270">
        <f t="shared" si="76"/>
        <v>1956</v>
      </c>
      <c r="G595" s="148">
        <f t="shared" si="77"/>
        <v>3.0674846625766872E-3</v>
      </c>
      <c r="H595" s="96">
        <v>6</v>
      </c>
      <c r="I595" s="272">
        <f>ROUND(F595/VLOOKUP(A595,'Tabela de Produtos'!A:J,10,0),0)</f>
        <v>1540</v>
      </c>
      <c r="J595" s="97">
        <f>IFERROR(VLOOKUP(C595,'Custos Matéria Prima Embalagens'!B:G,6,0)*H595,"Matéria Prima Não Cadastrada")</f>
        <v>29.639999999999997</v>
      </c>
      <c r="K595" s="97">
        <f>IFERROR(J595/(I595/VLOOKUP(A595,'Tabela de Produtos'!A:H,8,0)),"Matéria Prima Não Cadastrada")</f>
        <v>5.7740259740259731E-2</v>
      </c>
      <c r="L595" s="216"/>
    </row>
    <row r="596" spans="1:12" ht="15.75" customHeight="1">
      <c r="A596" s="114" t="s">
        <v>151</v>
      </c>
      <c r="B596" s="114" t="str">
        <f>VLOOKUP(A596,'Tabela de Produtos'!A:B,2,0)</f>
        <v>BRAZIMIL LÁTEX STANDARD INT/EXT FOSCO 3L FLAMINGO</v>
      </c>
      <c r="C596" s="48" t="s">
        <v>1205</v>
      </c>
      <c r="D596" s="114" t="str">
        <f>VLOOKUP(C596,'Custos Matéria Prima Embalagens'!B:C,2,0)</f>
        <v>WANSUR 840 CE (BB-200)01</v>
      </c>
      <c r="E596" s="114" t="str">
        <f>VLOOKUP(C596,'Custos Matéria Prima Embalagens'!B:D,3,0)</f>
        <v>UMECTANTE</v>
      </c>
      <c r="F596" s="270">
        <f t="shared" si="76"/>
        <v>1956</v>
      </c>
      <c r="G596" s="148">
        <f t="shared" si="77"/>
        <v>2.0449897750511249E-3</v>
      </c>
      <c r="H596" s="96">
        <v>4</v>
      </c>
      <c r="I596" s="272">
        <f>ROUND(F596/VLOOKUP(A596,'Tabela de Produtos'!A:J,10,0),0)</f>
        <v>1540</v>
      </c>
      <c r="J596" s="97">
        <f>IFERROR(VLOOKUP(C596,'Custos Matéria Prima Embalagens'!B:G,6,0)*H596,"Matéria Prima Não Cadastrada")</f>
        <v>29.32</v>
      </c>
      <c r="K596" s="97">
        <f>IFERROR(J596/(I596/VLOOKUP(A596,'Tabela de Produtos'!A:H,8,0)),"Matéria Prima Não Cadastrada")</f>
        <v>5.7116883116883115E-2</v>
      </c>
      <c r="L596" s="216"/>
    </row>
    <row r="597" spans="1:12" ht="15.75" customHeight="1">
      <c r="A597" s="114" t="s">
        <v>151</v>
      </c>
      <c r="B597" s="114" t="str">
        <f>VLOOKUP(A597,'Tabela de Produtos'!A:B,2,0)</f>
        <v>BRAZIMIL LÁTEX STANDARD INT/EXT FOSCO 3L FLAMINGO</v>
      </c>
      <c r="C597" s="48" t="s">
        <v>1207</v>
      </c>
      <c r="D597" s="114" t="str">
        <f>VLOOKUP(C597,'Custos Matéria Prima Embalagens'!B:C,2,0)</f>
        <v>WANPEX 1510 (BB-200)</v>
      </c>
      <c r="E597" s="114" t="str">
        <f>VLOOKUP(C597,'Custos Matéria Prima Embalagens'!B:D,3,0)</f>
        <v>DISPERSANTE LATEX</v>
      </c>
      <c r="F597" s="270">
        <f t="shared" si="76"/>
        <v>1956</v>
      </c>
      <c r="G597" s="148">
        <f t="shared" si="77"/>
        <v>3.0674846625766872E-3</v>
      </c>
      <c r="H597" s="96">
        <v>6</v>
      </c>
      <c r="I597" s="272">
        <f>ROUND(F597/VLOOKUP(A597,'Tabela de Produtos'!A:J,10,0),0)</f>
        <v>1540</v>
      </c>
      <c r="J597" s="97">
        <f>IFERROR(VLOOKUP(C597,'Custos Matéria Prima Embalagens'!B:G,6,0)*H597,"Matéria Prima Não Cadastrada")</f>
        <v>41.16</v>
      </c>
      <c r="K597" s="97">
        <f>IFERROR(J597/(I597/VLOOKUP(A597,'Tabela de Produtos'!A:H,8,0)),"Matéria Prima Não Cadastrada")</f>
        <v>8.0181818181818174E-2</v>
      </c>
      <c r="L597" s="216"/>
    </row>
    <row r="598" spans="1:12" ht="15.75" customHeight="1">
      <c r="A598" s="114" t="s">
        <v>151</v>
      </c>
      <c r="B598" s="114" t="str">
        <f>VLOOKUP(A598,'Tabela de Produtos'!A:B,2,0)</f>
        <v>BRAZIMIL LÁTEX STANDARD INT/EXT FOSCO 3L FLAMINGO</v>
      </c>
      <c r="C598" s="48" t="s">
        <v>1209</v>
      </c>
      <c r="D598" s="114" t="str">
        <f>VLOOKUP(C598,'Custos Matéria Prima Embalagens'!B:C,2,0)</f>
        <v>WANFUNG WFT CE (BH-200)</v>
      </c>
      <c r="E598" s="114" t="str">
        <f>VLOOKUP(C598,'Custos Matéria Prima Embalagens'!B:D,3,0)</f>
        <v>FUNGICIDA</v>
      </c>
      <c r="F598" s="270">
        <f t="shared" si="76"/>
        <v>1956</v>
      </c>
      <c r="G598" s="148">
        <f t="shared" si="77"/>
        <v>2.5562372188139061E-3</v>
      </c>
      <c r="H598" s="96">
        <v>5</v>
      </c>
      <c r="I598" s="272">
        <f>ROUND(F598/VLOOKUP(A598,'Tabela de Produtos'!A:J,10,0),0)</f>
        <v>1540</v>
      </c>
      <c r="J598" s="97">
        <f>IFERROR(VLOOKUP(C598,'Custos Matéria Prima Embalagens'!B:G,6,0)*H598,"Matéria Prima Não Cadastrada")</f>
        <v>35</v>
      </c>
      <c r="K598" s="97">
        <f>IFERROR(J598/(I598/VLOOKUP(A598,'Tabela de Produtos'!A:H,8,0)),"Matéria Prima Não Cadastrada")</f>
        <v>6.8181818181818177E-2</v>
      </c>
      <c r="L598" s="216"/>
    </row>
    <row r="599" spans="1:12" ht="15.75" customHeight="1">
      <c r="A599" s="114" t="s">
        <v>151</v>
      </c>
      <c r="B599" s="114" t="str">
        <f>VLOOKUP(A599,'Tabela de Produtos'!A:B,2,0)</f>
        <v>BRAZIMIL LÁTEX STANDARD INT/EXT FOSCO 3L FLAMINGO</v>
      </c>
      <c r="C599" s="48" t="s">
        <v>1211</v>
      </c>
      <c r="D599" s="114" t="str">
        <f>VLOOKUP(C599,'Custos Matéria Prima Embalagens'!B:C,2,0)</f>
        <v>WHITE PLUS PB (SC-25) (Em negociação)</v>
      </c>
      <c r="E599" s="114" t="str">
        <f>VLOOKUP(C599,'Custos Matéria Prima Embalagens'!B:D,3,0)</f>
        <v>WHITE PLUS</v>
      </c>
      <c r="F599" s="270">
        <f t="shared" si="76"/>
        <v>1956</v>
      </c>
      <c r="G599" s="148">
        <f t="shared" si="77"/>
        <v>0.15337423312883436</v>
      </c>
      <c r="H599" s="96">
        <v>300</v>
      </c>
      <c r="I599" s="272">
        <f>ROUND(F599/VLOOKUP(A599,'Tabela de Produtos'!A:J,10,0),0)</f>
        <v>1540</v>
      </c>
      <c r="J599" s="97">
        <f>IFERROR(VLOOKUP(C599,'Custos Matéria Prima Embalagens'!B:G,6,0)*H599,"Matéria Prima Não Cadastrada")</f>
        <v>927</v>
      </c>
      <c r="K599" s="97">
        <f>IFERROR(J599/(I599/VLOOKUP(A599,'Tabela de Produtos'!A:H,8,0)),"Matéria Prima Não Cadastrada")</f>
        <v>1.8058441558441558</v>
      </c>
      <c r="L599" s="216"/>
    </row>
    <row r="600" spans="1:12" ht="15.75" customHeight="1">
      <c r="A600" s="114" t="s">
        <v>151</v>
      </c>
      <c r="B600" s="114" t="str">
        <f>VLOOKUP(A600,'Tabela de Produtos'!A:B,2,0)</f>
        <v>BRAZIMIL LÁTEX STANDARD INT/EXT FOSCO 3L FLAMINGO</v>
      </c>
      <c r="C600" s="48" t="s">
        <v>1213</v>
      </c>
      <c r="D600" s="114" t="str">
        <f>VLOOKUP(C600,'Custos Matéria Prima Embalagens'!B:C,2,0)</f>
        <v>DIOXIDO DE TITANIO RUTILO R-996</v>
      </c>
      <c r="E600" s="114" t="str">
        <f>VLOOKUP(C600,'Custos Matéria Prima Embalagens'!B:D,3,0)</f>
        <v>TITANIO</v>
      </c>
      <c r="F600" s="270">
        <f t="shared" si="76"/>
        <v>1956</v>
      </c>
      <c r="G600" s="148">
        <f t="shared" si="77"/>
        <v>3.0674846625766871E-2</v>
      </c>
      <c r="H600" s="96">
        <v>60</v>
      </c>
      <c r="I600" s="272">
        <f>ROUND(F600/VLOOKUP(A600,'Tabela de Produtos'!A:J,10,0),0)</f>
        <v>1540</v>
      </c>
      <c r="J600" s="97">
        <f>IFERROR(VLOOKUP(C600,'Custos Matéria Prima Embalagens'!B:G,6,0)*H600,"Matéria Prima Não Cadastrada")</f>
        <v>1158</v>
      </c>
      <c r="K600" s="97">
        <f>IFERROR(J600/(I600/VLOOKUP(A600,'Tabela de Produtos'!A:H,8,0)),"Matéria Prima Não Cadastrada")</f>
        <v>2.2558441558441555</v>
      </c>
      <c r="L600" s="216"/>
    </row>
    <row r="601" spans="1:12" ht="15.75" customHeight="1">
      <c r="A601" s="114" t="s">
        <v>151</v>
      </c>
      <c r="B601" s="114" t="str">
        <f>VLOOKUP(A601,'Tabela de Produtos'!A:B,2,0)</f>
        <v>BRAZIMIL LÁTEX STANDARD INT/EXT FOSCO 3L FLAMINGO</v>
      </c>
      <c r="C601" s="48" t="s">
        <v>1215</v>
      </c>
      <c r="D601" s="114" t="str">
        <f>VLOOKUP(C601,'Custos Matéria Prima Embalagens'!B:C,2,0)</f>
        <v>CALCARIO DOLOMITICO #500 ( SACOS 25 KG)</v>
      </c>
      <c r="E601" s="114" t="str">
        <f>VLOOKUP(C601,'Custos Matéria Prima Embalagens'!B:D,3,0)</f>
        <v>CARBONATO #500</v>
      </c>
      <c r="F601" s="270">
        <f t="shared" si="76"/>
        <v>1956</v>
      </c>
      <c r="G601" s="148">
        <f t="shared" si="77"/>
        <v>0.15337423312883436</v>
      </c>
      <c r="H601" s="96">
        <v>300</v>
      </c>
      <c r="I601" s="272">
        <f>ROUND(F601/VLOOKUP(A601,'Tabela de Produtos'!A:J,10,0),0)</f>
        <v>1540</v>
      </c>
      <c r="J601" s="97">
        <f>IFERROR(VLOOKUP(C601,'Custos Matéria Prima Embalagens'!B:G,6,0)*H601,"Matéria Prima Não Cadastrada")</f>
        <v>240</v>
      </c>
      <c r="K601" s="97">
        <f>IFERROR(J601/(I601/VLOOKUP(A601,'Tabela de Produtos'!A:H,8,0)),"Matéria Prima Não Cadastrada")</f>
        <v>0.46753246753246752</v>
      </c>
      <c r="L601" s="216"/>
    </row>
    <row r="602" spans="1:12" ht="15.75" customHeight="1">
      <c r="A602" s="114" t="s">
        <v>151</v>
      </c>
      <c r="B602" s="114" t="str">
        <f>VLOOKUP(A602,'Tabela de Produtos'!A:B,2,0)</f>
        <v>BRAZIMIL LÁTEX STANDARD INT/EXT FOSCO 3L FLAMINGO</v>
      </c>
      <c r="C602" s="48" t="s">
        <v>1227</v>
      </c>
      <c r="D602" s="114" t="str">
        <f>VLOOKUP(C602,'Custos Matéria Prima Embalagens'!B:C,2,0)</f>
        <v>CAULIM MALHA 325</v>
      </c>
      <c r="E602" s="114" t="str">
        <f>VLOOKUP(C602,'Custos Matéria Prima Embalagens'!B:D,3,0)</f>
        <v>caulim</v>
      </c>
      <c r="F602" s="270">
        <f t="shared" si="76"/>
        <v>1956</v>
      </c>
      <c r="G602" s="148">
        <f t="shared" si="77"/>
        <v>5.112474437627812E-2</v>
      </c>
      <c r="H602" s="96">
        <v>100</v>
      </c>
      <c r="I602" s="272">
        <f>ROUND(F602/VLOOKUP(A602,'Tabela de Produtos'!A:J,10,0),0)</f>
        <v>1540</v>
      </c>
      <c r="J602" s="97">
        <f>IFERROR(VLOOKUP(C602,'Custos Matéria Prima Embalagens'!B:G,6,0)*H602,"Matéria Prima Não Cadastrada")</f>
        <v>152.04955555555551</v>
      </c>
      <c r="K602" s="97">
        <f>IFERROR(J602/(I602/VLOOKUP(A602,'Tabela de Produtos'!A:H,8,0)),"Matéria Prima Não Cadastrada")</f>
        <v>0.2962004329004328</v>
      </c>
      <c r="L602" s="216"/>
    </row>
    <row r="603" spans="1:12" ht="15.75" customHeight="1">
      <c r="A603" s="114" t="s">
        <v>151</v>
      </c>
      <c r="B603" s="114" t="str">
        <f>VLOOKUP(A603,'Tabela de Produtos'!A:B,2,0)</f>
        <v>BRAZIMIL LÁTEX STANDARD INT/EXT FOSCO 3L FLAMINGO</v>
      </c>
      <c r="C603" s="48" t="s">
        <v>1217</v>
      </c>
      <c r="D603" s="114" t="str">
        <f>VLOOKUP(C603,'Custos Matéria Prima Embalagens'!B:C,2,0)</f>
        <v>WANCRIL W 51 CE (CT-1000P)</v>
      </c>
      <c r="E603" s="114" t="str">
        <f>VLOOKUP(C603,'Custos Matéria Prima Embalagens'!B:D,3,0)</f>
        <v>RESINA ACRILICA ESTIRENADA</v>
      </c>
      <c r="F603" s="270">
        <f t="shared" si="76"/>
        <v>1956</v>
      </c>
      <c r="G603" s="148">
        <f t="shared" si="77"/>
        <v>0.10224948875255624</v>
      </c>
      <c r="H603" s="96">
        <v>200</v>
      </c>
      <c r="I603" s="272">
        <f>ROUND(F603/VLOOKUP(A603,'Tabela de Produtos'!A:J,10,0),0)</f>
        <v>1540</v>
      </c>
      <c r="J603" s="97">
        <f>IFERROR(VLOOKUP(C603,'Custos Matéria Prima Embalagens'!B:G,6,0)*H603,"Matéria Prima Não Cadastrada")</f>
        <v>1686</v>
      </c>
      <c r="K603" s="97">
        <f>IFERROR(J603/(I603/VLOOKUP(A603,'Tabela de Produtos'!A:H,8,0)),"Matéria Prima Não Cadastrada")</f>
        <v>3.284415584415584</v>
      </c>
      <c r="L603" s="216"/>
    </row>
    <row r="604" spans="1:12" ht="15.75" customHeight="1">
      <c r="A604" s="114" t="s">
        <v>151</v>
      </c>
      <c r="B604" s="114" t="str">
        <f>VLOOKUP(A604,'Tabela de Produtos'!A:B,2,0)</f>
        <v>BRAZIMIL LÁTEX STANDARD INT/EXT FOSCO 3L FLAMINGO</v>
      </c>
      <c r="C604" s="48" t="s">
        <v>1219</v>
      </c>
      <c r="D604" s="114" t="str">
        <f>VLOOKUP(C604,'Custos Matéria Prima Embalagens'!B:C,2,0)</f>
        <v>WANALK 70 CE (BH-200)</v>
      </c>
      <c r="E604" s="114" t="str">
        <f>VLOOKUP(C604,'Custos Matéria Prima Embalagens'!B:D,3,0)</f>
        <v>ALCALINIZANTE</v>
      </c>
      <c r="F604" s="270">
        <f t="shared" si="76"/>
        <v>1956</v>
      </c>
      <c r="G604" s="148">
        <f t="shared" si="77"/>
        <v>2.5562372188139061E-3</v>
      </c>
      <c r="H604" s="96">
        <v>5</v>
      </c>
      <c r="I604" s="272">
        <f>ROUND(F604/VLOOKUP(A604,'Tabela de Produtos'!A:J,10,0),0)</f>
        <v>1540</v>
      </c>
      <c r="J604" s="97">
        <f>IFERROR(VLOOKUP(C604,'Custos Matéria Prima Embalagens'!B:G,6,0)*H604,"Matéria Prima Não Cadastrada")</f>
        <v>24.900000000000002</v>
      </c>
      <c r="K604" s="97">
        <f>IFERROR(J604/(I604/VLOOKUP(A604,'Tabela de Produtos'!A:H,8,0)),"Matéria Prima Não Cadastrada")</f>
        <v>4.8506493506493505E-2</v>
      </c>
      <c r="L604" s="216"/>
    </row>
    <row r="605" spans="1:12" ht="15.75" customHeight="1">
      <c r="A605" s="114" t="s">
        <v>151</v>
      </c>
      <c r="B605" s="114" t="str">
        <f>VLOOKUP(A605,'Tabela de Produtos'!A:B,2,0)</f>
        <v>BRAZIMIL LÁTEX STANDARD INT/EXT FOSCO 3L FLAMINGO</v>
      </c>
      <c r="C605" s="48" t="s">
        <v>1221</v>
      </c>
      <c r="D605" s="114" t="str">
        <f>VLOOKUP(C605,'Custos Matéria Prima Embalagens'!B:C,2,0)</f>
        <v>MODIWAN 105H CE (CT-1000P)</v>
      </c>
      <c r="E605" s="114" t="str">
        <f>VLOOKUP(C605,'Custos Matéria Prima Embalagens'!B:D,3,0)</f>
        <v>ESPESSANTE DE MEDIA</v>
      </c>
      <c r="F605" s="270">
        <f t="shared" si="76"/>
        <v>1956</v>
      </c>
      <c r="G605" s="148">
        <f t="shared" si="77"/>
        <v>1.0224948875255624E-2</v>
      </c>
      <c r="H605" s="96">
        <v>20</v>
      </c>
      <c r="I605" s="272">
        <f>ROUND(F605/VLOOKUP(A605,'Tabela de Produtos'!A:J,10,0),0)</f>
        <v>1540</v>
      </c>
      <c r="J605" s="97">
        <f>IFERROR(VLOOKUP(C605,'Custos Matéria Prima Embalagens'!B:G,6,0)*H605,"Matéria Prima Não Cadastrada")</f>
        <v>158.1</v>
      </c>
      <c r="K605" s="97">
        <f>IFERROR(J605/(I605/VLOOKUP(A605,'Tabela de Produtos'!A:H,8,0)),"Matéria Prima Não Cadastrada")</f>
        <v>0.30798701298701298</v>
      </c>
      <c r="L605" s="216"/>
    </row>
    <row r="606" spans="1:12" ht="15.75" customHeight="1">
      <c r="A606" s="114" t="s">
        <v>151</v>
      </c>
      <c r="B606" s="114" t="str">
        <f>VLOOKUP(A606,'Tabela de Produtos'!A:B,2,0)</f>
        <v>BRAZIMIL LÁTEX STANDARD INT/EXT FOSCO 3L FLAMINGO</v>
      </c>
      <c r="C606" s="48" t="s">
        <v>1223</v>
      </c>
      <c r="D606" s="114" t="str">
        <f>VLOOKUP(C606,'Custos Matéria Prima Embalagens'!B:C,2,0)</f>
        <v>TURBOWAN H CE (BH-200)</v>
      </c>
      <c r="E606" s="114" t="str">
        <f>VLOOKUP(C606,'Custos Matéria Prima Embalagens'!B:D,3,0)</f>
        <v>PROMOTOR DE LAVABILIDADE</v>
      </c>
      <c r="F606" s="270">
        <f t="shared" si="76"/>
        <v>1956</v>
      </c>
      <c r="G606" s="148">
        <f t="shared" si="77"/>
        <v>7.6687116564417178E-3</v>
      </c>
      <c r="H606" s="96">
        <v>15</v>
      </c>
      <c r="I606" s="272">
        <f>ROUND(F606/VLOOKUP(A606,'Tabela de Produtos'!A:J,10,0),0)</f>
        <v>1540</v>
      </c>
      <c r="J606" s="97">
        <f>IFERROR(VLOOKUP(C606,'Custos Matéria Prima Embalagens'!B:G,6,0)*H606,"Matéria Prima Não Cadastrada")</f>
        <v>72.75</v>
      </c>
      <c r="K606" s="97">
        <f>IFERROR(J606/(I606/VLOOKUP(A606,'Tabela de Produtos'!A:H,8,0)),"Matéria Prima Não Cadastrada")</f>
        <v>0.14172077922077922</v>
      </c>
      <c r="L606" s="216"/>
    </row>
    <row r="607" spans="1:12" ht="15.75" customHeight="1">
      <c r="A607" s="114" t="s">
        <v>151</v>
      </c>
      <c r="B607" s="114" t="str">
        <f>VLOOKUP(A607,'Tabela de Produtos'!A:B,2,0)</f>
        <v>BRAZIMIL LÁTEX STANDARD INT/EXT FOSCO 3L FLAMINGO</v>
      </c>
      <c r="C607" s="48" t="s">
        <v>1229</v>
      </c>
      <c r="D607" s="114" t="str">
        <f>VLOOKUP(C607,'Custos Matéria Prima Embalagens'!B:C,2,0)</f>
        <v>WANSOL 340 CE (BB-200)</v>
      </c>
      <c r="E607" s="114" t="str">
        <f>VLOOKUP(C607,'Custos Matéria Prima Embalagens'!B:D,3,0)</f>
        <v>COALESCENTE</v>
      </c>
      <c r="F607" s="270">
        <f t="shared" si="76"/>
        <v>1956</v>
      </c>
      <c r="G607" s="148">
        <f t="shared" si="77"/>
        <v>5.1124744376278121E-3</v>
      </c>
      <c r="H607" s="96">
        <v>10</v>
      </c>
      <c r="I607" s="272">
        <f>ROUND(F607/VLOOKUP(A607,'Tabela de Produtos'!A:J,10,0),0)</f>
        <v>1540</v>
      </c>
      <c r="J607" s="97">
        <f>IFERROR(VLOOKUP(C607,'Custos Matéria Prima Embalagens'!B:G,6,0)*H607,"Matéria Prima Não Cadastrada")</f>
        <v>192.2</v>
      </c>
      <c r="K607" s="97">
        <f>IFERROR(J607/(I607/VLOOKUP(A607,'Tabela de Produtos'!A:H,8,0)),"Matéria Prima Não Cadastrada")</f>
        <v>0.37441558441558437</v>
      </c>
      <c r="L607" s="216"/>
    </row>
    <row r="608" spans="1:12" ht="15.75" customHeight="1">
      <c r="D608" s="114"/>
      <c r="E608" s="114"/>
      <c r="F608" s="96"/>
      <c r="G608" s="148"/>
      <c r="H608" s="96"/>
      <c r="I608" s="272"/>
      <c r="J608" s="97"/>
      <c r="K608" s="97"/>
      <c r="L608" s="216"/>
    </row>
    <row r="609" spans="1:12" ht="15.75" customHeight="1">
      <c r="A609" s="114" t="s">
        <v>152</v>
      </c>
      <c r="B609" s="114" t="str">
        <f>VLOOKUP(A609,'Tabela de Produtos'!A:B,2,0)</f>
        <v>BRAZIMIL LÁTEX STANDARD INT/EXT FOSCO 3L AREIA</v>
      </c>
      <c r="C609" s="48" t="s">
        <v>1197</v>
      </c>
      <c r="D609" s="114" t="str">
        <f>VLOOKUP(C609,'Custos Matéria Prima Embalagens'!B:C,2,0)</f>
        <v>AGUA</v>
      </c>
      <c r="E609" s="114" t="str">
        <f>VLOOKUP(C609,'Custos Matéria Prima Embalagens'!B:D,3,0)</f>
        <v>AGUA</v>
      </c>
      <c r="F609" s="270">
        <f t="shared" ref="F609:F623" si="78">SUMIFS(H:H,A:A,A609)</f>
        <v>1956</v>
      </c>
      <c r="G609" s="148">
        <f t="shared" ref="G609:G623" si="79">H609/F609</f>
        <v>0.47034764826175868</v>
      </c>
      <c r="H609" s="96">
        <v>920</v>
      </c>
      <c r="I609" s="272">
        <f>ROUND(F609/VLOOKUP(A609,'Tabela de Produtos'!A:J,10,0),0)</f>
        <v>1540</v>
      </c>
      <c r="J609" s="97">
        <f>IFERROR(VLOOKUP(C609,'Custos Matéria Prima Embalagens'!B:G,6,0)*H609,"Matéria Prima Não Cadastrada")</f>
        <v>0</v>
      </c>
      <c r="K609" s="97">
        <f>IFERROR(J609/(I609/VLOOKUP(A609,'Tabela de Produtos'!A:H,8,0)),"Matéria Prima Não Cadastrada")</f>
        <v>0</v>
      </c>
      <c r="L609" s="216"/>
    </row>
    <row r="610" spans="1:12" ht="15.75" customHeight="1">
      <c r="A610" s="114" t="s">
        <v>152</v>
      </c>
      <c r="B610" s="114" t="str">
        <f>VLOOKUP(A610,'Tabela de Produtos'!A:B,2,0)</f>
        <v>BRAZIMIL LÁTEX STANDARD INT/EXT FOSCO 3L AREIA</v>
      </c>
      <c r="C610" s="48" t="s">
        <v>1201</v>
      </c>
      <c r="D610" s="114" t="str">
        <f>VLOOKUP(C610,'Custos Matéria Prima Embalagens'!B:C,2,0)</f>
        <v>WANFOAM 528 CE (BB-190)</v>
      </c>
      <c r="E610" s="114" t="str">
        <f>VLOOKUP(C610,'Custos Matéria Prima Embalagens'!B:D,3,0)</f>
        <v>ANTI ESPUMA LATEX</v>
      </c>
      <c r="F610" s="270">
        <f t="shared" si="78"/>
        <v>1956</v>
      </c>
      <c r="G610" s="148">
        <f t="shared" si="79"/>
        <v>2.5562372188139061E-3</v>
      </c>
      <c r="H610" s="96">
        <v>5</v>
      </c>
      <c r="I610" s="272">
        <f>ROUND(F610/VLOOKUP(A610,'Tabela de Produtos'!A:J,10,0),0)</f>
        <v>1540</v>
      </c>
      <c r="J610" s="97">
        <f>IFERROR(VLOOKUP(C610,'Custos Matéria Prima Embalagens'!B:G,6,0)*H610,"Matéria Prima Não Cadastrada")</f>
        <v>35.9</v>
      </c>
      <c r="K610" s="97">
        <f>IFERROR(J610/(I610/VLOOKUP(A610,'Tabela de Produtos'!A:H,8,0)),"Matéria Prima Não Cadastrada")</f>
        <v>6.9935064935064933E-2</v>
      </c>
      <c r="L610" s="216"/>
    </row>
    <row r="611" spans="1:12" ht="15.75" customHeight="1">
      <c r="A611" s="114" t="s">
        <v>152</v>
      </c>
      <c r="B611" s="114" t="str">
        <f>VLOOKUP(A611,'Tabela de Produtos'!A:B,2,0)</f>
        <v>BRAZIMIL LÁTEX STANDARD INT/EXT FOSCO 3L AREIA</v>
      </c>
      <c r="C611" s="48" t="s">
        <v>1203</v>
      </c>
      <c r="D611" s="114" t="str">
        <f>VLOOKUP(C611,'Custos Matéria Prima Embalagens'!B:C,2,0)</f>
        <v>WANBAC WBT CE (BH-200)</v>
      </c>
      <c r="E611" s="114" t="str">
        <f>VLOOKUP(C611,'Custos Matéria Prima Embalagens'!B:D,3,0)</f>
        <v>BACTERICIDA</v>
      </c>
      <c r="F611" s="270">
        <f t="shared" si="78"/>
        <v>1956</v>
      </c>
      <c r="G611" s="148">
        <f t="shared" si="79"/>
        <v>3.0674846625766872E-3</v>
      </c>
      <c r="H611" s="96">
        <v>6</v>
      </c>
      <c r="I611" s="272">
        <f>ROUND(F611/VLOOKUP(A611,'Tabela de Produtos'!A:J,10,0),0)</f>
        <v>1540</v>
      </c>
      <c r="J611" s="97">
        <f>IFERROR(VLOOKUP(C611,'Custos Matéria Prima Embalagens'!B:G,6,0)*H611,"Matéria Prima Não Cadastrada")</f>
        <v>29.639999999999997</v>
      </c>
      <c r="K611" s="97">
        <f>IFERROR(J611/(I611/VLOOKUP(A611,'Tabela de Produtos'!A:H,8,0)),"Matéria Prima Não Cadastrada")</f>
        <v>5.7740259740259731E-2</v>
      </c>
      <c r="L611" s="216"/>
    </row>
    <row r="612" spans="1:12" ht="15.75" customHeight="1">
      <c r="A612" s="114" t="s">
        <v>152</v>
      </c>
      <c r="B612" s="114" t="str">
        <f>VLOOKUP(A612,'Tabela de Produtos'!A:B,2,0)</f>
        <v>BRAZIMIL LÁTEX STANDARD INT/EXT FOSCO 3L AREIA</v>
      </c>
      <c r="C612" s="48" t="s">
        <v>1205</v>
      </c>
      <c r="D612" s="114" t="str">
        <f>VLOOKUP(C612,'Custos Matéria Prima Embalagens'!B:C,2,0)</f>
        <v>WANSUR 840 CE (BB-200)01</v>
      </c>
      <c r="E612" s="114" t="str">
        <f>VLOOKUP(C612,'Custos Matéria Prima Embalagens'!B:D,3,0)</f>
        <v>UMECTANTE</v>
      </c>
      <c r="F612" s="270">
        <f t="shared" si="78"/>
        <v>1956</v>
      </c>
      <c r="G612" s="148">
        <f t="shared" si="79"/>
        <v>2.0449897750511249E-3</v>
      </c>
      <c r="H612" s="96">
        <v>4</v>
      </c>
      <c r="I612" s="272">
        <f>ROUND(F612/VLOOKUP(A612,'Tabela de Produtos'!A:J,10,0),0)</f>
        <v>1540</v>
      </c>
      <c r="J612" s="97">
        <f>IFERROR(VLOOKUP(C612,'Custos Matéria Prima Embalagens'!B:G,6,0)*H612,"Matéria Prima Não Cadastrada")</f>
        <v>29.32</v>
      </c>
      <c r="K612" s="97">
        <f>IFERROR(J612/(I612/VLOOKUP(A612,'Tabela de Produtos'!A:H,8,0)),"Matéria Prima Não Cadastrada")</f>
        <v>5.7116883116883115E-2</v>
      </c>
      <c r="L612" s="216"/>
    </row>
    <row r="613" spans="1:12" ht="15.75" customHeight="1">
      <c r="A613" s="114" t="s">
        <v>152</v>
      </c>
      <c r="B613" s="114" t="str">
        <f>VLOOKUP(A613,'Tabela de Produtos'!A:B,2,0)</f>
        <v>BRAZIMIL LÁTEX STANDARD INT/EXT FOSCO 3L AREIA</v>
      </c>
      <c r="C613" s="48" t="s">
        <v>1207</v>
      </c>
      <c r="D613" s="114" t="str">
        <f>VLOOKUP(C613,'Custos Matéria Prima Embalagens'!B:C,2,0)</f>
        <v>WANPEX 1510 (BB-200)</v>
      </c>
      <c r="E613" s="114" t="str">
        <f>VLOOKUP(C613,'Custos Matéria Prima Embalagens'!B:D,3,0)</f>
        <v>DISPERSANTE LATEX</v>
      </c>
      <c r="F613" s="270">
        <f t="shared" si="78"/>
        <v>1956</v>
      </c>
      <c r="G613" s="148">
        <f t="shared" si="79"/>
        <v>3.0674846625766872E-3</v>
      </c>
      <c r="H613" s="96">
        <v>6</v>
      </c>
      <c r="I613" s="272">
        <f>ROUND(F613/VLOOKUP(A613,'Tabela de Produtos'!A:J,10,0),0)</f>
        <v>1540</v>
      </c>
      <c r="J613" s="97">
        <f>IFERROR(VLOOKUP(C613,'Custos Matéria Prima Embalagens'!B:G,6,0)*H613,"Matéria Prima Não Cadastrada")</f>
        <v>41.16</v>
      </c>
      <c r="K613" s="97">
        <f>IFERROR(J613/(I613/VLOOKUP(A613,'Tabela de Produtos'!A:H,8,0)),"Matéria Prima Não Cadastrada")</f>
        <v>8.0181818181818174E-2</v>
      </c>
      <c r="L613" s="216"/>
    </row>
    <row r="614" spans="1:12" ht="15.75" customHeight="1">
      <c r="A614" s="114" t="s">
        <v>152</v>
      </c>
      <c r="B614" s="114" t="str">
        <f>VLOOKUP(A614,'Tabela de Produtos'!A:B,2,0)</f>
        <v>BRAZIMIL LÁTEX STANDARD INT/EXT FOSCO 3L AREIA</v>
      </c>
      <c r="C614" s="48" t="s">
        <v>1209</v>
      </c>
      <c r="D614" s="114" t="str">
        <f>VLOOKUP(C614,'Custos Matéria Prima Embalagens'!B:C,2,0)</f>
        <v>WANFUNG WFT CE (BH-200)</v>
      </c>
      <c r="E614" s="114" t="str">
        <f>VLOOKUP(C614,'Custos Matéria Prima Embalagens'!B:D,3,0)</f>
        <v>FUNGICIDA</v>
      </c>
      <c r="F614" s="270">
        <f t="shared" si="78"/>
        <v>1956</v>
      </c>
      <c r="G614" s="148">
        <f t="shared" si="79"/>
        <v>2.5562372188139061E-3</v>
      </c>
      <c r="H614" s="96">
        <v>5</v>
      </c>
      <c r="I614" s="272">
        <f>ROUND(F614/VLOOKUP(A614,'Tabela de Produtos'!A:J,10,0),0)</f>
        <v>1540</v>
      </c>
      <c r="J614" s="97">
        <f>IFERROR(VLOOKUP(C614,'Custos Matéria Prima Embalagens'!B:G,6,0)*H614,"Matéria Prima Não Cadastrada")</f>
        <v>35</v>
      </c>
      <c r="K614" s="97">
        <f>IFERROR(J614/(I614/VLOOKUP(A614,'Tabela de Produtos'!A:H,8,0)),"Matéria Prima Não Cadastrada")</f>
        <v>6.8181818181818177E-2</v>
      </c>
      <c r="L614" s="216"/>
    </row>
    <row r="615" spans="1:12" ht="15.75" customHeight="1">
      <c r="A615" s="114" t="s">
        <v>152</v>
      </c>
      <c r="B615" s="114" t="str">
        <f>VLOOKUP(A615,'Tabela de Produtos'!A:B,2,0)</f>
        <v>BRAZIMIL LÁTEX STANDARD INT/EXT FOSCO 3L AREIA</v>
      </c>
      <c r="C615" s="48" t="s">
        <v>1211</v>
      </c>
      <c r="D615" s="114" t="str">
        <f>VLOOKUP(C615,'Custos Matéria Prima Embalagens'!B:C,2,0)</f>
        <v>WHITE PLUS PB (SC-25) (Em negociação)</v>
      </c>
      <c r="E615" s="114" t="str">
        <f>VLOOKUP(C615,'Custos Matéria Prima Embalagens'!B:D,3,0)</f>
        <v>WHITE PLUS</v>
      </c>
      <c r="F615" s="270">
        <f t="shared" si="78"/>
        <v>1956</v>
      </c>
      <c r="G615" s="148">
        <f t="shared" si="79"/>
        <v>0.15337423312883436</v>
      </c>
      <c r="H615" s="96">
        <v>300</v>
      </c>
      <c r="I615" s="272">
        <f>ROUND(F615/VLOOKUP(A615,'Tabela de Produtos'!A:J,10,0),0)</f>
        <v>1540</v>
      </c>
      <c r="J615" s="97">
        <f>IFERROR(VLOOKUP(C615,'Custos Matéria Prima Embalagens'!B:G,6,0)*H615,"Matéria Prima Não Cadastrada")</f>
        <v>927</v>
      </c>
      <c r="K615" s="97">
        <f>IFERROR(J615/(I615/VLOOKUP(A615,'Tabela de Produtos'!A:H,8,0)),"Matéria Prima Não Cadastrada")</f>
        <v>1.8058441558441558</v>
      </c>
      <c r="L615" s="216"/>
    </row>
    <row r="616" spans="1:12" ht="15.75" customHeight="1">
      <c r="A616" s="114" t="s">
        <v>152</v>
      </c>
      <c r="B616" s="114" t="str">
        <f>VLOOKUP(A616,'Tabela de Produtos'!A:B,2,0)</f>
        <v>BRAZIMIL LÁTEX STANDARD INT/EXT FOSCO 3L AREIA</v>
      </c>
      <c r="C616" s="48" t="s">
        <v>1213</v>
      </c>
      <c r="D616" s="114" t="str">
        <f>VLOOKUP(C616,'Custos Matéria Prima Embalagens'!B:C,2,0)</f>
        <v>DIOXIDO DE TITANIO RUTILO R-996</v>
      </c>
      <c r="E616" s="114" t="str">
        <f>VLOOKUP(C616,'Custos Matéria Prima Embalagens'!B:D,3,0)</f>
        <v>TITANIO</v>
      </c>
      <c r="F616" s="270">
        <f t="shared" si="78"/>
        <v>1956</v>
      </c>
      <c r="G616" s="148">
        <f t="shared" si="79"/>
        <v>3.0674846625766871E-2</v>
      </c>
      <c r="H616" s="96">
        <v>60</v>
      </c>
      <c r="I616" s="272">
        <f>ROUND(F616/VLOOKUP(A616,'Tabela de Produtos'!A:J,10,0),0)</f>
        <v>1540</v>
      </c>
      <c r="J616" s="97">
        <f>IFERROR(VLOOKUP(C616,'Custos Matéria Prima Embalagens'!B:G,6,0)*H616,"Matéria Prima Não Cadastrada")</f>
        <v>1158</v>
      </c>
      <c r="K616" s="97">
        <f>IFERROR(J616/(I616/VLOOKUP(A616,'Tabela de Produtos'!A:H,8,0)),"Matéria Prima Não Cadastrada")</f>
        <v>2.2558441558441555</v>
      </c>
      <c r="L616" s="216"/>
    </row>
    <row r="617" spans="1:12" ht="15.75" customHeight="1">
      <c r="A617" s="114" t="s">
        <v>152</v>
      </c>
      <c r="B617" s="114" t="str">
        <f>VLOOKUP(A617,'Tabela de Produtos'!A:B,2,0)</f>
        <v>BRAZIMIL LÁTEX STANDARD INT/EXT FOSCO 3L AREIA</v>
      </c>
      <c r="C617" s="48" t="s">
        <v>1215</v>
      </c>
      <c r="D617" s="114" t="str">
        <f>VLOOKUP(C617,'Custos Matéria Prima Embalagens'!B:C,2,0)</f>
        <v>CALCARIO DOLOMITICO #500 ( SACOS 25 KG)</v>
      </c>
      <c r="E617" s="114" t="str">
        <f>VLOOKUP(C617,'Custos Matéria Prima Embalagens'!B:D,3,0)</f>
        <v>CARBONATO #500</v>
      </c>
      <c r="F617" s="270">
        <f t="shared" si="78"/>
        <v>1956</v>
      </c>
      <c r="G617" s="148">
        <f t="shared" si="79"/>
        <v>0.15337423312883436</v>
      </c>
      <c r="H617" s="96">
        <v>300</v>
      </c>
      <c r="I617" s="272">
        <f>ROUND(F617/VLOOKUP(A617,'Tabela de Produtos'!A:J,10,0),0)</f>
        <v>1540</v>
      </c>
      <c r="J617" s="97">
        <f>IFERROR(VLOOKUP(C617,'Custos Matéria Prima Embalagens'!B:G,6,0)*H617,"Matéria Prima Não Cadastrada")</f>
        <v>240</v>
      </c>
      <c r="K617" s="97">
        <f>IFERROR(J617/(I617/VLOOKUP(A617,'Tabela de Produtos'!A:H,8,0)),"Matéria Prima Não Cadastrada")</f>
        <v>0.46753246753246752</v>
      </c>
      <c r="L617" s="216"/>
    </row>
    <row r="618" spans="1:12" ht="15.75" customHeight="1">
      <c r="A618" s="114" t="s">
        <v>152</v>
      </c>
      <c r="B618" s="114" t="str">
        <f>VLOOKUP(A618,'Tabela de Produtos'!A:B,2,0)</f>
        <v>BRAZIMIL LÁTEX STANDARD INT/EXT FOSCO 3L AREIA</v>
      </c>
      <c r="C618" s="48" t="s">
        <v>1227</v>
      </c>
      <c r="D618" s="114" t="str">
        <f>VLOOKUP(C618,'Custos Matéria Prima Embalagens'!B:C,2,0)</f>
        <v>CAULIM MALHA 325</v>
      </c>
      <c r="E618" s="114" t="str">
        <f>VLOOKUP(C618,'Custos Matéria Prima Embalagens'!B:D,3,0)</f>
        <v>caulim</v>
      </c>
      <c r="F618" s="270">
        <f t="shared" si="78"/>
        <v>1956</v>
      </c>
      <c r="G618" s="148">
        <f t="shared" si="79"/>
        <v>5.112474437627812E-2</v>
      </c>
      <c r="H618" s="96">
        <v>100</v>
      </c>
      <c r="I618" s="272">
        <f>ROUND(F618/VLOOKUP(A618,'Tabela de Produtos'!A:J,10,0),0)</f>
        <v>1540</v>
      </c>
      <c r="J618" s="97">
        <f>IFERROR(VLOOKUP(C618,'Custos Matéria Prima Embalagens'!B:G,6,0)*H618,"Matéria Prima Não Cadastrada")</f>
        <v>152.04955555555551</v>
      </c>
      <c r="K618" s="97">
        <f>IFERROR(J618/(I618/VLOOKUP(A618,'Tabela de Produtos'!A:H,8,0)),"Matéria Prima Não Cadastrada")</f>
        <v>0.2962004329004328</v>
      </c>
      <c r="L618" s="216"/>
    </row>
    <row r="619" spans="1:12" ht="15.75" customHeight="1">
      <c r="A619" s="114" t="s">
        <v>152</v>
      </c>
      <c r="B619" s="114" t="str">
        <f>VLOOKUP(A619,'Tabela de Produtos'!A:B,2,0)</f>
        <v>BRAZIMIL LÁTEX STANDARD INT/EXT FOSCO 3L AREIA</v>
      </c>
      <c r="C619" s="48" t="s">
        <v>1217</v>
      </c>
      <c r="D619" s="114" t="str">
        <f>VLOOKUP(C619,'Custos Matéria Prima Embalagens'!B:C,2,0)</f>
        <v>WANCRIL W 51 CE (CT-1000P)</v>
      </c>
      <c r="E619" s="114" t="str">
        <f>VLOOKUP(C619,'Custos Matéria Prima Embalagens'!B:D,3,0)</f>
        <v>RESINA ACRILICA ESTIRENADA</v>
      </c>
      <c r="F619" s="270">
        <f t="shared" si="78"/>
        <v>1956</v>
      </c>
      <c r="G619" s="148">
        <f t="shared" si="79"/>
        <v>0.10224948875255624</v>
      </c>
      <c r="H619" s="96">
        <v>200</v>
      </c>
      <c r="I619" s="272">
        <f>ROUND(F619/VLOOKUP(A619,'Tabela de Produtos'!A:J,10,0),0)</f>
        <v>1540</v>
      </c>
      <c r="J619" s="97">
        <f>IFERROR(VLOOKUP(C619,'Custos Matéria Prima Embalagens'!B:G,6,0)*H619,"Matéria Prima Não Cadastrada")</f>
        <v>1686</v>
      </c>
      <c r="K619" s="97">
        <f>IFERROR(J619/(I619/VLOOKUP(A619,'Tabela de Produtos'!A:H,8,0)),"Matéria Prima Não Cadastrada")</f>
        <v>3.284415584415584</v>
      </c>
      <c r="L619" s="216"/>
    </row>
    <row r="620" spans="1:12" ht="15.75" customHeight="1">
      <c r="A620" s="114" t="s">
        <v>152</v>
      </c>
      <c r="B620" s="114" t="str">
        <f>VLOOKUP(A620,'Tabela de Produtos'!A:B,2,0)</f>
        <v>BRAZIMIL LÁTEX STANDARD INT/EXT FOSCO 3L AREIA</v>
      </c>
      <c r="C620" s="48" t="s">
        <v>1219</v>
      </c>
      <c r="D620" s="114" t="str">
        <f>VLOOKUP(C620,'Custos Matéria Prima Embalagens'!B:C,2,0)</f>
        <v>WANALK 70 CE (BH-200)</v>
      </c>
      <c r="E620" s="114" t="str">
        <f>VLOOKUP(C620,'Custos Matéria Prima Embalagens'!B:D,3,0)</f>
        <v>ALCALINIZANTE</v>
      </c>
      <c r="F620" s="270">
        <f t="shared" si="78"/>
        <v>1956</v>
      </c>
      <c r="G620" s="148">
        <f t="shared" si="79"/>
        <v>2.5562372188139061E-3</v>
      </c>
      <c r="H620" s="96">
        <v>5</v>
      </c>
      <c r="I620" s="272">
        <f>ROUND(F620/VLOOKUP(A620,'Tabela de Produtos'!A:J,10,0),0)</f>
        <v>1540</v>
      </c>
      <c r="J620" s="97">
        <f>IFERROR(VLOOKUP(C620,'Custos Matéria Prima Embalagens'!B:G,6,0)*H620,"Matéria Prima Não Cadastrada")</f>
        <v>24.900000000000002</v>
      </c>
      <c r="K620" s="97">
        <f>IFERROR(J620/(I620/VLOOKUP(A620,'Tabela de Produtos'!A:H,8,0)),"Matéria Prima Não Cadastrada")</f>
        <v>4.8506493506493505E-2</v>
      </c>
      <c r="L620" s="216"/>
    </row>
    <row r="621" spans="1:12" ht="15.75" customHeight="1">
      <c r="A621" s="114" t="s">
        <v>152</v>
      </c>
      <c r="B621" s="114" t="str">
        <f>VLOOKUP(A621,'Tabela de Produtos'!A:B,2,0)</f>
        <v>BRAZIMIL LÁTEX STANDARD INT/EXT FOSCO 3L AREIA</v>
      </c>
      <c r="C621" s="48" t="s">
        <v>1221</v>
      </c>
      <c r="D621" s="114" t="str">
        <f>VLOOKUP(C621,'Custos Matéria Prima Embalagens'!B:C,2,0)</f>
        <v>MODIWAN 105H CE (CT-1000P)</v>
      </c>
      <c r="E621" s="114" t="str">
        <f>VLOOKUP(C621,'Custos Matéria Prima Embalagens'!B:D,3,0)</f>
        <v>ESPESSANTE DE MEDIA</v>
      </c>
      <c r="F621" s="270">
        <f t="shared" si="78"/>
        <v>1956</v>
      </c>
      <c r="G621" s="148">
        <f t="shared" si="79"/>
        <v>1.0224948875255624E-2</v>
      </c>
      <c r="H621" s="96">
        <v>20</v>
      </c>
      <c r="I621" s="272">
        <f>ROUND(F621/VLOOKUP(A621,'Tabela de Produtos'!A:J,10,0),0)</f>
        <v>1540</v>
      </c>
      <c r="J621" s="97">
        <f>IFERROR(VLOOKUP(C621,'Custos Matéria Prima Embalagens'!B:G,6,0)*H621,"Matéria Prima Não Cadastrada")</f>
        <v>158.1</v>
      </c>
      <c r="K621" s="97">
        <f>IFERROR(J621/(I621/VLOOKUP(A621,'Tabela de Produtos'!A:H,8,0)),"Matéria Prima Não Cadastrada")</f>
        <v>0.30798701298701298</v>
      </c>
      <c r="L621" s="216"/>
    </row>
    <row r="622" spans="1:12" ht="15.75" customHeight="1">
      <c r="A622" s="114" t="s">
        <v>152</v>
      </c>
      <c r="B622" s="114" t="str">
        <f>VLOOKUP(A622,'Tabela de Produtos'!A:B,2,0)</f>
        <v>BRAZIMIL LÁTEX STANDARD INT/EXT FOSCO 3L AREIA</v>
      </c>
      <c r="C622" s="48" t="s">
        <v>1223</v>
      </c>
      <c r="D622" s="114" t="str">
        <f>VLOOKUP(C622,'Custos Matéria Prima Embalagens'!B:C,2,0)</f>
        <v>TURBOWAN H CE (BH-200)</v>
      </c>
      <c r="E622" s="114" t="str">
        <f>VLOOKUP(C622,'Custos Matéria Prima Embalagens'!B:D,3,0)</f>
        <v>PROMOTOR DE LAVABILIDADE</v>
      </c>
      <c r="F622" s="270">
        <f t="shared" si="78"/>
        <v>1956</v>
      </c>
      <c r="G622" s="148">
        <f t="shared" si="79"/>
        <v>7.6687116564417178E-3</v>
      </c>
      <c r="H622" s="96">
        <v>15</v>
      </c>
      <c r="I622" s="272">
        <f>ROUND(F622/VLOOKUP(A622,'Tabela de Produtos'!A:J,10,0),0)</f>
        <v>1540</v>
      </c>
      <c r="J622" s="97">
        <f>IFERROR(VLOOKUP(C622,'Custos Matéria Prima Embalagens'!B:G,6,0)*H622,"Matéria Prima Não Cadastrada")</f>
        <v>72.75</v>
      </c>
      <c r="K622" s="97">
        <f>IFERROR(J622/(I622/VLOOKUP(A622,'Tabela de Produtos'!A:H,8,0)),"Matéria Prima Não Cadastrada")</f>
        <v>0.14172077922077922</v>
      </c>
      <c r="L622" s="216"/>
    </row>
    <row r="623" spans="1:12" ht="15.75" customHeight="1">
      <c r="A623" s="114" t="s">
        <v>152</v>
      </c>
      <c r="B623" s="114" t="str">
        <f>VLOOKUP(A623,'Tabela de Produtos'!A:B,2,0)</f>
        <v>BRAZIMIL LÁTEX STANDARD INT/EXT FOSCO 3L AREIA</v>
      </c>
      <c r="C623" s="48" t="s">
        <v>1229</v>
      </c>
      <c r="D623" s="114" t="str">
        <f>VLOOKUP(C623,'Custos Matéria Prima Embalagens'!B:C,2,0)</f>
        <v>WANSOL 340 CE (BB-200)</v>
      </c>
      <c r="E623" s="114" t="str">
        <f>VLOOKUP(C623,'Custos Matéria Prima Embalagens'!B:D,3,0)</f>
        <v>COALESCENTE</v>
      </c>
      <c r="F623" s="270">
        <f t="shared" si="78"/>
        <v>1956</v>
      </c>
      <c r="G623" s="148">
        <f t="shared" si="79"/>
        <v>5.1124744376278121E-3</v>
      </c>
      <c r="H623" s="96">
        <v>10</v>
      </c>
      <c r="I623" s="272">
        <f>ROUND(F623/VLOOKUP(A623,'Tabela de Produtos'!A:J,10,0),0)</f>
        <v>1540</v>
      </c>
      <c r="J623" s="97">
        <f>IFERROR(VLOOKUP(C623,'Custos Matéria Prima Embalagens'!B:G,6,0)*H623,"Matéria Prima Não Cadastrada")</f>
        <v>192.2</v>
      </c>
      <c r="K623" s="97">
        <f>IFERROR(J623/(I623/VLOOKUP(A623,'Tabela de Produtos'!A:H,8,0)),"Matéria Prima Não Cadastrada")</f>
        <v>0.37441558441558437</v>
      </c>
      <c r="L623" s="216"/>
    </row>
    <row r="624" spans="1:12" ht="15.75" customHeight="1">
      <c r="D624" s="114"/>
      <c r="E624" s="114"/>
      <c r="F624" s="96"/>
      <c r="G624" s="148"/>
      <c r="H624" s="96"/>
      <c r="I624" s="272"/>
      <c r="J624" s="97"/>
      <c r="K624" s="97"/>
      <c r="L624" s="216"/>
    </row>
    <row r="625" spans="1:12" ht="15.75" customHeight="1">
      <c r="A625" s="114" t="s">
        <v>153</v>
      </c>
      <c r="B625" s="114" t="str">
        <f>VLOOKUP(A625,'Tabela de Produtos'!A:B,2,0)</f>
        <v>BRAZIMIL LÁTEX STANDARD INT/EXT FOSCO 3L MARFIM</v>
      </c>
      <c r="C625" s="48" t="s">
        <v>1197</v>
      </c>
      <c r="D625" s="114" t="str">
        <f>VLOOKUP(C625,'Custos Matéria Prima Embalagens'!B:C,2,0)</f>
        <v>AGUA</v>
      </c>
      <c r="E625" s="114" t="str">
        <f>VLOOKUP(C625,'Custos Matéria Prima Embalagens'!B:D,3,0)</f>
        <v>AGUA</v>
      </c>
      <c r="F625" s="270">
        <f t="shared" ref="F625:F639" si="80">SUMIFS(H:H,A:A,A625)</f>
        <v>1956</v>
      </c>
      <c r="G625" s="148">
        <f t="shared" ref="G625:G639" si="81">H625/F625</f>
        <v>0.47034764826175868</v>
      </c>
      <c r="H625" s="96">
        <v>920</v>
      </c>
      <c r="I625" s="272">
        <f>ROUND(F625/VLOOKUP(A625,'Tabela de Produtos'!A:J,10,0),0)</f>
        <v>1540</v>
      </c>
      <c r="J625" s="97">
        <f>IFERROR(VLOOKUP(C625,'Custos Matéria Prima Embalagens'!B:G,6,0)*H625,"Matéria Prima Não Cadastrada")</f>
        <v>0</v>
      </c>
      <c r="K625" s="97">
        <f>IFERROR(J625/(I625/VLOOKUP(A625,'Tabela de Produtos'!A:H,8,0)),"Matéria Prima Não Cadastrada")</f>
        <v>0</v>
      </c>
      <c r="L625" s="216"/>
    </row>
    <row r="626" spans="1:12" ht="15.75" customHeight="1">
      <c r="A626" s="114" t="s">
        <v>153</v>
      </c>
      <c r="B626" s="114" t="str">
        <f>VLOOKUP(A626,'Tabela de Produtos'!A:B,2,0)</f>
        <v>BRAZIMIL LÁTEX STANDARD INT/EXT FOSCO 3L MARFIM</v>
      </c>
      <c r="C626" s="48" t="s">
        <v>1201</v>
      </c>
      <c r="D626" s="114" t="str">
        <f>VLOOKUP(C626,'Custos Matéria Prima Embalagens'!B:C,2,0)</f>
        <v>WANFOAM 528 CE (BB-190)</v>
      </c>
      <c r="E626" s="114" t="str">
        <f>VLOOKUP(C626,'Custos Matéria Prima Embalagens'!B:D,3,0)</f>
        <v>ANTI ESPUMA LATEX</v>
      </c>
      <c r="F626" s="270">
        <f t="shared" si="80"/>
        <v>1956</v>
      </c>
      <c r="G626" s="148">
        <f t="shared" si="81"/>
        <v>2.5562372188139061E-3</v>
      </c>
      <c r="H626" s="96">
        <v>5</v>
      </c>
      <c r="I626" s="272">
        <f>ROUND(F626/VLOOKUP(A626,'Tabela de Produtos'!A:J,10,0),0)</f>
        <v>1540</v>
      </c>
      <c r="J626" s="97">
        <f>IFERROR(VLOOKUP(C626,'Custos Matéria Prima Embalagens'!B:G,6,0)*H626,"Matéria Prima Não Cadastrada")</f>
        <v>35.9</v>
      </c>
      <c r="K626" s="97">
        <f>IFERROR(J626/(I626/VLOOKUP(A626,'Tabela de Produtos'!A:H,8,0)),"Matéria Prima Não Cadastrada")</f>
        <v>6.9935064935064933E-2</v>
      </c>
      <c r="L626" s="216"/>
    </row>
    <row r="627" spans="1:12" ht="15.75" customHeight="1">
      <c r="A627" s="114" t="s">
        <v>153</v>
      </c>
      <c r="B627" s="114" t="str">
        <f>VLOOKUP(A627,'Tabela de Produtos'!A:B,2,0)</f>
        <v>BRAZIMIL LÁTEX STANDARD INT/EXT FOSCO 3L MARFIM</v>
      </c>
      <c r="C627" s="48" t="s">
        <v>1203</v>
      </c>
      <c r="D627" s="114" t="str">
        <f>VLOOKUP(C627,'Custos Matéria Prima Embalagens'!B:C,2,0)</f>
        <v>WANBAC WBT CE (BH-200)</v>
      </c>
      <c r="E627" s="114" t="str">
        <f>VLOOKUP(C627,'Custos Matéria Prima Embalagens'!B:D,3,0)</f>
        <v>BACTERICIDA</v>
      </c>
      <c r="F627" s="270">
        <f t="shared" si="80"/>
        <v>1956</v>
      </c>
      <c r="G627" s="148">
        <f t="shared" si="81"/>
        <v>3.0674846625766872E-3</v>
      </c>
      <c r="H627" s="96">
        <v>6</v>
      </c>
      <c r="I627" s="272">
        <f>ROUND(F627/VLOOKUP(A627,'Tabela de Produtos'!A:J,10,0),0)</f>
        <v>1540</v>
      </c>
      <c r="J627" s="97">
        <f>IFERROR(VLOOKUP(C627,'Custos Matéria Prima Embalagens'!B:G,6,0)*H627,"Matéria Prima Não Cadastrada")</f>
        <v>29.639999999999997</v>
      </c>
      <c r="K627" s="97">
        <f>IFERROR(J627/(I627/VLOOKUP(A627,'Tabela de Produtos'!A:H,8,0)),"Matéria Prima Não Cadastrada")</f>
        <v>5.7740259740259731E-2</v>
      </c>
      <c r="L627" s="216"/>
    </row>
    <row r="628" spans="1:12" ht="15.75" customHeight="1">
      <c r="A628" s="114" t="s">
        <v>153</v>
      </c>
      <c r="B628" s="114" t="str">
        <f>VLOOKUP(A628,'Tabela de Produtos'!A:B,2,0)</f>
        <v>BRAZIMIL LÁTEX STANDARD INT/EXT FOSCO 3L MARFIM</v>
      </c>
      <c r="C628" s="48" t="s">
        <v>1205</v>
      </c>
      <c r="D628" s="114" t="str">
        <f>VLOOKUP(C628,'Custos Matéria Prima Embalagens'!B:C,2,0)</f>
        <v>WANSUR 840 CE (BB-200)01</v>
      </c>
      <c r="E628" s="114" t="str">
        <f>VLOOKUP(C628,'Custos Matéria Prima Embalagens'!B:D,3,0)</f>
        <v>UMECTANTE</v>
      </c>
      <c r="F628" s="270">
        <f t="shared" si="80"/>
        <v>1956</v>
      </c>
      <c r="G628" s="148">
        <f t="shared" si="81"/>
        <v>2.0449897750511249E-3</v>
      </c>
      <c r="H628" s="96">
        <v>4</v>
      </c>
      <c r="I628" s="272">
        <f>ROUND(F628/VLOOKUP(A628,'Tabela de Produtos'!A:J,10,0),0)</f>
        <v>1540</v>
      </c>
      <c r="J628" s="97">
        <f>IFERROR(VLOOKUP(C628,'Custos Matéria Prima Embalagens'!B:G,6,0)*H628,"Matéria Prima Não Cadastrada")</f>
        <v>29.32</v>
      </c>
      <c r="K628" s="97">
        <f>IFERROR(J628/(I628/VLOOKUP(A628,'Tabela de Produtos'!A:H,8,0)),"Matéria Prima Não Cadastrada")</f>
        <v>5.7116883116883115E-2</v>
      </c>
      <c r="L628" s="216"/>
    </row>
    <row r="629" spans="1:12" ht="15.75" customHeight="1">
      <c r="A629" s="114" t="s">
        <v>153</v>
      </c>
      <c r="B629" s="114" t="str">
        <f>VLOOKUP(A629,'Tabela de Produtos'!A:B,2,0)</f>
        <v>BRAZIMIL LÁTEX STANDARD INT/EXT FOSCO 3L MARFIM</v>
      </c>
      <c r="C629" s="48" t="s">
        <v>1207</v>
      </c>
      <c r="D629" s="114" t="str">
        <f>VLOOKUP(C629,'Custos Matéria Prima Embalagens'!B:C,2,0)</f>
        <v>WANPEX 1510 (BB-200)</v>
      </c>
      <c r="E629" s="114" t="str">
        <f>VLOOKUP(C629,'Custos Matéria Prima Embalagens'!B:D,3,0)</f>
        <v>DISPERSANTE LATEX</v>
      </c>
      <c r="F629" s="270">
        <f t="shared" si="80"/>
        <v>1956</v>
      </c>
      <c r="G629" s="148">
        <f t="shared" si="81"/>
        <v>3.0674846625766872E-3</v>
      </c>
      <c r="H629" s="96">
        <v>6</v>
      </c>
      <c r="I629" s="272">
        <f>ROUND(F629/VLOOKUP(A629,'Tabela de Produtos'!A:J,10,0),0)</f>
        <v>1540</v>
      </c>
      <c r="J629" s="97">
        <f>IFERROR(VLOOKUP(C629,'Custos Matéria Prima Embalagens'!B:G,6,0)*H629,"Matéria Prima Não Cadastrada")</f>
        <v>41.16</v>
      </c>
      <c r="K629" s="97">
        <f>IFERROR(J629/(I629/VLOOKUP(A629,'Tabela de Produtos'!A:H,8,0)),"Matéria Prima Não Cadastrada")</f>
        <v>8.0181818181818174E-2</v>
      </c>
      <c r="L629" s="216"/>
    </row>
    <row r="630" spans="1:12" ht="15.75" customHeight="1">
      <c r="A630" s="114" t="s">
        <v>153</v>
      </c>
      <c r="B630" s="114" t="str">
        <f>VLOOKUP(A630,'Tabela de Produtos'!A:B,2,0)</f>
        <v>BRAZIMIL LÁTEX STANDARD INT/EXT FOSCO 3L MARFIM</v>
      </c>
      <c r="C630" s="48" t="s">
        <v>1209</v>
      </c>
      <c r="D630" s="114" t="str">
        <f>VLOOKUP(C630,'Custos Matéria Prima Embalagens'!B:C,2,0)</f>
        <v>WANFUNG WFT CE (BH-200)</v>
      </c>
      <c r="E630" s="114" t="str">
        <f>VLOOKUP(C630,'Custos Matéria Prima Embalagens'!B:D,3,0)</f>
        <v>FUNGICIDA</v>
      </c>
      <c r="F630" s="270">
        <f t="shared" si="80"/>
        <v>1956</v>
      </c>
      <c r="G630" s="148">
        <f t="shared" si="81"/>
        <v>2.5562372188139061E-3</v>
      </c>
      <c r="H630" s="96">
        <v>5</v>
      </c>
      <c r="I630" s="272">
        <f>ROUND(F630/VLOOKUP(A630,'Tabela de Produtos'!A:J,10,0),0)</f>
        <v>1540</v>
      </c>
      <c r="J630" s="97">
        <f>IFERROR(VLOOKUP(C630,'Custos Matéria Prima Embalagens'!B:G,6,0)*H630,"Matéria Prima Não Cadastrada")</f>
        <v>35</v>
      </c>
      <c r="K630" s="97">
        <f>IFERROR(J630/(I630/VLOOKUP(A630,'Tabela de Produtos'!A:H,8,0)),"Matéria Prima Não Cadastrada")</f>
        <v>6.8181818181818177E-2</v>
      </c>
      <c r="L630" s="216"/>
    </row>
    <row r="631" spans="1:12" ht="15.75" customHeight="1">
      <c r="A631" s="114" t="s">
        <v>153</v>
      </c>
      <c r="B631" s="114" t="str">
        <f>VLOOKUP(A631,'Tabela de Produtos'!A:B,2,0)</f>
        <v>BRAZIMIL LÁTEX STANDARD INT/EXT FOSCO 3L MARFIM</v>
      </c>
      <c r="C631" s="48" t="s">
        <v>1211</v>
      </c>
      <c r="D631" s="114" t="str">
        <f>VLOOKUP(C631,'Custos Matéria Prima Embalagens'!B:C,2,0)</f>
        <v>WHITE PLUS PB (SC-25) (Em negociação)</v>
      </c>
      <c r="E631" s="114" t="str">
        <f>VLOOKUP(C631,'Custos Matéria Prima Embalagens'!B:D,3,0)</f>
        <v>WHITE PLUS</v>
      </c>
      <c r="F631" s="270">
        <f t="shared" si="80"/>
        <v>1956</v>
      </c>
      <c r="G631" s="148">
        <f t="shared" si="81"/>
        <v>0.15337423312883436</v>
      </c>
      <c r="H631" s="96">
        <v>300</v>
      </c>
      <c r="I631" s="272">
        <f>ROUND(F631/VLOOKUP(A631,'Tabela de Produtos'!A:J,10,0),0)</f>
        <v>1540</v>
      </c>
      <c r="J631" s="97">
        <f>IFERROR(VLOOKUP(C631,'Custos Matéria Prima Embalagens'!B:G,6,0)*H631,"Matéria Prima Não Cadastrada")</f>
        <v>927</v>
      </c>
      <c r="K631" s="97">
        <f>IFERROR(J631/(I631/VLOOKUP(A631,'Tabela de Produtos'!A:H,8,0)),"Matéria Prima Não Cadastrada")</f>
        <v>1.8058441558441558</v>
      </c>
      <c r="L631" s="216"/>
    </row>
    <row r="632" spans="1:12" ht="15.75" customHeight="1">
      <c r="A632" s="114" t="s">
        <v>153</v>
      </c>
      <c r="B632" s="114" t="str">
        <f>VLOOKUP(A632,'Tabela de Produtos'!A:B,2,0)</f>
        <v>BRAZIMIL LÁTEX STANDARD INT/EXT FOSCO 3L MARFIM</v>
      </c>
      <c r="C632" s="48" t="s">
        <v>1213</v>
      </c>
      <c r="D632" s="114" t="str">
        <f>VLOOKUP(C632,'Custos Matéria Prima Embalagens'!B:C,2,0)</f>
        <v>DIOXIDO DE TITANIO RUTILO R-996</v>
      </c>
      <c r="E632" s="114" t="str">
        <f>VLOOKUP(C632,'Custos Matéria Prima Embalagens'!B:D,3,0)</f>
        <v>TITANIO</v>
      </c>
      <c r="F632" s="270">
        <f t="shared" si="80"/>
        <v>1956</v>
      </c>
      <c r="G632" s="148">
        <f t="shared" si="81"/>
        <v>3.0674846625766871E-2</v>
      </c>
      <c r="H632" s="96">
        <v>60</v>
      </c>
      <c r="I632" s="272">
        <f>ROUND(F632/VLOOKUP(A632,'Tabela de Produtos'!A:J,10,0),0)</f>
        <v>1540</v>
      </c>
      <c r="J632" s="97">
        <f>IFERROR(VLOOKUP(C632,'Custos Matéria Prima Embalagens'!B:G,6,0)*H632,"Matéria Prima Não Cadastrada")</f>
        <v>1158</v>
      </c>
      <c r="K632" s="97">
        <f>IFERROR(J632/(I632/VLOOKUP(A632,'Tabela de Produtos'!A:H,8,0)),"Matéria Prima Não Cadastrada")</f>
        <v>2.2558441558441555</v>
      </c>
      <c r="L632" s="216"/>
    </row>
    <row r="633" spans="1:12" ht="15.75" customHeight="1">
      <c r="A633" s="114" t="s">
        <v>153</v>
      </c>
      <c r="B633" s="114" t="str">
        <f>VLOOKUP(A633,'Tabela de Produtos'!A:B,2,0)</f>
        <v>BRAZIMIL LÁTEX STANDARD INT/EXT FOSCO 3L MARFIM</v>
      </c>
      <c r="C633" s="48" t="s">
        <v>1215</v>
      </c>
      <c r="D633" s="114" t="str">
        <f>VLOOKUP(C633,'Custos Matéria Prima Embalagens'!B:C,2,0)</f>
        <v>CALCARIO DOLOMITICO #500 ( SACOS 25 KG)</v>
      </c>
      <c r="E633" s="114" t="str">
        <f>VLOOKUP(C633,'Custos Matéria Prima Embalagens'!B:D,3,0)</f>
        <v>CARBONATO #500</v>
      </c>
      <c r="F633" s="270">
        <f t="shared" si="80"/>
        <v>1956</v>
      </c>
      <c r="G633" s="148">
        <f t="shared" si="81"/>
        <v>0.15337423312883436</v>
      </c>
      <c r="H633" s="96">
        <v>300</v>
      </c>
      <c r="I633" s="272">
        <f>ROUND(F633/VLOOKUP(A633,'Tabela de Produtos'!A:J,10,0),0)</f>
        <v>1540</v>
      </c>
      <c r="J633" s="97">
        <f>IFERROR(VLOOKUP(C633,'Custos Matéria Prima Embalagens'!B:G,6,0)*H633,"Matéria Prima Não Cadastrada")</f>
        <v>240</v>
      </c>
      <c r="K633" s="97">
        <f>IFERROR(J633/(I633/VLOOKUP(A633,'Tabela de Produtos'!A:H,8,0)),"Matéria Prima Não Cadastrada")</f>
        <v>0.46753246753246752</v>
      </c>
      <c r="L633" s="216"/>
    </row>
    <row r="634" spans="1:12" ht="15.75" customHeight="1">
      <c r="A634" s="114" t="s">
        <v>153</v>
      </c>
      <c r="B634" s="114" t="str">
        <f>VLOOKUP(A634,'Tabela de Produtos'!A:B,2,0)</f>
        <v>BRAZIMIL LÁTEX STANDARD INT/EXT FOSCO 3L MARFIM</v>
      </c>
      <c r="C634" s="48" t="s">
        <v>1227</v>
      </c>
      <c r="D634" s="114" t="str">
        <f>VLOOKUP(C634,'Custos Matéria Prima Embalagens'!B:C,2,0)</f>
        <v>CAULIM MALHA 325</v>
      </c>
      <c r="E634" s="114" t="str">
        <f>VLOOKUP(C634,'Custos Matéria Prima Embalagens'!B:D,3,0)</f>
        <v>caulim</v>
      </c>
      <c r="F634" s="270">
        <f t="shared" si="80"/>
        <v>1956</v>
      </c>
      <c r="G634" s="148">
        <f t="shared" si="81"/>
        <v>5.112474437627812E-2</v>
      </c>
      <c r="H634" s="96">
        <v>100</v>
      </c>
      <c r="I634" s="272">
        <f>ROUND(F634/VLOOKUP(A634,'Tabela de Produtos'!A:J,10,0),0)</f>
        <v>1540</v>
      </c>
      <c r="J634" s="97">
        <f>IFERROR(VLOOKUP(C634,'Custos Matéria Prima Embalagens'!B:G,6,0)*H634,"Matéria Prima Não Cadastrada")</f>
        <v>152.04955555555551</v>
      </c>
      <c r="K634" s="97">
        <f>IFERROR(J634/(I634/VLOOKUP(A634,'Tabela de Produtos'!A:H,8,0)),"Matéria Prima Não Cadastrada")</f>
        <v>0.2962004329004328</v>
      </c>
      <c r="L634" s="216"/>
    </row>
    <row r="635" spans="1:12" ht="15.75" customHeight="1">
      <c r="A635" s="114" t="s">
        <v>153</v>
      </c>
      <c r="B635" s="114" t="str">
        <f>VLOOKUP(A635,'Tabela de Produtos'!A:B,2,0)</f>
        <v>BRAZIMIL LÁTEX STANDARD INT/EXT FOSCO 3L MARFIM</v>
      </c>
      <c r="C635" s="48" t="s">
        <v>1217</v>
      </c>
      <c r="D635" s="114" t="str">
        <f>VLOOKUP(C635,'Custos Matéria Prima Embalagens'!B:C,2,0)</f>
        <v>WANCRIL W 51 CE (CT-1000P)</v>
      </c>
      <c r="E635" s="114" t="str">
        <f>VLOOKUP(C635,'Custos Matéria Prima Embalagens'!B:D,3,0)</f>
        <v>RESINA ACRILICA ESTIRENADA</v>
      </c>
      <c r="F635" s="270">
        <f t="shared" si="80"/>
        <v>1956</v>
      </c>
      <c r="G635" s="148">
        <f t="shared" si="81"/>
        <v>0.10224948875255624</v>
      </c>
      <c r="H635" s="96">
        <v>200</v>
      </c>
      <c r="I635" s="272">
        <f>ROUND(F635/VLOOKUP(A635,'Tabela de Produtos'!A:J,10,0),0)</f>
        <v>1540</v>
      </c>
      <c r="J635" s="97">
        <f>IFERROR(VLOOKUP(C635,'Custos Matéria Prima Embalagens'!B:G,6,0)*H635,"Matéria Prima Não Cadastrada")</f>
        <v>1686</v>
      </c>
      <c r="K635" s="97">
        <f>IFERROR(J635/(I635/VLOOKUP(A635,'Tabela de Produtos'!A:H,8,0)),"Matéria Prima Não Cadastrada")</f>
        <v>3.284415584415584</v>
      </c>
      <c r="L635" s="216"/>
    </row>
    <row r="636" spans="1:12" ht="15.75" customHeight="1">
      <c r="A636" s="114" t="s">
        <v>153</v>
      </c>
      <c r="B636" s="114" t="str">
        <f>VLOOKUP(A636,'Tabela de Produtos'!A:B,2,0)</f>
        <v>BRAZIMIL LÁTEX STANDARD INT/EXT FOSCO 3L MARFIM</v>
      </c>
      <c r="C636" s="48" t="s">
        <v>1219</v>
      </c>
      <c r="D636" s="114" t="str">
        <f>VLOOKUP(C636,'Custos Matéria Prima Embalagens'!B:C,2,0)</f>
        <v>WANALK 70 CE (BH-200)</v>
      </c>
      <c r="E636" s="114" t="str">
        <f>VLOOKUP(C636,'Custos Matéria Prima Embalagens'!B:D,3,0)</f>
        <v>ALCALINIZANTE</v>
      </c>
      <c r="F636" s="270">
        <f t="shared" si="80"/>
        <v>1956</v>
      </c>
      <c r="G636" s="148">
        <f t="shared" si="81"/>
        <v>2.5562372188139061E-3</v>
      </c>
      <c r="H636" s="96">
        <v>5</v>
      </c>
      <c r="I636" s="272">
        <f>ROUND(F636/VLOOKUP(A636,'Tabela de Produtos'!A:J,10,0),0)</f>
        <v>1540</v>
      </c>
      <c r="J636" s="97">
        <f>IFERROR(VLOOKUP(C636,'Custos Matéria Prima Embalagens'!B:G,6,0)*H636,"Matéria Prima Não Cadastrada")</f>
        <v>24.900000000000002</v>
      </c>
      <c r="K636" s="97">
        <f>IFERROR(J636/(I636/VLOOKUP(A636,'Tabela de Produtos'!A:H,8,0)),"Matéria Prima Não Cadastrada")</f>
        <v>4.8506493506493505E-2</v>
      </c>
      <c r="L636" s="216"/>
    </row>
    <row r="637" spans="1:12" ht="15.75" customHeight="1">
      <c r="A637" s="114" t="s">
        <v>153</v>
      </c>
      <c r="B637" s="114" t="str">
        <f>VLOOKUP(A637,'Tabela de Produtos'!A:B,2,0)</f>
        <v>BRAZIMIL LÁTEX STANDARD INT/EXT FOSCO 3L MARFIM</v>
      </c>
      <c r="C637" s="48" t="s">
        <v>1221</v>
      </c>
      <c r="D637" s="114" t="str">
        <f>VLOOKUP(C637,'Custos Matéria Prima Embalagens'!B:C,2,0)</f>
        <v>MODIWAN 105H CE (CT-1000P)</v>
      </c>
      <c r="E637" s="114" t="str">
        <f>VLOOKUP(C637,'Custos Matéria Prima Embalagens'!B:D,3,0)</f>
        <v>ESPESSANTE DE MEDIA</v>
      </c>
      <c r="F637" s="270">
        <f t="shared" si="80"/>
        <v>1956</v>
      </c>
      <c r="G637" s="148">
        <f t="shared" si="81"/>
        <v>1.0224948875255624E-2</v>
      </c>
      <c r="H637" s="96">
        <v>20</v>
      </c>
      <c r="I637" s="272">
        <f>ROUND(F637/VLOOKUP(A637,'Tabela de Produtos'!A:J,10,0),0)</f>
        <v>1540</v>
      </c>
      <c r="J637" s="97">
        <f>IFERROR(VLOOKUP(C637,'Custos Matéria Prima Embalagens'!B:G,6,0)*H637,"Matéria Prima Não Cadastrada")</f>
        <v>158.1</v>
      </c>
      <c r="K637" s="97">
        <f>IFERROR(J637/(I637/VLOOKUP(A637,'Tabela de Produtos'!A:H,8,0)),"Matéria Prima Não Cadastrada")</f>
        <v>0.30798701298701298</v>
      </c>
      <c r="L637" s="216"/>
    </row>
    <row r="638" spans="1:12" ht="15.75" customHeight="1">
      <c r="A638" s="114" t="s">
        <v>153</v>
      </c>
      <c r="B638" s="114" t="str">
        <f>VLOOKUP(A638,'Tabela de Produtos'!A:B,2,0)</f>
        <v>BRAZIMIL LÁTEX STANDARD INT/EXT FOSCO 3L MARFIM</v>
      </c>
      <c r="C638" s="48" t="s">
        <v>1223</v>
      </c>
      <c r="D638" s="114" t="str">
        <f>VLOOKUP(C638,'Custos Matéria Prima Embalagens'!B:C,2,0)</f>
        <v>TURBOWAN H CE (BH-200)</v>
      </c>
      <c r="E638" s="114" t="str">
        <f>VLOOKUP(C638,'Custos Matéria Prima Embalagens'!B:D,3,0)</f>
        <v>PROMOTOR DE LAVABILIDADE</v>
      </c>
      <c r="F638" s="270">
        <f t="shared" si="80"/>
        <v>1956</v>
      </c>
      <c r="G638" s="148">
        <f t="shared" si="81"/>
        <v>7.6687116564417178E-3</v>
      </c>
      <c r="H638" s="96">
        <v>15</v>
      </c>
      <c r="I638" s="272">
        <f>ROUND(F638/VLOOKUP(A638,'Tabela de Produtos'!A:J,10,0),0)</f>
        <v>1540</v>
      </c>
      <c r="J638" s="97">
        <f>IFERROR(VLOOKUP(C638,'Custos Matéria Prima Embalagens'!B:G,6,0)*H638,"Matéria Prima Não Cadastrada")</f>
        <v>72.75</v>
      </c>
      <c r="K638" s="97">
        <f>IFERROR(J638/(I638/VLOOKUP(A638,'Tabela de Produtos'!A:H,8,0)),"Matéria Prima Não Cadastrada")</f>
        <v>0.14172077922077922</v>
      </c>
      <c r="L638" s="216"/>
    </row>
    <row r="639" spans="1:12" ht="15.75" customHeight="1">
      <c r="A639" s="114" t="s">
        <v>153</v>
      </c>
      <c r="B639" s="114" t="str">
        <f>VLOOKUP(A639,'Tabela de Produtos'!A:B,2,0)</f>
        <v>BRAZIMIL LÁTEX STANDARD INT/EXT FOSCO 3L MARFIM</v>
      </c>
      <c r="C639" s="48" t="s">
        <v>1229</v>
      </c>
      <c r="D639" s="114" t="str">
        <f>VLOOKUP(C639,'Custos Matéria Prima Embalagens'!B:C,2,0)</f>
        <v>WANSOL 340 CE (BB-200)</v>
      </c>
      <c r="E639" s="114" t="str">
        <f>VLOOKUP(C639,'Custos Matéria Prima Embalagens'!B:D,3,0)</f>
        <v>COALESCENTE</v>
      </c>
      <c r="F639" s="270">
        <f t="shared" si="80"/>
        <v>1956</v>
      </c>
      <c r="G639" s="148">
        <f t="shared" si="81"/>
        <v>5.1124744376278121E-3</v>
      </c>
      <c r="H639" s="96">
        <v>10</v>
      </c>
      <c r="I639" s="272">
        <f>ROUND(F639/VLOOKUP(A639,'Tabela de Produtos'!A:J,10,0),0)</f>
        <v>1540</v>
      </c>
      <c r="J639" s="97">
        <f>IFERROR(VLOOKUP(C639,'Custos Matéria Prima Embalagens'!B:G,6,0)*H639,"Matéria Prima Não Cadastrada")</f>
        <v>192.2</v>
      </c>
      <c r="K639" s="97">
        <f>IFERROR(J639/(I639/VLOOKUP(A639,'Tabela de Produtos'!A:H,8,0)),"Matéria Prima Não Cadastrada")</f>
        <v>0.37441558441558437</v>
      </c>
      <c r="L639" s="216"/>
    </row>
    <row r="640" spans="1:12" ht="15.75" customHeight="1">
      <c r="D640" s="114"/>
      <c r="E640" s="114"/>
      <c r="F640" s="96"/>
      <c r="G640" s="148"/>
      <c r="H640" s="96"/>
      <c r="I640" s="272"/>
      <c r="J640" s="97"/>
      <c r="K640" s="97"/>
      <c r="L640" s="216"/>
    </row>
    <row r="641" spans="1:12" ht="15.75" customHeight="1">
      <c r="A641" s="114" t="s">
        <v>154</v>
      </c>
      <c r="B641" s="114" t="str">
        <f>VLOOKUP(A641,'Tabela de Produtos'!A:B,2,0)</f>
        <v>BRAZIMIL LÁTEX STANDARD INT/EXT FOSCO 3L ROSA PETALA</v>
      </c>
      <c r="C641" s="48" t="s">
        <v>1197</v>
      </c>
      <c r="D641" s="114" t="str">
        <f>VLOOKUP(C641,'Custos Matéria Prima Embalagens'!B:C,2,0)</f>
        <v>AGUA</v>
      </c>
      <c r="E641" s="114" t="str">
        <f>VLOOKUP(C641,'Custos Matéria Prima Embalagens'!B:D,3,0)</f>
        <v>AGUA</v>
      </c>
      <c r="F641" s="270">
        <f t="shared" ref="F641:F655" si="82">SUMIFS(H:H,A:A,A641)</f>
        <v>1956</v>
      </c>
      <c r="G641" s="148">
        <f t="shared" ref="G641:G655" si="83">H641/F641</f>
        <v>0.47034764826175868</v>
      </c>
      <c r="H641" s="96">
        <v>920</v>
      </c>
      <c r="I641" s="272">
        <f>ROUND(F641/VLOOKUP(A641,'Tabela de Produtos'!A:J,10,0),0)</f>
        <v>1540</v>
      </c>
      <c r="J641" s="97">
        <f>IFERROR(VLOOKUP(C641,'Custos Matéria Prima Embalagens'!B:G,6,0)*H641,"Matéria Prima Não Cadastrada")</f>
        <v>0</v>
      </c>
      <c r="K641" s="97">
        <f>IFERROR(J641/(I641/VLOOKUP(A641,'Tabela de Produtos'!A:H,8,0)),"Matéria Prima Não Cadastrada")</f>
        <v>0</v>
      </c>
      <c r="L641" s="216"/>
    </row>
    <row r="642" spans="1:12" ht="15.75" customHeight="1">
      <c r="A642" s="114" t="s">
        <v>154</v>
      </c>
      <c r="B642" s="114" t="str">
        <f>VLOOKUP(A642,'Tabela de Produtos'!A:B,2,0)</f>
        <v>BRAZIMIL LÁTEX STANDARD INT/EXT FOSCO 3L ROSA PETALA</v>
      </c>
      <c r="C642" s="48" t="s">
        <v>1201</v>
      </c>
      <c r="D642" s="114" t="str">
        <f>VLOOKUP(C642,'Custos Matéria Prima Embalagens'!B:C,2,0)</f>
        <v>WANFOAM 528 CE (BB-190)</v>
      </c>
      <c r="E642" s="114" t="str">
        <f>VLOOKUP(C642,'Custos Matéria Prima Embalagens'!B:D,3,0)</f>
        <v>ANTI ESPUMA LATEX</v>
      </c>
      <c r="F642" s="270">
        <f t="shared" si="82"/>
        <v>1956</v>
      </c>
      <c r="G642" s="148">
        <f t="shared" si="83"/>
        <v>2.5562372188139061E-3</v>
      </c>
      <c r="H642" s="96">
        <v>5</v>
      </c>
      <c r="I642" s="272">
        <f>ROUND(F642/VLOOKUP(A642,'Tabela de Produtos'!A:J,10,0),0)</f>
        <v>1540</v>
      </c>
      <c r="J642" s="97">
        <f>IFERROR(VLOOKUP(C642,'Custos Matéria Prima Embalagens'!B:G,6,0)*H642,"Matéria Prima Não Cadastrada")</f>
        <v>35.9</v>
      </c>
      <c r="K642" s="97">
        <f>IFERROR(J642/(I642/VLOOKUP(A642,'Tabela de Produtos'!A:H,8,0)),"Matéria Prima Não Cadastrada")</f>
        <v>6.9935064935064933E-2</v>
      </c>
      <c r="L642" s="216"/>
    </row>
    <row r="643" spans="1:12" ht="15.75" customHeight="1">
      <c r="A643" s="114" t="s">
        <v>154</v>
      </c>
      <c r="B643" s="114" t="str">
        <f>VLOOKUP(A643,'Tabela de Produtos'!A:B,2,0)</f>
        <v>BRAZIMIL LÁTEX STANDARD INT/EXT FOSCO 3L ROSA PETALA</v>
      </c>
      <c r="C643" s="48" t="s">
        <v>1203</v>
      </c>
      <c r="D643" s="114" t="str">
        <f>VLOOKUP(C643,'Custos Matéria Prima Embalagens'!B:C,2,0)</f>
        <v>WANBAC WBT CE (BH-200)</v>
      </c>
      <c r="E643" s="114" t="str">
        <f>VLOOKUP(C643,'Custos Matéria Prima Embalagens'!B:D,3,0)</f>
        <v>BACTERICIDA</v>
      </c>
      <c r="F643" s="270">
        <f t="shared" si="82"/>
        <v>1956</v>
      </c>
      <c r="G643" s="148">
        <f t="shared" si="83"/>
        <v>3.0674846625766872E-3</v>
      </c>
      <c r="H643" s="96">
        <v>6</v>
      </c>
      <c r="I643" s="272">
        <f>ROUND(F643/VLOOKUP(A643,'Tabela de Produtos'!A:J,10,0),0)</f>
        <v>1540</v>
      </c>
      <c r="J643" s="97">
        <f>IFERROR(VLOOKUP(C643,'Custos Matéria Prima Embalagens'!B:G,6,0)*H643,"Matéria Prima Não Cadastrada")</f>
        <v>29.639999999999997</v>
      </c>
      <c r="K643" s="97">
        <f>IFERROR(J643/(I643/VLOOKUP(A643,'Tabela de Produtos'!A:H,8,0)),"Matéria Prima Não Cadastrada")</f>
        <v>5.7740259740259731E-2</v>
      </c>
      <c r="L643" s="216"/>
    </row>
    <row r="644" spans="1:12" ht="15.75" customHeight="1">
      <c r="A644" s="114" t="s">
        <v>154</v>
      </c>
      <c r="B644" s="114" t="str">
        <f>VLOOKUP(A644,'Tabela de Produtos'!A:B,2,0)</f>
        <v>BRAZIMIL LÁTEX STANDARD INT/EXT FOSCO 3L ROSA PETALA</v>
      </c>
      <c r="C644" s="48" t="s">
        <v>1205</v>
      </c>
      <c r="D644" s="114" t="str">
        <f>VLOOKUP(C644,'Custos Matéria Prima Embalagens'!B:C,2,0)</f>
        <v>WANSUR 840 CE (BB-200)01</v>
      </c>
      <c r="E644" s="114" t="str">
        <f>VLOOKUP(C644,'Custos Matéria Prima Embalagens'!B:D,3,0)</f>
        <v>UMECTANTE</v>
      </c>
      <c r="F644" s="270">
        <f t="shared" si="82"/>
        <v>1956</v>
      </c>
      <c r="G644" s="148">
        <f t="shared" si="83"/>
        <v>2.0449897750511249E-3</v>
      </c>
      <c r="H644" s="96">
        <v>4</v>
      </c>
      <c r="I644" s="272">
        <f>ROUND(F644/VLOOKUP(A644,'Tabela de Produtos'!A:J,10,0),0)</f>
        <v>1540</v>
      </c>
      <c r="J644" s="97">
        <f>IFERROR(VLOOKUP(C644,'Custos Matéria Prima Embalagens'!B:G,6,0)*H644,"Matéria Prima Não Cadastrada")</f>
        <v>29.32</v>
      </c>
      <c r="K644" s="97">
        <f>IFERROR(J644/(I644/VLOOKUP(A644,'Tabela de Produtos'!A:H,8,0)),"Matéria Prima Não Cadastrada")</f>
        <v>5.7116883116883115E-2</v>
      </c>
      <c r="L644" s="216"/>
    </row>
    <row r="645" spans="1:12" ht="15.75" customHeight="1">
      <c r="A645" s="114" t="s">
        <v>154</v>
      </c>
      <c r="B645" s="114" t="str">
        <f>VLOOKUP(A645,'Tabela de Produtos'!A:B,2,0)</f>
        <v>BRAZIMIL LÁTEX STANDARD INT/EXT FOSCO 3L ROSA PETALA</v>
      </c>
      <c r="C645" s="48" t="s">
        <v>1207</v>
      </c>
      <c r="D645" s="114" t="str">
        <f>VLOOKUP(C645,'Custos Matéria Prima Embalagens'!B:C,2,0)</f>
        <v>WANPEX 1510 (BB-200)</v>
      </c>
      <c r="E645" s="114" t="str">
        <f>VLOOKUP(C645,'Custos Matéria Prima Embalagens'!B:D,3,0)</f>
        <v>DISPERSANTE LATEX</v>
      </c>
      <c r="F645" s="270">
        <f t="shared" si="82"/>
        <v>1956</v>
      </c>
      <c r="G645" s="148">
        <f t="shared" si="83"/>
        <v>3.0674846625766872E-3</v>
      </c>
      <c r="H645" s="96">
        <v>6</v>
      </c>
      <c r="I645" s="272">
        <f>ROUND(F645/VLOOKUP(A645,'Tabela de Produtos'!A:J,10,0),0)</f>
        <v>1540</v>
      </c>
      <c r="J645" s="97">
        <f>IFERROR(VLOOKUP(C645,'Custos Matéria Prima Embalagens'!B:G,6,0)*H645,"Matéria Prima Não Cadastrada")</f>
        <v>41.16</v>
      </c>
      <c r="K645" s="97">
        <f>IFERROR(J645/(I645/VLOOKUP(A645,'Tabela de Produtos'!A:H,8,0)),"Matéria Prima Não Cadastrada")</f>
        <v>8.0181818181818174E-2</v>
      </c>
      <c r="L645" s="216"/>
    </row>
    <row r="646" spans="1:12" ht="15.75" customHeight="1">
      <c r="A646" s="114" t="s">
        <v>154</v>
      </c>
      <c r="B646" s="114" t="str">
        <f>VLOOKUP(A646,'Tabela de Produtos'!A:B,2,0)</f>
        <v>BRAZIMIL LÁTEX STANDARD INT/EXT FOSCO 3L ROSA PETALA</v>
      </c>
      <c r="C646" s="48" t="s">
        <v>1209</v>
      </c>
      <c r="D646" s="114" t="str">
        <f>VLOOKUP(C646,'Custos Matéria Prima Embalagens'!B:C,2,0)</f>
        <v>WANFUNG WFT CE (BH-200)</v>
      </c>
      <c r="E646" s="114" t="str">
        <f>VLOOKUP(C646,'Custos Matéria Prima Embalagens'!B:D,3,0)</f>
        <v>FUNGICIDA</v>
      </c>
      <c r="F646" s="270">
        <f t="shared" si="82"/>
        <v>1956</v>
      </c>
      <c r="G646" s="148">
        <f t="shared" si="83"/>
        <v>2.5562372188139061E-3</v>
      </c>
      <c r="H646" s="96">
        <v>5</v>
      </c>
      <c r="I646" s="272">
        <f>ROUND(F646/VLOOKUP(A646,'Tabela de Produtos'!A:J,10,0),0)</f>
        <v>1540</v>
      </c>
      <c r="J646" s="97">
        <f>IFERROR(VLOOKUP(C646,'Custos Matéria Prima Embalagens'!B:G,6,0)*H646,"Matéria Prima Não Cadastrada")</f>
        <v>35</v>
      </c>
      <c r="K646" s="97">
        <f>IFERROR(J646/(I646/VLOOKUP(A646,'Tabela de Produtos'!A:H,8,0)),"Matéria Prima Não Cadastrada")</f>
        <v>6.8181818181818177E-2</v>
      </c>
      <c r="L646" s="216"/>
    </row>
    <row r="647" spans="1:12" ht="15.75" customHeight="1">
      <c r="A647" s="114" t="s">
        <v>154</v>
      </c>
      <c r="B647" s="114" t="str">
        <f>VLOOKUP(A647,'Tabela de Produtos'!A:B,2,0)</f>
        <v>BRAZIMIL LÁTEX STANDARD INT/EXT FOSCO 3L ROSA PETALA</v>
      </c>
      <c r="C647" s="48" t="s">
        <v>1211</v>
      </c>
      <c r="D647" s="114" t="str">
        <f>VLOOKUP(C647,'Custos Matéria Prima Embalagens'!B:C,2,0)</f>
        <v>WHITE PLUS PB (SC-25) (Em negociação)</v>
      </c>
      <c r="E647" s="114" t="str">
        <f>VLOOKUP(C647,'Custos Matéria Prima Embalagens'!B:D,3,0)</f>
        <v>WHITE PLUS</v>
      </c>
      <c r="F647" s="270">
        <f t="shared" si="82"/>
        <v>1956</v>
      </c>
      <c r="G647" s="148">
        <f t="shared" si="83"/>
        <v>0.15337423312883436</v>
      </c>
      <c r="H647" s="96">
        <v>300</v>
      </c>
      <c r="I647" s="272">
        <f>ROUND(F647/VLOOKUP(A647,'Tabela de Produtos'!A:J,10,0),0)</f>
        <v>1540</v>
      </c>
      <c r="J647" s="97">
        <f>IFERROR(VLOOKUP(C647,'Custos Matéria Prima Embalagens'!B:G,6,0)*H647,"Matéria Prima Não Cadastrada")</f>
        <v>927</v>
      </c>
      <c r="K647" s="97">
        <f>IFERROR(J647/(I647/VLOOKUP(A647,'Tabela de Produtos'!A:H,8,0)),"Matéria Prima Não Cadastrada")</f>
        <v>1.8058441558441558</v>
      </c>
      <c r="L647" s="216"/>
    </row>
    <row r="648" spans="1:12" ht="15.75" customHeight="1">
      <c r="A648" s="114" t="s">
        <v>154</v>
      </c>
      <c r="B648" s="114" t="str">
        <f>VLOOKUP(A648,'Tabela de Produtos'!A:B,2,0)</f>
        <v>BRAZIMIL LÁTEX STANDARD INT/EXT FOSCO 3L ROSA PETALA</v>
      </c>
      <c r="C648" s="48" t="s">
        <v>1213</v>
      </c>
      <c r="D648" s="114" t="str">
        <f>VLOOKUP(C648,'Custos Matéria Prima Embalagens'!B:C,2,0)</f>
        <v>DIOXIDO DE TITANIO RUTILO R-996</v>
      </c>
      <c r="E648" s="114" t="str">
        <f>VLOOKUP(C648,'Custos Matéria Prima Embalagens'!B:D,3,0)</f>
        <v>TITANIO</v>
      </c>
      <c r="F648" s="270">
        <f t="shared" si="82"/>
        <v>1956</v>
      </c>
      <c r="G648" s="148">
        <f t="shared" si="83"/>
        <v>3.0674846625766871E-2</v>
      </c>
      <c r="H648" s="96">
        <v>60</v>
      </c>
      <c r="I648" s="272">
        <f>ROUND(F648/VLOOKUP(A648,'Tabela de Produtos'!A:J,10,0),0)</f>
        <v>1540</v>
      </c>
      <c r="J648" s="97">
        <f>IFERROR(VLOOKUP(C648,'Custos Matéria Prima Embalagens'!B:G,6,0)*H648,"Matéria Prima Não Cadastrada")</f>
        <v>1158</v>
      </c>
      <c r="K648" s="97">
        <f>IFERROR(J648/(I648/VLOOKUP(A648,'Tabela de Produtos'!A:H,8,0)),"Matéria Prima Não Cadastrada")</f>
        <v>2.2558441558441555</v>
      </c>
      <c r="L648" s="216"/>
    </row>
    <row r="649" spans="1:12" ht="15.75" customHeight="1">
      <c r="A649" s="114" t="s">
        <v>154</v>
      </c>
      <c r="B649" s="114" t="str">
        <f>VLOOKUP(A649,'Tabela de Produtos'!A:B,2,0)</f>
        <v>BRAZIMIL LÁTEX STANDARD INT/EXT FOSCO 3L ROSA PETALA</v>
      </c>
      <c r="C649" s="48" t="s">
        <v>1215</v>
      </c>
      <c r="D649" s="114" t="str">
        <f>VLOOKUP(C649,'Custos Matéria Prima Embalagens'!B:C,2,0)</f>
        <v>CALCARIO DOLOMITICO #500 ( SACOS 25 KG)</v>
      </c>
      <c r="E649" s="114" t="str">
        <f>VLOOKUP(C649,'Custos Matéria Prima Embalagens'!B:D,3,0)</f>
        <v>CARBONATO #500</v>
      </c>
      <c r="F649" s="270">
        <f t="shared" si="82"/>
        <v>1956</v>
      </c>
      <c r="G649" s="148">
        <f t="shared" si="83"/>
        <v>0.15337423312883436</v>
      </c>
      <c r="H649" s="96">
        <v>300</v>
      </c>
      <c r="I649" s="272">
        <f>ROUND(F649/VLOOKUP(A649,'Tabela de Produtos'!A:J,10,0),0)</f>
        <v>1540</v>
      </c>
      <c r="J649" s="97">
        <f>IFERROR(VLOOKUP(C649,'Custos Matéria Prima Embalagens'!B:G,6,0)*H649,"Matéria Prima Não Cadastrada")</f>
        <v>240</v>
      </c>
      <c r="K649" s="97">
        <f>IFERROR(J649/(I649/VLOOKUP(A649,'Tabela de Produtos'!A:H,8,0)),"Matéria Prima Não Cadastrada")</f>
        <v>0.46753246753246752</v>
      </c>
      <c r="L649" s="216"/>
    </row>
    <row r="650" spans="1:12" ht="15.75" customHeight="1">
      <c r="A650" s="114" t="s">
        <v>154</v>
      </c>
      <c r="B650" s="114" t="str">
        <f>VLOOKUP(A650,'Tabela de Produtos'!A:B,2,0)</f>
        <v>BRAZIMIL LÁTEX STANDARD INT/EXT FOSCO 3L ROSA PETALA</v>
      </c>
      <c r="C650" s="48" t="s">
        <v>1227</v>
      </c>
      <c r="D650" s="114" t="str">
        <f>VLOOKUP(C650,'Custos Matéria Prima Embalagens'!B:C,2,0)</f>
        <v>CAULIM MALHA 325</v>
      </c>
      <c r="E650" s="114" t="str">
        <f>VLOOKUP(C650,'Custos Matéria Prima Embalagens'!B:D,3,0)</f>
        <v>caulim</v>
      </c>
      <c r="F650" s="270">
        <f t="shared" si="82"/>
        <v>1956</v>
      </c>
      <c r="G650" s="148">
        <f t="shared" si="83"/>
        <v>5.112474437627812E-2</v>
      </c>
      <c r="H650" s="96">
        <v>100</v>
      </c>
      <c r="I650" s="272">
        <f>ROUND(F650/VLOOKUP(A650,'Tabela de Produtos'!A:J,10,0),0)</f>
        <v>1540</v>
      </c>
      <c r="J650" s="97">
        <f>IFERROR(VLOOKUP(C650,'Custos Matéria Prima Embalagens'!B:G,6,0)*H650,"Matéria Prima Não Cadastrada")</f>
        <v>152.04955555555551</v>
      </c>
      <c r="K650" s="97">
        <f>IFERROR(J650/(I650/VLOOKUP(A650,'Tabela de Produtos'!A:H,8,0)),"Matéria Prima Não Cadastrada")</f>
        <v>0.2962004329004328</v>
      </c>
      <c r="L650" s="216"/>
    </row>
    <row r="651" spans="1:12" ht="15.75" customHeight="1">
      <c r="A651" s="114" t="s">
        <v>154</v>
      </c>
      <c r="B651" s="114" t="str">
        <f>VLOOKUP(A651,'Tabela de Produtos'!A:B,2,0)</f>
        <v>BRAZIMIL LÁTEX STANDARD INT/EXT FOSCO 3L ROSA PETALA</v>
      </c>
      <c r="C651" s="48" t="s">
        <v>1217</v>
      </c>
      <c r="D651" s="114" t="str">
        <f>VLOOKUP(C651,'Custos Matéria Prima Embalagens'!B:C,2,0)</f>
        <v>WANCRIL W 51 CE (CT-1000P)</v>
      </c>
      <c r="E651" s="114" t="str">
        <f>VLOOKUP(C651,'Custos Matéria Prima Embalagens'!B:D,3,0)</f>
        <v>RESINA ACRILICA ESTIRENADA</v>
      </c>
      <c r="F651" s="270">
        <f t="shared" si="82"/>
        <v>1956</v>
      </c>
      <c r="G651" s="148">
        <f t="shared" si="83"/>
        <v>0.10224948875255624</v>
      </c>
      <c r="H651" s="96">
        <v>200</v>
      </c>
      <c r="I651" s="272">
        <f>ROUND(F651/VLOOKUP(A651,'Tabela de Produtos'!A:J,10,0),0)</f>
        <v>1540</v>
      </c>
      <c r="J651" s="97">
        <f>IFERROR(VLOOKUP(C651,'Custos Matéria Prima Embalagens'!B:G,6,0)*H651,"Matéria Prima Não Cadastrada")</f>
        <v>1686</v>
      </c>
      <c r="K651" s="97">
        <f>IFERROR(J651/(I651/VLOOKUP(A651,'Tabela de Produtos'!A:H,8,0)),"Matéria Prima Não Cadastrada")</f>
        <v>3.284415584415584</v>
      </c>
      <c r="L651" s="216"/>
    </row>
    <row r="652" spans="1:12" ht="15.75" customHeight="1">
      <c r="A652" s="114" t="s">
        <v>154</v>
      </c>
      <c r="B652" s="114" t="str">
        <f>VLOOKUP(A652,'Tabela de Produtos'!A:B,2,0)</f>
        <v>BRAZIMIL LÁTEX STANDARD INT/EXT FOSCO 3L ROSA PETALA</v>
      </c>
      <c r="C652" s="48" t="s">
        <v>1219</v>
      </c>
      <c r="D652" s="114" t="str">
        <f>VLOOKUP(C652,'Custos Matéria Prima Embalagens'!B:C,2,0)</f>
        <v>WANALK 70 CE (BH-200)</v>
      </c>
      <c r="E652" s="114" t="str">
        <f>VLOOKUP(C652,'Custos Matéria Prima Embalagens'!B:D,3,0)</f>
        <v>ALCALINIZANTE</v>
      </c>
      <c r="F652" s="270">
        <f t="shared" si="82"/>
        <v>1956</v>
      </c>
      <c r="G652" s="148">
        <f t="shared" si="83"/>
        <v>2.5562372188139061E-3</v>
      </c>
      <c r="H652" s="96">
        <v>5</v>
      </c>
      <c r="I652" s="272">
        <f>ROUND(F652/VLOOKUP(A652,'Tabela de Produtos'!A:J,10,0),0)</f>
        <v>1540</v>
      </c>
      <c r="J652" s="97">
        <f>IFERROR(VLOOKUP(C652,'Custos Matéria Prima Embalagens'!B:G,6,0)*H652,"Matéria Prima Não Cadastrada")</f>
        <v>24.900000000000002</v>
      </c>
      <c r="K652" s="97">
        <f>IFERROR(J652/(I652/VLOOKUP(A652,'Tabela de Produtos'!A:H,8,0)),"Matéria Prima Não Cadastrada")</f>
        <v>4.8506493506493505E-2</v>
      </c>
      <c r="L652" s="216"/>
    </row>
    <row r="653" spans="1:12" ht="15.75" customHeight="1">
      <c r="A653" s="114" t="s">
        <v>154</v>
      </c>
      <c r="B653" s="114" t="str">
        <f>VLOOKUP(A653,'Tabela de Produtos'!A:B,2,0)</f>
        <v>BRAZIMIL LÁTEX STANDARD INT/EXT FOSCO 3L ROSA PETALA</v>
      </c>
      <c r="C653" s="48" t="s">
        <v>1221</v>
      </c>
      <c r="D653" s="114" t="str">
        <f>VLOOKUP(C653,'Custos Matéria Prima Embalagens'!B:C,2,0)</f>
        <v>MODIWAN 105H CE (CT-1000P)</v>
      </c>
      <c r="E653" s="114" t="str">
        <f>VLOOKUP(C653,'Custos Matéria Prima Embalagens'!B:D,3,0)</f>
        <v>ESPESSANTE DE MEDIA</v>
      </c>
      <c r="F653" s="270">
        <f t="shared" si="82"/>
        <v>1956</v>
      </c>
      <c r="G653" s="148">
        <f t="shared" si="83"/>
        <v>1.0224948875255624E-2</v>
      </c>
      <c r="H653" s="96">
        <v>20</v>
      </c>
      <c r="I653" s="272">
        <f>ROUND(F653/VLOOKUP(A653,'Tabela de Produtos'!A:J,10,0),0)</f>
        <v>1540</v>
      </c>
      <c r="J653" s="97">
        <f>IFERROR(VLOOKUP(C653,'Custos Matéria Prima Embalagens'!B:G,6,0)*H653,"Matéria Prima Não Cadastrada")</f>
        <v>158.1</v>
      </c>
      <c r="K653" s="97">
        <f>IFERROR(J653/(I653/VLOOKUP(A653,'Tabela de Produtos'!A:H,8,0)),"Matéria Prima Não Cadastrada")</f>
        <v>0.30798701298701298</v>
      </c>
      <c r="L653" s="216"/>
    </row>
    <row r="654" spans="1:12" ht="15.75" customHeight="1">
      <c r="A654" s="114" t="s">
        <v>154</v>
      </c>
      <c r="B654" s="114" t="str">
        <f>VLOOKUP(A654,'Tabela de Produtos'!A:B,2,0)</f>
        <v>BRAZIMIL LÁTEX STANDARD INT/EXT FOSCO 3L ROSA PETALA</v>
      </c>
      <c r="C654" s="48" t="s">
        <v>1223</v>
      </c>
      <c r="D654" s="114" t="str">
        <f>VLOOKUP(C654,'Custos Matéria Prima Embalagens'!B:C,2,0)</f>
        <v>TURBOWAN H CE (BH-200)</v>
      </c>
      <c r="E654" s="114" t="str">
        <f>VLOOKUP(C654,'Custos Matéria Prima Embalagens'!B:D,3,0)</f>
        <v>PROMOTOR DE LAVABILIDADE</v>
      </c>
      <c r="F654" s="270">
        <f t="shared" si="82"/>
        <v>1956</v>
      </c>
      <c r="G654" s="148">
        <f t="shared" si="83"/>
        <v>7.6687116564417178E-3</v>
      </c>
      <c r="H654" s="96">
        <v>15</v>
      </c>
      <c r="I654" s="272">
        <f>ROUND(F654/VLOOKUP(A654,'Tabela de Produtos'!A:J,10,0),0)</f>
        <v>1540</v>
      </c>
      <c r="J654" s="97">
        <f>IFERROR(VLOOKUP(C654,'Custos Matéria Prima Embalagens'!B:G,6,0)*H654,"Matéria Prima Não Cadastrada")</f>
        <v>72.75</v>
      </c>
      <c r="K654" s="97">
        <f>IFERROR(J654/(I654/VLOOKUP(A654,'Tabela de Produtos'!A:H,8,0)),"Matéria Prima Não Cadastrada")</f>
        <v>0.14172077922077922</v>
      </c>
      <c r="L654" s="216"/>
    </row>
    <row r="655" spans="1:12" ht="15.75" customHeight="1">
      <c r="A655" s="114" t="s">
        <v>154</v>
      </c>
      <c r="B655" s="114" t="str">
        <f>VLOOKUP(A655,'Tabela de Produtos'!A:B,2,0)</f>
        <v>BRAZIMIL LÁTEX STANDARD INT/EXT FOSCO 3L ROSA PETALA</v>
      </c>
      <c r="C655" s="48" t="s">
        <v>1229</v>
      </c>
      <c r="D655" s="114" t="str">
        <f>VLOOKUP(C655,'Custos Matéria Prima Embalagens'!B:C,2,0)</f>
        <v>WANSOL 340 CE (BB-200)</v>
      </c>
      <c r="E655" s="114" t="str">
        <f>VLOOKUP(C655,'Custos Matéria Prima Embalagens'!B:D,3,0)</f>
        <v>COALESCENTE</v>
      </c>
      <c r="F655" s="270">
        <f t="shared" si="82"/>
        <v>1956</v>
      </c>
      <c r="G655" s="148">
        <f t="shared" si="83"/>
        <v>5.1124744376278121E-3</v>
      </c>
      <c r="H655" s="96">
        <v>10</v>
      </c>
      <c r="I655" s="272">
        <f>ROUND(F655/VLOOKUP(A655,'Tabela de Produtos'!A:J,10,0),0)</f>
        <v>1540</v>
      </c>
      <c r="J655" s="97">
        <f>IFERROR(VLOOKUP(C655,'Custos Matéria Prima Embalagens'!B:G,6,0)*H655,"Matéria Prima Não Cadastrada")</f>
        <v>192.2</v>
      </c>
      <c r="K655" s="97">
        <f>IFERROR(J655/(I655/VLOOKUP(A655,'Tabela de Produtos'!A:H,8,0)),"Matéria Prima Não Cadastrada")</f>
        <v>0.37441558441558437</v>
      </c>
      <c r="L655" s="216"/>
    </row>
    <row r="656" spans="1:12" ht="15.75" customHeight="1">
      <c r="D656" s="114"/>
      <c r="E656" s="114"/>
      <c r="F656" s="96"/>
      <c r="G656" s="148"/>
      <c r="H656" s="96"/>
      <c r="I656" s="272"/>
      <c r="J656" s="97"/>
      <c r="K656" s="97"/>
      <c r="L656" s="216"/>
    </row>
    <row r="657" spans="1:12" ht="15.75" customHeight="1">
      <c r="A657" s="114" t="s">
        <v>155</v>
      </c>
      <c r="B657" s="114" t="str">
        <f>VLOOKUP(A657,'Tabela de Produtos'!A:B,2,0)</f>
        <v>BRAZIMIL LÁTEX STANDARD INT/EXT FOSCO 3L ACAI AMAZONICO</v>
      </c>
      <c r="C657" s="48" t="s">
        <v>1197</v>
      </c>
      <c r="D657" s="114" t="str">
        <f>VLOOKUP(C657,'Custos Matéria Prima Embalagens'!B:C,2,0)</f>
        <v>AGUA</v>
      </c>
      <c r="E657" s="114" t="str">
        <f>VLOOKUP(C657,'Custos Matéria Prima Embalagens'!B:D,3,0)</f>
        <v>AGUA</v>
      </c>
      <c r="F657" s="270">
        <f t="shared" ref="F657:F671" si="84">SUMIFS(H:H,A:A,A657)</f>
        <v>1956</v>
      </c>
      <c r="G657" s="148">
        <f t="shared" ref="G657:G671" si="85">H657/F657</f>
        <v>0.47034764826175868</v>
      </c>
      <c r="H657" s="96">
        <v>920</v>
      </c>
      <c r="I657" s="272">
        <f>ROUND(F657/VLOOKUP(A657,'Tabela de Produtos'!A:J,10,0),0)</f>
        <v>1540</v>
      </c>
      <c r="J657" s="97">
        <f>IFERROR(VLOOKUP(C657,'Custos Matéria Prima Embalagens'!B:G,6,0)*H657,"Matéria Prima Não Cadastrada")</f>
        <v>0</v>
      </c>
      <c r="K657" s="97">
        <f>IFERROR(J657/(I657/VLOOKUP(A657,'Tabela de Produtos'!A:H,8,0)),"Matéria Prima Não Cadastrada")</f>
        <v>0</v>
      </c>
      <c r="L657" s="216"/>
    </row>
    <row r="658" spans="1:12" ht="15.75" customHeight="1">
      <c r="A658" s="114" t="s">
        <v>155</v>
      </c>
      <c r="B658" s="114" t="str">
        <f>VLOOKUP(A658,'Tabela de Produtos'!A:B,2,0)</f>
        <v>BRAZIMIL LÁTEX STANDARD INT/EXT FOSCO 3L ACAI AMAZONICO</v>
      </c>
      <c r="C658" s="48" t="s">
        <v>1201</v>
      </c>
      <c r="D658" s="114" t="str">
        <f>VLOOKUP(C658,'Custos Matéria Prima Embalagens'!B:C,2,0)</f>
        <v>WANFOAM 528 CE (BB-190)</v>
      </c>
      <c r="E658" s="114" t="str">
        <f>VLOOKUP(C658,'Custos Matéria Prima Embalagens'!B:D,3,0)</f>
        <v>ANTI ESPUMA LATEX</v>
      </c>
      <c r="F658" s="270">
        <f t="shared" si="84"/>
        <v>1956</v>
      </c>
      <c r="G658" s="148">
        <f t="shared" si="85"/>
        <v>2.5562372188139061E-3</v>
      </c>
      <c r="H658" s="96">
        <v>5</v>
      </c>
      <c r="I658" s="272">
        <f>ROUND(F658/VLOOKUP(A658,'Tabela de Produtos'!A:J,10,0),0)</f>
        <v>1540</v>
      </c>
      <c r="J658" s="97">
        <f>IFERROR(VLOOKUP(C658,'Custos Matéria Prima Embalagens'!B:G,6,0)*H658,"Matéria Prima Não Cadastrada")</f>
        <v>35.9</v>
      </c>
      <c r="K658" s="97">
        <f>IFERROR(J658/(I658/VLOOKUP(A658,'Tabela de Produtos'!A:H,8,0)),"Matéria Prima Não Cadastrada")</f>
        <v>6.9935064935064933E-2</v>
      </c>
      <c r="L658" s="216"/>
    </row>
    <row r="659" spans="1:12" ht="15.75" customHeight="1">
      <c r="A659" s="114" t="s">
        <v>155</v>
      </c>
      <c r="B659" s="114" t="str">
        <f>VLOOKUP(A659,'Tabela de Produtos'!A:B,2,0)</f>
        <v>BRAZIMIL LÁTEX STANDARD INT/EXT FOSCO 3L ACAI AMAZONICO</v>
      </c>
      <c r="C659" s="48" t="s">
        <v>1203</v>
      </c>
      <c r="D659" s="114" t="str">
        <f>VLOOKUP(C659,'Custos Matéria Prima Embalagens'!B:C,2,0)</f>
        <v>WANBAC WBT CE (BH-200)</v>
      </c>
      <c r="E659" s="114" t="str">
        <f>VLOOKUP(C659,'Custos Matéria Prima Embalagens'!B:D,3,0)</f>
        <v>BACTERICIDA</v>
      </c>
      <c r="F659" s="270">
        <f t="shared" si="84"/>
        <v>1956</v>
      </c>
      <c r="G659" s="148">
        <f t="shared" si="85"/>
        <v>3.0674846625766872E-3</v>
      </c>
      <c r="H659" s="96">
        <v>6</v>
      </c>
      <c r="I659" s="272">
        <f>ROUND(F659/VLOOKUP(A659,'Tabela de Produtos'!A:J,10,0),0)</f>
        <v>1540</v>
      </c>
      <c r="J659" s="97">
        <f>IFERROR(VLOOKUP(C659,'Custos Matéria Prima Embalagens'!B:G,6,0)*H659,"Matéria Prima Não Cadastrada")</f>
        <v>29.639999999999997</v>
      </c>
      <c r="K659" s="97">
        <f>IFERROR(J659/(I659/VLOOKUP(A659,'Tabela de Produtos'!A:H,8,0)),"Matéria Prima Não Cadastrada")</f>
        <v>5.7740259740259731E-2</v>
      </c>
      <c r="L659" s="216"/>
    </row>
    <row r="660" spans="1:12" ht="15.75" customHeight="1">
      <c r="A660" s="114" t="s">
        <v>155</v>
      </c>
      <c r="B660" s="114" t="str">
        <f>VLOOKUP(A660,'Tabela de Produtos'!A:B,2,0)</f>
        <v>BRAZIMIL LÁTEX STANDARD INT/EXT FOSCO 3L ACAI AMAZONICO</v>
      </c>
      <c r="C660" s="48" t="s">
        <v>1205</v>
      </c>
      <c r="D660" s="114" t="str">
        <f>VLOOKUP(C660,'Custos Matéria Prima Embalagens'!B:C,2,0)</f>
        <v>WANSUR 840 CE (BB-200)01</v>
      </c>
      <c r="E660" s="114" t="str">
        <f>VLOOKUP(C660,'Custos Matéria Prima Embalagens'!B:D,3,0)</f>
        <v>UMECTANTE</v>
      </c>
      <c r="F660" s="270">
        <f t="shared" si="84"/>
        <v>1956</v>
      </c>
      <c r="G660" s="148">
        <f t="shared" si="85"/>
        <v>2.0449897750511249E-3</v>
      </c>
      <c r="H660" s="96">
        <v>4</v>
      </c>
      <c r="I660" s="272">
        <f>ROUND(F660/VLOOKUP(A660,'Tabela de Produtos'!A:J,10,0),0)</f>
        <v>1540</v>
      </c>
      <c r="J660" s="97">
        <f>IFERROR(VLOOKUP(C660,'Custos Matéria Prima Embalagens'!B:G,6,0)*H660,"Matéria Prima Não Cadastrada")</f>
        <v>29.32</v>
      </c>
      <c r="K660" s="97">
        <f>IFERROR(J660/(I660/VLOOKUP(A660,'Tabela de Produtos'!A:H,8,0)),"Matéria Prima Não Cadastrada")</f>
        <v>5.7116883116883115E-2</v>
      </c>
      <c r="L660" s="216"/>
    </row>
    <row r="661" spans="1:12" ht="15.75" customHeight="1">
      <c r="A661" s="114" t="s">
        <v>155</v>
      </c>
      <c r="B661" s="114" t="str">
        <f>VLOOKUP(A661,'Tabela de Produtos'!A:B,2,0)</f>
        <v>BRAZIMIL LÁTEX STANDARD INT/EXT FOSCO 3L ACAI AMAZONICO</v>
      </c>
      <c r="C661" s="48" t="s">
        <v>1207</v>
      </c>
      <c r="D661" s="114" t="str">
        <f>VLOOKUP(C661,'Custos Matéria Prima Embalagens'!B:C,2,0)</f>
        <v>WANPEX 1510 (BB-200)</v>
      </c>
      <c r="E661" s="114" t="str">
        <f>VLOOKUP(C661,'Custos Matéria Prima Embalagens'!B:D,3,0)</f>
        <v>DISPERSANTE LATEX</v>
      </c>
      <c r="F661" s="270">
        <f t="shared" si="84"/>
        <v>1956</v>
      </c>
      <c r="G661" s="148">
        <f t="shared" si="85"/>
        <v>3.0674846625766872E-3</v>
      </c>
      <c r="H661" s="96">
        <v>6</v>
      </c>
      <c r="I661" s="272">
        <f>ROUND(F661/VLOOKUP(A661,'Tabela de Produtos'!A:J,10,0),0)</f>
        <v>1540</v>
      </c>
      <c r="J661" s="97">
        <f>IFERROR(VLOOKUP(C661,'Custos Matéria Prima Embalagens'!B:G,6,0)*H661,"Matéria Prima Não Cadastrada")</f>
        <v>41.16</v>
      </c>
      <c r="K661" s="97">
        <f>IFERROR(J661/(I661/VLOOKUP(A661,'Tabela de Produtos'!A:H,8,0)),"Matéria Prima Não Cadastrada")</f>
        <v>8.0181818181818174E-2</v>
      </c>
      <c r="L661" s="216"/>
    </row>
    <row r="662" spans="1:12" ht="15.75" customHeight="1">
      <c r="A662" s="114" t="s">
        <v>155</v>
      </c>
      <c r="B662" s="114" t="str">
        <f>VLOOKUP(A662,'Tabela de Produtos'!A:B,2,0)</f>
        <v>BRAZIMIL LÁTEX STANDARD INT/EXT FOSCO 3L ACAI AMAZONICO</v>
      </c>
      <c r="C662" s="48" t="s">
        <v>1209</v>
      </c>
      <c r="D662" s="114" t="str">
        <f>VLOOKUP(C662,'Custos Matéria Prima Embalagens'!B:C,2,0)</f>
        <v>WANFUNG WFT CE (BH-200)</v>
      </c>
      <c r="E662" s="114" t="str">
        <f>VLOOKUP(C662,'Custos Matéria Prima Embalagens'!B:D,3,0)</f>
        <v>FUNGICIDA</v>
      </c>
      <c r="F662" s="270">
        <f t="shared" si="84"/>
        <v>1956</v>
      </c>
      <c r="G662" s="148">
        <f t="shared" si="85"/>
        <v>2.5562372188139061E-3</v>
      </c>
      <c r="H662" s="96">
        <v>5</v>
      </c>
      <c r="I662" s="272">
        <f>ROUND(F662/VLOOKUP(A662,'Tabela de Produtos'!A:J,10,0),0)</f>
        <v>1540</v>
      </c>
      <c r="J662" s="97">
        <f>IFERROR(VLOOKUP(C662,'Custos Matéria Prima Embalagens'!B:G,6,0)*H662,"Matéria Prima Não Cadastrada")</f>
        <v>35</v>
      </c>
      <c r="K662" s="97">
        <f>IFERROR(J662/(I662/VLOOKUP(A662,'Tabela de Produtos'!A:H,8,0)),"Matéria Prima Não Cadastrada")</f>
        <v>6.8181818181818177E-2</v>
      </c>
      <c r="L662" s="216"/>
    </row>
    <row r="663" spans="1:12" ht="15.75" customHeight="1">
      <c r="A663" s="114" t="s">
        <v>155</v>
      </c>
      <c r="B663" s="114" t="str">
        <f>VLOOKUP(A663,'Tabela de Produtos'!A:B,2,0)</f>
        <v>BRAZIMIL LÁTEX STANDARD INT/EXT FOSCO 3L ACAI AMAZONICO</v>
      </c>
      <c r="C663" s="48" t="s">
        <v>1211</v>
      </c>
      <c r="D663" s="114" t="str">
        <f>VLOOKUP(C663,'Custos Matéria Prima Embalagens'!B:C,2,0)</f>
        <v>WHITE PLUS PB (SC-25) (Em negociação)</v>
      </c>
      <c r="E663" s="114" t="str">
        <f>VLOOKUP(C663,'Custos Matéria Prima Embalagens'!B:D,3,0)</f>
        <v>WHITE PLUS</v>
      </c>
      <c r="F663" s="270">
        <f t="shared" si="84"/>
        <v>1956</v>
      </c>
      <c r="G663" s="148">
        <f t="shared" si="85"/>
        <v>0.15337423312883436</v>
      </c>
      <c r="H663" s="96">
        <v>300</v>
      </c>
      <c r="I663" s="272">
        <f>ROUND(F663/VLOOKUP(A663,'Tabela de Produtos'!A:J,10,0),0)</f>
        <v>1540</v>
      </c>
      <c r="J663" s="97">
        <f>IFERROR(VLOOKUP(C663,'Custos Matéria Prima Embalagens'!B:G,6,0)*H663,"Matéria Prima Não Cadastrada")</f>
        <v>927</v>
      </c>
      <c r="K663" s="97">
        <f>IFERROR(J663/(I663/VLOOKUP(A663,'Tabela de Produtos'!A:H,8,0)),"Matéria Prima Não Cadastrada")</f>
        <v>1.8058441558441558</v>
      </c>
      <c r="L663" s="216"/>
    </row>
    <row r="664" spans="1:12" ht="15.75" customHeight="1">
      <c r="A664" s="114" t="s">
        <v>155</v>
      </c>
      <c r="B664" s="114" t="str">
        <f>VLOOKUP(A664,'Tabela de Produtos'!A:B,2,0)</f>
        <v>BRAZIMIL LÁTEX STANDARD INT/EXT FOSCO 3L ACAI AMAZONICO</v>
      </c>
      <c r="C664" s="48" t="s">
        <v>1213</v>
      </c>
      <c r="D664" s="114" t="str">
        <f>VLOOKUP(C664,'Custos Matéria Prima Embalagens'!B:C,2,0)</f>
        <v>DIOXIDO DE TITANIO RUTILO R-996</v>
      </c>
      <c r="E664" s="114" t="str">
        <f>VLOOKUP(C664,'Custos Matéria Prima Embalagens'!B:D,3,0)</f>
        <v>TITANIO</v>
      </c>
      <c r="F664" s="270">
        <f t="shared" si="84"/>
        <v>1956</v>
      </c>
      <c r="G664" s="148">
        <f t="shared" si="85"/>
        <v>3.0674846625766871E-2</v>
      </c>
      <c r="H664" s="96">
        <v>60</v>
      </c>
      <c r="I664" s="272">
        <f>ROUND(F664/VLOOKUP(A664,'Tabela de Produtos'!A:J,10,0),0)</f>
        <v>1540</v>
      </c>
      <c r="J664" s="97">
        <f>IFERROR(VLOOKUP(C664,'Custos Matéria Prima Embalagens'!B:G,6,0)*H664,"Matéria Prima Não Cadastrada")</f>
        <v>1158</v>
      </c>
      <c r="K664" s="97">
        <f>IFERROR(J664/(I664/VLOOKUP(A664,'Tabela de Produtos'!A:H,8,0)),"Matéria Prima Não Cadastrada")</f>
        <v>2.2558441558441555</v>
      </c>
      <c r="L664" s="216"/>
    </row>
    <row r="665" spans="1:12" ht="15.75" customHeight="1">
      <c r="A665" s="114" t="s">
        <v>155</v>
      </c>
      <c r="B665" s="114" t="str">
        <f>VLOOKUP(A665,'Tabela de Produtos'!A:B,2,0)</f>
        <v>BRAZIMIL LÁTEX STANDARD INT/EXT FOSCO 3L ACAI AMAZONICO</v>
      </c>
      <c r="C665" s="48" t="s">
        <v>1215</v>
      </c>
      <c r="D665" s="114" t="str">
        <f>VLOOKUP(C665,'Custos Matéria Prima Embalagens'!B:C,2,0)</f>
        <v>CALCARIO DOLOMITICO #500 ( SACOS 25 KG)</v>
      </c>
      <c r="E665" s="114" t="str">
        <f>VLOOKUP(C665,'Custos Matéria Prima Embalagens'!B:D,3,0)</f>
        <v>CARBONATO #500</v>
      </c>
      <c r="F665" s="270">
        <f t="shared" si="84"/>
        <v>1956</v>
      </c>
      <c r="G665" s="148">
        <f t="shared" si="85"/>
        <v>0.15337423312883436</v>
      </c>
      <c r="H665" s="96">
        <v>300</v>
      </c>
      <c r="I665" s="272">
        <f>ROUND(F665/VLOOKUP(A665,'Tabela de Produtos'!A:J,10,0),0)</f>
        <v>1540</v>
      </c>
      <c r="J665" s="97">
        <f>IFERROR(VLOOKUP(C665,'Custos Matéria Prima Embalagens'!B:G,6,0)*H665,"Matéria Prima Não Cadastrada")</f>
        <v>240</v>
      </c>
      <c r="K665" s="97">
        <f>IFERROR(J665/(I665/VLOOKUP(A665,'Tabela de Produtos'!A:H,8,0)),"Matéria Prima Não Cadastrada")</f>
        <v>0.46753246753246752</v>
      </c>
      <c r="L665" s="216"/>
    </row>
    <row r="666" spans="1:12" ht="15.75" customHeight="1">
      <c r="A666" s="114" t="s">
        <v>155</v>
      </c>
      <c r="B666" s="114" t="str">
        <f>VLOOKUP(A666,'Tabela de Produtos'!A:B,2,0)</f>
        <v>BRAZIMIL LÁTEX STANDARD INT/EXT FOSCO 3L ACAI AMAZONICO</v>
      </c>
      <c r="C666" s="48" t="s">
        <v>1227</v>
      </c>
      <c r="D666" s="114" t="str">
        <f>VLOOKUP(C666,'Custos Matéria Prima Embalagens'!B:C,2,0)</f>
        <v>CAULIM MALHA 325</v>
      </c>
      <c r="E666" s="114" t="str">
        <f>VLOOKUP(C666,'Custos Matéria Prima Embalagens'!B:D,3,0)</f>
        <v>caulim</v>
      </c>
      <c r="F666" s="270">
        <f t="shared" si="84"/>
        <v>1956</v>
      </c>
      <c r="G666" s="148">
        <f t="shared" si="85"/>
        <v>5.112474437627812E-2</v>
      </c>
      <c r="H666" s="96">
        <v>100</v>
      </c>
      <c r="I666" s="272">
        <f>ROUND(F666/VLOOKUP(A666,'Tabela de Produtos'!A:J,10,0),0)</f>
        <v>1540</v>
      </c>
      <c r="J666" s="97">
        <f>IFERROR(VLOOKUP(C666,'Custos Matéria Prima Embalagens'!B:G,6,0)*H666,"Matéria Prima Não Cadastrada")</f>
        <v>152.04955555555551</v>
      </c>
      <c r="K666" s="97">
        <f>IFERROR(J666/(I666/VLOOKUP(A666,'Tabela de Produtos'!A:H,8,0)),"Matéria Prima Não Cadastrada")</f>
        <v>0.2962004329004328</v>
      </c>
      <c r="L666" s="216"/>
    </row>
    <row r="667" spans="1:12" ht="15.75" customHeight="1">
      <c r="A667" s="114" t="s">
        <v>155</v>
      </c>
      <c r="B667" s="114" t="str">
        <f>VLOOKUP(A667,'Tabela de Produtos'!A:B,2,0)</f>
        <v>BRAZIMIL LÁTEX STANDARD INT/EXT FOSCO 3L ACAI AMAZONICO</v>
      </c>
      <c r="C667" s="48" t="s">
        <v>1217</v>
      </c>
      <c r="D667" s="114" t="str">
        <f>VLOOKUP(C667,'Custos Matéria Prima Embalagens'!B:C,2,0)</f>
        <v>WANCRIL W 51 CE (CT-1000P)</v>
      </c>
      <c r="E667" s="114" t="str">
        <f>VLOOKUP(C667,'Custos Matéria Prima Embalagens'!B:D,3,0)</f>
        <v>RESINA ACRILICA ESTIRENADA</v>
      </c>
      <c r="F667" s="270">
        <f t="shared" si="84"/>
        <v>1956</v>
      </c>
      <c r="G667" s="148">
        <f t="shared" si="85"/>
        <v>0.10224948875255624</v>
      </c>
      <c r="H667" s="96">
        <v>200</v>
      </c>
      <c r="I667" s="272">
        <f>ROUND(F667/VLOOKUP(A667,'Tabela de Produtos'!A:J,10,0),0)</f>
        <v>1540</v>
      </c>
      <c r="J667" s="97">
        <f>IFERROR(VLOOKUP(C667,'Custos Matéria Prima Embalagens'!B:G,6,0)*H667,"Matéria Prima Não Cadastrada")</f>
        <v>1686</v>
      </c>
      <c r="K667" s="97">
        <f>IFERROR(J667/(I667/VLOOKUP(A667,'Tabela de Produtos'!A:H,8,0)),"Matéria Prima Não Cadastrada")</f>
        <v>3.284415584415584</v>
      </c>
      <c r="L667" s="216"/>
    </row>
    <row r="668" spans="1:12" ht="15.75" customHeight="1">
      <c r="A668" s="114" t="s">
        <v>155</v>
      </c>
      <c r="B668" s="114" t="str">
        <f>VLOOKUP(A668,'Tabela de Produtos'!A:B,2,0)</f>
        <v>BRAZIMIL LÁTEX STANDARD INT/EXT FOSCO 3L ACAI AMAZONICO</v>
      </c>
      <c r="C668" s="48" t="s">
        <v>1219</v>
      </c>
      <c r="D668" s="114" t="str">
        <f>VLOOKUP(C668,'Custos Matéria Prima Embalagens'!B:C,2,0)</f>
        <v>WANALK 70 CE (BH-200)</v>
      </c>
      <c r="E668" s="114" t="str">
        <f>VLOOKUP(C668,'Custos Matéria Prima Embalagens'!B:D,3,0)</f>
        <v>ALCALINIZANTE</v>
      </c>
      <c r="F668" s="270">
        <f t="shared" si="84"/>
        <v>1956</v>
      </c>
      <c r="G668" s="148">
        <f t="shared" si="85"/>
        <v>2.5562372188139061E-3</v>
      </c>
      <c r="H668" s="96">
        <v>5</v>
      </c>
      <c r="I668" s="272">
        <f>ROUND(F668/VLOOKUP(A668,'Tabela de Produtos'!A:J,10,0),0)</f>
        <v>1540</v>
      </c>
      <c r="J668" s="97">
        <f>IFERROR(VLOOKUP(C668,'Custos Matéria Prima Embalagens'!B:G,6,0)*H668,"Matéria Prima Não Cadastrada")</f>
        <v>24.900000000000002</v>
      </c>
      <c r="K668" s="97">
        <f>IFERROR(J668/(I668/VLOOKUP(A668,'Tabela de Produtos'!A:H,8,0)),"Matéria Prima Não Cadastrada")</f>
        <v>4.8506493506493505E-2</v>
      </c>
      <c r="L668" s="216"/>
    </row>
    <row r="669" spans="1:12" ht="15.75" customHeight="1">
      <c r="A669" s="114" t="s">
        <v>155</v>
      </c>
      <c r="B669" s="114" t="str">
        <f>VLOOKUP(A669,'Tabela de Produtos'!A:B,2,0)</f>
        <v>BRAZIMIL LÁTEX STANDARD INT/EXT FOSCO 3L ACAI AMAZONICO</v>
      </c>
      <c r="C669" s="48" t="s">
        <v>1221</v>
      </c>
      <c r="D669" s="114" t="str">
        <f>VLOOKUP(C669,'Custos Matéria Prima Embalagens'!B:C,2,0)</f>
        <v>MODIWAN 105H CE (CT-1000P)</v>
      </c>
      <c r="E669" s="114" t="str">
        <f>VLOOKUP(C669,'Custos Matéria Prima Embalagens'!B:D,3,0)</f>
        <v>ESPESSANTE DE MEDIA</v>
      </c>
      <c r="F669" s="270">
        <f t="shared" si="84"/>
        <v>1956</v>
      </c>
      <c r="G669" s="148">
        <f t="shared" si="85"/>
        <v>1.0224948875255624E-2</v>
      </c>
      <c r="H669" s="96">
        <v>20</v>
      </c>
      <c r="I669" s="272">
        <f>ROUND(F669/VLOOKUP(A669,'Tabela de Produtos'!A:J,10,0),0)</f>
        <v>1540</v>
      </c>
      <c r="J669" s="97">
        <f>IFERROR(VLOOKUP(C669,'Custos Matéria Prima Embalagens'!B:G,6,0)*H669,"Matéria Prima Não Cadastrada")</f>
        <v>158.1</v>
      </c>
      <c r="K669" s="97">
        <f>IFERROR(J669/(I669/VLOOKUP(A669,'Tabela de Produtos'!A:H,8,0)),"Matéria Prima Não Cadastrada")</f>
        <v>0.30798701298701298</v>
      </c>
      <c r="L669" s="216"/>
    </row>
    <row r="670" spans="1:12" ht="15.75" customHeight="1">
      <c r="A670" s="114" t="s">
        <v>155</v>
      </c>
      <c r="B670" s="114" t="str">
        <f>VLOOKUP(A670,'Tabela de Produtos'!A:B,2,0)</f>
        <v>BRAZIMIL LÁTEX STANDARD INT/EXT FOSCO 3L ACAI AMAZONICO</v>
      </c>
      <c r="C670" s="48" t="s">
        <v>1223</v>
      </c>
      <c r="D670" s="114" t="str">
        <f>VLOOKUP(C670,'Custos Matéria Prima Embalagens'!B:C,2,0)</f>
        <v>TURBOWAN H CE (BH-200)</v>
      </c>
      <c r="E670" s="114" t="str">
        <f>VLOOKUP(C670,'Custos Matéria Prima Embalagens'!B:D,3,0)</f>
        <v>PROMOTOR DE LAVABILIDADE</v>
      </c>
      <c r="F670" s="270">
        <f t="shared" si="84"/>
        <v>1956</v>
      </c>
      <c r="G670" s="148">
        <f t="shared" si="85"/>
        <v>7.6687116564417178E-3</v>
      </c>
      <c r="H670" s="96">
        <v>15</v>
      </c>
      <c r="I670" s="272">
        <f>ROUND(F670/VLOOKUP(A670,'Tabela de Produtos'!A:J,10,0),0)</f>
        <v>1540</v>
      </c>
      <c r="J670" s="97">
        <f>IFERROR(VLOOKUP(C670,'Custos Matéria Prima Embalagens'!B:G,6,0)*H670,"Matéria Prima Não Cadastrada")</f>
        <v>72.75</v>
      </c>
      <c r="K670" s="97">
        <f>IFERROR(J670/(I670/VLOOKUP(A670,'Tabela de Produtos'!A:H,8,0)),"Matéria Prima Não Cadastrada")</f>
        <v>0.14172077922077922</v>
      </c>
      <c r="L670" s="216"/>
    </row>
    <row r="671" spans="1:12" ht="15.75" customHeight="1">
      <c r="A671" s="114" t="s">
        <v>155</v>
      </c>
      <c r="B671" s="114" t="str">
        <f>VLOOKUP(A671,'Tabela de Produtos'!A:B,2,0)</f>
        <v>BRAZIMIL LÁTEX STANDARD INT/EXT FOSCO 3L ACAI AMAZONICO</v>
      </c>
      <c r="C671" s="48" t="s">
        <v>1229</v>
      </c>
      <c r="D671" s="114" t="str">
        <f>VLOOKUP(C671,'Custos Matéria Prima Embalagens'!B:C,2,0)</f>
        <v>WANSOL 340 CE (BB-200)</v>
      </c>
      <c r="E671" s="114" t="str">
        <f>VLOOKUP(C671,'Custos Matéria Prima Embalagens'!B:D,3,0)</f>
        <v>COALESCENTE</v>
      </c>
      <c r="F671" s="270">
        <f t="shared" si="84"/>
        <v>1956</v>
      </c>
      <c r="G671" s="148">
        <f t="shared" si="85"/>
        <v>5.1124744376278121E-3</v>
      </c>
      <c r="H671" s="96">
        <v>10</v>
      </c>
      <c r="I671" s="272">
        <f>ROUND(F671/VLOOKUP(A671,'Tabela de Produtos'!A:J,10,0),0)</f>
        <v>1540</v>
      </c>
      <c r="J671" s="97">
        <f>IFERROR(VLOOKUP(C671,'Custos Matéria Prima Embalagens'!B:G,6,0)*H671,"Matéria Prima Não Cadastrada")</f>
        <v>192.2</v>
      </c>
      <c r="K671" s="97">
        <f>IFERROR(J671/(I671/VLOOKUP(A671,'Tabela de Produtos'!A:H,8,0)),"Matéria Prima Não Cadastrada")</f>
        <v>0.37441558441558437</v>
      </c>
      <c r="L671" s="216"/>
    </row>
    <row r="672" spans="1:12" ht="15.75" customHeight="1">
      <c r="D672" s="114"/>
      <c r="E672" s="114"/>
      <c r="F672" s="96"/>
      <c r="G672" s="148"/>
      <c r="H672" s="96"/>
      <c r="I672" s="272"/>
      <c r="J672" s="97"/>
      <c r="K672" s="97"/>
      <c r="L672" s="216"/>
    </row>
    <row r="673" spans="1:12" ht="15.75" customHeight="1">
      <c r="A673" s="114" t="s">
        <v>156</v>
      </c>
      <c r="B673" s="114" t="str">
        <f>VLOOKUP(A673,'Tabela de Produtos'!A:B,2,0)</f>
        <v>BRAZIMIL LÁTEX STANDARD INT/EXT FOSCO 3L VERDE FOLHA</v>
      </c>
      <c r="C673" s="48" t="s">
        <v>1197</v>
      </c>
      <c r="D673" s="114" t="str">
        <f>VLOOKUP(C673,'Custos Matéria Prima Embalagens'!B:C,2,0)</f>
        <v>AGUA</v>
      </c>
      <c r="E673" s="114" t="str">
        <f>VLOOKUP(C673,'Custos Matéria Prima Embalagens'!B:D,3,0)</f>
        <v>AGUA</v>
      </c>
      <c r="F673" s="270">
        <f t="shared" ref="F673:F687" si="86">SUMIFS(H:H,A:A,A673)</f>
        <v>1956</v>
      </c>
      <c r="G673" s="148">
        <f t="shared" ref="G673:G687" si="87">H673/F673</f>
        <v>0.47034764826175868</v>
      </c>
      <c r="H673" s="96">
        <v>920</v>
      </c>
      <c r="I673" s="272">
        <f>ROUND(F673/VLOOKUP(A673,'Tabela de Produtos'!A:J,10,0),0)</f>
        <v>1540</v>
      </c>
      <c r="J673" s="97">
        <f>IFERROR(VLOOKUP(C673,'Custos Matéria Prima Embalagens'!B:G,6,0)*H673,"Matéria Prima Não Cadastrada")</f>
        <v>0</v>
      </c>
      <c r="K673" s="97">
        <f>IFERROR(J673/(I673/VLOOKUP(A673,'Tabela de Produtos'!A:H,8,0)),"Matéria Prima Não Cadastrada")</f>
        <v>0</v>
      </c>
      <c r="L673" s="216"/>
    </row>
    <row r="674" spans="1:12" ht="15.75" customHeight="1">
      <c r="A674" s="114" t="s">
        <v>156</v>
      </c>
      <c r="B674" s="114" t="str">
        <f>VLOOKUP(A674,'Tabela de Produtos'!A:B,2,0)</f>
        <v>BRAZIMIL LÁTEX STANDARD INT/EXT FOSCO 3L VERDE FOLHA</v>
      </c>
      <c r="C674" s="48" t="s">
        <v>1201</v>
      </c>
      <c r="D674" s="114" t="str">
        <f>VLOOKUP(C674,'Custos Matéria Prima Embalagens'!B:C,2,0)</f>
        <v>WANFOAM 528 CE (BB-190)</v>
      </c>
      <c r="E674" s="114" t="str">
        <f>VLOOKUP(C674,'Custos Matéria Prima Embalagens'!B:D,3,0)</f>
        <v>ANTI ESPUMA LATEX</v>
      </c>
      <c r="F674" s="270">
        <f t="shared" si="86"/>
        <v>1956</v>
      </c>
      <c r="G674" s="148">
        <f t="shared" si="87"/>
        <v>2.5562372188139061E-3</v>
      </c>
      <c r="H674" s="96">
        <v>5</v>
      </c>
      <c r="I674" s="272">
        <f>ROUND(F674/VLOOKUP(A674,'Tabela de Produtos'!A:J,10,0),0)</f>
        <v>1540</v>
      </c>
      <c r="J674" s="97">
        <f>IFERROR(VLOOKUP(C674,'Custos Matéria Prima Embalagens'!B:G,6,0)*H674,"Matéria Prima Não Cadastrada")</f>
        <v>35.9</v>
      </c>
      <c r="K674" s="97">
        <f>IFERROR(J674/(I674/VLOOKUP(A674,'Tabela de Produtos'!A:H,8,0)),"Matéria Prima Não Cadastrada")</f>
        <v>6.9935064935064933E-2</v>
      </c>
      <c r="L674" s="216"/>
    </row>
    <row r="675" spans="1:12" ht="15.75" customHeight="1">
      <c r="A675" s="114" t="s">
        <v>156</v>
      </c>
      <c r="B675" s="114" t="str">
        <f>VLOOKUP(A675,'Tabela de Produtos'!A:B,2,0)</f>
        <v>BRAZIMIL LÁTEX STANDARD INT/EXT FOSCO 3L VERDE FOLHA</v>
      </c>
      <c r="C675" s="48" t="s">
        <v>1203</v>
      </c>
      <c r="D675" s="114" t="str">
        <f>VLOOKUP(C675,'Custos Matéria Prima Embalagens'!B:C,2,0)</f>
        <v>WANBAC WBT CE (BH-200)</v>
      </c>
      <c r="E675" s="114" t="str">
        <f>VLOOKUP(C675,'Custos Matéria Prima Embalagens'!B:D,3,0)</f>
        <v>BACTERICIDA</v>
      </c>
      <c r="F675" s="270">
        <f t="shared" si="86"/>
        <v>1956</v>
      </c>
      <c r="G675" s="148">
        <f t="shared" si="87"/>
        <v>3.0674846625766872E-3</v>
      </c>
      <c r="H675" s="96">
        <v>6</v>
      </c>
      <c r="I675" s="272">
        <f>ROUND(F675/VLOOKUP(A675,'Tabela de Produtos'!A:J,10,0),0)</f>
        <v>1540</v>
      </c>
      <c r="J675" s="97">
        <f>IFERROR(VLOOKUP(C675,'Custos Matéria Prima Embalagens'!B:G,6,0)*H675,"Matéria Prima Não Cadastrada")</f>
        <v>29.639999999999997</v>
      </c>
      <c r="K675" s="97">
        <f>IFERROR(J675/(I675/VLOOKUP(A675,'Tabela de Produtos'!A:H,8,0)),"Matéria Prima Não Cadastrada")</f>
        <v>5.7740259740259731E-2</v>
      </c>
      <c r="L675" s="216"/>
    </row>
    <row r="676" spans="1:12" ht="15.75" customHeight="1">
      <c r="A676" s="114" t="s">
        <v>156</v>
      </c>
      <c r="B676" s="114" t="str">
        <f>VLOOKUP(A676,'Tabela de Produtos'!A:B,2,0)</f>
        <v>BRAZIMIL LÁTEX STANDARD INT/EXT FOSCO 3L VERDE FOLHA</v>
      </c>
      <c r="C676" s="48" t="s">
        <v>1205</v>
      </c>
      <c r="D676" s="114" t="str">
        <f>VLOOKUP(C676,'Custos Matéria Prima Embalagens'!B:C,2,0)</f>
        <v>WANSUR 840 CE (BB-200)01</v>
      </c>
      <c r="E676" s="114" t="str">
        <f>VLOOKUP(C676,'Custos Matéria Prima Embalagens'!B:D,3,0)</f>
        <v>UMECTANTE</v>
      </c>
      <c r="F676" s="270">
        <f t="shared" si="86"/>
        <v>1956</v>
      </c>
      <c r="G676" s="148">
        <f t="shared" si="87"/>
        <v>2.0449897750511249E-3</v>
      </c>
      <c r="H676" s="96">
        <v>4</v>
      </c>
      <c r="I676" s="272">
        <f>ROUND(F676/VLOOKUP(A676,'Tabela de Produtos'!A:J,10,0),0)</f>
        <v>1540</v>
      </c>
      <c r="J676" s="97">
        <f>IFERROR(VLOOKUP(C676,'Custos Matéria Prima Embalagens'!B:G,6,0)*H676,"Matéria Prima Não Cadastrada")</f>
        <v>29.32</v>
      </c>
      <c r="K676" s="97">
        <f>IFERROR(J676/(I676/VLOOKUP(A676,'Tabela de Produtos'!A:H,8,0)),"Matéria Prima Não Cadastrada")</f>
        <v>5.7116883116883115E-2</v>
      </c>
      <c r="L676" s="216"/>
    </row>
    <row r="677" spans="1:12" ht="15.75" customHeight="1">
      <c r="A677" s="114" t="s">
        <v>156</v>
      </c>
      <c r="B677" s="114" t="str">
        <f>VLOOKUP(A677,'Tabela de Produtos'!A:B,2,0)</f>
        <v>BRAZIMIL LÁTEX STANDARD INT/EXT FOSCO 3L VERDE FOLHA</v>
      </c>
      <c r="C677" s="48" t="s">
        <v>1207</v>
      </c>
      <c r="D677" s="114" t="str">
        <f>VLOOKUP(C677,'Custos Matéria Prima Embalagens'!B:C,2,0)</f>
        <v>WANPEX 1510 (BB-200)</v>
      </c>
      <c r="E677" s="114" t="str">
        <f>VLOOKUP(C677,'Custos Matéria Prima Embalagens'!B:D,3,0)</f>
        <v>DISPERSANTE LATEX</v>
      </c>
      <c r="F677" s="270">
        <f t="shared" si="86"/>
        <v>1956</v>
      </c>
      <c r="G677" s="148">
        <f t="shared" si="87"/>
        <v>3.0674846625766872E-3</v>
      </c>
      <c r="H677" s="96">
        <v>6</v>
      </c>
      <c r="I677" s="272">
        <f>ROUND(F677/VLOOKUP(A677,'Tabela de Produtos'!A:J,10,0),0)</f>
        <v>1540</v>
      </c>
      <c r="J677" s="97">
        <f>IFERROR(VLOOKUP(C677,'Custos Matéria Prima Embalagens'!B:G,6,0)*H677,"Matéria Prima Não Cadastrada")</f>
        <v>41.16</v>
      </c>
      <c r="K677" s="97">
        <f>IFERROR(J677/(I677/VLOOKUP(A677,'Tabela de Produtos'!A:H,8,0)),"Matéria Prima Não Cadastrada")</f>
        <v>8.0181818181818174E-2</v>
      </c>
      <c r="L677" s="216"/>
    </row>
    <row r="678" spans="1:12" ht="15.75" customHeight="1">
      <c r="A678" s="114" t="s">
        <v>156</v>
      </c>
      <c r="B678" s="114" t="str">
        <f>VLOOKUP(A678,'Tabela de Produtos'!A:B,2,0)</f>
        <v>BRAZIMIL LÁTEX STANDARD INT/EXT FOSCO 3L VERDE FOLHA</v>
      </c>
      <c r="C678" s="48" t="s">
        <v>1209</v>
      </c>
      <c r="D678" s="114" t="str">
        <f>VLOOKUP(C678,'Custos Matéria Prima Embalagens'!B:C,2,0)</f>
        <v>WANFUNG WFT CE (BH-200)</v>
      </c>
      <c r="E678" s="114" t="str">
        <f>VLOOKUP(C678,'Custos Matéria Prima Embalagens'!B:D,3,0)</f>
        <v>FUNGICIDA</v>
      </c>
      <c r="F678" s="270">
        <f t="shared" si="86"/>
        <v>1956</v>
      </c>
      <c r="G678" s="148">
        <f t="shared" si="87"/>
        <v>2.5562372188139061E-3</v>
      </c>
      <c r="H678" s="96">
        <v>5</v>
      </c>
      <c r="I678" s="272">
        <f>ROUND(F678/VLOOKUP(A678,'Tabela de Produtos'!A:J,10,0),0)</f>
        <v>1540</v>
      </c>
      <c r="J678" s="97">
        <f>IFERROR(VLOOKUP(C678,'Custos Matéria Prima Embalagens'!B:G,6,0)*H678,"Matéria Prima Não Cadastrada")</f>
        <v>35</v>
      </c>
      <c r="K678" s="97">
        <f>IFERROR(J678/(I678/VLOOKUP(A678,'Tabela de Produtos'!A:H,8,0)),"Matéria Prima Não Cadastrada")</f>
        <v>6.8181818181818177E-2</v>
      </c>
      <c r="L678" s="216"/>
    </row>
    <row r="679" spans="1:12" ht="15.75" customHeight="1">
      <c r="A679" s="114" t="s">
        <v>156</v>
      </c>
      <c r="B679" s="114" t="str">
        <f>VLOOKUP(A679,'Tabela de Produtos'!A:B,2,0)</f>
        <v>BRAZIMIL LÁTEX STANDARD INT/EXT FOSCO 3L VERDE FOLHA</v>
      </c>
      <c r="C679" s="48" t="s">
        <v>1211</v>
      </c>
      <c r="D679" s="114" t="str">
        <f>VLOOKUP(C679,'Custos Matéria Prima Embalagens'!B:C,2,0)</f>
        <v>WHITE PLUS PB (SC-25) (Em negociação)</v>
      </c>
      <c r="E679" s="114" t="str">
        <f>VLOOKUP(C679,'Custos Matéria Prima Embalagens'!B:D,3,0)</f>
        <v>WHITE PLUS</v>
      </c>
      <c r="F679" s="270">
        <f t="shared" si="86"/>
        <v>1956</v>
      </c>
      <c r="G679" s="148">
        <f t="shared" si="87"/>
        <v>0.15337423312883436</v>
      </c>
      <c r="H679" s="96">
        <v>300</v>
      </c>
      <c r="I679" s="272">
        <f>ROUND(F679/VLOOKUP(A679,'Tabela de Produtos'!A:J,10,0),0)</f>
        <v>1540</v>
      </c>
      <c r="J679" s="97">
        <f>IFERROR(VLOOKUP(C679,'Custos Matéria Prima Embalagens'!B:G,6,0)*H679,"Matéria Prima Não Cadastrada")</f>
        <v>927</v>
      </c>
      <c r="K679" s="97">
        <f>IFERROR(J679/(I679/VLOOKUP(A679,'Tabela de Produtos'!A:H,8,0)),"Matéria Prima Não Cadastrada")</f>
        <v>1.8058441558441558</v>
      </c>
      <c r="L679" s="216"/>
    </row>
    <row r="680" spans="1:12" ht="15.75" customHeight="1">
      <c r="A680" s="114" t="s">
        <v>156</v>
      </c>
      <c r="B680" s="114" t="str">
        <f>VLOOKUP(A680,'Tabela de Produtos'!A:B,2,0)</f>
        <v>BRAZIMIL LÁTEX STANDARD INT/EXT FOSCO 3L VERDE FOLHA</v>
      </c>
      <c r="C680" s="48" t="s">
        <v>1213</v>
      </c>
      <c r="D680" s="114" t="str">
        <f>VLOOKUP(C680,'Custos Matéria Prima Embalagens'!B:C,2,0)</f>
        <v>DIOXIDO DE TITANIO RUTILO R-996</v>
      </c>
      <c r="E680" s="114" t="str">
        <f>VLOOKUP(C680,'Custos Matéria Prima Embalagens'!B:D,3,0)</f>
        <v>TITANIO</v>
      </c>
      <c r="F680" s="270">
        <f t="shared" si="86"/>
        <v>1956</v>
      </c>
      <c r="G680" s="148">
        <f t="shared" si="87"/>
        <v>3.0674846625766871E-2</v>
      </c>
      <c r="H680" s="96">
        <v>60</v>
      </c>
      <c r="I680" s="272">
        <f>ROUND(F680/VLOOKUP(A680,'Tabela de Produtos'!A:J,10,0),0)</f>
        <v>1540</v>
      </c>
      <c r="J680" s="97">
        <f>IFERROR(VLOOKUP(C680,'Custos Matéria Prima Embalagens'!B:G,6,0)*H680,"Matéria Prima Não Cadastrada")</f>
        <v>1158</v>
      </c>
      <c r="K680" s="97">
        <f>IFERROR(J680/(I680/VLOOKUP(A680,'Tabela de Produtos'!A:H,8,0)),"Matéria Prima Não Cadastrada")</f>
        <v>2.2558441558441555</v>
      </c>
      <c r="L680" s="216"/>
    </row>
    <row r="681" spans="1:12" ht="15.75" customHeight="1">
      <c r="A681" s="114" t="s">
        <v>156</v>
      </c>
      <c r="B681" s="114" t="str">
        <f>VLOOKUP(A681,'Tabela de Produtos'!A:B,2,0)</f>
        <v>BRAZIMIL LÁTEX STANDARD INT/EXT FOSCO 3L VERDE FOLHA</v>
      </c>
      <c r="C681" s="48" t="s">
        <v>1215</v>
      </c>
      <c r="D681" s="114" t="str">
        <f>VLOOKUP(C681,'Custos Matéria Prima Embalagens'!B:C,2,0)</f>
        <v>CALCARIO DOLOMITICO #500 ( SACOS 25 KG)</v>
      </c>
      <c r="E681" s="114" t="str">
        <f>VLOOKUP(C681,'Custos Matéria Prima Embalagens'!B:D,3,0)</f>
        <v>CARBONATO #500</v>
      </c>
      <c r="F681" s="270">
        <f t="shared" si="86"/>
        <v>1956</v>
      </c>
      <c r="G681" s="148">
        <f t="shared" si="87"/>
        <v>0.15337423312883436</v>
      </c>
      <c r="H681" s="96">
        <v>300</v>
      </c>
      <c r="I681" s="272">
        <f>ROUND(F681/VLOOKUP(A681,'Tabela de Produtos'!A:J,10,0),0)</f>
        <v>1540</v>
      </c>
      <c r="J681" s="97">
        <f>IFERROR(VLOOKUP(C681,'Custos Matéria Prima Embalagens'!B:G,6,0)*H681,"Matéria Prima Não Cadastrada")</f>
        <v>240</v>
      </c>
      <c r="K681" s="97">
        <f>IFERROR(J681/(I681/VLOOKUP(A681,'Tabela de Produtos'!A:H,8,0)),"Matéria Prima Não Cadastrada")</f>
        <v>0.46753246753246752</v>
      </c>
      <c r="L681" s="216"/>
    </row>
    <row r="682" spans="1:12" ht="15.75" customHeight="1">
      <c r="A682" s="114" t="s">
        <v>156</v>
      </c>
      <c r="B682" s="114" t="str">
        <f>VLOOKUP(A682,'Tabela de Produtos'!A:B,2,0)</f>
        <v>BRAZIMIL LÁTEX STANDARD INT/EXT FOSCO 3L VERDE FOLHA</v>
      </c>
      <c r="C682" s="48" t="s">
        <v>1227</v>
      </c>
      <c r="D682" s="114" t="str">
        <f>VLOOKUP(C682,'Custos Matéria Prima Embalagens'!B:C,2,0)</f>
        <v>CAULIM MALHA 325</v>
      </c>
      <c r="E682" s="114" t="str">
        <f>VLOOKUP(C682,'Custos Matéria Prima Embalagens'!B:D,3,0)</f>
        <v>caulim</v>
      </c>
      <c r="F682" s="270">
        <f t="shared" si="86"/>
        <v>1956</v>
      </c>
      <c r="G682" s="148">
        <f t="shared" si="87"/>
        <v>5.112474437627812E-2</v>
      </c>
      <c r="H682" s="96">
        <v>100</v>
      </c>
      <c r="I682" s="272">
        <f>ROUND(F682/VLOOKUP(A682,'Tabela de Produtos'!A:J,10,0),0)</f>
        <v>1540</v>
      </c>
      <c r="J682" s="97">
        <f>IFERROR(VLOOKUP(C682,'Custos Matéria Prima Embalagens'!B:G,6,0)*H682,"Matéria Prima Não Cadastrada")</f>
        <v>152.04955555555551</v>
      </c>
      <c r="K682" s="97">
        <f>IFERROR(J682/(I682/VLOOKUP(A682,'Tabela de Produtos'!A:H,8,0)),"Matéria Prima Não Cadastrada")</f>
        <v>0.2962004329004328</v>
      </c>
      <c r="L682" s="216"/>
    </row>
    <row r="683" spans="1:12" ht="15.75" customHeight="1">
      <c r="A683" s="114" t="s">
        <v>156</v>
      </c>
      <c r="B683" s="114" t="str">
        <f>VLOOKUP(A683,'Tabela de Produtos'!A:B,2,0)</f>
        <v>BRAZIMIL LÁTEX STANDARD INT/EXT FOSCO 3L VERDE FOLHA</v>
      </c>
      <c r="C683" s="48" t="s">
        <v>1217</v>
      </c>
      <c r="D683" s="114" t="str">
        <f>VLOOKUP(C683,'Custos Matéria Prima Embalagens'!B:C,2,0)</f>
        <v>WANCRIL W 51 CE (CT-1000P)</v>
      </c>
      <c r="E683" s="114" t="str">
        <f>VLOOKUP(C683,'Custos Matéria Prima Embalagens'!B:D,3,0)</f>
        <v>RESINA ACRILICA ESTIRENADA</v>
      </c>
      <c r="F683" s="270">
        <f t="shared" si="86"/>
        <v>1956</v>
      </c>
      <c r="G683" s="148">
        <f t="shared" si="87"/>
        <v>0.10224948875255624</v>
      </c>
      <c r="H683" s="96">
        <v>200</v>
      </c>
      <c r="I683" s="272">
        <f>ROUND(F683/VLOOKUP(A683,'Tabela de Produtos'!A:J,10,0),0)</f>
        <v>1540</v>
      </c>
      <c r="J683" s="97">
        <f>IFERROR(VLOOKUP(C683,'Custos Matéria Prima Embalagens'!B:G,6,0)*H683,"Matéria Prima Não Cadastrada")</f>
        <v>1686</v>
      </c>
      <c r="K683" s="97">
        <f>IFERROR(J683/(I683/VLOOKUP(A683,'Tabela de Produtos'!A:H,8,0)),"Matéria Prima Não Cadastrada")</f>
        <v>3.284415584415584</v>
      </c>
      <c r="L683" s="216"/>
    </row>
    <row r="684" spans="1:12" ht="15.75" customHeight="1">
      <c r="A684" s="114" t="s">
        <v>156</v>
      </c>
      <c r="B684" s="114" t="str">
        <f>VLOOKUP(A684,'Tabela de Produtos'!A:B,2,0)</f>
        <v>BRAZIMIL LÁTEX STANDARD INT/EXT FOSCO 3L VERDE FOLHA</v>
      </c>
      <c r="C684" s="48" t="s">
        <v>1219</v>
      </c>
      <c r="D684" s="114" t="str">
        <f>VLOOKUP(C684,'Custos Matéria Prima Embalagens'!B:C,2,0)</f>
        <v>WANALK 70 CE (BH-200)</v>
      </c>
      <c r="E684" s="114" t="str">
        <f>VLOOKUP(C684,'Custos Matéria Prima Embalagens'!B:D,3,0)</f>
        <v>ALCALINIZANTE</v>
      </c>
      <c r="F684" s="270">
        <f t="shared" si="86"/>
        <v>1956</v>
      </c>
      <c r="G684" s="148">
        <f t="shared" si="87"/>
        <v>2.5562372188139061E-3</v>
      </c>
      <c r="H684" s="96">
        <v>5</v>
      </c>
      <c r="I684" s="272">
        <f>ROUND(F684/VLOOKUP(A684,'Tabela de Produtos'!A:J,10,0),0)</f>
        <v>1540</v>
      </c>
      <c r="J684" s="97">
        <f>IFERROR(VLOOKUP(C684,'Custos Matéria Prima Embalagens'!B:G,6,0)*H684,"Matéria Prima Não Cadastrada")</f>
        <v>24.900000000000002</v>
      </c>
      <c r="K684" s="97">
        <f>IFERROR(J684/(I684/VLOOKUP(A684,'Tabela de Produtos'!A:H,8,0)),"Matéria Prima Não Cadastrada")</f>
        <v>4.8506493506493505E-2</v>
      </c>
      <c r="L684" s="216"/>
    </row>
    <row r="685" spans="1:12" ht="15.75" customHeight="1">
      <c r="A685" s="114" t="s">
        <v>156</v>
      </c>
      <c r="B685" s="114" t="str">
        <f>VLOOKUP(A685,'Tabela de Produtos'!A:B,2,0)</f>
        <v>BRAZIMIL LÁTEX STANDARD INT/EXT FOSCO 3L VERDE FOLHA</v>
      </c>
      <c r="C685" s="48" t="s">
        <v>1221</v>
      </c>
      <c r="D685" s="114" t="str">
        <f>VLOOKUP(C685,'Custos Matéria Prima Embalagens'!B:C,2,0)</f>
        <v>MODIWAN 105H CE (CT-1000P)</v>
      </c>
      <c r="E685" s="114" t="str">
        <f>VLOOKUP(C685,'Custos Matéria Prima Embalagens'!B:D,3,0)</f>
        <v>ESPESSANTE DE MEDIA</v>
      </c>
      <c r="F685" s="270">
        <f t="shared" si="86"/>
        <v>1956</v>
      </c>
      <c r="G685" s="148">
        <f t="shared" si="87"/>
        <v>1.0224948875255624E-2</v>
      </c>
      <c r="H685" s="96">
        <v>20</v>
      </c>
      <c r="I685" s="272">
        <f>ROUND(F685/VLOOKUP(A685,'Tabela de Produtos'!A:J,10,0),0)</f>
        <v>1540</v>
      </c>
      <c r="J685" s="97">
        <f>IFERROR(VLOOKUP(C685,'Custos Matéria Prima Embalagens'!B:G,6,0)*H685,"Matéria Prima Não Cadastrada")</f>
        <v>158.1</v>
      </c>
      <c r="K685" s="97">
        <f>IFERROR(J685/(I685/VLOOKUP(A685,'Tabela de Produtos'!A:H,8,0)),"Matéria Prima Não Cadastrada")</f>
        <v>0.30798701298701298</v>
      </c>
      <c r="L685" s="216"/>
    </row>
    <row r="686" spans="1:12" ht="15.75" customHeight="1">
      <c r="A686" s="114" t="s">
        <v>156</v>
      </c>
      <c r="B686" s="114" t="str">
        <f>VLOOKUP(A686,'Tabela de Produtos'!A:B,2,0)</f>
        <v>BRAZIMIL LÁTEX STANDARD INT/EXT FOSCO 3L VERDE FOLHA</v>
      </c>
      <c r="C686" s="48" t="s">
        <v>1223</v>
      </c>
      <c r="D686" s="114" t="str">
        <f>VLOOKUP(C686,'Custos Matéria Prima Embalagens'!B:C,2,0)</f>
        <v>TURBOWAN H CE (BH-200)</v>
      </c>
      <c r="E686" s="114" t="str">
        <f>VLOOKUP(C686,'Custos Matéria Prima Embalagens'!B:D,3,0)</f>
        <v>PROMOTOR DE LAVABILIDADE</v>
      </c>
      <c r="F686" s="270">
        <f t="shared" si="86"/>
        <v>1956</v>
      </c>
      <c r="G686" s="148">
        <f t="shared" si="87"/>
        <v>7.6687116564417178E-3</v>
      </c>
      <c r="H686" s="96">
        <v>15</v>
      </c>
      <c r="I686" s="272">
        <f>ROUND(F686/VLOOKUP(A686,'Tabela de Produtos'!A:J,10,0),0)</f>
        <v>1540</v>
      </c>
      <c r="J686" s="97">
        <f>IFERROR(VLOOKUP(C686,'Custos Matéria Prima Embalagens'!B:G,6,0)*H686,"Matéria Prima Não Cadastrada")</f>
        <v>72.75</v>
      </c>
      <c r="K686" s="97">
        <f>IFERROR(J686/(I686/VLOOKUP(A686,'Tabela de Produtos'!A:H,8,0)),"Matéria Prima Não Cadastrada")</f>
        <v>0.14172077922077922</v>
      </c>
      <c r="L686" s="216"/>
    </row>
    <row r="687" spans="1:12" ht="15.75" customHeight="1">
      <c r="A687" s="114" t="s">
        <v>156</v>
      </c>
      <c r="B687" s="114" t="str">
        <f>VLOOKUP(A687,'Tabela de Produtos'!A:B,2,0)</f>
        <v>BRAZIMIL LÁTEX STANDARD INT/EXT FOSCO 3L VERDE FOLHA</v>
      </c>
      <c r="C687" s="48" t="s">
        <v>1229</v>
      </c>
      <c r="D687" s="114" t="str">
        <f>VLOOKUP(C687,'Custos Matéria Prima Embalagens'!B:C,2,0)</f>
        <v>WANSOL 340 CE (BB-200)</v>
      </c>
      <c r="E687" s="114" t="str">
        <f>VLOOKUP(C687,'Custos Matéria Prima Embalagens'!B:D,3,0)</f>
        <v>COALESCENTE</v>
      </c>
      <c r="F687" s="270">
        <f t="shared" si="86"/>
        <v>1956</v>
      </c>
      <c r="G687" s="148">
        <f t="shared" si="87"/>
        <v>5.1124744376278121E-3</v>
      </c>
      <c r="H687" s="96">
        <v>10</v>
      </c>
      <c r="I687" s="272">
        <f>ROUND(F687/VLOOKUP(A687,'Tabela de Produtos'!A:J,10,0),0)</f>
        <v>1540</v>
      </c>
      <c r="J687" s="97">
        <f>IFERROR(VLOOKUP(C687,'Custos Matéria Prima Embalagens'!B:G,6,0)*H687,"Matéria Prima Não Cadastrada")</f>
        <v>192.2</v>
      </c>
      <c r="K687" s="97">
        <f>IFERROR(J687/(I687/VLOOKUP(A687,'Tabela de Produtos'!A:H,8,0)),"Matéria Prima Não Cadastrada")</f>
        <v>0.37441558441558437</v>
      </c>
      <c r="L687" s="216"/>
    </row>
    <row r="688" spans="1:12" ht="15.75" customHeight="1">
      <c r="D688" s="114"/>
      <c r="E688" s="114"/>
      <c r="F688" s="96"/>
      <c r="G688" s="148"/>
      <c r="H688" s="96"/>
      <c r="I688" s="272"/>
      <c r="J688" s="97"/>
      <c r="K688" s="97"/>
      <c r="L688" s="216"/>
    </row>
    <row r="689" spans="1:12" ht="15.75" customHeight="1">
      <c r="A689" s="114" t="s">
        <v>157</v>
      </c>
      <c r="B689" s="114" t="str">
        <f>VLOOKUP(A689,'Tabela de Produtos'!A:B,2,0)</f>
        <v>BRAZIMIL LÁTEX STANDARD INT/EXT FOSCO 3L LARANJA</v>
      </c>
      <c r="C689" s="48" t="s">
        <v>1197</v>
      </c>
      <c r="D689" s="114" t="str">
        <f>VLOOKUP(C689,'Custos Matéria Prima Embalagens'!B:C,2,0)</f>
        <v>AGUA</v>
      </c>
      <c r="E689" s="114" t="str">
        <f>VLOOKUP(C689,'Custos Matéria Prima Embalagens'!B:D,3,0)</f>
        <v>AGUA</v>
      </c>
      <c r="F689" s="270">
        <f t="shared" ref="F689:F703" si="88">SUMIFS(H:H,A:A,A689)</f>
        <v>1956</v>
      </c>
      <c r="G689" s="148">
        <f t="shared" ref="G689:G703" si="89">H689/F689</f>
        <v>0.47034764826175868</v>
      </c>
      <c r="H689" s="96">
        <v>920</v>
      </c>
      <c r="I689" s="272">
        <f>ROUND(F689/VLOOKUP(A689,'Tabela de Produtos'!A:J,10,0),0)</f>
        <v>1540</v>
      </c>
      <c r="J689" s="97">
        <f>IFERROR(VLOOKUP(C689,'Custos Matéria Prima Embalagens'!B:G,6,0)*H689,"Matéria Prima Não Cadastrada")</f>
        <v>0</v>
      </c>
      <c r="K689" s="97">
        <f>IFERROR(J689/(I689/VLOOKUP(A689,'Tabela de Produtos'!A:H,8,0)),"Matéria Prima Não Cadastrada")</f>
        <v>0</v>
      </c>
      <c r="L689" s="216"/>
    </row>
    <row r="690" spans="1:12" ht="15.75" customHeight="1">
      <c r="A690" s="114" t="s">
        <v>157</v>
      </c>
      <c r="B690" s="114" t="str">
        <f>VLOOKUP(A690,'Tabela de Produtos'!A:B,2,0)</f>
        <v>BRAZIMIL LÁTEX STANDARD INT/EXT FOSCO 3L LARANJA</v>
      </c>
      <c r="C690" s="48" t="s">
        <v>1201</v>
      </c>
      <c r="D690" s="114" t="str">
        <f>VLOOKUP(C690,'Custos Matéria Prima Embalagens'!B:C,2,0)</f>
        <v>WANFOAM 528 CE (BB-190)</v>
      </c>
      <c r="E690" s="114" t="str">
        <f>VLOOKUP(C690,'Custos Matéria Prima Embalagens'!B:D,3,0)</f>
        <v>ANTI ESPUMA LATEX</v>
      </c>
      <c r="F690" s="270">
        <f t="shared" si="88"/>
        <v>1956</v>
      </c>
      <c r="G690" s="148">
        <f t="shared" si="89"/>
        <v>2.5562372188139061E-3</v>
      </c>
      <c r="H690" s="96">
        <v>5</v>
      </c>
      <c r="I690" s="272">
        <f>ROUND(F690/VLOOKUP(A690,'Tabela de Produtos'!A:J,10,0),0)</f>
        <v>1540</v>
      </c>
      <c r="J690" s="97">
        <f>IFERROR(VLOOKUP(C690,'Custos Matéria Prima Embalagens'!B:G,6,0)*H690,"Matéria Prima Não Cadastrada")</f>
        <v>35.9</v>
      </c>
      <c r="K690" s="97">
        <f>IFERROR(J690/(I690/VLOOKUP(A690,'Tabela de Produtos'!A:H,8,0)),"Matéria Prima Não Cadastrada")</f>
        <v>6.9935064935064933E-2</v>
      </c>
      <c r="L690" s="216"/>
    </row>
    <row r="691" spans="1:12" ht="15.75" customHeight="1">
      <c r="A691" s="114" t="s">
        <v>157</v>
      </c>
      <c r="B691" s="114" t="str">
        <f>VLOOKUP(A691,'Tabela de Produtos'!A:B,2,0)</f>
        <v>BRAZIMIL LÁTEX STANDARD INT/EXT FOSCO 3L LARANJA</v>
      </c>
      <c r="C691" s="48" t="s">
        <v>1203</v>
      </c>
      <c r="D691" s="114" t="str">
        <f>VLOOKUP(C691,'Custos Matéria Prima Embalagens'!B:C,2,0)</f>
        <v>WANBAC WBT CE (BH-200)</v>
      </c>
      <c r="E691" s="114" t="str">
        <f>VLOOKUP(C691,'Custos Matéria Prima Embalagens'!B:D,3,0)</f>
        <v>BACTERICIDA</v>
      </c>
      <c r="F691" s="270">
        <f t="shared" si="88"/>
        <v>1956</v>
      </c>
      <c r="G691" s="148">
        <f t="shared" si="89"/>
        <v>3.0674846625766872E-3</v>
      </c>
      <c r="H691" s="96">
        <v>6</v>
      </c>
      <c r="I691" s="272">
        <f>ROUND(F691/VLOOKUP(A691,'Tabela de Produtos'!A:J,10,0),0)</f>
        <v>1540</v>
      </c>
      <c r="J691" s="97">
        <f>IFERROR(VLOOKUP(C691,'Custos Matéria Prima Embalagens'!B:G,6,0)*H691,"Matéria Prima Não Cadastrada")</f>
        <v>29.639999999999997</v>
      </c>
      <c r="K691" s="97">
        <f>IFERROR(J691/(I691/VLOOKUP(A691,'Tabela de Produtos'!A:H,8,0)),"Matéria Prima Não Cadastrada")</f>
        <v>5.7740259740259731E-2</v>
      </c>
      <c r="L691" s="216"/>
    </row>
    <row r="692" spans="1:12" ht="15.75" customHeight="1">
      <c r="A692" s="114" t="s">
        <v>157</v>
      </c>
      <c r="B692" s="114" t="str">
        <f>VLOOKUP(A692,'Tabela de Produtos'!A:B,2,0)</f>
        <v>BRAZIMIL LÁTEX STANDARD INT/EXT FOSCO 3L LARANJA</v>
      </c>
      <c r="C692" s="48" t="s">
        <v>1205</v>
      </c>
      <c r="D692" s="114" t="str">
        <f>VLOOKUP(C692,'Custos Matéria Prima Embalagens'!B:C,2,0)</f>
        <v>WANSUR 840 CE (BB-200)01</v>
      </c>
      <c r="E692" s="114" t="str">
        <f>VLOOKUP(C692,'Custos Matéria Prima Embalagens'!B:D,3,0)</f>
        <v>UMECTANTE</v>
      </c>
      <c r="F692" s="270">
        <f t="shared" si="88"/>
        <v>1956</v>
      </c>
      <c r="G692" s="148">
        <f t="shared" si="89"/>
        <v>2.0449897750511249E-3</v>
      </c>
      <c r="H692" s="96">
        <v>4</v>
      </c>
      <c r="I692" s="272">
        <f>ROUND(F692/VLOOKUP(A692,'Tabela de Produtos'!A:J,10,0),0)</f>
        <v>1540</v>
      </c>
      <c r="J692" s="97">
        <f>IFERROR(VLOOKUP(C692,'Custos Matéria Prima Embalagens'!B:G,6,0)*H692,"Matéria Prima Não Cadastrada")</f>
        <v>29.32</v>
      </c>
      <c r="K692" s="97">
        <f>IFERROR(J692/(I692/VLOOKUP(A692,'Tabela de Produtos'!A:H,8,0)),"Matéria Prima Não Cadastrada")</f>
        <v>5.7116883116883115E-2</v>
      </c>
      <c r="L692" s="216"/>
    </row>
    <row r="693" spans="1:12" ht="15.75" customHeight="1">
      <c r="A693" s="114" t="s">
        <v>157</v>
      </c>
      <c r="B693" s="114" t="str">
        <f>VLOOKUP(A693,'Tabela de Produtos'!A:B,2,0)</f>
        <v>BRAZIMIL LÁTEX STANDARD INT/EXT FOSCO 3L LARANJA</v>
      </c>
      <c r="C693" s="48" t="s">
        <v>1207</v>
      </c>
      <c r="D693" s="114" t="str">
        <f>VLOOKUP(C693,'Custos Matéria Prima Embalagens'!B:C,2,0)</f>
        <v>WANPEX 1510 (BB-200)</v>
      </c>
      <c r="E693" s="114" t="str">
        <f>VLOOKUP(C693,'Custos Matéria Prima Embalagens'!B:D,3,0)</f>
        <v>DISPERSANTE LATEX</v>
      </c>
      <c r="F693" s="270">
        <f t="shared" si="88"/>
        <v>1956</v>
      </c>
      <c r="G693" s="148">
        <f t="shared" si="89"/>
        <v>3.0674846625766872E-3</v>
      </c>
      <c r="H693" s="96">
        <v>6</v>
      </c>
      <c r="I693" s="272">
        <f>ROUND(F693/VLOOKUP(A693,'Tabela de Produtos'!A:J,10,0),0)</f>
        <v>1540</v>
      </c>
      <c r="J693" s="97">
        <f>IFERROR(VLOOKUP(C693,'Custos Matéria Prima Embalagens'!B:G,6,0)*H693,"Matéria Prima Não Cadastrada")</f>
        <v>41.16</v>
      </c>
      <c r="K693" s="97">
        <f>IFERROR(J693/(I693/VLOOKUP(A693,'Tabela de Produtos'!A:H,8,0)),"Matéria Prima Não Cadastrada")</f>
        <v>8.0181818181818174E-2</v>
      </c>
      <c r="L693" s="216"/>
    </row>
    <row r="694" spans="1:12" ht="15.75" customHeight="1">
      <c r="A694" s="114" t="s">
        <v>157</v>
      </c>
      <c r="B694" s="114" t="str">
        <f>VLOOKUP(A694,'Tabela de Produtos'!A:B,2,0)</f>
        <v>BRAZIMIL LÁTEX STANDARD INT/EXT FOSCO 3L LARANJA</v>
      </c>
      <c r="C694" s="48" t="s">
        <v>1209</v>
      </c>
      <c r="D694" s="114" t="str">
        <f>VLOOKUP(C694,'Custos Matéria Prima Embalagens'!B:C,2,0)</f>
        <v>WANFUNG WFT CE (BH-200)</v>
      </c>
      <c r="E694" s="114" t="str">
        <f>VLOOKUP(C694,'Custos Matéria Prima Embalagens'!B:D,3,0)</f>
        <v>FUNGICIDA</v>
      </c>
      <c r="F694" s="270">
        <f t="shared" si="88"/>
        <v>1956</v>
      </c>
      <c r="G694" s="148">
        <f t="shared" si="89"/>
        <v>2.5562372188139061E-3</v>
      </c>
      <c r="H694" s="96">
        <v>5</v>
      </c>
      <c r="I694" s="272">
        <f>ROUND(F694/VLOOKUP(A694,'Tabela de Produtos'!A:J,10,0),0)</f>
        <v>1540</v>
      </c>
      <c r="J694" s="97">
        <f>IFERROR(VLOOKUP(C694,'Custos Matéria Prima Embalagens'!B:G,6,0)*H694,"Matéria Prima Não Cadastrada")</f>
        <v>35</v>
      </c>
      <c r="K694" s="97">
        <f>IFERROR(J694/(I694/VLOOKUP(A694,'Tabela de Produtos'!A:H,8,0)),"Matéria Prima Não Cadastrada")</f>
        <v>6.8181818181818177E-2</v>
      </c>
      <c r="L694" s="216"/>
    </row>
    <row r="695" spans="1:12" ht="15.75" customHeight="1">
      <c r="A695" s="114" t="s">
        <v>157</v>
      </c>
      <c r="B695" s="114" t="str">
        <f>VLOOKUP(A695,'Tabela de Produtos'!A:B,2,0)</f>
        <v>BRAZIMIL LÁTEX STANDARD INT/EXT FOSCO 3L LARANJA</v>
      </c>
      <c r="C695" s="48" t="s">
        <v>1211</v>
      </c>
      <c r="D695" s="114" t="str">
        <f>VLOOKUP(C695,'Custos Matéria Prima Embalagens'!B:C,2,0)</f>
        <v>WHITE PLUS PB (SC-25) (Em negociação)</v>
      </c>
      <c r="E695" s="114" t="str">
        <f>VLOOKUP(C695,'Custos Matéria Prima Embalagens'!B:D,3,0)</f>
        <v>WHITE PLUS</v>
      </c>
      <c r="F695" s="270">
        <f t="shared" si="88"/>
        <v>1956</v>
      </c>
      <c r="G695" s="148">
        <f t="shared" si="89"/>
        <v>0.15337423312883436</v>
      </c>
      <c r="H695" s="96">
        <v>300</v>
      </c>
      <c r="I695" s="272">
        <f>ROUND(F695/VLOOKUP(A695,'Tabela de Produtos'!A:J,10,0),0)</f>
        <v>1540</v>
      </c>
      <c r="J695" s="97">
        <f>IFERROR(VLOOKUP(C695,'Custos Matéria Prima Embalagens'!B:G,6,0)*H695,"Matéria Prima Não Cadastrada")</f>
        <v>927</v>
      </c>
      <c r="K695" s="97">
        <f>IFERROR(J695/(I695/VLOOKUP(A695,'Tabela de Produtos'!A:H,8,0)),"Matéria Prima Não Cadastrada")</f>
        <v>1.8058441558441558</v>
      </c>
      <c r="L695" s="216"/>
    </row>
    <row r="696" spans="1:12" ht="15.75" customHeight="1">
      <c r="A696" s="114" t="s">
        <v>157</v>
      </c>
      <c r="B696" s="114" t="str">
        <f>VLOOKUP(A696,'Tabela de Produtos'!A:B,2,0)</f>
        <v>BRAZIMIL LÁTEX STANDARD INT/EXT FOSCO 3L LARANJA</v>
      </c>
      <c r="C696" s="48" t="s">
        <v>1213</v>
      </c>
      <c r="D696" s="114" t="str">
        <f>VLOOKUP(C696,'Custos Matéria Prima Embalagens'!B:C,2,0)</f>
        <v>DIOXIDO DE TITANIO RUTILO R-996</v>
      </c>
      <c r="E696" s="114" t="str">
        <f>VLOOKUP(C696,'Custos Matéria Prima Embalagens'!B:D,3,0)</f>
        <v>TITANIO</v>
      </c>
      <c r="F696" s="270">
        <f t="shared" si="88"/>
        <v>1956</v>
      </c>
      <c r="G696" s="148">
        <f t="shared" si="89"/>
        <v>3.0674846625766871E-2</v>
      </c>
      <c r="H696" s="96">
        <v>60</v>
      </c>
      <c r="I696" s="272">
        <f>ROUND(F696/VLOOKUP(A696,'Tabela de Produtos'!A:J,10,0),0)</f>
        <v>1540</v>
      </c>
      <c r="J696" s="97">
        <f>IFERROR(VLOOKUP(C696,'Custos Matéria Prima Embalagens'!B:G,6,0)*H696,"Matéria Prima Não Cadastrada")</f>
        <v>1158</v>
      </c>
      <c r="K696" s="97">
        <f>IFERROR(J696/(I696/VLOOKUP(A696,'Tabela de Produtos'!A:H,8,0)),"Matéria Prima Não Cadastrada")</f>
        <v>2.2558441558441555</v>
      </c>
      <c r="L696" s="216"/>
    </row>
    <row r="697" spans="1:12" ht="15.75" customHeight="1">
      <c r="A697" s="114" t="s">
        <v>157</v>
      </c>
      <c r="B697" s="114" t="str">
        <f>VLOOKUP(A697,'Tabela de Produtos'!A:B,2,0)</f>
        <v>BRAZIMIL LÁTEX STANDARD INT/EXT FOSCO 3L LARANJA</v>
      </c>
      <c r="C697" s="48" t="s">
        <v>1215</v>
      </c>
      <c r="D697" s="114" t="str">
        <f>VLOOKUP(C697,'Custos Matéria Prima Embalagens'!B:C,2,0)</f>
        <v>CALCARIO DOLOMITICO #500 ( SACOS 25 KG)</v>
      </c>
      <c r="E697" s="114" t="str">
        <f>VLOOKUP(C697,'Custos Matéria Prima Embalagens'!B:D,3,0)</f>
        <v>CARBONATO #500</v>
      </c>
      <c r="F697" s="270">
        <f t="shared" si="88"/>
        <v>1956</v>
      </c>
      <c r="G697" s="148">
        <f t="shared" si="89"/>
        <v>0.15337423312883436</v>
      </c>
      <c r="H697" s="96">
        <v>300</v>
      </c>
      <c r="I697" s="272">
        <f>ROUND(F697/VLOOKUP(A697,'Tabela de Produtos'!A:J,10,0),0)</f>
        <v>1540</v>
      </c>
      <c r="J697" s="97">
        <f>IFERROR(VLOOKUP(C697,'Custos Matéria Prima Embalagens'!B:G,6,0)*H697,"Matéria Prima Não Cadastrada")</f>
        <v>240</v>
      </c>
      <c r="K697" s="97">
        <f>IFERROR(J697/(I697/VLOOKUP(A697,'Tabela de Produtos'!A:H,8,0)),"Matéria Prima Não Cadastrada")</f>
        <v>0.46753246753246752</v>
      </c>
      <c r="L697" s="216"/>
    </row>
    <row r="698" spans="1:12" ht="15.75" customHeight="1">
      <c r="A698" s="114" t="s">
        <v>157</v>
      </c>
      <c r="B698" s="114" t="str">
        <f>VLOOKUP(A698,'Tabela de Produtos'!A:B,2,0)</f>
        <v>BRAZIMIL LÁTEX STANDARD INT/EXT FOSCO 3L LARANJA</v>
      </c>
      <c r="C698" s="48" t="s">
        <v>1227</v>
      </c>
      <c r="D698" s="114" t="str">
        <f>VLOOKUP(C698,'Custos Matéria Prima Embalagens'!B:C,2,0)</f>
        <v>CAULIM MALHA 325</v>
      </c>
      <c r="E698" s="114" t="str">
        <f>VLOOKUP(C698,'Custos Matéria Prima Embalagens'!B:D,3,0)</f>
        <v>caulim</v>
      </c>
      <c r="F698" s="270">
        <f t="shared" si="88"/>
        <v>1956</v>
      </c>
      <c r="G698" s="148">
        <f t="shared" si="89"/>
        <v>5.112474437627812E-2</v>
      </c>
      <c r="H698" s="96">
        <v>100</v>
      </c>
      <c r="I698" s="272">
        <f>ROUND(F698/VLOOKUP(A698,'Tabela de Produtos'!A:J,10,0),0)</f>
        <v>1540</v>
      </c>
      <c r="J698" s="97">
        <f>IFERROR(VLOOKUP(C698,'Custos Matéria Prima Embalagens'!B:G,6,0)*H698,"Matéria Prima Não Cadastrada")</f>
        <v>152.04955555555551</v>
      </c>
      <c r="K698" s="97">
        <f>IFERROR(J698/(I698/VLOOKUP(A698,'Tabela de Produtos'!A:H,8,0)),"Matéria Prima Não Cadastrada")</f>
        <v>0.2962004329004328</v>
      </c>
      <c r="L698" s="216"/>
    </row>
    <row r="699" spans="1:12" ht="15.75" customHeight="1">
      <c r="A699" s="114" t="s">
        <v>157</v>
      </c>
      <c r="B699" s="114" t="str">
        <f>VLOOKUP(A699,'Tabela de Produtos'!A:B,2,0)</f>
        <v>BRAZIMIL LÁTEX STANDARD INT/EXT FOSCO 3L LARANJA</v>
      </c>
      <c r="C699" s="48" t="s">
        <v>1217</v>
      </c>
      <c r="D699" s="114" t="str">
        <f>VLOOKUP(C699,'Custos Matéria Prima Embalagens'!B:C,2,0)</f>
        <v>WANCRIL W 51 CE (CT-1000P)</v>
      </c>
      <c r="E699" s="114" t="str">
        <f>VLOOKUP(C699,'Custos Matéria Prima Embalagens'!B:D,3,0)</f>
        <v>RESINA ACRILICA ESTIRENADA</v>
      </c>
      <c r="F699" s="270">
        <f t="shared" si="88"/>
        <v>1956</v>
      </c>
      <c r="G699" s="148">
        <f t="shared" si="89"/>
        <v>0.10224948875255624</v>
      </c>
      <c r="H699" s="96">
        <v>200</v>
      </c>
      <c r="I699" s="272">
        <f>ROUND(F699/VLOOKUP(A699,'Tabela de Produtos'!A:J,10,0),0)</f>
        <v>1540</v>
      </c>
      <c r="J699" s="97">
        <f>IFERROR(VLOOKUP(C699,'Custos Matéria Prima Embalagens'!B:G,6,0)*H699,"Matéria Prima Não Cadastrada")</f>
        <v>1686</v>
      </c>
      <c r="K699" s="97">
        <f>IFERROR(J699/(I699/VLOOKUP(A699,'Tabela de Produtos'!A:H,8,0)),"Matéria Prima Não Cadastrada")</f>
        <v>3.284415584415584</v>
      </c>
      <c r="L699" s="216"/>
    </row>
    <row r="700" spans="1:12" ht="15.75" customHeight="1">
      <c r="A700" s="114" t="s">
        <v>157</v>
      </c>
      <c r="B700" s="114" t="str">
        <f>VLOOKUP(A700,'Tabela de Produtos'!A:B,2,0)</f>
        <v>BRAZIMIL LÁTEX STANDARD INT/EXT FOSCO 3L LARANJA</v>
      </c>
      <c r="C700" s="48" t="s">
        <v>1219</v>
      </c>
      <c r="D700" s="114" t="str">
        <f>VLOOKUP(C700,'Custos Matéria Prima Embalagens'!B:C,2,0)</f>
        <v>WANALK 70 CE (BH-200)</v>
      </c>
      <c r="E700" s="114" t="str">
        <f>VLOOKUP(C700,'Custos Matéria Prima Embalagens'!B:D,3,0)</f>
        <v>ALCALINIZANTE</v>
      </c>
      <c r="F700" s="270">
        <f t="shared" si="88"/>
        <v>1956</v>
      </c>
      <c r="G700" s="148">
        <f t="shared" si="89"/>
        <v>2.5562372188139061E-3</v>
      </c>
      <c r="H700" s="96">
        <v>5</v>
      </c>
      <c r="I700" s="272">
        <f>ROUND(F700/VLOOKUP(A700,'Tabela de Produtos'!A:J,10,0),0)</f>
        <v>1540</v>
      </c>
      <c r="J700" s="97">
        <f>IFERROR(VLOOKUP(C700,'Custos Matéria Prima Embalagens'!B:G,6,0)*H700,"Matéria Prima Não Cadastrada")</f>
        <v>24.900000000000002</v>
      </c>
      <c r="K700" s="97">
        <f>IFERROR(J700/(I700/VLOOKUP(A700,'Tabela de Produtos'!A:H,8,0)),"Matéria Prima Não Cadastrada")</f>
        <v>4.8506493506493505E-2</v>
      </c>
      <c r="L700" s="216"/>
    </row>
    <row r="701" spans="1:12" ht="15.75" customHeight="1">
      <c r="A701" s="114" t="s">
        <v>157</v>
      </c>
      <c r="B701" s="114" t="str">
        <f>VLOOKUP(A701,'Tabela de Produtos'!A:B,2,0)</f>
        <v>BRAZIMIL LÁTEX STANDARD INT/EXT FOSCO 3L LARANJA</v>
      </c>
      <c r="C701" s="48" t="s">
        <v>1221</v>
      </c>
      <c r="D701" s="114" t="str">
        <f>VLOOKUP(C701,'Custos Matéria Prima Embalagens'!B:C,2,0)</f>
        <v>MODIWAN 105H CE (CT-1000P)</v>
      </c>
      <c r="E701" s="114" t="str">
        <f>VLOOKUP(C701,'Custos Matéria Prima Embalagens'!B:D,3,0)</f>
        <v>ESPESSANTE DE MEDIA</v>
      </c>
      <c r="F701" s="270">
        <f t="shared" si="88"/>
        <v>1956</v>
      </c>
      <c r="G701" s="148">
        <f t="shared" si="89"/>
        <v>1.0224948875255624E-2</v>
      </c>
      <c r="H701" s="96">
        <v>20</v>
      </c>
      <c r="I701" s="272">
        <f>ROUND(F701/VLOOKUP(A701,'Tabela de Produtos'!A:J,10,0),0)</f>
        <v>1540</v>
      </c>
      <c r="J701" s="97">
        <f>IFERROR(VLOOKUP(C701,'Custos Matéria Prima Embalagens'!B:G,6,0)*H701,"Matéria Prima Não Cadastrada")</f>
        <v>158.1</v>
      </c>
      <c r="K701" s="97">
        <f>IFERROR(J701/(I701/VLOOKUP(A701,'Tabela de Produtos'!A:H,8,0)),"Matéria Prima Não Cadastrada")</f>
        <v>0.30798701298701298</v>
      </c>
      <c r="L701" s="216"/>
    </row>
    <row r="702" spans="1:12" ht="15.75" customHeight="1">
      <c r="A702" s="114" t="s">
        <v>157</v>
      </c>
      <c r="B702" s="114" t="str">
        <f>VLOOKUP(A702,'Tabela de Produtos'!A:B,2,0)</f>
        <v>BRAZIMIL LÁTEX STANDARD INT/EXT FOSCO 3L LARANJA</v>
      </c>
      <c r="C702" s="48" t="s">
        <v>1223</v>
      </c>
      <c r="D702" s="114" t="str">
        <f>VLOOKUP(C702,'Custos Matéria Prima Embalagens'!B:C,2,0)</f>
        <v>TURBOWAN H CE (BH-200)</v>
      </c>
      <c r="E702" s="114" t="str">
        <f>VLOOKUP(C702,'Custos Matéria Prima Embalagens'!B:D,3,0)</f>
        <v>PROMOTOR DE LAVABILIDADE</v>
      </c>
      <c r="F702" s="270">
        <f t="shared" si="88"/>
        <v>1956</v>
      </c>
      <c r="G702" s="148">
        <f t="shared" si="89"/>
        <v>7.6687116564417178E-3</v>
      </c>
      <c r="H702" s="96">
        <v>15</v>
      </c>
      <c r="I702" s="272">
        <f>ROUND(F702/VLOOKUP(A702,'Tabela de Produtos'!A:J,10,0),0)</f>
        <v>1540</v>
      </c>
      <c r="J702" s="97">
        <f>IFERROR(VLOOKUP(C702,'Custos Matéria Prima Embalagens'!B:G,6,0)*H702,"Matéria Prima Não Cadastrada")</f>
        <v>72.75</v>
      </c>
      <c r="K702" s="97">
        <f>IFERROR(J702/(I702/VLOOKUP(A702,'Tabela de Produtos'!A:H,8,0)),"Matéria Prima Não Cadastrada")</f>
        <v>0.14172077922077922</v>
      </c>
      <c r="L702" s="216"/>
    </row>
    <row r="703" spans="1:12" ht="15.75" customHeight="1">
      <c r="A703" s="114" t="s">
        <v>157</v>
      </c>
      <c r="B703" s="114" t="str">
        <f>VLOOKUP(A703,'Tabela de Produtos'!A:B,2,0)</f>
        <v>BRAZIMIL LÁTEX STANDARD INT/EXT FOSCO 3L LARANJA</v>
      </c>
      <c r="C703" s="48" t="s">
        <v>1229</v>
      </c>
      <c r="D703" s="114" t="str">
        <f>VLOOKUP(C703,'Custos Matéria Prima Embalagens'!B:C,2,0)</f>
        <v>WANSOL 340 CE (BB-200)</v>
      </c>
      <c r="E703" s="114" t="str">
        <f>VLOOKUP(C703,'Custos Matéria Prima Embalagens'!B:D,3,0)</f>
        <v>COALESCENTE</v>
      </c>
      <c r="F703" s="270">
        <f t="shared" si="88"/>
        <v>1956</v>
      </c>
      <c r="G703" s="148">
        <f t="shared" si="89"/>
        <v>5.1124744376278121E-3</v>
      </c>
      <c r="H703" s="96">
        <v>10</v>
      </c>
      <c r="I703" s="272">
        <f>ROUND(F703/VLOOKUP(A703,'Tabela de Produtos'!A:J,10,0),0)</f>
        <v>1540</v>
      </c>
      <c r="J703" s="97">
        <f>IFERROR(VLOOKUP(C703,'Custos Matéria Prima Embalagens'!B:G,6,0)*H703,"Matéria Prima Não Cadastrada")</f>
        <v>192.2</v>
      </c>
      <c r="K703" s="97">
        <f>IFERROR(J703/(I703/VLOOKUP(A703,'Tabela de Produtos'!A:H,8,0)),"Matéria Prima Não Cadastrada")</f>
        <v>0.37441558441558437</v>
      </c>
      <c r="L703" s="216"/>
    </row>
    <row r="704" spans="1:12" ht="15.75" customHeight="1">
      <c r="D704" s="114"/>
      <c r="E704" s="114"/>
      <c r="F704" s="96"/>
      <c r="G704" s="148"/>
      <c r="H704" s="96"/>
      <c r="I704" s="272"/>
      <c r="J704" s="97"/>
      <c r="K704" s="97"/>
      <c r="L704" s="216"/>
    </row>
    <row r="705" spans="1:12" ht="15.75" customHeight="1">
      <c r="A705" s="114" t="s">
        <v>158</v>
      </c>
      <c r="B705" s="114" t="str">
        <f>VLOOKUP(A705,'Tabela de Produtos'!A:B,2,0)</f>
        <v>BRAZIMIL LÁTEX STANDARD INT/EXT FOSCO 3L AZUL CARIBE</v>
      </c>
      <c r="C705" s="48" t="s">
        <v>1197</v>
      </c>
      <c r="D705" s="114" t="str">
        <f>VLOOKUP(C705,'Custos Matéria Prima Embalagens'!B:C,2,0)</f>
        <v>AGUA</v>
      </c>
      <c r="E705" s="114" t="str">
        <f>VLOOKUP(C705,'Custos Matéria Prima Embalagens'!B:D,3,0)</f>
        <v>AGUA</v>
      </c>
      <c r="F705" s="270">
        <f t="shared" ref="F705:F719" si="90">SUMIFS(H:H,A:A,A705)</f>
        <v>1956</v>
      </c>
      <c r="G705" s="148">
        <f t="shared" ref="G705:G719" si="91">H705/F705</f>
        <v>0.47034764826175868</v>
      </c>
      <c r="H705" s="96">
        <v>920</v>
      </c>
      <c r="I705" s="272">
        <f>ROUND(F705/VLOOKUP(A705,'Tabela de Produtos'!A:J,10,0),0)</f>
        <v>1540</v>
      </c>
      <c r="J705" s="97">
        <f>IFERROR(VLOOKUP(C705,'Custos Matéria Prima Embalagens'!B:G,6,0)*H705,"Matéria Prima Não Cadastrada")</f>
        <v>0</v>
      </c>
      <c r="K705" s="97">
        <f>IFERROR(J705/(I705/VLOOKUP(A705,'Tabela de Produtos'!A:H,8,0)),"Matéria Prima Não Cadastrada")</f>
        <v>0</v>
      </c>
      <c r="L705" s="216"/>
    </row>
    <row r="706" spans="1:12" ht="15.75" customHeight="1">
      <c r="A706" s="114" t="s">
        <v>158</v>
      </c>
      <c r="B706" s="114" t="str">
        <f>VLOOKUP(A706,'Tabela de Produtos'!A:B,2,0)</f>
        <v>BRAZIMIL LÁTEX STANDARD INT/EXT FOSCO 3L AZUL CARIBE</v>
      </c>
      <c r="C706" s="48" t="s">
        <v>1201</v>
      </c>
      <c r="D706" s="114" t="str">
        <f>VLOOKUP(C706,'Custos Matéria Prima Embalagens'!B:C,2,0)</f>
        <v>WANFOAM 528 CE (BB-190)</v>
      </c>
      <c r="E706" s="114" t="str">
        <f>VLOOKUP(C706,'Custos Matéria Prima Embalagens'!B:D,3,0)</f>
        <v>ANTI ESPUMA LATEX</v>
      </c>
      <c r="F706" s="270">
        <f t="shared" si="90"/>
        <v>1956</v>
      </c>
      <c r="G706" s="148">
        <f t="shared" si="91"/>
        <v>2.5562372188139061E-3</v>
      </c>
      <c r="H706" s="96">
        <v>5</v>
      </c>
      <c r="I706" s="272">
        <f>ROUND(F706/VLOOKUP(A706,'Tabela de Produtos'!A:J,10,0),0)</f>
        <v>1540</v>
      </c>
      <c r="J706" s="97">
        <f>IFERROR(VLOOKUP(C706,'Custos Matéria Prima Embalagens'!B:G,6,0)*H706,"Matéria Prima Não Cadastrada")</f>
        <v>35.9</v>
      </c>
      <c r="K706" s="97">
        <f>IFERROR(J706/(I706/VLOOKUP(A706,'Tabela de Produtos'!A:H,8,0)),"Matéria Prima Não Cadastrada")</f>
        <v>6.9935064935064933E-2</v>
      </c>
      <c r="L706" s="216"/>
    </row>
    <row r="707" spans="1:12" ht="15.75" customHeight="1">
      <c r="A707" s="114" t="s">
        <v>158</v>
      </c>
      <c r="B707" s="114" t="str">
        <f>VLOOKUP(A707,'Tabela de Produtos'!A:B,2,0)</f>
        <v>BRAZIMIL LÁTEX STANDARD INT/EXT FOSCO 3L AZUL CARIBE</v>
      </c>
      <c r="C707" s="48" t="s">
        <v>1203</v>
      </c>
      <c r="D707" s="114" t="str">
        <f>VLOOKUP(C707,'Custos Matéria Prima Embalagens'!B:C,2,0)</f>
        <v>WANBAC WBT CE (BH-200)</v>
      </c>
      <c r="E707" s="114" t="str">
        <f>VLOOKUP(C707,'Custos Matéria Prima Embalagens'!B:D,3,0)</f>
        <v>BACTERICIDA</v>
      </c>
      <c r="F707" s="270">
        <f t="shared" si="90"/>
        <v>1956</v>
      </c>
      <c r="G707" s="148">
        <f t="shared" si="91"/>
        <v>3.0674846625766872E-3</v>
      </c>
      <c r="H707" s="96">
        <v>6</v>
      </c>
      <c r="I707" s="272">
        <f>ROUND(F707/VLOOKUP(A707,'Tabela de Produtos'!A:J,10,0),0)</f>
        <v>1540</v>
      </c>
      <c r="J707" s="97">
        <f>IFERROR(VLOOKUP(C707,'Custos Matéria Prima Embalagens'!B:G,6,0)*H707,"Matéria Prima Não Cadastrada")</f>
        <v>29.639999999999997</v>
      </c>
      <c r="K707" s="97">
        <f>IFERROR(J707/(I707/VLOOKUP(A707,'Tabela de Produtos'!A:H,8,0)),"Matéria Prima Não Cadastrada")</f>
        <v>5.7740259740259731E-2</v>
      </c>
      <c r="L707" s="216"/>
    </row>
    <row r="708" spans="1:12" ht="15.75" customHeight="1">
      <c r="A708" s="114" t="s">
        <v>158</v>
      </c>
      <c r="B708" s="114" t="str">
        <f>VLOOKUP(A708,'Tabela de Produtos'!A:B,2,0)</f>
        <v>BRAZIMIL LÁTEX STANDARD INT/EXT FOSCO 3L AZUL CARIBE</v>
      </c>
      <c r="C708" s="48" t="s">
        <v>1205</v>
      </c>
      <c r="D708" s="114" t="str">
        <f>VLOOKUP(C708,'Custos Matéria Prima Embalagens'!B:C,2,0)</f>
        <v>WANSUR 840 CE (BB-200)01</v>
      </c>
      <c r="E708" s="114" t="str">
        <f>VLOOKUP(C708,'Custos Matéria Prima Embalagens'!B:D,3,0)</f>
        <v>UMECTANTE</v>
      </c>
      <c r="F708" s="270">
        <f t="shared" si="90"/>
        <v>1956</v>
      </c>
      <c r="G708" s="148">
        <f t="shared" si="91"/>
        <v>2.0449897750511249E-3</v>
      </c>
      <c r="H708" s="96">
        <v>4</v>
      </c>
      <c r="I708" s="272">
        <f>ROUND(F708/VLOOKUP(A708,'Tabela de Produtos'!A:J,10,0),0)</f>
        <v>1540</v>
      </c>
      <c r="J708" s="97">
        <f>IFERROR(VLOOKUP(C708,'Custos Matéria Prima Embalagens'!B:G,6,0)*H708,"Matéria Prima Não Cadastrada")</f>
        <v>29.32</v>
      </c>
      <c r="K708" s="97">
        <f>IFERROR(J708/(I708/VLOOKUP(A708,'Tabela de Produtos'!A:H,8,0)),"Matéria Prima Não Cadastrada")</f>
        <v>5.7116883116883115E-2</v>
      </c>
      <c r="L708" s="216"/>
    </row>
    <row r="709" spans="1:12" ht="15.75" customHeight="1">
      <c r="A709" s="114" t="s">
        <v>158</v>
      </c>
      <c r="B709" s="114" t="str">
        <f>VLOOKUP(A709,'Tabela de Produtos'!A:B,2,0)</f>
        <v>BRAZIMIL LÁTEX STANDARD INT/EXT FOSCO 3L AZUL CARIBE</v>
      </c>
      <c r="C709" s="48" t="s">
        <v>1207</v>
      </c>
      <c r="D709" s="114" t="str">
        <f>VLOOKUP(C709,'Custos Matéria Prima Embalagens'!B:C,2,0)</f>
        <v>WANPEX 1510 (BB-200)</v>
      </c>
      <c r="E709" s="114" t="str">
        <f>VLOOKUP(C709,'Custos Matéria Prima Embalagens'!B:D,3,0)</f>
        <v>DISPERSANTE LATEX</v>
      </c>
      <c r="F709" s="270">
        <f t="shared" si="90"/>
        <v>1956</v>
      </c>
      <c r="G709" s="148">
        <f t="shared" si="91"/>
        <v>3.0674846625766872E-3</v>
      </c>
      <c r="H709" s="96">
        <v>6</v>
      </c>
      <c r="I709" s="272">
        <f>ROUND(F709/VLOOKUP(A709,'Tabela de Produtos'!A:J,10,0),0)</f>
        <v>1540</v>
      </c>
      <c r="J709" s="97">
        <f>IFERROR(VLOOKUP(C709,'Custos Matéria Prima Embalagens'!B:G,6,0)*H709,"Matéria Prima Não Cadastrada")</f>
        <v>41.16</v>
      </c>
      <c r="K709" s="97">
        <f>IFERROR(J709/(I709/VLOOKUP(A709,'Tabela de Produtos'!A:H,8,0)),"Matéria Prima Não Cadastrada")</f>
        <v>8.0181818181818174E-2</v>
      </c>
      <c r="L709" s="216"/>
    </row>
    <row r="710" spans="1:12" ht="15.75" customHeight="1">
      <c r="A710" s="114" t="s">
        <v>158</v>
      </c>
      <c r="B710" s="114" t="str">
        <f>VLOOKUP(A710,'Tabela de Produtos'!A:B,2,0)</f>
        <v>BRAZIMIL LÁTEX STANDARD INT/EXT FOSCO 3L AZUL CARIBE</v>
      </c>
      <c r="C710" s="48" t="s">
        <v>1209</v>
      </c>
      <c r="D710" s="114" t="str">
        <f>VLOOKUP(C710,'Custos Matéria Prima Embalagens'!B:C,2,0)</f>
        <v>WANFUNG WFT CE (BH-200)</v>
      </c>
      <c r="E710" s="114" t="str">
        <f>VLOOKUP(C710,'Custos Matéria Prima Embalagens'!B:D,3,0)</f>
        <v>FUNGICIDA</v>
      </c>
      <c r="F710" s="270">
        <f t="shared" si="90"/>
        <v>1956</v>
      </c>
      <c r="G710" s="148">
        <f t="shared" si="91"/>
        <v>2.5562372188139061E-3</v>
      </c>
      <c r="H710" s="96">
        <v>5</v>
      </c>
      <c r="I710" s="272">
        <f>ROUND(F710/VLOOKUP(A710,'Tabela de Produtos'!A:J,10,0),0)</f>
        <v>1540</v>
      </c>
      <c r="J710" s="97">
        <f>IFERROR(VLOOKUP(C710,'Custos Matéria Prima Embalagens'!B:G,6,0)*H710,"Matéria Prima Não Cadastrada")</f>
        <v>35</v>
      </c>
      <c r="K710" s="97">
        <f>IFERROR(J710/(I710/VLOOKUP(A710,'Tabela de Produtos'!A:H,8,0)),"Matéria Prima Não Cadastrada")</f>
        <v>6.8181818181818177E-2</v>
      </c>
      <c r="L710" s="216"/>
    </row>
    <row r="711" spans="1:12" ht="15.75" customHeight="1">
      <c r="A711" s="114" t="s">
        <v>158</v>
      </c>
      <c r="B711" s="114" t="str">
        <f>VLOOKUP(A711,'Tabela de Produtos'!A:B,2,0)</f>
        <v>BRAZIMIL LÁTEX STANDARD INT/EXT FOSCO 3L AZUL CARIBE</v>
      </c>
      <c r="C711" s="48" t="s">
        <v>1211</v>
      </c>
      <c r="D711" s="114" t="str">
        <f>VLOOKUP(C711,'Custos Matéria Prima Embalagens'!B:C,2,0)</f>
        <v>WHITE PLUS PB (SC-25) (Em negociação)</v>
      </c>
      <c r="E711" s="114" t="str">
        <f>VLOOKUP(C711,'Custos Matéria Prima Embalagens'!B:D,3,0)</f>
        <v>WHITE PLUS</v>
      </c>
      <c r="F711" s="270">
        <f t="shared" si="90"/>
        <v>1956</v>
      </c>
      <c r="G711" s="148">
        <f t="shared" si="91"/>
        <v>0.15337423312883436</v>
      </c>
      <c r="H711" s="96">
        <v>300</v>
      </c>
      <c r="I711" s="272">
        <f>ROUND(F711/VLOOKUP(A711,'Tabela de Produtos'!A:J,10,0),0)</f>
        <v>1540</v>
      </c>
      <c r="J711" s="97">
        <f>IFERROR(VLOOKUP(C711,'Custos Matéria Prima Embalagens'!B:G,6,0)*H711,"Matéria Prima Não Cadastrada")</f>
        <v>927</v>
      </c>
      <c r="K711" s="97">
        <f>IFERROR(J711/(I711/VLOOKUP(A711,'Tabela de Produtos'!A:H,8,0)),"Matéria Prima Não Cadastrada")</f>
        <v>1.8058441558441558</v>
      </c>
      <c r="L711" s="216"/>
    </row>
    <row r="712" spans="1:12" ht="15.75" customHeight="1">
      <c r="A712" s="114" t="s">
        <v>158</v>
      </c>
      <c r="B712" s="114" t="str">
        <f>VLOOKUP(A712,'Tabela de Produtos'!A:B,2,0)</f>
        <v>BRAZIMIL LÁTEX STANDARD INT/EXT FOSCO 3L AZUL CARIBE</v>
      </c>
      <c r="C712" s="48" t="s">
        <v>1213</v>
      </c>
      <c r="D712" s="114" t="str">
        <f>VLOOKUP(C712,'Custos Matéria Prima Embalagens'!B:C,2,0)</f>
        <v>DIOXIDO DE TITANIO RUTILO R-996</v>
      </c>
      <c r="E712" s="114" t="str">
        <f>VLOOKUP(C712,'Custos Matéria Prima Embalagens'!B:D,3,0)</f>
        <v>TITANIO</v>
      </c>
      <c r="F712" s="270">
        <f t="shared" si="90"/>
        <v>1956</v>
      </c>
      <c r="G712" s="148">
        <f t="shared" si="91"/>
        <v>3.0674846625766871E-2</v>
      </c>
      <c r="H712" s="96">
        <v>60</v>
      </c>
      <c r="I712" s="272">
        <f>ROUND(F712/VLOOKUP(A712,'Tabela de Produtos'!A:J,10,0),0)</f>
        <v>1540</v>
      </c>
      <c r="J712" s="97">
        <f>IFERROR(VLOOKUP(C712,'Custos Matéria Prima Embalagens'!B:G,6,0)*H712,"Matéria Prima Não Cadastrada")</f>
        <v>1158</v>
      </c>
      <c r="K712" s="97">
        <f>IFERROR(J712/(I712/VLOOKUP(A712,'Tabela de Produtos'!A:H,8,0)),"Matéria Prima Não Cadastrada")</f>
        <v>2.2558441558441555</v>
      </c>
      <c r="L712" s="216"/>
    </row>
    <row r="713" spans="1:12" ht="15.75" customHeight="1">
      <c r="A713" s="114" t="s">
        <v>158</v>
      </c>
      <c r="B713" s="114" t="str">
        <f>VLOOKUP(A713,'Tabela de Produtos'!A:B,2,0)</f>
        <v>BRAZIMIL LÁTEX STANDARD INT/EXT FOSCO 3L AZUL CARIBE</v>
      </c>
      <c r="C713" s="48" t="s">
        <v>1215</v>
      </c>
      <c r="D713" s="114" t="str">
        <f>VLOOKUP(C713,'Custos Matéria Prima Embalagens'!B:C,2,0)</f>
        <v>CALCARIO DOLOMITICO #500 ( SACOS 25 KG)</v>
      </c>
      <c r="E713" s="114" t="str">
        <f>VLOOKUP(C713,'Custos Matéria Prima Embalagens'!B:D,3,0)</f>
        <v>CARBONATO #500</v>
      </c>
      <c r="F713" s="270">
        <f t="shared" si="90"/>
        <v>1956</v>
      </c>
      <c r="G713" s="148">
        <f t="shared" si="91"/>
        <v>0.15337423312883436</v>
      </c>
      <c r="H713" s="96">
        <v>300</v>
      </c>
      <c r="I713" s="272">
        <f>ROUND(F713/VLOOKUP(A713,'Tabela de Produtos'!A:J,10,0),0)</f>
        <v>1540</v>
      </c>
      <c r="J713" s="97">
        <f>IFERROR(VLOOKUP(C713,'Custos Matéria Prima Embalagens'!B:G,6,0)*H713,"Matéria Prima Não Cadastrada")</f>
        <v>240</v>
      </c>
      <c r="K713" s="97">
        <f>IFERROR(J713/(I713/VLOOKUP(A713,'Tabela de Produtos'!A:H,8,0)),"Matéria Prima Não Cadastrada")</f>
        <v>0.46753246753246752</v>
      </c>
      <c r="L713" s="216"/>
    </row>
    <row r="714" spans="1:12" ht="15.75" customHeight="1">
      <c r="A714" s="114" t="s">
        <v>158</v>
      </c>
      <c r="B714" s="114" t="str">
        <f>VLOOKUP(A714,'Tabela de Produtos'!A:B,2,0)</f>
        <v>BRAZIMIL LÁTEX STANDARD INT/EXT FOSCO 3L AZUL CARIBE</v>
      </c>
      <c r="C714" s="48" t="s">
        <v>1227</v>
      </c>
      <c r="D714" s="114" t="str">
        <f>VLOOKUP(C714,'Custos Matéria Prima Embalagens'!B:C,2,0)</f>
        <v>CAULIM MALHA 325</v>
      </c>
      <c r="E714" s="114" t="str">
        <f>VLOOKUP(C714,'Custos Matéria Prima Embalagens'!B:D,3,0)</f>
        <v>caulim</v>
      </c>
      <c r="F714" s="270">
        <f t="shared" si="90"/>
        <v>1956</v>
      </c>
      <c r="G714" s="148">
        <f t="shared" si="91"/>
        <v>5.112474437627812E-2</v>
      </c>
      <c r="H714" s="96">
        <v>100</v>
      </c>
      <c r="I714" s="272">
        <f>ROUND(F714/VLOOKUP(A714,'Tabela de Produtos'!A:J,10,0),0)</f>
        <v>1540</v>
      </c>
      <c r="J714" s="97">
        <f>IFERROR(VLOOKUP(C714,'Custos Matéria Prima Embalagens'!B:G,6,0)*H714,"Matéria Prima Não Cadastrada")</f>
        <v>152.04955555555551</v>
      </c>
      <c r="K714" s="97">
        <f>IFERROR(J714/(I714/VLOOKUP(A714,'Tabela de Produtos'!A:H,8,0)),"Matéria Prima Não Cadastrada")</f>
        <v>0.2962004329004328</v>
      </c>
      <c r="L714" s="216"/>
    </row>
    <row r="715" spans="1:12" ht="15.75" customHeight="1">
      <c r="A715" s="114" t="s">
        <v>158</v>
      </c>
      <c r="B715" s="114" t="str">
        <f>VLOOKUP(A715,'Tabela de Produtos'!A:B,2,0)</f>
        <v>BRAZIMIL LÁTEX STANDARD INT/EXT FOSCO 3L AZUL CARIBE</v>
      </c>
      <c r="C715" s="48" t="s">
        <v>1217</v>
      </c>
      <c r="D715" s="114" t="str">
        <f>VLOOKUP(C715,'Custos Matéria Prima Embalagens'!B:C,2,0)</f>
        <v>WANCRIL W 51 CE (CT-1000P)</v>
      </c>
      <c r="E715" s="114" t="str">
        <f>VLOOKUP(C715,'Custos Matéria Prima Embalagens'!B:D,3,0)</f>
        <v>RESINA ACRILICA ESTIRENADA</v>
      </c>
      <c r="F715" s="270">
        <f t="shared" si="90"/>
        <v>1956</v>
      </c>
      <c r="G715" s="148">
        <f t="shared" si="91"/>
        <v>0.10224948875255624</v>
      </c>
      <c r="H715" s="96">
        <v>200</v>
      </c>
      <c r="I715" s="272">
        <f>ROUND(F715/VLOOKUP(A715,'Tabela de Produtos'!A:J,10,0),0)</f>
        <v>1540</v>
      </c>
      <c r="J715" s="97">
        <f>IFERROR(VLOOKUP(C715,'Custos Matéria Prima Embalagens'!B:G,6,0)*H715,"Matéria Prima Não Cadastrada")</f>
        <v>1686</v>
      </c>
      <c r="K715" s="97">
        <f>IFERROR(J715/(I715/VLOOKUP(A715,'Tabela de Produtos'!A:H,8,0)),"Matéria Prima Não Cadastrada")</f>
        <v>3.284415584415584</v>
      </c>
      <c r="L715" s="216"/>
    </row>
    <row r="716" spans="1:12" ht="15.75" customHeight="1">
      <c r="A716" s="114" t="s">
        <v>158</v>
      </c>
      <c r="B716" s="114" t="str">
        <f>VLOOKUP(A716,'Tabela de Produtos'!A:B,2,0)</f>
        <v>BRAZIMIL LÁTEX STANDARD INT/EXT FOSCO 3L AZUL CARIBE</v>
      </c>
      <c r="C716" s="48" t="s">
        <v>1219</v>
      </c>
      <c r="D716" s="114" t="str">
        <f>VLOOKUP(C716,'Custos Matéria Prima Embalagens'!B:C,2,0)</f>
        <v>WANALK 70 CE (BH-200)</v>
      </c>
      <c r="E716" s="114" t="str">
        <f>VLOOKUP(C716,'Custos Matéria Prima Embalagens'!B:D,3,0)</f>
        <v>ALCALINIZANTE</v>
      </c>
      <c r="F716" s="270">
        <f t="shared" si="90"/>
        <v>1956</v>
      </c>
      <c r="G716" s="148">
        <f t="shared" si="91"/>
        <v>2.5562372188139061E-3</v>
      </c>
      <c r="H716" s="96">
        <v>5</v>
      </c>
      <c r="I716" s="272">
        <f>ROUND(F716/VLOOKUP(A716,'Tabela de Produtos'!A:J,10,0),0)</f>
        <v>1540</v>
      </c>
      <c r="J716" s="97">
        <f>IFERROR(VLOOKUP(C716,'Custos Matéria Prima Embalagens'!B:G,6,0)*H716,"Matéria Prima Não Cadastrada")</f>
        <v>24.900000000000002</v>
      </c>
      <c r="K716" s="97">
        <f>IFERROR(J716/(I716/VLOOKUP(A716,'Tabela de Produtos'!A:H,8,0)),"Matéria Prima Não Cadastrada")</f>
        <v>4.8506493506493505E-2</v>
      </c>
      <c r="L716" s="216"/>
    </row>
    <row r="717" spans="1:12" ht="15.75" customHeight="1">
      <c r="A717" s="114" t="s">
        <v>158</v>
      </c>
      <c r="B717" s="114" t="str">
        <f>VLOOKUP(A717,'Tabela de Produtos'!A:B,2,0)</f>
        <v>BRAZIMIL LÁTEX STANDARD INT/EXT FOSCO 3L AZUL CARIBE</v>
      </c>
      <c r="C717" s="48" t="s">
        <v>1221</v>
      </c>
      <c r="D717" s="114" t="str">
        <f>VLOOKUP(C717,'Custos Matéria Prima Embalagens'!B:C,2,0)</f>
        <v>MODIWAN 105H CE (CT-1000P)</v>
      </c>
      <c r="E717" s="114" t="str">
        <f>VLOOKUP(C717,'Custos Matéria Prima Embalagens'!B:D,3,0)</f>
        <v>ESPESSANTE DE MEDIA</v>
      </c>
      <c r="F717" s="270">
        <f t="shared" si="90"/>
        <v>1956</v>
      </c>
      <c r="G717" s="148">
        <f t="shared" si="91"/>
        <v>1.0224948875255624E-2</v>
      </c>
      <c r="H717" s="96">
        <v>20</v>
      </c>
      <c r="I717" s="272">
        <f>ROUND(F717/VLOOKUP(A717,'Tabela de Produtos'!A:J,10,0),0)</f>
        <v>1540</v>
      </c>
      <c r="J717" s="97">
        <f>IFERROR(VLOOKUP(C717,'Custos Matéria Prima Embalagens'!B:G,6,0)*H717,"Matéria Prima Não Cadastrada")</f>
        <v>158.1</v>
      </c>
      <c r="K717" s="97">
        <f>IFERROR(J717/(I717/VLOOKUP(A717,'Tabela de Produtos'!A:H,8,0)),"Matéria Prima Não Cadastrada")</f>
        <v>0.30798701298701298</v>
      </c>
      <c r="L717" s="216"/>
    </row>
    <row r="718" spans="1:12" ht="15.75" customHeight="1">
      <c r="A718" s="114" t="s">
        <v>158</v>
      </c>
      <c r="B718" s="114" t="str">
        <f>VLOOKUP(A718,'Tabela de Produtos'!A:B,2,0)</f>
        <v>BRAZIMIL LÁTEX STANDARD INT/EXT FOSCO 3L AZUL CARIBE</v>
      </c>
      <c r="C718" s="48" t="s">
        <v>1223</v>
      </c>
      <c r="D718" s="114" t="str">
        <f>VLOOKUP(C718,'Custos Matéria Prima Embalagens'!B:C,2,0)</f>
        <v>TURBOWAN H CE (BH-200)</v>
      </c>
      <c r="E718" s="114" t="str">
        <f>VLOOKUP(C718,'Custos Matéria Prima Embalagens'!B:D,3,0)</f>
        <v>PROMOTOR DE LAVABILIDADE</v>
      </c>
      <c r="F718" s="270">
        <f t="shared" si="90"/>
        <v>1956</v>
      </c>
      <c r="G718" s="148">
        <f t="shared" si="91"/>
        <v>7.6687116564417178E-3</v>
      </c>
      <c r="H718" s="96">
        <v>15</v>
      </c>
      <c r="I718" s="272">
        <f>ROUND(F718/VLOOKUP(A718,'Tabela de Produtos'!A:J,10,0),0)</f>
        <v>1540</v>
      </c>
      <c r="J718" s="97">
        <f>IFERROR(VLOOKUP(C718,'Custos Matéria Prima Embalagens'!B:G,6,0)*H718,"Matéria Prima Não Cadastrada")</f>
        <v>72.75</v>
      </c>
      <c r="K718" s="97">
        <f>IFERROR(J718/(I718/VLOOKUP(A718,'Tabela de Produtos'!A:H,8,0)),"Matéria Prima Não Cadastrada")</f>
        <v>0.14172077922077922</v>
      </c>
      <c r="L718" s="216"/>
    </row>
    <row r="719" spans="1:12" ht="15.75" customHeight="1">
      <c r="A719" s="114" t="s">
        <v>158</v>
      </c>
      <c r="B719" s="114" t="str">
        <f>VLOOKUP(A719,'Tabela de Produtos'!A:B,2,0)</f>
        <v>BRAZIMIL LÁTEX STANDARD INT/EXT FOSCO 3L AZUL CARIBE</v>
      </c>
      <c r="C719" s="48" t="s">
        <v>1229</v>
      </c>
      <c r="D719" s="114" t="str">
        <f>VLOOKUP(C719,'Custos Matéria Prima Embalagens'!B:C,2,0)</f>
        <v>WANSOL 340 CE (BB-200)</v>
      </c>
      <c r="E719" s="114" t="str">
        <f>VLOOKUP(C719,'Custos Matéria Prima Embalagens'!B:D,3,0)</f>
        <v>COALESCENTE</v>
      </c>
      <c r="F719" s="270">
        <f t="shared" si="90"/>
        <v>1956</v>
      </c>
      <c r="G719" s="148">
        <f t="shared" si="91"/>
        <v>5.1124744376278121E-3</v>
      </c>
      <c r="H719" s="96">
        <v>10</v>
      </c>
      <c r="I719" s="272">
        <f>ROUND(F719/VLOOKUP(A719,'Tabela de Produtos'!A:J,10,0),0)</f>
        <v>1540</v>
      </c>
      <c r="J719" s="97">
        <f>IFERROR(VLOOKUP(C719,'Custos Matéria Prima Embalagens'!B:G,6,0)*H719,"Matéria Prima Não Cadastrada")</f>
        <v>192.2</v>
      </c>
      <c r="K719" s="97">
        <f>IFERROR(J719/(I719/VLOOKUP(A719,'Tabela de Produtos'!A:H,8,0)),"Matéria Prima Não Cadastrada")</f>
        <v>0.37441558441558437</v>
      </c>
      <c r="L719" s="216"/>
    </row>
    <row r="720" spans="1:12" ht="15.75" customHeight="1">
      <c r="D720" s="114"/>
      <c r="E720" s="114"/>
      <c r="F720" s="96"/>
      <c r="G720" s="148"/>
      <c r="H720" s="96"/>
      <c r="I720" s="272"/>
      <c r="J720" s="97"/>
      <c r="K720" s="97"/>
      <c r="L720" s="216"/>
    </row>
    <row r="721" spans="1:12" ht="15.75" customHeight="1">
      <c r="A721" s="114" t="s">
        <v>159</v>
      </c>
      <c r="B721" s="114" t="str">
        <f>VLOOKUP(A721,'Tabela de Produtos'!A:B,2,0)</f>
        <v>BRAZIMIL LÁTEX STANDARD INT/EXT FOSCO 3L VERDE LIMA</v>
      </c>
      <c r="C721" s="48" t="s">
        <v>1197</v>
      </c>
      <c r="D721" s="114" t="str">
        <f>VLOOKUP(C721,'Custos Matéria Prima Embalagens'!B:C,2,0)</f>
        <v>AGUA</v>
      </c>
      <c r="E721" s="114" t="str">
        <f>VLOOKUP(C721,'Custos Matéria Prima Embalagens'!B:D,3,0)</f>
        <v>AGUA</v>
      </c>
      <c r="F721" s="270">
        <f t="shared" ref="F721:F735" si="92">SUMIFS(H:H,A:A,A721)</f>
        <v>1956</v>
      </c>
      <c r="G721" s="148">
        <f t="shared" ref="G721:G735" si="93">H721/F721</f>
        <v>0.47034764826175868</v>
      </c>
      <c r="H721" s="96">
        <v>920</v>
      </c>
      <c r="I721" s="272">
        <f>ROUND(F721/VLOOKUP(A721,'Tabela de Produtos'!A:J,10,0),0)</f>
        <v>1540</v>
      </c>
      <c r="J721" s="97">
        <f>IFERROR(VLOOKUP(C721,'Custos Matéria Prima Embalagens'!B:G,6,0)*H721,"Matéria Prima Não Cadastrada")</f>
        <v>0</v>
      </c>
      <c r="K721" s="97">
        <f>IFERROR(J721/(I721/VLOOKUP(A721,'Tabela de Produtos'!A:H,8,0)),"Matéria Prima Não Cadastrada")</f>
        <v>0</v>
      </c>
      <c r="L721" s="216"/>
    </row>
    <row r="722" spans="1:12" ht="15.75" customHeight="1">
      <c r="A722" s="114" t="s">
        <v>159</v>
      </c>
      <c r="B722" s="114" t="str">
        <f>VLOOKUP(A722,'Tabela de Produtos'!A:B,2,0)</f>
        <v>BRAZIMIL LÁTEX STANDARD INT/EXT FOSCO 3L VERDE LIMA</v>
      </c>
      <c r="C722" s="48" t="s">
        <v>1201</v>
      </c>
      <c r="D722" s="114" t="str">
        <f>VLOOKUP(C722,'Custos Matéria Prima Embalagens'!B:C,2,0)</f>
        <v>WANFOAM 528 CE (BB-190)</v>
      </c>
      <c r="E722" s="114" t="str">
        <f>VLOOKUP(C722,'Custos Matéria Prima Embalagens'!B:D,3,0)</f>
        <v>ANTI ESPUMA LATEX</v>
      </c>
      <c r="F722" s="270">
        <f t="shared" si="92"/>
        <v>1956</v>
      </c>
      <c r="G722" s="148">
        <f t="shared" si="93"/>
        <v>2.5562372188139061E-3</v>
      </c>
      <c r="H722" s="96">
        <v>5</v>
      </c>
      <c r="I722" s="272">
        <f>ROUND(F722/VLOOKUP(A722,'Tabela de Produtos'!A:J,10,0),0)</f>
        <v>1540</v>
      </c>
      <c r="J722" s="97">
        <f>IFERROR(VLOOKUP(C722,'Custos Matéria Prima Embalagens'!B:G,6,0)*H722,"Matéria Prima Não Cadastrada")</f>
        <v>35.9</v>
      </c>
      <c r="K722" s="97">
        <f>IFERROR(J722/(I722/VLOOKUP(A722,'Tabela de Produtos'!A:H,8,0)),"Matéria Prima Não Cadastrada")</f>
        <v>6.9935064935064933E-2</v>
      </c>
      <c r="L722" s="216"/>
    </row>
    <row r="723" spans="1:12" ht="15.75" customHeight="1">
      <c r="A723" s="114" t="s">
        <v>159</v>
      </c>
      <c r="B723" s="114" t="str">
        <f>VLOOKUP(A723,'Tabela de Produtos'!A:B,2,0)</f>
        <v>BRAZIMIL LÁTEX STANDARD INT/EXT FOSCO 3L VERDE LIMA</v>
      </c>
      <c r="C723" s="48" t="s">
        <v>1203</v>
      </c>
      <c r="D723" s="114" t="str">
        <f>VLOOKUP(C723,'Custos Matéria Prima Embalagens'!B:C,2,0)</f>
        <v>WANBAC WBT CE (BH-200)</v>
      </c>
      <c r="E723" s="114" t="str">
        <f>VLOOKUP(C723,'Custos Matéria Prima Embalagens'!B:D,3,0)</f>
        <v>BACTERICIDA</v>
      </c>
      <c r="F723" s="270">
        <f t="shared" si="92"/>
        <v>1956</v>
      </c>
      <c r="G723" s="148">
        <f t="shared" si="93"/>
        <v>3.0674846625766872E-3</v>
      </c>
      <c r="H723" s="96">
        <v>6</v>
      </c>
      <c r="I723" s="272">
        <f>ROUND(F723/VLOOKUP(A723,'Tabela de Produtos'!A:J,10,0),0)</f>
        <v>1540</v>
      </c>
      <c r="J723" s="97">
        <f>IFERROR(VLOOKUP(C723,'Custos Matéria Prima Embalagens'!B:G,6,0)*H723,"Matéria Prima Não Cadastrada")</f>
        <v>29.639999999999997</v>
      </c>
      <c r="K723" s="97">
        <f>IFERROR(J723/(I723/VLOOKUP(A723,'Tabela de Produtos'!A:H,8,0)),"Matéria Prima Não Cadastrada")</f>
        <v>5.7740259740259731E-2</v>
      </c>
      <c r="L723" s="216"/>
    </row>
    <row r="724" spans="1:12" ht="15.75" customHeight="1">
      <c r="A724" s="114" t="s">
        <v>159</v>
      </c>
      <c r="B724" s="114" t="str">
        <f>VLOOKUP(A724,'Tabela de Produtos'!A:B,2,0)</f>
        <v>BRAZIMIL LÁTEX STANDARD INT/EXT FOSCO 3L VERDE LIMA</v>
      </c>
      <c r="C724" s="48" t="s">
        <v>1205</v>
      </c>
      <c r="D724" s="114" t="str">
        <f>VLOOKUP(C724,'Custos Matéria Prima Embalagens'!B:C,2,0)</f>
        <v>WANSUR 840 CE (BB-200)01</v>
      </c>
      <c r="E724" s="114" t="str">
        <f>VLOOKUP(C724,'Custos Matéria Prima Embalagens'!B:D,3,0)</f>
        <v>UMECTANTE</v>
      </c>
      <c r="F724" s="270">
        <f t="shared" si="92"/>
        <v>1956</v>
      </c>
      <c r="G724" s="148">
        <f t="shared" si="93"/>
        <v>2.0449897750511249E-3</v>
      </c>
      <c r="H724" s="96">
        <v>4</v>
      </c>
      <c r="I724" s="272">
        <f>ROUND(F724/VLOOKUP(A724,'Tabela de Produtos'!A:J,10,0),0)</f>
        <v>1540</v>
      </c>
      <c r="J724" s="97">
        <f>IFERROR(VLOOKUP(C724,'Custos Matéria Prima Embalagens'!B:G,6,0)*H724,"Matéria Prima Não Cadastrada")</f>
        <v>29.32</v>
      </c>
      <c r="K724" s="97">
        <f>IFERROR(J724/(I724/VLOOKUP(A724,'Tabela de Produtos'!A:H,8,0)),"Matéria Prima Não Cadastrada")</f>
        <v>5.7116883116883115E-2</v>
      </c>
      <c r="L724" s="216"/>
    </row>
    <row r="725" spans="1:12" ht="15.75" customHeight="1">
      <c r="A725" s="114" t="s">
        <v>159</v>
      </c>
      <c r="B725" s="114" t="str">
        <f>VLOOKUP(A725,'Tabela de Produtos'!A:B,2,0)</f>
        <v>BRAZIMIL LÁTEX STANDARD INT/EXT FOSCO 3L VERDE LIMA</v>
      </c>
      <c r="C725" s="48" t="s">
        <v>1207</v>
      </c>
      <c r="D725" s="114" t="str">
        <f>VLOOKUP(C725,'Custos Matéria Prima Embalagens'!B:C,2,0)</f>
        <v>WANPEX 1510 (BB-200)</v>
      </c>
      <c r="E725" s="114" t="str">
        <f>VLOOKUP(C725,'Custos Matéria Prima Embalagens'!B:D,3,0)</f>
        <v>DISPERSANTE LATEX</v>
      </c>
      <c r="F725" s="270">
        <f t="shared" si="92"/>
        <v>1956</v>
      </c>
      <c r="G725" s="148">
        <f t="shared" si="93"/>
        <v>3.0674846625766872E-3</v>
      </c>
      <c r="H725" s="96">
        <v>6</v>
      </c>
      <c r="I725" s="272">
        <f>ROUND(F725/VLOOKUP(A725,'Tabela de Produtos'!A:J,10,0),0)</f>
        <v>1540</v>
      </c>
      <c r="J725" s="97">
        <f>IFERROR(VLOOKUP(C725,'Custos Matéria Prima Embalagens'!B:G,6,0)*H725,"Matéria Prima Não Cadastrada")</f>
        <v>41.16</v>
      </c>
      <c r="K725" s="97">
        <f>IFERROR(J725/(I725/VLOOKUP(A725,'Tabela de Produtos'!A:H,8,0)),"Matéria Prima Não Cadastrada")</f>
        <v>8.0181818181818174E-2</v>
      </c>
      <c r="L725" s="216"/>
    </row>
    <row r="726" spans="1:12" ht="15.75" customHeight="1">
      <c r="A726" s="114" t="s">
        <v>159</v>
      </c>
      <c r="B726" s="114" t="str">
        <f>VLOOKUP(A726,'Tabela de Produtos'!A:B,2,0)</f>
        <v>BRAZIMIL LÁTEX STANDARD INT/EXT FOSCO 3L VERDE LIMA</v>
      </c>
      <c r="C726" s="48" t="s">
        <v>1209</v>
      </c>
      <c r="D726" s="114" t="str">
        <f>VLOOKUP(C726,'Custos Matéria Prima Embalagens'!B:C,2,0)</f>
        <v>WANFUNG WFT CE (BH-200)</v>
      </c>
      <c r="E726" s="114" t="str">
        <f>VLOOKUP(C726,'Custos Matéria Prima Embalagens'!B:D,3,0)</f>
        <v>FUNGICIDA</v>
      </c>
      <c r="F726" s="270">
        <f t="shared" si="92"/>
        <v>1956</v>
      </c>
      <c r="G726" s="148">
        <f t="shared" si="93"/>
        <v>2.5562372188139061E-3</v>
      </c>
      <c r="H726" s="96">
        <v>5</v>
      </c>
      <c r="I726" s="272">
        <f>ROUND(F726/VLOOKUP(A726,'Tabela de Produtos'!A:J,10,0),0)</f>
        <v>1540</v>
      </c>
      <c r="J726" s="97">
        <f>IFERROR(VLOOKUP(C726,'Custos Matéria Prima Embalagens'!B:G,6,0)*H726,"Matéria Prima Não Cadastrada")</f>
        <v>35</v>
      </c>
      <c r="K726" s="97">
        <f>IFERROR(J726/(I726/VLOOKUP(A726,'Tabela de Produtos'!A:H,8,0)),"Matéria Prima Não Cadastrada")</f>
        <v>6.8181818181818177E-2</v>
      </c>
      <c r="L726" s="216"/>
    </row>
    <row r="727" spans="1:12" ht="15.75" customHeight="1">
      <c r="A727" s="114" t="s">
        <v>159</v>
      </c>
      <c r="B727" s="114" t="str">
        <f>VLOOKUP(A727,'Tabela de Produtos'!A:B,2,0)</f>
        <v>BRAZIMIL LÁTEX STANDARD INT/EXT FOSCO 3L VERDE LIMA</v>
      </c>
      <c r="C727" s="48" t="s">
        <v>1211</v>
      </c>
      <c r="D727" s="114" t="str">
        <f>VLOOKUP(C727,'Custos Matéria Prima Embalagens'!B:C,2,0)</f>
        <v>WHITE PLUS PB (SC-25) (Em negociação)</v>
      </c>
      <c r="E727" s="114" t="str">
        <f>VLOOKUP(C727,'Custos Matéria Prima Embalagens'!B:D,3,0)</f>
        <v>WHITE PLUS</v>
      </c>
      <c r="F727" s="270">
        <f t="shared" si="92"/>
        <v>1956</v>
      </c>
      <c r="G727" s="148">
        <f t="shared" si="93"/>
        <v>0.15337423312883436</v>
      </c>
      <c r="H727" s="96">
        <v>300</v>
      </c>
      <c r="I727" s="272">
        <f>ROUND(F727/VLOOKUP(A727,'Tabela de Produtos'!A:J,10,0),0)</f>
        <v>1540</v>
      </c>
      <c r="J727" s="97">
        <f>IFERROR(VLOOKUP(C727,'Custos Matéria Prima Embalagens'!B:G,6,0)*H727,"Matéria Prima Não Cadastrada")</f>
        <v>927</v>
      </c>
      <c r="K727" s="97">
        <f>IFERROR(J727/(I727/VLOOKUP(A727,'Tabela de Produtos'!A:H,8,0)),"Matéria Prima Não Cadastrada")</f>
        <v>1.8058441558441558</v>
      </c>
      <c r="L727" s="216"/>
    </row>
    <row r="728" spans="1:12" ht="15.75" customHeight="1">
      <c r="A728" s="114" t="s">
        <v>159</v>
      </c>
      <c r="B728" s="114" t="str">
        <f>VLOOKUP(A728,'Tabela de Produtos'!A:B,2,0)</f>
        <v>BRAZIMIL LÁTEX STANDARD INT/EXT FOSCO 3L VERDE LIMA</v>
      </c>
      <c r="C728" s="48" t="s">
        <v>1213</v>
      </c>
      <c r="D728" s="114" t="str">
        <f>VLOOKUP(C728,'Custos Matéria Prima Embalagens'!B:C,2,0)</f>
        <v>DIOXIDO DE TITANIO RUTILO R-996</v>
      </c>
      <c r="E728" s="114" t="str">
        <f>VLOOKUP(C728,'Custos Matéria Prima Embalagens'!B:D,3,0)</f>
        <v>TITANIO</v>
      </c>
      <c r="F728" s="270">
        <f t="shared" si="92"/>
        <v>1956</v>
      </c>
      <c r="G728" s="148">
        <f t="shared" si="93"/>
        <v>3.0674846625766871E-2</v>
      </c>
      <c r="H728" s="96">
        <v>60</v>
      </c>
      <c r="I728" s="272">
        <f>ROUND(F728/VLOOKUP(A728,'Tabela de Produtos'!A:J,10,0),0)</f>
        <v>1540</v>
      </c>
      <c r="J728" s="97">
        <f>IFERROR(VLOOKUP(C728,'Custos Matéria Prima Embalagens'!B:G,6,0)*H728,"Matéria Prima Não Cadastrada")</f>
        <v>1158</v>
      </c>
      <c r="K728" s="97">
        <f>IFERROR(J728/(I728/VLOOKUP(A728,'Tabela de Produtos'!A:H,8,0)),"Matéria Prima Não Cadastrada")</f>
        <v>2.2558441558441555</v>
      </c>
      <c r="L728" s="216"/>
    </row>
    <row r="729" spans="1:12" ht="15.75" customHeight="1">
      <c r="A729" s="114" t="s">
        <v>159</v>
      </c>
      <c r="B729" s="114" t="str">
        <f>VLOOKUP(A729,'Tabela de Produtos'!A:B,2,0)</f>
        <v>BRAZIMIL LÁTEX STANDARD INT/EXT FOSCO 3L VERDE LIMA</v>
      </c>
      <c r="C729" s="48" t="s">
        <v>1215</v>
      </c>
      <c r="D729" s="114" t="str">
        <f>VLOOKUP(C729,'Custos Matéria Prima Embalagens'!B:C,2,0)</f>
        <v>CALCARIO DOLOMITICO #500 ( SACOS 25 KG)</v>
      </c>
      <c r="E729" s="114" t="str">
        <f>VLOOKUP(C729,'Custos Matéria Prima Embalagens'!B:D,3,0)</f>
        <v>CARBONATO #500</v>
      </c>
      <c r="F729" s="270">
        <f t="shared" si="92"/>
        <v>1956</v>
      </c>
      <c r="G729" s="148">
        <f t="shared" si="93"/>
        <v>0.15337423312883436</v>
      </c>
      <c r="H729" s="96">
        <v>300</v>
      </c>
      <c r="I729" s="272">
        <f>ROUND(F729/VLOOKUP(A729,'Tabela de Produtos'!A:J,10,0),0)</f>
        <v>1540</v>
      </c>
      <c r="J729" s="97">
        <f>IFERROR(VLOOKUP(C729,'Custos Matéria Prima Embalagens'!B:G,6,0)*H729,"Matéria Prima Não Cadastrada")</f>
        <v>240</v>
      </c>
      <c r="K729" s="97">
        <f>IFERROR(J729/(I729/VLOOKUP(A729,'Tabela de Produtos'!A:H,8,0)),"Matéria Prima Não Cadastrada")</f>
        <v>0.46753246753246752</v>
      </c>
      <c r="L729" s="216"/>
    </row>
    <row r="730" spans="1:12" ht="15.75" customHeight="1">
      <c r="A730" s="114" t="s">
        <v>159</v>
      </c>
      <c r="B730" s="114" t="str">
        <f>VLOOKUP(A730,'Tabela de Produtos'!A:B,2,0)</f>
        <v>BRAZIMIL LÁTEX STANDARD INT/EXT FOSCO 3L VERDE LIMA</v>
      </c>
      <c r="C730" s="48" t="s">
        <v>1227</v>
      </c>
      <c r="D730" s="114" t="str">
        <f>VLOOKUP(C730,'Custos Matéria Prima Embalagens'!B:C,2,0)</f>
        <v>CAULIM MALHA 325</v>
      </c>
      <c r="E730" s="114" t="str">
        <f>VLOOKUP(C730,'Custos Matéria Prima Embalagens'!B:D,3,0)</f>
        <v>caulim</v>
      </c>
      <c r="F730" s="270">
        <f t="shared" si="92"/>
        <v>1956</v>
      </c>
      <c r="G730" s="148">
        <f t="shared" si="93"/>
        <v>5.112474437627812E-2</v>
      </c>
      <c r="H730" s="96">
        <v>100</v>
      </c>
      <c r="I730" s="272">
        <f>ROUND(F730/VLOOKUP(A730,'Tabela de Produtos'!A:J,10,0),0)</f>
        <v>1540</v>
      </c>
      <c r="J730" s="97">
        <f>IFERROR(VLOOKUP(C730,'Custos Matéria Prima Embalagens'!B:G,6,0)*H730,"Matéria Prima Não Cadastrada")</f>
        <v>152.04955555555551</v>
      </c>
      <c r="K730" s="97">
        <f>IFERROR(J730/(I730/VLOOKUP(A730,'Tabela de Produtos'!A:H,8,0)),"Matéria Prima Não Cadastrada")</f>
        <v>0.2962004329004328</v>
      </c>
      <c r="L730" s="216"/>
    </row>
    <row r="731" spans="1:12" ht="15.75" customHeight="1">
      <c r="A731" s="114" t="s">
        <v>159</v>
      </c>
      <c r="B731" s="114" t="str">
        <f>VLOOKUP(A731,'Tabela de Produtos'!A:B,2,0)</f>
        <v>BRAZIMIL LÁTEX STANDARD INT/EXT FOSCO 3L VERDE LIMA</v>
      </c>
      <c r="C731" s="48" t="s">
        <v>1217</v>
      </c>
      <c r="D731" s="114" t="str">
        <f>VLOOKUP(C731,'Custos Matéria Prima Embalagens'!B:C,2,0)</f>
        <v>WANCRIL W 51 CE (CT-1000P)</v>
      </c>
      <c r="E731" s="114" t="str">
        <f>VLOOKUP(C731,'Custos Matéria Prima Embalagens'!B:D,3,0)</f>
        <v>RESINA ACRILICA ESTIRENADA</v>
      </c>
      <c r="F731" s="270">
        <f t="shared" si="92"/>
        <v>1956</v>
      </c>
      <c r="G731" s="148">
        <f t="shared" si="93"/>
        <v>0.10224948875255624</v>
      </c>
      <c r="H731" s="96">
        <v>200</v>
      </c>
      <c r="I731" s="272">
        <f>ROUND(F731/VLOOKUP(A731,'Tabela de Produtos'!A:J,10,0),0)</f>
        <v>1540</v>
      </c>
      <c r="J731" s="97">
        <f>IFERROR(VLOOKUP(C731,'Custos Matéria Prima Embalagens'!B:G,6,0)*H731,"Matéria Prima Não Cadastrada")</f>
        <v>1686</v>
      </c>
      <c r="K731" s="97">
        <f>IFERROR(J731/(I731/VLOOKUP(A731,'Tabela de Produtos'!A:H,8,0)),"Matéria Prima Não Cadastrada")</f>
        <v>3.284415584415584</v>
      </c>
      <c r="L731" s="216"/>
    </row>
    <row r="732" spans="1:12" ht="15.75" customHeight="1">
      <c r="A732" s="114" t="s">
        <v>159</v>
      </c>
      <c r="B732" s="114" t="str">
        <f>VLOOKUP(A732,'Tabela de Produtos'!A:B,2,0)</f>
        <v>BRAZIMIL LÁTEX STANDARD INT/EXT FOSCO 3L VERDE LIMA</v>
      </c>
      <c r="C732" s="48" t="s">
        <v>1219</v>
      </c>
      <c r="D732" s="114" t="str">
        <f>VLOOKUP(C732,'Custos Matéria Prima Embalagens'!B:C,2,0)</f>
        <v>WANALK 70 CE (BH-200)</v>
      </c>
      <c r="E732" s="114" t="str">
        <f>VLOOKUP(C732,'Custos Matéria Prima Embalagens'!B:D,3,0)</f>
        <v>ALCALINIZANTE</v>
      </c>
      <c r="F732" s="270">
        <f t="shared" si="92"/>
        <v>1956</v>
      </c>
      <c r="G732" s="148">
        <f t="shared" si="93"/>
        <v>2.5562372188139061E-3</v>
      </c>
      <c r="H732" s="96">
        <v>5</v>
      </c>
      <c r="I732" s="272">
        <f>ROUND(F732/VLOOKUP(A732,'Tabela de Produtos'!A:J,10,0),0)</f>
        <v>1540</v>
      </c>
      <c r="J732" s="97">
        <f>IFERROR(VLOOKUP(C732,'Custos Matéria Prima Embalagens'!B:G,6,0)*H732,"Matéria Prima Não Cadastrada")</f>
        <v>24.900000000000002</v>
      </c>
      <c r="K732" s="97">
        <f>IFERROR(J732/(I732/VLOOKUP(A732,'Tabela de Produtos'!A:H,8,0)),"Matéria Prima Não Cadastrada")</f>
        <v>4.8506493506493505E-2</v>
      </c>
      <c r="L732" s="216"/>
    </row>
    <row r="733" spans="1:12" ht="15.75" customHeight="1">
      <c r="A733" s="114" t="s">
        <v>159</v>
      </c>
      <c r="B733" s="114" t="str">
        <f>VLOOKUP(A733,'Tabela de Produtos'!A:B,2,0)</f>
        <v>BRAZIMIL LÁTEX STANDARD INT/EXT FOSCO 3L VERDE LIMA</v>
      </c>
      <c r="C733" s="48" t="s">
        <v>1221</v>
      </c>
      <c r="D733" s="114" t="str">
        <f>VLOOKUP(C733,'Custos Matéria Prima Embalagens'!B:C,2,0)</f>
        <v>MODIWAN 105H CE (CT-1000P)</v>
      </c>
      <c r="E733" s="114" t="str">
        <f>VLOOKUP(C733,'Custos Matéria Prima Embalagens'!B:D,3,0)</f>
        <v>ESPESSANTE DE MEDIA</v>
      </c>
      <c r="F733" s="270">
        <f t="shared" si="92"/>
        <v>1956</v>
      </c>
      <c r="G733" s="148">
        <f t="shared" si="93"/>
        <v>1.0224948875255624E-2</v>
      </c>
      <c r="H733" s="96">
        <v>20</v>
      </c>
      <c r="I733" s="272">
        <f>ROUND(F733/VLOOKUP(A733,'Tabela de Produtos'!A:J,10,0),0)</f>
        <v>1540</v>
      </c>
      <c r="J733" s="97">
        <f>IFERROR(VLOOKUP(C733,'Custos Matéria Prima Embalagens'!B:G,6,0)*H733,"Matéria Prima Não Cadastrada")</f>
        <v>158.1</v>
      </c>
      <c r="K733" s="97">
        <f>IFERROR(J733/(I733/VLOOKUP(A733,'Tabela de Produtos'!A:H,8,0)),"Matéria Prima Não Cadastrada")</f>
        <v>0.30798701298701298</v>
      </c>
      <c r="L733" s="216"/>
    </row>
    <row r="734" spans="1:12" ht="15.75" customHeight="1">
      <c r="A734" s="114" t="s">
        <v>159</v>
      </c>
      <c r="B734" s="114" t="str">
        <f>VLOOKUP(A734,'Tabela de Produtos'!A:B,2,0)</f>
        <v>BRAZIMIL LÁTEX STANDARD INT/EXT FOSCO 3L VERDE LIMA</v>
      </c>
      <c r="C734" s="48" t="s">
        <v>1223</v>
      </c>
      <c r="D734" s="114" t="str">
        <f>VLOOKUP(C734,'Custos Matéria Prima Embalagens'!B:C,2,0)</f>
        <v>TURBOWAN H CE (BH-200)</v>
      </c>
      <c r="E734" s="114" t="str">
        <f>VLOOKUP(C734,'Custos Matéria Prima Embalagens'!B:D,3,0)</f>
        <v>PROMOTOR DE LAVABILIDADE</v>
      </c>
      <c r="F734" s="270">
        <f t="shared" si="92"/>
        <v>1956</v>
      </c>
      <c r="G734" s="148">
        <f t="shared" si="93"/>
        <v>7.6687116564417178E-3</v>
      </c>
      <c r="H734" s="96">
        <v>15</v>
      </c>
      <c r="I734" s="272">
        <f>ROUND(F734/VLOOKUP(A734,'Tabela de Produtos'!A:J,10,0),0)</f>
        <v>1540</v>
      </c>
      <c r="J734" s="97">
        <f>IFERROR(VLOOKUP(C734,'Custos Matéria Prima Embalagens'!B:G,6,0)*H734,"Matéria Prima Não Cadastrada")</f>
        <v>72.75</v>
      </c>
      <c r="K734" s="97">
        <f>IFERROR(J734/(I734/VLOOKUP(A734,'Tabela de Produtos'!A:H,8,0)),"Matéria Prima Não Cadastrada")</f>
        <v>0.14172077922077922</v>
      </c>
      <c r="L734" s="216"/>
    </row>
    <row r="735" spans="1:12" ht="15.75" customHeight="1">
      <c r="A735" s="114" t="s">
        <v>159</v>
      </c>
      <c r="B735" s="114" t="str">
        <f>VLOOKUP(A735,'Tabela de Produtos'!A:B,2,0)</f>
        <v>BRAZIMIL LÁTEX STANDARD INT/EXT FOSCO 3L VERDE LIMA</v>
      </c>
      <c r="C735" s="48" t="s">
        <v>1229</v>
      </c>
      <c r="D735" s="114" t="str">
        <f>VLOOKUP(C735,'Custos Matéria Prima Embalagens'!B:C,2,0)</f>
        <v>WANSOL 340 CE (BB-200)</v>
      </c>
      <c r="E735" s="114" t="str">
        <f>VLOOKUP(C735,'Custos Matéria Prima Embalagens'!B:D,3,0)</f>
        <v>COALESCENTE</v>
      </c>
      <c r="F735" s="270">
        <f t="shared" si="92"/>
        <v>1956</v>
      </c>
      <c r="G735" s="148">
        <f t="shared" si="93"/>
        <v>5.1124744376278121E-3</v>
      </c>
      <c r="H735" s="96">
        <v>10</v>
      </c>
      <c r="I735" s="272">
        <f>ROUND(F735/VLOOKUP(A735,'Tabela de Produtos'!A:J,10,0),0)</f>
        <v>1540</v>
      </c>
      <c r="J735" s="97">
        <f>IFERROR(VLOOKUP(C735,'Custos Matéria Prima Embalagens'!B:G,6,0)*H735,"Matéria Prima Não Cadastrada")</f>
        <v>192.2</v>
      </c>
      <c r="K735" s="97">
        <f>IFERROR(J735/(I735/VLOOKUP(A735,'Tabela de Produtos'!A:H,8,0)),"Matéria Prima Não Cadastrada")</f>
        <v>0.37441558441558437</v>
      </c>
      <c r="L735" s="216"/>
    </row>
    <row r="736" spans="1:12" ht="15.75" customHeight="1">
      <c r="D736" s="114"/>
      <c r="E736" s="114"/>
      <c r="F736" s="96"/>
      <c r="G736" s="148"/>
      <c r="H736" s="96"/>
      <c r="I736" s="272"/>
      <c r="J736" s="97"/>
      <c r="K736" s="97"/>
      <c r="L736" s="216"/>
    </row>
    <row r="737" spans="1:12" ht="15.75" customHeight="1">
      <c r="A737" s="114" t="s">
        <v>160</v>
      </c>
      <c r="B737" s="114" t="str">
        <f>VLOOKUP(A737,'Tabela de Produtos'!A:B,2,0)</f>
        <v>BRAZIMIL LÁTEX STANDARD INT/EXT FOSCO 3L PEROLA</v>
      </c>
      <c r="C737" s="48" t="s">
        <v>1197</v>
      </c>
      <c r="D737" s="114" t="str">
        <f>VLOOKUP(C737,'Custos Matéria Prima Embalagens'!B:C,2,0)</f>
        <v>AGUA</v>
      </c>
      <c r="E737" s="114" t="str">
        <f>VLOOKUP(C737,'Custos Matéria Prima Embalagens'!B:D,3,0)</f>
        <v>AGUA</v>
      </c>
      <c r="F737" s="270">
        <f t="shared" ref="F737:F751" si="94">SUMIFS(H:H,A:A,A737)</f>
        <v>1956</v>
      </c>
      <c r="G737" s="148">
        <f t="shared" ref="G737:G751" si="95">H737/F737</f>
        <v>0.47034764826175868</v>
      </c>
      <c r="H737" s="96">
        <v>920</v>
      </c>
      <c r="I737" s="272">
        <f>ROUND(F737/VLOOKUP(A737,'Tabela de Produtos'!A:J,10,0),0)</f>
        <v>1540</v>
      </c>
      <c r="J737" s="97">
        <f>IFERROR(VLOOKUP(C737,'Custos Matéria Prima Embalagens'!B:G,6,0)*H737,"Matéria Prima Não Cadastrada")</f>
        <v>0</v>
      </c>
      <c r="K737" s="97">
        <f>IFERROR(J737/(I737/VLOOKUP(A737,'Tabela de Produtos'!A:H,8,0)),"Matéria Prima Não Cadastrada")</f>
        <v>0</v>
      </c>
      <c r="L737" s="216"/>
    </row>
    <row r="738" spans="1:12" ht="15.75" customHeight="1">
      <c r="A738" s="114" t="s">
        <v>160</v>
      </c>
      <c r="B738" s="114" t="str">
        <f>VLOOKUP(A738,'Tabela de Produtos'!A:B,2,0)</f>
        <v>BRAZIMIL LÁTEX STANDARD INT/EXT FOSCO 3L PEROLA</v>
      </c>
      <c r="C738" s="48" t="s">
        <v>1201</v>
      </c>
      <c r="D738" s="114" t="str">
        <f>VLOOKUP(C738,'Custos Matéria Prima Embalagens'!B:C,2,0)</f>
        <v>WANFOAM 528 CE (BB-190)</v>
      </c>
      <c r="E738" s="114" t="str">
        <f>VLOOKUP(C738,'Custos Matéria Prima Embalagens'!B:D,3,0)</f>
        <v>ANTI ESPUMA LATEX</v>
      </c>
      <c r="F738" s="270">
        <f t="shared" si="94"/>
        <v>1956</v>
      </c>
      <c r="G738" s="148">
        <f t="shared" si="95"/>
        <v>2.5562372188139061E-3</v>
      </c>
      <c r="H738" s="96">
        <v>5</v>
      </c>
      <c r="I738" s="272">
        <f>ROUND(F738/VLOOKUP(A738,'Tabela de Produtos'!A:J,10,0),0)</f>
        <v>1540</v>
      </c>
      <c r="J738" s="97">
        <f>IFERROR(VLOOKUP(C738,'Custos Matéria Prima Embalagens'!B:G,6,0)*H738,"Matéria Prima Não Cadastrada")</f>
        <v>35.9</v>
      </c>
      <c r="K738" s="97">
        <f>IFERROR(J738/(I738/VLOOKUP(A738,'Tabela de Produtos'!A:H,8,0)),"Matéria Prima Não Cadastrada")</f>
        <v>6.9935064935064933E-2</v>
      </c>
      <c r="L738" s="216"/>
    </row>
    <row r="739" spans="1:12" ht="15.75" customHeight="1">
      <c r="A739" s="114" t="s">
        <v>160</v>
      </c>
      <c r="B739" s="114" t="str">
        <f>VLOOKUP(A739,'Tabela de Produtos'!A:B,2,0)</f>
        <v>BRAZIMIL LÁTEX STANDARD INT/EXT FOSCO 3L PEROLA</v>
      </c>
      <c r="C739" s="48" t="s">
        <v>1203</v>
      </c>
      <c r="D739" s="114" t="str">
        <f>VLOOKUP(C739,'Custos Matéria Prima Embalagens'!B:C,2,0)</f>
        <v>WANBAC WBT CE (BH-200)</v>
      </c>
      <c r="E739" s="114" t="str">
        <f>VLOOKUP(C739,'Custos Matéria Prima Embalagens'!B:D,3,0)</f>
        <v>BACTERICIDA</v>
      </c>
      <c r="F739" s="270">
        <f t="shared" si="94"/>
        <v>1956</v>
      </c>
      <c r="G739" s="148">
        <f t="shared" si="95"/>
        <v>3.0674846625766872E-3</v>
      </c>
      <c r="H739" s="96">
        <v>6</v>
      </c>
      <c r="I739" s="272">
        <f>ROUND(F739/VLOOKUP(A739,'Tabela de Produtos'!A:J,10,0),0)</f>
        <v>1540</v>
      </c>
      <c r="J739" s="97">
        <f>IFERROR(VLOOKUP(C739,'Custos Matéria Prima Embalagens'!B:G,6,0)*H739,"Matéria Prima Não Cadastrada")</f>
        <v>29.639999999999997</v>
      </c>
      <c r="K739" s="97">
        <f>IFERROR(J739/(I739/VLOOKUP(A739,'Tabela de Produtos'!A:H,8,0)),"Matéria Prima Não Cadastrada")</f>
        <v>5.7740259740259731E-2</v>
      </c>
      <c r="L739" s="216"/>
    </row>
    <row r="740" spans="1:12" ht="15.75" customHeight="1">
      <c r="A740" s="114" t="s">
        <v>160</v>
      </c>
      <c r="B740" s="114" t="str">
        <f>VLOOKUP(A740,'Tabela de Produtos'!A:B,2,0)</f>
        <v>BRAZIMIL LÁTEX STANDARD INT/EXT FOSCO 3L PEROLA</v>
      </c>
      <c r="C740" s="48" t="s">
        <v>1205</v>
      </c>
      <c r="D740" s="114" t="str">
        <f>VLOOKUP(C740,'Custos Matéria Prima Embalagens'!B:C,2,0)</f>
        <v>WANSUR 840 CE (BB-200)01</v>
      </c>
      <c r="E740" s="114" t="str">
        <f>VLOOKUP(C740,'Custos Matéria Prima Embalagens'!B:D,3,0)</f>
        <v>UMECTANTE</v>
      </c>
      <c r="F740" s="270">
        <f t="shared" si="94"/>
        <v>1956</v>
      </c>
      <c r="G740" s="148">
        <f t="shared" si="95"/>
        <v>2.0449897750511249E-3</v>
      </c>
      <c r="H740" s="96">
        <v>4</v>
      </c>
      <c r="I740" s="272">
        <f>ROUND(F740/VLOOKUP(A740,'Tabela de Produtos'!A:J,10,0),0)</f>
        <v>1540</v>
      </c>
      <c r="J740" s="97">
        <f>IFERROR(VLOOKUP(C740,'Custos Matéria Prima Embalagens'!B:G,6,0)*H740,"Matéria Prima Não Cadastrada")</f>
        <v>29.32</v>
      </c>
      <c r="K740" s="97">
        <f>IFERROR(J740/(I740/VLOOKUP(A740,'Tabela de Produtos'!A:H,8,0)),"Matéria Prima Não Cadastrada")</f>
        <v>5.7116883116883115E-2</v>
      </c>
      <c r="L740" s="216"/>
    </row>
    <row r="741" spans="1:12" ht="15.75" customHeight="1">
      <c r="A741" s="114" t="s">
        <v>160</v>
      </c>
      <c r="B741" s="114" t="str">
        <f>VLOOKUP(A741,'Tabela de Produtos'!A:B,2,0)</f>
        <v>BRAZIMIL LÁTEX STANDARD INT/EXT FOSCO 3L PEROLA</v>
      </c>
      <c r="C741" s="48" t="s">
        <v>1207</v>
      </c>
      <c r="D741" s="114" t="str">
        <f>VLOOKUP(C741,'Custos Matéria Prima Embalagens'!B:C,2,0)</f>
        <v>WANPEX 1510 (BB-200)</v>
      </c>
      <c r="E741" s="114" t="str">
        <f>VLOOKUP(C741,'Custos Matéria Prima Embalagens'!B:D,3,0)</f>
        <v>DISPERSANTE LATEX</v>
      </c>
      <c r="F741" s="270">
        <f t="shared" si="94"/>
        <v>1956</v>
      </c>
      <c r="G741" s="148">
        <f t="shared" si="95"/>
        <v>3.0674846625766872E-3</v>
      </c>
      <c r="H741" s="96">
        <v>6</v>
      </c>
      <c r="I741" s="272">
        <f>ROUND(F741/VLOOKUP(A741,'Tabela de Produtos'!A:J,10,0),0)</f>
        <v>1540</v>
      </c>
      <c r="J741" s="97">
        <f>IFERROR(VLOOKUP(C741,'Custos Matéria Prima Embalagens'!B:G,6,0)*H741,"Matéria Prima Não Cadastrada")</f>
        <v>41.16</v>
      </c>
      <c r="K741" s="97">
        <f>IFERROR(J741/(I741/VLOOKUP(A741,'Tabela de Produtos'!A:H,8,0)),"Matéria Prima Não Cadastrada")</f>
        <v>8.0181818181818174E-2</v>
      </c>
      <c r="L741" s="216"/>
    </row>
    <row r="742" spans="1:12" ht="15.75" customHeight="1">
      <c r="A742" s="114" t="s">
        <v>160</v>
      </c>
      <c r="B742" s="114" t="str">
        <f>VLOOKUP(A742,'Tabela de Produtos'!A:B,2,0)</f>
        <v>BRAZIMIL LÁTEX STANDARD INT/EXT FOSCO 3L PEROLA</v>
      </c>
      <c r="C742" s="48" t="s">
        <v>1209</v>
      </c>
      <c r="D742" s="114" t="str">
        <f>VLOOKUP(C742,'Custos Matéria Prima Embalagens'!B:C,2,0)</f>
        <v>WANFUNG WFT CE (BH-200)</v>
      </c>
      <c r="E742" s="114" t="str">
        <f>VLOOKUP(C742,'Custos Matéria Prima Embalagens'!B:D,3,0)</f>
        <v>FUNGICIDA</v>
      </c>
      <c r="F742" s="270">
        <f t="shared" si="94"/>
        <v>1956</v>
      </c>
      <c r="G742" s="148">
        <f t="shared" si="95"/>
        <v>2.5562372188139061E-3</v>
      </c>
      <c r="H742" s="96">
        <v>5</v>
      </c>
      <c r="I742" s="272">
        <f>ROUND(F742/VLOOKUP(A742,'Tabela de Produtos'!A:J,10,0),0)</f>
        <v>1540</v>
      </c>
      <c r="J742" s="97">
        <f>IFERROR(VLOOKUP(C742,'Custos Matéria Prima Embalagens'!B:G,6,0)*H742,"Matéria Prima Não Cadastrada")</f>
        <v>35</v>
      </c>
      <c r="K742" s="97">
        <f>IFERROR(J742/(I742/VLOOKUP(A742,'Tabela de Produtos'!A:H,8,0)),"Matéria Prima Não Cadastrada")</f>
        <v>6.8181818181818177E-2</v>
      </c>
      <c r="L742" s="216"/>
    </row>
    <row r="743" spans="1:12" ht="15.75" customHeight="1">
      <c r="A743" s="114" t="s">
        <v>160</v>
      </c>
      <c r="B743" s="114" t="str">
        <f>VLOOKUP(A743,'Tabela de Produtos'!A:B,2,0)</f>
        <v>BRAZIMIL LÁTEX STANDARD INT/EXT FOSCO 3L PEROLA</v>
      </c>
      <c r="C743" s="48" t="s">
        <v>1211</v>
      </c>
      <c r="D743" s="114" t="str">
        <f>VLOOKUP(C743,'Custos Matéria Prima Embalagens'!B:C,2,0)</f>
        <v>WHITE PLUS PB (SC-25) (Em negociação)</v>
      </c>
      <c r="E743" s="114" t="str">
        <f>VLOOKUP(C743,'Custos Matéria Prima Embalagens'!B:D,3,0)</f>
        <v>WHITE PLUS</v>
      </c>
      <c r="F743" s="270">
        <f t="shared" si="94"/>
        <v>1956</v>
      </c>
      <c r="G743" s="148">
        <f t="shared" si="95"/>
        <v>0.15337423312883436</v>
      </c>
      <c r="H743" s="96">
        <v>300</v>
      </c>
      <c r="I743" s="272">
        <f>ROUND(F743/VLOOKUP(A743,'Tabela de Produtos'!A:J,10,0),0)</f>
        <v>1540</v>
      </c>
      <c r="J743" s="97">
        <f>IFERROR(VLOOKUP(C743,'Custos Matéria Prima Embalagens'!B:G,6,0)*H743,"Matéria Prima Não Cadastrada")</f>
        <v>927</v>
      </c>
      <c r="K743" s="97">
        <f>IFERROR(J743/(I743/VLOOKUP(A743,'Tabela de Produtos'!A:H,8,0)),"Matéria Prima Não Cadastrada")</f>
        <v>1.8058441558441558</v>
      </c>
      <c r="L743" s="216"/>
    </row>
    <row r="744" spans="1:12" ht="15.75" customHeight="1">
      <c r="A744" s="114" t="s">
        <v>160</v>
      </c>
      <c r="B744" s="114" t="str">
        <f>VLOOKUP(A744,'Tabela de Produtos'!A:B,2,0)</f>
        <v>BRAZIMIL LÁTEX STANDARD INT/EXT FOSCO 3L PEROLA</v>
      </c>
      <c r="C744" s="48" t="s">
        <v>1213</v>
      </c>
      <c r="D744" s="114" t="str">
        <f>VLOOKUP(C744,'Custos Matéria Prima Embalagens'!B:C,2,0)</f>
        <v>DIOXIDO DE TITANIO RUTILO R-996</v>
      </c>
      <c r="E744" s="114" t="str">
        <f>VLOOKUP(C744,'Custos Matéria Prima Embalagens'!B:D,3,0)</f>
        <v>TITANIO</v>
      </c>
      <c r="F744" s="270">
        <f t="shared" si="94"/>
        <v>1956</v>
      </c>
      <c r="G744" s="148">
        <f t="shared" si="95"/>
        <v>3.0674846625766871E-2</v>
      </c>
      <c r="H744" s="96">
        <v>60</v>
      </c>
      <c r="I744" s="272">
        <f>ROUND(F744/VLOOKUP(A744,'Tabela de Produtos'!A:J,10,0),0)</f>
        <v>1540</v>
      </c>
      <c r="J744" s="97">
        <f>IFERROR(VLOOKUP(C744,'Custos Matéria Prima Embalagens'!B:G,6,0)*H744,"Matéria Prima Não Cadastrada")</f>
        <v>1158</v>
      </c>
      <c r="K744" s="97">
        <f>IFERROR(J744/(I744/VLOOKUP(A744,'Tabela de Produtos'!A:H,8,0)),"Matéria Prima Não Cadastrada")</f>
        <v>2.2558441558441555</v>
      </c>
      <c r="L744" s="216"/>
    </row>
    <row r="745" spans="1:12" ht="15.75" customHeight="1">
      <c r="A745" s="114" t="s">
        <v>160</v>
      </c>
      <c r="B745" s="114" t="str">
        <f>VLOOKUP(A745,'Tabela de Produtos'!A:B,2,0)</f>
        <v>BRAZIMIL LÁTEX STANDARD INT/EXT FOSCO 3L PEROLA</v>
      </c>
      <c r="C745" s="48" t="s">
        <v>1215</v>
      </c>
      <c r="D745" s="114" t="str">
        <f>VLOOKUP(C745,'Custos Matéria Prima Embalagens'!B:C,2,0)</f>
        <v>CALCARIO DOLOMITICO #500 ( SACOS 25 KG)</v>
      </c>
      <c r="E745" s="114" t="str">
        <f>VLOOKUP(C745,'Custos Matéria Prima Embalagens'!B:D,3,0)</f>
        <v>CARBONATO #500</v>
      </c>
      <c r="F745" s="270">
        <f t="shared" si="94"/>
        <v>1956</v>
      </c>
      <c r="G745" s="148">
        <f t="shared" si="95"/>
        <v>0.15337423312883436</v>
      </c>
      <c r="H745" s="96">
        <v>300</v>
      </c>
      <c r="I745" s="272">
        <f>ROUND(F745/VLOOKUP(A745,'Tabela de Produtos'!A:J,10,0),0)</f>
        <v>1540</v>
      </c>
      <c r="J745" s="97">
        <f>IFERROR(VLOOKUP(C745,'Custos Matéria Prima Embalagens'!B:G,6,0)*H745,"Matéria Prima Não Cadastrada")</f>
        <v>240</v>
      </c>
      <c r="K745" s="97">
        <f>IFERROR(J745/(I745/VLOOKUP(A745,'Tabela de Produtos'!A:H,8,0)),"Matéria Prima Não Cadastrada")</f>
        <v>0.46753246753246752</v>
      </c>
      <c r="L745" s="216"/>
    </row>
    <row r="746" spans="1:12" ht="15.75" customHeight="1">
      <c r="A746" s="114" t="s">
        <v>160</v>
      </c>
      <c r="B746" s="114" t="str">
        <f>VLOOKUP(A746,'Tabela de Produtos'!A:B,2,0)</f>
        <v>BRAZIMIL LÁTEX STANDARD INT/EXT FOSCO 3L PEROLA</v>
      </c>
      <c r="C746" s="48" t="s">
        <v>1227</v>
      </c>
      <c r="D746" s="114" t="str">
        <f>VLOOKUP(C746,'Custos Matéria Prima Embalagens'!B:C,2,0)</f>
        <v>CAULIM MALHA 325</v>
      </c>
      <c r="E746" s="114" t="str">
        <f>VLOOKUP(C746,'Custos Matéria Prima Embalagens'!B:D,3,0)</f>
        <v>caulim</v>
      </c>
      <c r="F746" s="270">
        <f t="shared" si="94"/>
        <v>1956</v>
      </c>
      <c r="G746" s="148">
        <f t="shared" si="95"/>
        <v>5.112474437627812E-2</v>
      </c>
      <c r="H746" s="96">
        <v>100</v>
      </c>
      <c r="I746" s="272">
        <f>ROUND(F746/VLOOKUP(A746,'Tabela de Produtos'!A:J,10,0),0)</f>
        <v>1540</v>
      </c>
      <c r="J746" s="97">
        <f>IFERROR(VLOOKUP(C746,'Custos Matéria Prima Embalagens'!B:G,6,0)*H746,"Matéria Prima Não Cadastrada")</f>
        <v>152.04955555555551</v>
      </c>
      <c r="K746" s="97">
        <f>IFERROR(J746/(I746/VLOOKUP(A746,'Tabela de Produtos'!A:H,8,0)),"Matéria Prima Não Cadastrada")</f>
        <v>0.2962004329004328</v>
      </c>
      <c r="L746" s="216"/>
    </row>
    <row r="747" spans="1:12" ht="15.75" customHeight="1">
      <c r="A747" s="114" t="s">
        <v>160</v>
      </c>
      <c r="B747" s="114" t="str">
        <f>VLOOKUP(A747,'Tabela de Produtos'!A:B,2,0)</f>
        <v>BRAZIMIL LÁTEX STANDARD INT/EXT FOSCO 3L PEROLA</v>
      </c>
      <c r="C747" s="48" t="s">
        <v>1217</v>
      </c>
      <c r="D747" s="114" t="str">
        <f>VLOOKUP(C747,'Custos Matéria Prima Embalagens'!B:C,2,0)</f>
        <v>WANCRIL W 51 CE (CT-1000P)</v>
      </c>
      <c r="E747" s="114" t="str">
        <f>VLOOKUP(C747,'Custos Matéria Prima Embalagens'!B:D,3,0)</f>
        <v>RESINA ACRILICA ESTIRENADA</v>
      </c>
      <c r="F747" s="270">
        <f t="shared" si="94"/>
        <v>1956</v>
      </c>
      <c r="G747" s="148">
        <f t="shared" si="95"/>
        <v>0.10224948875255624</v>
      </c>
      <c r="H747" s="96">
        <v>200</v>
      </c>
      <c r="I747" s="272">
        <f>ROUND(F747/VLOOKUP(A747,'Tabela de Produtos'!A:J,10,0),0)</f>
        <v>1540</v>
      </c>
      <c r="J747" s="97">
        <f>IFERROR(VLOOKUP(C747,'Custos Matéria Prima Embalagens'!B:G,6,0)*H747,"Matéria Prima Não Cadastrada")</f>
        <v>1686</v>
      </c>
      <c r="K747" s="97">
        <f>IFERROR(J747/(I747/VLOOKUP(A747,'Tabela de Produtos'!A:H,8,0)),"Matéria Prima Não Cadastrada")</f>
        <v>3.284415584415584</v>
      </c>
      <c r="L747" s="216"/>
    </row>
    <row r="748" spans="1:12" ht="15.75" customHeight="1">
      <c r="A748" s="114" t="s">
        <v>160</v>
      </c>
      <c r="B748" s="114" t="str">
        <f>VLOOKUP(A748,'Tabela de Produtos'!A:B,2,0)</f>
        <v>BRAZIMIL LÁTEX STANDARD INT/EXT FOSCO 3L PEROLA</v>
      </c>
      <c r="C748" s="48" t="s">
        <v>1219</v>
      </c>
      <c r="D748" s="114" t="str">
        <f>VLOOKUP(C748,'Custos Matéria Prima Embalagens'!B:C,2,0)</f>
        <v>WANALK 70 CE (BH-200)</v>
      </c>
      <c r="E748" s="114" t="str">
        <f>VLOOKUP(C748,'Custos Matéria Prima Embalagens'!B:D,3,0)</f>
        <v>ALCALINIZANTE</v>
      </c>
      <c r="F748" s="270">
        <f t="shared" si="94"/>
        <v>1956</v>
      </c>
      <c r="G748" s="148">
        <f t="shared" si="95"/>
        <v>2.5562372188139061E-3</v>
      </c>
      <c r="H748" s="96">
        <v>5</v>
      </c>
      <c r="I748" s="272">
        <f>ROUND(F748/VLOOKUP(A748,'Tabela de Produtos'!A:J,10,0),0)</f>
        <v>1540</v>
      </c>
      <c r="J748" s="97">
        <f>IFERROR(VLOOKUP(C748,'Custos Matéria Prima Embalagens'!B:G,6,0)*H748,"Matéria Prima Não Cadastrada")</f>
        <v>24.900000000000002</v>
      </c>
      <c r="K748" s="97">
        <f>IFERROR(J748/(I748/VLOOKUP(A748,'Tabela de Produtos'!A:H,8,0)),"Matéria Prima Não Cadastrada")</f>
        <v>4.8506493506493505E-2</v>
      </c>
      <c r="L748" s="216"/>
    </row>
    <row r="749" spans="1:12" ht="15.75" customHeight="1">
      <c r="A749" s="114" t="s">
        <v>160</v>
      </c>
      <c r="B749" s="114" t="str">
        <f>VLOOKUP(A749,'Tabela de Produtos'!A:B,2,0)</f>
        <v>BRAZIMIL LÁTEX STANDARD INT/EXT FOSCO 3L PEROLA</v>
      </c>
      <c r="C749" s="48" t="s">
        <v>1221</v>
      </c>
      <c r="D749" s="114" t="str">
        <f>VLOOKUP(C749,'Custos Matéria Prima Embalagens'!B:C,2,0)</f>
        <v>MODIWAN 105H CE (CT-1000P)</v>
      </c>
      <c r="E749" s="114" t="str">
        <f>VLOOKUP(C749,'Custos Matéria Prima Embalagens'!B:D,3,0)</f>
        <v>ESPESSANTE DE MEDIA</v>
      </c>
      <c r="F749" s="270">
        <f t="shared" si="94"/>
        <v>1956</v>
      </c>
      <c r="G749" s="148">
        <f t="shared" si="95"/>
        <v>1.0224948875255624E-2</v>
      </c>
      <c r="H749" s="96">
        <v>20</v>
      </c>
      <c r="I749" s="272">
        <f>ROUND(F749/VLOOKUP(A749,'Tabela de Produtos'!A:J,10,0),0)</f>
        <v>1540</v>
      </c>
      <c r="J749" s="97">
        <f>IFERROR(VLOOKUP(C749,'Custos Matéria Prima Embalagens'!B:G,6,0)*H749,"Matéria Prima Não Cadastrada")</f>
        <v>158.1</v>
      </c>
      <c r="K749" s="97">
        <f>IFERROR(J749/(I749/VLOOKUP(A749,'Tabela de Produtos'!A:H,8,0)),"Matéria Prima Não Cadastrada")</f>
        <v>0.30798701298701298</v>
      </c>
      <c r="L749" s="216"/>
    </row>
    <row r="750" spans="1:12" ht="15.75" customHeight="1">
      <c r="A750" s="114" t="s">
        <v>160</v>
      </c>
      <c r="B750" s="114" t="str">
        <f>VLOOKUP(A750,'Tabela de Produtos'!A:B,2,0)</f>
        <v>BRAZIMIL LÁTEX STANDARD INT/EXT FOSCO 3L PEROLA</v>
      </c>
      <c r="C750" s="48" t="s">
        <v>1223</v>
      </c>
      <c r="D750" s="114" t="str">
        <f>VLOOKUP(C750,'Custos Matéria Prima Embalagens'!B:C,2,0)</f>
        <v>TURBOWAN H CE (BH-200)</v>
      </c>
      <c r="E750" s="114" t="str">
        <f>VLOOKUP(C750,'Custos Matéria Prima Embalagens'!B:D,3,0)</f>
        <v>PROMOTOR DE LAVABILIDADE</v>
      </c>
      <c r="F750" s="270">
        <f t="shared" si="94"/>
        <v>1956</v>
      </c>
      <c r="G750" s="148">
        <f t="shared" si="95"/>
        <v>7.6687116564417178E-3</v>
      </c>
      <c r="H750" s="96">
        <v>15</v>
      </c>
      <c r="I750" s="272">
        <f>ROUND(F750/VLOOKUP(A750,'Tabela de Produtos'!A:J,10,0),0)</f>
        <v>1540</v>
      </c>
      <c r="J750" s="97">
        <f>IFERROR(VLOOKUP(C750,'Custos Matéria Prima Embalagens'!B:G,6,0)*H750,"Matéria Prima Não Cadastrada")</f>
        <v>72.75</v>
      </c>
      <c r="K750" s="97">
        <f>IFERROR(J750/(I750/VLOOKUP(A750,'Tabela de Produtos'!A:H,8,0)),"Matéria Prima Não Cadastrada")</f>
        <v>0.14172077922077922</v>
      </c>
      <c r="L750" s="216"/>
    </row>
    <row r="751" spans="1:12" ht="15.75" customHeight="1">
      <c r="A751" s="114" t="s">
        <v>160</v>
      </c>
      <c r="B751" s="114" t="str">
        <f>VLOOKUP(A751,'Tabela de Produtos'!A:B,2,0)</f>
        <v>BRAZIMIL LÁTEX STANDARD INT/EXT FOSCO 3L PEROLA</v>
      </c>
      <c r="C751" s="48" t="s">
        <v>1229</v>
      </c>
      <c r="D751" s="114" t="str">
        <f>VLOOKUP(C751,'Custos Matéria Prima Embalagens'!B:C,2,0)</f>
        <v>WANSOL 340 CE (BB-200)</v>
      </c>
      <c r="E751" s="114" t="str">
        <f>VLOOKUP(C751,'Custos Matéria Prima Embalagens'!B:D,3,0)</f>
        <v>COALESCENTE</v>
      </c>
      <c r="F751" s="270">
        <f t="shared" si="94"/>
        <v>1956</v>
      </c>
      <c r="G751" s="148">
        <f t="shared" si="95"/>
        <v>5.1124744376278121E-3</v>
      </c>
      <c r="H751" s="96">
        <v>10</v>
      </c>
      <c r="I751" s="272">
        <f>ROUND(F751/VLOOKUP(A751,'Tabela de Produtos'!A:J,10,0),0)</f>
        <v>1540</v>
      </c>
      <c r="J751" s="97">
        <f>IFERROR(VLOOKUP(C751,'Custos Matéria Prima Embalagens'!B:G,6,0)*H751,"Matéria Prima Não Cadastrada")</f>
        <v>192.2</v>
      </c>
      <c r="K751" s="97">
        <f>IFERROR(J751/(I751/VLOOKUP(A751,'Tabela de Produtos'!A:H,8,0)),"Matéria Prima Não Cadastrada")</f>
        <v>0.37441558441558437</v>
      </c>
      <c r="L751" s="216"/>
    </row>
    <row r="752" spans="1:12" ht="15.75" customHeight="1">
      <c r="D752" s="114"/>
      <c r="E752" s="114"/>
      <c r="F752" s="96"/>
      <c r="G752" s="148"/>
      <c r="H752" s="96"/>
      <c r="I752" s="272"/>
      <c r="J752" s="97"/>
      <c r="K752" s="97"/>
      <c r="L752" s="216"/>
    </row>
    <row r="753" spans="1:12" ht="15.75" customHeight="1">
      <c r="A753" s="114" t="s">
        <v>161</v>
      </c>
      <c r="B753" s="114" t="str">
        <f>VLOOKUP(A753,'Tabela de Produtos'!A:B,2,0)</f>
        <v>BRAZIMIL LÁTEX STANDARD INT/EXT FOSCO 3L AZUL INTENSO</v>
      </c>
      <c r="C753" s="48" t="s">
        <v>1197</v>
      </c>
      <c r="D753" s="114" t="str">
        <f>VLOOKUP(C753,'Custos Matéria Prima Embalagens'!B:C,2,0)</f>
        <v>AGUA</v>
      </c>
      <c r="E753" s="114" t="str">
        <f>VLOOKUP(C753,'Custos Matéria Prima Embalagens'!B:D,3,0)</f>
        <v>AGUA</v>
      </c>
      <c r="F753" s="270">
        <f t="shared" ref="F753:F767" si="96">SUMIFS(H:H,A:A,A753)</f>
        <v>1956</v>
      </c>
      <c r="G753" s="148">
        <f t="shared" ref="G753:G767" si="97">H753/F753</f>
        <v>0.47034764826175868</v>
      </c>
      <c r="H753" s="96">
        <v>920</v>
      </c>
      <c r="I753" s="272">
        <f>ROUND(F753/VLOOKUP(A753,'Tabela de Produtos'!A:J,10,0),0)</f>
        <v>1540</v>
      </c>
      <c r="J753" s="97">
        <f>IFERROR(VLOOKUP(C753,'Custos Matéria Prima Embalagens'!B:G,6,0)*H753,"Matéria Prima Não Cadastrada")</f>
        <v>0</v>
      </c>
      <c r="K753" s="97">
        <f>IFERROR(J753/(I753/VLOOKUP(A753,'Tabela de Produtos'!A:H,8,0)),"Matéria Prima Não Cadastrada")</f>
        <v>0</v>
      </c>
      <c r="L753" s="216"/>
    </row>
    <row r="754" spans="1:12" ht="15.75" customHeight="1">
      <c r="A754" s="114" t="s">
        <v>161</v>
      </c>
      <c r="B754" s="114" t="str">
        <f>VLOOKUP(A754,'Tabela de Produtos'!A:B,2,0)</f>
        <v>BRAZIMIL LÁTEX STANDARD INT/EXT FOSCO 3L AZUL INTENSO</v>
      </c>
      <c r="C754" s="48" t="s">
        <v>1201</v>
      </c>
      <c r="D754" s="114" t="str">
        <f>VLOOKUP(C754,'Custos Matéria Prima Embalagens'!B:C,2,0)</f>
        <v>WANFOAM 528 CE (BB-190)</v>
      </c>
      <c r="E754" s="114" t="str">
        <f>VLOOKUP(C754,'Custos Matéria Prima Embalagens'!B:D,3,0)</f>
        <v>ANTI ESPUMA LATEX</v>
      </c>
      <c r="F754" s="270">
        <f t="shared" si="96"/>
        <v>1956</v>
      </c>
      <c r="G754" s="148">
        <f t="shared" si="97"/>
        <v>2.5562372188139061E-3</v>
      </c>
      <c r="H754" s="96">
        <v>5</v>
      </c>
      <c r="I754" s="272">
        <f>ROUND(F754/VLOOKUP(A754,'Tabela de Produtos'!A:J,10,0),0)</f>
        <v>1540</v>
      </c>
      <c r="J754" s="97">
        <f>IFERROR(VLOOKUP(C754,'Custos Matéria Prima Embalagens'!B:G,6,0)*H754,"Matéria Prima Não Cadastrada")</f>
        <v>35.9</v>
      </c>
      <c r="K754" s="97">
        <f>IFERROR(J754/(I754/VLOOKUP(A754,'Tabela de Produtos'!A:H,8,0)),"Matéria Prima Não Cadastrada")</f>
        <v>6.9935064935064933E-2</v>
      </c>
      <c r="L754" s="216"/>
    </row>
    <row r="755" spans="1:12" ht="15.75" customHeight="1">
      <c r="A755" s="114" t="s">
        <v>161</v>
      </c>
      <c r="B755" s="114" t="str">
        <f>VLOOKUP(A755,'Tabela de Produtos'!A:B,2,0)</f>
        <v>BRAZIMIL LÁTEX STANDARD INT/EXT FOSCO 3L AZUL INTENSO</v>
      </c>
      <c r="C755" s="48" t="s">
        <v>1203</v>
      </c>
      <c r="D755" s="114" t="str">
        <f>VLOOKUP(C755,'Custos Matéria Prima Embalagens'!B:C,2,0)</f>
        <v>WANBAC WBT CE (BH-200)</v>
      </c>
      <c r="E755" s="114" t="str">
        <f>VLOOKUP(C755,'Custos Matéria Prima Embalagens'!B:D,3,0)</f>
        <v>BACTERICIDA</v>
      </c>
      <c r="F755" s="270">
        <f t="shared" si="96"/>
        <v>1956</v>
      </c>
      <c r="G755" s="148">
        <f t="shared" si="97"/>
        <v>3.0674846625766872E-3</v>
      </c>
      <c r="H755" s="96">
        <v>6</v>
      </c>
      <c r="I755" s="272">
        <f>ROUND(F755/VLOOKUP(A755,'Tabela de Produtos'!A:J,10,0),0)</f>
        <v>1540</v>
      </c>
      <c r="J755" s="97">
        <f>IFERROR(VLOOKUP(C755,'Custos Matéria Prima Embalagens'!B:G,6,0)*H755,"Matéria Prima Não Cadastrada")</f>
        <v>29.639999999999997</v>
      </c>
      <c r="K755" s="97">
        <f>IFERROR(J755/(I755/VLOOKUP(A755,'Tabela de Produtos'!A:H,8,0)),"Matéria Prima Não Cadastrada")</f>
        <v>5.7740259740259731E-2</v>
      </c>
      <c r="L755" s="216"/>
    </row>
    <row r="756" spans="1:12" ht="15.75" customHeight="1">
      <c r="A756" s="114" t="s">
        <v>161</v>
      </c>
      <c r="B756" s="114" t="str">
        <f>VLOOKUP(A756,'Tabela de Produtos'!A:B,2,0)</f>
        <v>BRAZIMIL LÁTEX STANDARD INT/EXT FOSCO 3L AZUL INTENSO</v>
      </c>
      <c r="C756" s="48" t="s">
        <v>1205</v>
      </c>
      <c r="D756" s="114" t="str">
        <f>VLOOKUP(C756,'Custos Matéria Prima Embalagens'!B:C,2,0)</f>
        <v>WANSUR 840 CE (BB-200)01</v>
      </c>
      <c r="E756" s="114" t="str">
        <f>VLOOKUP(C756,'Custos Matéria Prima Embalagens'!B:D,3,0)</f>
        <v>UMECTANTE</v>
      </c>
      <c r="F756" s="270">
        <f t="shared" si="96"/>
        <v>1956</v>
      </c>
      <c r="G756" s="148">
        <f t="shared" si="97"/>
        <v>2.0449897750511249E-3</v>
      </c>
      <c r="H756" s="96">
        <v>4</v>
      </c>
      <c r="I756" s="272">
        <f>ROUND(F756/VLOOKUP(A756,'Tabela de Produtos'!A:J,10,0),0)</f>
        <v>1540</v>
      </c>
      <c r="J756" s="97">
        <f>IFERROR(VLOOKUP(C756,'Custos Matéria Prima Embalagens'!B:G,6,0)*H756,"Matéria Prima Não Cadastrada")</f>
        <v>29.32</v>
      </c>
      <c r="K756" s="97">
        <f>IFERROR(J756/(I756/VLOOKUP(A756,'Tabela de Produtos'!A:H,8,0)),"Matéria Prima Não Cadastrada")</f>
        <v>5.7116883116883115E-2</v>
      </c>
      <c r="L756" s="216"/>
    </row>
    <row r="757" spans="1:12" ht="15.75" customHeight="1">
      <c r="A757" s="114" t="s">
        <v>161</v>
      </c>
      <c r="B757" s="114" t="str">
        <f>VLOOKUP(A757,'Tabela de Produtos'!A:B,2,0)</f>
        <v>BRAZIMIL LÁTEX STANDARD INT/EXT FOSCO 3L AZUL INTENSO</v>
      </c>
      <c r="C757" s="48" t="s">
        <v>1207</v>
      </c>
      <c r="D757" s="114" t="str">
        <f>VLOOKUP(C757,'Custos Matéria Prima Embalagens'!B:C,2,0)</f>
        <v>WANPEX 1510 (BB-200)</v>
      </c>
      <c r="E757" s="114" t="str">
        <f>VLOOKUP(C757,'Custos Matéria Prima Embalagens'!B:D,3,0)</f>
        <v>DISPERSANTE LATEX</v>
      </c>
      <c r="F757" s="270">
        <f t="shared" si="96"/>
        <v>1956</v>
      </c>
      <c r="G757" s="148">
        <f t="shared" si="97"/>
        <v>3.0674846625766872E-3</v>
      </c>
      <c r="H757" s="96">
        <v>6</v>
      </c>
      <c r="I757" s="272">
        <f>ROUND(F757/VLOOKUP(A757,'Tabela de Produtos'!A:J,10,0),0)</f>
        <v>1540</v>
      </c>
      <c r="J757" s="97">
        <f>IFERROR(VLOOKUP(C757,'Custos Matéria Prima Embalagens'!B:G,6,0)*H757,"Matéria Prima Não Cadastrada")</f>
        <v>41.16</v>
      </c>
      <c r="K757" s="97">
        <f>IFERROR(J757/(I757/VLOOKUP(A757,'Tabela de Produtos'!A:H,8,0)),"Matéria Prima Não Cadastrada")</f>
        <v>8.0181818181818174E-2</v>
      </c>
      <c r="L757" s="216"/>
    </row>
    <row r="758" spans="1:12" ht="15.75" customHeight="1">
      <c r="A758" s="114" t="s">
        <v>161</v>
      </c>
      <c r="B758" s="114" t="str">
        <f>VLOOKUP(A758,'Tabela de Produtos'!A:B,2,0)</f>
        <v>BRAZIMIL LÁTEX STANDARD INT/EXT FOSCO 3L AZUL INTENSO</v>
      </c>
      <c r="C758" s="48" t="s">
        <v>1209</v>
      </c>
      <c r="D758" s="114" t="str">
        <f>VLOOKUP(C758,'Custos Matéria Prima Embalagens'!B:C,2,0)</f>
        <v>WANFUNG WFT CE (BH-200)</v>
      </c>
      <c r="E758" s="114" t="str">
        <f>VLOOKUP(C758,'Custos Matéria Prima Embalagens'!B:D,3,0)</f>
        <v>FUNGICIDA</v>
      </c>
      <c r="F758" s="270">
        <f t="shared" si="96"/>
        <v>1956</v>
      </c>
      <c r="G758" s="148">
        <f t="shared" si="97"/>
        <v>2.5562372188139061E-3</v>
      </c>
      <c r="H758" s="96">
        <v>5</v>
      </c>
      <c r="I758" s="272">
        <f>ROUND(F758/VLOOKUP(A758,'Tabela de Produtos'!A:J,10,0),0)</f>
        <v>1540</v>
      </c>
      <c r="J758" s="97">
        <f>IFERROR(VLOOKUP(C758,'Custos Matéria Prima Embalagens'!B:G,6,0)*H758,"Matéria Prima Não Cadastrada")</f>
        <v>35</v>
      </c>
      <c r="K758" s="97">
        <f>IFERROR(J758/(I758/VLOOKUP(A758,'Tabela de Produtos'!A:H,8,0)),"Matéria Prima Não Cadastrada")</f>
        <v>6.8181818181818177E-2</v>
      </c>
      <c r="L758" s="216"/>
    </row>
    <row r="759" spans="1:12" ht="15.75" customHeight="1">
      <c r="A759" s="114" t="s">
        <v>161</v>
      </c>
      <c r="B759" s="114" t="str">
        <f>VLOOKUP(A759,'Tabela de Produtos'!A:B,2,0)</f>
        <v>BRAZIMIL LÁTEX STANDARD INT/EXT FOSCO 3L AZUL INTENSO</v>
      </c>
      <c r="C759" s="48" t="s">
        <v>1211</v>
      </c>
      <c r="D759" s="114" t="str">
        <f>VLOOKUP(C759,'Custos Matéria Prima Embalagens'!B:C,2,0)</f>
        <v>WHITE PLUS PB (SC-25) (Em negociação)</v>
      </c>
      <c r="E759" s="114" t="str">
        <f>VLOOKUP(C759,'Custos Matéria Prima Embalagens'!B:D,3,0)</f>
        <v>WHITE PLUS</v>
      </c>
      <c r="F759" s="270">
        <f t="shared" si="96"/>
        <v>1956</v>
      </c>
      <c r="G759" s="148">
        <f t="shared" si="97"/>
        <v>0.15337423312883436</v>
      </c>
      <c r="H759" s="96">
        <v>300</v>
      </c>
      <c r="I759" s="272">
        <f>ROUND(F759/VLOOKUP(A759,'Tabela de Produtos'!A:J,10,0),0)</f>
        <v>1540</v>
      </c>
      <c r="J759" s="97">
        <f>IFERROR(VLOOKUP(C759,'Custos Matéria Prima Embalagens'!B:G,6,0)*H759,"Matéria Prima Não Cadastrada")</f>
        <v>927</v>
      </c>
      <c r="K759" s="97">
        <f>IFERROR(J759/(I759/VLOOKUP(A759,'Tabela de Produtos'!A:H,8,0)),"Matéria Prima Não Cadastrada")</f>
        <v>1.8058441558441558</v>
      </c>
      <c r="L759" s="216"/>
    </row>
    <row r="760" spans="1:12" ht="15.75" customHeight="1">
      <c r="A760" s="114" t="s">
        <v>161</v>
      </c>
      <c r="B760" s="114" t="str">
        <f>VLOOKUP(A760,'Tabela de Produtos'!A:B,2,0)</f>
        <v>BRAZIMIL LÁTEX STANDARD INT/EXT FOSCO 3L AZUL INTENSO</v>
      </c>
      <c r="C760" s="48" t="s">
        <v>1213</v>
      </c>
      <c r="D760" s="114" t="str">
        <f>VLOOKUP(C760,'Custos Matéria Prima Embalagens'!B:C,2,0)</f>
        <v>DIOXIDO DE TITANIO RUTILO R-996</v>
      </c>
      <c r="E760" s="114" t="str">
        <f>VLOOKUP(C760,'Custos Matéria Prima Embalagens'!B:D,3,0)</f>
        <v>TITANIO</v>
      </c>
      <c r="F760" s="270">
        <f t="shared" si="96"/>
        <v>1956</v>
      </c>
      <c r="G760" s="148">
        <f t="shared" si="97"/>
        <v>3.0674846625766871E-2</v>
      </c>
      <c r="H760" s="96">
        <v>60</v>
      </c>
      <c r="I760" s="272">
        <f>ROUND(F760/VLOOKUP(A760,'Tabela de Produtos'!A:J,10,0),0)</f>
        <v>1540</v>
      </c>
      <c r="J760" s="97">
        <f>IFERROR(VLOOKUP(C760,'Custos Matéria Prima Embalagens'!B:G,6,0)*H760,"Matéria Prima Não Cadastrada")</f>
        <v>1158</v>
      </c>
      <c r="K760" s="97">
        <f>IFERROR(J760/(I760/VLOOKUP(A760,'Tabela de Produtos'!A:H,8,0)),"Matéria Prima Não Cadastrada")</f>
        <v>2.2558441558441555</v>
      </c>
      <c r="L760" s="216"/>
    </row>
    <row r="761" spans="1:12" ht="15.75" customHeight="1">
      <c r="A761" s="114" t="s">
        <v>161</v>
      </c>
      <c r="B761" s="114" t="str">
        <f>VLOOKUP(A761,'Tabela de Produtos'!A:B,2,0)</f>
        <v>BRAZIMIL LÁTEX STANDARD INT/EXT FOSCO 3L AZUL INTENSO</v>
      </c>
      <c r="C761" s="48" t="s">
        <v>1215</v>
      </c>
      <c r="D761" s="114" t="str">
        <f>VLOOKUP(C761,'Custos Matéria Prima Embalagens'!B:C,2,0)</f>
        <v>CALCARIO DOLOMITICO #500 ( SACOS 25 KG)</v>
      </c>
      <c r="E761" s="114" t="str">
        <f>VLOOKUP(C761,'Custos Matéria Prima Embalagens'!B:D,3,0)</f>
        <v>CARBONATO #500</v>
      </c>
      <c r="F761" s="270">
        <f t="shared" si="96"/>
        <v>1956</v>
      </c>
      <c r="G761" s="148">
        <f t="shared" si="97"/>
        <v>0.15337423312883436</v>
      </c>
      <c r="H761" s="96">
        <v>300</v>
      </c>
      <c r="I761" s="272">
        <f>ROUND(F761/VLOOKUP(A761,'Tabela de Produtos'!A:J,10,0),0)</f>
        <v>1540</v>
      </c>
      <c r="J761" s="97">
        <f>IFERROR(VLOOKUP(C761,'Custos Matéria Prima Embalagens'!B:G,6,0)*H761,"Matéria Prima Não Cadastrada")</f>
        <v>240</v>
      </c>
      <c r="K761" s="97">
        <f>IFERROR(J761/(I761/VLOOKUP(A761,'Tabela de Produtos'!A:H,8,0)),"Matéria Prima Não Cadastrada")</f>
        <v>0.46753246753246752</v>
      </c>
      <c r="L761" s="216"/>
    </row>
    <row r="762" spans="1:12" ht="15.75" customHeight="1">
      <c r="A762" s="114" t="s">
        <v>161</v>
      </c>
      <c r="B762" s="114" t="str">
        <f>VLOOKUP(A762,'Tabela de Produtos'!A:B,2,0)</f>
        <v>BRAZIMIL LÁTEX STANDARD INT/EXT FOSCO 3L AZUL INTENSO</v>
      </c>
      <c r="C762" s="48" t="s">
        <v>1227</v>
      </c>
      <c r="D762" s="114" t="str">
        <f>VLOOKUP(C762,'Custos Matéria Prima Embalagens'!B:C,2,0)</f>
        <v>CAULIM MALHA 325</v>
      </c>
      <c r="E762" s="114" t="str">
        <f>VLOOKUP(C762,'Custos Matéria Prima Embalagens'!B:D,3,0)</f>
        <v>caulim</v>
      </c>
      <c r="F762" s="270">
        <f t="shared" si="96"/>
        <v>1956</v>
      </c>
      <c r="G762" s="148">
        <f t="shared" si="97"/>
        <v>5.112474437627812E-2</v>
      </c>
      <c r="H762" s="96">
        <v>100</v>
      </c>
      <c r="I762" s="272">
        <f>ROUND(F762/VLOOKUP(A762,'Tabela de Produtos'!A:J,10,0),0)</f>
        <v>1540</v>
      </c>
      <c r="J762" s="97">
        <f>IFERROR(VLOOKUP(C762,'Custos Matéria Prima Embalagens'!B:G,6,0)*H762,"Matéria Prima Não Cadastrada")</f>
        <v>152.04955555555551</v>
      </c>
      <c r="K762" s="97">
        <f>IFERROR(J762/(I762/VLOOKUP(A762,'Tabela de Produtos'!A:H,8,0)),"Matéria Prima Não Cadastrada")</f>
        <v>0.2962004329004328</v>
      </c>
      <c r="L762" s="216"/>
    </row>
    <row r="763" spans="1:12" ht="15.75" customHeight="1">
      <c r="A763" s="114" t="s">
        <v>161</v>
      </c>
      <c r="B763" s="114" t="str">
        <f>VLOOKUP(A763,'Tabela de Produtos'!A:B,2,0)</f>
        <v>BRAZIMIL LÁTEX STANDARD INT/EXT FOSCO 3L AZUL INTENSO</v>
      </c>
      <c r="C763" s="48" t="s">
        <v>1217</v>
      </c>
      <c r="D763" s="114" t="str">
        <f>VLOOKUP(C763,'Custos Matéria Prima Embalagens'!B:C,2,0)</f>
        <v>WANCRIL W 51 CE (CT-1000P)</v>
      </c>
      <c r="E763" s="114" t="str">
        <f>VLOOKUP(C763,'Custos Matéria Prima Embalagens'!B:D,3,0)</f>
        <v>RESINA ACRILICA ESTIRENADA</v>
      </c>
      <c r="F763" s="270">
        <f t="shared" si="96"/>
        <v>1956</v>
      </c>
      <c r="G763" s="148">
        <f t="shared" si="97"/>
        <v>0.10224948875255624</v>
      </c>
      <c r="H763" s="96">
        <v>200</v>
      </c>
      <c r="I763" s="272">
        <f>ROUND(F763/VLOOKUP(A763,'Tabela de Produtos'!A:J,10,0),0)</f>
        <v>1540</v>
      </c>
      <c r="J763" s="97">
        <f>IFERROR(VLOOKUP(C763,'Custos Matéria Prima Embalagens'!B:G,6,0)*H763,"Matéria Prima Não Cadastrada")</f>
        <v>1686</v>
      </c>
      <c r="K763" s="97">
        <f>IFERROR(J763/(I763/VLOOKUP(A763,'Tabela de Produtos'!A:H,8,0)),"Matéria Prima Não Cadastrada")</f>
        <v>3.284415584415584</v>
      </c>
      <c r="L763" s="216"/>
    </row>
    <row r="764" spans="1:12" ht="15.75" customHeight="1">
      <c r="A764" s="114" t="s">
        <v>161</v>
      </c>
      <c r="B764" s="114" t="str">
        <f>VLOOKUP(A764,'Tabela de Produtos'!A:B,2,0)</f>
        <v>BRAZIMIL LÁTEX STANDARD INT/EXT FOSCO 3L AZUL INTENSO</v>
      </c>
      <c r="C764" s="48" t="s">
        <v>1219</v>
      </c>
      <c r="D764" s="114" t="str">
        <f>VLOOKUP(C764,'Custos Matéria Prima Embalagens'!B:C,2,0)</f>
        <v>WANALK 70 CE (BH-200)</v>
      </c>
      <c r="E764" s="114" t="str">
        <f>VLOOKUP(C764,'Custos Matéria Prima Embalagens'!B:D,3,0)</f>
        <v>ALCALINIZANTE</v>
      </c>
      <c r="F764" s="270">
        <f t="shared" si="96"/>
        <v>1956</v>
      </c>
      <c r="G764" s="148">
        <f t="shared" si="97"/>
        <v>2.5562372188139061E-3</v>
      </c>
      <c r="H764" s="96">
        <v>5</v>
      </c>
      <c r="I764" s="272">
        <f>ROUND(F764/VLOOKUP(A764,'Tabela de Produtos'!A:J,10,0),0)</f>
        <v>1540</v>
      </c>
      <c r="J764" s="97">
        <f>IFERROR(VLOOKUP(C764,'Custos Matéria Prima Embalagens'!B:G,6,0)*H764,"Matéria Prima Não Cadastrada")</f>
        <v>24.900000000000002</v>
      </c>
      <c r="K764" s="97">
        <f>IFERROR(J764/(I764/VLOOKUP(A764,'Tabela de Produtos'!A:H,8,0)),"Matéria Prima Não Cadastrada")</f>
        <v>4.8506493506493505E-2</v>
      </c>
      <c r="L764" s="216"/>
    </row>
    <row r="765" spans="1:12" ht="15.75" customHeight="1">
      <c r="A765" s="114" t="s">
        <v>161</v>
      </c>
      <c r="B765" s="114" t="str">
        <f>VLOOKUP(A765,'Tabela de Produtos'!A:B,2,0)</f>
        <v>BRAZIMIL LÁTEX STANDARD INT/EXT FOSCO 3L AZUL INTENSO</v>
      </c>
      <c r="C765" s="48" t="s">
        <v>1221</v>
      </c>
      <c r="D765" s="114" t="str">
        <f>VLOOKUP(C765,'Custos Matéria Prima Embalagens'!B:C,2,0)</f>
        <v>MODIWAN 105H CE (CT-1000P)</v>
      </c>
      <c r="E765" s="114" t="str">
        <f>VLOOKUP(C765,'Custos Matéria Prima Embalagens'!B:D,3,0)</f>
        <v>ESPESSANTE DE MEDIA</v>
      </c>
      <c r="F765" s="270">
        <f t="shared" si="96"/>
        <v>1956</v>
      </c>
      <c r="G765" s="148">
        <f t="shared" si="97"/>
        <v>1.0224948875255624E-2</v>
      </c>
      <c r="H765" s="96">
        <v>20</v>
      </c>
      <c r="I765" s="272">
        <f>ROUND(F765/VLOOKUP(A765,'Tabela de Produtos'!A:J,10,0),0)</f>
        <v>1540</v>
      </c>
      <c r="J765" s="97">
        <f>IFERROR(VLOOKUP(C765,'Custos Matéria Prima Embalagens'!B:G,6,0)*H765,"Matéria Prima Não Cadastrada")</f>
        <v>158.1</v>
      </c>
      <c r="K765" s="97">
        <f>IFERROR(J765/(I765/VLOOKUP(A765,'Tabela de Produtos'!A:H,8,0)),"Matéria Prima Não Cadastrada")</f>
        <v>0.30798701298701298</v>
      </c>
      <c r="L765" s="216"/>
    </row>
    <row r="766" spans="1:12" ht="15.75" customHeight="1">
      <c r="A766" s="114" t="s">
        <v>161</v>
      </c>
      <c r="B766" s="114" t="str">
        <f>VLOOKUP(A766,'Tabela de Produtos'!A:B,2,0)</f>
        <v>BRAZIMIL LÁTEX STANDARD INT/EXT FOSCO 3L AZUL INTENSO</v>
      </c>
      <c r="C766" s="48" t="s">
        <v>1223</v>
      </c>
      <c r="D766" s="114" t="str">
        <f>VLOOKUP(C766,'Custos Matéria Prima Embalagens'!B:C,2,0)</f>
        <v>TURBOWAN H CE (BH-200)</v>
      </c>
      <c r="E766" s="114" t="str">
        <f>VLOOKUP(C766,'Custos Matéria Prima Embalagens'!B:D,3,0)</f>
        <v>PROMOTOR DE LAVABILIDADE</v>
      </c>
      <c r="F766" s="270">
        <f t="shared" si="96"/>
        <v>1956</v>
      </c>
      <c r="G766" s="148">
        <f t="shared" si="97"/>
        <v>7.6687116564417178E-3</v>
      </c>
      <c r="H766" s="96">
        <v>15</v>
      </c>
      <c r="I766" s="272">
        <f>ROUND(F766/VLOOKUP(A766,'Tabela de Produtos'!A:J,10,0),0)</f>
        <v>1540</v>
      </c>
      <c r="J766" s="97">
        <f>IFERROR(VLOOKUP(C766,'Custos Matéria Prima Embalagens'!B:G,6,0)*H766,"Matéria Prima Não Cadastrada")</f>
        <v>72.75</v>
      </c>
      <c r="K766" s="97">
        <f>IFERROR(J766/(I766/VLOOKUP(A766,'Tabela de Produtos'!A:H,8,0)),"Matéria Prima Não Cadastrada")</f>
        <v>0.14172077922077922</v>
      </c>
      <c r="L766" s="216"/>
    </row>
    <row r="767" spans="1:12" ht="15.75" customHeight="1">
      <c r="A767" s="114" t="s">
        <v>161</v>
      </c>
      <c r="B767" s="114" t="str">
        <f>VLOOKUP(A767,'Tabela de Produtos'!A:B,2,0)</f>
        <v>BRAZIMIL LÁTEX STANDARD INT/EXT FOSCO 3L AZUL INTENSO</v>
      </c>
      <c r="C767" s="48" t="s">
        <v>1229</v>
      </c>
      <c r="D767" s="114" t="str">
        <f>VLOOKUP(C767,'Custos Matéria Prima Embalagens'!B:C,2,0)</f>
        <v>WANSOL 340 CE (BB-200)</v>
      </c>
      <c r="E767" s="114" t="str">
        <f>VLOOKUP(C767,'Custos Matéria Prima Embalagens'!B:D,3,0)</f>
        <v>COALESCENTE</v>
      </c>
      <c r="F767" s="270">
        <f t="shared" si="96"/>
        <v>1956</v>
      </c>
      <c r="G767" s="148">
        <f t="shared" si="97"/>
        <v>5.1124744376278121E-3</v>
      </c>
      <c r="H767" s="96">
        <v>10</v>
      </c>
      <c r="I767" s="272">
        <f>ROUND(F767/VLOOKUP(A767,'Tabela de Produtos'!A:J,10,0),0)</f>
        <v>1540</v>
      </c>
      <c r="J767" s="97">
        <f>IFERROR(VLOOKUP(C767,'Custos Matéria Prima Embalagens'!B:G,6,0)*H767,"Matéria Prima Não Cadastrada")</f>
        <v>192.2</v>
      </c>
      <c r="K767" s="97">
        <f>IFERROR(J767/(I767/VLOOKUP(A767,'Tabela de Produtos'!A:H,8,0)),"Matéria Prima Não Cadastrada")</f>
        <v>0.37441558441558437</v>
      </c>
      <c r="L767" s="216"/>
    </row>
    <row r="768" spans="1:12" ht="15.75" customHeight="1">
      <c r="D768" s="114"/>
      <c r="E768" s="114"/>
      <c r="F768" s="96"/>
      <c r="G768" s="148"/>
      <c r="H768" s="96"/>
      <c r="I768" s="272"/>
      <c r="J768" s="97"/>
      <c r="K768" s="97"/>
      <c r="L768" s="216"/>
    </row>
    <row r="769" spans="1:12" ht="15.75" customHeight="1">
      <c r="A769" s="114" t="s">
        <v>162</v>
      </c>
      <c r="B769" s="114" t="str">
        <f>VLOOKUP(A769,'Tabela de Produtos'!A:B,2,0)</f>
        <v>BRAZIMIL LÁTEX STANDARD INT/EXT FOSCO 3L LILAS</v>
      </c>
      <c r="C769" s="48" t="s">
        <v>1197</v>
      </c>
      <c r="D769" s="114" t="str">
        <f>VLOOKUP(C769,'Custos Matéria Prima Embalagens'!B:C,2,0)</f>
        <v>AGUA</v>
      </c>
      <c r="E769" s="114" t="str">
        <f>VLOOKUP(C769,'Custos Matéria Prima Embalagens'!B:D,3,0)</f>
        <v>AGUA</v>
      </c>
      <c r="F769" s="270">
        <f t="shared" ref="F769:F783" si="98">SUMIFS(H:H,A:A,A769)</f>
        <v>1956</v>
      </c>
      <c r="G769" s="148">
        <f t="shared" ref="G769:G783" si="99">H769/F769</f>
        <v>0.47034764826175868</v>
      </c>
      <c r="H769" s="96">
        <v>920</v>
      </c>
      <c r="I769" s="272">
        <f>ROUND(F769/VLOOKUP(A769,'Tabela de Produtos'!A:J,10,0),0)</f>
        <v>1540</v>
      </c>
      <c r="J769" s="97">
        <f>IFERROR(VLOOKUP(C769,'Custos Matéria Prima Embalagens'!B:G,6,0)*H769,"Matéria Prima Não Cadastrada")</f>
        <v>0</v>
      </c>
      <c r="K769" s="97">
        <f>IFERROR(J769/(I769/VLOOKUP(A769,'Tabela de Produtos'!A:H,8,0)),"Matéria Prima Não Cadastrada")</f>
        <v>0</v>
      </c>
      <c r="L769" s="216"/>
    </row>
    <row r="770" spans="1:12" ht="15.75" customHeight="1">
      <c r="A770" s="114" t="s">
        <v>162</v>
      </c>
      <c r="B770" s="114" t="str">
        <f>VLOOKUP(A770,'Tabela de Produtos'!A:B,2,0)</f>
        <v>BRAZIMIL LÁTEX STANDARD INT/EXT FOSCO 3L LILAS</v>
      </c>
      <c r="C770" s="48" t="s">
        <v>1201</v>
      </c>
      <c r="D770" s="114" t="str">
        <f>VLOOKUP(C770,'Custos Matéria Prima Embalagens'!B:C,2,0)</f>
        <v>WANFOAM 528 CE (BB-190)</v>
      </c>
      <c r="E770" s="114" t="str">
        <f>VLOOKUP(C770,'Custos Matéria Prima Embalagens'!B:D,3,0)</f>
        <v>ANTI ESPUMA LATEX</v>
      </c>
      <c r="F770" s="270">
        <f t="shared" si="98"/>
        <v>1956</v>
      </c>
      <c r="G770" s="148">
        <f t="shared" si="99"/>
        <v>2.5562372188139061E-3</v>
      </c>
      <c r="H770" s="96">
        <v>5</v>
      </c>
      <c r="I770" s="272">
        <f>ROUND(F770/VLOOKUP(A770,'Tabela de Produtos'!A:J,10,0),0)</f>
        <v>1540</v>
      </c>
      <c r="J770" s="97">
        <f>IFERROR(VLOOKUP(C770,'Custos Matéria Prima Embalagens'!B:G,6,0)*H770,"Matéria Prima Não Cadastrada")</f>
        <v>35.9</v>
      </c>
      <c r="K770" s="97">
        <f>IFERROR(J770/(I770/VLOOKUP(A770,'Tabela de Produtos'!A:H,8,0)),"Matéria Prima Não Cadastrada")</f>
        <v>6.9935064935064933E-2</v>
      </c>
      <c r="L770" s="216"/>
    </row>
    <row r="771" spans="1:12" ht="15.75" customHeight="1">
      <c r="A771" s="114" t="s">
        <v>162</v>
      </c>
      <c r="B771" s="114" t="str">
        <f>VLOOKUP(A771,'Tabela de Produtos'!A:B,2,0)</f>
        <v>BRAZIMIL LÁTEX STANDARD INT/EXT FOSCO 3L LILAS</v>
      </c>
      <c r="C771" s="48" t="s">
        <v>1203</v>
      </c>
      <c r="D771" s="114" t="str">
        <f>VLOOKUP(C771,'Custos Matéria Prima Embalagens'!B:C,2,0)</f>
        <v>WANBAC WBT CE (BH-200)</v>
      </c>
      <c r="E771" s="114" t="str">
        <f>VLOOKUP(C771,'Custos Matéria Prima Embalagens'!B:D,3,0)</f>
        <v>BACTERICIDA</v>
      </c>
      <c r="F771" s="270">
        <f t="shared" si="98"/>
        <v>1956</v>
      </c>
      <c r="G771" s="148">
        <f t="shared" si="99"/>
        <v>3.0674846625766872E-3</v>
      </c>
      <c r="H771" s="96">
        <v>6</v>
      </c>
      <c r="I771" s="272">
        <f>ROUND(F771/VLOOKUP(A771,'Tabela de Produtos'!A:J,10,0),0)</f>
        <v>1540</v>
      </c>
      <c r="J771" s="97">
        <f>IFERROR(VLOOKUP(C771,'Custos Matéria Prima Embalagens'!B:G,6,0)*H771,"Matéria Prima Não Cadastrada")</f>
        <v>29.639999999999997</v>
      </c>
      <c r="K771" s="97">
        <f>IFERROR(J771/(I771/VLOOKUP(A771,'Tabela de Produtos'!A:H,8,0)),"Matéria Prima Não Cadastrada")</f>
        <v>5.7740259740259731E-2</v>
      </c>
      <c r="L771" s="216"/>
    </row>
    <row r="772" spans="1:12" ht="15.75" customHeight="1">
      <c r="A772" s="114" t="s">
        <v>162</v>
      </c>
      <c r="B772" s="114" t="str">
        <f>VLOOKUP(A772,'Tabela de Produtos'!A:B,2,0)</f>
        <v>BRAZIMIL LÁTEX STANDARD INT/EXT FOSCO 3L LILAS</v>
      </c>
      <c r="C772" s="48" t="s">
        <v>1205</v>
      </c>
      <c r="D772" s="114" t="str">
        <f>VLOOKUP(C772,'Custos Matéria Prima Embalagens'!B:C,2,0)</f>
        <v>WANSUR 840 CE (BB-200)01</v>
      </c>
      <c r="E772" s="114" t="str">
        <f>VLOOKUP(C772,'Custos Matéria Prima Embalagens'!B:D,3,0)</f>
        <v>UMECTANTE</v>
      </c>
      <c r="F772" s="270">
        <f t="shared" si="98"/>
        <v>1956</v>
      </c>
      <c r="G772" s="148">
        <f t="shared" si="99"/>
        <v>2.0449897750511249E-3</v>
      </c>
      <c r="H772" s="96">
        <v>4</v>
      </c>
      <c r="I772" s="272">
        <f>ROUND(F772/VLOOKUP(A772,'Tabela de Produtos'!A:J,10,0),0)</f>
        <v>1540</v>
      </c>
      <c r="J772" s="97">
        <f>IFERROR(VLOOKUP(C772,'Custos Matéria Prima Embalagens'!B:G,6,0)*H772,"Matéria Prima Não Cadastrada")</f>
        <v>29.32</v>
      </c>
      <c r="K772" s="97">
        <f>IFERROR(J772/(I772/VLOOKUP(A772,'Tabela de Produtos'!A:H,8,0)),"Matéria Prima Não Cadastrada")</f>
        <v>5.7116883116883115E-2</v>
      </c>
      <c r="L772" s="216"/>
    </row>
    <row r="773" spans="1:12" ht="15.75" customHeight="1">
      <c r="A773" s="114" t="s">
        <v>162</v>
      </c>
      <c r="B773" s="114" t="str">
        <f>VLOOKUP(A773,'Tabela de Produtos'!A:B,2,0)</f>
        <v>BRAZIMIL LÁTEX STANDARD INT/EXT FOSCO 3L LILAS</v>
      </c>
      <c r="C773" s="48" t="s">
        <v>1207</v>
      </c>
      <c r="D773" s="114" t="str">
        <f>VLOOKUP(C773,'Custos Matéria Prima Embalagens'!B:C,2,0)</f>
        <v>WANPEX 1510 (BB-200)</v>
      </c>
      <c r="E773" s="114" t="str">
        <f>VLOOKUP(C773,'Custos Matéria Prima Embalagens'!B:D,3,0)</f>
        <v>DISPERSANTE LATEX</v>
      </c>
      <c r="F773" s="270">
        <f t="shared" si="98"/>
        <v>1956</v>
      </c>
      <c r="G773" s="148">
        <f t="shared" si="99"/>
        <v>3.0674846625766872E-3</v>
      </c>
      <c r="H773" s="96">
        <v>6</v>
      </c>
      <c r="I773" s="272">
        <f>ROUND(F773/VLOOKUP(A773,'Tabela de Produtos'!A:J,10,0),0)</f>
        <v>1540</v>
      </c>
      <c r="J773" s="97">
        <f>IFERROR(VLOOKUP(C773,'Custos Matéria Prima Embalagens'!B:G,6,0)*H773,"Matéria Prima Não Cadastrada")</f>
        <v>41.16</v>
      </c>
      <c r="K773" s="97">
        <f>IFERROR(J773/(I773/VLOOKUP(A773,'Tabela de Produtos'!A:H,8,0)),"Matéria Prima Não Cadastrada")</f>
        <v>8.0181818181818174E-2</v>
      </c>
      <c r="L773" s="216"/>
    </row>
    <row r="774" spans="1:12" ht="15.75" customHeight="1">
      <c r="A774" s="114" t="s">
        <v>162</v>
      </c>
      <c r="B774" s="114" t="str">
        <f>VLOOKUP(A774,'Tabela de Produtos'!A:B,2,0)</f>
        <v>BRAZIMIL LÁTEX STANDARD INT/EXT FOSCO 3L LILAS</v>
      </c>
      <c r="C774" s="48" t="s">
        <v>1209</v>
      </c>
      <c r="D774" s="114" t="str">
        <f>VLOOKUP(C774,'Custos Matéria Prima Embalagens'!B:C,2,0)</f>
        <v>WANFUNG WFT CE (BH-200)</v>
      </c>
      <c r="E774" s="114" t="str">
        <f>VLOOKUP(C774,'Custos Matéria Prima Embalagens'!B:D,3,0)</f>
        <v>FUNGICIDA</v>
      </c>
      <c r="F774" s="270">
        <f t="shared" si="98"/>
        <v>1956</v>
      </c>
      <c r="G774" s="148">
        <f t="shared" si="99"/>
        <v>2.5562372188139061E-3</v>
      </c>
      <c r="H774" s="96">
        <v>5</v>
      </c>
      <c r="I774" s="272">
        <f>ROUND(F774/VLOOKUP(A774,'Tabela de Produtos'!A:J,10,0),0)</f>
        <v>1540</v>
      </c>
      <c r="J774" s="97">
        <f>IFERROR(VLOOKUP(C774,'Custos Matéria Prima Embalagens'!B:G,6,0)*H774,"Matéria Prima Não Cadastrada")</f>
        <v>35</v>
      </c>
      <c r="K774" s="97">
        <f>IFERROR(J774/(I774/VLOOKUP(A774,'Tabela de Produtos'!A:H,8,0)),"Matéria Prima Não Cadastrada")</f>
        <v>6.8181818181818177E-2</v>
      </c>
      <c r="L774" s="216"/>
    </row>
    <row r="775" spans="1:12" ht="15.75" customHeight="1">
      <c r="A775" s="114" t="s">
        <v>162</v>
      </c>
      <c r="B775" s="114" t="str">
        <f>VLOOKUP(A775,'Tabela de Produtos'!A:B,2,0)</f>
        <v>BRAZIMIL LÁTEX STANDARD INT/EXT FOSCO 3L LILAS</v>
      </c>
      <c r="C775" s="48" t="s">
        <v>1211</v>
      </c>
      <c r="D775" s="114" t="str">
        <f>VLOOKUP(C775,'Custos Matéria Prima Embalagens'!B:C,2,0)</f>
        <v>WHITE PLUS PB (SC-25) (Em negociação)</v>
      </c>
      <c r="E775" s="114" t="str">
        <f>VLOOKUP(C775,'Custos Matéria Prima Embalagens'!B:D,3,0)</f>
        <v>WHITE PLUS</v>
      </c>
      <c r="F775" s="270">
        <f t="shared" si="98"/>
        <v>1956</v>
      </c>
      <c r="G775" s="148">
        <f t="shared" si="99"/>
        <v>0.15337423312883436</v>
      </c>
      <c r="H775" s="96">
        <v>300</v>
      </c>
      <c r="I775" s="272">
        <f>ROUND(F775/VLOOKUP(A775,'Tabela de Produtos'!A:J,10,0),0)</f>
        <v>1540</v>
      </c>
      <c r="J775" s="97">
        <f>IFERROR(VLOOKUP(C775,'Custos Matéria Prima Embalagens'!B:G,6,0)*H775,"Matéria Prima Não Cadastrada")</f>
        <v>927</v>
      </c>
      <c r="K775" s="97">
        <f>IFERROR(J775/(I775/VLOOKUP(A775,'Tabela de Produtos'!A:H,8,0)),"Matéria Prima Não Cadastrada")</f>
        <v>1.8058441558441558</v>
      </c>
      <c r="L775" s="216"/>
    </row>
    <row r="776" spans="1:12" ht="15.75" customHeight="1">
      <c r="A776" s="114" t="s">
        <v>162</v>
      </c>
      <c r="B776" s="114" t="str">
        <f>VLOOKUP(A776,'Tabela de Produtos'!A:B,2,0)</f>
        <v>BRAZIMIL LÁTEX STANDARD INT/EXT FOSCO 3L LILAS</v>
      </c>
      <c r="C776" s="48" t="s">
        <v>1213</v>
      </c>
      <c r="D776" s="114" t="str">
        <f>VLOOKUP(C776,'Custos Matéria Prima Embalagens'!B:C,2,0)</f>
        <v>DIOXIDO DE TITANIO RUTILO R-996</v>
      </c>
      <c r="E776" s="114" t="str">
        <f>VLOOKUP(C776,'Custos Matéria Prima Embalagens'!B:D,3,0)</f>
        <v>TITANIO</v>
      </c>
      <c r="F776" s="270">
        <f t="shared" si="98"/>
        <v>1956</v>
      </c>
      <c r="G776" s="148">
        <f t="shared" si="99"/>
        <v>3.0674846625766871E-2</v>
      </c>
      <c r="H776" s="96">
        <v>60</v>
      </c>
      <c r="I776" s="272">
        <f>ROUND(F776/VLOOKUP(A776,'Tabela de Produtos'!A:J,10,0),0)</f>
        <v>1540</v>
      </c>
      <c r="J776" s="97">
        <f>IFERROR(VLOOKUP(C776,'Custos Matéria Prima Embalagens'!B:G,6,0)*H776,"Matéria Prima Não Cadastrada")</f>
        <v>1158</v>
      </c>
      <c r="K776" s="97">
        <f>IFERROR(J776/(I776/VLOOKUP(A776,'Tabela de Produtos'!A:H,8,0)),"Matéria Prima Não Cadastrada")</f>
        <v>2.2558441558441555</v>
      </c>
      <c r="L776" s="216"/>
    </row>
    <row r="777" spans="1:12" ht="15.75" customHeight="1">
      <c r="A777" s="114" t="s">
        <v>162</v>
      </c>
      <c r="B777" s="114" t="str">
        <f>VLOOKUP(A777,'Tabela de Produtos'!A:B,2,0)</f>
        <v>BRAZIMIL LÁTEX STANDARD INT/EXT FOSCO 3L LILAS</v>
      </c>
      <c r="C777" s="48" t="s">
        <v>1215</v>
      </c>
      <c r="D777" s="114" t="str">
        <f>VLOOKUP(C777,'Custos Matéria Prima Embalagens'!B:C,2,0)</f>
        <v>CALCARIO DOLOMITICO #500 ( SACOS 25 KG)</v>
      </c>
      <c r="E777" s="114" t="str">
        <f>VLOOKUP(C777,'Custos Matéria Prima Embalagens'!B:D,3,0)</f>
        <v>CARBONATO #500</v>
      </c>
      <c r="F777" s="270">
        <f t="shared" si="98"/>
        <v>1956</v>
      </c>
      <c r="G777" s="148">
        <f t="shared" si="99"/>
        <v>0.15337423312883436</v>
      </c>
      <c r="H777" s="96">
        <v>300</v>
      </c>
      <c r="I777" s="272">
        <f>ROUND(F777/VLOOKUP(A777,'Tabela de Produtos'!A:J,10,0),0)</f>
        <v>1540</v>
      </c>
      <c r="J777" s="97">
        <f>IFERROR(VLOOKUP(C777,'Custos Matéria Prima Embalagens'!B:G,6,0)*H777,"Matéria Prima Não Cadastrada")</f>
        <v>240</v>
      </c>
      <c r="K777" s="97">
        <f>IFERROR(J777/(I777/VLOOKUP(A777,'Tabela de Produtos'!A:H,8,0)),"Matéria Prima Não Cadastrada")</f>
        <v>0.46753246753246752</v>
      </c>
      <c r="L777" s="216"/>
    </row>
    <row r="778" spans="1:12" ht="15.75" customHeight="1">
      <c r="A778" s="114" t="s">
        <v>162</v>
      </c>
      <c r="B778" s="114" t="str">
        <f>VLOOKUP(A778,'Tabela de Produtos'!A:B,2,0)</f>
        <v>BRAZIMIL LÁTEX STANDARD INT/EXT FOSCO 3L LILAS</v>
      </c>
      <c r="C778" s="48" t="s">
        <v>1227</v>
      </c>
      <c r="D778" s="114" t="str">
        <f>VLOOKUP(C778,'Custos Matéria Prima Embalagens'!B:C,2,0)</f>
        <v>CAULIM MALHA 325</v>
      </c>
      <c r="E778" s="114" t="str">
        <f>VLOOKUP(C778,'Custos Matéria Prima Embalagens'!B:D,3,0)</f>
        <v>caulim</v>
      </c>
      <c r="F778" s="270">
        <f t="shared" si="98"/>
        <v>1956</v>
      </c>
      <c r="G778" s="148">
        <f t="shared" si="99"/>
        <v>5.112474437627812E-2</v>
      </c>
      <c r="H778" s="96">
        <v>100</v>
      </c>
      <c r="I778" s="272">
        <f>ROUND(F778/VLOOKUP(A778,'Tabela de Produtos'!A:J,10,0),0)</f>
        <v>1540</v>
      </c>
      <c r="J778" s="97">
        <f>IFERROR(VLOOKUP(C778,'Custos Matéria Prima Embalagens'!B:G,6,0)*H778,"Matéria Prima Não Cadastrada")</f>
        <v>152.04955555555551</v>
      </c>
      <c r="K778" s="97">
        <f>IFERROR(J778/(I778/VLOOKUP(A778,'Tabela de Produtos'!A:H,8,0)),"Matéria Prima Não Cadastrada")</f>
        <v>0.2962004329004328</v>
      </c>
      <c r="L778" s="216"/>
    </row>
    <row r="779" spans="1:12" ht="15.75" customHeight="1">
      <c r="A779" s="114" t="s">
        <v>162</v>
      </c>
      <c r="B779" s="114" t="str">
        <f>VLOOKUP(A779,'Tabela de Produtos'!A:B,2,0)</f>
        <v>BRAZIMIL LÁTEX STANDARD INT/EXT FOSCO 3L LILAS</v>
      </c>
      <c r="C779" s="48" t="s">
        <v>1217</v>
      </c>
      <c r="D779" s="114" t="str">
        <f>VLOOKUP(C779,'Custos Matéria Prima Embalagens'!B:C,2,0)</f>
        <v>WANCRIL W 51 CE (CT-1000P)</v>
      </c>
      <c r="E779" s="114" t="str">
        <f>VLOOKUP(C779,'Custos Matéria Prima Embalagens'!B:D,3,0)</f>
        <v>RESINA ACRILICA ESTIRENADA</v>
      </c>
      <c r="F779" s="270">
        <f t="shared" si="98"/>
        <v>1956</v>
      </c>
      <c r="G779" s="148">
        <f t="shared" si="99"/>
        <v>0.10224948875255624</v>
      </c>
      <c r="H779" s="96">
        <v>200</v>
      </c>
      <c r="I779" s="272">
        <f>ROUND(F779/VLOOKUP(A779,'Tabela de Produtos'!A:J,10,0),0)</f>
        <v>1540</v>
      </c>
      <c r="J779" s="97">
        <f>IFERROR(VLOOKUP(C779,'Custos Matéria Prima Embalagens'!B:G,6,0)*H779,"Matéria Prima Não Cadastrada")</f>
        <v>1686</v>
      </c>
      <c r="K779" s="97">
        <f>IFERROR(J779/(I779/VLOOKUP(A779,'Tabela de Produtos'!A:H,8,0)),"Matéria Prima Não Cadastrada")</f>
        <v>3.284415584415584</v>
      </c>
      <c r="L779" s="216"/>
    </row>
    <row r="780" spans="1:12" ht="15.75" customHeight="1">
      <c r="A780" s="114" t="s">
        <v>162</v>
      </c>
      <c r="B780" s="114" t="str">
        <f>VLOOKUP(A780,'Tabela de Produtos'!A:B,2,0)</f>
        <v>BRAZIMIL LÁTEX STANDARD INT/EXT FOSCO 3L LILAS</v>
      </c>
      <c r="C780" s="48" t="s">
        <v>1219</v>
      </c>
      <c r="D780" s="114" t="str">
        <f>VLOOKUP(C780,'Custos Matéria Prima Embalagens'!B:C,2,0)</f>
        <v>WANALK 70 CE (BH-200)</v>
      </c>
      <c r="E780" s="114" t="str">
        <f>VLOOKUP(C780,'Custos Matéria Prima Embalagens'!B:D,3,0)</f>
        <v>ALCALINIZANTE</v>
      </c>
      <c r="F780" s="270">
        <f t="shared" si="98"/>
        <v>1956</v>
      </c>
      <c r="G780" s="148">
        <f t="shared" si="99"/>
        <v>2.5562372188139061E-3</v>
      </c>
      <c r="H780" s="96">
        <v>5</v>
      </c>
      <c r="I780" s="272">
        <f>ROUND(F780/VLOOKUP(A780,'Tabela de Produtos'!A:J,10,0),0)</f>
        <v>1540</v>
      </c>
      <c r="J780" s="97">
        <f>IFERROR(VLOOKUP(C780,'Custos Matéria Prima Embalagens'!B:G,6,0)*H780,"Matéria Prima Não Cadastrada")</f>
        <v>24.900000000000002</v>
      </c>
      <c r="K780" s="97">
        <f>IFERROR(J780/(I780/VLOOKUP(A780,'Tabela de Produtos'!A:H,8,0)),"Matéria Prima Não Cadastrada")</f>
        <v>4.8506493506493505E-2</v>
      </c>
      <c r="L780" s="216"/>
    </row>
    <row r="781" spans="1:12" ht="15.75" customHeight="1">
      <c r="A781" s="114" t="s">
        <v>162</v>
      </c>
      <c r="B781" s="114" t="str">
        <f>VLOOKUP(A781,'Tabela de Produtos'!A:B,2,0)</f>
        <v>BRAZIMIL LÁTEX STANDARD INT/EXT FOSCO 3L LILAS</v>
      </c>
      <c r="C781" s="48" t="s">
        <v>1221</v>
      </c>
      <c r="D781" s="114" t="str">
        <f>VLOOKUP(C781,'Custos Matéria Prima Embalagens'!B:C,2,0)</f>
        <v>MODIWAN 105H CE (CT-1000P)</v>
      </c>
      <c r="E781" s="114" t="str">
        <f>VLOOKUP(C781,'Custos Matéria Prima Embalagens'!B:D,3,0)</f>
        <v>ESPESSANTE DE MEDIA</v>
      </c>
      <c r="F781" s="270">
        <f t="shared" si="98"/>
        <v>1956</v>
      </c>
      <c r="G781" s="148">
        <f t="shared" si="99"/>
        <v>1.0224948875255624E-2</v>
      </c>
      <c r="H781" s="96">
        <v>20</v>
      </c>
      <c r="I781" s="272">
        <f>ROUND(F781/VLOOKUP(A781,'Tabela de Produtos'!A:J,10,0),0)</f>
        <v>1540</v>
      </c>
      <c r="J781" s="97">
        <f>IFERROR(VLOOKUP(C781,'Custos Matéria Prima Embalagens'!B:G,6,0)*H781,"Matéria Prima Não Cadastrada")</f>
        <v>158.1</v>
      </c>
      <c r="K781" s="97">
        <f>IFERROR(J781/(I781/VLOOKUP(A781,'Tabela de Produtos'!A:H,8,0)),"Matéria Prima Não Cadastrada")</f>
        <v>0.30798701298701298</v>
      </c>
      <c r="L781" s="216"/>
    </row>
    <row r="782" spans="1:12" ht="15.75" customHeight="1">
      <c r="A782" s="114" t="s">
        <v>162</v>
      </c>
      <c r="B782" s="114" t="str">
        <f>VLOOKUP(A782,'Tabela de Produtos'!A:B,2,0)</f>
        <v>BRAZIMIL LÁTEX STANDARD INT/EXT FOSCO 3L LILAS</v>
      </c>
      <c r="C782" s="48" t="s">
        <v>1223</v>
      </c>
      <c r="D782" s="114" t="str">
        <f>VLOOKUP(C782,'Custos Matéria Prima Embalagens'!B:C,2,0)</f>
        <v>TURBOWAN H CE (BH-200)</v>
      </c>
      <c r="E782" s="114" t="str">
        <f>VLOOKUP(C782,'Custos Matéria Prima Embalagens'!B:D,3,0)</f>
        <v>PROMOTOR DE LAVABILIDADE</v>
      </c>
      <c r="F782" s="270">
        <f t="shared" si="98"/>
        <v>1956</v>
      </c>
      <c r="G782" s="148">
        <f t="shared" si="99"/>
        <v>7.6687116564417178E-3</v>
      </c>
      <c r="H782" s="96">
        <v>15</v>
      </c>
      <c r="I782" s="272">
        <f>ROUND(F782/VLOOKUP(A782,'Tabela de Produtos'!A:J,10,0),0)</f>
        <v>1540</v>
      </c>
      <c r="J782" s="97">
        <f>IFERROR(VLOOKUP(C782,'Custos Matéria Prima Embalagens'!B:G,6,0)*H782,"Matéria Prima Não Cadastrada")</f>
        <v>72.75</v>
      </c>
      <c r="K782" s="97">
        <f>IFERROR(J782/(I782/VLOOKUP(A782,'Tabela de Produtos'!A:H,8,0)),"Matéria Prima Não Cadastrada")</f>
        <v>0.14172077922077922</v>
      </c>
      <c r="L782" s="216"/>
    </row>
    <row r="783" spans="1:12" ht="15.75" customHeight="1">
      <c r="A783" s="114" t="s">
        <v>162</v>
      </c>
      <c r="B783" s="114" t="str">
        <f>VLOOKUP(A783,'Tabela de Produtos'!A:B,2,0)</f>
        <v>BRAZIMIL LÁTEX STANDARD INT/EXT FOSCO 3L LILAS</v>
      </c>
      <c r="C783" s="48" t="s">
        <v>1229</v>
      </c>
      <c r="D783" s="114" t="str">
        <f>VLOOKUP(C783,'Custos Matéria Prima Embalagens'!B:C,2,0)</f>
        <v>WANSOL 340 CE (BB-200)</v>
      </c>
      <c r="E783" s="114" t="str">
        <f>VLOOKUP(C783,'Custos Matéria Prima Embalagens'!B:D,3,0)</f>
        <v>COALESCENTE</v>
      </c>
      <c r="F783" s="270">
        <f t="shared" si="98"/>
        <v>1956</v>
      </c>
      <c r="G783" s="148">
        <f t="shared" si="99"/>
        <v>5.1124744376278121E-3</v>
      </c>
      <c r="H783" s="96">
        <v>10</v>
      </c>
      <c r="I783" s="272">
        <f>ROUND(F783/VLOOKUP(A783,'Tabela de Produtos'!A:J,10,0),0)</f>
        <v>1540</v>
      </c>
      <c r="J783" s="97">
        <f>IFERROR(VLOOKUP(C783,'Custos Matéria Prima Embalagens'!B:G,6,0)*H783,"Matéria Prima Não Cadastrada")</f>
        <v>192.2</v>
      </c>
      <c r="K783" s="97">
        <f>IFERROR(J783/(I783/VLOOKUP(A783,'Tabela de Produtos'!A:H,8,0)),"Matéria Prima Não Cadastrada")</f>
        <v>0.37441558441558437</v>
      </c>
      <c r="L783" s="216"/>
    </row>
    <row r="784" spans="1:12" ht="15.75" customHeight="1">
      <c r="D784" s="114"/>
      <c r="E784" s="114"/>
      <c r="F784" s="96"/>
      <c r="G784" s="148"/>
      <c r="H784" s="96"/>
      <c r="I784" s="272"/>
      <c r="J784" s="97"/>
      <c r="K784" s="97"/>
      <c r="L784" s="216"/>
    </row>
    <row r="785" spans="1:12" ht="15.75" customHeight="1">
      <c r="A785" s="114" t="s">
        <v>163</v>
      </c>
      <c r="B785" s="114" t="str">
        <f>VLOOKUP(A785,'Tabela de Produtos'!A:B,2,0)</f>
        <v>BRAZIMIL LÁTEX STANDARD INT/EXT FOSCO 3L VERMELHO GARANTIDO</v>
      </c>
      <c r="C785" s="48" t="s">
        <v>1197</v>
      </c>
      <c r="D785" s="114" t="str">
        <f>VLOOKUP(C785,'Custos Matéria Prima Embalagens'!B:C,2,0)</f>
        <v>AGUA</v>
      </c>
      <c r="E785" s="114" t="str">
        <f>VLOOKUP(C785,'Custos Matéria Prima Embalagens'!B:D,3,0)</f>
        <v>AGUA</v>
      </c>
      <c r="F785" s="270">
        <f t="shared" ref="F785:F799" si="100">SUMIFS(H:H,A:A,A785)</f>
        <v>1956</v>
      </c>
      <c r="G785" s="148">
        <f t="shared" ref="G785:G799" si="101">H785/F785</f>
        <v>0.47034764826175868</v>
      </c>
      <c r="H785" s="96">
        <v>920</v>
      </c>
      <c r="I785" s="272">
        <f>ROUND(F785/VLOOKUP(A785,'Tabela de Produtos'!A:J,10,0),0)</f>
        <v>1540</v>
      </c>
      <c r="J785" s="97">
        <f>IFERROR(VLOOKUP(C785,'Custos Matéria Prima Embalagens'!B:G,6,0)*H785,"Matéria Prima Não Cadastrada")</f>
        <v>0</v>
      </c>
      <c r="K785" s="97">
        <f>IFERROR(J785/(I785/VLOOKUP(A785,'Tabela de Produtos'!A:H,8,0)),"Matéria Prima Não Cadastrada")</f>
        <v>0</v>
      </c>
      <c r="L785" s="216"/>
    </row>
    <row r="786" spans="1:12" ht="15.75" customHeight="1">
      <c r="A786" s="114" t="s">
        <v>163</v>
      </c>
      <c r="B786" s="114" t="str">
        <f>VLOOKUP(A786,'Tabela de Produtos'!A:B,2,0)</f>
        <v>BRAZIMIL LÁTEX STANDARD INT/EXT FOSCO 3L VERMELHO GARANTIDO</v>
      </c>
      <c r="C786" s="48" t="s">
        <v>1201</v>
      </c>
      <c r="D786" s="114" t="str">
        <f>VLOOKUP(C786,'Custos Matéria Prima Embalagens'!B:C,2,0)</f>
        <v>WANFOAM 528 CE (BB-190)</v>
      </c>
      <c r="E786" s="114" t="str">
        <f>VLOOKUP(C786,'Custos Matéria Prima Embalagens'!B:D,3,0)</f>
        <v>ANTI ESPUMA LATEX</v>
      </c>
      <c r="F786" s="270">
        <f t="shared" si="100"/>
        <v>1956</v>
      </c>
      <c r="G786" s="148">
        <f t="shared" si="101"/>
        <v>2.5562372188139061E-3</v>
      </c>
      <c r="H786" s="96">
        <v>5</v>
      </c>
      <c r="I786" s="272">
        <f>ROUND(F786/VLOOKUP(A786,'Tabela de Produtos'!A:J,10,0),0)</f>
        <v>1540</v>
      </c>
      <c r="J786" s="97">
        <f>IFERROR(VLOOKUP(C786,'Custos Matéria Prima Embalagens'!B:G,6,0)*H786,"Matéria Prima Não Cadastrada")</f>
        <v>35.9</v>
      </c>
      <c r="K786" s="97">
        <f>IFERROR(J786/(I786/VLOOKUP(A786,'Tabela de Produtos'!A:H,8,0)),"Matéria Prima Não Cadastrada")</f>
        <v>6.9935064935064933E-2</v>
      </c>
      <c r="L786" s="216"/>
    </row>
    <row r="787" spans="1:12" ht="15.75" customHeight="1">
      <c r="A787" s="114" t="s">
        <v>163</v>
      </c>
      <c r="B787" s="114" t="str">
        <f>VLOOKUP(A787,'Tabela de Produtos'!A:B,2,0)</f>
        <v>BRAZIMIL LÁTEX STANDARD INT/EXT FOSCO 3L VERMELHO GARANTIDO</v>
      </c>
      <c r="C787" s="48" t="s">
        <v>1203</v>
      </c>
      <c r="D787" s="114" t="str">
        <f>VLOOKUP(C787,'Custos Matéria Prima Embalagens'!B:C,2,0)</f>
        <v>WANBAC WBT CE (BH-200)</v>
      </c>
      <c r="E787" s="114" t="str">
        <f>VLOOKUP(C787,'Custos Matéria Prima Embalagens'!B:D,3,0)</f>
        <v>BACTERICIDA</v>
      </c>
      <c r="F787" s="270">
        <f t="shared" si="100"/>
        <v>1956</v>
      </c>
      <c r="G787" s="148">
        <f t="shared" si="101"/>
        <v>3.0674846625766872E-3</v>
      </c>
      <c r="H787" s="96">
        <v>6</v>
      </c>
      <c r="I787" s="272">
        <f>ROUND(F787/VLOOKUP(A787,'Tabela de Produtos'!A:J,10,0),0)</f>
        <v>1540</v>
      </c>
      <c r="J787" s="97">
        <f>IFERROR(VLOOKUP(C787,'Custos Matéria Prima Embalagens'!B:G,6,0)*H787,"Matéria Prima Não Cadastrada")</f>
        <v>29.639999999999997</v>
      </c>
      <c r="K787" s="97">
        <f>IFERROR(J787/(I787/VLOOKUP(A787,'Tabela de Produtos'!A:H,8,0)),"Matéria Prima Não Cadastrada")</f>
        <v>5.7740259740259731E-2</v>
      </c>
      <c r="L787" s="216"/>
    </row>
    <row r="788" spans="1:12" ht="15.75" customHeight="1">
      <c r="A788" s="114" t="s">
        <v>163</v>
      </c>
      <c r="B788" s="114" t="str">
        <f>VLOOKUP(A788,'Tabela de Produtos'!A:B,2,0)</f>
        <v>BRAZIMIL LÁTEX STANDARD INT/EXT FOSCO 3L VERMELHO GARANTIDO</v>
      </c>
      <c r="C788" s="48" t="s">
        <v>1205</v>
      </c>
      <c r="D788" s="114" t="str">
        <f>VLOOKUP(C788,'Custos Matéria Prima Embalagens'!B:C,2,0)</f>
        <v>WANSUR 840 CE (BB-200)01</v>
      </c>
      <c r="E788" s="114" t="str">
        <f>VLOOKUP(C788,'Custos Matéria Prima Embalagens'!B:D,3,0)</f>
        <v>UMECTANTE</v>
      </c>
      <c r="F788" s="270">
        <f t="shared" si="100"/>
        <v>1956</v>
      </c>
      <c r="G788" s="148">
        <f t="shared" si="101"/>
        <v>2.0449897750511249E-3</v>
      </c>
      <c r="H788" s="96">
        <v>4</v>
      </c>
      <c r="I788" s="272">
        <f>ROUND(F788/VLOOKUP(A788,'Tabela de Produtos'!A:J,10,0),0)</f>
        <v>1540</v>
      </c>
      <c r="J788" s="97">
        <f>IFERROR(VLOOKUP(C788,'Custos Matéria Prima Embalagens'!B:G,6,0)*H788,"Matéria Prima Não Cadastrada")</f>
        <v>29.32</v>
      </c>
      <c r="K788" s="97">
        <f>IFERROR(J788/(I788/VLOOKUP(A788,'Tabela de Produtos'!A:H,8,0)),"Matéria Prima Não Cadastrada")</f>
        <v>5.7116883116883115E-2</v>
      </c>
      <c r="L788" s="216"/>
    </row>
    <row r="789" spans="1:12" ht="15.75" customHeight="1">
      <c r="A789" s="114" t="s">
        <v>163</v>
      </c>
      <c r="B789" s="114" t="str">
        <f>VLOOKUP(A789,'Tabela de Produtos'!A:B,2,0)</f>
        <v>BRAZIMIL LÁTEX STANDARD INT/EXT FOSCO 3L VERMELHO GARANTIDO</v>
      </c>
      <c r="C789" s="48" t="s">
        <v>1207</v>
      </c>
      <c r="D789" s="114" t="str">
        <f>VLOOKUP(C789,'Custos Matéria Prima Embalagens'!B:C,2,0)</f>
        <v>WANPEX 1510 (BB-200)</v>
      </c>
      <c r="E789" s="114" t="str">
        <f>VLOOKUP(C789,'Custos Matéria Prima Embalagens'!B:D,3,0)</f>
        <v>DISPERSANTE LATEX</v>
      </c>
      <c r="F789" s="270">
        <f t="shared" si="100"/>
        <v>1956</v>
      </c>
      <c r="G789" s="148">
        <f t="shared" si="101"/>
        <v>3.0674846625766872E-3</v>
      </c>
      <c r="H789" s="96">
        <v>6</v>
      </c>
      <c r="I789" s="272">
        <f>ROUND(F789/VLOOKUP(A789,'Tabela de Produtos'!A:J,10,0),0)</f>
        <v>1540</v>
      </c>
      <c r="J789" s="97">
        <f>IFERROR(VLOOKUP(C789,'Custos Matéria Prima Embalagens'!B:G,6,0)*H789,"Matéria Prima Não Cadastrada")</f>
        <v>41.16</v>
      </c>
      <c r="K789" s="97">
        <f>IFERROR(J789/(I789/VLOOKUP(A789,'Tabela de Produtos'!A:H,8,0)),"Matéria Prima Não Cadastrada")</f>
        <v>8.0181818181818174E-2</v>
      </c>
      <c r="L789" s="216"/>
    </row>
    <row r="790" spans="1:12" ht="15.75" customHeight="1">
      <c r="A790" s="114" t="s">
        <v>163</v>
      </c>
      <c r="B790" s="114" t="str">
        <f>VLOOKUP(A790,'Tabela de Produtos'!A:B,2,0)</f>
        <v>BRAZIMIL LÁTEX STANDARD INT/EXT FOSCO 3L VERMELHO GARANTIDO</v>
      </c>
      <c r="C790" s="48" t="s">
        <v>1209</v>
      </c>
      <c r="D790" s="114" t="str">
        <f>VLOOKUP(C790,'Custos Matéria Prima Embalagens'!B:C,2,0)</f>
        <v>WANFUNG WFT CE (BH-200)</v>
      </c>
      <c r="E790" s="114" t="str">
        <f>VLOOKUP(C790,'Custos Matéria Prima Embalagens'!B:D,3,0)</f>
        <v>FUNGICIDA</v>
      </c>
      <c r="F790" s="270">
        <f t="shared" si="100"/>
        <v>1956</v>
      </c>
      <c r="G790" s="148">
        <f t="shared" si="101"/>
        <v>2.5562372188139061E-3</v>
      </c>
      <c r="H790" s="96">
        <v>5</v>
      </c>
      <c r="I790" s="272">
        <f>ROUND(F790/VLOOKUP(A790,'Tabela de Produtos'!A:J,10,0),0)</f>
        <v>1540</v>
      </c>
      <c r="J790" s="97">
        <f>IFERROR(VLOOKUP(C790,'Custos Matéria Prima Embalagens'!B:G,6,0)*H790,"Matéria Prima Não Cadastrada")</f>
        <v>35</v>
      </c>
      <c r="K790" s="97">
        <f>IFERROR(J790/(I790/VLOOKUP(A790,'Tabela de Produtos'!A:H,8,0)),"Matéria Prima Não Cadastrada")</f>
        <v>6.8181818181818177E-2</v>
      </c>
      <c r="L790" s="216"/>
    </row>
    <row r="791" spans="1:12" ht="15.75" customHeight="1">
      <c r="A791" s="114" t="s">
        <v>163</v>
      </c>
      <c r="B791" s="114" t="str">
        <f>VLOOKUP(A791,'Tabela de Produtos'!A:B,2,0)</f>
        <v>BRAZIMIL LÁTEX STANDARD INT/EXT FOSCO 3L VERMELHO GARANTIDO</v>
      </c>
      <c r="C791" s="48" t="s">
        <v>1211</v>
      </c>
      <c r="D791" s="114" t="str">
        <f>VLOOKUP(C791,'Custos Matéria Prima Embalagens'!B:C,2,0)</f>
        <v>WHITE PLUS PB (SC-25) (Em negociação)</v>
      </c>
      <c r="E791" s="114" t="str">
        <f>VLOOKUP(C791,'Custos Matéria Prima Embalagens'!B:D,3,0)</f>
        <v>WHITE PLUS</v>
      </c>
      <c r="F791" s="270">
        <f t="shared" si="100"/>
        <v>1956</v>
      </c>
      <c r="G791" s="148">
        <f t="shared" si="101"/>
        <v>0.15337423312883436</v>
      </c>
      <c r="H791" s="96">
        <v>300</v>
      </c>
      <c r="I791" s="272">
        <f>ROUND(F791/VLOOKUP(A791,'Tabela de Produtos'!A:J,10,0),0)</f>
        <v>1540</v>
      </c>
      <c r="J791" s="97">
        <f>IFERROR(VLOOKUP(C791,'Custos Matéria Prima Embalagens'!B:G,6,0)*H791,"Matéria Prima Não Cadastrada")</f>
        <v>927</v>
      </c>
      <c r="K791" s="97">
        <f>IFERROR(J791/(I791/VLOOKUP(A791,'Tabela de Produtos'!A:H,8,0)),"Matéria Prima Não Cadastrada")</f>
        <v>1.8058441558441558</v>
      </c>
      <c r="L791" s="216"/>
    </row>
    <row r="792" spans="1:12" ht="15.75" customHeight="1">
      <c r="A792" s="114" t="s">
        <v>163</v>
      </c>
      <c r="B792" s="114" t="str">
        <f>VLOOKUP(A792,'Tabela de Produtos'!A:B,2,0)</f>
        <v>BRAZIMIL LÁTEX STANDARD INT/EXT FOSCO 3L VERMELHO GARANTIDO</v>
      </c>
      <c r="C792" s="48" t="s">
        <v>1213</v>
      </c>
      <c r="D792" s="114" t="str">
        <f>VLOOKUP(C792,'Custos Matéria Prima Embalagens'!B:C,2,0)</f>
        <v>DIOXIDO DE TITANIO RUTILO R-996</v>
      </c>
      <c r="E792" s="114" t="str">
        <f>VLOOKUP(C792,'Custos Matéria Prima Embalagens'!B:D,3,0)</f>
        <v>TITANIO</v>
      </c>
      <c r="F792" s="270">
        <f t="shared" si="100"/>
        <v>1956</v>
      </c>
      <c r="G792" s="148">
        <f t="shared" si="101"/>
        <v>3.0674846625766871E-2</v>
      </c>
      <c r="H792" s="96">
        <v>60</v>
      </c>
      <c r="I792" s="272">
        <f>ROUND(F792/VLOOKUP(A792,'Tabela de Produtos'!A:J,10,0),0)</f>
        <v>1540</v>
      </c>
      <c r="J792" s="97">
        <f>IFERROR(VLOOKUP(C792,'Custos Matéria Prima Embalagens'!B:G,6,0)*H792,"Matéria Prima Não Cadastrada")</f>
        <v>1158</v>
      </c>
      <c r="K792" s="97">
        <f>IFERROR(J792/(I792/VLOOKUP(A792,'Tabela de Produtos'!A:H,8,0)),"Matéria Prima Não Cadastrada")</f>
        <v>2.2558441558441555</v>
      </c>
      <c r="L792" s="216"/>
    </row>
    <row r="793" spans="1:12" ht="15.75" customHeight="1">
      <c r="A793" s="114" t="s">
        <v>163</v>
      </c>
      <c r="B793" s="114" t="str">
        <f>VLOOKUP(A793,'Tabela de Produtos'!A:B,2,0)</f>
        <v>BRAZIMIL LÁTEX STANDARD INT/EXT FOSCO 3L VERMELHO GARANTIDO</v>
      </c>
      <c r="C793" s="48" t="s">
        <v>1215</v>
      </c>
      <c r="D793" s="114" t="str">
        <f>VLOOKUP(C793,'Custos Matéria Prima Embalagens'!B:C,2,0)</f>
        <v>CALCARIO DOLOMITICO #500 ( SACOS 25 KG)</v>
      </c>
      <c r="E793" s="114" t="str">
        <f>VLOOKUP(C793,'Custos Matéria Prima Embalagens'!B:D,3,0)</f>
        <v>CARBONATO #500</v>
      </c>
      <c r="F793" s="270">
        <f t="shared" si="100"/>
        <v>1956</v>
      </c>
      <c r="G793" s="148">
        <f t="shared" si="101"/>
        <v>0.15337423312883436</v>
      </c>
      <c r="H793" s="96">
        <v>300</v>
      </c>
      <c r="I793" s="272">
        <f>ROUND(F793/VLOOKUP(A793,'Tabela de Produtos'!A:J,10,0),0)</f>
        <v>1540</v>
      </c>
      <c r="J793" s="97">
        <f>IFERROR(VLOOKUP(C793,'Custos Matéria Prima Embalagens'!B:G,6,0)*H793,"Matéria Prima Não Cadastrada")</f>
        <v>240</v>
      </c>
      <c r="K793" s="97">
        <f>IFERROR(J793/(I793/VLOOKUP(A793,'Tabela de Produtos'!A:H,8,0)),"Matéria Prima Não Cadastrada")</f>
        <v>0.46753246753246752</v>
      </c>
      <c r="L793" s="216"/>
    </row>
    <row r="794" spans="1:12" ht="15.75" customHeight="1">
      <c r="A794" s="114" t="s">
        <v>163</v>
      </c>
      <c r="B794" s="114" t="str">
        <f>VLOOKUP(A794,'Tabela de Produtos'!A:B,2,0)</f>
        <v>BRAZIMIL LÁTEX STANDARD INT/EXT FOSCO 3L VERMELHO GARANTIDO</v>
      </c>
      <c r="C794" s="48" t="s">
        <v>1227</v>
      </c>
      <c r="D794" s="114" t="str">
        <f>VLOOKUP(C794,'Custos Matéria Prima Embalagens'!B:C,2,0)</f>
        <v>CAULIM MALHA 325</v>
      </c>
      <c r="E794" s="114" t="str">
        <f>VLOOKUP(C794,'Custos Matéria Prima Embalagens'!B:D,3,0)</f>
        <v>caulim</v>
      </c>
      <c r="F794" s="270">
        <f t="shared" si="100"/>
        <v>1956</v>
      </c>
      <c r="G794" s="148">
        <f t="shared" si="101"/>
        <v>5.112474437627812E-2</v>
      </c>
      <c r="H794" s="96">
        <v>100</v>
      </c>
      <c r="I794" s="272">
        <f>ROUND(F794/VLOOKUP(A794,'Tabela de Produtos'!A:J,10,0),0)</f>
        <v>1540</v>
      </c>
      <c r="J794" s="97">
        <f>IFERROR(VLOOKUP(C794,'Custos Matéria Prima Embalagens'!B:G,6,0)*H794,"Matéria Prima Não Cadastrada")</f>
        <v>152.04955555555551</v>
      </c>
      <c r="K794" s="97">
        <f>IFERROR(J794/(I794/VLOOKUP(A794,'Tabela de Produtos'!A:H,8,0)),"Matéria Prima Não Cadastrada")</f>
        <v>0.2962004329004328</v>
      </c>
      <c r="L794" s="216"/>
    </row>
    <row r="795" spans="1:12" ht="15.75" customHeight="1">
      <c r="A795" s="114" t="s">
        <v>163</v>
      </c>
      <c r="B795" s="114" t="str">
        <f>VLOOKUP(A795,'Tabela de Produtos'!A:B,2,0)</f>
        <v>BRAZIMIL LÁTEX STANDARD INT/EXT FOSCO 3L VERMELHO GARANTIDO</v>
      </c>
      <c r="C795" s="48" t="s">
        <v>1217</v>
      </c>
      <c r="D795" s="114" t="str">
        <f>VLOOKUP(C795,'Custos Matéria Prima Embalagens'!B:C,2,0)</f>
        <v>WANCRIL W 51 CE (CT-1000P)</v>
      </c>
      <c r="E795" s="114" t="str">
        <f>VLOOKUP(C795,'Custos Matéria Prima Embalagens'!B:D,3,0)</f>
        <v>RESINA ACRILICA ESTIRENADA</v>
      </c>
      <c r="F795" s="270">
        <f t="shared" si="100"/>
        <v>1956</v>
      </c>
      <c r="G795" s="148">
        <f t="shared" si="101"/>
        <v>0.10224948875255624</v>
      </c>
      <c r="H795" s="96">
        <v>200</v>
      </c>
      <c r="I795" s="272">
        <f>ROUND(F795/VLOOKUP(A795,'Tabela de Produtos'!A:J,10,0),0)</f>
        <v>1540</v>
      </c>
      <c r="J795" s="97">
        <f>IFERROR(VLOOKUP(C795,'Custos Matéria Prima Embalagens'!B:G,6,0)*H795,"Matéria Prima Não Cadastrada")</f>
        <v>1686</v>
      </c>
      <c r="K795" s="97">
        <f>IFERROR(J795/(I795/VLOOKUP(A795,'Tabela de Produtos'!A:H,8,0)),"Matéria Prima Não Cadastrada")</f>
        <v>3.284415584415584</v>
      </c>
      <c r="L795" s="216"/>
    </row>
    <row r="796" spans="1:12" ht="15.75" customHeight="1">
      <c r="A796" s="114" t="s">
        <v>163</v>
      </c>
      <c r="B796" s="114" t="str">
        <f>VLOOKUP(A796,'Tabela de Produtos'!A:B,2,0)</f>
        <v>BRAZIMIL LÁTEX STANDARD INT/EXT FOSCO 3L VERMELHO GARANTIDO</v>
      </c>
      <c r="C796" s="48" t="s">
        <v>1219</v>
      </c>
      <c r="D796" s="114" t="str">
        <f>VLOOKUP(C796,'Custos Matéria Prima Embalagens'!B:C,2,0)</f>
        <v>WANALK 70 CE (BH-200)</v>
      </c>
      <c r="E796" s="114" t="str">
        <f>VLOOKUP(C796,'Custos Matéria Prima Embalagens'!B:D,3,0)</f>
        <v>ALCALINIZANTE</v>
      </c>
      <c r="F796" s="270">
        <f t="shared" si="100"/>
        <v>1956</v>
      </c>
      <c r="G796" s="148">
        <f t="shared" si="101"/>
        <v>2.5562372188139061E-3</v>
      </c>
      <c r="H796" s="96">
        <v>5</v>
      </c>
      <c r="I796" s="272">
        <f>ROUND(F796/VLOOKUP(A796,'Tabela de Produtos'!A:J,10,0),0)</f>
        <v>1540</v>
      </c>
      <c r="J796" s="97">
        <f>IFERROR(VLOOKUP(C796,'Custos Matéria Prima Embalagens'!B:G,6,0)*H796,"Matéria Prima Não Cadastrada")</f>
        <v>24.900000000000002</v>
      </c>
      <c r="K796" s="97">
        <f>IFERROR(J796/(I796/VLOOKUP(A796,'Tabela de Produtos'!A:H,8,0)),"Matéria Prima Não Cadastrada")</f>
        <v>4.8506493506493505E-2</v>
      </c>
      <c r="L796" s="216"/>
    </row>
    <row r="797" spans="1:12" ht="15.75" customHeight="1">
      <c r="A797" s="114" t="s">
        <v>163</v>
      </c>
      <c r="B797" s="114" t="str">
        <f>VLOOKUP(A797,'Tabela de Produtos'!A:B,2,0)</f>
        <v>BRAZIMIL LÁTEX STANDARD INT/EXT FOSCO 3L VERMELHO GARANTIDO</v>
      </c>
      <c r="C797" s="48" t="s">
        <v>1221</v>
      </c>
      <c r="D797" s="114" t="str">
        <f>VLOOKUP(C797,'Custos Matéria Prima Embalagens'!B:C,2,0)</f>
        <v>MODIWAN 105H CE (CT-1000P)</v>
      </c>
      <c r="E797" s="114" t="str">
        <f>VLOOKUP(C797,'Custos Matéria Prima Embalagens'!B:D,3,0)</f>
        <v>ESPESSANTE DE MEDIA</v>
      </c>
      <c r="F797" s="270">
        <f t="shared" si="100"/>
        <v>1956</v>
      </c>
      <c r="G797" s="148">
        <f t="shared" si="101"/>
        <v>1.0224948875255624E-2</v>
      </c>
      <c r="H797" s="96">
        <v>20</v>
      </c>
      <c r="I797" s="272">
        <f>ROUND(F797/VLOOKUP(A797,'Tabela de Produtos'!A:J,10,0),0)</f>
        <v>1540</v>
      </c>
      <c r="J797" s="97">
        <f>IFERROR(VLOOKUP(C797,'Custos Matéria Prima Embalagens'!B:G,6,0)*H797,"Matéria Prima Não Cadastrada")</f>
        <v>158.1</v>
      </c>
      <c r="K797" s="97">
        <f>IFERROR(J797/(I797/VLOOKUP(A797,'Tabela de Produtos'!A:H,8,0)),"Matéria Prima Não Cadastrada")</f>
        <v>0.30798701298701298</v>
      </c>
      <c r="L797" s="216"/>
    </row>
    <row r="798" spans="1:12" ht="15.75" customHeight="1">
      <c r="A798" s="114" t="s">
        <v>163</v>
      </c>
      <c r="B798" s="114" t="str">
        <f>VLOOKUP(A798,'Tabela de Produtos'!A:B,2,0)</f>
        <v>BRAZIMIL LÁTEX STANDARD INT/EXT FOSCO 3L VERMELHO GARANTIDO</v>
      </c>
      <c r="C798" s="48" t="s">
        <v>1223</v>
      </c>
      <c r="D798" s="114" t="str">
        <f>VLOOKUP(C798,'Custos Matéria Prima Embalagens'!B:C,2,0)</f>
        <v>TURBOWAN H CE (BH-200)</v>
      </c>
      <c r="E798" s="114" t="str">
        <f>VLOOKUP(C798,'Custos Matéria Prima Embalagens'!B:D,3,0)</f>
        <v>PROMOTOR DE LAVABILIDADE</v>
      </c>
      <c r="F798" s="270">
        <f t="shared" si="100"/>
        <v>1956</v>
      </c>
      <c r="G798" s="148">
        <f t="shared" si="101"/>
        <v>7.6687116564417178E-3</v>
      </c>
      <c r="H798" s="96">
        <v>15</v>
      </c>
      <c r="I798" s="272">
        <f>ROUND(F798/VLOOKUP(A798,'Tabela de Produtos'!A:J,10,0),0)</f>
        <v>1540</v>
      </c>
      <c r="J798" s="97">
        <f>IFERROR(VLOOKUP(C798,'Custos Matéria Prima Embalagens'!B:G,6,0)*H798,"Matéria Prima Não Cadastrada")</f>
        <v>72.75</v>
      </c>
      <c r="K798" s="97">
        <f>IFERROR(J798/(I798/VLOOKUP(A798,'Tabela de Produtos'!A:H,8,0)),"Matéria Prima Não Cadastrada")</f>
        <v>0.14172077922077922</v>
      </c>
      <c r="L798" s="216"/>
    </row>
    <row r="799" spans="1:12" ht="15.75" customHeight="1">
      <c r="A799" s="114" t="s">
        <v>163</v>
      </c>
      <c r="B799" s="114" t="str">
        <f>VLOOKUP(A799,'Tabela de Produtos'!A:B,2,0)</f>
        <v>BRAZIMIL LÁTEX STANDARD INT/EXT FOSCO 3L VERMELHO GARANTIDO</v>
      </c>
      <c r="C799" s="48" t="s">
        <v>1229</v>
      </c>
      <c r="D799" s="114" t="str">
        <f>VLOOKUP(C799,'Custos Matéria Prima Embalagens'!B:C,2,0)</f>
        <v>WANSOL 340 CE (BB-200)</v>
      </c>
      <c r="E799" s="114" t="str">
        <f>VLOOKUP(C799,'Custos Matéria Prima Embalagens'!B:D,3,0)</f>
        <v>COALESCENTE</v>
      </c>
      <c r="F799" s="270">
        <f t="shared" si="100"/>
        <v>1956</v>
      </c>
      <c r="G799" s="148">
        <f t="shared" si="101"/>
        <v>5.1124744376278121E-3</v>
      </c>
      <c r="H799" s="96">
        <v>10</v>
      </c>
      <c r="I799" s="272">
        <f>ROUND(F799/VLOOKUP(A799,'Tabela de Produtos'!A:J,10,0),0)</f>
        <v>1540</v>
      </c>
      <c r="J799" s="97">
        <f>IFERROR(VLOOKUP(C799,'Custos Matéria Prima Embalagens'!B:G,6,0)*H799,"Matéria Prima Não Cadastrada")</f>
        <v>192.2</v>
      </c>
      <c r="K799" s="97">
        <f>IFERROR(J799/(I799/VLOOKUP(A799,'Tabela de Produtos'!A:H,8,0)),"Matéria Prima Não Cadastrada")</f>
        <v>0.37441558441558437</v>
      </c>
      <c r="L799" s="216"/>
    </row>
    <row r="800" spans="1:12" ht="15.75" customHeight="1">
      <c r="D800" s="114"/>
      <c r="E800" s="114"/>
      <c r="F800" s="96"/>
      <c r="G800" s="148"/>
      <c r="H800" s="96"/>
      <c r="I800" s="272"/>
      <c r="J800" s="97"/>
      <c r="K800" s="97"/>
      <c r="L800" s="216"/>
    </row>
    <row r="801" spans="1:12" ht="15.75" customHeight="1">
      <c r="A801" s="114" t="s">
        <v>164</v>
      </c>
      <c r="B801" s="114" t="str">
        <f>VLOOKUP(A801,'Tabela de Produtos'!A:B,2,0)</f>
        <v>BRAZIMIL LÁTEX STANDARD INT/EXT FOSCO 3L AZUL CAPRICHOSO</v>
      </c>
      <c r="C801" s="48" t="s">
        <v>1197</v>
      </c>
      <c r="D801" s="114" t="str">
        <f>VLOOKUP(C801,'Custos Matéria Prima Embalagens'!B:C,2,0)</f>
        <v>AGUA</v>
      </c>
      <c r="E801" s="114" t="str">
        <f>VLOOKUP(C801,'Custos Matéria Prima Embalagens'!B:D,3,0)</f>
        <v>AGUA</v>
      </c>
      <c r="F801" s="270">
        <f t="shared" ref="F801:F815" si="102">SUMIFS(H:H,A:A,A801)</f>
        <v>1956</v>
      </c>
      <c r="G801" s="148">
        <f t="shared" ref="G801:G815" si="103">H801/F801</f>
        <v>0.47034764826175868</v>
      </c>
      <c r="H801" s="96">
        <v>920</v>
      </c>
      <c r="I801" s="272">
        <f>ROUND(F801/VLOOKUP(A801,'Tabela de Produtos'!A:J,10,0),0)</f>
        <v>1540</v>
      </c>
      <c r="J801" s="97">
        <f>IFERROR(VLOOKUP(C801,'Custos Matéria Prima Embalagens'!B:G,6,0)*H801,"Matéria Prima Não Cadastrada")</f>
        <v>0</v>
      </c>
      <c r="K801" s="97">
        <f>IFERROR(J801/(I801/VLOOKUP(A801,'Tabela de Produtos'!A:H,8,0)),"Matéria Prima Não Cadastrada")</f>
        <v>0</v>
      </c>
      <c r="L801" s="216"/>
    </row>
    <row r="802" spans="1:12" ht="15.75" customHeight="1">
      <c r="A802" s="114" t="s">
        <v>164</v>
      </c>
      <c r="B802" s="114" t="str">
        <f>VLOOKUP(A802,'Tabela de Produtos'!A:B,2,0)</f>
        <v>BRAZIMIL LÁTEX STANDARD INT/EXT FOSCO 3L AZUL CAPRICHOSO</v>
      </c>
      <c r="C802" s="48" t="s">
        <v>1201</v>
      </c>
      <c r="D802" s="114" t="str">
        <f>VLOOKUP(C802,'Custos Matéria Prima Embalagens'!B:C,2,0)</f>
        <v>WANFOAM 528 CE (BB-190)</v>
      </c>
      <c r="E802" s="114" t="str">
        <f>VLOOKUP(C802,'Custos Matéria Prima Embalagens'!B:D,3,0)</f>
        <v>ANTI ESPUMA LATEX</v>
      </c>
      <c r="F802" s="270">
        <f t="shared" si="102"/>
        <v>1956</v>
      </c>
      <c r="G802" s="148">
        <f t="shared" si="103"/>
        <v>2.5562372188139061E-3</v>
      </c>
      <c r="H802" s="96">
        <v>5</v>
      </c>
      <c r="I802" s="272">
        <f>ROUND(F802/VLOOKUP(A802,'Tabela de Produtos'!A:J,10,0),0)</f>
        <v>1540</v>
      </c>
      <c r="J802" s="97">
        <f>IFERROR(VLOOKUP(C802,'Custos Matéria Prima Embalagens'!B:G,6,0)*H802,"Matéria Prima Não Cadastrada")</f>
        <v>35.9</v>
      </c>
      <c r="K802" s="97">
        <f>IFERROR(J802/(I802/VLOOKUP(A802,'Tabela de Produtos'!A:H,8,0)),"Matéria Prima Não Cadastrada")</f>
        <v>6.9935064935064933E-2</v>
      </c>
      <c r="L802" s="216"/>
    </row>
    <row r="803" spans="1:12" ht="15.75" customHeight="1">
      <c r="A803" s="114" t="s">
        <v>164</v>
      </c>
      <c r="B803" s="114" t="str">
        <f>VLOOKUP(A803,'Tabela de Produtos'!A:B,2,0)</f>
        <v>BRAZIMIL LÁTEX STANDARD INT/EXT FOSCO 3L AZUL CAPRICHOSO</v>
      </c>
      <c r="C803" s="48" t="s">
        <v>1203</v>
      </c>
      <c r="D803" s="114" t="str">
        <f>VLOOKUP(C803,'Custos Matéria Prima Embalagens'!B:C,2,0)</f>
        <v>WANBAC WBT CE (BH-200)</v>
      </c>
      <c r="E803" s="114" t="str">
        <f>VLOOKUP(C803,'Custos Matéria Prima Embalagens'!B:D,3,0)</f>
        <v>BACTERICIDA</v>
      </c>
      <c r="F803" s="270">
        <f t="shared" si="102"/>
        <v>1956</v>
      </c>
      <c r="G803" s="148">
        <f t="shared" si="103"/>
        <v>3.0674846625766872E-3</v>
      </c>
      <c r="H803" s="96">
        <v>6</v>
      </c>
      <c r="I803" s="272">
        <f>ROUND(F803/VLOOKUP(A803,'Tabela de Produtos'!A:J,10,0),0)</f>
        <v>1540</v>
      </c>
      <c r="J803" s="97">
        <f>IFERROR(VLOOKUP(C803,'Custos Matéria Prima Embalagens'!B:G,6,0)*H803,"Matéria Prima Não Cadastrada")</f>
        <v>29.639999999999997</v>
      </c>
      <c r="K803" s="97">
        <f>IFERROR(J803/(I803/VLOOKUP(A803,'Tabela de Produtos'!A:H,8,0)),"Matéria Prima Não Cadastrada")</f>
        <v>5.7740259740259731E-2</v>
      </c>
      <c r="L803" s="216"/>
    </row>
    <row r="804" spans="1:12" ht="15.75" customHeight="1">
      <c r="A804" s="114" t="s">
        <v>164</v>
      </c>
      <c r="B804" s="114" t="str">
        <f>VLOOKUP(A804,'Tabela de Produtos'!A:B,2,0)</f>
        <v>BRAZIMIL LÁTEX STANDARD INT/EXT FOSCO 3L AZUL CAPRICHOSO</v>
      </c>
      <c r="C804" s="48" t="s">
        <v>1205</v>
      </c>
      <c r="D804" s="114" t="str">
        <f>VLOOKUP(C804,'Custos Matéria Prima Embalagens'!B:C,2,0)</f>
        <v>WANSUR 840 CE (BB-200)01</v>
      </c>
      <c r="E804" s="114" t="str">
        <f>VLOOKUP(C804,'Custos Matéria Prima Embalagens'!B:D,3,0)</f>
        <v>UMECTANTE</v>
      </c>
      <c r="F804" s="270">
        <f t="shared" si="102"/>
        <v>1956</v>
      </c>
      <c r="G804" s="148">
        <f t="shared" si="103"/>
        <v>2.0449897750511249E-3</v>
      </c>
      <c r="H804" s="96">
        <v>4</v>
      </c>
      <c r="I804" s="272">
        <f>ROUND(F804/VLOOKUP(A804,'Tabela de Produtos'!A:J,10,0),0)</f>
        <v>1540</v>
      </c>
      <c r="J804" s="97">
        <f>IFERROR(VLOOKUP(C804,'Custos Matéria Prima Embalagens'!B:G,6,0)*H804,"Matéria Prima Não Cadastrada")</f>
        <v>29.32</v>
      </c>
      <c r="K804" s="97">
        <f>IFERROR(J804/(I804/VLOOKUP(A804,'Tabela de Produtos'!A:H,8,0)),"Matéria Prima Não Cadastrada")</f>
        <v>5.7116883116883115E-2</v>
      </c>
      <c r="L804" s="216"/>
    </row>
    <row r="805" spans="1:12" ht="15.75" customHeight="1">
      <c r="A805" s="114" t="s">
        <v>164</v>
      </c>
      <c r="B805" s="114" t="str">
        <f>VLOOKUP(A805,'Tabela de Produtos'!A:B,2,0)</f>
        <v>BRAZIMIL LÁTEX STANDARD INT/EXT FOSCO 3L AZUL CAPRICHOSO</v>
      </c>
      <c r="C805" s="48" t="s">
        <v>1207</v>
      </c>
      <c r="D805" s="114" t="str">
        <f>VLOOKUP(C805,'Custos Matéria Prima Embalagens'!B:C,2,0)</f>
        <v>WANPEX 1510 (BB-200)</v>
      </c>
      <c r="E805" s="114" t="str">
        <f>VLOOKUP(C805,'Custos Matéria Prima Embalagens'!B:D,3,0)</f>
        <v>DISPERSANTE LATEX</v>
      </c>
      <c r="F805" s="270">
        <f t="shared" si="102"/>
        <v>1956</v>
      </c>
      <c r="G805" s="148">
        <f t="shared" si="103"/>
        <v>3.0674846625766872E-3</v>
      </c>
      <c r="H805" s="96">
        <v>6</v>
      </c>
      <c r="I805" s="272">
        <f>ROUND(F805/VLOOKUP(A805,'Tabela de Produtos'!A:J,10,0),0)</f>
        <v>1540</v>
      </c>
      <c r="J805" s="97">
        <f>IFERROR(VLOOKUP(C805,'Custos Matéria Prima Embalagens'!B:G,6,0)*H805,"Matéria Prima Não Cadastrada")</f>
        <v>41.16</v>
      </c>
      <c r="K805" s="97">
        <f>IFERROR(J805/(I805/VLOOKUP(A805,'Tabela de Produtos'!A:H,8,0)),"Matéria Prima Não Cadastrada")</f>
        <v>8.0181818181818174E-2</v>
      </c>
      <c r="L805" s="216"/>
    </row>
    <row r="806" spans="1:12" ht="15.75" customHeight="1">
      <c r="A806" s="114" t="s">
        <v>164</v>
      </c>
      <c r="B806" s="114" t="str">
        <f>VLOOKUP(A806,'Tabela de Produtos'!A:B,2,0)</f>
        <v>BRAZIMIL LÁTEX STANDARD INT/EXT FOSCO 3L AZUL CAPRICHOSO</v>
      </c>
      <c r="C806" s="48" t="s">
        <v>1209</v>
      </c>
      <c r="D806" s="114" t="str">
        <f>VLOOKUP(C806,'Custos Matéria Prima Embalagens'!B:C,2,0)</f>
        <v>WANFUNG WFT CE (BH-200)</v>
      </c>
      <c r="E806" s="114" t="str">
        <f>VLOOKUP(C806,'Custos Matéria Prima Embalagens'!B:D,3,0)</f>
        <v>FUNGICIDA</v>
      </c>
      <c r="F806" s="270">
        <f t="shared" si="102"/>
        <v>1956</v>
      </c>
      <c r="G806" s="148">
        <f t="shared" si="103"/>
        <v>2.5562372188139061E-3</v>
      </c>
      <c r="H806" s="96">
        <v>5</v>
      </c>
      <c r="I806" s="272">
        <f>ROUND(F806/VLOOKUP(A806,'Tabela de Produtos'!A:J,10,0),0)</f>
        <v>1540</v>
      </c>
      <c r="J806" s="97">
        <f>IFERROR(VLOOKUP(C806,'Custos Matéria Prima Embalagens'!B:G,6,0)*H806,"Matéria Prima Não Cadastrada")</f>
        <v>35</v>
      </c>
      <c r="K806" s="97">
        <f>IFERROR(J806/(I806/VLOOKUP(A806,'Tabela de Produtos'!A:H,8,0)),"Matéria Prima Não Cadastrada")</f>
        <v>6.8181818181818177E-2</v>
      </c>
      <c r="L806" s="216"/>
    </row>
    <row r="807" spans="1:12" ht="15.75" customHeight="1">
      <c r="A807" s="114" t="s">
        <v>164</v>
      </c>
      <c r="B807" s="114" t="str">
        <f>VLOOKUP(A807,'Tabela de Produtos'!A:B,2,0)</f>
        <v>BRAZIMIL LÁTEX STANDARD INT/EXT FOSCO 3L AZUL CAPRICHOSO</v>
      </c>
      <c r="C807" s="48" t="s">
        <v>1211</v>
      </c>
      <c r="D807" s="114" t="str">
        <f>VLOOKUP(C807,'Custos Matéria Prima Embalagens'!B:C,2,0)</f>
        <v>WHITE PLUS PB (SC-25) (Em negociação)</v>
      </c>
      <c r="E807" s="114" t="str">
        <f>VLOOKUP(C807,'Custos Matéria Prima Embalagens'!B:D,3,0)</f>
        <v>WHITE PLUS</v>
      </c>
      <c r="F807" s="270">
        <f t="shared" si="102"/>
        <v>1956</v>
      </c>
      <c r="G807" s="148">
        <f t="shared" si="103"/>
        <v>0.15337423312883436</v>
      </c>
      <c r="H807" s="96">
        <v>300</v>
      </c>
      <c r="I807" s="272">
        <f>ROUND(F807/VLOOKUP(A807,'Tabela de Produtos'!A:J,10,0),0)</f>
        <v>1540</v>
      </c>
      <c r="J807" s="97">
        <f>IFERROR(VLOOKUP(C807,'Custos Matéria Prima Embalagens'!B:G,6,0)*H807,"Matéria Prima Não Cadastrada")</f>
        <v>927</v>
      </c>
      <c r="K807" s="97">
        <f>IFERROR(J807/(I807/VLOOKUP(A807,'Tabela de Produtos'!A:H,8,0)),"Matéria Prima Não Cadastrada")</f>
        <v>1.8058441558441558</v>
      </c>
      <c r="L807" s="216"/>
    </row>
    <row r="808" spans="1:12" ht="15.75" customHeight="1">
      <c r="A808" s="114" t="s">
        <v>164</v>
      </c>
      <c r="B808" s="114" t="str">
        <f>VLOOKUP(A808,'Tabela de Produtos'!A:B,2,0)</f>
        <v>BRAZIMIL LÁTEX STANDARD INT/EXT FOSCO 3L AZUL CAPRICHOSO</v>
      </c>
      <c r="C808" s="48" t="s">
        <v>1213</v>
      </c>
      <c r="D808" s="114" t="str">
        <f>VLOOKUP(C808,'Custos Matéria Prima Embalagens'!B:C,2,0)</f>
        <v>DIOXIDO DE TITANIO RUTILO R-996</v>
      </c>
      <c r="E808" s="114" t="str">
        <f>VLOOKUP(C808,'Custos Matéria Prima Embalagens'!B:D,3,0)</f>
        <v>TITANIO</v>
      </c>
      <c r="F808" s="270">
        <f t="shared" si="102"/>
        <v>1956</v>
      </c>
      <c r="G808" s="148">
        <f t="shared" si="103"/>
        <v>3.0674846625766871E-2</v>
      </c>
      <c r="H808" s="96">
        <v>60</v>
      </c>
      <c r="I808" s="272">
        <f>ROUND(F808/VLOOKUP(A808,'Tabela de Produtos'!A:J,10,0),0)</f>
        <v>1540</v>
      </c>
      <c r="J808" s="97">
        <f>IFERROR(VLOOKUP(C808,'Custos Matéria Prima Embalagens'!B:G,6,0)*H808,"Matéria Prima Não Cadastrada")</f>
        <v>1158</v>
      </c>
      <c r="K808" s="97">
        <f>IFERROR(J808/(I808/VLOOKUP(A808,'Tabela de Produtos'!A:H,8,0)),"Matéria Prima Não Cadastrada")</f>
        <v>2.2558441558441555</v>
      </c>
      <c r="L808" s="216"/>
    </row>
    <row r="809" spans="1:12" ht="15.75" customHeight="1">
      <c r="A809" s="114" t="s">
        <v>164</v>
      </c>
      <c r="B809" s="114" t="str">
        <f>VLOOKUP(A809,'Tabela de Produtos'!A:B,2,0)</f>
        <v>BRAZIMIL LÁTEX STANDARD INT/EXT FOSCO 3L AZUL CAPRICHOSO</v>
      </c>
      <c r="C809" s="48" t="s">
        <v>1215</v>
      </c>
      <c r="D809" s="114" t="str">
        <f>VLOOKUP(C809,'Custos Matéria Prima Embalagens'!B:C,2,0)</f>
        <v>CALCARIO DOLOMITICO #500 ( SACOS 25 KG)</v>
      </c>
      <c r="E809" s="114" t="str">
        <f>VLOOKUP(C809,'Custos Matéria Prima Embalagens'!B:D,3,0)</f>
        <v>CARBONATO #500</v>
      </c>
      <c r="F809" s="270">
        <f t="shared" si="102"/>
        <v>1956</v>
      </c>
      <c r="G809" s="148">
        <f t="shared" si="103"/>
        <v>0.15337423312883436</v>
      </c>
      <c r="H809" s="96">
        <v>300</v>
      </c>
      <c r="I809" s="272">
        <f>ROUND(F809/VLOOKUP(A809,'Tabela de Produtos'!A:J,10,0),0)</f>
        <v>1540</v>
      </c>
      <c r="J809" s="97">
        <f>IFERROR(VLOOKUP(C809,'Custos Matéria Prima Embalagens'!B:G,6,0)*H809,"Matéria Prima Não Cadastrada")</f>
        <v>240</v>
      </c>
      <c r="K809" s="97">
        <f>IFERROR(J809/(I809/VLOOKUP(A809,'Tabela de Produtos'!A:H,8,0)),"Matéria Prima Não Cadastrada")</f>
        <v>0.46753246753246752</v>
      </c>
      <c r="L809" s="216"/>
    </row>
    <row r="810" spans="1:12" ht="15.75" customHeight="1">
      <c r="A810" s="114" t="s">
        <v>164</v>
      </c>
      <c r="B810" s="114" t="str">
        <f>VLOOKUP(A810,'Tabela de Produtos'!A:B,2,0)</f>
        <v>BRAZIMIL LÁTEX STANDARD INT/EXT FOSCO 3L AZUL CAPRICHOSO</v>
      </c>
      <c r="C810" s="48" t="s">
        <v>1227</v>
      </c>
      <c r="D810" s="114" t="str">
        <f>VLOOKUP(C810,'Custos Matéria Prima Embalagens'!B:C,2,0)</f>
        <v>CAULIM MALHA 325</v>
      </c>
      <c r="E810" s="114" t="str">
        <f>VLOOKUP(C810,'Custos Matéria Prima Embalagens'!B:D,3,0)</f>
        <v>caulim</v>
      </c>
      <c r="F810" s="270">
        <f t="shared" si="102"/>
        <v>1956</v>
      </c>
      <c r="G810" s="148">
        <f t="shared" si="103"/>
        <v>5.112474437627812E-2</v>
      </c>
      <c r="H810" s="96">
        <v>100</v>
      </c>
      <c r="I810" s="272">
        <f>ROUND(F810/VLOOKUP(A810,'Tabela de Produtos'!A:J,10,0),0)</f>
        <v>1540</v>
      </c>
      <c r="J810" s="97">
        <f>IFERROR(VLOOKUP(C810,'Custos Matéria Prima Embalagens'!B:G,6,0)*H810,"Matéria Prima Não Cadastrada")</f>
        <v>152.04955555555551</v>
      </c>
      <c r="K810" s="97">
        <f>IFERROR(J810/(I810/VLOOKUP(A810,'Tabela de Produtos'!A:H,8,0)),"Matéria Prima Não Cadastrada")</f>
        <v>0.2962004329004328</v>
      </c>
      <c r="L810" s="216"/>
    </row>
    <row r="811" spans="1:12" ht="15.75" customHeight="1">
      <c r="A811" s="114" t="s">
        <v>164</v>
      </c>
      <c r="B811" s="114" t="str">
        <f>VLOOKUP(A811,'Tabela de Produtos'!A:B,2,0)</f>
        <v>BRAZIMIL LÁTEX STANDARD INT/EXT FOSCO 3L AZUL CAPRICHOSO</v>
      </c>
      <c r="C811" s="48" t="s">
        <v>1217</v>
      </c>
      <c r="D811" s="114" t="str">
        <f>VLOOKUP(C811,'Custos Matéria Prima Embalagens'!B:C,2,0)</f>
        <v>WANCRIL W 51 CE (CT-1000P)</v>
      </c>
      <c r="E811" s="114" t="str">
        <f>VLOOKUP(C811,'Custos Matéria Prima Embalagens'!B:D,3,0)</f>
        <v>RESINA ACRILICA ESTIRENADA</v>
      </c>
      <c r="F811" s="270">
        <f t="shared" si="102"/>
        <v>1956</v>
      </c>
      <c r="G811" s="148">
        <f t="shared" si="103"/>
        <v>0.10224948875255624</v>
      </c>
      <c r="H811" s="96">
        <v>200</v>
      </c>
      <c r="I811" s="272">
        <f>ROUND(F811/VLOOKUP(A811,'Tabela de Produtos'!A:J,10,0),0)</f>
        <v>1540</v>
      </c>
      <c r="J811" s="97">
        <f>IFERROR(VLOOKUP(C811,'Custos Matéria Prima Embalagens'!B:G,6,0)*H811,"Matéria Prima Não Cadastrada")</f>
        <v>1686</v>
      </c>
      <c r="K811" s="97">
        <f>IFERROR(J811/(I811/VLOOKUP(A811,'Tabela de Produtos'!A:H,8,0)),"Matéria Prima Não Cadastrada")</f>
        <v>3.284415584415584</v>
      </c>
      <c r="L811" s="216"/>
    </row>
    <row r="812" spans="1:12" ht="15.75" customHeight="1">
      <c r="A812" s="114" t="s">
        <v>164</v>
      </c>
      <c r="B812" s="114" t="str">
        <f>VLOOKUP(A812,'Tabela de Produtos'!A:B,2,0)</f>
        <v>BRAZIMIL LÁTEX STANDARD INT/EXT FOSCO 3L AZUL CAPRICHOSO</v>
      </c>
      <c r="C812" s="48" t="s">
        <v>1219</v>
      </c>
      <c r="D812" s="114" t="str">
        <f>VLOOKUP(C812,'Custos Matéria Prima Embalagens'!B:C,2,0)</f>
        <v>WANALK 70 CE (BH-200)</v>
      </c>
      <c r="E812" s="114" t="str">
        <f>VLOOKUP(C812,'Custos Matéria Prima Embalagens'!B:D,3,0)</f>
        <v>ALCALINIZANTE</v>
      </c>
      <c r="F812" s="270">
        <f t="shared" si="102"/>
        <v>1956</v>
      </c>
      <c r="G812" s="148">
        <f t="shared" si="103"/>
        <v>2.5562372188139061E-3</v>
      </c>
      <c r="H812" s="96">
        <v>5</v>
      </c>
      <c r="I812" s="272">
        <f>ROUND(F812/VLOOKUP(A812,'Tabela de Produtos'!A:J,10,0),0)</f>
        <v>1540</v>
      </c>
      <c r="J812" s="97">
        <f>IFERROR(VLOOKUP(C812,'Custos Matéria Prima Embalagens'!B:G,6,0)*H812,"Matéria Prima Não Cadastrada")</f>
        <v>24.900000000000002</v>
      </c>
      <c r="K812" s="97">
        <f>IFERROR(J812/(I812/VLOOKUP(A812,'Tabela de Produtos'!A:H,8,0)),"Matéria Prima Não Cadastrada")</f>
        <v>4.8506493506493505E-2</v>
      </c>
      <c r="L812" s="216"/>
    </row>
    <row r="813" spans="1:12" ht="15.75" customHeight="1">
      <c r="A813" s="114" t="s">
        <v>164</v>
      </c>
      <c r="B813" s="114" t="str">
        <f>VLOOKUP(A813,'Tabela de Produtos'!A:B,2,0)</f>
        <v>BRAZIMIL LÁTEX STANDARD INT/EXT FOSCO 3L AZUL CAPRICHOSO</v>
      </c>
      <c r="C813" s="48" t="s">
        <v>1221</v>
      </c>
      <c r="D813" s="114" t="str">
        <f>VLOOKUP(C813,'Custos Matéria Prima Embalagens'!B:C,2,0)</f>
        <v>MODIWAN 105H CE (CT-1000P)</v>
      </c>
      <c r="E813" s="114" t="str">
        <f>VLOOKUP(C813,'Custos Matéria Prima Embalagens'!B:D,3,0)</f>
        <v>ESPESSANTE DE MEDIA</v>
      </c>
      <c r="F813" s="270">
        <f t="shared" si="102"/>
        <v>1956</v>
      </c>
      <c r="G813" s="148">
        <f t="shared" si="103"/>
        <v>1.0224948875255624E-2</v>
      </c>
      <c r="H813" s="96">
        <v>20</v>
      </c>
      <c r="I813" s="272">
        <f>ROUND(F813/VLOOKUP(A813,'Tabela de Produtos'!A:J,10,0),0)</f>
        <v>1540</v>
      </c>
      <c r="J813" s="97">
        <f>IFERROR(VLOOKUP(C813,'Custos Matéria Prima Embalagens'!B:G,6,0)*H813,"Matéria Prima Não Cadastrada")</f>
        <v>158.1</v>
      </c>
      <c r="K813" s="97">
        <f>IFERROR(J813/(I813/VLOOKUP(A813,'Tabela de Produtos'!A:H,8,0)),"Matéria Prima Não Cadastrada")</f>
        <v>0.30798701298701298</v>
      </c>
      <c r="L813" s="216"/>
    </row>
    <row r="814" spans="1:12" ht="15.75" customHeight="1">
      <c r="A814" s="114" t="s">
        <v>164</v>
      </c>
      <c r="B814" s="114" t="str">
        <f>VLOOKUP(A814,'Tabela de Produtos'!A:B,2,0)</f>
        <v>BRAZIMIL LÁTEX STANDARD INT/EXT FOSCO 3L AZUL CAPRICHOSO</v>
      </c>
      <c r="C814" s="48" t="s">
        <v>1223</v>
      </c>
      <c r="D814" s="114" t="str">
        <f>VLOOKUP(C814,'Custos Matéria Prima Embalagens'!B:C,2,0)</f>
        <v>TURBOWAN H CE (BH-200)</v>
      </c>
      <c r="E814" s="114" t="str">
        <f>VLOOKUP(C814,'Custos Matéria Prima Embalagens'!B:D,3,0)</f>
        <v>PROMOTOR DE LAVABILIDADE</v>
      </c>
      <c r="F814" s="270">
        <f t="shared" si="102"/>
        <v>1956</v>
      </c>
      <c r="G814" s="148">
        <f t="shared" si="103"/>
        <v>7.6687116564417178E-3</v>
      </c>
      <c r="H814" s="96">
        <v>15</v>
      </c>
      <c r="I814" s="272">
        <f>ROUND(F814/VLOOKUP(A814,'Tabela de Produtos'!A:J,10,0),0)</f>
        <v>1540</v>
      </c>
      <c r="J814" s="97">
        <f>IFERROR(VLOOKUP(C814,'Custos Matéria Prima Embalagens'!B:G,6,0)*H814,"Matéria Prima Não Cadastrada")</f>
        <v>72.75</v>
      </c>
      <c r="K814" s="97">
        <f>IFERROR(J814/(I814/VLOOKUP(A814,'Tabela de Produtos'!A:H,8,0)),"Matéria Prima Não Cadastrada")</f>
        <v>0.14172077922077922</v>
      </c>
      <c r="L814" s="216"/>
    </row>
    <row r="815" spans="1:12" ht="15.75" customHeight="1">
      <c r="A815" s="114" t="s">
        <v>164</v>
      </c>
      <c r="B815" s="114" t="str">
        <f>VLOOKUP(A815,'Tabela de Produtos'!A:B,2,0)</f>
        <v>BRAZIMIL LÁTEX STANDARD INT/EXT FOSCO 3L AZUL CAPRICHOSO</v>
      </c>
      <c r="C815" s="48" t="s">
        <v>1229</v>
      </c>
      <c r="D815" s="114" t="str">
        <f>VLOOKUP(C815,'Custos Matéria Prima Embalagens'!B:C,2,0)</f>
        <v>WANSOL 340 CE (BB-200)</v>
      </c>
      <c r="E815" s="114" t="str">
        <f>VLOOKUP(C815,'Custos Matéria Prima Embalagens'!B:D,3,0)</f>
        <v>COALESCENTE</v>
      </c>
      <c r="F815" s="270">
        <f t="shared" si="102"/>
        <v>1956</v>
      </c>
      <c r="G815" s="148">
        <f t="shared" si="103"/>
        <v>5.1124744376278121E-3</v>
      </c>
      <c r="H815" s="96">
        <v>10</v>
      </c>
      <c r="I815" s="272">
        <f>ROUND(F815/VLOOKUP(A815,'Tabela de Produtos'!A:J,10,0),0)</f>
        <v>1540</v>
      </c>
      <c r="J815" s="97">
        <f>IFERROR(VLOOKUP(C815,'Custos Matéria Prima Embalagens'!B:G,6,0)*H815,"Matéria Prima Não Cadastrada")</f>
        <v>192.2</v>
      </c>
      <c r="K815" s="97">
        <f>IFERROR(J815/(I815/VLOOKUP(A815,'Tabela de Produtos'!A:H,8,0)),"Matéria Prima Não Cadastrada")</f>
        <v>0.37441558441558437</v>
      </c>
      <c r="L815" s="216"/>
    </row>
    <row r="816" spans="1:12" ht="15.75" customHeight="1">
      <c r="D816" s="114"/>
      <c r="E816" s="114"/>
      <c r="F816" s="96"/>
      <c r="G816" s="148"/>
      <c r="H816" s="96"/>
      <c r="I816" s="272"/>
      <c r="J816" s="97"/>
      <c r="K816" s="97"/>
      <c r="L816" s="216"/>
    </row>
    <row r="817" spans="1:12" ht="15.75" customHeight="1">
      <c r="A817" s="114" t="s">
        <v>165</v>
      </c>
      <c r="B817" s="114" t="str">
        <f>VLOOKUP(A817,'Tabela de Produtos'!A:B,2,0)</f>
        <v>BRAZIMIL LÁTEX STANDARD INT/EXT FOSCO 3L CINZA MEDIO</v>
      </c>
      <c r="C817" s="48" t="s">
        <v>1197</v>
      </c>
      <c r="D817" s="114" t="str">
        <f>VLOOKUP(C817,'Custos Matéria Prima Embalagens'!B:C,2,0)</f>
        <v>AGUA</v>
      </c>
      <c r="E817" s="114" t="str">
        <f>VLOOKUP(C817,'Custos Matéria Prima Embalagens'!B:D,3,0)</f>
        <v>AGUA</v>
      </c>
      <c r="F817" s="270">
        <f t="shared" ref="F817:F831" si="104">SUMIFS(H:H,A:A,A817)</f>
        <v>1956</v>
      </c>
      <c r="G817" s="148">
        <f t="shared" ref="G817:G831" si="105">H817/F817</f>
        <v>0.47034764826175868</v>
      </c>
      <c r="H817" s="96">
        <v>920</v>
      </c>
      <c r="I817" s="272">
        <f>ROUND(F817/VLOOKUP(A817,'Tabela de Produtos'!A:J,10,0),0)</f>
        <v>1540</v>
      </c>
      <c r="J817" s="97">
        <f>IFERROR(VLOOKUP(C817,'Custos Matéria Prima Embalagens'!B:G,6,0)*H817,"Matéria Prima Não Cadastrada")</f>
        <v>0</v>
      </c>
      <c r="K817" s="97">
        <f>IFERROR(J817/(I817/VLOOKUP(A817,'Tabela de Produtos'!A:H,8,0)),"Matéria Prima Não Cadastrada")</f>
        <v>0</v>
      </c>
      <c r="L817" s="216"/>
    </row>
    <row r="818" spans="1:12" ht="15.75" customHeight="1">
      <c r="A818" s="114" t="s">
        <v>165</v>
      </c>
      <c r="B818" s="114" t="str">
        <f>VLOOKUP(A818,'Tabela de Produtos'!A:B,2,0)</f>
        <v>BRAZIMIL LÁTEX STANDARD INT/EXT FOSCO 3L CINZA MEDIO</v>
      </c>
      <c r="C818" s="48" t="s">
        <v>1201</v>
      </c>
      <c r="D818" s="114" t="str">
        <f>VLOOKUP(C818,'Custos Matéria Prima Embalagens'!B:C,2,0)</f>
        <v>WANFOAM 528 CE (BB-190)</v>
      </c>
      <c r="E818" s="114" t="str">
        <f>VLOOKUP(C818,'Custos Matéria Prima Embalagens'!B:D,3,0)</f>
        <v>ANTI ESPUMA LATEX</v>
      </c>
      <c r="F818" s="270">
        <f t="shared" si="104"/>
        <v>1956</v>
      </c>
      <c r="G818" s="148">
        <f t="shared" si="105"/>
        <v>2.5562372188139061E-3</v>
      </c>
      <c r="H818" s="96">
        <v>5</v>
      </c>
      <c r="I818" s="272">
        <f>ROUND(F818/VLOOKUP(A818,'Tabela de Produtos'!A:J,10,0),0)</f>
        <v>1540</v>
      </c>
      <c r="J818" s="97">
        <f>IFERROR(VLOOKUP(C818,'Custos Matéria Prima Embalagens'!B:G,6,0)*H818,"Matéria Prima Não Cadastrada")</f>
        <v>35.9</v>
      </c>
      <c r="K818" s="97">
        <f>IFERROR(J818/(I818/VLOOKUP(A818,'Tabela de Produtos'!A:H,8,0)),"Matéria Prima Não Cadastrada")</f>
        <v>6.9935064935064933E-2</v>
      </c>
      <c r="L818" s="216"/>
    </row>
    <row r="819" spans="1:12" ht="15.75" customHeight="1">
      <c r="A819" s="114" t="s">
        <v>165</v>
      </c>
      <c r="B819" s="114" t="str">
        <f>VLOOKUP(A819,'Tabela de Produtos'!A:B,2,0)</f>
        <v>BRAZIMIL LÁTEX STANDARD INT/EXT FOSCO 3L CINZA MEDIO</v>
      </c>
      <c r="C819" s="48" t="s">
        <v>1203</v>
      </c>
      <c r="D819" s="114" t="str">
        <f>VLOOKUP(C819,'Custos Matéria Prima Embalagens'!B:C,2,0)</f>
        <v>WANBAC WBT CE (BH-200)</v>
      </c>
      <c r="E819" s="114" t="str">
        <f>VLOOKUP(C819,'Custos Matéria Prima Embalagens'!B:D,3,0)</f>
        <v>BACTERICIDA</v>
      </c>
      <c r="F819" s="270">
        <f t="shared" si="104"/>
        <v>1956</v>
      </c>
      <c r="G819" s="148">
        <f t="shared" si="105"/>
        <v>3.0674846625766872E-3</v>
      </c>
      <c r="H819" s="96">
        <v>6</v>
      </c>
      <c r="I819" s="272">
        <f>ROUND(F819/VLOOKUP(A819,'Tabela de Produtos'!A:J,10,0),0)</f>
        <v>1540</v>
      </c>
      <c r="J819" s="97">
        <f>IFERROR(VLOOKUP(C819,'Custos Matéria Prima Embalagens'!B:G,6,0)*H819,"Matéria Prima Não Cadastrada")</f>
        <v>29.639999999999997</v>
      </c>
      <c r="K819" s="97">
        <f>IFERROR(J819/(I819/VLOOKUP(A819,'Tabela de Produtos'!A:H,8,0)),"Matéria Prima Não Cadastrada")</f>
        <v>5.7740259740259731E-2</v>
      </c>
      <c r="L819" s="216"/>
    </row>
    <row r="820" spans="1:12" ht="15.75" customHeight="1">
      <c r="A820" s="114" t="s">
        <v>165</v>
      </c>
      <c r="B820" s="114" t="str">
        <f>VLOOKUP(A820,'Tabela de Produtos'!A:B,2,0)</f>
        <v>BRAZIMIL LÁTEX STANDARD INT/EXT FOSCO 3L CINZA MEDIO</v>
      </c>
      <c r="C820" s="48" t="s">
        <v>1205</v>
      </c>
      <c r="D820" s="114" t="str">
        <f>VLOOKUP(C820,'Custos Matéria Prima Embalagens'!B:C,2,0)</f>
        <v>WANSUR 840 CE (BB-200)01</v>
      </c>
      <c r="E820" s="114" t="str">
        <f>VLOOKUP(C820,'Custos Matéria Prima Embalagens'!B:D,3,0)</f>
        <v>UMECTANTE</v>
      </c>
      <c r="F820" s="270">
        <f t="shared" si="104"/>
        <v>1956</v>
      </c>
      <c r="G820" s="148">
        <f t="shared" si="105"/>
        <v>2.0449897750511249E-3</v>
      </c>
      <c r="H820" s="96">
        <v>4</v>
      </c>
      <c r="I820" s="272">
        <f>ROUND(F820/VLOOKUP(A820,'Tabela de Produtos'!A:J,10,0),0)</f>
        <v>1540</v>
      </c>
      <c r="J820" s="97">
        <f>IFERROR(VLOOKUP(C820,'Custos Matéria Prima Embalagens'!B:G,6,0)*H820,"Matéria Prima Não Cadastrada")</f>
        <v>29.32</v>
      </c>
      <c r="K820" s="97">
        <f>IFERROR(J820/(I820/VLOOKUP(A820,'Tabela de Produtos'!A:H,8,0)),"Matéria Prima Não Cadastrada")</f>
        <v>5.7116883116883115E-2</v>
      </c>
      <c r="L820" s="216"/>
    </row>
    <row r="821" spans="1:12" ht="15.75" customHeight="1">
      <c r="A821" s="114" t="s">
        <v>165</v>
      </c>
      <c r="B821" s="114" t="str">
        <f>VLOOKUP(A821,'Tabela de Produtos'!A:B,2,0)</f>
        <v>BRAZIMIL LÁTEX STANDARD INT/EXT FOSCO 3L CINZA MEDIO</v>
      </c>
      <c r="C821" s="48" t="s">
        <v>1207</v>
      </c>
      <c r="D821" s="114" t="str">
        <f>VLOOKUP(C821,'Custos Matéria Prima Embalagens'!B:C,2,0)</f>
        <v>WANPEX 1510 (BB-200)</v>
      </c>
      <c r="E821" s="114" t="str">
        <f>VLOOKUP(C821,'Custos Matéria Prima Embalagens'!B:D,3,0)</f>
        <v>DISPERSANTE LATEX</v>
      </c>
      <c r="F821" s="270">
        <f t="shared" si="104"/>
        <v>1956</v>
      </c>
      <c r="G821" s="148">
        <f t="shared" si="105"/>
        <v>3.0674846625766872E-3</v>
      </c>
      <c r="H821" s="96">
        <v>6</v>
      </c>
      <c r="I821" s="272">
        <f>ROUND(F821/VLOOKUP(A821,'Tabela de Produtos'!A:J,10,0),0)</f>
        <v>1540</v>
      </c>
      <c r="J821" s="97">
        <f>IFERROR(VLOOKUP(C821,'Custos Matéria Prima Embalagens'!B:G,6,0)*H821,"Matéria Prima Não Cadastrada")</f>
        <v>41.16</v>
      </c>
      <c r="K821" s="97">
        <f>IFERROR(J821/(I821/VLOOKUP(A821,'Tabela de Produtos'!A:H,8,0)),"Matéria Prima Não Cadastrada")</f>
        <v>8.0181818181818174E-2</v>
      </c>
      <c r="L821" s="216"/>
    </row>
    <row r="822" spans="1:12" ht="15.75" customHeight="1">
      <c r="A822" s="114" t="s">
        <v>165</v>
      </c>
      <c r="B822" s="114" t="str">
        <f>VLOOKUP(A822,'Tabela de Produtos'!A:B,2,0)</f>
        <v>BRAZIMIL LÁTEX STANDARD INT/EXT FOSCO 3L CINZA MEDIO</v>
      </c>
      <c r="C822" s="48" t="s">
        <v>1209</v>
      </c>
      <c r="D822" s="114" t="str">
        <f>VLOOKUP(C822,'Custos Matéria Prima Embalagens'!B:C,2,0)</f>
        <v>WANFUNG WFT CE (BH-200)</v>
      </c>
      <c r="E822" s="114" t="str">
        <f>VLOOKUP(C822,'Custos Matéria Prima Embalagens'!B:D,3,0)</f>
        <v>FUNGICIDA</v>
      </c>
      <c r="F822" s="270">
        <f t="shared" si="104"/>
        <v>1956</v>
      </c>
      <c r="G822" s="148">
        <f t="shared" si="105"/>
        <v>2.5562372188139061E-3</v>
      </c>
      <c r="H822" s="96">
        <v>5</v>
      </c>
      <c r="I822" s="272">
        <f>ROUND(F822/VLOOKUP(A822,'Tabela de Produtos'!A:J,10,0),0)</f>
        <v>1540</v>
      </c>
      <c r="J822" s="97">
        <f>IFERROR(VLOOKUP(C822,'Custos Matéria Prima Embalagens'!B:G,6,0)*H822,"Matéria Prima Não Cadastrada")</f>
        <v>35</v>
      </c>
      <c r="K822" s="97">
        <f>IFERROR(J822/(I822/VLOOKUP(A822,'Tabela de Produtos'!A:H,8,0)),"Matéria Prima Não Cadastrada")</f>
        <v>6.8181818181818177E-2</v>
      </c>
      <c r="L822" s="216"/>
    </row>
    <row r="823" spans="1:12" ht="15.75" customHeight="1">
      <c r="A823" s="114" t="s">
        <v>165</v>
      </c>
      <c r="B823" s="114" t="str">
        <f>VLOOKUP(A823,'Tabela de Produtos'!A:B,2,0)</f>
        <v>BRAZIMIL LÁTEX STANDARD INT/EXT FOSCO 3L CINZA MEDIO</v>
      </c>
      <c r="C823" s="48" t="s">
        <v>1211</v>
      </c>
      <c r="D823" s="114" t="str">
        <f>VLOOKUP(C823,'Custos Matéria Prima Embalagens'!B:C,2,0)</f>
        <v>WHITE PLUS PB (SC-25) (Em negociação)</v>
      </c>
      <c r="E823" s="114" t="str">
        <f>VLOOKUP(C823,'Custos Matéria Prima Embalagens'!B:D,3,0)</f>
        <v>WHITE PLUS</v>
      </c>
      <c r="F823" s="270">
        <f t="shared" si="104"/>
        <v>1956</v>
      </c>
      <c r="G823" s="148">
        <f t="shared" si="105"/>
        <v>0.15337423312883436</v>
      </c>
      <c r="H823" s="96">
        <v>300</v>
      </c>
      <c r="I823" s="272">
        <f>ROUND(F823/VLOOKUP(A823,'Tabela de Produtos'!A:J,10,0),0)</f>
        <v>1540</v>
      </c>
      <c r="J823" s="97">
        <f>IFERROR(VLOOKUP(C823,'Custos Matéria Prima Embalagens'!B:G,6,0)*H823,"Matéria Prima Não Cadastrada")</f>
        <v>927</v>
      </c>
      <c r="K823" s="97">
        <f>IFERROR(J823/(I823/VLOOKUP(A823,'Tabela de Produtos'!A:H,8,0)),"Matéria Prima Não Cadastrada")</f>
        <v>1.8058441558441558</v>
      </c>
      <c r="L823" s="216"/>
    </row>
    <row r="824" spans="1:12" ht="15.75" customHeight="1">
      <c r="A824" s="114" t="s">
        <v>165</v>
      </c>
      <c r="B824" s="114" t="str">
        <f>VLOOKUP(A824,'Tabela de Produtos'!A:B,2,0)</f>
        <v>BRAZIMIL LÁTEX STANDARD INT/EXT FOSCO 3L CINZA MEDIO</v>
      </c>
      <c r="C824" s="48" t="s">
        <v>1213</v>
      </c>
      <c r="D824" s="114" t="str">
        <f>VLOOKUP(C824,'Custos Matéria Prima Embalagens'!B:C,2,0)</f>
        <v>DIOXIDO DE TITANIO RUTILO R-996</v>
      </c>
      <c r="E824" s="114" t="str">
        <f>VLOOKUP(C824,'Custos Matéria Prima Embalagens'!B:D,3,0)</f>
        <v>TITANIO</v>
      </c>
      <c r="F824" s="270">
        <f t="shared" si="104"/>
        <v>1956</v>
      </c>
      <c r="G824" s="148">
        <f t="shared" si="105"/>
        <v>3.0674846625766871E-2</v>
      </c>
      <c r="H824" s="96">
        <v>60</v>
      </c>
      <c r="I824" s="272">
        <f>ROUND(F824/VLOOKUP(A824,'Tabela de Produtos'!A:J,10,0),0)</f>
        <v>1540</v>
      </c>
      <c r="J824" s="97">
        <f>IFERROR(VLOOKUP(C824,'Custos Matéria Prima Embalagens'!B:G,6,0)*H824,"Matéria Prima Não Cadastrada")</f>
        <v>1158</v>
      </c>
      <c r="K824" s="97">
        <f>IFERROR(J824/(I824/VLOOKUP(A824,'Tabela de Produtos'!A:H,8,0)),"Matéria Prima Não Cadastrada")</f>
        <v>2.2558441558441555</v>
      </c>
      <c r="L824" s="216"/>
    </row>
    <row r="825" spans="1:12" ht="15.75" customHeight="1">
      <c r="A825" s="114" t="s">
        <v>165</v>
      </c>
      <c r="B825" s="114" t="str">
        <f>VLOOKUP(A825,'Tabela de Produtos'!A:B,2,0)</f>
        <v>BRAZIMIL LÁTEX STANDARD INT/EXT FOSCO 3L CINZA MEDIO</v>
      </c>
      <c r="C825" s="48" t="s">
        <v>1215</v>
      </c>
      <c r="D825" s="114" t="str">
        <f>VLOOKUP(C825,'Custos Matéria Prima Embalagens'!B:C,2,0)</f>
        <v>CALCARIO DOLOMITICO #500 ( SACOS 25 KG)</v>
      </c>
      <c r="E825" s="114" t="str">
        <f>VLOOKUP(C825,'Custos Matéria Prima Embalagens'!B:D,3,0)</f>
        <v>CARBONATO #500</v>
      </c>
      <c r="F825" s="270">
        <f t="shared" si="104"/>
        <v>1956</v>
      </c>
      <c r="G825" s="148">
        <f t="shared" si="105"/>
        <v>0.15337423312883436</v>
      </c>
      <c r="H825" s="96">
        <v>300</v>
      </c>
      <c r="I825" s="272">
        <f>ROUND(F825/VLOOKUP(A825,'Tabela de Produtos'!A:J,10,0),0)</f>
        <v>1540</v>
      </c>
      <c r="J825" s="97">
        <f>IFERROR(VLOOKUP(C825,'Custos Matéria Prima Embalagens'!B:G,6,0)*H825,"Matéria Prima Não Cadastrada")</f>
        <v>240</v>
      </c>
      <c r="K825" s="97">
        <f>IFERROR(J825/(I825/VLOOKUP(A825,'Tabela de Produtos'!A:H,8,0)),"Matéria Prima Não Cadastrada")</f>
        <v>0.46753246753246752</v>
      </c>
      <c r="L825" s="216"/>
    </row>
    <row r="826" spans="1:12" ht="15.75" customHeight="1">
      <c r="A826" s="114" t="s">
        <v>165</v>
      </c>
      <c r="B826" s="114" t="str">
        <f>VLOOKUP(A826,'Tabela de Produtos'!A:B,2,0)</f>
        <v>BRAZIMIL LÁTEX STANDARD INT/EXT FOSCO 3L CINZA MEDIO</v>
      </c>
      <c r="C826" s="48" t="s">
        <v>1227</v>
      </c>
      <c r="D826" s="114" t="str">
        <f>VLOOKUP(C826,'Custos Matéria Prima Embalagens'!B:C,2,0)</f>
        <v>CAULIM MALHA 325</v>
      </c>
      <c r="E826" s="114" t="str">
        <f>VLOOKUP(C826,'Custos Matéria Prima Embalagens'!B:D,3,0)</f>
        <v>caulim</v>
      </c>
      <c r="F826" s="270">
        <f t="shared" si="104"/>
        <v>1956</v>
      </c>
      <c r="G826" s="148">
        <f t="shared" si="105"/>
        <v>5.112474437627812E-2</v>
      </c>
      <c r="H826" s="96">
        <v>100</v>
      </c>
      <c r="I826" s="272">
        <f>ROUND(F826/VLOOKUP(A826,'Tabela de Produtos'!A:J,10,0),0)</f>
        <v>1540</v>
      </c>
      <c r="J826" s="97">
        <f>IFERROR(VLOOKUP(C826,'Custos Matéria Prima Embalagens'!B:G,6,0)*H826,"Matéria Prima Não Cadastrada")</f>
        <v>152.04955555555551</v>
      </c>
      <c r="K826" s="97">
        <f>IFERROR(J826/(I826/VLOOKUP(A826,'Tabela de Produtos'!A:H,8,0)),"Matéria Prima Não Cadastrada")</f>
        <v>0.2962004329004328</v>
      </c>
      <c r="L826" s="216"/>
    </row>
    <row r="827" spans="1:12" ht="15.75" customHeight="1">
      <c r="A827" s="114" t="s">
        <v>165</v>
      </c>
      <c r="B827" s="114" t="str">
        <f>VLOOKUP(A827,'Tabela de Produtos'!A:B,2,0)</f>
        <v>BRAZIMIL LÁTEX STANDARD INT/EXT FOSCO 3L CINZA MEDIO</v>
      </c>
      <c r="C827" s="48" t="s">
        <v>1217</v>
      </c>
      <c r="D827" s="114" t="str">
        <f>VLOOKUP(C827,'Custos Matéria Prima Embalagens'!B:C,2,0)</f>
        <v>WANCRIL W 51 CE (CT-1000P)</v>
      </c>
      <c r="E827" s="114" t="str">
        <f>VLOOKUP(C827,'Custos Matéria Prima Embalagens'!B:D,3,0)</f>
        <v>RESINA ACRILICA ESTIRENADA</v>
      </c>
      <c r="F827" s="270">
        <f t="shared" si="104"/>
        <v>1956</v>
      </c>
      <c r="G827" s="148">
        <f t="shared" si="105"/>
        <v>0.10224948875255624</v>
      </c>
      <c r="H827" s="96">
        <v>200</v>
      </c>
      <c r="I827" s="272">
        <f>ROUND(F827/VLOOKUP(A827,'Tabela de Produtos'!A:J,10,0),0)</f>
        <v>1540</v>
      </c>
      <c r="J827" s="97">
        <f>IFERROR(VLOOKUP(C827,'Custos Matéria Prima Embalagens'!B:G,6,0)*H827,"Matéria Prima Não Cadastrada")</f>
        <v>1686</v>
      </c>
      <c r="K827" s="97">
        <f>IFERROR(J827/(I827/VLOOKUP(A827,'Tabela de Produtos'!A:H,8,0)),"Matéria Prima Não Cadastrada")</f>
        <v>3.284415584415584</v>
      </c>
      <c r="L827" s="216"/>
    </row>
    <row r="828" spans="1:12" ht="15.75" customHeight="1">
      <c r="A828" s="114" t="s">
        <v>165</v>
      </c>
      <c r="B828" s="114" t="str">
        <f>VLOOKUP(A828,'Tabela de Produtos'!A:B,2,0)</f>
        <v>BRAZIMIL LÁTEX STANDARD INT/EXT FOSCO 3L CINZA MEDIO</v>
      </c>
      <c r="C828" s="48" t="s">
        <v>1219</v>
      </c>
      <c r="D828" s="114" t="str">
        <f>VLOOKUP(C828,'Custos Matéria Prima Embalagens'!B:C,2,0)</f>
        <v>WANALK 70 CE (BH-200)</v>
      </c>
      <c r="E828" s="114" t="str">
        <f>VLOOKUP(C828,'Custos Matéria Prima Embalagens'!B:D,3,0)</f>
        <v>ALCALINIZANTE</v>
      </c>
      <c r="F828" s="270">
        <f t="shared" si="104"/>
        <v>1956</v>
      </c>
      <c r="G828" s="148">
        <f t="shared" si="105"/>
        <v>2.5562372188139061E-3</v>
      </c>
      <c r="H828" s="96">
        <v>5</v>
      </c>
      <c r="I828" s="272">
        <f>ROUND(F828/VLOOKUP(A828,'Tabela de Produtos'!A:J,10,0),0)</f>
        <v>1540</v>
      </c>
      <c r="J828" s="97">
        <f>IFERROR(VLOOKUP(C828,'Custos Matéria Prima Embalagens'!B:G,6,0)*H828,"Matéria Prima Não Cadastrada")</f>
        <v>24.900000000000002</v>
      </c>
      <c r="K828" s="97">
        <f>IFERROR(J828/(I828/VLOOKUP(A828,'Tabela de Produtos'!A:H,8,0)),"Matéria Prima Não Cadastrada")</f>
        <v>4.8506493506493505E-2</v>
      </c>
      <c r="L828" s="216"/>
    </row>
    <row r="829" spans="1:12" ht="15.75" customHeight="1">
      <c r="A829" s="114" t="s">
        <v>165</v>
      </c>
      <c r="B829" s="114" t="str">
        <f>VLOOKUP(A829,'Tabela de Produtos'!A:B,2,0)</f>
        <v>BRAZIMIL LÁTEX STANDARD INT/EXT FOSCO 3L CINZA MEDIO</v>
      </c>
      <c r="C829" s="48" t="s">
        <v>1221</v>
      </c>
      <c r="D829" s="114" t="str">
        <f>VLOOKUP(C829,'Custos Matéria Prima Embalagens'!B:C,2,0)</f>
        <v>MODIWAN 105H CE (CT-1000P)</v>
      </c>
      <c r="E829" s="114" t="str">
        <f>VLOOKUP(C829,'Custos Matéria Prima Embalagens'!B:D,3,0)</f>
        <v>ESPESSANTE DE MEDIA</v>
      </c>
      <c r="F829" s="270">
        <f t="shared" si="104"/>
        <v>1956</v>
      </c>
      <c r="G829" s="148">
        <f t="shared" si="105"/>
        <v>1.0224948875255624E-2</v>
      </c>
      <c r="H829" s="96">
        <v>20</v>
      </c>
      <c r="I829" s="272">
        <f>ROUND(F829/VLOOKUP(A829,'Tabela de Produtos'!A:J,10,0),0)</f>
        <v>1540</v>
      </c>
      <c r="J829" s="97">
        <f>IFERROR(VLOOKUP(C829,'Custos Matéria Prima Embalagens'!B:G,6,0)*H829,"Matéria Prima Não Cadastrada")</f>
        <v>158.1</v>
      </c>
      <c r="K829" s="97">
        <f>IFERROR(J829/(I829/VLOOKUP(A829,'Tabela de Produtos'!A:H,8,0)),"Matéria Prima Não Cadastrada")</f>
        <v>0.30798701298701298</v>
      </c>
      <c r="L829" s="216"/>
    </row>
    <row r="830" spans="1:12" ht="15.75" customHeight="1">
      <c r="A830" s="114" t="s">
        <v>165</v>
      </c>
      <c r="B830" s="114" t="str">
        <f>VLOOKUP(A830,'Tabela de Produtos'!A:B,2,0)</f>
        <v>BRAZIMIL LÁTEX STANDARD INT/EXT FOSCO 3L CINZA MEDIO</v>
      </c>
      <c r="C830" s="48" t="s">
        <v>1223</v>
      </c>
      <c r="D830" s="114" t="str">
        <f>VLOOKUP(C830,'Custos Matéria Prima Embalagens'!B:C,2,0)</f>
        <v>TURBOWAN H CE (BH-200)</v>
      </c>
      <c r="E830" s="114" t="str">
        <f>VLOOKUP(C830,'Custos Matéria Prima Embalagens'!B:D,3,0)</f>
        <v>PROMOTOR DE LAVABILIDADE</v>
      </c>
      <c r="F830" s="270">
        <f t="shared" si="104"/>
        <v>1956</v>
      </c>
      <c r="G830" s="148">
        <f t="shared" si="105"/>
        <v>7.6687116564417178E-3</v>
      </c>
      <c r="H830" s="96">
        <v>15</v>
      </c>
      <c r="I830" s="272">
        <f>ROUND(F830/VLOOKUP(A830,'Tabela de Produtos'!A:J,10,0),0)</f>
        <v>1540</v>
      </c>
      <c r="J830" s="97">
        <f>IFERROR(VLOOKUP(C830,'Custos Matéria Prima Embalagens'!B:G,6,0)*H830,"Matéria Prima Não Cadastrada")</f>
        <v>72.75</v>
      </c>
      <c r="K830" s="97">
        <f>IFERROR(J830/(I830/VLOOKUP(A830,'Tabela de Produtos'!A:H,8,0)),"Matéria Prima Não Cadastrada")</f>
        <v>0.14172077922077922</v>
      </c>
      <c r="L830" s="216"/>
    </row>
    <row r="831" spans="1:12" ht="15.75" customHeight="1">
      <c r="A831" s="114" t="s">
        <v>165</v>
      </c>
      <c r="B831" s="114" t="str">
        <f>VLOOKUP(A831,'Tabela de Produtos'!A:B,2,0)</f>
        <v>BRAZIMIL LÁTEX STANDARD INT/EXT FOSCO 3L CINZA MEDIO</v>
      </c>
      <c r="C831" s="48" t="s">
        <v>1229</v>
      </c>
      <c r="D831" s="114" t="str">
        <f>VLOOKUP(C831,'Custos Matéria Prima Embalagens'!B:C,2,0)</f>
        <v>WANSOL 340 CE (BB-200)</v>
      </c>
      <c r="E831" s="114" t="str">
        <f>VLOOKUP(C831,'Custos Matéria Prima Embalagens'!B:D,3,0)</f>
        <v>COALESCENTE</v>
      </c>
      <c r="F831" s="270">
        <f t="shared" si="104"/>
        <v>1956</v>
      </c>
      <c r="G831" s="148">
        <f t="shared" si="105"/>
        <v>5.1124744376278121E-3</v>
      </c>
      <c r="H831" s="96">
        <v>10</v>
      </c>
      <c r="I831" s="272">
        <f>ROUND(F831/VLOOKUP(A831,'Tabela de Produtos'!A:J,10,0),0)</f>
        <v>1540</v>
      </c>
      <c r="J831" s="97">
        <f>IFERROR(VLOOKUP(C831,'Custos Matéria Prima Embalagens'!B:G,6,0)*H831,"Matéria Prima Não Cadastrada")</f>
        <v>192.2</v>
      </c>
      <c r="K831" s="97">
        <f>IFERROR(J831/(I831/VLOOKUP(A831,'Tabela de Produtos'!A:H,8,0)),"Matéria Prima Não Cadastrada")</f>
        <v>0.37441558441558437</v>
      </c>
      <c r="L831" s="216"/>
    </row>
    <row r="832" spans="1:12" ht="15.75" customHeight="1">
      <c r="D832" s="114"/>
      <c r="E832" s="114"/>
      <c r="F832" s="96"/>
      <c r="G832" s="148"/>
      <c r="H832" s="96"/>
      <c r="I832" s="272"/>
      <c r="J832" s="97"/>
      <c r="K832" s="97"/>
      <c r="L832" s="216"/>
    </row>
    <row r="833" spans="1:12" ht="15.75" customHeight="1">
      <c r="A833" s="114" t="s">
        <v>166</v>
      </c>
      <c r="B833" s="114" t="str">
        <f>VLOOKUP(A833,'Tabela de Produtos'!A:B,2,0)</f>
        <v>BRAZIMIL LÁTEX STANDARD INT/EXT FOSCO 3L CINZA INTENSO</v>
      </c>
      <c r="C833" s="48" t="s">
        <v>1197</v>
      </c>
      <c r="D833" s="114" t="str">
        <f>VLOOKUP(C833,'Custos Matéria Prima Embalagens'!B:C,2,0)</f>
        <v>AGUA</v>
      </c>
      <c r="E833" s="114" t="str">
        <f>VLOOKUP(C833,'Custos Matéria Prima Embalagens'!B:D,3,0)</f>
        <v>AGUA</v>
      </c>
      <c r="F833" s="270">
        <f t="shared" ref="F833:F847" si="106">SUMIFS(H:H,A:A,A833)</f>
        <v>1956</v>
      </c>
      <c r="G833" s="148">
        <f t="shared" ref="G833:G847" si="107">H833/F833</f>
        <v>0.47034764826175868</v>
      </c>
      <c r="H833" s="96">
        <v>920</v>
      </c>
      <c r="I833" s="272">
        <f>ROUND(F833/VLOOKUP(A833,'Tabela de Produtos'!A:J,10,0),0)</f>
        <v>1540</v>
      </c>
      <c r="J833" s="97">
        <f>IFERROR(VLOOKUP(C833,'Custos Matéria Prima Embalagens'!B:G,6,0)*H833,"Matéria Prima Não Cadastrada")</f>
        <v>0</v>
      </c>
      <c r="K833" s="97">
        <f>IFERROR(J833/(I833/VLOOKUP(A833,'Tabela de Produtos'!A:H,8,0)),"Matéria Prima Não Cadastrada")</f>
        <v>0</v>
      </c>
      <c r="L833" s="216"/>
    </row>
    <row r="834" spans="1:12" ht="15.75" customHeight="1">
      <c r="A834" s="114" t="s">
        <v>166</v>
      </c>
      <c r="B834" s="114" t="str">
        <f>VLOOKUP(A834,'Tabela de Produtos'!A:B,2,0)</f>
        <v>BRAZIMIL LÁTEX STANDARD INT/EXT FOSCO 3L CINZA INTENSO</v>
      </c>
      <c r="C834" s="48" t="s">
        <v>1201</v>
      </c>
      <c r="D834" s="114" t="str">
        <f>VLOOKUP(C834,'Custos Matéria Prima Embalagens'!B:C,2,0)</f>
        <v>WANFOAM 528 CE (BB-190)</v>
      </c>
      <c r="E834" s="114" t="str">
        <f>VLOOKUP(C834,'Custos Matéria Prima Embalagens'!B:D,3,0)</f>
        <v>ANTI ESPUMA LATEX</v>
      </c>
      <c r="F834" s="270">
        <f t="shared" si="106"/>
        <v>1956</v>
      </c>
      <c r="G834" s="148">
        <f t="shared" si="107"/>
        <v>2.5562372188139061E-3</v>
      </c>
      <c r="H834" s="96">
        <v>5</v>
      </c>
      <c r="I834" s="272">
        <f>ROUND(F834/VLOOKUP(A834,'Tabela de Produtos'!A:J,10,0),0)</f>
        <v>1540</v>
      </c>
      <c r="J834" s="97">
        <f>IFERROR(VLOOKUP(C834,'Custos Matéria Prima Embalagens'!B:G,6,0)*H834,"Matéria Prima Não Cadastrada")</f>
        <v>35.9</v>
      </c>
      <c r="K834" s="97">
        <f>IFERROR(J834/(I834/VLOOKUP(A834,'Tabela de Produtos'!A:H,8,0)),"Matéria Prima Não Cadastrada")</f>
        <v>6.9935064935064933E-2</v>
      </c>
      <c r="L834" s="216"/>
    </row>
    <row r="835" spans="1:12" ht="15.75" customHeight="1">
      <c r="A835" s="114" t="s">
        <v>166</v>
      </c>
      <c r="B835" s="114" t="str">
        <f>VLOOKUP(A835,'Tabela de Produtos'!A:B,2,0)</f>
        <v>BRAZIMIL LÁTEX STANDARD INT/EXT FOSCO 3L CINZA INTENSO</v>
      </c>
      <c r="C835" s="48" t="s">
        <v>1203</v>
      </c>
      <c r="D835" s="114" t="str">
        <f>VLOOKUP(C835,'Custos Matéria Prima Embalagens'!B:C,2,0)</f>
        <v>WANBAC WBT CE (BH-200)</v>
      </c>
      <c r="E835" s="114" t="str">
        <f>VLOOKUP(C835,'Custos Matéria Prima Embalagens'!B:D,3,0)</f>
        <v>BACTERICIDA</v>
      </c>
      <c r="F835" s="270">
        <f t="shared" si="106"/>
        <v>1956</v>
      </c>
      <c r="G835" s="148">
        <f t="shared" si="107"/>
        <v>3.0674846625766872E-3</v>
      </c>
      <c r="H835" s="96">
        <v>6</v>
      </c>
      <c r="I835" s="272">
        <f>ROUND(F835/VLOOKUP(A835,'Tabela de Produtos'!A:J,10,0),0)</f>
        <v>1540</v>
      </c>
      <c r="J835" s="97">
        <f>IFERROR(VLOOKUP(C835,'Custos Matéria Prima Embalagens'!B:G,6,0)*H835,"Matéria Prima Não Cadastrada")</f>
        <v>29.639999999999997</v>
      </c>
      <c r="K835" s="97">
        <f>IFERROR(J835/(I835/VLOOKUP(A835,'Tabela de Produtos'!A:H,8,0)),"Matéria Prima Não Cadastrada")</f>
        <v>5.7740259740259731E-2</v>
      </c>
      <c r="L835" s="216"/>
    </row>
    <row r="836" spans="1:12" ht="15.75" customHeight="1">
      <c r="A836" s="114" t="s">
        <v>166</v>
      </c>
      <c r="B836" s="114" t="str">
        <f>VLOOKUP(A836,'Tabela de Produtos'!A:B,2,0)</f>
        <v>BRAZIMIL LÁTEX STANDARD INT/EXT FOSCO 3L CINZA INTENSO</v>
      </c>
      <c r="C836" s="48" t="s">
        <v>1205</v>
      </c>
      <c r="D836" s="114" t="str">
        <f>VLOOKUP(C836,'Custos Matéria Prima Embalagens'!B:C,2,0)</f>
        <v>WANSUR 840 CE (BB-200)01</v>
      </c>
      <c r="E836" s="114" t="str">
        <f>VLOOKUP(C836,'Custos Matéria Prima Embalagens'!B:D,3,0)</f>
        <v>UMECTANTE</v>
      </c>
      <c r="F836" s="270">
        <f t="shared" si="106"/>
        <v>1956</v>
      </c>
      <c r="G836" s="148">
        <f t="shared" si="107"/>
        <v>2.0449897750511249E-3</v>
      </c>
      <c r="H836" s="96">
        <v>4</v>
      </c>
      <c r="I836" s="272">
        <f>ROUND(F836/VLOOKUP(A836,'Tabela de Produtos'!A:J,10,0),0)</f>
        <v>1540</v>
      </c>
      <c r="J836" s="97">
        <f>IFERROR(VLOOKUP(C836,'Custos Matéria Prima Embalagens'!B:G,6,0)*H836,"Matéria Prima Não Cadastrada")</f>
        <v>29.32</v>
      </c>
      <c r="K836" s="97">
        <f>IFERROR(J836/(I836/VLOOKUP(A836,'Tabela de Produtos'!A:H,8,0)),"Matéria Prima Não Cadastrada")</f>
        <v>5.7116883116883115E-2</v>
      </c>
      <c r="L836" s="216"/>
    </row>
    <row r="837" spans="1:12" ht="15.75" customHeight="1">
      <c r="A837" s="114" t="s">
        <v>166</v>
      </c>
      <c r="B837" s="114" t="str">
        <f>VLOOKUP(A837,'Tabela de Produtos'!A:B,2,0)</f>
        <v>BRAZIMIL LÁTEX STANDARD INT/EXT FOSCO 3L CINZA INTENSO</v>
      </c>
      <c r="C837" s="48" t="s">
        <v>1207</v>
      </c>
      <c r="D837" s="114" t="str">
        <f>VLOOKUP(C837,'Custos Matéria Prima Embalagens'!B:C,2,0)</f>
        <v>WANPEX 1510 (BB-200)</v>
      </c>
      <c r="E837" s="114" t="str">
        <f>VLOOKUP(C837,'Custos Matéria Prima Embalagens'!B:D,3,0)</f>
        <v>DISPERSANTE LATEX</v>
      </c>
      <c r="F837" s="270">
        <f t="shared" si="106"/>
        <v>1956</v>
      </c>
      <c r="G837" s="148">
        <f t="shared" si="107"/>
        <v>3.0674846625766872E-3</v>
      </c>
      <c r="H837" s="96">
        <v>6</v>
      </c>
      <c r="I837" s="272">
        <f>ROUND(F837/VLOOKUP(A837,'Tabela de Produtos'!A:J,10,0),0)</f>
        <v>1540</v>
      </c>
      <c r="J837" s="97">
        <f>IFERROR(VLOOKUP(C837,'Custos Matéria Prima Embalagens'!B:G,6,0)*H837,"Matéria Prima Não Cadastrada")</f>
        <v>41.16</v>
      </c>
      <c r="K837" s="97">
        <f>IFERROR(J837/(I837/VLOOKUP(A837,'Tabela de Produtos'!A:H,8,0)),"Matéria Prima Não Cadastrada")</f>
        <v>8.0181818181818174E-2</v>
      </c>
      <c r="L837" s="216"/>
    </row>
    <row r="838" spans="1:12" ht="15.75" customHeight="1">
      <c r="A838" s="114" t="s">
        <v>166</v>
      </c>
      <c r="B838" s="114" t="str">
        <f>VLOOKUP(A838,'Tabela de Produtos'!A:B,2,0)</f>
        <v>BRAZIMIL LÁTEX STANDARD INT/EXT FOSCO 3L CINZA INTENSO</v>
      </c>
      <c r="C838" s="48" t="s">
        <v>1209</v>
      </c>
      <c r="D838" s="114" t="str">
        <f>VLOOKUP(C838,'Custos Matéria Prima Embalagens'!B:C,2,0)</f>
        <v>WANFUNG WFT CE (BH-200)</v>
      </c>
      <c r="E838" s="114" t="str">
        <f>VLOOKUP(C838,'Custos Matéria Prima Embalagens'!B:D,3,0)</f>
        <v>FUNGICIDA</v>
      </c>
      <c r="F838" s="270">
        <f t="shared" si="106"/>
        <v>1956</v>
      </c>
      <c r="G838" s="148">
        <f t="shared" si="107"/>
        <v>2.5562372188139061E-3</v>
      </c>
      <c r="H838" s="96">
        <v>5</v>
      </c>
      <c r="I838" s="272">
        <f>ROUND(F838/VLOOKUP(A838,'Tabela de Produtos'!A:J,10,0),0)</f>
        <v>1540</v>
      </c>
      <c r="J838" s="97">
        <f>IFERROR(VLOOKUP(C838,'Custos Matéria Prima Embalagens'!B:G,6,0)*H838,"Matéria Prima Não Cadastrada")</f>
        <v>35</v>
      </c>
      <c r="K838" s="97">
        <f>IFERROR(J838/(I838/VLOOKUP(A838,'Tabela de Produtos'!A:H,8,0)),"Matéria Prima Não Cadastrada")</f>
        <v>6.8181818181818177E-2</v>
      </c>
      <c r="L838" s="216"/>
    </row>
    <row r="839" spans="1:12" ht="15.75" customHeight="1">
      <c r="A839" s="114" t="s">
        <v>166</v>
      </c>
      <c r="B839" s="114" t="str">
        <f>VLOOKUP(A839,'Tabela de Produtos'!A:B,2,0)</f>
        <v>BRAZIMIL LÁTEX STANDARD INT/EXT FOSCO 3L CINZA INTENSO</v>
      </c>
      <c r="C839" s="48" t="s">
        <v>1211</v>
      </c>
      <c r="D839" s="114" t="str">
        <f>VLOOKUP(C839,'Custos Matéria Prima Embalagens'!B:C,2,0)</f>
        <v>WHITE PLUS PB (SC-25) (Em negociação)</v>
      </c>
      <c r="E839" s="114" t="str">
        <f>VLOOKUP(C839,'Custos Matéria Prima Embalagens'!B:D,3,0)</f>
        <v>WHITE PLUS</v>
      </c>
      <c r="F839" s="270">
        <f t="shared" si="106"/>
        <v>1956</v>
      </c>
      <c r="G839" s="148">
        <f t="shared" si="107"/>
        <v>0.15337423312883436</v>
      </c>
      <c r="H839" s="96">
        <v>300</v>
      </c>
      <c r="I839" s="272">
        <f>ROUND(F839/VLOOKUP(A839,'Tabela de Produtos'!A:J,10,0),0)</f>
        <v>1540</v>
      </c>
      <c r="J839" s="97">
        <f>IFERROR(VLOOKUP(C839,'Custos Matéria Prima Embalagens'!B:G,6,0)*H839,"Matéria Prima Não Cadastrada")</f>
        <v>927</v>
      </c>
      <c r="K839" s="97">
        <f>IFERROR(J839/(I839/VLOOKUP(A839,'Tabela de Produtos'!A:H,8,0)),"Matéria Prima Não Cadastrada")</f>
        <v>1.8058441558441558</v>
      </c>
      <c r="L839" s="216"/>
    </row>
    <row r="840" spans="1:12" ht="15.75" customHeight="1">
      <c r="A840" s="114" t="s">
        <v>166</v>
      </c>
      <c r="B840" s="114" t="str">
        <f>VLOOKUP(A840,'Tabela de Produtos'!A:B,2,0)</f>
        <v>BRAZIMIL LÁTEX STANDARD INT/EXT FOSCO 3L CINZA INTENSO</v>
      </c>
      <c r="C840" s="48" t="s">
        <v>1213</v>
      </c>
      <c r="D840" s="114" t="str">
        <f>VLOOKUP(C840,'Custos Matéria Prima Embalagens'!B:C,2,0)</f>
        <v>DIOXIDO DE TITANIO RUTILO R-996</v>
      </c>
      <c r="E840" s="114" t="str">
        <f>VLOOKUP(C840,'Custos Matéria Prima Embalagens'!B:D,3,0)</f>
        <v>TITANIO</v>
      </c>
      <c r="F840" s="270">
        <f t="shared" si="106"/>
        <v>1956</v>
      </c>
      <c r="G840" s="148">
        <f t="shared" si="107"/>
        <v>3.0674846625766871E-2</v>
      </c>
      <c r="H840" s="96">
        <v>60</v>
      </c>
      <c r="I840" s="272">
        <f>ROUND(F840/VLOOKUP(A840,'Tabela de Produtos'!A:J,10,0),0)</f>
        <v>1540</v>
      </c>
      <c r="J840" s="97">
        <f>IFERROR(VLOOKUP(C840,'Custos Matéria Prima Embalagens'!B:G,6,0)*H840,"Matéria Prima Não Cadastrada")</f>
        <v>1158</v>
      </c>
      <c r="K840" s="97">
        <f>IFERROR(J840/(I840/VLOOKUP(A840,'Tabela de Produtos'!A:H,8,0)),"Matéria Prima Não Cadastrada")</f>
        <v>2.2558441558441555</v>
      </c>
      <c r="L840" s="216"/>
    </row>
    <row r="841" spans="1:12" ht="15.75" customHeight="1">
      <c r="A841" s="114" t="s">
        <v>166</v>
      </c>
      <c r="B841" s="114" t="str">
        <f>VLOOKUP(A841,'Tabela de Produtos'!A:B,2,0)</f>
        <v>BRAZIMIL LÁTEX STANDARD INT/EXT FOSCO 3L CINZA INTENSO</v>
      </c>
      <c r="C841" s="48" t="s">
        <v>1215</v>
      </c>
      <c r="D841" s="114" t="str">
        <f>VLOOKUP(C841,'Custos Matéria Prima Embalagens'!B:C,2,0)</f>
        <v>CALCARIO DOLOMITICO #500 ( SACOS 25 KG)</v>
      </c>
      <c r="E841" s="114" t="str">
        <f>VLOOKUP(C841,'Custos Matéria Prima Embalagens'!B:D,3,0)</f>
        <v>CARBONATO #500</v>
      </c>
      <c r="F841" s="270">
        <f t="shared" si="106"/>
        <v>1956</v>
      </c>
      <c r="G841" s="148">
        <f t="shared" si="107"/>
        <v>0.15337423312883436</v>
      </c>
      <c r="H841" s="96">
        <v>300</v>
      </c>
      <c r="I841" s="272">
        <f>ROUND(F841/VLOOKUP(A841,'Tabela de Produtos'!A:J,10,0),0)</f>
        <v>1540</v>
      </c>
      <c r="J841" s="97">
        <f>IFERROR(VLOOKUP(C841,'Custos Matéria Prima Embalagens'!B:G,6,0)*H841,"Matéria Prima Não Cadastrada")</f>
        <v>240</v>
      </c>
      <c r="K841" s="97">
        <f>IFERROR(J841/(I841/VLOOKUP(A841,'Tabela de Produtos'!A:H,8,0)),"Matéria Prima Não Cadastrada")</f>
        <v>0.46753246753246752</v>
      </c>
      <c r="L841" s="216"/>
    </row>
    <row r="842" spans="1:12" ht="15.75" customHeight="1">
      <c r="A842" s="114" t="s">
        <v>166</v>
      </c>
      <c r="B842" s="114" t="str">
        <f>VLOOKUP(A842,'Tabela de Produtos'!A:B,2,0)</f>
        <v>BRAZIMIL LÁTEX STANDARD INT/EXT FOSCO 3L CINZA INTENSO</v>
      </c>
      <c r="C842" s="48" t="s">
        <v>1227</v>
      </c>
      <c r="D842" s="114" t="str">
        <f>VLOOKUP(C842,'Custos Matéria Prima Embalagens'!B:C,2,0)</f>
        <v>CAULIM MALHA 325</v>
      </c>
      <c r="E842" s="114" t="str">
        <f>VLOOKUP(C842,'Custos Matéria Prima Embalagens'!B:D,3,0)</f>
        <v>caulim</v>
      </c>
      <c r="F842" s="270">
        <f t="shared" si="106"/>
        <v>1956</v>
      </c>
      <c r="G842" s="148">
        <f t="shared" si="107"/>
        <v>5.112474437627812E-2</v>
      </c>
      <c r="H842" s="96">
        <v>100</v>
      </c>
      <c r="I842" s="272">
        <f>ROUND(F842/VLOOKUP(A842,'Tabela de Produtos'!A:J,10,0),0)</f>
        <v>1540</v>
      </c>
      <c r="J842" s="97">
        <f>IFERROR(VLOOKUP(C842,'Custos Matéria Prima Embalagens'!B:G,6,0)*H842,"Matéria Prima Não Cadastrada")</f>
        <v>152.04955555555551</v>
      </c>
      <c r="K842" s="97">
        <f>IFERROR(J842/(I842/VLOOKUP(A842,'Tabela de Produtos'!A:H,8,0)),"Matéria Prima Não Cadastrada")</f>
        <v>0.2962004329004328</v>
      </c>
      <c r="L842" s="216"/>
    </row>
    <row r="843" spans="1:12" ht="15.75" customHeight="1">
      <c r="A843" s="114" t="s">
        <v>166</v>
      </c>
      <c r="B843" s="114" t="str">
        <f>VLOOKUP(A843,'Tabela de Produtos'!A:B,2,0)</f>
        <v>BRAZIMIL LÁTEX STANDARD INT/EXT FOSCO 3L CINZA INTENSO</v>
      </c>
      <c r="C843" s="48" t="s">
        <v>1217</v>
      </c>
      <c r="D843" s="114" t="str">
        <f>VLOOKUP(C843,'Custos Matéria Prima Embalagens'!B:C,2,0)</f>
        <v>WANCRIL W 51 CE (CT-1000P)</v>
      </c>
      <c r="E843" s="114" t="str">
        <f>VLOOKUP(C843,'Custos Matéria Prima Embalagens'!B:D,3,0)</f>
        <v>RESINA ACRILICA ESTIRENADA</v>
      </c>
      <c r="F843" s="270">
        <f t="shared" si="106"/>
        <v>1956</v>
      </c>
      <c r="G843" s="148">
        <f t="shared" si="107"/>
        <v>0.10224948875255624</v>
      </c>
      <c r="H843" s="96">
        <v>200</v>
      </c>
      <c r="I843" s="272">
        <f>ROUND(F843/VLOOKUP(A843,'Tabela de Produtos'!A:J,10,0),0)</f>
        <v>1540</v>
      </c>
      <c r="J843" s="97">
        <f>IFERROR(VLOOKUP(C843,'Custos Matéria Prima Embalagens'!B:G,6,0)*H843,"Matéria Prima Não Cadastrada")</f>
        <v>1686</v>
      </c>
      <c r="K843" s="97">
        <f>IFERROR(J843/(I843/VLOOKUP(A843,'Tabela de Produtos'!A:H,8,0)),"Matéria Prima Não Cadastrada")</f>
        <v>3.284415584415584</v>
      </c>
      <c r="L843" s="216"/>
    </row>
    <row r="844" spans="1:12" ht="15.75" customHeight="1">
      <c r="A844" s="114" t="s">
        <v>166</v>
      </c>
      <c r="B844" s="114" t="str">
        <f>VLOOKUP(A844,'Tabela de Produtos'!A:B,2,0)</f>
        <v>BRAZIMIL LÁTEX STANDARD INT/EXT FOSCO 3L CINZA INTENSO</v>
      </c>
      <c r="C844" s="48" t="s">
        <v>1219</v>
      </c>
      <c r="D844" s="114" t="str">
        <f>VLOOKUP(C844,'Custos Matéria Prima Embalagens'!B:C,2,0)</f>
        <v>WANALK 70 CE (BH-200)</v>
      </c>
      <c r="E844" s="114" t="str">
        <f>VLOOKUP(C844,'Custos Matéria Prima Embalagens'!B:D,3,0)</f>
        <v>ALCALINIZANTE</v>
      </c>
      <c r="F844" s="270">
        <f t="shared" si="106"/>
        <v>1956</v>
      </c>
      <c r="G844" s="148">
        <f t="shared" si="107"/>
        <v>2.5562372188139061E-3</v>
      </c>
      <c r="H844" s="96">
        <v>5</v>
      </c>
      <c r="I844" s="272">
        <f>ROUND(F844/VLOOKUP(A844,'Tabela de Produtos'!A:J,10,0),0)</f>
        <v>1540</v>
      </c>
      <c r="J844" s="97">
        <f>IFERROR(VLOOKUP(C844,'Custos Matéria Prima Embalagens'!B:G,6,0)*H844,"Matéria Prima Não Cadastrada")</f>
        <v>24.900000000000002</v>
      </c>
      <c r="K844" s="97">
        <f>IFERROR(J844/(I844/VLOOKUP(A844,'Tabela de Produtos'!A:H,8,0)),"Matéria Prima Não Cadastrada")</f>
        <v>4.8506493506493505E-2</v>
      </c>
      <c r="L844" s="216"/>
    </row>
    <row r="845" spans="1:12" ht="15.75" customHeight="1">
      <c r="A845" s="114" t="s">
        <v>166</v>
      </c>
      <c r="B845" s="114" t="str">
        <f>VLOOKUP(A845,'Tabela de Produtos'!A:B,2,0)</f>
        <v>BRAZIMIL LÁTEX STANDARD INT/EXT FOSCO 3L CINZA INTENSO</v>
      </c>
      <c r="C845" s="48" t="s">
        <v>1221</v>
      </c>
      <c r="D845" s="114" t="str">
        <f>VLOOKUP(C845,'Custos Matéria Prima Embalagens'!B:C,2,0)</f>
        <v>MODIWAN 105H CE (CT-1000P)</v>
      </c>
      <c r="E845" s="114" t="str">
        <f>VLOOKUP(C845,'Custos Matéria Prima Embalagens'!B:D,3,0)</f>
        <v>ESPESSANTE DE MEDIA</v>
      </c>
      <c r="F845" s="270">
        <f t="shared" si="106"/>
        <v>1956</v>
      </c>
      <c r="G845" s="148">
        <f t="shared" si="107"/>
        <v>1.0224948875255624E-2</v>
      </c>
      <c r="H845" s="96">
        <v>20</v>
      </c>
      <c r="I845" s="272">
        <f>ROUND(F845/VLOOKUP(A845,'Tabela de Produtos'!A:J,10,0),0)</f>
        <v>1540</v>
      </c>
      <c r="J845" s="97">
        <f>IFERROR(VLOOKUP(C845,'Custos Matéria Prima Embalagens'!B:G,6,0)*H845,"Matéria Prima Não Cadastrada")</f>
        <v>158.1</v>
      </c>
      <c r="K845" s="97">
        <f>IFERROR(J845/(I845/VLOOKUP(A845,'Tabela de Produtos'!A:H,8,0)),"Matéria Prima Não Cadastrada")</f>
        <v>0.30798701298701298</v>
      </c>
      <c r="L845" s="216"/>
    </row>
    <row r="846" spans="1:12" ht="15.75" customHeight="1">
      <c r="A846" s="114" t="s">
        <v>166</v>
      </c>
      <c r="B846" s="114" t="str">
        <f>VLOOKUP(A846,'Tabela de Produtos'!A:B,2,0)</f>
        <v>BRAZIMIL LÁTEX STANDARD INT/EXT FOSCO 3L CINZA INTENSO</v>
      </c>
      <c r="C846" s="48" t="s">
        <v>1223</v>
      </c>
      <c r="D846" s="114" t="str">
        <f>VLOOKUP(C846,'Custos Matéria Prima Embalagens'!B:C,2,0)</f>
        <v>TURBOWAN H CE (BH-200)</v>
      </c>
      <c r="E846" s="114" t="str">
        <f>VLOOKUP(C846,'Custos Matéria Prima Embalagens'!B:D,3,0)</f>
        <v>PROMOTOR DE LAVABILIDADE</v>
      </c>
      <c r="F846" s="270">
        <f t="shared" si="106"/>
        <v>1956</v>
      </c>
      <c r="G846" s="148">
        <f t="shared" si="107"/>
        <v>7.6687116564417178E-3</v>
      </c>
      <c r="H846" s="96">
        <v>15</v>
      </c>
      <c r="I846" s="272">
        <f>ROUND(F846/VLOOKUP(A846,'Tabela de Produtos'!A:J,10,0),0)</f>
        <v>1540</v>
      </c>
      <c r="J846" s="97">
        <f>IFERROR(VLOOKUP(C846,'Custos Matéria Prima Embalagens'!B:G,6,0)*H846,"Matéria Prima Não Cadastrada")</f>
        <v>72.75</v>
      </c>
      <c r="K846" s="97">
        <f>IFERROR(J846/(I846/VLOOKUP(A846,'Tabela de Produtos'!A:H,8,0)),"Matéria Prima Não Cadastrada")</f>
        <v>0.14172077922077922</v>
      </c>
      <c r="L846" s="216"/>
    </row>
    <row r="847" spans="1:12" ht="15.75" customHeight="1">
      <c r="A847" s="114" t="s">
        <v>166</v>
      </c>
      <c r="B847" s="114" t="str">
        <f>VLOOKUP(A847,'Tabela de Produtos'!A:B,2,0)</f>
        <v>BRAZIMIL LÁTEX STANDARD INT/EXT FOSCO 3L CINZA INTENSO</v>
      </c>
      <c r="C847" s="48" t="s">
        <v>1229</v>
      </c>
      <c r="D847" s="114" t="str">
        <f>VLOOKUP(C847,'Custos Matéria Prima Embalagens'!B:C,2,0)</f>
        <v>WANSOL 340 CE (BB-200)</v>
      </c>
      <c r="E847" s="114" t="str">
        <f>VLOOKUP(C847,'Custos Matéria Prima Embalagens'!B:D,3,0)</f>
        <v>COALESCENTE</v>
      </c>
      <c r="F847" s="270">
        <f t="shared" si="106"/>
        <v>1956</v>
      </c>
      <c r="G847" s="148">
        <f t="shared" si="107"/>
        <v>5.1124744376278121E-3</v>
      </c>
      <c r="H847" s="96">
        <v>10</v>
      </c>
      <c r="I847" s="272">
        <f>ROUND(F847/VLOOKUP(A847,'Tabela de Produtos'!A:J,10,0),0)</f>
        <v>1540</v>
      </c>
      <c r="J847" s="97">
        <f>IFERROR(VLOOKUP(C847,'Custos Matéria Prima Embalagens'!B:G,6,0)*H847,"Matéria Prima Não Cadastrada")</f>
        <v>192.2</v>
      </c>
      <c r="K847" s="97">
        <f>IFERROR(J847/(I847/VLOOKUP(A847,'Tabela de Produtos'!A:H,8,0)),"Matéria Prima Não Cadastrada")</f>
        <v>0.37441558441558437</v>
      </c>
      <c r="L847" s="216"/>
    </row>
    <row r="848" spans="1:12" ht="15.75" customHeight="1">
      <c r="D848" s="114"/>
      <c r="E848" s="114"/>
      <c r="F848" s="96"/>
      <c r="G848" s="148"/>
      <c r="H848" s="96"/>
      <c r="I848" s="272"/>
      <c r="J848" s="97"/>
      <c r="K848" s="97"/>
      <c r="L848" s="216"/>
    </row>
    <row r="849" spans="1:12" ht="15.75" customHeight="1">
      <c r="C849" s="48" t="s">
        <v>1197</v>
      </c>
      <c r="D849" s="114" t="str">
        <f>VLOOKUP(C849,'Custos Matéria Prima Embalagens'!B:C,2,0)</f>
        <v>AGUA</v>
      </c>
      <c r="E849" s="114" t="str">
        <f>VLOOKUP(C849,'Custos Matéria Prima Embalagens'!B:D,3,0)</f>
        <v>AGUA</v>
      </c>
      <c r="F849" s="270">
        <f t="shared" ref="F849:F857" si="108">SUMIFS(H:H,A:A,A849)</f>
        <v>0</v>
      </c>
      <c r="G849" s="148" t="e">
        <f t="shared" ref="G849:G857" si="109">H849/F849</f>
        <v>#DIV/0!</v>
      </c>
      <c r="H849" s="96">
        <v>46.4</v>
      </c>
      <c r="I849" s="272" t="e">
        <f>ROUND(F849/VLOOKUP(A849,'Tabela de Produtos'!A:J,10,0),0)</f>
        <v>#N/A</v>
      </c>
      <c r="J849" s="97">
        <f>IFERROR(VLOOKUP(C849,'Custos Matéria Prima Embalagens'!B:G,6,0)*H849,"Matéria Prima Não Cadastrada")</f>
        <v>0</v>
      </c>
      <c r="K849" s="97" t="str">
        <f>IFERROR(J849/(I849/VLOOKUP(A849,'Tabela de Produtos'!A:H,8,0)),"Matéria Prima Não Cadastrada")</f>
        <v>Matéria Prima Não Cadastrada</v>
      </c>
      <c r="L849" s="216"/>
    </row>
    <row r="850" spans="1:12" ht="15.75" customHeight="1">
      <c r="C850" s="48" t="s">
        <v>1199</v>
      </c>
      <c r="D850" s="114" t="str">
        <f>VLOOKUP(C850,'Custos Matéria Prima Embalagens'!B:C,2,0)</f>
        <v>HEXAMETAFOSFATO DE SODIO</v>
      </c>
      <c r="E850" s="114" t="str">
        <f>VLOOKUP(C850,'Custos Matéria Prima Embalagens'!B:D,3,0)</f>
        <v>HEXAMETAFOSFATO DE SODIO</v>
      </c>
      <c r="F850" s="270">
        <f t="shared" si="108"/>
        <v>0</v>
      </c>
      <c r="G850" s="148" t="e">
        <f t="shared" si="109"/>
        <v>#DIV/0!</v>
      </c>
      <c r="H850" s="96">
        <v>0.2</v>
      </c>
      <c r="I850" s="272" t="e">
        <f>ROUND(F850/VLOOKUP(A850,'Tabela de Produtos'!A:J,10,0),0)</f>
        <v>#N/A</v>
      </c>
      <c r="J850" s="97">
        <f>IFERROR(VLOOKUP(C850,'Custos Matéria Prima Embalagens'!B:G,6,0)*H850,"Matéria Prima Não Cadastrada")</f>
        <v>3.5879999999999996</v>
      </c>
      <c r="K850" s="97" t="str">
        <f>IFERROR(J850/(I850/VLOOKUP(A850,'Tabela de Produtos'!A:H,8,0)),"Matéria Prima Não Cadastrada")</f>
        <v>Matéria Prima Não Cadastrada</v>
      </c>
      <c r="L850" s="216"/>
    </row>
    <row r="851" spans="1:12" ht="15.75" customHeight="1">
      <c r="C851" s="48" t="s">
        <v>1201</v>
      </c>
      <c r="D851" s="114" t="str">
        <f>VLOOKUP(C851,'Custos Matéria Prima Embalagens'!B:C,2,0)</f>
        <v>WANFOAM 528 CE (BB-190)</v>
      </c>
      <c r="E851" s="114" t="str">
        <f>VLOOKUP(C851,'Custos Matéria Prima Embalagens'!B:D,3,0)</f>
        <v>ANTI ESPUMA LATEX</v>
      </c>
      <c r="F851" s="270">
        <f t="shared" si="108"/>
        <v>0</v>
      </c>
      <c r="G851" s="148" t="e">
        <f t="shared" si="109"/>
        <v>#DIV/0!</v>
      </c>
      <c r="H851" s="96">
        <v>0.5</v>
      </c>
      <c r="I851" s="272" t="e">
        <f>ROUND(F851/VLOOKUP(A851,'Tabela de Produtos'!A:J,10,0),0)</f>
        <v>#N/A</v>
      </c>
      <c r="J851" s="97">
        <f>IFERROR(VLOOKUP(C851,'Custos Matéria Prima Embalagens'!B:G,6,0)*H851,"Matéria Prima Não Cadastrada")</f>
        <v>3.59</v>
      </c>
      <c r="K851" s="97" t="str">
        <f>IFERROR(J851/(I851/VLOOKUP(A851,'Tabela de Produtos'!A:H,8,0)),"Matéria Prima Não Cadastrada")</f>
        <v>Matéria Prima Não Cadastrada</v>
      </c>
      <c r="L851" s="216"/>
    </row>
    <row r="852" spans="1:12" ht="15.75" customHeight="1">
      <c r="C852" s="48" t="s">
        <v>1203</v>
      </c>
      <c r="D852" s="114" t="str">
        <f>VLOOKUP(C852,'Custos Matéria Prima Embalagens'!B:C,2,0)</f>
        <v>WANBAC WBT CE (BH-200)</v>
      </c>
      <c r="E852" s="114" t="str">
        <f>VLOOKUP(C852,'Custos Matéria Prima Embalagens'!B:D,3,0)</f>
        <v>BACTERICIDA</v>
      </c>
      <c r="F852" s="270">
        <f t="shared" si="108"/>
        <v>0</v>
      </c>
      <c r="G852" s="148" t="e">
        <f t="shared" si="109"/>
        <v>#DIV/0!</v>
      </c>
      <c r="H852" s="96">
        <v>0.5</v>
      </c>
      <c r="I852" s="272" t="e">
        <f>ROUND(F852/VLOOKUP(A852,'Tabela de Produtos'!A:J,10,0),0)</f>
        <v>#N/A</v>
      </c>
      <c r="J852" s="97">
        <f>IFERROR(VLOOKUP(C852,'Custos Matéria Prima Embalagens'!B:G,6,0)*H852,"Matéria Prima Não Cadastrada")</f>
        <v>2.4699999999999998</v>
      </c>
      <c r="K852" s="97" t="str">
        <f>IFERROR(J852/(I852/VLOOKUP(A852,'Tabela de Produtos'!A:H,8,0)),"Matéria Prima Não Cadastrada")</f>
        <v>Matéria Prima Não Cadastrada</v>
      </c>
      <c r="L852" s="216"/>
    </row>
    <row r="853" spans="1:12" ht="15.75" customHeight="1">
      <c r="C853" s="48" t="s">
        <v>1205</v>
      </c>
      <c r="D853" s="114" t="str">
        <f>VLOOKUP(C853,'Custos Matéria Prima Embalagens'!B:C,2,0)</f>
        <v>WANSUR 840 CE (BB-200)01</v>
      </c>
      <c r="E853" s="114" t="str">
        <f>VLOOKUP(C853,'Custos Matéria Prima Embalagens'!B:D,3,0)</f>
        <v>UMECTANTE</v>
      </c>
      <c r="F853" s="270">
        <f t="shared" si="108"/>
        <v>0</v>
      </c>
      <c r="G853" s="148" t="e">
        <f t="shared" si="109"/>
        <v>#DIV/0!</v>
      </c>
      <c r="H853" s="96">
        <v>0.5</v>
      </c>
      <c r="I853" s="272" t="e">
        <f>ROUND(F853/VLOOKUP(A853,'Tabela de Produtos'!A:J,10,0),0)</f>
        <v>#N/A</v>
      </c>
      <c r="J853" s="97">
        <f>IFERROR(VLOOKUP(C853,'Custos Matéria Prima Embalagens'!B:G,6,0)*H853,"Matéria Prima Não Cadastrada")</f>
        <v>3.665</v>
      </c>
      <c r="K853" s="97" t="str">
        <f>IFERROR(J853/(I853/VLOOKUP(A853,'Tabela de Produtos'!A:H,8,0)),"Matéria Prima Não Cadastrada")</f>
        <v>Matéria Prima Não Cadastrada</v>
      </c>
      <c r="L853" s="216"/>
    </row>
    <row r="854" spans="1:12" ht="15.75" customHeight="1">
      <c r="C854" s="48" t="s">
        <v>1207</v>
      </c>
      <c r="D854" s="114" t="str">
        <f>VLOOKUP(C854,'Custos Matéria Prima Embalagens'!B:C,2,0)</f>
        <v>WANPEX 1510 (BB-200)</v>
      </c>
      <c r="E854" s="114" t="str">
        <f>VLOOKUP(C854,'Custos Matéria Prima Embalagens'!B:D,3,0)</f>
        <v>DISPERSANTE LATEX</v>
      </c>
      <c r="F854" s="270">
        <f t="shared" si="108"/>
        <v>0</v>
      </c>
      <c r="G854" s="148" t="e">
        <f t="shared" si="109"/>
        <v>#DIV/0!</v>
      </c>
      <c r="H854" s="96">
        <v>0.5</v>
      </c>
      <c r="I854" s="272" t="e">
        <f>ROUND(F854/VLOOKUP(A854,'Tabela de Produtos'!A:J,10,0),0)</f>
        <v>#N/A</v>
      </c>
      <c r="J854" s="97">
        <f>IFERROR(VLOOKUP(C854,'Custos Matéria Prima Embalagens'!B:G,6,0)*H854,"Matéria Prima Não Cadastrada")</f>
        <v>3.4299999999999997</v>
      </c>
      <c r="K854" s="97" t="str">
        <f>IFERROR(J854/(I854/VLOOKUP(A854,'Tabela de Produtos'!A:H,8,0)),"Matéria Prima Não Cadastrada")</f>
        <v>Matéria Prima Não Cadastrada</v>
      </c>
      <c r="L854" s="216"/>
    </row>
    <row r="855" spans="1:12" ht="15.75" customHeight="1">
      <c r="C855" s="48" t="s">
        <v>1213</v>
      </c>
      <c r="D855" s="114" t="str">
        <f>VLOOKUP(C855,'Custos Matéria Prima Embalagens'!B:C,2,0)</f>
        <v>DIOXIDO DE TITANIO RUTILO R-996</v>
      </c>
      <c r="E855" s="114" t="str">
        <f>VLOOKUP(C855,'Custos Matéria Prima Embalagens'!B:D,3,0)</f>
        <v>TITANIO</v>
      </c>
      <c r="F855" s="270">
        <f t="shared" si="108"/>
        <v>0</v>
      </c>
      <c r="G855" s="148" t="e">
        <f t="shared" si="109"/>
        <v>#DIV/0!</v>
      </c>
      <c r="H855" s="96">
        <v>50</v>
      </c>
      <c r="I855" s="272" t="e">
        <f>ROUND(F855/VLOOKUP(A855,'Tabela de Produtos'!A:J,10,0),0)</f>
        <v>#N/A</v>
      </c>
      <c r="J855" s="97">
        <f>IFERROR(VLOOKUP(C855,'Custos Matéria Prima Embalagens'!B:G,6,0)*H855,"Matéria Prima Não Cadastrada")</f>
        <v>965</v>
      </c>
      <c r="K855" s="97" t="str">
        <f>IFERROR(J855/(I855/VLOOKUP(A855,'Tabela de Produtos'!A:H,8,0)),"Matéria Prima Não Cadastrada")</f>
        <v>Matéria Prima Não Cadastrada</v>
      </c>
      <c r="L855" s="216"/>
    </row>
    <row r="856" spans="1:12" ht="15.75" customHeight="1">
      <c r="C856" s="48" t="s">
        <v>1219</v>
      </c>
      <c r="D856" s="114" t="str">
        <f>VLOOKUP(C856,'Custos Matéria Prima Embalagens'!B:C,2,0)</f>
        <v>WANALK 70 CE (BH-200)</v>
      </c>
      <c r="E856" s="114" t="str">
        <f>VLOOKUP(C856,'Custos Matéria Prima Embalagens'!B:D,3,0)</f>
        <v>ALCALINIZANTE</v>
      </c>
      <c r="F856" s="270">
        <f t="shared" si="108"/>
        <v>0</v>
      </c>
      <c r="G856" s="148" t="e">
        <f t="shared" si="109"/>
        <v>#DIV/0!</v>
      </c>
      <c r="H856" s="96">
        <v>0.4</v>
      </c>
      <c r="I856" s="272" t="e">
        <f>ROUND(F856/VLOOKUP(A856,'Tabela de Produtos'!A:J,10,0),0)</f>
        <v>#N/A</v>
      </c>
      <c r="J856" s="97">
        <f>IFERROR(VLOOKUP(C856,'Custos Matéria Prima Embalagens'!B:G,6,0)*H856,"Matéria Prima Não Cadastrada")</f>
        <v>1.9920000000000002</v>
      </c>
      <c r="K856" s="97" t="str">
        <f>IFERROR(J856/(I856/VLOOKUP(A856,'Tabela de Produtos'!A:H,8,0)),"Matéria Prima Não Cadastrada")</f>
        <v>Matéria Prima Não Cadastrada</v>
      </c>
      <c r="L856" s="216"/>
    </row>
    <row r="857" spans="1:12" ht="15.75" customHeight="1">
      <c r="C857" s="48" t="s">
        <v>1221</v>
      </c>
      <c r="D857" s="114" t="str">
        <f>VLOOKUP(C857,'Custos Matéria Prima Embalagens'!B:C,2,0)</f>
        <v>MODIWAN 105H CE (CT-1000P)</v>
      </c>
      <c r="E857" s="114" t="str">
        <f>VLOOKUP(C857,'Custos Matéria Prima Embalagens'!B:D,3,0)</f>
        <v>ESPESSANTE DE MEDIA</v>
      </c>
      <c r="F857" s="270">
        <f t="shared" si="108"/>
        <v>0</v>
      </c>
      <c r="G857" s="148" t="e">
        <f t="shared" si="109"/>
        <v>#DIV/0!</v>
      </c>
      <c r="H857" s="96">
        <v>1</v>
      </c>
      <c r="I857" s="272" t="e">
        <f>ROUND(F857/VLOOKUP(A857,'Tabela de Produtos'!A:J,10,0),0)</f>
        <v>#N/A</v>
      </c>
      <c r="J857" s="97">
        <f>IFERROR(VLOOKUP(C857,'Custos Matéria Prima Embalagens'!B:G,6,0)*H857,"Matéria Prima Não Cadastrada")</f>
        <v>7.9049999999999994</v>
      </c>
      <c r="K857" s="97" t="str">
        <f>IFERROR(J857/(I857/VLOOKUP(A857,'Tabela de Produtos'!A:H,8,0)),"Matéria Prima Não Cadastrada")</f>
        <v>Matéria Prima Não Cadastrada</v>
      </c>
      <c r="L857" s="216"/>
    </row>
    <row r="858" spans="1:12" ht="15.75" customHeight="1">
      <c r="D858" s="114"/>
      <c r="E858" s="114"/>
      <c r="F858" s="96"/>
      <c r="G858" s="148"/>
      <c r="H858" s="96"/>
      <c r="I858" s="272"/>
      <c r="J858" s="97"/>
      <c r="K858" s="97"/>
      <c r="L858" s="216"/>
    </row>
    <row r="859" spans="1:12" ht="15.75" customHeight="1">
      <c r="A859" s="114" t="s">
        <v>167</v>
      </c>
      <c r="B859" s="114" t="str">
        <f>VLOOKUP(A859,'Tabela de Produtos'!A:B,2,0)</f>
        <v>BRAZIMIL LÁTEX STANDARD INT/EXT SEMIBRILHO 3L BRANCO NEVE</v>
      </c>
      <c r="C859" s="48" t="s">
        <v>1197</v>
      </c>
      <c r="D859" s="114" t="str">
        <f>VLOOKUP(C859,'Custos Matéria Prima Embalagens'!B:C,2,0)</f>
        <v>AGUA</v>
      </c>
      <c r="E859" s="114" t="str">
        <f>VLOOKUP(C859,'Custos Matéria Prima Embalagens'!B:D,3,0)</f>
        <v>AGUA</v>
      </c>
      <c r="F859" s="270">
        <f t="shared" ref="F859:F872" si="110">SUMIFS(H:H,A:A,A859)</f>
        <v>1039.2</v>
      </c>
      <c r="G859" s="148">
        <f t="shared" ref="G859:G872" si="111">H859/F859</f>
        <v>0.52925327174749803</v>
      </c>
      <c r="H859" s="275">
        <v>550</v>
      </c>
      <c r="I859" s="272">
        <f>ROUND(F859/VLOOKUP(A859,'Tabela de Produtos'!A:J,10,0),0)</f>
        <v>818</v>
      </c>
      <c r="J859" s="97">
        <f>IFERROR(VLOOKUP(C859,'Custos Matéria Prima Embalagens'!B:G,6,0)*H859,"Matéria Prima Não Cadastrada")</f>
        <v>0</v>
      </c>
      <c r="K859" s="97">
        <f>IFERROR(J859/(I859/VLOOKUP(A859,'Tabela de Produtos'!A:H,8,0)),"Matéria Prima Não Cadastrada")</f>
        <v>0</v>
      </c>
      <c r="L859" s="216" t="b">
        <f>C859='Ficha de Produção'!E447</f>
        <v>1</v>
      </c>
    </row>
    <row r="860" spans="1:12" ht="15.75" customHeight="1">
      <c r="A860" s="114" t="s">
        <v>167</v>
      </c>
      <c r="B860" s="114" t="str">
        <f>VLOOKUP(A860,'Tabela de Produtos'!A:B,2,0)</f>
        <v>BRAZIMIL LÁTEX STANDARD INT/EXT SEMIBRILHO 3L BRANCO NEVE</v>
      </c>
      <c r="C860" s="48" t="s">
        <v>1199</v>
      </c>
      <c r="D860" s="114" t="str">
        <f>VLOOKUP(C860,'Custos Matéria Prima Embalagens'!B:C,2,0)</f>
        <v>HEXAMETAFOSFATO DE SODIO</v>
      </c>
      <c r="E860" s="114" t="str">
        <f>VLOOKUP(C860,'Custos Matéria Prima Embalagens'!B:D,3,0)</f>
        <v>HEXAMETAFOSFATO DE SODIO</v>
      </c>
      <c r="F860" s="270">
        <f t="shared" si="110"/>
        <v>1039.2</v>
      </c>
      <c r="G860" s="148">
        <f t="shared" si="111"/>
        <v>1.1547344110854503E-3</v>
      </c>
      <c r="H860" s="275">
        <v>1.2</v>
      </c>
      <c r="I860" s="272">
        <f>ROUND(F860/VLOOKUP(A860,'Tabela de Produtos'!A:J,10,0),0)</f>
        <v>818</v>
      </c>
      <c r="J860" s="97">
        <f>IFERROR(VLOOKUP(C860,'Custos Matéria Prima Embalagens'!B:G,6,0)*H860,"Matéria Prima Não Cadastrada")</f>
        <v>21.527999999999995</v>
      </c>
      <c r="K860" s="97">
        <f>IFERROR(J860/(I860/VLOOKUP(A860,'Tabela de Produtos'!A:H,8,0)),"Matéria Prima Não Cadastrada")</f>
        <v>7.8953545232273811E-2</v>
      </c>
      <c r="L860" s="216" t="b">
        <f>C860='Ficha de Produção'!E448</f>
        <v>1</v>
      </c>
    </row>
    <row r="861" spans="1:12" ht="15.75" customHeight="1">
      <c r="A861" s="114" t="s">
        <v>167</v>
      </c>
      <c r="B861" s="114" t="str">
        <f>VLOOKUP(A861,'Tabela de Produtos'!A:B,2,0)</f>
        <v>BRAZIMIL LÁTEX STANDARD INT/EXT SEMIBRILHO 3L BRANCO NEVE</v>
      </c>
      <c r="C861" s="48" t="s">
        <v>1257</v>
      </c>
      <c r="D861" s="114" t="str">
        <f>VLOOKUP(C861,'Custos Matéria Prima Embalagens'!B:C,2,0)</f>
        <v>WANCOAT 520 (BR-45)</v>
      </c>
      <c r="E861" s="114" t="str">
        <f>VLOOKUP(C861,'Custos Matéria Prima Embalagens'!B:D,3,0)</f>
        <v>ANTI ESPUMA ESM BASE AGUA</v>
      </c>
      <c r="F861" s="270">
        <f t="shared" si="110"/>
        <v>1039.2</v>
      </c>
      <c r="G861" s="148">
        <f t="shared" si="111"/>
        <v>1.9245573518090837E-3</v>
      </c>
      <c r="H861" s="275">
        <v>2</v>
      </c>
      <c r="I861" s="272">
        <f>ROUND(F861/VLOOKUP(A861,'Tabela de Produtos'!A:J,10,0),0)</f>
        <v>818</v>
      </c>
      <c r="J861" s="97">
        <f>IFERROR(VLOOKUP(C861,'Custos Matéria Prima Embalagens'!B:G,6,0)*H861,"Matéria Prima Não Cadastrada")</f>
        <v>23.522846406763801</v>
      </c>
      <c r="K861" s="97">
        <f>IFERROR(J861/(I861/VLOOKUP(A861,'Tabela de Produtos'!A:H,8,0)),"Matéria Prima Não Cadastrada")</f>
        <v>8.6269607848766985E-2</v>
      </c>
      <c r="L861" s="216" t="b">
        <f>C861='Ficha de Produção'!E449</f>
        <v>1</v>
      </c>
    </row>
    <row r="862" spans="1:12" ht="15.75" customHeight="1">
      <c r="A862" s="114" t="s">
        <v>167</v>
      </c>
      <c r="B862" s="114" t="str">
        <f>VLOOKUP(A862,'Tabela de Produtos'!A:B,2,0)</f>
        <v>BRAZIMIL LÁTEX STANDARD INT/EXT SEMIBRILHO 3L BRANCO NEVE</v>
      </c>
      <c r="C862" s="48" t="s">
        <v>1203</v>
      </c>
      <c r="D862" s="114" t="str">
        <f>VLOOKUP(C862,'Custos Matéria Prima Embalagens'!B:C,2,0)</f>
        <v>WANBAC WBT CE (BH-200)</v>
      </c>
      <c r="E862" s="114" t="str">
        <f>VLOOKUP(C862,'Custos Matéria Prima Embalagens'!B:D,3,0)</f>
        <v>BACTERICIDA</v>
      </c>
      <c r="F862" s="270">
        <f t="shared" si="110"/>
        <v>1039.2</v>
      </c>
      <c r="G862" s="148">
        <f t="shared" si="111"/>
        <v>1.9245573518090837E-3</v>
      </c>
      <c r="H862" s="275">
        <v>2</v>
      </c>
      <c r="I862" s="272">
        <f>ROUND(F862/VLOOKUP(A862,'Tabela de Produtos'!A:J,10,0),0)</f>
        <v>818</v>
      </c>
      <c r="J862" s="97">
        <f>IFERROR(VLOOKUP(C862,'Custos Matéria Prima Embalagens'!B:G,6,0)*H862,"Matéria Prima Não Cadastrada")</f>
        <v>9.879999999999999</v>
      </c>
      <c r="K862" s="97">
        <f>IFERROR(J862/(I862/VLOOKUP(A862,'Tabela de Produtos'!A:H,8,0)),"Matéria Prima Não Cadastrada")</f>
        <v>3.623471882640586E-2</v>
      </c>
      <c r="L862" s="216" t="b">
        <f>C862='Ficha de Produção'!E450</f>
        <v>1</v>
      </c>
    </row>
    <row r="863" spans="1:12" ht="15.75" customHeight="1">
      <c r="A863" s="114" t="s">
        <v>167</v>
      </c>
      <c r="B863" s="114" t="str">
        <f>VLOOKUP(A863,'Tabela de Produtos'!A:B,2,0)</f>
        <v>BRAZIMIL LÁTEX STANDARD INT/EXT SEMIBRILHO 3L BRANCO NEVE</v>
      </c>
      <c r="C863" s="48" t="s">
        <v>1205</v>
      </c>
      <c r="D863" s="114" t="str">
        <f>VLOOKUP(C863,'Custos Matéria Prima Embalagens'!B:C,2,0)</f>
        <v>WANSUR 840 CE (BB-200)01</v>
      </c>
      <c r="E863" s="114" t="str">
        <f>VLOOKUP(C863,'Custos Matéria Prima Embalagens'!B:D,3,0)</f>
        <v>UMECTANTE</v>
      </c>
      <c r="F863" s="270">
        <f t="shared" si="110"/>
        <v>1039.2</v>
      </c>
      <c r="G863" s="148">
        <f t="shared" si="111"/>
        <v>1.9245573518090837E-3</v>
      </c>
      <c r="H863" s="275">
        <v>2</v>
      </c>
      <c r="I863" s="272">
        <f>ROUND(F863/VLOOKUP(A863,'Tabela de Produtos'!A:J,10,0),0)</f>
        <v>818</v>
      </c>
      <c r="J863" s="97">
        <f>IFERROR(VLOOKUP(C863,'Custos Matéria Prima Embalagens'!B:G,6,0)*H863,"Matéria Prima Não Cadastrada")</f>
        <v>14.66</v>
      </c>
      <c r="K863" s="97">
        <f>IFERROR(J863/(I863/VLOOKUP(A863,'Tabela de Produtos'!A:H,8,0)),"Matéria Prima Não Cadastrada")</f>
        <v>5.376528117359413E-2</v>
      </c>
      <c r="L863" s="216" t="b">
        <f>C863='Ficha de Produção'!E451</f>
        <v>1</v>
      </c>
    </row>
    <row r="864" spans="1:12" ht="15.75" customHeight="1">
      <c r="A864" s="114" t="s">
        <v>167</v>
      </c>
      <c r="B864" s="114" t="str">
        <f>VLOOKUP(A864,'Tabela de Produtos'!A:B,2,0)</f>
        <v>BRAZIMIL LÁTEX STANDARD INT/EXT SEMIBRILHO 3L BRANCO NEVE</v>
      </c>
      <c r="C864" s="48" t="s">
        <v>1207</v>
      </c>
      <c r="D864" s="114" t="str">
        <f>VLOOKUP(C864,'Custos Matéria Prima Embalagens'!B:C,2,0)</f>
        <v>WANPEX 1510 (BB-200)</v>
      </c>
      <c r="E864" s="114" t="str">
        <f>VLOOKUP(C864,'Custos Matéria Prima Embalagens'!B:D,3,0)</f>
        <v>DISPERSANTE LATEX</v>
      </c>
      <c r="F864" s="270">
        <f t="shared" si="110"/>
        <v>1039.2</v>
      </c>
      <c r="G864" s="148">
        <f t="shared" si="111"/>
        <v>1.9245573518090837E-3</v>
      </c>
      <c r="H864" s="275">
        <v>2</v>
      </c>
      <c r="I864" s="272">
        <f>ROUND(F864/VLOOKUP(A864,'Tabela de Produtos'!A:J,10,0),0)</f>
        <v>818</v>
      </c>
      <c r="J864" s="97">
        <f>IFERROR(VLOOKUP(C864,'Custos Matéria Prima Embalagens'!B:G,6,0)*H864,"Matéria Prima Não Cadastrada")</f>
        <v>13.719999999999999</v>
      </c>
      <c r="K864" s="97">
        <f>IFERROR(J864/(I864/VLOOKUP(A864,'Tabela de Produtos'!A:H,8,0)),"Matéria Prima Não Cadastrada")</f>
        <v>5.031784841075794E-2</v>
      </c>
      <c r="L864" s="216" t="b">
        <f>C864='Ficha de Produção'!E452</f>
        <v>1</v>
      </c>
    </row>
    <row r="865" spans="1:12" ht="15.75" customHeight="1">
      <c r="A865" s="114" t="s">
        <v>167</v>
      </c>
      <c r="B865" s="114" t="str">
        <f>VLOOKUP(A865,'Tabela de Produtos'!A:B,2,0)</f>
        <v>BRAZIMIL LÁTEX STANDARD INT/EXT SEMIBRILHO 3L BRANCO NEVE</v>
      </c>
      <c r="C865" s="48" t="s">
        <v>1217</v>
      </c>
      <c r="D865" s="114" t="str">
        <f>VLOOKUP(C865,'Custos Matéria Prima Embalagens'!B:C,2,0)</f>
        <v>WANCRIL W 51 CE (CT-1000P)</v>
      </c>
      <c r="E865" s="114" t="str">
        <f>VLOOKUP(C865,'Custos Matéria Prima Embalagens'!B:D,3,0)</f>
        <v>RESINA ACRILICA ESTIRENADA</v>
      </c>
      <c r="F865" s="270">
        <f t="shared" si="110"/>
        <v>1039.2</v>
      </c>
      <c r="G865" s="148">
        <f t="shared" si="111"/>
        <v>0.15396458814472672</v>
      </c>
      <c r="H865" s="275">
        <v>160</v>
      </c>
      <c r="I865" s="272">
        <f>ROUND(F865/VLOOKUP(A865,'Tabela de Produtos'!A:J,10,0),0)</f>
        <v>818</v>
      </c>
      <c r="J865" s="97">
        <f>IFERROR(VLOOKUP(C865,'Custos Matéria Prima Embalagens'!B:G,6,0)*H865,"Matéria Prima Não Cadastrada")</f>
        <v>1348.8</v>
      </c>
      <c r="K865" s="97">
        <f>IFERROR(J865/(I865/VLOOKUP(A865,'Tabela de Produtos'!A:H,8,0)),"Matéria Prima Não Cadastrada")</f>
        <v>4.9466992665036669</v>
      </c>
      <c r="L865" s="216" t="b">
        <f>C865='Ficha de Produção'!E453</f>
        <v>1</v>
      </c>
    </row>
    <row r="866" spans="1:12" ht="15.75" customHeight="1">
      <c r="A866" s="114" t="s">
        <v>167</v>
      </c>
      <c r="B866" s="114" t="str">
        <f>VLOOKUP(A866,'Tabela de Produtos'!A:B,2,0)</f>
        <v>BRAZIMIL LÁTEX STANDARD INT/EXT SEMIBRILHO 3L BRANCO NEVE</v>
      </c>
      <c r="C866" s="48" t="s">
        <v>1229</v>
      </c>
      <c r="D866" s="114" t="str">
        <f>VLOOKUP(C866,'Custos Matéria Prima Embalagens'!B:C,2,0)</f>
        <v>WANSOL 340 CE (BB-200)</v>
      </c>
      <c r="E866" s="114" t="str">
        <f>VLOOKUP(C866,'Custos Matéria Prima Embalagens'!B:D,3,0)</f>
        <v>COALESCENTE</v>
      </c>
      <c r="F866" s="270">
        <f t="shared" si="110"/>
        <v>1039.2</v>
      </c>
      <c r="G866" s="148">
        <f t="shared" si="111"/>
        <v>9.6227867590454198E-3</v>
      </c>
      <c r="H866" s="275">
        <v>10</v>
      </c>
      <c r="I866" s="272">
        <f>ROUND(F866/VLOOKUP(A866,'Tabela de Produtos'!A:J,10,0),0)</f>
        <v>818</v>
      </c>
      <c r="J866" s="97">
        <f>IFERROR(VLOOKUP(C866,'Custos Matéria Prima Embalagens'!B:G,6,0)*H866,"Matéria Prima Não Cadastrada")</f>
        <v>192.2</v>
      </c>
      <c r="K866" s="97">
        <f>IFERROR(J866/(I866/VLOOKUP(A866,'Tabela de Produtos'!A:H,8,0)),"Matéria Prima Não Cadastrada")</f>
        <v>0.70488997555012212</v>
      </c>
      <c r="L866" s="216" t="b">
        <f>C866='Ficha de Produção'!E454</f>
        <v>1</v>
      </c>
    </row>
    <row r="867" spans="1:12" ht="15.75" customHeight="1">
      <c r="A867" s="114" t="s">
        <v>167</v>
      </c>
      <c r="B867" s="114" t="str">
        <f>VLOOKUP(A867,'Tabela de Produtos'!A:B,2,0)</f>
        <v>BRAZIMIL LÁTEX STANDARD INT/EXT SEMIBRILHO 3L BRANCO NEVE</v>
      </c>
      <c r="C867" s="48" t="s">
        <v>1261</v>
      </c>
      <c r="D867" s="114" t="str">
        <f>VLOOKUP(C867,'Custos Matéria Prima Embalagens'!B:C,2,0)</f>
        <v>WANCOAT PA70 (BR-45)</v>
      </c>
      <c r="E867" s="114" t="str">
        <f>VLOOKUP(C867,'Custos Matéria Prima Embalagens'!B:D,3,0)</f>
        <v>HIDROREPELENTE BASE AGUA</v>
      </c>
      <c r="F867" s="270">
        <f t="shared" si="110"/>
        <v>1039.2</v>
      </c>
      <c r="G867" s="148">
        <f t="shared" si="111"/>
        <v>2.8868360277136259E-3</v>
      </c>
      <c r="H867" s="275">
        <v>3</v>
      </c>
      <c r="I867" s="272">
        <f>ROUND(F867/VLOOKUP(A867,'Tabela de Produtos'!A:J,10,0),0)</f>
        <v>818</v>
      </c>
      <c r="J867" s="97">
        <f>IFERROR(VLOOKUP(C867,'Custos Matéria Prima Embalagens'!B:G,6,0)*H867,"Matéria Prima Não Cadastrada")</f>
        <v>94.294269610145705</v>
      </c>
      <c r="K867" s="97">
        <f>IFERROR(J867/(I867/VLOOKUP(A867,'Tabela de Produtos'!A:H,8,0)),"Matéria Prima Não Cadastrada")</f>
        <v>0.34582250468268594</v>
      </c>
      <c r="L867" s="216" t="b">
        <f>C867='Ficha de Produção'!E455</f>
        <v>1</v>
      </c>
    </row>
    <row r="868" spans="1:12" ht="15.75" customHeight="1">
      <c r="A868" s="114" t="s">
        <v>167</v>
      </c>
      <c r="B868" s="114" t="str">
        <f>VLOOKUP(A868,'Tabela de Produtos'!A:B,2,0)</f>
        <v>BRAZIMIL LÁTEX STANDARD INT/EXT SEMIBRILHO 3L BRANCO NEVE</v>
      </c>
      <c r="C868" s="48" t="s">
        <v>1209</v>
      </c>
      <c r="D868" s="114" t="str">
        <f>VLOOKUP(C868,'Custos Matéria Prima Embalagens'!B:C,2,0)</f>
        <v>WANFUNG WFT CE (BH-200)</v>
      </c>
      <c r="E868" s="114" t="str">
        <f>VLOOKUP(C868,'Custos Matéria Prima Embalagens'!B:D,3,0)</f>
        <v>FUNGICIDA</v>
      </c>
      <c r="F868" s="270">
        <f t="shared" si="110"/>
        <v>1039.2</v>
      </c>
      <c r="G868" s="148">
        <f t="shared" si="111"/>
        <v>2.8868360277136259E-3</v>
      </c>
      <c r="H868" s="275">
        <v>3</v>
      </c>
      <c r="I868" s="272">
        <f>ROUND(F868/VLOOKUP(A868,'Tabela de Produtos'!A:J,10,0),0)</f>
        <v>818</v>
      </c>
      <c r="J868" s="97">
        <f>IFERROR(VLOOKUP(C868,'Custos Matéria Prima Embalagens'!B:G,6,0)*H868,"Matéria Prima Não Cadastrada")</f>
        <v>21</v>
      </c>
      <c r="K868" s="97">
        <f>IFERROR(J868/(I868/VLOOKUP(A868,'Tabela de Produtos'!A:H,8,0)),"Matéria Prima Não Cadastrada")</f>
        <v>7.7017114914425422E-2</v>
      </c>
      <c r="L868" s="216" t="b">
        <f>C868='Ficha de Produção'!E456</f>
        <v>1</v>
      </c>
    </row>
    <row r="869" spans="1:12" ht="15.75" customHeight="1">
      <c r="A869" s="114" t="s">
        <v>167</v>
      </c>
      <c r="B869" s="114" t="str">
        <f>VLOOKUP(A869,'Tabela de Produtos'!A:B,2,0)</f>
        <v>BRAZIMIL LÁTEX STANDARD INT/EXT SEMIBRILHO 3L BRANCO NEVE</v>
      </c>
      <c r="C869" s="48" t="s">
        <v>1219</v>
      </c>
      <c r="D869" s="114" t="str">
        <f>VLOOKUP(C869,'Custos Matéria Prima Embalagens'!B:C,2,0)</f>
        <v>WANALK 70 CE (BH-200)</v>
      </c>
      <c r="E869" s="114" t="str">
        <f>VLOOKUP(C869,'Custos Matéria Prima Embalagens'!B:D,3,0)</f>
        <v>ALCALINIZANTE</v>
      </c>
      <c r="F869" s="270">
        <f t="shared" si="110"/>
        <v>1039.2</v>
      </c>
      <c r="G869" s="148">
        <f t="shared" si="111"/>
        <v>1.924557351809084E-2</v>
      </c>
      <c r="H869" s="275">
        <v>20</v>
      </c>
      <c r="I869" s="272">
        <f>ROUND(F869/VLOOKUP(A869,'Tabela de Produtos'!A:J,10,0),0)</f>
        <v>818</v>
      </c>
      <c r="J869" s="97">
        <f>IFERROR(VLOOKUP(C869,'Custos Matéria Prima Embalagens'!B:G,6,0)*H869,"Matéria Prima Não Cadastrada")</f>
        <v>99.600000000000009</v>
      </c>
      <c r="K869" s="97">
        <f>IFERROR(J869/(I869/VLOOKUP(A869,'Tabela de Produtos'!A:H,8,0)),"Matéria Prima Não Cadastrada")</f>
        <v>0.36528117359413204</v>
      </c>
      <c r="L869" s="216" t="b">
        <f>C869='Ficha de Produção'!E457</f>
        <v>1</v>
      </c>
    </row>
    <row r="870" spans="1:12" ht="15.75" customHeight="1">
      <c r="A870" s="114" t="s">
        <v>167</v>
      </c>
      <c r="B870" s="114" t="str">
        <f>VLOOKUP(A870,'Tabela de Produtos'!A:B,2,0)</f>
        <v>BRAZIMIL LÁTEX STANDARD INT/EXT SEMIBRILHO 3L BRANCO NEVE</v>
      </c>
      <c r="C870" s="48" t="s">
        <v>1268</v>
      </c>
      <c r="D870" s="114" t="str">
        <f>VLOOKUP(C870,'Custos Matéria Prima Embalagens'!B:C,2,0)</f>
        <v>UREWAN 361 (BB-200)</v>
      </c>
      <c r="E870" s="114" t="str">
        <f>VLOOKUP(C870,'Custos Matéria Prima Embalagens'!B:D,3,0)</f>
        <v>ESPESSANTE URETANICO</v>
      </c>
      <c r="F870" s="270">
        <f t="shared" si="110"/>
        <v>1039.2</v>
      </c>
      <c r="G870" s="148">
        <f t="shared" si="111"/>
        <v>1.924557351809084E-2</v>
      </c>
      <c r="H870" s="275">
        <v>20</v>
      </c>
      <c r="I870" s="272">
        <f>ROUND(F870/VLOOKUP(A870,'Tabela de Produtos'!A:J,10,0),0)</f>
        <v>818</v>
      </c>
      <c r="J870" s="97">
        <f>IFERROR(VLOOKUP(C870,'Custos Matéria Prima Embalagens'!B:G,6,0)*H870,"Matéria Prima Não Cadastrada")</f>
        <v>207.39999999999998</v>
      </c>
      <c r="K870" s="97">
        <f>IFERROR(J870/(I870/VLOOKUP(A870,'Tabela de Produtos'!A:H,8,0)),"Matéria Prima Não Cadastrada")</f>
        <v>0.76063569682151577</v>
      </c>
      <c r="L870" s="216" t="b">
        <f>C870='Ficha de Produção'!E458</f>
        <v>1</v>
      </c>
    </row>
    <row r="871" spans="1:12" ht="15.75" customHeight="1">
      <c r="A871" s="114" t="s">
        <v>167</v>
      </c>
      <c r="B871" s="114" t="str">
        <f>VLOOKUP(A871,'Tabela de Produtos'!A:B,2,0)</f>
        <v>BRAZIMIL LÁTEX STANDARD INT/EXT SEMIBRILHO 3L BRANCO NEVE</v>
      </c>
      <c r="C871" s="48" t="s">
        <v>1221</v>
      </c>
      <c r="D871" s="114" t="str">
        <f>VLOOKUP(C871,'Custos Matéria Prima Embalagens'!B:C,2,0)</f>
        <v>MODIWAN 105H CE (CT-1000P)</v>
      </c>
      <c r="E871" s="114" t="str">
        <f>VLOOKUP(C871,'Custos Matéria Prima Embalagens'!B:D,3,0)</f>
        <v>ESPESSANTE DE MEDIA</v>
      </c>
      <c r="F871" s="270">
        <f t="shared" si="110"/>
        <v>1039.2</v>
      </c>
      <c r="G871" s="148">
        <f t="shared" si="111"/>
        <v>1.924557351809084E-2</v>
      </c>
      <c r="H871" s="275">
        <v>20</v>
      </c>
      <c r="I871" s="272">
        <f>ROUND(F871/VLOOKUP(A871,'Tabela de Produtos'!A:J,10,0),0)</f>
        <v>818</v>
      </c>
      <c r="J871" s="97">
        <f>IFERROR(VLOOKUP(C871,'Custos Matéria Prima Embalagens'!B:G,6,0)*H871,"Matéria Prima Não Cadastrada")</f>
        <v>158.1</v>
      </c>
      <c r="K871" s="97">
        <f>IFERROR(J871/(I871/VLOOKUP(A871,'Tabela de Produtos'!A:H,8,0)),"Matéria Prima Não Cadastrada")</f>
        <v>0.57982885085574565</v>
      </c>
      <c r="L871" s="216" t="b">
        <f>C871='Ficha de Produção'!E459</f>
        <v>1</v>
      </c>
    </row>
    <row r="872" spans="1:12" ht="15.75" customHeight="1">
      <c r="A872" s="114" t="s">
        <v>167</v>
      </c>
      <c r="B872" s="114" t="str">
        <f>VLOOKUP(A872,'Tabela de Produtos'!A:B,2,0)</f>
        <v>BRAZIMIL LÁTEX STANDARD INT/EXT SEMIBRILHO 3L BRANCO NEVE</v>
      </c>
      <c r="C872" s="48" t="s">
        <v>1270</v>
      </c>
      <c r="D872" s="114" t="str">
        <f>VLOOKUP(C872,'Custos Matéria Prima Embalagens'!B:C,2,0)</f>
        <v>MISTURA CONCENTRADO SEMI BRILHO</v>
      </c>
      <c r="E872" s="114" t="str">
        <f>VLOOKUP(C872,'Custos Matéria Prima Embalagens'!B:D,3,0)</f>
        <v>MISTURA CONCENTRADO SEMI BRILHO</v>
      </c>
      <c r="F872" s="270">
        <f t="shared" si="110"/>
        <v>1039.2</v>
      </c>
      <c r="G872" s="148">
        <f t="shared" si="111"/>
        <v>0.23479599692070824</v>
      </c>
      <c r="H872" s="275">
        <v>244</v>
      </c>
      <c r="I872" s="272">
        <f>ROUND(F872/VLOOKUP(A872,'Tabela de Produtos'!A:J,10,0),0)</f>
        <v>818</v>
      </c>
      <c r="J872" s="97">
        <f>IFERROR(VLOOKUP(C872,'Custos Matéria Prima Embalagens'!B:G,6,0)*H872,"Matéria Prima Não Cadastrada")</f>
        <v>2188.6800000000003</v>
      </c>
      <c r="K872" s="97">
        <f>IFERROR(J872/(I872/VLOOKUP(A872,'Tabela de Produtos'!A:H,8,0)),"Matéria Prima Não Cadastrada")</f>
        <v>8.0269437652811746</v>
      </c>
      <c r="L872" s="216" t="b">
        <f>C872='Ficha de Produção'!E460</f>
        <v>1</v>
      </c>
    </row>
    <row r="873" spans="1:12" ht="15.75" customHeight="1">
      <c r="D873" s="114"/>
      <c r="E873" s="114"/>
      <c r="F873" s="96"/>
      <c r="G873" s="148"/>
      <c r="H873" s="96"/>
      <c r="I873" s="272"/>
      <c r="J873" s="97"/>
      <c r="K873" s="97"/>
      <c r="L873" s="216"/>
    </row>
    <row r="874" spans="1:12" ht="15.75" customHeight="1">
      <c r="A874" s="114" t="s">
        <v>168</v>
      </c>
      <c r="B874" s="114" t="str">
        <f>VLOOKUP(A874,'Tabela de Produtos'!A:B,2,0)</f>
        <v>BRAZIMIL LÁTEX STANDARD INT/EXT SEMIBRILHO 3L BRANCO GELO</v>
      </c>
      <c r="C874" s="48" t="s">
        <v>1197</v>
      </c>
      <c r="D874" s="114" t="str">
        <f>VLOOKUP(C874,'Custos Matéria Prima Embalagens'!B:C,2,0)</f>
        <v>AGUA</v>
      </c>
      <c r="E874" s="114" t="str">
        <f>VLOOKUP(C874,'Custos Matéria Prima Embalagens'!B:D,3,0)</f>
        <v>AGUA</v>
      </c>
      <c r="F874" s="270">
        <f t="shared" ref="F874:F888" si="112">SUMIFS(H:H,A:A,A874)</f>
        <v>1008.2</v>
      </c>
      <c r="G874" s="148">
        <f t="shared" ref="G874:G888" si="113">H874/F874</f>
        <v>0.5455266812140448</v>
      </c>
      <c r="H874" s="275">
        <v>550</v>
      </c>
      <c r="I874" s="272">
        <f>ROUND(F874/VLOOKUP(A874,'Tabela de Produtos'!A:J,10,0),0)</f>
        <v>794</v>
      </c>
      <c r="J874" s="97">
        <f>IFERROR(VLOOKUP(C874,'Custos Matéria Prima Embalagens'!B:G,6,0)*H874,"Matéria Prima Não Cadastrada")</f>
        <v>0</v>
      </c>
      <c r="K874" s="97">
        <f>IFERROR(J874/(I874/VLOOKUP(A874,'Tabela de Produtos'!A:H,8,0)),"Matéria Prima Não Cadastrada")</f>
        <v>0</v>
      </c>
      <c r="L874" s="216"/>
    </row>
    <row r="875" spans="1:12" ht="15.75" customHeight="1">
      <c r="A875" s="114" t="s">
        <v>168</v>
      </c>
      <c r="B875" s="114" t="str">
        <f>VLOOKUP(A875,'Tabela de Produtos'!A:B,2,0)</f>
        <v>BRAZIMIL LÁTEX STANDARD INT/EXT SEMIBRILHO 3L BRANCO GELO</v>
      </c>
      <c r="C875" s="48" t="s">
        <v>1199</v>
      </c>
      <c r="D875" s="114" t="str">
        <f>VLOOKUP(C875,'Custos Matéria Prima Embalagens'!B:C,2,0)</f>
        <v>HEXAMETAFOSFATO DE SODIO</v>
      </c>
      <c r="E875" s="114" t="str">
        <f>VLOOKUP(C875,'Custos Matéria Prima Embalagens'!B:D,3,0)</f>
        <v>HEXAMETAFOSFATO DE SODIO</v>
      </c>
      <c r="F875" s="270">
        <f t="shared" si="112"/>
        <v>1008.2</v>
      </c>
      <c r="G875" s="148">
        <f t="shared" si="113"/>
        <v>1.1902400317397341E-3</v>
      </c>
      <c r="H875" s="275">
        <v>1.2</v>
      </c>
      <c r="I875" s="272">
        <f>ROUND(F875/VLOOKUP(A875,'Tabela de Produtos'!A:J,10,0),0)</f>
        <v>794</v>
      </c>
      <c r="J875" s="97">
        <f>IFERROR(VLOOKUP(C875,'Custos Matéria Prima Embalagens'!B:G,6,0)*H875,"Matéria Prima Não Cadastrada")</f>
        <v>21.527999999999995</v>
      </c>
      <c r="K875" s="97">
        <f>IFERROR(J875/(I875/VLOOKUP(A875,'Tabela de Produtos'!A:H,8,0)),"Matéria Prima Não Cadastrada")</f>
        <v>8.1340050377833734E-2</v>
      </c>
      <c r="L875" s="216"/>
    </row>
    <row r="876" spans="1:12" ht="15.75" customHeight="1">
      <c r="A876" s="114" t="s">
        <v>168</v>
      </c>
      <c r="B876" s="114" t="str">
        <f>VLOOKUP(A876,'Tabela de Produtos'!A:B,2,0)</f>
        <v>BRAZIMIL LÁTEX STANDARD INT/EXT SEMIBRILHO 3L BRANCO GELO</v>
      </c>
      <c r="C876" s="48" t="s">
        <v>1201</v>
      </c>
      <c r="D876" s="114" t="str">
        <f>VLOOKUP(C876,'Custos Matéria Prima Embalagens'!B:C,2,0)</f>
        <v>WANFOAM 528 CE (BB-190)</v>
      </c>
      <c r="E876" s="114" t="str">
        <f>VLOOKUP(C876,'Custos Matéria Prima Embalagens'!B:D,3,0)</f>
        <v>ANTI ESPUMA LATEX</v>
      </c>
      <c r="F876" s="270">
        <f t="shared" si="112"/>
        <v>1008.2</v>
      </c>
      <c r="G876" s="148">
        <f t="shared" si="113"/>
        <v>1.9837333862328904E-3</v>
      </c>
      <c r="H876" s="275">
        <v>2</v>
      </c>
      <c r="I876" s="272">
        <f>ROUND(F876/VLOOKUP(A876,'Tabela de Produtos'!A:J,10,0),0)</f>
        <v>794</v>
      </c>
      <c r="J876" s="97">
        <f>IFERROR(VLOOKUP(C876,'Custos Matéria Prima Embalagens'!B:G,6,0)*H876,"Matéria Prima Não Cadastrada")</f>
        <v>14.36</v>
      </c>
      <c r="K876" s="97">
        <f>IFERROR(J876/(I876/VLOOKUP(A876,'Tabela de Produtos'!A:H,8,0)),"Matéria Prima Não Cadastrada")</f>
        <v>5.425692695214105E-2</v>
      </c>
      <c r="L876" s="216"/>
    </row>
    <row r="877" spans="1:12" ht="15.75" customHeight="1">
      <c r="A877" s="114" t="s">
        <v>168</v>
      </c>
      <c r="B877" s="114" t="str">
        <f>VLOOKUP(A877,'Tabela de Produtos'!A:B,2,0)</f>
        <v>BRAZIMIL LÁTEX STANDARD INT/EXT SEMIBRILHO 3L BRANCO GELO</v>
      </c>
      <c r="C877" s="48" t="s">
        <v>1203</v>
      </c>
      <c r="D877" s="114" t="str">
        <f>VLOOKUP(C877,'Custos Matéria Prima Embalagens'!B:C,2,0)</f>
        <v>WANBAC WBT CE (BH-200)</v>
      </c>
      <c r="E877" s="114" t="str">
        <f>VLOOKUP(C877,'Custos Matéria Prima Embalagens'!B:D,3,0)</f>
        <v>BACTERICIDA</v>
      </c>
      <c r="F877" s="270">
        <f t="shared" si="112"/>
        <v>1008.2</v>
      </c>
      <c r="G877" s="148">
        <f t="shared" si="113"/>
        <v>1.9837333862328904E-3</v>
      </c>
      <c r="H877" s="275">
        <v>2</v>
      </c>
      <c r="I877" s="272">
        <f>ROUND(F877/VLOOKUP(A877,'Tabela de Produtos'!A:J,10,0),0)</f>
        <v>794</v>
      </c>
      <c r="J877" s="97">
        <f>IFERROR(VLOOKUP(C877,'Custos Matéria Prima Embalagens'!B:G,6,0)*H877,"Matéria Prima Não Cadastrada")</f>
        <v>9.879999999999999</v>
      </c>
      <c r="K877" s="97">
        <f>IFERROR(J877/(I877/VLOOKUP(A877,'Tabela de Produtos'!A:H,8,0)),"Matéria Prima Não Cadastrada")</f>
        <v>3.7329974811083119E-2</v>
      </c>
      <c r="L877" s="216"/>
    </row>
    <row r="878" spans="1:12" ht="15.75" customHeight="1">
      <c r="A878" s="114" t="s">
        <v>168</v>
      </c>
      <c r="B878" s="114" t="str">
        <f>VLOOKUP(A878,'Tabela de Produtos'!A:B,2,0)</f>
        <v>BRAZIMIL LÁTEX STANDARD INT/EXT SEMIBRILHO 3L BRANCO GELO</v>
      </c>
      <c r="C878" s="48" t="s">
        <v>1205</v>
      </c>
      <c r="D878" s="114" t="str">
        <f>VLOOKUP(C878,'Custos Matéria Prima Embalagens'!B:C,2,0)</f>
        <v>WANSUR 840 CE (BB-200)01</v>
      </c>
      <c r="E878" s="114" t="str">
        <f>VLOOKUP(C878,'Custos Matéria Prima Embalagens'!B:D,3,0)</f>
        <v>UMECTANTE</v>
      </c>
      <c r="F878" s="270">
        <f t="shared" si="112"/>
        <v>1008.2</v>
      </c>
      <c r="G878" s="148">
        <f t="shared" si="113"/>
        <v>1.9837333862328904E-3</v>
      </c>
      <c r="H878" s="275">
        <v>2</v>
      </c>
      <c r="I878" s="272">
        <f>ROUND(F878/VLOOKUP(A878,'Tabela de Produtos'!A:J,10,0),0)</f>
        <v>794</v>
      </c>
      <c r="J878" s="97">
        <f>IFERROR(VLOOKUP(C878,'Custos Matéria Prima Embalagens'!B:G,6,0)*H878,"Matéria Prima Não Cadastrada")</f>
        <v>14.66</v>
      </c>
      <c r="K878" s="97">
        <f>IFERROR(J878/(I878/VLOOKUP(A878,'Tabela de Produtos'!A:H,8,0)),"Matéria Prima Não Cadastrada")</f>
        <v>5.5390428211586899E-2</v>
      </c>
      <c r="L878" s="216"/>
    </row>
    <row r="879" spans="1:12" ht="15.75" customHeight="1">
      <c r="A879" s="114" t="s">
        <v>168</v>
      </c>
      <c r="B879" s="114" t="str">
        <f>VLOOKUP(A879,'Tabela de Produtos'!A:B,2,0)</f>
        <v>BRAZIMIL LÁTEX STANDARD INT/EXT SEMIBRILHO 3L BRANCO GELO</v>
      </c>
      <c r="C879" s="48" t="s">
        <v>1207</v>
      </c>
      <c r="D879" s="114" t="str">
        <f>VLOOKUP(C879,'Custos Matéria Prima Embalagens'!B:C,2,0)</f>
        <v>WANPEX 1510 (BB-200)</v>
      </c>
      <c r="E879" s="114" t="str">
        <f>VLOOKUP(C879,'Custos Matéria Prima Embalagens'!B:D,3,0)</f>
        <v>DISPERSANTE LATEX</v>
      </c>
      <c r="F879" s="270">
        <f t="shared" si="112"/>
        <v>1008.2</v>
      </c>
      <c r="G879" s="148">
        <f t="shared" si="113"/>
        <v>1.9837333862328904E-3</v>
      </c>
      <c r="H879" s="275">
        <v>2</v>
      </c>
      <c r="I879" s="272">
        <f>ROUND(F879/VLOOKUP(A879,'Tabela de Produtos'!A:J,10,0),0)</f>
        <v>794</v>
      </c>
      <c r="J879" s="97">
        <f>IFERROR(VLOOKUP(C879,'Custos Matéria Prima Embalagens'!B:G,6,0)*H879,"Matéria Prima Não Cadastrada")</f>
        <v>13.719999999999999</v>
      </c>
      <c r="K879" s="97">
        <f>IFERROR(J879/(I879/VLOOKUP(A879,'Tabela de Produtos'!A:H,8,0)),"Matéria Prima Não Cadastrada")</f>
        <v>5.1838790931989918E-2</v>
      </c>
      <c r="L879" s="216"/>
    </row>
    <row r="880" spans="1:12" ht="15.75" customHeight="1">
      <c r="A880" s="114" t="s">
        <v>168</v>
      </c>
      <c r="B880" s="114" t="str">
        <f>VLOOKUP(A880,'Tabela de Produtos'!A:B,2,0)</f>
        <v>BRAZIMIL LÁTEX STANDARD INT/EXT SEMIBRILHO 3L BRANCO GELO</v>
      </c>
      <c r="C880" s="48" t="s">
        <v>1217</v>
      </c>
      <c r="D880" s="114" t="str">
        <f>VLOOKUP(C880,'Custos Matéria Prima Embalagens'!B:C,2,0)</f>
        <v>WANCRIL W 51 CE (CT-1000P)</v>
      </c>
      <c r="E880" s="114" t="str">
        <f>VLOOKUP(C880,'Custos Matéria Prima Embalagens'!B:D,3,0)</f>
        <v>RESINA ACRILICA ESTIRENADA</v>
      </c>
      <c r="F880" s="270">
        <f t="shared" si="112"/>
        <v>1008.2</v>
      </c>
      <c r="G880" s="148">
        <f t="shared" si="113"/>
        <v>0.15869867089863121</v>
      </c>
      <c r="H880" s="275">
        <v>160</v>
      </c>
      <c r="I880" s="272">
        <f>ROUND(F880/VLOOKUP(A880,'Tabela de Produtos'!A:J,10,0),0)</f>
        <v>794</v>
      </c>
      <c r="J880" s="97">
        <f>IFERROR(VLOOKUP(C880,'Custos Matéria Prima Embalagens'!B:G,6,0)*H880,"Matéria Prima Não Cadastrada")</f>
        <v>1348.8</v>
      </c>
      <c r="K880" s="97">
        <f>IFERROR(J880/(I880/VLOOKUP(A880,'Tabela de Produtos'!A:H,8,0)),"Matéria Prima Não Cadastrada")</f>
        <v>5.0962216624685137</v>
      </c>
      <c r="L880" s="216"/>
    </row>
    <row r="881" spans="1:12" ht="15.75" customHeight="1">
      <c r="A881" s="114" t="s">
        <v>168</v>
      </c>
      <c r="B881" s="114" t="str">
        <f>VLOOKUP(A881,'Tabela de Produtos'!A:B,2,0)</f>
        <v>BRAZIMIL LÁTEX STANDARD INT/EXT SEMIBRILHO 3L BRANCO GELO</v>
      </c>
      <c r="C881" s="48" t="s">
        <v>1229</v>
      </c>
      <c r="D881" s="114" t="str">
        <f>VLOOKUP(C881,'Custos Matéria Prima Embalagens'!B:C,2,0)</f>
        <v>WANSOL 340 CE (BB-200)</v>
      </c>
      <c r="E881" s="114" t="str">
        <f>VLOOKUP(C881,'Custos Matéria Prima Embalagens'!B:D,3,0)</f>
        <v>COALESCENTE</v>
      </c>
      <c r="F881" s="270">
        <f t="shared" si="112"/>
        <v>1008.2</v>
      </c>
      <c r="G881" s="148">
        <f t="shared" si="113"/>
        <v>9.9186669311644507E-3</v>
      </c>
      <c r="H881" s="275">
        <v>10</v>
      </c>
      <c r="I881" s="272">
        <f>ROUND(F881/VLOOKUP(A881,'Tabela de Produtos'!A:J,10,0),0)</f>
        <v>794</v>
      </c>
      <c r="J881" s="97">
        <f>IFERROR(VLOOKUP(C881,'Custos Matéria Prima Embalagens'!B:G,6,0)*H881,"Matéria Prima Não Cadastrada")</f>
        <v>192.2</v>
      </c>
      <c r="K881" s="97">
        <f>IFERROR(J881/(I881/VLOOKUP(A881,'Tabela de Produtos'!A:H,8,0)),"Matéria Prima Não Cadastrada")</f>
        <v>0.72619647355163719</v>
      </c>
      <c r="L881" s="216"/>
    </row>
    <row r="882" spans="1:12" ht="15.75" customHeight="1">
      <c r="A882" s="114" t="s">
        <v>168</v>
      </c>
      <c r="B882" s="114" t="str">
        <f>VLOOKUP(A882,'Tabela de Produtos'!A:B,2,0)</f>
        <v>BRAZIMIL LÁTEX STANDARD INT/EXT SEMIBRILHO 3L BRANCO GELO</v>
      </c>
      <c r="C882" s="48" t="s">
        <v>1209</v>
      </c>
      <c r="D882" s="114" t="str">
        <f>VLOOKUP(C882,'Custos Matéria Prima Embalagens'!B:C,2,0)</f>
        <v>WANFUNG WFT CE (BH-200)</v>
      </c>
      <c r="E882" s="114" t="str">
        <f>VLOOKUP(C882,'Custos Matéria Prima Embalagens'!B:D,3,0)</f>
        <v>FUNGICIDA</v>
      </c>
      <c r="F882" s="270">
        <f t="shared" si="112"/>
        <v>1008.2</v>
      </c>
      <c r="G882" s="148">
        <f t="shared" si="113"/>
        <v>2.9756000793493354E-3</v>
      </c>
      <c r="H882" s="275">
        <v>3</v>
      </c>
      <c r="I882" s="272">
        <f>ROUND(F882/VLOOKUP(A882,'Tabela de Produtos'!A:J,10,0),0)</f>
        <v>794</v>
      </c>
      <c r="J882" s="97">
        <f>IFERROR(VLOOKUP(C882,'Custos Matéria Prima Embalagens'!B:G,6,0)*H882,"Matéria Prima Não Cadastrada")</f>
        <v>21</v>
      </c>
      <c r="K882" s="97">
        <f>IFERROR(J882/(I882/VLOOKUP(A882,'Tabela de Produtos'!A:H,8,0)),"Matéria Prima Não Cadastrada")</f>
        <v>7.9345088161209068E-2</v>
      </c>
      <c r="L882" s="216"/>
    </row>
    <row r="883" spans="1:12" ht="15.75" customHeight="1">
      <c r="A883" s="114" t="s">
        <v>168</v>
      </c>
      <c r="B883" s="114" t="str">
        <f>VLOOKUP(A883,'Tabela de Produtos'!A:B,2,0)</f>
        <v>BRAZIMIL LÁTEX STANDARD INT/EXT SEMIBRILHO 3L BRANCO GELO</v>
      </c>
      <c r="C883" s="48" t="s">
        <v>1219</v>
      </c>
      <c r="D883" s="114" t="str">
        <f>VLOOKUP(C883,'Custos Matéria Prima Embalagens'!B:C,2,0)</f>
        <v>WANALK 70 CE (BH-200)</v>
      </c>
      <c r="E883" s="114" t="str">
        <f>VLOOKUP(C883,'Custos Matéria Prima Embalagens'!B:D,3,0)</f>
        <v>ALCALINIZANTE</v>
      </c>
      <c r="F883" s="270">
        <f t="shared" si="112"/>
        <v>1008.2</v>
      </c>
      <c r="G883" s="148">
        <f t="shared" si="113"/>
        <v>2.9756000793493354E-3</v>
      </c>
      <c r="H883" s="275">
        <v>3</v>
      </c>
      <c r="I883" s="272">
        <f>ROUND(F883/VLOOKUP(A883,'Tabela de Produtos'!A:J,10,0),0)</f>
        <v>794</v>
      </c>
      <c r="J883" s="97">
        <f>IFERROR(VLOOKUP(C883,'Custos Matéria Prima Embalagens'!B:G,6,0)*H883,"Matéria Prima Não Cadastrada")</f>
        <v>14.940000000000001</v>
      </c>
      <c r="K883" s="97">
        <f>IFERROR(J883/(I883/VLOOKUP(A883,'Tabela de Produtos'!A:H,8,0)),"Matéria Prima Não Cadastrada")</f>
        <v>5.6448362720403024E-2</v>
      </c>
      <c r="L883" s="216"/>
    </row>
    <row r="884" spans="1:12" ht="15.75" customHeight="1">
      <c r="A884" s="114" t="s">
        <v>168</v>
      </c>
      <c r="B884" s="114" t="str">
        <f>VLOOKUP(A884,'Tabela de Produtos'!A:B,2,0)</f>
        <v>BRAZIMIL LÁTEX STANDARD INT/EXT SEMIBRILHO 3L BRANCO GELO</v>
      </c>
      <c r="C884" s="48" t="s">
        <v>1219</v>
      </c>
      <c r="D884" s="114" t="str">
        <f>VLOOKUP(C884,'Custos Matéria Prima Embalagens'!B:C,2,0)</f>
        <v>WANALK 70 CE (BH-200)</v>
      </c>
      <c r="E884" s="114" t="str">
        <f>VLOOKUP(C884,'Custos Matéria Prima Embalagens'!B:D,3,0)</f>
        <v>ALCALINIZANTE</v>
      </c>
      <c r="F884" s="270">
        <f t="shared" si="112"/>
        <v>1008.2</v>
      </c>
      <c r="G884" s="148">
        <f t="shared" si="113"/>
        <v>2.9756000793493354E-3</v>
      </c>
      <c r="H884" s="275">
        <v>3</v>
      </c>
      <c r="I884" s="272">
        <f>ROUND(F884/VLOOKUP(A884,'Tabela de Produtos'!A:J,10,0),0)</f>
        <v>794</v>
      </c>
      <c r="J884" s="97">
        <f>IFERROR(VLOOKUP(C884,'Custos Matéria Prima Embalagens'!B:G,6,0)*H884,"Matéria Prima Não Cadastrada")</f>
        <v>14.940000000000001</v>
      </c>
      <c r="K884" s="97">
        <f>IFERROR(J884/(I884/VLOOKUP(A884,'Tabela de Produtos'!A:H,8,0)),"Matéria Prima Não Cadastrada")</f>
        <v>5.6448362720403024E-2</v>
      </c>
      <c r="L884" s="216"/>
    </row>
    <row r="885" spans="1:12" ht="15.75" customHeight="1">
      <c r="A885" s="114" t="s">
        <v>168</v>
      </c>
      <c r="B885" s="114" t="str">
        <f>VLOOKUP(A885,'Tabela de Produtos'!A:B,2,0)</f>
        <v>BRAZIMIL LÁTEX STANDARD INT/EXT SEMIBRILHO 3L BRANCO GELO</v>
      </c>
      <c r="C885" s="48" t="s">
        <v>1219</v>
      </c>
      <c r="D885" s="114" t="str">
        <f>VLOOKUP(C885,'Custos Matéria Prima Embalagens'!B:C,2,0)</f>
        <v>WANALK 70 CE (BH-200)</v>
      </c>
      <c r="E885" s="114" t="str">
        <f>VLOOKUP(C885,'Custos Matéria Prima Embalagens'!B:D,3,0)</f>
        <v>ALCALINIZANTE</v>
      </c>
      <c r="F885" s="270">
        <f t="shared" si="112"/>
        <v>1008.2</v>
      </c>
      <c r="G885" s="148">
        <f t="shared" si="113"/>
        <v>2.9756000793493354E-3</v>
      </c>
      <c r="H885" s="275">
        <v>3</v>
      </c>
      <c r="I885" s="272">
        <f>ROUND(F885/VLOOKUP(A885,'Tabela de Produtos'!A:J,10,0),0)</f>
        <v>794</v>
      </c>
      <c r="J885" s="97">
        <f>IFERROR(VLOOKUP(C885,'Custos Matéria Prima Embalagens'!B:G,6,0)*H885,"Matéria Prima Não Cadastrada")</f>
        <v>14.940000000000001</v>
      </c>
      <c r="K885" s="97">
        <f>IFERROR(J885/(I885/VLOOKUP(A885,'Tabela de Produtos'!A:H,8,0)),"Matéria Prima Não Cadastrada")</f>
        <v>5.6448362720403024E-2</v>
      </c>
      <c r="L885" s="216"/>
    </row>
    <row r="886" spans="1:12" ht="15.75" customHeight="1">
      <c r="A886" s="114" t="s">
        <v>168</v>
      </c>
      <c r="B886" s="114" t="str">
        <f>VLOOKUP(A886,'Tabela de Produtos'!A:B,2,0)</f>
        <v>BRAZIMIL LÁTEX STANDARD INT/EXT SEMIBRILHO 3L BRANCO GELO</v>
      </c>
      <c r="C886" s="48" t="s">
        <v>1219</v>
      </c>
      <c r="D886" s="114" t="str">
        <f>VLOOKUP(C886,'Custos Matéria Prima Embalagens'!B:C,2,0)</f>
        <v>WANALK 70 CE (BH-200)</v>
      </c>
      <c r="E886" s="114" t="str">
        <f>VLOOKUP(C886,'Custos Matéria Prima Embalagens'!B:D,3,0)</f>
        <v>ALCALINIZANTE</v>
      </c>
      <c r="F886" s="270">
        <f t="shared" si="112"/>
        <v>1008.2</v>
      </c>
      <c r="G886" s="148">
        <f t="shared" si="113"/>
        <v>2.9756000793493354E-3</v>
      </c>
      <c r="H886" s="275">
        <v>3</v>
      </c>
      <c r="I886" s="272">
        <f>ROUND(F886/VLOOKUP(A886,'Tabela de Produtos'!A:J,10,0),0)</f>
        <v>794</v>
      </c>
      <c r="J886" s="97">
        <f>IFERROR(VLOOKUP(C886,'Custos Matéria Prima Embalagens'!B:G,6,0)*H886,"Matéria Prima Não Cadastrada")</f>
        <v>14.940000000000001</v>
      </c>
      <c r="K886" s="97">
        <f>IFERROR(J886/(I886/VLOOKUP(A886,'Tabela de Produtos'!A:H,8,0)),"Matéria Prima Não Cadastrada")</f>
        <v>5.6448362720403024E-2</v>
      </c>
      <c r="L886" s="216"/>
    </row>
    <row r="887" spans="1:12" ht="15.75" customHeight="1">
      <c r="A887" s="114" t="s">
        <v>168</v>
      </c>
      <c r="B887" s="114" t="str">
        <f>VLOOKUP(A887,'Tabela de Produtos'!A:B,2,0)</f>
        <v>BRAZIMIL LÁTEX STANDARD INT/EXT SEMIBRILHO 3L BRANCO GELO</v>
      </c>
      <c r="C887" s="48" t="s">
        <v>1221</v>
      </c>
      <c r="D887" s="114" t="str">
        <f>VLOOKUP(C887,'Custos Matéria Prima Embalagens'!B:C,2,0)</f>
        <v>MODIWAN 105H CE (CT-1000P)</v>
      </c>
      <c r="E887" s="114" t="str">
        <f>VLOOKUP(C887,'Custos Matéria Prima Embalagens'!B:D,3,0)</f>
        <v>ESPESSANTE DE MEDIA</v>
      </c>
      <c r="F887" s="270">
        <f t="shared" si="112"/>
        <v>1008.2</v>
      </c>
      <c r="G887" s="148">
        <f t="shared" si="113"/>
        <v>1.9837333862328901E-2</v>
      </c>
      <c r="H887" s="275">
        <v>20</v>
      </c>
      <c r="I887" s="272">
        <f>ROUND(F887/VLOOKUP(A887,'Tabela de Produtos'!A:J,10,0),0)</f>
        <v>794</v>
      </c>
      <c r="J887" s="97">
        <f>IFERROR(VLOOKUP(C887,'Custos Matéria Prima Embalagens'!B:G,6,0)*H887,"Matéria Prima Não Cadastrada")</f>
        <v>158.1</v>
      </c>
      <c r="K887" s="97">
        <f>IFERROR(J887/(I887/VLOOKUP(A887,'Tabela de Produtos'!A:H,8,0)),"Matéria Prima Não Cadastrada")</f>
        <v>0.5973551637279596</v>
      </c>
      <c r="L887" s="216"/>
    </row>
    <row r="888" spans="1:12" ht="15.75" customHeight="1">
      <c r="A888" s="114" t="s">
        <v>168</v>
      </c>
      <c r="B888" s="114" t="str">
        <f>VLOOKUP(A888,'Tabela de Produtos'!A:B,2,0)</f>
        <v>BRAZIMIL LÁTEX STANDARD INT/EXT SEMIBRILHO 3L BRANCO GELO</v>
      </c>
      <c r="C888" s="48" t="s">
        <v>1270</v>
      </c>
      <c r="D888" s="114" t="str">
        <f>VLOOKUP(C888,'Custos Matéria Prima Embalagens'!B:C,2,0)</f>
        <v>MISTURA CONCENTRADO SEMI BRILHO</v>
      </c>
      <c r="E888" s="114" t="str">
        <f>VLOOKUP(C888,'Custos Matéria Prima Embalagens'!B:D,3,0)</f>
        <v>MISTURA CONCENTRADO SEMI BRILHO</v>
      </c>
      <c r="F888" s="270">
        <f t="shared" si="112"/>
        <v>1008.2</v>
      </c>
      <c r="G888" s="148">
        <f t="shared" si="113"/>
        <v>0.24201547312041261</v>
      </c>
      <c r="H888" s="275">
        <v>244</v>
      </c>
      <c r="I888" s="272">
        <f>ROUND(F888/VLOOKUP(A888,'Tabela de Produtos'!A:J,10,0),0)</f>
        <v>794</v>
      </c>
      <c r="J888" s="97">
        <f>IFERROR(VLOOKUP(C888,'Custos Matéria Prima Embalagens'!B:G,6,0)*H888,"Matéria Prima Não Cadastrada")</f>
        <v>2188.6800000000003</v>
      </c>
      <c r="K888" s="97">
        <f>IFERROR(J888/(I888/VLOOKUP(A888,'Tabela de Produtos'!A:H,8,0)),"Matéria Prima Não Cadastrada")</f>
        <v>8.2695717884130993</v>
      </c>
      <c r="L888" s="216"/>
    </row>
    <row r="889" spans="1:12" ht="15.75" customHeight="1">
      <c r="D889" s="114"/>
      <c r="E889" s="114"/>
      <c r="F889" s="96"/>
      <c r="G889" s="148"/>
      <c r="H889" s="96"/>
      <c r="I889" s="272"/>
      <c r="J889" s="97"/>
      <c r="K889" s="97"/>
      <c r="L889" s="216"/>
    </row>
    <row r="890" spans="1:12" ht="15.75" customHeight="1">
      <c r="A890" s="114" t="s">
        <v>169</v>
      </c>
      <c r="B890" s="114" t="str">
        <f>VLOOKUP(A890,'Tabela de Produtos'!A:B,2,0)</f>
        <v>BRAZIMIL LÁTEX STANDARD INT/EXT SEMIBRILHO 3L FLAMINGO</v>
      </c>
      <c r="C890" s="48" t="s">
        <v>1197</v>
      </c>
      <c r="D890" s="114" t="str">
        <f>VLOOKUP(C890,'Custos Matéria Prima Embalagens'!B:C,2,0)</f>
        <v>AGUA</v>
      </c>
      <c r="E890" s="114" t="str">
        <f>VLOOKUP(C890,'Custos Matéria Prima Embalagens'!B:D,3,0)</f>
        <v>AGUA</v>
      </c>
      <c r="F890" s="270">
        <f t="shared" ref="F890:F906" si="114">SUMIFS(H:H,A:A,A890)</f>
        <v>851.2</v>
      </c>
      <c r="G890" s="148">
        <f t="shared" ref="G890:G906" si="115">H890/F890</f>
        <v>0.6461466165413533</v>
      </c>
      <c r="H890" s="275">
        <v>550</v>
      </c>
      <c r="I890" s="272">
        <f>ROUND(F890/VLOOKUP(A890,'Tabela de Produtos'!A:J,10,0),0)</f>
        <v>670</v>
      </c>
      <c r="J890" s="97">
        <f>IFERROR(VLOOKUP(C890,'Custos Matéria Prima Embalagens'!B:G,6,0)*H890,"Matéria Prima Não Cadastrada")</f>
        <v>0</v>
      </c>
      <c r="K890" s="97">
        <f>IFERROR(J890/(I890/VLOOKUP(A890,'Tabela de Produtos'!A:H,8,0)),"Matéria Prima Não Cadastrada")</f>
        <v>0</v>
      </c>
      <c r="L890" s="216"/>
    </row>
    <row r="891" spans="1:12" ht="15.75" customHeight="1">
      <c r="A891" s="114" t="s">
        <v>169</v>
      </c>
      <c r="B891" s="114" t="str">
        <f>VLOOKUP(A891,'Tabela de Produtos'!A:B,2,0)</f>
        <v>BRAZIMIL LÁTEX STANDARD INT/EXT SEMIBRILHO 3L FLAMINGO</v>
      </c>
      <c r="C891" s="48" t="s">
        <v>1199</v>
      </c>
      <c r="D891" s="114" t="str">
        <f>VLOOKUP(C891,'Custos Matéria Prima Embalagens'!B:C,2,0)</f>
        <v>HEXAMETAFOSFATO DE SODIO</v>
      </c>
      <c r="E891" s="114" t="str">
        <f>VLOOKUP(C891,'Custos Matéria Prima Embalagens'!B:D,3,0)</f>
        <v>HEXAMETAFOSFATO DE SODIO</v>
      </c>
      <c r="F891" s="270">
        <f t="shared" si="114"/>
        <v>851.2</v>
      </c>
      <c r="G891" s="148">
        <f t="shared" si="115"/>
        <v>1.4097744360902255E-3</v>
      </c>
      <c r="H891" s="275">
        <v>1.2</v>
      </c>
      <c r="I891" s="272">
        <f>ROUND(F891/VLOOKUP(A891,'Tabela de Produtos'!A:J,10,0),0)</f>
        <v>670</v>
      </c>
      <c r="J891" s="97">
        <f>IFERROR(VLOOKUP(C891,'Custos Matéria Prima Embalagens'!B:G,6,0)*H891,"Matéria Prima Não Cadastrada")</f>
        <v>21.527999999999995</v>
      </c>
      <c r="K891" s="97">
        <f>IFERROR(J891/(I891/VLOOKUP(A891,'Tabela de Produtos'!A:H,8,0)),"Matéria Prima Não Cadastrada")</f>
        <v>9.6394029850746243E-2</v>
      </c>
      <c r="L891" s="216"/>
    </row>
    <row r="892" spans="1:12" ht="15.75" customHeight="1">
      <c r="A892" s="114" t="s">
        <v>169</v>
      </c>
      <c r="B892" s="114" t="str">
        <f>VLOOKUP(A892,'Tabela de Produtos'!A:B,2,0)</f>
        <v>BRAZIMIL LÁTEX STANDARD INT/EXT SEMIBRILHO 3L FLAMINGO</v>
      </c>
      <c r="C892" s="48" t="s">
        <v>1201</v>
      </c>
      <c r="D892" s="114" t="str">
        <f>VLOOKUP(C892,'Custos Matéria Prima Embalagens'!B:C,2,0)</f>
        <v>WANFOAM 528 CE (BB-190)</v>
      </c>
      <c r="E892" s="114" t="str">
        <f>VLOOKUP(C892,'Custos Matéria Prima Embalagens'!B:D,3,0)</f>
        <v>ANTI ESPUMA LATEX</v>
      </c>
      <c r="F892" s="270">
        <f t="shared" si="114"/>
        <v>851.2</v>
      </c>
      <c r="G892" s="148">
        <f t="shared" si="115"/>
        <v>2.3496240601503758E-3</v>
      </c>
      <c r="H892" s="275">
        <v>2</v>
      </c>
      <c r="I892" s="272">
        <f>ROUND(F892/VLOOKUP(A892,'Tabela de Produtos'!A:J,10,0),0)</f>
        <v>670</v>
      </c>
      <c r="J892" s="97">
        <f>IFERROR(VLOOKUP(C892,'Custos Matéria Prima Embalagens'!B:G,6,0)*H892,"Matéria Prima Não Cadastrada")</f>
        <v>14.36</v>
      </c>
      <c r="K892" s="97">
        <f>IFERROR(J892/(I892/VLOOKUP(A892,'Tabela de Produtos'!A:H,8,0)),"Matéria Prima Não Cadastrada")</f>
        <v>6.429850746268656E-2</v>
      </c>
      <c r="L892" s="216"/>
    </row>
    <row r="893" spans="1:12" ht="15.75" customHeight="1">
      <c r="A893" s="114" t="s">
        <v>169</v>
      </c>
      <c r="B893" s="114" t="str">
        <f>VLOOKUP(A893,'Tabela de Produtos'!A:B,2,0)</f>
        <v>BRAZIMIL LÁTEX STANDARD INT/EXT SEMIBRILHO 3L FLAMINGO</v>
      </c>
      <c r="C893" s="48" t="s">
        <v>1203</v>
      </c>
      <c r="D893" s="114" t="str">
        <f>VLOOKUP(C893,'Custos Matéria Prima Embalagens'!B:C,2,0)</f>
        <v>WANBAC WBT CE (BH-200)</v>
      </c>
      <c r="E893" s="114" t="str">
        <f>VLOOKUP(C893,'Custos Matéria Prima Embalagens'!B:D,3,0)</f>
        <v>BACTERICIDA</v>
      </c>
      <c r="F893" s="270">
        <f t="shared" si="114"/>
        <v>851.2</v>
      </c>
      <c r="G893" s="148">
        <f t="shared" si="115"/>
        <v>2.3496240601503758E-3</v>
      </c>
      <c r="H893" s="275">
        <v>2</v>
      </c>
      <c r="I893" s="272">
        <f>ROUND(F893/VLOOKUP(A893,'Tabela de Produtos'!A:J,10,0),0)</f>
        <v>670</v>
      </c>
      <c r="J893" s="97">
        <f>IFERROR(VLOOKUP(C893,'Custos Matéria Prima Embalagens'!B:G,6,0)*H893,"Matéria Prima Não Cadastrada")</f>
        <v>9.879999999999999</v>
      </c>
      <c r="K893" s="97">
        <f>IFERROR(J893/(I893/VLOOKUP(A893,'Tabela de Produtos'!A:H,8,0)),"Matéria Prima Não Cadastrada")</f>
        <v>4.4238805970149245E-2</v>
      </c>
      <c r="L893" s="216"/>
    </row>
    <row r="894" spans="1:12" ht="15.75" customHeight="1">
      <c r="A894" s="114" t="s">
        <v>169</v>
      </c>
      <c r="B894" s="114" t="str">
        <f>VLOOKUP(A894,'Tabela de Produtos'!A:B,2,0)</f>
        <v>BRAZIMIL LÁTEX STANDARD INT/EXT SEMIBRILHO 3L FLAMINGO</v>
      </c>
      <c r="C894" s="48" t="s">
        <v>1205</v>
      </c>
      <c r="D894" s="114" t="str">
        <f>VLOOKUP(C894,'Custos Matéria Prima Embalagens'!B:C,2,0)</f>
        <v>WANSUR 840 CE (BB-200)01</v>
      </c>
      <c r="E894" s="114" t="str">
        <f>VLOOKUP(C894,'Custos Matéria Prima Embalagens'!B:D,3,0)</f>
        <v>UMECTANTE</v>
      </c>
      <c r="F894" s="270">
        <f t="shared" si="114"/>
        <v>851.2</v>
      </c>
      <c r="G894" s="148">
        <f t="shared" si="115"/>
        <v>2.3496240601503758E-3</v>
      </c>
      <c r="H894" s="275">
        <v>2</v>
      </c>
      <c r="I894" s="272">
        <f>ROUND(F894/VLOOKUP(A894,'Tabela de Produtos'!A:J,10,0),0)</f>
        <v>670</v>
      </c>
      <c r="J894" s="97">
        <f>IFERROR(VLOOKUP(C894,'Custos Matéria Prima Embalagens'!B:G,6,0)*H894,"Matéria Prima Não Cadastrada")</f>
        <v>14.66</v>
      </c>
      <c r="K894" s="97">
        <f>IFERROR(J894/(I894/VLOOKUP(A894,'Tabela de Produtos'!A:H,8,0)),"Matéria Prima Não Cadastrada")</f>
        <v>6.5641791044776118E-2</v>
      </c>
      <c r="L894" s="216"/>
    </row>
    <row r="895" spans="1:12" ht="15.75" customHeight="1">
      <c r="A895" s="114" t="s">
        <v>169</v>
      </c>
      <c r="B895" s="114" t="str">
        <f>VLOOKUP(A895,'Tabela de Produtos'!A:B,2,0)</f>
        <v>BRAZIMIL LÁTEX STANDARD INT/EXT SEMIBRILHO 3L FLAMINGO</v>
      </c>
      <c r="C895" s="48" t="s">
        <v>1207</v>
      </c>
      <c r="D895" s="114" t="str">
        <f>VLOOKUP(C895,'Custos Matéria Prima Embalagens'!B:C,2,0)</f>
        <v>WANPEX 1510 (BB-200)</v>
      </c>
      <c r="E895" s="114" t="str">
        <f>VLOOKUP(C895,'Custos Matéria Prima Embalagens'!B:D,3,0)</f>
        <v>DISPERSANTE LATEX</v>
      </c>
      <c r="F895" s="270">
        <f t="shared" si="114"/>
        <v>851.2</v>
      </c>
      <c r="G895" s="148">
        <f t="shared" si="115"/>
        <v>2.3496240601503758E-3</v>
      </c>
      <c r="H895" s="275">
        <v>2</v>
      </c>
      <c r="I895" s="272">
        <f>ROUND(F895/VLOOKUP(A895,'Tabela de Produtos'!A:J,10,0),0)</f>
        <v>670</v>
      </c>
      <c r="J895" s="97">
        <f>IFERROR(VLOOKUP(C895,'Custos Matéria Prima Embalagens'!B:G,6,0)*H895,"Matéria Prima Não Cadastrada")</f>
        <v>13.719999999999999</v>
      </c>
      <c r="K895" s="97">
        <f>IFERROR(J895/(I895/VLOOKUP(A895,'Tabela de Produtos'!A:H,8,0)),"Matéria Prima Não Cadastrada")</f>
        <v>6.1432835820895516E-2</v>
      </c>
      <c r="L895" s="216"/>
    </row>
    <row r="896" spans="1:12" ht="15.75" customHeight="1">
      <c r="A896" s="114" t="s">
        <v>169</v>
      </c>
      <c r="B896" s="114" t="str">
        <f>VLOOKUP(A896,'Tabela de Produtos'!A:B,2,0)</f>
        <v>BRAZIMIL LÁTEX STANDARD INT/EXT SEMIBRILHO 3L FLAMINGO</v>
      </c>
      <c r="C896" s="48" t="s">
        <v>1207</v>
      </c>
      <c r="D896" s="114" t="str">
        <f>VLOOKUP(C896,'Custos Matéria Prima Embalagens'!B:C,2,0)</f>
        <v>WANPEX 1510 (BB-200)</v>
      </c>
      <c r="E896" s="114" t="str">
        <f>VLOOKUP(C896,'Custos Matéria Prima Embalagens'!B:D,3,0)</f>
        <v>DISPERSANTE LATEX</v>
      </c>
      <c r="F896" s="270">
        <f t="shared" si="114"/>
        <v>851.2</v>
      </c>
      <c r="G896" s="148">
        <f t="shared" si="115"/>
        <v>2.3496240601503758E-3</v>
      </c>
      <c r="H896" s="275">
        <v>2</v>
      </c>
      <c r="I896" s="272">
        <f>ROUND(F896/VLOOKUP(A896,'Tabela de Produtos'!A:J,10,0),0)</f>
        <v>670</v>
      </c>
      <c r="J896" s="97">
        <f>IFERROR(VLOOKUP(C896,'Custos Matéria Prima Embalagens'!B:G,6,0)*H896,"Matéria Prima Não Cadastrada")</f>
        <v>13.719999999999999</v>
      </c>
      <c r="K896" s="97">
        <f>IFERROR(J896/(I896/VLOOKUP(A896,'Tabela de Produtos'!A:H,8,0)),"Matéria Prima Não Cadastrada")</f>
        <v>6.1432835820895516E-2</v>
      </c>
      <c r="L896" s="216"/>
    </row>
    <row r="897" spans="1:12" ht="15.75" customHeight="1">
      <c r="A897" s="114" t="s">
        <v>169</v>
      </c>
      <c r="B897" s="114" t="str">
        <f>VLOOKUP(A897,'Tabela de Produtos'!A:B,2,0)</f>
        <v>BRAZIMIL LÁTEX STANDARD INT/EXT SEMIBRILHO 3L FLAMINGO</v>
      </c>
      <c r="C897" s="48" t="s">
        <v>1207</v>
      </c>
      <c r="D897" s="114" t="str">
        <f>VLOOKUP(C897,'Custos Matéria Prima Embalagens'!B:C,2,0)</f>
        <v>WANPEX 1510 (BB-200)</v>
      </c>
      <c r="E897" s="114" t="str">
        <f>VLOOKUP(C897,'Custos Matéria Prima Embalagens'!B:D,3,0)</f>
        <v>DISPERSANTE LATEX</v>
      </c>
      <c r="F897" s="270">
        <f t="shared" si="114"/>
        <v>851.2</v>
      </c>
      <c r="G897" s="148">
        <f t="shared" si="115"/>
        <v>2.3496240601503758E-3</v>
      </c>
      <c r="H897" s="275">
        <v>2</v>
      </c>
      <c r="I897" s="272">
        <f>ROUND(F897/VLOOKUP(A897,'Tabela de Produtos'!A:J,10,0),0)</f>
        <v>670</v>
      </c>
      <c r="J897" s="97">
        <f>IFERROR(VLOOKUP(C897,'Custos Matéria Prima Embalagens'!B:G,6,0)*H897,"Matéria Prima Não Cadastrada")</f>
        <v>13.719999999999999</v>
      </c>
      <c r="K897" s="97">
        <f>IFERROR(J897/(I897/VLOOKUP(A897,'Tabela de Produtos'!A:H,8,0)),"Matéria Prima Não Cadastrada")</f>
        <v>6.1432835820895516E-2</v>
      </c>
      <c r="L897" s="216"/>
    </row>
    <row r="898" spans="1:12" ht="15.75" customHeight="1">
      <c r="A898" s="114" t="s">
        <v>169</v>
      </c>
      <c r="B898" s="114" t="str">
        <f>VLOOKUP(A898,'Tabela de Produtos'!A:B,2,0)</f>
        <v>BRAZIMIL LÁTEX STANDARD INT/EXT SEMIBRILHO 3L FLAMINGO</v>
      </c>
      <c r="C898" s="48" t="s">
        <v>1207</v>
      </c>
      <c r="D898" s="114" t="str">
        <f>VLOOKUP(C898,'Custos Matéria Prima Embalagens'!B:C,2,0)</f>
        <v>WANPEX 1510 (BB-200)</v>
      </c>
      <c r="E898" s="114" t="str">
        <f>VLOOKUP(C898,'Custos Matéria Prima Embalagens'!B:D,3,0)</f>
        <v>DISPERSANTE LATEX</v>
      </c>
      <c r="F898" s="270">
        <f t="shared" si="114"/>
        <v>851.2</v>
      </c>
      <c r="G898" s="148">
        <f t="shared" si="115"/>
        <v>2.3496240601503758E-3</v>
      </c>
      <c r="H898" s="275">
        <v>2</v>
      </c>
      <c r="I898" s="272">
        <f>ROUND(F898/VLOOKUP(A898,'Tabela de Produtos'!A:J,10,0),0)</f>
        <v>670</v>
      </c>
      <c r="J898" s="97">
        <f>IFERROR(VLOOKUP(C898,'Custos Matéria Prima Embalagens'!B:G,6,0)*H898,"Matéria Prima Não Cadastrada")</f>
        <v>13.719999999999999</v>
      </c>
      <c r="K898" s="97">
        <f>IFERROR(J898/(I898/VLOOKUP(A898,'Tabela de Produtos'!A:H,8,0)),"Matéria Prima Não Cadastrada")</f>
        <v>6.1432835820895516E-2</v>
      </c>
      <c r="L898" s="216"/>
    </row>
    <row r="899" spans="1:12" ht="15.75" customHeight="1">
      <c r="A899" s="114" t="s">
        <v>169</v>
      </c>
      <c r="B899" s="114" t="str">
        <f>VLOOKUP(A899,'Tabela de Produtos'!A:B,2,0)</f>
        <v>BRAZIMIL LÁTEX STANDARD INT/EXT SEMIBRILHO 3L FLAMINGO</v>
      </c>
      <c r="C899" s="48" t="s">
        <v>1207</v>
      </c>
      <c r="D899" s="114" t="str">
        <f>VLOOKUP(C899,'Custos Matéria Prima Embalagens'!B:C,2,0)</f>
        <v>WANPEX 1510 (BB-200)</v>
      </c>
      <c r="E899" s="114" t="str">
        <f>VLOOKUP(C899,'Custos Matéria Prima Embalagens'!B:D,3,0)</f>
        <v>DISPERSANTE LATEX</v>
      </c>
      <c r="F899" s="270">
        <f t="shared" si="114"/>
        <v>851.2</v>
      </c>
      <c r="G899" s="148">
        <f t="shared" si="115"/>
        <v>2.3496240601503758E-3</v>
      </c>
      <c r="H899" s="275">
        <v>2</v>
      </c>
      <c r="I899" s="272">
        <f>ROUND(F899/VLOOKUP(A899,'Tabela de Produtos'!A:J,10,0),0)</f>
        <v>670</v>
      </c>
      <c r="J899" s="97">
        <f>IFERROR(VLOOKUP(C899,'Custos Matéria Prima Embalagens'!B:G,6,0)*H899,"Matéria Prima Não Cadastrada")</f>
        <v>13.719999999999999</v>
      </c>
      <c r="K899" s="97">
        <f>IFERROR(J899/(I899/VLOOKUP(A899,'Tabela de Produtos'!A:H,8,0)),"Matéria Prima Não Cadastrada")</f>
        <v>6.1432835820895516E-2</v>
      </c>
      <c r="L899" s="216"/>
    </row>
    <row r="900" spans="1:12" ht="15.75" customHeight="1">
      <c r="A900" s="114" t="s">
        <v>169</v>
      </c>
      <c r="B900" s="114" t="str">
        <f>VLOOKUP(A900,'Tabela de Produtos'!A:B,2,0)</f>
        <v>BRAZIMIL LÁTEX STANDARD INT/EXT SEMIBRILHO 3L FLAMINGO</v>
      </c>
      <c r="C900" s="48" t="s">
        <v>1207</v>
      </c>
      <c r="D900" s="114" t="str">
        <f>VLOOKUP(C900,'Custos Matéria Prima Embalagens'!B:C,2,0)</f>
        <v>WANPEX 1510 (BB-200)</v>
      </c>
      <c r="E900" s="114" t="str">
        <f>VLOOKUP(C900,'Custos Matéria Prima Embalagens'!B:D,3,0)</f>
        <v>DISPERSANTE LATEX</v>
      </c>
      <c r="F900" s="270">
        <f t="shared" si="114"/>
        <v>851.2</v>
      </c>
      <c r="G900" s="148">
        <f t="shared" si="115"/>
        <v>2.3496240601503758E-3</v>
      </c>
      <c r="H900" s="275">
        <v>2</v>
      </c>
      <c r="I900" s="272">
        <f>ROUND(F900/VLOOKUP(A900,'Tabela de Produtos'!A:J,10,0),0)</f>
        <v>670</v>
      </c>
      <c r="J900" s="97">
        <f>IFERROR(VLOOKUP(C900,'Custos Matéria Prima Embalagens'!B:G,6,0)*H900,"Matéria Prima Não Cadastrada")</f>
        <v>13.719999999999999</v>
      </c>
      <c r="K900" s="97">
        <f>IFERROR(J900/(I900/VLOOKUP(A900,'Tabela de Produtos'!A:H,8,0)),"Matéria Prima Não Cadastrada")</f>
        <v>6.1432835820895516E-2</v>
      </c>
      <c r="L900" s="216"/>
    </row>
    <row r="901" spans="1:12" ht="15.75" customHeight="1">
      <c r="A901" s="114" t="s">
        <v>169</v>
      </c>
      <c r="B901" s="114" t="str">
        <f>VLOOKUP(A901,'Tabela de Produtos'!A:B,2,0)</f>
        <v>BRAZIMIL LÁTEX STANDARD INT/EXT SEMIBRILHO 3L FLAMINGO</v>
      </c>
      <c r="C901" s="48" t="s">
        <v>1207</v>
      </c>
      <c r="D901" s="114" t="str">
        <f>VLOOKUP(C901,'Custos Matéria Prima Embalagens'!B:C,2,0)</f>
        <v>WANPEX 1510 (BB-200)</v>
      </c>
      <c r="E901" s="114" t="str">
        <f>VLOOKUP(C901,'Custos Matéria Prima Embalagens'!B:D,3,0)</f>
        <v>DISPERSANTE LATEX</v>
      </c>
      <c r="F901" s="270">
        <f t="shared" si="114"/>
        <v>851.2</v>
      </c>
      <c r="G901" s="148">
        <f t="shared" si="115"/>
        <v>2.3496240601503758E-3</v>
      </c>
      <c r="H901" s="275">
        <v>2</v>
      </c>
      <c r="I901" s="272">
        <f>ROUND(F901/VLOOKUP(A901,'Tabela de Produtos'!A:J,10,0),0)</f>
        <v>670</v>
      </c>
      <c r="J901" s="97">
        <f>IFERROR(VLOOKUP(C901,'Custos Matéria Prima Embalagens'!B:G,6,0)*H901,"Matéria Prima Não Cadastrada")</f>
        <v>13.719999999999999</v>
      </c>
      <c r="K901" s="97">
        <f>IFERROR(J901/(I901/VLOOKUP(A901,'Tabela de Produtos'!A:H,8,0)),"Matéria Prima Não Cadastrada")</f>
        <v>6.1432835820895516E-2</v>
      </c>
      <c r="L901" s="216"/>
    </row>
    <row r="902" spans="1:12" ht="15.75" customHeight="1">
      <c r="A902" s="114" t="s">
        <v>169</v>
      </c>
      <c r="B902" s="114" t="str">
        <f>VLOOKUP(A902,'Tabela de Produtos'!A:B,2,0)</f>
        <v>BRAZIMIL LÁTEX STANDARD INT/EXT SEMIBRILHO 3L FLAMINGO</v>
      </c>
      <c r="C902" s="48" t="s">
        <v>1229</v>
      </c>
      <c r="D902" s="114" t="str">
        <f>VLOOKUP(C902,'Custos Matéria Prima Embalagens'!B:C,2,0)</f>
        <v>WANSOL 340 CE (BB-200)</v>
      </c>
      <c r="E902" s="114" t="str">
        <f>VLOOKUP(C902,'Custos Matéria Prima Embalagens'!B:D,3,0)</f>
        <v>COALESCENTE</v>
      </c>
      <c r="F902" s="270">
        <f t="shared" si="114"/>
        <v>851.2</v>
      </c>
      <c r="G902" s="148">
        <f t="shared" si="115"/>
        <v>1.1748120300751879E-2</v>
      </c>
      <c r="H902" s="275">
        <v>10</v>
      </c>
      <c r="I902" s="272">
        <f>ROUND(F902/VLOOKUP(A902,'Tabela de Produtos'!A:J,10,0),0)</f>
        <v>670</v>
      </c>
      <c r="J902" s="97">
        <f>IFERROR(VLOOKUP(C902,'Custos Matéria Prima Embalagens'!B:G,6,0)*H902,"Matéria Prima Não Cadastrada")</f>
        <v>192.2</v>
      </c>
      <c r="K902" s="97">
        <f>IFERROR(J902/(I902/VLOOKUP(A902,'Tabela de Produtos'!A:H,8,0)),"Matéria Prima Não Cadastrada")</f>
        <v>0.86059701492537299</v>
      </c>
      <c r="L902" s="216"/>
    </row>
    <row r="903" spans="1:12" ht="15.75" customHeight="1">
      <c r="A903" s="114" t="s">
        <v>169</v>
      </c>
      <c r="B903" s="114" t="str">
        <f>VLOOKUP(A903,'Tabela de Produtos'!A:B,2,0)</f>
        <v>BRAZIMIL LÁTEX STANDARD INT/EXT SEMIBRILHO 3L FLAMINGO</v>
      </c>
      <c r="C903" s="48" t="s">
        <v>1209</v>
      </c>
      <c r="D903" s="114" t="str">
        <f>VLOOKUP(C903,'Custos Matéria Prima Embalagens'!B:C,2,0)</f>
        <v>WANFUNG WFT CE (BH-200)</v>
      </c>
      <c r="E903" s="114" t="str">
        <f>VLOOKUP(C903,'Custos Matéria Prima Embalagens'!B:D,3,0)</f>
        <v>FUNGICIDA</v>
      </c>
      <c r="F903" s="270">
        <f t="shared" si="114"/>
        <v>851.2</v>
      </c>
      <c r="G903" s="148">
        <f t="shared" si="115"/>
        <v>3.5244360902255637E-3</v>
      </c>
      <c r="H903" s="275">
        <v>3</v>
      </c>
      <c r="I903" s="272">
        <f>ROUND(F903/VLOOKUP(A903,'Tabela de Produtos'!A:J,10,0),0)</f>
        <v>670</v>
      </c>
      <c r="J903" s="97">
        <f>IFERROR(VLOOKUP(C903,'Custos Matéria Prima Embalagens'!B:G,6,0)*H903,"Matéria Prima Não Cadastrada")</f>
        <v>21</v>
      </c>
      <c r="K903" s="97">
        <f>IFERROR(J903/(I903/VLOOKUP(A903,'Tabela de Produtos'!A:H,8,0)),"Matéria Prima Não Cadastrada")</f>
        <v>9.4029850746268656E-2</v>
      </c>
      <c r="L903" s="216"/>
    </row>
    <row r="904" spans="1:12" ht="15.75" customHeight="1">
      <c r="A904" s="114" t="s">
        <v>169</v>
      </c>
      <c r="B904" s="114" t="str">
        <f>VLOOKUP(A904,'Tabela de Produtos'!A:B,2,0)</f>
        <v>BRAZIMIL LÁTEX STANDARD INT/EXT SEMIBRILHO 3L FLAMINGO</v>
      </c>
      <c r="C904" s="48" t="s">
        <v>1219</v>
      </c>
      <c r="D904" s="114" t="str">
        <f>VLOOKUP(C904,'Custos Matéria Prima Embalagens'!B:C,2,0)</f>
        <v>WANALK 70 CE (BH-200)</v>
      </c>
      <c r="E904" s="114" t="str">
        <f>VLOOKUP(C904,'Custos Matéria Prima Embalagens'!B:D,3,0)</f>
        <v>ALCALINIZANTE</v>
      </c>
      <c r="F904" s="270">
        <f t="shared" si="114"/>
        <v>851.2</v>
      </c>
      <c r="G904" s="148">
        <f t="shared" si="115"/>
        <v>3.5244360902255637E-3</v>
      </c>
      <c r="H904" s="275">
        <v>3</v>
      </c>
      <c r="I904" s="272">
        <f>ROUND(F904/VLOOKUP(A904,'Tabela de Produtos'!A:J,10,0),0)</f>
        <v>670</v>
      </c>
      <c r="J904" s="97">
        <f>IFERROR(VLOOKUP(C904,'Custos Matéria Prima Embalagens'!B:G,6,0)*H904,"Matéria Prima Não Cadastrada")</f>
        <v>14.940000000000001</v>
      </c>
      <c r="K904" s="97">
        <f>IFERROR(J904/(I904/VLOOKUP(A904,'Tabela de Produtos'!A:H,8,0)),"Matéria Prima Não Cadastrada")</f>
        <v>6.6895522388059708E-2</v>
      </c>
      <c r="L904" s="216"/>
    </row>
    <row r="905" spans="1:12" ht="15.75" customHeight="1">
      <c r="A905" s="114" t="s">
        <v>169</v>
      </c>
      <c r="B905" s="114" t="str">
        <f>VLOOKUP(A905,'Tabela de Produtos'!A:B,2,0)</f>
        <v>BRAZIMIL LÁTEX STANDARD INT/EXT SEMIBRILHO 3L FLAMINGO</v>
      </c>
      <c r="C905" s="48" t="s">
        <v>1221</v>
      </c>
      <c r="D905" s="114" t="str">
        <f>VLOOKUP(C905,'Custos Matéria Prima Embalagens'!B:C,2,0)</f>
        <v>MODIWAN 105H CE (CT-1000P)</v>
      </c>
      <c r="E905" s="114" t="str">
        <f>VLOOKUP(C905,'Custos Matéria Prima Embalagens'!B:D,3,0)</f>
        <v>ESPESSANTE DE MEDIA</v>
      </c>
      <c r="F905" s="270">
        <f t="shared" si="114"/>
        <v>851.2</v>
      </c>
      <c r="G905" s="148">
        <f t="shared" si="115"/>
        <v>2.3496240601503758E-2</v>
      </c>
      <c r="H905" s="275">
        <v>20</v>
      </c>
      <c r="I905" s="272">
        <f>ROUND(F905/VLOOKUP(A905,'Tabela de Produtos'!A:J,10,0),0)</f>
        <v>670</v>
      </c>
      <c r="J905" s="97">
        <f>IFERROR(VLOOKUP(C905,'Custos Matéria Prima Embalagens'!B:G,6,0)*H905,"Matéria Prima Não Cadastrada")</f>
        <v>158.1</v>
      </c>
      <c r="K905" s="97">
        <f>IFERROR(J905/(I905/VLOOKUP(A905,'Tabela de Produtos'!A:H,8,0)),"Matéria Prima Não Cadastrada")</f>
        <v>0.70791044776119394</v>
      </c>
      <c r="L905" s="216"/>
    </row>
    <row r="906" spans="1:12" ht="15.75" customHeight="1">
      <c r="A906" s="114" t="s">
        <v>169</v>
      </c>
      <c r="B906" s="114" t="str">
        <f>VLOOKUP(A906,'Tabela de Produtos'!A:B,2,0)</f>
        <v>BRAZIMIL LÁTEX STANDARD INT/EXT SEMIBRILHO 3L FLAMINGO</v>
      </c>
      <c r="C906" s="48" t="s">
        <v>1270</v>
      </c>
      <c r="D906" s="114" t="str">
        <f>VLOOKUP(C906,'Custos Matéria Prima Embalagens'!B:C,2,0)</f>
        <v>MISTURA CONCENTRADO SEMI BRILHO</v>
      </c>
      <c r="E906" s="114" t="str">
        <f>VLOOKUP(C906,'Custos Matéria Prima Embalagens'!B:D,3,0)</f>
        <v>MISTURA CONCENTRADO SEMI BRILHO</v>
      </c>
      <c r="F906" s="270">
        <f t="shared" si="114"/>
        <v>851.2</v>
      </c>
      <c r="G906" s="148">
        <f t="shared" si="115"/>
        <v>0.28665413533834583</v>
      </c>
      <c r="H906" s="275">
        <v>244</v>
      </c>
      <c r="I906" s="272">
        <f>ROUND(F906/VLOOKUP(A906,'Tabela de Produtos'!A:J,10,0),0)</f>
        <v>670</v>
      </c>
      <c r="J906" s="97">
        <f>IFERROR(VLOOKUP(C906,'Custos Matéria Prima Embalagens'!B:G,6,0)*H906,"Matéria Prima Não Cadastrada")</f>
        <v>2188.6800000000003</v>
      </c>
      <c r="K906" s="97">
        <f>IFERROR(J906/(I906/VLOOKUP(A906,'Tabela de Produtos'!A:H,8,0)),"Matéria Prima Não Cadastrada")</f>
        <v>9.8000597014925379</v>
      </c>
      <c r="L906" s="216"/>
    </row>
    <row r="907" spans="1:12" ht="15.75" customHeight="1">
      <c r="D907" s="114"/>
      <c r="E907" s="114"/>
      <c r="F907" s="96"/>
      <c r="G907" s="148"/>
      <c r="H907" s="96"/>
      <c r="I907" s="272"/>
      <c r="J907" s="97"/>
      <c r="K907" s="97"/>
      <c r="L907" s="216"/>
    </row>
    <row r="908" spans="1:12" ht="15.75" customHeight="1">
      <c r="A908" s="114" t="s">
        <v>170</v>
      </c>
      <c r="B908" s="114" t="str">
        <f>VLOOKUP(A908,'Tabela de Produtos'!A:B,2,0)</f>
        <v>BRAZIMIL LÁTEX STANDARD INT/EXT SEMIBRILHO 3L AREIA</v>
      </c>
      <c r="C908" s="48" t="s">
        <v>1197</v>
      </c>
      <c r="D908" s="114" t="str">
        <f>VLOOKUP(C908,'Custos Matéria Prima Embalagens'!B:C,2,0)</f>
        <v>AGUA</v>
      </c>
      <c r="E908" s="114" t="str">
        <f>VLOOKUP(C908,'Custos Matéria Prima Embalagens'!B:D,3,0)</f>
        <v>AGUA</v>
      </c>
      <c r="F908" s="270">
        <f t="shared" ref="F908:F924" si="116">SUMIFS(H:H,A:A,A908)</f>
        <v>1009.2</v>
      </c>
      <c r="G908" s="148">
        <f t="shared" ref="G908:G924" si="117">H908/F908</f>
        <v>0.5449861276258422</v>
      </c>
      <c r="H908" s="275">
        <v>550</v>
      </c>
      <c r="I908" s="272">
        <f>ROUND(F908/VLOOKUP(A908,'Tabela de Produtos'!A:J,10,0),0)</f>
        <v>795</v>
      </c>
      <c r="J908" s="97">
        <f>IFERROR(VLOOKUP(C908,'Custos Matéria Prima Embalagens'!B:G,6,0)*H908,"Matéria Prima Não Cadastrada")</f>
        <v>0</v>
      </c>
      <c r="K908" s="97">
        <f>IFERROR(J908/(I908/VLOOKUP(A908,'Tabela de Produtos'!A:H,8,0)),"Matéria Prima Não Cadastrada")</f>
        <v>0</v>
      </c>
      <c r="L908" s="216"/>
    </row>
    <row r="909" spans="1:12" ht="15.75" customHeight="1">
      <c r="A909" s="114" t="s">
        <v>170</v>
      </c>
      <c r="B909" s="114" t="str">
        <f>VLOOKUP(A909,'Tabela de Produtos'!A:B,2,0)</f>
        <v>BRAZIMIL LÁTEX STANDARD INT/EXT SEMIBRILHO 3L AREIA</v>
      </c>
      <c r="C909" s="48" t="s">
        <v>1199</v>
      </c>
      <c r="D909" s="114" t="str">
        <f>VLOOKUP(C909,'Custos Matéria Prima Embalagens'!B:C,2,0)</f>
        <v>HEXAMETAFOSFATO DE SODIO</v>
      </c>
      <c r="E909" s="114" t="str">
        <f>VLOOKUP(C909,'Custos Matéria Prima Embalagens'!B:D,3,0)</f>
        <v>HEXAMETAFOSFATO DE SODIO</v>
      </c>
      <c r="F909" s="270">
        <f t="shared" si="116"/>
        <v>1009.2</v>
      </c>
      <c r="G909" s="148">
        <f t="shared" si="117"/>
        <v>1.1890606420927466E-3</v>
      </c>
      <c r="H909" s="275">
        <v>1.2</v>
      </c>
      <c r="I909" s="272">
        <f>ROUND(F909/VLOOKUP(A909,'Tabela de Produtos'!A:J,10,0),0)</f>
        <v>795</v>
      </c>
      <c r="J909" s="97">
        <f>IFERROR(VLOOKUP(C909,'Custos Matéria Prima Embalagens'!B:G,6,0)*H909,"Matéria Prima Não Cadastrada")</f>
        <v>21.527999999999995</v>
      </c>
      <c r="K909" s="97">
        <f>IFERROR(J909/(I909/VLOOKUP(A909,'Tabela de Produtos'!A:H,8,0)),"Matéria Prima Não Cadastrada")</f>
        <v>8.123773584905658E-2</v>
      </c>
      <c r="L909" s="216"/>
    </row>
    <row r="910" spans="1:12" ht="15.75" customHeight="1">
      <c r="A910" s="114" t="s">
        <v>170</v>
      </c>
      <c r="B910" s="114" t="str">
        <f>VLOOKUP(A910,'Tabela de Produtos'!A:B,2,0)</f>
        <v>BRAZIMIL LÁTEX STANDARD INT/EXT SEMIBRILHO 3L AREIA</v>
      </c>
      <c r="C910" s="48" t="s">
        <v>1201</v>
      </c>
      <c r="D910" s="114" t="str">
        <f>VLOOKUP(C910,'Custos Matéria Prima Embalagens'!B:C,2,0)</f>
        <v>WANFOAM 528 CE (BB-190)</v>
      </c>
      <c r="E910" s="114" t="str">
        <f>VLOOKUP(C910,'Custos Matéria Prima Embalagens'!B:D,3,0)</f>
        <v>ANTI ESPUMA LATEX</v>
      </c>
      <c r="F910" s="270">
        <f t="shared" si="116"/>
        <v>1009.2</v>
      </c>
      <c r="G910" s="148">
        <f t="shared" si="117"/>
        <v>1.9817677368212444E-3</v>
      </c>
      <c r="H910" s="275">
        <v>2</v>
      </c>
      <c r="I910" s="272">
        <f>ROUND(F910/VLOOKUP(A910,'Tabela de Produtos'!A:J,10,0),0)</f>
        <v>795</v>
      </c>
      <c r="J910" s="97">
        <f>IFERROR(VLOOKUP(C910,'Custos Matéria Prima Embalagens'!B:G,6,0)*H910,"Matéria Prima Não Cadastrada")</f>
        <v>14.36</v>
      </c>
      <c r="K910" s="97">
        <f>IFERROR(J910/(I910/VLOOKUP(A910,'Tabela de Produtos'!A:H,8,0)),"Matéria Prima Não Cadastrada")</f>
        <v>5.418867924528302E-2</v>
      </c>
      <c r="L910" s="216"/>
    </row>
    <row r="911" spans="1:12" ht="15.75" customHeight="1">
      <c r="A911" s="114" t="s">
        <v>170</v>
      </c>
      <c r="B911" s="114" t="str">
        <f>VLOOKUP(A911,'Tabela de Produtos'!A:B,2,0)</f>
        <v>BRAZIMIL LÁTEX STANDARD INT/EXT SEMIBRILHO 3L AREIA</v>
      </c>
      <c r="C911" s="48" t="s">
        <v>1203</v>
      </c>
      <c r="D911" s="114" t="str">
        <f>VLOOKUP(C911,'Custos Matéria Prima Embalagens'!B:C,2,0)</f>
        <v>WANBAC WBT CE (BH-200)</v>
      </c>
      <c r="E911" s="114" t="str">
        <f>VLOOKUP(C911,'Custos Matéria Prima Embalagens'!B:D,3,0)</f>
        <v>BACTERICIDA</v>
      </c>
      <c r="F911" s="270">
        <f t="shared" si="116"/>
        <v>1009.2</v>
      </c>
      <c r="G911" s="148">
        <f t="shared" si="117"/>
        <v>1.9817677368212444E-3</v>
      </c>
      <c r="H911" s="275">
        <v>2</v>
      </c>
      <c r="I911" s="272">
        <f>ROUND(F911/VLOOKUP(A911,'Tabela de Produtos'!A:J,10,0),0)</f>
        <v>795</v>
      </c>
      <c r="J911" s="97">
        <f>IFERROR(VLOOKUP(C911,'Custos Matéria Prima Embalagens'!B:G,6,0)*H911,"Matéria Prima Não Cadastrada")</f>
        <v>9.879999999999999</v>
      </c>
      <c r="K911" s="97">
        <f>IFERROR(J911/(I911/VLOOKUP(A911,'Tabela de Produtos'!A:H,8,0)),"Matéria Prima Não Cadastrada")</f>
        <v>3.7283018867924525E-2</v>
      </c>
      <c r="L911" s="216"/>
    </row>
    <row r="912" spans="1:12" ht="15.75" customHeight="1">
      <c r="A912" s="114" t="s">
        <v>170</v>
      </c>
      <c r="B912" s="114" t="str">
        <f>VLOOKUP(A912,'Tabela de Produtos'!A:B,2,0)</f>
        <v>BRAZIMIL LÁTEX STANDARD INT/EXT SEMIBRILHO 3L AREIA</v>
      </c>
      <c r="C912" s="48" t="s">
        <v>1205</v>
      </c>
      <c r="D912" s="114" t="str">
        <f>VLOOKUP(C912,'Custos Matéria Prima Embalagens'!B:C,2,0)</f>
        <v>WANSUR 840 CE (BB-200)01</v>
      </c>
      <c r="E912" s="114" t="str">
        <f>VLOOKUP(C912,'Custos Matéria Prima Embalagens'!B:D,3,0)</f>
        <v>UMECTANTE</v>
      </c>
      <c r="F912" s="270">
        <f t="shared" si="116"/>
        <v>1009.2</v>
      </c>
      <c r="G912" s="148">
        <f t="shared" si="117"/>
        <v>1.9817677368212444E-3</v>
      </c>
      <c r="H912" s="275">
        <v>2</v>
      </c>
      <c r="I912" s="272">
        <f>ROUND(F912/VLOOKUP(A912,'Tabela de Produtos'!A:J,10,0),0)</f>
        <v>795</v>
      </c>
      <c r="J912" s="97">
        <f>IFERROR(VLOOKUP(C912,'Custos Matéria Prima Embalagens'!B:G,6,0)*H912,"Matéria Prima Não Cadastrada")</f>
        <v>14.66</v>
      </c>
      <c r="K912" s="97">
        <f>IFERROR(J912/(I912/VLOOKUP(A912,'Tabela de Produtos'!A:H,8,0)),"Matéria Prima Não Cadastrada")</f>
        <v>5.5320754716981134E-2</v>
      </c>
      <c r="L912" s="216"/>
    </row>
    <row r="913" spans="1:12" ht="15.75" customHeight="1">
      <c r="A913" s="114" t="s">
        <v>170</v>
      </c>
      <c r="B913" s="114" t="str">
        <f>VLOOKUP(A913,'Tabela de Produtos'!A:B,2,0)</f>
        <v>BRAZIMIL LÁTEX STANDARD INT/EXT SEMIBRILHO 3L AREIA</v>
      </c>
      <c r="C913" s="48" t="s">
        <v>1205</v>
      </c>
      <c r="D913" s="114" t="str">
        <f>VLOOKUP(C913,'Custos Matéria Prima Embalagens'!B:C,2,0)</f>
        <v>WANSUR 840 CE (BB-200)01</v>
      </c>
      <c r="E913" s="114" t="str">
        <f>VLOOKUP(C913,'Custos Matéria Prima Embalagens'!B:D,3,0)</f>
        <v>UMECTANTE</v>
      </c>
      <c r="F913" s="270">
        <f t="shared" si="116"/>
        <v>1009.2</v>
      </c>
      <c r="G913" s="148">
        <f t="shared" si="117"/>
        <v>1.9817677368212444E-3</v>
      </c>
      <c r="H913" s="275">
        <v>2</v>
      </c>
      <c r="I913" s="272">
        <f>ROUND(F913/VLOOKUP(A913,'Tabela de Produtos'!A:J,10,0),0)</f>
        <v>795</v>
      </c>
      <c r="J913" s="97">
        <f>IFERROR(VLOOKUP(C913,'Custos Matéria Prima Embalagens'!B:G,6,0)*H913,"Matéria Prima Não Cadastrada")</f>
        <v>14.66</v>
      </c>
      <c r="K913" s="97">
        <f>IFERROR(J913/(I913/VLOOKUP(A913,'Tabela de Produtos'!A:H,8,0)),"Matéria Prima Não Cadastrada")</f>
        <v>5.5320754716981134E-2</v>
      </c>
      <c r="L913" s="216"/>
    </row>
    <row r="914" spans="1:12" ht="15.75" customHeight="1">
      <c r="A914" s="114" t="s">
        <v>170</v>
      </c>
      <c r="B914" s="114" t="str">
        <f>VLOOKUP(A914,'Tabela de Produtos'!A:B,2,0)</f>
        <v>BRAZIMIL LÁTEX STANDARD INT/EXT SEMIBRILHO 3L AREIA</v>
      </c>
      <c r="C914" s="48" t="s">
        <v>1205</v>
      </c>
      <c r="D914" s="114" t="str">
        <f>VLOOKUP(C914,'Custos Matéria Prima Embalagens'!B:C,2,0)</f>
        <v>WANSUR 840 CE (BB-200)01</v>
      </c>
      <c r="E914" s="114" t="str">
        <f>VLOOKUP(C914,'Custos Matéria Prima Embalagens'!B:D,3,0)</f>
        <v>UMECTANTE</v>
      </c>
      <c r="F914" s="270">
        <f t="shared" si="116"/>
        <v>1009.2</v>
      </c>
      <c r="G914" s="148">
        <f t="shared" si="117"/>
        <v>1.9817677368212444E-3</v>
      </c>
      <c r="H914" s="275">
        <v>2</v>
      </c>
      <c r="I914" s="272">
        <f>ROUND(F914/VLOOKUP(A914,'Tabela de Produtos'!A:J,10,0),0)</f>
        <v>795</v>
      </c>
      <c r="J914" s="97">
        <f>IFERROR(VLOOKUP(C914,'Custos Matéria Prima Embalagens'!B:G,6,0)*H914,"Matéria Prima Não Cadastrada")</f>
        <v>14.66</v>
      </c>
      <c r="K914" s="97">
        <f>IFERROR(J914/(I914/VLOOKUP(A914,'Tabela de Produtos'!A:H,8,0)),"Matéria Prima Não Cadastrada")</f>
        <v>5.5320754716981134E-2</v>
      </c>
      <c r="L914" s="216"/>
    </row>
    <row r="915" spans="1:12" ht="15.75" customHeight="1">
      <c r="A915" s="114" t="s">
        <v>170</v>
      </c>
      <c r="B915" s="114" t="str">
        <f>VLOOKUP(A915,'Tabela de Produtos'!A:B,2,0)</f>
        <v>BRAZIMIL LÁTEX STANDARD INT/EXT SEMIBRILHO 3L AREIA</v>
      </c>
      <c r="C915" s="48" t="s">
        <v>1205</v>
      </c>
      <c r="D915" s="114" t="str">
        <f>VLOOKUP(C915,'Custos Matéria Prima Embalagens'!B:C,2,0)</f>
        <v>WANSUR 840 CE (BB-200)01</v>
      </c>
      <c r="E915" s="114" t="str">
        <f>VLOOKUP(C915,'Custos Matéria Prima Embalagens'!B:D,3,0)</f>
        <v>UMECTANTE</v>
      </c>
      <c r="F915" s="270">
        <f t="shared" si="116"/>
        <v>1009.2</v>
      </c>
      <c r="G915" s="148">
        <f t="shared" si="117"/>
        <v>1.9817677368212444E-3</v>
      </c>
      <c r="H915" s="275">
        <v>2</v>
      </c>
      <c r="I915" s="272">
        <f>ROUND(F915/VLOOKUP(A915,'Tabela de Produtos'!A:J,10,0),0)</f>
        <v>795</v>
      </c>
      <c r="J915" s="97">
        <f>IFERROR(VLOOKUP(C915,'Custos Matéria Prima Embalagens'!B:G,6,0)*H915,"Matéria Prima Não Cadastrada")</f>
        <v>14.66</v>
      </c>
      <c r="K915" s="97">
        <f>IFERROR(J915/(I915/VLOOKUP(A915,'Tabela de Produtos'!A:H,8,0)),"Matéria Prima Não Cadastrada")</f>
        <v>5.5320754716981134E-2</v>
      </c>
      <c r="L915" s="216"/>
    </row>
    <row r="916" spans="1:12" ht="15.75" customHeight="1">
      <c r="A916" s="114" t="s">
        <v>170</v>
      </c>
      <c r="B916" s="114" t="str">
        <f>VLOOKUP(A916,'Tabela de Produtos'!A:B,2,0)</f>
        <v>BRAZIMIL LÁTEX STANDARD INT/EXT SEMIBRILHO 3L AREIA</v>
      </c>
      <c r="C916" s="48" t="s">
        <v>1205</v>
      </c>
      <c r="D916" s="114" t="str">
        <f>VLOOKUP(C916,'Custos Matéria Prima Embalagens'!B:C,2,0)</f>
        <v>WANSUR 840 CE (BB-200)01</v>
      </c>
      <c r="E916" s="114" t="str">
        <f>VLOOKUP(C916,'Custos Matéria Prima Embalagens'!B:D,3,0)</f>
        <v>UMECTANTE</v>
      </c>
      <c r="F916" s="270">
        <f t="shared" si="116"/>
        <v>1009.2</v>
      </c>
      <c r="G916" s="148">
        <f t="shared" si="117"/>
        <v>1.9817677368212444E-3</v>
      </c>
      <c r="H916" s="275">
        <v>2</v>
      </c>
      <c r="I916" s="272">
        <f>ROUND(F916/VLOOKUP(A916,'Tabela de Produtos'!A:J,10,0),0)</f>
        <v>795</v>
      </c>
      <c r="J916" s="97">
        <f>IFERROR(VLOOKUP(C916,'Custos Matéria Prima Embalagens'!B:G,6,0)*H916,"Matéria Prima Não Cadastrada")</f>
        <v>14.66</v>
      </c>
      <c r="K916" s="97">
        <f>IFERROR(J916/(I916/VLOOKUP(A916,'Tabela de Produtos'!A:H,8,0)),"Matéria Prima Não Cadastrada")</f>
        <v>5.5320754716981134E-2</v>
      </c>
      <c r="L916" s="216"/>
    </row>
    <row r="917" spans="1:12" ht="15.75" customHeight="1">
      <c r="A917" s="114" t="s">
        <v>170</v>
      </c>
      <c r="B917" s="114" t="str">
        <f>VLOOKUP(A917,'Tabela de Produtos'!A:B,2,0)</f>
        <v>BRAZIMIL LÁTEX STANDARD INT/EXT SEMIBRILHO 3L AREIA</v>
      </c>
      <c r="C917" s="48" t="s">
        <v>1205</v>
      </c>
      <c r="D917" s="114" t="str">
        <f>VLOOKUP(C917,'Custos Matéria Prima Embalagens'!B:C,2,0)</f>
        <v>WANSUR 840 CE (BB-200)01</v>
      </c>
      <c r="E917" s="114" t="str">
        <f>VLOOKUP(C917,'Custos Matéria Prima Embalagens'!B:D,3,0)</f>
        <v>UMECTANTE</v>
      </c>
      <c r="F917" s="270">
        <f t="shared" si="116"/>
        <v>1009.2</v>
      </c>
      <c r="G917" s="148">
        <f t="shared" si="117"/>
        <v>1.9817677368212444E-3</v>
      </c>
      <c r="H917" s="275">
        <v>2</v>
      </c>
      <c r="I917" s="272">
        <f>ROUND(F917/VLOOKUP(A917,'Tabela de Produtos'!A:J,10,0),0)</f>
        <v>795</v>
      </c>
      <c r="J917" s="97">
        <f>IFERROR(VLOOKUP(C917,'Custos Matéria Prima Embalagens'!B:G,6,0)*H917,"Matéria Prima Não Cadastrada")</f>
        <v>14.66</v>
      </c>
      <c r="K917" s="97">
        <f>IFERROR(J917/(I917/VLOOKUP(A917,'Tabela de Produtos'!A:H,8,0)),"Matéria Prima Não Cadastrada")</f>
        <v>5.5320754716981134E-2</v>
      </c>
      <c r="L917" s="216"/>
    </row>
    <row r="918" spans="1:12" ht="15.75" customHeight="1">
      <c r="A918" s="114" t="s">
        <v>170</v>
      </c>
      <c r="B918" s="114" t="str">
        <f>VLOOKUP(A918,'Tabela de Produtos'!A:B,2,0)</f>
        <v>BRAZIMIL LÁTEX STANDARD INT/EXT SEMIBRILHO 3L AREIA</v>
      </c>
      <c r="C918" s="48" t="s">
        <v>1205</v>
      </c>
      <c r="D918" s="114" t="str">
        <f>VLOOKUP(C918,'Custos Matéria Prima Embalagens'!B:C,2,0)</f>
        <v>WANSUR 840 CE (BB-200)01</v>
      </c>
      <c r="E918" s="114" t="str">
        <f>VLOOKUP(C918,'Custos Matéria Prima Embalagens'!B:D,3,0)</f>
        <v>UMECTANTE</v>
      </c>
      <c r="F918" s="270">
        <f t="shared" si="116"/>
        <v>1009.2</v>
      </c>
      <c r="G918" s="148">
        <f t="shared" si="117"/>
        <v>1.9817677368212444E-3</v>
      </c>
      <c r="H918" s="275">
        <v>2</v>
      </c>
      <c r="I918" s="272">
        <f>ROUND(F918/VLOOKUP(A918,'Tabela de Produtos'!A:J,10,0),0)</f>
        <v>795</v>
      </c>
      <c r="J918" s="97">
        <f>IFERROR(VLOOKUP(C918,'Custos Matéria Prima Embalagens'!B:G,6,0)*H918,"Matéria Prima Não Cadastrada")</f>
        <v>14.66</v>
      </c>
      <c r="K918" s="97">
        <f>IFERROR(J918/(I918/VLOOKUP(A918,'Tabela de Produtos'!A:H,8,0)),"Matéria Prima Não Cadastrada")</f>
        <v>5.5320754716981134E-2</v>
      </c>
      <c r="L918" s="216"/>
    </row>
    <row r="919" spans="1:12" ht="15.75" customHeight="1">
      <c r="A919" s="114" t="s">
        <v>170</v>
      </c>
      <c r="B919" s="114" t="str">
        <f>VLOOKUP(A919,'Tabela de Produtos'!A:B,2,0)</f>
        <v>BRAZIMIL LÁTEX STANDARD INT/EXT SEMIBRILHO 3L AREIA</v>
      </c>
      <c r="C919" s="48" t="s">
        <v>1217</v>
      </c>
      <c r="D919" s="114" t="str">
        <f>VLOOKUP(C919,'Custos Matéria Prima Embalagens'!B:C,2,0)</f>
        <v>WANCRIL W 51 CE (CT-1000P)</v>
      </c>
      <c r="E919" s="114" t="str">
        <f>VLOOKUP(C919,'Custos Matéria Prima Embalagens'!B:D,3,0)</f>
        <v>RESINA ACRILICA ESTIRENADA</v>
      </c>
      <c r="F919" s="270">
        <f t="shared" si="116"/>
        <v>1009.2</v>
      </c>
      <c r="G919" s="148">
        <f t="shared" si="117"/>
        <v>0.15854141894569956</v>
      </c>
      <c r="H919" s="275">
        <v>160</v>
      </c>
      <c r="I919" s="272">
        <f>ROUND(F919/VLOOKUP(A919,'Tabela de Produtos'!A:J,10,0),0)</f>
        <v>795</v>
      </c>
      <c r="J919" s="97">
        <f>IFERROR(VLOOKUP(C919,'Custos Matéria Prima Embalagens'!B:G,6,0)*H919,"Matéria Prima Não Cadastrada")</f>
        <v>1348.8</v>
      </c>
      <c r="K919" s="97">
        <f>IFERROR(J919/(I919/VLOOKUP(A919,'Tabela de Produtos'!A:H,8,0)),"Matéria Prima Não Cadastrada")</f>
        <v>5.0898113207547171</v>
      </c>
      <c r="L919" s="216"/>
    </row>
    <row r="920" spans="1:12" ht="15.75" customHeight="1">
      <c r="A920" s="114" t="s">
        <v>170</v>
      </c>
      <c r="B920" s="114" t="str">
        <f>VLOOKUP(A920,'Tabela de Produtos'!A:B,2,0)</f>
        <v>BRAZIMIL LÁTEX STANDARD INT/EXT SEMIBRILHO 3L AREIA</v>
      </c>
      <c r="C920" s="48" t="s">
        <v>1229</v>
      </c>
      <c r="D920" s="114" t="str">
        <f>VLOOKUP(C920,'Custos Matéria Prima Embalagens'!B:C,2,0)</f>
        <v>WANSOL 340 CE (BB-200)</v>
      </c>
      <c r="E920" s="114" t="str">
        <f>VLOOKUP(C920,'Custos Matéria Prima Embalagens'!B:D,3,0)</f>
        <v>COALESCENTE</v>
      </c>
      <c r="F920" s="270">
        <f t="shared" si="116"/>
        <v>1009.2</v>
      </c>
      <c r="G920" s="148">
        <f t="shared" si="117"/>
        <v>9.9088386841062227E-3</v>
      </c>
      <c r="H920" s="275">
        <v>10</v>
      </c>
      <c r="I920" s="272">
        <f>ROUND(F920/VLOOKUP(A920,'Tabela de Produtos'!A:J,10,0),0)</f>
        <v>795</v>
      </c>
      <c r="J920" s="97">
        <f>IFERROR(VLOOKUP(C920,'Custos Matéria Prima Embalagens'!B:G,6,0)*H920,"Matéria Prima Não Cadastrada")</f>
        <v>192.2</v>
      </c>
      <c r="K920" s="97">
        <f>IFERROR(J920/(I920/VLOOKUP(A920,'Tabela de Produtos'!A:H,8,0)),"Matéria Prima Não Cadastrada")</f>
        <v>0.72528301886792446</v>
      </c>
      <c r="L920" s="216"/>
    </row>
    <row r="921" spans="1:12" ht="15.75" customHeight="1">
      <c r="A921" s="114" t="s">
        <v>170</v>
      </c>
      <c r="B921" s="114" t="str">
        <f>VLOOKUP(A921,'Tabela de Produtos'!A:B,2,0)</f>
        <v>BRAZIMIL LÁTEX STANDARD INT/EXT SEMIBRILHO 3L AREIA</v>
      </c>
      <c r="C921" s="48" t="s">
        <v>1209</v>
      </c>
      <c r="D921" s="114" t="str">
        <f>VLOOKUP(C921,'Custos Matéria Prima Embalagens'!B:C,2,0)</f>
        <v>WANFUNG WFT CE (BH-200)</v>
      </c>
      <c r="E921" s="114" t="str">
        <f>VLOOKUP(C921,'Custos Matéria Prima Embalagens'!B:D,3,0)</f>
        <v>FUNGICIDA</v>
      </c>
      <c r="F921" s="270">
        <f t="shared" si="116"/>
        <v>1009.2</v>
      </c>
      <c r="G921" s="148">
        <f t="shared" si="117"/>
        <v>2.9726516052318666E-3</v>
      </c>
      <c r="H921" s="275">
        <v>3</v>
      </c>
      <c r="I921" s="272">
        <f>ROUND(F921/VLOOKUP(A921,'Tabela de Produtos'!A:J,10,0),0)</f>
        <v>795</v>
      </c>
      <c r="J921" s="97">
        <f>IFERROR(VLOOKUP(C921,'Custos Matéria Prima Embalagens'!B:G,6,0)*H921,"Matéria Prima Não Cadastrada")</f>
        <v>21</v>
      </c>
      <c r="K921" s="97">
        <f>IFERROR(J921/(I921/VLOOKUP(A921,'Tabela de Produtos'!A:H,8,0)),"Matéria Prima Não Cadastrada")</f>
        <v>7.9245283018867921E-2</v>
      </c>
      <c r="L921" s="216"/>
    </row>
    <row r="922" spans="1:12" ht="15.75" customHeight="1">
      <c r="A922" s="114" t="s">
        <v>170</v>
      </c>
      <c r="B922" s="114" t="str">
        <f>VLOOKUP(A922,'Tabela de Produtos'!A:B,2,0)</f>
        <v>BRAZIMIL LÁTEX STANDARD INT/EXT SEMIBRILHO 3L AREIA</v>
      </c>
      <c r="C922" s="48" t="s">
        <v>1219</v>
      </c>
      <c r="D922" s="114" t="str">
        <f>VLOOKUP(C922,'Custos Matéria Prima Embalagens'!B:C,2,0)</f>
        <v>WANALK 70 CE (BH-200)</v>
      </c>
      <c r="E922" s="114" t="str">
        <f>VLOOKUP(C922,'Custos Matéria Prima Embalagens'!B:D,3,0)</f>
        <v>ALCALINIZANTE</v>
      </c>
      <c r="F922" s="270">
        <f t="shared" si="116"/>
        <v>1009.2</v>
      </c>
      <c r="G922" s="148">
        <f t="shared" si="117"/>
        <v>2.9726516052318666E-3</v>
      </c>
      <c r="H922" s="275">
        <v>3</v>
      </c>
      <c r="I922" s="272">
        <f>ROUND(F922/VLOOKUP(A922,'Tabela de Produtos'!A:J,10,0),0)</f>
        <v>795</v>
      </c>
      <c r="J922" s="97">
        <f>IFERROR(VLOOKUP(C922,'Custos Matéria Prima Embalagens'!B:G,6,0)*H922,"Matéria Prima Não Cadastrada")</f>
        <v>14.940000000000001</v>
      </c>
      <c r="K922" s="97">
        <f>IFERROR(J922/(I922/VLOOKUP(A922,'Tabela de Produtos'!A:H,8,0)),"Matéria Prima Não Cadastrada")</f>
        <v>5.6377358490566042E-2</v>
      </c>
      <c r="L922" s="216"/>
    </row>
    <row r="923" spans="1:12" ht="15.75" customHeight="1">
      <c r="A923" s="114" t="s">
        <v>170</v>
      </c>
      <c r="B923" s="114" t="str">
        <f>VLOOKUP(A923,'Tabela de Produtos'!A:B,2,0)</f>
        <v>BRAZIMIL LÁTEX STANDARD INT/EXT SEMIBRILHO 3L AREIA</v>
      </c>
      <c r="C923" s="48" t="s">
        <v>1221</v>
      </c>
      <c r="D923" s="114" t="str">
        <f>VLOOKUP(C923,'Custos Matéria Prima Embalagens'!B:C,2,0)</f>
        <v>MODIWAN 105H CE (CT-1000P)</v>
      </c>
      <c r="E923" s="114" t="str">
        <f>VLOOKUP(C923,'Custos Matéria Prima Embalagens'!B:D,3,0)</f>
        <v>ESPESSANTE DE MEDIA</v>
      </c>
      <c r="F923" s="270">
        <f t="shared" si="116"/>
        <v>1009.2</v>
      </c>
      <c r="G923" s="148">
        <f t="shared" si="117"/>
        <v>1.9817677368212445E-2</v>
      </c>
      <c r="H923" s="275">
        <v>20</v>
      </c>
      <c r="I923" s="272">
        <f>ROUND(F923/VLOOKUP(A923,'Tabela de Produtos'!A:J,10,0),0)</f>
        <v>795</v>
      </c>
      <c r="J923" s="97">
        <f>IFERROR(VLOOKUP(C923,'Custos Matéria Prima Embalagens'!B:G,6,0)*H923,"Matéria Prima Não Cadastrada")</f>
        <v>158.1</v>
      </c>
      <c r="K923" s="97">
        <f>IFERROR(J923/(I923/VLOOKUP(A923,'Tabela de Produtos'!A:H,8,0)),"Matéria Prima Não Cadastrada")</f>
        <v>0.59660377358490568</v>
      </c>
      <c r="L923" s="216"/>
    </row>
    <row r="924" spans="1:12" ht="15.75" customHeight="1">
      <c r="A924" s="114" t="s">
        <v>170</v>
      </c>
      <c r="B924" s="114" t="str">
        <f>VLOOKUP(A924,'Tabela de Produtos'!A:B,2,0)</f>
        <v>BRAZIMIL LÁTEX STANDARD INT/EXT SEMIBRILHO 3L AREIA</v>
      </c>
      <c r="C924" s="48" t="s">
        <v>1270</v>
      </c>
      <c r="D924" s="114" t="str">
        <f>VLOOKUP(C924,'Custos Matéria Prima Embalagens'!B:C,2,0)</f>
        <v>MISTURA CONCENTRADO SEMI BRILHO</v>
      </c>
      <c r="E924" s="114" t="str">
        <f>VLOOKUP(C924,'Custos Matéria Prima Embalagens'!B:D,3,0)</f>
        <v>MISTURA CONCENTRADO SEMI BRILHO</v>
      </c>
      <c r="F924" s="270">
        <f t="shared" si="116"/>
        <v>1009.2</v>
      </c>
      <c r="G924" s="148">
        <f t="shared" si="117"/>
        <v>0.24177566389219182</v>
      </c>
      <c r="H924" s="275">
        <v>244</v>
      </c>
      <c r="I924" s="272">
        <f>ROUND(F924/VLOOKUP(A924,'Tabela de Produtos'!A:J,10,0),0)</f>
        <v>795</v>
      </c>
      <c r="J924" s="97">
        <f>IFERROR(VLOOKUP(C924,'Custos Matéria Prima Embalagens'!B:G,6,0)*H924,"Matéria Prima Não Cadastrada")</f>
        <v>2188.6800000000003</v>
      </c>
      <c r="K924" s="97">
        <f>IFERROR(J924/(I924/VLOOKUP(A924,'Tabela de Produtos'!A:H,8,0)),"Matéria Prima Não Cadastrada")</f>
        <v>8.2591698113207563</v>
      </c>
      <c r="L924" s="216"/>
    </row>
    <row r="925" spans="1:12" ht="15.75" customHeight="1">
      <c r="D925" s="114"/>
      <c r="E925" s="114"/>
      <c r="F925" s="96"/>
      <c r="G925" s="148"/>
      <c r="H925" s="96"/>
      <c r="I925" s="272"/>
      <c r="J925" s="97"/>
      <c r="K925" s="97"/>
      <c r="L925" s="216"/>
    </row>
    <row r="926" spans="1:12" ht="15.75" customHeight="1">
      <c r="A926" s="114" t="s">
        <v>171</v>
      </c>
      <c r="B926" s="114" t="str">
        <f>VLOOKUP(A926,'Tabela de Produtos'!A:B,2,0)</f>
        <v>BRAZIMIL LÁTEX STANDARD INT/EXT SEMIBRILHO 3L MARFIM</v>
      </c>
      <c r="C926" s="48" t="s">
        <v>1197</v>
      </c>
      <c r="D926" s="114" t="str">
        <f>VLOOKUP(C926,'Custos Matéria Prima Embalagens'!B:C,2,0)</f>
        <v>AGUA</v>
      </c>
      <c r="E926" s="114" t="str">
        <f>VLOOKUP(C926,'Custos Matéria Prima Embalagens'!B:D,3,0)</f>
        <v>AGUA</v>
      </c>
      <c r="F926" s="270">
        <f t="shared" ref="F926:F937" si="118">SUMIFS(H:H,A:A,A926)</f>
        <v>999.2</v>
      </c>
      <c r="G926" s="148">
        <f t="shared" ref="G926:G937" si="119">H926/F926</f>
        <v>0.55044035228182542</v>
      </c>
      <c r="H926" s="275">
        <v>550</v>
      </c>
      <c r="I926" s="272">
        <f>ROUND(F926/VLOOKUP(A926,'Tabela de Produtos'!A:J,10,0),0)</f>
        <v>787</v>
      </c>
      <c r="J926" s="97">
        <f>IFERROR(VLOOKUP(C926,'Custos Matéria Prima Embalagens'!B:G,6,0)*H926,"Matéria Prima Não Cadastrada")</f>
        <v>0</v>
      </c>
      <c r="K926" s="97">
        <f>IFERROR(J926/(I926/VLOOKUP(A926,'Tabela de Produtos'!A:H,8,0)),"Matéria Prima Não Cadastrada")</f>
        <v>0</v>
      </c>
      <c r="L926" s="216"/>
    </row>
    <row r="927" spans="1:12" ht="15.75" customHeight="1">
      <c r="A927" s="114" t="s">
        <v>171</v>
      </c>
      <c r="B927" s="114" t="str">
        <f>VLOOKUP(A927,'Tabela de Produtos'!A:B,2,0)</f>
        <v>BRAZIMIL LÁTEX STANDARD INT/EXT SEMIBRILHO 3L MARFIM</v>
      </c>
      <c r="C927" s="48" t="s">
        <v>1199</v>
      </c>
      <c r="D927" s="114" t="str">
        <f>VLOOKUP(C927,'Custos Matéria Prima Embalagens'!B:C,2,0)</f>
        <v>HEXAMETAFOSFATO DE SODIO</v>
      </c>
      <c r="E927" s="114" t="str">
        <f>VLOOKUP(C927,'Custos Matéria Prima Embalagens'!B:D,3,0)</f>
        <v>HEXAMETAFOSFATO DE SODIO</v>
      </c>
      <c r="F927" s="270">
        <f t="shared" si="118"/>
        <v>999.2</v>
      </c>
      <c r="G927" s="148">
        <f t="shared" si="119"/>
        <v>1.2009607686148918E-3</v>
      </c>
      <c r="H927" s="275">
        <v>1.2</v>
      </c>
      <c r="I927" s="272">
        <f>ROUND(F927/VLOOKUP(A927,'Tabela de Produtos'!A:J,10,0),0)</f>
        <v>787</v>
      </c>
      <c r="J927" s="97">
        <f>IFERROR(VLOOKUP(C927,'Custos Matéria Prima Embalagens'!B:G,6,0)*H927,"Matéria Prima Não Cadastrada")</f>
        <v>21.527999999999995</v>
      </c>
      <c r="K927" s="97">
        <f>IFERROR(J927/(I927/VLOOKUP(A927,'Tabela de Produtos'!A:H,8,0)),"Matéria Prima Não Cadastrada")</f>
        <v>8.2063532401524766E-2</v>
      </c>
      <c r="L927" s="216"/>
    </row>
    <row r="928" spans="1:12" ht="15.75" customHeight="1">
      <c r="A928" s="114" t="s">
        <v>171</v>
      </c>
      <c r="B928" s="114" t="str">
        <f>VLOOKUP(A928,'Tabela de Produtos'!A:B,2,0)</f>
        <v>BRAZIMIL LÁTEX STANDARD INT/EXT SEMIBRILHO 3L MARFIM</v>
      </c>
      <c r="C928" s="48" t="s">
        <v>1201</v>
      </c>
      <c r="D928" s="114" t="str">
        <f>VLOOKUP(C928,'Custos Matéria Prima Embalagens'!B:C,2,0)</f>
        <v>WANFOAM 528 CE (BB-190)</v>
      </c>
      <c r="E928" s="114" t="str">
        <f>VLOOKUP(C928,'Custos Matéria Prima Embalagens'!B:D,3,0)</f>
        <v>ANTI ESPUMA LATEX</v>
      </c>
      <c r="F928" s="270">
        <f t="shared" si="118"/>
        <v>999.2</v>
      </c>
      <c r="G928" s="148">
        <f t="shared" si="119"/>
        <v>2.0016012810248197E-3</v>
      </c>
      <c r="H928" s="275">
        <v>2</v>
      </c>
      <c r="I928" s="272">
        <f>ROUND(F928/VLOOKUP(A928,'Tabela de Produtos'!A:J,10,0),0)</f>
        <v>787</v>
      </c>
      <c r="J928" s="97">
        <f>IFERROR(VLOOKUP(C928,'Custos Matéria Prima Embalagens'!B:G,6,0)*H928,"Matéria Prima Não Cadastrada")</f>
        <v>14.36</v>
      </c>
      <c r="K928" s="97">
        <f>IFERROR(J928/(I928/VLOOKUP(A928,'Tabela de Produtos'!A:H,8,0)),"Matéria Prima Não Cadastrada")</f>
        <v>5.4739517153748411E-2</v>
      </c>
      <c r="L928" s="216"/>
    </row>
    <row r="929" spans="1:12" ht="15.75" customHeight="1">
      <c r="A929" s="114" t="s">
        <v>171</v>
      </c>
      <c r="B929" s="114" t="str">
        <f>VLOOKUP(A929,'Tabela de Produtos'!A:B,2,0)</f>
        <v>BRAZIMIL LÁTEX STANDARD INT/EXT SEMIBRILHO 3L MARFIM</v>
      </c>
      <c r="C929" s="48" t="s">
        <v>1203</v>
      </c>
      <c r="D929" s="114" t="str">
        <f>VLOOKUP(C929,'Custos Matéria Prima Embalagens'!B:C,2,0)</f>
        <v>WANBAC WBT CE (BH-200)</v>
      </c>
      <c r="E929" s="114" t="str">
        <f>VLOOKUP(C929,'Custos Matéria Prima Embalagens'!B:D,3,0)</f>
        <v>BACTERICIDA</v>
      </c>
      <c r="F929" s="270">
        <f t="shared" si="118"/>
        <v>999.2</v>
      </c>
      <c r="G929" s="148">
        <f t="shared" si="119"/>
        <v>2.0016012810248197E-3</v>
      </c>
      <c r="H929" s="275">
        <v>2</v>
      </c>
      <c r="I929" s="272">
        <f>ROUND(F929/VLOOKUP(A929,'Tabela de Produtos'!A:J,10,0),0)</f>
        <v>787</v>
      </c>
      <c r="J929" s="97">
        <f>IFERROR(VLOOKUP(C929,'Custos Matéria Prima Embalagens'!B:G,6,0)*H929,"Matéria Prima Não Cadastrada")</f>
        <v>9.879999999999999</v>
      </c>
      <c r="K929" s="97">
        <f>IFERROR(J929/(I929/VLOOKUP(A929,'Tabela de Produtos'!A:H,8,0)),"Matéria Prima Não Cadastrada")</f>
        <v>3.7662007623888182E-2</v>
      </c>
      <c r="L929" s="216"/>
    </row>
    <row r="930" spans="1:12" ht="15.75" customHeight="1">
      <c r="A930" s="114" t="s">
        <v>171</v>
      </c>
      <c r="B930" s="114" t="str">
        <f>VLOOKUP(A930,'Tabela de Produtos'!A:B,2,0)</f>
        <v>BRAZIMIL LÁTEX STANDARD INT/EXT SEMIBRILHO 3L MARFIM</v>
      </c>
      <c r="C930" s="48" t="s">
        <v>1205</v>
      </c>
      <c r="D930" s="114" t="str">
        <f>VLOOKUP(C930,'Custos Matéria Prima Embalagens'!B:C,2,0)</f>
        <v>WANSUR 840 CE (BB-200)01</v>
      </c>
      <c r="E930" s="114" t="str">
        <f>VLOOKUP(C930,'Custos Matéria Prima Embalagens'!B:D,3,0)</f>
        <v>UMECTANTE</v>
      </c>
      <c r="F930" s="270">
        <f t="shared" si="118"/>
        <v>999.2</v>
      </c>
      <c r="G930" s="148">
        <f t="shared" si="119"/>
        <v>2.0016012810248197E-3</v>
      </c>
      <c r="H930" s="275">
        <v>2</v>
      </c>
      <c r="I930" s="272">
        <f>ROUND(F930/VLOOKUP(A930,'Tabela de Produtos'!A:J,10,0),0)</f>
        <v>787</v>
      </c>
      <c r="J930" s="97">
        <f>IFERROR(VLOOKUP(C930,'Custos Matéria Prima Embalagens'!B:G,6,0)*H930,"Matéria Prima Não Cadastrada")</f>
        <v>14.66</v>
      </c>
      <c r="K930" s="97">
        <f>IFERROR(J930/(I930/VLOOKUP(A930,'Tabela de Produtos'!A:H,8,0)),"Matéria Prima Não Cadastrada")</f>
        <v>5.5883100381194414E-2</v>
      </c>
      <c r="L930" s="216"/>
    </row>
    <row r="931" spans="1:12" ht="15.75" customHeight="1">
      <c r="A931" s="114" t="s">
        <v>171</v>
      </c>
      <c r="B931" s="114" t="str">
        <f>VLOOKUP(A931,'Tabela de Produtos'!A:B,2,0)</f>
        <v>BRAZIMIL LÁTEX STANDARD INT/EXT SEMIBRILHO 3L MARFIM</v>
      </c>
      <c r="C931" s="48" t="s">
        <v>1207</v>
      </c>
      <c r="D931" s="114" t="str">
        <f>VLOOKUP(C931,'Custos Matéria Prima Embalagens'!B:C,2,0)</f>
        <v>WANPEX 1510 (BB-200)</v>
      </c>
      <c r="E931" s="114" t="str">
        <f>VLOOKUP(C931,'Custos Matéria Prima Embalagens'!B:D,3,0)</f>
        <v>DISPERSANTE LATEX</v>
      </c>
      <c r="F931" s="270">
        <f t="shared" si="118"/>
        <v>999.2</v>
      </c>
      <c r="G931" s="148">
        <f t="shared" si="119"/>
        <v>2.0016012810248197E-3</v>
      </c>
      <c r="H931" s="275">
        <v>2</v>
      </c>
      <c r="I931" s="272">
        <f>ROUND(F931/VLOOKUP(A931,'Tabela de Produtos'!A:J,10,0),0)</f>
        <v>787</v>
      </c>
      <c r="J931" s="97">
        <f>IFERROR(VLOOKUP(C931,'Custos Matéria Prima Embalagens'!B:G,6,0)*H931,"Matéria Prima Não Cadastrada")</f>
        <v>13.719999999999999</v>
      </c>
      <c r="K931" s="97">
        <f>IFERROR(J931/(I931/VLOOKUP(A931,'Tabela de Produtos'!A:H,8,0)),"Matéria Prima Não Cadastrada")</f>
        <v>5.2299872935196952E-2</v>
      </c>
      <c r="L931" s="216"/>
    </row>
    <row r="932" spans="1:12" ht="15.75" customHeight="1">
      <c r="A932" s="114" t="s">
        <v>171</v>
      </c>
      <c r="B932" s="114" t="str">
        <f>VLOOKUP(A932,'Tabela de Produtos'!A:B,2,0)</f>
        <v>BRAZIMIL LÁTEX STANDARD INT/EXT SEMIBRILHO 3L MARFIM</v>
      </c>
      <c r="C932" s="48" t="s">
        <v>1217</v>
      </c>
      <c r="D932" s="114" t="str">
        <f>VLOOKUP(C932,'Custos Matéria Prima Embalagens'!B:C,2,0)</f>
        <v>WANCRIL W 51 CE (CT-1000P)</v>
      </c>
      <c r="E932" s="114" t="str">
        <f>VLOOKUP(C932,'Custos Matéria Prima Embalagens'!B:D,3,0)</f>
        <v>RESINA ACRILICA ESTIRENADA</v>
      </c>
      <c r="F932" s="270">
        <f t="shared" si="118"/>
        <v>999.2</v>
      </c>
      <c r="G932" s="148">
        <f t="shared" si="119"/>
        <v>0.16012810248198558</v>
      </c>
      <c r="H932" s="275">
        <v>160</v>
      </c>
      <c r="I932" s="272">
        <f>ROUND(F932/VLOOKUP(A932,'Tabela de Produtos'!A:J,10,0),0)</f>
        <v>787</v>
      </c>
      <c r="J932" s="97">
        <f>IFERROR(VLOOKUP(C932,'Custos Matéria Prima Embalagens'!B:G,6,0)*H932,"Matéria Prima Não Cadastrada")</f>
        <v>1348.8</v>
      </c>
      <c r="K932" s="97">
        <f>IFERROR(J932/(I932/VLOOKUP(A932,'Tabela de Produtos'!A:H,8,0)),"Matéria Prima Não Cadastrada")</f>
        <v>5.1415501905972052</v>
      </c>
      <c r="L932" s="216"/>
    </row>
    <row r="933" spans="1:12" ht="15.75" customHeight="1">
      <c r="A933" s="114" t="s">
        <v>171</v>
      </c>
      <c r="B933" s="114" t="str">
        <f>VLOOKUP(A933,'Tabela de Produtos'!A:B,2,0)</f>
        <v>BRAZIMIL LÁTEX STANDARD INT/EXT SEMIBRILHO 3L MARFIM</v>
      </c>
      <c r="C933" s="48" t="s">
        <v>1229</v>
      </c>
      <c r="D933" s="114" t="str">
        <f>VLOOKUP(C933,'Custos Matéria Prima Embalagens'!B:C,2,0)</f>
        <v>WANSOL 340 CE (BB-200)</v>
      </c>
      <c r="E933" s="114" t="str">
        <f>VLOOKUP(C933,'Custos Matéria Prima Embalagens'!B:D,3,0)</f>
        <v>COALESCENTE</v>
      </c>
      <c r="F933" s="270">
        <f t="shared" si="118"/>
        <v>999.2</v>
      </c>
      <c r="G933" s="148">
        <f t="shared" si="119"/>
        <v>1.0008006405124099E-2</v>
      </c>
      <c r="H933" s="275">
        <v>10</v>
      </c>
      <c r="I933" s="272">
        <f>ROUND(F933/VLOOKUP(A933,'Tabela de Produtos'!A:J,10,0),0)</f>
        <v>787</v>
      </c>
      <c r="J933" s="97">
        <f>IFERROR(VLOOKUP(C933,'Custos Matéria Prima Embalagens'!B:G,6,0)*H933,"Matéria Prima Não Cadastrada")</f>
        <v>192.2</v>
      </c>
      <c r="K933" s="97">
        <f>IFERROR(J933/(I933/VLOOKUP(A933,'Tabela de Produtos'!A:H,8,0)),"Matéria Prima Não Cadastrada")</f>
        <v>0.7326556543837357</v>
      </c>
      <c r="L933" s="216"/>
    </row>
    <row r="934" spans="1:12" ht="15.75" customHeight="1">
      <c r="A934" s="114" t="s">
        <v>171</v>
      </c>
      <c r="B934" s="114" t="str">
        <f>VLOOKUP(A934,'Tabela de Produtos'!A:B,2,0)</f>
        <v>BRAZIMIL LÁTEX STANDARD INT/EXT SEMIBRILHO 3L MARFIM</v>
      </c>
      <c r="C934" s="48" t="s">
        <v>1209</v>
      </c>
      <c r="D934" s="114" t="str">
        <f>VLOOKUP(C934,'Custos Matéria Prima Embalagens'!B:C,2,0)</f>
        <v>WANFUNG WFT CE (BH-200)</v>
      </c>
      <c r="E934" s="114" t="str">
        <f>VLOOKUP(C934,'Custos Matéria Prima Embalagens'!B:D,3,0)</f>
        <v>FUNGICIDA</v>
      </c>
      <c r="F934" s="270">
        <f t="shared" si="118"/>
        <v>999.2</v>
      </c>
      <c r="G934" s="148">
        <f t="shared" si="119"/>
        <v>3.0024019215372298E-3</v>
      </c>
      <c r="H934" s="275">
        <v>3</v>
      </c>
      <c r="I934" s="272">
        <f>ROUND(F934/VLOOKUP(A934,'Tabela de Produtos'!A:J,10,0),0)</f>
        <v>787</v>
      </c>
      <c r="J934" s="97">
        <f>IFERROR(VLOOKUP(C934,'Custos Matéria Prima Embalagens'!B:G,6,0)*H934,"Matéria Prima Não Cadastrada")</f>
        <v>21</v>
      </c>
      <c r="K934" s="97">
        <f>IFERROR(J934/(I934/VLOOKUP(A934,'Tabela de Produtos'!A:H,8,0)),"Matéria Prima Não Cadastrada")</f>
        <v>8.0050825921219829E-2</v>
      </c>
      <c r="L934" s="216"/>
    </row>
    <row r="935" spans="1:12" ht="15.75" customHeight="1">
      <c r="A935" s="114" t="s">
        <v>171</v>
      </c>
      <c r="B935" s="114" t="str">
        <f>VLOOKUP(A935,'Tabela de Produtos'!A:B,2,0)</f>
        <v>BRAZIMIL LÁTEX STANDARD INT/EXT SEMIBRILHO 3L MARFIM</v>
      </c>
      <c r="C935" s="48" t="s">
        <v>1219</v>
      </c>
      <c r="D935" s="114" t="str">
        <f>VLOOKUP(C935,'Custos Matéria Prima Embalagens'!B:C,2,0)</f>
        <v>WANALK 70 CE (BH-200)</v>
      </c>
      <c r="E935" s="114" t="str">
        <f>VLOOKUP(C935,'Custos Matéria Prima Embalagens'!B:D,3,0)</f>
        <v>ALCALINIZANTE</v>
      </c>
      <c r="F935" s="270">
        <f t="shared" si="118"/>
        <v>999.2</v>
      </c>
      <c r="G935" s="148">
        <f t="shared" si="119"/>
        <v>3.0024019215372298E-3</v>
      </c>
      <c r="H935" s="275">
        <v>3</v>
      </c>
      <c r="I935" s="272">
        <f>ROUND(F935/VLOOKUP(A935,'Tabela de Produtos'!A:J,10,0),0)</f>
        <v>787</v>
      </c>
      <c r="J935" s="97">
        <f>IFERROR(VLOOKUP(C935,'Custos Matéria Prima Embalagens'!B:G,6,0)*H935,"Matéria Prima Não Cadastrada")</f>
        <v>14.940000000000001</v>
      </c>
      <c r="K935" s="97">
        <f>IFERROR(J935/(I935/VLOOKUP(A935,'Tabela de Produtos'!A:H,8,0)),"Matéria Prima Não Cadastrada")</f>
        <v>5.6950444726810684E-2</v>
      </c>
      <c r="L935" s="216"/>
    </row>
    <row r="936" spans="1:12" ht="15.75" customHeight="1">
      <c r="A936" s="114" t="s">
        <v>171</v>
      </c>
      <c r="B936" s="114" t="str">
        <f>VLOOKUP(A936,'Tabela de Produtos'!A:B,2,0)</f>
        <v>BRAZIMIL LÁTEX STANDARD INT/EXT SEMIBRILHO 3L MARFIM</v>
      </c>
      <c r="C936" s="48" t="s">
        <v>1221</v>
      </c>
      <c r="D936" s="114" t="str">
        <f>VLOOKUP(C936,'Custos Matéria Prima Embalagens'!B:C,2,0)</f>
        <v>MODIWAN 105H CE (CT-1000P)</v>
      </c>
      <c r="E936" s="114" t="str">
        <f>VLOOKUP(C936,'Custos Matéria Prima Embalagens'!B:D,3,0)</f>
        <v>ESPESSANTE DE MEDIA</v>
      </c>
      <c r="F936" s="270">
        <f t="shared" si="118"/>
        <v>999.2</v>
      </c>
      <c r="G936" s="148">
        <f t="shared" si="119"/>
        <v>2.0016012810248198E-2</v>
      </c>
      <c r="H936" s="275">
        <v>20</v>
      </c>
      <c r="I936" s="272">
        <f>ROUND(F936/VLOOKUP(A936,'Tabela de Produtos'!A:J,10,0),0)</f>
        <v>787</v>
      </c>
      <c r="J936" s="97">
        <f>IFERROR(VLOOKUP(C936,'Custos Matéria Prima Embalagens'!B:G,6,0)*H936,"Matéria Prima Não Cadastrada")</f>
        <v>158.1</v>
      </c>
      <c r="K936" s="97">
        <f>IFERROR(J936/(I936/VLOOKUP(A936,'Tabela de Produtos'!A:H,8,0)),"Matéria Prima Não Cadastrada")</f>
        <v>0.60266836086404063</v>
      </c>
      <c r="L936" s="216"/>
    </row>
    <row r="937" spans="1:12" ht="15.75" customHeight="1">
      <c r="A937" s="114" t="s">
        <v>171</v>
      </c>
      <c r="B937" s="114" t="str">
        <f>VLOOKUP(A937,'Tabela de Produtos'!A:B,2,0)</f>
        <v>BRAZIMIL LÁTEX STANDARD INT/EXT SEMIBRILHO 3L MARFIM</v>
      </c>
      <c r="C937" s="48" t="s">
        <v>1270</v>
      </c>
      <c r="D937" s="114" t="str">
        <f>VLOOKUP(C937,'Custos Matéria Prima Embalagens'!B:C,2,0)</f>
        <v>MISTURA CONCENTRADO SEMI BRILHO</v>
      </c>
      <c r="E937" s="114" t="str">
        <f>VLOOKUP(C937,'Custos Matéria Prima Embalagens'!B:D,3,0)</f>
        <v>MISTURA CONCENTRADO SEMI BRILHO</v>
      </c>
      <c r="F937" s="270">
        <f t="shared" si="118"/>
        <v>999.2</v>
      </c>
      <c r="G937" s="148">
        <f t="shared" si="119"/>
        <v>0.244195356285028</v>
      </c>
      <c r="H937" s="275">
        <v>244</v>
      </c>
      <c r="I937" s="272">
        <f>ROUND(F937/VLOOKUP(A937,'Tabela de Produtos'!A:J,10,0),0)</f>
        <v>787</v>
      </c>
      <c r="J937" s="97">
        <f>IFERROR(VLOOKUP(C937,'Custos Matéria Prima Embalagens'!B:G,6,0)*H937,"Matéria Prima Não Cadastrada")</f>
        <v>2188.6800000000003</v>
      </c>
      <c r="K937" s="97">
        <f>IFERROR(J937/(I937/VLOOKUP(A937,'Tabela de Produtos'!A:H,8,0)),"Matéria Prima Não Cadastrada")</f>
        <v>8.3431257941550214</v>
      </c>
      <c r="L937" s="216"/>
    </row>
    <row r="938" spans="1:12" ht="15.75" customHeight="1">
      <c r="D938" s="114"/>
      <c r="E938" s="114"/>
      <c r="F938" s="96"/>
      <c r="G938" s="148"/>
      <c r="H938" s="96"/>
      <c r="I938" s="272"/>
      <c r="J938" s="97"/>
      <c r="K938" s="97"/>
      <c r="L938" s="216"/>
    </row>
    <row r="939" spans="1:12" ht="15.75" customHeight="1">
      <c r="A939" s="114" t="s">
        <v>172</v>
      </c>
      <c r="B939" s="114" t="str">
        <f>VLOOKUP(A939,'Tabela de Produtos'!A:B,2,0)</f>
        <v>BRAZIMIL LÁTEX STANDARD INT/EXT SEMIBRILHO 3L ROSA PETALA</v>
      </c>
      <c r="C939" s="48" t="s">
        <v>1197</v>
      </c>
      <c r="D939" s="114" t="str">
        <f>VLOOKUP(C939,'Custos Matéria Prima Embalagens'!B:C,2,0)</f>
        <v>AGUA</v>
      </c>
      <c r="E939" s="114" t="str">
        <f>VLOOKUP(C939,'Custos Matéria Prima Embalagens'!B:D,3,0)</f>
        <v>AGUA</v>
      </c>
      <c r="F939" s="270">
        <f t="shared" ref="F939:F950" si="120">SUMIFS(H:H,A:A,A939)</f>
        <v>999.2</v>
      </c>
      <c r="G939" s="148">
        <f t="shared" ref="G939:G950" si="121">H939/F939</f>
        <v>0.55044035228182542</v>
      </c>
      <c r="H939" s="275">
        <v>550</v>
      </c>
      <c r="I939" s="272">
        <f>ROUND(F939/VLOOKUP(A939,'Tabela de Produtos'!A:J,10,0),0)</f>
        <v>787</v>
      </c>
      <c r="J939" s="97">
        <f>IFERROR(VLOOKUP(C939,'Custos Matéria Prima Embalagens'!B:G,6,0)*H939,"Matéria Prima Não Cadastrada")</f>
        <v>0</v>
      </c>
      <c r="K939" s="97">
        <f>IFERROR(J939/(I939/VLOOKUP(A939,'Tabela de Produtos'!A:H,8,0)),"Matéria Prima Não Cadastrada")</f>
        <v>0</v>
      </c>
      <c r="L939" s="216"/>
    </row>
    <row r="940" spans="1:12" ht="15.75" customHeight="1">
      <c r="A940" s="114" t="s">
        <v>172</v>
      </c>
      <c r="B940" s="114" t="str">
        <f>VLOOKUP(A940,'Tabela de Produtos'!A:B,2,0)</f>
        <v>BRAZIMIL LÁTEX STANDARD INT/EXT SEMIBRILHO 3L ROSA PETALA</v>
      </c>
      <c r="C940" s="48" t="s">
        <v>1199</v>
      </c>
      <c r="D940" s="114" t="str">
        <f>VLOOKUP(C940,'Custos Matéria Prima Embalagens'!B:C,2,0)</f>
        <v>HEXAMETAFOSFATO DE SODIO</v>
      </c>
      <c r="E940" s="114" t="str">
        <f>VLOOKUP(C940,'Custos Matéria Prima Embalagens'!B:D,3,0)</f>
        <v>HEXAMETAFOSFATO DE SODIO</v>
      </c>
      <c r="F940" s="270">
        <f t="shared" si="120"/>
        <v>999.2</v>
      </c>
      <c r="G940" s="148">
        <f t="shared" si="121"/>
        <v>1.2009607686148918E-3</v>
      </c>
      <c r="H940" s="275">
        <v>1.2</v>
      </c>
      <c r="I940" s="272">
        <f>ROUND(F940/VLOOKUP(A940,'Tabela de Produtos'!A:J,10,0),0)</f>
        <v>787</v>
      </c>
      <c r="J940" s="97">
        <f>IFERROR(VLOOKUP(C940,'Custos Matéria Prima Embalagens'!B:G,6,0)*H940,"Matéria Prima Não Cadastrada")</f>
        <v>21.527999999999995</v>
      </c>
      <c r="K940" s="97">
        <f>IFERROR(J940/(I940/VLOOKUP(A940,'Tabela de Produtos'!A:H,8,0)),"Matéria Prima Não Cadastrada")</f>
        <v>8.2063532401524766E-2</v>
      </c>
      <c r="L940" s="216"/>
    </row>
    <row r="941" spans="1:12" ht="15.75" customHeight="1">
      <c r="A941" s="114" t="s">
        <v>172</v>
      </c>
      <c r="B941" s="114" t="str">
        <f>VLOOKUP(A941,'Tabela de Produtos'!A:B,2,0)</f>
        <v>BRAZIMIL LÁTEX STANDARD INT/EXT SEMIBRILHO 3L ROSA PETALA</v>
      </c>
      <c r="C941" s="48" t="s">
        <v>1201</v>
      </c>
      <c r="D941" s="114" t="str">
        <f>VLOOKUP(C941,'Custos Matéria Prima Embalagens'!B:C,2,0)</f>
        <v>WANFOAM 528 CE (BB-190)</v>
      </c>
      <c r="E941" s="114" t="str">
        <f>VLOOKUP(C941,'Custos Matéria Prima Embalagens'!B:D,3,0)</f>
        <v>ANTI ESPUMA LATEX</v>
      </c>
      <c r="F941" s="270">
        <f t="shared" si="120"/>
        <v>999.2</v>
      </c>
      <c r="G941" s="148">
        <f t="shared" si="121"/>
        <v>2.0016012810248197E-3</v>
      </c>
      <c r="H941" s="275">
        <v>2</v>
      </c>
      <c r="I941" s="272">
        <f>ROUND(F941/VLOOKUP(A941,'Tabela de Produtos'!A:J,10,0),0)</f>
        <v>787</v>
      </c>
      <c r="J941" s="97">
        <f>IFERROR(VLOOKUP(C941,'Custos Matéria Prima Embalagens'!B:G,6,0)*H941,"Matéria Prima Não Cadastrada")</f>
        <v>14.36</v>
      </c>
      <c r="K941" s="97">
        <f>IFERROR(J941/(I941/VLOOKUP(A941,'Tabela de Produtos'!A:H,8,0)),"Matéria Prima Não Cadastrada")</f>
        <v>5.4739517153748411E-2</v>
      </c>
      <c r="L941" s="216"/>
    </row>
    <row r="942" spans="1:12" ht="15.75" customHeight="1">
      <c r="A942" s="114" t="s">
        <v>172</v>
      </c>
      <c r="B942" s="114" t="str">
        <f>VLOOKUP(A942,'Tabela de Produtos'!A:B,2,0)</f>
        <v>BRAZIMIL LÁTEX STANDARD INT/EXT SEMIBRILHO 3L ROSA PETALA</v>
      </c>
      <c r="C942" s="48" t="s">
        <v>1203</v>
      </c>
      <c r="D942" s="114" t="str">
        <f>VLOOKUP(C942,'Custos Matéria Prima Embalagens'!B:C,2,0)</f>
        <v>WANBAC WBT CE (BH-200)</v>
      </c>
      <c r="E942" s="114" t="str">
        <f>VLOOKUP(C942,'Custos Matéria Prima Embalagens'!B:D,3,0)</f>
        <v>BACTERICIDA</v>
      </c>
      <c r="F942" s="270">
        <f t="shared" si="120"/>
        <v>999.2</v>
      </c>
      <c r="G942" s="148">
        <f t="shared" si="121"/>
        <v>2.0016012810248197E-3</v>
      </c>
      <c r="H942" s="275">
        <v>2</v>
      </c>
      <c r="I942" s="272">
        <f>ROUND(F942/VLOOKUP(A942,'Tabela de Produtos'!A:J,10,0),0)</f>
        <v>787</v>
      </c>
      <c r="J942" s="97">
        <f>IFERROR(VLOOKUP(C942,'Custos Matéria Prima Embalagens'!B:G,6,0)*H942,"Matéria Prima Não Cadastrada")</f>
        <v>9.879999999999999</v>
      </c>
      <c r="K942" s="97">
        <f>IFERROR(J942/(I942/VLOOKUP(A942,'Tabela de Produtos'!A:H,8,0)),"Matéria Prima Não Cadastrada")</f>
        <v>3.7662007623888182E-2</v>
      </c>
      <c r="L942" s="216"/>
    </row>
    <row r="943" spans="1:12" ht="15.75" customHeight="1">
      <c r="A943" s="114" t="s">
        <v>172</v>
      </c>
      <c r="B943" s="114" t="str">
        <f>VLOOKUP(A943,'Tabela de Produtos'!A:B,2,0)</f>
        <v>BRAZIMIL LÁTEX STANDARD INT/EXT SEMIBRILHO 3L ROSA PETALA</v>
      </c>
      <c r="C943" s="48" t="s">
        <v>1205</v>
      </c>
      <c r="D943" s="114" t="str">
        <f>VLOOKUP(C943,'Custos Matéria Prima Embalagens'!B:C,2,0)</f>
        <v>WANSUR 840 CE (BB-200)01</v>
      </c>
      <c r="E943" s="114" t="str">
        <f>VLOOKUP(C943,'Custos Matéria Prima Embalagens'!B:D,3,0)</f>
        <v>UMECTANTE</v>
      </c>
      <c r="F943" s="270">
        <f t="shared" si="120"/>
        <v>999.2</v>
      </c>
      <c r="G943" s="148">
        <f t="shared" si="121"/>
        <v>2.0016012810248197E-3</v>
      </c>
      <c r="H943" s="275">
        <v>2</v>
      </c>
      <c r="I943" s="272">
        <f>ROUND(F943/VLOOKUP(A943,'Tabela de Produtos'!A:J,10,0),0)</f>
        <v>787</v>
      </c>
      <c r="J943" s="97">
        <f>IFERROR(VLOOKUP(C943,'Custos Matéria Prima Embalagens'!B:G,6,0)*H943,"Matéria Prima Não Cadastrada")</f>
        <v>14.66</v>
      </c>
      <c r="K943" s="97">
        <f>IFERROR(J943/(I943/VLOOKUP(A943,'Tabela de Produtos'!A:H,8,0)),"Matéria Prima Não Cadastrada")</f>
        <v>5.5883100381194414E-2</v>
      </c>
      <c r="L943" s="216"/>
    </row>
    <row r="944" spans="1:12" ht="15.75" customHeight="1">
      <c r="A944" s="114" t="s">
        <v>172</v>
      </c>
      <c r="B944" s="114" t="str">
        <f>VLOOKUP(A944,'Tabela de Produtos'!A:B,2,0)</f>
        <v>BRAZIMIL LÁTEX STANDARD INT/EXT SEMIBRILHO 3L ROSA PETALA</v>
      </c>
      <c r="C944" s="48" t="s">
        <v>1207</v>
      </c>
      <c r="D944" s="114" t="str">
        <f>VLOOKUP(C944,'Custos Matéria Prima Embalagens'!B:C,2,0)</f>
        <v>WANPEX 1510 (BB-200)</v>
      </c>
      <c r="E944" s="114" t="str">
        <f>VLOOKUP(C944,'Custos Matéria Prima Embalagens'!B:D,3,0)</f>
        <v>DISPERSANTE LATEX</v>
      </c>
      <c r="F944" s="270">
        <f t="shared" si="120"/>
        <v>999.2</v>
      </c>
      <c r="G944" s="148">
        <f t="shared" si="121"/>
        <v>2.0016012810248197E-3</v>
      </c>
      <c r="H944" s="275">
        <v>2</v>
      </c>
      <c r="I944" s="272">
        <f>ROUND(F944/VLOOKUP(A944,'Tabela de Produtos'!A:J,10,0),0)</f>
        <v>787</v>
      </c>
      <c r="J944" s="97">
        <f>IFERROR(VLOOKUP(C944,'Custos Matéria Prima Embalagens'!B:G,6,0)*H944,"Matéria Prima Não Cadastrada")</f>
        <v>13.719999999999999</v>
      </c>
      <c r="K944" s="97">
        <f>IFERROR(J944/(I944/VLOOKUP(A944,'Tabela de Produtos'!A:H,8,0)),"Matéria Prima Não Cadastrada")</f>
        <v>5.2299872935196952E-2</v>
      </c>
      <c r="L944" s="216"/>
    </row>
    <row r="945" spans="1:12" ht="15.75" customHeight="1">
      <c r="A945" s="114" t="s">
        <v>172</v>
      </c>
      <c r="B945" s="114" t="str">
        <f>VLOOKUP(A945,'Tabela de Produtos'!A:B,2,0)</f>
        <v>BRAZIMIL LÁTEX STANDARD INT/EXT SEMIBRILHO 3L ROSA PETALA</v>
      </c>
      <c r="C945" s="48" t="s">
        <v>1217</v>
      </c>
      <c r="D945" s="114" t="str">
        <f>VLOOKUP(C945,'Custos Matéria Prima Embalagens'!B:C,2,0)</f>
        <v>WANCRIL W 51 CE (CT-1000P)</v>
      </c>
      <c r="E945" s="114" t="str">
        <f>VLOOKUP(C945,'Custos Matéria Prima Embalagens'!B:D,3,0)</f>
        <v>RESINA ACRILICA ESTIRENADA</v>
      </c>
      <c r="F945" s="270">
        <f t="shared" si="120"/>
        <v>999.2</v>
      </c>
      <c r="G945" s="148">
        <f t="shared" si="121"/>
        <v>0.16012810248198558</v>
      </c>
      <c r="H945" s="275">
        <v>160</v>
      </c>
      <c r="I945" s="272">
        <f>ROUND(F945/VLOOKUP(A945,'Tabela de Produtos'!A:J,10,0),0)</f>
        <v>787</v>
      </c>
      <c r="J945" s="97">
        <f>IFERROR(VLOOKUP(C945,'Custos Matéria Prima Embalagens'!B:G,6,0)*H945,"Matéria Prima Não Cadastrada")</f>
        <v>1348.8</v>
      </c>
      <c r="K945" s="97">
        <f>IFERROR(J945/(I945/VLOOKUP(A945,'Tabela de Produtos'!A:H,8,0)),"Matéria Prima Não Cadastrada")</f>
        <v>5.1415501905972052</v>
      </c>
      <c r="L945" s="216"/>
    </row>
    <row r="946" spans="1:12" ht="15.75" customHeight="1">
      <c r="A946" s="114" t="s">
        <v>172</v>
      </c>
      <c r="B946" s="114" t="str">
        <f>VLOOKUP(A946,'Tabela de Produtos'!A:B,2,0)</f>
        <v>BRAZIMIL LÁTEX STANDARD INT/EXT SEMIBRILHO 3L ROSA PETALA</v>
      </c>
      <c r="C946" s="48" t="s">
        <v>1229</v>
      </c>
      <c r="D946" s="114" t="str">
        <f>VLOOKUP(C946,'Custos Matéria Prima Embalagens'!B:C,2,0)</f>
        <v>WANSOL 340 CE (BB-200)</v>
      </c>
      <c r="E946" s="114" t="str">
        <f>VLOOKUP(C946,'Custos Matéria Prima Embalagens'!B:D,3,0)</f>
        <v>COALESCENTE</v>
      </c>
      <c r="F946" s="270">
        <f t="shared" si="120"/>
        <v>999.2</v>
      </c>
      <c r="G946" s="148">
        <f t="shared" si="121"/>
        <v>1.0008006405124099E-2</v>
      </c>
      <c r="H946" s="275">
        <v>10</v>
      </c>
      <c r="I946" s="272">
        <f>ROUND(F946/VLOOKUP(A946,'Tabela de Produtos'!A:J,10,0),0)</f>
        <v>787</v>
      </c>
      <c r="J946" s="97">
        <f>IFERROR(VLOOKUP(C946,'Custos Matéria Prima Embalagens'!B:G,6,0)*H946,"Matéria Prima Não Cadastrada")</f>
        <v>192.2</v>
      </c>
      <c r="K946" s="97">
        <f>IFERROR(J946/(I946/VLOOKUP(A946,'Tabela de Produtos'!A:H,8,0)),"Matéria Prima Não Cadastrada")</f>
        <v>0.7326556543837357</v>
      </c>
      <c r="L946" s="216"/>
    </row>
    <row r="947" spans="1:12" ht="15.75" customHeight="1">
      <c r="A947" s="114" t="s">
        <v>172</v>
      </c>
      <c r="B947" s="114" t="str">
        <f>VLOOKUP(A947,'Tabela de Produtos'!A:B,2,0)</f>
        <v>BRAZIMIL LÁTEX STANDARD INT/EXT SEMIBRILHO 3L ROSA PETALA</v>
      </c>
      <c r="C947" s="48" t="s">
        <v>1209</v>
      </c>
      <c r="D947" s="114" t="str">
        <f>VLOOKUP(C947,'Custos Matéria Prima Embalagens'!B:C,2,0)</f>
        <v>WANFUNG WFT CE (BH-200)</v>
      </c>
      <c r="E947" s="114" t="str">
        <f>VLOOKUP(C947,'Custos Matéria Prima Embalagens'!B:D,3,0)</f>
        <v>FUNGICIDA</v>
      </c>
      <c r="F947" s="270">
        <f t="shared" si="120"/>
        <v>999.2</v>
      </c>
      <c r="G947" s="148">
        <f t="shared" si="121"/>
        <v>3.0024019215372298E-3</v>
      </c>
      <c r="H947" s="275">
        <v>3</v>
      </c>
      <c r="I947" s="272">
        <f>ROUND(F947/VLOOKUP(A947,'Tabela de Produtos'!A:J,10,0),0)</f>
        <v>787</v>
      </c>
      <c r="J947" s="97">
        <f>IFERROR(VLOOKUP(C947,'Custos Matéria Prima Embalagens'!B:G,6,0)*H947,"Matéria Prima Não Cadastrada")</f>
        <v>21</v>
      </c>
      <c r="K947" s="97">
        <f>IFERROR(J947/(I947/VLOOKUP(A947,'Tabela de Produtos'!A:H,8,0)),"Matéria Prima Não Cadastrada")</f>
        <v>8.0050825921219829E-2</v>
      </c>
      <c r="L947" s="216"/>
    </row>
    <row r="948" spans="1:12" ht="15.75" customHeight="1">
      <c r="A948" s="114" t="s">
        <v>172</v>
      </c>
      <c r="B948" s="114" t="str">
        <f>VLOOKUP(A948,'Tabela de Produtos'!A:B,2,0)</f>
        <v>BRAZIMIL LÁTEX STANDARD INT/EXT SEMIBRILHO 3L ROSA PETALA</v>
      </c>
      <c r="C948" s="48" t="s">
        <v>1219</v>
      </c>
      <c r="D948" s="114" t="str">
        <f>VLOOKUP(C948,'Custos Matéria Prima Embalagens'!B:C,2,0)</f>
        <v>WANALK 70 CE (BH-200)</v>
      </c>
      <c r="E948" s="114" t="str">
        <f>VLOOKUP(C948,'Custos Matéria Prima Embalagens'!B:D,3,0)</f>
        <v>ALCALINIZANTE</v>
      </c>
      <c r="F948" s="270">
        <f t="shared" si="120"/>
        <v>999.2</v>
      </c>
      <c r="G948" s="148">
        <f t="shared" si="121"/>
        <v>3.0024019215372298E-3</v>
      </c>
      <c r="H948" s="275">
        <v>3</v>
      </c>
      <c r="I948" s="272">
        <f>ROUND(F948/VLOOKUP(A948,'Tabela de Produtos'!A:J,10,0),0)</f>
        <v>787</v>
      </c>
      <c r="J948" s="97">
        <f>IFERROR(VLOOKUP(C948,'Custos Matéria Prima Embalagens'!B:G,6,0)*H948,"Matéria Prima Não Cadastrada")</f>
        <v>14.940000000000001</v>
      </c>
      <c r="K948" s="97">
        <f>IFERROR(J948/(I948/VLOOKUP(A948,'Tabela de Produtos'!A:H,8,0)),"Matéria Prima Não Cadastrada")</f>
        <v>5.6950444726810684E-2</v>
      </c>
      <c r="L948" s="216"/>
    </row>
    <row r="949" spans="1:12" ht="15.75" customHeight="1">
      <c r="A949" s="114" t="s">
        <v>172</v>
      </c>
      <c r="B949" s="114" t="str">
        <f>VLOOKUP(A949,'Tabela de Produtos'!A:B,2,0)</f>
        <v>BRAZIMIL LÁTEX STANDARD INT/EXT SEMIBRILHO 3L ROSA PETALA</v>
      </c>
      <c r="C949" s="48" t="s">
        <v>1221</v>
      </c>
      <c r="D949" s="114" t="str">
        <f>VLOOKUP(C949,'Custos Matéria Prima Embalagens'!B:C,2,0)</f>
        <v>MODIWAN 105H CE (CT-1000P)</v>
      </c>
      <c r="E949" s="114" t="str">
        <f>VLOOKUP(C949,'Custos Matéria Prima Embalagens'!B:D,3,0)</f>
        <v>ESPESSANTE DE MEDIA</v>
      </c>
      <c r="F949" s="270">
        <f t="shared" si="120"/>
        <v>999.2</v>
      </c>
      <c r="G949" s="148">
        <f t="shared" si="121"/>
        <v>2.0016012810248198E-2</v>
      </c>
      <c r="H949" s="275">
        <v>20</v>
      </c>
      <c r="I949" s="272">
        <f>ROUND(F949/VLOOKUP(A949,'Tabela de Produtos'!A:J,10,0),0)</f>
        <v>787</v>
      </c>
      <c r="J949" s="97">
        <f>IFERROR(VLOOKUP(C949,'Custos Matéria Prima Embalagens'!B:G,6,0)*H949,"Matéria Prima Não Cadastrada")</f>
        <v>158.1</v>
      </c>
      <c r="K949" s="97">
        <f>IFERROR(J949/(I949/VLOOKUP(A949,'Tabela de Produtos'!A:H,8,0)),"Matéria Prima Não Cadastrada")</f>
        <v>0.60266836086404063</v>
      </c>
      <c r="L949" s="216"/>
    </row>
    <row r="950" spans="1:12" ht="15.75" customHeight="1">
      <c r="A950" s="114" t="s">
        <v>172</v>
      </c>
      <c r="B950" s="114" t="str">
        <f>VLOOKUP(A950,'Tabela de Produtos'!A:B,2,0)</f>
        <v>BRAZIMIL LÁTEX STANDARD INT/EXT SEMIBRILHO 3L ROSA PETALA</v>
      </c>
      <c r="C950" s="48" t="s">
        <v>1270</v>
      </c>
      <c r="D950" s="114" t="str">
        <f>VLOOKUP(C950,'Custos Matéria Prima Embalagens'!B:C,2,0)</f>
        <v>MISTURA CONCENTRADO SEMI BRILHO</v>
      </c>
      <c r="E950" s="114" t="str">
        <f>VLOOKUP(C950,'Custos Matéria Prima Embalagens'!B:D,3,0)</f>
        <v>MISTURA CONCENTRADO SEMI BRILHO</v>
      </c>
      <c r="F950" s="270">
        <f t="shared" si="120"/>
        <v>999.2</v>
      </c>
      <c r="G950" s="148">
        <f t="shared" si="121"/>
        <v>0.244195356285028</v>
      </c>
      <c r="H950" s="275">
        <v>244</v>
      </c>
      <c r="I950" s="272">
        <f>ROUND(F950/VLOOKUP(A950,'Tabela de Produtos'!A:J,10,0),0)</f>
        <v>787</v>
      </c>
      <c r="J950" s="97">
        <f>IFERROR(VLOOKUP(C950,'Custos Matéria Prima Embalagens'!B:G,6,0)*H950,"Matéria Prima Não Cadastrada")</f>
        <v>2188.6800000000003</v>
      </c>
      <c r="K950" s="97">
        <f>IFERROR(J950/(I950/VLOOKUP(A950,'Tabela de Produtos'!A:H,8,0)),"Matéria Prima Não Cadastrada")</f>
        <v>8.3431257941550214</v>
      </c>
      <c r="L950" s="216"/>
    </row>
    <row r="951" spans="1:12" ht="15" customHeight="1">
      <c r="D951" s="114"/>
      <c r="E951" s="114"/>
      <c r="G951" s="273"/>
      <c r="H951" s="96"/>
      <c r="L951" s="216"/>
    </row>
    <row r="952" spans="1:12" ht="15.75" customHeight="1">
      <c r="A952" s="114" t="s">
        <v>173</v>
      </c>
      <c r="B952" s="114" t="str">
        <f>VLOOKUP(A952,'Tabela de Produtos'!A:B,2,0)</f>
        <v>BRAZIMIL LÁTEX STANDARD INT/EXT SEMIBRILHO 3L ACAI AMAZONICO</v>
      </c>
      <c r="C952" s="48" t="s">
        <v>1197</v>
      </c>
      <c r="D952" s="114" t="str">
        <f>VLOOKUP(C952,'Custos Matéria Prima Embalagens'!B:C,2,0)</f>
        <v>AGUA</v>
      </c>
      <c r="E952" s="114" t="str">
        <f>VLOOKUP(C952,'Custos Matéria Prima Embalagens'!B:D,3,0)</f>
        <v>AGUA</v>
      </c>
      <c r="F952" s="270">
        <f t="shared" ref="F952:F963" si="122">SUMIFS(H:H,A:A,A952)</f>
        <v>999.2</v>
      </c>
      <c r="G952" s="148">
        <f t="shared" ref="G952:G963" si="123">H952/F952</f>
        <v>0.55044035228182542</v>
      </c>
      <c r="H952" s="275">
        <v>550</v>
      </c>
      <c r="I952" s="272">
        <f>ROUND(F952/VLOOKUP(A952,'Tabela de Produtos'!A:J,10,0),0)</f>
        <v>787</v>
      </c>
      <c r="J952" s="97">
        <f>IFERROR(VLOOKUP(C952,'Custos Matéria Prima Embalagens'!B:G,6,0)*H952,"Matéria Prima Não Cadastrada")</f>
        <v>0</v>
      </c>
      <c r="K952" s="97">
        <f>IFERROR(J952/(I952/VLOOKUP(A952,'Tabela de Produtos'!A:H,8,0)),"Matéria Prima Não Cadastrada")</f>
        <v>0</v>
      </c>
      <c r="L952" s="216"/>
    </row>
    <row r="953" spans="1:12" ht="15.75" customHeight="1">
      <c r="A953" s="114" t="s">
        <v>173</v>
      </c>
      <c r="B953" s="114" t="str">
        <f>VLOOKUP(A953,'Tabela de Produtos'!A:B,2,0)</f>
        <v>BRAZIMIL LÁTEX STANDARD INT/EXT SEMIBRILHO 3L ACAI AMAZONICO</v>
      </c>
      <c r="C953" s="48" t="s">
        <v>1199</v>
      </c>
      <c r="D953" s="114" t="str">
        <f>VLOOKUP(C953,'Custos Matéria Prima Embalagens'!B:C,2,0)</f>
        <v>HEXAMETAFOSFATO DE SODIO</v>
      </c>
      <c r="E953" s="114" t="str">
        <f>VLOOKUP(C953,'Custos Matéria Prima Embalagens'!B:D,3,0)</f>
        <v>HEXAMETAFOSFATO DE SODIO</v>
      </c>
      <c r="F953" s="270">
        <f t="shared" si="122"/>
        <v>999.2</v>
      </c>
      <c r="G953" s="148">
        <f t="shared" si="123"/>
        <v>1.2009607686148918E-3</v>
      </c>
      <c r="H953" s="275">
        <v>1.2</v>
      </c>
      <c r="I953" s="272">
        <f>ROUND(F953/VLOOKUP(A953,'Tabela de Produtos'!A:J,10,0),0)</f>
        <v>787</v>
      </c>
      <c r="J953" s="97">
        <f>IFERROR(VLOOKUP(C953,'Custos Matéria Prima Embalagens'!B:G,6,0)*H953,"Matéria Prima Não Cadastrada")</f>
        <v>21.527999999999995</v>
      </c>
      <c r="K953" s="97">
        <f>IFERROR(J953/(I953/VLOOKUP(A953,'Tabela de Produtos'!A:H,8,0)),"Matéria Prima Não Cadastrada")</f>
        <v>8.2063532401524766E-2</v>
      </c>
      <c r="L953" s="216"/>
    </row>
    <row r="954" spans="1:12" ht="15.75" customHeight="1">
      <c r="A954" s="114" t="s">
        <v>173</v>
      </c>
      <c r="B954" s="114" t="str">
        <f>VLOOKUP(A954,'Tabela de Produtos'!A:B,2,0)</f>
        <v>BRAZIMIL LÁTEX STANDARD INT/EXT SEMIBRILHO 3L ACAI AMAZONICO</v>
      </c>
      <c r="C954" s="48" t="s">
        <v>1201</v>
      </c>
      <c r="D954" s="114" t="str">
        <f>VLOOKUP(C954,'Custos Matéria Prima Embalagens'!B:C,2,0)</f>
        <v>WANFOAM 528 CE (BB-190)</v>
      </c>
      <c r="E954" s="114" t="str">
        <f>VLOOKUP(C954,'Custos Matéria Prima Embalagens'!B:D,3,0)</f>
        <v>ANTI ESPUMA LATEX</v>
      </c>
      <c r="F954" s="270">
        <f t="shared" si="122"/>
        <v>999.2</v>
      </c>
      <c r="G954" s="148">
        <f t="shared" si="123"/>
        <v>2.0016012810248197E-3</v>
      </c>
      <c r="H954" s="275">
        <v>2</v>
      </c>
      <c r="I954" s="272">
        <f>ROUND(F954/VLOOKUP(A954,'Tabela de Produtos'!A:J,10,0),0)</f>
        <v>787</v>
      </c>
      <c r="J954" s="97">
        <f>IFERROR(VLOOKUP(C954,'Custos Matéria Prima Embalagens'!B:G,6,0)*H954,"Matéria Prima Não Cadastrada")</f>
        <v>14.36</v>
      </c>
      <c r="K954" s="97">
        <f>IFERROR(J954/(I954/VLOOKUP(A954,'Tabela de Produtos'!A:H,8,0)),"Matéria Prima Não Cadastrada")</f>
        <v>5.4739517153748411E-2</v>
      </c>
      <c r="L954" s="216"/>
    </row>
    <row r="955" spans="1:12" ht="15.75" customHeight="1">
      <c r="A955" s="114" t="s">
        <v>173</v>
      </c>
      <c r="B955" s="114" t="str">
        <f>VLOOKUP(A955,'Tabela de Produtos'!A:B,2,0)</f>
        <v>BRAZIMIL LÁTEX STANDARD INT/EXT SEMIBRILHO 3L ACAI AMAZONICO</v>
      </c>
      <c r="C955" s="48" t="s">
        <v>1203</v>
      </c>
      <c r="D955" s="114" t="str">
        <f>VLOOKUP(C955,'Custos Matéria Prima Embalagens'!B:C,2,0)</f>
        <v>WANBAC WBT CE (BH-200)</v>
      </c>
      <c r="E955" s="114" t="str">
        <f>VLOOKUP(C955,'Custos Matéria Prima Embalagens'!B:D,3,0)</f>
        <v>BACTERICIDA</v>
      </c>
      <c r="F955" s="270">
        <f t="shared" si="122"/>
        <v>999.2</v>
      </c>
      <c r="G955" s="148">
        <f t="shared" si="123"/>
        <v>2.0016012810248197E-3</v>
      </c>
      <c r="H955" s="275">
        <v>2</v>
      </c>
      <c r="I955" s="272">
        <f>ROUND(F955/VLOOKUP(A955,'Tabela de Produtos'!A:J,10,0),0)</f>
        <v>787</v>
      </c>
      <c r="J955" s="97">
        <f>IFERROR(VLOOKUP(C955,'Custos Matéria Prima Embalagens'!B:G,6,0)*H955,"Matéria Prima Não Cadastrada")</f>
        <v>9.879999999999999</v>
      </c>
      <c r="K955" s="97">
        <f>IFERROR(J955/(I955/VLOOKUP(A955,'Tabela de Produtos'!A:H,8,0)),"Matéria Prima Não Cadastrada")</f>
        <v>3.7662007623888182E-2</v>
      </c>
      <c r="L955" s="216"/>
    </row>
    <row r="956" spans="1:12" ht="15.75" customHeight="1">
      <c r="A956" s="114" t="s">
        <v>173</v>
      </c>
      <c r="B956" s="114" t="str">
        <f>VLOOKUP(A956,'Tabela de Produtos'!A:B,2,0)</f>
        <v>BRAZIMIL LÁTEX STANDARD INT/EXT SEMIBRILHO 3L ACAI AMAZONICO</v>
      </c>
      <c r="C956" s="48" t="s">
        <v>1205</v>
      </c>
      <c r="D956" s="114" t="str">
        <f>VLOOKUP(C956,'Custos Matéria Prima Embalagens'!B:C,2,0)</f>
        <v>WANSUR 840 CE (BB-200)01</v>
      </c>
      <c r="E956" s="114" t="str">
        <f>VLOOKUP(C956,'Custos Matéria Prima Embalagens'!B:D,3,0)</f>
        <v>UMECTANTE</v>
      </c>
      <c r="F956" s="270">
        <f t="shared" si="122"/>
        <v>999.2</v>
      </c>
      <c r="G956" s="148">
        <f t="shared" si="123"/>
        <v>2.0016012810248197E-3</v>
      </c>
      <c r="H956" s="275">
        <v>2</v>
      </c>
      <c r="I956" s="272">
        <f>ROUND(F956/VLOOKUP(A956,'Tabela de Produtos'!A:J,10,0),0)</f>
        <v>787</v>
      </c>
      <c r="J956" s="97">
        <f>IFERROR(VLOOKUP(C956,'Custos Matéria Prima Embalagens'!B:G,6,0)*H956,"Matéria Prima Não Cadastrada")</f>
        <v>14.66</v>
      </c>
      <c r="K956" s="97">
        <f>IFERROR(J956/(I956/VLOOKUP(A956,'Tabela de Produtos'!A:H,8,0)),"Matéria Prima Não Cadastrada")</f>
        <v>5.5883100381194414E-2</v>
      </c>
      <c r="L956" s="216"/>
    </row>
    <row r="957" spans="1:12" ht="15.75" customHeight="1">
      <c r="A957" s="114" t="s">
        <v>173</v>
      </c>
      <c r="B957" s="114" t="str">
        <f>VLOOKUP(A957,'Tabela de Produtos'!A:B,2,0)</f>
        <v>BRAZIMIL LÁTEX STANDARD INT/EXT SEMIBRILHO 3L ACAI AMAZONICO</v>
      </c>
      <c r="C957" s="48" t="s">
        <v>1207</v>
      </c>
      <c r="D957" s="114" t="str">
        <f>VLOOKUP(C957,'Custos Matéria Prima Embalagens'!B:C,2,0)</f>
        <v>WANPEX 1510 (BB-200)</v>
      </c>
      <c r="E957" s="114" t="str">
        <f>VLOOKUP(C957,'Custos Matéria Prima Embalagens'!B:D,3,0)</f>
        <v>DISPERSANTE LATEX</v>
      </c>
      <c r="F957" s="270">
        <f t="shared" si="122"/>
        <v>999.2</v>
      </c>
      <c r="G957" s="148">
        <f t="shared" si="123"/>
        <v>2.0016012810248197E-3</v>
      </c>
      <c r="H957" s="275">
        <v>2</v>
      </c>
      <c r="I957" s="272">
        <f>ROUND(F957/VLOOKUP(A957,'Tabela de Produtos'!A:J,10,0),0)</f>
        <v>787</v>
      </c>
      <c r="J957" s="97">
        <f>IFERROR(VLOOKUP(C957,'Custos Matéria Prima Embalagens'!B:G,6,0)*H957,"Matéria Prima Não Cadastrada")</f>
        <v>13.719999999999999</v>
      </c>
      <c r="K957" s="97">
        <f>IFERROR(J957/(I957/VLOOKUP(A957,'Tabela de Produtos'!A:H,8,0)),"Matéria Prima Não Cadastrada")</f>
        <v>5.2299872935196952E-2</v>
      </c>
      <c r="L957" s="216"/>
    </row>
    <row r="958" spans="1:12" ht="15.75" customHeight="1">
      <c r="A958" s="114" t="s">
        <v>173</v>
      </c>
      <c r="B958" s="114" t="str">
        <f>VLOOKUP(A958,'Tabela de Produtos'!A:B,2,0)</f>
        <v>BRAZIMIL LÁTEX STANDARD INT/EXT SEMIBRILHO 3L ACAI AMAZONICO</v>
      </c>
      <c r="C958" s="48" t="s">
        <v>1217</v>
      </c>
      <c r="D958" s="114" t="str">
        <f>VLOOKUP(C958,'Custos Matéria Prima Embalagens'!B:C,2,0)</f>
        <v>WANCRIL W 51 CE (CT-1000P)</v>
      </c>
      <c r="E958" s="114" t="str">
        <f>VLOOKUP(C958,'Custos Matéria Prima Embalagens'!B:D,3,0)</f>
        <v>RESINA ACRILICA ESTIRENADA</v>
      </c>
      <c r="F958" s="270">
        <f t="shared" si="122"/>
        <v>999.2</v>
      </c>
      <c r="G958" s="148">
        <f t="shared" si="123"/>
        <v>0.16012810248198558</v>
      </c>
      <c r="H958" s="275">
        <v>160</v>
      </c>
      <c r="I958" s="272">
        <f>ROUND(F958/VLOOKUP(A958,'Tabela de Produtos'!A:J,10,0),0)</f>
        <v>787</v>
      </c>
      <c r="J958" s="97">
        <f>IFERROR(VLOOKUP(C958,'Custos Matéria Prima Embalagens'!B:G,6,0)*H958,"Matéria Prima Não Cadastrada")</f>
        <v>1348.8</v>
      </c>
      <c r="K958" s="97">
        <f>IFERROR(J958/(I958/VLOOKUP(A958,'Tabela de Produtos'!A:H,8,0)),"Matéria Prima Não Cadastrada")</f>
        <v>5.1415501905972052</v>
      </c>
      <c r="L958" s="216"/>
    </row>
    <row r="959" spans="1:12" ht="15.75" customHeight="1">
      <c r="A959" s="114" t="s">
        <v>173</v>
      </c>
      <c r="B959" s="114" t="str">
        <f>VLOOKUP(A959,'Tabela de Produtos'!A:B,2,0)</f>
        <v>BRAZIMIL LÁTEX STANDARD INT/EXT SEMIBRILHO 3L ACAI AMAZONICO</v>
      </c>
      <c r="C959" s="48" t="s">
        <v>1229</v>
      </c>
      <c r="D959" s="114" t="str">
        <f>VLOOKUP(C959,'Custos Matéria Prima Embalagens'!B:C,2,0)</f>
        <v>WANSOL 340 CE (BB-200)</v>
      </c>
      <c r="E959" s="114" t="str">
        <f>VLOOKUP(C959,'Custos Matéria Prima Embalagens'!B:D,3,0)</f>
        <v>COALESCENTE</v>
      </c>
      <c r="F959" s="270">
        <f t="shared" si="122"/>
        <v>999.2</v>
      </c>
      <c r="G959" s="148">
        <f t="shared" si="123"/>
        <v>1.0008006405124099E-2</v>
      </c>
      <c r="H959" s="275">
        <v>10</v>
      </c>
      <c r="I959" s="272">
        <f>ROUND(F959/VLOOKUP(A959,'Tabela de Produtos'!A:J,10,0),0)</f>
        <v>787</v>
      </c>
      <c r="J959" s="97">
        <f>IFERROR(VLOOKUP(C959,'Custos Matéria Prima Embalagens'!B:G,6,0)*H959,"Matéria Prima Não Cadastrada")</f>
        <v>192.2</v>
      </c>
      <c r="K959" s="97">
        <f>IFERROR(J959/(I959/VLOOKUP(A959,'Tabela de Produtos'!A:H,8,0)),"Matéria Prima Não Cadastrada")</f>
        <v>0.7326556543837357</v>
      </c>
      <c r="L959" s="216"/>
    </row>
    <row r="960" spans="1:12" ht="15.75" customHeight="1">
      <c r="A960" s="114" t="s">
        <v>173</v>
      </c>
      <c r="B960" s="114" t="str">
        <f>VLOOKUP(A960,'Tabela de Produtos'!A:B,2,0)</f>
        <v>BRAZIMIL LÁTEX STANDARD INT/EXT SEMIBRILHO 3L ACAI AMAZONICO</v>
      </c>
      <c r="C960" s="48" t="s">
        <v>1209</v>
      </c>
      <c r="D960" s="114" t="str">
        <f>VLOOKUP(C960,'Custos Matéria Prima Embalagens'!B:C,2,0)</f>
        <v>WANFUNG WFT CE (BH-200)</v>
      </c>
      <c r="E960" s="114" t="str">
        <f>VLOOKUP(C960,'Custos Matéria Prima Embalagens'!B:D,3,0)</f>
        <v>FUNGICIDA</v>
      </c>
      <c r="F960" s="270">
        <f t="shared" si="122"/>
        <v>999.2</v>
      </c>
      <c r="G960" s="148">
        <f t="shared" si="123"/>
        <v>3.0024019215372298E-3</v>
      </c>
      <c r="H960" s="275">
        <v>3</v>
      </c>
      <c r="I960" s="272">
        <f>ROUND(F960/VLOOKUP(A960,'Tabela de Produtos'!A:J,10,0),0)</f>
        <v>787</v>
      </c>
      <c r="J960" s="97">
        <f>IFERROR(VLOOKUP(C960,'Custos Matéria Prima Embalagens'!B:G,6,0)*H960,"Matéria Prima Não Cadastrada")</f>
        <v>21</v>
      </c>
      <c r="K960" s="97">
        <f>IFERROR(J960/(I960/VLOOKUP(A960,'Tabela de Produtos'!A:H,8,0)),"Matéria Prima Não Cadastrada")</f>
        <v>8.0050825921219829E-2</v>
      </c>
      <c r="L960" s="216"/>
    </row>
    <row r="961" spans="1:12" ht="15.75" customHeight="1">
      <c r="A961" s="114" t="s">
        <v>173</v>
      </c>
      <c r="B961" s="114" t="str">
        <f>VLOOKUP(A961,'Tabela de Produtos'!A:B,2,0)</f>
        <v>BRAZIMIL LÁTEX STANDARD INT/EXT SEMIBRILHO 3L ACAI AMAZONICO</v>
      </c>
      <c r="C961" s="48" t="s">
        <v>1219</v>
      </c>
      <c r="D961" s="114" t="str">
        <f>VLOOKUP(C961,'Custos Matéria Prima Embalagens'!B:C,2,0)</f>
        <v>WANALK 70 CE (BH-200)</v>
      </c>
      <c r="E961" s="114" t="str">
        <f>VLOOKUP(C961,'Custos Matéria Prima Embalagens'!B:D,3,0)</f>
        <v>ALCALINIZANTE</v>
      </c>
      <c r="F961" s="270">
        <f t="shared" si="122"/>
        <v>999.2</v>
      </c>
      <c r="G961" s="148">
        <f t="shared" si="123"/>
        <v>3.0024019215372298E-3</v>
      </c>
      <c r="H961" s="275">
        <v>3</v>
      </c>
      <c r="I961" s="272">
        <f>ROUND(F961/VLOOKUP(A961,'Tabela de Produtos'!A:J,10,0),0)</f>
        <v>787</v>
      </c>
      <c r="J961" s="97">
        <f>IFERROR(VLOOKUP(C961,'Custos Matéria Prima Embalagens'!B:G,6,0)*H961,"Matéria Prima Não Cadastrada")</f>
        <v>14.940000000000001</v>
      </c>
      <c r="K961" s="97">
        <f>IFERROR(J961/(I961/VLOOKUP(A961,'Tabela de Produtos'!A:H,8,0)),"Matéria Prima Não Cadastrada")</f>
        <v>5.6950444726810684E-2</v>
      </c>
      <c r="L961" s="216"/>
    </row>
    <row r="962" spans="1:12" ht="15.75" customHeight="1">
      <c r="A962" s="114" t="s">
        <v>173</v>
      </c>
      <c r="B962" s="114" t="str">
        <f>VLOOKUP(A962,'Tabela de Produtos'!A:B,2,0)</f>
        <v>BRAZIMIL LÁTEX STANDARD INT/EXT SEMIBRILHO 3L ACAI AMAZONICO</v>
      </c>
      <c r="C962" s="48" t="s">
        <v>1221</v>
      </c>
      <c r="D962" s="114" t="str">
        <f>VLOOKUP(C962,'Custos Matéria Prima Embalagens'!B:C,2,0)</f>
        <v>MODIWAN 105H CE (CT-1000P)</v>
      </c>
      <c r="E962" s="114" t="str">
        <f>VLOOKUP(C962,'Custos Matéria Prima Embalagens'!B:D,3,0)</f>
        <v>ESPESSANTE DE MEDIA</v>
      </c>
      <c r="F962" s="270">
        <f t="shared" si="122"/>
        <v>999.2</v>
      </c>
      <c r="G962" s="148">
        <f t="shared" si="123"/>
        <v>2.0016012810248198E-2</v>
      </c>
      <c r="H962" s="275">
        <v>20</v>
      </c>
      <c r="I962" s="272">
        <f>ROUND(F962/VLOOKUP(A962,'Tabela de Produtos'!A:J,10,0),0)</f>
        <v>787</v>
      </c>
      <c r="J962" s="97">
        <f>IFERROR(VLOOKUP(C962,'Custos Matéria Prima Embalagens'!B:G,6,0)*H962,"Matéria Prima Não Cadastrada")</f>
        <v>158.1</v>
      </c>
      <c r="K962" s="97">
        <f>IFERROR(J962/(I962/VLOOKUP(A962,'Tabela de Produtos'!A:H,8,0)),"Matéria Prima Não Cadastrada")</f>
        <v>0.60266836086404063</v>
      </c>
      <c r="L962" s="216"/>
    </row>
    <row r="963" spans="1:12" ht="15.75" customHeight="1">
      <c r="A963" s="114" t="s">
        <v>173</v>
      </c>
      <c r="B963" s="114" t="str">
        <f>VLOOKUP(A963,'Tabela de Produtos'!A:B,2,0)</f>
        <v>BRAZIMIL LÁTEX STANDARD INT/EXT SEMIBRILHO 3L ACAI AMAZONICO</v>
      </c>
      <c r="C963" s="48" t="s">
        <v>1270</v>
      </c>
      <c r="D963" s="114" t="str">
        <f>VLOOKUP(C963,'Custos Matéria Prima Embalagens'!B:C,2,0)</f>
        <v>MISTURA CONCENTRADO SEMI BRILHO</v>
      </c>
      <c r="E963" s="114" t="str">
        <f>VLOOKUP(C963,'Custos Matéria Prima Embalagens'!B:D,3,0)</f>
        <v>MISTURA CONCENTRADO SEMI BRILHO</v>
      </c>
      <c r="F963" s="270">
        <f t="shared" si="122"/>
        <v>999.2</v>
      </c>
      <c r="G963" s="148">
        <f t="shared" si="123"/>
        <v>0.244195356285028</v>
      </c>
      <c r="H963" s="275">
        <v>244</v>
      </c>
      <c r="I963" s="272">
        <f>ROUND(F963/VLOOKUP(A963,'Tabela de Produtos'!A:J,10,0),0)</f>
        <v>787</v>
      </c>
      <c r="J963" s="97">
        <f>IFERROR(VLOOKUP(C963,'Custos Matéria Prima Embalagens'!B:G,6,0)*H963,"Matéria Prima Não Cadastrada")</f>
        <v>2188.6800000000003</v>
      </c>
      <c r="K963" s="97">
        <f>IFERROR(J963/(I963/VLOOKUP(A963,'Tabela de Produtos'!A:H,8,0)),"Matéria Prima Não Cadastrada")</f>
        <v>8.3431257941550214</v>
      </c>
      <c r="L963" s="216"/>
    </row>
    <row r="964" spans="1:12" ht="15.75" customHeight="1">
      <c r="D964" s="114"/>
      <c r="E964" s="114"/>
      <c r="F964" s="96"/>
      <c r="G964" s="148"/>
      <c r="H964" s="96"/>
      <c r="I964" s="272"/>
      <c r="J964" s="97"/>
      <c r="K964" s="97"/>
      <c r="L964" s="216"/>
    </row>
    <row r="965" spans="1:12" ht="15.75" customHeight="1">
      <c r="A965" s="114" t="s">
        <v>174</v>
      </c>
      <c r="B965" s="114" t="str">
        <f>VLOOKUP(A965,'Tabela de Produtos'!A:B,2,0)</f>
        <v>BRAZIMIL LÁTEX STANDARD INT/EXT SEMIBRILHO 3L VERDE FOLHA</v>
      </c>
      <c r="C965" s="48" t="s">
        <v>1197</v>
      </c>
      <c r="D965" s="114" t="str">
        <f>VLOOKUP(C965,'Custos Matéria Prima Embalagens'!B:C,2,0)</f>
        <v>AGUA</v>
      </c>
      <c r="E965" s="114" t="str">
        <f>VLOOKUP(C965,'Custos Matéria Prima Embalagens'!B:D,3,0)</f>
        <v>AGUA</v>
      </c>
      <c r="F965" s="270">
        <f t="shared" ref="F965:F976" si="124">SUMIFS(H:H,A:A,A965)</f>
        <v>999.2</v>
      </c>
      <c r="G965" s="148">
        <f t="shared" ref="G965:G976" si="125">H965/F965</f>
        <v>0.55044035228182542</v>
      </c>
      <c r="H965" s="275">
        <v>550</v>
      </c>
      <c r="I965" s="272">
        <f>ROUND(F965/VLOOKUP(A965,'Tabela de Produtos'!A:J,10,0),0)</f>
        <v>787</v>
      </c>
      <c r="J965" s="97">
        <f>IFERROR(VLOOKUP(C965,'Custos Matéria Prima Embalagens'!B:G,6,0)*H965,"Matéria Prima Não Cadastrada")</f>
        <v>0</v>
      </c>
      <c r="K965" s="97">
        <f>IFERROR(J965/(I965/VLOOKUP(A965,'Tabela de Produtos'!A:H,8,0)),"Matéria Prima Não Cadastrada")</f>
        <v>0</v>
      </c>
      <c r="L965" s="216"/>
    </row>
    <row r="966" spans="1:12" ht="15.75" customHeight="1">
      <c r="A966" s="114" t="s">
        <v>174</v>
      </c>
      <c r="B966" s="114" t="str">
        <f>VLOOKUP(A966,'Tabela de Produtos'!A:B,2,0)</f>
        <v>BRAZIMIL LÁTEX STANDARD INT/EXT SEMIBRILHO 3L VERDE FOLHA</v>
      </c>
      <c r="C966" s="48" t="s">
        <v>1199</v>
      </c>
      <c r="D966" s="114" t="str">
        <f>VLOOKUP(C966,'Custos Matéria Prima Embalagens'!B:C,2,0)</f>
        <v>HEXAMETAFOSFATO DE SODIO</v>
      </c>
      <c r="E966" s="114" t="str">
        <f>VLOOKUP(C966,'Custos Matéria Prima Embalagens'!B:D,3,0)</f>
        <v>HEXAMETAFOSFATO DE SODIO</v>
      </c>
      <c r="F966" s="270">
        <f t="shared" si="124"/>
        <v>999.2</v>
      </c>
      <c r="G966" s="148">
        <f t="shared" si="125"/>
        <v>1.2009607686148918E-3</v>
      </c>
      <c r="H966" s="275">
        <v>1.2</v>
      </c>
      <c r="I966" s="272">
        <f>ROUND(F966/VLOOKUP(A966,'Tabela de Produtos'!A:J,10,0),0)</f>
        <v>787</v>
      </c>
      <c r="J966" s="97">
        <f>IFERROR(VLOOKUP(C966,'Custos Matéria Prima Embalagens'!B:G,6,0)*H966,"Matéria Prima Não Cadastrada")</f>
        <v>21.527999999999995</v>
      </c>
      <c r="K966" s="97">
        <f>IFERROR(J966/(I966/VLOOKUP(A966,'Tabela de Produtos'!A:H,8,0)),"Matéria Prima Não Cadastrada")</f>
        <v>8.2063532401524766E-2</v>
      </c>
      <c r="L966" s="216"/>
    </row>
    <row r="967" spans="1:12" ht="15.75" customHeight="1">
      <c r="A967" s="114" t="s">
        <v>174</v>
      </c>
      <c r="B967" s="114" t="str">
        <f>VLOOKUP(A967,'Tabela de Produtos'!A:B,2,0)</f>
        <v>BRAZIMIL LÁTEX STANDARD INT/EXT SEMIBRILHO 3L VERDE FOLHA</v>
      </c>
      <c r="C967" s="48" t="s">
        <v>1201</v>
      </c>
      <c r="D967" s="114" t="str">
        <f>VLOOKUP(C967,'Custos Matéria Prima Embalagens'!B:C,2,0)</f>
        <v>WANFOAM 528 CE (BB-190)</v>
      </c>
      <c r="E967" s="114" t="str">
        <f>VLOOKUP(C967,'Custos Matéria Prima Embalagens'!B:D,3,0)</f>
        <v>ANTI ESPUMA LATEX</v>
      </c>
      <c r="F967" s="270">
        <f t="shared" si="124"/>
        <v>999.2</v>
      </c>
      <c r="G967" s="148">
        <f t="shared" si="125"/>
        <v>2.0016012810248197E-3</v>
      </c>
      <c r="H967" s="275">
        <v>2</v>
      </c>
      <c r="I967" s="272">
        <f>ROUND(F967/VLOOKUP(A967,'Tabela de Produtos'!A:J,10,0),0)</f>
        <v>787</v>
      </c>
      <c r="J967" s="97">
        <f>IFERROR(VLOOKUP(C967,'Custos Matéria Prima Embalagens'!B:G,6,0)*H967,"Matéria Prima Não Cadastrada")</f>
        <v>14.36</v>
      </c>
      <c r="K967" s="97">
        <f>IFERROR(J967/(I967/VLOOKUP(A967,'Tabela de Produtos'!A:H,8,0)),"Matéria Prima Não Cadastrada")</f>
        <v>5.4739517153748411E-2</v>
      </c>
      <c r="L967" s="216"/>
    </row>
    <row r="968" spans="1:12" ht="15.75" customHeight="1">
      <c r="A968" s="114" t="s">
        <v>174</v>
      </c>
      <c r="B968" s="114" t="str">
        <f>VLOOKUP(A968,'Tabela de Produtos'!A:B,2,0)</f>
        <v>BRAZIMIL LÁTEX STANDARD INT/EXT SEMIBRILHO 3L VERDE FOLHA</v>
      </c>
      <c r="C968" s="48" t="s">
        <v>1203</v>
      </c>
      <c r="D968" s="114" t="str">
        <f>VLOOKUP(C968,'Custos Matéria Prima Embalagens'!B:C,2,0)</f>
        <v>WANBAC WBT CE (BH-200)</v>
      </c>
      <c r="E968" s="114" t="str">
        <f>VLOOKUP(C968,'Custos Matéria Prima Embalagens'!B:D,3,0)</f>
        <v>BACTERICIDA</v>
      </c>
      <c r="F968" s="270">
        <f t="shared" si="124"/>
        <v>999.2</v>
      </c>
      <c r="G968" s="148">
        <f t="shared" si="125"/>
        <v>2.0016012810248197E-3</v>
      </c>
      <c r="H968" s="275">
        <v>2</v>
      </c>
      <c r="I968" s="272">
        <f>ROUND(F968/VLOOKUP(A968,'Tabela de Produtos'!A:J,10,0),0)</f>
        <v>787</v>
      </c>
      <c r="J968" s="97">
        <f>IFERROR(VLOOKUP(C968,'Custos Matéria Prima Embalagens'!B:G,6,0)*H968,"Matéria Prima Não Cadastrada")</f>
        <v>9.879999999999999</v>
      </c>
      <c r="K968" s="97">
        <f>IFERROR(J968/(I968/VLOOKUP(A968,'Tabela de Produtos'!A:H,8,0)),"Matéria Prima Não Cadastrada")</f>
        <v>3.7662007623888182E-2</v>
      </c>
      <c r="L968" s="216"/>
    </row>
    <row r="969" spans="1:12" ht="15.75" customHeight="1">
      <c r="A969" s="114" t="s">
        <v>174</v>
      </c>
      <c r="B969" s="114" t="str">
        <f>VLOOKUP(A969,'Tabela de Produtos'!A:B,2,0)</f>
        <v>BRAZIMIL LÁTEX STANDARD INT/EXT SEMIBRILHO 3L VERDE FOLHA</v>
      </c>
      <c r="C969" s="48" t="s">
        <v>1205</v>
      </c>
      <c r="D969" s="114" t="str">
        <f>VLOOKUP(C969,'Custos Matéria Prima Embalagens'!B:C,2,0)</f>
        <v>WANSUR 840 CE (BB-200)01</v>
      </c>
      <c r="E969" s="114" t="str">
        <f>VLOOKUP(C969,'Custos Matéria Prima Embalagens'!B:D,3,0)</f>
        <v>UMECTANTE</v>
      </c>
      <c r="F969" s="270">
        <f t="shared" si="124"/>
        <v>999.2</v>
      </c>
      <c r="G969" s="148">
        <f t="shared" si="125"/>
        <v>2.0016012810248197E-3</v>
      </c>
      <c r="H969" s="275">
        <v>2</v>
      </c>
      <c r="I969" s="272">
        <f>ROUND(F969/VLOOKUP(A969,'Tabela de Produtos'!A:J,10,0),0)</f>
        <v>787</v>
      </c>
      <c r="J969" s="97">
        <f>IFERROR(VLOOKUP(C969,'Custos Matéria Prima Embalagens'!B:G,6,0)*H969,"Matéria Prima Não Cadastrada")</f>
        <v>14.66</v>
      </c>
      <c r="K969" s="97">
        <f>IFERROR(J969/(I969/VLOOKUP(A969,'Tabela de Produtos'!A:H,8,0)),"Matéria Prima Não Cadastrada")</f>
        <v>5.5883100381194414E-2</v>
      </c>
      <c r="L969" s="216"/>
    </row>
    <row r="970" spans="1:12" ht="15.75" customHeight="1">
      <c r="A970" s="114" t="s">
        <v>174</v>
      </c>
      <c r="B970" s="114" t="str">
        <f>VLOOKUP(A970,'Tabela de Produtos'!A:B,2,0)</f>
        <v>BRAZIMIL LÁTEX STANDARD INT/EXT SEMIBRILHO 3L VERDE FOLHA</v>
      </c>
      <c r="C970" s="48" t="s">
        <v>1207</v>
      </c>
      <c r="D970" s="114" t="str">
        <f>VLOOKUP(C970,'Custos Matéria Prima Embalagens'!B:C,2,0)</f>
        <v>WANPEX 1510 (BB-200)</v>
      </c>
      <c r="E970" s="114" t="str">
        <f>VLOOKUP(C970,'Custos Matéria Prima Embalagens'!B:D,3,0)</f>
        <v>DISPERSANTE LATEX</v>
      </c>
      <c r="F970" s="270">
        <f t="shared" si="124"/>
        <v>999.2</v>
      </c>
      <c r="G970" s="148">
        <f t="shared" si="125"/>
        <v>2.0016012810248197E-3</v>
      </c>
      <c r="H970" s="275">
        <v>2</v>
      </c>
      <c r="I970" s="272">
        <f>ROUND(F970/VLOOKUP(A970,'Tabela de Produtos'!A:J,10,0),0)</f>
        <v>787</v>
      </c>
      <c r="J970" s="97">
        <f>IFERROR(VLOOKUP(C970,'Custos Matéria Prima Embalagens'!B:G,6,0)*H970,"Matéria Prima Não Cadastrada")</f>
        <v>13.719999999999999</v>
      </c>
      <c r="K970" s="97">
        <f>IFERROR(J970/(I970/VLOOKUP(A970,'Tabela de Produtos'!A:H,8,0)),"Matéria Prima Não Cadastrada")</f>
        <v>5.2299872935196952E-2</v>
      </c>
      <c r="L970" s="216"/>
    </row>
    <row r="971" spans="1:12" ht="15.75" customHeight="1">
      <c r="A971" s="114" t="s">
        <v>174</v>
      </c>
      <c r="B971" s="114" t="str">
        <f>VLOOKUP(A971,'Tabela de Produtos'!A:B,2,0)</f>
        <v>BRAZIMIL LÁTEX STANDARD INT/EXT SEMIBRILHO 3L VERDE FOLHA</v>
      </c>
      <c r="C971" s="48" t="s">
        <v>1217</v>
      </c>
      <c r="D971" s="114" t="str">
        <f>VLOOKUP(C971,'Custos Matéria Prima Embalagens'!B:C,2,0)</f>
        <v>WANCRIL W 51 CE (CT-1000P)</v>
      </c>
      <c r="E971" s="114" t="str">
        <f>VLOOKUP(C971,'Custos Matéria Prima Embalagens'!B:D,3,0)</f>
        <v>RESINA ACRILICA ESTIRENADA</v>
      </c>
      <c r="F971" s="270">
        <f t="shared" si="124"/>
        <v>999.2</v>
      </c>
      <c r="G971" s="148">
        <f t="shared" si="125"/>
        <v>0.16012810248198558</v>
      </c>
      <c r="H971" s="275">
        <v>160</v>
      </c>
      <c r="I971" s="272">
        <f>ROUND(F971/VLOOKUP(A971,'Tabela de Produtos'!A:J,10,0),0)</f>
        <v>787</v>
      </c>
      <c r="J971" s="97">
        <f>IFERROR(VLOOKUP(C971,'Custos Matéria Prima Embalagens'!B:G,6,0)*H971,"Matéria Prima Não Cadastrada")</f>
        <v>1348.8</v>
      </c>
      <c r="K971" s="97">
        <f>IFERROR(J971/(I971/VLOOKUP(A971,'Tabela de Produtos'!A:H,8,0)),"Matéria Prima Não Cadastrada")</f>
        <v>5.1415501905972052</v>
      </c>
      <c r="L971" s="216"/>
    </row>
    <row r="972" spans="1:12" ht="15.75" customHeight="1">
      <c r="A972" s="114" t="s">
        <v>174</v>
      </c>
      <c r="B972" s="114" t="str">
        <f>VLOOKUP(A972,'Tabela de Produtos'!A:B,2,0)</f>
        <v>BRAZIMIL LÁTEX STANDARD INT/EXT SEMIBRILHO 3L VERDE FOLHA</v>
      </c>
      <c r="C972" s="48" t="s">
        <v>1229</v>
      </c>
      <c r="D972" s="114" t="str">
        <f>VLOOKUP(C972,'Custos Matéria Prima Embalagens'!B:C,2,0)</f>
        <v>WANSOL 340 CE (BB-200)</v>
      </c>
      <c r="E972" s="114" t="str">
        <f>VLOOKUP(C972,'Custos Matéria Prima Embalagens'!B:D,3,0)</f>
        <v>COALESCENTE</v>
      </c>
      <c r="F972" s="270">
        <f t="shared" si="124"/>
        <v>999.2</v>
      </c>
      <c r="G972" s="148">
        <f t="shared" si="125"/>
        <v>1.0008006405124099E-2</v>
      </c>
      <c r="H972" s="275">
        <v>10</v>
      </c>
      <c r="I972" s="272">
        <f>ROUND(F972/VLOOKUP(A972,'Tabela de Produtos'!A:J,10,0),0)</f>
        <v>787</v>
      </c>
      <c r="J972" s="97">
        <f>IFERROR(VLOOKUP(C972,'Custos Matéria Prima Embalagens'!B:G,6,0)*H972,"Matéria Prima Não Cadastrada")</f>
        <v>192.2</v>
      </c>
      <c r="K972" s="97">
        <f>IFERROR(J972/(I972/VLOOKUP(A972,'Tabela de Produtos'!A:H,8,0)),"Matéria Prima Não Cadastrada")</f>
        <v>0.7326556543837357</v>
      </c>
      <c r="L972" s="216"/>
    </row>
    <row r="973" spans="1:12" ht="15.75" customHeight="1">
      <c r="A973" s="114" t="s">
        <v>174</v>
      </c>
      <c r="B973" s="114" t="str">
        <f>VLOOKUP(A973,'Tabela de Produtos'!A:B,2,0)</f>
        <v>BRAZIMIL LÁTEX STANDARD INT/EXT SEMIBRILHO 3L VERDE FOLHA</v>
      </c>
      <c r="C973" s="48" t="s">
        <v>1209</v>
      </c>
      <c r="D973" s="114" t="str">
        <f>VLOOKUP(C973,'Custos Matéria Prima Embalagens'!B:C,2,0)</f>
        <v>WANFUNG WFT CE (BH-200)</v>
      </c>
      <c r="E973" s="114" t="str">
        <f>VLOOKUP(C973,'Custos Matéria Prima Embalagens'!B:D,3,0)</f>
        <v>FUNGICIDA</v>
      </c>
      <c r="F973" s="270">
        <f t="shared" si="124"/>
        <v>999.2</v>
      </c>
      <c r="G973" s="148">
        <f t="shared" si="125"/>
        <v>3.0024019215372298E-3</v>
      </c>
      <c r="H973" s="275">
        <v>3</v>
      </c>
      <c r="I973" s="272">
        <f>ROUND(F973/VLOOKUP(A973,'Tabela de Produtos'!A:J,10,0),0)</f>
        <v>787</v>
      </c>
      <c r="J973" s="97">
        <f>IFERROR(VLOOKUP(C973,'Custos Matéria Prima Embalagens'!B:G,6,0)*H973,"Matéria Prima Não Cadastrada")</f>
        <v>21</v>
      </c>
      <c r="K973" s="97">
        <f>IFERROR(J973/(I973/VLOOKUP(A973,'Tabela de Produtos'!A:H,8,0)),"Matéria Prima Não Cadastrada")</f>
        <v>8.0050825921219829E-2</v>
      </c>
      <c r="L973" s="216"/>
    </row>
    <row r="974" spans="1:12" ht="15.75" customHeight="1">
      <c r="A974" s="114" t="s">
        <v>174</v>
      </c>
      <c r="B974" s="114" t="str">
        <f>VLOOKUP(A974,'Tabela de Produtos'!A:B,2,0)</f>
        <v>BRAZIMIL LÁTEX STANDARD INT/EXT SEMIBRILHO 3L VERDE FOLHA</v>
      </c>
      <c r="C974" s="48" t="s">
        <v>1219</v>
      </c>
      <c r="D974" s="114" t="str">
        <f>VLOOKUP(C974,'Custos Matéria Prima Embalagens'!B:C,2,0)</f>
        <v>WANALK 70 CE (BH-200)</v>
      </c>
      <c r="E974" s="114" t="str">
        <f>VLOOKUP(C974,'Custos Matéria Prima Embalagens'!B:D,3,0)</f>
        <v>ALCALINIZANTE</v>
      </c>
      <c r="F974" s="270">
        <f t="shared" si="124"/>
        <v>999.2</v>
      </c>
      <c r="G974" s="148">
        <f t="shared" si="125"/>
        <v>3.0024019215372298E-3</v>
      </c>
      <c r="H974" s="275">
        <v>3</v>
      </c>
      <c r="I974" s="272">
        <f>ROUND(F974/VLOOKUP(A974,'Tabela de Produtos'!A:J,10,0),0)</f>
        <v>787</v>
      </c>
      <c r="J974" s="97">
        <f>IFERROR(VLOOKUP(C974,'Custos Matéria Prima Embalagens'!B:G,6,0)*H974,"Matéria Prima Não Cadastrada")</f>
        <v>14.940000000000001</v>
      </c>
      <c r="K974" s="97">
        <f>IFERROR(J974/(I974/VLOOKUP(A974,'Tabela de Produtos'!A:H,8,0)),"Matéria Prima Não Cadastrada")</f>
        <v>5.6950444726810684E-2</v>
      </c>
      <c r="L974" s="216"/>
    </row>
    <row r="975" spans="1:12" ht="15.75" customHeight="1">
      <c r="A975" s="114" t="s">
        <v>174</v>
      </c>
      <c r="B975" s="114" t="str">
        <f>VLOOKUP(A975,'Tabela de Produtos'!A:B,2,0)</f>
        <v>BRAZIMIL LÁTEX STANDARD INT/EXT SEMIBRILHO 3L VERDE FOLHA</v>
      </c>
      <c r="C975" s="48" t="s">
        <v>1221</v>
      </c>
      <c r="D975" s="114" t="str">
        <f>VLOOKUP(C975,'Custos Matéria Prima Embalagens'!B:C,2,0)</f>
        <v>MODIWAN 105H CE (CT-1000P)</v>
      </c>
      <c r="E975" s="114" t="str">
        <f>VLOOKUP(C975,'Custos Matéria Prima Embalagens'!B:D,3,0)</f>
        <v>ESPESSANTE DE MEDIA</v>
      </c>
      <c r="F975" s="270">
        <f t="shared" si="124"/>
        <v>999.2</v>
      </c>
      <c r="G975" s="148">
        <f t="shared" si="125"/>
        <v>2.0016012810248198E-2</v>
      </c>
      <c r="H975" s="275">
        <v>20</v>
      </c>
      <c r="I975" s="272">
        <f>ROUND(F975/VLOOKUP(A975,'Tabela de Produtos'!A:J,10,0),0)</f>
        <v>787</v>
      </c>
      <c r="J975" s="97">
        <f>IFERROR(VLOOKUP(C975,'Custos Matéria Prima Embalagens'!B:G,6,0)*H975,"Matéria Prima Não Cadastrada")</f>
        <v>158.1</v>
      </c>
      <c r="K975" s="97">
        <f>IFERROR(J975/(I975/VLOOKUP(A975,'Tabela de Produtos'!A:H,8,0)),"Matéria Prima Não Cadastrada")</f>
        <v>0.60266836086404063</v>
      </c>
      <c r="L975" s="216"/>
    </row>
    <row r="976" spans="1:12" ht="15.75" customHeight="1">
      <c r="A976" s="114" t="s">
        <v>174</v>
      </c>
      <c r="B976" s="114" t="str">
        <f>VLOOKUP(A976,'Tabela de Produtos'!A:B,2,0)</f>
        <v>BRAZIMIL LÁTEX STANDARD INT/EXT SEMIBRILHO 3L VERDE FOLHA</v>
      </c>
      <c r="C976" s="48" t="s">
        <v>1270</v>
      </c>
      <c r="D976" s="114" t="str">
        <f>VLOOKUP(C976,'Custos Matéria Prima Embalagens'!B:C,2,0)</f>
        <v>MISTURA CONCENTRADO SEMI BRILHO</v>
      </c>
      <c r="E976" s="114" t="str">
        <f>VLOOKUP(C976,'Custos Matéria Prima Embalagens'!B:D,3,0)</f>
        <v>MISTURA CONCENTRADO SEMI BRILHO</v>
      </c>
      <c r="F976" s="270">
        <f t="shared" si="124"/>
        <v>999.2</v>
      </c>
      <c r="G976" s="148">
        <f t="shared" si="125"/>
        <v>0.244195356285028</v>
      </c>
      <c r="H976" s="275">
        <v>244</v>
      </c>
      <c r="I976" s="272">
        <f>ROUND(F976/VLOOKUP(A976,'Tabela de Produtos'!A:J,10,0),0)</f>
        <v>787</v>
      </c>
      <c r="J976" s="97">
        <f>IFERROR(VLOOKUP(C976,'Custos Matéria Prima Embalagens'!B:G,6,0)*H976,"Matéria Prima Não Cadastrada")</f>
        <v>2188.6800000000003</v>
      </c>
      <c r="K976" s="97">
        <f>IFERROR(J976/(I976/VLOOKUP(A976,'Tabela de Produtos'!A:H,8,0)),"Matéria Prima Não Cadastrada")</f>
        <v>8.3431257941550214</v>
      </c>
      <c r="L976" s="216"/>
    </row>
    <row r="977" spans="1:12" ht="15.75" customHeight="1">
      <c r="D977" s="114"/>
      <c r="E977" s="114"/>
      <c r="F977" s="96"/>
      <c r="G977" s="148"/>
      <c r="H977" s="96"/>
      <c r="I977" s="272"/>
      <c r="J977" s="97"/>
      <c r="K977" s="97"/>
      <c r="L977" s="216"/>
    </row>
    <row r="978" spans="1:12" ht="15.75" customHeight="1">
      <c r="A978" s="114" t="s">
        <v>175</v>
      </c>
      <c r="B978" s="114" t="str">
        <f>VLOOKUP(A978,'Tabela de Produtos'!A:B,2,0)</f>
        <v>BRAZIMIL LÁTEX STANDARD INT/EXT SEMIBRILHO 3L LARANJA</v>
      </c>
      <c r="C978" s="48" t="s">
        <v>1197</v>
      </c>
      <c r="D978" s="114" t="str">
        <f>VLOOKUP(C978,'Custos Matéria Prima Embalagens'!B:C,2,0)</f>
        <v>AGUA</v>
      </c>
      <c r="E978" s="114" t="str">
        <f>VLOOKUP(C978,'Custos Matéria Prima Embalagens'!B:D,3,0)</f>
        <v>AGUA</v>
      </c>
      <c r="F978" s="270">
        <f t="shared" ref="F978:F989" si="126">SUMIFS(H:H,A:A,A978)</f>
        <v>999.2</v>
      </c>
      <c r="G978" s="148">
        <f t="shared" ref="G978:G989" si="127">H978/F978</f>
        <v>0.55044035228182542</v>
      </c>
      <c r="H978" s="275">
        <v>550</v>
      </c>
      <c r="I978" s="272">
        <f>ROUND(F978/VLOOKUP(A978,'Tabela de Produtos'!A:J,10,0),0)</f>
        <v>787</v>
      </c>
      <c r="J978" s="97">
        <f>IFERROR(VLOOKUP(C978,'Custos Matéria Prima Embalagens'!B:G,6,0)*H978,"Matéria Prima Não Cadastrada")</f>
        <v>0</v>
      </c>
      <c r="K978" s="97">
        <f>IFERROR(J978/(I978/VLOOKUP(A978,'Tabela de Produtos'!A:H,8,0)),"Matéria Prima Não Cadastrada")</f>
        <v>0</v>
      </c>
      <c r="L978" s="216"/>
    </row>
    <row r="979" spans="1:12" ht="15.75" customHeight="1">
      <c r="A979" s="114" t="s">
        <v>175</v>
      </c>
      <c r="B979" s="114" t="str">
        <f>VLOOKUP(A979,'Tabela de Produtos'!A:B,2,0)</f>
        <v>BRAZIMIL LÁTEX STANDARD INT/EXT SEMIBRILHO 3L LARANJA</v>
      </c>
      <c r="C979" s="48" t="s">
        <v>1199</v>
      </c>
      <c r="D979" s="114" t="str">
        <f>VLOOKUP(C979,'Custos Matéria Prima Embalagens'!B:C,2,0)</f>
        <v>HEXAMETAFOSFATO DE SODIO</v>
      </c>
      <c r="E979" s="114" t="str">
        <f>VLOOKUP(C979,'Custos Matéria Prima Embalagens'!B:D,3,0)</f>
        <v>HEXAMETAFOSFATO DE SODIO</v>
      </c>
      <c r="F979" s="270">
        <f t="shared" si="126"/>
        <v>999.2</v>
      </c>
      <c r="G979" s="148">
        <f t="shared" si="127"/>
        <v>1.2009607686148918E-3</v>
      </c>
      <c r="H979" s="275">
        <v>1.2</v>
      </c>
      <c r="I979" s="272">
        <f>ROUND(F979/VLOOKUP(A979,'Tabela de Produtos'!A:J,10,0),0)</f>
        <v>787</v>
      </c>
      <c r="J979" s="97">
        <f>IFERROR(VLOOKUP(C979,'Custos Matéria Prima Embalagens'!B:G,6,0)*H979,"Matéria Prima Não Cadastrada")</f>
        <v>21.527999999999995</v>
      </c>
      <c r="K979" s="97">
        <f>IFERROR(J979/(I979/VLOOKUP(A979,'Tabela de Produtos'!A:H,8,0)),"Matéria Prima Não Cadastrada")</f>
        <v>8.2063532401524766E-2</v>
      </c>
      <c r="L979" s="216"/>
    </row>
    <row r="980" spans="1:12" ht="15.75" customHeight="1">
      <c r="A980" s="114" t="s">
        <v>175</v>
      </c>
      <c r="B980" s="114" t="str">
        <f>VLOOKUP(A980,'Tabela de Produtos'!A:B,2,0)</f>
        <v>BRAZIMIL LÁTEX STANDARD INT/EXT SEMIBRILHO 3L LARANJA</v>
      </c>
      <c r="C980" s="48" t="s">
        <v>1201</v>
      </c>
      <c r="D980" s="114" t="str">
        <f>VLOOKUP(C980,'Custos Matéria Prima Embalagens'!B:C,2,0)</f>
        <v>WANFOAM 528 CE (BB-190)</v>
      </c>
      <c r="E980" s="114" t="str">
        <f>VLOOKUP(C980,'Custos Matéria Prima Embalagens'!B:D,3,0)</f>
        <v>ANTI ESPUMA LATEX</v>
      </c>
      <c r="F980" s="270">
        <f t="shared" si="126"/>
        <v>999.2</v>
      </c>
      <c r="G980" s="148">
        <f t="shared" si="127"/>
        <v>2.0016012810248197E-3</v>
      </c>
      <c r="H980" s="275">
        <v>2</v>
      </c>
      <c r="I980" s="272">
        <f>ROUND(F980/VLOOKUP(A980,'Tabela de Produtos'!A:J,10,0),0)</f>
        <v>787</v>
      </c>
      <c r="J980" s="97">
        <f>IFERROR(VLOOKUP(C980,'Custos Matéria Prima Embalagens'!B:G,6,0)*H980,"Matéria Prima Não Cadastrada")</f>
        <v>14.36</v>
      </c>
      <c r="K980" s="97">
        <f>IFERROR(J980/(I980/VLOOKUP(A980,'Tabela de Produtos'!A:H,8,0)),"Matéria Prima Não Cadastrada")</f>
        <v>5.4739517153748411E-2</v>
      </c>
      <c r="L980" s="216"/>
    </row>
    <row r="981" spans="1:12" ht="15.75" customHeight="1">
      <c r="A981" s="114" t="s">
        <v>175</v>
      </c>
      <c r="B981" s="114" t="str">
        <f>VLOOKUP(A981,'Tabela de Produtos'!A:B,2,0)</f>
        <v>BRAZIMIL LÁTEX STANDARD INT/EXT SEMIBRILHO 3L LARANJA</v>
      </c>
      <c r="C981" s="48" t="s">
        <v>1203</v>
      </c>
      <c r="D981" s="114" t="str">
        <f>VLOOKUP(C981,'Custos Matéria Prima Embalagens'!B:C,2,0)</f>
        <v>WANBAC WBT CE (BH-200)</v>
      </c>
      <c r="E981" s="114" t="str">
        <f>VLOOKUP(C981,'Custos Matéria Prima Embalagens'!B:D,3,0)</f>
        <v>BACTERICIDA</v>
      </c>
      <c r="F981" s="270">
        <f t="shared" si="126"/>
        <v>999.2</v>
      </c>
      <c r="G981" s="148">
        <f t="shared" si="127"/>
        <v>2.0016012810248197E-3</v>
      </c>
      <c r="H981" s="275">
        <v>2</v>
      </c>
      <c r="I981" s="272">
        <f>ROUND(F981/VLOOKUP(A981,'Tabela de Produtos'!A:J,10,0),0)</f>
        <v>787</v>
      </c>
      <c r="J981" s="97">
        <f>IFERROR(VLOOKUP(C981,'Custos Matéria Prima Embalagens'!B:G,6,0)*H981,"Matéria Prima Não Cadastrada")</f>
        <v>9.879999999999999</v>
      </c>
      <c r="K981" s="97">
        <f>IFERROR(J981/(I981/VLOOKUP(A981,'Tabela de Produtos'!A:H,8,0)),"Matéria Prima Não Cadastrada")</f>
        <v>3.7662007623888182E-2</v>
      </c>
      <c r="L981" s="216"/>
    </row>
    <row r="982" spans="1:12" ht="15.75" customHeight="1">
      <c r="A982" s="114" t="s">
        <v>175</v>
      </c>
      <c r="B982" s="114" t="str">
        <f>VLOOKUP(A982,'Tabela de Produtos'!A:B,2,0)</f>
        <v>BRAZIMIL LÁTEX STANDARD INT/EXT SEMIBRILHO 3L LARANJA</v>
      </c>
      <c r="C982" s="48" t="s">
        <v>1205</v>
      </c>
      <c r="D982" s="114" t="str">
        <f>VLOOKUP(C982,'Custos Matéria Prima Embalagens'!B:C,2,0)</f>
        <v>WANSUR 840 CE (BB-200)01</v>
      </c>
      <c r="E982" s="114" t="str">
        <f>VLOOKUP(C982,'Custos Matéria Prima Embalagens'!B:D,3,0)</f>
        <v>UMECTANTE</v>
      </c>
      <c r="F982" s="270">
        <f t="shared" si="126"/>
        <v>999.2</v>
      </c>
      <c r="G982" s="148">
        <f t="shared" si="127"/>
        <v>2.0016012810248197E-3</v>
      </c>
      <c r="H982" s="275">
        <v>2</v>
      </c>
      <c r="I982" s="272">
        <f>ROUND(F982/VLOOKUP(A982,'Tabela de Produtos'!A:J,10,0),0)</f>
        <v>787</v>
      </c>
      <c r="J982" s="97">
        <f>IFERROR(VLOOKUP(C982,'Custos Matéria Prima Embalagens'!B:G,6,0)*H982,"Matéria Prima Não Cadastrada")</f>
        <v>14.66</v>
      </c>
      <c r="K982" s="97">
        <f>IFERROR(J982/(I982/VLOOKUP(A982,'Tabela de Produtos'!A:H,8,0)),"Matéria Prima Não Cadastrada")</f>
        <v>5.5883100381194414E-2</v>
      </c>
      <c r="L982" s="216"/>
    </row>
    <row r="983" spans="1:12" ht="15.75" customHeight="1">
      <c r="A983" s="114" t="s">
        <v>175</v>
      </c>
      <c r="B983" s="114" t="str">
        <f>VLOOKUP(A983,'Tabela de Produtos'!A:B,2,0)</f>
        <v>BRAZIMIL LÁTEX STANDARD INT/EXT SEMIBRILHO 3L LARANJA</v>
      </c>
      <c r="C983" s="48" t="s">
        <v>1207</v>
      </c>
      <c r="D983" s="114" t="str">
        <f>VLOOKUP(C983,'Custos Matéria Prima Embalagens'!B:C,2,0)</f>
        <v>WANPEX 1510 (BB-200)</v>
      </c>
      <c r="E983" s="114" t="str">
        <f>VLOOKUP(C983,'Custos Matéria Prima Embalagens'!B:D,3,0)</f>
        <v>DISPERSANTE LATEX</v>
      </c>
      <c r="F983" s="270">
        <f t="shared" si="126"/>
        <v>999.2</v>
      </c>
      <c r="G983" s="148">
        <f t="shared" si="127"/>
        <v>2.0016012810248197E-3</v>
      </c>
      <c r="H983" s="275">
        <v>2</v>
      </c>
      <c r="I983" s="272">
        <f>ROUND(F983/VLOOKUP(A983,'Tabela de Produtos'!A:J,10,0),0)</f>
        <v>787</v>
      </c>
      <c r="J983" s="97">
        <f>IFERROR(VLOOKUP(C983,'Custos Matéria Prima Embalagens'!B:G,6,0)*H983,"Matéria Prima Não Cadastrada")</f>
        <v>13.719999999999999</v>
      </c>
      <c r="K983" s="97">
        <f>IFERROR(J983/(I983/VLOOKUP(A983,'Tabela de Produtos'!A:H,8,0)),"Matéria Prima Não Cadastrada")</f>
        <v>5.2299872935196952E-2</v>
      </c>
      <c r="L983" s="216"/>
    </row>
    <row r="984" spans="1:12" ht="15.75" customHeight="1">
      <c r="A984" s="114" t="s">
        <v>175</v>
      </c>
      <c r="B984" s="114" t="str">
        <f>VLOOKUP(A984,'Tabela de Produtos'!A:B,2,0)</f>
        <v>BRAZIMIL LÁTEX STANDARD INT/EXT SEMIBRILHO 3L LARANJA</v>
      </c>
      <c r="C984" s="48" t="s">
        <v>1217</v>
      </c>
      <c r="D984" s="114" t="str">
        <f>VLOOKUP(C984,'Custos Matéria Prima Embalagens'!B:C,2,0)</f>
        <v>WANCRIL W 51 CE (CT-1000P)</v>
      </c>
      <c r="E984" s="114" t="str">
        <f>VLOOKUP(C984,'Custos Matéria Prima Embalagens'!B:D,3,0)</f>
        <v>RESINA ACRILICA ESTIRENADA</v>
      </c>
      <c r="F984" s="270">
        <f t="shared" si="126"/>
        <v>999.2</v>
      </c>
      <c r="G984" s="148">
        <f t="shared" si="127"/>
        <v>0.16012810248198558</v>
      </c>
      <c r="H984" s="275">
        <v>160</v>
      </c>
      <c r="I984" s="272">
        <f>ROUND(F984/VLOOKUP(A984,'Tabela de Produtos'!A:J,10,0),0)</f>
        <v>787</v>
      </c>
      <c r="J984" s="97">
        <f>IFERROR(VLOOKUP(C984,'Custos Matéria Prima Embalagens'!B:G,6,0)*H984,"Matéria Prima Não Cadastrada")</f>
        <v>1348.8</v>
      </c>
      <c r="K984" s="97">
        <f>IFERROR(J984/(I984/VLOOKUP(A984,'Tabela de Produtos'!A:H,8,0)),"Matéria Prima Não Cadastrada")</f>
        <v>5.1415501905972052</v>
      </c>
      <c r="L984" s="216"/>
    </row>
    <row r="985" spans="1:12" ht="15.75" customHeight="1">
      <c r="A985" s="114" t="s">
        <v>175</v>
      </c>
      <c r="B985" s="114" t="str">
        <f>VLOOKUP(A985,'Tabela de Produtos'!A:B,2,0)</f>
        <v>BRAZIMIL LÁTEX STANDARD INT/EXT SEMIBRILHO 3L LARANJA</v>
      </c>
      <c r="C985" s="48" t="s">
        <v>1229</v>
      </c>
      <c r="D985" s="114" t="str">
        <f>VLOOKUP(C985,'Custos Matéria Prima Embalagens'!B:C,2,0)</f>
        <v>WANSOL 340 CE (BB-200)</v>
      </c>
      <c r="E985" s="114" t="str">
        <f>VLOOKUP(C985,'Custos Matéria Prima Embalagens'!B:D,3,0)</f>
        <v>COALESCENTE</v>
      </c>
      <c r="F985" s="270">
        <f t="shared" si="126"/>
        <v>999.2</v>
      </c>
      <c r="G985" s="148">
        <f t="shared" si="127"/>
        <v>1.0008006405124099E-2</v>
      </c>
      <c r="H985" s="275">
        <v>10</v>
      </c>
      <c r="I985" s="272">
        <f>ROUND(F985/VLOOKUP(A985,'Tabela de Produtos'!A:J,10,0),0)</f>
        <v>787</v>
      </c>
      <c r="J985" s="97">
        <f>IFERROR(VLOOKUP(C985,'Custos Matéria Prima Embalagens'!B:G,6,0)*H985,"Matéria Prima Não Cadastrada")</f>
        <v>192.2</v>
      </c>
      <c r="K985" s="97">
        <f>IFERROR(J985/(I985/VLOOKUP(A985,'Tabela de Produtos'!A:H,8,0)),"Matéria Prima Não Cadastrada")</f>
        <v>0.7326556543837357</v>
      </c>
      <c r="L985" s="216"/>
    </row>
    <row r="986" spans="1:12" ht="15.75" customHeight="1">
      <c r="A986" s="114" t="s">
        <v>175</v>
      </c>
      <c r="B986" s="114" t="str">
        <f>VLOOKUP(A986,'Tabela de Produtos'!A:B,2,0)</f>
        <v>BRAZIMIL LÁTEX STANDARD INT/EXT SEMIBRILHO 3L LARANJA</v>
      </c>
      <c r="C986" s="48" t="s">
        <v>1209</v>
      </c>
      <c r="D986" s="114" t="str">
        <f>VLOOKUP(C986,'Custos Matéria Prima Embalagens'!B:C,2,0)</f>
        <v>WANFUNG WFT CE (BH-200)</v>
      </c>
      <c r="E986" s="114" t="str">
        <f>VLOOKUP(C986,'Custos Matéria Prima Embalagens'!B:D,3,0)</f>
        <v>FUNGICIDA</v>
      </c>
      <c r="F986" s="270">
        <f t="shared" si="126"/>
        <v>999.2</v>
      </c>
      <c r="G986" s="148">
        <f t="shared" si="127"/>
        <v>3.0024019215372298E-3</v>
      </c>
      <c r="H986" s="275">
        <v>3</v>
      </c>
      <c r="I986" s="272">
        <f>ROUND(F986/VLOOKUP(A986,'Tabela de Produtos'!A:J,10,0),0)</f>
        <v>787</v>
      </c>
      <c r="J986" s="97">
        <f>IFERROR(VLOOKUP(C986,'Custos Matéria Prima Embalagens'!B:G,6,0)*H986,"Matéria Prima Não Cadastrada")</f>
        <v>21</v>
      </c>
      <c r="K986" s="97">
        <f>IFERROR(J986/(I986/VLOOKUP(A986,'Tabela de Produtos'!A:H,8,0)),"Matéria Prima Não Cadastrada")</f>
        <v>8.0050825921219829E-2</v>
      </c>
      <c r="L986" s="216"/>
    </row>
    <row r="987" spans="1:12" ht="15.75" customHeight="1">
      <c r="A987" s="114" t="s">
        <v>175</v>
      </c>
      <c r="B987" s="114" t="str">
        <f>VLOOKUP(A987,'Tabela de Produtos'!A:B,2,0)</f>
        <v>BRAZIMIL LÁTEX STANDARD INT/EXT SEMIBRILHO 3L LARANJA</v>
      </c>
      <c r="C987" s="48" t="s">
        <v>1219</v>
      </c>
      <c r="D987" s="114" t="str">
        <f>VLOOKUP(C987,'Custos Matéria Prima Embalagens'!B:C,2,0)</f>
        <v>WANALK 70 CE (BH-200)</v>
      </c>
      <c r="E987" s="114" t="str">
        <f>VLOOKUP(C987,'Custos Matéria Prima Embalagens'!B:D,3,0)</f>
        <v>ALCALINIZANTE</v>
      </c>
      <c r="F987" s="270">
        <f t="shared" si="126"/>
        <v>999.2</v>
      </c>
      <c r="G987" s="148">
        <f t="shared" si="127"/>
        <v>3.0024019215372298E-3</v>
      </c>
      <c r="H987" s="275">
        <v>3</v>
      </c>
      <c r="I987" s="272">
        <f>ROUND(F987/VLOOKUP(A987,'Tabela de Produtos'!A:J,10,0),0)</f>
        <v>787</v>
      </c>
      <c r="J987" s="97">
        <f>IFERROR(VLOOKUP(C987,'Custos Matéria Prima Embalagens'!B:G,6,0)*H987,"Matéria Prima Não Cadastrada")</f>
        <v>14.940000000000001</v>
      </c>
      <c r="K987" s="97">
        <f>IFERROR(J987/(I987/VLOOKUP(A987,'Tabela de Produtos'!A:H,8,0)),"Matéria Prima Não Cadastrada")</f>
        <v>5.6950444726810684E-2</v>
      </c>
      <c r="L987" s="216"/>
    </row>
    <row r="988" spans="1:12" ht="15.75" customHeight="1">
      <c r="A988" s="114" t="s">
        <v>175</v>
      </c>
      <c r="B988" s="114" t="str">
        <f>VLOOKUP(A988,'Tabela de Produtos'!A:B,2,0)</f>
        <v>BRAZIMIL LÁTEX STANDARD INT/EXT SEMIBRILHO 3L LARANJA</v>
      </c>
      <c r="C988" s="48" t="s">
        <v>1221</v>
      </c>
      <c r="D988" s="114" t="str">
        <f>VLOOKUP(C988,'Custos Matéria Prima Embalagens'!B:C,2,0)</f>
        <v>MODIWAN 105H CE (CT-1000P)</v>
      </c>
      <c r="E988" s="114" t="str">
        <f>VLOOKUP(C988,'Custos Matéria Prima Embalagens'!B:D,3,0)</f>
        <v>ESPESSANTE DE MEDIA</v>
      </c>
      <c r="F988" s="270">
        <f t="shared" si="126"/>
        <v>999.2</v>
      </c>
      <c r="G988" s="148">
        <f t="shared" si="127"/>
        <v>2.0016012810248198E-2</v>
      </c>
      <c r="H988" s="275">
        <v>20</v>
      </c>
      <c r="I988" s="272">
        <f>ROUND(F988/VLOOKUP(A988,'Tabela de Produtos'!A:J,10,0),0)</f>
        <v>787</v>
      </c>
      <c r="J988" s="97">
        <f>IFERROR(VLOOKUP(C988,'Custos Matéria Prima Embalagens'!B:G,6,0)*H988,"Matéria Prima Não Cadastrada")</f>
        <v>158.1</v>
      </c>
      <c r="K988" s="97">
        <f>IFERROR(J988/(I988/VLOOKUP(A988,'Tabela de Produtos'!A:H,8,0)),"Matéria Prima Não Cadastrada")</f>
        <v>0.60266836086404063</v>
      </c>
      <c r="L988" s="216"/>
    </row>
    <row r="989" spans="1:12" ht="15.75" customHeight="1">
      <c r="A989" s="114" t="s">
        <v>175</v>
      </c>
      <c r="B989" s="114" t="str">
        <f>VLOOKUP(A989,'Tabela de Produtos'!A:B,2,0)</f>
        <v>BRAZIMIL LÁTEX STANDARD INT/EXT SEMIBRILHO 3L LARANJA</v>
      </c>
      <c r="C989" s="48" t="s">
        <v>1270</v>
      </c>
      <c r="D989" s="114" t="str">
        <f>VLOOKUP(C989,'Custos Matéria Prima Embalagens'!B:C,2,0)</f>
        <v>MISTURA CONCENTRADO SEMI BRILHO</v>
      </c>
      <c r="E989" s="114" t="str">
        <f>VLOOKUP(C989,'Custos Matéria Prima Embalagens'!B:D,3,0)</f>
        <v>MISTURA CONCENTRADO SEMI BRILHO</v>
      </c>
      <c r="F989" s="270">
        <f t="shared" si="126"/>
        <v>999.2</v>
      </c>
      <c r="G989" s="148">
        <f t="shared" si="127"/>
        <v>0.244195356285028</v>
      </c>
      <c r="H989" s="275">
        <v>244</v>
      </c>
      <c r="I989" s="272">
        <f>ROUND(F989/VLOOKUP(A989,'Tabela de Produtos'!A:J,10,0),0)</f>
        <v>787</v>
      </c>
      <c r="J989" s="97">
        <f>IFERROR(VLOOKUP(C989,'Custos Matéria Prima Embalagens'!B:G,6,0)*H989,"Matéria Prima Não Cadastrada")</f>
        <v>2188.6800000000003</v>
      </c>
      <c r="K989" s="97">
        <f>IFERROR(J989/(I989/VLOOKUP(A989,'Tabela de Produtos'!A:H,8,0)),"Matéria Prima Não Cadastrada")</f>
        <v>8.3431257941550214</v>
      </c>
      <c r="L989" s="216"/>
    </row>
    <row r="990" spans="1:12" ht="15.75" customHeight="1">
      <c r="D990" s="114"/>
      <c r="E990" s="114"/>
      <c r="F990" s="96"/>
      <c r="G990" s="148"/>
      <c r="H990" s="96"/>
      <c r="I990" s="272"/>
      <c r="J990" s="97"/>
      <c r="K990" s="97"/>
      <c r="L990" s="216"/>
    </row>
    <row r="991" spans="1:12" ht="15.75" customHeight="1">
      <c r="A991" s="114" t="s">
        <v>176</v>
      </c>
      <c r="B991" s="114" t="str">
        <f>VLOOKUP(A991,'Tabela de Produtos'!A:B,2,0)</f>
        <v>BRAZIMIL LÁTEX STANDARD INT/EXT SEMIBRILHO 3L AZUL CARIBE</v>
      </c>
      <c r="C991" s="48" t="s">
        <v>1197</v>
      </c>
      <c r="D991" s="114" t="str">
        <f>VLOOKUP(C991,'Custos Matéria Prima Embalagens'!B:C,2,0)</f>
        <v>AGUA</v>
      </c>
      <c r="E991" s="114" t="str">
        <f>VLOOKUP(C991,'Custos Matéria Prima Embalagens'!B:D,3,0)</f>
        <v>AGUA</v>
      </c>
      <c r="F991" s="270">
        <f t="shared" ref="F991:F1002" si="128">SUMIFS(H:H,A:A,A991)</f>
        <v>999.2</v>
      </c>
      <c r="G991" s="148">
        <f t="shared" ref="G991:G1002" si="129">H991/F991</f>
        <v>0.55044035228182542</v>
      </c>
      <c r="H991" s="275">
        <v>550</v>
      </c>
      <c r="I991" s="272">
        <f>ROUND(F991/VLOOKUP(A991,'Tabela de Produtos'!A:J,10,0),0)</f>
        <v>787</v>
      </c>
      <c r="J991" s="97">
        <f>IFERROR(VLOOKUP(C991,'Custos Matéria Prima Embalagens'!B:G,6,0)*H991,"Matéria Prima Não Cadastrada")</f>
        <v>0</v>
      </c>
      <c r="K991" s="97">
        <f>IFERROR(J991/(I991/VLOOKUP(A991,'Tabela de Produtos'!A:H,8,0)),"Matéria Prima Não Cadastrada")</f>
        <v>0</v>
      </c>
      <c r="L991" s="216"/>
    </row>
    <row r="992" spans="1:12" ht="15.75" customHeight="1">
      <c r="A992" s="114" t="s">
        <v>176</v>
      </c>
      <c r="B992" s="114" t="str">
        <f>VLOOKUP(A992,'Tabela de Produtos'!A:B,2,0)</f>
        <v>BRAZIMIL LÁTEX STANDARD INT/EXT SEMIBRILHO 3L AZUL CARIBE</v>
      </c>
      <c r="C992" s="48" t="s">
        <v>1199</v>
      </c>
      <c r="D992" s="114" t="str">
        <f>VLOOKUP(C992,'Custos Matéria Prima Embalagens'!B:C,2,0)</f>
        <v>HEXAMETAFOSFATO DE SODIO</v>
      </c>
      <c r="E992" s="114" t="str">
        <f>VLOOKUP(C992,'Custos Matéria Prima Embalagens'!B:D,3,0)</f>
        <v>HEXAMETAFOSFATO DE SODIO</v>
      </c>
      <c r="F992" s="270">
        <f t="shared" si="128"/>
        <v>999.2</v>
      </c>
      <c r="G992" s="148">
        <f t="shared" si="129"/>
        <v>1.2009607686148918E-3</v>
      </c>
      <c r="H992" s="275">
        <v>1.2</v>
      </c>
      <c r="I992" s="272">
        <f>ROUND(F992/VLOOKUP(A992,'Tabela de Produtos'!A:J,10,0),0)</f>
        <v>787</v>
      </c>
      <c r="J992" s="97">
        <f>IFERROR(VLOOKUP(C992,'Custos Matéria Prima Embalagens'!B:G,6,0)*H992,"Matéria Prima Não Cadastrada")</f>
        <v>21.527999999999995</v>
      </c>
      <c r="K992" s="97">
        <f>IFERROR(J992/(I992/VLOOKUP(A992,'Tabela de Produtos'!A:H,8,0)),"Matéria Prima Não Cadastrada")</f>
        <v>8.2063532401524766E-2</v>
      </c>
      <c r="L992" s="216"/>
    </row>
    <row r="993" spans="1:12" ht="15.75" customHeight="1">
      <c r="A993" s="114" t="s">
        <v>176</v>
      </c>
      <c r="B993" s="114" t="str">
        <f>VLOOKUP(A993,'Tabela de Produtos'!A:B,2,0)</f>
        <v>BRAZIMIL LÁTEX STANDARD INT/EXT SEMIBRILHO 3L AZUL CARIBE</v>
      </c>
      <c r="C993" s="48" t="s">
        <v>1201</v>
      </c>
      <c r="D993" s="114" t="str">
        <f>VLOOKUP(C993,'Custos Matéria Prima Embalagens'!B:C,2,0)</f>
        <v>WANFOAM 528 CE (BB-190)</v>
      </c>
      <c r="E993" s="114" t="str">
        <f>VLOOKUP(C993,'Custos Matéria Prima Embalagens'!B:D,3,0)</f>
        <v>ANTI ESPUMA LATEX</v>
      </c>
      <c r="F993" s="270">
        <f t="shared" si="128"/>
        <v>999.2</v>
      </c>
      <c r="G993" s="148">
        <f t="shared" si="129"/>
        <v>2.0016012810248197E-3</v>
      </c>
      <c r="H993" s="275">
        <v>2</v>
      </c>
      <c r="I993" s="272">
        <f>ROUND(F993/VLOOKUP(A993,'Tabela de Produtos'!A:J,10,0),0)</f>
        <v>787</v>
      </c>
      <c r="J993" s="97">
        <f>IFERROR(VLOOKUP(C993,'Custos Matéria Prima Embalagens'!B:G,6,0)*H993,"Matéria Prima Não Cadastrada")</f>
        <v>14.36</v>
      </c>
      <c r="K993" s="97">
        <f>IFERROR(J993/(I993/VLOOKUP(A993,'Tabela de Produtos'!A:H,8,0)),"Matéria Prima Não Cadastrada")</f>
        <v>5.4739517153748411E-2</v>
      </c>
      <c r="L993" s="216"/>
    </row>
    <row r="994" spans="1:12" ht="15.75" customHeight="1">
      <c r="A994" s="114" t="s">
        <v>176</v>
      </c>
      <c r="B994" s="114" t="str">
        <f>VLOOKUP(A994,'Tabela de Produtos'!A:B,2,0)</f>
        <v>BRAZIMIL LÁTEX STANDARD INT/EXT SEMIBRILHO 3L AZUL CARIBE</v>
      </c>
      <c r="C994" s="48" t="s">
        <v>1203</v>
      </c>
      <c r="D994" s="114" t="str">
        <f>VLOOKUP(C994,'Custos Matéria Prima Embalagens'!B:C,2,0)</f>
        <v>WANBAC WBT CE (BH-200)</v>
      </c>
      <c r="E994" s="114" t="str">
        <f>VLOOKUP(C994,'Custos Matéria Prima Embalagens'!B:D,3,0)</f>
        <v>BACTERICIDA</v>
      </c>
      <c r="F994" s="270">
        <f t="shared" si="128"/>
        <v>999.2</v>
      </c>
      <c r="G994" s="148">
        <f t="shared" si="129"/>
        <v>2.0016012810248197E-3</v>
      </c>
      <c r="H994" s="275">
        <v>2</v>
      </c>
      <c r="I994" s="272">
        <f>ROUND(F994/VLOOKUP(A994,'Tabela de Produtos'!A:J,10,0),0)</f>
        <v>787</v>
      </c>
      <c r="J994" s="97">
        <f>IFERROR(VLOOKUP(C994,'Custos Matéria Prima Embalagens'!B:G,6,0)*H994,"Matéria Prima Não Cadastrada")</f>
        <v>9.879999999999999</v>
      </c>
      <c r="K994" s="97">
        <f>IFERROR(J994/(I994/VLOOKUP(A994,'Tabela de Produtos'!A:H,8,0)),"Matéria Prima Não Cadastrada")</f>
        <v>3.7662007623888182E-2</v>
      </c>
      <c r="L994" s="216"/>
    </row>
    <row r="995" spans="1:12" ht="15.75" customHeight="1">
      <c r="A995" s="114" t="s">
        <v>176</v>
      </c>
      <c r="B995" s="114" t="str">
        <f>VLOOKUP(A995,'Tabela de Produtos'!A:B,2,0)</f>
        <v>BRAZIMIL LÁTEX STANDARD INT/EXT SEMIBRILHO 3L AZUL CARIBE</v>
      </c>
      <c r="C995" s="48" t="s">
        <v>1205</v>
      </c>
      <c r="D995" s="114" t="str">
        <f>VLOOKUP(C995,'Custos Matéria Prima Embalagens'!B:C,2,0)</f>
        <v>WANSUR 840 CE (BB-200)01</v>
      </c>
      <c r="E995" s="114" t="str">
        <f>VLOOKUP(C995,'Custos Matéria Prima Embalagens'!B:D,3,0)</f>
        <v>UMECTANTE</v>
      </c>
      <c r="F995" s="270">
        <f t="shared" si="128"/>
        <v>999.2</v>
      </c>
      <c r="G995" s="148">
        <f t="shared" si="129"/>
        <v>2.0016012810248197E-3</v>
      </c>
      <c r="H995" s="275">
        <v>2</v>
      </c>
      <c r="I995" s="272">
        <f>ROUND(F995/VLOOKUP(A995,'Tabela de Produtos'!A:J,10,0),0)</f>
        <v>787</v>
      </c>
      <c r="J995" s="97">
        <f>IFERROR(VLOOKUP(C995,'Custos Matéria Prima Embalagens'!B:G,6,0)*H995,"Matéria Prima Não Cadastrada")</f>
        <v>14.66</v>
      </c>
      <c r="K995" s="97">
        <f>IFERROR(J995/(I995/VLOOKUP(A995,'Tabela de Produtos'!A:H,8,0)),"Matéria Prima Não Cadastrada")</f>
        <v>5.5883100381194414E-2</v>
      </c>
      <c r="L995" s="216"/>
    </row>
    <row r="996" spans="1:12" ht="15.75" customHeight="1">
      <c r="A996" s="114" t="s">
        <v>176</v>
      </c>
      <c r="B996" s="114" t="str">
        <f>VLOOKUP(A996,'Tabela de Produtos'!A:B,2,0)</f>
        <v>BRAZIMIL LÁTEX STANDARD INT/EXT SEMIBRILHO 3L AZUL CARIBE</v>
      </c>
      <c r="C996" s="48" t="s">
        <v>1207</v>
      </c>
      <c r="D996" s="114" t="str">
        <f>VLOOKUP(C996,'Custos Matéria Prima Embalagens'!B:C,2,0)</f>
        <v>WANPEX 1510 (BB-200)</v>
      </c>
      <c r="E996" s="114" t="str">
        <f>VLOOKUP(C996,'Custos Matéria Prima Embalagens'!B:D,3,0)</f>
        <v>DISPERSANTE LATEX</v>
      </c>
      <c r="F996" s="270">
        <f t="shared" si="128"/>
        <v>999.2</v>
      </c>
      <c r="G996" s="148">
        <f t="shared" si="129"/>
        <v>2.0016012810248197E-3</v>
      </c>
      <c r="H996" s="275">
        <v>2</v>
      </c>
      <c r="I996" s="272">
        <f>ROUND(F996/VLOOKUP(A996,'Tabela de Produtos'!A:J,10,0),0)</f>
        <v>787</v>
      </c>
      <c r="J996" s="97">
        <f>IFERROR(VLOOKUP(C996,'Custos Matéria Prima Embalagens'!B:G,6,0)*H996,"Matéria Prima Não Cadastrada")</f>
        <v>13.719999999999999</v>
      </c>
      <c r="K996" s="97">
        <f>IFERROR(J996/(I996/VLOOKUP(A996,'Tabela de Produtos'!A:H,8,0)),"Matéria Prima Não Cadastrada")</f>
        <v>5.2299872935196952E-2</v>
      </c>
      <c r="L996" s="216"/>
    </row>
    <row r="997" spans="1:12" ht="15.75" customHeight="1">
      <c r="A997" s="114" t="s">
        <v>176</v>
      </c>
      <c r="B997" s="114" t="str">
        <f>VLOOKUP(A997,'Tabela de Produtos'!A:B,2,0)</f>
        <v>BRAZIMIL LÁTEX STANDARD INT/EXT SEMIBRILHO 3L AZUL CARIBE</v>
      </c>
      <c r="C997" s="48" t="s">
        <v>1217</v>
      </c>
      <c r="D997" s="114" t="str">
        <f>VLOOKUP(C997,'Custos Matéria Prima Embalagens'!B:C,2,0)</f>
        <v>WANCRIL W 51 CE (CT-1000P)</v>
      </c>
      <c r="E997" s="114" t="str">
        <f>VLOOKUP(C997,'Custos Matéria Prima Embalagens'!B:D,3,0)</f>
        <v>RESINA ACRILICA ESTIRENADA</v>
      </c>
      <c r="F997" s="270">
        <f t="shared" si="128"/>
        <v>999.2</v>
      </c>
      <c r="G997" s="148">
        <f t="shared" si="129"/>
        <v>0.16012810248198558</v>
      </c>
      <c r="H997" s="275">
        <v>160</v>
      </c>
      <c r="I997" s="272">
        <f>ROUND(F997/VLOOKUP(A997,'Tabela de Produtos'!A:J,10,0),0)</f>
        <v>787</v>
      </c>
      <c r="J997" s="97">
        <f>IFERROR(VLOOKUP(C997,'Custos Matéria Prima Embalagens'!B:G,6,0)*H997,"Matéria Prima Não Cadastrada")</f>
        <v>1348.8</v>
      </c>
      <c r="K997" s="97">
        <f>IFERROR(J997/(I997/VLOOKUP(A997,'Tabela de Produtos'!A:H,8,0)),"Matéria Prima Não Cadastrada")</f>
        <v>5.1415501905972052</v>
      </c>
      <c r="L997" s="216"/>
    </row>
    <row r="998" spans="1:12" ht="15.75" customHeight="1">
      <c r="A998" s="114" t="s">
        <v>176</v>
      </c>
      <c r="B998" s="114" t="str">
        <f>VLOOKUP(A998,'Tabela de Produtos'!A:B,2,0)</f>
        <v>BRAZIMIL LÁTEX STANDARD INT/EXT SEMIBRILHO 3L AZUL CARIBE</v>
      </c>
      <c r="C998" s="48" t="s">
        <v>1229</v>
      </c>
      <c r="D998" s="114" t="str">
        <f>VLOOKUP(C998,'Custos Matéria Prima Embalagens'!B:C,2,0)</f>
        <v>WANSOL 340 CE (BB-200)</v>
      </c>
      <c r="E998" s="114" t="str">
        <f>VLOOKUP(C998,'Custos Matéria Prima Embalagens'!B:D,3,0)</f>
        <v>COALESCENTE</v>
      </c>
      <c r="F998" s="270">
        <f t="shared" si="128"/>
        <v>999.2</v>
      </c>
      <c r="G998" s="148">
        <f t="shared" si="129"/>
        <v>1.0008006405124099E-2</v>
      </c>
      <c r="H998" s="275">
        <v>10</v>
      </c>
      <c r="I998" s="272">
        <f>ROUND(F998/VLOOKUP(A998,'Tabela de Produtos'!A:J,10,0),0)</f>
        <v>787</v>
      </c>
      <c r="J998" s="97">
        <f>IFERROR(VLOOKUP(C998,'Custos Matéria Prima Embalagens'!B:G,6,0)*H998,"Matéria Prima Não Cadastrada")</f>
        <v>192.2</v>
      </c>
      <c r="K998" s="97">
        <f>IFERROR(J998/(I998/VLOOKUP(A998,'Tabela de Produtos'!A:H,8,0)),"Matéria Prima Não Cadastrada")</f>
        <v>0.7326556543837357</v>
      </c>
      <c r="L998" s="216"/>
    </row>
    <row r="999" spans="1:12" ht="15.75" customHeight="1">
      <c r="A999" s="114" t="s">
        <v>176</v>
      </c>
      <c r="B999" s="114" t="str">
        <f>VLOOKUP(A999,'Tabela de Produtos'!A:B,2,0)</f>
        <v>BRAZIMIL LÁTEX STANDARD INT/EXT SEMIBRILHO 3L AZUL CARIBE</v>
      </c>
      <c r="C999" s="48" t="s">
        <v>1209</v>
      </c>
      <c r="D999" s="114" t="str">
        <f>VLOOKUP(C999,'Custos Matéria Prima Embalagens'!B:C,2,0)</f>
        <v>WANFUNG WFT CE (BH-200)</v>
      </c>
      <c r="E999" s="114" t="str">
        <f>VLOOKUP(C999,'Custos Matéria Prima Embalagens'!B:D,3,0)</f>
        <v>FUNGICIDA</v>
      </c>
      <c r="F999" s="270">
        <f t="shared" si="128"/>
        <v>999.2</v>
      </c>
      <c r="G999" s="148">
        <f t="shared" si="129"/>
        <v>3.0024019215372298E-3</v>
      </c>
      <c r="H999" s="275">
        <v>3</v>
      </c>
      <c r="I999" s="272">
        <f>ROUND(F999/VLOOKUP(A999,'Tabela de Produtos'!A:J,10,0),0)</f>
        <v>787</v>
      </c>
      <c r="J999" s="97">
        <f>IFERROR(VLOOKUP(C999,'Custos Matéria Prima Embalagens'!B:G,6,0)*H999,"Matéria Prima Não Cadastrada")</f>
        <v>21</v>
      </c>
      <c r="K999" s="97">
        <f>IFERROR(J999/(I999/VLOOKUP(A999,'Tabela de Produtos'!A:H,8,0)),"Matéria Prima Não Cadastrada")</f>
        <v>8.0050825921219829E-2</v>
      </c>
      <c r="L999" s="216"/>
    </row>
    <row r="1000" spans="1:12" ht="15.75" customHeight="1">
      <c r="A1000" s="114" t="s">
        <v>176</v>
      </c>
      <c r="B1000" s="114" t="str">
        <f>VLOOKUP(A1000,'Tabela de Produtos'!A:B,2,0)</f>
        <v>BRAZIMIL LÁTEX STANDARD INT/EXT SEMIBRILHO 3L AZUL CARIBE</v>
      </c>
      <c r="C1000" s="48" t="s">
        <v>1219</v>
      </c>
      <c r="D1000" s="114" t="str">
        <f>VLOOKUP(C1000,'Custos Matéria Prima Embalagens'!B:C,2,0)</f>
        <v>WANALK 70 CE (BH-200)</v>
      </c>
      <c r="E1000" s="114" t="str">
        <f>VLOOKUP(C1000,'Custos Matéria Prima Embalagens'!B:D,3,0)</f>
        <v>ALCALINIZANTE</v>
      </c>
      <c r="F1000" s="270">
        <f t="shared" si="128"/>
        <v>999.2</v>
      </c>
      <c r="G1000" s="148">
        <f t="shared" si="129"/>
        <v>3.0024019215372298E-3</v>
      </c>
      <c r="H1000" s="275">
        <v>3</v>
      </c>
      <c r="I1000" s="272">
        <f>ROUND(F1000/VLOOKUP(A1000,'Tabela de Produtos'!A:J,10,0),0)</f>
        <v>787</v>
      </c>
      <c r="J1000" s="97">
        <f>IFERROR(VLOOKUP(C1000,'Custos Matéria Prima Embalagens'!B:G,6,0)*H1000,"Matéria Prima Não Cadastrada")</f>
        <v>14.940000000000001</v>
      </c>
      <c r="K1000" s="97">
        <f>IFERROR(J1000/(I1000/VLOOKUP(A1000,'Tabela de Produtos'!A:H,8,0)),"Matéria Prima Não Cadastrada")</f>
        <v>5.6950444726810684E-2</v>
      </c>
      <c r="L1000" s="216"/>
    </row>
    <row r="1001" spans="1:12" ht="15.75" customHeight="1">
      <c r="A1001" s="114" t="s">
        <v>176</v>
      </c>
      <c r="B1001" s="114" t="str">
        <f>VLOOKUP(A1001,'Tabela de Produtos'!A:B,2,0)</f>
        <v>BRAZIMIL LÁTEX STANDARD INT/EXT SEMIBRILHO 3L AZUL CARIBE</v>
      </c>
      <c r="C1001" s="48" t="s">
        <v>1221</v>
      </c>
      <c r="D1001" s="114" t="str">
        <f>VLOOKUP(C1001,'Custos Matéria Prima Embalagens'!B:C,2,0)</f>
        <v>MODIWAN 105H CE (CT-1000P)</v>
      </c>
      <c r="E1001" s="114" t="str">
        <f>VLOOKUP(C1001,'Custos Matéria Prima Embalagens'!B:D,3,0)</f>
        <v>ESPESSANTE DE MEDIA</v>
      </c>
      <c r="F1001" s="270">
        <f t="shared" si="128"/>
        <v>999.2</v>
      </c>
      <c r="G1001" s="148">
        <f t="shared" si="129"/>
        <v>2.0016012810248198E-2</v>
      </c>
      <c r="H1001" s="275">
        <v>20</v>
      </c>
      <c r="I1001" s="272">
        <f>ROUND(F1001/VLOOKUP(A1001,'Tabela de Produtos'!A:J,10,0),0)</f>
        <v>787</v>
      </c>
      <c r="J1001" s="97">
        <f>IFERROR(VLOOKUP(C1001,'Custos Matéria Prima Embalagens'!B:G,6,0)*H1001,"Matéria Prima Não Cadastrada")</f>
        <v>158.1</v>
      </c>
      <c r="K1001" s="97">
        <f>IFERROR(J1001/(I1001/VLOOKUP(A1001,'Tabela de Produtos'!A:H,8,0)),"Matéria Prima Não Cadastrada")</f>
        <v>0.60266836086404063</v>
      </c>
      <c r="L1001" s="216"/>
    </row>
    <row r="1002" spans="1:12" ht="15.75" customHeight="1">
      <c r="A1002" s="114" t="s">
        <v>176</v>
      </c>
      <c r="B1002" s="114" t="str">
        <f>VLOOKUP(A1002,'Tabela de Produtos'!A:B,2,0)</f>
        <v>BRAZIMIL LÁTEX STANDARD INT/EXT SEMIBRILHO 3L AZUL CARIBE</v>
      </c>
      <c r="C1002" s="48" t="s">
        <v>1270</v>
      </c>
      <c r="D1002" s="114" t="str">
        <f>VLOOKUP(C1002,'Custos Matéria Prima Embalagens'!B:C,2,0)</f>
        <v>MISTURA CONCENTRADO SEMI BRILHO</v>
      </c>
      <c r="E1002" s="114" t="str">
        <f>VLOOKUP(C1002,'Custos Matéria Prima Embalagens'!B:D,3,0)</f>
        <v>MISTURA CONCENTRADO SEMI BRILHO</v>
      </c>
      <c r="F1002" s="270">
        <f t="shared" si="128"/>
        <v>999.2</v>
      </c>
      <c r="G1002" s="148">
        <f t="shared" si="129"/>
        <v>0.244195356285028</v>
      </c>
      <c r="H1002" s="275">
        <v>244</v>
      </c>
      <c r="I1002" s="272">
        <f>ROUND(F1002/VLOOKUP(A1002,'Tabela de Produtos'!A:J,10,0),0)</f>
        <v>787</v>
      </c>
      <c r="J1002" s="97">
        <f>IFERROR(VLOOKUP(C1002,'Custos Matéria Prima Embalagens'!B:G,6,0)*H1002,"Matéria Prima Não Cadastrada")</f>
        <v>2188.6800000000003</v>
      </c>
      <c r="K1002" s="97">
        <f>IFERROR(J1002/(I1002/VLOOKUP(A1002,'Tabela de Produtos'!A:H,8,0)),"Matéria Prima Não Cadastrada")</f>
        <v>8.3431257941550214</v>
      </c>
      <c r="L1002" s="216"/>
    </row>
    <row r="1003" spans="1:12" ht="15.75" customHeight="1">
      <c r="D1003" s="114"/>
      <c r="E1003" s="114"/>
      <c r="F1003" s="96"/>
      <c r="G1003" s="148"/>
      <c r="H1003" s="96"/>
      <c r="I1003" s="272"/>
      <c r="J1003" s="97"/>
      <c r="K1003" s="97"/>
      <c r="L1003" s="216"/>
    </row>
    <row r="1004" spans="1:12" ht="15.75" customHeight="1">
      <c r="A1004" s="114" t="s">
        <v>177</v>
      </c>
      <c r="B1004" s="114" t="str">
        <f>VLOOKUP(A1004,'Tabela de Produtos'!A:B,2,0)</f>
        <v>BRAZIMIL LÁTEX STANDARD INT/EXT SEMIBRILHO 3L VERDE LIMA</v>
      </c>
      <c r="C1004" s="48" t="s">
        <v>1197</v>
      </c>
      <c r="D1004" s="114" t="str">
        <f>VLOOKUP(C1004,'Custos Matéria Prima Embalagens'!B:C,2,0)</f>
        <v>AGUA</v>
      </c>
      <c r="E1004" s="114" t="str">
        <f>VLOOKUP(C1004,'Custos Matéria Prima Embalagens'!B:D,3,0)</f>
        <v>AGUA</v>
      </c>
      <c r="F1004" s="270">
        <f t="shared" ref="F1004:F1015" si="130">SUMIFS(H:H,A:A,A1004)</f>
        <v>999.2</v>
      </c>
      <c r="G1004" s="148">
        <f t="shared" ref="G1004:G1015" si="131">H1004/F1004</f>
        <v>0.55044035228182542</v>
      </c>
      <c r="H1004" s="275">
        <v>550</v>
      </c>
      <c r="I1004" s="272">
        <f>ROUND(F1004/VLOOKUP(A1004,'Tabela de Produtos'!A:J,10,0),0)</f>
        <v>787</v>
      </c>
      <c r="J1004" s="97">
        <f>IFERROR(VLOOKUP(C1004,'Custos Matéria Prima Embalagens'!B:G,6,0)*H1004,"Matéria Prima Não Cadastrada")</f>
        <v>0</v>
      </c>
      <c r="K1004" s="97">
        <f>IFERROR(J1004/(I1004/VLOOKUP(A1004,'Tabela de Produtos'!A:H,8,0)),"Matéria Prima Não Cadastrada")</f>
        <v>0</v>
      </c>
      <c r="L1004" s="216"/>
    </row>
    <row r="1005" spans="1:12" ht="15.75" customHeight="1">
      <c r="A1005" s="114" t="s">
        <v>177</v>
      </c>
      <c r="B1005" s="114" t="str">
        <f>VLOOKUP(A1005,'Tabela de Produtos'!A:B,2,0)</f>
        <v>BRAZIMIL LÁTEX STANDARD INT/EXT SEMIBRILHO 3L VERDE LIMA</v>
      </c>
      <c r="C1005" s="48" t="s">
        <v>1199</v>
      </c>
      <c r="D1005" s="114" t="str">
        <f>VLOOKUP(C1005,'Custos Matéria Prima Embalagens'!B:C,2,0)</f>
        <v>HEXAMETAFOSFATO DE SODIO</v>
      </c>
      <c r="E1005" s="114" t="str">
        <f>VLOOKUP(C1005,'Custos Matéria Prima Embalagens'!B:D,3,0)</f>
        <v>HEXAMETAFOSFATO DE SODIO</v>
      </c>
      <c r="F1005" s="270">
        <f t="shared" si="130"/>
        <v>999.2</v>
      </c>
      <c r="G1005" s="148">
        <f t="shared" si="131"/>
        <v>1.2009607686148918E-3</v>
      </c>
      <c r="H1005" s="275">
        <v>1.2</v>
      </c>
      <c r="I1005" s="272">
        <f>ROUND(F1005/VLOOKUP(A1005,'Tabela de Produtos'!A:J,10,0),0)</f>
        <v>787</v>
      </c>
      <c r="J1005" s="97">
        <f>IFERROR(VLOOKUP(C1005,'Custos Matéria Prima Embalagens'!B:G,6,0)*H1005,"Matéria Prima Não Cadastrada")</f>
        <v>21.527999999999995</v>
      </c>
      <c r="K1005" s="97">
        <f>IFERROR(J1005/(I1005/VLOOKUP(A1005,'Tabela de Produtos'!A:H,8,0)),"Matéria Prima Não Cadastrada")</f>
        <v>8.2063532401524766E-2</v>
      </c>
      <c r="L1005" s="216"/>
    </row>
    <row r="1006" spans="1:12" ht="15.75" customHeight="1">
      <c r="A1006" s="114" t="s">
        <v>177</v>
      </c>
      <c r="B1006" s="114" t="str">
        <f>VLOOKUP(A1006,'Tabela de Produtos'!A:B,2,0)</f>
        <v>BRAZIMIL LÁTEX STANDARD INT/EXT SEMIBRILHO 3L VERDE LIMA</v>
      </c>
      <c r="C1006" s="48" t="s">
        <v>1201</v>
      </c>
      <c r="D1006" s="114" t="str">
        <f>VLOOKUP(C1006,'Custos Matéria Prima Embalagens'!B:C,2,0)</f>
        <v>WANFOAM 528 CE (BB-190)</v>
      </c>
      <c r="E1006" s="114" t="str">
        <f>VLOOKUP(C1006,'Custos Matéria Prima Embalagens'!B:D,3,0)</f>
        <v>ANTI ESPUMA LATEX</v>
      </c>
      <c r="F1006" s="270">
        <f t="shared" si="130"/>
        <v>999.2</v>
      </c>
      <c r="G1006" s="148">
        <f t="shared" si="131"/>
        <v>2.0016012810248197E-3</v>
      </c>
      <c r="H1006" s="275">
        <v>2</v>
      </c>
      <c r="I1006" s="272">
        <f>ROUND(F1006/VLOOKUP(A1006,'Tabela de Produtos'!A:J,10,0),0)</f>
        <v>787</v>
      </c>
      <c r="J1006" s="97">
        <f>IFERROR(VLOOKUP(C1006,'Custos Matéria Prima Embalagens'!B:G,6,0)*H1006,"Matéria Prima Não Cadastrada")</f>
        <v>14.36</v>
      </c>
      <c r="K1006" s="97">
        <f>IFERROR(J1006/(I1006/VLOOKUP(A1006,'Tabela de Produtos'!A:H,8,0)),"Matéria Prima Não Cadastrada")</f>
        <v>5.4739517153748411E-2</v>
      </c>
      <c r="L1006" s="216"/>
    </row>
    <row r="1007" spans="1:12" ht="15.75" customHeight="1">
      <c r="A1007" s="114" t="s">
        <v>177</v>
      </c>
      <c r="B1007" s="114" t="str">
        <f>VLOOKUP(A1007,'Tabela de Produtos'!A:B,2,0)</f>
        <v>BRAZIMIL LÁTEX STANDARD INT/EXT SEMIBRILHO 3L VERDE LIMA</v>
      </c>
      <c r="C1007" s="48" t="s">
        <v>1203</v>
      </c>
      <c r="D1007" s="114" t="str">
        <f>VLOOKUP(C1007,'Custos Matéria Prima Embalagens'!B:C,2,0)</f>
        <v>WANBAC WBT CE (BH-200)</v>
      </c>
      <c r="E1007" s="114" t="str">
        <f>VLOOKUP(C1007,'Custos Matéria Prima Embalagens'!B:D,3,0)</f>
        <v>BACTERICIDA</v>
      </c>
      <c r="F1007" s="270">
        <f t="shared" si="130"/>
        <v>999.2</v>
      </c>
      <c r="G1007" s="148">
        <f t="shared" si="131"/>
        <v>2.0016012810248197E-3</v>
      </c>
      <c r="H1007" s="275">
        <v>2</v>
      </c>
      <c r="I1007" s="272">
        <f>ROUND(F1007/VLOOKUP(A1007,'Tabela de Produtos'!A:J,10,0),0)</f>
        <v>787</v>
      </c>
      <c r="J1007" s="97">
        <f>IFERROR(VLOOKUP(C1007,'Custos Matéria Prima Embalagens'!B:G,6,0)*H1007,"Matéria Prima Não Cadastrada")</f>
        <v>9.879999999999999</v>
      </c>
      <c r="K1007" s="97">
        <f>IFERROR(J1007/(I1007/VLOOKUP(A1007,'Tabela de Produtos'!A:H,8,0)),"Matéria Prima Não Cadastrada")</f>
        <v>3.7662007623888182E-2</v>
      </c>
      <c r="L1007" s="216"/>
    </row>
    <row r="1008" spans="1:12" ht="15.75" customHeight="1">
      <c r="A1008" s="114" t="s">
        <v>177</v>
      </c>
      <c r="B1008" s="114" t="str">
        <f>VLOOKUP(A1008,'Tabela de Produtos'!A:B,2,0)</f>
        <v>BRAZIMIL LÁTEX STANDARD INT/EXT SEMIBRILHO 3L VERDE LIMA</v>
      </c>
      <c r="C1008" s="48" t="s">
        <v>1205</v>
      </c>
      <c r="D1008" s="114" t="str">
        <f>VLOOKUP(C1008,'Custos Matéria Prima Embalagens'!B:C,2,0)</f>
        <v>WANSUR 840 CE (BB-200)01</v>
      </c>
      <c r="E1008" s="114" t="str">
        <f>VLOOKUP(C1008,'Custos Matéria Prima Embalagens'!B:D,3,0)</f>
        <v>UMECTANTE</v>
      </c>
      <c r="F1008" s="270">
        <f t="shared" si="130"/>
        <v>999.2</v>
      </c>
      <c r="G1008" s="148">
        <f t="shared" si="131"/>
        <v>2.0016012810248197E-3</v>
      </c>
      <c r="H1008" s="275">
        <v>2</v>
      </c>
      <c r="I1008" s="272">
        <f>ROUND(F1008/VLOOKUP(A1008,'Tabela de Produtos'!A:J,10,0),0)</f>
        <v>787</v>
      </c>
      <c r="J1008" s="97">
        <f>IFERROR(VLOOKUP(C1008,'Custos Matéria Prima Embalagens'!B:G,6,0)*H1008,"Matéria Prima Não Cadastrada")</f>
        <v>14.66</v>
      </c>
      <c r="K1008" s="97">
        <f>IFERROR(J1008/(I1008/VLOOKUP(A1008,'Tabela de Produtos'!A:H,8,0)),"Matéria Prima Não Cadastrada")</f>
        <v>5.5883100381194414E-2</v>
      </c>
      <c r="L1008" s="216"/>
    </row>
    <row r="1009" spans="1:12" ht="15.75" customHeight="1">
      <c r="A1009" s="114" t="s">
        <v>177</v>
      </c>
      <c r="B1009" s="114" t="str">
        <f>VLOOKUP(A1009,'Tabela de Produtos'!A:B,2,0)</f>
        <v>BRAZIMIL LÁTEX STANDARD INT/EXT SEMIBRILHO 3L VERDE LIMA</v>
      </c>
      <c r="C1009" s="48" t="s">
        <v>1207</v>
      </c>
      <c r="D1009" s="114" t="str">
        <f>VLOOKUP(C1009,'Custos Matéria Prima Embalagens'!B:C,2,0)</f>
        <v>WANPEX 1510 (BB-200)</v>
      </c>
      <c r="E1009" s="114" t="str">
        <f>VLOOKUP(C1009,'Custos Matéria Prima Embalagens'!B:D,3,0)</f>
        <v>DISPERSANTE LATEX</v>
      </c>
      <c r="F1009" s="270">
        <f t="shared" si="130"/>
        <v>999.2</v>
      </c>
      <c r="G1009" s="148">
        <f t="shared" si="131"/>
        <v>2.0016012810248197E-3</v>
      </c>
      <c r="H1009" s="275">
        <v>2</v>
      </c>
      <c r="I1009" s="272">
        <f>ROUND(F1009/VLOOKUP(A1009,'Tabela de Produtos'!A:J,10,0),0)</f>
        <v>787</v>
      </c>
      <c r="J1009" s="97">
        <f>IFERROR(VLOOKUP(C1009,'Custos Matéria Prima Embalagens'!B:G,6,0)*H1009,"Matéria Prima Não Cadastrada")</f>
        <v>13.719999999999999</v>
      </c>
      <c r="K1009" s="97">
        <f>IFERROR(J1009/(I1009/VLOOKUP(A1009,'Tabela de Produtos'!A:H,8,0)),"Matéria Prima Não Cadastrada")</f>
        <v>5.2299872935196952E-2</v>
      </c>
      <c r="L1009" s="216"/>
    </row>
    <row r="1010" spans="1:12" ht="15.75" customHeight="1">
      <c r="A1010" s="114" t="s">
        <v>177</v>
      </c>
      <c r="B1010" s="114" t="str">
        <f>VLOOKUP(A1010,'Tabela de Produtos'!A:B,2,0)</f>
        <v>BRAZIMIL LÁTEX STANDARD INT/EXT SEMIBRILHO 3L VERDE LIMA</v>
      </c>
      <c r="C1010" s="48" t="s">
        <v>1217</v>
      </c>
      <c r="D1010" s="114" t="str">
        <f>VLOOKUP(C1010,'Custos Matéria Prima Embalagens'!B:C,2,0)</f>
        <v>WANCRIL W 51 CE (CT-1000P)</v>
      </c>
      <c r="E1010" s="114" t="str">
        <f>VLOOKUP(C1010,'Custos Matéria Prima Embalagens'!B:D,3,0)</f>
        <v>RESINA ACRILICA ESTIRENADA</v>
      </c>
      <c r="F1010" s="270">
        <f t="shared" si="130"/>
        <v>999.2</v>
      </c>
      <c r="G1010" s="148">
        <f t="shared" si="131"/>
        <v>0.16012810248198558</v>
      </c>
      <c r="H1010" s="275">
        <v>160</v>
      </c>
      <c r="I1010" s="272">
        <f>ROUND(F1010/VLOOKUP(A1010,'Tabela de Produtos'!A:J,10,0),0)</f>
        <v>787</v>
      </c>
      <c r="J1010" s="97">
        <f>IFERROR(VLOOKUP(C1010,'Custos Matéria Prima Embalagens'!B:G,6,0)*H1010,"Matéria Prima Não Cadastrada")</f>
        <v>1348.8</v>
      </c>
      <c r="K1010" s="97">
        <f>IFERROR(J1010/(I1010/VLOOKUP(A1010,'Tabela de Produtos'!A:H,8,0)),"Matéria Prima Não Cadastrada")</f>
        <v>5.1415501905972052</v>
      </c>
      <c r="L1010" s="216"/>
    </row>
    <row r="1011" spans="1:12" ht="15.75" customHeight="1">
      <c r="A1011" s="114" t="s">
        <v>177</v>
      </c>
      <c r="B1011" s="114" t="str">
        <f>VLOOKUP(A1011,'Tabela de Produtos'!A:B,2,0)</f>
        <v>BRAZIMIL LÁTEX STANDARD INT/EXT SEMIBRILHO 3L VERDE LIMA</v>
      </c>
      <c r="C1011" s="48" t="s">
        <v>1229</v>
      </c>
      <c r="D1011" s="114" t="str">
        <f>VLOOKUP(C1011,'Custos Matéria Prima Embalagens'!B:C,2,0)</f>
        <v>WANSOL 340 CE (BB-200)</v>
      </c>
      <c r="E1011" s="114" t="str">
        <f>VLOOKUP(C1011,'Custos Matéria Prima Embalagens'!B:D,3,0)</f>
        <v>COALESCENTE</v>
      </c>
      <c r="F1011" s="270">
        <f t="shared" si="130"/>
        <v>999.2</v>
      </c>
      <c r="G1011" s="148">
        <f t="shared" si="131"/>
        <v>1.0008006405124099E-2</v>
      </c>
      <c r="H1011" s="275">
        <v>10</v>
      </c>
      <c r="I1011" s="272">
        <f>ROUND(F1011/VLOOKUP(A1011,'Tabela de Produtos'!A:J,10,0),0)</f>
        <v>787</v>
      </c>
      <c r="J1011" s="97">
        <f>IFERROR(VLOOKUP(C1011,'Custos Matéria Prima Embalagens'!B:G,6,0)*H1011,"Matéria Prima Não Cadastrada")</f>
        <v>192.2</v>
      </c>
      <c r="K1011" s="97">
        <f>IFERROR(J1011/(I1011/VLOOKUP(A1011,'Tabela de Produtos'!A:H,8,0)),"Matéria Prima Não Cadastrada")</f>
        <v>0.7326556543837357</v>
      </c>
      <c r="L1011" s="216"/>
    </row>
    <row r="1012" spans="1:12" ht="15.75" customHeight="1">
      <c r="A1012" s="114" t="s">
        <v>177</v>
      </c>
      <c r="B1012" s="114" t="str">
        <f>VLOOKUP(A1012,'Tabela de Produtos'!A:B,2,0)</f>
        <v>BRAZIMIL LÁTEX STANDARD INT/EXT SEMIBRILHO 3L VERDE LIMA</v>
      </c>
      <c r="C1012" s="48" t="s">
        <v>1209</v>
      </c>
      <c r="D1012" s="114" t="str">
        <f>VLOOKUP(C1012,'Custos Matéria Prima Embalagens'!B:C,2,0)</f>
        <v>WANFUNG WFT CE (BH-200)</v>
      </c>
      <c r="E1012" s="114" t="str">
        <f>VLOOKUP(C1012,'Custos Matéria Prima Embalagens'!B:D,3,0)</f>
        <v>FUNGICIDA</v>
      </c>
      <c r="F1012" s="270">
        <f t="shared" si="130"/>
        <v>999.2</v>
      </c>
      <c r="G1012" s="148">
        <f t="shared" si="131"/>
        <v>3.0024019215372298E-3</v>
      </c>
      <c r="H1012" s="275">
        <v>3</v>
      </c>
      <c r="I1012" s="272">
        <f>ROUND(F1012/VLOOKUP(A1012,'Tabela de Produtos'!A:J,10,0),0)</f>
        <v>787</v>
      </c>
      <c r="J1012" s="97">
        <f>IFERROR(VLOOKUP(C1012,'Custos Matéria Prima Embalagens'!B:G,6,0)*H1012,"Matéria Prima Não Cadastrada")</f>
        <v>21</v>
      </c>
      <c r="K1012" s="97">
        <f>IFERROR(J1012/(I1012/VLOOKUP(A1012,'Tabela de Produtos'!A:H,8,0)),"Matéria Prima Não Cadastrada")</f>
        <v>8.0050825921219829E-2</v>
      </c>
      <c r="L1012" s="216"/>
    </row>
    <row r="1013" spans="1:12" ht="15.75" customHeight="1">
      <c r="A1013" s="114" t="s">
        <v>177</v>
      </c>
      <c r="B1013" s="114" t="str">
        <f>VLOOKUP(A1013,'Tabela de Produtos'!A:B,2,0)</f>
        <v>BRAZIMIL LÁTEX STANDARD INT/EXT SEMIBRILHO 3L VERDE LIMA</v>
      </c>
      <c r="C1013" s="48" t="s">
        <v>1219</v>
      </c>
      <c r="D1013" s="114" t="str">
        <f>VLOOKUP(C1013,'Custos Matéria Prima Embalagens'!B:C,2,0)</f>
        <v>WANALK 70 CE (BH-200)</v>
      </c>
      <c r="E1013" s="114" t="str">
        <f>VLOOKUP(C1013,'Custos Matéria Prima Embalagens'!B:D,3,0)</f>
        <v>ALCALINIZANTE</v>
      </c>
      <c r="F1013" s="270">
        <f t="shared" si="130"/>
        <v>999.2</v>
      </c>
      <c r="G1013" s="148">
        <f t="shared" si="131"/>
        <v>3.0024019215372298E-3</v>
      </c>
      <c r="H1013" s="275">
        <v>3</v>
      </c>
      <c r="I1013" s="272">
        <f>ROUND(F1013/VLOOKUP(A1013,'Tabela de Produtos'!A:J,10,0),0)</f>
        <v>787</v>
      </c>
      <c r="J1013" s="97">
        <f>IFERROR(VLOOKUP(C1013,'Custos Matéria Prima Embalagens'!B:G,6,0)*H1013,"Matéria Prima Não Cadastrada")</f>
        <v>14.940000000000001</v>
      </c>
      <c r="K1013" s="97">
        <f>IFERROR(J1013/(I1013/VLOOKUP(A1013,'Tabela de Produtos'!A:H,8,0)),"Matéria Prima Não Cadastrada")</f>
        <v>5.6950444726810684E-2</v>
      </c>
      <c r="L1013" s="216"/>
    </row>
    <row r="1014" spans="1:12" ht="15.75" customHeight="1">
      <c r="A1014" s="114" t="s">
        <v>177</v>
      </c>
      <c r="B1014" s="114" t="str">
        <f>VLOOKUP(A1014,'Tabela de Produtos'!A:B,2,0)</f>
        <v>BRAZIMIL LÁTEX STANDARD INT/EXT SEMIBRILHO 3L VERDE LIMA</v>
      </c>
      <c r="C1014" s="48" t="s">
        <v>1221</v>
      </c>
      <c r="D1014" s="114" t="str">
        <f>VLOOKUP(C1014,'Custos Matéria Prima Embalagens'!B:C,2,0)</f>
        <v>MODIWAN 105H CE (CT-1000P)</v>
      </c>
      <c r="E1014" s="114" t="str">
        <f>VLOOKUP(C1014,'Custos Matéria Prima Embalagens'!B:D,3,0)</f>
        <v>ESPESSANTE DE MEDIA</v>
      </c>
      <c r="F1014" s="270">
        <f t="shared" si="130"/>
        <v>999.2</v>
      </c>
      <c r="G1014" s="148">
        <f t="shared" si="131"/>
        <v>2.0016012810248198E-2</v>
      </c>
      <c r="H1014" s="275">
        <v>20</v>
      </c>
      <c r="I1014" s="272">
        <f>ROUND(F1014/VLOOKUP(A1014,'Tabela de Produtos'!A:J,10,0),0)</f>
        <v>787</v>
      </c>
      <c r="J1014" s="97">
        <f>IFERROR(VLOOKUP(C1014,'Custos Matéria Prima Embalagens'!B:G,6,0)*H1014,"Matéria Prima Não Cadastrada")</f>
        <v>158.1</v>
      </c>
      <c r="K1014" s="97">
        <f>IFERROR(J1014/(I1014/VLOOKUP(A1014,'Tabela de Produtos'!A:H,8,0)),"Matéria Prima Não Cadastrada")</f>
        <v>0.60266836086404063</v>
      </c>
      <c r="L1014" s="216"/>
    </row>
    <row r="1015" spans="1:12" ht="15.75" customHeight="1">
      <c r="A1015" s="114" t="s">
        <v>177</v>
      </c>
      <c r="B1015" s="114" t="str">
        <f>VLOOKUP(A1015,'Tabela de Produtos'!A:B,2,0)</f>
        <v>BRAZIMIL LÁTEX STANDARD INT/EXT SEMIBRILHO 3L VERDE LIMA</v>
      </c>
      <c r="C1015" s="48" t="s">
        <v>1270</v>
      </c>
      <c r="D1015" s="114" t="str">
        <f>VLOOKUP(C1015,'Custos Matéria Prima Embalagens'!B:C,2,0)</f>
        <v>MISTURA CONCENTRADO SEMI BRILHO</v>
      </c>
      <c r="E1015" s="114" t="str">
        <f>VLOOKUP(C1015,'Custos Matéria Prima Embalagens'!B:D,3,0)</f>
        <v>MISTURA CONCENTRADO SEMI BRILHO</v>
      </c>
      <c r="F1015" s="270">
        <f t="shared" si="130"/>
        <v>999.2</v>
      </c>
      <c r="G1015" s="148">
        <f t="shared" si="131"/>
        <v>0.244195356285028</v>
      </c>
      <c r="H1015" s="275">
        <v>244</v>
      </c>
      <c r="I1015" s="272">
        <f>ROUND(F1015/VLOOKUP(A1015,'Tabela de Produtos'!A:J,10,0),0)</f>
        <v>787</v>
      </c>
      <c r="J1015" s="97">
        <f>IFERROR(VLOOKUP(C1015,'Custos Matéria Prima Embalagens'!B:G,6,0)*H1015,"Matéria Prima Não Cadastrada")</f>
        <v>2188.6800000000003</v>
      </c>
      <c r="K1015" s="97">
        <f>IFERROR(J1015/(I1015/VLOOKUP(A1015,'Tabela de Produtos'!A:H,8,0)),"Matéria Prima Não Cadastrada")</f>
        <v>8.3431257941550214</v>
      </c>
      <c r="L1015" s="216"/>
    </row>
    <row r="1016" spans="1:12" ht="15" customHeight="1">
      <c r="D1016" s="114"/>
      <c r="E1016" s="114"/>
      <c r="G1016" s="273"/>
      <c r="H1016" s="96"/>
      <c r="L1016" s="216"/>
    </row>
    <row r="1017" spans="1:12" ht="15.75" customHeight="1">
      <c r="A1017" s="114" t="s">
        <v>178</v>
      </c>
      <c r="B1017" s="114" t="str">
        <f>VLOOKUP(A1017,'Tabela de Produtos'!A:B,2,0)</f>
        <v>BRAZIMIL LÁTEX STANDARD INT/EXT SEMIBRILHO 3L PEROLA</v>
      </c>
      <c r="C1017" s="48" t="s">
        <v>1197</v>
      </c>
      <c r="D1017" s="114" t="str">
        <f>VLOOKUP(C1017,'Custos Matéria Prima Embalagens'!B:C,2,0)</f>
        <v>AGUA</v>
      </c>
      <c r="E1017" s="114" t="str">
        <f>VLOOKUP(C1017,'Custos Matéria Prima Embalagens'!B:D,3,0)</f>
        <v>AGUA</v>
      </c>
      <c r="F1017" s="270">
        <f t="shared" ref="F1017:F1028" si="132">SUMIFS(H:H,A:A,A1017)</f>
        <v>999.2</v>
      </c>
      <c r="G1017" s="148">
        <f t="shared" ref="G1017:G1028" si="133">H1017/F1017</f>
        <v>0.55044035228182542</v>
      </c>
      <c r="H1017" s="275">
        <v>550</v>
      </c>
      <c r="I1017" s="272">
        <f>ROUND(F1017/VLOOKUP(A1017,'Tabela de Produtos'!A:J,10,0),0)</f>
        <v>787</v>
      </c>
      <c r="J1017" s="97">
        <f>IFERROR(VLOOKUP(C1017,'Custos Matéria Prima Embalagens'!B:G,6,0)*H1017,"Matéria Prima Não Cadastrada")</f>
        <v>0</v>
      </c>
      <c r="K1017" s="97">
        <f>IFERROR(J1017/(I1017/VLOOKUP(A1017,'Tabela de Produtos'!A:H,8,0)),"Matéria Prima Não Cadastrada")</f>
        <v>0</v>
      </c>
      <c r="L1017" s="216"/>
    </row>
    <row r="1018" spans="1:12" ht="15.75" customHeight="1">
      <c r="A1018" s="114" t="s">
        <v>178</v>
      </c>
      <c r="B1018" s="114" t="str">
        <f>VLOOKUP(A1018,'Tabela de Produtos'!A:B,2,0)</f>
        <v>BRAZIMIL LÁTEX STANDARD INT/EXT SEMIBRILHO 3L PEROLA</v>
      </c>
      <c r="C1018" s="48" t="s">
        <v>1199</v>
      </c>
      <c r="D1018" s="114" t="str">
        <f>VLOOKUP(C1018,'Custos Matéria Prima Embalagens'!B:C,2,0)</f>
        <v>HEXAMETAFOSFATO DE SODIO</v>
      </c>
      <c r="E1018" s="114" t="str">
        <f>VLOOKUP(C1018,'Custos Matéria Prima Embalagens'!B:D,3,0)</f>
        <v>HEXAMETAFOSFATO DE SODIO</v>
      </c>
      <c r="F1018" s="270">
        <f t="shared" si="132"/>
        <v>999.2</v>
      </c>
      <c r="G1018" s="148">
        <f t="shared" si="133"/>
        <v>1.2009607686148918E-3</v>
      </c>
      <c r="H1018" s="275">
        <v>1.2</v>
      </c>
      <c r="I1018" s="272">
        <f>ROUND(F1018/VLOOKUP(A1018,'Tabela de Produtos'!A:J,10,0),0)</f>
        <v>787</v>
      </c>
      <c r="J1018" s="97">
        <f>IFERROR(VLOOKUP(C1018,'Custos Matéria Prima Embalagens'!B:G,6,0)*H1018,"Matéria Prima Não Cadastrada")</f>
        <v>21.527999999999995</v>
      </c>
      <c r="K1018" s="97">
        <f>IFERROR(J1018/(I1018/VLOOKUP(A1018,'Tabela de Produtos'!A:H,8,0)),"Matéria Prima Não Cadastrada")</f>
        <v>8.2063532401524766E-2</v>
      </c>
      <c r="L1018" s="216"/>
    </row>
    <row r="1019" spans="1:12" ht="15.75" customHeight="1">
      <c r="A1019" s="114" t="s">
        <v>178</v>
      </c>
      <c r="B1019" s="114" t="str">
        <f>VLOOKUP(A1019,'Tabela de Produtos'!A:B,2,0)</f>
        <v>BRAZIMIL LÁTEX STANDARD INT/EXT SEMIBRILHO 3L PEROLA</v>
      </c>
      <c r="C1019" s="48" t="s">
        <v>1201</v>
      </c>
      <c r="D1019" s="114" t="str">
        <f>VLOOKUP(C1019,'Custos Matéria Prima Embalagens'!B:C,2,0)</f>
        <v>WANFOAM 528 CE (BB-190)</v>
      </c>
      <c r="E1019" s="114" t="str">
        <f>VLOOKUP(C1019,'Custos Matéria Prima Embalagens'!B:D,3,0)</f>
        <v>ANTI ESPUMA LATEX</v>
      </c>
      <c r="F1019" s="270">
        <f t="shared" si="132"/>
        <v>999.2</v>
      </c>
      <c r="G1019" s="148">
        <f t="shared" si="133"/>
        <v>2.0016012810248197E-3</v>
      </c>
      <c r="H1019" s="275">
        <v>2</v>
      </c>
      <c r="I1019" s="272">
        <f>ROUND(F1019/VLOOKUP(A1019,'Tabela de Produtos'!A:J,10,0),0)</f>
        <v>787</v>
      </c>
      <c r="J1019" s="97">
        <f>IFERROR(VLOOKUP(C1019,'Custos Matéria Prima Embalagens'!B:G,6,0)*H1019,"Matéria Prima Não Cadastrada")</f>
        <v>14.36</v>
      </c>
      <c r="K1019" s="97">
        <f>IFERROR(J1019/(I1019/VLOOKUP(A1019,'Tabela de Produtos'!A:H,8,0)),"Matéria Prima Não Cadastrada")</f>
        <v>5.4739517153748411E-2</v>
      </c>
      <c r="L1019" s="216"/>
    </row>
    <row r="1020" spans="1:12" ht="15.75" customHeight="1">
      <c r="A1020" s="114" t="s">
        <v>178</v>
      </c>
      <c r="B1020" s="114" t="str">
        <f>VLOOKUP(A1020,'Tabela de Produtos'!A:B,2,0)</f>
        <v>BRAZIMIL LÁTEX STANDARD INT/EXT SEMIBRILHO 3L PEROLA</v>
      </c>
      <c r="C1020" s="48" t="s">
        <v>1203</v>
      </c>
      <c r="D1020" s="114" t="str">
        <f>VLOOKUP(C1020,'Custos Matéria Prima Embalagens'!B:C,2,0)</f>
        <v>WANBAC WBT CE (BH-200)</v>
      </c>
      <c r="E1020" s="114" t="str">
        <f>VLOOKUP(C1020,'Custos Matéria Prima Embalagens'!B:D,3,0)</f>
        <v>BACTERICIDA</v>
      </c>
      <c r="F1020" s="270">
        <f t="shared" si="132"/>
        <v>999.2</v>
      </c>
      <c r="G1020" s="148">
        <f t="shared" si="133"/>
        <v>2.0016012810248197E-3</v>
      </c>
      <c r="H1020" s="275">
        <v>2</v>
      </c>
      <c r="I1020" s="272">
        <f>ROUND(F1020/VLOOKUP(A1020,'Tabela de Produtos'!A:J,10,0),0)</f>
        <v>787</v>
      </c>
      <c r="J1020" s="97">
        <f>IFERROR(VLOOKUP(C1020,'Custos Matéria Prima Embalagens'!B:G,6,0)*H1020,"Matéria Prima Não Cadastrada")</f>
        <v>9.879999999999999</v>
      </c>
      <c r="K1020" s="97">
        <f>IFERROR(J1020/(I1020/VLOOKUP(A1020,'Tabela de Produtos'!A:H,8,0)),"Matéria Prima Não Cadastrada")</f>
        <v>3.7662007623888182E-2</v>
      </c>
      <c r="L1020" s="216"/>
    </row>
    <row r="1021" spans="1:12" ht="15.75" customHeight="1">
      <c r="A1021" s="114" t="s">
        <v>178</v>
      </c>
      <c r="B1021" s="114" t="str">
        <f>VLOOKUP(A1021,'Tabela de Produtos'!A:B,2,0)</f>
        <v>BRAZIMIL LÁTEX STANDARD INT/EXT SEMIBRILHO 3L PEROLA</v>
      </c>
      <c r="C1021" s="48" t="s">
        <v>1205</v>
      </c>
      <c r="D1021" s="114" t="str">
        <f>VLOOKUP(C1021,'Custos Matéria Prima Embalagens'!B:C,2,0)</f>
        <v>WANSUR 840 CE (BB-200)01</v>
      </c>
      <c r="E1021" s="114" t="str">
        <f>VLOOKUP(C1021,'Custos Matéria Prima Embalagens'!B:D,3,0)</f>
        <v>UMECTANTE</v>
      </c>
      <c r="F1021" s="270">
        <f t="shared" si="132"/>
        <v>999.2</v>
      </c>
      <c r="G1021" s="148">
        <f t="shared" si="133"/>
        <v>2.0016012810248197E-3</v>
      </c>
      <c r="H1021" s="275">
        <v>2</v>
      </c>
      <c r="I1021" s="272">
        <f>ROUND(F1021/VLOOKUP(A1021,'Tabela de Produtos'!A:J,10,0),0)</f>
        <v>787</v>
      </c>
      <c r="J1021" s="97">
        <f>IFERROR(VLOOKUP(C1021,'Custos Matéria Prima Embalagens'!B:G,6,0)*H1021,"Matéria Prima Não Cadastrada")</f>
        <v>14.66</v>
      </c>
      <c r="K1021" s="97">
        <f>IFERROR(J1021/(I1021/VLOOKUP(A1021,'Tabela de Produtos'!A:H,8,0)),"Matéria Prima Não Cadastrada")</f>
        <v>5.5883100381194414E-2</v>
      </c>
      <c r="L1021" s="216"/>
    </row>
    <row r="1022" spans="1:12" ht="15.75" customHeight="1">
      <c r="A1022" s="114" t="s">
        <v>178</v>
      </c>
      <c r="B1022" s="114" t="str">
        <f>VLOOKUP(A1022,'Tabela de Produtos'!A:B,2,0)</f>
        <v>BRAZIMIL LÁTEX STANDARD INT/EXT SEMIBRILHO 3L PEROLA</v>
      </c>
      <c r="C1022" s="48" t="s">
        <v>1207</v>
      </c>
      <c r="D1022" s="114" t="str">
        <f>VLOOKUP(C1022,'Custos Matéria Prima Embalagens'!B:C,2,0)</f>
        <v>WANPEX 1510 (BB-200)</v>
      </c>
      <c r="E1022" s="114" t="str">
        <f>VLOOKUP(C1022,'Custos Matéria Prima Embalagens'!B:D,3,0)</f>
        <v>DISPERSANTE LATEX</v>
      </c>
      <c r="F1022" s="270">
        <f t="shared" si="132"/>
        <v>999.2</v>
      </c>
      <c r="G1022" s="148">
        <f t="shared" si="133"/>
        <v>2.0016012810248197E-3</v>
      </c>
      <c r="H1022" s="275">
        <v>2</v>
      </c>
      <c r="I1022" s="272">
        <f>ROUND(F1022/VLOOKUP(A1022,'Tabela de Produtos'!A:J,10,0),0)</f>
        <v>787</v>
      </c>
      <c r="J1022" s="97">
        <f>IFERROR(VLOOKUP(C1022,'Custos Matéria Prima Embalagens'!B:G,6,0)*H1022,"Matéria Prima Não Cadastrada")</f>
        <v>13.719999999999999</v>
      </c>
      <c r="K1022" s="97">
        <f>IFERROR(J1022/(I1022/VLOOKUP(A1022,'Tabela de Produtos'!A:H,8,0)),"Matéria Prima Não Cadastrada")</f>
        <v>5.2299872935196952E-2</v>
      </c>
      <c r="L1022" s="216"/>
    </row>
    <row r="1023" spans="1:12" ht="15.75" customHeight="1">
      <c r="A1023" s="114" t="s">
        <v>178</v>
      </c>
      <c r="B1023" s="114" t="str">
        <f>VLOOKUP(A1023,'Tabela de Produtos'!A:B,2,0)</f>
        <v>BRAZIMIL LÁTEX STANDARD INT/EXT SEMIBRILHO 3L PEROLA</v>
      </c>
      <c r="C1023" s="48" t="s">
        <v>1217</v>
      </c>
      <c r="D1023" s="114" t="str">
        <f>VLOOKUP(C1023,'Custos Matéria Prima Embalagens'!B:C,2,0)</f>
        <v>WANCRIL W 51 CE (CT-1000P)</v>
      </c>
      <c r="E1023" s="114" t="str">
        <f>VLOOKUP(C1023,'Custos Matéria Prima Embalagens'!B:D,3,0)</f>
        <v>RESINA ACRILICA ESTIRENADA</v>
      </c>
      <c r="F1023" s="270">
        <f t="shared" si="132"/>
        <v>999.2</v>
      </c>
      <c r="G1023" s="148">
        <f t="shared" si="133"/>
        <v>0.16012810248198558</v>
      </c>
      <c r="H1023" s="275">
        <v>160</v>
      </c>
      <c r="I1023" s="272">
        <f>ROUND(F1023/VLOOKUP(A1023,'Tabela de Produtos'!A:J,10,0),0)</f>
        <v>787</v>
      </c>
      <c r="J1023" s="97">
        <f>IFERROR(VLOOKUP(C1023,'Custos Matéria Prima Embalagens'!B:G,6,0)*H1023,"Matéria Prima Não Cadastrada")</f>
        <v>1348.8</v>
      </c>
      <c r="K1023" s="97">
        <f>IFERROR(J1023/(I1023/VLOOKUP(A1023,'Tabela de Produtos'!A:H,8,0)),"Matéria Prima Não Cadastrada")</f>
        <v>5.1415501905972052</v>
      </c>
      <c r="L1023" s="216"/>
    </row>
    <row r="1024" spans="1:12" ht="15.75" customHeight="1">
      <c r="A1024" s="114" t="s">
        <v>178</v>
      </c>
      <c r="B1024" s="114" t="str">
        <f>VLOOKUP(A1024,'Tabela de Produtos'!A:B,2,0)</f>
        <v>BRAZIMIL LÁTEX STANDARD INT/EXT SEMIBRILHO 3L PEROLA</v>
      </c>
      <c r="C1024" s="48" t="s">
        <v>1229</v>
      </c>
      <c r="D1024" s="114" t="str">
        <f>VLOOKUP(C1024,'Custos Matéria Prima Embalagens'!B:C,2,0)</f>
        <v>WANSOL 340 CE (BB-200)</v>
      </c>
      <c r="E1024" s="114" t="str">
        <f>VLOOKUP(C1024,'Custos Matéria Prima Embalagens'!B:D,3,0)</f>
        <v>COALESCENTE</v>
      </c>
      <c r="F1024" s="270">
        <f t="shared" si="132"/>
        <v>999.2</v>
      </c>
      <c r="G1024" s="148">
        <f t="shared" si="133"/>
        <v>1.0008006405124099E-2</v>
      </c>
      <c r="H1024" s="275">
        <v>10</v>
      </c>
      <c r="I1024" s="272">
        <f>ROUND(F1024/VLOOKUP(A1024,'Tabela de Produtos'!A:J,10,0),0)</f>
        <v>787</v>
      </c>
      <c r="J1024" s="97">
        <f>IFERROR(VLOOKUP(C1024,'Custos Matéria Prima Embalagens'!B:G,6,0)*H1024,"Matéria Prima Não Cadastrada")</f>
        <v>192.2</v>
      </c>
      <c r="K1024" s="97">
        <f>IFERROR(J1024/(I1024/VLOOKUP(A1024,'Tabela de Produtos'!A:H,8,0)),"Matéria Prima Não Cadastrada")</f>
        <v>0.7326556543837357</v>
      </c>
      <c r="L1024" s="216"/>
    </row>
    <row r="1025" spans="1:12" ht="15.75" customHeight="1">
      <c r="A1025" s="114" t="s">
        <v>178</v>
      </c>
      <c r="B1025" s="114" t="str">
        <f>VLOOKUP(A1025,'Tabela de Produtos'!A:B,2,0)</f>
        <v>BRAZIMIL LÁTEX STANDARD INT/EXT SEMIBRILHO 3L PEROLA</v>
      </c>
      <c r="C1025" s="48" t="s">
        <v>1209</v>
      </c>
      <c r="D1025" s="114" t="str">
        <f>VLOOKUP(C1025,'Custos Matéria Prima Embalagens'!B:C,2,0)</f>
        <v>WANFUNG WFT CE (BH-200)</v>
      </c>
      <c r="E1025" s="114" t="str">
        <f>VLOOKUP(C1025,'Custos Matéria Prima Embalagens'!B:D,3,0)</f>
        <v>FUNGICIDA</v>
      </c>
      <c r="F1025" s="270">
        <f t="shared" si="132"/>
        <v>999.2</v>
      </c>
      <c r="G1025" s="148">
        <f t="shared" si="133"/>
        <v>3.0024019215372298E-3</v>
      </c>
      <c r="H1025" s="275">
        <v>3</v>
      </c>
      <c r="I1025" s="272">
        <f>ROUND(F1025/VLOOKUP(A1025,'Tabela de Produtos'!A:J,10,0),0)</f>
        <v>787</v>
      </c>
      <c r="J1025" s="97">
        <f>IFERROR(VLOOKUP(C1025,'Custos Matéria Prima Embalagens'!B:G,6,0)*H1025,"Matéria Prima Não Cadastrada")</f>
        <v>21</v>
      </c>
      <c r="K1025" s="97">
        <f>IFERROR(J1025/(I1025/VLOOKUP(A1025,'Tabela de Produtos'!A:H,8,0)),"Matéria Prima Não Cadastrada")</f>
        <v>8.0050825921219829E-2</v>
      </c>
      <c r="L1025" s="216"/>
    </row>
    <row r="1026" spans="1:12" ht="15.75" customHeight="1">
      <c r="A1026" s="114" t="s">
        <v>178</v>
      </c>
      <c r="B1026" s="114" t="str">
        <f>VLOOKUP(A1026,'Tabela de Produtos'!A:B,2,0)</f>
        <v>BRAZIMIL LÁTEX STANDARD INT/EXT SEMIBRILHO 3L PEROLA</v>
      </c>
      <c r="C1026" s="48" t="s">
        <v>1219</v>
      </c>
      <c r="D1026" s="114" t="str">
        <f>VLOOKUP(C1026,'Custos Matéria Prima Embalagens'!B:C,2,0)</f>
        <v>WANALK 70 CE (BH-200)</v>
      </c>
      <c r="E1026" s="114" t="str">
        <f>VLOOKUP(C1026,'Custos Matéria Prima Embalagens'!B:D,3,0)</f>
        <v>ALCALINIZANTE</v>
      </c>
      <c r="F1026" s="270">
        <f t="shared" si="132"/>
        <v>999.2</v>
      </c>
      <c r="G1026" s="148">
        <f t="shared" si="133"/>
        <v>3.0024019215372298E-3</v>
      </c>
      <c r="H1026" s="275">
        <v>3</v>
      </c>
      <c r="I1026" s="272">
        <f>ROUND(F1026/VLOOKUP(A1026,'Tabela de Produtos'!A:J,10,0),0)</f>
        <v>787</v>
      </c>
      <c r="J1026" s="97">
        <f>IFERROR(VLOOKUP(C1026,'Custos Matéria Prima Embalagens'!B:G,6,0)*H1026,"Matéria Prima Não Cadastrada")</f>
        <v>14.940000000000001</v>
      </c>
      <c r="K1026" s="97">
        <f>IFERROR(J1026/(I1026/VLOOKUP(A1026,'Tabela de Produtos'!A:H,8,0)),"Matéria Prima Não Cadastrada")</f>
        <v>5.6950444726810684E-2</v>
      </c>
      <c r="L1026" s="216"/>
    </row>
    <row r="1027" spans="1:12" ht="15.75" customHeight="1">
      <c r="A1027" s="114" t="s">
        <v>178</v>
      </c>
      <c r="B1027" s="114" t="str">
        <f>VLOOKUP(A1027,'Tabela de Produtos'!A:B,2,0)</f>
        <v>BRAZIMIL LÁTEX STANDARD INT/EXT SEMIBRILHO 3L PEROLA</v>
      </c>
      <c r="C1027" s="48" t="s">
        <v>1221</v>
      </c>
      <c r="D1027" s="114" t="str">
        <f>VLOOKUP(C1027,'Custos Matéria Prima Embalagens'!B:C,2,0)</f>
        <v>MODIWAN 105H CE (CT-1000P)</v>
      </c>
      <c r="E1027" s="114" t="str">
        <f>VLOOKUP(C1027,'Custos Matéria Prima Embalagens'!B:D,3,0)</f>
        <v>ESPESSANTE DE MEDIA</v>
      </c>
      <c r="F1027" s="270">
        <f t="shared" si="132"/>
        <v>999.2</v>
      </c>
      <c r="G1027" s="148">
        <f t="shared" si="133"/>
        <v>2.0016012810248198E-2</v>
      </c>
      <c r="H1027" s="275">
        <v>20</v>
      </c>
      <c r="I1027" s="272">
        <f>ROUND(F1027/VLOOKUP(A1027,'Tabela de Produtos'!A:J,10,0),0)</f>
        <v>787</v>
      </c>
      <c r="J1027" s="97">
        <f>IFERROR(VLOOKUP(C1027,'Custos Matéria Prima Embalagens'!B:G,6,0)*H1027,"Matéria Prima Não Cadastrada")</f>
        <v>158.1</v>
      </c>
      <c r="K1027" s="97">
        <f>IFERROR(J1027/(I1027/VLOOKUP(A1027,'Tabela de Produtos'!A:H,8,0)),"Matéria Prima Não Cadastrada")</f>
        <v>0.60266836086404063</v>
      </c>
      <c r="L1027" s="216"/>
    </row>
    <row r="1028" spans="1:12" ht="15.75" customHeight="1">
      <c r="A1028" s="114" t="s">
        <v>178</v>
      </c>
      <c r="B1028" s="114" t="str">
        <f>VLOOKUP(A1028,'Tabela de Produtos'!A:B,2,0)</f>
        <v>BRAZIMIL LÁTEX STANDARD INT/EXT SEMIBRILHO 3L PEROLA</v>
      </c>
      <c r="C1028" s="48" t="s">
        <v>1270</v>
      </c>
      <c r="D1028" s="114" t="str">
        <f>VLOOKUP(C1028,'Custos Matéria Prima Embalagens'!B:C,2,0)</f>
        <v>MISTURA CONCENTRADO SEMI BRILHO</v>
      </c>
      <c r="E1028" s="114" t="str">
        <f>VLOOKUP(C1028,'Custos Matéria Prima Embalagens'!B:D,3,0)</f>
        <v>MISTURA CONCENTRADO SEMI BRILHO</v>
      </c>
      <c r="F1028" s="270">
        <f t="shared" si="132"/>
        <v>999.2</v>
      </c>
      <c r="G1028" s="148">
        <f t="shared" si="133"/>
        <v>0.244195356285028</v>
      </c>
      <c r="H1028" s="275">
        <v>244</v>
      </c>
      <c r="I1028" s="272">
        <f>ROUND(F1028/VLOOKUP(A1028,'Tabela de Produtos'!A:J,10,0),0)</f>
        <v>787</v>
      </c>
      <c r="J1028" s="97">
        <f>IFERROR(VLOOKUP(C1028,'Custos Matéria Prima Embalagens'!B:G,6,0)*H1028,"Matéria Prima Não Cadastrada")</f>
        <v>2188.6800000000003</v>
      </c>
      <c r="K1028" s="97">
        <f>IFERROR(J1028/(I1028/VLOOKUP(A1028,'Tabela de Produtos'!A:H,8,0)),"Matéria Prima Não Cadastrada")</f>
        <v>8.3431257941550214</v>
      </c>
      <c r="L1028" s="216"/>
    </row>
    <row r="1029" spans="1:12" ht="15.75" customHeight="1">
      <c r="D1029" s="114"/>
      <c r="E1029" s="114"/>
      <c r="F1029" s="96"/>
      <c r="G1029" s="148"/>
      <c r="H1029" s="96"/>
      <c r="I1029" s="272"/>
      <c r="J1029" s="97"/>
      <c r="K1029" s="97"/>
      <c r="L1029" s="216"/>
    </row>
    <row r="1030" spans="1:12" ht="15.75" customHeight="1">
      <c r="A1030" s="114" t="s">
        <v>179</v>
      </c>
      <c r="B1030" s="114" t="str">
        <f>VLOOKUP(A1030,'Tabela de Produtos'!A:B,2,0)</f>
        <v>BRAZIMIL LÁTEX STANDARD INT/EXT SEMIBRILHO 3L AZUL INTENSO</v>
      </c>
      <c r="C1030" s="48" t="s">
        <v>1197</v>
      </c>
      <c r="D1030" s="114" t="str">
        <f>VLOOKUP(C1030,'Custos Matéria Prima Embalagens'!B:C,2,0)</f>
        <v>AGUA</v>
      </c>
      <c r="E1030" s="114" t="str">
        <f>VLOOKUP(C1030,'Custos Matéria Prima Embalagens'!B:D,3,0)</f>
        <v>AGUA</v>
      </c>
      <c r="F1030" s="270">
        <f t="shared" ref="F1030:F1041" si="134">SUMIFS(H:H,A:A,A1030)</f>
        <v>999.2</v>
      </c>
      <c r="G1030" s="148">
        <f t="shared" ref="G1030:G1041" si="135">H1030/F1030</f>
        <v>0.55044035228182542</v>
      </c>
      <c r="H1030" s="275">
        <v>550</v>
      </c>
      <c r="I1030" s="272">
        <f>ROUND(F1030/VLOOKUP(A1030,'Tabela de Produtos'!A:J,10,0),0)</f>
        <v>787</v>
      </c>
      <c r="J1030" s="97">
        <f>IFERROR(VLOOKUP(C1030,'Custos Matéria Prima Embalagens'!B:G,6,0)*H1030,"Matéria Prima Não Cadastrada")</f>
        <v>0</v>
      </c>
      <c r="K1030" s="97">
        <f>IFERROR(J1030/(I1030/VLOOKUP(A1030,'Tabela de Produtos'!A:H,8,0)),"Matéria Prima Não Cadastrada")</f>
        <v>0</v>
      </c>
      <c r="L1030" s="216"/>
    </row>
    <row r="1031" spans="1:12" ht="15.75" customHeight="1">
      <c r="A1031" s="114" t="s">
        <v>179</v>
      </c>
      <c r="B1031" s="114" t="str">
        <f>VLOOKUP(A1031,'Tabela de Produtos'!A:B,2,0)</f>
        <v>BRAZIMIL LÁTEX STANDARD INT/EXT SEMIBRILHO 3L AZUL INTENSO</v>
      </c>
      <c r="C1031" s="48" t="s">
        <v>1199</v>
      </c>
      <c r="D1031" s="114" t="str">
        <f>VLOOKUP(C1031,'Custos Matéria Prima Embalagens'!B:C,2,0)</f>
        <v>HEXAMETAFOSFATO DE SODIO</v>
      </c>
      <c r="E1031" s="114" t="str">
        <f>VLOOKUP(C1031,'Custos Matéria Prima Embalagens'!B:D,3,0)</f>
        <v>HEXAMETAFOSFATO DE SODIO</v>
      </c>
      <c r="F1031" s="270">
        <f t="shared" si="134"/>
        <v>999.2</v>
      </c>
      <c r="G1031" s="148">
        <f t="shared" si="135"/>
        <v>1.2009607686148918E-3</v>
      </c>
      <c r="H1031" s="275">
        <v>1.2</v>
      </c>
      <c r="I1031" s="272">
        <f>ROUND(F1031/VLOOKUP(A1031,'Tabela de Produtos'!A:J,10,0),0)</f>
        <v>787</v>
      </c>
      <c r="J1031" s="97">
        <f>IFERROR(VLOOKUP(C1031,'Custos Matéria Prima Embalagens'!B:G,6,0)*H1031,"Matéria Prima Não Cadastrada")</f>
        <v>21.527999999999995</v>
      </c>
      <c r="K1031" s="97">
        <f>IFERROR(J1031/(I1031/VLOOKUP(A1031,'Tabela de Produtos'!A:H,8,0)),"Matéria Prima Não Cadastrada")</f>
        <v>8.2063532401524766E-2</v>
      </c>
      <c r="L1031" s="216"/>
    </row>
    <row r="1032" spans="1:12" ht="15.75" customHeight="1">
      <c r="A1032" s="114" t="s">
        <v>179</v>
      </c>
      <c r="B1032" s="114" t="str">
        <f>VLOOKUP(A1032,'Tabela de Produtos'!A:B,2,0)</f>
        <v>BRAZIMIL LÁTEX STANDARD INT/EXT SEMIBRILHO 3L AZUL INTENSO</v>
      </c>
      <c r="C1032" s="48" t="s">
        <v>1201</v>
      </c>
      <c r="D1032" s="114" t="str">
        <f>VLOOKUP(C1032,'Custos Matéria Prima Embalagens'!B:C,2,0)</f>
        <v>WANFOAM 528 CE (BB-190)</v>
      </c>
      <c r="E1032" s="114" t="str">
        <f>VLOOKUP(C1032,'Custos Matéria Prima Embalagens'!B:D,3,0)</f>
        <v>ANTI ESPUMA LATEX</v>
      </c>
      <c r="F1032" s="270">
        <f t="shared" si="134"/>
        <v>999.2</v>
      </c>
      <c r="G1032" s="148">
        <f t="shared" si="135"/>
        <v>2.0016012810248197E-3</v>
      </c>
      <c r="H1032" s="275">
        <v>2</v>
      </c>
      <c r="I1032" s="272">
        <f>ROUND(F1032/VLOOKUP(A1032,'Tabela de Produtos'!A:J,10,0),0)</f>
        <v>787</v>
      </c>
      <c r="J1032" s="97">
        <f>IFERROR(VLOOKUP(C1032,'Custos Matéria Prima Embalagens'!B:G,6,0)*H1032,"Matéria Prima Não Cadastrada")</f>
        <v>14.36</v>
      </c>
      <c r="K1032" s="97">
        <f>IFERROR(J1032/(I1032/VLOOKUP(A1032,'Tabela de Produtos'!A:H,8,0)),"Matéria Prima Não Cadastrada")</f>
        <v>5.4739517153748411E-2</v>
      </c>
      <c r="L1032" s="216"/>
    </row>
    <row r="1033" spans="1:12" ht="15.75" customHeight="1">
      <c r="A1033" s="114" t="s">
        <v>179</v>
      </c>
      <c r="B1033" s="114" t="str">
        <f>VLOOKUP(A1033,'Tabela de Produtos'!A:B,2,0)</f>
        <v>BRAZIMIL LÁTEX STANDARD INT/EXT SEMIBRILHO 3L AZUL INTENSO</v>
      </c>
      <c r="C1033" s="48" t="s">
        <v>1203</v>
      </c>
      <c r="D1033" s="114" t="str">
        <f>VLOOKUP(C1033,'Custos Matéria Prima Embalagens'!B:C,2,0)</f>
        <v>WANBAC WBT CE (BH-200)</v>
      </c>
      <c r="E1033" s="114" t="str">
        <f>VLOOKUP(C1033,'Custos Matéria Prima Embalagens'!B:D,3,0)</f>
        <v>BACTERICIDA</v>
      </c>
      <c r="F1033" s="270">
        <f t="shared" si="134"/>
        <v>999.2</v>
      </c>
      <c r="G1033" s="148">
        <f t="shared" si="135"/>
        <v>2.0016012810248197E-3</v>
      </c>
      <c r="H1033" s="275">
        <v>2</v>
      </c>
      <c r="I1033" s="272">
        <f>ROUND(F1033/VLOOKUP(A1033,'Tabela de Produtos'!A:J,10,0),0)</f>
        <v>787</v>
      </c>
      <c r="J1033" s="97">
        <f>IFERROR(VLOOKUP(C1033,'Custos Matéria Prima Embalagens'!B:G,6,0)*H1033,"Matéria Prima Não Cadastrada")</f>
        <v>9.879999999999999</v>
      </c>
      <c r="K1033" s="97">
        <f>IFERROR(J1033/(I1033/VLOOKUP(A1033,'Tabela de Produtos'!A:H,8,0)),"Matéria Prima Não Cadastrada")</f>
        <v>3.7662007623888182E-2</v>
      </c>
      <c r="L1033" s="216"/>
    </row>
    <row r="1034" spans="1:12" ht="15.75" customHeight="1">
      <c r="A1034" s="114" t="s">
        <v>179</v>
      </c>
      <c r="B1034" s="114" t="str">
        <f>VLOOKUP(A1034,'Tabela de Produtos'!A:B,2,0)</f>
        <v>BRAZIMIL LÁTEX STANDARD INT/EXT SEMIBRILHO 3L AZUL INTENSO</v>
      </c>
      <c r="C1034" s="48" t="s">
        <v>1205</v>
      </c>
      <c r="D1034" s="114" t="str">
        <f>VLOOKUP(C1034,'Custos Matéria Prima Embalagens'!B:C,2,0)</f>
        <v>WANSUR 840 CE (BB-200)01</v>
      </c>
      <c r="E1034" s="114" t="str">
        <f>VLOOKUP(C1034,'Custos Matéria Prima Embalagens'!B:D,3,0)</f>
        <v>UMECTANTE</v>
      </c>
      <c r="F1034" s="270">
        <f t="shared" si="134"/>
        <v>999.2</v>
      </c>
      <c r="G1034" s="148">
        <f t="shared" si="135"/>
        <v>2.0016012810248197E-3</v>
      </c>
      <c r="H1034" s="275">
        <v>2</v>
      </c>
      <c r="I1034" s="272">
        <f>ROUND(F1034/VLOOKUP(A1034,'Tabela de Produtos'!A:J,10,0),0)</f>
        <v>787</v>
      </c>
      <c r="J1034" s="97">
        <f>IFERROR(VLOOKUP(C1034,'Custos Matéria Prima Embalagens'!B:G,6,0)*H1034,"Matéria Prima Não Cadastrada")</f>
        <v>14.66</v>
      </c>
      <c r="K1034" s="97">
        <f>IFERROR(J1034/(I1034/VLOOKUP(A1034,'Tabela de Produtos'!A:H,8,0)),"Matéria Prima Não Cadastrada")</f>
        <v>5.5883100381194414E-2</v>
      </c>
      <c r="L1034" s="216"/>
    </row>
    <row r="1035" spans="1:12" ht="15.75" customHeight="1">
      <c r="A1035" s="114" t="s">
        <v>179</v>
      </c>
      <c r="B1035" s="114" t="str">
        <f>VLOOKUP(A1035,'Tabela de Produtos'!A:B,2,0)</f>
        <v>BRAZIMIL LÁTEX STANDARD INT/EXT SEMIBRILHO 3L AZUL INTENSO</v>
      </c>
      <c r="C1035" s="48" t="s">
        <v>1207</v>
      </c>
      <c r="D1035" s="114" t="str">
        <f>VLOOKUP(C1035,'Custos Matéria Prima Embalagens'!B:C,2,0)</f>
        <v>WANPEX 1510 (BB-200)</v>
      </c>
      <c r="E1035" s="114" t="str">
        <f>VLOOKUP(C1035,'Custos Matéria Prima Embalagens'!B:D,3,0)</f>
        <v>DISPERSANTE LATEX</v>
      </c>
      <c r="F1035" s="270">
        <f t="shared" si="134"/>
        <v>999.2</v>
      </c>
      <c r="G1035" s="148">
        <f t="shared" si="135"/>
        <v>2.0016012810248197E-3</v>
      </c>
      <c r="H1035" s="275">
        <v>2</v>
      </c>
      <c r="I1035" s="272">
        <f>ROUND(F1035/VLOOKUP(A1035,'Tabela de Produtos'!A:J,10,0),0)</f>
        <v>787</v>
      </c>
      <c r="J1035" s="97">
        <f>IFERROR(VLOOKUP(C1035,'Custos Matéria Prima Embalagens'!B:G,6,0)*H1035,"Matéria Prima Não Cadastrada")</f>
        <v>13.719999999999999</v>
      </c>
      <c r="K1035" s="97">
        <f>IFERROR(J1035/(I1035/VLOOKUP(A1035,'Tabela de Produtos'!A:H,8,0)),"Matéria Prima Não Cadastrada")</f>
        <v>5.2299872935196952E-2</v>
      </c>
      <c r="L1035" s="216"/>
    </row>
    <row r="1036" spans="1:12" ht="15.75" customHeight="1">
      <c r="A1036" s="114" t="s">
        <v>179</v>
      </c>
      <c r="B1036" s="114" t="str">
        <f>VLOOKUP(A1036,'Tabela de Produtos'!A:B,2,0)</f>
        <v>BRAZIMIL LÁTEX STANDARD INT/EXT SEMIBRILHO 3L AZUL INTENSO</v>
      </c>
      <c r="C1036" s="48" t="s">
        <v>1217</v>
      </c>
      <c r="D1036" s="114" t="str">
        <f>VLOOKUP(C1036,'Custos Matéria Prima Embalagens'!B:C,2,0)</f>
        <v>WANCRIL W 51 CE (CT-1000P)</v>
      </c>
      <c r="E1036" s="114" t="str">
        <f>VLOOKUP(C1036,'Custos Matéria Prima Embalagens'!B:D,3,0)</f>
        <v>RESINA ACRILICA ESTIRENADA</v>
      </c>
      <c r="F1036" s="270">
        <f t="shared" si="134"/>
        <v>999.2</v>
      </c>
      <c r="G1036" s="148">
        <f t="shared" si="135"/>
        <v>0.16012810248198558</v>
      </c>
      <c r="H1036" s="275">
        <v>160</v>
      </c>
      <c r="I1036" s="272">
        <f>ROUND(F1036/VLOOKUP(A1036,'Tabela de Produtos'!A:J,10,0),0)</f>
        <v>787</v>
      </c>
      <c r="J1036" s="97">
        <f>IFERROR(VLOOKUP(C1036,'Custos Matéria Prima Embalagens'!B:G,6,0)*H1036,"Matéria Prima Não Cadastrada")</f>
        <v>1348.8</v>
      </c>
      <c r="K1036" s="97">
        <f>IFERROR(J1036/(I1036/VLOOKUP(A1036,'Tabela de Produtos'!A:H,8,0)),"Matéria Prima Não Cadastrada")</f>
        <v>5.1415501905972052</v>
      </c>
      <c r="L1036" s="216"/>
    </row>
    <row r="1037" spans="1:12" ht="15.75" customHeight="1">
      <c r="A1037" s="114" t="s">
        <v>179</v>
      </c>
      <c r="B1037" s="114" t="str">
        <f>VLOOKUP(A1037,'Tabela de Produtos'!A:B,2,0)</f>
        <v>BRAZIMIL LÁTEX STANDARD INT/EXT SEMIBRILHO 3L AZUL INTENSO</v>
      </c>
      <c r="C1037" s="48" t="s">
        <v>1229</v>
      </c>
      <c r="D1037" s="114" t="str">
        <f>VLOOKUP(C1037,'Custos Matéria Prima Embalagens'!B:C,2,0)</f>
        <v>WANSOL 340 CE (BB-200)</v>
      </c>
      <c r="E1037" s="114" t="str">
        <f>VLOOKUP(C1037,'Custos Matéria Prima Embalagens'!B:D,3,0)</f>
        <v>COALESCENTE</v>
      </c>
      <c r="F1037" s="270">
        <f t="shared" si="134"/>
        <v>999.2</v>
      </c>
      <c r="G1037" s="148">
        <f t="shared" si="135"/>
        <v>1.0008006405124099E-2</v>
      </c>
      <c r="H1037" s="275">
        <v>10</v>
      </c>
      <c r="I1037" s="272">
        <f>ROUND(F1037/VLOOKUP(A1037,'Tabela de Produtos'!A:J,10,0),0)</f>
        <v>787</v>
      </c>
      <c r="J1037" s="97">
        <f>IFERROR(VLOOKUP(C1037,'Custos Matéria Prima Embalagens'!B:G,6,0)*H1037,"Matéria Prima Não Cadastrada")</f>
        <v>192.2</v>
      </c>
      <c r="K1037" s="97">
        <f>IFERROR(J1037/(I1037/VLOOKUP(A1037,'Tabela de Produtos'!A:H,8,0)),"Matéria Prima Não Cadastrada")</f>
        <v>0.7326556543837357</v>
      </c>
      <c r="L1037" s="216"/>
    </row>
    <row r="1038" spans="1:12" ht="15.75" customHeight="1">
      <c r="A1038" s="114" t="s">
        <v>179</v>
      </c>
      <c r="B1038" s="114" t="str">
        <f>VLOOKUP(A1038,'Tabela de Produtos'!A:B,2,0)</f>
        <v>BRAZIMIL LÁTEX STANDARD INT/EXT SEMIBRILHO 3L AZUL INTENSO</v>
      </c>
      <c r="C1038" s="48" t="s">
        <v>1209</v>
      </c>
      <c r="D1038" s="114" t="str">
        <f>VLOOKUP(C1038,'Custos Matéria Prima Embalagens'!B:C,2,0)</f>
        <v>WANFUNG WFT CE (BH-200)</v>
      </c>
      <c r="E1038" s="114" t="str">
        <f>VLOOKUP(C1038,'Custos Matéria Prima Embalagens'!B:D,3,0)</f>
        <v>FUNGICIDA</v>
      </c>
      <c r="F1038" s="270">
        <f t="shared" si="134"/>
        <v>999.2</v>
      </c>
      <c r="G1038" s="148">
        <f t="shared" si="135"/>
        <v>3.0024019215372298E-3</v>
      </c>
      <c r="H1038" s="275">
        <v>3</v>
      </c>
      <c r="I1038" s="272">
        <f>ROUND(F1038/VLOOKUP(A1038,'Tabela de Produtos'!A:J,10,0),0)</f>
        <v>787</v>
      </c>
      <c r="J1038" s="97">
        <f>IFERROR(VLOOKUP(C1038,'Custos Matéria Prima Embalagens'!B:G,6,0)*H1038,"Matéria Prima Não Cadastrada")</f>
        <v>21</v>
      </c>
      <c r="K1038" s="97">
        <f>IFERROR(J1038/(I1038/VLOOKUP(A1038,'Tabela de Produtos'!A:H,8,0)),"Matéria Prima Não Cadastrada")</f>
        <v>8.0050825921219829E-2</v>
      </c>
      <c r="L1038" s="216"/>
    </row>
    <row r="1039" spans="1:12" ht="15.75" customHeight="1">
      <c r="A1039" s="114" t="s">
        <v>179</v>
      </c>
      <c r="B1039" s="114" t="str">
        <f>VLOOKUP(A1039,'Tabela de Produtos'!A:B,2,0)</f>
        <v>BRAZIMIL LÁTEX STANDARD INT/EXT SEMIBRILHO 3L AZUL INTENSO</v>
      </c>
      <c r="C1039" s="48" t="s">
        <v>1219</v>
      </c>
      <c r="D1039" s="114" t="str">
        <f>VLOOKUP(C1039,'Custos Matéria Prima Embalagens'!B:C,2,0)</f>
        <v>WANALK 70 CE (BH-200)</v>
      </c>
      <c r="E1039" s="114" t="str">
        <f>VLOOKUP(C1039,'Custos Matéria Prima Embalagens'!B:D,3,0)</f>
        <v>ALCALINIZANTE</v>
      </c>
      <c r="F1039" s="270">
        <f t="shared" si="134"/>
        <v>999.2</v>
      </c>
      <c r="G1039" s="148">
        <f t="shared" si="135"/>
        <v>3.0024019215372298E-3</v>
      </c>
      <c r="H1039" s="275">
        <v>3</v>
      </c>
      <c r="I1039" s="272">
        <f>ROUND(F1039/VLOOKUP(A1039,'Tabela de Produtos'!A:J,10,0),0)</f>
        <v>787</v>
      </c>
      <c r="J1039" s="97">
        <f>IFERROR(VLOOKUP(C1039,'Custos Matéria Prima Embalagens'!B:G,6,0)*H1039,"Matéria Prima Não Cadastrada")</f>
        <v>14.940000000000001</v>
      </c>
      <c r="K1039" s="97">
        <f>IFERROR(J1039/(I1039/VLOOKUP(A1039,'Tabela de Produtos'!A:H,8,0)),"Matéria Prima Não Cadastrada")</f>
        <v>5.6950444726810684E-2</v>
      </c>
      <c r="L1039" s="216"/>
    </row>
    <row r="1040" spans="1:12" ht="15.75" customHeight="1">
      <c r="A1040" s="114" t="s">
        <v>179</v>
      </c>
      <c r="B1040" s="114" t="str">
        <f>VLOOKUP(A1040,'Tabela de Produtos'!A:B,2,0)</f>
        <v>BRAZIMIL LÁTEX STANDARD INT/EXT SEMIBRILHO 3L AZUL INTENSO</v>
      </c>
      <c r="C1040" s="48" t="s">
        <v>1221</v>
      </c>
      <c r="D1040" s="114" t="str">
        <f>VLOOKUP(C1040,'Custos Matéria Prima Embalagens'!B:C,2,0)</f>
        <v>MODIWAN 105H CE (CT-1000P)</v>
      </c>
      <c r="E1040" s="114" t="str">
        <f>VLOOKUP(C1040,'Custos Matéria Prima Embalagens'!B:D,3,0)</f>
        <v>ESPESSANTE DE MEDIA</v>
      </c>
      <c r="F1040" s="270">
        <f t="shared" si="134"/>
        <v>999.2</v>
      </c>
      <c r="G1040" s="148">
        <f t="shared" si="135"/>
        <v>2.0016012810248198E-2</v>
      </c>
      <c r="H1040" s="275">
        <v>20</v>
      </c>
      <c r="I1040" s="272">
        <f>ROUND(F1040/VLOOKUP(A1040,'Tabela de Produtos'!A:J,10,0),0)</f>
        <v>787</v>
      </c>
      <c r="J1040" s="97">
        <f>IFERROR(VLOOKUP(C1040,'Custos Matéria Prima Embalagens'!B:G,6,0)*H1040,"Matéria Prima Não Cadastrada")</f>
        <v>158.1</v>
      </c>
      <c r="K1040" s="97">
        <f>IFERROR(J1040/(I1040/VLOOKUP(A1040,'Tabela de Produtos'!A:H,8,0)),"Matéria Prima Não Cadastrada")</f>
        <v>0.60266836086404063</v>
      </c>
      <c r="L1040" s="216"/>
    </row>
    <row r="1041" spans="1:12" ht="15.75" customHeight="1">
      <c r="A1041" s="114" t="s">
        <v>179</v>
      </c>
      <c r="B1041" s="114" t="str">
        <f>VLOOKUP(A1041,'Tabela de Produtos'!A:B,2,0)</f>
        <v>BRAZIMIL LÁTEX STANDARD INT/EXT SEMIBRILHO 3L AZUL INTENSO</v>
      </c>
      <c r="C1041" s="48" t="s">
        <v>1270</v>
      </c>
      <c r="D1041" s="114" t="str">
        <f>VLOOKUP(C1041,'Custos Matéria Prima Embalagens'!B:C,2,0)</f>
        <v>MISTURA CONCENTRADO SEMI BRILHO</v>
      </c>
      <c r="E1041" s="114" t="str">
        <f>VLOOKUP(C1041,'Custos Matéria Prima Embalagens'!B:D,3,0)</f>
        <v>MISTURA CONCENTRADO SEMI BRILHO</v>
      </c>
      <c r="F1041" s="270">
        <f t="shared" si="134"/>
        <v>999.2</v>
      </c>
      <c r="G1041" s="148">
        <f t="shared" si="135"/>
        <v>0.244195356285028</v>
      </c>
      <c r="H1041" s="275">
        <v>244</v>
      </c>
      <c r="I1041" s="272">
        <f>ROUND(F1041/VLOOKUP(A1041,'Tabela de Produtos'!A:J,10,0),0)</f>
        <v>787</v>
      </c>
      <c r="J1041" s="97">
        <f>IFERROR(VLOOKUP(C1041,'Custos Matéria Prima Embalagens'!B:G,6,0)*H1041,"Matéria Prima Não Cadastrada")</f>
        <v>2188.6800000000003</v>
      </c>
      <c r="K1041" s="97">
        <f>IFERROR(J1041/(I1041/VLOOKUP(A1041,'Tabela de Produtos'!A:H,8,0)),"Matéria Prima Não Cadastrada")</f>
        <v>8.3431257941550214</v>
      </c>
      <c r="L1041" s="216"/>
    </row>
    <row r="1042" spans="1:12" ht="15.75" customHeight="1">
      <c r="D1042" s="114"/>
      <c r="E1042" s="114"/>
      <c r="F1042" s="96"/>
      <c r="G1042" s="148"/>
      <c r="H1042" s="96"/>
      <c r="I1042" s="272"/>
      <c r="J1042" s="97"/>
      <c r="K1042" s="97"/>
      <c r="L1042" s="216"/>
    </row>
    <row r="1043" spans="1:12" ht="15.75" customHeight="1">
      <c r="A1043" s="114" t="s">
        <v>180</v>
      </c>
      <c r="B1043" s="114" t="str">
        <f>VLOOKUP(A1043,'Tabela de Produtos'!A:B,2,0)</f>
        <v>BRAZIMIL LÁTEX STANDARD INT/EXT SEMIBRILHO 3L LILAS</v>
      </c>
      <c r="C1043" s="48" t="s">
        <v>1197</v>
      </c>
      <c r="D1043" s="114" t="str">
        <f>VLOOKUP(C1043,'Custos Matéria Prima Embalagens'!B:C,2,0)</f>
        <v>AGUA</v>
      </c>
      <c r="E1043" s="114" t="str">
        <f>VLOOKUP(C1043,'Custos Matéria Prima Embalagens'!B:D,3,0)</f>
        <v>AGUA</v>
      </c>
      <c r="F1043" s="270">
        <f t="shared" ref="F1043:F1054" si="136">SUMIFS(H:H,A:A,A1043)</f>
        <v>999.2</v>
      </c>
      <c r="G1043" s="148">
        <f t="shared" ref="G1043:G1054" si="137">H1043/F1043</f>
        <v>0.55044035228182542</v>
      </c>
      <c r="H1043" s="275">
        <v>550</v>
      </c>
      <c r="I1043" s="272">
        <f>ROUND(F1043/VLOOKUP(A1043,'Tabela de Produtos'!A:J,10,0),0)</f>
        <v>787</v>
      </c>
      <c r="J1043" s="97">
        <f>IFERROR(VLOOKUP(C1043,'Custos Matéria Prima Embalagens'!B:G,6,0)*H1043,"Matéria Prima Não Cadastrada")</f>
        <v>0</v>
      </c>
      <c r="K1043" s="97">
        <f>IFERROR(J1043/(I1043/VLOOKUP(A1043,'Tabela de Produtos'!A:H,8,0)),"Matéria Prima Não Cadastrada")</f>
        <v>0</v>
      </c>
      <c r="L1043" s="216"/>
    </row>
    <row r="1044" spans="1:12" ht="15.75" customHeight="1">
      <c r="A1044" s="114" t="s">
        <v>180</v>
      </c>
      <c r="B1044" s="114" t="str">
        <f>VLOOKUP(A1044,'Tabela de Produtos'!A:B,2,0)</f>
        <v>BRAZIMIL LÁTEX STANDARD INT/EXT SEMIBRILHO 3L LILAS</v>
      </c>
      <c r="C1044" s="48" t="s">
        <v>1199</v>
      </c>
      <c r="D1044" s="114" t="str">
        <f>VLOOKUP(C1044,'Custos Matéria Prima Embalagens'!B:C,2,0)</f>
        <v>HEXAMETAFOSFATO DE SODIO</v>
      </c>
      <c r="E1044" s="114" t="str">
        <f>VLOOKUP(C1044,'Custos Matéria Prima Embalagens'!B:D,3,0)</f>
        <v>HEXAMETAFOSFATO DE SODIO</v>
      </c>
      <c r="F1044" s="270">
        <f t="shared" si="136"/>
        <v>999.2</v>
      </c>
      <c r="G1044" s="148">
        <f t="shared" si="137"/>
        <v>1.2009607686148918E-3</v>
      </c>
      <c r="H1044" s="275">
        <v>1.2</v>
      </c>
      <c r="I1044" s="272">
        <f>ROUND(F1044/VLOOKUP(A1044,'Tabela de Produtos'!A:J,10,0),0)</f>
        <v>787</v>
      </c>
      <c r="J1044" s="97">
        <f>IFERROR(VLOOKUP(C1044,'Custos Matéria Prima Embalagens'!B:G,6,0)*H1044,"Matéria Prima Não Cadastrada")</f>
        <v>21.527999999999995</v>
      </c>
      <c r="K1044" s="97">
        <f>IFERROR(J1044/(I1044/VLOOKUP(A1044,'Tabela de Produtos'!A:H,8,0)),"Matéria Prima Não Cadastrada")</f>
        <v>8.2063532401524766E-2</v>
      </c>
      <c r="L1044" s="216"/>
    </row>
    <row r="1045" spans="1:12" ht="15.75" customHeight="1">
      <c r="A1045" s="114" t="s">
        <v>180</v>
      </c>
      <c r="B1045" s="114" t="str">
        <f>VLOOKUP(A1045,'Tabela de Produtos'!A:B,2,0)</f>
        <v>BRAZIMIL LÁTEX STANDARD INT/EXT SEMIBRILHO 3L LILAS</v>
      </c>
      <c r="C1045" s="48" t="s">
        <v>1201</v>
      </c>
      <c r="D1045" s="114" t="str">
        <f>VLOOKUP(C1045,'Custos Matéria Prima Embalagens'!B:C,2,0)</f>
        <v>WANFOAM 528 CE (BB-190)</v>
      </c>
      <c r="E1045" s="114" t="str">
        <f>VLOOKUP(C1045,'Custos Matéria Prima Embalagens'!B:D,3,0)</f>
        <v>ANTI ESPUMA LATEX</v>
      </c>
      <c r="F1045" s="270">
        <f t="shared" si="136"/>
        <v>999.2</v>
      </c>
      <c r="G1045" s="148">
        <f t="shared" si="137"/>
        <v>2.0016012810248197E-3</v>
      </c>
      <c r="H1045" s="275">
        <v>2</v>
      </c>
      <c r="I1045" s="272">
        <f>ROUND(F1045/VLOOKUP(A1045,'Tabela de Produtos'!A:J,10,0),0)</f>
        <v>787</v>
      </c>
      <c r="J1045" s="97">
        <f>IFERROR(VLOOKUP(C1045,'Custos Matéria Prima Embalagens'!B:G,6,0)*H1045,"Matéria Prima Não Cadastrada")</f>
        <v>14.36</v>
      </c>
      <c r="K1045" s="97">
        <f>IFERROR(J1045/(I1045/VLOOKUP(A1045,'Tabela de Produtos'!A:H,8,0)),"Matéria Prima Não Cadastrada")</f>
        <v>5.4739517153748411E-2</v>
      </c>
      <c r="L1045" s="216"/>
    </row>
    <row r="1046" spans="1:12" ht="15.75" customHeight="1">
      <c r="A1046" s="114" t="s">
        <v>180</v>
      </c>
      <c r="B1046" s="114" t="str">
        <f>VLOOKUP(A1046,'Tabela de Produtos'!A:B,2,0)</f>
        <v>BRAZIMIL LÁTEX STANDARD INT/EXT SEMIBRILHO 3L LILAS</v>
      </c>
      <c r="C1046" s="48" t="s">
        <v>1203</v>
      </c>
      <c r="D1046" s="114" t="str">
        <f>VLOOKUP(C1046,'Custos Matéria Prima Embalagens'!B:C,2,0)</f>
        <v>WANBAC WBT CE (BH-200)</v>
      </c>
      <c r="E1046" s="114" t="str">
        <f>VLOOKUP(C1046,'Custos Matéria Prima Embalagens'!B:D,3,0)</f>
        <v>BACTERICIDA</v>
      </c>
      <c r="F1046" s="270">
        <f t="shared" si="136"/>
        <v>999.2</v>
      </c>
      <c r="G1046" s="148">
        <f t="shared" si="137"/>
        <v>2.0016012810248197E-3</v>
      </c>
      <c r="H1046" s="275">
        <v>2</v>
      </c>
      <c r="I1046" s="272">
        <f>ROUND(F1046/VLOOKUP(A1046,'Tabela de Produtos'!A:J,10,0),0)</f>
        <v>787</v>
      </c>
      <c r="J1046" s="97">
        <f>IFERROR(VLOOKUP(C1046,'Custos Matéria Prima Embalagens'!B:G,6,0)*H1046,"Matéria Prima Não Cadastrada")</f>
        <v>9.879999999999999</v>
      </c>
      <c r="K1046" s="97">
        <f>IFERROR(J1046/(I1046/VLOOKUP(A1046,'Tabela de Produtos'!A:H,8,0)),"Matéria Prima Não Cadastrada")</f>
        <v>3.7662007623888182E-2</v>
      </c>
      <c r="L1046" s="216"/>
    </row>
    <row r="1047" spans="1:12" ht="15.75" customHeight="1">
      <c r="A1047" s="114" t="s">
        <v>180</v>
      </c>
      <c r="B1047" s="114" t="str">
        <f>VLOOKUP(A1047,'Tabela de Produtos'!A:B,2,0)</f>
        <v>BRAZIMIL LÁTEX STANDARD INT/EXT SEMIBRILHO 3L LILAS</v>
      </c>
      <c r="C1047" s="48" t="s">
        <v>1205</v>
      </c>
      <c r="D1047" s="114" t="str">
        <f>VLOOKUP(C1047,'Custos Matéria Prima Embalagens'!B:C,2,0)</f>
        <v>WANSUR 840 CE (BB-200)01</v>
      </c>
      <c r="E1047" s="114" t="str">
        <f>VLOOKUP(C1047,'Custos Matéria Prima Embalagens'!B:D,3,0)</f>
        <v>UMECTANTE</v>
      </c>
      <c r="F1047" s="270">
        <f t="shared" si="136"/>
        <v>999.2</v>
      </c>
      <c r="G1047" s="148">
        <f t="shared" si="137"/>
        <v>2.0016012810248197E-3</v>
      </c>
      <c r="H1047" s="275">
        <v>2</v>
      </c>
      <c r="I1047" s="272">
        <f>ROUND(F1047/VLOOKUP(A1047,'Tabela de Produtos'!A:J,10,0),0)</f>
        <v>787</v>
      </c>
      <c r="J1047" s="97">
        <f>IFERROR(VLOOKUP(C1047,'Custos Matéria Prima Embalagens'!B:G,6,0)*H1047,"Matéria Prima Não Cadastrada")</f>
        <v>14.66</v>
      </c>
      <c r="K1047" s="97">
        <f>IFERROR(J1047/(I1047/VLOOKUP(A1047,'Tabela de Produtos'!A:H,8,0)),"Matéria Prima Não Cadastrada")</f>
        <v>5.5883100381194414E-2</v>
      </c>
      <c r="L1047" s="216"/>
    </row>
    <row r="1048" spans="1:12" ht="15.75" customHeight="1">
      <c r="A1048" s="114" t="s">
        <v>180</v>
      </c>
      <c r="B1048" s="114" t="str">
        <f>VLOOKUP(A1048,'Tabela de Produtos'!A:B,2,0)</f>
        <v>BRAZIMIL LÁTEX STANDARD INT/EXT SEMIBRILHO 3L LILAS</v>
      </c>
      <c r="C1048" s="48" t="s">
        <v>1207</v>
      </c>
      <c r="D1048" s="114" t="str">
        <f>VLOOKUP(C1048,'Custos Matéria Prima Embalagens'!B:C,2,0)</f>
        <v>WANPEX 1510 (BB-200)</v>
      </c>
      <c r="E1048" s="114" t="str">
        <f>VLOOKUP(C1048,'Custos Matéria Prima Embalagens'!B:D,3,0)</f>
        <v>DISPERSANTE LATEX</v>
      </c>
      <c r="F1048" s="270">
        <f t="shared" si="136"/>
        <v>999.2</v>
      </c>
      <c r="G1048" s="148">
        <f t="shared" si="137"/>
        <v>2.0016012810248197E-3</v>
      </c>
      <c r="H1048" s="275">
        <v>2</v>
      </c>
      <c r="I1048" s="272">
        <f>ROUND(F1048/VLOOKUP(A1048,'Tabela de Produtos'!A:J,10,0),0)</f>
        <v>787</v>
      </c>
      <c r="J1048" s="97">
        <f>IFERROR(VLOOKUP(C1048,'Custos Matéria Prima Embalagens'!B:G,6,0)*H1048,"Matéria Prima Não Cadastrada")</f>
        <v>13.719999999999999</v>
      </c>
      <c r="K1048" s="97">
        <f>IFERROR(J1048/(I1048/VLOOKUP(A1048,'Tabela de Produtos'!A:H,8,0)),"Matéria Prima Não Cadastrada")</f>
        <v>5.2299872935196952E-2</v>
      </c>
      <c r="L1048" s="216"/>
    </row>
    <row r="1049" spans="1:12" ht="15.75" customHeight="1">
      <c r="A1049" s="114" t="s">
        <v>180</v>
      </c>
      <c r="B1049" s="114" t="str">
        <f>VLOOKUP(A1049,'Tabela de Produtos'!A:B,2,0)</f>
        <v>BRAZIMIL LÁTEX STANDARD INT/EXT SEMIBRILHO 3L LILAS</v>
      </c>
      <c r="C1049" s="48" t="s">
        <v>1217</v>
      </c>
      <c r="D1049" s="114" t="str">
        <f>VLOOKUP(C1049,'Custos Matéria Prima Embalagens'!B:C,2,0)</f>
        <v>WANCRIL W 51 CE (CT-1000P)</v>
      </c>
      <c r="E1049" s="114" t="str">
        <f>VLOOKUP(C1049,'Custos Matéria Prima Embalagens'!B:D,3,0)</f>
        <v>RESINA ACRILICA ESTIRENADA</v>
      </c>
      <c r="F1049" s="270">
        <f t="shared" si="136"/>
        <v>999.2</v>
      </c>
      <c r="G1049" s="148">
        <f t="shared" si="137"/>
        <v>0.16012810248198558</v>
      </c>
      <c r="H1049" s="275">
        <v>160</v>
      </c>
      <c r="I1049" s="272">
        <f>ROUND(F1049/VLOOKUP(A1049,'Tabela de Produtos'!A:J,10,0),0)</f>
        <v>787</v>
      </c>
      <c r="J1049" s="97">
        <f>IFERROR(VLOOKUP(C1049,'Custos Matéria Prima Embalagens'!B:G,6,0)*H1049,"Matéria Prima Não Cadastrada")</f>
        <v>1348.8</v>
      </c>
      <c r="K1049" s="97">
        <f>IFERROR(J1049/(I1049/VLOOKUP(A1049,'Tabela de Produtos'!A:H,8,0)),"Matéria Prima Não Cadastrada")</f>
        <v>5.1415501905972052</v>
      </c>
      <c r="L1049" s="216"/>
    </row>
    <row r="1050" spans="1:12" ht="15.75" customHeight="1">
      <c r="A1050" s="114" t="s">
        <v>180</v>
      </c>
      <c r="B1050" s="114" t="str">
        <f>VLOOKUP(A1050,'Tabela de Produtos'!A:B,2,0)</f>
        <v>BRAZIMIL LÁTEX STANDARD INT/EXT SEMIBRILHO 3L LILAS</v>
      </c>
      <c r="C1050" s="48" t="s">
        <v>1229</v>
      </c>
      <c r="D1050" s="114" t="str">
        <f>VLOOKUP(C1050,'Custos Matéria Prima Embalagens'!B:C,2,0)</f>
        <v>WANSOL 340 CE (BB-200)</v>
      </c>
      <c r="E1050" s="114" t="str">
        <f>VLOOKUP(C1050,'Custos Matéria Prima Embalagens'!B:D,3,0)</f>
        <v>COALESCENTE</v>
      </c>
      <c r="F1050" s="270">
        <f t="shared" si="136"/>
        <v>999.2</v>
      </c>
      <c r="G1050" s="148">
        <f t="shared" si="137"/>
        <v>1.0008006405124099E-2</v>
      </c>
      <c r="H1050" s="275">
        <v>10</v>
      </c>
      <c r="I1050" s="272">
        <f>ROUND(F1050/VLOOKUP(A1050,'Tabela de Produtos'!A:J,10,0),0)</f>
        <v>787</v>
      </c>
      <c r="J1050" s="97">
        <f>IFERROR(VLOOKUP(C1050,'Custos Matéria Prima Embalagens'!B:G,6,0)*H1050,"Matéria Prima Não Cadastrada")</f>
        <v>192.2</v>
      </c>
      <c r="K1050" s="97">
        <f>IFERROR(J1050/(I1050/VLOOKUP(A1050,'Tabela de Produtos'!A:H,8,0)),"Matéria Prima Não Cadastrada")</f>
        <v>0.7326556543837357</v>
      </c>
      <c r="L1050" s="216"/>
    </row>
    <row r="1051" spans="1:12" ht="15.75" customHeight="1">
      <c r="A1051" s="114" t="s">
        <v>180</v>
      </c>
      <c r="B1051" s="114" t="str">
        <f>VLOOKUP(A1051,'Tabela de Produtos'!A:B,2,0)</f>
        <v>BRAZIMIL LÁTEX STANDARD INT/EXT SEMIBRILHO 3L LILAS</v>
      </c>
      <c r="C1051" s="48" t="s">
        <v>1209</v>
      </c>
      <c r="D1051" s="114" t="str">
        <f>VLOOKUP(C1051,'Custos Matéria Prima Embalagens'!B:C,2,0)</f>
        <v>WANFUNG WFT CE (BH-200)</v>
      </c>
      <c r="E1051" s="114" t="str">
        <f>VLOOKUP(C1051,'Custos Matéria Prima Embalagens'!B:D,3,0)</f>
        <v>FUNGICIDA</v>
      </c>
      <c r="F1051" s="270">
        <f t="shared" si="136"/>
        <v>999.2</v>
      </c>
      <c r="G1051" s="148">
        <f t="shared" si="137"/>
        <v>3.0024019215372298E-3</v>
      </c>
      <c r="H1051" s="275">
        <v>3</v>
      </c>
      <c r="I1051" s="272">
        <f>ROUND(F1051/VLOOKUP(A1051,'Tabela de Produtos'!A:J,10,0),0)</f>
        <v>787</v>
      </c>
      <c r="J1051" s="97">
        <f>IFERROR(VLOOKUP(C1051,'Custos Matéria Prima Embalagens'!B:G,6,0)*H1051,"Matéria Prima Não Cadastrada")</f>
        <v>21</v>
      </c>
      <c r="K1051" s="97">
        <f>IFERROR(J1051/(I1051/VLOOKUP(A1051,'Tabela de Produtos'!A:H,8,0)),"Matéria Prima Não Cadastrada")</f>
        <v>8.0050825921219829E-2</v>
      </c>
      <c r="L1051" s="216"/>
    </row>
    <row r="1052" spans="1:12" ht="15.75" customHeight="1">
      <c r="A1052" s="114" t="s">
        <v>180</v>
      </c>
      <c r="B1052" s="114" t="str">
        <f>VLOOKUP(A1052,'Tabela de Produtos'!A:B,2,0)</f>
        <v>BRAZIMIL LÁTEX STANDARD INT/EXT SEMIBRILHO 3L LILAS</v>
      </c>
      <c r="C1052" s="48" t="s">
        <v>1219</v>
      </c>
      <c r="D1052" s="114" t="str">
        <f>VLOOKUP(C1052,'Custos Matéria Prima Embalagens'!B:C,2,0)</f>
        <v>WANALK 70 CE (BH-200)</v>
      </c>
      <c r="E1052" s="114" t="str">
        <f>VLOOKUP(C1052,'Custos Matéria Prima Embalagens'!B:D,3,0)</f>
        <v>ALCALINIZANTE</v>
      </c>
      <c r="F1052" s="270">
        <f t="shared" si="136"/>
        <v>999.2</v>
      </c>
      <c r="G1052" s="148">
        <f t="shared" si="137"/>
        <v>3.0024019215372298E-3</v>
      </c>
      <c r="H1052" s="275">
        <v>3</v>
      </c>
      <c r="I1052" s="272">
        <f>ROUND(F1052/VLOOKUP(A1052,'Tabela de Produtos'!A:J,10,0),0)</f>
        <v>787</v>
      </c>
      <c r="J1052" s="97">
        <f>IFERROR(VLOOKUP(C1052,'Custos Matéria Prima Embalagens'!B:G,6,0)*H1052,"Matéria Prima Não Cadastrada")</f>
        <v>14.940000000000001</v>
      </c>
      <c r="K1052" s="97">
        <f>IFERROR(J1052/(I1052/VLOOKUP(A1052,'Tabela de Produtos'!A:H,8,0)),"Matéria Prima Não Cadastrada")</f>
        <v>5.6950444726810684E-2</v>
      </c>
      <c r="L1052" s="216"/>
    </row>
    <row r="1053" spans="1:12" ht="15.75" customHeight="1">
      <c r="A1053" s="114" t="s">
        <v>180</v>
      </c>
      <c r="B1053" s="114" t="str">
        <f>VLOOKUP(A1053,'Tabela de Produtos'!A:B,2,0)</f>
        <v>BRAZIMIL LÁTEX STANDARD INT/EXT SEMIBRILHO 3L LILAS</v>
      </c>
      <c r="C1053" s="48" t="s">
        <v>1221</v>
      </c>
      <c r="D1053" s="114" t="str">
        <f>VLOOKUP(C1053,'Custos Matéria Prima Embalagens'!B:C,2,0)</f>
        <v>MODIWAN 105H CE (CT-1000P)</v>
      </c>
      <c r="E1053" s="114" t="str">
        <f>VLOOKUP(C1053,'Custos Matéria Prima Embalagens'!B:D,3,0)</f>
        <v>ESPESSANTE DE MEDIA</v>
      </c>
      <c r="F1053" s="270">
        <f t="shared" si="136"/>
        <v>999.2</v>
      </c>
      <c r="G1053" s="148">
        <f t="shared" si="137"/>
        <v>2.0016012810248198E-2</v>
      </c>
      <c r="H1053" s="275">
        <v>20</v>
      </c>
      <c r="I1053" s="272">
        <f>ROUND(F1053/VLOOKUP(A1053,'Tabela de Produtos'!A:J,10,0),0)</f>
        <v>787</v>
      </c>
      <c r="J1053" s="97">
        <f>IFERROR(VLOOKUP(C1053,'Custos Matéria Prima Embalagens'!B:G,6,0)*H1053,"Matéria Prima Não Cadastrada")</f>
        <v>158.1</v>
      </c>
      <c r="K1053" s="97">
        <f>IFERROR(J1053/(I1053/VLOOKUP(A1053,'Tabela de Produtos'!A:H,8,0)),"Matéria Prima Não Cadastrada")</f>
        <v>0.60266836086404063</v>
      </c>
      <c r="L1053" s="216"/>
    </row>
    <row r="1054" spans="1:12" ht="15.75" customHeight="1">
      <c r="A1054" s="114" t="s">
        <v>180</v>
      </c>
      <c r="B1054" s="114" t="str">
        <f>VLOOKUP(A1054,'Tabela de Produtos'!A:B,2,0)</f>
        <v>BRAZIMIL LÁTEX STANDARD INT/EXT SEMIBRILHO 3L LILAS</v>
      </c>
      <c r="C1054" s="48" t="s">
        <v>1270</v>
      </c>
      <c r="D1054" s="114" t="str">
        <f>VLOOKUP(C1054,'Custos Matéria Prima Embalagens'!B:C,2,0)</f>
        <v>MISTURA CONCENTRADO SEMI BRILHO</v>
      </c>
      <c r="E1054" s="114" t="str">
        <f>VLOOKUP(C1054,'Custos Matéria Prima Embalagens'!B:D,3,0)</f>
        <v>MISTURA CONCENTRADO SEMI BRILHO</v>
      </c>
      <c r="F1054" s="270">
        <f t="shared" si="136"/>
        <v>999.2</v>
      </c>
      <c r="G1054" s="148">
        <f t="shared" si="137"/>
        <v>0.244195356285028</v>
      </c>
      <c r="H1054" s="275">
        <v>244</v>
      </c>
      <c r="I1054" s="272">
        <f>ROUND(F1054/VLOOKUP(A1054,'Tabela de Produtos'!A:J,10,0),0)</f>
        <v>787</v>
      </c>
      <c r="J1054" s="97">
        <f>IFERROR(VLOOKUP(C1054,'Custos Matéria Prima Embalagens'!B:G,6,0)*H1054,"Matéria Prima Não Cadastrada")</f>
        <v>2188.6800000000003</v>
      </c>
      <c r="K1054" s="97">
        <f>IFERROR(J1054/(I1054/VLOOKUP(A1054,'Tabela de Produtos'!A:H,8,0)),"Matéria Prima Não Cadastrada")</f>
        <v>8.3431257941550214</v>
      </c>
      <c r="L1054" s="216"/>
    </row>
    <row r="1055" spans="1:12" ht="15.75" customHeight="1">
      <c r="D1055" s="114"/>
      <c r="E1055" s="114"/>
      <c r="F1055" s="96"/>
      <c r="G1055" s="148"/>
      <c r="H1055" s="96"/>
      <c r="I1055" s="272"/>
      <c r="J1055" s="97"/>
      <c r="K1055" s="97"/>
      <c r="L1055" s="216"/>
    </row>
    <row r="1056" spans="1:12" ht="15.75" customHeight="1">
      <c r="A1056" s="114" t="s">
        <v>181</v>
      </c>
      <c r="B1056" s="114" t="str">
        <f>VLOOKUP(A1056,'Tabela de Produtos'!A:B,2,0)</f>
        <v>BRAZIMIL LÁTEX STANDARD INT/EXT SEMIBRILHO 3L VERMELHO GARANTIDO</v>
      </c>
      <c r="C1056" s="48" t="s">
        <v>1197</v>
      </c>
      <c r="D1056" s="114" t="str">
        <f>VLOOKUP(C1056,'Custos Matéria Prima Embalagens'!B:C,2,0)</f>
        <v>AGUA</v>
      </c>
      <c r="E1056" s="114" t="str">
        <f>VLOOKUP(C1056,'Custos Matéria Prima Embalagens'!B:D,3,0)</f>
        <v>AGUA</v>
      </c>
      <c r="F1056" s="270">
        <f t="shared" ref="F1056:F1067" si="138">SUMIFS(H:H,A:A,A1056)</f>
        <v>999.2</v>
      </c>
      <c r="G1056" s="148">
        <f t="shared" ref="G1056:G1067" si="139">H1056/F1056</f>
        <v>0.55044035228182542</v>
      </c>
      <c r="H1056" s="275">
        <v>550</v>
      </c>
      <c r="I1056" s="272">
        <f>ROUND(F1056/VLOOKUP(A1056,'Tabela de Produtos'!A:J,10,0),0)</f>
        <v>787</v>
      </c>
      <c r="J1056" s="97">
        <f>IFERROR(VLOOKUP(C1056,'Custos Matéria Prima Embalagens'!B:G,6,0)*H1056,"Matéria Prima Não Cadastrada")</f>
        <v>0</v>
      </c>
      <c r="K1056" s="97">
        <f>IFERROR(J1056/(I1056/VLOOKUP(A1056,'Tabela de Produtos'!A:H,8,0)),"Matéria Prima Não Cadastrada")</f>
        <v>0</v>
      </c>
      <c r="L1056" s="216"/>
    </row>
    <row r="1057" spans="1:12" ht="15.75" customHeight="1">
      <c r="A1057" s="114" t="s">
        <v>181</v>
      </c>
      <c r="B1057" s="114" t="str">
        <f>VLOOKUP(A1057,'Tabela de Produtos'!A:B,2,0)</f>
        <v>BRAZIMIL LÁTEX STANDARD INT/EXT SEMIBRILHO 3L VERMELHO GARANTIDO</v>
      </c>
      <c r="C1057" s="48" t="s">
        <v>1199</v>
      </c>
      <c r="D1057" s="114" t="str">
        <f>VLOOKUP(C1057,'Custos Matéria Prima Embalagens'!B:C,2,0)</f>
        <v>HEXAMETAFOSFATO DE SODIO</v>
      </c>
      <c r="E1057" s="114" t="str">
        <f>VLOOKUP(C1057,'Custos Matéria Prima Embalagens'!B:D,3,0)</f>
        <v>HEXAMETAFOSFATO DE SODIO</v>
      </c>
      <c r="F1057" s="270">
        <f t="shared" si="138"/>
        <v>999.2</v>
      </c>
      <c r="G1057" s="148">
        <f t="shared" si="139"/>
        <v>1.2009607686148918E-3</v>
      </c>
      <c r="H1057" s="275">
        <v>1.2</v>
      </c>
      <c r="I1057" s="272">
        <f>ROUND(F1057/VLOOKUP(A1057,'Tabela de Produtos'!A:J,10,0),0)</f>
        <v>787</v>
      </c>
      <c r="J1057" s="97">
        <f>IFERROR(VLOOKUP(C1057,'Custos Matéria Prima Embalagens'!B:G,6,0)*H1057,"Matéria Prima Não Cadastrada")</f>
        <v>21.527999999999995</v>
      </c>
      <c r="K1057" s="97">
        <f>IFERROR(J1057/(I1057/VLOOKUP(A1057,'Tabela de Produtos'!A:H,8,0)),"Matéria Prima Não Cadastrada")</f>
        <v>8.2063532401524766E-2</v>
      </c>
      <c r="L1057" s="216"/>
    </row>
    <row r="1058" spans="1:12" ht="15.75" customHeight="1">
      <c r="A1058" s="114" t="s">
        <v>181</v>
      </c>
      <c r="B1058" s="114" t="str">
        <f>VLOOKUP(A1058,'Tabela de Produtos'!A:B,2,0)</f>
        <v>BRAZIMIL LÁTEX STANDARD INT/EXT SEMIBRILHO 3L VERMELHO GARANTIDO</v>
      </c>
      <c r="C1058" s="48" t="s">
        <v>1201</v>
      </c>
      <c r="D1058" s="114" t="str">
        <f>VLOOKUP(C1058,'Custos Matéria Prima Embalagens'!B:C,2,0)</f>
        <v>WANFOAM 528 CE (BB-190)</v>
      </c>
      <c r="E1058" s="114" t="str">
        <f>VLOOKUP(C1058,'Custos Matéria Prima Embalagens'!B:D,3,0)</f>
        <v>ANTI ESPUMA LATEX</v>
      </c>
      <c r="F1058" s="270">
        <f t="shared" si="138"/>
        <v>999.2</v>
      </c>
      <c r="G1058" s="148">
        <f t="shared" si="139"/>
        <v>2.0016012810248197E-3</v>
      </c>
      <c r="H1058" s="275">
        <v>2</v>
      </c>
      <c r="I1058" s="272">
        <f>ROUND(F1058/VLOOKUP(A1058,'Tabela de Produtos'!A:J,10,0),0)</f>
        <v>787</v>
      </c>
      <c r="J1058" s="97">
        <f>IFERROR(VLOOKUP(C1058,'Custos Matéria Prima Embalagens'!B:G,6,0)*H1058,"Matéria Prima Não Cadastrada")</f>
        <v>14.36</v>
      </c>
      <c r="K1058" s="97">
        <f>IFERROR(J1058/(I1058/VLOOKUP(A1058,'Tabela de Produtos'!A:H,8,0)),"Matéria Prima Não Cadastrada")</f>
        <v>5.4739517153748411E-2</v>
      </c>
      <c r="L1058" s="216"/>
    </row>
    <row r="1059" spans="1:12" ht="15.75" customHeight="1">
      <c r="A1059" s="114" t="s">
        <v>181</v>
      </c>
      <c r="B1059" s="114" t="str">
        <f>VLOOKUP(A1059,'Tabela de Produtos'!A:B,2,0)</f>
        <v>BRAZIMIL LÁTEX STANDARD INT/EXT SEMIBRILHO 3L VERMELHO GARANTIDO</v>
      </c>
      <c r="C1059" s="48" t="s">
        <v>1203</v>
      </c>
      <c r="D1059" s="114" t="str">
        <f>VLOOKUP(C1059,'Custos Matéria Prima Embalagens'!B:C,2,0)</f>
        <v>WANBAC WBT CE (BH-200)</v>
      </c>
      <c r="E1059" s="114" t="str">
        <f>VLOOKUP(C1059,'Custos Matéria Prima Embalagens'!B:D,3,0)</f>
        <v>BACTERICIDA</v>
      </c>
      <c r="F1059" s="270">
        <f t="shared" si="138"/>
        <v>999.2</v>
      </c>
      <c r="G1059" s="148">
        <f t="shared" si="139"/>
        <v>2.0016012810248197E-3</v>
      </c>
      <c r="H1059" s="275">
        <v>2</v>
      </c>
      <c r="I1059" s="272">
        <f>ROUND(F1059/VLOOKUP(A1059,'Tabela de Produtos'!A:J,10,0),0)</f>
        <v>787</v>
      </c>
      <c r="J1059" s="97">
        <f>IFERROR(VLOOKUP(C1059,'Custos Matéria Prima Embalagens'!B:G,6,0)*H1059,"Matéria Prima Não Cadastrada")</f>
        <v>9.879999999999999</v>
      </c>
      <c r="K1059" s="97">
        <f>IFERROR(J1059/(I1059/VLOOKUP(A1059,'Tabela de Produtos'!A:H,8,0)),"Matéria Prima Não Cadastrada")</f>
        <v>3.7662007623888182E-2</v>
      </c>
      <c r="L1059" s="216"/>
    </row>
    <row r="1060" spans="1:12" ht="15.75" customHeight="1">
      <c r="A1060" s="114" t="s">
        <v>181</v>
      </c>
      <c r="B1060" s="114" t="str">
        <f>VLOOKUP(A1060,'Tabela de Produtos'!A:B,2,0)</f>
        <v>BRAZIMIL LÁTEX STANDARD INT/EXT SEMIBRILHO 3L VERMELHO GARANTIDO</v>
      </c>
      <c r="C1060" s="48" t="s">
        <v>1205</v>
      </c>
      <c r="D1060" s="114" t="str">
        <f>VLOOKUP(C1060,'Custos Matéria Prima Embalagens'!B:C,2,0)</f>
        <v>WANSUR 840 CE (BB-200)01</v>
      </c>
      <c r="E1060" s="114" t="str">
        <f>VLOOKUP(C1060,'Custos Matéria Prima Embalagens'!B:D,3,0)</f>
        <v>UMECTANTE</v>
      </c>
      <c r="F1060" s="270">
        <f t="shared" si="138"/>
        <v>999.2</v>
      </c>
      <c r="G1060" s="148">
        <f t="shared" si="139"/>
        <v>2.0016012810248197E-3</v>
      </c>
      <c r="H1060" s="275">
        <v>2</v>
      </c>
      <c r="I1060" s="272">
        <f>ROUND(F1060/VLOOKUP(A1060,'Tabela de Produtos'!A:J,10,0),0)</f>
        <v>787</v>
      </c>
      <c r="J1060" s="97">
        <f>IFERROR(VLOOKUP(C1060,'Custos Matéria Prima Embalagens'!B:G,6,0)*H1060,"Matéria Prima Não Cadastrada")</f>
        <v>14.66</v>
      </c>
      <c r="K1060" s="97">
        <f>IFERROR(J1060/(I1060/VLOOKUP(A1060,'Tabela de Produtos'!A:H,8,0)),"Matéria Prima Não Cadastrada")</f>
        <v>5.5883100381194414E-2</v>
      </c>
      <c r="L1060" s="216"/>
    </row>
    <row r="1061" spans="1:12" ht="15.75" customHeight="1">
      <c r="A1061" s="114" t="s">
        <v>181</v>
      </c>
      <c r="B1061" s="114" t="str">
        <f>VLOOKUP(A1061,'Tabela de Produtos'!A:B,2,0)</f>
        <v>BRAZIMIL LÁTEX STANDARD INT/EXT SEMIBRILHO 3L VERMELHO GARANTIDO</v>
      </c>
      <c r="C1061" s="48" t="s">
        <v>1207</v>
      </c>
      <c r="D1061" s="114" t="str">
        <f>VLOOKUP(C1061,'Custos Matéria Prima Embalagens'!B:C,2,0)</f>
        <v>WANPEX 1510 (BB-200)</v>
      </c>
      <c r="E1061" s="114" t="str">
        <f>VLOOKUP(C1061,'Custos Matéria Prima Embalagens'!B:D,3,0)</f>
        <v>DISPERSANTE LATEX</v>
      </c>
      <c r="F1061" s="270">
        <f t="shared" si="138"/>
        <v>999.2</v>
      </c>
      <c r="G1061" s="148">
        <f t="shared" si="139"/>
        <v>2.0016012810248197E-3</v>
      </c>
      <c r="H1061" s="275">
        <v>2</v>
      </c>
      <c r="I1061" s="272">
        <f>ROUND(F1061/VLOOKUP(A1061,'Tabela de Produtos'!A:J,10,0),0)</f>
        <v>787</v>
      </c>
      <c r="J1061" s="97">
        <f>IFERROR(VLOOKUP(C1061,'Custos Matéria Prima Embalagens'!B:G,6,0)*H1061,"Matéria Prima Não Cadastrada")</f>
        <v>13.719999999999999</v>
      </c>
      <c r="K1061" s="97">
        <f>IFERROR(J1061/(I1061/VLOOKUP(A1061,'Tabela de Produtos'!A:H,8,0)),"Matéria Prima Não Cadastrada")</f>
        <v>5.2299872935196952E-2</v>
      </c>
      <c r="L1061" s="216"/>
    </row>
    <row r="1062" spans="1:12" ht="15.75" customHeight="1">
      <c r="A1062" s="114" t="s">
        <v>181</v>
      </c>
      <c r="B1062" s="114" t="str">
        <f>VLOOKUP(A1062,'Tabela de Produtos'!A:B,2,0)</f>
        <v>BRAZIMIL LÁTEX STANDARD INT/EXT SEMIBRILHO 3L VERMELHO GARANTIDO</v>
      </c>
      <c r="C1062" s="48" t="s">
        <v>1217</v>
      </c>
      <c r="D1062" s="114" t="str">
        <f>VLOOKUP(C1062,'Custos Matéria Prima Embalagens'!B:C,2,0)</f>
        <v>WANCRIL W 51 CE (CT-1000P)</v>
      </c>
      <c r="E1062" s="114" t="str">
        <f>VLOOKUP(C1062,'Custos Matéria Prima Embalagens'!B:D,3,0)</f>
        <v>RESINA ACRILICA ESTIRENADA</v>
      </c>
      <c r="F1062" s="270">
        <f t="shared" si="138"/>
        <v>999.2</v>
      </c>
      <c r="G1062" s="148">
        <f t="shared" si="139"/>
        <v>0.16012810248198558</v>
      </c>
      <c r="H1062" s="275">
        <v>160</v>
      </c>
      <c r="I1062" s="272">
        <f>ROUND(F1062/VLOOKUP(A1062,'Tabela de Produtos'!A:J,10,0),0)</f>
        <v>787</v>
      </c>
      <c r="J1062" s="97">
        <f>IFERROR(VLOOKUP(C1062,'Custos Matéria Prima Embalagens'!B:G,6,0)*H1062,"Matéria Prima Não Cadastrada")</f>
        <v>1348.8</v>
      </c>
      <c r="K1062" s="97">
        <f>IFERROR(J1062/(I1062/VLOOKUP(A1062,'Tabela de Produtos'!A:H,8,0)),"Matéria Prima Não Cadastrada")</f>
        <v>5.1415501905972052</v>
      </c>
      <c r="L1062" s="216"/>
    </row>
    <row r="1063" spans="1:12" ht="15.75" customHeight="1">
      <c r="A1063" s="114" t="s">
        <v>181</v>
      </c>
      <c r="B1063" s="114" t="str">
        <f>VLOOKUP(A1063,'Tabela de Produtos'!A:B,2,0)</f>
        <v>BRAZIMIL LÁTEX STANDARD INT/EXT SEMIBRILHO 3L VERMELHO GARANTIDO</v>
      </c>
      <c r="C1063" s="48" t="s">
        <v>1229</v>
      </c>
      <c r="D1063" s="114" t="str">
        <f>VLOOKUP(C1063,'Custos Matéria Prima Embalagens'!B:C,2,0)</f>
        <v>WANSOL 340 CE (BB-200)</v>
      </c>
      <c r="E1063" s="114" t="str">
        <f>VLOOKUP(C1063,'Custos Matéria Prima Embalagens'!B:D,3,0)</f>
        <v>COALESCENTE</v>
      </c>
      <c r="F1063" s="270">
        <f t="shared" si="138"/>
        <v>999.2</v>
      </c>
      <c r="G1063" s="148">
        <f t="shared" si="139"/>
        <v>1.0008006405124099E-2</v>
      </c>
      <c r="H1063" s="275">
        <v>10</v>
      </c>
      <c r="I1063" s="272">
        <f>ROUND(F1063/VLOOKUP(A1063,'Tabela de Produtos'!A:J,10,0),0)</f>
        <v>787</v>
      </c>
      <c r="J1063" s="97">
        <f>IFERROR(VLOOKUP(C1063,'Custos Matéria Prima Embalagens'!B:G,6,0)*H1063,"Matéria Prima Não Cadastrada")</f>
        <v>192.2</v>
      </c>
      <c r="K1063" s="97">
        <f>IFERROR(J1063/(I1063/VLOOKUP(A1063,'Tabela de Produtos'!A:H,8,0)),"Matéria Prima Não Cadastrada")</f>
        <v>0.7326556543837357</v>
      </c>
      <c r="L1063" s="216"/>
    </row>
    <row r="1064" spans="1:12" ht="15.75" customHeight="1">
      <c r="A1064" s="114" t="s">
        <v>181</v>
      </c>
      <c r="B1064" s="114" t="str">
        <f>VLOOKUP(A1064,'Tabela de Produtos'!A:B,2,0)</f>
        <v>BRAZIMIL LÁTEX STANDARD INT/EXT SEMIBRILHO 3L VERMELHO GARANTIDO</v>
      </c>
      <c r="C1064" s="48" t="s">
        <v>1209</v>
      </c>
      <c r="D1064" s="114" t="str">
        <f>VLOOKUP(C1064,'Custos Matéria Prima Embalagens'!B:C,2,0)</f>
        <v>WANFUNG WFT CE (BH-200)</v>
      </c>
      <c r="E1064" s="114" t="str">
        <f>VLOOKUP(C1064,'Custos Matéria Prima Embalagens'!B:D,3,0)</f>
        <v>FUNGICIDA</v>
      </c>
      <c r="F1064" s="270">
        <f t="shared" si="138"/>
        <v>999.2</v>
      </c>
      <c r="G1064" s="148">
        <f t="shared" si="139"/>
        <v>3.0024019215372298E-3</v>
      </c>
      <c r="H1064" s="275">
        <v>3</v>
      </c>
      <c r="I1064" s="272">
        <f>ROUND(F1064/VLOOKUP(A1064,'Tabela de Produtos'!A:J,10,0),0)</f>
        <v>787</v>
      </c>
      <c r="J1064" s="97">
        <f>IFERROR(VLOOKUP(C1064,'Custos Matéria Prima Embalagens'!B:G,6,0)*H1064,"Matéria Prima Não Cadastrada")</f>
        <v>21</v>
      </c>
      <c r="K1064" s="97">
        <f>IFERROR(J1064/(I1064/VLOOKUP(A1064,'Tabela de Produtos'!A:H,8,0)),"Matéria Prima Não Cadastrada")</f>
        <v>8.0050825921219829E-2</v>
      </c>
      <c r="L1064" s="216"/>
    </row>
    <row r="1065" spans="1:12" ht="15.75" customHeight="1">
      <c r="A1065" s="114" t="s">
        <v>181</v>
      </c>
      <c r="B1065" s="114" t="str">
        <f>VLOOKUP(A1065,'Tabela de Produtos'!A:B,2,0)</f>
        <v>BRAZIMIL LÁTEX STANDARD INT/EXT SEMIBRILHO 3L VERMELHO GARANTIDO</v>
      </c>
      <c r="C1065" s="48" t="s">
        <v>1219</v>
      </c>
      <c r="D1065" s="114" t="str">
        <f>VLOOKUP(C1065,'Custos Matéria Prima Embalagens'!B:C,2,0)</f>
        <v>WANALK 70 CE (BH-200)</v>
      </c>
      <c r="E1065" s="114" t="str">
        <f>VLOOKUP(C1065,'Custos Matéria Prima Embalagens'!B:D,3,0)</f>
        <v>ALCALINIZANTE</v>
      </c>
      <c r="F1065" s="270">
        <f t="shared" si="138"/>
        <v>999.2</v>
      </c>
      <c r="G1065" s="148">
        <f t="shared" si="139"/>
        <v>3.0024019215372298E-3</v>
      </c>
      <c r="H1065" s="275">
        <v>3</v>
      </c>
      <c r="I1065" s="272">
        <f>ROUND(F1065/VLOOKUP(A1065,'Tabela de Produtos'!A:J,10,0),0)</f>
        <v>787</v>
      </c>
      <c r="J1065" s="97">
        <f>IFERROR(VLOOKUP(C1065,'Custos Matéria Prima Embalagens'!B:G,6,0)*H1065,"Matéria Prima Não Cadastrada")</f>
        <v>14.940000000000001</v>
      </c>
      <c r="K1065" s="97">
        <f>IFERROR(J1065/(I1065/VLOOKUP(A1065,'Tabela de Produtos'!A:H,8,0)),"Matéria Prima Não Cadastrada")</f>
        <v>5.6950444726810684E-2</v>
      </c>
      <c r="L1065" s="216"/>
    </row>
    <row r="1066" spans="1:12" ht="15.75" customHeight="1">
      <c r="A1066" s="114" t="s">
        <v>181</v>
      </c>
      <c r="B1066" s="114" t="str">
        <f>VLOOKUP(A1066,'Tabela de Produtos'!A:B,2,0)</f>
        <v>BRAZIMIL LÁTEX STANDARD INT/EXT SEMIBRILHO 3L VERMELHO GARANTIDO</v>
      </c>
      <c r="C1066" s="48" t="s">
        <v>1221</v>
      </c>
      <c r="D1066" s="114" t="str">
        <f>VLOOKUP(C1066,'Custos Matéria Prima Embalagens'!B:C,2,0)</f>
        <v>MODIWAN 105H CE (CT-1000P)</v>
      </c>
      <c r="E1066" s="114" t="str">
        <f>VLOOKUP(C1066,'Custos Matéria Prima Embalagens'!B:D,3,0)</f>
        <v>ESPESSANTE DE MEDIA</v>
      </c>
      <c r="F1066" s="270">
        <f t="shared" si="138"/>
        <v>999.2</v>
      </c>
      <c r="G1066" s="148">
        <f t="shared" si="139"/>
        <v>2.0016012810248198E-2</v>
      </c>
      <c r="H1066" s="275">
        <v>20</v>
      </c>
      <c r="I1066" s="272">
        <f>ROUND(F1066/VLOOKUP(A1066,'Tabela de Produtos'!A:J,10,0),0)</f>
        <v>787</v>
      </c>
      <c r="J1066" s="97">
        <f>IFERROR(VLOOKUP(C1066,'Custos Matéria Prima Embalagens'!B:G,6,0)*H1066,"Matéria Prima Não Cadastrada")</f>
        <v>158.1</v>
      </c>
      <c r="K1066" s="97">
        <f>IFERROR(J1066/(I1066/VLOOKUP(A1066,'Tabela de Produtos'!A:H,8,0)),"Matéria Prima Não Cadastrada")</f>
        <v>0.60266836086404063</v>
      </c>
      <c r="L1066" s="216"/>
    </row>
    <row r="1067" spans="1:12" ht="15.75" customHeight="1">
      <c r="A1067" s="114" t="s">
        <v>181</v>
      </c>
      <c r="B1067" s="114" t="str">
        <f>VLOOKUP(A1067,'Tabela de Produtos'!A:B,2,0)</f>
        <v>BRAZIMIL LÁTEX STANDARD INT/EXT SEMIBRILHO 3L VERMELHO GARANTIDO</v>
      </c>
      <c r="C1067" s="48" t="s">
        <v>1270</v>
      </c>
      <c r="D1067" s="114" t="str">
        <f>VLOOKUP(C1067,'Custos Matéria Prima Embalagens'!B:C,2,0)</f>
        <v>MISTURA CONCENTRADO SEMI BRILHO</v>
      </c>
      <c r="E1067" s="114" t="str">
        <f>VLOOKUP(C1067,'Custos Matéria Prima Embalagens'!B:D,3,0)</f>
        <v>MISTURA CONCENTRADO SEMI BRILHO</v>
      </c>
      <c r="F1067" s="270">
        <f t="shared" si="138"/>
        <v>999.2</v>
      </c>
      <c r="G1067" s="148">
        <f t="shared" si="139"/>
        <v>0.244195356285028</v>
      </c>
      <c r="H1067" s="275">
        <v>244</v>
      </c>
      <c r="I1067" s="272">
        <f>ROUND(F1067/VLOOKUP(A1067,'Tabela de Produtos'!A:J,10,0),0)</f>
        <v>787</v>
      </c>
      <c r="J1067" s="97">
        <f>IFERROR(VLOOKUP(C1067,'Custos Matéria Prima Embalagens'!B:G,6,0)*H1067,"Matéria Prima Não Cadastrada")</f>
        <v>2188.6800000000003</v>
      </c>
      <c r="K1067" s="97">
        <f>IFERROR(J1067/(I1067/VLOOKUP(A1067,'Tabela de Produtos'!A:H,8,0)),"Matéria Prima Não Cadastrada")</f>
        <v>8.3431257941550214</v>
      </c>
      <c r="L1067" s="216"/>
    </row>
    <row r="1068" spans="1:12" ht="15.75" customHeight="1">
      <c r="D1068" s="114"/>
      <c r="E1068" s="114"/>
      <c r="F1068" s="96"/>
      <c r="G1068" s="148"/>
      <c r="H1068" s="96"/>
      <c r="I1068" s="272"/>
      <c r="J1068" s="97"/>
      <c r="K1068" s="97"/>
      <c r="L1068" s="216"/>
    </row>
    <row r="1069" spans="1:12" ht="15.75" customHeight="1">
      <c r="A1069" s="114" t="s">
        <v>182</v>
      </c>
      <c r="B1069" s="114" t="str">
        <f>VLOOKUP(A1069,'Tabela de Produtos'!A:B,2,0)</f>
        <v>BRAZIMIL LÁTEX STANDARD INT/EXT SEMIBRILHO 3L AZUL CAPRICHOSO</v>
      </c>
      <c r="C1069" s="48" t="s">
        <v>1197</v>
      </c>
      <c r="D1069" s="114" t="str">
        <f>VLOOKUP(C1069,'Custos Matéria Prima Embalagens'!B:C,2,0)</f>
        <v>AGUA</v>
      </c>
      <c r="E1069" s="114" t="str">
        <f>VLOOKUP(C1069,'Custos Matéria Prima Embalagens'!B:D,3,0)</f>
        <v>AGUA</v>
      </c>
      <c r="F1069" s="270">
        <f t="shared" ref="F1069:F1080" si="140">SUMIFS(H:H,A:A,A1069)</f>
        <v>999.2</v>
      </c>
      <c r="G1069" s="148">
        <f t="shared" ref="G1069:G1080" si="141">H1069/F1069</f>
        <v>0.55044035228182542</v>
      </c>
      <c r="H1069" s="275">
        <v>550</v>
      </c>
      <c r="I1069" s="272">
        <f>ROUND(F1069/VLOOKUP(A1069,'Tabela de Produtos'!A:J,10,0),0)</f>
        <v>787</v>
      </c>
      <c r="J1069" s="97">
        <f>IFERROR(VLOOKUP(C1069,'Custos Matéria Prima Embalagens'!B:G,6,0)*H1069,"Matéria Prima Não Cadastrada")</f>
        <v>0</v>
      </c>
      <c r="K1069" s="97">
        <f>IFERROR(J1069/(I1069/VLOOKUP(A1069,'Tabela de Produtos'!A:H,8,0)),"Matéria Prima Não Cadastrada")</f>
        <v>0</v>
      </c>
      <c r="L1069" s="216"/>
    </row>
    <row r="1070" spans="1:12" ht="15.75" customHeight="1">
      <c r="A1070" s="114" t="s">
        <v>182</v>
      </c>
      <c r="B1070" s="114" t="str">
        <f>VLOOKUP(A1070,'Tabela de Produtos'!A:B,2,0)</f>
        <v>BRAZIMIL LÁTEX STANDARD INT/EXT SEMIBRILHO 3L AZUL CAPRICHOSO</v>
      </c>
      <c r="C1070" s="48" t="s">
        <v>1199</v>
      </c>
      <c r="D1070" s="114" t="str">
        <f>VLOOKUP(C1070,'Custos Matéria Prima Embalagens'!B:C,2,0)</f>
        <v>HEXAMETAFOSFATO DE SODIO</v>
      </c>
      <c r="E1070" s="114" t="str">
        <f>VLOOKUP(C1070,'Custos Matéria Prima Embalagens'!B:D,3,0)</f>
        <v>HEXAMETAFOSFATO DE SODIO</v>
      </c>
      <c r="F1070" s="270">
        <f t="shared" si="140"/>
        <v>999.2</v>
      </c>
      <c r="G1070" s="148">
        <f t="shared" si="141"/>
        <v>1.2009607686148918E-3</v>
      </c>
      <c r="H1070" s="275">
        <v>1.2</v>
      </c>
      <c r="I1070" s="272">
        <f>ROUND(F1070/VLOOKUP(A1070,'Tabela de Produtos'!A:J,10,0),0)</f>
        <v>787</v>
      </c>
      <c r="J1070" s="97">
        <f>IFERROR(VLOOKUP(C1070,'Custos Matéria Prima Embalagens'!B:G,6,0)*H1070,"Matéria Prima Não Cadastrada")</f>
        <v>21.527999999999995</v>
      </c>
      <c r="K1070" s="97">
        <f>IFERROR(J1070/(I1070/VLOOKUP(A1070,'Tabela de Produtos'!A:H,8,0)),"Matéria Prima Não Cadastrada")</f>
        <v>8.2063532401524766E-2</v>
      </c>
      <c r="L1070" s="216"/>
    </row>
    <row r="1071" spans="1:12" ht="15.75" customHeight="1">
      <c r="A1071" s="114" t="s">
        <v>182</v>
      </c>
      <c r="B1071" s="114" t="str">
        <f>VLOOKUP(A1071,'Tabela de Produtos'!A:B,2,0)</f>
        <v>BRAZIMIL LÁTEX STANDARD INT/EXT SEMIBRILHO 3L AZUL CAPRICHOSO</v>
      </c>
      <c r="C1071" s="48" t="s">
        <v>1201</v>
      </c>
      <c r="D1071" s="114" t="str">
        <f>VLOOKUP(C1071,'Custos Matéria Prima Embalagens'!B:C,2,0)</f>
        <v>WANFOAM 528 CE (BB-190)</v>
      </c>
      <c r="E1071" s="114" t="str">
        <f>VLOOKUP(C1071,'Custos Matéria Prima Embalagens'!B:D,3,0)</f>
        <v>ANTI ESPUMA LATEX</v>
      </c>
      <c r="F1071" s="270">
        <f t="shared" si="140"/>
        <v>999.2</v>
      </c>
      <c r="G1071" s="148">
        <f t="shared" si="141"/>
        <v>2.0016012810248197E-3</v>
      </c>
      <c r="H1071" s="275">
        <v>2</v>
      </c>
      <c r="I1071" s="272">
        <f>ROUND(F1071/VLOOKUP(A1071,'Tabela de Produtos'!A:J,10,0),0)</f>
        <v>787</v>
      </c>
      <c r="J1071" s="97">
        <f>IFERROR(VLOOKUP(C1071,'Custos Matéria Prima Embalagens'!B:G,6,0)*H1071,"Matéria Prima Não Cadastrada")</f>
        <v>14.36</v>
      </c>
      <c r="K1071" s="97">
        <f>IFERROR(J1071/(I1071/VLOOKUP(A1071,'Tabela de Produtos'!A:H,8,0)),"Matéria Prima Não Cadastrada")</f>
        <v>5.4739517153748411E-2</v>
      </c>
      <c r="L1071" s="216"/>
    </row>
    <row r="1072" spans="1:12" ht="15.75" customHeight="1">
      <c r="A1072" s="114" t="s">
        <v>182</v>
      </c>
      <c r="B1072" s="114" t="str">
        <f>VLOOKUP(A1072,'Tabela de Produtos'!A:B,2,0)</f>
        <v>BRAZIMIL LÁTEX STANDARD INT/EXT SEMIBRILHO 3L AZUL CAPRICHOSO</v>
      </c>
      <c r="C1072" s="48" t="s">
        <v>1203</v>
      </c>
      <c r="D1072" s="114" t="str">
        <f>VLOOKUP(C1072,'Custos Matéria Prima Embalagens'!B:C,2,0)</f>
        <v>WANBAC WBT CE (BH-200)</v>
      </c>
      <c r="E1072" s="114" t="str">
        <f>VLOOKUP(C1072,'Custos Matéria Prima Embalagens'!B:D,3,0)</f>
        <v>BACTERICIDA</v>
      </c>
      <c r="F1072" s="270">
        <f t="shared" si="140"/>
        <v>999.2</v>
      </c>
      <c r="G1072" s="148">
        <f t="shared" si="141"/>
        <v>2.0016012810248197E-3</v>
      </c>
      <c r="H1072" s="275">
        <v>2</v>
      </c>
      <c r="I1072" s="272">
        <f>ROUND(F1072/VLOOKUP(A1072,'Tabela de Produtos'!A:J,10,0),0)</f>
        <v>787</v>
      </c>
      <c r="J1072" s="97">
        <f>IFERROR(VLOOKUP(C1072,'Custos Matéria Prima Embalagens'!B:G,6,0)*H1072,"Matéria Prima Não Cadastrada")</f>
        <v>9.879999999999999</v>
      </c>
      <c r="K1072" s="97">
        <f>IFERROR(J1072/(I1072/VLOOKUP(A1072,'Tabela de Produtos'!A:H,8,0)),"Matéria Prima Não Cadastrada")</f>
        <v>3.7662007623888182E-2</v>
      </c>
      <c r="L1072" s="216"/>
    </row>
    <row r="1073" spans="1:12" ht="15.75" customHeight="1">
      <c r="A1073" s="114" t="s">
        <v>182</v>
      </c>
      <c r="B1073" s="114" t="str">
        <f>VLOOKUP(A1073,'Tabela de Produtos'!A:B,2,0)</f>
        <v>BRAZIMIL LÁTEX STANDARD INT/EXT SEMIBRILHO 3L AZUL CAPRICHOSO</v>
      </c>
      <c r="C1073" s="48" t="s">
        <v>1205</v>
      </c>
      <c r="D1073" s="114" t="str">
        <f>VLOOKUP(C1073,'Custos Matéria Prima Embalagens'!B:C,2,0)</f>
        <v>WANSUR 840 CE (BB-200)01</v>
      </c>
      <c r="E1073" s="114" t="str">
        <f>VLOOKUP(C1073,'Custos Matéria Prima Embalagens'!B:D,3,0)</f>
        <v>UMECTANTE</v>
      </c>
      <c r="F1073" s="270">
        <f t="shared" si="140"/>
        <v>999.2</v>
      </c>
      <c r="G1073" s="148">
        <f t="shared" si="141"/>
        <v>2.0016012810248197E-3</v>
      </c>
      <c r="H1073" s="275">
        <v>2</v>
      </c>
      <c r="I1073" s="272">
        <f>ROUND(F1073/VLOOKUP(A1073,'Tabela de Produtos'!A:J,10,0),0)</f>
        <v>787</v>
      </c>
      <c r="J1073" s="97">
        <f>IFERROR(VLOOKUP(C1073,'Custos Matéria Prima Embalagens'!B:G,6,0)*H1073,"Matéria Prima Não Cadastrada")</f>
        <v>14.66</v>
      </c>
      <c r="K1073" s="97">
        <f>IFERROR(J1073/(I1073/VLOOKUP(A1073,'Tabela de Produtos'!A:H,8,0)),"Matéria Prima Não Cadastrada")</f>
        <v>5.5883100381194414E-2</v>
      </c>
      <c r="L1073" s="216"/>
    </row>
    <row r="1074" spans="1:12" ht="15.75" customHeight="1">
      <c r="A1074" s="114" t="s">
        <v>182</v>
      </c>
      <c r="B1074" s="114" t="str">
        <f>VLOOKUP(A1074,'Tabela de Produtos'!A:B,2,0)</f>
        <v>BRAZIMIL LÁTEX STANDARD INT/EXT SEMIBRILHO 3L AZUL CAPRICHOSO</v>
      </c>
      <c r="C1074" s="48" t="s">
        <v>1207</v>
      </c>
      <c r="D1074" s="114" t="str">
        <f>VLOOKUP(C1074,'Custos Matéria Prima Embalagens'!B:C,2,0)</f>
        <v>WANPEX 1510 (BB-200)</v>
      </c>
      <c r="E1074" s="114" t="str">
        <f>VLOOKUP(C1074,'Custos Matéria Prima Embalagens'!B:D,3,0)</f>
        <v>DISPERSANTE LATEX</v>
      </c>
      <c r="F1074" s="270">
        <f t="shared" si="140"/>
        <v>999.2</v>
      </c>
      <c r="G1074" s="148">
        <f t="shared" si="141"/>
        <v>2.0016012810248197E-3</v>
      </c>
      <c r="H1074" s="275">
        <v>2</v>
      </c>
      <c r="I1074" s="272">
        <f>ROUND(F1074/VLOOKUP(A1074,'Tabela de Produtos'!A:J,10,0),0)</f>
        <v>787</v>
      </c>
      <c r="J1074" s="97">
        <f>IFERROR(VLOOKUP(C1074,'Custos Matéria Prima Embalagens'!B:G,6,0)*H1074,"Matéria Prima Não Cadastrada")</f>
        <v>13.719999999999999</v>
      </c>
      <c r="K1074" s="97">
        <f>IFERROR(J1074/(I1074/VLOOKUP(A1074,'Tabela de Produtos'!A:H,8,0)),"Matéria Prima Não Cadastrada")</f>
        <v>5.2299872935196952E-2</v>
      </c>
      <c r="L1074" s="216"/>
    </row>
    <row r="1075" spans="1:12" ht="15.75" customHeight="1">
      <c r="A1075" s="114" t="s">
        <v>182</v>
      </c>
      <c r="B1075" s="114" t="str">
        <f>VLOOKUP(A1075,'Tabela de Produtos'!A:B,2,0)</f>
        <v>BRAZIMIL LÁTEX STANDARD INT/EXT SEMIBRILHO 3L AZUL CAPRICHOSO</v>
      </c>
      <c r="C1075" s="48" t="s">
        <v>1217</v>
      </c>
      <c r="D1075" s="114" t="str">
        <f>VLOOKUP(C1075,'Custos Matéria Prima Embalagens'!B:C,2,0)</f>
        <v>WANCRIL W 51 CE (CT-1000P)</v>
      </c>
      <c r="E1075" s="114" t="str">
        <f>VLOOKUP(C1075,'Custos Matéria Prima Embalagens'!B:D,3,0)</f>
        <v>RESINA ACRILICA ESTIRENADA</v>
      </c>
      <c r="F1075" s="270">
        <f t="shared" si="140"/>
        <v>999.2</v>
      </c>
      <c r="G1075" s="148">
        <f t="shared" si="141"/>
        <v>0.16012810248198558</v>
      </c>
      <c r="H1075" s="275">
        <v>160</v>
      </c>
      <c r="I1075" s="272">
        <f>ROUND(F1075/VLOOKUP(A1075,'Tabela de Produtos'!A:J,10,0),0)</f>
        <v>787</v>
      </c>
      <c r="J1075" s="97">
        <f>IFERROR(VLOOKUP(C1075,'Custos Matéria Prima Embalagens'!B:G,6,0)*H1075,"Matéria Prima Não Cadastrada")</f>
        <v>1348.8</v>
      </c>
      <c r="K1075" s="97">
        <f>IFERROR(J1075/(I1075/VLOOKUP(A1075,'Tabela de Produtos'!A:H,8,0)),"Matéria Prima Não Cadastrada")</f>
        <v>5.1415501905972052</v>
      </c>
      <c r="L1075" s="216"/>
    </row>
    <row r="1076" spans="1:12" ht="15.75" customHeight="1">
      <c r="A1076" s="114" t="s">
        <v>182</v>
      </c>
      <c r="B1076" s="114" t="str">
        <f>VLOOKUP(A1076,'Tabela de Produtos'!A:B,2,0)</f>
        <v>BRAZIMIL LÁTEX STANDARD INT/EXT SEMIBRILHO 3L AZUL CAPRICHOSO</v>
      </c>
      <c r="C1076" s="48" t="s">
        <v>1229</v>
      </c>
      <c r="D1076" s="114" t="str">
        <f>VLOOKUP(C1076,'Custos Matéria Prima Embalagens'!B:C,2,0)</f>
        <v>WANSOL 340 CE (BB-200)</v>
      </c>
      <c r="E1076" s="114" t="str">
        <f>VLOOKUP(C1076,'Custos Matéria Prima Embalagens'!B:D,3,0)</f>
        <v>COALESCENTE</v>
      </c>
      <c r="F1076" s="270">
        <f t="shared" si="140"/>
        <v>999.2</v>
      </c>
      <c r="G1076" s="148">
        <f t="shared" si="141"/>
        <v>1.0008006405124099E-2</v>
      </c>
      <c r="H1076" s="275">
        <v>10</v>
      </c>
      <c r="I1076" s="272">
        <f>ROUND(F1076/VLOOKUP(A1076,'Tabela de Produtos'!A:J,10,0),0)</f>
        <v>787</v>
      </c>
      <c r="J1076" s="97">
        <f>IFERROR(VLOOKUP(C1076,'Custos Matéria Prima Embalagens'!B:G,6,0)*H1076,"Matéria Prima Não Cadastrada")</f>
        <v>192.2</v>
      </c>
      <c r="K1076" s="97">
        <f>IFERROR(J1076/(I1076/VLOOKUP(A1076,'Tabela de Produtos'!A:H,8,0)),"Matéria Prima Não Cadastrada")</f>
        <v>0.7326556543837357</v>
      </c>
      <c r="L1076" s="216"/>
    </row>
    <row r="1077" spans="1:12" ht="15.75" customHeight="1">
      <c r="A1077" s="114" t="s">
        <v>182</v>
      </c>
      <c r="B1077" s="114" t="str">
        <f>VLOOKUP(A1077,'Tabela de Produtos'!A:B,2,0)</f>
        <v>BRAZIMIL LÁTEX STANDARD INT/EXT SEMIBRILHO 3L AZUL CAPRICHOSO</v>
      </c>
      <c r="C1077" s="48" t="s">
        <v>1209</v>
      </c>
      <c r="D1077" s="114" t="str">
        <f>VLOOKUP(C1077,'Custos Matéria Prima Embalagens'!B:C,2,0)</f>
        <v>WANFUNG WFT CE (BH-200)</v>
      </c>
      <c r="E1077" s="114" t="str">
        <f>VLOOKUP(C1077,'Custos Matéria Prima Embalagens'!B:D,3,0)</f>
        <v>FUNGICIDA</v>
      </c>
      <c r="F1077" s="270">
        <f t="shared" si="140"/>
        <v>999.2</v>
      </c>
      <c r="G1077" s="148">
        <f t="shared" si="141"/>
        <v>3.0024019215372298E-3</v>
      </c>
      <c r="H1077" s="275">
        <v>3</v>
      </c>
      <c r="I1077" s="272">
        <f>ROUND(F1077/VLOOKUP(A1077,'Tabela de Produtos'!A:J,10,0),0)</f>
        <v>787</v>
      </c>
      <c r="J1077" s="97">
        <f>IFERROR(VLOOKUP(C1077,'Custos Matéria Prima Embalagens'!B:G,6,0)*H1077,"Matéria Prima Não Cadastrada")</f>
        <v>21</v>
      </c>
      <c r="K1077" s="97">
        <f>IFERROR(J1077/(I1077/VLOOKUP(A1077,'Tabela de Produtos'!A:H,8,0)),"Matéria Prima Não Cadastrada")</f>
        <v>8.0050825921219829E-2</v>
      </c>
      <c r="L1077" s="216"/>
    </row>
    <row r="1078" spans="1:12" ht="15.75" customHeight="1">
      <c r="A1078" s="114" t="s">
        <v>182</v>
      </c>
      <c r="B1078" s="114" t="str">
        <f>VLOOKUP(A1078,'Tabela de Produtos'!A:B,2,0)</f>
        <v>BRAZIMIL LÁTEX STANDARD INT/EXT SEMIBRILHO 3L AZUL CAPRICHOSO</v>
      </c>
      <c r="C1078" s="48" t="s">
        <v>1219</v>
      </c>
      <c r="D1078" s="114" t="str">
        <f>VLOOKUP(C1078,'Custos Matéria Prima Embalagens'!B:C,2,0)</f>
        <v>WANALK 70 CE (BH-200)</v>
      </c>
      <c r="E1078" s="114" t="str">
        <f>VLOOKUP(C1078,'Custos Matéria Prima Embalagens'!B:D,3,0)</f>
        <v>ALCALINIZANTE</v>
      </c>
      <c r="F1078" s="270">
        <f t="shared" si="140"/>
        <v>999.2</v>
      </c>
      <c r="G1078" s="148">
        <f t="shared" si="141"/>
        <v>3.0024019215372298E-3</v>
      </c>
      <c r="H1078" s="275">
        <v>3</v>
      </c>
      <c r="I1078" s="272">
        <f>ROUND(F1078/VLOOKUP(A1078,'Tabela de Produtos'!A:J,10,0),0)</f>
        <v>787</v>
      </c>
      <c r="J1078" s="97">
        <f>IFERROR(VLOOKUP(C1078,'Custos Matéria Prima Embalagens'!B:G,6,0)*H1078,"Matéria Prima Não Cadastrada")</f>
        <v>14.940000000000001</v>
      </c>
      <c r="K1078" s="97">
        <f>IFERROR(J1078/(I1078/VLOOKUP(A1078,'Tabela de Produtos'!A:H,8,0)),"Matéria Prima Não Cadastrada")</f>
        <v>5.6950444726810684E-2</v>
      </c>
      <c r="L1078" s="216"/>
    </row>
    <row r="1079" spans="1:12" ht="15.75" customHeight="1">
      <c r="A1079" s="114" t="s">
        <v>182</v>
      </c>
      <c r="B1079" s="114" t="str">
        <f>VLOOKUP(A1079,'Tabela de Produtos'!A:B,2,0)</f>
        <v>BRAZIMIL LÁTEX STANDARD INT/EXT SEMIBRILHO 3L AZUL CAPRICHOSO</v>
      </c>
      <c r="C1079" s="48" t="s">
        <v>1221</v>
      </c>
      <c r="D1079" s="114" t="str">
        <f>VLOOKUP(C1079,'Custos Matéria Prima Embalagens'!B:C,2,0)</f>
        <v>MODIWAN 105H CE (CT-1000P)</v>
      </c>
      <c r="E1079" s="114" t="str">
        <f>VLOOKUP(C1079,'Custos Matéria Prima Embalagens'!B:D,3,0)</f>
        <v>ESPESSANTE DE MEDIA</v>
      </c>
      <c r="F1079" s="270">
        <f t="shared" si="140"/>
        <v>999.2</v>
      </c>
      <c r="G1079" s="148">
        <f t="shared" si="141"/>
        <v>2.0016012810248198E-2</v>
      </c>
      <c r="H1079" s="275">
        <v>20</v>
      </c>
      <c r="I1079" s="272">
        <f>ROUND(F1079/VLOOKUP(A1079,'Tabela de Produtos'!A:J,10,0),0)</f>
        <v>787</v>
      </c>
      <c r="J1079" s="97">
        <f>IFERROR(VLOOKUP(C1079,'Custos Matéria Prima Embalagens'!B:G,6,0)*H1079,"Matéria Prima Não Cadastrada")</f>
        <v>158.1</v>
      </c>
      <c r="K1079" s="97">
        <f>IFERROR(J1079/(I1079/VLOOKUP(A1079,'Tabela de Produtos'!A:H,8,0)),"Matéria Prima Não Cadastrada")</f>
        <v>0.60266836086404063</v>
      </c>
      <c r="L1079" s="216"/>
    </row>
    <row r="1080" spans="1:12" ht="15.75" customHeight="1">
      <c r="A1080" s="114" t="s">
        <v>182</v>
      </c>
      <c r="B1080" s="114" t="str">
        <f>VLOOKUP(A1080,'Tabela de Produtos'!A:B,2,0)</f>
        <v>BRAZIMIL LÁTEX STANDARD INT/EXT SEMIBRILHO 3L AZUL CAPRICHOSO</v>
      </c>
      <c r="C1080" s="48" t="s">
        <v>1270</v>
      </c>
      <c r="D1080" s="114" t="str">
        <f>VLOOKUP(C1080,'Custos Matéria Prima Embalagens'!B:C,2,0)</f>
        <v>MISTURA CONCENTRADO SEMI BRILHO</v>
      </c>
      <c r="E1080" s="114" t="str">
        <f>VLOOKUP(C1080,'Custos Matéria Prima Embalagens'!B:D,3,0)</f>
        <v>MISTURA CONCENTRADO SEMI BRILHO</v>
      </c>
      <c r="F1080" s="270">
        <f t="shared" si="140"/>
        <v>999.2</v>
      </c>
      <c r="G1080" s="148">
        <f t="shared" si="141"/>
        <v>0.244195356285028</v>
      </c>
      <c r="H1080" s="275">
        <v>244</v>
      </c>
      <c r="I1080" s="272">
        <f>ROUND(F1080/VLOOKUP(A1080,'Tabela de Produtos'!A:J,10,0),0)</f>
        <v>787</v>
      </c>
      <c r="J1080" s="97">
        <f>IFERROR(VLOOKUP(C1080,'Custos Matéria Prima Embalagens'!B:G,6,0)*H1080,"Matéria Prima Não Cadastrada")</f>
        <v>2188.6800000000003</v>
      </c>
      <c r="K1080" s="97">
        <f>IFERROR(J1080/(I1080/VLOOKUP(A1080,'Tabela de Produtos'!A:H,8,0)),"Matéria Prima Não Cadastrada")</f>
        <v>8.3431257941550214</v>
      </c>
      <c r="L1080" s="216"/>
    </row>
    <row r="1081" spans="1:12" ht="15.75" customHeight="1">
      <c r="D1081" s="114"/>
      <c r="E1081" s="114"/>
      <c r="F1081" s="96"/>
      <c r="G1081" s="148"/>
      <c r="H1081" s="96"/>
      <c r="I1081" s="272"/>
      <c r="J1081" s="97"/>
      <c r="K1081" s="97"/>
      <c r="L1081" s="216"/>
    </row>
    <row r="1082" spans="1:12" ht="15.75" customHeight="1">
      <c r="A1082" s="114" t="s">
        <v>183</v>
      </c>
      <c r="B1082" s="114" t="str">
        <f>VLOOKUP(A1082,'Tabela de Produtos'!A:B,2,0)</f>
        <v>BRAZIMIL LÁTEX STANDARD INT/EXT SEMIBRILHO 3L CINZA MEDIO</v>
      </c>
      <c r="C1082" s="48" t="s">
        <v>1197</v>
      </c>
      <c r="D1082" s="114" t="str">
        <f>VLOOKUP(C1082,'Custos Matéria Prima Embalagens'!B:C,2,0)</f>
        <v>AGUA</v>
      </c>
      <c r="E1082" s="114" t="str">
        <f>VLOOKUP(C1082,'Custos Matéria Prima Embalagens'!B:D,3,0)</f>
        <v>AGUA</v>
      </c>
      <c r="F1082" s="270">
        <f t="shared" ref="F1082:F1093" si="142">SUMIFS(H:H,A:A,A1082)</f>
        <v>999.2</v>
      </c>
      <c r="G1082" s="148">
        <f t="shared" ref="G1082:G1093" si="143">H1082/F1082</f>
        <v>0.55044035228182542</v>
      </c>
      <c r="H1082" s="275">
        <v>550</v>
      </c>
      <c r="I1082" s="272">
        <f>ROUND(F1082/VLOOKUP(A1082,'Tabela de Produtos'!A:J,10,0),0)</f>
        <v>787</v>
      </c>
      <c r="J1082" s="97">
        <f>IFERROR(VLOOKUP(C1082,'Custos Matéria Prima Embalagens'!B:G,6,0)*H1082,"Matéria Prima Não Cadastrada")</f>
        <v>0</v>
      </c>
      <c r="K1082" s="97">
        <f>IFERROR(J1082/(I1082/VLOOKUP(A1082,'Tabela de Produtos'!A:H,8,0)),"Matéria Prima Não Cadastrada")</f>
        <v>0</v>
      </c>
      <c r="L1082" s="216"/>
    </row>
    <row r="1083" spans="1:12" ht="15.75" customHeight="1">
      <c r="A1083" s="114" t="s">
        <v>183</v>
      </c>
      <c r="B1083" s="114" t="str">
        <f>VLOOKUP(A1083,'Tabela de Produtos'!A:B,2,0)</f>
        <v>BRAZIMIL LÁTEX STANDARD INT/EXT SEMIBRILHO 3L CINZA MEDIO</v>
      </c>
      <c r="C1083" s="48" t="s">
        <v>1199</v>
      </c>
      <c r="D1083" s="114" t="str">
        <f>VLOOKUP(C1083,'Custos Matéria Prima Embalagens'!B:C,2,0)</f>
        <v>HEXAMETAFOSFATO DE SODIO</v>
      </c>
      <c r="E1083" s="114" t="str">
        <f>VLOOKUP(C1083,'Custos Matéria Prima Embalagens'!B:D,3,0)</f>
        <v>HEXAMETAFOSFATO DE SODIO</v>
      </c>
      <c r="F1083" s="270">
        <f t="shared" si="142"/>
        <v>999.2</v>
      </c>
      <c r="G1083" s="148">
        <f t="shared" si="143"/>
        <v>1.2009607686148918E-3</v>
      </c>
      <c r="H1083" s="275">
        <v>1.2</v>
      </c>
      <c r="I1083" s="272">
        <f>ROUND(F1083/VLOOKUP(A1083,'Tabela de Produtos'!A:J,10,0),0)</f>
        <v>787</v>
      </c>
      <c r="J1083" s="97">
        <f>IFERROR(VLOOKUP(C1083,'Custos Matéria Prima Embalagens'!B:G,6,0)*H1083,"Matéria Prima Não Cadastrada")</f>
        <v>21.527999999999995</v>
      </c>
      <c r="K1083" s="97">
        <f>IFERROR(J1083/(I1083/VLOOKUP(A1083,'Tabela de Produtos'!A:H,8,0)),"Matéria Prima Não Cadastrada")</f>
        <v>8.2063532401524766E-2</v>
      </c>
      <c r="L1083" s="216"/>
    </row>
    <row r="1084" spans="1:12" ht="15.75" customHeight="1">
      <c r="A1084" s="114" t="s">
        <v>183</v>
      </c>
      <c r="B1084" s="114" t="str">
        <f>VLOOKUP(A1084,'Tabela de Produtos'!A:B,2,0)</f>
        <v>BRAZIMIL LÁTEX STANDARD INT/EXT SEMIBRILHO 3L CINZA MEDIO</v>
      </c>
      <c r="C1084" s="48" t="s">
        <v>1201</v>
      </c>
      <c r="D1084" s="114" t="str">
        <f>VLOOKUP(C1084,'Custos Matéria Prima Embalagens'!B:C,2,0)</f>
        <v>WANFOAM 528 CE (BB-190)</v>
      </c>
      <c r="E1084" s="114" t="str">
        <f>VLOOKUP(C1084,'Custos Matéria Prima Embalagens'!B:D,3,0)</f>
        <v>ANTI ESPUMA LATEX</v>
      </c>
      <c r="F1084" s="270">
        <f t="shared" si="142"/>
        <v>999.2</v>
      </c>
      <c r="G1084" s="148">
        <f t="shared" si="143"/>
        <v>2.0016012810248197E-3</v>
      </c>
      <c r="H1084" s="275">
        <v>2</v>
      </c>
      <c r="I1084" s="272">
        <f>ROUND(F1084/VLOOKUP(A1084,'Tabela de Produtos'!A:J,10,0),0)</f>
        <v>787</v>
      </c>
      <c r="J1084" s="97">
        <f>IFERROR(VLOOKUP(C1084,'Custos Matéria Prima Embalagens'!B:G,6,0)*H1084,"Matéria Prima Não Cadastrada")</f>
        <v>14.36</v>
      </c>
      <c r="K1084" s="97">
        <f>IFERROR(J1084/(I1084/VLOOKUP(A1084,'Tabela de Produtos'!A:H,8,0)),"Matéria Prima Não Cadastrada")</f>
        <v>5.4739517153748411E-2</v>
      </c>
      <c r="L1084" s="216"/>
    </row>
    <row r="1085" spans="1:12" ht="15.75" customHeight="1">
      <c r="A1085" s="114" t="s">
        <v>183</v>
      </c>
      <c r="B1085" s="114" t="str">
        <f>VLOOKUP(A1085,'Tabela de Produtos'!A:B,2,0)</f>
        <v>BRAZIMIL LÁTEX STANDARD INT/EXT SEMIBRILHO 3L CINZA MEDIO</v>
      </c>
      <c r="C1085" s="48" t="s">
        <v>1203</v>
      </c>
      <c r="D1085" s="114" t="str">
        <f>VLOOKUP(C1085,'Custos Matéria Prima Embalagens'!B:C,2,0)</f>
        <v>WANBAC WBT CE (BH-200)</v>
      </c>
      <c r="E1085" s="114" t="str">
        <f>VLOOKUP(C1085,'Custos Matéria Prima Embalagens'!B:D,3,0)</f>
        <v>BACTERICIDA</v>
      </c>
      <c r="F1085" s="270">
        <f t="shared" si="142"/>
        <v>999.2</v>
      </c>
      <c r="G1085" s="148">
        <f t="shared" si="143"/>
        <v>2.0016012810248197E-3</v>
      </c>
      <c r="H1085" s="275">
        <v>2</v>
      </c>
      <c r="I1085" s="272">
        <f>ROUND(F1085/VLOOKUP(A1085,'Tabela de Produtos'!A:J,10,0),0)</f>
        <v>787</v>
      </c>
      <c r="J1085" s="97">
        <f>IFERROR(VLOOKUP(C1085,'Custos Matéria Prima Embalagens'!B:G,6,0)*H1085,"Matéria Prima Não Cadastrada")</f>
        <v>9.879999999999999</v>
      </c>
      <c r="K1085" s="97">
        <f>IFERROR(J1085/(I1085/VLOOKUP(A1085,'Tabela de Produtos'!A:H,8,0)),"Matéria Prima Não Cadastrada")</f>
        <v>3.7662007623888182E-2</v>
      </c>
      <c r="L1085" s="216"/>
    </row>
    <row r="1086" spans="1:12" ht="15.75" customHeight="1">
      <c r="A1086" s="114" t="s">
        <v>183</v>
      </c>
      <c r="B1086" s="114" t="str">
        <f>VLOOKUP(A1086,'Tabela de Produtos'!A:B,2,0)</f>
        <v>BRAZIMIL LÁTEX STANDARD INT/EXT SEMIBRILHO 3L CINZA MEDIO</v>
      </c>
      <c r="C1086" s="48" t="s">
        <v>1205</v>
      </c>
      <c r="D1086" s="114" t="str">
        <f>VLOOKUP(C1086,'Custos Matéria Prima Embalagens'!B:C,2,0)</f>
        <v>WANSUR 840 CE (BB-200)01</v>
      </c>
      <c r="E1086" s="114" t="str">
        <f>VLOOKUP(C1086,'Custos Matéria Prima Embalagens'!B:D,3,0)</f>
        <v>UMECTANTE</v>
      </c>
      <c r="F1086" s="270">
        <f t="shared" si="142"/>
        <v>999.2</v>
      </c>
      <c r="G1086" s="148">
        <f t="shared" si="143"/>
        <v>2.0016012810248197E-3</v>
      </c>
      <c r="H1086" s="275">
        <v>2</v>
      </c>
      <c r="I1086" s="272">
        <f>ROUND(F1086/VLOOKUP(A1086,'Tabela de Produtos'!A:J,10,0),0)</f>
        <v>787</v>
      </c>
      <c r="J1086" s="97">
        <f>IFERROR(VLOOKUP(C1086,'Custos Matéria Prima Embalagens'!B:G,6,0)*H1086,"Matéria Prima Não Cadastrada")</f>
        <v>14.66</v>
      </c>
      <c r="K1086" s="97">
        <f>IFERROR(J1086/(I1086/VLOOKUP(A1086,'Tabela de Produtos'!A:H,8,0)),"Matéria Prima Não Cadastrada")</f>
        <v>5.5883100381194414E-2</v>
      </c>
      <c r="L1086" s="216"/>
    </row>
    <row r="1087" spans="1:12" ht="15.75" customHeight="1">
      <c r="A1087" s="114" t="s">
        <v>183</v>
      </c>
      <c r="B1087" s="114" t="str">
        <f>VLOOKUP(A1087,'Tabela de Produtos'!A:B,2,0)</f>
        <v>BRAZIMIL LÁTEX STANDARD INT/EXT SEMIBRILHO 3L CINZA MEDIO</v>
      </c>
      <c r="C1087" s="48" t="s">
        <v>1207</v>
      </c>
      <c r="D1087" s="114" t="str">
        <f>VLOOKUP(C1087,'Custos Matéria Prima Embalagens'!B:C,2,0)</f>
        <v>WANPEX 1510 (BB-200)</v>
      </c>
      <c r="E1087" s="114" t="str">
        <f>VLOOKUP(C1087,'Custos Matéria Prima Embalagens'!B:D,3,0)</f>
        <v>DISPERSANTE LATEX</v>
      </c>
      <c r="F1087" s="270">
        <f t="shared" si="142"/>
        <v>999.2</v>
      </c>
      <c r="G1087" s="148">
        <f t="shared" si="143"/>
        <v>2.0016012810248197E-3</v>
      </c>
      <c r="H1087" s="275">
        <v>2</v>
      </c>
      <c r="I1087" s="272">
        <f>ROUND(F1087/VLOOKUP(A1087,'Tabela de Produtos'!A:J,10,0),0)</f>
        <v>787</v>
      </c>
      <c r="J1087" s="97">
        <f>IFERROR(VLOOKUP(C1087,'Custos Matéria Prima Embalagens'!B:G,6,0)*H1087,"Matéria Prima Não Cadastrada")</f>
        <v>13.719999999999999</v>
      </c>
      <c r="K1087" s="97">
        <f>IFERROR(J1087/(I1087/VLOOKUP(A1087,'Tabela de Produtos'!A:H,8,0)),"Matéria Prima Não Cadastrada")</f>
        <v>5.2299872935196952E-2</v>
      </c>
      <c r="L1087" s="216"/>
    </row>
    <row r="1088" spans="1:12" ht="15.75" customHeight="1">
      <c r="A1088" s="114" t="s">
        <v>183</v>
      </c>
      <c r="B1088" s="114" t="str">
        <f>VLOOKUP(A1088,'Tabela de Produtos'!A:B,2,0)</f>
        <v>BRAZIMIL LÁTEX STANDARD INT/EXT SEMIBRILHO 3L CINZA MEDIO</v>
      </c>
      <c r="C1088" s="48" t="s">
        <v>1217</v>
      </c>
      <c r="D1088" s="114" t="str">
        <f>VLOOKUP(C1088,'Custos Matéria Prima Embalagens'!B:C,2,0)</f>
        <v>WANCRIL W 51 CE (CT-1000P)</v>
      </c>
      <c r="E1088" s="114" t="str">
        <f>VLOOKUP(C1088,'Custos Matéria Prima Embalagens'!B:D,3,0)</f>
        <v>RESINA ACRILICA ESTIRENADA</v>
      </c>
      <c r="F1088" s="270">
        <f t="shared" si="142"/>
        <v>999.2</v>
      </c>
      <c r="G1088" s="148">
        <f t="shared" si="143"/>
        <v>0.16012810248198558</v>
      </c>
      <c r="H1088" s="275">
        <v>160</v>
      </c>
      <c r="I1088" s="272">
        <f>ROUND(F1088/VLOOKUP(A1088,'Tabela de Produtos'!A:J,10,0),0)</f>
        <v>787</v>
      </c>
      <c r="J1088" s="97">
        <f>IFERROR(VLOOKUP(C1088,'Custos Matéria Prima Embalagens'!B:G,6,0)*H1088,"Matéria Prima Não Cadastrada")</f>
        <v>1348.8</v>
      </c>
      <c r="K1088" s="97">
        <f>IFERROR(J1088/(I1088/VLOOKUP(A1088,'Tabela de Produtos'!A:H,8,0)),"Matéria Prima Não Cadastrada")</f>
        <v>5.1415501905972052</v>
      </c>
      <c r="L1088" s="216"/>
    </row>
    <row r="1089" spans="1:12" ht="15.75" customHeight="1">
      <c r="A1089" s="114" t="s">
        <v>183</v>
      </c>
      <c r="B1089" s="114" t="str">
        <f>VLOOKUP(A1089,'Tabela de Produtos'!A:B,2,0)</f>
        <v>BRAZIMIL LÁTEX STANDARD INT/EXT SEMIBRILHO 3L CINZA MEDIO</v>
      </c>
      <c r="C1089" s="48" t="s">
        <v>1229</v>
      </c>
      <c r="D1089" s="114" t="str">
        <f>VLOOKUP(C1089,'Custos Matéria Prima Embalagens'!B:C,2,0)</f>
        <v>WANSOL 340 CE (BB-200)</v>
      </c>
      <c r="E1089" s="114" t="str">
        <f>VLOOKUP(C1089,'Custos Matéria Prima Embalagens'!B:D,3,0)</f>
        <v>COALESCENTE</v>
      </c>
      <c r="F1089" s="270">
        <f t="shared" si="142"/>
        <v>999.2</v>
      </c>
      <c r="G1089" s="148">
        <f t="shared" si="143"/>
        <v>1.0008006405124099E-2</v>
      </c>
      <c r="H1089" s="275">
        <v>10</v>
      </c>
      <c r="I1089" s="272">
        <f>ROUND(F1089/VLOOKUP(A1089,'Tabela de Produtos'!A:J,10,0),0)</f>
        <v>787</v>
      </c>
      <c r="J1089" s="97">
        <f>IFERROR(VLOOKUP(C1089,'Custos Matéria Prima Embalagens'!B:G,6,0)*H1089,"Matéria Prima Não Cadastrada")</f>
        <v>192.2</v>
      </c>
      <c r="K1089" s="97">
        <f>IFERROR(J1089/(I1089/VLOOKUP(A1089,'Tabela de Produtos'!A:H,8,0)),"Matéria Prima Não Cadastrada")</f>
        <v>0.7326556543837357</v>
      </c>
      <c r="L1089" s="216"/>
    </row>
    <row r="1090" spans="1:12" ht="15.75" customHeight="1">
      <c r="A1090" s="114" t="s">
        <v>183</v>
      </c>
      <c r="B1090" s="114" t="str">
        <f>VLOOKUP(A1090,'Tabela de Produtos'!A:B,2,0)</f>
        <v>BRAZIMIL LÁTEX STANDARD INT/EXT SEMIBRILHO 3L CINZA MEDIO</v>
      </c>
      <c r="C1090" s="48" t="s">
        <v>1209</v>
      </c>
      <c r="D1090" s="114" t="str">
        <f>VLOOKUP(C1090,'Custos Matéria Prima Embalagens'!B:C,2,0)</f>
        <v>WANFUNG WFT CE (BH-200)</v>
      </c>
      <c r="E1090" s="114" t="str">
        <f>VLOOKUP(C1090,'Custos Matéria Prima Embalagens'!B:D,3,0)</f>
        <v>FUNGICIDA</v>
      </c>
      <c r="F1090" s="270">
        <f t="shared" si="142"/>
        <v>999.2</v>
      </c>
      <c r="G1090" s="148">
        <f t="shared" si="143"/>
        <v>3.0024019215372298E-3</v>
      </c>
      <c r="H1090" s="275">
        <v>3</v>
      </c>
      <c r="I1090" s="272">
        <f>ROUND(F1090/VLOOKUP(A1090,'Tabela de Produtos'!A:J,10,0),0)</f>
        <v>787</v>
      </c>
      <c r="J1090" s="97">
        <f>IFERROR(VLOOKUP(C1090,'Custos Matéria Prima Embalagens'!B:G,6,0)*H1090,"Matéria Prima Não Cadastrada")</f>
        <v>21</v>
      </c>
      <c r="K1090" s="97">
        <f>IFERROR(J1090/(I1090/VLOOKUP(A1090,'Tabela de Produtos'!A:H,8,0)),"Matéria Prima Não Cadastrada")</f>
        <v>8.0050825921219829E-2</v>
      </c>
      <c r="L1090" s="216"/>
    </row>
    <row r="1091" spans="1:12" ht="15.75" customHeight="1">
      <c r="A1091" s="114" t="s">
        <v>183</v>
      </c>
      <c r="B1091" s="114" t="str">
        <f>VLOOKUP(A1091,'Tabela de Produtos'!A:B,2,0)</f>
        <v>BRAZIMIL LÁTEX STANDARD INT/EXT SEMIBRILHO 3L CINZA MEDIO</v>
      </c>
      <c r="C1091" s="48" t="s">
        <v>1219</v>
      </c>
      <c r="D1091" s="114" t="str">
        <f>VLOOKUP(C1091,'Custos Matéria Prima Embalagens'!B:C,2,0)</f>
        <v>WANALK 70 CE (BH-200)</v>
      </c>
      <c r="E1091" s="114" t="str">
        <f>VLOOKUP(C1091,'Custos Matéria Prima Embalagens'!B:D,3,0)</f>
        <v>ALCALINIZANTE</v>
      </c>
      <c r="F1091" s="270">
        <f t="shared" si="142"/>
        <v>999.2</v>
      </c>
      <c r="G1091" s="148">
        <f t="shared" si="143"/>
        <v>3.0024019215372298E-3</v>
      </c>
      <c r="H1091" s="275">
        <v>3</v>
      </c>
      <c r="I1091" s="272">
        <f>ROUND(F1091/VLOOKUP(A1091,'Tabela de Produtos'!A:J,10,0),0)</f>
        <v>787</v>
      </c>
      <c r="J1091" s="97">
        <f>IFERROR(VLOOKUP(C1091,'Custos Matéria Prima Embalagens'!B:G,6,0)*H1091,"Matéria Prima Não Cadastrada")</f>
        <v>14.940000000000001</v>
      </c>
      <c r="K1091" s="97">
        <f>IFERROR(J1091/(I1091/VLOOKUP(A1091,'Tabela de Produtos'!A:H,8,0)),"Matéria Prima Não Cadastrada")</f>
        <v>5.6950444726810684E-2</v>
      </c>
      <c r="L1091" s="216"/>
    </row>
    <row r="1092" spans="1:12" ht="15.75" customHeight="1">
      <c r="A1092" s="114" t="s">
        <v>183</v>
      </c>
      <c r="B1092" s="114" t="str">
        <f>VLOOKUP(A1092,'Tabela de Produtos'!A:B,2,0)</f>
        <v>BRAZIMIL LÁTEX STANDARD INT/EXT SEMIBRILHO 3L CINZA MEDIO</v>
      </c>
      <c r="C1092" s="48" t="s">
        <v>1221</v>
      </c>
      <c r="D1092" s="114" t="str">
        <f>VLOOKUP(C1092,'Custos Matéria Prima Embalagens'!B:C,2,0)</f>
        <v>MODIWAN 105H CE (CT-1000P)</v>
      </c>
      <c r="E1092" s="114" t="str">
        <f>VLOOKUP(C1092,'Custos Matéria Prima Embalagens'!B:D,3,0)</f>
        <v>ESPESSANTE DE MEDIA</v>
      </c>
      <c r="F1092" s="270">
        <f t="shared" si="142"/>
        <v>999.2</v>
      </c>
      <c r="G1092" s="148">
        <f t="shared" si="143"/>
        <v>2.0016012810248198E-2</v>
      </c>
      <c r="H1092" s="275">
        <v>20</v>
      </c>
      <c r="I1092" s="272">
        <f>ROUND(F1092/VLOOKUP(A1092,'Tabela de Produtos'!A:J,10,0),0)</f>
        <v>787</v>
      </c>
      <c r="J1092" s="97">
        <f>IFERROR(VLOOKUP(C1092,'Custos Matéria Prima Embalagens'!B:G,6,0)*H1092,"Matéria Prima Não Cadastrada")</f>
        <v>158.1</v>
      </c>
      <c r="K1092" s="97">
        <f>IFERROR(J1092/(I1092/VLOOKUP(A1092,'Tabela de Produtos'!A:H,8,0)),"Matéria Prima Não Cadastrada")</f>
        <v>0.60266836086404063</v>
      </c>
      <c r="L1092" s="216"/>
    </row>
    <row r="1093" spans="1:12" ht="15.75" customHeight="1">
      <c r="A1093" s="114" t="s">
        <v>183</v>
      </c>
      <c r="B1093" s="114" t="str">
        <f>VLOOKUP(A1093,'Tabela de Produtos'!A:B,2,0)</f>
        <v>BRAZIMIL LÁTEX STANDARD INT/EXT SEMIBRILHO 3L CINZA MEDIO</v>
      </c>
      <c r="C1093" s="48" t="s">
        <v>1270</v>
      </c>
      <c r="D1093" s="114" t="str">
        <f>VLOOKUP(C1093,'Custos Matéria Prima Embalagens'!B:C,2,0)</f>
        <v>MISTURA CONCENTRADO SEMI BRILHO</v>
      </c>
      <c r="E1093" s="114" t="str">
        <f>VLOOKUP(C1093,'Custos Matéria Prima Embalagens'!B:D,3,0)</f>
        <v>MISTURA CONCENTRADO SEMI BRILHO</v>
      </c>
      <c r="F1093" s="270">
        <f t="shared" si="142"/>
        <v>999.2</v>
      </c>
      <c r="G1093" s="148">
        <f t="shared" si="143"/>
        <v>0.244195356285028</v>
      </c>
      <c r="H1093" s="275">
        <v>244</v>
      </c>
      <c r="I1093" s="272">
        <f>ROUND(F1093/VLOOKUP(A1093,'Tabela de Produtos'!A:J,10,0),0)</f>
        <v>787</v>
      </c>
      <c r="J1093" s="97">
        <f>IFERROR(VLOOKUP(C1093,'Custos Matéria Prima Embalagens'!B:G,6,0)*H1093,"Matéria Prima Não Cadastrada")</f>
        <v>2188.6800000000003</v>
      </c>
      <c r="K1093" s="97">
        <f>IFERROR(J1093/(I1093/VLOOKUP(A1093,'Tabela de Produtos'!A:H,8,0)),"Matéria Prima Não Cadastrada")</f>
        <v>8.3431257941550214</v>
      </c>
      <c r="L1093" s="216"/>
    </row>
    <row r="1094" spans="1:12" ht="15.75" customHeight="1">
      <c r="D1094" s="114"/>
      <c r="E1094" s="114"/>
      <c r="F1094" s="96"/>
      <c r="G1094" s="148"/>
      <c r="H1094" s="96"/>
      <c r="I1094" s="272"/>
      <c r="J1094" s="97"/>
      <c r="K1094" s="97"/>
      <c r="L1094" s="216"/>
    </row>
    <row r="1095" spans="1:12" ht="15.75" customHeight="1">
      <c r="A1095" s="114" t="s">
        <v>184</v>
      </c>
      <c r="B1095" s="114" t="str">
        <f>VLOOKUP(A1095,'Tabela de Produtos'!A:B,2,0)</f>
        <v>BRAZIMIL LÁTEX STANDARD INT/EXT SEMIBRILHO 3L CINZA INTENSO</v>
      </c>
      <c r="C1095" s="48" t="s">
        <v>1197</v>
      </c>
      <c r="D1095" s="114" t="str">
        <f>VLOOKUP(C1095,'Custos Matéria Prima Embalagens'!B:C,2,0)</f>
        <v>AGUA</v>
      </c>
      <c r="E1095" s="114" t="str">
        <f>VLOOKUP(C1095,'Custos Matéria Prima Embalagens'!B:D,3,0)</f>
        <v>AGUA</v>
      </c>
      <c r="F1095" s="270">
        <f t="shared" ref="F1095:F1106" si="144">SUMIFS(H:H,A:A,A1095)</f>
        <v>999.2</v>
      </c>
      <c r="G1095" s="148">
        <f t="shared" ref="G1095:G1106" si="145">H1095/F1095</f>
        <v>0.55044035228182542</v>
      </c>
      <c r="H1095" s="275">
        <v>550</v>
      </c>
      <c r="I1095" s="272">
        <f>ROUND(F1095/VLOOKUP(A1095,'Tabela de Produtos'!A:J,10,0),0)</f>
        <v>787</v>
      </c>
      <c r="J1095" s="97">
        <f>IFERROR(VLOOKUP(C1095,'Custos Matéria Prima Embalagens'!B:G,6,0)*H1095,"Matéria Prima Não Cadastrada")</f>
        <v>0</v>
      </c>
      <c r="K1095" s="97">
        <f>IFERROR(J1095/(I1095/VLOOKUP(A1095,'Tabela de Produtos'!A:H,8,0)),"Matéria Prima Não Cadastrada")</f>
        <v>0</v>
      </c>
      <c r="L1095" s="216"/>
    </row>
    <row r="1096" spans="1:12" ht="15.75" customHeight="1">
      <c r="A1096" s="114" t="s">
        <v>184</v>
      </c>
      <c r="B1096" s="114" t="str">
        <f>VLOOKUP(A1096,'Tabela de Produtos'!A:B,2,0)</f>
        <v>BRAZIMIL LÁTEX STANDARD INT/EXT SEMIBRILHO 3L CINZA INTENSO</v>
      </c>
      <c r="C1096" s="48" t="s">
        <v>1199</v>
      </c>
      <c r="D1096" s="114" t="str">
        <f>VLOOKUP(C1096,'Custos Matéria Prima Embalagens'!B:C,2,0)</f>
        <v>HEXAMETAFOSFATO DE SODIO</v>
      </c>
      <c r="E1096" s="114" t="str">
        <f>VLOOKUP(C1096,'Custos Matéria Prima Embalagens'!B:D,3,0)</f>
        <v>HEXAMETAFOSFATO DE SODIO</v>
      </c>
      <c r="F1096" s="270">
        <f t="shared" si="144"/>
        <v>999.2</v>
      </c>
      <c r="G1096" s="148">
        <f t="shared" si="145"/>
        <v>1.2009607686148918E-3</v>
      </c>
      <c r="H1096" s="275">
        <v>1.2</v>
      </c>
      <c r="I1096" s="272">
        <f>ROUND(F1096/VLOOKUP(A1096,'Tabela de Produtos'!A:J,10,0),0)</f>
        <v>787</v>
      </c>
      <c r="J1096" s="97">
        <f>IFERROR(VLOOKUP(C1096,'Custos Matéria Prima Embalagens'!B:G,6,0)*H1096,"Matéria Prima Não Cadastrada")</f>
        <v>21.527999999999995</v>
      </c>
      <c r="K1096" s="97">
        <f>IFERROR(J1096/(I1096/VLOOKUP(A1096,'Tabela de Produtos'!A:H,8,0)),"Matéria Prima Não Cadastrada")</f>
        <v>8.2063532401524766E-2</v>
      </c>
      <c r="L1096" s="216"/>
    </row>
    <row r="1097" spans="1:12" ht="15.75" customHeight="1">
      <c r="A1097" s="114" t="s">
        <v>184</v>
      </c>
      <c r="B1097" s="114" t="str">
        <f>VLOOKUP(A1097,'Tabela de Produtos'!A:B,2,0)</f>
        <v>BRAZIMIL LÁTEX STANDARD INT/EXT SEMIBRILHO 3L CINZA INTENSO</v>
      </c>
      <c r="C1097" s="48" t="s">
        <v>1201</v>
      </c>
      <c r="D1097" s="114" t="str">
        <f>VLOOKUP(C1097,'Custos Matéria Prima Embalagens'!B:C,2,0)</f>
        <v>WANFOAM 528 CE (BB-190)</v>
      </c>
      <c r="E1097" s="114" t="str">
        <f>VLOOKUP(C1097,'Custos Matéria Prima Embalagens'!B:D,3,0)</f>
        <v>ANTI ESPUMA LATEX</v>
      </c>
      <c r="F1097" s="270">
        <f t="shared" si="144"/>
        <v>999.2</v>
      </c>
      <c r="G1097" s="148">
        <f t="shared" si="145"/>
        <v>2.0016012810248197E-3</v>
      </c>
      <c r="H1097" s="275">
        <v>2</v>
      </c>
      <c r="I1097" s="272">
        <f>ROUND(F1097/VLOOKUP(A1097,'Tabela de Produtos'!A:J,10,0),0)</f>
        <v>787</v>
      </c>
      <c r="J1097" s="97">
        <f>IFERROR(VLOOKUP(C1097,'Custos Matéria Prima Embalagens'!B:G,6,0)*H1097,"Matéria Prima Não Cadastrada")</f>
        <v>14.36</v>
      </c>
      <c r="K1097" s="97">
        <f>IFERROR(J1097/(I1097/VLOOKUP(A1097,'Tabela de Produtos'!A:H,8,0)),"Matéria Prima Não Cadastrada")</f>
        <v>5.4739517153748411E-2</v>
      </c>
      <c r="L1097" s="216"/>
    </row>
    <row r="1098" spans="1:12" ht="15.75" customHeight="1">
      <c r="A1098" s="114" t="s">
        <v>184</v>
      </c>
      <c r="B1098" s="114" t="str">
        <f>VLOOKUP(A1098,'Tabela de Produtos'!A:B,2,0)</f>
        <v>BRAZIMIL LÁTEX STANDARD INT/EXT SEMIBRILHO 3L CINZA INTENSO</v>
      </c>
      <c r="C1098" s="48" t="s">
        <v>1203</v>
      </c>
      <c r="D1098" s="114" t="str">
        <f>VLOOKUP(C1098,'Custos Matéria Prima Embalagens'!B:C,2,0)</f>
        <v>WANBAC WBT CE (BH-200)</v>
      </c>
      <c r="E1098" s="114" t="str">
        <f>VLOOKUP(C1098,'Custos Matéria Prima Embalagens'!B:D,3,0)</f>
        <v>BACTERICIDA</v>
      </c>
      <c r="F1098" s="270">
        <f t="shared" si="144"/>
        <v>999.2</v>
      </c>
      <c r="G1098" s="148">
        <f t="shared" si="145"/>
        <v>2.0016012810248197E-3</v>
      </c>
      <c r="H1098" s="275">
        <v>2</v>
      </c>
      <c r="I1098" s="272">
        <f>ROUND(F1098/VLOOKUP(A1098,'Tabela de Produtos'!A:J,10,0),0)</f>
        <v>787</v>
      </c>
      <c r="J1098" s="97">
        <f>IFERROR(VLOOKUP(C1098,'Custos Matéria Prima Embalagens'!B:G,6,0)*H1098,"Matéria Prima Não Cadastrada")</f>
        <v>9.879999999999999</v>
      </c>
      <c r="K1098" s="97">
        <f>IFERROR(J1098/(I1098/VLOOKUP(A1098,'Tabela de Produtos'!A:H,8,0)),"Matéria Prima Não Cadastrada")</f>
        <v>3.7662007623888182E-2</v>
      </c>
      <c r="L1098" s="216"/>
    </row>
    <row r="1099" spans="1:12" ht="15.75" customHeight="1">
      <c r="A1099" s="114" t="s">
        <v>184</v>
      </c>
      <c r="B1099" s="114" t="str">
        <f>VLOOKUP(A1099,'Tabela de Produtos'!A:B,2,0)</f>
        <v>BRAZIMIL LÁTEX STANDARD INT/EXT SEMIBRILHO 3L CINZA INTENSO</v>
      </c>
      <c r="C1099" s="48" t="s">
        <v>1205</v>
      </c>
      <c r="D1099" s="114" t="str">
        <f>VLOOKUP(C1099,'Custos Matéria Prima Embalagens'!B:C,2,0)</f>
        <v>WANSUR 840 CE (BB-200)01</v>
      </c>
      <c r="E1099" s="114" t="str">
        <f>VLOOKUP(C1099,'Custos Matéria Prima Embalagens'!B:D,3,0)</f>
        <v>UMECTANTE</v>
      </c>
      <c r="F1099" s="270">
        <f t="shared" si="144"/>
        <v>999.2</v>
      </c>
      <c r="G1099" s="148">
        <f t="shared" si="145"/>
        <v>2.0016012810248197E-3</v>
      </c>
      <c r="H1099" s="275">
        <v>2</v>
      </c>
      <c r="I1099" s="272">
        <f>ROUND(F1099/VLOOKUP(A1099,'Tabela de Produtos'!A:J,10,0),0)</f>
        <v>787</v>
      </c>
      <c r="J1099" s="97">
        <f>IFERROR(VLOOKUP(C1099,'Custos Matéria Prima Embalagens'!B:G,6,0)*H1099,"Matéria Prima Não Cadastrada")</f>
        <v>14.66</v>
      </c>
      <c r="K1099" s="97">
        <f>IFERROR(J1099/(I1099/VLOOKUP(A1099,'Tabela de Produtos'!A:H,8,0)),"Matéria Prima Não Cadastrada")</f>
        <v>5.5883100381194414E-2</v>
      </c>
      <c r="L1099" s="216"/>
    </row>
    <row r="1100" spans="1:12" ht="15.75" customHeight="1">
      <c r="A1100" s="114" t="s">
        <v>184</v>
      </c>
      <c r="B1100" s="114" t="str">
        <f>VLOOKUP(A1100,'Tabela de Produtos'!A:B,2,0)</f>
        <v>BRAZIMIL LÁTEX STANDARD INT/EXT SEMIBRILHO 3L CINZA INTENSO</v>
      </c>
      <c r="C1100" s="48" t="s">
        <v>1207</v>
      </c>
      <c r="D1100" s="114" t="str">
        <f>VLOOKUP(C1100,'Custos Matéria Prima Embalagens'!B:C,2,0)</f>
        <v>WANPEX 1510 (BB-200)</v>
      </c>
      <c r="E1100" s="114" t="str">
        <f>VLOOKUP(C1100,'Custos Matéria Prima Embalagens'!B:D,3,0)</f>
        <v>DISPERSANTE LATEX</v>
      </c>
      <c r="F1100" s="270">
        <f t="shared" si="144"/>
        <v>999.2</v>
      </c>
      <c r="G1100" s="148">
        <f t="shared" si="145"/>
        <v>2.0016012810248197E-3</v>
      </c>
      <c r="H1100" s="275">
        <v>2</v>
      </c>
      <c r="I1100" s="272">
        <f>ROUND(F1100/VLOOKUP(A1100,'Tabela de Produtos'!A:J,10,0),0)</f>
        <v>787</v>
      </c>
      <c r="J1100" s="97">
        <f>IFERROR(VLOOKUP(C1100,'Custos Matéria Prima Embalagens'!B:G,6,0)*H1100,"Matéria Prima Não Cadastrada")</f>
        <v>13.719999999999999</v>
      </c>
      <c r="K1100" s="97">
        <f>IFERROR(J1100/(I1100/VLOOKUP(A1100,'Tabela de Produtos'!A:H,8,0)),"Matéria Prima Não Cadastrada")</f>
        <v>5.2299872935196952E-2</v>
      </c>
      <c r="L1100" s="216"/>
    </row>
    <row r="1101" spans="1:12" ht="15.75" customHeight="1">
      <c r="A1101" s="114" t="s">
        <v>184</v>
      </c>
      <c r="B1101" s="114" t="str">
        <f>VLOOKUP(A1101,'Tabela de Produtos'!A:B,2,0)</f>
        <v>BRAZIMIL LÁTEX STANDARD INT/EXT SEMIBRILHO 3L CINZA INTENSO</v>
      </c>
      <c r="C1101" s="48" t="s">
        <v>1217</v>
      </c>
      <c r="D1101" s="114" t="str">
        <f>VLOOKUP(C1101,'Custos Matéria Prima Embalagens'!B:C,2,0)</f>
        <v>WANCRIL W 51 CE (CT-1000P)</v>
      </c>
      <c r="E1101" s="114" t="str">
        <f>VLOOKUP(C1101,'Custos Matéria Prima Embalagens'!B:D,3,0)</f>
        <v>RESINA ACRILICA ESTIRENADA</v>
      </c>
      <c r="F1101" s="270">
        <f t="shared" si="144"/>
        <v>999.2</v>
      </c>
      <c r="G1101" s="148">
        <f t="shared" si="145"/>
        <v>0.16012810248198558</v>
      </c>
      <c r="H1101" s="275">
        <v>160</v>
      </c>
      <c r="I1101" s="272">
        <f>ROUND(F1101/VLOOKUP(A1101,'Tabela de Produtos'!A:J,10,0),0)</f>
        <v>787</v>
      </c>
      <c r="J1101" s="97">
        <f>IFERROR(VLOOKUP(C1101,'Custos Matéria Prima Embalagens'!B:G,6,0)*H1101,"Matéria Prima Não Cadastrada")</f>
        <v>1348.8</v>
      </c>
      <c r="K1101" s="97">
        <f>IFERROR(J1101/(I1101/VLOOKUP(A1101,'Tabela de Produtos'!A:H,8,0)),"Matéria Prima Não Cadastrada")</f>
        <v>5.1415501905972052</v>
      </c>
      <c r="L1101" s="216"/>
    </row>
    <row r="1102" spans="1:12" ht="15.75" customHeight="1">
      <c r="A1102" s="114" t="s">
        <v>184</v>
      </c>
      <c r="B1102" s="114" t="str">
        <f>VLOOKUP(A1102,'Tabela de Produtos'!A:B,2,0)</f>
        <v>BRAZIMIL LÁTEX STANDARD INT/EXT SEMIBRILHO 3L CINZA INTENSO</v>
      </c>
      <c r="C1102" s="48" t="s">
        <v>1229</v>
      </c>
      <c r="D1102" s="114" t="str">
        <f>VLOOKUP(C1102,'Custos Matéria Prima Embalagens'!B:C,2,0)</f>
        <v>WANSOL 340 CE (BB-200)</v>
      </c>
      <c r="E1102" s="114" t="str">
        <f>VLOOKUP(C1102,'Custos Matéria Prima Embalagens'!B:D,3,0)</f>
        <v>COALESCENTE</v>
      </c>
      <c r="F1102" s="270">
        <f t="shared" si="144"/>
        <v>999.2</v>
      </c>
      <c r="G1102" s="148">
        <f t="shared" si="145"/>
        <v>1.0008006405124099E-2</v>
      </c>
      <c r="H1102" s="275">
        <v>10</v>
      </c>
      <c r="I1102" s="272">
        <f>ROUND(F1102/VLOOKUP(A1102,'Tabela de Produtos'!A:J,10,0),0)</f>
        <v>787</v>
      </c>
      <c r="J1102" s="97">
        <f>IFERROR(VLOOKUP(C1102,'Custos Matéria Prima Embalagens'!B:G,6,0)*H1102,"Matéria Prima Não Cadastrada")</f>
        <v>192.2</v>
      </c>
      <c r="K1102" s="97">
        <f>IFERROR(J1102/(I1102/VLOOKUP(A1102,'Tabela de Produtos'!A:H,8,0)),"Matéria Prima Não Cadastrada")</f>
        <v>0.7326556543837357</v>
      </c>
      <c r="L1102" s="216"/>
    </row>
    <row r="1103" spans="1:12" ht="15.75" customHeight="1">
      <c r="A1103" s="114" t="s">
        <v>184</v>
      </c>
      <c r="B1103" s="114" t="str">
        <f>VLOOKUP(A1103,'Tabela de Produtos'!A:B,2,0)</f>
        <v>BRAZIMIL LÁTEX STANDARD INT/EXT SEMIBRILHO 3L CINZA INTENSO</v>
      </c>
      <c r="C1103" s="48" t="s">
        <v>1209</v>
      </c>
      <c r="D1103" s="114" t="str">
        <f>VLOOKUP(C1103,'Custos Matéria Prima Embalagens'!B:C,2,0)</f>
        <v>WANFUNG WFT CE (BH-200)</v>
      </c>
      <c r="E1103" s="114" t="str">
        <f>VLOOKUP(C1103,'Custos Matéria Prima Embalagens'!B:D,3,0)</f>
        <v>FUNGICIDA</v>
      </c>
      <c r="F1103" s="270">
        <f t="shared" si="144"/>
        <v>999.2</v>
      </c>
      <c r="G1103" s="148">
        <f t="shared" si="145"/>
        <v>3.0024019215372298E-3</v>
      </c>
      <c r="H1103" s="275">
        <v>3</v>
      </c>
      <c r="I1103" s="272">
        <f>ROUND(F1103/VLOOKUP(A1103,'Tabela de Produtos'!A:J,10,0),0)</f>
        <v>787</v>
      </c>
      <c r="J1103" s="97">
        <f>IFERROR(VLOOKUP(C1103,'Custos Matéria Prima Embalagens'!B:G,6,0)*H1103,"Matéria Prima Não Cadastrada")</f>
        <v>21</v>
      </c>
      <c r="K1103" s="97">
        <f>IFERROR(J1103/(I1103/VLOOKUP(A1103,'Tabela de Produtos'!A:H,8,0)),"Matéria Prima Não Cadastrada")</f>
        <v>8.0050825921219829E-2</v>
      </c>
      <c r="L1103" s="216"/>
    </row>
    <row r="1104" spans="1:12" ht="15.75" customHeight="1">
      <c r="A1104" s="114" t="s">
        <v>184</v>
      </c>
      <c r="B1104" s="114" t="str">
        <f>VLOOKUP(A1104,'Tabela de Produtos'!A:B,2,0)</f>
        <v>BRAZIMIL LÁTEX STANDARD INT/EXT SEMIBRILHO 3L CINZA INTENSO</v>
      </c>
      <c r="C1104" s="48" t="s">
        <v>1219</v>
      </c>
      <c r="D1104" s="114" t="str">
        <f>VLOOKUP(C1104,'Custos Matéria Prima Embalagens'!B:C,2,0)</f>
        <v>WANALK 70 CE (BH-200)</v>
      </c>
      <c r="E1104" s="114" t="str">
        <f>VLOOKUP(C1104,'Custos Matéria Prima Embalagens'!B:D,3,0)</f>
        <v>ALCALINIZANTE</v>
      </c>
      <c r="F1104" s="270">
        <f t="shared" si="144"/>
        <v>999.2</v>
      </c>
      <c r="G1104" s="148">
        <f t="shared" si="145"/>
        <v>3.0024019215372298E-3</v>
      </c>
      <c r="H1104" s="275">
        <v>3</v>
      </c>
      <c r="I1104" s="272">
        <f>ROUND(F1104/VLOOKUP(A1104,'Tabela de Produtos'!A:J,10,0),0)</f>
        <v>787</v>
      </c>
      <c r="J1104" s="97">
        <f>IFERROR(VLOOKUP(C1104,'Custos Matéria Prima Embalagens'!B:G,6,0)*H1104,"Matéria Prima Não Cadastrada")</f>
        <v>14.940000000000001</v>
      </c>
      <c r="K1104" s="97">
        <f>IFERROR(J1104/(I1104/VLOOKUP(A1104,'Tabela de Produtos'!A:H,8,0)),"Matéria Prima Não Cadastrada")</f>
        <v>5.6950444726810684E-2</v>
      </c>
      <c r="L1104" s="216"/>
    </row>
    <row r="1105" spans="1:12" ht="15.75" customHeight="1">
      <c r="A1105" s="114" t="s">
        <v>184</v>
      </c>
      <c r="B1105" s="114" t="str">
        <f>VLOOKUP(A1105,'Tabela de Produtos'!A:B,2,0)</f>
        <v>BRAZIMIL LÁTEX STANDARD INT/EXT SEMIBRILHO 3L CINZA INTENSO</v>
      </c>
      <c r="C1105" s="48" t="s">
        <v>1221</v>
      </c>
      <c r="D1105" s="114" t="str">
        <f>VLOOKUP(C1105,'Custos Matéria Prima Embalagens'!B:C,2,0)</f>
        <v>MODIWAN 105H CE (CT-1000P)</v>
      </c>
      <c r="E1105" s="114" t="str">
        <f>VLOOKUP(C1105,'Custos Matéria Prima Embalagens'!B:D,3,0)</f>
        <v>ESPESSANTE DE MEDIA</v>
      </c>
      <c r="F1105" s="270">
        <f t="shared" si="144"/>
        <v>999.2</v>
      </c>
      <c r="G1105" s="148">
        <f t="shared" si="145"/>
        <v>2.0016012810248198E-2</v>
      </c>
      <c r="H1105" s="275">
        <v>20</v>
      </c>
      <c r="I1105" s="272">
        <f>ROUND(F1105/VLOOKUP(A1105,'Tabela de Produtos'!A:J,10,0),0)</f>
        <v>787</v>
      </c>
      <c r="J1105" s="97">
        <f>IFERROR(VLOOKUP(C1105,'Custos Matéria Prima Embalagens'!B:G,6,0)*H1105,"Matéria Prima Não Cadastrada")</f>
        <v>158.1</v>
      </c>
      <c r="K1105" s="97">
        <f>IFERROR(J1105/(I1105/VLOOKUP(A1105,'Tabela de Produtos'!A:H,8,0)),"Matéria Prima Não Cadastrada")</f>
        <v>0.60266836086404063</v>
      </c>
      <c r="L1105" s="216"/>
    </row>
    <row r="1106" spans="1:12" ht="15.75" customHeight="1">
      <c r="A1106" s="114" t="s">
        <v>184</v>
      </c>
      <c r="B1106" s="114" t="str">
        <f>VLOOKUP(A1106,'Tabela de Produtos'!A:B,2,0)</f>
        <v>BRAZIMIL LÁTEX STANDARD INT/EXT SEMIBRILHO 3L CINZA INTENSO</v>
      </c>
      <c r="C1106" s="48" t="s">
        <v>1270</v>
      </c>
      <c r="D1106" s="114" t="str">
        <f>VLOOKUP(C1106,'Custos Matéria Prima Embalagens'!B:C,2,0)</f>
        <v>MISTURA CONCENTRADO SEMI BRILHO</v>
      </c>
      <c r="E1106" s="114" t="str">
        <f>VLOOKUP(C1106,'Custos Matéria Prima Embalagens'!B:D,3,0)</f>
        <v>MISTURA CONCENTRADO SEMI BRILHO</v>
      </c>
      <c r="F1106" s="270">
        <f t="shared" si="144"/>
        <v>999.2</v>
      </c>
      <c r="G1106" s="148">
        <f t="shared" si="145"/>
        <v>0.244195356285028</v>
      </c>
      <c r="H1106" s="275">
        <v>244</v>
      </c>
      <c r="I1106" s="272">
        <f>ROUND(F1106/VLOOKUP(A1106,'Tabela de Produtos'!A:J,10,0),0)</f>
        <v>787</v>
      </c>
      <c r="J1106" s="97">
        <f>IFERROR(VLOOKUP(C1106,'Custos Matéria Prima Embalagens'!B:G,6,0)*H1106,"Matéria Prima Não Cadastrada")</f>
        <v>2188.6800000000003</v>
      </c>
      <c r="K1106" s="97">
        <f>IFERROR(J1106/(I1106/VLOOKUP(A1106,'Tabela de Produtos'!A:H,8,0)),"Matéria Prima Não Cadastrada")</f>
        <v>8.3431257941550214</v>
      </c>
      <c r="L1106" s="216"/>
    </row>
    <row r="1107" spans="1:12" ht="15.75" customHeight="1">
      <c r="D1107" s="114"/>
      <c r="E1107" s="114"/>
      <c r="F1107" s="96"/>
      <c r="G1107" s="148"/>
      <c r="H1107" s="96"/>
      <c r="I1107" s="272"/>
      <c r="J1107" s="97"/>
      <c r="K1107" s="97"/>
      <c r="L1107" s="216"/>
    </row>
    <row r="1108" spans="1:12" ht="15.75" customHeight="1">
      <c r="A1108" s="114" t="s">
        <v>185</v>
      </c>
      <c r="B1108" s="114" t="str">
        <f>VLOOKUP(A1108,'Tabela de Produtos'!A:B,2,0)</f>
        <v>BRAZIMIL LÁTEX STANDARD INT/EXT FOSCO 15L BRANCO NEVE</v>
      </c>
      <c r="C1108" s="48" t="s">
        <v>1197</v>
      </c>
      <c r="D1108" s="114" t="str">
        <f>VLOOKUP(C1108,'Custos Matéria Prima Embalagens'!B:C,2,0)</f>
        <v>AGUA</v>
      </c>
      <c r="E1108" s="114" t="str">
        <f>VLOOKUP(C1108,'Custos Matéria Prima Embalagens'!B:D,3,0)</f>
        <v>AGUA</v>
      </c>
      <c r="F1108" s="270">
        <f t="shared" ref="F1108:F1122" si="146">SUMIFS(H:H,A:A,A1108)</f>
        <v>1956</v>
      </c>
      <c r="G1108" s="148">
        <f t="shared" ref="G1108:G1122" si="147">H1108/F1108</f>
        <v>0.47034764826175868</v>
      </c>
      <c r="H1108" s="96">
        <v>920</v>
      </c>
      <c r="I1108" s="272">
        <f>ROUND(F1108/VLOOKUP(A1108,'Tabela de Produtos'!A:J,10,0),0)</f>
        <v>1540</v>
      </c>
      <c r="J1108" s="97">
        <f>IFERROR(VLOOKUP(C1108,'Custos Matéria Prima Embalagens'!B:G,6,0)*H1108,"Matéria Prima Não Cadastrada")</f>
        <v>0</v>
      </c>
      <c r="K1108" s="97">
        <f>IFERROR(J1108/(I1108/VLOOKUP(A1108,'Tabela de Produtos'!A:H,8,0)),"Matéria Prima Não Cadastrada")</f>
        <v>0</v>
      </c>
      <c r="L1108" s="216"/>
    </row>
    <row r="1109" spans="1:12" ht="15.75" customHeight="1">
      <c r="A1109" s="114" t="s">
        <v>185</v>
      </c>
      <c r="B1109" s="114" t="str">
        <f>VLOOKUP(A1109,'Tabela de Produtos'!A:B,2,0)</f>
        <v>BRAZIMIL LÁTEX STANDARD INT/EXT FOSCO 15L BRANCO NEVE</v>
      </c>
      <c r="C1109" s="48" t="s">
        <v>1201</v>
      </c>
      <c r="D1109" s="114" t="str">
        <f>VLOOKUP(C1109,'Custos Matéria Prima Embalagens'!B:C,2,0)</f>
        <v>WANFOAM 528 CE (BB-190)</v>
      </c>
      <c r="E1109" s="114" t="str">
        <f>VLOOKUP(C1109,'Custos Matéria Prima Embalagens'!B:D,3,0)</f>
        <v>ANTI ESPUMA LATEX</v>
      </c>
      <c r="F1109" s="270">
        <f t="shared" si="146"/>
        <v>1956</v>
      </c>
      <c r="G1109" s="148">
        <f t="shared" si="147"/>
        <v>2.5562372188139061E-3</v>
      </c>
      <c r="H1109" s="96">
        <v>5</v>
      </c>
      <c r="I1109" s="272">
        <f>ROUND(F1109/VLOOKUP(A1109,'Tabela de Produtos'!A:J,10,0),0)</f>
        <v>1540</v>
      </c>
      <c r="J1109" s="97">
        <f>IFERROR(VLOOKUP(C1109,'Custos Matéria Prima Embalagens'!B:G,6,0)*H1109,"Matéria Prima Não Cadastrada")</f>
        <v>35.9</v>
      </c>
      <c r="K1109" s="97">
        <f>IFERROR(J1109/(I1109/VLOOKUP(A1109,'Tabela de Produtos'!A:H,8,0)),"Matéria Prima Não Cadastrada")</f>
        <v>0.34967532467532464</v>
      </c>
      <c r="L1109" s="216"/>
    </row>
    <row r="1110" spans="1:12" ht="15.75" customHeight="1">
      <c r="A1110" s="114" t="s">
        <v>185</v>
      </c>
      <c r="B1110" s="114" t="str">
        <f>VLOOKUP(A1110,'Tabela de Produtos'!A:B,2,0)</f>
        <v>BRAZIMIL LÁTEX STANDARD INT/EXT FOSCO 15L BRANCO NEVE</v>
      </c>
      <c r="C1110" s="48" t="s">
        <v>1203</v>
      </c>
      <c r="D1110" s="114" t="str">
        <f>VLOOKUP(C1110,'Custos Matéria Prima Embalagens'!B:C,2,0)</f>
        <v>WANBAC WBT CE (BH-200)</v>
      </c>
      <c r="E1110" s="114" t="str">
        <f>VLOOKUP(C1110,'Custos Matéria Prima Embalagens'!B:D,3,0)</f>
        <v>BACTERICIDA</v>
      </c>
      <c r="F1110" s="270">
        <f t="shared" si="146"/>
        <v>1956</v>
      </c>
      <c r="G1110" s="148">
        <f t="shared" si="147"/>
        <v>3.0674846625766872E-3</v>
      </c>
      <c r="H1110" s="96">
        <v>6</v>
      </c>
      <c r="I1110" s="272">
        <f>ROUND(F1110/VLOOKUP(A1110,'Tabela de Produtos'!A:J,10,0),0)</f>
        <v>1540</v>
      </c>
      <c r="J1110" s="97">
        <f>IFERROR(VLOOKUP(C1110,'Custos Matéria Prima Embalagens'!B:G,6,0)*H1110,"Matéria Prima Não Cadastrada")</f>
        <v>29.639999999999997</v>
      </c>
      <c r="K1110" s="97">
        <f>IFERROR(J1110/(I1110/VLOOKUP(A1110,'Tabela de Produtos'!A:H,8,0)),"Matéria Prima Não Cadastrada")</f>
        <v>0.28870129870129868</v>
      </c>
      <c r="L1110" s="216"/>
    </row>
    <row r="1111" spans="1:12" ht="15.75" customHeight="1">
      <c r="A1111" s="114" t="s">
        <v>185</v>
      </c>
      <c r="B1111" s="114" t="str">
        <f>VLOOKUP(A1111,'Tabela de Produtos'!A:B,2,0)</f>
        <v>BRAZIMIL LÁTEX STANDARD INT/EXT FOSCO 15L BRANCO NEVE</v>
      </c>
      <c r="C1111" s="48" t="s">
        <v>1205</v>
      </c>
      <c r="D1111" s="114" t="str">
        <f>VLOOKUP(C1111,'Custos Matéria Prima Embalagens'!B:C,2,0)</f>
        <v>WANSUR 840 CE (BB-200)01</v>
      </c>
      <c r="E1111" s="114" t="str">
        <f>VLOOKUP(C1111,'Custos Matéria Prima Embalagens'!B:D,3,0)</f>
        <v>UMECTANTE</v>
      </c>
      <c r="F1111" s="270">
        <f t="shared" si="146"/>
        <v>1956</v>
      </c>
      <c r="G1111" s="148">
        <f t="shared" si="147"/>
        <v>2.0449897750511249E-3</v>
      </c>
      <c r="H1111" s="96">
        <v>4</v>
      </c>
      <c r="I1111" s="272">
        <f>ROUND(F1111/VLOOKUP(A1111,'Tabela de Produtos'!A:J,10,0),0)</f>
        <v>1540</v>
      </c>
      <c r="J1111" s="97">
        <f>IFERROR(VLOOKUP(C1111,'Custos Matéria Prima Embalagens'!B:G,6,0)*H1111,"Matéria Prima Não Cadastrada")</f>
        <v>29.32</v>
      </c>
      <c r="K1111" s="97">
        <f>IFERROR(J1111/(I1111/VLOOKUP(A1111,'Tabela de Produtos'!A:H,8,0)),"Matéria Prima Não Cadastrada")</f>
        <v>0.28558441558441555</v>
      </c>
      <c r="L1111" s="216"/>
    </row>
    <row r="1112" spans="1:12" ht="15.75" customHeight="1">
      <c r="A1112" s="114" t="s">
        <v>185</v>
      </c>
      <c r="B1112" s="114" t="str">
        <f>VLOOKUP(A1112,'Tabela de Produtos'!A:B,2,0)</f>
        <v>BRAZIMIL LÁTEX STANDARD INT/EXT FOSCO 15L BRANCO NEVE</v>
      </c>
      <c r="C1112" s="48" t="s">
        <v>1207</v>
      </c>
      <c r="D1112" s="114" t="str">
        <f>VLOOKUP(C1112,'Custos Matéria Prima Embalagens'!B:C,2,0)</f>
        <v>WANPEX 1510 (BB-200)</v>
      </c>
      <c r="E1112" s="114" t="str">
        <f>VLOOKUP(C1112,'Custos Matéria Prima Embalagens'!B:D,3,0)</f>
        <v>DISPERSANTE LATEX</v>
      </c>
      <c r="F1112" s="270">
        <f t="shared" si="146"/>
        <v>1956</v>
      </c>
      <c r="G1112" s="148">
        <f t="shared" si="147"/>
        <v>3.0674846625766872E-3</v>
      </c>
      <c r="H1112" s="96">
        <v>6</v>
      </c>
      <c r="I1112" s="272">
        <f>ROUND(F1112/VLOOKUP(A1112,'Tabela de Produtos'!A:J,10,0),0)</f>
        <v>1540</v>
      </c>
      <c r="J1112" s="97">
        <f>IFERROR(VLOOKUP(C1112,'Custos Matéria Prima Embalagens'!B:G,6,0)*H1112,"Matéria Prima Não Cadastrada")</f>
        <v>41.16</v>
      </c>
      <c r="K1112" s="97">
        <f>IFERROR(J1112/(I1112/VLOOKUP(A1112,'Tabela de Produtos'!A:H,8,0)),"Matéria Prima Não Cadastrada")</f>
        <v>0.40090909090909088</v>
      </c>
      <c r="L1112" s="216"/>
    </row>
    <row r="1113" spans="1:12" ht="15.75" customHeight="1">
      <c r="A1113" s="114" t="s">
        <v>185</v>
      </c>
      <c r="B1113" s="114" t="str">
        <f>VLOOKUP(A1113,'Tabela de Produtos'!A:B,2,0)</f>
        <v>BRAZIMIL LÁTEX STANDARD INT/EXT FOSCO 15L BRANCO NEVE</v>
      </c>
      <c r="C1113" s="48" t="s">
        <v>1209</v>
      </c>
      <c r="D1113" s="114" t="str">
        <f>VLOOKUP(C1113,'Custos Matéria Prima Embalagens'!B:C,2,0)</f>
        <v>WANFUNG WFT CE (BH-200)</v>
      </c>
      <c r="E1113" s="114" t="str">
        <f>VLOOKUP(C1113,'Custos Matéria Prima Embalagens'!B:D,3,0)</f>
        <v>FUNGICIDA</v>
      </c>
      <c r="F1113" s="270">
        <f t="shared" si="146"/>
        <v>1956</v>
      </c>
      <c r="G1113" s="148">
        <f t="shared" si="147"/>
        <v>2.5562372188139061E-3</v>
      </c>
      <c r="H1113" s="96">
        <v>5</v>
      </c>
      <c r="I1113" s="272">
        <f>ROUND(F1113/VLOOKUP(A1113,'Tabela de Produtos'!A:J,10,0),0)</f>
        <v>1540</v>
      </c>
      <c r="J1113" s="97">
        <f>IFERROR(VLOOKUP(C1113,'Custos Matéria Prima Embalagens'!B:G,6,0)*H1113,"Matéria Prima Não Cadastrada")</f>
        <v>35</v>
      </c>
      <c r="K1113" s="97">
        <f>IFERROR(J1113/(I1113/VLOOKUP(A1113,'Tabela de Produtos'!A:H,8,0)),"Matéria Prima Não Cadastrada")</f>
        <v>0.34090909090909088</v>
      </c>
      <c r="L1113" s="216"/>
    </row>
    <row r="1114" spans="1:12" ht="15.75" customHeight="1">
      <c r="A1114" s="114" t="s">
        <v>185</v>
      </c>
      <c r="B1114" s="114" t="str">
        <f>VLOOKUP(A1114,'Tabela de Produtos'!A:B,2,0)</f>
        <v>BRAZIMIL LÁTEX STANDARD INT/EXT FOSCO 15L BRANCO NEVE</v>
      </c>
      <c r="C1114" s="48" t="s">
        <v>1211</v>
      </c>
      <c r="D1114" s="114" t="str">
        <f>VLOOKUP(C1114,'Custos Matéria Prima Embalagens'!B:C,2,0)</f>
        <v>WHITE PLUS PB (SC-25) (Em negociação)</v>
      </c>
      <c r="E1114" s="114" t="str">
        <f>VLOOKUP(C1114,'Custos Matéria Prima Embalagens'!B:D,3,0)</f>
        <v>WHITE PLUS</v>
      </c>
      <c r="F1114" s="270">
        <f t="shared" si="146"/>
        <v>1956</v>
      </c>
      <c r="G1114" s="148">
        <f t="shared" si="147"/>
        <v>0.15337423312883436</v>
      </c>
      <c r="H1114" s="96">
        <v>300</v>
      </c>
      <c r="I1114" s="272">
        <f>ROUND(F1114/VLOOKUP(A1114,'Tabela de Produtos'!A:J,10,0),0)</f>
        <v>1540</v>
      </c>
      <c r="J1114" s="97">
        <f>IFERROR(VLOOKUP(C1114,'Custos Matéria Prima Embalagens'!B:G,6,0)*H1114,"Matéria Prima Não Cadastrada")</f>
        <v>927</v>
      </c>
      <c r="K1114" s="97">
        <f>IFERROR(J1114/(I1114/VLOOKUP(A1114,'Tabela de Produtos'!A:H,8,0)),"Matéria Prima Não Cadastrada")</f>
        <v>9.029220779220779</v>
      </c>
      <c r="L1114" s="216"/>
    </row>
    <row r="1115" spans="1:12" ht="15.75" customHeight="1">
      <c r="A1115" s="114" t="s">
        <v>185</v>
      </c>
      <c r="B1115" s="114" t="str">
        <f>VLOOKUP(A1115,'Tabela de Produtos'!A:B,2,0)</f>
        <v>BRAZIMIL LÁTEX STANDARD INT/EXT FOSCO 15L BRANCO NEVE</v>
      </c>
      <c r="C1115" s="48" t="s">
        <v>1213</v>
      </c>
      <c r="D1115" s="114" t="str">
        <f>VLOOKUP(C1115,'Custos Matéria Prima Embalagens'!B:C,2,0)</f>
        <v>DIOXIDO DE TITANIO RUTILO R-996</v>
      </c>
      <c r="E1115" s="114" t="str">
        <f>VLOOKUP(C1115,'Custos Matéria Prima Embalagens'!B:D,3,0)</f>
        <v>TITANIO</v>
      </c>
      <c r="F1115" s="270">
        <f t="shared" si="146"/>
        <v>1956</v>
      </c>
      <c r="G1115" s="148">
        <f t="shared" si="147"/>
        <v>3.0674846625766871E-2</v>
      </c>
      <c r="H1115" s="96">
        <v>60</v>
      </c>
      <c r="I1115" s="272">
        <f>ROUND(F1115/VLOOKUP(A1115,'Tabela de Produtos'!A:J,10,0),0)</f>
        <v>1540</v>
      </c>
      <c r="J1115" s="97">
        <f>IFERROR(VLOOKUP(C1115,'Custos Matéria Prima Embalagens'!B:G,6,0)*H1115,"Matéria Prima Não Cadastrada")</f>
        <v>1158</v>
      </c>
      <c r="K1115" s="97">
        <f>IFERROR(J1115/(I1115/VLOOKUP(A1115,'Tabela de Produtos'!A:H,8,0)),"Matéria Prima Não Cadastrada")</f>
        <v>11.279220779220779</v>
      </c>
      <c r="L1115" s="216"/>
    </row>
    <row r="1116" spans="1:12" ht="15.75" customHeight="1">
      <c r="A1116" s="114" t="s">
        <v>185</v>
      </c>
      <c r="B1116" s="114" t="str">
        <f>VLOOKUP(A1116,'Tabela de Produtos'!A:B,2,0)</f>
        <v>BRAZIMIL LÁTEX STANDARD INT/EXT FOSCO 15L BRANCO NEVE</v>
      </c>
      <c r="C1116" s="48" t="s">
        <v>1215</v>
      </c>
      <c r="D1116" s="114" t="str">
        <f>VLOOKUP(C1116,'Custos Matéria Prima Embalagens'!B:C,2,0)</f>
        <v>CALCARIO DOLOMITICO #500 ( SACOS 25 KG)</v>
      </c>
      <c r="E1116" s="114" t="str">
        <f>VLOOKUP(C1116,'Custos Matéria Prima Embalagens'!B:D,3,0)</f>
        <v>CARBONATO #500</v>
      </c>
      <c r="F1116" s="270">
        <f t="shared" si="146"/>
        <v>1956</v>
      </c>
      <c r="G1116" s="148">
        <f t="shared" si="147"/>
        <v>0.15337423312883436</v>
      </c>
      <c r="H1116" s="96">
        <v>300</v>
      </c>
      <c r="I1116" s="272">
        <f>ROUND(F1116/VLOOKUP(A1116,'Tabela de Produtos'!A:J,10,0),0)</f>
        <v>1540</v>
      </c>
      <c r="J1116" s="97">
        <f>IFERROR(VLOOKUP(C1116,'Custos Matéria Prima Embalagens'!B:G,6,0)*H1116,"Matéria Prima Não Cadastrada")</f>
        <v>240</v>
      </c>
      <c r="K1116" s="97">
        <f>IFERROR(J1116/(I1116/VLOOKUP(A1116,'Tabela de Produtos'!A:H,8,0)),"Matéria Prima Não Cadastrada")</f>
        <v>2.3376623376623376</v>
      </c>
      <c r="L1116" s="216"/>
    </row>
    <row r="1117" spans="1:12" ht="15.75" customHeight="1">
      <c r="A1117" s="114" t="s">
        <v>185</v>
      </c>
      <c r="B1117" s="114" t="str">
        <f>VLOOKUP(A1117,'Tabela de Produtos'!A:B,2,0)</f>
        <v>BRAZIMIL LÁTEX STANDARD INT/EXT FOSCO 15L BRANCO NEVE</v>
      </c>
      <c r="C1117" s="48" t="s">
        <v>1227</v>
      </c>
      <c r="D1117" s="114" t="str">
        <f>VLOOKUP(C1117,'Custos Matéria Prima Embalagens'!B:C,2,0)</f>
        <v>CAULIM MALHA 325</v>
      </c>
      <c r="E1117" s="114" t="str">
        <f>VLOOKUP(C1117,'Custos Matéria Prima Embalagens'!B:D,3,0)</f>
        <v>caulim</v>
      </c>
      <c r="F1117" s="270">
        <f t="shared" si="146"/>
        <v>1956</v>
      </c>
      <c r="G1117" s="148">
        <f t="shared" si="147"/>
        <v>5.112474437627812E-2</v>
      </c>
      <c r="H1117" s="96">
        <v>100</v>
      </c>
      <c r="I1117" s="272">
        <f>ROUND(F1117/VLOOKUP(A1117,'Tabela de Produtos'!A:J,10,0),0)</f>
        <v>1540</v>
      </c>
      <c r="J1117" s="97">
        <f>IFERROR(VLOOKUP(C1117,'Custos Matéria Prima Embalagens'!B:G,6,0)*H1117,"Matéria Prima Não Cadastrada")</f>
        <v>152.04955555555551</v>
      </c>
      <c r="K1117" s="97">
        <f>IFERROR(J1117/(I1117/VLOOKUP(A1117,'Tabela de Produtos'!A:H,8,0)),"Matéria Prima Não Cadastrada")</f>
        <v>1.481002164502164</v>
      </c>
      <c r="L1117" s="216"/>
    </row>
    <row r="1118" spans="1:12" ht="15.75" customHeight="1">
      <c r="A1118" s="114" t="s">
        <v>185</v>
      </c>
      <c r="B1118" s="114" t="str">
        <f>VLOOKUP(A1118,'Tabela de Produtos'!A:B,2,0)</f>
        <v>BRAZIMIL LÁTEX STANDARD INT/EXT FOSCO 15L BRANCO NEVE</v>
      </c>
      <c r="C1118" s="48" t="s">
        <v>1217</v>
      </c>
      <c r="D1118" s="114" t="str">
        <f>VLOOKUP(C1118,'Custos Matéria Prima Embalagens'!B:C,2,0)</f>
        <v>WANCRIL W 51 CE (CT-1000P)</v>
      </c>
      <c r="E1118" s="114" t="str">
        <f>VLOOKUP(C1118,'Custos Matéria Prima Embalagens'!B:D,3,0)</f>
        <v>RESINA ACRILICA ESTIRENADA</v>
      </c>
      <c r="F1118" s="270">
        <f t="shared" si="146"/>
        <v>1956</v>
      </c>
      <c r="G1118" s="148">
        <f t="shared" si="147"/>
        <v>0.10224948875255624</v>
      </c>
      <c r="H1118" s="96">
        <v>200</v>
      </c>
      <c r="I1118" s="272">
        <f>ROUND(F1118/VLOOKUP(A1118,'Tabela de Produtos'!A:J,10,0),0)</f>
        <v>1540</v>
      </c>
      <c r="J1118" s="97">
        <f>IFERROR(VLOOKUP(C1118,'Custos Matéria Prima Embalagens'!B:G,6,0)*H1118,"Matéria Prima Não Cadastrada")</f>
        <v>1686</v>
      </c>
      <c r="K1118" s="97">
        <f>IFERROR(J1118/(I1118/VLOOKUP(A1118,'Tabela de Produtos'!A:H,8,0)),"Matéria Prima Não Cadastrada")</f>
        <v>16.422077922077921</v>
      </c>
      <c r="L1118" s="216"/>
    </row>
    <row r="1119" spans="1:12" ht="15.75" customHeight="1">
      <c r="A1119" s="114" t="s">
        <v>185</v>
      </c>
      <c r="B1119" s="114" t="str">
        <f>VLOOKUP(A1119,'Tabela de Produtos'!A:B,2,0)</f>
        <v>BRAZIMIL LÁTEX STANDARD INT/EXT FOSCO 15L BRANCO NEVE</v>
      </c>
      <c r="C1119" s="48" t="s">
        <v>1219</v>
      </c>
      <c r="D1119" s="114" t="str">
        <f>VLOOKUP(C1119,'Custos Matéria Prima Embalagens'!B:C,2,0)</f>
        <v>WANALK 70 CE (BH-200)</v>
      </c>
      <c r="E1119" s="114" t="str">
        <f>VLOOKUP(C1119,'Custos Matéria Prima Embalagens'!B:D,3,0)</f>
        <v>ALCALINIZANTE</v>
      </c>
      <c r="F1119" s="270">
        <f t="shared" si="146"/>
        <v>1956</v>
      </c>
      <c r="G1119" s="148">
        <f t="shared" si="147"/>
        <v>2.5562372188139061E-3</v>
      </c>
      <c r="H1119" s="96">
        <v>5</v>
      </c>
      <c r="I1119" s="272">
        <f>ROUND(F1119/VLOOKUP(A1119,'Tabela de Produtos'!A:J,10,0),0)</f>
        <v>1540</v>
      </c>
      <c r="J1119" s="97">
        <f>IFERROR(VLOOKUP(C1119,'Custos Matéria Prima Embalagens'!B:G,6,0)*H1119,"Matéria Prima Não Cadastrada")</f>
        <v>24.900000000000002</v>
      </c>
      <c r="K1119" s="97">
        <f>IFERROR(J1119/(I1119/VLOOKUP(A1119,'Tabela de Produtos'!A:H,8,0)),"Matéria Prima Não Cadastrada")</f>
        <v>0.24253246753246754</v>
      </c>
      <c r="L1119" s="216"/>
    </row>
    <row r="1120" spans="1:12" ht="15.75" customHeight="1">
      <c r="A1120" s="114" t="s">
        <v>185</v>
      </c>
      <c r="B1120" s="114" t="str">
        <f>VLOOKUP(A1120,'Tabela de Produtos'!A:B,2,0)</f>
        <v>BRAZIMIL LÁTEX STANDARD INT/EXT FOSCO 15L BRANCO NEVE</v>
      </c>
      <c r="C1120" s="48" t="s">
        <v>1221</v>
      </c>
      <c r="D1120" s="114" t="str">
        <f>VLOOKUP(C1120,'Custos Matéria Prima Embalagens'!B:C,2,0)</f>
        <v>MODIWAN 105H CE (CT-1000P)</v>
      </c>
      <c r="E1120" s="114" t="str">
        <f>VLOOKUP(C1120,'Custos Matéria Prima Embalagens'!B:D,3,0)</f>
        <v>ESPESSANTE DE MEDIA</v>
      </c>
      <c r="F1120" s="270">
        <f t="shared" si="146"/>
        <v>1956</v>
      </c>
      <c r="G1120" s="148">
        <f t="shared" si="147"/>
        <v>1.0224948875255624E-2</v>
      </c>
      <c r="H1120" s="96">
        <v>20</v>
      </c>
      <c r="I1120" s="272">
        <f>ROUND(F1120/VLOOKUP(A1120,'Tabela de Produtos'!A:J,10,0),0)</f>
        <v>1540</v>
      </c>
      <c r="J1120" s="97">
        <f>IFERROR(VLOOKUP(C1120,'Custos Matéria Prima Embalagens'!B:G,6,0)*H1120,"Matéria Prima Não Cadastrada")</f>
        <v>158.1</v>
      </c>
      <c r="K1120" s="97">
        <f>IFERROR(J1120/(I1120/VLOOKUP(A1120,'Tabela de Produtos'!A:H,8,0)),"Matéria Prima Não Cadastrada")</f>
        <v>1.5399350649350647</v>
      </c>
      <c r="L1120" s="216"/>
    </row>
    <row r="1121" spans="1:12" ht="15.75" customHeight="1">
      <c r="A1121" s="114" t="s">
        <v>185</v>
      </c>
      <c r="B1121" s="114" t="str">
        <f>VLOOKUP(A1121,'Tabela de Produtos'!A:B,2,0)</f>
        <v>BRAZIMIL LÁTEX STANDARD INT/EXT FOSCO 15L BRANCO NEVE</v>
      </c>
      <c r="C1121" s="48" t="s">
        <v>1223</v>
      </c>
      <c r="D1121" s="114" t="str">
        <f>VLOOKUP(C1121,'Custos Matéria Prima Embalagens'!B:C,2,0)</f>
        <v>TURBOWAN H CE (BH-200)</v>
      </c>
      <c r="E1121" s="114" t="str">
        <f>VLOOKUP(C1121,'Custos Matéria Prima Embalagens'!B:D,3,0)</f>
        <v>PROMOTOR DE LAVABILIDADE</v>
      </c>
      <c r="F1121" s="270">
        <f t="shared" si="146"/>
        <v>1956</v>
      </c>
      <c r="G1121" s="148">
        <f t="shared" si="147"/>
        <v>7.6687116564417178E-3</v>
      </c>
      <c r="H1121" s="96">
        <v>15</v>
      </c>
      <c r="I1121" s="272">
        <f>ROUND(F1121/VLOOKUP(A1121,'Tabela de Produtos'!A:J,10,0),0)</f>
        <v>1540</v>
      </c>
      <c r="J1121" s="97">
        <f>IFERROR(VLOOKUP(C1121,'Custos Matéria Prima Embalagens'!B:G,6,0)*H1121,"Matéria Prima Não Cadastrada")</f>
        <v>72.75</v>
      </c>
      <c r="K1121" s="97">
        <f>IFERROR(J1121/(I1121/VLOOKUP(A1121,'Tabela de Produtos'!A:H,8,0)),"Matéria Prima Não Cadastrada")</f>
        <v>0.70860389610389607</v>
      </c>
      <c r="L1121" s="216"/>
    </row>
    <row r="1122" spans="1:12" ht="15.75" customHeight="1">
      <c r="A1122" s="114" t="s">
        <v>185</v>
      </c>
      <c r="B1122" s="114" t="str">
        <f>VLOOKUP(A1122,'Tabela de Produtos'!A:B,2,0)</f>
        <v>BRAZIMIL LÁTEX STANDARD INT/EXT FOSCO 15L BRANCO NEVE</v>
      </c>
      <c r="C1122" s="48" t="s">
        <v>1229</v>
      </c>
      <c r="D1122" s="114" t="str">
        <f>VLOOKUP(C1122,'Custos Matéria Prima Embalagens'!B:C,2,0)</f>
        <v>WANSOL 340 CE (BB-200)</v>
      </c>
      <c r="E1122" s="114" t="str">
        <f>VLOOKUP(C1122,'Custos Matéria Prima Embalagens'!B:D,3,0)</f>
        <v>COALESCENTE</v>
      </c>
      <c r="F1122" s="270">
        <f t="shared" si="146"/>
        <v>1956</v>
      </c>
      <c r="G1122" s="148">
        <f t="shared" si="147"/>
        <v>5.1124744376278121E-3</v>
      </c>
      <c r="H1122" s="96">
        <v>10</v>
      </c>
      <c r="I1122" s="272">
        <f>ROUND(F1122/VLOOKUP(A1122,'Tabela de Produtos'!A:J,10,0),0)</f>
        <v>1540</v>
      </c>
      <c r="J1122" s="97">
        <f>IFERROR(VLOOKUP(C1122,'Custos Matéria Prima Embalagens'!B:G,6,0)*H1122,"Matéria Prima Não Cadastrada")</f>
        <v>192.2</v>
      </c>
      <c r="K1122" s="97">
        <f>IFERROR(J1122/(I1122/VLOOKUP(A1122,'Tabela de Produtos'!A:H,8,0)),"Matéria Prima Não Cadastrada")</f>
        <v>1.8720779220779218</v>
      </c>
      <c r="L1122" s="216"/>
    </row>
    <row r="1123" spans="1:12" ht="15.75" customHeight="1">
      <c r="D1123" s="114"/>
      <c r="E1123" s="114"/>
      <c r="F1123" s="96"/>
      <c r="G1123" s="148"/>
      <c r="H1123" s="96"/>
      <c r="I1123" s="272"/>
      <c r="J1123" s="97"/>
      <c r="K1123" s="97"/>
      <c r="L1123" s="216"/>
    </row>
    <row r="1124" spans="1:12" ht="15.75" customHeight="1">
      <c r="A1124" s="114" t="s">
        <v>186</v>
      </c>
      <c r="B1124" s="114" t="str">
        <f>VLOOKUP(A1124,'Tabela de Produtos'!A:B,2,0)</f>
        <v>BRAZIMIL LÁTEX STANDARD INT/EXT FOSCO 15L BRANCO GELO</v>
      </c>
      <c r="C1124" s="48" t="s">
        <v>1197</v>
      </c>
      <c r="D1124" s="114" t="str">
        <f>VLOOKUP(C1124,'Custos Matéria Prima Embalagens'!B:C,2,0)</f>
        <v>AGUA</v>
      </c>
      <c r="E1124" s="114" t="str">
        <f>VLOOKUP(C1124,'Custos Matéria Prima Embalagens'!B:D,3,0)</f>
        <v>AGUA</v>
      </c>
      <c r="F1124" s="270">
        <f t="shared" ref="F1124:F1138" si="148">SUMIFS(H:H,A:A,A1124)</f>
        <v>1956</v>
      </c>
      <c r="G1124" s="148">
        <f t="shared" ref="G1124:G1138" si="149">H1124/F1124</f>
        <v>0.47034764826175868</v>
      </c>
      <c r="H1124" s="96">
        <v>920</v>
      </c>
      <c r="I1124" s="272">
        <f>ROUND(F1124/VLOOKUP(A1124,'Tabela de Produtos'!A:J,10,0),0)</f>
        <v>1540</v>
      </c>
      <c r="J1124" s="97">
        <f>IFERROR(VLOOKUP(C1124,'Custos Matéria Prima Embalagens'!B:G,6,0)*H1124,"Matéria Prima Não Cadastrada")</f>
        <v>0</v>
      </c>
      <c r="K1124" s="97">
        <f>IFERROR(J1124/(I1124/VLOOKUP(A1124,'Tabela de Produtos'!A:H,8,0)),"Matéria Prima Não Cadastrada")</f>
        <v>0</v>
      </c>
      <c r="L1124" s="216"/>
    </row>
    <row r="1125" spans="1:12" ht="15.75" customHeight="1">
      <c r="A1125" s="114" t="s">
        <v>186</v>
      </c>
      <c r="B1125" s="114" t="str">
        <f>VLOOKUP(A1125,'Tabela de Produtos'!A:B,2,0)</f>
        <v>BRAZIMIL LÁTEX STANDARD INT/EXT FOSCO 15L BRANCO GELO</v>
      </c>
      <c r="C1125" s="48" t="s">
        <v>1201</v>
      </c>
      <c r="D1125" s="114" t="str">
        <f>VLOOKUP(C1125,'Custos Matéria Prima Embalagens'!B:C,2,0)</f>
        <v>WANFOAM 528 CE (BB-190)</v>
      </c>
      <c r="E1125" s="114" t="str">
        <f>VLOOKUP(C1125,'Custos Matéria Prima Embalagens'!B:D,3,0)</f>
        <v>ANTI ESPUMA LATEX</v>
      </c>
      <c r="F1125" s="270">
        <f t="shared" si="148"/>
        <v>1956</v>
      </c>
      <c r="G1125" s="148">
        <f t="shared" si="149"/>
        <v>2.5562372188139061E-3</v>
      </c>
      <c r="H1125" s="96">
        <v>5</v>
      </c>
      <c r="I1125" s="272">
        <f>ROUND(F1125/VLOOKUP(A1125,'Tabela de Produtos'!A:J,10,0),0)</f>
        <v>1540</v>
      </c>
      <c r="J1125" s="97">
        <f>IFERROR(VLOOKUP(C1125,'Custos Matéria Prima Embalagens'!B:G,6,0)*H1125,"Matéria Prima Não Cadastrada")</f>
        <v>35.9</v>
      </c>
      <c r="K1125" s="97">
        <f>IFERROR(J1125/(I1125/VLOOKUP(A1125,'Tabela de Produtos'!A:H,8,0)),"Matéria Prima Não Cadastrada")</f>
        <v>0.34967532467532464</v>
      </c>
      <c r="L1125" s="216"/>
    </row>
    <row r="1126" spans="1:12" ht="15.75" customHeight="1">
      <c r="A1126" s="114" t="s">
        <v>186</v>
      </c>
      <c r="B1126" s="114" t="str">
        <f>VLOOKUP(A1126,'Tabela de Produtos'!A:B,2,0)</f>
        <v>BRAZIMIL LÁTEX STANDARD INT/EXT FOSCO 15L BRANCO GELO</v>
      </c>
      <c r="C1126" s="48" t="s">
        <v>1203</v>
      </c>
      <c r="D1126" s="114" t="str">
        <f>VLOOKUP(C1126,'Custos Matéria Prima Embalagens'!B:C,2,0)</f>
        <v>WANBAC WBT CE (BH-200)</v>
      </c>
      <c r="E1126" s="114" t="str">
        <f>VLOOKUP(C1126,'Custos Matéria Prima Embalagens'!B:D,3,0)</f>
        <v>BACTERICIDA</v>
      </c>
      <c r="F1126" s="270">
        <f t="shared" si="148"/>
        <v>1956</v>
      </c>
      <c r="G1126" s="148">
        <f t="shared" si="149"/>
        <v>3.0674846625766872E-3</v>
      </c>
      <c r="H1126" s="96">
        <v>6</v>
      </c>
      <c r="I1126" s="272">
        <f>ROUND(F1126/VLOOKUP(A1126,'Tabela de Produtos'!A:J,10,0),0)</f>
        <v>1540</v>
      </c>
      <c r="J1126" s="97">
        <f>IFERROR(VLOOKUP(C1126,'Custos Matéria Prima Embalagens'!B:G,6,0)*H1126,"Matéria Prima Não Cadastrada")</f>
        <v>29.639999999999997</v>
      </c>
      <c r="K1126" s="97">
        <f>IFERROR(J1126/(I1126/VLOOKUP(A1126,'Tabela de Produtos'!A:H,8,0)),"Matéria Prima Não Cadastrada")</f>
        <v>0.28870129870129868</v>
      </c>
      <c r="L1126" s="216"/>
    </row>
    <row r="1127" spans="1:12" ht="15.75" customHeight="1">
      <c r="A1127" s="114" t="s">
        <v>186</v>
      </c>
      <c r="B1127" s="114" t="str">
        <f>VLOOKUP(A1127,'Tabela de Produtos'!A:B,2,0)</f>
        <v>BRAZIMIL LÁTEX STANDARD INT/EXT FOSCO 15L BRANCO GELO</v>
      </c>
      <c r="C1127" s="48" t="s">
        <v>1205</v>
      </c>
      <c r="D1127" s="114" t="str">
        <f>VLOOKUP(C1127,'Custos Matéria Prima Embalagens'!B:C,2,0)</f>
        <v>WANSUR 840 CE (BB-200)01</v>
      </c>
      <c r="E1127" s="114" t="str">
        <f>VLOOKUP(C1127,'Custos Matéria Prima Embalagens'!B:D,3,0)</f>
        <v>UMECTANTE</v>
      </c>
      <c r="F1127" s="270">
        <f t="shared" si="148"/>
        <v>1956</v>
      </c>
      <c r="G1127" s="148">
        <f t="shared" si="149"/>
        <v>2.0449897750511249E-3</v>
      </c>
      <c r="H1127" s="96">
        <v>4</v>
      </c>
      <c r="I1127" s="272">
        <f>ROUND(F1127/VLOOKUP(A1127,'Tabela de Produtos'!A:J,10,0),0)</f>
        <v>1540</v>
      </c>
      <c r="J1127" s="97">
        <f>IFERROR(VLOOKUP(C1127,'Custos Matéria Prima Embalagens'!B:G,6,0)*H1127,"Matéria Prima Não Cadastrada")</f>
        <v>29.32</v>
      </c>
      <c r="K1127" s="97">
        <f>IFERROR(J1127/(I1127/VLOOKUP(A1127,'Tabela de Produtos'!A:H,8,0)),"Matéria Prima Não Cadastrada")</f>
        <v>0.28558441558441555</v>
      </c>
      <c r="L1127" s="216"/>
    </row>
    <row r="1128" spans="1:12" ht="15.75" customHeight="1">
      <c r="A1128" s="114" t="s">
        <v>186</v>
      </c>
      <c r="B1128" s="114" t="str">
        <f>VLOOKUP(A1128,'Tabela de Produtos'!A:B,2,0)</f>
        <v>BRAZIMIL LÁTEX STANDARD INT/EXT FOSCO 15L BRANCO GELO</v>
      </c>
      <c r="C1128" s="48" t="s">
        <v>1207</v>
      </c>
      <c r="D1128" s="114" t="str">
        <f>VLOOKUP(C1128,'Custos Matéria Prima Embalagens'!B:C,2,0)</f>
        <v>WANPEX 1510 (BB-200)</v>
      </c>
      <c r="E1128" s="114" t="str">
        <f>VLOOKUP(C1128,'Custos Matéria Prima Embalagens'!B:D,3,0)</f>
        <v>DISPERSANTE LATEX</v>
      </c>
      <c r="F1128" s="270">
        <f t="shared" si="148"/>
        <v>1956</v>
      </c>
      <c r="G1128" s="148">
        <f t="shared" si="149"/>
        <v>3.0674846625766872E-3</v>
      </c>
      <c r="H1128" s="96">
        <v>6</v>
      </c>
      <c r="I1128" s="272">
        <f>ROUND(F1128/VLOOKUP(A1128,'Tabela de Produtos'!A:J,10,0),0)</f>
        <v>1540</v>
      </c>
      <c r="J1128" s="97">
        <f>IFERROR(VLOOKUP(C1128,'Custos Matéria Prima Embalagens'!B:G,6,0)*H1128,"Matéria Prima Não Cadastrada")</f>
        <v>41.16</v>
      </c>
      <c r="K1128" s="97">
        <f>IFERROR(J1128/(I1128/VLOOKUP(A1128,'Tabela de Produtos'!A:H,8,0)),"Matéria Prima Não Cadastrada")</f>
        <v>0.40090909090909088</v>
      </c>
      <c r="L1128" s="216"/>
    </row>
    <row r="1129" spans="1:12" ht="15.75" customHeight="1">
      <c r="A1129" s="114" t="s">
        <v>186</v>
      </c>
      <c r="B1129" s="114" t="str">
        <f>VLOOKUP(A1129,'Tabela de Produtos'!A:B,2,0)</f>
        <v>BRAZIMIL LÁTEX STANDARD INT/EXT FOSCO 15L BRANCO GELO</v>
      </c>
      <c r="C1129" s="48" t="s">
        <v>1209</v>
      </c>
      <c r="D1129" s="114" t="str">
        <f>VLOOKUP(C1129,'Custos Matéria Prima Embalagens'!B:C,2,0)</f>
        <v>WANFUNG WFT CE (BH-200)</v>
      </c>
      <c r="E1129" s="114" t="str">
        <f>VLOOKUP(C1129,'Custos Matéria Prima Embalagens'!B:D,3,0)</f>
        <v>FUNGICIDA</v>
      </c>
      <c r="F1129" s="270">
        <f t="shared" si="148"/>
        <v>1956</v>
      </c>
      <c r="G1129" s="148">
        <f t="shared" si="149"/>
        <v>2.5562372188139061E-3</v>
      </c>
      <c r="H1129" s="96">
        <v>5</v>
      </c>
      <c r="I1129" s="272">
        <f>ROUND(F1129/VLOOKUP(A1129,'Tabela de Produtos'!A:J,10,0),0)</f>
        <v>1540</v>
      </c>
      <c r="J1129" s="97">
        <f>IFERROR(VLOOKUP(C1129,'Custos Matéria Prima Embalagens'!B:G,6,0)*H1129,"Matéria Prima Não Cadastrada")</f>
        <v>35</v>
      </c>
      <c r="K1129" s="97">
        <f>IFERROR(J1129/(I1129/VLOOKUP(A1129,'Tabela de Produtos'!A:H,8,0)),"Matéria Prima Não Cadastrada")</f>
        <v>0.34090909090909088</v>
      </c>
      <c r="L1129" s="216"/>
    </row>
    <row r="1130" spans="1:12" ht="15.75" customHeight="1">
      <c r="A1130" s="114" t="s">
        <v>186</v>
      </c>
      <c r="B1130" s="114" t="str">
        <f>VLOOKUP(A1130,'Tabela de Produtos'!A:B,2,0)</f>
        <v>BRAZIMIL LÁTEX STANDARD INT/EXT FOSCO 15L BRANCO GELO</v>
      </c>
      <c r="C1130" s="48" t="s">
        <v>1211</v>
      </c>
      <c r="D1130" s="114" t="str">
        <f>VLOOKUP(C1130,'Custos Matéria Prima Embalagens'!B:C,2,0)</f>
        <v>WHITE PLUS PB (SC-25) (Em negociação)</v>
      </c>
      <c r="E1130" s="114" t="str">
        <f>VLOOKUP(C1130,'Custos Matéria Prima Embalagens'!B:D,3,0)</f>
        <v>WHITE PLUS</v>
      </c>
      <c r="F1130" s="270">
        <f t="shared" si="148"/>
        <v>1956</v>
      </c>
      <c r="G1130" s="148">
        <f t="shared" si="149"/>
        <v>0.15337423312883436</v>
      </c>
      <c r="H1130" s="96">
        <v>300</v>
      </c>
      <c r="I1130" s="272">
        <f>ROUND(F1130/VLOOKUP(A1130,'Tabela de Produtos'!A:J,10,0),0)</f>
        <v>1540</v>
      </c>
      <c r="J1130" s="97">
        <f>IFERROR(VLOOKUP(C1130,'Custos Matéria Prima Embalagens'!B:G,6,0)*H1130,"Matéria Prima Não Cadastrada")</f>
        <v>927</v>
      </c>
      <c r="K1130" s="97">
        <f>IFERROR(J1130/(I1130/VLOOKUP(A1130,'Tabela de Produtos'!A:H,8,0)),"Matéria Prima Não Cadastrada")</f>
        <v>9.029220779220779</v>
      </c>
      <c r="L1130" s="216"/>
    </row>
    <row r="1131" spans="1:12" ht="15.75" customHeight="1">
      <c r="A1131" s="114" t="s">
        <v>186</v>
      </c>
      <c r="B1131" s="114" t="str">
        <f>VLOOKUP(A1131,'Tabela de Produtos'!A:B,2,0)</f>
        <v>BRAZIMIL LÁTEX STANDARD INT/EXT FOSCO 15L BRANCO GELO</v>
      </c>
      <c r="C1131" s="48" t="s">
        <v>1213</v>
      </c>
      <c r="D1131" s="114" t="str">
        <f>VLOOKUP(C1131,'Custos Matéria Prima Embalagens'!B:C,2,0)</f>
        <v>DIOXIDO DE TITANIO RUTILO R-996</v>
      </c>
      <c r="E1131" s="114" t="str">
        <f>VLOOKUP(C1131,'Custos Matéria Prima Embalagens'!B:D,3,0)</f>
        <v>TITANIO</v>
      </c>
      <c r="F1131" s="270">
        <f t="shared" si="148"/>
        <v>1956</v>
      </c>
      <c r="G1131" s="148">
        <f t="shared" si="149"/>
        <v>3.0674846625766871E-2</v>
      </c>
      <c r="H1131" s="96">
        <v>60</v>
      </c>
      <c r="I1131" s="272">
        <f>ROUND(F1131/VLOOKUP(A1131,'Tabela de Produtos'!A:J,10,0),0)</f>
        <v>1540</v>
      </c>
      <c r="J1131" s="97">
        <f>IFERROR(VLOOKUP(C1131,'Custos Matéria Prima Embalagens'!B:G,6,0)*H1131,"Matéria Prima Não Cadastrada")</f>
        <v>1158</v>
      </c>
      <c r="K1131" s="97">
        <f>IFERROR(J1131/(I1131/VLOOKUP(A1131,'Tabela de Produtos'!A:H,8,0)),"Matéria Prima Não Cadastrada")</f>
        <v>11.279220779220779</v>
      </c>
      <c r="L1131" s="216"/>
    </row>
    <row r="1132" spans="1:12" ht="15.75" customHeight="1">
      <c r="A1132" s="114" t="s">
        <v>186</v>
      </c>
      <c r="B1132" s="114" t="str">
        <f>VLOOKUP(A1132,'Tabela de Produtos'!A:B,2,0)</f>
        <v>BRAZIMIL LÁTEX STANDARD INT/EXT FOSCO 15L BRANCO GELO</v>
      </c>
      <c r="C1132" s="48" t="s">
        <v>1215</v>
      </c>
      <c r="D1132" s="114" t="str">
        <f>VLOOKUP(C1132,'Custos Matéria Prima Embalagens'!B:C,2,0)</f>
        <v>CALCARIO DOLOMITICO #500 ( SACOS 25 KG)</v>
      </c>
      <c r="E1132" s="114" t="str">
        <f>VLOOKUP(C1132,'Custos Matéria Prima Embalagens'!B:D,3,0)</f>
        <v>CARBONATO #500</v>
      </c>
      <c r="F1132" s="270">
        <f t="shared" si="148"/>
        <v>1956</v>
      </c>
      <c r="G1132" s="148">
        <f t="shared" si="149"/>
        <v>0.15337423312883436</v>
      </c>
      <c r="H1132" s="96">
        <v>300</v>
      </c>
      <c r="I1132" s="272">
        <f>ROUND(F1132/VLOOKUP(A1132,'Tabela de Produtos'!A:J,10,0),0)</f>
        <v>1540</v>
      </c>
      <c r="J1132" s="97">
        <f>IFERROR(VLOOKUP(C1132,'Custos Matéria Prima Embalagens'!B:G,6,0)*H1132,"Matéria Prima Não Cadastrada")</f>
        <v>240</v>
      </c>
      <c r="K1132" s="97">
        <f>IFERROR(J1132/(I1132/VLOOKUP(A1132,'Tabela de Produtos'!A:H,8,0)),"Matéria Prima Não Cadastrada")</f>
        <v>2.3376623376623376</v>
      </c>
      <c r="L1132" s="216"/>
    </row>
    <row r="1133" spans="1:12" ht="15.75" customHeight="1">
      <c r="A1133" s="114" t="s">
        <v>186</v>
      </c>
      <c r="B1133" s="114" t="str">
        <f>VLOOKUP(A1133,'Tabela de Produtos'!A:B,2,0)</f>
        <v>BRAZIMIL LÁTEX STANDARD INT/EXT FOSCO 15L BRANCO GELO</v>
      </c>
      <c r="C1133" s="48" t="s">
        <v>1227</v>
      </c>
      <c r="D1133" s="114" t="str">
        <f>VLOOKUP(C1133,'Custos Matéria Prima Embalagens'!B:C,2,0)</f>
        <v>CAULIM MALHA 325</v>
      </c>
      <c r="E1133" s="114" t="str">
        <f>VLOOKUP(C1133,'Custos Matéria Prima Embalagens'!B:D,3,0)</f>
        <v>caulim</v>
      </c>
      <c r="F1133" s="270">
        <f t="shared" si="148"/>
        <v>1956</v>
      </c>
      <c r="G1133" s="148">
        <f t="shared" si="149"/>
        <v>5.112474437627812E-2</v>
      </c>
      <c r="H1133" s="96">
        <v>100</v>
      </c>
      <c r="I1133" s="272">
        <f>ROUND(F1133/VLOOKUP(A1133,'Tabela de Produtos'!A:J,10,0),0)</f>
        <v>1540</v>
      </c>
      <c r="J1133" s="97">
        <f>IFERROR(VLOOKUP(C1133,'Custos Matéria Prima Embalagens'!B:G,6,0)*H1133,"Matéria Prima Não Cadastrada")</f>
        <v>152.04955555555551</v>
      </c>
      <c r="K1133" s="97">
        <f>IFERROR(J1133/(I1133/VLOOKUP(A1133,'Tabela de Produtos'!A:H,8,0)),"Matéria Prima Não Cadastrada")</f>
        <v>1.481002164502164</v>
      </c>
      <c r="L1133" s="216"/>
    </row>
    <row r="1134" spans="1:12" ht="15.75" customHeight="1">
      <c r="A1134" s="114" t="s">
        <v>186</v>
      </c>
      <c r="B1134" s="114" t="str">
        <f>VLOOKUP(A1134,'Tabela de Produtos'!A:B,2,0)</f>
        <v>BRAZIMIL LÁTEX STANDARD INT/EXT FOSCO 15L BRANCO GELO</v>
      </c>
      <c r="C1134" s="48" t="s">
        <v>1217</v>
      </c>
      <c r="D1134" s="114" t="str">
        <f>VLOOKUP(C1134,'Custos Matéria Prima Embalagens'!B:C,2,0)</f>
        <v>WANCRIL W 51 CE (CT-1000P)</v>
      </c>
      <c r="E1134" s="114" t="str">
        <f>VLOOKUP(C1134,'Custos Matéria Prima Embalagens'!B:D,3,0)</f>
        <v>RESINA ACRILICA ESTIRENADA</v>
      </c>
      <c r="F1134" s="270">
        <f t="shared" si="148"/>
        <v>1956</v>
      </c>
      <c r="G1134" s="148">
        <f t="shared" si="149"/>
        <v>0.10224948875255624</v>
      </c>
      <c r="H1134" s="96">
        <v>200</v>
      </c>
      <c r="I1134" s="272">
        <f>ROUND(F1134/VLOOKUP(A1134,'Tabela de Produtos'!A:J,10,0),0)</f>
        <v>1540</v>
      </c>
      <c r="J1134" s="97">
        <f>IFERROR(VLOOKUP(C1134,'Custos Matéria Prima Embalagens'!B:G,6,0)*H1134,"Matéria Prima Não Cadastrada")</f>
        <v>1686</v>
      </c>
      <c r="K1134" s="97">
        <f>IFERROR(J1134/(I1134/VLOOKUP(A1134,'Tabela de Produtos'!A:H,8,0)),"Matéria Prima Não Cadastrada")</f>
        <v>16.422077922077921</v>
      </c>
      <c r="L1134" s="216"/>
    </row>
    <row r="1135" spans="1:12" ht="15.75" customHeight="1">
      <c r="A1135" s="114" t="s">
        <v>186</v>
      </c>
      <c r="B1135" s="114" t="str">
        <f>VLOOKUP(A1135,'Tabela de Produtos'!A:B,2,0)</f>
        <v>BRAZIMIL LÁTEX STANDARD INT/EXT FOSCO 15L BRANCO GELO</v>
      </c>
      <c r="C1135" s="48" t="s">
        <v>1219</v>
      </c>
      <c r="D1135" s="114" t="str">
        <f>VLOOKUP(C1135,'Custos Matéria Prima Embalagens'!B:C,2,0)</f>
        <v>WANALK 70 CE (BH-200)</v>
      </c>
      <c r="E1135" s="114" t="str">
        <f>VLOOKUP(C1135,'Custos Matéria Prima Embalagens'!B:D,3,0)</f>
        <v>ALCALINIZANTE</v>
      </c>
      <c r="F1135" s="270">
        <f t="shared" si="148"/>
        <v>1956</v>
      </c>
      <c r="G1135" s="148">
        <f t="shared" si="149"/>
        <v>2.5562372188139061E-3</v>
      </c>
      <c r="H1135" s="96">
        <v>5</v>
      </c>
      <c r="I1135" s="272">
        <f>ROUND(F1135/VLOOKUP(A1135,'Tabela de Produtos'!A:J,10,0),0)</f>
        <v>1540</v>
      </c>
      <c r="J1135" s="97">
        <f>IFERROR(VLOOKUP(C1135,'Custos Matéria Prima Embalagens'!B:G,6,0)*H1135,"Matéria Prima Não Cadastrada")</f>
        <v>24.900000000000002</v>
      </c>
      <c r="K1135" s="97">
        <f>IFERROR(J1135/(I1135/VLOOKUP(A1135,'Tabela de Produtos'!A:H,8,0)),"Matéria Prima Não Cadastrada")</f>
        <v>0.24253246753246754</v>
      </c>
      <c r="L1135" s="216"/>
    </row>
    <row r="1136" spans="1:12" ht="15.75" customHeight="1">
      <c r="A1136" s="114" t="s">
        <v>186</v>
      </c>
      <c r="B1136" s="114" t="str">
        <f>VLOOKUP(A1136,'Tabela de Produtos'!A:B,2,0)</f>
        <v>BRAZIMIL LÁTEX STANDARD INT/EXT FOSCO 15L BRANCO GELO</v>
      </c>
      <c r="C1136" s="48" t="s">
        <v>1221</v>
      </c>
      <c r="D1136" s="114" t="str">
        <f>VLOOKUP(C1136,'Custos Matéria Prima Embalagens'!B:C,2,0)</f>
        <v>MODIWAN 105H CE (CT-1000P)</v>
      </c>
      <c r="E1136" s="114" t="str">
        <f>VLOOKUP(C1136,'Custos Matéria Prima Embalagens'!B:D,3,0)</f>
        <v>ESPESSANTE DE MEDIA</v>
      </c>
      <c r="F1136" s="270">
        <f t="shared" si="148"/>
        <v>1956</v>
      </c>
      <c r="G1136" s="148">
        <f t="shared" si="149"/>
        <v>1.0224948875255624E-2</v>
      </c>
      <c r="H1136" s="96">
        <v>20</v>
      </c>
      <c r="I1136" s="272">
        <f>ROUND(F1136/VLOOKUP(A1136,'Tabela de Produtos'!A:J,10,0),0)</f>
        <v>1540</v>
      </c>
      <c r="J1136" s="97">
        <f>IFERROR(VLOOKUP(C1136,'Custos Matéria Prima Embalagens'!B:G,6,0)*H1136,"Matéria Prima Não Cadastrada")</f>
        <v>158.1</v>
      </c>
      <c r="K1136" s="97">
        <f>IFERROR(J1136/(I1136/VLOOKUP(A1136,'Tabela de Produtos'!A:H,8,0)),"Matéria Prima Não Cadastrada")</f>
        <v>1.5399350649350647</v>
      </c>
      <c r="L1136" s="216"/>
    </row>
    <row r="1137" spans="1:12" ht="15.75" customHeight="1">
      <c r="A1137" s="114" t="s">
        <v>186</v>
      </c>
      <c r="B1137" s="114" t="str">
        <f>VLOOKUP(A1137,'Tabela de Produtos'!A:B,2,0)</f>
        <v>BRAZIMIL LÁTEX STANDARD INT/EXT FOSCO 15L BRANCO GELO</v>
      </c>
      <c r="C1137" s="48" t="s">
        <v>1223</v>
      </c>
      <c r="D1137" s="114" t="str">
        <f>VLOOKUP(C1137,'Custos Matéria Prima Embalagens'!B:C,2,0)</f>
        <v>TURBOWAN H CE (BH-200)</v>
      </c>
      <c r="E1137" s="114" t="str">
        <f>VLOOKUP(C1137,'Custos Matéria Prima Embalagens'!B:D,3,0)</f>
        <v>PROMOTOR DE LAVABILIDADE</v>
      </c>
      <c r="F1137" s="270">
        <f t="shared" si="148"/>
        <v>1956</v>
      </c>
      <c r="G1137" s="148">
        <f t="shared" si="149"/>
        <v>7.6687116564417178E-3</v>
      </c>
      <c r="H1137" s="96">
        <v>15</v>
      </c>
      <c r="I1137" s="272">
        <f>ROUND(F1137/VLOOKUP(A1137,'Tabela de Produtos'!A:J,10,0),0)</f>
        <v>1540</v>
      </c>
      <c r="J1137" s="97">
        <f>IFERROR(VLOOKUP(C1137,'Custos Matéria Prima Embalagens'!B:G,6,0)*H1137,"Matéria Prima Não Cadastrada")</f>
        <v>72.75</v>
      </c>
      <c r="K1137" s="97">
        <f>IFERROR(J1137/(I1137/VLOOKUP(A1137,'Tabela de Produtos'!A:H,8,0)),"Matéria Prima Não Cadastrada")</f>
        <v>0.70860389610389607</v>
      </c>
      <c r="L1137" s="216"/>
    </row>
    <row r="1138" spans="1:12" ht="15.75" customHeight="1">
      <c r="A1138" s="114" t="s">
        <v>186</v>
      </c>
      <c r="B1138" s="114" t="str">
        <f>VLOOKUP(A1138,'Tabela de Produtos'!A:B,2,0)</f>
        <v>BRAZIMIL LÁTEX STANDARD INT/EXT FOSCO 15L BRANCO GELO</v>
      </c>
      <c r="C1138" s="48" t="s">
        <v>1229</v>
      </c>
      <c r="D1138" s="114" t="str">
        <f>VLOOKUP(C1138,'Custos Matéria Prima Embalagens'!B:C,2,0)</f>
        <v>WANSOL 340 CE (BB-200)</v>
      </c>
      <c r="E1138" s="114" t="str">
        <f>VLOOKUP(C1138,'Custos Matéria Prima Embalagens'!B:D,3,0)</f>
        <v>COALESCENTE</v>
      </c>
      <c r="F1138" s="270">
        <f t="shared" si="148"/>
        <v>1956</v>
      </c>
      <c r="G1138" s="148">
        <f t="shared" si="149"/>
        <v>5.1124744376278121E-3</v>
      </c>
      <c r="H1138" s="96">
        <v>10</v>
      </c>
      <c r="I1138" s="272">
        <f>ROUND(F1138/VLOOKUP(A1138,'Tabela de Produtos'!A:J,10,0),0)</f>
        <v>1540</v>
      </c>
      <c r="J1138" s="97">
        <f>IFERROR(VLOOKUP(C1138,'Custos Matéria Prima Embalagens'!B:G,6,0)*H1138,"Matéria Prima Não Cadastrada")</f>
        <v>192.2</v>
      </c>
      <c r="K1138" s="97">
        <f>IFERROR(J1138/(I1138/VLOOKUP(A1138,'Tabela de Produtos'!A:H,8,0)),"Matéria Prima Não Cadastrada")</f>
        <v>1.8720779220779218</v>
      </c>
      <c r="L1138" s="216"/>
    </row>
    <row r="1139" spans="1:12" ht="15.75" customHeight="1">
      <c r="D1139" s="114"/>
      <c r="E1139" s="114"/>
      <c r="F1139" s="96"/>
      <c r="G1139" s="148"/>
      <c r="H1139" s="96"/>
      <c r="I1139" s="272"/>
      <c r="J1139" s="97"/>
      <c r="K1139" s="97"/>
      <c r="L1139" s="216"/>
    </row>
    <row r="1140" spans="1:12" ht="15.75" customHeight="1">
      <c r="A1140" s="114" t="s">
        <v>187</v>
      </c>
      <c r="B1140" s="114" t="str">
        <f>VLOOKUP(A1140,'Tabela de Produtos'!A:B,2,0)</f>
        <v>BRAZIMIL LÁTEX STANDARD INT/EXT FOSCO 15L FLAMINGO</v>
      </c>
      <c r="C1140" s="48" t="s">
        <v>1197</v>
      </c>
      <c r="D1140" s="114" t="str">
        <f>VLOOKUP(C1140,'Custos Matéria Prima Embalagens'!B:C,2,0)</f>
        <v>AGUA</v>
      </c>
      <c r="E1140" s="114" t="str">
        <f>VLOOKUP(C1140,'Custos Matéria Prima Embalagens'!B:D,3,0)</f>
        <v>AGUA</v>
      </c>
      <c r="F1140" s="270">
        <f t="shared" ref="F1140:F1154" si="150">SUMIFS(H:H,A:A,A1140)</f>
        <v>1956</v>
      </c>
      <c r="G1140" s="148">
        <f t="shared" ref="G1140:G1154" si="151">H1140/F1140</f>
        <v>0.47034764826175868</v>
      </c>
      <c r="H1140" s="96">
        <v>920</v>
      </c>
      <c r="I1140" s="272">
        <f>ROUND(F1140/VLOOKUP(A1140,'Tabela de Produtos'!A:J,10,0),0)</f>
        <v>1540</v>
      </c>
      <c r="J1140" s="97">
        <f>IFERROR(VLOOKUP(C1140,'Custos Matéria Prima Embalagens'!B:G,6,0)*H1140,"Matéria Prima Não Cadastrada")</f>
        <v>0</v>
      </c>
      <c r="K1140" s="97">
        <f>IFERROR(J1140/(I1140/VLOOKUP(A1140,'Tabela de Produtos'!A:H,8,0)),"Matéria Prima Não Cadastrada")</f>
        <v>0</v>
      </c>
      <c r="L1140" s="216"/>
    </row>
    <row r="1141" spans="1:12" ht="15.75" customHeight="1">
      <c r="A1141" s="114" t="s">
        <v>187</v>
      </c>
      <c r="B1141" s="114" t="str">
        <f>VLOOKUP(A1141,'Tabela de Produtos'!A:B,2,0)</f>
        <v>BRAZIMIL LÁTEX STANDARD INT/EXT FOSCO 15L FLAMINGO</v>
      </c>
      <c r="C1141" s="48" t="s">
        <v>1201</v>
      </c>
      <c r="D1141" s="114" t="str">
        <f>VLOOKUP(C1141,'Custos Matéria Prima Embalagens'!B:C,2,0)</f>
        <v>WANFOAM 528 CE (BB-190)</v>
      </c>
      <c r="E1141" s="114" t="str">
        <f>VLOOKUP(C1141,'Custos Matéria Prima Embalagens'!B:D,3,0)</f>
        <v>ANTI ESPUMA LATEX</v>
      </c>
      <c r="F1141" s="270">
        <f t="shared" si="150"/>
        <v>1956</v>
      </c>
      <c r="G1141" s="148">
        <f t="shared" si="151"/>
        <v>2.5562372188139061E-3</v>
      </c>
      <c r="H1141" s="96">
        <v>5</v>
      </c>
      <c r="I1141" s="272">
        <f>ROUND(F1141/VLOOKUP(A1141,'Tabela de Produtos'!A:J,10,0),0)</f>
        <v>1540</v>
      </c>
      <c r="J1141" s="97">
        <f>IFERROR(VLOOKUP(C1141,'Custos Matéria Prima Embalagens'!B:G,6,0)*H1141,"Matéria Prima Não Cadastrada")</f>
        <v>35.9</v>
      </c>
      <c r="K1141" s="97">
        <f>IFERROR(J1141/(I1141/VLOOKUP(A1141,'Tabela de Produtos'!A:H,8,0)),"Matéria Prima Não Cadastrada")</f>
        <v>0.34967532467532464</v>
      </c>
      <c r="L1141" s="216"/>
    </row>
    <row r="1142" spans="1:12" ht="15.75" customHeight="1">
      <c r="A1142" s="114" t="s">
        <v>187</v>
      </c>
      <c r="B1142" s="114" t="str">
        <f>VLOOKUP(A1142,'Tabela de Produtos'!A:B,2,0)</f>
        <v>BRAZIMIL LÁTEX STANDARD INT/EXT FOSCO 15L FLAMINGO</v>
      </c>
      <c r="C1142" s="48" t="s">
        <v>1203</v>
      </c>
      <c r="D1142" s="114" t="str">
        <f>VLOOKUP(C1142,'Custos Matéria Prima Embalagens'!B:C,2,0)</f>
        <v>WANBAC WBT CE (BH-200)</v>
      </c>
      <c r="E1142" s="114" t="str">
        <f>VLOOKUP(C1142,'Custos Matéria Prima Embalagens'!B:D,3,0)</f>
        <v>BACTERICIDA</v>
      </c>
      <c r="F1142" s="270">
        <f t="shared" si="150"/>
        <v>1956</v>
      </c>
      <c r="G1142" s="148">
        <f t="shared" si="151"/>
        <v>3.0674846625766872E-3</v>
      </c>
      <c r="H1142" s="96">
        <v>6</v>
      </c>
      <c r="I1142" s="272">
        <f>ROUND(F1142/VLOOKUP(A1142,'Tabela de Produtos'!A:J,10,0),0)</f>
        <v>1540</v>
      </c>
      <c r="J1142" s="97">
        <f>IFERROR(VLOOKUP(C1142,'Custos Matéria Prima Embalagens'!B:G,6,0)*H1142,"Matéria Prima Não Cadastrada")</f>
        <v>29.639999999999997</v>
      </c>
      <c r="K1142" s="97">
        <f>IFERROR(J1142/(I1142/VLOOKUP(A1142,'Tabela de Produtos'!A:H,8,0)),"Matéria Prima Não Cadastrada")</f>
        <v>0.28870129870129868</v>
      </c>
      <c r="L1142" s="216"/>
    </row>
    <row r="1143" spans="1:12" ht="15.75" customHeight="1">
      <c r="A1143" s="114" t="s">
        <v>187</v>
      </c>
      <c r="B1143" s="114" t="str">
        <f>VLOOKUP(A1143,'Tabela de Produtos'!A:B,2,0)</f>
        <v>BRAZIMIL LÁTEX STANDARD INT/EXT FOSCO 15L FLAMINGO</v>
      </c>
      <c r="C1143" s="48" t="s">
        <v>1205</v>
      </c>
      <c r="D1143" s="114" t="str">
        <f>VLOOKUP(C1143,'Custos Matéria Prima Embalagens'!B:C,2,0)</f>
        <v>WANSUR 840 CE (BB-200)01</v>
      </c>
      <c r="E1143" s="114" t="str">
        <f>VLOOKUP(C1143,'Custos Matéria Prima Embalagens'!B:D,3,0)</f>
        <v>UMECTANTE</v>
      </c>
      <c r="F1143" s="270">
        <f t="shared" si="150"/>
        <v>1956</v>
      </c>
      <c r="G1143" s="148">
        <f t="shared" si="151"/>
        <v>2.0449897750511249E-3</v>
      </c>
      <c r="H1143" s="96">
        <v>4</v>
      </c>
      <c r="I1143" s="272">
        <f>ROUND(F1143/VLOOKUP(A1143,'Tabela de Produtos'!A:J,10,0),0)</f>
        <v>1540</v>
      </c>
      <c r="J1143" s="97">
        <f>IFERROR(VLOOKUP(C1143,'Custos Matéria Prima Embalagens'!B:G,6,0)*H1143,"Matéria Prima Não Cadastrada")</f>
        <v>29.32</v>
      </c>
      <c r="K1143" s="97">
        <f>IFERROR(J1143/(I1143/VLOOKUP(A1143,'Tabela de Produtos'!A:H,8,0)),"Matéria Prima Não Cadastrada")</f>
        <v>0.28558441558441555</v>
      </c>
      <c r="L1143" s="216"/>
    </row>
    <row r="1144" spans="1:12" ht="15.75" customHeight="1">
      <c r="A1144" s="114" t="s">
        <v>187</v>
      </c>
      <c r="B1144" s="114" t="str">
        <f>VLOOKUP(A1144,'Tabela de Produtos'!A:B,2,0)</f>
        <v>BRAZIMIL LÁTEX STANDARD INT/EXT FOSCO 15L FLAMINGO</v>
      </c>
      <c r="C1144" s="48" t="s">
        <v>1207</v>
      </c>
      <c r="D1144" s="114" t="str">
        <f>VLOOKUP(C1144,'Custos Matéria Prima Embalagens'!B:C,2,0)</f>
        <v>WANPEX 1510 (BB-200)</v>
      </c>
      <c r="E1144" s="114" t="str">
        <f>VLOOKUP(C1144,'Custos Matéria Prima Embalagens'!B:D,3,0)</f>
        <v>DISPERSANTE LATEX</v>
      </c>
      <c r="F1144" s="270">
        <f t="shared" si="150"/>
        <v>1956</v>
      </c>
      <c r="G1144" s="148">
        <f t="shared" si="151"/>
        <v>3.0674846625766872E-3</v>
      </c>
      <c r="H1144" s="96">
        <v>6</v>
      </c>
      <c r="I1144" s="272">
        <f>ROUND(F1144/VLOOKUP(A1144,'Tabela de Produtos'!A:J,10,0),0)</f>
        <v>1540</v>
      </c>
      <c r="J1144" s="97">
        <f>IFERROR(VLOOKUP(C1144,'Custos Matéria Prima Embalagens'!B:G,6,0)*H1144,"Matéria Prima Não Cadastrada")</f>
        <v>41.16</v>
      </c>
      <c r="K1144" s="97">
        <f>IFERROR(J1144/(I1144/VLOOKUP(A1144,'Tabela de Produtos'!A:H,8,0)),"Matéria Prima Não Cadastrada")</f>
        <v>0.40090909090909088</v>
      </c>
      <c r="L1144" s="216"/>
    </row>
    <row r="1145" spans="1:12" ht="15.75" customHeight="1">
      <c r="A1145" s="114" t="s">
        <v>187</v>
      </c>
      <c r="B1145" s="114" t="str">
        <f>VLOOKUP(A1145,'Tabela de Produtos'!A:B,2,0)</f>
        <v>BRAZIMIL LÁTEX STANDARD INT/EXT FOSCO 15L FLAMINGO</v>
      </c>
      <c r="C1145" s="48" t="s">
        <v>1209</v>
      </c>
      <c r="D1145" s="114" t="str">
        <f>VLOOKUP(C1145,'Custos Matéria Prima Embalagens'!B:C,2,0)</f>
        <v>WANFUNG WFT CE (BH-200)</v>
      </c>
      <c r="E1145" s="114" t="str">
        <f>VLOOKUP(C1145,'Custos Matéria Prima Embalagens'!B:D,3,0)</f>
        <v>FUNGICIDA</v>
      </c>
      <c r="F1145" s="270">
        <f t="shared" si="150"/>
        <v>1956</v>
      </c>
      <c r="G1145" s="148">
        <f t="shared" si="151"/>
        <v>2.5562372188139061E-3</v>
      </c>
      <c r="H1145" s="96">
        <v>5</v>
      </c>
      <c r="I1145" s="272">
        <f>ROUND(F1145/VLOOKUP(A1145,'Tabela de Produtos'!A:J,10,0),0)</f>
        <v>1540</v>
      </c>
      <c r="J1145" s="97">
        <f>IFERROR(VLOOKUP(C1145,'Custos Matéria Prima Embalagens'!B:G,6,0)*H1145,"Matéria Prima Não Cadastrada")</f>
        <v>35</v>
      </c>
      <c r="K1145" s="97">
        <f>IFERROR(J1145/(I1145/VLOOKUP(A1145,'Tabela de Produtos'!A:H,8,0)),"Matéria Prima Não Cadastrada")</f>
        <v>0.34090909090909088</v>
      </c>
      <c r="L1145" s="216"/>
    </row>
    <row r="1146" spans="1:12" ht="15.75" customHeight="1">
      <c r="A1146" s="114" t="s">
        <v>187</v>
      </c>
      <c r="B1146" s="114" t="str">
        <f>VLOOKUP(A1146,'Tabela de Produtos'!A:B,2,0)</f>
        <v>BRAZIMIL LÁTEX STANDARD INT/EXT FOSCO 15L FLAMINGO</v>
      </c>
      <c r="C1146" s="48" t="s">
        <v>1211</v>
      </c>
      <c r="D1146" s="114" t="str">
        <f>VLOOKUP(C1146,'Custos Matéria Prima Embalagens'!B:C,2,0)</f>
        <v>WHITE PLUS PB (SC-25) (Em negociação)</v>
      </c>
      <c r="E1146" s="114" t="str">
        <f>VLOOKUP(C1146,'Custos Matéria Prima Embalagens'!B:D,3,0)</f>
        <v>WHITE PLUS</v>
      </c>
      <c r="F1146" s="270">
        <f t="shared" si="150"/>
        <v>1956</v>
      </c>
      <c r="G1146" s="148">
        <f t="shared" si="151"/>
        <v>0.15337423312883436</v>
      </c>
      <c r="H1146" s="96">
        <v>300</v>
      </c>
      <c r="I1146" s="272">
        <f>ROUND(F1146/VLOOKUP(A1146,'Tabela de Produtos'!A:J,10,0),0)</f>
        <v>1540</v>
      </c>
      <c r="J1146" s="97">
        <f>IFERROR(VLOOKUP(C1146,'Custos Matéria Prima Embalagens'!B:G,6,0)*H1146,"Matéria Prima Não Cadastrada")</f>
        <v>927</v>
      </c>
      <c r="K1146" s="97">
        <f>IFERROR(J1146/(I1146/VLOOKUP(A1146,'Tabela de Produtos'!A:H,8,0)),"Matéria Prima Não Cadastrada")</f>
        <v>9.029220779220779</v>
      </c>
      <c r="L1146" s="216"/>
    </row>
    <row r="1147" spans="1:12" ht="15.75" customHeight="1">
      <c r="A1147" s="114" t="s">
        <v>187</v>
      </c>
      <c r="B1147" s="114" t="str">
        <f>VLOOKUP(A1147,'Tabela de Produtos'!A:B,2,0)</f>
        <v>BRAZIMIL LÁTEX STANDARD INT/EXT FOSCO 15L FLAMINGO</v>
      </c>
      <c r="C1147" s="48" t="s">
        <v>1213</v>
      </c>
      <c r="D1147" s="114" t="str">
        <f>VLOOKUP(C1147,'Custos Matéria Prima Embalagens'!B:C,2,0)</f>
        <v>DIOXIDO DE TITANIO RUTILO R-996</v>
      </c>
      <c r="E1147" s="114" t="str">
        <f>VLOOKUP(C1147,'Custos Matéria Prima Embalagens'!B:D,3,0)</f>
        <v>TITANIO</v>
      </c>
      <c r="F1147" s="270">
        <f t="shared" si="150"/>
        <v>1956</v>
      </c>
      <c r="G1147" s="148">
        <f t="shared" si="151"/>
        <v>3.0674846625766871E-2</v>
      </c>
      <c r="H1147" s="96">
        <v>60</v>
      </c>
      <c r="I1147" s="272">
        <f>ROUND(F1147/VLOOKUP(A1147,'Tabela de Produtos'!A:J,10,0),0)</f>
        <v>1540</v>
      </c>
      <c r="J1147" s="97">
        <f>IFERROR(VLOOKUP(C1147,'Custos Matéria Prima Embalagens'!B:G,6,0)*H1147,"Matéria Prima Não Cadastrada")</f>
        <v>1158</v>
      </c>
      <c r="K1147" s="97">
        <f>IFERROR(J1147/(I1147/VLOOKUP(A1147,'Tabela de Produtos'!A:H,8,0)),"Matéria Prima Não Cadastrada")</f>
        <v>11.279220779220779</v>
      </c>
      <c r="L1147" s="216"/>
    </row>
    <row r="1148" spans="1:12" ht="15.75" customHeight="1">
      <c r="A1148" s="114" t="s">
        <v>187</v>
      </c>
      <c r="B1148" s="114" t="str">
        <f>VLOOKUP(A1148,'Tabela de Produtos'!A:B,2,0)</f>
        <v>BRAZIMIL LÁTEX STANDARD INT/EXT FOSCO 15L FLAMINGO</v>
      </c>
      <c r="C1148" s="48" t="s">
        <v>1215</v>
      </c>
      <c r="D1148" s="114" t="str">
        <f>VLOOKUP(C1148,'Custos Matéria Prima Embalagens'!B:C,2,0)</f>
        <v>CALCARIO DOLOMITICO #500 ( SACOS 25 KG)</v>
      </c>
      <c r="E1148" s="114" t="str">
        <f>VLOOKUP(C1148,'Custos Matéria Prima Embalagens'!B:D,3,0)</f>
        <v>CARBONATO #500</v>
      </c>
      <c r="F1148" s="270">
        <f t="shared" si="150"/>
        <v>1956</v>
      </c>
      <c r="G1148" s="148">
        <f t="shared" si="151"/>
        <v>0.15337423312883436</v>
      </c>
      <c r="H1148" s="96">
        <v>300</v>
      </c>
      <c r="I1148" s="272">
        <f>ROUND(F1148/VLOOKUP(A1148,'Tabela de Produtos'!A:J,10,0),0)</f>
        <v>1540</v>
      </c>
      <c r="J1148" s="97">
        <f>IFERROR(VLOOKUP(C1148,'Custos Matéria Prima Embalagens'!B:G,6,0)*H1148,"Matéria Prima Não Cadastrada")</f>
        <v>240</v>
      </c>
      <c r="K1148" s="97">
        <f>IFERROR(J1148/(I1148/VLOOKUP(A1148,'Tabela de Produtos'!A:H,8,0)),"Matéria Prima Não Cadastrada")</f>
        <v>2.3376623376623376</v>
      </c>
      <c r="L1148" s="216"/>
    </row>
    <row r="1149" spans="1:12" ht="15.75" customHeight="1">
      <c r="A1149" s="114" t="s">
        <v>187</v>
      </c>
      <c r="B1149" s="114" t="str">
        <f>VLOOKUP(A1149,'Tabela de Produtos'!A:B,2,0)</f>
        <v>BRAZIMIL LÁTEX STANDARD INT/EXT FOSCO 15L FLAMINGO</v>
      </c>
      <c r="C1149" s="48" t="s">
        <v>1227</v>
      </c>
      <c r="D1149" s="114" t="str">
        <f>VLOOKUP(C1149,'Custos Matéria Prima Embalagens'!B:C,2,0)</f>
        <v>CAULIM MALHA 325</v>
      </c>
      <c r="E1149" s="114" t="str">
        <f>VLOOKUP(C1149,'Custos Matéria Prima Embalagens'!B:D,3,0)</f>
        <v>caulim</v>
      </c>
      <c r="F1149" s="270">
        <f t="shared" si="150"/>
        <v>1956</v>
      </c>
      <c r="G1149" s="148">
        <f t="shared" si="151"/>
        <v>5.112474437627812E-2</v>
      </c>
      <c r="H1149" s="96">
        <v>100</v>
      </c>
      <c r="I1149" s="272">
        <f>ROUND(F1149/VLOOKUP(A1149,'Tabela de Produtos'!A:J,10,0),0)</f>
        <v>1540</v>
      </c>
      <c r="J1149" s="97">
        <f>IFERROR(VLOOKUP(C1149,'Custos Matéria Prima Embalagens'!B:G,6,0)*H1149,"Matéria Prima Não Cadastrada")</f>
        <v>152.04955555555551</v>
      </c>
      <c r="K1149" s="97">
        <f>IFERROR(J1149/(I1149/VLOOKUP(A1149,'Tabela de Produtos'!A:H,8,0)),"Matéria Prima Não Cadastrada")</f>
        <v>1.481002164502164</v>
      </c>
      <c r="L1149" s="216"/>
    </row>
    <row r="1150" spans="1:12" ht="15.75" customHeight="1">
      <c r="A1150" s="114" t="s">
        <v>187</v>
      </c>
      <c r="B1150" s="114" t="str">
        <f>VLOOKUP(A1150,'Tabela de Produtos'!A:B,2,0)</f>
        <v>BRAZIMIL LÁTEX STANDARD INT/EXT FOSCO 15L FLAMINGO</v>
      </c>
      <c r="C1150" s="48" t="s">
        <v>1217</v>
      </c>
      <c r="D1150" s="114" t="str">
        <f>VLOOKUP(C1150,'Custos Matéria Prima Embalagens'!B:C,2,0)</f>
        <v>WANCRIL W 51 CE (CT-1000P)</v>
      </c>
      <c r="E1150" s="114" t="str">
        <f>VLOOKUP(C1150,'Custos Matéria Prima Embalagens'!B:D,3,0)</f>
        <v>RESINA ACRILICA ESTIRENADA</v>
      </c>
      <c r="F1150" s="270">
        <f t="shared" si="150"/>
        <v>1956</v>
      </c>
      <c r="G1150" s="148">
        <f t="shared" si="151"/>
        <v>0.10224948875255624</v>
      </c>
      <c r="H1150" s="96">
        <v>200</v>
      </c>
      <c r="I1150" s="272">
        <f>ROUND(F1150/VLOOKUP(A1150,'Tabela de Produtos'!A:J,10,0),0)</f>
        <v>1540</v>
      </c>
      <c r="J1150" s="97">
        <f>IFERROR(VLOOKUP(C1150,'Custos Matéria Prima Embalagens'!B:G,6,0)*H1150,"Matéria Prima Não Cadastrada")</f>
        <v>1686</v>
      </c>
      <c r="K1150" s="97">
        <f>IFERROR(J1150/(I1150/VLOOKUP(A1150,'Tabela de Produtos'!A:H,8,0)),"Matéria Prima Não Cadastrada")</f>
        <v>16.422077922077921</v>
      </c>
      <c r="L1150" s="216"/>
    </row>
    <row r="1151" spans="1:12" ht="15.75" customHeight="1">
      <c r="A1151" s="114" t="s">
        <v>187</v>
      </c>
      <c r="B1151" s="114" t="str">
        <f>VLOOKUP(A1151,'Tabela de Produtos'!A:B,2,0)</f>
        <v>BRAZIMIL LÁTEX STANDARD INT/EXT FOSCO 15L FLAMINGO</v>
      </c>
      <c r="C1151" s="48" t="s">
        <v>1219</v>
      </c>
      <c r="D1151" s="114" t="str">
        <f>VLOOKUP(C1151,'Custos Matéria Prima Embalagens'!B:C,2,0)</f>
        <v>WANALK 70 CE (BH-200)</v>
      </c>
      <c r="E1151" s="114" t="str">
        <f>VLOOKUP(C1151,'Custos Matéria Prima Embalagens'!B:D,3,0)</f>
        <v>ALCALINIZANTE</v>
      </c>
      <c r="F1151" s="270">
        <f t="shared" si="150"/>
        <v>1956</v>
      </c>
      <c r="G1151" s="148">
        <f t="shared" si="151"/>
        <v>2.5562372188139061E-3</v>
      </c>
      <c r="H1151" s="96">
        <v>5</v>
      </c>
      <c r="I1151" s="272">
        <f>ROUND(F1151/VLOOKUP(A1151,'Tabela de Produtos'!A:J,10,0),0)</f>
        <v>1540</v>
      </c>
      <c r="J1151" s="97">
        <f>IFERROR(VLOOKUP(C1151,'Custos Matéria Prima Embalagens'!B:G,6,0)*H1151,"Matéria Prima Não Cadastrada")</f>
        <v>24.900000000000002</v>
      </c>
      <c r="K1151" s="97">
        <f>IFERROR(J1151/(I1151/VLOOKUP(A1151,'Tabela de Produtos'!A:H,8,0)),"Matéria Prima Não Cadastrada")</f>
        <v>0.24253246753246754</v>
      </c>
      <c r="L1151" s="216"/>
    </row>
    <row r="1152" spans="1:12" ht="15.75" customHeight="1">
      <c r="A1152" s="114" t="s">
        <v>187</v>
      </c>
      <c r="B1152" s="114" t="str">
        <f>VLOOKUP(A1152,'Tabela de Produtos'!A:B,2,0)</f>
        <v>BRAZIMIL LÁTEX STANDARD INT/EXT FOSCO 15L FLAMINGO</v>
      </c>
      <c r="C1152" s="48" t="s">
        <v>1221</v>
      </c>
      <c r="D1152" s="114" t="str">
        <f>VLOOKUP(C1152,'Custos Matéria Prima Embalagens'!B:C,2,0)</f>
        <v>MODIWAN 105H CE (CT-1000P)</v>
      </c>
      <c r="E1152" s="114" t="str">
        <f>VLOOKUP(C1152,'Custos Matéria Prima Embalagens'!B:D,3,0)</f>
        <v>ESPESSANTE DE MEDIA</v>
      </c>
      <c r="F1152" s="270">
        <f t="shared" si="150"/>
        <v>1956</v>
      </c>
      <c r="G1152" s="148">
        <f t="shared" si="151"/>
        <v>1.0224948875255624E-2</v>
      </c>
      <c r="H1152" s="96">
        <v>20</v>
      </c>
      <c r="I1152" s="272">
        <f>ROUND(F1152/VLOOKUP(A1152,'Tabela de Produtos'!A:J,10,0),0)</f>
        <v>1540</v>
      </c>
      <c r="J1152" s="97">
        <f>IFERROR(VLOOKUP(C1152,'Custos Matéria Prima Embalagens'!B:G,6,0)*H1152,"Matéria Prima Não Cadastrada")</f>
        <v>158.1</v>
      </c>
      <c r="K1152" s="97">
        <f>IFERROR(J1152/(I1152/VLOOKUP(A1152,'Tabela de Produtos'!A:H,8,0)),"Matéria Prima Não Cadastrada")</f>
        <v>1.5399350649350647</v>
      </c>
      <c r="L1152" s="216"/>
    </row>
    <row r="1153" spans="1:12" ht="15.75" customHeight="1">
      <c r="A1153" s="114" t="s">
        <v>187</v>
      </c>
      <c r="B1153" s="114" t="str">
        <f>VLOOKUP(A1153,'Tabela de Produtos'!A:B,2,0)</f>
        <v>BRAZIMIL LÁTEX STANDARD INT/EXT FOSCO 15L FLAMINGO</v>
      </c>
      <c r="C1153" s="48" t="s">
        <v>1223</v>
      </c>
      <c r="D1153" s="114" t="str">
        <f>VLOOKUP(C1153,'Custos Matéria Prima Embalagens'!B:C,2,0)</f>
        <v>TURBOWAN H CE (BH-200)</v>
      </c>
      <c r="E1153" s="114" t="str">
        <f>VLOOKUP(C1153,'Custos Matéria Prima Embalagens'!B:D,3,0)</f>
        <v>PROMOTOR DE LAVABILIDADE</v>
      </c>
      <c r="F1153" s="270">
        <f t="shared" si="150"/>
        <v>1956</v>
      </c>
      <c r="G1153" s="148">
        <f t="shared" si="151"/>
        <v>7.6687116564417178E-3</v>
      </c>
      <c r="H1153" s="96">
        <v>15</v>
      </c>
      <c r="I1153" s="272">
        <f>ROUND(F1153/VLOOKUP(A1153,'Tabela de Produtos'!A:J,10,0),0)</f>
        <v>1540</v>
      </c>
      <c r="J1153" s="97">
        <f>IFERROR(VLOOKUP(C1153,'Custos Matéria Prima Embalagens'!B:G,6,0)*H1153,"Matéria Prima Não Cadastrada")</f>
        <v>72.75</v>
      </c>
      <c r="K1153" s="97">
        <f>IFERROR(J1153/(I1153/VLOOKUP(A1153,'Tabela de Produtos'!A:H,8,0)),"Matéria Prima Não Cadastrada")</f>
        <v>0.70860389610389607</v>
      </c>
      <c r="L1153" s="216"/>
    </row>
    <row r="1154" spans="1:12" ht="15.75" customHeight="1">
      <c r="A1154" s="114" t="s">
        <v>187</v>
      </c>
      <c r="B1154" s="114" t="str">
        <f>VLOOKUP(A1154,'Tabela de Produtos'!A:B,2,0)</f>
        <v>BRAZIMIL LÁTEX STANDARD INT/EXT FOSCO 15L FLAMINGO</v>
      </c>
      <c r="C1154" s="48" t="s">
        <v>1229</v>
      </c>
      <c r="D1154" s="114" t="str">
        <f>VLOOKUP(C1154,'Custos Matéria Prima Embalagens'!B:C,2,0)</f>
        <v>WANSOL 340 CE (BB-200)</v>
      </c>
      <c r="E1154" s="114" t="str">
        <f>VLOOKUP(C1154,'Custos Matéria Prima Embalagens'!B:D,3,0)</f>
        <v>COALESCENTE</v>
      </c>
      <c r="F1154" s="270">
        <f t="shared" si="150"/>
        <v>1956</v>
      </c>
      <c r="G1154" s="148">
        <f t="shared" si="151"/>
        <v>5.1124744376278121E-3</v>
      </c>
      <c r="H1154" s="96">
        <v>10</v>
      </c>
      <c r="I1154" s="272">
        <f>ROUND(F1154/VLOOKUP(A1154,'Tabela de Produtos'!A:J,10,0),0)</f>
        <v>1540</v>
      </c>
      <c r="J1154" s="97">
        <f>IFERROR(VLOOKUP(C1154,'Custos Matéria Prima Embalagens'!B:G,6,0)*H1154,"Matéria Prima Não Cadastrada")</f>
        <v>192.2</v>
      </c>
      <c r="K1154" s="97">
        <f>IFERROR(J1154/(I1154/VLOOKUP(A1154,'Tabela de Produtos'!A:H,8,0)),"Matéria Prima Não Cadastrada")</f>
        <v>1.8720779220779218</v>
      </c>
      <c r="L1154" s="216"/>
    </row>
    <row r="1155" spans="1:12" ht="15.75" customHeight="1">
      <c r="D1155" s="114"/>
      <c r="E1155" s="114"/>
      <c r="F1155" s="96"/>
      <c r="G1155" s="148"/>
      <c r="H1155" s="96"/>
      <c r="I1155" s="272"/>
      <c r="J1155" s="97"/>
      <c r="K1155" s="97"/>
      <c r="L1155" s="216"/>
    </row>
    <row r="1156" spans="1:12" ht="15.75" customHeight="1">
      <c r="A1156" s="114" t="s">
        <v>188</v>
      </c>
      <c r="B1156" s="114" t="str">
        <f>VLOOKUP(A1156,'Tabela de Produtos'!A:B,2,0)</f>
        <v>BRAZIMIL LÁTEX STANDARD INT/EXT FOSCO 15L AREIA</v>
      </c>
      <c r="C1156" s="48" t="s">
        <v>1197</v>
      </c>
      <c r="D1156" s="114" t="str">
        <f>VLOOKUP(C1156,'Custos Matéria Prima Embalagens'!B:C,2,0)</f>
        <v>AGUA</v>
      </c>
      <c r="E1156" s="114" t="str">
        <f>VLOOKUP(C1156,'Custos Matéria Prima Embalagens'!B:D,3,0)</f>
        <v>AGUA</v>
      </c>
      <c r="F1156" s="270">
        <f t="shared" ref="F1156:F1170" si="152">SUMIFS(H:H,A:A,A1156)</f>
        <v>1956</v>
      </c>
      <c r="G1156" s="148">
        <f t="shared" ref="G1156:G1170" si="153">H1156/F1156</f>
        <v>0.47034764826175868</v>
      </c>
      <c r="H1156" s="96">
        <v>920</v>
      </c>
      <c r="I1156" s="272">
        <f>ROUND(F1156/VLOOKUP(A1156,'Tabela de Produtos'!A:J,10,0),0)</f>
        <v>1540</v>
      </c>
      <c r="J1156" s="97">
        <f>IFERROR(VLOOKUP(C1156,'Custos Matéria Prima Embalagens'!B:G,6,0)*H1156,"Matéria Prima Não Cadastrada")</f>
        <v>0</v>
      </c>
      <c r="K1156" s="97">
        <f>IFERROR(J1156/(I1156/VLOOKUP(A1156,'Tabela de Produtos'!A:H,8,0)),"Matéria Prima Não Cadastrada")</f>
        <v>0</v>
      </c>
      <c r="L1156" s="216"/>
    </row>
    <row r="1157" spans="1:12" ht="15.75" customHeight="1">
      <c r="A1157" s="114" t="s">
        <v>188</v>
      </c>
      <c r="B1157" s="114" t="str">
        <f>VLOOKUP(A1157,'Tabela de Produtos'!A:B,2,0)</f>
        <v>BRAZIMIL LÁTEX STANDARD INT/EXT FOSCO 15L AREIA</v>
      </c>
      <c r="C1157" s="48" t="s">
        <v>1201</v>
      </c>
      <c r="D1157" s="114" t="str">
        <f>VLOOKUP(C1157,'Custos Matéria Prima Embalagens'!B:C,2,0)</f>
        <v>WANFOAM 528 CE (BB-190)</v>
      </c>
      <c r="E1157" s="114" t="str">
        <f>VLOOKUP(C1157,'Custos Matéria Prima Embalagens'!B:D,3,0)</f>
        <v>ANTI ESPUMA LATEX</v>
      </c>
      <c r="F1157" s="270">
        <f t="shared" si="152"/>
        <v>1956</v>
      </c>
      <c r="G1157" s="148">
        <f t="shared" si="153"/>
        <v>2.5562372188139061E-3</v>
      </c>
      <c r="H1157" s="96">
        <v>5</v>
      </c>
      <c r="I1157" s="272">
        <f>ROUND(F1157/VLOOKUP(A1157,'Tabela de Produtos'!A:J,10,0),0)</f>
        <v>1540</v>
      </c>
      <c r="J1157" s="97">
        <f>IFERROR(VLOOKUP(C1157,'Custos Matéria Prima Embalagens'!B:G,6,0)*H1157,"Matéria Prima Não Cadastrada")</f>
        <v>35.9</v>
      </c>
      <c r="K1157" s="97">
        <f>IFERROR(J1157/(I1157/VLOOKUP(A1157,'Tabela de Produtos'!A:H,8,0)),"Matéria Prima Não Cadastrada")</f>
        <v>0.34967532467532464</v>
      </c>
      <c r="L1157" s="216"/>
    </row>
    <row r="1158" spans="1:12" ht="15.75" customHeight="1">
      <c r="A1158" s="114" t="s">
        <v>188</v>
      </c>
      <c r="B1158" s="114" t="str">
        <f>VLOOKUP(A1158,'Tabela de Produtos'!A:B,2,0)</f>
        <v>BRAZIMIL LÁTEX STANDARD INT/EXT FOSCO 15L AREIA</v>
      </c>
      <c r="C1158" s="48" t="s">
        <v>1203</v>
      </c>
      <c r="D1158" s="114" t="str">
        <f>VLOOKUP(C1158,'Custos Matéria Prima Embalagens'!B:C,2,0)</f>
        <v>WANBAC WBT CE (BH-200)</v>
      </c>
      <c r="E1158" s="114" t="str">
        <f>VLOOKUP(C1158,'Custos Matéria Prima Embalagens'!B:D,3,0)</f>
        <v>BACTERICIDA</v>
      </c>
      <c r="F1158" s="270">
        <f t="shared" si="152"/>
        <v>1956</v>
      </c>
      <c r="G1158" s="148">
        <f t="shared" si="153"/>
        <v>3.0674846625766872E-3</v>
      </c>
      <c r="H1158" s="96">
        <v>6</v>
      </c>
      <c r="I1158" s="272">
        <f>ROUND(F1158/VLOOKUP(A1158,'Tabela de Produtos'!A:J,10,0),0)</f>
        <v>1540</v>
      </c>
      <c r="J1158" s="97">
        <f>IFERROR(VLOOKUP(C1158,'Custos Matéria Prima Embalagens'!B:G,6,0)*H1158,"Matéria Prima Não Cadastrada")</f>
        <v>29.639999999999997</v>
      </c>
      <c r="K1158" s="97">
        <f>IFERROR(J1158/(I1158/VLOOKUP(A1158,'Tabela de Produtos'!A:H,8,0)),"Matéria Prima Não Cadastrada")</f>
        <v>0.28870129870129868</v>
      </c>
      <c r="L1158" s="216"/>
    </row>
    <row r="1159" spans="1:12" ht="15.75" customHeight="1">
      <c r="A1159" s="114" t="s">
        <v>188</v>
      </c>
      <c r="B1159" s="114" t="str">
        <f>VLOOKUP(A1159,'Tabela de Produtos'!A:B,2,0)</f>
        <v>BRAZIMIL LÁTEX STANDARD INT/EXT FOSCO 15L AREIA</v>
      </c>
      <c r="C1159" s="48" t="s">
        <v>1205</v>
      </c>
      <c r="D1159" s="114" t="str">
        <f>VLOOKUP(C1159,'Custos Matéria Prima Embalagens'!B:C,2,0)</f>
        <v>WANSUR 840 CE (BB-200)01</v>
      </c>
      <c r="E1159" s="114" t="str">
        <f>VLOOKUP(C1159,'Custos Matéria Prima Embalagens'!B:D,3,0)</f>
        <v>UMECTANTE</v>
      </c>
      <c r="F1159" s="270">
        <f t="shared" si="152"/>
        <v>1956</v>
      </c>
      <c r="G1159" s="148">
        <f t="shared" si="153"/>
        <v>2.0449897750511249E-3</v>
      </c>
      <c r="H1159" s="96">
        <v>4</v>
      </c>
      <c r="I1159" s="272">
        <f>ROUND(F1159/VLOOKUP(A1159,'Tabela de Produtos'!A:J,10,0),0)</f>
        <v>1540</v>
      </c>
      <c r="J1159" s="97">
        <f>IFERROR(VLOOKUP(C1159,'Custos Matéria Prima Embalagens'!B:G,6,0)*H1159,"Matéria Prima Não Cadastrada")</f>
        <v>29.32</v>
      </c>
      <c r="K1159" s="97">
        <f>IFERROR(J1159/(I1159/VLOOKUP(A1159,'Tabela de Produtos'!A:H,8,0)),"Matéria Prima Não Cadastrada")</f>
        <v>0.28558441558441555</v>
      </c>
      <c r="L1159" s="216"/>
    </row>
    <row r="1160" spans="1:12" ht="15.75" customHeight="1">
      <c r="A1160" s="114" t="s">
        <v>188</v>
      </c>
      <c r="B1160" s="114" t="str">
        <f>VLOOKUP(A1160,'Tabela de Produtos'!A:B,2,0)</f>
        <v>BRAZIMIL LÁTEX STANDARD INT/EXT FOSCO 15L AREIA</v>
      </c>
      <c r="C1160" s="48" t="s">
        <v>1207</v>
      </c>
      <c r="D1160" s="114" t="str">
        <f>VLOOKUP(C1160,'Custos Matéria Prima Embalagens'!B:C,2,0)</f>
        <v>WANPEX 1510 (BB-200)</v>
      </c>
      <c r="E1160" s="114" t="str">
        <f>VLOOKUP(C1160,'Custos Matéria Prima Embalagens'!B:D,3,0)</f>
        <v>DISPERSANTE LATEX</v>
      </c>
      <c r="F1160" s="270">
        <f t="shared" si="152"/>
        <v>1956</v>
      </c>
      <c r="G1160" s="148">
        <f t="shared" si="153"/>
        <v>3.0674846625766872E-3</v>
      </c>
      <c r="H1160" s="96">
        <v>6</v>
      </c>
      <c r="I1160" s="272">
        <f>ROUND(F1160/VLOOKUP(A1160,'Tabela de Produtos'!A:J,10,0),0)</f>
        <v>1540</v>
      </c>
      <c r="J1160" s="97">
        <f>IFERROR(VLOOKUP(C1160,'Custos Matéria Prima Embalagens'!B:G,6,0)*H1160,"Matéria Prima Não Cadastrada")</f>
        <v>41.16</v>
      </c>
      <c r="K1160" s="97">
        <f>IFERROR(J1160/(I1160/VLOOKUP(A1160,'Tabela de Produtos'!A:H,8,0)),"Matéria Prima Não Cadastrada")</f>
        <v>0.40090909090909088</v>
      </c>
      <c r="L1160" s="216"/>
    </row>
    <row r="1161" spans="1:12" ht="15.75" customHeight="1">
      <c r="A1161" s="114" t="s">
        <v>188</v>
      </c>
      <c r="B1161" s="114" t="str">
        <f>VLOOKUP(A1161,'Tabela de Produtos'!A:B,2,0)</f>
        <v>BRAZIMIL LÁTEX STANDARD INT/EXT FOSCO 15L AREIA</v>
      </c>
      <c r="C1161" s="48" t="s">
        <v>1209</v>
      </c>
      <c r="D1161" s="114" t="str">
        <f>VLOOKUP(C1161,'Custos Matéria Prima Embalagens'!B:C,2,0)</f>
        <v>WANFUNG WFT CE (BH-200)</v>
      </c>
      <c r="E1161" s="114" t="str">
        <f>VLOOKUP(C1161,'Custos Matéria Prima Embalagens'!B:D,3,0)</f>
        <v>FUNGICIDA</v>
      </c>
      <c r="F1161" s="270">
        <f t="shared" si="152"/>
        <v>1956</v>
      </c>
      <c r="G1161" s="148">
        <f t="shared" si="153"/>
        <v>2.5562372188139061E-3</v>
      </c>
      <c r="H1161" s="96">
        <v>5</v>
      </c>
      <c r="I1161" s="272">
        <f>ROUND(F1161/VLOOKUP(A1161,'Tabela de Produtos'!A:J,10,0),0)</f>
        <v>1540</v>
      </c>
      <c r="J1161" s="97">
        <f>IFERROR(VLOOKUP(C1161,'Custos Matéria Prima Embalagens'!B:G,6,0)*H1161,"Matéria Prima Não Cadastrada")</f>
        <v>35</v>
      </c>
      <c r="K1161" s="97">
        <f>IFERROR(J1161/(I1161/VLOOKUP(A1161,'Tabela de Produtos'!A:H,8,0)),"Matéria Prima Não Cadastrada")</f>
        <v>0.34090909090909088</v>
      </c>
      <c r="L1161" s="216"/>
    </row>
    <row r="1162" spans="1:12" ht="15.75" customHeight="1">
      <c r="A1162" s="114" t="s">
        <v>188</v>
      </c>
      <c r="B1162" s="114" t="str">
        <f>VLOOKUP(A1162,'Tabela de Produtos'!A:B,2,0)</f>
        <v>BRAZIMIL LÁTEX STANDARD INT/EXT FOSCO 15L AREIA</v>
      </c>
      <c r="C1162" s="48" t="s">
        <v>1211</v>
      </c>
      <c r="D1162" s="114" t="str">
        <f>VLOOKUP(C1162,'Custos Matéria Prima Embalagens'!B:C,2,0)</f>
        <v>WHITE PLUS PB (SC-25) (Em negociação)</v>
      </c>
      <c r="E1162" s="114" t="str">
        <f>VLOOKUP(C1162,'Custos Matéria Prima Embalagens'!B:D,3,0)</f>
        <v>WHITE PLUS</v>
      </c>
      <c r="F1162" s="270">
        <f t="shared" si="152"/>
        <v>1956</v>
      </c>
      <c r="G1162" s="148">
        <f t="shared" si="153"/>
        <v>0.15337423312883436</v>
      </c>
      <c r="H1162" s="96">
        <v>300</v>
      </c>
      <c r="I1162" s="272">
        <f>ROUND(F1162/VLOOKUP(A1162,'Tabela de Produtos'!A:J,10,0),0)</f>
        <v>1540</v>
      </c>
      <c r="J1162" s="97">
        <f>IFERROR(VLOOKUP(C1162,'Custos Matéria Prima Embalagens'!B:G,6,0)*H1162,"Matéria Prima Não Cadastrada")</f>
        <v>927</v>
      </c>
      <c r="K1162" s="97">
        <f>IFERROR(J1162/(I1162/VLOOKUP(A1162,'Tabela de Produtos'!A:H,8,0)),"Matéria Prima Não Cadastrada")</f>
        <v>9.029220779220779</v>
      </c>
      <c r="L1162" s="216"/>
    </row>
    <row r="1163" spans="1:12" ht="15.75" customHeight="1">
      <c r="A1163" s="114" t="s">
        <v>188</v>
      </c>
      <c r="B1163" s="114" t="str">
        <f>VLOOKUP(A1163,'Tabela de Produtos'!A:B,2,0)</f>
        <v>BRAZIMIL LÁTEX STANDARD INT/EXT FOSCO 15L AREIA</v>
      </c>
      <c r="C1163" s="48" t="s">
        <v>1213</v>
      </c>
      <c r="D1163" s="114" t="str">
        <f>VLOOKUP(C1163,'Custos Matéria Prima Embalagens'!B:C,2,0)</f>
        <v>DIOXIDO DE TITANIO RUTILO R-996</v>
      </c>
      <c r="E1163" s="114" t="str">
        <f>VLOOKUP(C1163,'Custos Matéria Prima Embalagens'!B:D,3,0)</f>
        <v>TITANIO</v>
      </c>
      <c r="F1163" s="270">
        <f t="shared" si="152"/>
        <v>1956</v>
      </c>
      <c r="G1163" s="148">
        <f t="shared" si="153"/>
        <v>3.0674846625766871E-2</v>
      </c>
      <c r="H1163" s="96">
        <v>60</v>
      </c>
      <c r="I1163" s="272">
        <f>ROUND(F1163/VLOOKUP(A1163,'Tabela de Produtos'!A:J,10,0),0)</f>
        <v>1540</v>
      </c>
      <c r="J1163" s="97">
        <f>IFERROR(VLOOKUP(C1163,'Custos Matéria Prima Embalagens'!B:G,6,0)*H1163,"Matéria Prima Não Cadastrada")</f>
        <v>1158</v>
      </c>
      <c r="K1163" s="97">
        <f>IFERROR(J1163/(I1163/VLOOKUP(A1163,'Tabela de Produtos'!A:H,8,0)),"Matéria Prima Não Cadastrada")</f>
        <v>11.279220779220779</v>
      </c>
      <c r="L1163" s="216"/>
    </row>
    <row r="1164" spans="1:12" ht="15.75" customHeight="1">
      <c r="A1164" s="114" t="s">
        <v>188</v>
      </c>
      <c r="B1164" s="114" t="str">
        <f>VLOOKUP(A1164,'Tabela de Produtos'!A:B,2,0)</f>
        <v>BRAZIMIL LÁTEX STANDARD INT/EXT FOSCO 15L AREIA</v>
      </c>
      <c r="C1164" s="48" t="s">
        <v>1215</v>
      </c>
      <c r="D1164" s="114" t="str">
        <f>VLOOKUP(C1164,'Custos Matéria Prima Embalagens'!B:C,2,0)</f>
        <v>CALCARIO DOLOMITICO #500 ( SACOS 25 KG)</v>
      </c>
      <c r="E1164" s="114" t="str">
        <f>VLOOKUP(C1164,'Custos Matéria Prima Embalagens'!B:D,3,0)</f>
        <v>CARBONATO #500</v>
      </c>
      <c r="F1164" s="270">
        <f t="shared" si="152"/>
        <v>1956</v>
      </c>
      <c r="G1164" s="148">
        <f t="shared" si="153"/>
        <v>0.15337423312883436</v>
      </c>
      <c r="H1164" s="96">
        <v>300</v>
      </c>
      <c r="I1164" s="272">
        <f>ROUND(F1164/VLOOKUP(A1164,'Tabela de Produtos'!A:J,10,0),0)</f>
        <v>1540</v>
      </c>
      <c r="J1164" s="97">
        <f>IFERROR(VLOOKUP(C1164,'Custos Matéria Prima Embalagens'!B:G,6,0)*H1164,"Matéria Prima Não Cadastrada")</f>
        <v>240</v>
      </c>
      <c r="K1164" s="97">
        <f>IFERROR(J1164/(I1164/VLOOKUP(A1164,'Tabela de Produtos'!A:H,8,0)),"Matéria Prima Não Cadastrada")</f>
        <v>2.3376623376623376</v>
      </c>
      <c r="L1164" s="216"/>
    </row>
    <row r="1165" spans="1:12" ht="15.75" customHeight="1">
      <c r="A1165" s="114" t="s">
        <v>188</v>
      </c>
      <c r="B1165" s="114" t="str">
        <f>VLOOKUP(A1165,'Tabela de Produtos'!A:B,2,0)</f>
        <v>BRAZIMIL LÁTEX STANDARD INT/EXT FOSCO 15L AREIA</v>
      </c>
      <c r="C1165" s="48" t="s">
        <v>1227</v>
      </c>
      <c r="D1165" s="114" t="str">
        <f>VLOOKUP(C1165,'Custos Matéria Prima Embalagens'!B:C,2,0)</f>
        <v>CAULIM MALHA 325</v>
      </c>
      <c r="E1165" s="114" t="str">
        <f>VLOOKUP(C1165,'Custos Matéria Prima Embalagens'!B:D,3,0)</f>
        <v>caulim</v>
      </c>
      <c r="F1165" s="270">
        <f t="shared" si="152"/>
        <v>1956</v>
      </c>
      <c r="G1165" s="148">
        <f t="shared" si="153"/>
        <v>5.112474437627812E-2</v>
      </c>
      <c r="H1165" s="96">
        <v>100</v>
      </c>
      <c r="I1165" s="272">
        <f>ROUND(F1165/VLOOKUP(A1165,'Tabela de Produtos'!A:J,10,0),0)</f>
        <v>1540</v>
      </c>
      <c r="J1165" s="97">
        <f>IFERROR(VLOOKUP(C1165,'Custos Matéria Prima Embalagens'!B:G,6,0)*H1165,"Matéria Prima Não Cadastrada")</f>
        <v>152.04955555555551</v>
      </c>
      <c r="K1165" s="97">
        <f>IFERROR(J1165/(I1165/VLOOKUP(A1165,'Tabela de Produtos'!A:H,8,0)),"Matéria Prima Não Cadastrada")</f>
        <v>1.481002164502164</v>
      </c>
      <c r="L1165" s="216"/>
    </row>
    <row r="1166" spans="1:12" ht="15.75" customHeight="1">
      <c r="A1166" s="114" t="s">
        <v>188</v>
      </c>
      <c r="B1166" s="114" t="str">
        <f>VLOOKUP(A1166,'Tabela de Produtos'!A:B,2,0)</f>
        <v>BRAZIMIL LÁTEX STANDARD INT/EXT FOSCO 15L AREIA</v>
      </c>
      <c r="C1166" s="48" t="s">
        <v>1217</v>
      </c>
      <c r="D1166" s="114" t="str">
        <f>VLOOKUP(C1166,'Custos Matéria Prima Embalagens'!B:C,2,0)</f>
        <v>WANCRIL W 51 CE (CT-1000P)</v>
      </c>
      <c r="E1166" s="114" t="str">
        <f>VLOOKUP(C1166,'Custos Matéria Prima Embalagens'!B:D,3,0)</f>
        <v>RESINA ACRILICA ESTIRENADA</v>
      </c>
      <c r="F1166" s="270">
        <f t="shared" si="152"/>
        <v>1956</v>
      </c>
      <c r="G1166" s="148">
        <f t="shared" si="153"/>
        <v>0.10224948875255624</v>
      </c>
      <c r="H1166" s="96">
        <v>200</v>
      </c>
      <c r="I1166" s="272">
        <f>ROUND(F1166/VLOOKUP(A1166,'Tabela de Produtos'!A:J,10,0),0)</f>
        <v>1540</v>
      </c>
      <c r="J1166" s="97">
        <f>IFERROR(VLOOKUP(C1166,'Custos Matéria Prima Embalagens'!B:G,6,0)*H1166,"Matéria Prima Não Cadastrada")</f>
        <v>1686</v>
      </c>
      <c r="K1166" s="97">
        <f>IFERROR(J1166/(I1166/VLOOKUP(A1166,'Tabela de Produtos'!A:H,8,0)),"Matéria Prima Não Cadastrada")</f>
        <v>16.422077922077921</v>
      </c>
      <c r="L1166" s="216"/>
    </row>
    <row r="1167" spans="1:12" ht="15.75" customHeight="1">
      <c r="A1167" s="114" t="s">
        <v>188</v>
      </c>
      <c r="B1167" s="114" t="str">
        <f>VLOOKUP(A1167,'Tabela de Produtos'!A:B,2,0)</f>
        <v>BRAZIMIL LÁTEX STANDARD INT/EXT FOSCO 15L AREIA</v>
      </c>
      <c r="C1167" s="48" t="s">
        <v>1219</v>
      </c>
      <c r="D1167" s="114" t="str">
        <f>VLOOKUP(C1167,'Custos Matéria Prima Embalagens'!B:C,2,0)</f>
        <v>WANALK 70 CE (BH-200)</v>
      </c>
      <c r="E1167" s="114" t="str">
        <f>VLOOKUP(C1167,'Custos Matéria Prima Embalagens'!B:D,3,0)</f>
        <v>ALCALINIZANTE</v>
      </c>
      <c r="F1167" s="270">
        <f t="shared" si="152"/>
        <v>1956</v>
      </c>
      <c r="G1167" s="148">
        <f t="shared" si="153"/>
        <v>2.5562372188139061E-3</v>
      </c>
      <c r="H1167" s="96">
        <v>5</v>
      </c>
      <c r="I1167" s="272">
        <f>ROUND(F1167/VLOOKUP(A1167,'Tabela de Produtos'!A:J,10,0),0)</f>
        <v>1540</v>
      </c>
      <c r="J1167" s="97">
        <f>IFERROR(VLOOKUP(C1167,'Custos Matéria Prima Embalagens'!B:G,6,0)*H1167,"Matéria Prima Não Cadastrada")</f>
        <v>24.900000000000002</v>
      </c>
      <c r="K1167" s="97">
        <f>IFERROR(J1167/(I1167/VLOOKUP(A1167,'Tabela de Produtos'!A:H,8,0)),"Matéria Prima Não Cadastrada")</f>
        <v>0.24253246753246754</v>
      </c>
      <c r="L1167" s="216"/>
    </row>
    <row r="1168" spans="1:12" ht="15.75" customHeight="1">
      <c r="A1168" s="114" t="s">
        <v>188</v>
      </c>
      <c r="B1168" s="114" t="str">
        <f>VLOOKUP(A1168,'Tabela de Produtos'!A:B,2,0)</f>
        <v>BRAZIMIL LÁTEX STANDARD INT/EXT FOSCO 15L AREIA</v>
      </c>
      <c r="C1168" s="48" t="s">
        <v>1221</v>
      </c>
      <c r="D1168" s="114" t="str">
        <f>VLOOKUP(C1168,'Custos Matéria Prima Embalagens'!B:C,2,0)</f>
        <v>MODIWAN 105H CE (CT-1000P)</v>
      </c>
      <c r="E1168" s="114" t="str">
        <f>VLOOKUP(C1168,'Custos Matéria Prima Embalagens'!B:D,3,0)</f>
        <v>ESPESSANTE DE MEDIA</v>
      </c>
      <c r="F1168" s="270">
        <f t="shared" si="152"/>
        <v>1956</v>
      </c>
      <c r="G1168" s="148">
        <f t="shared" si="153"/>
        <v>1.0224948875255624E-2</v>
      </c>
      <c r="H1168" s="96">
        <v>20</v>
      </c>
      <c r="I1168" s="272">
        <f>ROUND(F1168/VLOOKUP(A1168,'Tabela de Produtos'!A:J,10,0),0)</f>
        <v>1540</v>
      </c>
      <c r="J1168" s="97">
        <f>IFERROR(VLOOKUP(C1168,'Custos Matéria Prima Embalagens'!B:G,6,0)*H1168,"Matéria Prima Não Cadastrada")</f>
        <v>158.1</v>
      </c>
      <c r="K1168" s="97">
        <f>IFERROR(J1168/(I1168/VLOOKUP(A1168,'Tabela de Produtos'!A:H,8,0)),"Matéria Prima Não Cadastrada")</f>
        <v>1.5399350649350647</v>
      </c>
      <c r="L1168" s="216"/>
    </row>
    <row r="1169" spans="1:12" ht="15.75" customHeight="1">
      <c r="A1169" s="114" t="s">
        <v>188</v>
      </c>
      <c r="B1169" s="114" t="str">
        <f>VLOOKUP(A1169,'Tabela de Produtos'!A:B,2,0)</f>
        <v>BRAZIMIL LÁTEX STANDARD INT/EXT FOSCO 15L AREIA</v>
      </c>
      <c r="C1169" s="48" t="s">
        <v>1223</v>
      </c>
      <c r="D1169" s="114" t="str">
        <f>VLOOKUP(C1169,'Custos Matéria Prima Embalagens'!B:C,2,0)</f>
        <v>TURBOWAN H CE (BH-200)</v>
      </c>
      <c r="E1169" s="114" t="str">
        <f>VLOOKUP(C1169,'Custos Matéria Prima Embalagens'!B:D,3,0)</f>
        <v>PROMOTOR DE LAVABILIDADE</v>
      </c>
      <c r="F1169" s="270">
        <f t="shared" si="152"/>
        <v>1956</v>
      </c>
      <c r="G1169" s="148">
        <f t="shared" si="153"/>
        <v>7.6687116564417178E-3</v>
      </c>
      <c r="H1169" s="96">
        <v>15</v>
      </c>
      <c r="I1169" s="272">
        <f>ROUND(F1169/VLOOKUP(A1169,'Tabela de Produtos'!A:J,10,0),0)</f>
        <v>1540</v>
      </c>
      <c r="J1169" s="97">
        <f>IFERROR(VLOOKUP(C1169,'Custos Matéria Prima Embalagens'!B:G,6,0)*H1169,"Matéria Prima Não Cadastrada")</f>
        <v>72.75</v>
      </c>
      <c r="K1169" s="97">
        <f>IFERROR(J1169/(I1169/VLOOKUP(A1169,'Tabela de Produtos'!A:H,8,0)),"Matéria Prima Não Cadastrada")</f>
        <v>0.70860389610389607</v>
      </c>
      <c r="L1169" s="216"/>
    </row>
    <row r="1170" spans="1:12" ht="15.75" customHeight="1">
      <c r="A1170" s="114" t="s">
        <v>188</v>
      </c>
      <c r="B1170" s="114" t="str">
        <f>VLOOKUP(A1170,'Tabela de Produtos'!A:B,2,0)</f>
        <v>BRAZIMIL LÁTEX STANDARD INT/EXT FOSCO 15L AREIA</v>
      </c>
      <c r="C1170" s="48" t="s">
        <v>1229</v>
      </c>
      <c r="D1170" s="114" t="str">
        <f>VLOOKUP(C1170,'Custos Matéria Prima Embalagens'!B:C,2,0)</f>
        <v>WANSOL 340 CE (BB-200)</v>
      </c>
      <c r="E1170" s="114" t="str">
        <f>VLOOKUP(C1170,'Custos Matéria Prima Embalagens'!B:D,3,0)</f>
        <v>COALESCENTE</v>
      </c>
      <c r="F1170" s="270">
        <f t="shared" si="152"/>
        <v>1956</v>
      </c>
      <c r="G1170" s="148">
        <f t="shared" si="153"/>
        <v>5.1124744376278121E-3</v>
      </c>
      <c r="H1170" s="96">
        <v>10</v>
      </c>
      <c r="I1170" s="272">
        <f>ROUND(F1170/VLOOKUP(A1170,'Tabela de Produtos'!A:J,10,0),0)</f>
        <v>1540</v>
      </c>
      <c r="J1170" s="97">
        <f>IFERROR(VLOOKUP(C1170,'Custos Matéria Prima Embalagens'!B:G,6,0)*H1170,"Matéria Prima Não Cadastrada")</f>
        <v>192.2</v>
      </c>
      <c r="K1170" s="97">
        <f>IFERROR(J1170/(I1170/VLOOKUP(A1170,'Tabela de Produtos'!A:H,8,0)),"Matéria Prima Não Cadastrada")</f>
        <v>1.8720779220779218</v>
      </c>
      <c r="L1170" s="216"/>
    </row>
    <row r="1171" spans="1:12" ht="15.75" customHeight="1">
      <c r="D1171" s="114"/>
      <c r="E1171" s="114"/>
      <c r="F1171" s="96"/>
      <c r="G1171" s="148"/>
      <c r="H1171" s="96"/>
      <c r="I1171" s="272"/>
      <c r="J1171" s="97"/>
      <c r="K1171" s="97"/>
      <c r="L1171" s="216"/>
    </row>
    <row r="1172" spans="1:12" ht="15.75" customHeight="1">
      <c r="A1172" s="114" t="s">
        <v>189</v>
      </c>
      <c r="B1172" s="114" t="str">
        <f>VLOOKUP(A1172,'Tabela de Produtos'!A:B,2,0)</f>
        <v>BRAZIMIL LÁTEX STANDARD INT/EXT FOSCO 15L MARFIM</v>
      </c>
      <c r="C1172" s="48" t="s">
        <v>1197</v>
      </c>
      <c r="D1172" s="114" t="str">
        <f>VLOOKUP(C1172,'Custos Matéria Prima Embalagens'!B:C,2,0)</f>
        <v>AGUA</v>
      </c>
      <c r="E1172" s="114" t="str">
        <f>VLOOKUP(C1172,'Custos Matéria Prima Embalagens'!B:D,3,0)</f>
        <v>AGUA</v>
      </c>
      <c r="F1172" s="270">
        <f t="shared" ref="F1172:F1186" si="154">SUMIFS(H:H,A:A,A1172)</f>
        <v>1956</v>
      </c>
      <c r="G1172" s="148">
        <f t="shared" ref="G1172:G1186" si="155">H1172/F1172</f>
        <v>0.47034764826175868</v>
      </c>
      <c r="H1172" s="96">
        <v>920</v>
      </c>
      <c r="I1172" s="272">
        <f>ROUND(F1172/VLOOKUP(A1172,'Tabela de Produtos'!A:J,10,0),0)</f>
        <v>1540</v>
      </c>
      <c r="J1172" s="97">
        <f>IFERROR(VLOOKUP(C1172,'Custos Matéria Prima Embalagens'!B:G,6,0)*H1172,"Matéria Prima Não Cadastrada")</f>
        <v>0</v>
      </c>
      <c r="K1172" s="97">
        <f>IFERROR(J1172/(I1172/VLOOKUP(A1172,'Tabela de Produtos'!A:H,8,0)),"Matéria Prima Não Cadastrada")</f>
        <v>0</v>
      </c>
      <c r="L1172" s="216"/>
    </row>
    <row r="1173" spans="1:12" ht="15.75" customHeight="1">
      <c r="A1173" s="114" t="s">
        <v>189</v>
      </c>
      <c r="B1173" s="114" t="str">
        <f>VLOOKUP(A1173,'Tabela de Produtos'!A:B,2,0)</f>
        <v>BRAZIMIL LÁTEX STANDARD INT/EXT FOSCO 15L MARFIM</v>
      </c>
      <c r="C1173" s="48" t="s">
        <v>1201</v>
      </c>
      <c r="D1173" s="114" t="str">
        <f>VLOOKUP(C1173,'Custos Matéria Prima Embalagens'!B:C,2,0)</f>
        <v>WANFOAM 528 CE (BB-190)</v>
      </c>
      <c r="E1173" s="114" t="str">
        <f>VLOOKUP(C1173,'Custos Matéria Prima Embalagens'!B:D,3,0)</f>
        <v>ANTI ESPUMA LATEX</v>
      </c>
      <c r="F1173" s="270">
        <f t="shared" si="154"/>
        <v>1956</v>
      </c>
      <c r="G1173" s="148">
        <f t="shared" si="155"/>
        <v>2.5562372188139061E-3</v>
      </c>
      <c r="H1173" s="96">
        <v>5</v>
      </c>
      <c r="I1173" s="272">
        <f>ROUND(F1173/VLOOKUP(A1173,'Tabela de Produtos'!A:J,10,0),0)</f>
        <v>1540</v>
      </c>
      <c r="J1173" s="97">
        <f>IFERROR(VLOOKUP(C1173,'Custos Matéria Prima Embalagens'!B:G,6,0)*H1173,"Matéria Prima Não Cadastrada")</f>
        <v>35.9</v>
      </c>
      <c r="K1173" s="97">
        <f>IFERROR(J1173/(I1173/VLOOKUP(A1173,'Tabela de Produtos'!A:H,8,0)),"Matéria Prima Não Cadastrada")</f>
        <v>0.34967532467532464</v>
      </c>
      <c r="L1173" s="216"/>
    </row>
    <row r="1174" spans="1:12" ht="15.75" customHeight="1">
      <c r="A1174" s="114" t="s">
        <v>189</v>
      </c>
      <c r="B1174" s="114" t="str">
        <f>VLOOKUP(A1174,'Tabela de Produtos'!A:B,2,0)</f>
        <v>BRAZIMIL LÁTEX STANDARD INT/EXT FOSCO 15L MARFIM</v>
      </c>
      <c r="C1174" s="48" t="s">
        <v>1203</v>
      </c>
      <c r="D1174" s="114" t="str">
        <f>VLOOKUP(C1174,'Custos Matéria Prima Embalagens'!B:C,2,0)</f>
        <v>WANBAC WBT CE (BH-200)</v>
      </c>
      <c r="E1174" s="114" t="str">
        <f>VLOOKUP(C1174,'Custos Matéria Prima Embalagens'!B:D,3,0)</f>
        <v>BACTERICIDA</v>
      </c>
      <c r="F1174" s="270">
        <f t="shared" si="154"/>
        <v>1956</v>
      </c>
      <c r="G1174" s="148">
        <f t="shared" si="155"/>
        <v>3.0674846625766872E-3</v>
      </c>
      <c r="H1174" s="96">
        <v>6</v>
      </c>
      <c r="I1174" s="272">
        <f>ROUND(F1174/VLOOKUP(A1174,'Tabela de Produtos'!A:J,10,0),0)</f>
        <v>1540</v>
      </c>
      <c r="J1174" s="97">
        <f>IFERROR(VLOOKUP(C1174,'Custos Matéria Prima Embalagens'!B:G,6,0)*H1174,"Matéria Prima Não Cadastrada")</f>
        <v>29.639999999999997</v>
      </c>
      <c r="K1174" s="97">
        <f>IFERROR(J1174/(I1174/VLOOKUP(A1174,'Tabela de Produtos'!A:H,8,0)),"Matéria Prima Não Cadastrada")</f>
        <v>0.28870129870129868</v>
      </c>
      <c r="L1174" s="216"/>
    </row>
    <row r="1175" spans="1:12" ht="15.75" customHeight="1">
      <c r="A1175" s="114" t="s">
        <v>189</v>
      </c>
      <c r="B1175" s="114" t="str">
        <f>VLOOKUP(A1175,'Tabela de Produtos'!A:B,2,0)</f>
        <v>BRAZIMIL LÁTEX STANDARD INT/EXT FOSCO 15L MARFIM</v>
      </c>
      <c r="C1175" s="48" t="s">
        <v>1205</v>
      </c>
      <c r="D1175" s="114" t="str">
        <f>VLOOKUP(C1175,'Custos Matéria Prima Embalagens'!B:C,2,0)</f>
        <v>WANSUR 840 CE (BB-200)01</v>
      </c>
      <c r="E1175" s="114" t="str">
        <f>VLOOKUP(C1175,'Custos Matéria Prima Embalagens'!B:D,3,0)</f>
        <v>UMECTANTE</v>
      </c>
      <c r="F1175" s="270">
        <f t="shared" si="154"/>
        <v>1956</v>
      </c>
      <c r="G1175" s="148">
        <f t="shared" si="155"/>
        <v>2.0449897750511249E-3</v>
      </c>
      <c r="H1175" s="96">
        <v>4</v>
      </c>
      <c r="I1175" s="272">
        <f>ROUND(F1175/VLOOKUP(A1175,'Tabela de Produtos'!A:J,10,0),0)</f>
        <v>1540</v>
      </c>
      <c r="J1175" s="97">
        <f>IFERROR(VLOOKUP(C1175,'Custos Matéria Prima Embalagens'!B:G,6,0)*H1175,"Matéria Prima Não Cadastrada")</f>
        <v>29.32</v>
      </c>
      <c r="K1175" s="97">
        <f>IFERROR(J1175/(I1175/VLOOKUP(A1175,'Tabela de Produtos'!A:H,8,0)),"Matéria Prima Não Cadastrada")</f>
        <v>0.28558441558441555</v>
      </c>
      <c r="L1175" s="216"/>
    </row>
    <row r="1176" spans="1:12" ht="15.75" customHeight="1">
      <c r="A1176" s="114" t="s">
        <v>189</v>
      </c>
      <c r="B1176" s="114" t="str">
        <f>VLOOKUP(A1176,'Tabela de Produtos'!A:B,2,0)</f>
        <v>BRAZIMIL LÁTEX STANDARD INT/EXT FOSCO 15L MARFIM</v>
      </c>
      <c r="C1176" s="48" t="s">
        <v>1207</v>
      </c>
      <c r="D1176" s="114" t="str">
        <f>VLOOKUP(C1176,'Custos Matéria Prima Embalagens'!B:C,2,0)</f>
        <v>WANPEX 1510 (BB-200)</v>
      </c>
      <c r="E1176" s="114" t="str">
        <f>VLOOKUP(C1176,'Custos Matéria Prima Embalagens'!B:D,3,0)</f>
        <v>DISPERSANTE LATEX</v>
      </c>
      <c r="F1176" s="270">
        <f t="shared" si="154"/>
        <v>1956</v>
      </c>
      <c r="G1176" s="148">
        <f t="shared" si="155"/>
        <v>3.0674846625766872E-3</v>
      </c>
      <c r="H1176" s="96">
        <v>6</v>
      </c>
      <c r="I1176" s="272">
        <f>ROUND(F1176/VLOOKUP(A1176,'Tabela de Produtos'!A:J,10,0),0)</f>
        <v>1540</v>
      </c>
      <c r="J1176" s="97">
        <f>IFERROR(VLOOKUP(C1176,'Custos Matéria Prima Embalagens'!B:G,6,0)*H1176,"Matéria Prima Não Cadastrada")</f>
        <v>41.16</v>
      </c>
      <c r="K1176" s="97">
        <f>IFERROR(J1176/(I1176/VLOOKUP(A1176,'Tabela de Produtos'!A:H,8,0)),"Matéria Prima Não Cadastrada")</f>
        <v>0.40090909090909088</v>
      </c>
      <c r="L1176" s="216"/>
    </row>
    <row r="1177" spans="1:12" ht="15.75" customHeight="1">
      <c r="A1177" s="114" t="s">
        <v>189</v>
      </c>
      <c r="B1177" s="114" t="str">
        <f>VLOOKUP(A1177,'Tabela de Produtos'!A:B,2,0)</f>
        <v>BRAZIMIL LÁTEX STANDARD INT/EXT FOSCO 15L MARFIM</v>
      </c>
      <c r="C1177" s="48" t="s">
        <v>1209</v>
      </c>
      <c r="D1177" s="114" t="str">
        <f>VLOOKUP(C1177,'Custos Matéria Prima Embalagens'!B:C,2,0)</f>
        <v>WANFUNG WFT CE (BH-200)</v>
      </c>
      <c r="E1177" s="114" t="str">
        <f>VLOOKUP(C1177,'Custos Matéria Prima Embalagens'!B:D,3,0)</f>
        <v>FUNGICIDA</v>
      </c>
      <c r="F1177" s="270">
        <f t="shared" si="154"/>
        <v>1956</v>
      </c>
      <c r="G1177" s="148">
        <f t="shared" si="155"/>
        <v>2.5562372188139061E-3</v>
      </c>
      <c r="H1177" s="96">
        <v>5</v>
      </c>
      <c r="I1177" s="272">
        <f>ROUND(F1177/VLOOKUP(A1177,'Tabela de Produtos'!A:J,10,0),0)</f>
        <v>1540</v>
      </c>
      <c r="J1177" s="97">
        <f>IFERROR(VLOOKUP(C1177,'Custos Matéria Prima Embalagens'!B:G,6,0)*H1177,"Matéria Prima Não Cadastrada")</f>
        <v>35</v>
      </c>
      <c r="K1177" s="97">
        <f>IFERROR(J1177/(I1177/VLOOKUP(A1177,'Tabela de Produtos'!A:H,8,0)),"Matéria Prima Não Cadastrada")</f>
        <v>0.34090909090909088</v>
      </c>
      <c r="L1177" s="216"/>
    </row>
    <row r="1178" spans="1:12" ht="15.75" customHeight="1">
      <c r="A1178" s="114" t="s">
        <v>189</v>
      </c>
      <c r="B1178" s="114" t="str">
        <f>VLOOKUP(A1178,'Tabela de Produtos'!A:B,2,0)</f>
        <v>BRAZIMIL LÁTEX STANDARD INT/EXT FOSCO 15L MARFIM</v>
      </c>
      <c r="C1178" s="48" t="s">
        <v>1211</v>
      </c>
      <c r="D1178" s="114" t="str">
        <f>VLOOKUP(C1178,'Custos Matéria Prima Embalagens'!B:C,2,0)</f>
        <v>WHITE PLUS PB (SC-25) (Em negociação)</v>
      </c>
      <c r="E1178" s="114" t="str">
        <f>VLOOKUP(C1178,'Custos Matéria Prima Embalagens'!B:D,3,0)</f>
        <v>WHITE PLUS</v>
      </c>
      <c r="F1178" s="270">
        <f t="shared" si="154"/>
        <v>1956</v>
      </c>
      <c r="G1178" s="148">
        <f t="shared" si="155"/>
        <v>0.15337423312883436</v>
      </c>
      <c r="H1178" s="96">
        <v>300</v>
      </c>
      <c r="I1178" s="272">
        <f>ROUND(F1178/VLOOKUP(A1178,'Tabela de Produtos'!A:J,10,0),0)</f>
        <v>1540</v>
      </c>
      <c r="J1178" s="97">
        <f>IFERROR(VLOOKUP(C1178,'Custos Matéria Prima Embalagens'!B:G,6,0)*H1178,"Matéria Prima Não Cadastrada")</f>
        <v>927</v>
      </c>
      <c r="K1178" s="97">
        <f>IFERROR(J1178/(I1178/VLOOKUP(A1178,'Tabela de Produtos'!A:H,8,0)),"Matéria Prima Não Cadastrada")</f>
        <v>9.029220779220779</v>
      </c>
      <c r="L1178" s="216"/>
    </row>
    <row r="1179" spans="1:12" ht="15.75" customHeight="1">
      <c r="A1179" s="114" t="s">
        <v>189</v>
      </c>
      <c r="B1179" s="114" t="str">
        <f>VLOOKUP(A1179,'Tabela de Produtos'!A:B,2,0)</f>
        <v>BRAZIMIL LÁTEX STANDARD INT/EXT FOSCO 15L MARFIM</v>
      </c>
      <c r="C1179" s="48" t="s">
        <v>1213</v>
      </c>
      <c r="D1179" s="114" t="str">
        <f>VLOOKUP(C1179,'Custos Matéria Prima Embalagens'!B:C,2,0)</f>
        <v>DIOXIDO DE TITANIO RUTILO R-996</v>
      </c>
      <c r="E1179" s="114" t="str">
        <f>VLOOKUP(C1179,'Custos Matéria Prima Embalagens'!B:D,3,0)</f>
        <v>TITANIO</v>
      </c>
      <c r="F1179" s="270">
        <f t="shared" si="154"/>
        <v>1956</v>
      </c>
      <c r="G1179" s="148">
        <f t="shared" si="155"/>
        <v>3.0674846625766871E-2</v>
      </c>
      <c r="H1179" s="96">
        <v>60</v>
      </c>
      <c r="I1179" s="272">
        <f>ROUND(F1179/VLOOKUP(A1179,'Tabela de Produtos'!A:J,10,0),0)</f>
        <v>1540</v>
      </c>
      <c r="J1179" s="97">
        <f>IFERROR(VLOOKUP(C1179,'Custos Matéria Prima Embalagens'!B:G,6,0)*H1179,"Matéria Prima Não Cadastrada")</f>
        <v>1158</v>
      </c>
      <c r="K1179" s="97">
        <f>IFERROR(J1179/(I1179/VLOOKUP(A1179,'Tabela de Produtos'!A:H,8,0)),"Matéria Prima Não Cadastrada")</f>
        <v>11.279220779220779</v>
      </c>
      <c r="L1179" s="216"/>
    </row>
    <row r="1180" spans="1:12" ht="15.75" customHeight="1">
      <c r="A1180" s="114" t="s">
        <v>189</v>
      </c>
      <c r="B1180" s="114" t="str">
        <f>VLOOKUP(A1180,'Tabela de Produtos'!A:B,2,0)</f>
        <v>BRAZIMIL LÁTEX STANDARD INT/EXT FOSCO 15L MARFIM</v>
      </c>
      <c r="C1180" s="48" t="s">
        <v>1215</v>
      </c>
      <c r="D1180" s="114" t="str">
        <f>VLOOKUP(C1180,'Custos Matéria Prima Embalagens'!B:C,2,0)</f>
        <v>CALCARIO DOLOMITICO #500 ( SACOS 25 KG)</v>
      </c>
      <c r="E1180" s="114" t="str">
        <f>VLOOKUP(C1180,'Custos Matéria Prima Embalagens'!B:D,3,0)</f>
        <v>CARBONATO #500</v>
      </c>
      <c r="F1180" s="270">
        <f t="shared" si="154"/>
        <v>1956</v>
      </c>
      <c r="G1180" s="148">
        <f t="shared" si="155"/>
        <v>0.15337423312883436</v>
      </c>
      <c r="H1180" s="96">
        <v>300</v>
      </c>
      <c r="I1180" s="272">
        <f>ROUND(F1180/VLOOKUP(A1180,'Tabela de Produtos'!A:J,10,0),0)</f>
        <v>1540</v>
      </c>
      <c r="J1180" s="97">
        <f>IFERROR(VLOOKUP(C1180,'Custos Matéria Prima Embalagens'!B:G,6,0)*H1180,"Matéria Prima Não Cadastrada")</f>
        <v>240</v>
      </c>
      <c r="K1180" s="97">
        <f>IFERROR(J1180/(I1180/VLOOKUP(A1180,'Tabela de Produtos'!A:H,8,0)),"Matéria Prima Não Cadastrada")</f>
        <v>2.3376623376623376</v>
      </c>
      <c r="L1180" s="216"/>
    </row>
    <row r="1181" spans="1:12" ht="15.75" customHeight="1">
      <c r="A1181" s="114" t="s">
        <v>189</v>
      </c>
      <c r="B1181" s="114" t="str">
        <f>VLOOKUP(A1181,'Tabela de Produtos'!A:B,2,0)</f>
        <v>BRAZIMIL LÁTEX STANDARD INT/EXT FOSCO 15L MARFIM</v>
      </c>
      <c r="C1181" s="48" t="s">
        <v>1227</v>
      </c>
      <c r="D1181" s="114" t="str">
        <f>VLOOKUP(C1181,'Custos Matéria Prima Embalagens'!B:C,2,0)</f>
        <v>CAULIM MALHA 325</v>
      </c>
      <c r="E1181" s="114" t="str">
        <f>VLOOKUP(C1181,'Custos Matéria Prima Embalagens'!B:D,3,0)</f>
        <v>caulim</v>
      </c>
      <c r="F1181" s="270">
        <f t="shared" si="154"/>
        <v>1956</v>
      </c>
      <c r="G1181" s="148">
        <f t="shared" si="155"/>
        <v>5.112474437627812E-2</v>
      </c>
      <c r="H1181" s="96">
        <v>100</v>
      </c>
      <c r="I1181" s="272">
        <f>ROUND(F1181/VLOOKUP(A1181,'Tabela de Produtos'!A:J,10,0),0)</f>
        <v>1540</v>
      </c>
      <c r="J1181" s="97">
        <f>IFERROR(VLOOKUP(C1181,'Custos Matéria Prima Embalagens'!B:G,6,0)*H1181,"Matéria Prima Não Cadastrada")</f>
        <v>152.04955555555551</v>
      </c>
      <c r="K1181" s="97">
        <f>IFERROR(J1181/(I1181/VLOOKUP(A1181,'Tabela de Produtos'!A:H,8,0)),"Matéria Prima Não Cadastrada")</f>
        <v>1.481002164502164</v>
      </c>
      <c r="L1181" s="216"/>
    </row>
    <row r="1182" spans="1:12" ht="15.75" customHeight="1">
      <c r="A1182" s="114" t="s">
        <v>189</v>
      </c>
      <c r="B1182" s="114" t="str">
        <f>VLOOKUP(A1182,'Tabela de Produtos'!A:B,2,0)</f>
        <v>BRAZIMIL LÁTEX STANDARD INT/EXT FOSCO 15L MARFIM</v>
      </c>
      <c r="C1182" s="48" t="s">
        <v>1217</v>
      </c>
      <c r="D1182" s="114" t="str">
        <f>VLOOKUP(C1182,'Custos Matéria Prima Embalagens'!B:C,2,0)</f>
        <v>WANCRIL W 51 CE (CT-1000P)</v>
      </c>
      <c r="E1182" s="114" t="str">
        <f>VLOOKUP(C1182,'Custos Matéria Prima Embalagens'!B:D,3,0)</f>
        <v>RESINA ACRILICA ESTIRENADA</v>
      </c>
      <c r="F1182" s="270">
        <f t="shared" si="154"/>
        <v>1956</v>
      </c>
      <c r="G1182" s="148">
        <f t="shared" si="155"/>
        <v>0.10224948875255624</v>
      </c>
      <c r="H1182" s="96">
        <v>200</v>
      </c>
      <c r="I1182" s="272">
        <f>ROUND(F1182/VLOOKUP(A1182,'Tabela de Produtos'!A:J,10,0),0)</f>
        <v>1540</v>
      </c>
      <c r="J1182" s="97">
        <f>IFERROR(VLOOKUP(C1182,'Custos Matéria Prima Embalagens'!B:G,6,0)*H1182,"Matéria Prima Não Cadastrada")</f>
        <v>1686</v>
      </c>
      <c r="K1182" s="97">
        <f>IFERROR(J1182/(I1182/VLOOKUP(A1182,'Tabela de Produtos'!A:H,8,0)),"Matéria Prima Não Cadastrada")</f>
        <v>16.422077922077921</v>
      </c>
      <c r="L1182" s="216"/>
    </row>
    <row r="1183" spans="1:12" ht="15.75" customHeight="1">
      <c r="A1183" s="114" t="s">
        <v>189</v>
      </c>
      <c r="B1183" s="114" t="str">
        <f>VLOOKUP(A1183,'Tabela de Produtos'!A:B,2,0)</f>
        <v>BRAZIMIL LÁTEX STANDARD INT/EXT FOSCO 15L MARFIM</v>
      </c>
      <c r="C1183" s="48" t="s">
        <v>1219</v>
      </c>
      <c r="D1183" s="114" t="str">
        <f>VLOOKUP(C1183,'Custos Matéria Prima Embalagens'!B:C,2,0)</f>
        <v>WANALK 70 CE (BH-200)</v>
      </c>
      <c r="E1183" s="114" t="str">
        <f>VLOOKUP(C1183,'Custos Matéria Prima Embalagens'!B:D,3,0)</f>
        <v>ALCALINIZANTE</v>
      </c>
      <c r="F1183" s="270">
        <f t="shared" si="154"/>
        <v>1956</v>
      </c>
      <c r="G1183" s="148">
        <f t="shared" si="155"/>
        <v>2.5562372188139061E-3</v>
      </c>
      <c r="H1183" s="96">
        <v>5</v>
      </c>
      <c r="I1183" s="272">
        <f>ROUND(F1183/VLOOKUP(A1183,'Tabela de Produtos'!A:J,10,0),0)</f>
        <v>1540</v>
      </c>
      <c r="J1183" s="97">
        <f>IFERROR(VLOOKUP(C1183,'Custos Matéria Prima Embalagens'!B:G,6,0)*H1183,"Matéria Prima Não Cadastrada")</f>
        <v>24.900000000000002</v>
      </c>
      <c r="K1183" s="97">
        <f>IFERROR(J1183/(I1183/VLOOKUP(A1183,'Tabela de Produtos'!A:H,8,0)),"Matéria Prima Não Cadastrada")</f>
        <v>0.24253246753246754</v>
      </c>
      <c r="L1183" s="216"/>
    </row>
    <row r="1184" spans="1:12" ht="15.75" customHeight="1">
      <c r="A1184" s="114" t="s">
        <v>189</v>
      </c>
      <c r="B1184" s="114" t="str">
        <f>VLOOKUP(A1184,'Tabela de Produtos'!A:B,2,0)</f>
        <v>BRAZIMIL LÁTEX STANDARD INT/EXT FOSCO 15L MARFIM</v>
      </c>
      <c r="C1184" s="48" t="s">
        <v>1221</v>
      </c>
      <c r="D1184" s="114" t="str">
        <f>VLOOKUP(C1184,'Custos Matéria Prima Embalagens'!B:C,2,0)</f>
        <v>MODIWAN 105H CE (CT-1000P)</v>
      </c>
      <c r="E1184" s="114" t="str">
        <f>VLOOKUP(C1184,'Custos Matéria Prima Embalagens'!B:D,3,0)</f>
        <v>ESPESSANTE DE MEDIA</v>
      </c>
      <c r="F1184" s="270">
        <f t="shared" si="154"/>
        <v>1956</v>
      </c>
      <c r="G1184" s="148">
        <f t="shared" si="155"/>
        <v>1.0224948875255624E-2</v>
      </c>
      <c r="H1184" s="96">
        <v>20</v>
      </c>
      <c r="I1184" s="272">
        <f>ROUND(F1184/VLOOKUP(A1184,'Tabela de Produtos'!A:J,10,0),0)</f>
        <v>1540</v>
      </c>
      <c r="J1184" s="97">
        <f>IFERROR(VLOOKUP(C1184,'Custos Matéria Prima Embalagens'!B:G,6,0)*H1184,"Matéria Prima Não Cadastrada")</f>
        <v>158.1</v>
      </c>
      <c r="K1184" s="97">
        <f>IFERROR(J1184/(I1184/VLOOKUP(A1184,'Tabela de Produtos'!A:H,8,0)),"Matéria Prima Não Cadastrada")</f>
        <v>1.5399350649350647</v>
      </c>
      <c r="L1184" s="216"/>
    </row>
    <row r="1185" spans="1:12" ht="15.75" customHeight="1">
      <c r="A1185" s="114" t="s">
        <v>189</v>
      </c>
      <c r="B1185" s="114" t="str">
        <f>VLOOKUP(A1185,'Tabela de Produtos'!A:B,2,0)</f>
        <v>BRAZIMIL LÁTEX STANDARD INT/EXT FOSCO 15L MARFIM</v>
      </c>
      <c r="C1185" s="48" t="s">
        <v>1223</v>
      </c>
      <c r="D1185" s="114" t="str">
        <f>VLOOKUP(C1185,'Custos Matéria Prima Embalagens'!B:C,2,0)</f>
        <v>TURBOWAN H CE (BH-200)</v>
      </c>
      <c r="E1185" s="114" t="str">
        <f>VLOOKUP(C1185,'Custos Matéria Prima Embalagens'!B:D,3,0)</f>
        <v>PROMOTOR DE LAVABILIDADE</v>
      </c>
      <c r="F1185" s="270">
        <f t="shared" si="154"/>
        <v>1956</v>
      </c>
      <c r="G1185" s="148">
        <f t="shared" si="155"/>
        <v>7.6687116564417178E-3</v>
      </c>
      <c r="H1185" s="96">
        <v>15</v>
      </c>
      <c r="I1185" s="272">
        <f>ROUND(F1185/VLOOKUP(A1185,'Tabela de Produtos'!A:J,10,0),0)</f>
        <v>1540</v>
      </c>
      <c r="J1185" s="97">
        <f>IFERROR(VLOOKUP(C1185,'Custos Matéria Prima Embalagens'!B:G,6,0)*H1185,"Matéria Prima Não Cadastrada")</f>
        <v>72.75</v>
      </c>
      <c r="K1185" s="97">
        <f>IFERROR(J1185/(I1185/VLOOKUP(A1185,'Tabela de Produtos'!A:H,8,0)),"Matéria Prima Não Cadastrada")</f>
        <v>0.70860389610389607</v>
      </c>
      <c r="L1185" s="216"/>
    </row>
    <row r="1186" spans="1:12" ht="15.75" customHeight="1">
      <c r="A1186" s="114" t="s">
        <v>189</v>
      </c>
      <c r="B1186" s="114" t="str">
        <f>VLOOKUP(A1186,'Tabela de Produtos'!A:B,2,0)</f>
        <v>BRAZIMIL LÁTEX STANDARD INT/EXT FOSCO 15L MARFIM</v>
      </c>
      <c r="C1186" s="48" t="s">
        <v>1229</v>
      </c>
      <c r="D1186" s="114" t="str">
        <f>VLOOKUP(C1186,'Custos Matéria Prima Embalagens'!B:C,2,0)</f>
        <v>WANSOL 340 CE (BB-200)</v>
      </c>
      <c r="E1186" s="114" t="str">
        <f>VLOOKUP(C1186,'Custos Matéria Prima Embalagens'!B:D,3,0)</f>
        <v>COALESCENTE</v>
      </c>
      <c r="F1186" s="270">
        <f t="shared" si="154"/>
        <v>1956</v>
      </c>
      <c r="G1186" s="148">
        <f t="shared" si="155"/>
        <v>5.1124744376278121E-3</v>
      </c>
      <c r="H1186" s="96">
        <v>10</v>
      </c>
      <c r="I1186" s="272">
        <f>ROUND(F1186/VLOOKUP(A1186,'Tabela de Produtos'!A:J,10,0),0)</f>
        <v>1540</v>
      </c>
      <c r="J1186" s="97">
        <f>IFERROR(VLOOKUP(C1186,'Custos Matéria Prima Embalagens'!B:G,6,0)*H1186,"Matéria Prima Não Cadastrada")</f>
        <v>192.2</v>
      </c>
      <c r="K1186" s="97">
        <f>IFERROR(J1186/(I1186/VLOOKUP(A1186,'Tabela de Produtos'!A:H,8,0)),"Matéria Prima Não Cadastrada")</f>
        <v>1.8720779220779218</v>
      </c>
      <c r="L1186" s="216"/>
    </row>
    <row r="1187" spans="1:12" ht="15.75" customHeight="1">
      <c r="D1187" s="114"/>
      <c r="E1187" s="114"/>
      <c r="F1187" s="96"/>
      <c r="G1187" s="148"/>
      <c r="H1187" s="96"/>
      <c r="I1187" s="272"/>
      <c r="J1187" s="97"/>
      <c r="K1187" s="97"/>
      <c r="L1187" s="216"/>
    </row>
    <row r="1188" spans="1:12" ht="15.75" customHeight="1">
      <c r="A1188" s="114" t="s">
        <v>190</v>
      </c>
      <c r="B1188" s="114" t="str">
        <f>VLOOKUP(A1188,'Tabela de Produtos'!A:B,2,0)</f>
        <v>BRAZIMIL LÁTEX STANDARD INT/EXT FOSCO 15L ROSA PETALA</v>
      </c>
      <c r="C1188" s="48" t="s">
        <v>1197</v>
      </c>
      <c r="D1188" s="114" t="str">
        <f>VLOOKUP(C1188,'Custos Matéria Prima Embalagens'!B:C,2,0)</f>
        <v>AGUA</v>
      </c>
      <c r="E1188" s="114" t="str">
        <f>VLOOKUP(C1188,'Custos Matéria Prima Embalagens'!B:D,3,0)</f>
        <v>AGUA</v>
      </c>
      <c r="F1188" s="270">
        <f t="shared" ref="F1188:F1202" si="156">SUMIFS(H:H,A:A,A1188)</f>
        <v>1956</v>
      </c>
      <c r="G1188" s="148">
        <f t="shared" ref="G1188:G1202" si="157">H1188/F1188</f>
        <v>0.47034764826175868</v>
      </c>
      <c r="H1188" s="96">
        <v>920</v>
      </c>
      <c r="I1188" s="272">
        <f>ROUND(F1188/VLOOKUP(A1188,'Tabela de Produtos'!A:J,10,0),0)</f>
        <v>1540</v>
      </c>
      <c r="J1188" s="97">
        <f>IFERROR(VLOOKUP(C1188,'Custos Matéria Prima Embalagens'!B:G,6,0)*H1188,"Matéria Prima Não Cadastrada")</f>
        <v>0</v>
      </c>
      <c r="K1188" s="97">
        <f>IFERROR(J1188/(I1188/VLOOKUP(A1188,'Tabela de Produtos'!A:H,8,0)),"Matéria Prima Não Cadastrada")</f>
        <v>0</v>
      </c>
      <c r="L1188" s="216"/>
    </row>
    <row r="1189" spans="1:12" ht="15.75" customHeight="1">
      <c r="A1189" s="114" t="s">
        <v>190</v>
      </c>
      <c r="B1189" s="114" t="str">
        <f>VLOOKUP(A1189,'Tabela de Produtos'!A:B,2,0)</f>
        <v>BRAZIMIL LÁTEX STANDARD INT/EXT FOSCO 15L ROSA PETALA</v>
      </c>
      <c r="C1189" s="48" t="s">
        <v>1201</v>
      </c>
      <c r="D1189" s="114" t="str">
        <f>VLOOKUP(C1189,'Custos Matéria Prima Embalagens'!B:C,2,0)</f>
        <v>WANFOAM 528 CE (BB-190)</v>
      </c>
      <c r="E1189" s="114" t="str">
        <f>VLOOKUP(C1189,'Custos Matéria Prima Embalagens'!B:D,3,0)</f>
        <v>ANTI ESPUMA LATEX</v>
      </c>
      <c r="F1189" s="270">
        <f t="shared" si="156"/>
        <v>1956</v>
      </c>
      <c r="G1189" s="148">
        <f t="shared" si="157"/>
        <v>2.5562372188139061E-3</v>
      </c>
      <c r="H1189" s="96">
        <v>5</v>
      </c>
      <c r="I1189" s="272">
        <f>ROUND(F1189/VLOOKUP(A1189,'Tabela de Produtos'!A:J,10,0),0)</f>
        <v>1540</v>
      </c>
      <c r="J1189" s="97">
        <f>IFERROR(VLOOKUP(C1189,'Custos Matéria Prima Embalagens'!B:G,6,0)*H1189,"Matéria Prima Não Cadastrada")</f>
        <v>35.9</v>
      </c>
      <c r="K1189" s="97">
        <f>IFERROR(J1189/(I1189/VLOOKUP(A1189,'Tabela de Produtos'!A:H,8,0)),"Matéria Prima Não Cadastrada")</f>
        <v>0.34967532467532464</v>
      </c>
      <c r="L1189" s="216"/>
    </row>
    <row r="1190" spans="1:12" ht="15.75" customHeight="1">
      <c r="A1190" s="114" t="s">
        <v>190</v>
      </c>
      <c r="B1190" s="114" t="str">
        <f>VLOOKUP(A1190,'Tabela de Produtos'!A:B,2,0)</f>
        <v>BRAZIMIL LÁTEX STANDARD INT/EXT FOSCO 15L ROSA PETALA</v>
      </c>
      <c r="C1190" s="48" t="s">
        <v>1203</v>
      </c>
      <c r="D1190" s="114" t="str">
        <f>VLOOKUP(C1190,'Custos Matéria Prima Embalagens'!B:C,2,0)</f>
        <v>WANBAC WBT CE (BH-200)</v>
      </c>
      <c r="E1190" s="114" t="str">
        <f>VLOOKUP(C1190,'Custos Matéria Prima Embalagens'!B:D,3,0)</f>
        <v>BACTERICIDA</v>
      </c>
      <c r="F1190" s="270">
        <f t="shared" si="156"/>
        <v>1956</v>
      </c>
      <c r="G1190" s="148">
        <f t="shared" si="157"/>
        <v>3.0674846625766872E-3</v>
      </c>
      <c r="H1190" s="96">
        <v>6</v>
      </c>
      <c r="I1190" s="272">
        <f>ROUND(F1190/VLOOKUP(A1190,'Tabela de Produtos'!A:J,10,0),0)</f>
        <v>1540</v>
      </c>
      <c r="J1190" s="97">
        <f>IFERROR(VLOOKUP(C1190,'Custos Matéria Prima Embalagens'!B:G,6,0)*H1190,"Matéria Prima Não Cadastrada")</f>
        <v>29.639999999999997</v>
      </c>
      <c r="K1190" s="97">
        <f>IFERROR(J1190/(I1190/VLOOKUP(A1190,'Tabela de Produtos'!A:H,8,0)),"Matéria Prima Não Cadastrada")</f>
        <v>0.28870129870129868</v>
      </c>
      <c r="L1190" s="216"/>
    </row>
    <row r="1191" spans="1:12" ht="15.75" customHeight="1">
      <c r="A1191" s="114" t="s">
        <v>190</v>
      </c>
      <c r="B1191" s="114" t="str">
        <f>VLOOKUP(A1191,'Tabela de Produtos'!A:B,2,0)</f>
        <v>BRAZIMIL LÁTEX STANDARD INT/EXT FOSCO 15L ROSA PETALA</v>
      </c>
      <c r="C1191" s="48" t="s">
        <v>1205</v>
      </c>
      <c r="D1191" s="114" t="str">
        <f>VLOOKUP(C1191,'Custos Matéria Prima Embalagens'!B:C,2,0)</f>
        <v>WANSUR 840 CE (BB-200)01</v>
      </c>
      <c r="E1191" s="114" t="str">
        <f>VLOOKUP(C1191,'Custos Matéria Prima Embalagens'!B:D,3,0)</f>
        <v>UMECTANTE</v>
      </c>
      <c r="F1191" s="270">
        <f t="shared" si="156"/>
        <v>1956</v>
      </c>
      <c r="G1191" s="148">
        <f t="shared" si="157"/>
        <v>2.0449897750511249E-3</v>
      </c>
      <c r="H1191" s="96">
        <v>4</v>
      </c>
      <c r="I1191" s="272">
        <f>ROUND(F1191/VLOOKUP(A1191,'Tabela de Produtos'!A:J,10,0),0)</f>
        <v>1540</v>
      </c>
      <c r="J1191" s="97">
        <f>IFERROR(VLOOKUP(C1191,'Custos Matéria Prima Embalagens'!B:G,6,0)*H1191,"Matéria Prima Não Cadastrada")</f>
        <v>29.32</v>
      </c>
      <c r="K1191" s="97">
        <f>IFERROR(J1191/(I1191/VLOOKUP(A1191,'Tabela de Produtos'!A:H,8,0)),"Matéria Prima Não Cadastrada")</f>
        <v>0.28558441558441555</v>
      </c>
      <c r="L1191" s="216"/>
    </row>
    <row r="1192" spans="1:12" ht="15.75" customHeight="1">
      <c r="A1192" s="114" t="s">
        <v>190</v>
      </c>
      <c r="B1192" s="114" t="str">
        <f>VLOOKUP(A1192,'Tabela de Produtos'!A:B,2,0)</f>
        <v>BRAZIMIL LÁTEX STANDARD INT/EXT FOSCO 15L ROSA PETALA</v>
      </c>
      <c r="C1192" s="48" t="s">
        <v>1207</v>
      </c>
      <c r="D1192" s="114" t="str">
        <f>VLOOKUP(C1192,'Custos Matéria Prima Embalagens'!B:C,2,0)</f>
        <v>WANPEX 1510 (BB-200)</v>
      </c>
      <c r="E1192" s="114" t="str">
        <f>VLOOKUP(C1192,'Custos Matéria Prima Embalagens'!B:D,3,0)</f>
        <v>DISPERSANTE LATEX</v>
      </c>
      <c r="F1192" s="270">
        <f t="shared" si="156"/>
        <v>1956</v>
      </c>
      <c r="G1192" s="148">
        <f t="shared" si="157"/>
        <v>3.0674846625766872E-3</v>
      </c>
      <c r="H1192" s="96">
        <v>6</v>
      </c>
      <c r="I1192" s="272">
        <f>ROUND(F1192/VLOOKUP(A1192,'Tabela de Produtos'!A:J,10,0),0)</f>
        <v>1540</v>
      </c>
      <c r="J1192" s="97">
        <f>IFERROR(VLOOKUP(C1192,'Custos Matéria Prima Embalagens'!B:G,6,0)*H1192,"Matéria Prima Não Cadastrada")</f>
        <v>41.16</v>
      </c>
      <c r="K1192" s="97">
        <f>IFERROR(J1192/(I1192/VLOOKUP(A1192,'Tabela de Produtos'!A:H,8,0)),"Matéria Prima Não Cadastrada")</f>
        <v>0.40090909090909088</v>
      </c>
      <c r="L1192" s="216"/>
    </row>
    <row r="1193" spans="1:12" ht="15.75" customHeight="1">
      <c r="A1193" s="114" t="s">
        <v>190</v>
      </c>
      <c r="B1193" s="114" t="str">
        <f>VLOOKUP(A1193,'Tabela de Produtos'!A:B,2,0)</f>
        <v>BRAZIMIL LÁTEX STANDARD INT/EXT FOSCO 15L ROSA PETALA</v>
      </c>
      <c r="C1193" s="48" t="s">
        <v>1209</v>
      </c>
      <c r="D1193" s="114" t="str">
        <f>VLOOKUP(C1193,'Custos Matéria Prima Embalagens'!B:C,2,0)</f>
        <v>WANFUNG WFT CE (BH-200)</v>
      </c>
      <c r="E1193" s="114" t="str">
        <f>VLOOKUP(C1193,'Custos Matéria Prima Embalagens'!B:D,3,0)</f>
        <v>FUNGICIDA</v>
      </c>
      <c r="F1193" s="270">
        <f t="shared" si="156"/>
        <v>1956</v>
      </c>
      <c r="G1193" s="148">
        <f t="shared" si="157"/>
        <v>2.5562372188139061E-3</v>
      </c>
      <c r="H1193" s="96">
        <v>5</v>
      </c>
      <c r="I1193" s="272">
        <f>ROUND(F1193/VLOOKUP(A1193,'Tabela de Produtos'!A:J,10,0),0)</f>
        <v>1540</v>
      </c>
      <c r="J1193" s="97">
        <f>IFERROR(VLOOKUP(C1193,'Custos Matéria Prima Embalagens'!B:G,6,0)*H1193,"Matéria Prima Não Cadastrada")</f>
        <v>35</v>
      </c>
      <c r="K1193" s="97">
        <f>IFERROR(J1193/(I1193/VLOOKUP(A1193,'Tabela de Produtos'!A:H,8,0)),"Matéria Prima Não Cadastrada")</f>
        <v>0.34090909090909088</v>
      </c>
      <c r="L1193" s="216"/>
    </row>
    <row r="1194" spans="1:12" ht="15.75" customHeight="1">
      <c r="A1194" s="114" t="s">
        <v>190</v>
      </c>
      <c r="B1194" s="114" t="str">
        <f>VLOOKUP(A1194,'Tabela de Produtos'!A:B,2,0)</f>
        <v>BRAZIMIL LÁTEX STANDARD INT/EXT FOSCO 15L ROSA PETALA</v>
      </c>
      <c r="C1194" s="48" t="s">
        <v>1211</v>
      </c>
      <c r="D1194" s="114" t="str">
        <f>VLOOKUP(C1194,'Custos Matéria Prima Embalagens'!B:C,2,0)</f>
        <v>WHITE PLUS PB (SC-25) (Em negociação)</v>
      </c>
      <c r="E1194" s="114" t="str">
        <f>VLOOKUP(C1194,'Custos Matéria Prima Embalagens'!B:D,3,0)</f>
        <v>WHITE PLUS</v>
      </c>
      <c r="F1194" s="270">
        <f t="shared" si="156"/>
        <v>1956</v>
      </c>
      <c r="G1194" s="148">
        <f t="shared" si="157"/>
        <v>0.15337423312883436</v>
      </c>
      <c r="H1194" s="96">
        <v>300</v>
      </c>
      <c r="I1194" s="272">
        <f>ROUND(F1194/VLOOKUP(A1194,'Tabela de Produtos'!A:J,10,0),0)</f>
        <v>1540</v>
      </c>
      <c r="J1194" s="97">
        <f>IFERROR(VLOOKUP(C1194,'Custos Matéria Prima Embalagens'!B:G,6,0)*H1194,"Matéria Prima Não Cadastrada")</f>
        <v>927</v>
      </c>
      <c r="K1194" s="97">
        <f>IFERROR(J1194/(I1194/VLOOKUP(A1194,'Tabela de Produtos'!A:H,8,0)),"Matéria Prima Não Cadastrada")</f>
        <v>9.029220779220779</v>
      </c>
      <c r="L1194" s="216"/>
    </row>
    <row r="1195" spans="1:12" ht="15.75" customHeight="1">
      <c r="A1195" s="114" t="s">
        <v>190</v>
      </c>
      <c r="B1195" s="114" t="str">
        <f>VLOOKUP(A1195,'Tabela de Produtos'!A:B,2,0)</f>
        <v>BRAZIMIL LÁTEX STANDARD INT/EXT FOSCO 15L ROSA PETALA</v>
      </c>
      <c r="C1195" s="48" t="s">
        <v>1213</v>
      </c>
      <c r="D1195" s="114" t="str">
        <f>VLOOKUP(C1195,'Custos Matéria Prima Embalagens'!B:C,2,0)</f>
        <v>DIOXIDO DE TITANIO RUTILO R-996</v>
      </c>
      <c r="E1195" s="114" t="str">
        <f>VLOOKUP(C1195,'Custos Matéria Prima Embalagens'!B:D,3,0)</f>
        <v>TITANIO</v>
      </c>
      <c r="F1195" s="270">
        <f t="shared" si="156"/>
        <v>1956</v>
      </c>
      <c r="G1195" s="148">
        <f t="shared" si="157"/>
        <v>3.0674846625766871E-2</v>
      </c>
      <c r="H1195" s="96">
        <v>60</v>
      </c>
      <c r="I1195" s="272">
        <f>ROUND(F1195/VLOOKUP(A1195,'Tabela de Produtos'!A:J,10,0),0)</f>
        <v>1540</v>
      </c>
      <c r="J1195" s="97">
        <f>IFERROR(VLOOKUP(C1195,'Custos Matéria Prima Embalagens'!B:G,6,0)*H1195,"Matéria Prima Não Cadastrada")</f>
        <v>1158</v>
      </c>
      <c r="K1195" s="97">
        <f>IFERROR(J1195/(I1195/VLOOKUP(A1195,'Tabela de Produtos'!A:H,8,0)),"Matéria Prima Não Cadastrada")</f>
        <v>11.279220779220779</v>
      </c>
      <c r="L1195" s="216"/>
    </row>
    <row r="1196" spans="1:12" ht="15.75" customHeight="1">
      <c r="A1196" s="114" t="s">
        <v>190</v>
      </c>
      <c r="B1196" s="114" t="str">
        <f>VLOOKUP(A1196,'Tabela de Produtos'!A:B,2,0)</f>
        <v>BRAZIMIL LÁTEX STANDARD INT/EXT FOSCO 15L ROSA PETALA</v>
      </c>
      <c r="C1196" s="48" t="s">
        <v>1215</v>
      </c>
      <c r="D1196" s="114" t="str">
        <f>VLOOKUP(C1196,'Custos Matéria Prima Embalagens'!B:C,2,0)</f>
        <v>CALCARIO DOLOMITICO #500 ( SACOS 25 KG)</v>
      </c>
      <c r="E1196" s="114" t="str">
        <f>VLOOKUP(C1196,'Custos Matéria Prima Embalagens'!B:D,3,0)</f>
        <v>CARBONATO #500</v>
      </c>
      <c r="F1196" s="270">
        <f t="shared" si="156"/>
        <v>1956</v>
      </c>
      <c r="G1196" s="148">
        <f t="shared" si="157"/>
        <v>0.15337423312883436</v>
      </c>
      <c r="H1196" s="96">
        <v>300</v>
      </c>
      <c r="I1196" s="272">
        <f>ROUND(F1196/VLOOKUP(A1196,'Tabela de Produtos'!A:J,10,0),0)</f>
        <v>1540</v>
      </c>
      <c r="J1196" s="97">
        <f>IFERROR(VLOOKUP(C1196,'Custos Matéria Prima Embalagens'!B:G,6,0)*H1196,"Matéria Prima Não Cadastrada")</f>
        <v>240</v>
      </c>
      <c r="K1196" s="97">
        <f>IFERROR(J1196/(I1196/VLOOKUP(A1196,'Tabela de Produtos'!A:H,8,0)),"Matéria Prima Não Cadastrada")</f>
        <v>2.3376623376623376</v>
      </c>
      <c r="L1196" s="216"/>
    </row>
    <row r="1197" spans="1:12" ht="15.75" customHeight="1">
      <c r="A1197" s="114" t="s">
        <v>190</v>
      </c>
      <c r="B1197" s="114" t="str">
        <f>VLOOKUP(A1197,'Tabela de Produtos'!A:B,2,0)</f>
        <v>BRAZIMIL LÁTEX STANDARD INT/EXT FOSCO 15L ROSA PETALA</v>
      </c>
      <c r="C1197" s="48" t="s">
        <v>1227</v>
      </c>
      <c r="D1197" s="114" t="str">
        <f>VLOOKUP(C1197,'Custos Matéria Prima Embalagens'!B:C,2,0)</f>
        <v>CAULIM MALHA 325</v>
      </c>
      <c r="E1197" s="114" t="str">
        <f>VLOOKUP(C1197,'Custos Matéria Prima Embalagens'!B:D,3,0)</f>
        <v>caulim</v>
      </c>
      <c r="F1197" s="270">
        <f t="shared" si="156"/>
        <v>1956</v>
      </c>
      <c r="G1197" s="148">
        <f t="shared" si="157"/>
        <v>5.112474437627812E-2</v>
      </c>
      <c r="H1197" s="96">
        <v>100</v>
      </c>
      <c r="I1197" s="272">
        <f>ROUND(F1197/VLOOKUP(A1197,'Tabela de Produtos'!A:J,10,0),0)</f>
        <v>1540</v>
      </c>
      <c r="J1197" s="97">
        <f>IFERROR(VLOOKUP(C1197,'Custos Matéria Prima Embalagens'!B:G,6,0)*H1197,"Matéria Prima Não Cadastrada")</f>
        <v>152.04955555555551</v>
      </c>
      <c r="K1197" s="97">
        <f>IFERROR(J1197/(I1197/VLOOKUP(A1197,'Tabela de Produtos'!A:H,8,0)),"Matéria Prima Não Cadastrada")</f>
        <v>1.481002164502164</v>
      </c>
      <c r="L1197" s="216"/>
    </row>
    <row r="1198" spans="1:12" ht="15.75" customHeight="1">
      <c r="A1198" s="114" t="s">
        <v>190</v>
      </c>
      <c r="B1198" s="114" t="str">
        <f>VLOOKUP(A1198,'Tabela de Produtos'!A:B,2,0)</f>
        <v>BRAZIMIL LÁTEX STANDARD INT/EXT FOSCO 15L ROSA PETALA</v>
      </c>
      <c r="C1198" s="48" t="s">
        <v>1217</v>
      </c>
      <c r="D1198" s="114" t="str">
        <f>VLOOKUP(C1198,'Custos Matéria Prima Embalagens'!B:C,2,0)</f>
        <v>WANCRIL W 51 CE (CT-1000P)</v>
      </c>
      <c r="E1198" s="114" t="str">
        <f>VLOOKUP(C1198,'Custos Matéria Prima Embalagens'!B:D,3,0)</f>
        <v>RESINA ACRILICA ESTIRENADA</v>
      </c>
      <c r="F1198" s="270">
        <f t="shared" si="156"/>
        <v>1956</v>
      </c>
      <c r="G1198" s="148">
        <f t="shared" si="157"/>
        <v>0.10224948875255624</v>
      </c>
      <c r="H1198" s="96">
        <v>200</v>
      </c>
      <c r="I1198" s="272">
        <f>ROUND(F1198/VLOOKUP(A1198,'Tabela de Produtos'!A:J,10,0),0)</f>
        <v>1540</v>
      </c>
      <c r="J1198" s="97">
        <f>IFERROR(VLOOKUP(C1198,'Custos Matéria Prima Embalagens'!B:G,6,0)*H1198,"Matéria Prima Não Cadastrada")</f>
        <v>1686</v>
      </c>
      <c r="K1198" s="97">
        <f>IFERROR(J1198/(I1198/VLOOKUP(A1198,'Tabela de Produtos'!A:H,8,0)),"Matéria Prima Não Cadastrada")</f>
        <v>16.422077922077921</v>
      </c>
      <c r="L1198" s="216"/>
    </row>
    <row r="1199" spans="1:12" ht="15.75" customHeight="1">
      <c r="A1199" s="114" t="s">
        <v>190</v>
      </c>
      <c r="B1199" s="114" t="str">
        <f>VLOOKUP(A1199,'Tabela de Produtos'!A:B,2,0)</f>
        <v>BRAZIMIL LÁTEX STANDARD INT/EXT FOSCO 15L ROSA PETALA</v>
      </c>
      <c r="C1199" s="48" t="s">
        <v>1219</v>
      </c>
      <c r="D1199" s="114" t="str">
        <f>VLOOKUP(C1199,'Custos Matéria Prima Embalagens'!B:C,2,0)</f>
        <v>WANALK 70 CE (BH-200)</v>
      </c>
      <c r="E1199" s="114" t="str">
        <f>VLOOKUP(C1199,'Custos Matéria Prima Embalagens'!B:D,3,0)</f>
        <v>ALCALINIZANTE</v>
      </c>
      <c r="F1199" s="270">
        <f t="shared" si="156"/>
        <v>1956</v>
      </c>
      <c r="G1199" s="148">
        <f t="shared" si="157"/>
        <v>2.5562372188139061E-3</v>
      </c>
      <c r="H1199" s="96">
        <v>5</v>
      </c>
      <c r="I1199" s="272">
        <f>ROUND(F1199/VLOOKUP(A1199,'Tabela de Produtos'!A:J,10,0),0)</f>
        <v>1540</v>
      </c>
      <c r="J1199" s="97">
        <f>IFERROR(VLOOKUP(C1199,'Custos Matéria Prima Embalagens'!B:G,6,0)*H1199,"Matéria Prima Não Cadastrada")</f>
        <v>24.900000000000002</v>
      </c>
      <c r="K1199" s="97">
        <f>IFERROR(J1199/(I1199/VLOOKUP(A1199,'Tabela de Produtos'!A:H,8,0)),"Matéria Prima Não Cadastrada")</f>
        <v>0.24253246753246754</v>
      </c>
      <c r="L1199" s="216"/>
    </row>
    <row r="1200" spans="1:12" ht="15.75" customHeight="1">
      <c r="A1200" s="114" t="s">
        <v>190</v>
      </c>
      <c r="B1200" s="114" t="str">
        <f>VLOOKUP(A1200,'Tabela de Produtos'!A:B,2,0)</f>
        <v>BRAZIMIL LÁTEX STANDARD INT/EXT FOSCO 15L ROSA PETALA</v>
      </c>
      <c r="C1200" s="48" t="s">
        <v>1221</v>
      </c>
      <c r="D1200" s="114" t="str">
        <f>VLOOKUP(C1200,'Custos Matéria Prima Embalagens'!B:C,2,0)</f>
        <v>MODIWAN 105H CE (CT-1000P)</v>
      </c>
      <c r="E1200" s="114" t="str">
        <f>VLOOKUP(C1200,'Custos Matéria Prima Embalagens'!B:D,3,0)</f>
        <v>ESPESSANTE DE MEDIA</v>
      </c>
      <c r="F1200" s="270">
        <f t="shared" si="156"/>
        <v>1956</v>
      </c>
      <c r="G1200" s="148">
        <f t="shared" si="157"/>
        <v>1.0224948875255624E-2</v>
      </c>
      <c r="H1200" s="96">
        <v>20</v>
      </c>
      <c r="I1200" s="272">
        <f>ROUND(F1200/VLOOKUP(A1200,'Tabela de Produtos'!A:J,10,0),0)</f>
        <v>1540</v>
      </c>
      <c r="J1200" s="97">
        <f>IFERROR(VLOOKUP(C1200,'Custos Matéria Prima Embalagens'!B:G,6,0)*H1200,"Matéria Prima Não Cadastrada")</f>
        <v>158.1</v>
      </c>
      <c r="K1200" s="97">
        <f>IFERROR(J1200/(I1200/VLOOKUP(A1200,'Tabela de Produtos'!A:H,8,0)),"Matéria Prima Não Cadastrada")</f>
        <v>1.5399350649350647</v>
      </c>
      <c r="L1200" s="216"/>
    </row>
    <row r="1201" spans="1:12" ht="15.75" customHeight="1">
      <c r="A1201" s="114" t="s">
        <v>190</v>
      </c>
      <c r="B1201" s="114" t="str">
        <f>VLOOKUP(A1201,'Tabela de Produtos'!A:B,2,0)</f>
        <v>BRAZIMIL LÁTEX STANDARD INT/EXT FOSCO 15L ROSA PETALA</v>
      </c>
      <c r="C1201" s="48" t="s">
        <v>1223</v>
      </c>
      <c r="D1201" s="114" t="str">
        <f>VLOOKUP(C1201,'Custos Matéria Prima Embalagens'!B:C,2,0)</f>
        <v>TURBOWAN H CE (BH-200)</v>
      </c>
      <c r="E1201" s="114" t="str">
        <f>VLOOKUP(C1201,'Custos Matéria Prima Embalagens'!B:D,3,0)</f>
        <v>PROMOTOR DE LAVABILIDADE</v>
      </c>
      <c r="F1201" s="270">
        <f t="shared" si="156"/>
        <v>1956</v>
      </c>
      <c r="G1201" s="148">
        <f t="shared" si="157"/>
        <v>7.6687116564417178E-3</v>
      </c>
      <c r="H1201" s="96">
        <v>15</v>
      </c>
      <c r="I1201" s="272">
        <f>ROUND(F1201/VLOOKUP(A1201,'Tabela de Produtos'!A:J,10,0),0)</f>
        <v>1540</v>
      </c>
      <c r="J1201" s="97">
        <f>IFERROR(VLOOKUP(C1201,'Custos Matéria Prima Embalagens'!B:G,6,0)*H1201,"Matéria Prima Não Cadastrada")</f>
        <v>72.75</v>
      </c>
      <c r="K1201" s="97">
        <f>IFERROR(J1201/(I1201/VLOOKUP(A1201,'Tabela de Produtos'!A:H,8,0)),"Matéria Prima Não Cadastrada")</f>
        <v>0.70860389610389607</v>
      </c>
      <c r="L1201" s="216"/>
    </row>
    <row r="1202" spans="1:12" ht="15.75" customHeight="1">
      <c r="A1202" s="114" t="s">
        <v>190</v>
      </c>
      <c r="B1202" s="114" t="str">
        <f>VLOOKUP(A1202,'Tabela de Produtos'!A:B,2,0)</f>
        <v>BRAZIMIL LÁTEX STANDARD INT/EXT FOSCO 15L ROSA PETALA</v>
      </c>
      <c r="C1202" s="48" t="s">
        <v>1229</v>
      </c>
      <c r="D1202" s="114" t="str">
        <f>VLOOKUP(C1202,'Custos Matéria Prima Embalagens'!B:C,2,0)</f>
        <v>WANSOL 340 CE (BB-200)</v>
      </c>
      <c r="E1202" s="114" t="str">
        <f>VLOOKUP(C1202,'Custos Matéria Prima Embalagens'!B:D,3,0)</f>
        <v>COALESCENTE</v>
      </c>
      <c r="F1202" s="270">
        <f t="shared" si="156"/>
        <v>1956</v>
      </c>
      <c r="G1202" s="148">
        <f t="shared" si="157"/>
        <v>5.1124744376278121E-3</v>
      </c>
      <c r="H1202" s="96">
        <v>10</v>
      </c>
      <c r="I1202" s="272">
        <f>ROUND(F1202/VLOOKUP(A1202,'Tabela de Produtos'!A:J,10,0),0)</f>
        <v>1540</v>
      </c>
      <c r="J1202" s="97">
        <f>IFERROR(VLOOKUP(C1202,'Custos Matéria Prima Embalagens'!B:G,6,0)*H1202,"Matéria Prima Não Cadastrada")</f>
        <v>192.2</v>
      </c>
      <c r="K1202" s="97">
        <f>IFERROR(J1202/(I1202/VLOOKUP(A1202,'Tabela de Produtos'!A:H,8,0)),"Matéria Prima Não Cadastrada")</f>
        <v>1.8720779220779218</v>
      </c>
      <c r="L1202" s="216"/>
    </row>
    <row r="1203" spans="1:12" ht="15.75" customHeight="1">
      <c r="D1203" s="114"/>
      <c r="E1203" s="114"/>
      <c r="F1203" s="96"/>
      <c r="G1203" s="148"/>
      <c r="H1203" s="96"/>
      <c r="I1203" s="272"/>
      <c r="J1203" s="97"/>
      <c r="K1203" s="97"/>
      <c r="L1203" s="216"/>
    </row>
    <row r="1204" spans="1:12" ht="15.75" customHeight="1">
      <c r="A1204" s="114" t="s">
        <v>191</v>
      </c>
      <c r="B1204" s="114" t="str">
        <f>VLOOKUP(A1204,'Tabela de Produtos'!A:B,2,0)</f>
        <v>BRAZIMIL LÁTEX STANDARD INT/EXT FOSCO 15L ACAI AMAZONICO</v>
      </c>
      <c r="C1204" s="48" t="s">
        <v>1197</v>
      </c>
      <c r="D1204" s="114" t="str">
        <f>VLOOKUP(C1204,'Custos Matéria Prima Embalagens'!B:C,2,0)</f>
        <v>AGUA</v>
      </c>
      <c r="E1204" s="114" t="str">
        <f>VLOOKUP(C1204,'Custos Matéria Prima Embalagens'!B:D,3,0)</f>
        <v>AGUA</v>
      </c>
      <c r="F1204" s="270">
        <f t="shared" ref="F1204:F1218" si="158">SUMIFS(H:H,A:A,A1204)</f>
        <v>1956</v>
      </c>
      <c r="G1204" s="148">
        <f t="shared" ref="G1204:G1218" si="159">H1204/F1204</f>
        <v>0.47034764826175868</v>
      </c>
      <c r="H1204" s="96">
        <v>920</v>
      </c>
      <c r="I1204" s="272">
        <f>ROUND(F1204/VLOOKUP(A1204,'Tabela de Produtos'!A:J,10,0),0)</f>
        <v>1540</v>
      </c>
      <c r="J1204" s="97">
        <f>IFERROR(VLOOKUP(C1204,'Custos Matéria Prima Embalagens'!B:G,6,0)*H1204,"Matéria Prima Não Cadastrada")</f>
        <v>0</v>
      </c>
      <c r="K1204" s="97">
        <f>IFERROR(J1204/(I1204/VLOOKUP(A1204,'Tabela de Produtos'!A:H,8,0)),"Matéria Prima Não Cadastrada")</f>
        <v>0</v>
      </c>
      <c r="L1204" s="216"/>
    </row>
    <row r="1205" spans="1:12" ht="15.75" customHeight="1">
      <c r="A1205" s="114" t="s">
        <v>191</v>
      </c>
      <c r="B1205" s="114" t="str">
        <f>VLOOKUP(A1205,'Tabela de Produtos'!A:B,2,0)</f>
        <v>BRAZIMIL LÁTEX STANDARD INT/EXT FOSCO 15L ACAI AMAZONICO</v>
      </c>
      <c r="C1205" s="48" t="s">
        <v>1201</v>
      </c>
      <c r="D1205" s="114" t="str">
        <f>VLOOKUP(C1205,'Custos Matéria Prima Embalagens'!B:C,2,0)</f>
        <v>WANFOAM 528 CE (BB-190)</v>
      </c>
      <c r="E1205" s="114" t="str">
        <f>VLOOKUP(C1205,'Custos Matéria Prima Embalagens'!B:D,3,0)</f>
        <v>ANTI ESPUMA LATEX</v>
      </c>
      <c r="F1205" s="270">
        <f t="shared" si="158"/>
        <v>1956</v>
      </c>
      <c r="G1205" s="148">
        <f t="shared" si="159"/>
        <v>2.5562372188139061E-3</v>
      </c>
      <c r="H1205" s="96">
        <v>5</v>
      </c>
      <c r="I1205" s="272">
        <f>ROUND(F1205/VLOOKUP(A1205,'Tabela de Produtos'!A:J,10,0),0)</f>
        <v>1540</v>
      </c>
      <c r="J1205" s="97">
        <f>IFERROR(VLOOKUP(C1205,'Custos Matéria Prima Embalagens'!B:G,6,0)*H1205,"Matéria Prima Não Cadastrada")</f>
        <v>35.9</v>
      </c>
      <c r="K1205" s="97">
        <f>IFERROR(J1205/(I1205/VLOOKUP(A1205,'Tabela de Produtos'!A:H,8,0)),"Matéria Prima Não Cadastrada")</f>
        <v>0.34967532467532464</v>
      </c>
      <c r="L1205" s="216"/>
    </row>
    <row r="1206" spans="1:12" ht="15.75" customHeight="1">
      <c r="A1206" s="114" t="s">
        <v>191</v>
      </c>
      <c r="B1206" s="114" t="str">
        <f>VLOOKUP(A1206,'Tabela de Produtos'!A:B,2,0)</f>
        <v>BRAZIMIL LÁTEX STANDARD INT/EXT FOSCO 15L ACAI AMAZONICO</v>
      </c>
      <c r="C1206" s="48" t="s">
        <v>1203</v>
      </c>
      <c r="D1206" s="114" t="str">
        <f>VLOOKUP(C1206,'Custos Matéria Prima Embalagens'!B:C,2,0)</f>
        <v>WANBAC WBT CE (BH-200)</v>
      </c>
      <c r="E1206" s="114" t="str">
        <f>VLOOKUP(C1206,'Custos Matéria Prima Embalagens'!B:D,3,0)</f>
        <v>BACTERICIDA</v>
      </c>
      <c r="F1206" s="270">
        <f t="shared" si="158"/>
        <v>1956</v>
      </c>
      <c r="G1206" s="148">
        <f t="shared" si="159"/>
        <v>3.0674846625766872E-3</v>
      </c>
      <c r="H1206" s="96">
        <v>6</v>
      </c>
      <c r="I1206" s="272">
        <f>ROUND(F1206/VLOOKUP(A1206,'Tabela de Produtos'!A:J,10,0),0)</f>
        <v>1540</v>
      </c>
      <c r="J1206" s="97">
        <f>IFERROR(VLOOKUP(C1206,'Custos Matéria Prima Embalagens'!B:G,6,0)*H1206,"Matéria Prima Não Cadastrada")</f>
        <v>29.639999999999997</v>
      </c>
      <c r="K1206" s="97">
        <f>IFERROR(J1206/(I1206/VLOOKUP(A1206,'Tabela de Produtos'!A:H,8,0)),"Matéria Prima Não Cadastrada")</f>
        <v>0.28870129870129868</v>
      </c>
      <c r="L1206" s="216"/>
    </row>
    <row r="1207" spans="1:12" ht="15.75" customHeight="1">
      <c r="A1207" s="114" t="s">
        <v>191</v>
      </c>
      <c r="B1207" s="114" t="str">
        <f>VLOOKUP(A1207,'Tabela de Produtos'!A:B,2,0)</f>
        <v>BRAZIMIL LÁTEX STANDARD INT/EXT FOSCO 15L ACAI AMAZONICO</v>
      </c>
      <c r="C1207" s="48" t="s">
        <v>1205</v>
      </c>
      <c r="D1207" s="114" t="str">
        <f>VLOOKUP(C1207,'Custos Matéria Prima Embalagens'!B:C,2,0)</f>
        <v>WANSUR 840 CE (BB-200)01</v>
      </c>
      <c r="E1207" s="114" t="str">
        <f>VLOOKUP(C1207,'Custos Matéria Prima Embalagens'!B:D,3,0)</f>
        <v>UMECTANTE</v>
      </c>
      <c r="F1207" s="270">
        <f t="shared" si="158"/>
        <v>1956</v>
      </c>
      <c r="G1207" s="148">
        <f t="shared" si="159"/>
        <v>2.0449897750511249E-3</v>
      </c>
      <c r="H1207" s="96">
        <v>4</v>
      </c>
      <c r="I1207" s="272">
        <f>ROUND(F1207/VLOOKUP(A1207,'Tabela de Produtos'!A:J,10,0),0)</f>
        <v>1540</v>
      </c>
      <c r="J1207" s="97">
        <f>IFERROR(VLOOKUP(C1207,'Custos Matéria Prima Embalagens'!B:G,6,0)*H1207,"Matéria Prima Não Cadastrada")</f>
        <v>29.32</v>
      </c>
      <c r="K1207" s="97">
        <f>IFERROR(J1207/(I1207/VLOOKUP(A1207,'Tabela de Produtos'!A:H,8,0)),"Matéria Prima Não Cadastrada")</f>
        <v>0.28558441558441555</v>
      </c>
      <c r="L1207" s="216"/>
    </row>
    <row r="1208" spans="1:12" ht="15.75" customHeight="1">
      <c r="A1208" s="114" t="s">
        <v>191</v>
      </c>
      <c r="B1208" s="114" t="str">
        <f>VLOOKUP(A1208,'Tabela de Produtos'!A:B,2,0)</f>
        <v>BRAZIMIL LÁTEX STANDARD INT/EXT FOSCO 15L ACAI AMAZONICO</v>
      </c>
      <c r="C1208" s="48" t="s">
        <v>1207</v>
      </c>
      <c r="D1208" s="114" t="str">
        <f>VLOOKUP(C1208,'Custos Matéria Prima Embalagens'!B:C,2,0)</f>
        <v>WANPEX 1510 (BB-200)</v>
      </c>
      <c r="E1208" s="114" t="str">
        <f>VLOOKUP(C1208,'Custos Matéria Prima Embalagens'!B:D,3,0)</f>
        <v>DISPERSANTE LATEX</v>
      </c>
      <c r="F1208" s="270">
        <f t="shared" si="158"/>
        <v>1956</v>
      </c>
      <c r="G1208" s="148">
        <f t="shared" si="159"/>
        <v>3.0674846625766872E-3</v>
      </c>
      <c r="H1208" s="96">
        <v>6</v>
      </c>
      <c r="I1208" s="272">
        <f>ROUND(F1208/VLOOKUP(A1208,'Tabela de Produtos'!A:J,10,0),0)</f>
        <v>1540</v>
      </c>
      <c r="J1208" s="97">
        <f>IFERROR(VLOOKUP(C1208,'Custos Matéria Prima Embalagens'!B:G,6,0)*H1208,"Matéria Prima Não Cadastrada")</f>
        <v>41.16</v>
      </c>
      <c r="K1208" s="97">
        <f>IFERROR(J1208/(I1208/VLOOKUP(A1208,'Tabela de Produtos'!A:H,8,0)),"Matéria Prima Não Cadastrada")</f>
        <v>0.40090909090909088</v>
      </c>
      <c r="L1208" s="216"/>
    </row>
    <row r="1209" spans="1:12" ht="15.75" customHeight="1">
      <c r="A1209" s="114" t="s">
        <v>191</v>
      </c>
      <c r="B1209" s="114" t="str">
        <f>VLOOKUP(A1209,'Tabela de Produtos'!A:B,2,0)</f>
        <v>BRAZIMIL LÁTEX STANDARD INT/EXT FOSCO 15L ACAI AMAZONICO</v>
      </c>
      <c r="C1209" s="48" t="s">
        <v>1209</v>
      </c>
      <c r="D1209" s="114" t="str">
        <f>VLOOKUP(C1209,'Custos Matéria Prima Embalagens'!B:C,2,0)</f>
        <v>WANFUNG WFT CE (BH-200)</v>
      </c>
      <c r="E1209" s="114" t="str">
        <f>VLOOKUP(C1209,'Custos Matéria Prima Embalagens'!B:D,3,0)</f>
        <v>FUNGICIDA</v>
      </c>
      <c r="F1209" s="270">
        <f t="shared" si="158"/>
        <v>1956</v>
      </c>
      <c r="G1209" s="148">
        <f t="shared" si="159"/>
        <v>2.5562372188139061E-3</v>
      </c>
      <c r="H1209" s="96">
        <v>5</v>
      </c>
      <c r="I1209" s="272">
        <f>ROUND(F1209/VLOOKUP(A1209,'Tabela de Produtos'!A:J,10,0),0)</f>
        <v>1540</v>
      </c>
      <c r="J1209" s="97">
        <f>IFERROR(VLOOKUP(C1209,'Custos Matéria Prima Embalagens'!B:G,6,0)*H1209,"Matéria Prima Não Cadastrada")</f>
        <v>35</v>
      </c>
      <c r="K1209" s="97">
        <f>IFERROR(J1209/(I1209/VLOOKUP(A1209,'Tabela de Produtos'!A:H,8,0)),"Matéria Prima Não Cadastrada")</f>
        <v>0.34090909090909088</v>
      </c>
      <c r="L1209" s="216"/>
    </row>
    <row r="1210" spans="1:12" ht="15.75" customHeight="1">
      <c r="A1210" s="114" t="s">
        <v>191</v>
      </c>
      <c r="B1210" s="114" t="str">
        <f>VLOOKUP(A1210,'Tabela de Produtos'!A:B,2,0)</f>
        <v>BRAZIMIL LÁTEX STANDARD INT/EXT FOSCO 15L ACAI AMAZONICO</v>
      </c>
      <c r="C1210" s="48" t="s">
        <v>1211</v>
      </c>
      <c r="D1210" s="114" t="str">
        <f>VLOOKUP(C1210,'Custos Matéria Prima Embalagens'!B:C,2,0)</f>
        <v>WHITE PLUS PB (SC-25) (Em negociação)</v>
      </c>
      <c r="E1210" s="114" t="str">
        <f>VLOOKUP(C1210,'Custos Matéria Prima Embalagens'!B:D,3,0)</f>
        <v>WHITE PLUS</v>
      </c>
      <c r="F1210" s="270">
        <f t="shared" si="158"/>
        <v>1956</v>
      </c>
      <c r="G1210" s="148">
        <f t="shared" si="159"/>
        <v>0.15337423312883436</v>
      </c>
      <c r="H1210" s="96">
        <v>300</v>
      </c>
      <c r="I1210" s="272">
        <f>ROUND(F1210/VLOOKUP(A1210,'Tabela de Produtos'!A:J,10,0),0)</f>
        <v>1540</v>
      </c>
      <c r="J1210" s="97">
        <f>IFERROR(VLOOKUP(C1210,'Custos Matéria Prima Embalagens'!B:G,6,0)*H1210,"Matéria Prima Não Cadastrada")</f>
        <v>927</v>
      </c>
      <c r="K1210" s="97">
        <f>IFERROR(J1210/(I1210/VLOOKUP(A1210,'Tabela de Produtos'!A:H,8,0)),"Matéria Prima Não Cadastrada")</f>
        <v>9.029220779220779</v>
      </c>
      <c r="L1210" s="216"/>
    </row>
    <row r="1211" spans="1:12" ht="15.75" customHeight="1">
      <c r="A1211" s="114" t="s">
        <v>191</v>
      </c>
      <c r="B1211" s="114" t="str">
        <f>VLOOKUP(A1211,'Tabela de Produtos'!A:B,2,0)</f>
        <v>BRAZIMIL LÁTEX STANDARD INT/EXT FOSCO 15L ACAI AMAZONICO</v>
      </c>
      <c r="C1211" s="48" t="s">
        <v>1213</v>
      </c>
      <c r="D1211" s="114" t="str">
        <f>VLOOKUP(C1211,'Custos Matéria Prima Embalagens'!B:C,2,0)</f>
        <v>DIOXIDO DE TITANIO RUTILO R-996</v>
      </c>
      <c r="E1211" s="114" t="str">
        <f>VLOOKUP(C1211,'Custos Matéria Prima Embalagens'!B:D,3,0)</f>
        <v>TITANIO</v>
      </c>
      <c r="F1211" s="270">
        <f t="shared" si="158"/>
        <v>1956</v>
      </c>
      <c r="G1211" s="148">
        <f t="shared" si="159"/>
        <v>3.0674846625766871E-2</v>
      </c>
      <c r="H1211" s="96">
        <v>60</v>
      </c>
      <c r="I1211" s="272">
        <f>ROUND(F1211/VLOOKUP(A1211,'Tabela de Produtos'!A:J,10,0),0)</f>
        <v>1540</v>
      </c>
      <c r="J1211" s="97">
        <f>IFERROR(VLOOKUP(C1211,'Custos Matéria Prima Embalagens'!B:G,6,0)*H1211,"Matéria Prima Não Cadastrada")</f>
        <v>1158</v>
      </c>
      <c r="K1211" s="97">
        <f>IFERROR(J1211/(I1211/VLOOKUP(A1211,'Tabela de Produtos'!A:H,8,0)),"Matéria Prima Não Cadastrada")</f>
        <v>11.279220779220779</v>
      </c>
      <c r="L1211" s="216"/>
    </row>
    <row r="1212" spans="1:12" ht="15.75" customHeight="1">
      <c r="A1212" s="114" t="s">
        <v>191</v>
      </c>
      <c r="B1212" s="114" t="str">
        <f>VLOOKUP(A1212,'Tabela de Produtos'!A:B,2,0)</f>
        <v>BRAZIMIL LÁTEX STANDARD INT/EXT FOSCO 15L ACAI AMAZONICO</v>
      </c>
      <c r="C1212" s="48" t="s">
        <v>1215</v>
      </c>
      <c r="D1212" s="114" t="str">
        <f>VLOOKUP(C1212,'Custos Matéria Prima Embalagens'!B:C,2,0)</f>
        <v>CALCARIO DOLOMITICO #500 ( SACOS 25 KG)</v>
      </c>
      <c r="E1212" s="114" t="str">
        <f>VLOOKUP(C1212,'Custos Matéria Prima Embalagens'!B:D,3,0)</f>
        <v>CARBONATO #500</v>
      </c>
      <c r="F1212" s="270">
        <f t="shared" si="158"/>
        <v>1956</v>
      </c>
      <c r="G1212" s="148">
        <f t="shared" si="159"/>
        <v>0.15337423312883436</v>
      </c>
      <c r="H1212" s="96">
        <v>300</v>
      </c>
      <c r="I1212" s="272">
        <f>ROUND(F1212/VLOOKUP(A1212,'Tabela de Produtos'!A:J,10,0),0)</f>
        <v>1540</v>
      </c>
      <c r="J1212" s="97">
        <f>IFERROR(VLOOKUP(C1212,'Custos Matéria Prima Embalagens'!B:G,6,0)*H1212,"Matéria Prima Não Cadastrada")</f>
        <v>240</v>
      </c>
      <c r="K1212" s="97">
        <f>IFERROR(J1212/(I1212/VLOOKUP(A1212,'Tabela de Produtos'!A:H,8,0)),"Matéria Prima Não Cadastrada")</f>
        <v>2.3376623376623376</v>
      </c>
      <c r="L1212" s="216"/>
    </row>
    <row r="1213" spans="1:12" ht="15.75" customHeight="1">
      <c r="A1213" s="114" t="s">
        <v>191</v>
      </c>
      <c r="B1213" s="114" t="str">
        <f>VLOOKUP(A1213,'Tabela de Produtos'!A:B,2,0)</f>
        <v>BRAZIMIL LÁTEX STANDARD INT/EXT FOSCO 15L ACAI AMAZONICO</v>
      </c>
      <c r="C1213" s="48" t="s">
        <v>1227</v>
      </c>
      <c r="D1213" s="114" t="str">
        <f>VLOOKUP(C1213,'Custos Matéria Prima Embalagens'!B:C,2,0)</f>
        <v>CAULIM MALHA 325</v>
      </c>
      <c r="E1213" s="114" t="str">
        <f>VLOOKUP(C1213,'Custos Matéria Prima Embalagens'!B:D,3,0)</f>
        <v>caulim</v>
      </c>
      <c r="F1213" s="270">
        <f t="shared" si="158"/>
        <v>1956</v>
      </c>
      <c r="G1213" s="148">
        <f t="shared" si="159"/>
        <v>5.112474437627812E-2</v>
      </c>
      <c r="H1213" s="96">
        <v>100</v>
      </c>
      <c r="I1213" s="272">
        <f>ROUND(F1213/VLOOKUP(A1213,'Tabela de Produtos'!A:J,10,0),0)</f>
        <v>1540</v>
      </c>
      <c r="J1213" s="97">
        <f>IFERROR(VLOOKUP(C1213,'Custos Matéria Prima Embalagens'!B:G,6,0)*H1213,"Matéria Prima Não Cadastrada")</f>
        <v>152.04955555555551</v>
      </c>
      <c r="K1213" s="97">
        <f>IFERROR(J1213/(I1213/VLOOKUP(A1213,'Tabela de Produtos'!A:H,8,0)),"Matéria Prima Não Cadastrada")</f>
        <v>1.481002164502164</v>
      </c>
      <c r="L1213" s="216"/>
    </row>
    <row r="1214" spans="1:12" ht="15.75" customHeight="1">
      <c r="A1214" s="114" t="s">
        <v>191</v>
      </c>
      <c r="B1214" s="114" t="str">
        <f>VLOOKUP(A1214,'Tabela de Produtos'!A:B,2,0)</f>
        <v>BRAZIMIL LÁTEX STANDARD INT/EXT FOSCO 15L ACAI AMAZONICO</v>
      </c>
      <c r="C1214" s="48" t="s">
        <v>1217</v>
      </c>
      <c r="D1214" s="114" t="str">
        <f>VLOOKUP(C1214,'Custos Matéria Prima Embalagens'!B:C,2,0)</f>
        <v>WANCRIL W 51 CE (CT-1000P)</v>
      </c>
      <c r="E1214" s="114" t="str">
        <f>VLOOKUP(C1214,'Custos Matéria Prima Embalagens'!B:D,3,0)</f>
        <v>RESINA ACRILICA ESTIRENADA</v>
      </c>
      <c r="F1214" s="270">
        <f t="shared" si="158"/>
        <v>1956</v>
      </c>
      <c r="G1214" s="148">
        <f t="shared" si="159"/>
        <v>0.10224948875255624</v>
      </c>
      <c r="H1214" s="96">
        <v>200</v>
      </c>
      <c r="I1214" s="272">
        <f>ROUND(F1214/VLOOKUP(A1214,'Tabela de Produtos'!A:J,10,0),0)</f>
        <v>1540</v>
      </c>
      <c r="J1214" s="97">
        <f>IFERROR(VLOOKUP(C1214,'Custos Matéria Prima Embalagens'!B:G,6,0)*H1214,"Matéria Prima Não Cadastrada")</f>
        <v>1686</v>
      </c>
      <c r="K1214" s="97">
        <f>IFERROR(J1214/(I1214/VLOOKUP(A1214,'Tabela de Produtos'!A:H,8,0)),"Matéria Prima Não Cadastrada")</f>
        <v>16.422077922077921</v>
      </c>
      <c r="L1214" s="216"/>
    </row>
    <row r="1215" spans="1:12" ht="15.75" customHeight="1">
      <c r="A1215" s="114" t="s">
        <v>191</v>
      </c>
      <c r="B1215" s="114" t="str">
        <f>VLOOKUP(A1215,'Tabela de Produtos'!A:B,2,0)</f>
        <v>BRAZIMIL LÁTEX STANDARD INT/EXT FOSCO 15L ACAI AMAZONICO</v>
      </c>
      <c r="C1215" s="48" t="s">
        <v>1219</v>
      </c>
      <c r="D1215" s="114" t="str">
        <f>VLOOKUP(C1215,'Custos Matéria Prima Embalagens'!B:C,2,0)</f>
        <v>WANALK 70 CE (BH-200)</v>
      </c>
      <c r="E1215" s="114" t="str">
        <f>VLOOKUP(C1215,'Custos Matéria Prima Embalagens'!B:D,3,0)</f>
        <v>ALCALINIZANTE</v>
      </c>
      <c r="F1215" s="270">
        <f t="shared" si="158"/>
        <v>1956</v>
      </c>
      <c r="G1215" s="148">
        <f t="shared" si="159"/>
        <v>2.5562372188139061E-3</v>
      </c>
      <c r="H1215" s="96">
        <v>5</v>
      </c>
      <c r="I1215" s="272">
        <f>ROUND(F1215/VLOOKUP(A1215,'Tabela de Produtos'!A:J,10,0),0)</f>
        <v>1540</v>
      </c>
      <c r="J1215" s="97">
        <f>IFERROR(VLOOKUP(C1215,'Custos Matéria Prima Embalagens'!B:G,6,0)*H1215,"Matéria Prima Não Cadastrada")</f>
        <v>24.900000000000002</v>
      </c>
      <c r="K1215" s="97">
        <f>IFERROR(J1215/(I1215/VLOOKUP(A1215,'Tabela de Produtos'!A:H,8,0)),"Matéria Prima Não Cadastrada")</f>
        <v>0.24253246753246754</v>
      </c>
      <c r="L1215" s="216"/>
    </row>
    <row r="1216" spans="1:12" ht="15.75" customHeight="1">
      <c r="A1216" s="114" t="s">
        <v>191</v>
      </c>
      <c r="B1216" s="114" t="str">
        <f>VLOOKUP(A1216,'Tabela de Produtos'!A:B,2,0)</f>
        <v>BRAZIMIL LÁTEX STANDARD INT/EXT FOSCO 15L ACAI AMAZONICO</v>
      </c>
      <c r="C1216" s="48" t="s">
        <v>1221</v>
      </c>
      <c r="D1216" s="114" t="str">
        <f>VLOOKUP(C1216,'Custos Matéria Prima Embalagens'!B:C,2,0)</f>
        <v>MODIWAN 105H CE (CT-1000P)</v>
      </c>
      <c r="E1216" s="114" t="str">
        <f>VLOOKUP(C1216,'Custos Matéria Prima Embalagens'!B:D,3,0)</f>
        <v>ESPESSANTE DE MEDIA</v>
      </c>
      <c r="F1216" s="270">
        <f t="shared" si="158"/>
        <v>1956</v>
      </c>
      <c r="G1216" s="148">
        <f t="shared" si="159"/>
        <v>1.0224948875255624E-2</v>
      </c>
      <c r="H1216" s="96">
        <v>20</v>
      </c>
      <c r="I1216" s="272">
        <f>ROUND(F1216/VLOOKUP(A1216,'Tabela de Produtos'!A:J,10,0),0)</f>
        <v>1540</v>
      </c>
      <c r="J1216" s="97">
        <f>IFERROR(VLOOKUP(C1216,'Custos Matéria Prima Embalagens'!B:G,6,0)*H1216,"Matéria Prima Não Cadastrada")</f>
        <v>158.1</v>
      </c>
      <c r="K1216" s="97">
        <f>IFERROR(J1216/(I1216/VLOOKUP(A1216,'Tabela de Produtos'!A:H,8,0)),"Matéria Prima Não Cadastrada")</f>
        <v>1.5399350649350647</v>
      </c>
      <c r="L1216" s="216"/>
    </row>
    <row r="1217" spans="1:12" ht="15.75" customHeight="1">
      <c r="A1217" s="114" t="s">
        <v>191</v>
      </c>
      <c r="B1217" s="114" t="str">
        <f>VLOOKUP(A1217,'Tabela de Produtos'!A:B,2,0)</f>
        <v>BRAZIMIL LÁTEX STANDARD INT/EXT FOSCO 15L ACAI AMAZONICO</v>
      </c>
      <c r="C1217" s="48" t="s">
        <v>1223</v>
      </c>
      <c r="D1217" s="114" t="str">
        <f>VLOOKUP(C1217,'Custos Matéria Prima Embalagens'!B:C,2,0)</f>
        <v>TURBOWAN H CE (BH-200)</v>
      </c>
      <c r="E1217" s="114" t="str">
        <f>VLOOKUP(C1217,'Custos Matéria Prima Embalagens'!B:D,3,0)</f>
        <v>PROMOTOR DE LAVABILIDADE</v>
      </c>
      <c r="F1217" s="270">
        <f t="shared" si="158"/>
        <v>1956</v>
      </c>
      <c r="G1217" s="148">
        <f t="shared" si="159"/>
        <v>7.6687116564417178E-3</v>
      </c>
      <c r="H1217" s="96">
        <v>15</v>
      </c>
      <c r="I1217" s="272">
        <f>ROUND(F1217/VLOOKUP(A1217,'Tabela de Produtos'!A:J,10,0),0)</f>
        <v>1540</v>
      </c>
      <c r="J1217" s="97">
        <f>IFERROR(VLOOKUP(C1217,'Custos Matéria Prima Embalagens'!B:G,6,0)*H1217,"Matéria Prima Não Cadastrada")</f>
        <v>72.75</v>
      </c>
      <c r="K1217" s="97">
        <f>IFERROR(J1217/(I1217/VLOOKUP(A1217,'Tabela de Produtos'!A:H,8,0)),"Matéria Prima Não Cadastrada")</f>
        <v>0.70860389610389607</v>
      </c>
      <c r="L1217" s="216"/>
    </row>
    <row r="1218" spans="1:12" ht="15.75" customHeight="1">
      <c r="A1218" s="114" t="s">
        <v>191</v>
      </c>
      <c r="B1218" s="114" t="str">
        <f>VLOOKUP(A1218,'Tabela de Produtos'!A:B,2,0)</f>
        <v>BRAZIMIL LÁTEX STANDARD INT/EXT FOSCO 15L ACAI AMAZONICO</v>
      </c>
      <c r="C1218" s="48" t="s">
        <v>1229</v>
      </c>
      <c r="D1218" s="114" t="str">
        <f>VLOOKUP(C1218,'Custos Matéria Prima Embalagens'!B:C,2,0)</f>
        <v>WANSOL 340 CE (BB-200)</v>
      </c>
      <c r="E1218" s="114" t="str">
        <f>VLOOKUP(C1218,'Custos Matéria Prima Embalagens'!B:D,3,0)</f>
        <v>COALESCENTE</v>
      </c>
      <c r="F1218" s="270">
        <f t="shared" si="158"/>
        <v>1956</v>
      </c>
      <c r="G1218" s="148">
        <f t="shared" si="159"/>
        <v>5.1124744376278121E-3</v>
      </c>
      <c r="H1218" s="96">
        <v>10</v>
      </c>
      <c r="I1218" s="272">
        <f>ROUND(F1218/VLOOKUP(A1218,'Tabela de Produtos'!A:J,10,0),0)</f>
        <v>1540</v>
      </c>
      <c r="J1218" s="97">
        <f>IFERROR(VLOOKUP(C1218,'Custos Matéria Prima Embalagens'!B:G,6,0)*H1218,"Matéria Prima Não Cadastrada")</f>
        <v>192.2</v>
      </c>
      <c r="K1218" s="97">
        <f>IFERROR(J1218/(I1218/VLOOKUP(A1218,'Tabela de Produtos'!A:H,8,0)),"Matéria Prima Não Cadastrada")</f>
        <v>1.8720779220779218</v>
      </c>
      <c r="L1218" s="216"/>
    </row>
    <row r="1219" spans="1:12" ht="15.75" customHeight="1">
      <c r="D1219" s="114"/>
      <c r="E1219" s="114"/>
      <c r="F1219" s="96"/>
      <c r="G1219" s="148"/>
      <c r="H1219" s="96"/>
      <c r="I1219" s="272"/>
      <c r="J1219" s="97"/>
      <c r="K1219" s="97"/>
      <c r="L1219" s="216"/>
    </row>
    <row r="1220" spans="1:12" ht="15.75" customHeight="1">
      <c r="A1220" s="114" t="s">
        <v>192</v>
      </c>
      <c r="B1220" s="114" t="str">
        <f>VLOOKUP(A1220,'Tabela de Produtos'!A:B,2,0)</f>
        <v>BRAZIMIL LÁTEX STANDARD INT/EXT FOSCO 15L VERDE FOLHA</v>
      </c>
      <c r="C1220" s="48" t="s">
        <v>1197</v>
      </c>
      <c r="D1220" s="114" t="str">
        <f>VLOOKUP(C1220,'Custos Matéria Prima Embalagens'!B:C,2,0)</f>
        <v>AGUA</v>
      </c>
      <c r="E1220" s="114" t="str">
        <f>VLOOKUP(C1220,'Custos Matéria Prima Embalagens'!B:D,3,0)</f>
        <v>AGUA</v>
      </c>
      <c r="F1220" s="270">
        <f t="shared" ref="F1220:F1234" si="160">SUMIFS(H:H,A:A,A1220)</f>
        <v>1956</v>
      </c>
      <c r="G1220" s="148">
        <f t="shared" ref="G1220:G1234" si="161">H1220/F1220</f>
        <v>0.47034764826175868</v>
      </c>
      <c r="H1220" s="96">
        <v>920</v>
      </c>
      <c r="I1220" s="272">
        <f>ROUND(F1220/VLOOKUP(A1220,'Tabela de Produtos'!A:J,10,0),0)</f>
        <v>1540</v>
      </c>
      <c r="J1220" s="97">
        <f>IFERROR(VLOOKUP(C1220,'Custos Matéria Prima Embalagens'!B:G,6,0)*H1220,"Matéria Prima Não Cadastrada")</f>
        <v>0</v>
      </c>
      <c r="K1220" s="97">
        <f>IFERROR(J1220/(I1220/VLOOKUP(A1220,'Tabela de Produtos'!A:H,8,0)),"Matéria Prima Não Cadastrada")</f>
        <v>0</v>
      </c>
      <c r="L1220" s="216"/>
    </row>
    <row r="1221" spans="1:12" ht="15.75" customHeight="1">
      <c r="A1221" s="114" t="s">
        <v>192</v>
      </c>
      <c r="B1221" s="114" t="str">
        <f>VLOOKUP(A1221,'Tabela de Produtos'!A:B,2,0)</f>
        <v>BRAZIMIL LÁTEX STANDARD INT/EXT FOSCO 15L VERDE FOLHA</v>
      </c>
      <c r="C1221" s="48" t="s">
        <v>1201</v>
      </c>
      <c r="D1221" s="114" t="str">
        <f>VLOOKUP(C1221,'Custos Matéria Prima Embalagens'!B:C,2,0)</f>
        <v>WANFOAM 528 CE (BB-190)</v>
      </c>
      <c r="E1221" s="114" t="str">
        <f>VLOOKUP(C1221,'Custos Matéria Prima Embalagens'!B:D,3,0)</f>
        <v>ANTI ESPUMA LATEX</v>
      </c>
      <c r="F1221" s="270">
        <f t="shared" si="160"/>
        <v>1956</v>
      </c>
      <c r="G1221" s="148">
        <f t="shared" si="161"/>
        <v>2.5562372188139061E-3</v>
      </c>
      <c r="H1221" s="96">
        <v>5</v>
      </c>
      <c r="I1221" s="272">
        <f>ROUND(F1221/VLOOKUP(A1221,'Tabela de Produtos'!A:J,10,0),0)</f>
        <v>1540</v>
      </c>
      <c r="J1221" s="97">
        <f>IFERROR(VLOOKUP(C1221,'Custos Matéria Prima Embalagens'!B:G,6,0)*H1221,"Matéria Prima Não Cadastrada")</f>
        <v>35.9</v>
      </c>
      <c r="K1221" s="97">
        <f>IFERROR(J1221/(I1221/VLOOKUP(A1221,'Tabela de Produtos'!A:H,8,0)),"Matéria Prima Não Cadastrada")</f>
        <v>0.34967532467532464</v>
      </c>
      <c r="L1221" s="216"/>
    </row>
    <row r="1222" spans="1:12" ht="15.75" customHeight="1">
      <c r="A1222" s="114" t="s">
        <v>192</v>
      </c>
      <c r="B1222" s="114" t="str">
        <f>VLOOKUP(A1222,'Tabela de Produtos'!A:B,2,0)</f>
        <v>BRAZIMIL LÁTEX STANDARD INT/EXT FOSCO 15L VERDE FOLHA</v>
      </c>
      <c r="C1222" s="48" t="s">
        <v>1203</v>
      </c>
      <c r="D1222" s="114" t="str">
        <f>VLOOKUP(C1222,'Custos Matéria Prima Embalagens'!B:C,2,0)</f>
        <v>WANBAC WBT CE (BH-200)</v>
      </c>
      <c r="E1222" s="114" t="str">
        <f>VLOOKUP(C1222,'Custos Matéria Prima Embalagens'!B:D,3,0)</f>
        <v>BACTERICIDA</v>
      </c>
      <c r="F1222" s="270">
        <f t="shared" si="160"/>
        <v>1956</v>
      </c>
      <c r="G1222" s="148">
        <f t="shared" si="161"/>
        <v>3.0674846625766872E-3</v>
      </c>
      <c r="H1222" s="96">
        <v>6</v>
      </c>
      <c r="I1222" s="272">
        <f>ROUND(F1222/VLOOKUP(A1222,'Tabela de Produtos'!A:J,10,0),0)</f>
        <v>1540</v>
      </c>
      <c r="J1222" s="97">
        <f>IFERROR(VLOOKUP(C1222,'Custos Matéria Prima Embalagens'!B:G,6,0)*H1222,"Matéria Prima Não Cadastrada")</f>
        <v>29.639999999999997</v>
      </c>
      <c r="K1222" s="97">
        <f>IFERROR(J1222/(I1222/VLOOKUP(A1222,'Tabela de Produtos'!A:H,8,0)),"Matéria Prima Não Cadastrada")</f>
        <v>0.28870129870129868</v>
      </c>
      <c r="L1222" s="216"/>
    </row>
    <row r="1223" spans="1:12" ht="15.75" customHeight="1">
      <c r="A1223" s="114" t="s">
        <v>192</v>
      </c>
      <c r="B1223" s="114" t="str">
        <f>VLOOKUP(A1223,'Tabela de Produtos'!A:B,2,0)</f>
        <v>BRAZIMIL LÁTEX STANDARD INT/EXT FOSCO 15L VERDE FOLHA</v>
      </c>
      <c r="C1223" s="48" t="s">
        <v>1205</v>
      </c>
      <c r="D1223" s="114" t="str">
        <f>VLOOKUP(C1223,'Custos Matéria Prima Embalagens'!B:C,2,0)</f>
        <v>WANSUR 840 CE (BB-200)01</v>
      </c>
      <c r="E1223" s="114" t="str">
        <f>VLOOKUP(C1223,'Custos Matéria Prima Embalagens'!B:D,3,0)</f>
        <v>UMECTANTE</v>
      </c>
      <c r="F1223" s="270">
        <f t="shared" si="160"/>
        <v>1956</v>
      </c>
      <c r="G1223" s="148">
        <f t="shared" si="161"/>
        <v>2.0449897750511249E-3</v>
      </c>
      <c r="H1223" s="96">
        <v>4</v>
      </c>
      <c r="I1223" s="272">
        <f>ROUND(F1223/VLOOKUP(A1223,'Tabela de Produtos'!A:J,10,0),0)</f>
        <v>1540</v>
      </c>
      <c r="J1223" s="97">
        <f>IFERROR(VLOOKUP(C1223,'Custos Matéria Prima Embalagens'!B:G,6,0)*H1223,"Matéria Prima Não Cadastrada")</f>
        <v>29.32</v>
      </c>
      <c r="K1223" s="97">
        <f>IFERROR(J1223/(I1223/VLOOKUP(A1223,'Tabela de Produtos'!A:H,8,0)),"Matéria Prima Não Cadastrada")</f>
        <v>0.28558441558441555</v>
      </c>
      <c r="L1223" s="216"/>
    </row>
    <row r="1224" spans="1:12" ht="15.75" customHeight="1">
      <c r="A1224" s="114" t="s">
        <v>192</v>
      </c>
      <c r="B1224" s="114" t="str">
        <f>VLOOKUP(A1224,'Tabela de Produtos'!A:B,2,0)</f>
        <v>BRAZIMIL LÁTEX STANDARD INT/EXT FOSCO 15L VERDE FOLHA</v>
      </c>
      <c r="C1224" s="48" t="s">
        <v>1207</v>
      </c>
      <c r="D1224" s="114" t="str">
        <f>VLOOKUP(C1224,'Custos Matéria Prima Embalagens'!B:C,2,0)</f>
        <v>WANPEX 1510 (BB-200)</v>
      </c>
      <c r="E1224" s="114" t="str">
        <f>VLOOKUP(C1224,'Custos Matéria Prima Embalagens'!B:D,3,0)</f>
        <v>DISPERSANTE LATEX</v>
      </c>
      <c r="F1224" s="270">
        <f t="shared" si="160"/>
        <v>1956</v>
      </c>
      <c r="G1224" s="148">
        <f t="shared" si="161"/>
        <v>3.0674846625766872E-3</v>
      </c>
      <c r="H1224" s="96">
        <v>6</v>
      </c>
      <c r="I1224" s="272">
        <f>ROUND(F1224/VLOOKUP(A1224,'Tabela de Produtos'!A:J,10,0),0)</f>
        <v>1540</v>
      </c>
      <c r="J1224" s="97">
        <f>IFERROR(VLOOKUP(C1224,'Custos Matéria Prima Embalagens'!B:G,6,0)*H1224,"Matéria Prima Não Cadastrada")</f>
        <v>41.16</v>
      </c>
      <c r="K1224" s="97">
        <f>IFERROR(J1224/(I1224/VLOOKUP(A1224,'Tabela de Produtos'!A:H,8,0)),"Matéria Prima Não Cadastrada")</f>
        <v>0.40090909090909088</v>
      </c>
      <c r="L1224" s="216"/>
    </row>
    <row r="1225" spans="1:12" ht="15.75" customHeight="1">
      <c r="A1225" s="114" t="s">
        <v>192</v>
      </c>
      <c r="B1225" s="114" t="str">
        <f>VLOOKUP(A1225,'Tabela de Produtos'!A:B,2,0)</f>
        <v>BRAZIMIL LÁTEX STANDARD INT/EXT FOSCO 15L VERDE FOLHA</v>
      </c>
      <c r="C1225" s="48" t="s">
        <v>1209</v>
      </c>
      <c r="D1225" s="114" t="str">
        <f>VLOOKUP(C1225,'Custos Matéria Prima Embalagens'!B:C,2,0)</f>
        <v>WANFUNG WFT CE (BH-200)</v>
      </c>
      <c r="E1225" s="114" t="str">
        <f>VLOOKUP(C1225,'Custos Matéria Prima Embalagens'!B:D,3,0)</f>
        <v>FUNGICIDA</v>
      </c>
      <c r="F1225" s="270">
        <f t="shared" si="160"/>
        <v>1956</v>
      </c>
      <c r="G1225" s="148">
        <f t="shared" si="161"/>
        <v>2.5562372188139061E-3</v>
      </c>
      <c r="H1225" s="96">
        <v>5</v>
      </c>
      <c r="I1225" s="272">
        <f>ROUND(F1225/VLOOKUP(A1225,'Tabela de Produtos'!A:J,10,0),0)</f>
        <v>1540</v>
      </c>
      <c r="J1225" s="97">
        <f>IFERROR(VLOOKUP(C1225,'Custos Matéria Prima Embalagens'!B:G,6,0)*H1225,"Matéria Prima Não Cadastrada")</f>
        <v>35</v>
      </c>
      <c r="K1225" s="97">
        <f>IFERROR(J1225/(I1225/VLOOKUP(A1225,'Tabela de Produtos'!A:H,8,0)),"Matéria Prima Não Cadastrada")</f>
        <v>0.34090909090909088</v>
      </c>
      <c r="L1225" s="216"/>
    </row>
    <row r="1226" spans="1:12" ht="15.75" customHeight="1">
      <c r="A1226" s="114" t="s">
        <v>192</v>
      </c>
      <c r="B1226" s="114" t="str">
        <f>VLOOKUP(A1226,'Tabela de Produtos'!A:B,2,0)</f>
        <v>BRAZIMIL LÁTEX STANDARD INT/EXT FOSCO 15L VERDE FOLHA</v>
      </c>
      <c r="C1226" s="48" t="s">
        <v>1211</v>
      </c>
      <c r="D1226" s="114" t="str">
        <f>VLOOKUP(C1226,'Custos Matéria Prima Embalagens'!B:C,2,0)</f>
        <v>WHITE PLUS PB (SC-25) (Em negociação)</v>
      </c>
      <c r="E1226" s="114" t="str">
        <f>VLOOKUP(C1226,'Custos Matéria Prima Embalagens'!B:D,3,0)</f>
        <v>WHITE PLUS</v>
      </c>
      <c r="F1226" s="270">
        <f t="shared" si="160"/>
        <v>1956</v>
      </c>
      <c r="G1226" s="148">
        <f t="shared" si="161"/>
        <v>0.15337423312883436</v>
      </c>
      <c r="H1226" s="96">
        <v>300</v>
      </c>
      <c r="I1226" s="272">
        <f>ROUND(F1226/VLOOKUP(A1226,'Tabela de Produtos'!A:J,10,0),0)</f>
        <v>1540</v>
      </c>
      <c r="J1226" s="97">
        <f>IFERROR(VLOOKUP(C1226,'Custos Matéria Prima Embalagens'!B:G,6,0)*H1226,"Matéria Prima Não Cadastrada")</f>
        <v>927</v>
      </c>
      <c r="K1226" s="97">
        <f>IFERROR(J1226/(I1226/VLOOKUP(A1226,'Tabela de Produtos'!A:H,8,0)),"Matéria Prima Não Cadastrada")</f>
        <v>9.029220779220779</v>
      </c>
      <c r="L1226" s="216"/>
    </row>
    <row r="1227" spans="1:12" ht="15.75" customHeight="1">
      <c r="A1227" s="114" t="s">
        <v>192</v>
      </c>
      <c r="B1227" s="114" t="str">
        <f>VLOOKUP(A1227,'Tabela de Produtos'!A:B,2,0)</f>
        <v>BRAZIMIL LÁTEX STANDARD INT/EXT FOSCO 15L VERDE FOLHA</v>
      </c>
      <c r="C1227" s="48" t="s">
        <v>1213</v>
      </c>
      <c r="D1227" s="114" t="str">
        <f>VLOOKUP(C1227,'Custos Matéria Prima Embalagens'!B:C,2,0)</f>
        <v>DIOXIDO DE TITANIO RUTILO R-996</v>
      </c>
      <c r="E1227" s="114" t="str">
        <f>VLOOKUP(C1227,'Custos Matéria Prima Embalagens'!B:D,3,0)</f>
        <v>TITANIO</v>
      </c>
      <c r="F1227" s="270">
        <f t="shared" si="160"/>
        <v>1956</v>
      </c>
      <c r="G1227" s="148">
        <f t="shared" si="161"/>
        <v>3.0674846625766871E-2</v>
      </c>
      <c r="H1227" s="96">
        <v>60</v>
      </c>
      <c r="I1227" s="272">
        <f>ROUND(F1227/VLOOKUP(A1227,'Tabela de Produtos'!A:J,10,0),0)</f>
        <v>1540</v>
      </c>
      <c r="J1227" s="97">
        <f>IFERROR(VLOOKUP(C1227,'Custos Matéria Prima Embalagens'!B:G,6,0)*H1227,"Matéria Prima Não Cadastrada")</f>
        <v>1158</v>
      </c>
      <c r="K1227" s="97">
        <f>IFERROR(J1227/(I1227/VLOOKUP(A1227,'Tabela de Produtos'!A:H,8,0)),"Matéria Prima Não Cadastrada")</f>
        <v>11.279220779220779</v>
      </c>
      <c r="L1227" s="216"/>
    </row>
    <row r="1228" spans="1:12" ht="15.75" customHeight="1">
      <c r="A1228" s="114" t="s">
        <v>192</v>
      </c>
      <c r="B1228" s="114" t="str">
        <f>VLOOKUP(A1228,'Tabela de Produtos'!A:B,2,0)</f>
        <v>BRAZIMIL LÁTEX STANDARD INT/EXT FOSCO 15L VERDE FOLHA</v>
      </c>
      <c r="C1228" s="48" t="s">
        <v>1215</v>
      </c>
      <c r="D1228" s="114" t="str">
        <f>VLOOKUP(C1228,'Custos Matéria Prima Embalagens'!B:C,2,0)</f>
        <v>CALCARIO DOLOMITICO #500 ( SACOS 25 KG)</v>
      </c>
      <c r="E1228" s="114" t="str">
        <f>VLOOKUP(C1228,'Custos Matéria Prima Embalagens'!B:D,3,0)</f>
        <v>CARBONATO #500</v>
      </c>
      <c r="F1228" s="270">
        <f t="shared" si="160"/>
        <v>1956</v>
      </c>
      <c r="G1228" s="148">
        <f t="shared" si="161"/>
        <v>0.15337423312883436</v>
      </c>
      <c r="H1228" s="96">
        <v>300</v>
      </c>
      <c r="I1228" s="272">
        <f>ROUND(F1228/VLOOKUP(A1228,'Tabela de Produtos'!A:J,10,0),0)</f>
        <v>1540</v>
      </c>
      <c r="J1228" s="97">
        <f>IFERROR(VLOOKUP(C1228,'Custos Matéria Prima Embalagens'!B:G,6,0)*H1228,"Matéria Prima Não Cadastrada")</f>
        <v>240</v>
      </c>
      <c r="K1228" s="97">
        <f>IFERROR(J1228/(I1228/VLOOKUP(A1228,'Tabela de Produtos'!A:H,8,0)),"Matéria Prima Não Cadastrada")</f>
        <v>2.3376623376623376</v>
      </c>
      <c r="L1228" s="216"/>
    </row>
    <row r="1229" spans="1:12" ht="15.75" customHeight="1">
      <c r="A1229" s="114" t="s">
        <v>192</v>
      </c>
      <c r="B1229" s="114" t="str">
        <f>VLOOKUP(A1229,'Tabela de Produtos'!A:B,2,0)</f>
        <v>BRAZIMIL LÁTEX STANDARD INT/EXT FOSCO 15L VERDE FOLHA</v>
      </c>
      <c r="C1229" s="48" t="s">
        <v>1227</v>
      </c>
      <c r="D1229" s="114" t="str">
        <f>VLOOKUP(C1229,'Custos Matéria Prima Embalagens'!B:C,2,0)</f>
        <v>CAULIM MALHA 325</v>
      </c>
      <c r="E1229" s="114" t="str">
        <f>VLOOKUP(C1229,'Custos Matéria Prima Embalagens'!B:D,3,0)</f>
        <v>caulim</v>
      </c>
      <c r="F1229" s="270">
        <f t="shared" si="160"/>
        <v>1956</v>
      </c>
      <c r="G1229" s="148">
        <f t="shared" si="161"/>
        <v>5.112474437627812E-2</v>
      </c>
      <c r="H1229" s="96">
        <v>100</v>
      </c>
      <c r="I1229" s="272">
        <f>ROUND(F1229/VLOOKUP(A1229,'Tabela de Produtos'!A:J,10,0),0)</f>
        <v>1540</v>
      </c>
      <c r="J1229" s="97">
        <f>IFERROR(VLOOKUP(C1229,'Custos Matéria Prima Embalagens'!B:G,6,0)*H1229,"Matéria Prima Não Cadastrada")</f>
        <v>152.04955555555551</v>
      </c>
      <c r="K1229" s="97">
        <f>IFERROR(J1229/(I1229/VLOOKUP(A1229,'Tabela de Produtos'!A:H,8,0)),"Matéria Prima Não Cadastrada")</f>
        <v>1.481002164502164</v>
      </c>
      <c r="L1229" s="216"/>
    </row>
    <row r="1230" spans="1:12" ht="15.75" customHeight="1">
      <c r="A1230" s="114" t="s">
        <v>192</v>
      </c>
      <c r="B1230" s="114" t="str">
        <f>VLOOKUP(A1230,'Tabela de Produtos'!A:B,2,0)</f>
        <v>BRAZIMIL LÁTEX STANDARD INT/EXT FOSCO 15L VERDE FOLHA</v>
      </c>
      <c r="C1230" s="48" t="s">
        <v>1217</v>
      </c>
      <c r="D1230" s="114" t="str">
        <f>VLOOKUP(C1230,'Custos Matéria Prima Embalagens'!B:C,2,0)</f>
        <v>WANCRIL W 51 CE (CT-1000P)</v>
      </c>
      <c r="E1230" s="114" t="str">
        <f>VLOOKUP(C1230,'Custos Matéria Prima Embalagens'!B:D,3,0)</f>
        <v>RESINA ACRILICA ESTIRENADA</v>
      </c>
      <c r="F1230" s="270">
        <f t="shared" si="160"/>
        <v>1956</v>
      </c>
      <c r="G1230" s="148">
        <f t="shared" si="161"/>
        <v>0.10224948875255624</v>
      </c>
      <c r="H1230" s="96">
        <v>200</v>
      </c>
      <c r="I1230" s="272">
        <f>ROUND(F1230/VLOOKUP(A1230,'Tabela de Produtos'!A:J,10,0),0)</f>
        <v>1540</v>
      </c>
      <c r="J1230" s="97">
        <f>IFERROR(VLOOKUP(C1230,'Custos Matéria Prima Embalagens'!B:G,6,0)*H1230,"Matéria Prima Não Cadastrada")</f>
        <v>1686</v>
      </c>
      <c r="K1230" s="97">
        <f>IFERROR(J1230/(I1230/VLOOKUP(A1230,'Tabela de Produtos'!A:H,8,0)),"Matéria Prima Não Cadastrada")</f>
        <v>16.422077922077921</v>
      </c>
      <c r="L1230" s="216"/>
    </row>
    <row r="1231" spans="1:12" ht="15.75" customHeight="1">
      <c r="A1231" s="114" t="s">
        <v>192</v>
      </c>
      <c r="B1231" s="114" t="str">
        <f>VLOOKUP(A1231,'Tabela de Produtos'!A:B,2,0)</f>
        <v>BRAZIMIL LÁTEX STANDARD INT/EXT FOSCO 15L VERDE FOLHA</v>
      </c>
      <c r="C1231" s="48" t="s">
        <v>1219</v>
      </c>
      <c r="D1231" s="114" t="str">
        <f>VLOOKUP(C1231,'Custos Matéria Prima Embalagens'!B:C,2,0)</f>
        <v>WANALK 70 CE (BH-200)</v>
      </c>
      <c r="E1231" s="114" t="str">
        <f>VLOOKUP(C1231,'Custos Matéria Prima Embalagens'!B:D,3,0)</f>
        <v>ALCALINIZANTE</v>
      </c>
      <c r="F1231" s="270">
        <f t="shared" si="160"/>
        <v>1956</v>
      </c>
      <c r="G1231" s="148">
        <f t="shared" si="161"/>
        <v>2.5562372188139061E-3</v>
      </c>
      <c r="H1231" s="96">
        <v>5</v>
      </c>
      <c r="I1231" s="272">
        <f>ROUND(F1231/VLOOKUP(A1231,'Tabela de Produtos'!A:J,10,0),0)</f>
        <v>1540</v>
      </c>
      <c r="J1231" s="97">
        <f>IFERROR(VLOOKUP(C1231,'Custos Matéria Prima Embalagens'!B:G,6,0)*H1231,"Matéria Prima Não Cadastrada")</f>
        <v>24.900000000000002</v>
      </c>
      <c r="K1231" s="97">
        <f>IFERROR(J1231/(I1231/VLOOKUP(A1231,'Tabela de Produtos'!A:H,8,0)),"Matéria Prima Não Cadastrada")</f>
        <v>0.24253246753246754</v>
      </c>
      <c r="L1231" s="216"/>
    </row>
    <row r="1232" spans="1:12" ht="15.75" customHeight="1">
      <c r="A1232" s="114" t="s">
        <v>192</v>
      </c>
      <c r="B1232" s="114" t="str">
        <f>VLOOKUP(A1232,'Tabela de Produtos'!A:B,2,0)</f>
        <v>BRAZIMIL LÁTEX STANDARD INT/EXT FOSCO 15L VERDE FOLHA</v>
      </c>
      <c r="C1232" s="48" t="s">
        <v>1221</v>
      </c>
      <c r="D1232" s="114" t="str">
        <f>VLOOKUP(C1232,'Custos Matéria Prima Embalagens'!B:C,2,0)</f>
        <v>MODIWAN 105H CE (CT-1000P)</v>
      </c>
      <c r="E1232" s="114" t="str">
        <f>VLOOKUP(C1232,'Custos Matéria Prima Embalagens'!B:D,3,0)</f>
        <v>ESPESSANTE DE MEDIA</v>
      </c>
      <c r="F1232" s="270">
        <f t="shared" si="160"/>
        <v>1956</v>
      </c>
      <c r="G1232" s="148">
        <f t="shared" si="161"/>
        <v>1.0224948875255624E-2</v>
      </c>
      <c r="H1232" s="96">
        <v>20</v>
      </c>
      <c r="I1232" s="272">
        <f>ROUND(F1232/VLOOKUP(A1232,'Tabela de Produtos'!A:J,10,0),0)</f>
        <v>1540</v>
      </c>
      <c r="J1232" s="97">
        <f>IFERROR(VLOOKUP(C1232,'Custos Matéria Prima Embalagens'!B:G,6,0)*H1232,"Matéria Prima Não Cadastrada")</f>
        <v>158.1</v>
      </c>
      <c r="K1232" s="97">
        <f>IFERROR(J1232/(I1232/VLOOKUP(A1232,'Tabela de Produtos'!A:H,8,0)),"Matéria Prima Não Cadastrada")</f>
        <v>1.5399350649350647</v>
      </c>
      <c r="L1232" s="216"/>
    </row>
    <row r="1233" spans="1:12" ht="15.75" customHeight="1">
      <c r="A1233" s="114" t="s">
        <v>192</v>
      </c>
      <c r="B1233" s="114" t="str">
        <f>VLOOKUP(A1233,'Tabela de Produtos'!A:B,2,0)</f>
        <v>BRAZIMIL LÁTEX STANDARD INT/EXT FOSCO 15L VERDE FOLHA</v>
      </c>
      <c r="C1233" s="48" t="s">
        <v>1223</v>
      </c>
      <c r="D1233" s="114" t="str">
        <f>VLOOKUP(C1233,'Custos Matéria Prima Embalagens'!B:C,2,0)</f>
        <v>TURBOWAN H CE (BH-200)</v>
      </c>
      <c r="E1233" s="114" t="str">
        <f>VLOOKUP(C1233,'Custos Matéria Prima Embalagens'!B:D,3,0)</f>
        <v>PROMOTOR DE LAVABILIDADE</v>
      </c>
      <c r="F1233" s="270">
        <f t="shared" si="160"/>
        <v>1956</v>
      </c>
      <c r="G1233" s="148">
        <f t="shared" si="161"/>
        <v>7.6687116564417178E-3</v>
      </c>
      <c r="H1233" s="96">
        <v>15</v>
      </c>
      <c r="I1233" s="272">
        <f>ROUND(F1233/VLOOKUP(A1233,'Tabela de Produtos'!A:J,10,0),0)</f>
        <v>1540</v>
      </c>
      <c r="J1233" s="97">
        <f>IFERROR(VLOOKUP(C1233,'Custos Matéria Prima Embalagens'!B:G,6,0)*H1233,"Matéria Prima Não Cadastrada")</f>
        <v>72.75</v>
      </c>
      <c r="K1233" s="97">
        <f>IFERROR(J1233/(I1233/VLOOKUP(A1233,'Tabela de Produtos'!A:H,8,0)),"Matéria Prima Não Cadastrada")</f>
        <v>0.70860389610389607</v>
      </c>
      <c r="L1233" s="216"/>
    </row>
    <row r="1234" spans="1:12" ht="15.75" customHeight="1">
      <c r="A1234" s="114" t="s">
        <v>192</v>
      </c>
      <c r="B1234" s="114" t="str">
        <f>VLOOKUP(A1234,'Tabela de Produtos'!A:B,2,0)</f>
        <v>BRAZIMIL LÁTEX STANDARD INT/EXT FOSCO 15L VERDE FOLHA</v>
      </c>
      <c r="C1234" s="48" t="s">
        <v>1229</v>
      </c>
      <c r="D1234" s="114" t="str">
        <f>VLOOKUP(C1234,'Custos Matéria Prima Embalagens'!B:C,2,0)</f>
        <v>WANSOL 340 CE (BB-200)</v>
      </c>
      <c r="E1234" s="114" t="str">
        <f>VLOOKUP(C1234,'Custos Matéria Prima Embalagens'!B:D,3,0)</f>
        <v>COALESCENTE</v>
      </c>
      <c r="F1234" s="270">
        <f t="shared" si="160"/>
        <v>1956</v>
      </c>
      <c r="G1234" s="148">
        <f t="shared" si="161"/>
        <v>5.1124744376278121E-3</v>
      </c>
      <c r="H1234" s="96">
        <v>10</v>
      </c>
      <c r="I1234" s="272">
        <f>ROUND(F1234/VLOOKUP(A1234,'Tabela de Produtos'!A:J,10,0),0)</f>
        <v>1540</v>
      </c>
      <c r="J1234" s="97">
        <f>IFERROR(VLOOKUP(C1234,'Custos Matéria Prima Embalagens'!B:G,6,0)*H1234,"Matéria Prima Não Cadastrada")</f>
        <v>192.2</v>
      </c>
      <c r="K1234" s="97">
        <f>IFERROR(J1234/(I1234/VLOOKUP(A1234,'Tabela de Produtos'!A:H,8,0)),"Matéria Prima Não Cadastrada")</f>
        <v>1.8720779220779218</v>
      </c>
      <c r="L1234" s="216"/>
    </row>
    <row r="1235" spans="1:12" ht="15.75" customHeight="1">
      <c r="D1235" s="114"/>
      <c r="E1235" s="114"/>
      <c r="F1235" s="96"/>
      <c r="G1235" s="148"/>
      <c r="H1235" s="96"/>
      <c r="I1235" s="272"/>
      <c r="J1235" s="97"/>
      <c r="K1235" s="97"/>
      <c r="L1235" s="216"/>
    </row>
    <row r="1236" spans="1:12" ht="15.75" customHeight="1">
      <c r="A1236" s="114" t="s">
        <v>193</v>
      </c>
      <c r="B1236" s="114" t="str">
        <f>VLOOKUP(A1236,'Tabela de Produtos'!A:B,2,0)</f>
        <v>BRAZIMIL LÁTEX STANDARD INT/EXT FOSCO 15L LARANJA</v>
      </c>
      <c r="C1236" s="48" t="s">
        <v>1197</v>
      </c>
      <c r="D1236" s="114" t="str">
        <f>VLOOKUP(C1236,'Custos Matéria Prima Embalagens'!B:C,2,0)</f>
        <v>AGUA</v>
      </c>
      <c r="E1236" s="114" t="str">
        <f>VLOOKUP(C1236,'Custos Matéria Prima Embalagens'!B:D,3,0)</f>
        <v>AGUA</v>
      </c>
      <c r="F1236" s="270">
        <f t="shared" ref="F1236:F1250" si="162">SUMIFS(H:H,A:A,A1236)</f>
        <v>1956</v>
      </c>
      <c r="G1236" s="148">
        <f t="shared" ref="G1236:G1250" si="163">H1236/F1236</f>
        <v>0.47034764826175868</v>
      </c>
      <c r="H1236" s="96">
        <v>920</v>
      </c>
      <c r="I1236" s="272">
        <f>ROUND(F1236/VLOOKUP(A1236,'Tabela de Produtos'!A:J,10,0),0)</f>
        <v>1540</v>
      </c>
      <c r="J1236" s="97">
        <f>IFERROR(VLOOKUP(C1236,'Custos Matéria Prima Embalagens'!B:G,6,0)*H1236,"Matéria Prima Não Cadastrada")</f>
        <v>0</v>
      </c>
      <c r="K1236" s="97">
        <f>IFERROR(J1236/(I1236/VLOOKUP(A1236,'Tabela de Produtos'!A:H,8,0)),"Matéria Prima Não Cadastrada")</f>
        <v>0</v>
      </c>
      <c r="L1236" s="216"/>
    </row>
    <row r="1237" spans="1:12" ht="15.75" customHeight="1">
      <c r="A1237" s="114" t="s">
        <v>193</v>
      </c>
      <c r="B1237" s="114" t="str">
        <f>VLOOKUP(A1237,'Tabela de Produtos'!A:B,2,0)</f>
        <v>BRAZIMIL LÁTEX STANDARD INT/EXT FOSCO 15L LARANJA</v>
      </c>
      <c r="C1237" s="48" t="s">
        <v>1201</v>
      </c>
      <c r="D1237" s="114" t="str">
        <f>VLOOKUP(C1237,'Custos Matéria Prima Embalagens'!B:C,2,0)</f>
        <v>WANFOAM 528 CE (BB-190)</v>
      </c>
      <c r="E1237" s="114" t="str">
        <f>VLOOKUP(C1237,'Custos Matéria Prima Embalagens'!B:D,3,0)</f>
        <v>ANTI ESPUMA LATEX</v>
      </c>
      <c r="F1237" s="270">
        <f t="shared" si="162"/>
        <v>1956</v>
      </c>
      <c r="G1237" s="148">
        <f t="shared" si="163"/>
        <v>2.5562372188139061E-3</v>
      </c>
      <c r="H1237" s="96">
        <v>5</v>
      </c>
      <c r="I1237" s="272">
        <f>ROUND(F1237/VLOOKUP(A1237,'Tabela de Produtos'!A:J,10,0),0)</f>
        <v>1540</v>
      </c>
      <c r="J1237" s="97">
        <f>IFERROR(VLOOKUP(C1237,'Custos Matéria Prima Embalagens'!B:G,6,0)*H1237,"Matéria Prima Não Cadastrada")</f>
        <v>35.9</v>
      </c>
      <c r="K1237" s="97">
        <f>IFERROR(J1237/(I1237/VLOOKUP(A1237,'Tabela de Produtos'!A:H,8,0)),"Matéria Prima Não Cadastrada")</f>
        <v>0.34967532467532464</v>
      </c>
      <c r="L1237" s="216"/>
    </row>
    <row r="1238" spans="1:12" ht="15.75" customHeight="1">
      <c r="A1238" s="114" t="s">
        <v>193</v>
      </c>
      <c r="B1238" s="114" t="str">
        <f>VLOOKUP(A1238,'Tabela de Produtos'!A:B,2,0)</f>
        <v>BRAZIMIL LÁTEX STANDARD INT/EXT FOSCO 15L LARANJA</v>
      </c>
      <c r="C1238" s="48" t="s">
        <v>1203</v>
      </c>
      <c r="D1238" s="114" t="str">
        <f>VLOOKUP(C1238,'Custos Matéria Prima Embalagens'!B:C,2,0)</f>
        <v>WANBAC WBT CE (BH-200)</v>
      </c>
      <c r="E1238" s="114" t="str">
        <f>VLOOKUP(C1238,'Custos Matéria Prima Embalagens'!B:D,3,0)</f>
        <v>BACTERICIDA</v>
      </c>
      <c r="F1238" s="270">
        <f t="shared" si="162"/>
        <v>1956</v>
      </c>
      <c r="G1238" s="148">
        <f t="shared" si="163"/>
        <v>3.0674846625766872E-3</v>
      </c>
      <c r="H1238" s="96">
        <v>6</v>
      </c>
      <c r="I1238" s="272">
        <f>ROUND(F1238/VLOOKUP(A1238,'Tabela de Produtos'!A:J,10,0),0)</f>
        <v>1540</v>
      </c>
      <c r="J1238" s="97">
        <f>IFERROR(VLOOKUP(C1238,'Custos Matéria Prima Embalagens'!B:G,6,0)*H1238,"Matéria Prima Não Cadastrada")</f>
        <v>29.639999999999997</v>
      </c>
      <c r="K1238" s="97">
        <f>IFERROR(J1238/(I1238/VLOOKUP(A1238,'Tabela de Produtos'!A:H,8,0)),"Matéria Prima Não Cadastrada")</f>
        <v>0.28870129870129868</v>
      </c>
      <c r="L1238" s="216"/>
    </row>
    <row r="1239" spans="1:12" ht="15.75" customHeight="1">
      <c r="A1239" s="114" t="s">
        <v>193</v>
      </c>
      <c r="B1239" s="114" t="str">
        <f>VLOOKUP(A1239,'Tabela de Produtos'!A:B,2,0)</f>
        <v>BRAZIMIL LÁTEX STANDARD INT/EXT FOSCO 15L LARANJA</v>
      </c>
      <c r="C1239" s="48" t="s">
        <v>1205</v>
      </c>
      <c r="D1239" s="114" t="str">
        <f>VLOOKUP(C1239,'Custos Matéria Prima Embalagens'!B:C,2,0)</f>
        <v>WANSUR 840 CE (BB-200)01</v>
      </c>
      <c r="E1239" s="114" t="str">
        <f>VLOOKUP(C1239,'Custos Matéria Prima Embalagens'!B:D,3,0)</f>
        <v>UMECTANTE</v>
      </c>
      <c r="F1239" s="270">
        <f t="shared" si="162"/>
        <v>1956</v>
      </c>
      <c r="G1239" s="148">
        <f t="shared" si="163"/>
        <v>2.0449897750511249E-3</v>
      </c>
      <c r="H1239" s="96">
        <v>4</v>
      </c>
      <c r="I1239" s="272">
        <f>ROUND(F1239/VLOOKUP(A1239,'Tabela de Produtos'!A:J,10,0),0)</f>
        <v>1540</v>
      </c>
      <c r="J1239" s="97">
        <f>IFERROR(VLOOKUP(C1239,'Custos Matéria Prima Embalagens'!B:G,6,0)*H1239,"Matéria Prima Não Cadastrada")</f>
        <v>29.32</v>
      </c>
      <c r="K1239" s="97">
        <f>IFERROR(J1239/(I1239/VLOOKUP(A1239,'Tabela de Produtos'!A:H,8,0)),"Matéria Prima Não Cadastrada")</f>
        <v>0.28558441558441555</v>
      </c>
      <c r="L1239" s="216"/>
    </row>
    <row r="1240" spans="1:12" ht="15.75" customHeight="1">
      <c r="A1240" s="114" t="s">
        <v>193</v>
      </c>
      <c r="B1240" s="114" t="str">
        <f>VLOOKUP(A1240,'Tabela de Produtos'!A:B,2,0)</f>
        <v>BRAZIMIL LÁTEX STANDARD INT/EXT FOSCO 15L LARANJA</v>
      </c>
      <c r="C1240" s="48" t="s">
        <v>1207</v>
      </c>
      <c r="D1240" s="114" t="str">
        <f>VLOOKUP(C1240,'Custos Matéria Prima Embalagens'!B:C,2,0)</f>
        <v>WANPEX 1510 (BB-200)</v>
      </c>
      <c r="E1240" s="114" t="str">
        <f>VLOOKUP(C1240,'Custos Matéria Prima Embalagens'!B:D,3,0)</f>
        <v>DISPERSANTE LATEX</v>
      </c>
      <c r="F1240" s="270">
        <f t="shared" si="162"/>
        <v>1956</v>
      </c>
      <c r="G1240" s="148">
        <f t="shared" si="163"/>
        <v>3.0674846625766872E-3</v>
      </c>
      <c r="H1240" s="96">
        <v>6</v>
      </c>
      <c r="I1240" s="272">
        <f>ROUND(F1240/VLOOKUP(A1240,'Tabela de Produtos'!A:J,10,0),0)</f>
        <v>1540</v>
      </c>
      <c r="J1240" s="97">
        <f>IFERROR(VLOOKUP(C1240,'Custos Matéria Prima Embalagens'!B:G,6,0)*H1240,"Matéria Prima Não Cadastrada")</f>
        <v>41.16</v>
      </c>
      <c r="K1240" s="97">
        <f>IFERROR(J1240/(I1240/VLOOKUP(A1240,'Tabela de Produtos'!A:H,8,0)),"Matéria Prima Não Cadastrada")</f>
        <v>0.40090909090909088</v>
      </c>
      <c r="L1240" s="216"/>
    </row>
    <row r="1241" spans="1:12" ht="15.75" customHeight="1">
      <c r="A1241" s="114" t="s">
        <v>193</v>
      </c>
      <c r="B1241" s="114" t="str">
        <f>VLOOKUP(A1241,'Tabela de Produtos'!A:B,2,0)</f>
        <v>BRAZIMIL LÁTEX STANDARD INT/EXT FOSCO 15L LARANJA</v>
      </c>
      <c r="C1241" s="48" t="s">
        <v>1209</v>
      </c>
      <c r="D1241" s="114" t="str">
        <f>VLOOKUP(C1241,'Custos Matéria Prima Embalagens'!B:C,2,0)</f>
        <v>WANFUNG WFT CE (BH-200)</v>
      </c>
      <c r="E1241" s="114" t="str">
        <f>VLOOKUP(C1241,'Custos Matéria Prima Embalagens'!B:D,3,0)</f>
        <v>FUNGICIDA</v>
      </c>
      <c r="F1241" s="270">
        <f t="shared" si="162"/>
        <v>1956</v>
      </c>
      <c r="G1241" s="148">
        <f t="shared" si="163"/>
        <v>2.5562372188139061E-3</v>
      </c>
      <c r="H1241" s="96">
        <v>5</v>
      </c>
      <c r="I1241" s="272">
        <f>ROUND(F1241/VLOOKUP(A1241,'Tabela de Produtos'!A:J,10,0),0)</f>
        <v>1540</v>
      </c>
      <c r="J1241" s="97">
        <f>IFERROR(VLOOKUP(C1241,'Custos Matéria Prima Embalagens'!B:G,6,0)*H1241,"Matéria Prima Não Cadastrada")</f>
        <v>35</v>
      </c>
      <c r="K1241" s="97">
        <f>IFERROR(J1241/(I1241/VLOOKUP(A1241,'Tabela de Produtos'!A:H,8,0)),"Matéria Prima Não Cadastrada")</f>
        <v>0.34090909090909088</v>
      </c>
      <c r="L1241" s="216"/>
    </row>
    <row r="1242" spans="1:12" ht="15.75" customHeight="1">
      <c r="A1242" s="114" t="s">
        <v>193</v>
      </c>
      <c r="B1242" s="114" t="str">
        <f>VLOOKUP(A1242,'Tabela de Produtos'!A:B,2,0)</f>
        <v>BRAZIMIL LÁTEX STANDARD INT/EXT FOSCO 15L LARANJA</v>
      </c>
      <c r="C1242" s="48" t="s">
        <v>1211</v>
      </c>
      <c r="D1242" s="114" t="str">
        <f>VLOOKUP(C1242,'Custos Matéria Prima Embalagens'!B:C,2,0)</f>
        <v>WHITE PLUS PB (SC-25) (Em negociação)</v>
      </c>
      <c r="E1242" s="114" t="str">
        <f>VLOOKUP(C1242,'Custos Matéria Prima Embalagens'!B:D,3,0)</f>
        <v>WHITE PLUS</v>
      </c>
      <c r="F1242" s="270">
        <f t="shared" si="162"/>
        <v>1956</v>
      </c>
      <c r="G1242" s="148">
        <f t="shared" si="163"/>
        <v>0.15337423312883436</v>
      </c>
      <c r="H1242" s="96">
        <v>300</v>
      </c>
      <c r="I1242" s="272">
        <f>ROUND(F1242/VLOOKUP(A1242,'Tabela de Produtos'!A:J,10,0),0)</f>
        <v>1540</v>
      </c>
      <c r="J1242" s="97">
        <f>IFERROR(VLOOKUP(C1242,'Custos Matéria Prima Embalagens'!B:G,6,0)*H1242,"Matéria Prima Não Cadastrada")</f>
        <v>927</v>
      </c>
      <c r="K1242" s="97">
        <f>IFERROR(J1242/(I1242/VLOOKUP(A1242,'Tabela de Produtos'!A:H,8,0)),"Matéria Prima Não Cadastrada")</f>
        <v>9.029220779220779</v>
      </c>
      <c r="L1242" s="216"/>
    </row>
    <row r="1243" spans="1:12" ht="15.75" customHeight="1">
      <c r="A1243" s="114" t="s">
        <v>193</v>
      </c>
      <c r="B1243" s="114" t="str">
        <f>VLOOKUP(A1243,'Tabela de Produtos'!A:B,2,0)</f>
        <v>BRAZIMIL LÁTEX STANDARD INT/EXT FOSCO 15L LARANJA</v>
      </c>
      <c r="C1243" s="48" t="s">
        <v>1213</v>
      </c>
      <c r="D1243" s="114" t="str">
        <f>VLOOKUP(C1243,'Custos Matéria Prima Embalagens'!B:C,2,0)</f>
        <v>DIOXIDO DE TITANIO RUTILO R-996</v>
      </c>
      <c r="E1243" s="114" t="str">
        <f>VLOOKUP(C1243,'Custos Matéria Prima Embalagens'!B:D,3,0)</f>
        <v>TITANIO</v>
      </c>
      <c r="F1243" s="270">
        <f t="shared" si="162"/>
        <v>1956</v>
      </c>
      <c r="G1243" s="148">
        <f t="shared" si="163"/>
        <v>3.0674846625766871E-2</v>
      </c>
      <c r="H1243" s="96">
        <v>60</v>
      </c>
      <c r="I1243" s="272">
        <f>ROUND(F1243/VLOOKUP(A1243,'Tabela de Produtos'!A:J,10,0),0)</f>
        <v>1540</v>
      </c>
      <c r="J1243" s="97">
        <f>IFERROR(VLOOKUP(C1243,'Custos Matéria Prima Embalagens'!B:G,6,0)*H1243,"Matéria Prima Não Cadastrada")</f>
        <v>1158</v>
      </c>
      <c r="K1243" s="97">
        <f>IFERROR(J1243/(I1243/VLOOKUP(A1243,'Tabela de Produtos'!A:H,8,0)),"Matéria Prima Não Cadastrada")</f>
        <v>11.279220779220779</v>
      </c>
      <c r="L1243" s="216"/>
    </row>
    <row r="1244" spans="1:12" ht="15.75" customHeight="1">
      <c r="A1244" s="114" t="s">
        <v>193</v>
      </c>
      <c r="B1244" s="114" t="str">
        <f>VLOOKUP(A1244,'Tabela de Produtos'!A:B,2,0)</f>
        <v>BRAZIMIL LÁTEX STANDARD INT/EXT FOSCO 15L LARANJA</v>
      </c>
      <c r="C1244" s="48" t="s">
        <v>1215</v>
      </c>
      <c r="D1244" s="114" t="str">
        <f>VLOOKUP(C1244,'Custos Matéria Prima Embalagens'!B:C,2,0)</f>
        <v>CALCARIO DOLOMITICO #500 ( SACOS 25 KG)</v>
      </c>
      <c r="E1244" s="114" t="str">
        <f>VLOOKUP(C1244,'Custos Matéria Prima Embalagens'!B:D,3,0)</f>
        <v>CARBONATO #500</v>
      </c>
      <c r="F1244" s="270">
        <f t="shared" si="162"/>
        <v>1956</v>
      </c>
      <c r="G1244" s="148">
        <f t="shared" si="163"/>
        <v>0.15337423312883436</v>
      </c>
      <c r="H1244" s="96">
        <v>300</v>
      </c>
      <c r="I1244" s="272">
        <f>ROUND(F1244/VLOOKUP(A1244,'Tabela de Produtos'!A:J,10,0),0)</f>
        <v>1540</v>
      </c>
      <c r="J1244" s="97">
        <f>IFERROR(VLOOKUP(C1244,'Custos Matéria Prima Embalagens'!B:G,6,0)*H1244,"Matéria Prima Não Cadastrada")</f>
        <v>240</v>
      </c>
      <c r="K1244" s="97">
        <f>IFERROR(J1244/(I1244/VLOOKUP(A1244,'Tabela de Produtos'!A:H,8,0)),"Matéria Prima Não Cadastrada")</f>
        <v>2.3376623376623376</v>
      </c>
      <c r="L1244" s="216"/>
    </row>
    <row r="1245" spans="1:12" ht="15.75" customHeight="1">
      <c r="A1245" s="114" t="s">
        <v>193</v>
      </c>
      <c r="B1245" s="114" t="str">
        <f>VLOOKUP(A1245,'Tabela de Produtos'!A:B,2,0)</f>
        <v>BRAZIMIL LÁTEX STANDARD INT/EXT FOSCO 15L LARANJA</v>
      </c>
      <c r="C1245" s="48" t="s">
        <v>1227</v>
      </c>
      <c r="D1245" s="114" t="str">
        <f>VLOOKUP(C1245,'Custos Matéria Prima Embalagens'!B:C,2,0)</f>
        <v>CAULIM MALHA 325</v>
      </c>
      <c r="E1245" s="114" t="str">
        <f>VLOOKUP(C1245,'Custos Matéria Prima Embalagens'!B:D,3,0)</f>
        <v>caulim</v>
      </c>
      <c r="F1245" s="270">
        <f t="shared" si="162"/>
        <v>1956</v>
      </c>
      <c r="G1245" s="148">
        <f t="shared" si="163"/>
        <v>5.112474437627812E-2</v>
      </c>
      <c r="H1245" s="96">
        <v>100</v>
      </c>
      <c r="I1245" s="272">
        <f>ROUND(F1245/VLOOKUP(A1245,'Tabela de Produtos'!A:J,10,0),0)</f>
        <v>1540</v>
      </c>
      <c r="J1245" s="97">
        <f>IFERROR(VLOOKUP(C1245,'Custos Matéria Prima Embalagens'!B:G,6,0)*H1245,"Matéria Prima Não Cadastrada")</f>
        <v>152.04955555555551</v>
      </c>
      <c r="K1245" s="97">
        <f>IFERROR(J1245/(I1245/VLOOKUP(A1245,'Tabela de Produtos'!A:H,8,0)),"Matéria Prima Não Cadastrada")</f>
        <v>1.481002164502164</v>
      </c>
      <c r="L1245" s="216"/>
    </row>
    <row r="1246" spans="1:12" ht="15.75" customHeight="1">
      <c r="A1246" s="114" t="s">
        <v>193</v>
      </c>
      <c r="B1246" s="114" t="str">
        <f>VLOOKUP(A1246,'Tabela de Produtos'!A:B,2,0)</f>
        <v>BRAZIMIL LÁTEX STANDARD INT/EXT FOSCO 15L LARANJA</v>
      </c>
      <c r="C1246" s="48" t="s">
        <v>1217</v>
      </c>
      <c r="D1246" s="114" t="str">
        <f>VLOOKUP(C1246,'Custos Matéria Prima Embalagens'!B:C,2,0)</f>
        <v>WANCRIL W 51 CE (CT-1000P)</v>
      </c>
      <c r="E1246" s="114" t="str">
        <f>VLOOKUP(C1246,'Custos Matéria Prima Embalagens'!B:D,3,0)</f>
        <v>RESINA ACRILICA ESTIRENADA</v>
      </c>
      <c r="F1246" s="270">
        <f t="shared" si="162"/>
        <v>1956</v>
      </c>
      <c r="G1246" s="148">
        <f t="shared" si="163"/>
        <v>0.10224948875255624</v>
      </c>
      <c r="H1246" s="96">
        <v>200</v>
      </c>
      <c r="I1246" s="272">
        <f>ROUND(F1246/VLOOKUP(A1246,'Tabela de Produtos'!A:J,10,0),0)</f>
        <v>1540</v>
      </c>
      <c r="J1246" s="97">
        <f>IFERROR(VLOOKUP(C1246,'Custos Matéria Prima Embalagens'!B:G,6,0)*H1246,"Matéria Prima Não Cadastrada")</f>
        <v>1686</v>
      </c>
      <c r="K1246" s="97">
        <f>IFERROR(J1246/(I1246/VLOOKUP(A1246,'Tabela de Produtos'!A:H,8,0)),"Matéria Prima Não Cadastrada")</f>
        <v>16.422077922077921</v>
      </c>
      <c r="L1246" s="216"/>
    </row>
    <row r="1247" spans="1:12" ht="15.75" customHeight="1">
      <c r="A1247" s="114" t="s">
        <v>193</v>
      </c>
      <c r="B1247" s="114" t="str">
        <f>VLOOKUP(A1247,'Tabela de Produtos'!A:B,2,0)</f>
        <v>BRAZIMIL LÁTEX STANDARD INT/EXT FOSCO 15L LARANJA</v>
      </c>
      <c r="C1247" s="48" t="s">
        <v>1219</v>
      </c>
      <c r="D1247" s="114" t="str">
        <f>VLOOKUP(C1247,'Custos Matéria Prima Embalagens'!B:C,2,0)</f>
        <v>WANALK 70 CE (BH-200)</v>
      </c>
      <c r="E1247" s="114" t="str">
        <f>VLOOKUP(C1247,'Custos Matéria Prima Embalagens'!B:D,3,0)</f>
        <v>ALCALINIZANTE</v>
      </c>
      <c r="F1247" s="270">
        <f t="shared" si="162"/>
        <v>1956</v>
      </c>
      <c r="G1247" s="148">
        <f t="shared" si="163"/>
        <v>2.5562372188139061E-3</v>
      </c>
      <c r="H1247" s="96">
        <v>5</v>
      </c>
      <c r="I1247" s="272">
        <f>ROUND(F1247/VLOOKUP(A1247,'Tabela de Produtos'!A:J,10,0),0)</f>
        <v>1540</v>
      </c>
      <c r="J1247" s="97">
        <f>IFERROR(VLOOKUP(C1247,'Custos Matéria Prima Embalagens'!B:G,6,0)*H1247,"Matéria Prima Não Cadastrada")</f>
        <v>24.900000000000002</v>
      </c>
      <c r="K1247" s="97">
        <f>IFERROR(J1247/(I1247/VLOOKUP(A1247,'Tabela de Produtos'!A:H,8,0)),"Matéria Prima Não Cadastrada")</f>
        <v>0.24253246753246754</v>
      </c>
      <c r="L1247" s="216"/>
    </row>
    <row r="1248" spans="1:12" ht="15.75" customHeight="1">
      <c r="A1248" s="114" t="s">
        <v>193</v>
      </c>
      <c r="B1248" s="114" t="str">
        <f>VLOOKUP(A1248,'Tabela de Produtos'!A:B,2,0)</f>
        <v>BRAZIMIL LÁTEX STANDARD INT/EXT FOSCO 15L LARANJA</v>
      </c>
      <c r="C1248" s="48" t="s">
        <v>1221</v>
      </c>
      <c r="D1248" s="114" t="str">
        <f>VLOOKUP(C1248,'Custos Matéria Prima Embalagens'!B:C,2,0)</f>
        <v>MODIWAN 105H CE (CT-1000P)</v>
      </c>
      <c r="E1248" s="114" t="str">
        <f>VLOOKUP(C1248,'Custos Matéria Prima Embalagens'!B:D,3,0)</f>
        <v>ESPESSANTE DE MEDIA</v>
      </c>
      <c r="F1248" s="270">
        <f t="shared" si="162"/>
        <v>1956</v>
      </c>
      <c r="G1248" s="148">
        <f t="shared" si="163"/>
        <v>1.0224948875255624E-2</v>
      </c>
      <c r="H1248" s="96">
        <v>20</v>
      </c>
      <c r="I1248" s="272">
        <f>ROUND(F1248/VLOOKUP(A1248,'Tabela de Produtos'!A:J,10,0),0)</f>
        <v>1540</v>
      </c>
      <c r="J1248" s="97">
        <f>IFERROR(VLOOKUP(C1248,'Custos Matéria Prima Embalagens'!B:G,6,0)*H1248,"Matéria Prima Não Cadastrada")</f>
        <v>158.1</v>
      </c>
      <c r="K1248" s="97">
        <f>IFERROR(J1248/(I1248/VLOOKUP(A1248,'Tabela de Produtos'!A:H,8,0)),"Matéria Prima Não Cadastrada")</f>
        <v>1.5399350649350647</v>
      </c>
      <c r="L1248" s="216"/>
    </row>
    <row r="1249" spans="1:12" ht="15.75" customHeight="1">
      <c r="A1249" s="114" t="s">
        <v>193</v>
      </c>
      <c r="B1249" s="114" t="str">
        <f>VLOOKUP(A1249,'Tabela de Produtos'!A:B,2,0)</f>
        <v>BRAZIMIL LÁTEX STANDARD INT/EXT FOSCO 15L LARANJA</v>
      </c>
      <c r="C1249" s="48" t="s">
        <v>1223</v>
      </c>
      <c r="D1249" s="114" t="str">
        <f>VLOOKUP(C1249,'Custos Matéria Prima Embalagens'!B:C,2,0)</f>
        <v>TURBOWAN H CE (BH-200)</v>
      </c>
      <c r="E1249" s="114" t="str">
        <f>VLOOKUP(C1249,'Custos Matéria Prima Embalagens'!B:D,3,0)</f>
        <v>PROMOTOR DE LAVABILIDADE</v>
      </c>
      <c r="F1249" s="270">
        <f t="shared" si="162"/>
        <v>1956</v>
      </c>
      <c r="G1249" s="148">
        <f t="shared" si="163"/>
        <v>7.6687116564417178E-3</v>
      </c>
      <c r="H1249" s="96">
        <v>15</v>
      </c>
      <c r="I1249" s="272">
        <f>ROUND(F1249/VLOOKUP(A1249,'Tabela de Produtos'!A:J,10,0),0)</f>
        <v>1540</v>
      </c>
      <c r="J1249" s="97">
        <f>IFERROR(VLOOKUP(C1249,'Custos Matéria Prima Embalagens'!B:G,6,0)*H1249,"Matéria Prima Não Cadastrada")</f>
        <v>72.75</v>
      </c>
      <c r="K1249" s="97">
        <f>IFERROR(J1249/(I1249/VLOOKUP(A1249,'Tabela de Produtos'!A:H,8,0)),"Matéria Prima Não Cadastrada")</f>
        <v>0.70860389610389607</v>
      </c>
      <c r="L1249" s="216"/>
    </row>
    <row r="1250" spans="1:12" ht="15.75" customHeight="1">
      <c r="A1250" s="114" t="s">
        <v>193</v>
      </c>
      <c r="B1250" s="114" t="str">
        <f>VLOOKUP(A1250,'Tabela de Produtos'!A:B,2,0)</f>
        <v>BRAZIMIL LÁTEX STANDARD INT/EXT FOSCO 15L LARANJA</v>
      </c>
      <c r="C1250" s="48" t="s">
        <v>1229</v>
      </c>
      <c r="D1250" s="114" t="str">
        <f>VLOOKUP(C1250,'Custos Matéria Prima Embalagens'!B:C,2,0)</f>
        <v>WANSOL 340 CE (BB-200)</v>
      </c>
      <c r="E1250" s="114" t="str">
        <f>VLOOKUP(C1250,'Custos Matéria Prima Embalagens'!B:D,3,0)</f>
        <v>COALESCENTE</v>
      </c>
      <c r="F1250" s="270">
        <f t="shared" si="162"/>
        <v>1956</v>
      </c>
      <c r="G1250" s="148">
        <f t="shared" si="163"/>
        <v>5.1124744376278121E-3</v>
      </c>
      <c r="H1250" s="96">
        <v>10</v>
      </c>
      <c r="I1250" s="272">
        <f>ROUND(F1250/VLOOKUP(A1250,'Tabela de Produtos'!A:J,10,0),0)</f>
        <v>1540</v>
      </c>
      <c r="J1250" s="97">
        <f>IFERROR(VLOOKUP(C1250,'Custos Matéria Prima Embalagens'!B:G,6,0)*H1250,"Matéria Prima Não Cadastrada")</f>
        <v>192.2</v>
      </c>
      <c r="K1250" s="97">
        <f>IFERROR(J1250/(I1250/VLOOKUP(A1250,'Tabela de Produtos'!A:H,8,0)),"Matéria Prima Não Cadastrada")</f>
        <v>1.8720779220779218</v>
      </c>
      <c r="L1250" s="216"/>
    </row>
    <row r="1251" spans="1:12" ht="15.75" customHeight="1">
      <c r="D1251" s="114"/>
      <c r="E1251" s="114"/>
      <c r="F1251" s="96"/>
      <c r="G1251" s="148"/>
      <c r="H1251" s="96"/>
      <c r="I1251" s="272"/>
      <c r="J1251" s="97"/>
      <c r="K1251" s="97"/>
      <c r="L1251" s="216"/>
    </row>
    <row r="1252" spans="1:12" ht="15.75" customHeight="1">
      <c r="A1252" s="114" t="s">
        <v>194</v>
      </c>
      <c r="B1252" s="114" t="str">
        <f>VLOOKUP(A1252,'Tabela de Produtos'!A:B,2,0)</f>
        <v>BRAZIMIL LÁTEX STANDARD INT/EXT FOSCO 15L AZUL CARIBE</v>
      </c>
      <c r="C1252" s="48" t="s">
        <v>1197</v>
      </c>
      <c r="D1252" s="114" t="str">
        <f>VLOOKUP(C1252,'Custos Matéria Prima Embalagens'!B:C,2,0)</f>
        <v>AGUA</v>
      </c>
      <c r="E1252" s="114" t="str">
        <f>VLOOKUP(C1252,'Custos Matéria Prima Embalagens'!B:D,3,0)</f>
        <v>AGUA</v>
      </c>
      <c r="F1252" s="270">
        <f t="shared" ref="F1252:F1266" si="164">SUMIFS(H:H,A:A,A1252)</f>
        <v>1956</v>
      </c>
      <c r="G1252" s="148">
        <f t="shared" ref="G1252:G1266" si="165">H1252/F1252</f>
        <v>0.47034764826175868</v>
      </c>
      <c r="H1252" s="96">
        <v>920</v>
      </c>
      <c r="I1252" s="272">
        <f>ROUND(F1252/VLOOKUP(A1252,'Tabela de Produtos'!A:J,10,0),0)</f>
        <v>1540</v>
      </c>
      <c r="J1252" s="97">
        <f>IFERROR(VLOOKUP(C1252,'Custos Matéria Prima Embalagens'!B:G,6,0)*H1252,"Matéria Prima Não Cadastrada")</f>
        <v>0</v>
      </c>
      <c r="K1252" s="97">
        <f>IFERROR(J1252/(I1252/VLOOKUP(A1252,'Tabela de Produtos'!A:H,8,0)),"Matéria Prima Não Cadastrada")</f>
        <v>0</v>
      </c>
      <c r="L1252" s="216"/>
    </row>
    <row r="1253" spans="1:12" ht="15.75" customHeight="1">
      <c r="A1253" s="114" t="s">
        <v>194</v>
      </c>
      <c r="B1253" s="114" t="str">
        <f>VLOOKUP(A1253,'Tabela de Produtos'!A:B,2,0)</f>
        <v>BRAZIMIL LÁTEX STANDARD INT/EXT FOSCO 15L AZUL CARIBE</v>
      </c>
      <c r="C1253" s="48" t="s">
        <v>1201</v>
      </c>
      <c r="D1253" s="114" t="str">
        <f>VLOOKUP(C1253,'Custos Matéria Prima Embalagens'!B:C,2,0)</f>
        <v>WANFOAM 528 CE (BB-190)</v>
      </c>
      <c r="E1253" s="114" t="str">
        <f>VLOOKUP(C1253,'Custos Matéria Prima Embalagens'!B:D,3,0)</f>
        <v>ANTI ESPUMA LATEX</v>
      </c>
      <c r="F1253" s="270">
        <f t="shared" si="164"/>
        <v>1956</v>
      </c>
      <c r="G1253" s="148">
        <f t="shared" si="165"/>
        <v>2.5562372188139061E-3</v>
      </c>
      <c r="H1253" s="96">
        <v>5</v>
      </c>
      <c r="I1253" s="272">
        <f>ROUND(F1253/VLOOKUP(A1253,'Tabela de Produtos'!A:J,10,0),0)</f>
        <v>1540</v>
      </c>
      <c r="J1253" s="97">
        <f>IFERROR(VLOOKUP(C1253,'Custos Matéria Prima Embalagens'!B:G,6,0)*H1253,"Matéria Prima Não Cadastrada")</f>
        <v>35.9</v>
      </c>
      <c r="K1253" s="97">
        <f>IFERROR(J1253/(I1253/VLOOKUP(A1253,'Tabela de Produtos'!A:H,8,0)),"Matéria Prima Não Cadastrada")</f>
        <v>0.34967532467532464</v>
      </c>
      <c r="L1253" s="216"/>
    </row>
    <row r="1254" spans="1:12" ht="15.75" customHeight="1">
      <c r="A1254" s="114" t="s">
        <v>194</v>
      </c>
      <c r="B1254" s="114" t="str">
        <f>VLOOKUP(A1254,'Tabela de Produtos'!A:B,2,0)</f>
        <v>BRAZIMIL LÁTEX STANDARD INT/EXT FOSCO 15L AZUL CARIBE</v>
      </c>
      <c r="C1254" s="48" t="s">
        <v>1203</v>
      </c>
      <c r="D1254" s="114" t="str">
        <f>VLOOKUP(C1254,'Custos Matéria Prima Embalagens'!B:C,2,0)</f>
        <v>WANBAC WBT CE (BH-200)</v>
      </c>
      <c r="E1254" s="114" t="str">
        <f>VLOOKUP(C1254,'Custos Matéria Prima Embalagens'!B:D,3,0)</f>
        <v>BACTERICIDA</v>
      </c>
      <c r="F1254" s="270">
        <f t="shared" si="164"/>
        <v>1956</v>
      </c>
      <c r="G1254" s="148">
        <f t="shared" si="165"/>
        <v>3.0674846625766872E-3</v>
      </c>
      <c r="H1254" s="96">
        <v>6</v>
      </c>
      <c r="I1254" s="272">
        <f>ROUND(F1254/VLOOKUP(A1254,'Tabela de Produtos'!A:J,10,0),0)</f>
        <v>1540</v>
      </c>
      <c r="J1254" s="97">
        <f>IFERROR(VLOOKUP(C1254,'Custos Matéria Prima Embalagens'!B:G,6,0)*H1254,"Matéria Prima Não Cadastrada")</f>
        <v>29.639999999999997</v>
      </c>
      <c r="K1254" s="97">
        <f>IFERROR(J1254/(I1254/VLOOKUP(A1254,'Tabela de Produtos'!A:H,8,0)),"Matéria Prima Não Cadastrada")</f>
        <v>0.28870129870129868</v>
      </c>
      <c r="L1254" s="216"/>
    </row>
    <row r="1255" spans="1:12" ht="15.75" customHeight="1">
      <c r="A1255" s="114" t="s">
        <v>194</v>
      </c>
      <c r="B1255" s="114" t="str">
        <f>VLOOKUP(A1255,'Tabela de Produtos'!A:B,2,0)</f>
        <v>BRAZIMIL LÁTEX STANDARD INT/EXT FOSCO 15L AZUL CARIBE</v>
      </c>
      <c r="C1255" s="48" t="s">
        <v>1205</v>
      </c>
      <c r="D1255" s="114" t="str">
        <f>VLOOKUP(C1255,'Custos Matéria Prima Embalagens'!B:C,2,0)</f>
        <v>WANSUR 840 CE (BB-200)01</v>
      </c>
      <c r="E1255" s="114" t="str">
        <f>VLOOKUP(C1255,'Custos Matéria Prima Embalagens'!B:D,3,0)</f>
        <v>UMECTANTE</v>
      </c>
      <c r="F1255" s="270">
        <f t="shared" si="164"/>
        <v>1956</v>
      </c>
      <c r="G1255" s="148">
        <f t="shared" si="165"/>
        <v>2.0449897750511249E-3</v>
      </c>
      <c r="H1255" s="96">
        <v>4</v>
      </c>
      <c r="I1255" s="272">
        <f>ROUND(F1255/VLOOKUP(A1255,'Tabela de Produtos'!A:J,10,0),0)</f>
        <v>1540</v>
      </c>
      <c r="J1255" s="97">
        <f>IFERROR(VLOOKUP(C1255,'Custos Matéria Prima Embalagens'!B:G,6,0)*H1255,"Matéria Prima Não Cadastrada")</f>
        <v>29.32</v>
      </c>
      <c r="K1255" s="97">
        <f>IFERROR(J1255/(I1255/VLOOKUP(A1255,'Tabela de Produtos'!A:H,8,0)),"Matéria Prima Não Cadastrada")</f>
        <v>0.28558441558441555</v>
      </c>
      <c r="L1255" s="216"/>
    </row>
    <row r="1256" spans="1:12" ht="15.75" customHeight="1">
      <c r="A1256" s="114" t="s">
        <v>194</v>
      </c>
      <c r="B1256" s="114" t="str">
        <f>VLOOKUP(A1256,'Tabela de Produtos'!A:B,2,0)</f>
        <v>BRAZIMIL LÁTEX STANDARD INT/EXT FOSCO 15L AZUL CARIBE</v>
      </c>
      <c r="C1256" s="48" t="s">
        <v>1207</v>
      </c>
      <c r="D1256" s="114" t="str">
        <f>VLOOKUP(C1256,'Custos Matéria Prima Embalagens'!B:C,2,0)</f>
        <v>WANPEX 1510 (BB-200)</v>
      </c>
      <c r="E1256" s="114" t="str">
        <f>VLOOKUP(C1256,'Custos Matéria Prima Embalagens'!B:D,3,0)</f>
        <v>DISPERSANTE LATEX</v>
      </c>
      <c r="F1256" s="270">
        <f t="shared" si="164"/>
        <v>1956</v>
      </c>
      <c r="G1256" s="148">
        <f t="shared" si="165"/>
        <v>3.0674846625766872E-3</v>
      </c>
      <c r="H1256" s="96">
        <v>6</v>
      </c>
      <c r="I1256" s="272">
        <f>ROUND(F1256/VLOOKUP(A1256,'Tabela de Produtos'!A:J,10,0),0)</f>
        <v>1540</v>
      </c>
      <c r="J1256" s="97">
        <f>IFERROR(VLOOKUP(C1256,'Custos Matéria Prima Embalagens'!B:G,6,0)*H1256,"Matéria Prima Não Cadastrada")</f>
        <v>41.16</v>
      </c>
      <c r="K1256" s="97">
        <f>IFERROR(J1256/(I1256/VLOOKUP(A1256,'Tabela de Produtos'!A:H,8,0)),"Matéria Prima Não Cadastrada")</f>
        <v>0.40090909090909088</v>
      </c>
      <c r="L1256" s="216"/>
    </row>
    <row r="1257" spans="1:12" ht="15.75" customHeight="1">
      <c r="A1257" s="114" t="s">
        <v>194</v>
      </c>
      <c r="B1257" s="114" t="str">
        <f>VLOOKUP(A1257,'Tabela de Produtos'!A:B,2,0)</f>
        <v>BRAZIMIL LÁTEX STANDARD INT/EXT FOSCO 15L AZUL CARIBE</v>
      </c>
      <c r="C1257" s="48" t="s">
        <v>1209</v>
      </c>
      <c r="D1257" s="114" t="str">
        <f>VLOOKUP(C1257,'Custos Matéria Prima Embalagens'!B:C,2,0)</f>
        <v>WANFUNG WFT CE (BH-200)</v>
      </c>
      <c r="E1257" s="114" t="str">
        <f>VLOOKUP(C1257,'Custos Matéria Prima Embalagens'!B:D,3,0)</f>
        <v>FUNGICIDA</v>
      </c>
      <c r="F1257" s="270">
        <f t="shared" si="164"/>
        <v>1956</v>
      </c>
      <c r="G1257" s="148">
        <f t="shared" si="165"/>
        <v>2.5562372188139061E-3</v>
      </c>
      <c r="H1257" s="96">
        <v>5</v>
      </c>
      <c r="I1257" s="272">
        <f>ROUND(F1257/VLOOKUP(A1257,'Tabela de Produtos'!A:J,10,0),0)</f>
        <v>1540</v>
      </c>
      <c r="J1257" s="97">
        <f>IFERROR(VLOOKUP(C1257,'Custos Matéria Prima Embalagens'!B:G,6,0)*H1257,"Matéria Prima Não Cadastrada")</f>
        <v>35</v>
      </c>
      <c r="K1257" s="97">
        <f>IFERROR(J1257/(I1257/VLOOKUP(A1257,'Tabela de Produtos'!A:H,8,0)),"Matéria Prima Não Cadastrada")</f>
        <v>0.34090909090909088</v>
      </c>
      <c r="L1257" s="216"/>
    </row>
    <row r="1258" spans="1:12" ht="15.75" customHeight="1">
      <c r="A1258" s="114" t="s">
        <v>194</v>
      </c>
      <c r="B1258" s="114" t="str">
        <f>VLOOKUP(A1258,'Tabela de Produtos'!A:B,2,0)</f>
        <v>BRAZIMIL LÁTEX STANDARD INT/EXT FOSCO 15L AZUL CARIBE</v>
      </c>
      <c r="C1258" s="48" t="s">
        <v>1211</v>
      </c>
      <c r="D1258" s="114" t="str">
        <f>VLOOKUP(C1258,'Custos Matéria Prima Embalagens'!B:C,2,0)</f>
        <v>WHITE PLUS PB (SC-25) (Em negociação)</v>
      </c>
      <c r="E1258" s="114" t="str">
        <f>VLOOKUP(C1258,'Custos Matéria Prima Embalagens'!B:D,3,0)</f>
        <v>WHITE PLUS</v>
      </c>
      <c r="F1258" s="270">
        <f t="shared" si="164"/>
        <v>1956</v>
      </c>
      <c r="G1258" s="148">
        <f t="shared" si="165"/>
        <v>0.15337423312883436</v>
      </c>
      <c r="H1258" s="96">
        <v>300</v>
      </c>
      <c r="I1258" s="272">
        <f>ROUND(F1258/VLOOKUP(A1258,'Tabela de Produtos'!A:J,10,0),0)</f>
        <v>1540</v>
      </c>
      <c r="J1258" s="97">
        <f>IFERROR(VLOOKUP(C1258,'Custos Matéria Prima Embalagens'!B:G,6,0)*H1258,"Matéria Prima Não Cadastrada")</f>
        <v>927</v>
      </c>
      <c r="K1258" s="97">
        <f>IFERROR(J1258/(I1258/VLOOKUP(A1258,'Tabela de Produtos'!A:H,8,0)),"Matéria Prima Não Cadastrada")</f>
        <v>9.029220779220779</v>
      </c>
      <c r="L1258" s="216"/>
    </row>
    <row r="1259" spans="1:12" ht="15.75" customHeight="1">
      <c r="A1259" s="114" t="s">
        <v>194</v>
      </c>
      <c r="B1259" s="114" t="str">
        <f>VLOOKUP(A1259,'Tabela de Produtos'!A:B,2,0)</f>
        <v>BRAZIMIL LÁTEX STANDARD INT/EXT FOSCO 15L AZUL CARIBE</v>
      </c>
      <c r="C1259" s="48" t="s">
        <v>1213</v>
      </c>
      <c r="D1259" s="114" t="str">
        <f>VLOOKUP(C1259,'Custos Matéria Prima Embalagens'!B:C,2,0)</f>
        <v>DIOXIDO DE TITANIO RUTILO R-996</v>
      </c>
      <c r="E1259" s="114" t="str">
        <f>VLOOKUP(C1259,'Custos Matéria Prima Embalagens'!B:D,3,0)</f>
        <v>TITANIO</v>
      </c>
      <c r="F1259" s="270">
        <f t="shared" si="164"/>
        <v>1956</v>
      </c>
      <c r="G1259" s="148">
        <f t="shared" si="165"/>
        <v>3.0674846625766871E-2</v>
      </c>
      <c r="H1259" s="96">
        <v>60</v>
      </c>
      <c r="I1259" s="272">
        <f>ROUND(F1259/VLOOKUP(A1259,'Tabela de Produtos'!A:J,10,0),0)</f>
        <v>1540</v>
      </c>
      <c r="J1259" s="97">
        <f>IFERROR(VLOOKUP(C1259,'Custos Matéria Prima Embalagens'!B:G,6,0)*H1259,"Matéria Prima Não Cadastrada")</f>
        <v>1158</v>
      </c>
      <c r="K1259" s="97">
        <f>IFERROR(J1259/(I1259/VLOOKUP(A1259,'Tabela de Produtos'!A:H,8,0)),"Matéria Prima Não Cadastrada")</f>
        <v>11.279220779220779</v>
      </c>
      <c r="L1259" s="216"/>
    </row>
    <row r="1260" spans="1:12" ht="15.75" customHeight="1">
      <c r="A1260" s="114" t="s">
        <v>194</v>
      </c>
      <c r="B1260" s="114" t="str">
        <f>VLOOKUP(A1260,'Tabela de Produtos'!A:B,2,0)</f>
        <v>BRAZIMIL LÁTEX STANDARD INT/EXT FOSCO 15L AZUL CARIBE</v>
      </c>
      <c r="C1260" s="48" t="s">
        <v>1215</v>
      </c>
      <c r="D1260" s="114" t="str">
        <f>VLOOKUP(C1260,'Custos Matéria Prima Embalagens'!B:C,2,0)</f>
        <v>CALCARIO DOLOMITICO #500 ( SACOS 25 KG)</v>
      </c>
      <c r="E1260" s="114" t="str">
        <f>VLOOKUP(C1260,'Custos Matéria Prima Embalagens'!B:D,3,0)</f>
        <v>CARBONATO #500</v>
      </c>
      <c r="F1260" s="270">
        <f t="shared" si="164"/>
        <v>1956</v>
      </c>
      <c r="G1260" s="148">
        <f t="shared" si="165"/>
        <v>0.15337423312883436</v>
      </c>
      <c r="H1260" s="96">
        <v>300</v>
      </c>
      <c r="I1260" s="272">
        <f>ROUND(F1260/VLOOKUP(A1260,'Tabela de Produtos'!A:J,10,0),0)</f>
        <v>1540</v>
      </c>
      <c r="J1260" s="97">
        <f>IFERROR(VLOOKUP(C1260,'Custos Matéria Prima Embalagens'!B:G,6,0)*H1260,"Matéria Prima Não Cadastrada")</f>
        <v>240</v>
      </c>
      <c r="K1260" s="97">
        <f>IFERROR(J1260/(I1260/VLOOKUP(A1260,'Tabela de Produtos'!A:H,8,0)),"Matéria Prima Não Cadastrada")</f>
        <v>2.3376623376623376</v>
      </c>
      <c r="L1260" s="216"/>
    </row>
    <row r="1261" spans="1:12" ht="15.75" customHeight="1">
      <c r="A1261" s="114" t="s">
        <v>194</v>
      </c>
      <c r="B1261" s="114" t="str">
        <f>VLOOKUP(A1261,'Tabela de Produtos'!A:B,2,0)</f>
        <v>BRAZIMIL LÁTEX STANDARD INT/EXT FOSCO 15L AZUL CARIBE</v>
      </c>
      <c r="C1261" s="48" t="s">
        <v>1227</v>
      </c>
      <c r="D1261" s="114" t="str">
        <f>VLOOKUP(C1261,'Custos Matéria Prima Embalagens'!B:C,2,0)</f>
        <v>CAULIM MALHA 325</v>
      </c>
      <c r="E1261" s="114" t="str">
        <f>VLOOKUP(C1261,'Custos Matéria Prima Embalagens'!B:D,3,0)</f>
        <v>caulim</v>
      </c>
      <c r="F1261" s="270">
        <f t="shared" si="164"/>
        <v>1956</v>
      </c>
      <c r="G1261" s="148">
        <f t="shared" si="165"/>
        <v>5.112474437627812E-2</v>
      </c>
      <c r="H1261" s="96">
        <v>100</v>
      </c>
      <c r="I1261" s="272">
        <f>ROUND(F1261/VLOOKUP(A1261,'Tabela de Produtos'!A:J,10,0),0)</f>
        <v>1540</v>
      </c>
      <c r="J1261" s="97">
        <f>IFERROR(VLOOKUP(C1261,'Custos Matéria Prima Embalagens'!B:G,6,0)*H1261,"Matéria Prima Não Cadastrada")</f>
        <v>152.04955555555551</v>
      </c>
      <c r="K1261" s="97">
        <f>IFERROR(J1261/(I1261/VLOOKUP(A1261,'Tabela de Produtos'!A:H,8,0)),"Matéria Prima Não Cadastrada")</f>
        <v>1.481002164502164</v>
      </c>
      <c r="L1261" s="216"/>
    </row>
    <row r="1262" spans="1:12" ht="15.75" customHeight="1">
      <c r="A1262" s="114" t="s">
        <v>194</v>
      </c>
      <c r="B1262" s="114" t="str">
        <f>VLOOKUP(A1262,'Tabela de Produtos'!A:B,2,0)</f>
        <v>BRAZIMIL LÁTEX STANDARD INT/EXT FOSCO 15L AZUL CARIBE</v>
      </c>
      <c r="C1262" s="48" t="s">
        <v>1217</v>
      </c>
      <c r="D1262" s="114" t="str">
        <f>VLOOKUP(C1262,'Custos Matéria Prima Embalagens'!B:C,2,0)</f>
        <v>WANCRIL W 51 CE (CT-1000P)</v>
      </c>
      <c r="E1262" s="114" t="str">
        <f>VLOOKUP(C1262,'Custos Matéria Prima Embalagens'!B:D,3,0)</f>
        <v>RESINA ACRILICA ESTIRENADA</v>
      </c>
      <c r="F1262" s="270">
        <f t="shared" si="164"/>
        <v>1956</v>
      </c>
      <c r="G1262" s="148">
        <f t="shared" si="165"/>
        <v>0.10224948875255624</v>
      </c>
      <c r="H1262" s="96">
        <v>200</v>
      </c>
      <c r="I1262" s="272">
        <f>ROUND(F1262/VLOOKUP(A1262,'Tabela de Produtos'!A:J,10,0),0)</f>
        <v>1540</v>
      </c>
      <c r="J1262" s="97">
        <f>IFERROR(VLOOKUP(C1262,'Custos Matéria Prima Embalagens'!B:G,6,0)*H1262,"Matéria Prima Não Cadastrada")</f>
        <v>1686</v>
      </c>
      <c r="K1262" s="97">
        <f>IFERROR(J1262/(I1262/VLOOKUP(A1262,'Tabela de Produtos'!A:H,8,0)),"Matéria Prima Não Cadastrada")</f>
        <v>16.422077922077921</v>
      </c>
      <c r="L1262" s="216"/>
    </row>
    <row r="1263" spans="1:12" ht="15.75" customHeight="1">
      <c r="A1263" s="114" t="s">
        <v>194</v>
      </c>
      <c r="B1263" s="114" t="str">
        <f>VLOOKUP(A1263,'Tabela de Produtos'!A:B,2,0)</f>
        <v>BRAZIMIL LÁTEX STANDARD INT/EXT FOSCO 15L AZUL CARIBE</v>
      </c>
      <c r="C1263" s="48" t="s">
        <v>1219</v>
      </c>
      <c r="D1263" s="114" t="str">
        <f>VLOOKUP(C1263,'Custos Matéria Prima Embalagens'!B:C,2,0)</f>
        <v>WANALK 70 CE (BH-200)</v>
      </c>
      <c r="E1263" s="114" t="str">
        <f>VLOOKUP(C1263,'Custos Matéria Prima Embalagens'!B:D,3,0)</f>
        <v>ALCALINIZANTE</v>
      </c>
      <c r="F1263" s="270">
        <f t="shared" si="164"/>
        <v>1956</v>
      </c>
      <c r="G1263" s="148">
        <f t="shared" si="165"/>
        <v>2.5562372188139061E-3</v>
      </c>
      <c r="H1263" s="96">
        <v>5</v>
      </c>
      <c r="I1263" s="272">
        <f>ROUND(F1263/VLOOKUP(A1263,'Tabela de Produtos'!A:J,10,0),0)</f>
        <v>1540</v>
      </c>
      <c r="J1263" s="97">
        <f>IFERROR(VLOOKUP(C1263,'Custos Matéria Prima Embalagens'!B:G,6,0)*H1263,"Matéria Prima Não Cadastrada")</f>
        <v>24.900000000000002</v>
      </c>
      <c r="K1263" s="97">
        <f>IFERROR(J1263/(I1263/VLOOKUP(A1263,'Tabela de Produtos'!A:H,8,0)),"Matéria Prima Não Cadastrada")</f>
        <v>0.24253246753246754</v>
      </c>
      <c r="L1263" s="216"/>
    </row>
    <row r="1264" spans="1:12" ht="15.75" customHeight="1">
      <c r="A1264" s="114" t="s">
        <v>194</v>
      </c>
      <c r="B1264" s="114" t="str">
        <f>VLOOKUP(A1264,'Tabela de Produtos'!A:B,2,0)</f>
        <v>BRAZIMIL LÁTEX STANDARD INT/EXT FOSCO 15L AZUL CARIBE</v>
      </c>
      <c r="C1264" s="48" t="s">
        <v>1221</v>
      </c>
      <c r="D1264" s="114" t="str">
        <f>VLOOKUP(C1264,'Custos Matéria Prima Embalagens'!B:C,2,0)</f>
        <v>MODIWAN 105H CE (CT-1000P)</v>
      </c>
      <c r="E1264" s="114" t="str">
        <f>VLOOKUP(C1264,'Custos Matéria Prima Embalagens'!B:D,3,0)</f>
        <v>ESPESSANTE DE MEDIA</v>
      </c>
      <c r="F1264" s="270">
        <f t="shared" si="164"/>
        <v>1956</v>
      </c>
      <c r="G1264" s="148">
        <f t="shared" si="165"/>
        <v>1.0224948875255624E-2</v>
      </c>
      <c r="H1264" s="96">
        <v>20</v>
      </c>
      <c r="I1264" s="272">
        <f>ROUND(F1264/VLOOKUP(A1264,'Tabela de Produtos'!A:J,10,0),0)</f>
        <v>1540</v>
      </c>
      <c r="J1264" s="97">
        <f>IFERROR(VLOOKUP(C1264,'Custos Matéria Prima Embalagens'!B:G,6,0)*H1264,"Matéria Prima Não Cadastrada")</f>
        <v>158.1</v>
      </c>
      <c r="K1264" s="97">
        <f>IFERROR(J1264/(I1264/VLOOKUP(A1264,'Tabela de Produtos'!A:H,8,0)),"Matéria Prima Não Cadastrada")</f>
        <v>1.5399350649350647</v>
      </c>
      <c r="L1264" s="216"/>
    </row>
    <row r="1265" spans="1:12" ht="15.75" customHeight="1">
      <c r="A1265" s="114" t="s">
        <v>194</v>
      </c>
      <c r="B1265" s="114" t="str">
        <f>VLOOKUP(A1265,'Tabela de Produtos'!A:B,2,0)</f>
        <v>BRAZIMIL LÁTEX STANDARD INT/EXT FOSCO 15L AZUL CARIBE</v>
      </c>
      <c r="C1265" s="48" t="s">
        <v>1223</v>
      </c>
      <c r="D1265" s="114" t="str">
        <f>VLOOKUP(C1265,'Custos Matéria Prima Embalagens'!B:C,2,0)</f>
        <v>TURBOWAN H CE (BH-200)</v>
      </c>
      <c r="E1265" s="114" t="str">
        <f>VLOOKUP(C1265,'Custos Matéria Prima Embalagens'!B:D,3,0)</f>
        <v>PROMOTOR DE LAVABILIDADE</v>
      </c>
      <c r="F1265" s="270">
        <f t="shared" si="164"/>
        <v>1956</v>
      </c>
      <c r="G1265" s="148">
        <f t="shared" si="165"/>
        <v>7.6687116564417178E-3</v>
      </c>
      <c r="H1265" s="96">
        <v>15</v>
      </c>
      <c r="I1265" s="272">
        <f>ROUND(F1265/VLOOKUP(A1265,'Tabela de Produtos'!A:J,10,0),0)</f>
        <v>1540</v>
      </c>
      <c r="J1265" s="97">
        <f>IFERROR(VLOOKUP(C1265,'Custos Matéria Prima Embalagens'!B:G,6,0)*H1265,"Matéria Prima Não Cadastrada")</f>
        <v>72.75</v>
      </c>
      <c r="K1265" s="97">
        <f>IFERROR(J1265/(I1265/VLOOKUP(A1265,'Tabela de Produtos'!A:H,8,0)),"Matéria Prima Não Cadastrada")</f>
        <v>0.70860389610389607</v>
      </c>
      <c r="L1265" s="216"/>
    </row>
    <row r="1266" spans="1:12" ht="15.75" customHeight="1">
      <c r="A1266" s="114" t="s">
        <v>194</v>
      </c>
      <c r="B1266" s="114" t="str">
        <f>VLOOKUP(A1266,'Tabela de Produtos'!A:B,2,0)</f>
        <v>BRAZIMIL LÁTEX STANDARD INT/EXT FOSCO 15L AZUL CARIBE</v>
      </c>
      <c r="C1266" s="48" t="s">
        <v>1229</v>
      </c>
      <c r="D1266" s="114" t="str">
        <f>VLOOKUP(C1266,'Custos Matéria Prima Embalagens'!B:C,2,0)</f>
        <v>WANSOL 340 CE (BB-200)</v>
      </c>
      <c r="E1266" s="114" t="str">
        <f>VLOOKUP(C1266,'Custos Matéria Prima Embalagens'!B:D,3,0)</f>
        <v>COALESCENTE</v>
      </c>
      <c r="F1266" s="270">
        <f t="shared" si="164"/>
        <v>1956</v>
      </c>
      <c r="G1266" s="148">
        <f t="shared" si="165"/>
        <v>5.1124744376278121E-3</v>
      </c>
      <c r="H1266" s="96">
        <v>10</v>
      </c>
      <c r="I1266" s="272">
        <f>ROUND(F1266/VLOOKUP(A1266,'Tabela de Produtos'!A:J,10,0),0)</f>
        <v>1540</v>
      </c>
      <c r="J1266" s="97">
        <f>IFERROR(VLOOKUP(C1266,'Custos Matéria Prima Embalagens'!B:G,6,0)*H1266,"Matéria Prima Não Cadastrada")</f>
        <v>192.2</v>
      </c>
      <c r="K1266" s="97">
        <f>IFERROR(J1266/(I1266/VLOOKUP(A1266,'Tabela de Produtos'!A:H,8,0)),"Matéria Prima Não Cadastrada")</f>
        <v>1.8720779220779218</v>
      </c>
      <c r="L1266" s="216"/>
    </row>
    <row r="1267" spans="1:12" ht="15.75" customHeight="1">
      <c r="D1267" s="114"/>
      <c r="E1267" s="114"/>
      <c r="F1267" s="96"/>
      <c r="G1267" s="148"/>
      <c r="H1267" s="96"/>
      <c r="I1267" s="272"/>
      <c r="J1267" s="97"/>
      <c r="K1267" s="97"/>
      <c r="L1267" s="216"/>
    </row>
    <row r="1268" spans="1:12" ht="15.75" customHeight="1">
      <c r="A1268" s="114" t="s">
        <v>195</v>
      </c>
      <c r="B1268" s="114" t="str">
        <f>VLOOKUP(A1268,'Tabela de Produtos'!A:B,2,0)</f>
        <v>BRAZIMIL LÁTEX STANDARD INT/EXT FOSCO 15L VERDE LIMA</v>
      </c>
      <c r="C1268" s="48" t="s">
        <v>1197</v>
      </c>
      <c r="D1268" s="114" t="str">
        <f>VLOOKUP(C1268,'Custos Matéria Prima Embalagens'!B:C,2,0)</f>
        <v>AGUA</v>
      </c>
      <c r="E1268" s="114" t="str">
        <f>VLOOKUP(C1268,'Custos Matéria Prima Embalagens'!B:D,3,0)</f>
        <v>AGUA</v>
      </c>
      <c r="F1268" s="270">
        <f t="shared" ref="F1268:F1282" si="166">SUMIFS(H:H,A:A,A1268)</f>
        <v>1956</v>
      </c>
      <c r="G1268" s="148">
        <f t="shared" ref="G1268:G1282" si="167">H1268/F1268</f>
        <v>0.47034764826175868</v>
      </c>
      <c r="H1268" s="96">
        <v>920</v>
      </c>
      <c r="I1268" s="272">
        <f>ROUND(F1268/VLOOKUP(A1268,'Tabela de Produtos'!A:J,10,0),0)</f>
        <v>1540</v>
      </c>
      <c r="J1268" s="97">
        <f>IFERROR(VLOOKUP(C1268,'Custos Matéria Prima Embalagens'!B:G,6,0)*H1268,"Matéria Prima Não Cadastrada")</f>
        <v>0</v>
      </c>
      <c r="K1268" s="97">
        <f>IFERROR(J1268/(I1268/VLOOKUP(A1268,'Tabela de Produtos'!A:H,8,0)),"Matéria Prima Não Cadastrada")</f>
        <v>0</v>
      </c>
      <c r="L1268" s="216"/>
    </row>
    <row r="1269" spans="1:12" ht="15.75" customHeight="1">
      <c r="A1269" s="114" t="s">
        <v>195</v>
      </c>
      <c r="B1269" s="114" t="str">
        <f>VLOOKUP(A1269,'Tabela de Produtos'!A:B,2,0)</f>
        <v>BRAZIMIL LÁTEX STANDARD INT/EXT FOSCO 15L VERDE LIMA</v>
      </c>
      <c r="C1269" s="48" t="s">
        <v>1201</v>
      </c>
      <c r="D1269" s="114" t="str">
        <f>VLOOKUP(C1269,'Custos Matéria Prima Embalagens'!B:C,2,0)</f>
        <v>WANFOAM 528 CE (BB-190)</v>
      </c>
      <c r="E1269" s="114" t="str">
        <f>VLOOKUP(C1269,'Custos Matéria Prima Embalagens'!B:D,3,0)</f>
        <v>ANTI ESPUMA LATEX</v>
      </c>
      <c r="F1269" s="270">
        <f t="shared" si="166"/>
        <v>1956</v>
      </c>
      <c r="G1269" s="148">
        <f t="shared" si="167"/>
        <v>2.5562372188139061E-3</v>
      </c>
      <c r="H1269" s="96">
        <v>5</v>
      </c>
      <c r="I1269" s="272">
        <f>ROUND(F1269/VLOOKUP(A1269,'Tabela de Produtos'!A:J,10,0),0)</f>
        <v>1540</v>
      </c>
      <c r="J1269" s="97">
        <f>IFERROR(VLOOKUP(C1269,'Custos Matéria Prima Embalagens'!B:G,6,0)*H1269,"Matéria Prima Não Cadastrada")</f>
        <v>35.9</v>
      </c>
      <c r="K1269" s="97">
        <f>IFERROR(J1269/(I1269/VLOOKUP(A1269,'Tabela de Produtos'!A:H,8,0)),"Matéria Prima Não Cadastrada")</f>
        <v>0.34967532467532464</v>
      </c>
      <c r="L1269" s="216"/>
    </row>
    <row r="1270" spans="1:12" ht="15.75" customHeight="1">
      <c r="A1270" s="114" t="s">
        <v>195</v>
      </c>
      <c r="B1270" s="114" t="str">
        <f>VLOOKUP(A1270,'Tabela de Produtos'!A:B,2,0)</f>
        <v>BRAZIMIL LÁTEX STANDARD INT/EXT FOSCO 15L VERDE LIMA</v>
      </c>
      <c r="C1270" s="48" t="s">
        <v>1203</v>
      </c>
      <c r="D1270" s="114" t="str">
        <f>VLOOKUP(C1270,'Custos Matéria Prima Embalagens'!B:C,2,0)</f>
        <v>WANBAC WBT CE (BH-200)</v>
      </c>
      <c r="E1270" s="114" t="str">
        <f>VLOOKUP(C1270,'Custos Matéria Prima Embalagens'!B:D,3,0)</f>
        <v>BACTERICIDA</v>
      </c>
      <c r="F1270" s="270">
        <f t="shared" si="166"/>
        <v>1956</v>
      </c>
      <c r="G1270" s="148">
        <f t="shared" si="167"/>
        <v>3.0674846625766872E-3</v>
      </c>
      <c r="H1270" s="96">
        <v>6</v>
      </c>
      <c r="I1270" s="272">
        <f>ROUND(F1270/VLOOKUP(A1270,'Tabela de Produtos'!A:J,10,0),0)</f>
        <v>1540</v>
      </c>
      <c r="J1270" s="97">
        <f>IFERROR(VLOOKUP(C1270,'Custos Matéria Prima Embalagens'!B:G,6,0)*H1270,"Matéria Prima Não Cadastrada")</f>
        <v>29.639999999999997</v>
      </c>
      <c r="K1270" s="97">
        <f>IFERROR(J1270/(I1270/VLOOKUP(A1270,'Tabela de Produtos'!A:H,8,0)),"Matéria Prima Não Cadastrada")</f>
        <v>0.28870129870129868</v>
      </c>
      <c r="L1270" s="216"/>
    </row>
    <row r="1271" spans="1:12" ht="15.75" customHeight="1">
      <c r="A1271" s="114" t="s">
        <v>195</v>
      </c>
      <c r="B1271" s="114" t="str">
        <f>VLOOKUP(A1271,'Tabela de Produtos'!A:B,2,0)</f>
        <v>BRAZIMIL LÁTEX STANDARD INT/EXT FOSCO 15L VERDE LIMA</v>
      </c>
      <c r="C1271" s="48" t="s">
        <v>1205</v>
      </c>
      <c r="D1271" s="114" t="str">
        <f>VLOOKUP(C1271,'Custos Matéria Prima Embalagens'!B:C,2,0)</f>
        <v>WANSUR 840 CE (BB-200)01</v>
      </c>
      <c r="E1271" s="114" t="str">
        <f>VLOOKUP(C1271,'Custos Matéria Prima Embalagens'!B:D,3,0)</f>
        <v>UMECTANTE</v>
      </c>
      <c r="F1271" s="270">
        <f t="shared" si="166"/>
        <v>1956</v>
      </c>
      <c r="G1271" s="148">
        <f t="shared" si="167"/>
        <v>2.0449897750511249E-3</v>
      </c>
      <c r="H1271" s="96">
        <v>4</v>
      </c>
      <c r="I1271" s="272">
        <f>ROUND(F1271/VLOOKUP(A1271,'Tabela de Produtos'!A:J,10,0),0)</f>
        <v>1540</v>
      </c>
      <c r="J1271" s="97">
        <f>IFERROR(VLOOKUP(C1271,'Custos Matéria Prima Embalagens'!B:G,6,0)*H1271,"Matéria Prima Não Cadastrada")</f>
        <v>29.32</v>
      </c>
      <c r="K1271" s="97">
        <f>IFERROR(J1271/(I1271/VLOOKUP(A1271,'Tabela de Produtos'!A:H,8,0)),"Matéria Prima Não Cadastrada")</f>
        <v>0.28558441558441555</v>
      </c>
      <c r="L1271" s="216"/>
    </row>
    <row r="1272" spans="1:12" ht="15.75" customHeight="1">
      <c r="A1272" s="114" t="s">
        <v>195</v>
      </c>
      <c r="B1272" s="114" t="str">
        <f>VLOOKUP(A1272,'Tabela de Produtos'!A:B,2,0)</f>
        <v>BRAZIMIL LÁTEX STANDARD INT/EXT FOSCO 15L VERDE LIMA</v>
      </c>
      <c r="C1272" s="48" t="s">
        <v>1207</v>
      </c>
      <c r="D1272" s="114" t="str">
        <f>VLOOKUP(C1272,'Custos Matéria Prima Embalagens'!B:C,2,0)</f>
        <v>WANPEX 1510 (BB-200)</v>
      </c>
      <c r="E1272" s="114" t="str">
        <f>VLOOKUP(C1272,'Custos Matéria Prima Embalagens'!B:D,3,0)</f>
        <v>DISPERSANTE LATEX</v>
      </c>
      <c r="F1272" s="270">
        <f t="shared" si="166"/>
        <v>1956</v>
      </c>
      <c r="G1272" s="148">
        <f t="shared" si="167"/>
        <v>3.0674846625766872E-3</v>
      </c>
      <c r="H1272" s="96">
        <v>6</v>
      </c>
      <c r="I1272" s="272">
        <f>ROUND(F1272/VLOOKUP(A1272,'Tabela de Produtos'!A:J,10,0),0)</f>
        <v>1540</v>
      </c>
      <c r="J1272" s="97">
        <f>IFERROR(VLOOKUP(C1272,'Custos Matéria Prima Embalagens'!B:G,6,0)*H1272,"Matéria Prima Não Cadastrada")</f>
        <v>41.16</v>
      </c>
      <c r="K1272" s="97">
        <f>IFERROR(J1272/(I1272/VLOOKUP(A1272,'Tabela de Produtos'!A:H,8,0)),"Matéria Prima Não Cadastrada")</f>
        <v>0.40090909090909088</v>
      </c>
      <c r="L1272" s="216"/>
    </row>
    <row r="1273" spans="1:12" ht="15.75" customHeight="1">
      <c r="A1273" s="114" t="s">
        <v>195</v>
      </c>
      <c r="B1273" s="114" t="str">
        <f>VLOOKUP(A1273,'Tabela de Produtos'!A:B,2,0)</f>
        <v>BRAZIMIL LÁTEX STANDARD INT/EXT FOSCO 15L VERDE LIMA</v>
      </c>
      <c r="C1273" s="48" t="s">
        <v>1209</v>
      </c>
      <c r="D1273" s="114" t="str">
        <f>VLOOKUP(C1273,'Custos Matéria Prima Embalagens'!B:C,2,0)</f>
        <v>WANFUNG WFT CE (BH-200)</v>
      </c>
      <c r="E1273" s="114" t="str">
        <f>VLOOKUP(C1273,'Custos Matéria Prima Embalagens'!B:D,3,0)</f>
        <v>FUNGICIDA</v>
      </c>
      <c r="F1273" s="270">
        <f t="shared" si="166"/>
        <v>1956</v>
      </c>
      <c r="G1273" s="148">
        <f t="shared" si="167"/>
        <v>2.5562372188139061E-3</v>
      </c>
      <c r="H1273" s="96">
        <v>5</v>
      </c>
      <c r="I1273" s="272">
        <f>ROUND(F1273/VLOOKUP(A1273,'Tabela de Produtos'!A:J,10,0),0)</f>
        <v>1540</v>
      </c>
      <c r="J1273" s="97">
        <f>IFERROR(VLOOKUP(C1273,'Custos Matéria Prima Embalagens'!B:G,6,0)*H1273,"Matéria Prima Não Cadastrada")</f>
        <v>35</v>
      </c>
      <c r="K1273" s="97">
        <f>IFERROR(J1273/(I1273/VLOOKUP(A1273,'Tabela de Produtos'!A:H,8,0)),"Matéria Prima Não Cadastrada")</f>
        <v>0.34090909090909088</v>
      </c>
      <c r="L1273" s="216"/>
    </row>
    <row r="1274" spans="1:12" ht="15.75" customHeight="1">
      <c r="A1274" s="114" t="s">
        <v>195</v>
      </c>
      <c r="B1274" s="114" t="str">
        <f>VLOOKUP(A1274,'Tabela de Produtos'!A:B,2,0)</f>
        <v>BRAZIMIL LÁTEX STANDARD INT/EXT FOSCO 15L VERDE LIMA</v>
      </c>
      <c r="C1274" s="48" t="s">
        <v>1211</v>
      </c>
      <c r="D1274" s="114" t="str">
        <f>VLOOKUP(C1274,'Custos Matéria Prima Embalagens'!B:C,2,0)</f>
        <v>WHITE PLUS PB (SC-25) (Em negociação)</v>
      </c>
      <c r="E1274" s="114" t="str">
        <f>VLOOKUP(C1274,'Custos Matéria Prima Embalagens'!B:D,3,0)</f>
        <v>WHITE PLUS</v>
      </c>
      <c r="F1274" s="270">
        <f t="shared" si="166"/>
        <v>1956</v>
      </c>
      <c r="G1274" s="148">
        <f t="shared" si="167"/>
        <v>0.15337423312883436</v>
      </c>
      <c r="H1274" s="96">
        <v>300</v>
      </c>
      <c r="I1274" s="272">
        <f>ROUND(F1274/VLOOKUP(A1274,'Tabela de Produtos'!A:J,10,0),0)</f>
        <v>1540</v>
      </c>
      <c r="J1274" s="97">
        <f>IFERROR(VLOOKUP(C1274,'Custos Matéria Prima Embalagens'!B:G,6,0)*H1274,"Matéria Prima Não Cadastrada")</f>
        <v>927</v>
      </c>
      <c r="K1274" s="97">
        <f>IFERROR(J1274/(I1274/VLOOKUP(A1274,'Tabela de Produtos'!A:H,8,0)),"Matéria Prima Não Cadastrada")</f>
        <v>9.029220779220779</v>
      </c>
      <c r="L1274" s="216"/>
    </row>
    <row r="1275" spans="1:12" ht="15.75" customHeight="1">
      <c r="A1275" s="114" t="s">
        <v>195</v>
      </c>
      <c r="B1275" s="114" t="str">
        <f>VLOOKUP(A1275,'Tabela de Produtos'!A:B,2,0)</f>
        <v>BRAZIMIL LÁTEX STANDARD INT/EXT FOSCO 15L VERDE LIMA</v>
      </c>
      <c r="C1275" s="48" t="s">
        <v>1213</v>
      </c>
      <c r="D1275" s="114" t="str">
        <f>VLOOKUP(C1275,'Custos Matéria Prima Embalagens'!B:C,2,0)</f>
        <v>DIOXIDO DE TITANIO RUTILO R-996</v>
      </c>
      <c r="E1275" s="114" t="str">
        <f>VLOOKUP(C1275,'Custos Matéria Prima Embalagens'!B:D,3,0)</f>
        <v>TITANIO</v>
      </c>
      <c r="F1275" s="270">
        <f t="shared" si="166"/>
        <v>1956</v>
      </c>
      <c r="G1275" s="148">
        <f t="shared" si="167"/>
        <v>3.0674846625766871E-2</v>
      </c>
      <c r="H1275" s="96">
        <v>60</v>
      </c>
      <c r="I1275" s="272">
        <f>ROUND(F1275/VLOOKUP(A1275,'Tabela de Produtos'!A:J,10,0),0)</f>
        <v>1540</v>
      </c>
      <c r="J1275" s="97">
        <f>IFERROR(VLOOKUP(C1275,'Custos Matéria Prima Embalagens'!B:G,6,0)*H1275,"Matéria Prima Não Cadastrada")</f>
        <v>1158</v>
      </c>
      <c r="K1275" s="97">
        <f>IFERROR(J1275/(I1275/VLOOKUP(A1275,'Tabela de Produtos'!A:H,8,0)),"Matéria Prima Não Cadastrada")</f>
        <v>11.279220779220779</v>
      </c>
      <c r="L1275" s="216"/>
    </row>
    <row r="1276" spans="1:12" ht="15.75" customHeight="1">
      <c r="A1276" s="114" t="s">
        <v>195</v>
      </c>
      <c r="B1276" s="114" t="str">
        <f>VLOOKUP(A1276,'Tabela de Produtos'!A:B,2,0)</f>
        <v>BRAZIMIL LÁTEX STANDARD INT/EXT FOSCO 15L VERDE LIMA</v>
      </c>
      <c r="C1276" s="48" t="s">
        <v>1215</v>
      </c>
      <c r="D1276" s="114" t="str">
        <f>VLOOKUP(C1276,'Custos Matéria Prima Embalagens'!B:C,2,0)</f>
        <v>CALCARIO DOLOMITICO #500 ( SACOS 25 KG)</v>
      </c>
      <c r="E1276" s="114" t="str">
        <f>VLOOKUP(C1276,'Custos Matéria Prima Embalagens'!B:D,3,0)</f>
        <v>CARBONATO #500</v>
      </c>
      <c r="F1276" s="270">
        <f t="shared" si="166"/>
        <v>1956</v>
      </c>
      <c r="G1276" s="148">
        <f t="shared" si="167"/>
        <v>0.15337423312883436</v>
      </c>
      <c r="H1276" s="96">
        <v>300</v>
      </c>
      <c r="I1276" s="272">
        <f>ROUND(F1276/VLOOKUP(A1276,'Tabela de Produtos'!A:J,10,0),0)</f>
        <v>1540</v>
      </c>
      <c r="J1276" s="97">
        <f>IFERROR(VLOOKUP(C1276,'Custos Matéria Prima Embalagens'!B:G,6,0)*H1276,"Matéria Prima Não Cadastrada")</f>
        <v>240</v>
      </c>
      <c r="K1276" s="97">
        <f>IFERROR(J1276/(I1276/VLOOKUP(A1276,'Tabela de Produtos'!A:H,8,0)),"Matéria Prima Não Cadastrada")</f>
        <v>2.3376623376623376</v>
      </c>
      <c r="L1276" s="216"/>
    </row>
    <row r="1277" spans="1:12" ht="15.75" customHeight="1">
      <c r="A1277" s="114" t="s">
        <v>195</v>
      </c>
      <c r="B1277" s="114" t="str">
        <f>VLOOKUP(A1277,'Tabela de Produtos'!A:B,2,0)</f>
        <v>BRAZIMIL LÁTEX STANDARD INT/EXT FOSCO 15L VERDE LIMA</v>
      </c>
      <c r="C1277" s="48" t="s">
        <v>1227</v>
      </c>
      <c r="D1277" s="114" t="str">
        <f>VLOOKUP(C1277,'Custos Matéria Prima Embalagens'!B:C,2,0)</f>
        <v>CAULIM MALHA 325</v>
      </c>
      <c r="E1277" s="114" t="str">
        <f>VLOOKUP(C1277,'Custos Matéria Prima Embalagens'!B:D,3,0)</f>
        <v>caulim</v>
      </c>
      <c r="F1277" s="270">
        <f t="shared" si="166"/>
        <v>1956</v>
      </c>
      <c r="G1277" s="148">
        <f t="shared" si="167"/>
        <v>5.112474437627812E-2</v>
      </c>
      <c r="H1277" s="96">
        <v>100</v>
      </c>
      <c r="I1277" s="272">
        <f>ROUND(F1277/VLOOKUP(A1277,'Tabela de Produtos'!A:J,10,0),0)</f>
        <v>1540</v>
      </c>
      <c r="J1277" s="97">
        <f>IFERROR(VLOOKUP(C1277,'Custos Matéria Prima Embalagens'!B:G,6,0)*H1277,"Matéria Prima Não Cadastrada")</f>
        <v>152.04955555555551</v>
      </c>
      <c r="K1277" s="97">
        <f>IFERROR(J1277/(I1277/VLOOKUP(A1277,'Tabela de Produtos'!A:H,8,0)),"Matéria Prima Não Cadastrada")</f>
        <v>1.481002164502164</v>
      </c>
      <c r="L1277" s="216"/>
    </row>
    <row r="1278" spans="1:12" ht="15.75" customHeight="1">
      <c r="A1278" s="114" t="s">
        <v>195</v>
      </c>
      <c r="B1278" s="114" t="str">
        <f>VLOOKUP(A1278,'Tabela de Produtos'!A:B,2,0)</f>
        <v>BRAZIMIL LÁTEX STANDARD INT/EXT FOSCO 15L VERDE LIMA</v>
      </c>
      <c r="C1278" s="48" t="s">
        <v>1217</v>
      </c>
      <c r="D1278" s="114" t="str">
        <f>VLOOKUP(C1278,'Custos Matéria Prima Embalagens'!B:C,2,0)</f>
        <v>WANCRIL W 51 CE (CT-1000P)</v>
      </c>
      <c r="E1278" s="114" t="str">
        <f>VLOOKUP(C1278,'Custos Matéria Prima Embalagens'!B:D,3,0)</f>
        <v>RESINA ACRILICA ESTIRENADA</v>
      </c>
      <c r="F1278" s="270">
        <f t="shared" si="166"/>
        <v>1956</v>
      </c>
      <c r="G1278" s="148">
        <f t="shared" si="167"/>
        <v>0.10224948875255624</v>
      </c>
      <c r="H1278" s="96">
        <v>200</v>
      </c>
      <c r="I1278" s="272">
        <f>ROUND(F1278/VLOOKUP(A1278,'Tabela de Produtos'!A:J,10,0),0)</f>
        <v>1540</v>
      </c>
      <c r="J1278" s="97">
        <f>IFERROR(VLOOKUP(C1278,'Custos Matéria Prima Embalagens'!B:G,6,0)*H1278,"Matéria Prima Não Cadastrada")</f>
        <v>1686</v>
      </c>
      <c r="K1278" s="97">
        <f>IFERROR(J1278/(I1278/VLOOKUP(A1278,'Tabela de Produtos'!A:H,8,0)),"Matéria Prima Não Cadastrada")</f>
        <v>16.422077922077921</v>
      </c>
      <c r="L1278" s="216"/>
    </row>
    <row r="1279" spans="1:12" ht="15.75" customHeight="1">
      <c r="A1279" s="114" t="s">
        <v>195</v>
      </c>
      <c r="B1279" s="114" t="str">
        <f>VLOOKUP(A1279,'Tabela de Produtos'!A:B,2,0)</f>
        <v>BRAZIMIL LÁTEX STANDARD INT/EXT FOSCO 15L VERDE LIMA</v>
      </c>
      <c r="C1279" s="48" t="s">
        <v>1219</v>
      </c>
      <c r="D1279" s="114" t="str">
        <f>VLOOKUP(C1279,'Custos Matéria Prima Embalagens'!B:C,2,0)</f>
        <v>WANALK 70 CE (BH-200)</v>
      </c>
      <c r="E1279" s="114" t="str">
        <f>VLOOKUP(C1279,'Custos Matéria Prima Embalagens'!B:D,3,0)</f>
        <v>ALCALINIZANTE</v>
      </c>
      <c r="F1279" s="270">
        <f t="shared" si="166"/>
        <v>1956</v>
      </c>
      <c r="G1279" s="148">
        <f t="shared" si="167"/>
        <v>2.5562372188139061E-3</v>
      </c>
      <c r="H1279" s="96">
        <v>5</v>
      </c>
      <c r="I1279" s="272">
        <f>ROUND(F1279/VLOOKUP(A1279,'Tabela de Produtos'!A:J,10,0),0)</f>
        <v>1540</v>
      </c>
      <c r="J1279" s="97">
        <f>IFERROR(VLOOKUP(C1279,'Custos Matéria Prima Embalagens'!B:G,6,0)*H1279,"Matéria Prima Não Cadastrada")</f>
        <v>24.900000000000002</v>
      </c>
      <c r="K1279" s="97">
        <f>IFERROR(J1279/(I1279/VLOOKUP(A1279,'Tabela de Produtos'!A:H,8,0)),"Matéria Prima Não Cadastrada")</f>
        <v>0.24253246753246754</v>
      </c>
      <c r="L1279" s="216"/>
    </row>
    <row r="1280" spans="1:12" ht="15.75" customHeight="1">
      <c r="A1280" s="114" t="s">
        <v>195</v>
      </c>
      <c r="B1280" s="114" t="str">
        <f>VLOOKUP(A1280,'Tabela de Produtos'!A:B,2,0)</f>
        <v>BRAZIMIL LÁTEX STANDARD INT/EXT FOSCO 15L VERDE LIMA</v>
      </c>
      <c r="C1280" s="48" t="s">
        <v>1221</v>
      </c>
      <c r="D1280" s="114" t="str">
        <f>VLOOKUP(C1280,'Custos Matéria Prima Embalagens'!B:C,2,0)</f>
        <v>MODIWAN 105H CE (CT-1000P)</v>
      </c>
      <c r="E1280" s="114" t="str">
        <f>VLOOKUP(C1280,'Custos Matéria Prima Embalagens'!B:D,3,0)</f>
        <v>ESPESSANTE DE MEDIA</v>
      </c>
      <c r="F1280" s="270">
        <f t="shared" si="166"/>
        <v>1956</v>
      </c>
      <c r="G1280" s="148">
        <f t="shared" si="167"/>
        <v>1.0224948875255624E-2</v>
      </c>
      <c r="H1280" s="96">
        <v>20</v>
      </c>
      <c r="I1280" s="272">
        <f>ROUND(F1280/VLOOKUP(A1280,'Tabela de Produtos'!A:J,10,0),0)</f>
        <v>1540</v>
      </c>
      <c r="J1280" s="97">
        <f>IFERROR(VLOOKUP(C1280,'Custos Matéria Prima Embalagens'!B:G,6,0)*H1280,"Matéria Prima Não Cadastrada")</f>
        <v>158.1</v>
      </c>
      <c r="K1280" s="97">
        <f>IFERROR(J1280/(I1280/VLOOKUP(A1280,'Tabela de Produtos'!A:H,8,0)),"Matéria Prima Não Cadastrada")</f>
        <v>1.5399350649350647</v>
      </c>
      <c r="L1280" s="216"/>
    </row>
    <row r="1281" spans="1:12" ht="15.75" customHeight="1">
      <c r="A1281" s="114" t="s">
        <v>195</v>
      </c>
      <c r="B1281" s="114" t="str">
        <f>VLOOKUP(A1281,'Tabela de Produtos'!A:B,2,0)</f>
        <v>BRAZIMIL LÁTEX STANDARD INT/EXT FOSCO 15L VERDE LIMA</v>
      </c>
      <c r="C1281" s="48" t="s">
        <v>1223</v>
      </c>
      <c r="D1281" s="114" t="str">
        <f>VLOOKUP(C1281,'Custos Matéria Prima Embalagens'!B:C,2,0)</f>
        <v>TURBOWAN H CE (BH-200)</v>
      </c>
      <c r="E1281" s="114" t="str">
        <f>VLOOKUP(C1281,'Custos Matéria Prima Embalagens'!B:D,3,0)</f>
        <v>PROMOTOR DE LAVABILIDADE</v>
      </c>
      <c r="F1281" s="270">
        <f t="shared" si="166"/>
        <v>1956</v>
      </c>
      <c r="G1281" s="148">
        <f t="shared" si="167"/>
        <v>7.6687116564417178E-3</v>
      </c>
      <c r="H1281" s="96">
        <v>15</v>
      </c>
      <c r="I1281" s="272">
        <f>ROUND(F1281/VLOOKUP(A1281,'Tabela de Produtos'!A:J,10,0),0)</f>
        <v>1540</v>
      </c>
      <c r="J1281" s="97">
        <f>IFERROR(VLOOKUP(C1281,'Custos Matéria Prima Embalagens'!B:G,6,0)*H1281,"Matéria Prima Não Cadastrada")</f>
        <v>72.75</v>
      </c>
      <c r="K1281" s="97">
        <f>IFERROR(J1281/(I1281/VLOOKUP(A1281,'Tabela de Produtos'!A:H,8,0)),"Matéria Prima Não Cadastrada")</f>
        <v>0.70860389610389607</v>
      </c>
      <c r="L1281" s="216"/>
    </row>
    <row r="1282" spans="1:12" ht="15.75" customHeight="1">
      <c r="A1282" s="114" t="s">
        <v>195</v>
      </c>
      <c r="B1282" s="114" t="str">
        <f>VLOOKUP(A1282,'Tabela de Produtos'!A:B,2,0)</f>
        <v>BRAZIMIL LÁTEX STANDARD INT/EXT FOSCO 15L VERDE LIMA</v>
      </c>
      <c r="C1282" s="48" t="s">
        <v>1229</v>
      </c>
      <c r="D1282" s="114" t="str">
        <f>VLOOKUP(C1282,'Custos Matéria Prima Embalagens'!B:C,2,0)</f>
        <v>WANSOL 340 CE (BB-200)</v>
      </c>
      <c r="E1282" s="114" t="str">
        <f>VLOOKUP(C1282,'Custos Matéria Prima Embalagens'!B:D,3,0)</f>
        <v>COALESCENTE</v>
      </c>
      <c r="F1282" s="270">
        <f t="shared" si="166"/>
        <v>1956</v>
      </c>
      <c r="G1282" s="148">
        <f t="shared" si="167"/>
        <v>5.1124744376278121E-3</v>
      </c>
      <c r="H1282" s="96">
        <v>10</v>
      </c>
      <c r="I1282" s="272">
        <f>ROUND(F1282/VLOOKUP(A1282,'Tabela de Produtos'!A:J,10,0),0)</f>
        <v>1540</v>
      </c>
      <c r="J1282" s="97">
        <f>IFERROR(VLOOKUP(C1282,'Custos Matéria Prima Embalagens'!B:G,6,0)*H1282,"Matéria Prima Não Cadastrada")</f>
        <v>192.2</v>
      </c>
      <c r="K1282" s="97">
        <f>IFERROR(J1282/(I1282/VLOOKUP(A1282,'Tabela de Produtos'!A:H,8,0)),"Matéria Prima Não Cadastrada")</f>
        <v>1.8720779220779218</v>
      </c>
      <c r="L1282" s="216"/>
    </row>
    <row r="1283" spans="1:12" ht="15.75" customHeight="1">
      <c r="D1283" s="114"/>
      <c r="E1283" s="114"/>
      <c r="F1283" s="96"/>
      <c r="G1283" s="148"/>
      <c r="H1283" s="96"/>
      <c r="I1283" s="272"/>
      <c r="J1283" s="97"/>
      <c r="K1283" s="97"/>
      <c r="L1283" s="216"/>
    </row>
    <row r="1284" spans="1:12" ht="15.75" customHeight="1">
      <c r="A1284" s="114" t="s">
        <v>196</v>
      </c>
      <c r="B1284" s="114" t="str">
        <f>VLOOKUP(A1284,'Tabela de Produtos'!A:B,2,0)</f>
        <v>BRAZIMIL LÁTEX STANDARD INT/EXT FOSCO 15L PEROLA</v>
      </c>
      <c r="C1284" s="48" t="s">
        <v>1197</v>
      </c>
      <c r="D1284" s="114" t="str">
        <f>VLOOKUP(C1284,'Custos Matéria Prima Embalagens'!B:C,2,0)</f>
        <v>AGUA</v>
      </c>
      <c r="E1284" s="114" t="str">
        <f>VLOOKUP(C1284,'Custos Matéria Prima Embalagens'!B:D,3,0)</f>
        <v>AGUA</v>
      </c>
      <c r="F1284" s="270">
        <f t="shared" ref="F1284:F1298" si="168">SUMIFS(H:H,A:A,A1284)</f>
        <v>1956</v>
      </c>
      <c r="G1284" s="148">
        <f t="shared" ref="G1284:G1298" si="169">H1284/F1284</f>
        <v>0.47034764826175868</v>
      </c>
      <c r="H1284" s="96">
        <v>920</v>
      </c>
      <c r="I1284" s="272">
        <f>ROUND(F1284/VLOOKUP(A1284,'Tabela de Produtos'!A:J,10,0),0)</f>
        <v>1540</v>
      </c>
      <c r="J1284" s="97">
        <f>IFERROR(VLOOKUP(C1284,'Custos Matéria Prima Embalagens'!B:G,6,0)*H1284,"Matéria Prima Não Cadastrada")</f>
        <v>0</v>
      </c>
      <c r="K1284" s="97">
        <f>IFERROR(J1284/(I1284/VLOOKUP(A1284,'Tabela de Produtos'!A:H,8,0)),"Matéria Prima Não Cadastrada")</f>
        <v>0</v>
      </c>
      <c r="L1284" s="216"/>
    </row>
    <row r="1285" spans="1:12" ht="15.75" customHeight="1">
      <c r="A1285" s="114" t="s">
        <v>196</v>
      </c>
      <c r="B1285" s="114" t="str">
        <f>VLOOKUP(A1285,'Tabela de Produtos'!A:B,2,0)</f>
        <v>BRAZIMIL LÁTEX STANDARD INT/EXT FOSCO 15L PEROLA</v>
      </c>
      <c r="C1285" s="48" t="s">
        <v>1201</v>
      </c>
      <c r="D1285" s="114" t="str">
        <f>VLOOKUP(C1285,'Custos Matéria Prima Embalagens'!B:C,2,0)</f>
        <v>WANFOAM 528 CE (BB-190)</v>
      </c>
      <c r="E1285" s="114" t="str">
        <f>VLOOKUP(C1285,'Custos Matéria Prima Embalagens'!B:D,3,0)</f>
        <v>ANTI ESPUMA LATEX</v>
      </c>
      <c r="F1285" s="270">
        <f t="shared" si="168"/>
        <v>1956</v>
      </c>
      <c r="G1285" s="148">
        <f t="shared" si="169"/>
        <v>2.5562372188139061E-3</v>
      </c>
      <c r="H1285" s="96">
        <v>5</v>
      </c>
      <c r="I1285" s="272">
        <f>ROUND(F1285/VLOOKUP(A1285,'Tabela de Produtos'!A:J,10,0),0)</f>
        <v>1540</v>
      </c>
      <c r="J1285" s="97">
        <f>IFERROR(VLOOKUP(C1285,'Custos Matéria Prima Embalagens'!B:G,6,0)*H1285,"Matéria Prima Não Cadastrada")</f>
        <v>35.9</v>
      </c>
      <c r="K1285" s="97">
        <f>IFERROR(J1285/(I1285/VLOOKUP(A1285,'Tabela de Produtos'!A:H,8,0)),"Matéria Prima Não Cadastrada")</f>
        <v>0.34967532467532464</v>
      </c>
      <c r="L1285" s="216"/>
    </row>
    <row r="1286" spans="1:12" ht="15.75" customHeight="1">
      <c r="A1286" s="114" t="s">
        <v>196</v>
      </c>
      <c r="B1286" s="114" t="str">
        <f>VLOOKUP(A1286,'Tabela de Produtos'!A:B,2,0)</f>
        <v>BRAZIMIL LÁTEX STANDARD INT/EXT FOSCO 15L PEROLA</v>
      </c>
      <c r="C1286" s="48" t="s">
        <v>1203</v>
      </c>
      <c r="D1286" s="114" t="str">
        <f>VLOOKUP(C1286,'Custos Matéria Prima Embalagens'!B:C,2,0)</f>
        <v>WANBAC WBT CE (BH-200)</v>
      </c>
      <c r="E1286" s="114" t="str">
        <f>VLOOKUP(C1286,'Custos Matéria Prima Embalagens'!B:D,3,0)</f>
        <v>BACTERICIDA</v>
      </c>
      <c r="F1286" s="270">
        <f t="shared" si="168"/>
        <v>1956</v>
      </c>
      <c r="G1286" s="148">
        <f t="shared" si="169"/>
        <v>3.0674846625766872E-3</v>
      </c>
      <c r="H1286" s="96">
        <v>6</v>
      </c>
      <c r="I1286" s="272">
        <f>ROUND(F1286/VLOOKUP(A1286,'Tabela de Produtos'!A:J,10,0),0)</f>
        <v>1540</v>
      </c>
      <c r="J1286" s="97">
        <f>IFERROR(VLOOKUP(C1286,'Custos Matéria Prima Embalagens'!B:G,6,0)*H1286,"Matéria Prima Não Cadastrada")</f>
        <v>29.639999999999997</v>
      </c>
      <c r="K1286" s="97">
        <f>IFERROR(J1286/(I1286/VLOOKUP(A1286,'Tabela de Produtos'!A:H,8,0)),"Matéria Prima Não Cadastrada")</f>
        <v>0.28870129870129868</v>
      </c>
      <c r="L1286" s="216"/>
    </row>
    <row r="1287" spans="1:12" ht="15.75" customHeight="1">
      <c r="A1287" s="114" t="s">
        <v>196</v>
      </c>
      <c r="B1287" s="114" t="str">
        <f>VLOOKUP(A1287,'Tabela de Produtos'!A:B,2,0)</f>
        <v>BRAZIMIL LÁTEX STANDARD INT/EXT FOSCO 15L PEROLA</v>
      </c>
      <c r="C1287" s="48" t="s">
        <v>1205</v>
      </c>
      <c r="D1287" s="114" t="str">
        <f>VLOOKUP(C1287,'Custos Matéria Prima Embalagens'!B:C,2,0)</f>
        <v>WANSUR 840 CE (BB-200)01</v>
      </c>
      <c r="E1287" s="114" t="str">
        <f>VLOOKUP(C1287,'Custos Matéria Prima Embalagens'!B:D,3,0)</f>
        <v>UMECTANTE</v>
      </c>
      <c r="F1287" s="270">
        <f t="shared" si="168"/>
        <v>1956</v>
      </c>
      <c r="G1287" s="148">
        <f t="shared" si="169"/>
        <v>2.0449897750511249E-3</v>
      </c>
      <c r="H1287" s="96">
        <v>4</v>
      </c>
      <c r="I1287" s="272">
        <f>ROUND(F1287/VLOOKUP(A1287,'Tabela de Produtos'!A:J,10,0),0)</f>
        <v>1540</v>
      </c>
      <c r="J1287" s="97">
        <f>IFERROR(VLOOKUP(C1287,'Custos Matéria Prima Embalagens'!B:G,6,0)*H1287,"Matéria Prima Não Cadastrada")</f>
        <v>29.32</v>
      </c>
      <c r="K1287" s="97">
        <f>IFERROR(J1287/(I1287/VLOOKUP(A1287,'Tabela de Produtos'!A:H,8,0)),"Matéria Prima Não Cadastrada")</f>
        <v>0.28558441558441555</v>
      </c>
      <c r="L1287" s="216"/>
    </row>
    <row r="1288" spans="1:12" ht="15.75" customHeight="1">
      <c r="A1288" s="114" t="s">
        <v>196</v>
      </c>
      <c r="B1288" s="114" t="str">
        <f>VLOOKUP(A1288,'Tabela de Produtos'!A:B,2,0)</f>
        <v>BRAZIMIL LÁTEX STANDARD INT/EXT FOSCO 15L PEROLA</v>
      </c>
      <c r="C1288" s="48" t="s">
        <v>1207</v>
      </c>
      <c r="D1288" s="114" t="str">
        <f>VLOOKUP(C1288,'Custos Matéria Prima Embalagens'!B:C,2,0)</f>
        <v>WANPEX 1510 (BB-200)</v>
      </c>
      <c r="E1288" s="114" t="str">
        <f>VLOOKUP(C1288,'Custos Matéria Prima Embalagens'!B:D,3,0)</f>
        <v>DISPERSANTE LATEX</v>
      </c>
      <c r="F1288" s="270">
        <f t="shared" si="168"/>
        <v>1956</v>
      </c>
      <c r="G1288" s="148">
        <f t="shared" si="169"/>
        <v>3.0674846625766872E-3</v>
      </c>
      <c r="H1288" s="96">
        <v>6</v>
      </c>
      <c r="I1288" s="272">
        <f>ROUND(F1288/VLOOKUP(A1288,'Tabela de Produtos'!A:J,10,0),0)</f>
        <v>1540</v>
      </c>
      <c r="J1288" s="97">
        <f>IFERROR(VLOOKUP(C1288,'Custos Matéria Prima Embalagens'!B:G,6,0)*H1288,"Matéria Prima Não Cadastrada")</f>
        <v>41.16</v>
      </c>
      <c r="K1288" s="97">
        <f>IFERROR(J1288/(I1288/VLOOKUP(A1288,'Tabela de Produtos'!A:H,8,0)),"Matéria Prima Não Cadastrada")</f>
        <v>0.40090909090909088</v>
      </c>
      <c r="L1288" s="216"/>
    </row>
    <row r="1289" spans="1:12" ht="15.75" customHeight="1">
      <c r="A1289" s="114" t="s">
        <v>196</v>
      </c>
      <c r="B1289" s="114" t="str">
        <f>VLOOKUP(A1289,'Tabela de Produtos'!A:B,2,0)</f>
        <v>BRAZIMIL LÁTEX STANDARD INT/EXT FOSCO 15L PEROLA</v>
      </c>
      <c r="C1289" s="48" t="s">
        <v>1209</v>
      </c>
      <c r="D1289" s="114" t="str">
        <f>VLOOKUP(C1289,'Custos Matéria Prima Embalagens'!B:C,2,0)</f>
        <v>WANFUNG WFT CE (BH-200)</v>
      </c>
      <c r="E1289" s="114" t="str">
        <f>VLOOKUP(C1289,'Custos Matéria Prima Embalagens'!B:D,3,0)</f>
        <v>FUNGICIDA</v>
      </c>
      <c r="F1289" s="270">
        <f t="shared" si="168"/>
        <v>1956</v>
      </c>
      <c r="G1289" s="148">
        <f t="shared" si="169"/>
        <v>2.5562372188139061E-3</v>
      </c>
      <c r="H1289" s="96">
        <v>5</v>
      </c>
      <c r="I1289" s="272">
        <f>ROUND(F1289/VLOOKUP(A1289,'Tabela de Produtos'!A:J,10,0),0)</f>
        <v>1540</v>
      </c>
      <c r="J1289" s="97">
        <f>IFERROR(VLOOKUP(C1289,'Custos Matéria Prima Embalagens'!B:G,6,0)*H1289,"Matéria Prima Não Cadastrada")</f>
        <v>35</v>
      </c>
      <c r="K1289" s="97">
        <f>IFERROR(J1289/(I1289/VLOOKUP(A1289,'Tabela de Produtos'!A:H,8,0)),"Matéria Prima Não Cadastrada")</f>
        <v>0.34090909090909088</v>
      </c>
      <c r="L1289" s="216"/>
    </row>
    <row r="1290" spans="1:12" ht="15.75" customHeight="1">
      <c r="A1290" s="114" t="s">
        <v>196</v>
      </c>
      <c r="B1290" s="114" t="str">
        <f>VLOOKUP(A1290,'Tabela de Produtos'!A:B,2,0)</f>
        <v>BRAZIMIL LÁTEX STANDARD INT/EXT FOSCO 15L PEROLA</v>
      </c>
      <c r="C1290" s="48" t="s">
        <v>1211</v>
      </c>
      <c r="D1290" s="114" t="str">
        <f>VLOOKUP(C1290,'Custos Matéria Prima Embalagens'!B:C,2,0)</f>
        <v>WHITE PLUS PB (SC-25) (Em negociação)</v>
      </c>
      <c r="E1290" s="114" t="str">
        <f>VLOOKUP(C1290,'Custos Matéria Prima Embalagens'!B:D,3,0)</f>
        <v>WHITE PLUS</v>
      </c>
      <c r="F1290" s="270">
        <f t="shared" si="168"/>
        <v>1956</v>
      </c>
      <c r="G1290" s="148">
        <f t="shared" si="169"/>
        <v>0.15337423312883436</v>
      </c>
      <c r="H1290" s="96">
        <v>300</v>
      </c>
      <c r="I1290" s="272">
        <f>ROUND(F1290/VLOOKUP(A1290,'Tabela de Produtos'!A:J,10,0),0)</f>
        <v>1540</v>
      </c>
      <c r="J1290" s="97">
        <f>IFERROR(VLOOKUP(C1290,'Custos Matéria Prima Embalagens'!B:G,6,0)*H1290,"Matéria Prima Não Cadastrada")</f>
        <v>927</v>
      </c>
      <c r="K1290" s="97">
        <f>IFERROR(J1290/(I1290/VLOOKUP(A1290,'Tabela de Produtos'!A:H,8,0)),"Matéria Prima Não Cadastrada")</f>
        <v>9.029220779220779</v>
      </c>
      <c r="L1290" s="216"/>
    </row>
    <row r="1291" spans="1:12" ht="15.75" customHeight="1">
      <c r="A1291" s="114" t="s">
        <v>196</v>
      </c>
      <c r="B1291" s="114" t="str">
        <f>VLOOKUP(A1291,'Tabela de Produtos'!A:B,2,0)</f>
        <v>BRAZIMIL LÁTEX STANDARD INT/EXT FOSCO 15L PEROLA</v>
      </c>
      <c r="C1291" s="48" t="s">
        <v>1213</v>
      </c>
      <c r="D1291" s="114" t="str">
        <f>VLOOKUP(C1291,'Custos Matéria Prima Embalagens'!B:C,2,0)</f>
        <v>DIOXIDO DE TITANIO RUTILO R-996</v>
      </c>
      <c r="E1291" s="114" t="str">
        <f>VLOOKUP(C1291,'Custos Matéria Prima Embalagens'!B:D,3,0)</f>
        <v>TITANIO</v>
      </c>
      <c r="F1291" s="270">
        <f t="shared" si="168"/>
        <v>1956</v>
      </c>
      <c r="G1291" s="148">
        <f t="shared" si="169"/>
        <v>3.0674846625766871E-2</v>
      </c>
      <c r="H1291" s="96">
        <v>60</v>
      </c>
      <c r="I1291" s="272">
        <f>ROUND(F1291/VLOOKUP(A1291,'Tabela de Produtos'!A:J,10,0),0)</f>
        <v>1540</v>
      </c>
      <c r="J1291" s="97">
        <f>IFERROR(VLOOKUP(C1291,'Custos Matéria Prima Embalagens'!B:G,6,0)*H1291,"Matéria Prima Não Cadastrada")</f>
        <v>1158</v>
      </c>
      <c r="K1291" s="97">
        <f>IFERROR(J1291/(I1291/VLOOKUP(A1291,'Tabela de Produtos'!A:H,8,0)),"Matéria Prima Não Cadastrada")</f>
        <v>11.279220779220779</v>
      </c>
      <c r="L1291" s="216"/>
    </row>
    <row r="1292" spans="1:12" ht="15.75" customHeight="1">
      <c r="A1292" s="114" t="s">
        <v>196</v>
      </c>
      <c r="B1292" s="114" t="str">
        <f>VLOOKUP(A1292,'Tabela de Produtos'!A:B,2,0)</f>
        <v>BRAZIMIL LÁTEX STANDARD INT/EXT FOSCO 15L PEROLA</v>
      </c>
      <c r="C1292" s="48" t="s">
        <v>1215</v>
      </c>
      <c r="D1292" s="114" t="str">
        <f>VLOOKUP(C1292,'Custos Matéria Prima Embalagens'!B:C,2,0)</f>
        <v>CALCARIO DOLOMITICO #500 ( SACOS 25 KG)</v>
      </c>
      <c r="E1292" s="114" t="str">
        <f>VLOOKUP(C1292,'Custos Matéria Prima Embalagens'!B:D,3,0)</f>
        <v>CARBONATO #500</v>
      </c>
      <c r="F1292" s="270">
        <f t="shared" si="168"/>
        <v>1956</v>
      </c>
      <c r="G1292" s="148">
        <f t="shared" si="169"/>
        <v>0.15337423312883436</v>
      </c>
      <c r="H1292" s="96">
        <v>300</v>
      </c>
      <c r="I1292" s="272">
        <f>ROUND(F1292/VLOOKUP(A1292,'Tabela de Produtos'!A:J,10,0),0)</f>
        <v>1540</v>
      </c>
      <c r="J1292" s="97">
        <f>IFERROR(VLOOKUP(C1292,'Custos Matéria Prima Embalagens'!B:G,6,0)*H1292,"Matéria Prima Não Cadastrada")</f>
        <v>240</v>
      </c>
      <c r="K1292" s="97">
        <f>IFERROR(J1292/(I1292/VLOOKUP(A1292,'Tabela de Produtos'!A:H,8,0)),"Matéria Prima Não Cadastrada")</f>
        <v>2.3376623376623376</v>
      </c>
      <c r="L1292" s="216"/>
    </row>
    <row r="1293" spans="1:12" ht="15.75" customHeight="1">
      <c r="A1293" s="114" t="s">
        <v>196</v>
      </c>
      <c r="B1293" s="114" t="str">
        <f>VLOOKUP(A1293,'Tabela de Produtos'!A:B,2,0)</f>
        <v>BRAZIMIL LÁTEX STANDARD INT/EXT FOSCO 15L PEROLA</v>
      </c>
      <c r="C1293" s="48" t="s">
        <v>1227</v>
      </c>
      <c r="D1293" s="114" t="str">
        <f>VLOOKUP(C1293,'Custos Matéria Prima Embalagens'!B:C,2,0)</f>
        <v>CAULIM MALHA 325</v>
      </c>
      <c r="E1293" s="114" t="str">
        <f>VLOOKUP(C1293,'Custos Matéria Prima Embalagens'!B:D,3,0)</f>
        <v>caulim</v>
      </c>
      <c r="F1293" s="270">
        <f t="shared" si="168"/>
        <v>1956</v>
      </c>
      <c r="G1293" s="148">
        <f t="shared" si="169"/>
        <v>5.112474437627812E-2</v>
      </c>
      <c r="H1293" s="96">
        <v>100</v>
      </c>
      <c r="I1293" s="272">
        <f>ROUND(F1293/VLOOKUP(A1293,'Tabela de Produtos'!A:J,10,0),0)</f>
        <v>1540</v>
      </c>
      <c r="J1293" s="97">
        <f>IFERROR(VLOOKUP(C1293,'Custos Matéria Prima Embalagens'!B:G,6,0)*H1293,"Matéria Prima Não Cadastrada")</f>
        <v>152.04955555555551</v>
      </c>
      <c r="K1293" s="97">
        <f>IFERROR(J1293/(I1293/VLOOKUP(A1293,'Tabela de Produtos'!A:H,8,0)),"Matéria Prima Não Cadastrada")</f>
        <v>1.481002164502164</v>
      </c>
      <c r="L1293" s="216"/>
    </row>
    <row r="1294" spans="1:12" ht="15.75" customHeight="1">
      <c r="A1294" s="114" t="s">
        <v>196</v>
      </c>
      <c r="B1294" s="114" t="str">
        <f>VLOOKUP(A1294,'Tabela de Produtos'!A:B,2,0)</f>
        <v>BRAZIMIL LÁTEX STANDARD INT/EXT FOSCO 15L PEROLA</v>
      </c>
      <c r="C1294" s="48" t="s">
        <v>1217</v>
      </c>
      <c r="D1294" s="114" t="str">
        <f>VLOOKUP(C1294,'Custos Matéria Prima Embalagens'!B:C,2,0)</f>
        <v>WANCRIL W 51 CE (CT-1000P)</v>
      </c>
      <c r="E1294" s="114" t="str">
        <f>VLOOKUP(C1294,'Custos Matéria Prima Embalagens'!B:D,3,0)</f>
        <v>RESINA ACRILICA ESTIRENADA</v>
      </c>
      <c r="F1294" s="270">
        <f t="shared" si="168"/>
        <v>1956</v>
      </c>
      <c r="G1294" s="148">
        <f t="shared" si="169"/>
        <v>0.10224948875255624</v>
      </c>
      <c r="H1294" s="96">
        <v>200</v>
      </c>
      <c r="I1294" s="272">
        <f>ROUND(F1294/VLOOKUP(A1294,'Tabela de Produtos'!A:J,10,0),0)</f>
        <v>1540</v>
      </c>
      <c r="J1294" s="97">
        <f>IFERROR(VLOOKUP(C1294,'Custos Matéria Prima Embalagens'!B:G,6,0)*H1294,"Matéria Prima Não Cadastrada")</f>
        <v>1686</v>
      </c>
      <c r="K1294" s="97">
        <f>IFERROR(J1294/(I1294/VLOOKUP(A1294,'Tabela de Produtos'!A:H,8,0)),"Matéria Prima Não Cadastrada")</f>
        <v>16.422077922077921</v>
      </c>
      <c r="L1294" s="216"/>
    </row>
    <row r="1295" spans="1:12" ht="15.75" customHeight="1">
      <c r="A1295" s="114" t="s">
        <v>196</v>
      </c>
      <c r="B1295" s="114" t="str">
        <f>VLOOKUP(A1295,'Tabela de Produtos'!A:B,2,0)</f>
        <v>BRAZIMIL LÁTEX STANDARD INT/EXT FOSCO 15L PEROLA</v>
      </c>
      <c r="C1295" s="48" t="s">
        <v>1219</v>
      </c>
      <c r="D1295" s="114" t="str">
        <f>VLOOKUP(C1295,'Custos Matéria Prima Embalagens'!B:C,2,0)</f>
        <v>WANALK 70 CE (BH-200)</v>
      </c>
      <c r="E1295" s="114" t="str">
        <f>VLOOKUP(C1295,'Custos Matéria Prima Embalagens'!B:D,3,0)</f>
        <v>ALCALINIZANTE</v>
      </c>
      <c r="F1295" s="270">
        <f t="shared" si="168"/>
        <v>1956</v>
      </c>
      <c r="G1295" s="148">
        <f t="shared" si="169"/>
        <v>2.5562372188139061E-3</v>
      </c>
      <c r="H1295" s="96">
        <v>5</v>
      </c>
      <c r="I1295" s="272">
        <f>ROUND(F1295/VLOOKUP(A1295,'Tabela de Produtos'!A:J,10,0),0)</f>
        <v>1540</v>
      </c>
      <c r="J1295" s="97">
        <f>IFERROR(VLOOKUP(C1295,'Custos Matéria Prima Embalagens'!B:G,6,0)*H1295,"Matéria Prima Não Cadastrada")</f>
        <v>24.900000000000002</v>
      </c>
      <c r="K1295" s="97">
        <f>IFERROR(J1295/(I1295/VLOOKUP(A1295,'Tabela de Produtos'!A:H,8,0)),"Matéria Prima Não Cadastrada")</f>
        <v>0.24253246753246754</v>
      </c>
      <c r="L1295" s="216"/>
    </row>
    <row r="1296" spans="1:12" ht="15.75" customHeight="1">
      <c r="A1296" s="114" t="s">
        <v>196</v>
      </c>
      <c r="B1296" s="114" t="str">
        <f>VLOOKUP(A1296,'Tabela de Produtos'!A:B,2,0)</f>
        <v>BRAZIMIL LÁTEX STANDARD INT/EXT FOSCO 15L PEROLA</v>
      </c>
      <c r="C1296" s="48" t="s">
        <v>1221</v>
      </c>
      <c r="D1296" s="114" t="str">
        <f>VLOOKUP(C1296,'Custos Matéria Prima Embalagens'!B:C,2,0)</f>
        <v>MODIWAN 105H CE (CT-1000P)</v>
      </c>
      <c r="E1296" s="114" t="str">
        <f>VLOOKUP(C1296,'Custos Matéria Prima Embalagens'!B:D,3,0)</f>
        <v>ESPESSANTE DE MEDIA</v>
      </c>
      <c r="F1296" s="270">
        <f t="shared" si="168"/>
        <v>1956</v>
      </c>
      <c r="G1296" s="148">
        <f t="shared" si="169"/>
        <v>1.0224948875255624E-2</v>
      </c>
      <c r="H1296" s="96">
        <v>20</v>
      </c>
      <c r="I1296" s="272">
        <f>ROUND(F1296/VLOOKUP(A1296,'Tabela de Produtos'!A:J,10,0),0)</f>
        <v>1540</v>
      </c>
      <c r="J1296" s="97">
        <f>IFERROR(VLOOKUP(C1296,'Custos Matéria Prima Embalagens'!B:G,6,0)*H1296,"Matéria Prima Não Cadastrada")</f>
        <v>158.1</v>
      </c>
      <c r="K1296" s="97">
        <f>IFERROR(J1296/(I1296/VLOOKUP(A1296,'Tabela de Produtos'!A:H,8,0)),"Matéria Prima Não Cadastrada")</f>
        <v>1.5399350649350647</v>
      </c>
      <c r="L1296" s="216"/>
    </row>
    <row r="1297" spans="1:12" ht="15.75" customHeight="1">
      <c r="A1297" s="114" t="s">
        <v>196</v>
      </c>
      <c r="B1297" s="114" t="str">
        <f>VLOOKUP(A1297,'Tabela de Produtos'!A:B,2,0)</f>
        <v>BRAZIMIL LÁTEX STANDARD INT/EXT FOSCO 15L PEROLA</v>
      </c>
      <c r="C1297" s="48" t="s">
        <v>1223</v>
      </c>
      <c r="D1297" s="114" t="str">
        <f>VLOOKUP(C1297,'Custos Matéria Prima Embalagens'!B:C,2,0)</f>
        <v>TURBOWAN H CE (BH-200)</v>
      </c>
      <c r="E1297" s="114" t="str">
        <f>VLOOKUP(C1297,'Custos Matéria Prima Embalagens'!B:D,3,0)</f>
        <v>PROMOTOR DE LAVABILIDADE</v>
      </c>
      <c r="F1297" s="270">
        <f t="shared" si="168"/>
        <v>1956</v>
      </c>
      <c r="G1297" s="148">
        <f t="shared" si="169"/>
        <v>7.6687116564417178E-3</v>
      </c>
      <c r="H1297" s="96">
        <v>15</v>
      </c>
      <c r="I1297" s="272">
        <f>ROUND(F1297/VLOOKUP(A1297,'Tabela de Produtos'!A:J,10,0),0)</f>
        <v>1540</v>
      </c>
      <c r="J1297" s="97">
        <f>IFERROR(VLOOKUP(C1297,'Custos Matéria Prima Embalagens'!B:G,6,0)*H1297,"Matéria Prima Não Cadastrada")</f>
        <v>72.75</v>
      </c>
      <c r="K1297" s="97">
        <f>IFERROR(J1297/(I1297/VLOOKUP(A1297,'Tabela de Produtos'!A:H,8,0)),"Matéria Prima Não Cadastrada")</f>
        <v>0.70860389610389607</v>
      </c>
      <c r="L1297" s="216"/>
    </row>
    <row r="1298" spans="1:12" ht="15.75" customHeight="1">
      <c r="A1298" s="114" t="s">
        <v>196</v>
      </c>
      <c r="B1298" s="114" t="str">
        <f>VLOOKUP(A1298,'Tabela de Produtos'!A:B,2,0)</f>
        <v>BRAZIMIL LÁTEX STANDARD INT/EXT FOSCO 15L PEROLA</v>
      </c>
      <c r="C1298" s="48" t="s">
        <v>1229</v>
      </c>
      <c r="D1298" s="114" t="str">
        <f>VLOOKUP(C1298,'Custos Matéria Prima Embalagens'!B:C,2,0)</f>
        <v>WANSOL 340 CE (BB-200)</v>
      </c>
      <c r="E1298" s="114" t="str">
        <f>VLOOKUP(C1298,'Custos Matéria Prima Embalagens'!B:D,3,0)</f>
        <v>COALESCENTE</v>
      </c>
      <c r="F1298" s="270">
        <f t="shared" si="168"/>
        <v>1956</v>
      </c>
      <c r="G1298" s="148">
        <f t="shared" si="169"/>
        <v>5.1124744376278121E-3</v>
      </c>
      <c r="H1298" s="96">
        <v>10</v>
      </c>
      <c r="I1298" s="272">
        <f>ROUND(F1298/VLOOKUP(A1298,'Tabela de Produtos'!A:J,10,0),0)</f>
        <v>1540</v>
      </c>
      <c r="J1298" s="97">
        <f>IFERROR(VLOOKUP(C1298,'Custos Matéria Prima Embalagens'!B:G,6,0)*H1298,"Matéria Prima Não Cadastrada")</f>
        <v>192.2</v>
      </c>
      <c r="K1298" s="97">
        <f>IFERROR(J1298/(I1298/VLOOKUP(A1298,'Tabela de Produtos'!A:H,8,0)),"Matéria Prima Não Cadastrada")</f>
        <v>1.8720779220779218</v>
      </c>
      <c r="L1298" s="216"/>
    </row>
    <row r="1299" spans="1:12" ht="15.75" customHeight="1">
      <c r="D1299" s="114"/>
      <c r="E1299" s="114"/>
      <c r="F1299" s="96"/>
      <c r="G1299" s="148"/>
      <c r="H1299" s="96"/>
      <c r="I1299" s="272"/>
      <c r="J1299" s="97"/>
      <c r="K1299" s="97"/>
      <c r="L1299" s="216"/>
    </row>
    <row r="1300" spans="1:12" ht="15.75" customHeight="1">
      <c r="A1300" s="114" t="s">
        <v>197</v>
      </c>
      <c r="B1300" s="114" t="str">
        <f>VLOOKUP(A1300,'Tabela de Produtos'!A:B,2,0)</f>
        <v>BRAZIMIL LÁTEX STANDARD INT/EXT FOSCO 15L AZUL INTENSO</v>
      </c>
      <c r="C1300" s="48" t="s">
        <v>1197</v>
      </c>
      <c r="D1300" s="114" t="str">
        <f>VLOOKUP(C1300,'Custos Matéria Prima Embalagens'!B:C,2,0)</f>
        <v>AGUA</v>
      </c>
      <c r="E1300" s="114" t="str">
        <f>VLOOKUP(C1300,'Custos Matéria Prima Embalagens'!B:D,3,0)</f>
        <v>AGUA</v>
      </c>
      <c r="F1300" s="270">
        <f t="shared" ref="F1300:F1314" si="170">SUMIFS(H:H,A:A,A1300)</f>
        <v>1956</v>
      </c>
      <c r="G1300" s="148">
        <f t="shared" ref="G1300:G1314" si="171">H1300/F1300</f>
        <v>0.47034764826175868</v>
      </c>
      <c r="H1300" s="96">
        <v>920</v>
      </c>
      <c r="I1300" s="272">
        <f>ROUND(F1300/VLOOKUP(A1300,'Tabela de Produtos'!A:J,10,0),0)</f>
        <v>1540</v>
      </c>
      <c r="J1300" s="97">
        <f>IFERROR(VLOOKUP(C1300,'Custos Matéria Prima Embalagens'!B:G,6,0)*H1300,"Matéria Prima Não Cadastrada")</f>
        <v>0</v>
      </c>
      <c r="K1300" s="97">
        <f>IFERROR(J1300/(I1300/VLOOKUP(A1300,'Tabela de Produtos'!A:H,8,0)),"Matéria Prima Não Cadastrada")</f>
        <v>0</v>
      </c>
      <c r="L1300" s="216"/>
    </row>
    <row r="1301" spans="1:12" ht="15.75" customHeight="1">
      <c r="A1301" s="114" t="s">
        <v>197</v>
      </c>
      <c r="B1301" s="114" t="str">
        <f>VLOOKUP(A1301,'Tabela de Produtos'!A:B,2,0)</f>
        <v>BRAZIMIL LÁTEX STANDARD INT/EXT FOSCO 15L AZUL INTENSO</v>
      </c>
      <c r="C1301" s="48" t="s">
        <v>1201</v>
      </c>
      <c r="D1301" s="114" t="str">
        <f>VLOOKUP(C1301,'Custos Matéria Prima Embalagens'!B:C,2,0)</f>
        <v>WANFOAM 528 CE (BB-190)</v>
      </c>
      <c r="E1301" s="114" t="str">
        <f>VLOOKUP(C1301,'Custos Matéria Prima Embalagens'!B:D,3,0)</f>
        <v>ANTI ESPUMA LATEX</v>
      </c>
      <c r="F1301" s="270">
        <f t="shared" si="170"/>
        <v>1956</v>
      </c>
      <c r="G1301" s="148">
        <f t="shared" si="171"/>
        <v>2.5562372188139061E-3</v>
      </c>
      <c r="H1301" s="96">
        <v>5</v>
      </c>
      <c r="I1301" s="272">
        <f>ROUND(F1301/VLOOKUP(A1301,'Tabela de Produtos'!A:J,10,0),0)</f>
        <v>1540</v>
      </c>
      <c r="J1301" s="97">
        <f>IFERROR(VLOOKUP(C1301,'Custos Matéria Prima Embalagens'!B:G,6,0)*H1301,"Matéria Prima Não Cadastrada")</f>
        <v>35.9</v>
      </c>
      <c r="K1301" s="97">
        <f>IFERROR(J1301/(I1301/VLOOKUP(A1301,'Tabela de Produtos'!A:H,8,0)),"Matéria Prima Não Cadastrada")</f>
        <v>0.34967532467532464</v>
      </c>
      <c r="L1301" s="216"/>
    </row>
    <row r="1302" spans="1:12" ht="15.75" customHeight="1">
      <c r="A1302" s="114" t="s">
        <v>197</v>
      </c>
      <c r="B1302" s="114" t="str">
        <f>VLOOKUP(A1302,'Tabela de Produtos'!A:B,2,0)</f>
        <v>BRAZIMIL LÁTEX STANDARD INT/EXT FOSCO 15L AZUL INTENSO</v>
      </c>
      <c r="C1302" s="48" t="s">
        <v>1203</v>
      </c>
      <c r="D1302" s="114" t="str">
        <f>VLOOKUP(C1302,'Custos Matéria Prima Embalagens'!B:C,2,0)</f>
        <v>WANBAC WBT CE (BH-200)</v>
      </c>
      <c r="E1302" s="114" t="str">
        <f>VLOOKUP(C1302,'Custos Matéria Prima Embalagens'!B:D,3,0)</f>
        <v>BACTERICIDA</v>
      </c>
      <c r="F1302" s="270">
        <f t="shared" si="170"/>
        <v>1956</v>
      </c>
      <c r="G1302" s="148">
        <f t="shared" si="171"/>
        <v>3.0674846625766872E-3</v>
      </c>
      <c r="H1302" s="96">
        <v>6</v>
      </c>
      <c r="I1302" s="272">
        <f>ROUND(F1302/VLOOKUP(A1302,'Tabela de Produtos'!A:J,10,0),0)</f>
        <v>1540</v>
      </c>
      <c r="J1302" s="97">
        <f>IFERROR(VLOOKUP(C1302,'Custos Matéria Prima Embalagens'!B:G,6,0)*H1302,"Matéria Prima Não Cadastrada")</f>
        <v>29.639999999999997</v>
      </c>
      <c r="K1302" s="97">
        <f>IFERROR(J1302/(I1302/VLOOKUP(A1302,'Tabela de Produtos'!A:H,8,0)),"Matéria Prima Não Cadastrada")</f>
        <v>0.28870129870129868</v>
      </c>
      <c r="L1302" s="216"/>
    </row>
    <row r="1303" spans="1:12" ht="15.75" customHeight="1">
      <c r="A1303" s="114" t="s">
        <v>197</v>
      </c>
      <c r="B1303" s="114" t="str">
        <f>VLOOKUP(A1303,'Tabela de Produtos'!A:B,2,0)</f>
        <v>BRAZIMIL LÁTEX STANDARD INT/EXT FOSCO 15L AZUL INTENSO</v>
      </c>
      <c r="C1303" s="48" t="s">
        <v>1205</v>
      </c>
      <c r="D1303" s="114" t="str">
        <f>VLOOKUP(C1303,'Custos Matéria Prima Embalagens'!B:C,2,0)</f>
        <v>WANSUR 840 CE (BB-200)01</v>
      </c>
      <c r="E1303" s="114" t="str">
        <f>VLOOKUP(C1303,'Custos Matéria Prima Embalagens'!B:D,3,0)</f>
        <v>UMECTANTE</v>
      </c>
      <c r="F1303" s="270">
        <f t="shared" si="170"/>
        <v>1956</v>
      </c>
      <c r="G1303" s="148">
        <f t="shared" si="171"/>
        <v>2.0449897750511249E-3</v>
      </c>
      <c r="H1303" s="96">
        <v>4</v>
      </c>
      <c r="I1303" s="272">
        <f>ROUND(F1303/VLOOKUP(A1303,'Tabela de Produtos'!A:J,10,0),0)</f>
        <v>1540</v>
      </c>
      <c r="J1303" s="97">
        <f>IFERROR(VLOOKUP(C1303,'Custos Matéria Prima Embalagens'!B:G,6,0)*H1303,"Matéria Prima Não Cadastrada")</f>
        <v>29.32</v>
      </c>
      <c r="K1303" s="97">
        <f>IFERROR(J1303/(I1303/VLOOKUP(A1303,'Tabela de Produtos'!A:H,8,0)),"Matéria Prima Não Cadastrada")</f>
        <v>0.28558441558441555</v>
      </c>
      <c r="L1303" s="216"/>
    </row>
    <row r="1304" spans="1:12" ht="15.75" customHeight="1">
      <c r="A1304" s="114" t="s">
        <v>197</v>
      </c>
      <c r="B1304" s="114" t="str">
        <f>VLOOKUP(A1304,'Tabela de Produtos'!A:B,2,0)</f>
        <v>BRAZIMIL LÁTEX STANDARD INT/EXT FOSCO 15L AZUL INTENSO</v>
      </c>
      <c r="C1304" s="48" t="s">
        <v>1207</v>
      </c>
      <c r="D1304" s="114" t="str">
        <f>VLOOKUP(C1304,'Custos Matéria Prima Embalagens'!B:C,2,0)</f>
        <v>WANPEX 1510 (BB-200)</v>
      </c>
      <c r="E1304" s="114" t="str">
        <f>VLOOKUP(C1304,'Custos Matéria Prima Embalagens'!B:D,3,0)</f>
        <v>DISPERSANTE LATEX</v>
      </c>
      <c r="F1304" s="270">
        <f t="shared" si="170"/>
        <v>1956</v>
      </c>
      <c r="G1304" s="148">
        <f t="shared" si="171"/>
        <v>3.0674846625766872E-3</v>
      </c>
      <c r="H1304" s="96">
        <v>6</v>
      </c>
      <c r="I1304" s="272">
        <f>ROUND(F1304/VLOOKUP(A1304,'Tabela de Produtos'!A:J,10,0),0)</f>
        <v>1540</v>
      </c>
      <c r="J1304" s="97">
        <f>IFERROR(VLOOKUP(C1304,'Custos Matéria Prima Embalagens'!B:G,6,0)*H1304,"Matéria Prima Não Cadastrada")</f>
        <v>41.16</v>
      </c>
      <c r="K1304" s="97">
        <f>IFERROR(J1304/(I1304/VLOOKUP(A1304,'Tabela de Produtos'!A:H,8,0)),"Matéria Prima Não Cadastrada")</f>
        <v>0.40090909090909088</v>
      </c>
      <c r="L1304" s="216"/>
    </row>
    <row r="1305" spans="1:12" ht="15.75" customHeight="1">
      <c r="A1305" s="114" t="s">
        <v>197</v>
      </c>
      <c r="B1305" s="114" t="str">
        <f>VLOOKUP(A1305,'Tabela de Produtos'!A:B,2,0)</f>
        <v>BRAZIMIL LÁTEX STANDARD INT/EXT FOSCO 15L AZUL INTENSO</v>
      </c>
      <c r="C1305" s="48" t="s">
        <v>1209</v>
      </c>
      <c r="D1305" s="114" t="str">
        <f>VLOOKUP(C1305,'Custos Matéria Prima Embalagens'!B:C,2,0)</f>
        <v>WANFUNG WFT CE (BH-200)</v>
      </c>
      <c r="E1305" s="114" t="str">
        <f>VLOOKUP(C1305,'Custos Matéria Prima Embalagens'!B:D,3,0)</f>
        <v>FUNGICIDA</v>
      </c>
      <c r="F1305" s="270">
        <f t="shared" si="170"/>
        <v>1956</v>
      </c>
      <c r="G1305" s="148">
        <f t="shared" si="171"/>
        <v>2.5562372188139061E-3</v>
      </c>
      <c r="H1305" s="96">
        <v>5</v>
      </c>
      <c r="I1305" s="272">
        <f>ROUND(F1305/VLOOKUP(A1305,'Tabela de Produtos'!A:J,10,0),0)</f>
        <v>1540</v>
      </c>
      <c r="J1305" s="97">
        <f>IFERROR(VLOOKUP(C1305,'Custos Matéria Prima Embalagens'!B:G,6,0)*H1305,"Matéria Prima Não Cadastrada")</f>
        <v>35</v>
      </c>
      <c r="K1305" s="97">
        <f>IFERROR(J1305/(I1305/VLOOKUP(A1305,'Tabela de Produtos'!A:H,8,0)),"Matéria Prima Não Cadastrada")</f>
        <v>0.34090909090909088</v>
      </c>
      <c r="L1305" s="216"/>
    </row>
    <row r="1306" spans="1:12" ht="15.75" customHeight="1">
      <c r="A1306" s="114" t="s">
        <v>197</v>
      </c>
      <c r="B1306" s="114" t="str">
        <f>VLOOKUP(A1306,'Tabela de Produtos'!A:B,2,0)</f>
        <v>BRAZIMIL LÁTEX STANDARD INT/EXT FOSCO 15L AZUL INTENSO</v>
      </c>
      <c r="C1306" s="48" t="s">
        <v>1211</v>
      </c>
      <c r="D1306" s="114" t="str">
        <f>VLOOKUP(C1306,'Custos Matéria Prima Embalagens'!B:C,2,0)</f>
        <v>WHITE PLUS PB (SC-25) (Em negociação)</v>
      </c>
      <c r="E1306" s="114" t="str">
        <f>VLOOKUP(C1306,'Custos Matéria Prima Embalagens'!B:D,3,0)</f>
        <v>WHITE PLUS</v>
      </c>
      <c r="F1306" s="270">
        <f t="shared" si="170"/>
        <v>1956</v>
      </c>
      <c r="G1306" s="148">
        <f t="shared" si="171"/>
        <v>0.15337423312883436</v>
      </c>
      <c r="H1306" s="96">
        <v>300</v>
      </c>
      <c r="I1306" s="272">
        <f>ROUND(F1306/VLOOKUP(A1306,'Tabela de Produtos'!A:J,10,0),0)</f>
        <v>1540</v>
      </c>
      <c r="J1306" s="97">
        <f>IFERROR(VLOOKUP(C1306,'Custos Matéria Prima Embalagens'!B:G,6,0)*H1306,"Matéria Prima Não Cadastrada")</f>
        <v>927</v>
      </c>
      <c r="K1306" s="97">
        <f>IFERROR(J1306/(I1306/VLOOKUP(A1306,'Tabela de Produtos'!A:H,8,0)),"Matéria Prima Não Cadastrada")</f>
        <v>9.029220779220779</v>
      </c>
      <c r="L1306" s="216"/>
    </row>
    <row r="1307" spans="1:12" ht="15.75" customHeight="1">
      <c r="A1307" s="114" t="s">
        <v>197</v>
      </c>
      <c r="B1307" s="114" t="str">
        <f>VLOOKUP(A1307,'Tabela de Produtos'!A:B,2,0)</f>
        <v>BRAZIMIL LÁTEX STANDARD INT/EXT FOSCO 15L AZUL INTENSO</v>
      </c>
      <c r="C1307" s="48" t="s">
        <v>1213</v>
      </c>
      <c r="D1307" s="114" t="str">
        <f>VLOOKUP(C1307,'Custos Matéria Prima Embalagens'!B:C,2,0)</f>
        <v>DIOXIDO DE TITANIO RUTILO R-996</v>
      </c>
      <c r="E1307" s="114" t="str">
        <f>VLOOKUP(C1307,'Custos Matéria Prima Embalagens'!B:D,3,0)</f>
        <v>TITANIO</v>
      </c>
      <c r="F1307" s="270">
        <f t="shared" si="170"/>
        <v>1956</v>
      </c>
      <c r="G1307" s="148">
        <f t="shared" si="171"/>
        <v>3.0674846625766871E-2</v>
      </c>
      <c r="H1307" s="96">
        <v>60</v>
      </c>
      <c r="I1307" s="272">
        <f>ROUND(F1307/VLOOKUP(A1307,'Tabela de Produtos'!A:J,10,0),0)</f>
        <v>1540</v>
      </c>
      <c r="J1307" s="97">
        <f>IFERROR(VLOOKUP(C1307,'Custos Matéria Prima Embalagens'!B:G,6,0)*H1307,"Matéria Prima Não Cadastrada")</f>
        <v>1158</v>
      </c>
      <c r="K1307" s="97">
        <f>IFERROR(J1307/(I1307/VLOOKUP(A1307,'Tabela de Produtos'!A:H,8,0)),"Matéria Prima Não Cadastrada")</f>
        <v>11.279220779220779</v>
      </c>
      <c r="L1307" s="216"/>
    </row>
    <row r="1308" spans="1:12" ht="15.75" customHeight="1">
      <c r="A1308" s="114" t="s">
        <v>197</v>
      </c>
      <c r="B1308" s="114" t="str">
        <f>VLOOKUP(A1308,'Tabela de Produtos'!A:B,2,0)</f>
        <v>BRAZIMIL LÁTEX STANDARD INT/EXT FOSCO 15L AZUL INTENSO</v>
      </c>
      <c r="C1308" s="48" t="s">
        <v>1215</v>
      </c>
      <c r="D1308" s="114" t="str">
        <f>VLOOKUP(C1308,'Custos Matéria Prima Embalagens'!B:C,2,0)</f>
        <v>CALCARIO DOLOMITICO #500 ( SACOS 25 KG)</v>
      </c>
      <c r="E1308" s="114" t="str">
        <f>VLOOKUP(C1308,'Custos Matéria Prima Embalagens'!B:D,3,0)</f>
        <v>CARBONATO #500</v>
      </c>
      <c r="F1308" s="270">
        <f t="shared" si="170"/>
        <v>1956</v>
      </c>
      <c r="G1308" s="148">
        <f t="shared" si="171"/>
        <v>0.15337423312883436</v>
      </c>
      <c r="H1308" s="96">
        <v>300</v>
      </c>
      <c r="I1308" s="272">
        <f>ROUND(F1308/VLOOKUP(A1308,'Tabela de Produtos'!A:J,10,0),0)</f>
        <v>1540</v>
      </c>
      <c r="J1308" s="97">
        <f>IFERROR(VLOOKUP(C1308,'Custos Matéria Prima Embalagens'!B:G,6,0)*H1308,"Matéria Prima Não Cadastrada")</f>
        <v>240</v>
      </c>
      <c r="K1308" s="97">
        <f>IFERROR(J1308/(I1308/VLOOKUP(A1308,'Tabela de Produtos'!A:H,8,0)),"Matéria Prima Não Cadastrada")</f>
        <v>2.3376623376623376</v>
      </c>
      <c r="L1308" s="216"/>
    </row>
    <row r="1309" spans="1:12" ht="15.75" customHeight="1">
      <c r="A1309" s="114" t="s">
        <v>197</v>
      </c>
      <c r="B1309" s="114" t="str">
        <f>VLOOKUP(A1309,'Tabela de Produtos'!A:B,2,0)</f>
        <v>BRAZIMIL LÁTEX STANDARD INT/EXT FOSCO 15L AZUL INTENSO</v>
      </c>
      <c r="C1309" s="48" t="s">
        <v>1227</v>
      </c>
      <c r="D1309" s="114" t="str">
        <f>VLOOKUP(C1309,'Custos Matéria Prima Embalagens'!B:C,2,0)</f>
        <v>CAULIM MALHA 325</v>
      </c>
      <c r="E1309" s="114" t="str">
        <f>VLOOKUP(C1309,'Custos Matéria Prima Embalagens'!B:D,3,0)</f>
        <v>caulim</v>
      </c>
      <c r="F1309" s="270">
        <f t="shared" si="170"/>
        <v>1956</v>
      </c>
      <c r="G1309" s="148">
        <f t="shared" si="171"/>
        <v>5.112474437627812E-2</v>
      </c>
      <c r="H1309" s="96">
        <v>100</v>
      </c>
      <c r="I1309" s="272">
        <f>ROUND(F1309/VLOOKUP(A1309,'Tabela de Produtos'!A:J,10,0),0)</f>
        <v>1540</v>
      </c>
      <c r="J1309" s="97">
        <f>IFERROR(VLOOKUP(C1309,'Custos Matéria Prima Embalagens'!B:G,6,0)*H1309,"Matéria Prima Não Cadastrada")</f>
        <v>152.04955555555551</v>
      </c>
      <c r="K1309" s="97">
        <f>IFERROR(J1309/(I1309/VLOOKUP(A1309,'Tabela de Produtos'!A:H,8,0)),"Matéria Prima Não Cadastrada")</f>
        <v>1.481002164502164</v>
      </c>
      <c r="L1309" s="216"/>
    </row>
    <row r="1310" spans="1:12" ht="15.75" customHeight="1">
      <c r="A1310" s="114" t="s">
        <v>197</v>
      </c>
      <c r="B1310" s="114" t="str">
        <f>VLOOKUP(A1310,'Tabela de Produtos'!A:B,2,0)</f>
        <v>BRAZIMIL LÁTEX STANDARD INT/EXT FOSCO 15L AZUL INTENSO</v>
      </c>
      <c r="C1310" s="48" t="s">
        <v>1217</v>
      </c>
      <c r="D1310" s="114" t="str">
        <f>VLOOKUP(C1310,'Custos Matéria Prima Embalagens'!B:C,2,0)</f>
        <v>WANCRIL W 51 CE (CT-1000P)</v>
      </c>
      <c r="E1310" s="114" t="str">
        <f>VLOOKUP(C1310,'Custos Matéria Prima Embalagens'!B:D,3,0)</f>
        <v>RESINA ACRILICA ESTIRENADA</v>
      </c>
      <c r="F1310" s="270">
        <f t="shared" si="170"/>
        <v>1956</v>
      </c>
      <c r="G1310" s="148">
        <f t="shared" si="171"/>
        <v>0.10224948875255624</v>
      </c>
      <c r="H1310" s="96">
        <v>200</v>
      </c>
      <c r="I1310" s="272">
        <f>ROUND(F1310/VLOOKUP(A1310,'Tabela de Produtos'!A:J,10,0),0)</f>
        <v>1540</v>
      </c>
      <c r="J1310" s="97">
        <f>IFERROR(VLOOKUP(C1310,'Custos Matéria Prima Embalagens'!B:G,6,0)*H1310,"Matéria Prima Não Cadastrada")</f>
        <v>1686</v>
      </c>
      <c r="K1310" s="97">
        <f>IFERROR(J1310/(I1310/VLOOKUP(A1310,'Tabela de Produtos'!A:H,8,0)),"Matéria Prima Não Cadastrada")</f>
        <v>16.422077922077921</v>
      </c>
      <c r="L1310" s="216"/>
    </row>
    <row r="1311" spans="1:12" ht="15.75" customHeight="1">
      <c r="A1311" s="114" t="s">
        <v>197</v>
      </c>
      <c r="B1311" s="114" t="str">
        <f>VLOOKUP(A1311,'Tabela de Produtos'!A:B,2,0)</f>
        <v>BRAZIMIL LÁTEX STANDARD INT/EXT FOSCO 15L AZUL INTENSO</v>
      </c>
      <c r="C1311" s="48" t="s">
        <v>1219</v>
      </c>
      <c r="D1311" s="114" t="str">
        <f>VLOOKUP(C1311,'Custos Matéria Prima Embalagens'!B:C,2,0)</f>
        <v>WANALK 70 CE (BH-200)</v>
      </c>
      <c r="E1311" s="114" t="str">
        <f>VLOOKUP(C1311,'Custos Matéria Prima Embalagens'!B:D,3,0)</f>
        <v>ALCALINIZANTE</v>
      </c>
      <c r="F1311" s="270">
        <f t="shared" si="170"/>
        <v>1956</v>
      </c>
      <c r="G1311" s="148">
        <f t="shared" si="171"/>
        <v>2.5562372188139061E-3</v>
      </c>
      <c r="H1311" s="96">
        <v>5</v>
      </c>
      <c r="I1311" s="272">
        <f>ROUND(F1311/VLOOKUP(A1311,'Tabela de Produtos'!A:J,10,0),0)</f>
        <v>1540</v>
      </c>
      <c r="J1311" s="97">
        <f>IFERROR(VLOOKUP(C1311,'Custos Matéria Prima Embalagens'!B:G,6,0)*H1311,"Matéria Prima Não Cadastrada")</f>
        <v>24.900000000000002</v>
      </c>
      <c r="K1311" s="97">
        <f>IFERROR(J1311/(I1311/VLOOKUP(A1311,'Tabela de Produtos'!A:H,8,0)),"Matéria Prima Não Cadastrada")</f>
        <v>0.24253246753246754</v>
      </c>
      <c r="L1311" s="216"/>
    </row>
    <row r="1312" spans="1:12" ht="15.75" customHeight="1">
      <c r="A1312" s="114" t="s">
        <v>197</v>
      </c>
      <c r="B1312" s="114" t="str">
        <f>VLOOKUP(A1312,'Tabela de Produtos'!A:B,2,0)</f>
        <v>BRAZIMIL LÁTEX STANDARD INT/EXT FOSCO 15L AZUL INTENSO</v>
      </c>
      <c r="C1312" s="48" t="s">
        <v>1221</v>
      </c>
      <c r="D1312" s="114" t="str">
        <f>VLOOKUP(C1312,'Custos Matéria Prima Embalagens'!B:C,2,0)</f>
        <v>MODIWAN 105H CE (CT-1000P)</v>
      </c>
      <c r="E1312" s="114" t="str">
        <f>VLOOKUP(C1312,'Custos Matéria Prima Embalagens'!B:D,3,0)</f>
        <v>ESPESSANTE DE MEDIA</v>
      </c>
      <c r="F1312" s="270">
        <f t="shared" si="170"/>
        <v>1956</v>
      </c>
      <c r="G1312" s="148">
        <f t="shared" si="171"/>
        <v>1.0224948875255624E-2</v>
      </c>
      <c r="H1312" s="96">
        <v>20</v>
      </c>
      <c r="I1312" s="272">
        <f>ROUND(F1312/VLOOKUP(A1312,'Tabela de Produtos'!A:J,10,0),0)</f>
        <v>1540</v>
      </c>
      <c r="J1312" s="97">
        <f>IFERROR(VLOOKUP(C1312,'Custos Matéria Prima Embalagens'!B:G,6,0)*H1312,"Matéria Prima Não Cadastrada")</f>
        <v>158.1</v>
      </c>
      <c r="K1312" s="97">
        <f>IFERROR(J1312/(I1312/VLOOKUP(A1312,'Tabela de Produtos'!A:H,8,0)),"Matéria Prima Não Cadastrada")</f>
        <v>1.5399350649350647</v>
      </c>
      <c r="L1312" s="216"/>
    </row>
    <row r="1313" spans="1:12" ht="15.75" customHeight="1">
      <c r="A1313" s="114" t="s">
        <v>197</v>
      </c>
      <c r="B1313" s="114" t="str">
        <f>VLOOKUP(A1313,'Tabela de Produtos'!A:B,2,0)</f>
        <v>BRAZIMIL LÁTEX STANDARD INT/EXT FOSCO 15L AZUL INTENSO</v>
      </c>
      <c r="C1313" s="48" t="s">
        <v>1223</v>
      </c>
      <c r="D1313" s="114" t="str">
        <f>VLOOKUP(C1313,'Custos Matéria Prima Embalagens'!B:C,2,0)</f>
        <v>TURBOWAN H CE (BH-200)</v>
      </c>
      <c r="E1313" s="114" t="str">
        <f>VLOOKUP(C1313,'Custos Matéria Prima Embalagens'!B:D,3,0)</f>
        <v>PROMOTOR DE LAVABILIDADE</v>
      </c>
      <c r="F1313" s="270">
        <f t="shared" si="170"/>
        <v>1956</v>
      </c>
      <c r="G1313" s="148">
        <f t="shared" si="171"/>
        <v>7.6687116564417178E-3</v>
      </c>
      <c r="H1313" s="96">
        <v>15</v>
      </c>
      <c r="I1313" s="272">
        <f>ROUND(F1313/VLOOKUP(A1313,'Tabela de Produtos'!A:J,10,0),0)</f>
        <v>1540</v>
      </c>
      <c r="J1313" s="97">
        <f>IFERROR(VLOOKUP(C1313,'Custos Matéria Prima Embalagens'!B:G,6,0)*H1313,"Matéria Prima Não Cadastrada")</f>
        <v>72.75</v>
      </c>
      <c r="K1313" s="97">
        <f>IFERROR(J1313/(I1313/VLOOKUP(A1313,'Tabela de Produtos'!A:H,8,0)),"Matéria Prima Não Cadastrada")</f>
        <v>0.70860389610389607</v>
      </c>
      <c r="L1313" s="216"/>
    </row>
    <row r="1314" spans="1:12" ht="15.75" customHeight="1">
      <c r="A1314" s="114" t="s">
        <v>197</v>
      </c>
      <c r="B1314" s="114" t="str">
        <f>VLOOKUP(A1314,'Tabela de Produtos'!A:B,2,0)</f>
        <v>BRAZIMIL LÁTEX STANDARD INT/EXT FOSCO 15L AZUL INTENSO</v>
      </c>
      <c r="C1314" s="48" t="s">
        <v>1229</v>
      </c>
      <c r="D1314" s="114" t="str">
        <f>VLOOKUP(C1314,'Custos Matéria Prima Embalagens'!B:C,2,0)</f>
        <v>WANSOL 340 CE (BB-200)</v>
      </c>
      <c r="E1314" s="114" t="str">
        <f>VLOOKUP(C1314,'Custos Matéria Prima Embalagens'!B:D,3,0)</f>
        <v>COALESCENTE</v>
      </c>
      <c r="F1314" s="270">
        <f t="shared" si="170"/>
        <v>1956</v>
      </c>
      <c r="G1314" s="148">
        <f t="shared" si="171"/>
        <v>5.1124744376278121E-3</v>
      </c>
      <c r="H1314" s="96">
        <v>10</v>
      </c>
      <c r="I1314" s="272">
        <f>ROUND(F1314/VLOOKUP(A1314,'Tabela de Produtos'!A:J,10,0),0)</f>
        <v>1540</v>
      </c>
      <c r="J1314" s="97">
        <f>IFERROR(VLOOKUP(C1314,'Custos Matéria Prima Embalagens'!B:G,6,0)*H1314,"Matéria Prima Não Cadastrada")</f>
        <v>192.2</v>
      </c>
      <c r="K1314" s="97">
        <f>IFERROR(J1314/(I1314/VLOOKUP(A1314,'Tabela de Produtos'!A:H,8,0)),"Matéria Prima Não Cadastrada")</f>
        <v>1.8720779220779218</v>
      </c>
      <c r="L1314" s="216"/>
    </row>
    <row r="1315" spans="1:12" ht="15.75" customHeight="1">
      <c r="D1315" s="114"/>
      <c r="E1315" s="114"/>
      <c r="F1315" s="96"/>
      <c r="G1315" s="148"/>
      <c r="H1315" s="96"/>
      <c r="I1315" s="272"/>
      <c r="J1315" s="97"/>
      <c r="K1315" s="97"/>
      <c r="L1315" s="216"/>
    </row>
    <row r="1316" spans="1:12" ht="15.75" customHeight="1">
      <c r="A1316" s="114" t="s">
        <v>198</v>
      </c>
      <c r="B1316" s="114" t="str">
        <f>VLOOKUP(A1316,'Tabela de Produtos'!A:B,2,0)</f>
        <v>BRAZIMIL LÁTEX STANDARD INT/EXT FOSCO 15L LILAS</v>
      </c>
      <c r="C1316" s="48" t="s">
        <v>1197</v>
      </c>
      <c r="D1316" s="114" t="str">
        <f>VLOOKUP(C1316,'Custos Matéria Prima Embalagens'!B:C,2,0)</f>
        <v>AGUA</v>
      </c>
      <c r="E1316" s="114" t="str">
        <f>VLOOKUP(C1316,'Custos Matéria Prima Embalagens'!B:D,3,0)</f>
        <v>AGUA</v>
      </c>
      <c r="F1316" s="270">
        <f t="shared" ref="F1316:F1330" si="172">SUMIFS(H:H,A:A,A1316)</f>
        <v>1956</v>
      </c>
      <c r="G1316" s="148">
        <f t="shared" ref="G1316:G1330" si="173">H1316/F1316</f>
        <v>0.47034764826175868</v>
      </c>
      <c r="H1316" s="96">
        <v>920</v>
      </c>
      <c r="I1316" s="272">
        <f>ROUND(F1316/VLOOKUP(A1316,'Tabela de Produtos'!A:J,10,0),0)</f>
        <v>1540</v>
      </c>
      <c r="J1316" s="97">
        <f>IFERROR(VLOOKUP(C1316,'Custos Matéria Prima Embalagens'!B:G,6,0)*H1316,"Matéria Prima Não Cadastrada")</f>
        <v>0</v>
      </c>
      <c r="K1316" s="97">
        <f>IFERROR(J1316/(I1316/VLOOKUP(A1316,'Tabela de Produtos'!A:H,8,0)),"Matéria Prima Não Cadastrada")</f>
        <v>0</v>
      </c>
      <c r="L1316" s="216"/>
    </row>
    <row r="1317" spans="1:12" ht="15.75" customHeight="1">
      <c r="A1317" s="114" t="s">
        <v>198</v>
      </c>
      <c r="B1317" s="114" t="str">
        <f>VLOOKUP(A1317,'Tabela de Produtos'!A:B,2,0)</f>
        <v>BRAZIMIL LÁTEX STANDARD INT/EXT FOSCO 15L LILAS</v>
      </c>
      <c r="C1317" s="48" t="s">
        <v>1201</v>
      </c>
      <c r="D1317" s="114" t="str">
        <f>VLOOKUP(C1317,'Custos Matéria Prima Embalagens'!B:C,2,0)</f>
        <v>WANFOAM 528 CE (BB-190)</v>
      </c>
      <c r="E1317" s="114" t="str">
        <f>VLOOKUP(C1317,'Custos Matéria Prima Embalagens'!B:D,3,0)</f>
        <v>ANTI ESPUMA LATEX</v>
      </c>
      <c r="F1317" s="270">
        <f t="shared" si="172"/>
        <v>1956</v>
      </c>
      <c r="G1317" s="148">
        <f t="shared" si="173"/>
        <v>2.5562372188139061E-3</v>
      </c>
      <c r="H1317" s="96">
        <v>5</v>
      </c>
      <c r="I1317" s="272">
        <f>ROUND(F1317/VLOOKUP(A1317,'Tabela de Produtos'!A:J,10,0),0)</f>
        <v>1540</v>
      </c>
      <c r="J1317" s="97">
        <f>IFERROR(VLOOKUP(C1317,'Custos Matéria Prima Embalagens'!B:G,6,0)*H1317,"Matéria Prima Não Cadastrada")</f>
        <v>35.9</v>
      </c>
      <c r="K1317" s="97">
        <f>IFERROR(J1317/(I1317/VLOOKUP(A1317,'Tabela de Produtos'!A:H,8,0)),"Matéria Prima Não Cadastrada")</f>
        <v>0.34967532467532464</v>
      </c>
      <c r="L1317" s="216"/>
    </row>
    <row r="1318" spans="1:12" ht="15.75" customHeight="1">
      <c r="A1318" s="114" t="s">
        <v>198</v>
      </c>
      <c r="B1318" s="114" t="str">
        <f>VLOOKUP(A1318,'Tabela de Produtos'!A:B,2,0)</f>
        <v>BRAZIMIL LÁTEX STANDARD INT/EXT FOSCO 15L LILAS</v>
      </c>
      <c r="C1318" s="48" t="s">
        <v>1203</v>
      </c>
      <c r="D1318" s="114" t="str">
        <f>VLOOKUP(C1318,'Custos Matéria Prima Embalagens'!B:C,2,0)</f>
        <v>WANBAC WBT CE (BH-200)</v>
      </c>
      <c r="E1318" s="114" t="str">
        <f>VLOOKUP(C1318,'Custos Matéria Prima Embalagens'!B:D,3,0)</f>
        <v>BACTERICIDA</v>
      </c>
      <c r="F1318" s="270">
        <f t="shared" si="172"/>
        <v>1956</v>
      </c>
      <c r="G1318" s="148">
        <f t="shared" si="173"/>
        <v>3.0674846625766872E-3</v>
      </c>
      <c r="H1318" s="96">
        <v>6</v>
      </c>
      <c r="I1318" s="272">
        <f>ROUND(F1318/VLOOKUP(A1318,'Tabela de Produtos'!A:J,10,0),0)</f>
        <v>1540</v>
      </c>
      <c r="J1318" s="97">
        <f>IFERROR(VLOOKUP(C1318,'Custos Matéria Prima Embalagens'!B:G,6,0)*H1318,"Matéria Prima Não Cadastrada")</f>
        <v>29.639999999999997</v>
      </c>
      <c r="K1318" s="97">
        <f>IFERROR(J1318/(I1318/VLOOKUP(A1318,'Tabela de Produtos'!A:H,8,0)),"Matéria Prima Não Cadastrada")</f>
        <v>0.28870129870129868</v>
      </c>
      <c r="L1318" s="216"/>
    </row>
    <row r="1319" spans="1:12" ht="15.75" customHeight="1">
      <c r="A1319" s="114" t="s">
        <v>198</v>
      </c>
      <c r="B1319" s="114" t="str">
        <f>VLOOKUP(A1319,'Tabela de Produtos'!A:B,2,0)</f>
        <v>BRAZIMIL LÁTEX STANDARD INT/EXT FOSCO 15L LILAS</v>
      </c>
      <c r="C1319" s="48" t="s">
        <v>1205</v>
      </c>
      <c r="D1319" s="114" t="str">
        <f>VLOOKUP(C1319,'Custos Matéria Prima Embalagens'!B:C,2,0)</f>
        <v>WANSUR 840 CE (BB-200)01</v>
      </c>
      <c r="E1319" s="114" t="str">
        <f>VLOOKUP(C1319,'Custos Matéria Prima Embalagens'!B:D,3,0)</f>
        <v>UMECTANTE</v>
      </c>
      <c r="F1319" s="270">
        <f t="shared" si="172"/>
        <v>1956</v>
      </c>
      <c r="G1319" s="148">
        <f t="shared" si="173"/>
        <v>2.0449897750511249E-3</v>
      </c>
      <c r="H1319" s="96">
        <v>4</v>
      </c>
      <c r="I1319" s="272">
        <f>ROUND(F1319/VLOOKUP(A1319,'Tabela de Produtos'!A:J,10,0),0)</f>
        <v>1540</v>
      </c>
      <c r="J1319" s="97">
        <f>IFERROR(VLOOKUP(C1319,'Custos Matéria Prima Embalagens'!B:G,6,0)*H1319,"Matéria Prima Não Cadastrada")</f>
        <v>29.32</v>
      </c>
      <c r="K1319" s="97">
        <f>IFERROR(J1319/(I1319/VLOOKUP(A1319,'Tabela de Produtos'!A:H,8,0)),"Matéria Prima Não Cadastrada")</f>
        <v>0.28558441558441555</v>
      </c>
      <c r="L1319" s="216"/>
    </row>
    <row r="1320" spans="1:12" ht="15.75" customHeight="1">
      <c r="A1320" s="114" t="s">
        <v>198</v>
      </c>
      <c r="B1320" s="114" t="str">
        <f>VLOOKUP(A1320,'Tabela de Produtos'!A:B,2,0)</f>
        <v>BRAZIMIL LÁTEX STANDARD INT/EXT FOSCO 15L LILAS</v>
      </c>
      <c r="C1320" s="48" t="s">
        <v>1207</v>
      </c>
      <c r="D1320" s="114" t="str">
        <f>VLOOKUP(C1320,'Custos Matéria Prima Embalagens'!B:C,2,0)</f>
        <v>WANPEX 1510 (BB-200)</v>
      </c>
      <c r="E1320" s="114" t="str">
        <f>VLOOKUP(C1320,'Custos Matéria Prima Embalagens'!B:D,3,0)</f>
        <v>DISPERSANTE LATEX</v>
      </c>
      <c r="F1320" s="270">
        <f t="shared" si="172"/>
        <v>1956</v>
      </c>
      <c r="G1320" s="148">
        <f t="shared" si="173"/>
        <v>3.0674846625766872E-3</v>
      </c>
      <c r="H1320" s="96">
        <v>6</v>
      </c>
      <c r="I1320" s="272">
        <f>ROUND(F1320/VLOOKUP(A1320,'Tabela de Produtos'!A:J,10,0),0)</f>
        <v>1540</v>
      </c>
      <c r="J1320" s="97">
        <f>IFERROR(VLOOKUP(C1320,'Custos Matéria Prima Embalagens'!B:G,6,0)*H1320,"Matéria Prima Não Cadastrada")</f>
        <v>41.16</v>
      </c>
      <c r="K1320" s="97">
        <f>IFERROR(J1320/(I1320/VLOOKUP(A1320,'Tabela de Produtos'!A:H,8,0)),"Matéria Prima Não Cadastrada")</f>
        <v>0.40090909090909088</v>
      </c>
      <c r="L1320" s="216"/>
    </row>
    <row r="1321" spans="1:12" ht="15.75" customHeight="1">
      <c r="A1321" s="114" t="s">
        <v>198</v>
      </c>
      <c r="B1321" s="114" t="str">
        <f>VLOOKUP(A1321,'Tabela de Produtos'!A:B,2,0)</f>
        <v>BRAZIMIL LÁTEX STANDARD INT/EXT FOSCO 15L LILAS</v>
      </c>
      <c r="C1321" s="48" t="s">
        <v>1209</v>
      </c>
      <c r="D1321" s="114" t="str">
        <f>VLOOKUP(C1321,'Custos Matéria Prima Embalagens'!B:C,2,0)</f>
        <v>WANFUNG WFT CE (BH-200)</v>
      </c>
      <c r="E1321" s="114" t="str">
        <f>VLOOKUP(C1321,'Custos Matéria Prima Embalagens'!B:D,3,0)</f>
        <v>FUNGICIDA</v>
      </c>
      <c r="F1321" s="270">
        <f t="shared" si="172"/>
        <v>1956</v>
      </c>
      <c r="G1321" s="148">
        <f t="shared" si="173"/>
        <v>2.5562372188139061E-3</v>
      </c>
      <c r="H1321" s="96">
        <v>5</v>
      </c>
      <c r="I1321" s="272">
        <f>ROUND(F1321/VLOOKUP(A1321,'Tabela de Produtos'!A:J,10,0),0)</f>
        <v>1540</v>
      </c>
      <c r="J1321" s="97">
        <f>IFERROR(VLOOKUP(C1321,'Custos Matéria Prima Embalagens'!B:G,6,0)*H1321,"Matéria Prima Não Cadastrada")</f>
        <v>35</v>
      </c>
      <c r="K1321" s="97">
        <f>IFERROR(J1321/(I1321/VLOOKUP(A1321,'Tabela de Produtos'!A:H,8,0)),"Matéria Prima Não Cadastrada")</f>
        <v>0.34090909090909088</v>
      </c>
      <c r="L1321" s="216"/>
    </row>
    <row r="1322" spans="1:12" ht="15.75" customHeight="1">
      <c r="A1322" s="114" t="s">
        <v>198</v>
      </c>
      <c r="B1322" s="114" t="str">
        <f>VLOOKUP(A1322,'Tabela de Produtos'!A:B,2,0)</f>
        <v>BRAZIMIL LÁTEX STANDARD INT/EXT FOSCO 15L LILAS</v>
      </c>
      <c r="C1322" s="48" t="s">
        <v>1211</v>
      </c>
      <c r="D1322" s="114" t="str">
        <f>VLOOKUP(C1322,'Custos Matéria Prima Embalagens'!B:C,2,0)</f>
        <v>WHITE PLUS PB (SC-25) (Em negociação)</v>
      </c>
      <c r="E1322" s="114" t="str">
        <f>VLOOKUP(C1322,'Custos Matéria Prima Embalagens'!B:D,3,0)</f>
        <v>WHITE PLUS</v>
      </c>
      <c r="F1322" s="270">
        <f t="shared" si="172"/>
        <v>1956</v>
      </c>
      <c r="G1322" s="148">
        <f t="shared" si="173"/>
        <v>0.15337423312883436</v>
      </c>
      <c r="H1322" s="96">
        <v>300</v>
      </c>
      <c r="I1322" s="272">
        <f>ROUND(F1322/VLOOKUP(A1322,'Tabela de Produtos'!A:J,10,0),0)</f>
        <v>1540</v>
      </c>
      <c r="J1322" s="97">
        <f>IFERROR(VLOOKUP(C1322,'Custos Matéria Prima Embalagens'!B:G,6,0)*H1322,"Matéria Prima Não Cadastrada")</f>
        <v>927</v>
      </c>
      <c r="K1322" s="97">
        <f>IFERROR(J1322/(I1322/VLOOKUP(A1322,'Tabela de Produtos'!A:H,8,0)),"Matéria Prima Não Cadastrada")</f>
        <v>9.029220779220779</v>
      </c>
      <c r="L1322" s="216"/>
    </row>
    <row r="1323" spans="1:12" ht="15.75" customHeight="1">
      <c r="A1323" s="114" t="s">
        <v>198</v>
      </c>
      <c r="B1323" s="114" t="str">
        <f>VLOOKUP(A1323,'Tabela de Produtos'!A:B,2,0)</f>
        <v>BRAZIMIL LÁTEX STANDARD INT/EXT FOSCO 15L LILAS</v>
      </c>
      <c r="C1323" s="48" t="s">
        <v>1213</v>
      </c>
      <c r="D1323" s="114" t="str">
        <f>VLOOKUP(C1323,'Custos Matéria Prima Embalagens'!B:C,2,0)</f>
        <v>DIOXIDO DE TITANIO RUTILO R-996</v>
      </c>
      <c r="E1323" s="114" t="str">
        <f>VLOOKUP(C1323,'Custos Matéria Prima Embalagens'!B:D,3,0)</f>
        <v>TITANIO</v>
      </c>
      <c r="F1323" s="270">
        <f t="shared" si="172"/>
        <v>1956</v>
      </c>
      <c r="G1323" s="148">
        <f t="shared" si="173"/>
        <v>3.0674846625766871E-2</v>
      </c>
      <c r="H1323" s="96">
        <v>60</v>
      </c>
      <c r="I1323" s="272">
        <f>ROUND(F1323/VLOOKUP(A1323,'Tabela de Produtos'!A:J,10,0),0)</f>
        <v>1540</v>
      </c>
      <c r="J1323" s="97">
        <f>IFERROR(VLOOKUP(C1323,'Custos Matéria Prima Embalagens'!B:G,6,0)*H1323,"Matéria Prima Não Cadastrada")</f>
        <v>1158</v>
      </c>
      <c r="K1323" s="97">
        <f>IFERROR(J1323/(I1323/VLOOKUP(A1323,'Tabela de Produtos'!A:H,8,0)),"Matéria Prima Não Cadastrada")</f>
        <v>11.279220779220779</v>
      </c>
      <c r="L1323" s="216"/>
    </row>
    <row r="1324" spans="1:12" ht="15.75" customHeight="1">
      <c r="A1324" s="114" t="s">
        <v>198</v>
      </c>
      <c r="B1324" s="114" t="str">
        <f>VLOOKUP(A1324,'Tabela de Produtos'!A:B,2,0)</f>
        <v>BRAZIMIL LÁTEX STANDARD INT/EXT FOSCO 15L LILAS</v>
      </c>
      <c r="C1324" s="48" t="s">
        <v>1215</v>
      </c>
      <c r="D1324" s="114" t="str">
        <f>VLOOKUP(C1324,'Custos Matéria Prima Embalagens'!B:C,2,0)</f>
        <v>CALCARIO DOLOMITICO #500 ( SACOS 25 KG)</v>
      </c>
      <c r="E1324" s="114" t="str">
        <f>VLOOKUP(C1324,'Custos Matéria Prima Embalagens'!B:D,3,0)</f>
        <v>CARBONATO #500</v>
      </c>
      <c r="F1324" s="270">
        <f t="shared" si="172"/>
        <v>1956</v>
      </c>
      <c r="G1324" s="148">
        <f t="shared" si="173"/>
        <v>0.15337423312883436</v>
      </c>
      <c r="H1324" s="96">
        <v>300</v>
      </c>
      <c r="I1324" s="272">
        <f>ROUND(F1324/VLOOKUP(A1324,'Tabela de Produtos'!A:J,10,0),0)</f>
        <v>1540</v>
      </c>
      <c r="J1324" s="97">
        <f>IFERROR(VLOOKUP(C1324,'Custos Matéria Prima Embalagens'!B:G,6,0)*H1324,"Matéria Prima Não Cadastrada")</f>
        <v>240</v>
      </c>
      <c r="K1324" s="97">
        <f>IFERROR(J1324/(I1324/VLOOKUP(A1324,'Tabela de Produtos'!A:H,8,0)),"Matéria Prima Não Cadastrada")</f>
        <v>2.3376623376623376</v>
      </c>
      <c r="L1324" s="216"/>
    </row>
    <row r="1325" spans="1:12" ht="15.75" customHeight="1">
      <c r="A1325" s="114" t="s">
        <v>198</v>
      </c>
      <c r="B1325" s="114" t="str">
        <f>VLOOKUP(A1325,'Tabela de Produtos'!A:B,2,0)</f>
        <v>BRAZIMIL LÁTEX STANDARD INT/EXT FOSCO 15L LILAS</v>
      </c>
      <c r="C1325" s="48" t="s">
        <v>1227</v>
      </c>
      <c r="D1325" s="114" t="str">
        <f>VLOOKUP(C1325,'Custos Matéria Prima Embalagens'!B:C,2,0)</f>
        <v>CAULIM MALHA 325</v>
      </c>
      <c r="E1325" s="114" t="str">
        <f>VLOOKUP(C1325,'Custos Matéria Prima Embalagens'!B:D,3,0)</f>
        <v>caulim</v>
      </c>
      <c r="F1325" s="270">
        <f t="shared" si="172"/>
        <v>1956</v>
      </c>
      <c r="G1325" s="148">
        <f t="shared" si="173"/>
        <v>5.112474437627812E-2</v>
      </c>
      <c r="H1325" s="96">
        <v>100</v>
      </c>
      <c r="I1325" s="272">
        <f>ROUND(F1325/VLOOKUP(A1325,'Tabela de Produtos'!A:J,10,0),0)</f>
        <v>1540</v>
      </c>
      <c r="J1325" s="97">
        <f>IFERROR(VLOOKUP(C1325,'Custos Matéria Prima Embalagens'!B:G,6,0)*H1325,"Matéria Prima Não Cadastrada")</f>
        <v>152.04955555555551</v>
      </c>
      <c r="K1325" s="97">
        <f>IFERROR(J1325/(I1325/VLOOKUP(A1325,'Tabela de Produtos'!A:H,8,0)),"Matéria Prima Não Cadastrada")</f>
        <v>1.481002164502164</v>
      </c>
      <c r="L1325" s="216"/>
    </row>
    <row r="1326" spans="1:12" ht="15.75" customHeight="1">
      <c r="A1326" s="114" t="s">
        <v>198</v>
      </c>
      <c r="B1326" s="114" t="str">
        <f>VLOOKUP(A1326,'Tabela de Produtos'!A:B,2,0)</f>
        <v>BRAZIMIL LÁTEX STANDARD INT/EXT FOSCO 15L LILAS</v>
      </c>
      <c r="C1326" s="48" t="s">
        <v>1217</v>
      </c>
      <c r="D1326" s="114" t="str">
        <f>VLOOKUP(C1326,'Custos Matéria Prima Embalagens'!B:C,2,0)</f>
        <v>WANCRIL W 51 CE (CT-1000P)</v>
      </c>
      <c r="E1326" s="114" t="str">
        <f>VLOOKUP(C1326,'Custos Matéria Prima Embalagens'!B:D,3,0)</f>
        <v>RESINA ACRILICA ESTIRENADA</v>
      </c>
      <c r="F1326" s="270">
        <f t="shared" si="172"/>
        <v>1956</v>
      </c>
      <c r="G1326" s="148">
        <f t="shared" si="173"/>
        <v>0.10224948875255624</v>
      </c>
      <c r="H1326" s="96">
        <v>200</v>
      </c>
      <c r="I1326" s="272">
        <f>ROUND(F1326/VLOOKUP(A1326,'Tabela de Produtos'!A:J,10,0),0)</f>
        <v>1540</v>
      </c>
      <c r="J1326" s="97">
        <f>IFERROR(VLOOKUP(C1326,'Custos Matéria Prima Embalagens'!B:G,6,0)*H1326,"Matéria Prima Não Cadastrada")</f>
        <v>1686</v>
      </c>
      <c r="K1326" s="97">
        <f>IFERROR(J1326/(I1326/VLOOKUP(A1326,'Tabela de Produtos'!A:H,8,0)),"Matéria Prima Não Cadastrada")</f>
        <v>16.422077922077921</v>
      </c>
      <c r="L1326" s="216"/>
    </row>
    <row r="1327" spans="1:12" ht="15.75" customHeight="1">
      <c r="A1327" s="114" t="s">
        <v>198</v>
      </c>
      <c r="B1327" s="114" t="str">
        <f>VLOOKUP(A1327,'Tabela de Produtos'!A:B,2,0)</f>
        <v>BRAZIMIL LÁTEX STANDARD INT/EXT FOSCO 15L LILAS</v>
      </c>
      <c r="C1327" s="48" t="s">
        <v>1219</v>
      </c>
      <c r="D1327" s="114" t="str">
        <f>VLOOKUP(C1327,'Custos Matéria Prima Embalagens'!B:C,2,0)</f>
        <v>WANALK 70 CE (BH-200)</v>
      </c>
      <c r="E1327" s="114" t="str">
        <f>VLOOKUP(C1327,'Custos Matéria Prima Embalagens'!B:D,3,0)</f>
        <v>ALCALINIZANTE</v>
      </c>
      <c r="F1327" s="270">
        <f t="shared" si="172"/>
        <v>1956</v>
      </c>
      <c r="G1327" s="148">
        <f t="shared" si="173"/>
        <v>2.5562372188139061E-3</v>
      </c>
      <c r="H1327" s="96">
        <v>5</v>
      </c>
      <c r="I1327" s="272">
        <f>ROUND(F1327/VLOOKUP(A1327,'Tabela de Produtos'!A:J,10,0),0)</f>
        <v>1540</v>
      </c>
      <c r="J1327" s="97">
        <f>IFERROR(VLOOKUP(C1327,'Custos Matéria Prima Embalagens'!B:G,6,0)*H1327,"Matéria Prima Não Cadastrada")</f>
        <v>24.900000000000002</v>
      </c>
      <c r="K1327" s="97">
        <f>IFERROR(J1327/(I1327/VLOOKUP(A1327,'Tabela de Produtos'!A:H,8,0)),"Matéria Prima Não Cadastrada")</f>
        <v>0.24253246753246754</v>
      </c>
      <c r="L1327" s="216"/>
    </row>
    <row r="1328" spans="1:12" ht="15.75" customHeight="1">
      <c r="A1328" s="114" t="s">
        <v>198</v>
      </c>
      <c r="B1328" s="114" t="str">
        <f>VLOOKUP(A1328,'Tabela de Produtos'!A:B,2,0)</f>
        <v>BRAZIMIL LÁTEX STANDARD INT/EXT FOSCO 15L LILAS</v>
      </c>
      <c r="C1328" s="48" t="s">
        <v>1221</v>
      </c>
      <c r="D1328" s="114" t="str">
        <f>VLOOKUP(C1328,'Custos Matéria Prima Embalagens'!B:C,2,0)</f>
        <v>MODIWAN 105H CE (CT-1000P)</v>
      </c>
      <c r="E1328" s="114" t="str">
        <f>VLOOKUP(C1328,'Custos Matéria Prima Embalagens'!B:D,3,0)</f>
        <v>ESPESSANTE DE MEDIA</v>
      </c>
      <c r="F1328" s="270">
        <f t="shared" si="172"/>
        <v>1956</v>
      </c>
      <c r="G1328" s="148">
        <f t="shared" si="173"/>
        <v>1.0224948875255624E-2</v>
      </c>
      <c r="H1328" s="96">
        <v>20</v>
      </c>
      <c r="I1328" s="272">
        <f>ROUND(F1328/VLOOKUP(A1328,'Tabela de Produtos'!A:J,10,0),0)</f>
        <v>1540</v>
      </c>
      <c r="J1328" s="97">
        <f>IFERROR(VLOOKUP(C1328,'Custos Matéria Prima Embalagens'!B:G,6,0)*H1328,"Matéria Prima Não Cadastrada")</f>
        <v>158.1</v>
      </c>
      <c r="K1328" s="97">
        <f>IFERROR(J1328/(I1328/VLOOKUP(A1328,'Tabela de Produtos'!A:H,8,0)),"Matéria Prima Não Cadastrada")</f>
        <v>1.5399350649350647</v>
      </c>
      <c r="L1328" s="216"/>
    </row>
    <row r="1329" spans="1:12" ht="15.75" customHeight="1">
      <c r="A1329" s="114" t="s">
        <v>198</v>
      </c>
      <c r="B1329" s="114" t="str">
        <f>VLOOKUP(A1329,'Tabela de Produtos'!A:B,2,0)</f>
        <v>BRAZIMIL LÁTEX STANDARD INT/EXT FOSCO 15L LILAS</v>
      </c>
      <c r="C1329" s="48" t="s">
        <v>1223</v>
      </c>
      <c r="D1329" s="114" t="str">
        <f>VLOOKUP(C1329,'Custos Matéria Prima Embalagens'!B:C,2,0)</f>
        <v>TURBOWAN H CE (BH-200)</v>
      </c>
      <c r="E1329" s="114" t="str">
        <f>VLOOKUP(C1329,'Custos Matéria Prima Embalagens'!B:D,3,0)</f>
        <v>PROMOTOR DE LAVABILIDADE</v>
      </c>
      <c r="F1329" s="270">
        <f t="shared" si="172"/>
        <v>1956</v>
      </c>
      <c r="G1329" s="148">
        <f t="shared" si="173"/>
        <v>7.6687116564417178E-3</v>
      </c>
      <c r="H1329" s="96">
        <v>15</v>
      </c>
      <c r="I1329" s="272">
        <f>ROUND(F1329/VLOOKUP(A1329,'Tabela de Produtos'!A:J,10,0),0)</f>
        <v>1540</v>
      </c>
      <c r="J1329" s="97">
        <f>IFERROR(VLOOKUP(C1329,'Custos Matéria Prima Embalagens'!B:G,6,0)*H1329,"Matéria Prima Não Cadastrada")</f>
        <v>72.75</v>
      </c>
      <c r="K1329" s="97">
        <f>IFERROR(J1329/(I1329/VLOOKUP(A1329,'Tabela de Produtos'!A:H,8,0)),"Matéria Prima Não Cadastrada")</f>
        <v>0.70860389610389607</v>
      </c>
      <c r="L1329" s="216"/>
    </row>
    <row r="1330" spans="1:12" ht="15.75" customHeight="1">
      <c r="A1330" s="114" t="s">
        <v>198</v>
      </c>
      <c r="B1330" s="114" t="str">
        <f>VLOOKUP(A1330,'Tabela de Produtos'!A:B,2,0)</f>
        <v>BRAZIMIL LÁTEX STANDARD INT/EXT FOSCO 15L LILAS</v>
      </c>
      <c r="C1330" s="48" t="s">
        <v>1229</v>
      </c>
      <c r="D1330" s="114" t="str">
        <f>VLOOKUP(C1330,'Custos Matéria Prima Embalagens'!B:C,2,0)</f>
        <v>WANSOL 340 CE (BB-200)</v>
      </c>
      <c r="E1330" s="114" t="str">
        <f>VLOOKUP(C1330,'Custos Matéria Prima Embalagens'!B:D,3,0)</f>
        <v>COALESCENTE</v>
      </c>
      <c r="F1330" s="270">
        <f t="shared" si="172"/>
        <v>1956</v>
      </c>
      <c r="G1330" s="148">
        <f t="shared" si="173"/>
        <v>5.1124744376278121E-3</v>
      </c>
      <c r="H1330" s="96">
        <v>10</v>
      </c>
      <c r="I1330" s="272">
        <f>ROUND(F1330/VLOOKUP(A1330,'Tabela de Produtos'!A:J,10,0),0)</f>
        <v>1540</v>
      </c>
      <c r="J1330" s="97">
        <f>IFERROR(VLOOKUP(C1330,'Custos Matéria Prima Embalagens'!B:G,6,0)*H1330,"Matéria Prima Não Cadastrada")</f>
        <v>192.2</v>
      </c>
      <c r="K1330" s="97">
        <f>IFERROR(J1330/(I1330/VLOOKUP(A1330,'Tabela de Produtos'!A:H,8,0)),"Matéria Prima Não Cadastrada")</f>
        <v>1.8720779220779218</v>
      </c>
      <c r="L1330" s="216"/>
    </row>
    <row r="1331" spans="1:12" ht="15.75" customHeight="1">
      <c r="D1331" s="114"/>
      <c r="E1331" s="114"/>
      <c r="F1331" s="96"/>
      <c r="G1331" s="148"/>
      <c r="H1331" s="96"/>
      <c r="I1331" s="272"/>
      <c r="J1331" s="97"/>
      <c r="K1331" s="97"/>
      <c r="L1331" s="216"/>
    </row>
    <row r="1332" spans="1:12" ht="15.75" customHeight="1">
      <c r="A1332" s="114" t="s">
        <v>199</v>
      </c>
      <c r="B1332" s="114" t="str">
        <f>VLOOKUP(A1332,'Tabela de Produtos'!A:B,2,0)</f>
        <v>BRAZIMIL LÁTEX STANDARD INT/EXT FOSCO 15L VERMELHO GARANTIDO</v>
      </c>
      <c r="C1332" s="48" t="s">
        <v>1197</v>
      </c>
      <c r="D1332" s="114" t="str">
        <f>VLOOKUP(C1332,'Custos Matéria Prima Embalagens'!B:C,2,0)</f>
        <v>AGUA</v>
      </c>
      <c r="E1332" s="114" t="str">
        <f>VLOOKUP(C1332,'Custos Matéria Prima Embalagens'!B:D,3,0)</f>
        <v>AGUA</v>
      </c>
      <c r="F1332" s="270">
        <f t="shared" ref="F1332:F1346" si="174">SUMIFS(H:H,A:A,A1332)</f>
        <v>1956</v>
      </c>
      <c r="G1332" s="148">
        <f t="shared" ref="G1332:G1346" si="175">H1332/F1332</f>
        <v>0.47034764826175868</v>
      </c>
      <c r="H1332" s="96">
        <v>920</v>
      </c>
      <c r="I1332" s="272">
        <f>ROUND(F1332/VLOOKUP(A1332,'Tabela de Produtos'!A:J,10,0),0)</f>
        <v>1540</v>
      </c>
      <c r="J1332" s="97">
        <f>IFERROR(VLOOKUP(C1332,'Custos Matéria Prima Embalagens'!B:G,6,0)*H1332,"Matéria Prima Não Cadastrada")</f>
        <v>0</v>
      </c>
      <c r="K1332" s="97">
        <f>IFERROR(J1332/(I1332/VLOOKUP(A1332,'Tabela de Produtos'!A:H,8,0)),"Matéria Prima Não Cadastrada")</f>
        <v>0</v>
      </c>
      <c r="L1332" s="216"/>
    </row>
    <row r="1333" spans="1:12" ht="15.75" customHeight="1">
      <c r="A1333" s="114" t="s">
        <v>199</v>
      </c>
      <c r="B1333" s="114" t="str">
        <f>VLOOKUP(A1333,'Tabela de Produtos'!A:B,2,0)</f>
        <v>BRAZIMIL LÁTEX STANDARD INT/EXT FOSCO 15L VERMELHO GARANTIDO</v>
      </c>
      <c r="C1333" s="48" t="s">
        <v>1201</v>
      </c>
      <c r="D1333" s="114" t="str">
        <f>VLOOKUP(C1333,'Custos Matéria Prima Embalagens'!B:C,2,0)</f>
        <v>WANFOAM 528 CE (BB-190)</v>
      </c>
      <c r="E1333" s="114" t="str">
        <f>VLOOKUP(C1333,'Custos Matéria Prima Embalagens'!B:D,3,0)</f>
        <v>ANTI ESPUMA LATEX</v>
      </c>
      <c r="F1333" s="270">
        <f t="shared" si="174"/>
        <v>1956</v>
      </c>
      <c r="G1333" s="148">
        <f t="shared" si="175"/>
        <v>2.5562372188139061E-3</v>
      </c>
      <c r="H1333" s="96">
        <v>5</v>
      </c>
      <c r="I1333" s="272">
        <f>ROUND(F1333/VLOOKUP(A1333,'Tabela de Produtos'!A:J,10,0),0)</f>
        <v>1540</v>
      </c>
      <c r="J1333" s="97">
        <f>IFERROR(VLOOKUP(C1333,'Custos Matéria Prima Embalagens'!B:G,6,0)*H1333,"Matéria Prima Não Cadastrada")</f>
        <v>35.9</v>
      </c>
      <c r="K1333" s="97">
        <f>IFERROR(J1333/(I1333/VLOOKUP(A1333,'Tabela de Produtos'!A:H,8,0)),"Matéria Prima Não Cadastrada")</f>
        <v>0.34967532467532464</v>
      </c>
      <c r="L1333" s="216"/>
    </row>
    <row r="1334" spans="1:12" ht="15.75" customHeight="1">
      <c r="A1334" s="114" t="s">
        <v>199</v>
      </c>
      <c r="B1334" s="114" t="str">
        <f>VLOOKUP(A1334,'Tabela de Produtos'!A:B,2,0)</f>
        <v>BRAZIMIL LÁTEX STANDARD INT/EXT FOSCO 15L VERMELHO GARANTIDO</v>
      </c>
      <c r="C1334" s="48" t="s">
        <v>1203</v>
      </c>
      <c r="D1334" s="114" t="str">
        <f>VLOOKUP(C1334,'Custos Matéria Prima Embalagens'!B:C,2,0)</f>
        <v>WANBAC WBT CE (BH-200)</v>
      </c>
      <c r="E1334" s="114" t="str">
        <f>VLOOKUP(C1334,'Custos Matéria Prima Embalagens'!B:D,3,0)</f>
        <v>BACTERICIDA</v>
      </c>
      <c r="F1334" s="270">
        <f t="shared" si="174"/>
        <v>1956</v>
      </c>
      <c r="G1334" s="148">
        <f t="shared" si="175"/>
        <v>3.0674846625766872E-3</v>
      </c>
      <c r="H1334" s="96">
        <v>6</v>
      </c>
      <c r="I1334" s="272">
        <f>ROUND(F1334/VLOOKUP(A1334,'Tabela de Produtos'!A:J,10,0),0)</f>
        <v>1540</v>
      </c>
      <c r="J1334" s="97">
        <f>IFERROR(VLOOKUP(C1334,'Custos Matéria Prima Embalagens'!B:G,6,0)*H1334,"Matéria Prima Não Cadastrada")</f>
        <v>29.639999999999997</v>
      </c>
      <c r="K1334" s="97">
        <f>IFERROR(J1334/(I1334/VLOOKUP(A1334,'Tabela de Produtos'!A:H,8,0)),"Matéria Prima Não Cadastrada")</f>
        <v>0.28870129870129868</v>
      </c>
      <c r="L1334" s="216"/>
    </row>
    <row r="1335" spans="1:12" ht="15.75" customHeight="1">
      <c r="A1335" s="114" t="s">
        <v>199</v>
      </c>
      <c r="B1335" s="114" t="str">
        <f>VLOOKUP(A1335,'Tabela de Produtos'!A:B,2,0)</f>
        <v>BRAZIMIL LÁTEX STANDARD INT/EXT FOSCO 15L VERMELHO GARANTIDO</v>
      </c>
      <c r="C1335" s="48" t="s">
        <v>1205</v>
      </c>
      <c r="D1335" s="114" t="str">
        <f>VLOOKUP(C1335,'Custos Matéria Prima Embalagens'!B:C,2,0)</f>
        <v>WANSUR 840 CE (BB-200)01</v>
      </c>
      <c r="E1335" s="114" t="str">
        <f>VLOOKUP(C1335,'Custos Matéria Prima Embalagens'!B:D,3,0)</f>
        <v>UMECTANTE</v>
      </c>
      <c r="F1335" s="270">
        <f t="shared" si="174"/>
        <v>1956</v>
      </c>
      <c r="G1335" s="148">
        <f t="shared" si="175"/>
        <v>2.0449897750511249E-3</v>
      </c>
      <c r="H1335" s="96">
        <v>4</v>
      </c>
      <c r="I1335" s="272">
        <f>ROUND(F1335/VLOOKUP(A1335,'Tabela de Produtos'!A:J,10,0),0)</f>
        <v>1540</v>
      </c>
      <c r="J1335" s="97">
        <f>IFERROR(VLOOKUP(C1335,'Custos Matéria Prima Embalagens'!B:G,6,0)*H1335,"Matéria Prima Não Cadastrada")</f>
        <v>29.32</v>
      </c>
      <c r="K1335" s="97">
        <f>IFERROR(J1335/(I1335/VLOOKUP(A1335,'Tabela de Produtos'!A:H,8,0)),"Matéria Prima Não Cadastrada")</f>
        <v>0.28558441558441555</v>
      </c>
      <c r="L1335" s="216"/>
    </row>
    <row r="1336" spans="1:12" ht="15.75" customHeight="1">
      <c r="A1336" s="114" t="s">
        <v>199</v>
      </c>
      <c r="B1336" s="114" t="str">
        <f>VLOOKUP(A1336,'Tabela de Produtos'!A:B,2,0)</f>
        <v>BRAZIMIL LÁTEX STANDARD INT/EXT FOSCO 15L VERMELHO GARANTIDO</v>
      </c>
      <c r="C1336" s="48" t="s">
        <v>1207</v>
      </c>
      <c r="D1336" s="114" t="str">
        <f>VLOOKUP(C1336,'Custos Matéria Prima Embalagens'!B:C,2,0)</f>
        <v>WANPEX 1510 (BB-200)</v>
      </c>
      <c r="E1336" s="114" t="str">
        <f>VLOOKUP(C1336,'Custos Matéria Prima Embalagens'!B:D,3,0)</f>
        <v>DISPERSANTE LATEX</v>
      </c>
      <c r="F1336" s="270">
        <f t="shared" si="174"/>
        <v>1956</v>
      </c>
      <c r="G1336" s="148">
        <f t="shared" si="175"/>
        <v>3.0674846625766872E-3</v>
      </c>
      <c r="H1336" s="96">
        <v>6</v>
      </c>
      <c r="I1336" s="272">
        <f>ROUND(F1336/VLOOKUP(A1336,'Tabela de Produtos'!A:J,10,0),0)</f>
        <v>1540</v>
      </c>
      <c r="J1336" s="97">
        <f>IFERROR(VLOOKUP(C1336,'Custos Matéria Prima Embalagens'!B:G,6,0)*H1336,"Matéria Prima Não Cadastrada")</f>
        <v>41.16</v>
      </c>
      <c r="K1336" s="97">
        <f>IFERROR(J1336/(I1336/VLOOKUP(A1336,'Tabela de Produtos'!A:H,8,0)),"Matéria Prima Não Cadastrada")</f>
        <v>0.40090909090909088</v>
      </c>
      <c r="L1336" s="216"/>
    </row>
    <row r="1337" spans="1:12" ht="15.75" customHeight="1">
      <c r="A1337" s="114" t="s">
        <v>199</v>
      </c>
      <c r="B1337" s="114" t="str">
        <f>VLOOKUP(A1337,'Tabela de Produtos'!A:B,2,0)</f>
        <v>BRAZIMIL LÁTEX STANDARD INT/EXT FOSCO 15L VERMELHO GARANTIDO</v>
      </c>
      <c r="C1337" s="48" t="s">
        <v>1209</v>
      </c>
      <c r="D1337" s="114" t="str">
        <f>VLOOKUP(C1337,'Custos Matéria Prima Embalagens'!B:C,2,0)</f>
        <v>WANFUNG WFT CE (BH-200)</v>
      </c>
      <c r="E1337" s="114" t="str">
        <f>VLOOKUP(C1337,'Custos Matéria Prima Embalagens'!B:D,3,0)</f>
        <v>FUNGICIDA</v>
      </c>
      <c r="F1337" s="270">
        <f t="shared" si="174"/>
        <v>1956</v>
      </c>
      <c r="G1337" s="148">
        <f t="shared" si="175"/>
        <v>2.5562372188139061E-3</v>
      </c>
      <c r="H1337" s="96">
        <v>5</v>
      </c>
      <c r="I1337" s="272">
        <f>ROUND(F1337/VLOOKUP(A1337,'Tabela de Produtos'!A:J,10,0),0)</f>
        <v>1540</v>
      </c>
      <c r="J1337" s="97">
        <f>IFERROR(VLOOKUP(C1337,'Custos Matéria Prima Embalagens'!B:G,6,0)*H1337,"Matéria Prima Não Cadastrada")</f>
        <v>35</v>
      </c>
      <c r="K1337" s="97">
        <f>IFERROR(J1337/(I1337/VLOOKUP(A1337,'Tabela de Produtos'!A:H,8,0)),"Matéria Prima Não Cadastrada")</f>
        <v>0.34090909090909088</v>
      </c>
      <c r="L1337" s="216"/>
    </row>
    <row r="1338" spans="1:12" ht="15.75" customHeight="1">
      <c r="A1338" s="114" t="s">
        <v>199</v>
      </c>
      <c r="B1338" s="114" t="str">
        <f>VLOOKUP(A1338,'Tabela de Produtos'!A:B,2,0)</f>
        <v>BRAZIMIL LÁTEX STANDARD INT/EXT FOSCO 15L VERMELHO GARANTIDO</v>
      </c>
      <c r="C1338" s="48" t="s">
        <v>1211</v>
      </c>
      <c r="D1338" s="114" t="str">
        <f>VLOOKUP(C1338,'Custos Matéria Prima Embalagens'!B:C,2,0)</f>
        <v>WHITE PLUS PB (SC-25) (Em negociação)</v>
      </c>
      <c r="E1338" s="114" t="str">
        <f>VLOOKUP(C1338,'Custos Matéria Prima Embalagens'!B:D,3,0)</f>
        <v>WHITE PLUS</v>
      </c>
      <c r="F1338" s="270">
        <f t="shared" si="174"/>
        <v>1956</v>
      </c>
      <c r="G1338" s="148">
        <f t="shared" si="175"/>
        <v>0.15337423312883436</v>
      </c>
      <c r="H1338" s="96">
        <v>300</v>
      </c>
      <c r="I1338" s="272">
        <f>ROUND(F1338/VLOOKUP(A1338,'Tabela de Produtos'!A:J,10,0),0)</f>
        <v>1540</v>
      </c>
      <c r="J1338" s="97">
        <f>IFERROR(VLOOKUP(C1338,'Custos Matéria Prima Embalagens'!B:G,6,0)*H1338,"Matéria Prima Não Cadastrada")</f>
        <v>927</v>
      </c>
      <c r="K1338" s="97">
        <f>IFERROR(J1338/(I1338/VLOOKUP(A1338,'Tabela de Produtos'!A:H,8,0)),"Matéria Prima Não Cadastrada")</f>
        <v>9.029220779220779</v>
      </c>
      <c r="L1338" s="216"/>
    </row>
    <row r="1339" spans="1:12" ht="15.75" customHeight="1">
      <c r="A1339" s="114" t="s">
        <v>199</v>
      </c>
      <c r="B1339" s="114" t="str">
        <f>VLOOKUP(A1339,'Tabela de Produtos'!A:B,2,0)</f>
        <v>BRAZIMIL LÁTEX STANDARD INT/EXT FOSCO 15L VERMELHO GARANTIDO</v>
      </c>
      <c r="C1339" s="48" t="s">
        <v>1213</v>
      </c>
      <c r="D1339" s="114" t="str">
        <f>VLOOKUP(C1339,'Custos Matéria Prima Embalagens'!B:C,2,0)</f>
        <v>DIOXIDO DE TITANIO RUTILO R-996</v>
      </c>
      <c r="E1339" s="114" t="str">
        <f>VLOOKUP(C1339,'Custos Matéria Prima Embalagens'!B:D,3,0)</f>
        <v>TITANIO</v>
      </c>
      <c r="F1339" s="270">
        <f t="shared" si="174"/>
        <v>1956</v>
      </c>
      <c r="G1339" s="148">
        <f t="shared" si="175"/>
        <v>3.0674846625766871E-2</v>
      </c>
      <c r="H1339" s="96">
        <v>60</v>
      </c>
      <c r="I1339" s="272">
        <f>ROUND(F1339/VLOOKUP(A1339,'Tabela de Produtos'!A:J,10,0),0)</f>
        <v>1540</v>
      </c>
      <c r="J1339" s="97">
        <f>IFERROR(VLOOKUP(C1339,'Custos Matéria Prima Embalagens'!B:G,6,0)*H1339,"Matéria Prima Não Cadastrada")</f>
        <v>1158</v>
      </c>
      <c r="K1339" s="97">
        <f>IFERROR(J1339/(I1339/VLOOKUP(A1339,'Tabela de Produtos'!A:H,8,0)),"Matéria Prima Não Cadastrada")</f>
        <v>11.279220779220779</v>
      </c>
      <c r="L1339" s="216"/>
    </row>
    <row r="1340" spans="1:12" ht="15.75" customHeight="1">
      <c r="A1340" s="114" t="s">
        <v>199</v>
      </c>
      <c r="B1340" s="114" t="str">
        <f>VLOOKUP(A1340,'Tabela de Produtos'!A:B,2,0)</f>
        <v>BRAZIMIL LÁTEX STANDARD INT/EXT FOSCO 15L VERMELHO GARANTIDO</v>
      </c>
      <c r="C1340" s="48" t="s">
        <v>1215</v>
      </c>
      <c r="D1340" s="114" t="str">
        <f>VLOOKUP(C1340,'Custos Matéria Prima Embalagens'!B:C,2,0)</f>
        <v>CALCARIO DOLOMITICO #500 ( SACOS 25 KG)</v>
      </c>
      <c r="E1340" s="114" t="str">
        <f>VLOOKUP(C1340,'Custos Matéria Prima Embalagens'!B:D,3,0)</f>
        <v>CARBONATO #500</v>
      </c>
      <c r="F1340" s="270">
        <f t="shared" si="174"/>
        <v>1956</v>
      </c>
      <c r="G1340" s="148">
        <f t="shared" si="175"/>
        <v>0.15337423312883436</v>
      </c>
      <c r="H1340" s="96">
        <v>300</v>
      </c>
      <c r="I1340" s="272">
        <f>ROUND(F1340/VLOOKUP(A1340,'Tabela de Produtos'!A:J,10,0),0)</f>
        <v>1540</v>
      </c>
      <c r="J1340" s="97">
        <f>IFERROR(VLOOKUP(C1340,'Custos Matéria Prima Embalagens'!B:G,6,0)*H1340,"Matéria Prima Não Cadastrada")</f>
        <v>240</v>
      </c>
      <c r="K1340" s="97">
        <f>IFERROR(J1340/(I1340/VLOOKUP(A1340,'Tabela de Produtos'!A:H,8,0)),"Matéria Prima Não Cadastrada")</f>
        <v>2.3376623376623376</v>
      </c>
      <c r="L1340" s="216"/>
    </row>
    <row r="1341" spans="1:12" ht="15.75" customHeight="1">
      <c r="A1341" s="114" t="s">
        <v>199</v>
      </c>
      <c r="B1341" s="114" t="str">
        <f>VLOOKUP(A1341,'Tabela de Produtos'!A:B,2,0)</f>
        <v>BRAZIMIL LÁTEX STANDARD INT/EXT FOSCO 15L VERMELHO GARANTIDO</v>
      </c>
      <c r="C1341" s="48" t="s">
        <v>1227</v>
      </c>
      <c r="D1341" s="114" t="str">
        <f>VLOOKUP(C1341,'Custos Matéria Prima Embalagens'!B:C,2,0)</f>
        <v>CAULIM MALHA 325</v>
      </c>
      <c r="E1341" s="114" t="str">
        <f>VLOOKUP(C1341,'Custos Matéria Prima Embalagens'!B:D,3,0)</f>
        <v>caulim</v>
      </c>
      <c r="F1341" s="270">
        <f t="shared" si="174"/>
        <v>1956</v>
      </c>
      <c r="G1341" s="148">
        <f t="shared" si="175"/>
        <v>5.112474437627812E-2</v>
      </c>
      <c r="H1341" s="96">
        <v>100</v>
      </c>
      <c r="I1341" s="272">
        <f>ROUND(F1341/VLOOKUP(A1341,'Tabela de Produtos'!A:J,10,0),0)</f>
        <v>1540</v>
      </c>
      <c r="J1341" s="97">
        <f>IFERROR(VLOOKUP(C1341,'Custos Matéria Prima Embalagens'!B:G,6,0)*H1341,"Matéria Prima Não Cadastrada")</f>
        <v>152.04955555555551</v>
      </c>
      <c r="K1341" s="97">
        <f>IFERROR(J1341/(I1341/VLOOKUP(A1341,'Tabela de Produtos'!A:H,8,0)),"Matéria Prima Não Cadastrada")</f>
        <v>1.481002164502164</v>
      </c>
      <c r="L1341" s="216"/>
    </row>
    <row r="1342" spans="1:12" ht="15.75" customHeight="1">
      <c r="A1342" s="114" t="s">
        <v>199</v>
      </c>
      <c r="B1342" s="114" t="str">
        <f>VLOOKUP(A1342,'Tabela de Produtos'!A:B,2,0)</f>
        <v>BRAZIMIL LÁTEX STANDARD INT/EXT FOSCO 15L VERMELHO GARANTIDO</v>
      </c>
      <c r="C1342" s="48" t="s">
        <v>1217</v>
      </c>
      <c r="D1342" s="114" t="str">
        <f>VLOOKUP(C1342,'Custos Matéria Prima Embalagens'!B:C,2,0)</f>
        <v>WANCRIL W 51 CE (CT-1000P)</v>
      </c>
      <c r="E1342" s="114" t="str">
        <f>VLOOKUP(C1342,'Custos Matéria Prima Embalagens'!B:D,3,0)</f>
        <v>RESINA ACRILICA ESTIRENADA</v>
      </c>
      <c r="F1342" s="270">
        <f t="shared" si="174"/>
        <v>1956</v>
      </c>
      <c r="G1342" s="148">
        <f t="shared" si="175"/>
        <v>0.10224948875255624</v>
      </c>
      <c r="H1342" s="96">
        <v>200</v>
      </c>
      <c r="I1342" s="272">
        <f>ROUND(F1342/VLOOKUP(A1342,'Tabela de Produtos'!A:J,10,0),0)</f>
        <v>1540</v>
      </c>
      <c r="J1342" s="97">
        <f>IFERROR(VLOOKUP(C1342,'Custos Matéria Prima Embalagens'!B:G,6,0)*H1342,"Matéria Prima Não Cadastrada")</f>
        <v>1686</v>
      </c>
      <c r="K1342" s="97">
        <f>IFERROR(J1342/(I1342/VLOOKUP(A1342,'Tabela de Produtos'!A:H,8,0)),"Matéria Prima Não Cadastrada")</f>
        <v>16.422077922077921</v>
      </c>
      <c r="L1342" s="216"/>
    </row>
    <row r="1343" spans="1:12" ht="15.75" customHeight="1">
      <c r="A1343" s="114" t="s">
        <v>199</v>
      </c>
      <c r="B1343" s="114" t="str">
        <f>VLOOKUP(A1343,'Tabela de Produtos'!A:B,2,0)</f>
        <v>BRAZIMIL LÁTEX STANDARD INT/EXT FOSCO 15L VERMELHO GARANTIDO</v>
      </c>
      <c r="C1343" s="48" t="s">
        <v>1219</v>
      </c>
      <c r="D1343" s="114" t="str">
        <f>VLOOKUP(C1343,'Custos Matéria Prima Embalagens'!B:C,2,0)</f>
        <v>WANALK 70 CE (BH-200)</v>
      </c>
      <c r="E1343" s="114" t="str">
        <f>VLOOKUP(C1343,'Custos Matéria Prima Embalagens'!B:D,3,0)</f>
        <v>ALCALINIZANTE</v>
      </c>
      <c r="F1343" s="270">
        <f t="shared" si="174"/>
        <v>1956</v>
      </c>
      <c r="G1343" s="148">
        <f t="shared" si="175"/>
        <v>2.5562372188139061E-3</v>
      </c>
      <c r="H1343" s="96">
        <v>5</v>
      </c>
      <c r="I1343" s="272">
        <f>ROUND(F1343/VLOOKUP(A1343,'Tabela de Produtos'!A:J,10,0),0)</f>
        <v>1540</v>
      </c>
      <c r="J1343" s="97">
        <f>IFERROR(VLOOKUP(C1343,'Custos Matéria Prima Embalagens'!B:G,6,0)*H1343,"Matéria Prima Não Cadastrada")</f>
        <v>24.900000000000002</v>
      </c>
      <c r="K1343" s="97">
        <f>IFERROR(J1343/(I1343/VLOOKUP(A1343,'Tabela de Produtos'!A:H,8,0)),"Matéria Prima Não Cadastrada")</f>
        <v>0.24253246753246754</v>
      </c>
      <c r="L1343" s="216"/>
    </row>
    <row r="1344" spans="1:12" ht="15.75" customHeight="1">
      <c r="A1344" s="114" t="s">
        <v>199</v>
      </c>
      <c r="B1344" s="114" t="str">
        <f>VLOOKUP(A1344,'Tabela de Produtos'!A:B,2,0)</f>
        <v>BRAZIMIL LÁTEX STANDARD INT/EXT FOSCO 15L VERMELHO GARANTIDO</v>
      </c>
      <c r="C1344" s="48" t="s">
        <v>1221</v>
      </c>
      <c r="D1344" s="114" t="str">
        <f>VLOOKUP(C1344,'Custos Matéria Prima Embalagens'!B:C,2,0)</f>
        <v>MODIWAN 105H CE (CT-1000P)</v>
      </c>
      <c r="E1344" s="114" t="str">
        <f>VLOOKUP(C1344,'Custos Matéria Prima Embalagens'!B:D,3,0)</f>
        <v>ESPESSANTE DE MEDIA</v>
      </c>
      <c r="F1344" s="270">
        <f t="shared" si="174"/>
        <v>1956</v>
      </c>
      <c r="G1344" s="148">
        <f t="shared" si="175"/>
        <v>1.0224948875255624E-2</v>
      </c>
      <c r="H1344" s="96">
        <v>20</v>
      </c>
      <c r="I1344" s="272">
        <f>ROUND(F1344/VLOOKUP(A1344,'Tabela de Produtos'!A:J,10,0),0)</f>
        <v>1540</v>
      </c>
      <c r="J1344" s="97">
        <f>IFERROR(VLOOKUP(C1344,'Custos Matéria Prima Embalagens'!B:G,6,0)*H1344,"Matéria Prima Não Cadastrada")</f>
        <v>158.1</v>
      </c>
      <c r="K1344" s="97">
        <f>IFERROR(J1344/(I1344/VLOOKUP(A1344,'Tabela de Produtos'!A:H,8,0)),"Matéria Prima Não Cadastrada")</f>
        <v>1.5399350649350647</v>
      </c>
      <c r="L1344" s="216"/>
    </row>
    <row r="1345" spans="1:12" ht="15.75" customHeight="1">
      <c r="A1345" s="114" t="s">
        <v>199</v>
      </c>
      <c r="B1345" s="114" t="str">
        <f>VLOOKUP(A1345,'Tabela de Produtos'!A:B,2,0)</f>
        <v>BRAZIMIL LÁTEX STANDARD INT/EXT FOSCO 15L VERMELHO GARANTIDO</v>
      </c>
      <c r="C1345" s="48" t="s">
        <v>1223</v>
      </c>
      <c r="D1345" s="114" t="str">
        <f>VLOOKUP(C1345,'Custos Matéria Prima Embalagens'!B:C,2,0)</f>
        <v>TURBOWAN H CE (BH-200)</v>
      </c>
      <c r="E1345" s="114" t="str">
        <f>VLOOKUP(C1345,'Custos Matéria Prima Embalagens'!B:D,3,0)</f>
        <v>PROMOTOR DE LAVABILIDADE</v>
      </c>
      <c r="F1345" s="270">
        <f t="shared" si="174"/>
        <v>1956</v>
      </c>
      <c r="G1345" s="148">
        <f t="shared" si="175"/>
        <v>7.6687116564417178E-3</v>
      </c>
      <c r="H1345" s="96">
        <v>15</v>
      </c>
      <c r="I1345" s="272">
        <f>ROUND(F1345/VLOOKUP(A1345,'Tabela de Produtos'!A:J,10,0),0)</f>
        <v>1540</v>
      </c>
      <c r="J1345" s="97">
        <f>IFERROR(VLOOKUP(C1345,'Custos Matéria Prima Embalagens'!B:G,6,0)*H1345,"Matéria Prima Não Cadastrada")</f>
        <v>72.75</v>
      </c>
      <c r="K1345" s="97">
        <f>IFERROR(J1345/(I1345/VLOOKUP(A1345,'Tabela de Produtos'!A:H,8,0)),"Matéria Prima Não Cadastrada")</f>
        <v>0.70860389610389607</v>
      </c>
      <c r="L1345" s="216"/>
    </row>
    <row r="1346" spans="1:12" ht="15.75" customHeight="1">
      <c r="A1346" s="114" t="s">
        <v>199</v>
      </c>
      <c r="B1346" s="114" t="str">
        <f>VLOOKUP(A1346,'Tabela de Produtos'!A:B,2,0)</f>
        <v>BRAZIMIL LÁTEX STANDARD INT/EXT FOSCO 15L VERMELHO GARANTIDO</v>
      </c>
      <c r="C1346" s="48" t="s">
        <v>1229</v>
      </c>
      <c r="D1346" s="114" t="str">
        <f>VLOOKUP(C1346,'Custos Matéria Prima Embalagens'!B:C,2,0)</f>
        <v>WANSOL 340 CE (BB-200)</v>
      </c>
      <c r="E1346" s="114" t="str">
        <f>VLOOKUP(C1346,'Custos Matéria Prima Embalagens'!B:D,3,0)</f>
        <v>COALESCENTE</v>
      </c>
      <c r="F1346" s="270">
        <f t="shared" si="174"/>
        <v>1956</v>
      </c>
      <c r="G1346" s="148">
        <f t="shared" si="175"/>
        <v>5.1124744376278121E-3</v>
      </c>
      <c r="H1346" s="96">
        <v>10</v>
      </c>
      <c r="I1346" s="272">
        <f>ROUND(F1346/VLOOKUP(A1346,'Tabela de Produtos'!A:J,10,0),0)</f>
        <v>1540</v>
      </c>
      <c r="J1346" s="97">
        <f>IFERROR(VLOOKUP(C1346,'Custos Matéria Prima Embalagens'!B:G,6,0)*H1346,"Matéria Prima Não Cadastrada")</f>
        <v>192.2</v>
      </c>
      <c r="K1346" s="97">
        <f>IFERROR(J1346/(I1346/VLOOKUP(A1346,'Tabela de Produtos'!A:H,8,0)),"Matéria Prima Não Cadastrada")</f>
        <v>1.8720779220779218</v>
      </c>
      <c r="L1346" s="216"/>
    </row>
    <row r="1347" spans="1:12" ht="15.75" customHeight="1">
      <c r="D1347" s="114"/>
      <c r="E1347" s="114"/>
      <c r="F1347" s="96"/>
      <c r="G1347" s="148"/>
      <c r="H1347" s="96"/>
      <c r="I1347" s="272"/>
      <c r="J1347" s="97"/>
      <c r="K1347" s="97"/>
      <c r="L1347" s="216"/>
    </row>
    <row r="1348" spans="1:12" ht="15.75" customHeight="1">
      <c r="A1348" s="114" t="s">
        <v>200</v>
      </c>
      <c r="B1348" s="114" t="str">
        <f>VLOOKUP(A1348,'Tabela de Produtos'!A:B,2,0)</f>
        <v>BRAZIMIL LÁTEX STANDARD INT/EXT FOSCO 15L AZUL CAPRICHOSO</v>
      </c>
      <c r="C1348" s="48" t="s">
        <v>1197</v>
      </c>
      <c r="D1348" s="114" t="str">
        <f>VLOOKUP(C1348,'Custos Matéria Prima Embalagens'!B:C,2,0)</f>
        <v>AGUA</v>
      </c>
      <c r="E1348" s="114" t="str">
        <f>VLOOKUP(C1348,'Custos Matéria Prima Embalagens'!B:D,3,0)</f>
        <v>AGUA</v>
      </c>
      <c r="F1348" s="270">
        <f t="shared" ref="F1348:F1362" si="176">SUMIFS(H:H,A:A,A1348)</f>
        <v>1956</v>
      </c>
      <c r="G1348" s="148">
        <f t="shared" ref="G1348:G1362" si="177">H1348/F1348</f>
        <v>0.47034764826175868</v>
      </c>
      <c r="H1348" s="96">
        <v>920</v>
      </c>
      <c r="I1348" s="272">
        <f>ROUND(F1348/VLOOKUP(A1348,'Tabela de Produtos'!A:J,10,0),0)</f>
        <v>1540</v>
      </c>
      <c r="J1348" s="97">
        <f>IFERROR(VLOOKUP(C1348,'Custos Matéria Prima Embalagens'!B:G,6,0)*H1348,"Matéria Prima Não Cadastrada")</f>
        <v>0</v>
      </c>
      <c r="K1348" s="97">
        <f>IFERROR(J1348/(I1348/VLOOKUP(A1348,'Tabela de Produtos'!A:H,8,0)),"Matéria Prima Não Cadastrada")</f>
        <v>0</v>
      </c>
      <c r="L1348" s="216"/>
    </row>
    <row r="1349" spans="1:12" ht="15.75" customHeight="1">
      <c r="A1349" s="114" t="s">
        <v>200</v>
      </c>
      <c r="B1349" s="114" t="str">
        <f>VLOOKUP(A1349,'Tabela de Produtos'!A:B,2,0)</f>
        <v>BRAZIMIL LÁTEX STANDARD INT/EXT FOSCO 15L AZUL CAPRICHOSO</v>
      </c>
      <c r="C1349" s="48" t="s">
        <v>1201</v>
      </c>
      <c r="D1349" s="114" t="str">
        <f>VLOOKUP(C1349,'Custos Matéria Prima Embalagens'!B:C,2,0)</f>
        <v>WANFOAM 528 CE (BB-190)</v>
      </c>
      <c r="E1349" s="114" t="str">
        <f>VLOOKUP(C1349,'Custos Matéria Prima Embalagens'!B:D,3,0)</f>
        <v>ANTI ESPUMA LATEX</v>
      </c>
      <c r="F1349" s="270">
        <f t="shared" si="176"/>
        <v>1956</v>
      </c>
      <c r="G1349" s="148">
        <f t="shared" si="177"/>
        <v>2.5562372188139061E-3</v>
      </c>
      <c r="H1349" s="96">
        <v>5</v>
      </c>
      <c r="I1349" s="272">
        <f>ROUND(F1349/VLOOKUP(A1349,'Tabela de Produtos'!A:J,10,0),0)</f>
        <v>1540</v>
      </c>
      <c r="J1349" s="97">
        <f>IFERROR(VLOOKUP(C1349,'Custos Matéria Prima Embalagens'!B:G,6,0)*H1349,"Matéria Prima Não Cadastrada")</f>
        <v>35.9</v>
      </c>
      <c r="K1349" s="97">
        <f>IFERROR(J1349/(I1349/VLOOKUP(A1349,'Tabela de Produtos'!A:H,8,0)),"Matéria Prima Não Cadastrada")</f>
        <v>0.34967532467532464</v>
      </c>
      <c r="L1349" s="216"/>
    </row>
    <row r="1350" spans="1:12" ht="15.75" customHeight="1">
      <c r="A1350" s="114" t="s">
        <v>200</v>
      </c>
      <c r="B1350" s="114" t="str">
        <f>VLOOKUP(A1350,'Tabela de Produtos'!A:B,2,0)</f>
        <v>BRAZIMIL LÁTEX STANDARD INT/EXT FOSCO 15L AZUL CAPRICHOSO</v>
      </c>
      <c r="C1350" s="48" t="s">
        <v>1203</v>
      </c>
      <c r="D1350" s="114" t="str">
        <f>VLOOKUP(C1350,'Custos Matéria Prima Embalagens'!B:C,2,0)</f>
        <v>WANBAC WBT CE (BH-200)</v>
      </c>
      <c r="E1350" s="114" t="str">
        <f>VLOOKUP(C1350,'Custos Matéria Prima Embalagens'!B:D,3,0)</f>
        <v>BACTERICIDA</v>
      </c>
      <c r="F1350" s="270">
        <f t="shared" si="176"/>
        <v>1956</v>
      </c>
      <c r="G1350" s="148">
        <f t="shared" si="177"/>
        <v>3.0674846625766872E-3</v>
      </c>
      <c r="H1350" s="96">
        <v>6</v>
      </c>
      <c r="I1350" s="272">
        <f>ROUND(F1350/VLOOKUP(A1350,'Tabela de Produtos'!A:J,10,0),0)</f>
        <v>1540</v>
      </c>
      <c r="J1350" s="97">
        <f>IFERROR(VLOOKUP(C1350,'Custos Matéria Prima Embalagens'!B:G,6,0)*H1350,"Matéria Prima Não Cadastrada")</f>
        <v>29.639999999999997</v>
      </c>
      <c r="K1350" s="97">
        <f>IFERROR(J1350/(I1350/VLOOKUP(A1350,'Tabela de Produtos'!A:H,8,0)),"Matéria Prima Não Cadastrada")</f>
        <v>0.28870129870129868</v>
      </c>
      <c r="L1350" s="216"/>
    </row>
    <row r="1351" spans="1:12" ht="15.75" customHeight="1">
      <c r="A1351" s="114" t="s">
        <v>200</v>
      </c>
      <c r="B1351" s="114" t="str">
        <f>VLOOKUP(A1351,'Tabela de Produtos'!A:B,2,0)</f>
        <v>BRAZIMIL LÁTEX STANDARD INT/EXT FOSCO 15L AZUL CAPRICHOSO</v>
      </c>
      <c r="C1351" s="48" t="s">
        <v>1205</v>
      </c>
      <c r="D1351" s="114" t="str">
        <f>VLOOKUP(C1351,'Custos Matéria Prima Embalagens'!B:C,2,0)</f>
        <v>WANSUR 840 CE (BB-200)01</v>
      </c>
      <c r="E1351" s="114" t="str">
        <f>VLOOKUP(C1351,'Custos Matéria Prima Embalagens'!B:D,3,0)</f>
        <v>UMECTANTE</v>
      </c>
      <c r="F1351" s="270">
        <f t="shared" si="176"/>
        <v>1956</v>
      </c>
      <c r="G1351" s="148">
        <f t="shared" si="177"/>
        <v>2.0449897750511249E-3</v>
      </c>
      <c r="H1351" s="96">
        <v>4</v>
      </c>
      <c r="I1351" s="272">
        <f>ROUND(F1351/VLOOKUP(A1351,'Tabela de Produtos'!A:J,10,0),0)</f>
        <v>1540</v>
      </c>
      <c r="J1351" s="97">
        <f>IFERROR(VLOOKUP(C1351,'Custos Matéria Prima Embalagens'!B:G,6,0)*H1351,"Matéria Prima Não Cadastrada")</f>
        <v>29.32</v>
      </c>
      <c r="K1351" s="97">
        <f>IFERROR(J1351/(I1351/VLOOKUP(A1351,'Tabela de Produtos'!A:H,8,0)),"Matéria Prima Não Cadastrada")</f>
        <v>0.28558441558441555</v>
      </c>
      <c r="L1351" s="216"/>
    </row>
    <row r="1352" spans="1:12" ht="15.75" customHeight="1">
      <c r="A1352" s="114" t="s">
        <v>200</v>
      </c>
      <c r="B1352" s="114" t="str">
        <f>VLOOKUP(A1352,'Tabela de Produtos'!A:B,2,0)</f>
        <v>BRAZIMIL LÁTEX STANDARD INT/EXT FOSCO 15L AZUL CAPRICHOSO</v>
      </c>
      <c r="C1352" s="48" t="s">
        <v>1207</v>
      </c>
      <c r="D1352" s="114" t="str">
        <f>VLOOKUP(C1352,'Custos Matéria Prima Embalagens'!B:C,2,0)</f>
        <v>WANPEX 1510 (BB-200)</v>
      </c>
      <c r="E1352" s="114" t="str">
        <f>VLOOKUP(C1352,'Custos Matéria Prima Embalagens'!B:D,3,0)</f>
        <v>DISPERSANTE LATEX</v>
      </c>
      <c r="F1352" s="270">
        <f t="shared" si="176"/>
        <v>1956</v>
      </c>
      <c r="G1352" s="148">
        <f t="shared" si="177"/>
        <v>3.0674846625766872E-3</v>
      </c>
      <c r="H1352" s="96">
        <v>6</v>
      </c>
      <c r="I1352" s="272">
        <f>ROUND(F1352/VLOOKUP(A1352,'Tabela de Produtos'!A:J,10,0),0)</f>
        <v>1540</v>
      </c>
      <c r="J1352" s="97">
        <f>IFERROR(VLOOKUP(C1352,'Custos Matéria Prima Embalagens'!B:G,6,0)*H1352,"Matéria Prima Não Cadastrada")</f>
        <v>41.16</v>
      </c>
      <c r="K1352" s="97">
        <f>IFERROR(J1352/(I1352/VLOOKUP(A1352,'Tabela de Produtos'!A:H,8,0)),"Matéria Prima Não Cadastrada")</f>
        <v>0.40090909090909088</v>
      </c>
      <c r="L1352" s="216"/>
    </row>
    <row r="1353" spans="1:12" ht="15.75" customHeight="1">
      <c r="A1353" s="114" t="s">
        <v>200</v>
      </c>
      <c r="B1353" s="114" t="str">
        <f>VLOOKUP(A1353,'Tabela de Produtos'!A:B,2,0)</f>
        <v>BRAZIMIL LÁTEX STANDARD INT/EXT FOSCO 15L AZUL CAPRICHOSO</v>
      </c>
      <c r="C1353" s="48" t="s">
        <v>1209</v>
      </c>
      <c r="D1353" s="114" t="str">
        <f>VLOOKUP(C1353,'Custos Matéria Prima Embalagens'!B:C,2,0)</f>
        <v>WANFUNG WFT CE (BH-200)</v>
      </c>
      <c r="E1353" s="114" t="str">
        <f>VLOOKUP(C1353,'Custos Matéria Prima Embalagens'!B:D,3,0)</f>
        <v>FUNGICIDA</v>
      </c>
      <c r="F1353" s="270">
        <f t="shared" si="176"/>
        <v>1956</v>
      </c>
      <c r="G1353" s="148">
        <f t="shared" si="177"/>
        <v>2.5562372188139061E-3</v>
      </c>
      <c r="H1353" s="96">
        <v>5</v>
      </c>
      <c r="I1353" s="272">
        <f>ROUND(F1353/VLOOKUP(A1353,'Tabela de Produtos'!A:J,10,0),0)</f>
        <v>1540</v>
      </c>
      <c r="J1353" s="97">
        <f>IFERROR(VLOOKUP(C1353,'Custos Matéria Prima Embalagens'!B:G,6,0)*H1353,"Matéria Prima Não Cadastrada")</f>
        <v>35</v>
      </c>
      <c r="K1353" s="97">
        <f>IFERROR(J1353/(I1353/VLOOKUP(A1353,'Tabela de Produtos'!A:H,8,0)),"Matéria Prima Não Cadastrada")</f>
        <v>0.34090909090909088</v>
      </c>
      <c r="L1353" s="216"/>
    </row>
    <row r="1354" spans="1:12" ht="15.75" customHeight="1">
      <c r="A1354" s="114" t="s">
        <v>200</v>
      </c>
      <c r="B1354" s="114" t="str">
        <f>VLOOKUP(A1354,'Tabela de Produtos'!A:B,2,0)</f>
        <v>BRAZIMIL LÁTEX STANDARD INT/EXT FOSCO 15L AZUL CAPRICHOSO</v>
      </c>
      <c r="C1354" s="48" t="s">
        <v>1211</v>
      </c>
      <c r="D1354" s="114" t="str">
        <f>VLOOKUP(C1354,'Custos Matéria Prima Embalagens'!B:C,2,0)</f>
        <v>WHITE PLUS PB (SC-25) (Em negociação)</v>
      </c>
      <c r="E1354" s="114" t="str">
        <f>VLOOKUP(C1354,'Custos Matéria Prima Embalagens'!B:D,3,0)</f>
        <v>WHITE PLUS</v>
      </c>
      <c r="F1354" s="270">
        <f t="shared" si="176"/>
        <v>1956</v>
      </c>
      <c r="G1354" s="148">
        <f t="shared" si="177"/>
        <v>0.15337423312883436</v>
      </c>
      <c r="H1354" s="96">
        <v>300</v>
      </c>
      <c r="I1354" s="272">
        <f>ROUND(F1354/VLOOKUP(A1354,'Tabela de Produtos'!A:J,10,0),0)</f>
        <v>1540</v>
      </c>
      <c r="J1354" s="97">
        <f>IFERROR(VLOOKUP(C1354,'Custos Matéria Prima Embalagens'!B:G,6,0)*H1354,"Matéria Prima Não Cadastrada")</f>
        <v>927</v>
      </c>
      <c r="K1354" s="97">
        <f>IFERROR(J1354/(I1354/VLOOKUP(A1354,'Tabela de Produtos'!A:H,8,0)),"Matéria Prima Não Cadastrada")</f>
        <v>9.029220779220779</v>
      </c>
      <c r="L1354" s="216"/>
    </row>
    <row r="1355" spans="1:12" ht="15.75" customHeight="1">
      <c r="A1355" s="114" t="s">
        <v>200</v>
      </c>
      <c r="B1355" s="114" t="str">
        <f>VLOOKUP(A1355,'Tabela de Produtos'!A:B,2,0)</f>
        <v>BRAZIMIL LÁTEX STANDARD INT/EXT FOSCO 15L AZUL CAPRICHOSO</v>
      </c>
      <c r="C1355" s="48" t="s">
        <v>1213</v>
      </c>
      <c r="D1355" s="114" t="str">
        <f>VLOOKUP(C1355,'Custos Matéria Prima Embalagens'!B:C,2,0)</f>
        <v>DIOXIDO DE TITANIO RUTILO R-996</v>
      </c>
      <c r="E1355" s="114" t="str">
        <f>VLOOKUP(C1355,'Custos Matéria Prima Embalagens'!B:D,3,0)</f>
        <v>TITANIO</v>
      </c>
      <c r="F1355" s="270">
        <f t="shared" si="176"/>
        <v>1956</v>
      </c>
      <c r="G1355" s="148">
        <f t="shared" si="177"/>
        <v>3.0674846625766871E-2</v>
      </c>
      <c r="H1355" s="96">
        <v>60</v>
      </c>
      <c r="I1355" s="272">
        <f>ROUND(F1355/VLOOKUP(A1355,'Tabela de Produtos'!A:J,10,0),0)</f>
        <v>1540</v>
      </c>
      <c r="J1355" s="97">
        <f>IFERROR(VLOOKUP(C1355,'Custos Matéria Prima Embalagens'!B:G,6,0)*H1355,"Matéria Prima Não Cadastrada")</f>
        <v>1158</v>
      </c>
      <c r="K1355" s="97">
        <f>IFERROR(J1355/(I1355/VLOOKUP(A1355,'Tabela de Produtos'!A:H,8,0)),"Matéria Prima Não Cadastrada")</f>
        <v>11.279220779220779</v>
      </c>
      <c r="L1355" s="216"/>
    </row>
    <row r="1356" spans="1:12" ht="15.75" customHeight="1">
      <c r="A1356" s="114" t="s">
        <v>200</v>
      </c>
      <c r="B1356" s="114" t="str">
        <f>VLOOKUP(A1356,'Tabela de Produtos'!A:B,2,0)</f>
        <v>BRAZIMIL LÁTEX STANDARD INT/EXT FOSCO 15L AZUL CAPRICHOSO</v>
      </c>
      <c r="C1356" s="48" t="s">
        <v>1215</v>
      </c>
      <c r="D1356" s="114" t="str">
        <f>VLOOKUP(C1356,'Custos Matéria Prima Embalagens'!B:C,2,0)</f>
        <v>CALCARIO DOLOMITICO #500 ( SACOS 25 KG)</v>
      </c>
      <c r="E1356" s="114" t="str">
        <f>VLOOKUP(C1356,'Custos Matéria Prima Embalagens'!B:D,3,0)</f>
        <v>CARBONATO #500</v>
      </c>
      <c r="F1356" s="270">
        <f t="shared" si="176"/>
        <v>1956</v>
      </c>
      <c r="G1356" s="148">
        <f t="shared" si="177"/>
        <v>0.15337423312883436</v>
      </c>
      <c r="H1356" s="96">
        <v>300</v>
      </c>
      <c r="I1356" s="272">
        <f>ROUND(F1356/VLOOKUP(A1356,'Tabela de Produtos'!A:J,10,0),0)</f>
        <v>1540</v>
      </c>
      <c r="J1356" s="97">
        <f>IFERROR(VLOOKUP(C1356,'Custos Matéria Prima Embalagens'!B:G,6,0)*H1356,"Matéria Prima Não Cadastrada")</f>
        <v>240</v>
      </c>
      <c r="K1356" s="97">
        <f>IFERROR(J1356/(I1356/VLOOKUP(A1356,'Tabela de Produtos'!A:H,8,0)),"Matéria Prima Não Cadastrada")</f>
        <v>2.3376623376623376</v>
      </c>
      <c r="L1356" s="216"/>
    </row>
    <row r="1357" spans="1:12" ht="15.75" customHeight="1">
      <c r="A1357" s="114" t="s">
        <v>200</v>
      </c>
      <c r="B1357" s="114" t="str">
        <f>VLOOKUP(A1357,'Tabela de Produtos'!A:B,2,0)</f>
        <v>BRAZIMIL LÁTEX STANDARD INT/EXT FOSCO 15L AZUL CAPRICHOSO</v>
      </c>
      <c r="C1357" s="48" t="s">
        <v>1227</v>
      </c>
      <c r="D1357" s="114" t="str">
        <f>VLOOKUP(C1357,'Custos Matéria Prima Embalagens'!B:C,2,0)</f>
        <v>CAULIM MALHA 325</v>
      </c>
      <c r="E1357" s="114" t="str">
        <f>VLOOKUP(C1357,'Custos Matéria Prima Embalagens'!B:D,3,0)</f>
        <v>caulim</v>
      </c>
      <c r="F1357" s="270">
        <f t="shared" si="176"/>
        <v>1956</v>
      </c>
      <c r="G1357" s="148">
        <f t="shared" si="177"/>
        <v>5.112474437627812E-2</v>
      </c>
      <c r="H1357" s="96">
        <v>100</v>
      </c>
      <c r="I1357" s="272">
        <f>ROUND(F1357/VLOOKUP(A1357,'Tabela de Produtos'!A:J,10,0),0)</f>
        <v>1540</v>
      </c>
      <c r="J1357" s="97">
        <f>IFERROR(VLOOKUP(C1357,'Custos Matéria Prima Embalagens'!B:G,6,0)*H1357,"Matéria Prima Não Cadastrada")</f>
        <v>152.04955555555551</v>
      </c>
      <c r="K1357" s="97">
        <f>IFERROR(J1357/(I1357/VLOOKUP(A1357,'Tabela de Produtos'!A:H,8,0)),"Matéria Prima Não Cadastrada")</f>
        <v>1.481002164502164</v>
      </c>
      <c r="L1357" s="216"/>
    </row>
    <row r="1358" spans="1:12" ht="15.75" customHeight="1">
      <c r="A1358" s="114" t="s">
        <v>200</v>
      </c>
      <c r="B1358" s="114" t="str">
        <f>VLOOKUP(A1358,'Tabela de Produtos'!A:B,2,0)</f>
        <v>BRAZIMIL LÁTEX STANDARD INT/EXT FOSCO 15L AZUL CAPRICHOSO</v>
      </c>
      <c r="C1358" s="48" t="s">
        <v>1217</v>
      </c>
      <c r="D1358" s="114" t="str">
        <f>VLOOKUP(C1358,'Custos Matéria Prima Embalagens'!B:C,2,0)</f>
        <v>WANCRIL W 51 CE (CT-1000P)</v>
      </c>
      <c r="E1358" s="114" t="str">
        <f>VLOOKUP(C1358,'Custos Matéria Prima Embalagens'!B:D,3,0)</f>
        <v>RESINA ACRILICA ESTIRENADA</v>
      </c>
      <c r="F1358" s="270">
        <f t="shared" si="176"/>
        <v>1956</v>
      </c>
      <c r="G1358" s="148">
        <f t="shared" si="177"/>
        <v>0.10224948875255624</v>
      </c>
      <c r="H1358" s="96">
        <v>200</v>
      </c>
      <c r="I1358" s="272">
        <f>ROUND(F1358/VLOOKUP(A1358,'Tabela de Produtos'!A:J,10,0),0)</f>
        <v>1540</v>
      </c>
      <c r="J1358" s="97">
        <f>IFERROR(VLOOKUP(C1358,'Custos Matéria Prima Embalagens'!B:G,6,0)*H1358,"Matéria Prima Não Cadastrada")</f>
        <v>1686</v>
      </c>
      <c r="K1358" s="97">
        <f>IFERROR(J1358/(I1358/VLOOKUP(A1358,'Tabela de Produtos'!A:H,8,0)),"Matéria Prima Não Cadastrada")</f>
        <v>16.422077922077921</v>
      </c>
      <c r="L1358" s="216"/>
    </row>
    <row r="1359" spans="1:12" ht="15.75" customHeight="1">
      <c r="A1359" s="114" t="s">
        <v>200</v>
      </c>
      <c r="B1359" s="114" t="str">
        <f>VLOOKUP(A1359,'Tabela de Produtos'!A:B,2,0)</f>
        <v>BRAZIMIL LÁTEX STANDARD INT/EXT FOSCO 15L AZUL CAPRICHOSO</v>
      </c>
      <c r="C1359" s="48" t="s">
        <v>1219</v>
      </c>
      <c r="D1359" s="114" t="str">
        <f>VLOOKUP(C1359,'Custos Matéria Prima Embalagens'!B:C,2,0)</f>
        <v>WANALK 70 CE (BH-200)</v>
      </c>
      <c r="E1359" s="114" t="str">
        <f>VLOOKUP(C1359,'Custos Matéria Prima Embalagens'!B:D,3,0)</f>
        <v>ALCALINIZANTE</v>
      </c>
      <c r="F1359" s="270">
        <f t="shared" si="176"/>
        <v>1956</v>
      </c>
      <c r="G1359" s="148">
        <f t="shared" si="177"/>
        <v>2.5562372188139061E-3</v>
      </c>
      <c r="H1359" s="96">
        <v>5</v>
      </c>
      <c r="I1359" s="272">
        <f>ROUND(F1359/VLOOKUP(A1359,'Tabela de Produtos'!A:J,10,0),0)</f>
        <v>1540</v>
      </c>
      <c r="J1359" s="97">
        <f>IFERROR(VLOOKUP(C1359,'Custos Matéria Prima Embalagens'!B:G,6,0)*H1359,"Matéria Prima Não Cadastrada")</f>
        <v>24.900000000000002</v>
      </c>
      <c r="K1359" s="97">
        <f>IFERROR(J1359/(I1359/VLOOKUP(A1359,'Tabela de Produtos'!A:H,8,0)),"Matéria Prima Não Cadastrada")</f>
        <v>0.24253246753246754</v>
      </c>
      <c r="L1359" s="216"/>
    </row>
    <row r="1360" spans="1:12" ht="15.75" customHeight="1">
      <c r="A1360" s="114" t="s">
        <v>200</v>
      </c>
      <c r="B1360" s="114" t="str">
        <f>VLOOKUP(A1360,'Tabela de Produtos'!A:B,2,0)</f>
        <v>BRAZIMIL LÁTEX STANDARD INT/EXT FOSCO 15L AZUL CAPRICHOSO</v>
      </c>
      <c r="C1360" s="48" t="s">
        <v>1221</v>
      </c>
      <c r="D1360" s="114" t="str">
        <f>VLOOKUP(C1360,'Custos Matéria Prima Embalagens'!B:C,2,0)</f>
        <v>MODIWAN 105H CE (CT-1000P)</v>
      </c>
      <c r="E1360" s="114" t="str">
        <f>VLOOKUP(C1360,'Custos Matéria Prima Embalagens'!B:D,3,0)</f>
        <v>ESPESSANTE DE MEDIA</v>
      </c>
      <c r="F1360" s="270">
        <f t="shared" si="176"/>
        <v>1956</v>
      </c>
      <c r="G1360" s="148">
        <f t="shared" si="177"/>
        <v>1.0224948875255624E-2</v>
      </c>
      <c r="H1360" s="96">
        <v>20</v>
      </c>
      <c r="I1360" s="272">
        <f>ROUND(F1360/VLOOKUP(A1360,'Tabela de Produtos'!A:J,10,0),0)</f>
        <v>1540</v>
      </c>
      <c r="J1360" s="97">
        <f>IFERROR(VLOOKUP(C1360,'Custos Matéria Prima Embalagens'!B:G,6,0)*H1360,"Matéria Prima Não Cadastrada")</f>
        <v>158.1</v>
      </c>
      <c r="K1360" s="97">
        <f>IFERROR(J1360/(I1360/VLOOKUP(A1360,'Tabela de Produtos'!A:H,8,0)),"Matéria Prima Não Cadastrada")</f>
        <v>1.5399350649350647</v>
      </c>
      <c r="L1360" s="216"/>
    </row>
    <row r="1361" spans="1:12" ht="15.75" customHeight="1">
      <c r="A1361" s="114" t="s">
        <v>200</v>
      </c>
      <c r="B1361" s="114" t="str">
        <f>VLOOKUP(A1361,'Tabela de Produtos'!A:B,2,0)</f>
        <v>BRAZIMIL LÁTEX STANDARD INT/EXT FOSCO 15L AZUL CAPRICHOSO</v>
      </c>
      <c r="C1361" s="48" t="s">
        <v>1223</v>
      </c>
      <c r="D1361" s="114" t="str">
        <f>VLOOKUP(C1361,'Custos Matéria Prima Embalagens'!B:C,2,0)</f>
        <v>TURBOWAN H CE (BH-200)</v>
      </c>
      <c r="E1361" s="114" t="str">
        <f>VLOOKUP(C1361,'Custos Matéria Prima Embalagens'!B:D,3,0)</f>
        <v>PROMOTOR DE LAVABILIDADE</v>
      </c>
      <c r="F1361" s="270">
        <f t="shared" si="176"/>
        <v>1956</v>
      </c>
      <c r="G1361" s="148">
        <f t="shared" si="177"/>
        <v>7.6687116564417178E-3</v>
      </c>
      <c r="H1361" s="96">
        <v>15</v>
      </c>
      <c r="I1361" s="272">
        <f>ROUND(F1361/VLOOKUP(A1361,'Tabela de Produtos'!A:J,10,0),0)</f>
        <v>1540</v>
      </c>
      <c r="J1361" s="97">
        <f>IFERROR(VLOOKUP(C1361,'Custos Matéria Prima Embalagens'!B:G,6,0)*H1361,"Matéria Prima Não Cadastrada")</f>
        <v>72.75</v>
      </c>
      <c r="K1361" s="97">
        <f>IFERROR(J1361/(I1361/VLOOKUP(A1361,'Tabela de Produtos'!A:H,8,0)),"Matéria Prima Não Cadastrada")</f>
        <v>0.70860389610389607</v>
      </c>
      <c r="L1361" s="216"/>
    </row>
    <row r="1362" spans="1:12" ht="15.75" customHeight="1">
      <c r="A1362" s="114" t="s">
        <v>200</v>
      </c>
      <c r="B1362" s="114" t="str">
        <f>VLOOKUP(A1362,'Tabela de Produtos'!A:B,2,0)</f>
        <v>BRAZIMIL LÁTEX STANDARD INT/EXT FOSCO 15L AZUL CAPRICHOSO</v>
      </c>
      <c r="C1362" s="48" t="s">
        <v>1229</v>
      </c>
      <c r="D1362" s="114" t="str">
        <f>VLOOKUP(C1362,'Custos Matéria Prima Embalagens'!B:C,2,0)</f>
        <v>WANSOL 340 CE (BB-200)</v>
      </c>
      <c r="E1362" s="114" t="str">
        <f>VLOOKUP(C1362,'Custos Matéria Prima Embalagens'!B:D,3,0)</f>
        <v>COALESCENTE</v>
      </c>
      <c r="F1362" s="270">
        <f t="shared" si="176"/>
        <v>1956</v>
      </c>
      <c r="G1362" s="148">
        <f t="shared" si="177"/>
        <v>5.1124744376278121E-3</v>
      </c>
      <c r="H1362" s="96">
        <v>10</v>
      </c>
      <c r="I1362" s="272">
        <f>ROUND(F1362/VLOOKUP(A1362,'Tabela de Produtos'!A:J,10,0),0)</f>
        <v>1540</v>
      </c>
      <c r="J1362" s="97">
        <f>IFERROR(VLOOKUP(C1362,'Custos Matéria Prima Embalagens'!B:G,6,0)*H1362,"Matéria Prima Não Cadastrada")</f>
        <v>192.2</v>
      </c>
      <c r="K1362" s="97">
        <f>IFERROR(J1362/(I1362/VLOOKUP(A1362,'Tabela de Produtos'!A:H,8,0)),"Matéria Prima Não Cadastrada")</f>
        <v>1.8720779220779218</v>
      </c>
      <c r="L1362" s="216"/>
    </row>
    <row r="1363" spans="1:12" ht="15.75" customHeight="1">
      <c r="D1363" s="114"/>
      <c r="E1363" s="114"/>
      <c r="F1363" s="96"/>
      <c r="G1363" s="148"/>
      <c r="H1363" s="96"/>
      <c r="I1363" s="272"/>
      <c r="J1363" s="97"/>
      <c r="K1363" s="97"/>
      <c r="L1363" s="216"/>
    </row>
    <row r="1364" spans="1:12" ht="15.75" customHeight="1">
      <c r="A1364" s="114" t="s">
        <v>201</v>
      </c>
      <c r="B1364" s="114" t="str">
        <f>VLOOKUP(A1364,'Tabela de Produtos'!A:B,2,0)</f>
        <v>BRAZIMIL LÁTEX STANDARD INT/EXT FOSCO 15L CINZA MEDIO</v>
      </c>
      <c r="C1364" s="48" t="s">
        <v>1197</v>
      </c>
      <c r="D1364" s="114" t="str">
        <f>VLOOKUP(C1364,'Custos Matéria Prima Embalagens'!B:C,2,0)</f>
        <v>AGUA</v>
      </c>
      <c r="E1364" s="114" t="str">
        <f>VLOOKUP(C1364,'Custos Matéria Prima Embalagens'!B:D,3,0)</f>
        <v>AGUA</v>
      </c>
      <c r="F1364" s="270">
        <f t="shared" ref="F1364:F1378" si="178">SUMIFS(H:H,A:A,A1364)</f>
        <v>1956</v>
      </c>
      <c r="G1364" s="148">
        <f t="shared" ref="G1364:G1378" si="179">H1364/F1364</f>
        <v>0.47034764826175868</v>
      </c>
      <c r="H1364" s="96">
        <v>920</v>
      </c>
      <c r="I1364" s="272">
        <f>ROUND(F1364/VLOOKUP(A1364,'Tabela de Produtos'!A:J,10,0),0)</f>
        <v>1540</v>
      </c>
      <c r="J1364" s="97">
        <f>IFERROR(VLOOKUP(C1364,'Custos Matéria Prima Embalagens'!B:G,6,0)*H1364,"Matéria Prima Não Cadastrada")</f>
        <v>0</v>
      </c>
      <c r="K1364" s="97">
        <f>IFERROR(J1364/(I1364/VLOOKUP(A1364,'Tabela de Produtos'!A:H,8,0)),"Matéria Prima Não Cadastrada")</f>
        <v>0</v>
      </c>
      <c r="L1364" s="216"/>
    </row>
    <row r="1365" spans="1:12" ht="15.75" customHeight="1">
      <c r="A1365" s="114" t="s">
        <v>201</v>
      </c>
      <c r="B1365" s="114" t="str">
        <f>VLOOKUP(A1365,'Tabela de Produtos'!A:B,2,0)</f>
        <v>BRAZIMIL LÁTEX STANDARD INT/EXT FOSCO 15L CINZA MEDIO</v>
      </c>
      <c r="C1365" s="48" t="s">
        <v>1201</v>
      </c>
      <c r="D1365" s="114" t="str">
        <f>VLOOKUP(C1365,'Custos Matéria Prima Embalagens'!B:C,2,0)</f>
        <v>WANFOAM 528 CE (BB-190)</v>
      </c>
      <c r="E1365" s="114" t="str">
        <f>VLOOKUP(C1365,'Custos Matéria Prima Embalagens'!B:D,3,0)</f>
        <v>ANTI ESPUMA LATEX</v>
      </c>
      <c r="F1365" s="270">
        <f t="shared" si="178"/>
        <v>1956</v>
      </c>
      <c r="G1365" s="148">
        <f t="shared" si="179"/>
        <v>2.5562372188139061E-3</v>
      </c>
      <c r="H1365" s="96">
        <v>5</v>
      </c>
      <c r="I1365" s="272">
        <f>ROUND(F1365/VLOOKUP(A1365,'Tabela de Produtos'!A:J,10,0),0)</f>
        <v>1540</v>
      </c>
      <c r="J1365" s="97">
        <f>IFERROR(VLOOKUP(C1365,'Custos Matéria Prima Embalagens'!B:G,6,0)*H1365,"Matéria Prima Não Cadastrada")</f>
        <v>35.9</v>
      </c>
      <c r="K1365" s="97">
        <f>IFERROR(J1365/(I1365/VLOOKUP(A1365,'Tabela de Produtos'!A:H,8,0)),"Matéria Prima Não Cadastrada")</f>
        <v>0.34967532467532464</v>
      </c>
      <c r="L1365" s="216"/>
    </row>
    <row r="1366" spans="1:12" ht="15.75" customHeight="1">
      <c r="A1366" s="114" t="s">
        <v>201</v>
      </c>
      <c r="B1366" s="114" t="str">
        <f>VLOOKUP(A1366,'Tabela de Produtos'!A:B,2,0)</f>
        <v>BRAZIMIL LÁTEX STANDARD INT/EXT FOSCO 15L CINZA MEDIO</v>
      </c>
      <c r="C1366" s="48" t="s">
        <v>1203</v>
      </c>
      <c r="D1366" s="114" t="str">
        <f>VLOOKUP(C1366,'Custos Matéria Prima Embalagens'!B:C,2,0)</f>
        <v>WANBAC WBT CE (BH-200)</v>
      </c>
      <c r="E1366" s="114" t="str">
        <f>VLOOKUP(C1366,'Custos Matéria Prima Embalagens'!B:D,3,0)</f>
        <v>BACTERICIDA</v>
      </c>
      <c r="F1366" s="270">
        <f t="shared" si="178"/>
        <v>1956</v>
      </c>
      <c r="G1366" s="148">
        <f t="shared" si="179"/>
        <v>3.0674846625766872E-3</v>
      </c>
      <c r="H1366" s="96">
        <v>6</v>
      </c>
      <c r="I1366" s="272">
        <f>ROUND(F1366/VLOOKUP(A1366,'Tabela de Produtos'!A:J,10,0),0)</f>
        <v>1540</v>
      </c>
      <c r="J1366" s="97">
        <f>IFERROR(VLOOKUP(C1366,'Custos Matéria Prima Embalagens'!B:G,6,0)*H1366,"Matéria Prima Não Cadastrada")</f>
        <v>29.639999999999997</v>
      </c>
      <c r="K1366" s="97">
        <f>IFERROR(J1366/(I1366/VLOOKUP(A1366,'Tabela de Produtos'!A:H,8,0)),"Matéria Prima Não Cadastrada")</f>
        <v>0.28870129870129868</v>
      </c>
      <c r="L1366" s="216"/>
    </row>
    <row r="1367" spans="1:12" ht="15.75" customHeight="1">
      <c r="A1367" s="114" t="s">
        <v>201</v>
      </c>
      <c r="B1367" s="114" t="str">
        <f>VLOOKUP(A1367,'Tabela de Produtos'!A:B,2,0)</f>
        <v>BRAZIMIL LÁTEX STANDARD INT/EXT FOSCO 15L CINZA MEDIO</v>
      </c>
      <c r="C1367" s="48" t="s">
        <v>1205</v>
      </c>
      <c r="D1367" s="114" t="str">
        <f>VLOOKUP(C1367,'Custos Matéria Prima Embalagens'!B:C,2,0)</f>
        <v>WANSUR 840 CE (BB-200)01</v>
      </c>
      <c r="E1367" s="114" t="str">
        <f>VLOOKUP(C1367,'Custos Matéria Prima Embalagens'!B:D,3,0)</f>
        <v>UMECTANTE</v>
      </c>
      <c r="F1367" s="270">
        <f t="shared" si="178"/>
        <v>1956</v>
      </c>
      <c r="G1367" s="148">
        <f t="shared" si="179"/>
        <v>2.0449897750511249E-3</v>
      </c>
      <c r="H1367" s="96">
        <v>4</v>
      </c>
      <c r="I1367" s="272">
        <f>ROUND(F1367/VLOOKUP(A1367,'Tabela de Produtos'!A:J,10,0),0)</f>
        <v>1540</v>
      </c>
      <c r="J1367" s="97">
        <f>IFERROR(VLOOKUP(C1367,'Custos Matéria Prima Embalagens'!B:G,6,0)*H1367,"Matéria Prima Não Cadastrada")</f>
        <v>29.32</v>
      </c>
      <c r="K1367" s="97">
        <f>IFERROR(J1367/(I1367/VLOOKUP(A1367,'Tabela de Produtos'!A:H,8,0)),"Matéria Prima Não Cadastrada")</f>
        <v>0.28558441558441555</v>
      </c>
      <c r="L1367" s="216"/>
    </row>
    <row r="1368" spans="1:12" ht="15.75" customHeight="1">
      <c r="A1368" s="114" t="s">
        <v>201</v>
      </c>
      <c r="B1368" s="114" t="str">
        <f>VLOOKUP(A1368,'Tabela de Produtos'!A:B,2,0)</f>
        <v>BRAZIMIL LÁTEX STANDARD INT/EXT FOSCO 15L CINZA MEDIO</v>
      </c>
      <c r="C1368" s="48" t="s">
        <v>1207</v>
      </c>
      <c r="D1368" s="114" t="str">
        <f>VLOOKUP(C1368,'Custos Matéria Prima Embalagens'!B:C,2,0)</f>
        <v>WANPEX 1510 (BB-200)</v>
      </c>
      <c r="E1368" s="114" t="str">
        <f>VLOOKUP(C1368,'Custos Matéria Prima Embalagens'!B:D,3,0)</f>
        <v>DISPERSANTE LATEX</v>
      </c>
      <c r="F1368" s="270">
        <f t="shared" si="178"/>
        <v>1956</v>
      </c>
      <c r="G1368" s="148">
        <f t="shared" si="179"/>
        <v>3.0674846625766872E-3</v>
      </c>
      <c r="H1368" s="96">
        <v>6</v>
      </c>
      <c r="I1368" s="272">
        <f>ROUND(F1368/VLOOKUP(A1368,'Tabela de Produtos'!A:J,10,0),0)</f>
        <v>1540</v>
      </c>
      <c r="J1368" s="97">
        <f>IFERROR(VLOOKUP(C1368,'Custos Matéria Prima Embalagens'!B:G,6,0)*H1368,"Matéria Prima Não Cadastrada")</f>
        <v>41.16</v>
      </c>
      <c r="K1368" s="97">
        <f>IFERROR(J1368/(I1368/VLOOKUP(A1368,'Tabela de Produtos'!A:H,8,0)),"Matéria Prima Não Cadastrada")</f>
        <v>0.40090909090909088</v>
      </c>
      <c r="L1368" s="216"/>
    </row>
    <row r="1369" spans="1:12" ht="15.75" customHeight="1">
      <c r="A1369" s="114" t="s">
        <v>201</v>
      </c>
      <c r="B1369" s="114" t="str">
        <f>VLOOKUP(A1369,'Tabela de Produtos'!A:B,2,0)</f>
        <v>BRAZIMIL LÁTEX STANDARD INT/EXT FOSCO 15L CINZA MEDIO</v>
      </c>
      <c r="C1369" s="48" t="s">
        <v>1209</v>
      </c>
      <c r="D1369" s="114" t="str">
        <f>VLOOKUP(C1369,'Custos Matéria Prima Embalagens'!B:C,2,0)</f>
        <v>WANFUNG WFT CE (BH-200)</v>
      </c>
      <c r="E1369" s="114" t="str">
        <f>VLOOKUP(C1369,'Custos Matéria Prima Embalagens'!B:D,3,0)</f>
        <v>FUNGICIDA</v>
      </c>
      <c r="F1369" s="270">
        <f t="shared" si="178"/>
        <v>1956</v>
      </c>
      <c r="G1369" s="148">
        <f t="shared" si="179"/>
        <v>2.5562372188139061E-3</v>
      </c>
      <c r="H1369" s="96">
        <v>5</v>
      </c>
      <c r="I1369" s="272">
        <f>ROUND(F1369/VLOOKUP(A1369,'Tabela de Produtos'!A:J,10,0),0)</f>
        <v>1540</v>
      </c>
      <c r="J1369" s="97">
        <f>IFERROR(VLOOKUP(C1369,'Custos Matéria Prima Embalagens'!B:G,6,0)*H1369,"Matéria Prima Não Cadastrada")</f>
        <v>35</v>
      </c>
      <c r="K1369" s="97">
        <f>IFERROR(J1369/(I1369/VLOOKUP(A1369,'Tabela de Produtos'!A:H,8,0)),"Matéria Prima Não Cadastrada")</f>
        <v>0.34090909090909088</v>
      </c>
      <c r="L1369" s="216"/>
    </row>
    <row r="1370" spans="1:12" ht="15.75" customHeight="1">
      <c r="A1370" s="114" t="s">
        <v>201</v>
      </c>
      <c r="B1370" s="114" t="str">
        <f>VLOOKUP(A1370,'Tabela de Produtos'!A:B,2,0)</f>
        <v>BRAZIMIL LÁTEX STANDARD INT/EXT FOSCO 15L CINZA MEDIO</v>
      </c>
      <c r="C1370" s="48" t="s">
        <v>1211</v>
      </c>
      <c r="D1370" s="114" t="str">
        <f>VLOOKUP(C1370,'Custos Matéria Prima Embalagens'!B:C,2,0)</f>
        <v>WHITE PLUS PB (SC-25) (Em negociação)</v>
      </c>
      <c r="E1370" s="114" t="str">
        <f>VLOOKUP(C1370,'Custos Matéria Prima Embalagens'!B:D,3,0)</f>
        <v>WHITE PLUS</v>
      </c>
      <c r="F1370" s="270">
        <f t="shared" si="178"/>
        <v>1956</v>
      </c>
      <c r="G1370" s="148">
        <f t="shared" si="179"/>
        <v>0.15337423312883436</v>
      </c>
      <c r="H1370" s="96">
        <v>300</v>
      </c>
      <c r="I1370" s="272">
        <f>ROUND(F1370/VLOOKUP(A1370,'Tabela de Produtos'!A:J,10,0),0)</f>
        <v>1540</v>
      </c>
      <c r="J1370" s="97">
        <f>IFERROR(VLOOKUP(C1370,'Custos Matéria Prima Embalagens'!B:G,6,0)*H1370,"Matéria Prima Não Cadastrada")</f>
        <v>927</v>
      </c>
      <c r="K1370" s="97">
        <f>IFERROR(J1370/(I1370/VLOOKUP(A1370,'Tabela de Produtos'!A:H,8,0)),"Matéria Prima Não Cadastrada")</f>
        <v>9.029220779220779</v>
      </c>
      <c r="L1370" s="216"/>
    </row>
    <row r="1371" spans="1:12" ht="15.75" customHeight="1">
      <c r="A1371" s="114" t="s">
        <v>201</v>
      </c>
      <c r="B1371" s="114" t="str">
        <f>VLOOKUP(A1371,'Tabela de Produtos'!A:B,2,0)</f>
        <v>BRAZIMIL LÁTEX STANDARD INT/EXT FOSCO 15L CINZA MEDIO</v>
      </c>
      <c r="C1371" s="48" t="s">
        <v>1213</v>
      </c>
      <c r="D1371" s="114" t="str">
        <f>VLOOKUP(C1371,'Custos Matéria Prima Embalagens'!B:C,2,0)</f>
        <v>DIOXIDO DE TITANIO RUTILO R-996</v>
      </c>
      <c r="E1371" s="114" t="str">
        <f>VLOOKUP(C1371,'Custos Matéria Prima Embalagens'!B:D,3,0)</f>
        <v>TITANIO</v>
      </c>
      <c r="F1371" s="270">
        <f t="shared" si="178"/>
        <v>1956</v>
      </c>
      <c r="G1371" s="148">
        <f t="shared" si="179"/>
        <v>3.0674846625766871E-2</v>
      </c>
      <c r="H1371" s="96">
        <v>60</v>
      </c>
      <c r="I1371" s="272">
        <f>ROUND(F1371/VLOOKUP(A1371,'Tabela de Produtos'!A:J,10,0),0)</f>
        <v>1540</v>
      </c>
      <c r="J1371" s="97">
        <f>IFERROR(VLOOKUP(C1371,'Custos Matéria Prima Embalagens'!B:G,6,0)*H1371,"Matéria Prima Não Cadastrada")</f>
        <v>1158</v>
      </c>
      <c r="K1371" s="97">
        <f>IFERROR(J1371/(I1371/VLOOKUP(A1371,'Tabela de Produtos'!A:H,8,0)),"Matéria Prima Não Cadastrada")</f>
        <v>11.279220779220779</v>
      </c>
      <c r="L1371" s="216"/>
    </row>
    <row r="1372" spans="1:12" ht="15.75" customHeight="1">
      <c r="A1372" s="114" t="s">
        <v>201</v>
      </c>
      <c r="B1372" s="114" t="str">
        <f>VLOOKUP(A1372,'Tabela de Produtos'!A:B,2,0)</f>
        <v>BRAZIMIL LÁTEX STANDARD INT/EXT FOSCO 15L CINZA MEDIO</v>
      </c>
      <c r="C1372" s="48" t="s">
        <v>1215</v>
      </c>
      <c r="D1372" s="114" t="str">
        <f>VLOOKUP(C1372,'Custos Matéria Prima Embalagens'!B:C,2,0)</f>
        <v>CALCARIO DOLOMITICO #500 ( SACOS 25 KG)</v>
      </c>
      <c r="E1372" s="114" t="str">
        <f>VLOOKUP(C1372,'Custos Matéria Prima Embalagens'!B:D,3,0)</f>
        <v>CARBONATO #500</v>
      </c>
      <c r="F1372" s="270">
        <f t="shared" si="178"/>
        <v>1956</v>
      </c>
      <c r="G1372" s="148">
        <f t="shared" si="179"/>
        <v>0.15337423312883436</v>
      </c>
      <c r="H1372" s="96">
        <v>300</v>
      </c>
      <c r="I1372" s="272">
        <f>ROUND(F1372/VLOOKUP(A1372,'Tabela de Produtos'!A:J,10,0),0)</f>
        <v>1540</v>
      </c>
      <c r="J1372" s="97">
        <f>IFERROR(VLOOKUP(C1372,'Custos Matéria Prima Embalagens'!B:G,6,0)*H1372,"Matéria Prima Não Cadastrada")</f>
        <v>240</v>
      </c>
      <c r="K1372" s="97">
        <f>IFERROR(J1372/(I1372/VLOOKUP(A1372,'Tabela de Produtos'!A:H,8,0)),"Matéria Prima Não Cadastrada")</f>
        <v>2.3376623376623376</v>
      </c>
      <c r="L1372" s="216"/>
    </row>
    <row r="1373" spans="1:12" ht="15.75" customHeight="1">
      <c r="A1373" s="114" t="s">
        <v>201</v>
      </c>
      <c r="B1373" s="114" t="str">
        <f>VLOOKUP(A1373,'Tabela de Produtos'!A:B,2,0)</f>
        <v>BRAZIMIL LÁTEX STANDARD INT/EXT FOSCO 15L CINZA MEDIO</v>
      </c>
      <c r="C1373" s="48" t="s">
        <v>1227</v>
      </c>
      <c r="D1373" s="114" t="str">
        <f>VLOOKUP(C1373,'Custos Matéria Prima Embalagens'!B:C,2,0)</f>
        <v>CAULIM MALHA 325</v>
      </c>
      <c r="E1373" s="114" t="str">
        <f>VLOOKUP(C1373,'Custos Matéria Prima Embalagens'!B:D,3,0)</f>
        <v>caulim</v>
      </c>
      <c r="F1373" s="270">
        <f t="shared" si="178"/>
        <v>1956</v>
      </c>
      <c r="G1373" s="148">
        <f t="shared" si="179"/>
        <v>5.112474437627812E-2</v>
      </c>
      <c r="H1373" s="96">
        <v>100</v>
      </c>
      <c r="I1373" s="272">
        <f>ROUND(F1373/VLOOKUP(A1373,'Tabela de Produtos'!A:J,10,0),0)</f>
        <v>1540</v>
      </c>
      <c r="J1373" s="97">
        <f>IFERROR(VLOOKUP(C1373,'Custos Matéria Prima Embalagens'!B:G,6,0)*H1373,"Matéria Prima Não Cadastrada")</f>
        <v>152.04955555555551</v>
      </c>
      <c r="K1373" s="97">
        <f>IFERROR(J1373/(I1373/VLOOKUP(A1373,'Tabela de Produtos'!A:H,8,0)),"Matéria Prima Não Cadastrada")</f>
        <v>1.481002164502164</v>
      </c>
      <c r="L1373" s="216"/>
    </row>
    <row r="1374" spans="1:12" ht="15.75" customHeight="1">
      <c r="A1374" s="114" t="s">
        <v>201</v>
      </c>
      <c r="B1374" s="114" t="str">
        <f>VLOOKUP(A1374,'Tabela de Produtos'!A:B,2,0)</f>
        <v>BRAZIMIL LÁTEX STANDARD INT/EXT FOSCO 15L CINZA MEDIO</v>
      </c>
      <c r="C1374" s="48" t="s">
        <v>1217</v>
      </c>
      <c r="D1374" s="114" t="str">
        <f>VLOOKUP(C1374,'Custos Matéria Prima Embalagens'!B:C,2,0)</f>
        <v>WANCRIL W 51 CE (CT-1000P)</v>
      </c>
      <c r="E1374" s="114" t="str">
        <f>VLOOKUP(C1374,'Custos Matéria Prima Embalagens'!B:D,3,0)</f>
        <v>RESINA ACRILICA ESTIRENADA</v>
      </c>
      <c r="F1374" s="270">
        <f t="shared" si="178"/>
        <v>1956</v>
      </c>
      <c r="G1374" s="148">
        <f t="shared" si="179"/>
        <v>0.10224948875255624</v>
      </c>
      <c r="H1374" s="96">
        <v>200</v>
      </c>
      <c r="I1374" s="272">
        <f>ROUND(F1374/VLOOKUP(A1374,'Tabela de Produtos'!A:J,10,0),0)</f>
        <v>1540</v>
      </c>
      <c r="J1374" s="97">
        <f>IFERROR(VLOOKUP(C1374,'Custos Matéria Prima Embalagens'!B:G,6,0)*H1374,"Matéria Prima Não Cadastrada")</f>
        <v>1686</v>
      </c>
      <c r="K1374" s="97">
        <f>IFERROR(J1374/(I1374/VLOOKUP(A1374,'Tabela de Produtos'!A:H,8,0)),"Matéria Prima Não Cadastrada")</f>
        <v>16.422077922077921</v>
      </c>
      <c r="L1374" s="216"/>
    </row>
    <row r="1375" spans="1:12" ht="15.75" customHeight="1">
      <c r="A1375" s="114" t="s">
        <v>201</v>
      </c>
      <c r="B1375" s="114" t="str">
        <f>VLOOKUP(A1375,'Tabela de Produtos'!A:B,2,0)</f>
        <v>BRAZIMIL LÁTEX STANDARD INT/EXT FOSCO 15L CINZA MEDIO</v>
      </c>
      <c r="C1375" s="48" t="s">
        <v>1219</v>
      </c>
      <c r="D1375" s="114" t="str">
        <f>VLOOKUP(C1375,'Custos Matéria Prima Embalagens'!B:C,2,0)</f>
        <v>WANALK 70 CE (BH-200)</v>
      </c>
      <c r="E1375" s="114" t="str">
        <f>VLOOKUP(C1375,'Custos Matéria Prima Embalagens'!B:D,3,0)</f>
        <v>ALCALINIZANTE</v>
      </c>
      <c r="F1375" s="270">
        <f t="shared" si="178"/>
        <v>1956</v>
      </c>
      <c r="G1375" s="148">
        <f t="shared" si="179"/>
        <v>2.5562372188139061E-3</v>
      </c>
      <c r="H1375" s="96">
        <v>5</v>
      </c>
      <c r="I1375" s="272">
        <f>ROUND(F1375/VLOOKUP(A1375,'Tabela de Produtos'!A:J,10,0),0)</f>
        <v>1540</v>
      </c>
      <c r="J1375" s="97">
        <f>IFERROR(VLOOKUP(C1375,'Custos Matéria Prima Embalagens'!B:G,6,0)*H1375,"Matéria Prima Não Cadastrada")</f>
        <v>24.900000000000002</v>
      </c>
      <c r="K1375" s="97">
        <f>IFERROR(J1375/(I1375/VLOOKUP(A1375,'Tabela de Produtos'!A:H,8,0)),"Matéria Prima Não Cadastrada")</f>
        <v>0.24253246753246754</v>
      </c>
      <c r="L1375" s="216"/>
    </row>
    <row r="1376" spans="1:12" ht="15.75" customHeight="1">
      <c r="A1376" s="114" t="s">
        <v>201</v>
      </c>
      <c r="B1376" s="114" t="str">
        <f>VLOOKUP(A1376,'Tabela de Produtos'!A:B,2,0)</f>
        <v>BRAZIMIL LÁTEX STANDARD INT/EXT FOSCO 15L CINZA MEDIO</v>
      </c>
      <c r="C1376" s="48" t="s">
        <v>1221</v>
      </c>
      <c r="D1376" s="114" t="str">
        <f>VLOOKUP(C1376,'Custos Matéria Prima Embalagens'!B:C,2,0)</f>
        <v>MODIWAN 105H CE (CT-1000P)</v>
      </c>
      <c r="E1376" s="114" t="str">
        <f>VLOOKUP(C1376,'Custos Matéria Prima Embalagens'!B:D,3,0)</f>
        <v>ESPESSANTE DE MEDIA</v>
      </c>
      <c r="F1376" s="270">
        <f t="shared" si="178"/>
        <v>1956</v>
      </c>
      <c r="G1376" s="148">
        <f t="shared" si="179"/>
        <v>1.0224948875255624E-2</v>
      </c>
      <c r="H1376" s="96">
        <v>20</v>
      </c>
      <c r="I1376" s="272">
        <f>ROUND(F1376/VLOOKUP(A1376,'Tabela de Produtos'!A:J,10,0),0)</f>
        <v>1540</v>
      </c>
      <c r="J1376" s="97">
        <f>IFERROR(VLOOKUP(C1376,'Custos Matéria Prima Embalagens'!B:G,6,0)*H1376,"Matéria Prima Não Cadastrada")</f>
        <v>158.1</v>
      </c>
      <c r="K1376" s="97">
        <f>IFERROR(J1376/(I1376/VLOOKUP(A1376,'Tabela de Produtos'!A:H,8,0)),"Matéria Prima Não Cadastrada")</f>
        <v>1.5399350649350647</v>
      </c>
      <c r="L1376" s="216"/>
    </row>
    <row r="1377" spans="1:12" ht="15.75" customHeight="1">
      <c r="A1377" s="114" t="s">
        <v>201</v>
      </c>
      <c r="B1377" s="114" t="str">
        <f>VLOOKUP(A1377,'Tabela de Produtos'!A:B,2,0)</f>
        <v>BRAZIMIL LÁTEX STANDARD INT/EXT FOSCO 15L CINZA MEDIO</v>
      </c>
      <c r="C1377" s="48" t="s">
        <v>1223</v>
      </c>
      <c r="D1377" s="114" t="str">
        <f>VLOOKUP(C1377,'Custos Matéria Prima Embalagens'!B:C,2,0)</f>
        <v>TURBOWAN H CE (BH-200)</v>
      </c>
      <c r="E1377" s="114" t="str">
        <f>VLOOKUP(C1377,'Custos Matéria Prima Embalagens'!B:D,3,0)</f>
        <v>PROMOTOR DE LAVABILIDADE</v>
      </c>
      <c r="F1377" s="270">
        <f t="shared" si="178"/>
        <v>1956</v>
      </c>
      <c r="G1377" s="148">
        <f t="shared" si="179"/>
        <v>7.6687116564417178E-3</v>
      </c>
      <c r="H1377" s="96">
        <v>15</v>
      </c>
      <c r="I1377" s="272">
        <f>ROUND(F1377/VLOOKUP(A1377,'Tabela de Produtos'!A:J,10,0),0)</f>
        <v>1540</v>
      </c>
      <c r="J1377" s="97">
        <f>IFERROR(VLOOKUP(C1377,'Custos Matéria Prima Embalagens'!B:G,6,0)*H1377,"Matéria Prima Não Cadastrada")</f>
        <v>72.75</v>
      </c>
      <c r="K1377" s="97">
        <f>IFERROR(J1377/(I1377/VLOOKUP(A1377,'Tabela de Produtos'!A:H,8,0)),"Matéria Prima Não Cadastrada")</f>
        <v>0.70860389610389607</v>
      </c>
      <c r="L1377" s="216"/>
    </row>
    <row r="1378" spans="1:12" ht="15.75" customHeight="1">
      <c r="A1378" s="114" t="s">
        <v>201</v>
      </c>
      <c r="B1378" s="114" t="str">
        <f>VLOOKUP(A1378,'Tabela de Produtos'!A:B,2,0)</f>
        <v>BRAZIMIL LÁTEX STANDARD INT/EXT FOSCO 15L CINZA MEDIO</v>
      </c>
      <c r="C1378" s="48" t="s">
        <v>1229</v>
      </c>
      <c r="D1378" s="114" t="str">
        <f>VLOOKUP(C1378,'Custos Matéria Prima Embalagens'!B:C,2,0)</f>
        <v>WANSOL 340 CE (BB-200)</v>
      </c>
      <c r="E1378" s="114" t="str">
        <f>VLOOKUP(C1378,'Custos Matéria Prima Embalagens'!B:D,3,0)</f>
        <v>COALESCENTE</v>
      </c>
      <c r="F1378" s="270">
        <f t="shared" si="178"/>
        <v>1956</v>
      </c>
      <c r="G1378" s="148">
        <f t="shared" si="179"/>
        <v>5.1124744376278121E-3</v>
      </c>
      <c r="H1378" s="96">
        <v>10</v>
      </c>
      <c r="I1378" s="272">
        <f>ROUND(F1378/VLOOKUP(A1378,'Tabela de Produtos'!A:J,10,0),0)</f>
        <v>1540</v>
      </c>
      <c r="J1378" s="97">
        <f>IFERROR(VLOOKUP(C1378,'Custos Matéria Prima Embalagens'!B:G,6,0)*H1378,"Matéria Prima Não Cadastrada")</f>
        <v>192.2</v>
      </c>
      <c r="K1378" s="97">
        <f>IFERROR(J1378/(I1378/VLOOKUP(A1378,'Tabela de Produtos'!A:H,8,0)),"Matéria Prima Não Cadastrada")</f>
        <v>1.8720779220779218</v>
      </c>
      <c r="L1378" s="216"/>
    </row>
    <row r="1379" spans="1:12" ht="15.75" customHeight="1">
      <c r="D1379" s="114"/>
      <c r="E1379" s="114"/>
      <c r="F1379" s="96"/>
      <c r="G1379" s="148"/>
      <c r="H1379" s="96"/>
      <c r="I1379" s="272"/>
      <c r="J1379" s="97"/>
      <c r="K1379" s="97"/>
      <c r="L1379" s="216"/>
    </row>
    <row r="1380" spans="1:12" ht="15.75" customHeight="1">
      <c r="A1380" s="114" t="s">
        <v>202</v>
      </c>
      <c r="B1380" s="114" t="str">
        <f>VLOOKUP(A1380,'Tabela de Produtos'!A:B,2,0)</f>
        <v>BRAZIMIL LÁTEX STANDARD INT/EXT FOSCO 15L CINZA INTENSO</v>
      </c>
      <c r="C1380" s="48" t="s">
        <v>1197</v>
      </c>
      <c r="D1380" s="114" t="str">
        <f>VLOOKUP(C1380,'Custos Matéria Prima Embalagens'!B:C,2,0)</f>
        <v>AGUA</v>
      </c>
      <c r="E1380" s="114" t="str">
        <f>VLOOKUP(C1380,'Custos Matéria Prima Embalagens'!B:D,3,0)</f>
        <v>AGUA</v>
      </c>
      <c r="F1380" s="270">
        <f t="shared" ref="F1380:F1394" si="180">SUMIFS(H:H,A:A,A1380)</f>
        <v>1956</v>
      </c>
      <c r="G1380" s="148">
        <f t="shared" ref="G1380:G1394" si="181">H1380/F1380</f>
        <v>0.47034764826175868</v>
      </c>
      <c r="H1380" s="96">
        <v>920</v>
      </c>
      <c r="I1380" s="272">
        <f>ROUND(F1380/VLOOKUP(A1380,'Tabela de Produtos'!A:J,10,0),0)</f>
        <v>1540</v>
      </c>
      <c r="J1380" s="97">
        <f>IFERROR(VLOOKUP(C1380,'Custos Matéria Prima Embalagens'!B:G,6,0)*H1380,"Matéria Prima Não Cadastrada")</f>
        <v>0</v>
      </c>
      <c r="K1380" s="97">
        <f>IFERROR(J1380/(I1380/VLOOKUP(A1380,'Tabela de Produtos'!A:H,8,0)),"Matéria Prima Não Cadastrada")</f>
        <v>0</v>
      </c>
      <c r="L1380" s="216"/>
    </row>
    <row r="1381" spans="1:12" ht="15.75" customHeight="1">
      <c r="A1381" s="114" t="s">
        <v>202</v>
      </c>
      <c r="B1381" s="114" t="str">
        <f>VLOOKUP(A1381,'Tabela de Produtos'!A:B,2,0)</f>
        <v>BRAZIMIL LÁTEX STANDARD INT/EXT FOSCO 15L CINZA INTENSO</v>
      </c>
      <c r="C1381" s="48" t="s">
        <v>1201</v>
      </c>
      <c r="D1381" s="114" t="str">
        <f>VLOOKUP(C1381,'Custos Matéria Prima Embalagens'!B:C,2,0)</f>
        <v>WANFOAM 528 CE (BB-190)</v>
      </c>
      <c r="E1381" s="114" t="str">
        <f>VLOOKUP(C1381,'Custos Matéria Prima Embalagens'!B:D,3,0)</f>
        <v>ANTI ESPUMA LATEX</v>
      </c>
      <c r="F1381" s="270">
        <f t="shared" si="180"/>
        <v>1956</v>
      </c>
      <c r="G1381" s="148">
        <f t="shared" si="181"/>
        <v>2.5562372188139061E-3</v>
      </c>
      <c r="H1381" s="96">
        <v>5</v>
      </c>
      <c r="I1381" s="272">
        <f>ROUND(F1381/VLOOKUP(A1381,'Tabela de Produtos'!A:J,10,0),0)</f>
        <v>1540</v>
      </c>
      <c r="J1381" s="97">
        <f>IFERROR(VLOOKUP(C1381,'Custos Matéria Prima Embalagens'!B:G,6,0)*H1381,"Matéria Prima Não Cadastrada")</f>
        <v>35.9</v>
      </c>
      <c r="K1381" s="97">
        <f>IFERROR(J1381/(I1381/VLOOKUP(A1381,'Tabela de Produtos'!A:H,8,0)),"Matéria Prima Não Cadastrada")</f>
        <v>0.34967532467532464</v>
      </c>
      <c r="L1381" s="216"/>
    </row>
    <row r="1382" spans="1:12" ht="15.75" customHeight="1">
      <c r="A1382" s="114" t="s">
        <v>202</v>
      </c>
      <c r="B1382" s="114" t="str">
        <f>VLOOKUP(A1382,'Tabela de Produtos'!A:B,2,0)</f>
        <v>BRAZIMIL LÁTEX STANDARD INT/EXT FOSCO 15L CINZA INTENSO</v>
      </c>
      <c r="C1382" s="48" t="s">
        <v>1203</v>
      </c>
      <c r="D1382" s="114" t="str">
        <f>VLOOKUP(C1382,'Custos Matéria Prima Embalagens'!B:C,2,0)</f>
        <v>WANBAC WBT CE (BH-200)</v>
      </c>
      <c r="E1382" s="114" t="str">
        <f>VLOOKUP(C1382,'Custos Matéria Prima Embalagens'!B:D,3,0)</f>
        <v>BACTERICIDA</v>
      </c>
      <c r="F1382" s="270">
        <f t="shared" si="180"/>
        <v>1956</v>
      </c>
      <c r="G1382" s="148">
        <f t="shared" si="181"/>
        <v>3.0674846625766872E-3</v>
      </c>
      <c r="H1382" s="96">
        <v>6</v>
      </c>
      <c r="I1382" s="272">
        <f>ROUND(F1382/VLOOKUP(A1382,'Tabela de Produtos'!A:J,10,0),0)</f>
        <v>1540</v>
      </c>
      <c r="J1382" s="97">
        <f>IFERROR(VLOOKUP(C1382,'Custos Matéria Prima Embalagens'!B:G,6,0)*H1382,"Matéria Prima Não Cadastrada")</f>
        <v>29.639999999999997</v>
      </c>
      <c r="K1382" s="97">
        <f>IFERROR(J1382/(I1382/VLOOKUP(A1382,'Tabela de Produtos'!A:H,8,0)),"Matéria Prima Não Cadastrada")</f>
        <v>0.28870129870129868</v>
      </c>
      <c r="L1382" s="216"/>
    </row>
    <row r="1383" spans="1:12" ht="15.75" customHeight="1">
      <c r="A1383" s="114" t="s">
        <v>202</v>
      </c>
      <c r="B1383" s="114" t="str">
        <f>VLOOKUP(A1383,'Tabela de Produtos'!A:B,2,0)</f>
        <v>BRAZIMIL LÁTEX STANDARD INT/EXT FOSCO 15L CINZA INTENSO</v>
      </c>
      <c r="C1383" s="48" t="s">
        <v>1205</v>
      </c>
      <c r="D1383" s="114" t="str">
        <f>VLOOKUP(C1383,'Custos Matéria Prima Embalagens'!B:C,2,0)</f>
        <v>WANSUR 840 CE (BB-200)01</v>
      </c>
      <c r="E1383" s="114" t="str">
        <f>VLOOKUP(C1383,'Custos Matéria Prima Embalagens'!B:D,3,0)</f>
        <v>UMECTANTE</v>
      </c>
      <c r="F1383" s="270">
        <f t="shared" si="180"/>
        <v>1956</v>
      </c>
      <c r="G1383" s="148">
        <f t="shared" si="181"/>
        <v>2.0449897750511249E-3</v>
      </c>
      <c r="H1383" s="96">
        <v>4</v>
      </c>
      <c r="I1383" s="272">
        <f>ROUND(F1383/VLOOKUP(A1383,'Tabela de Produtos'!A:J,10,0),0)</f>
        <v>1540</v>
      </c>
      <c r="J1383" s="97">
        <f>IFERROR(VLOOKUP(C1383,'Custos Matéria Prima Embalagens'!B:G,6,0)*H1383,"Matéria Prima Não Cadastrada")</f>
        <v>29.32</v>
      </c>
      <c r="K1383" s="97">
        <f>IFERROR(J1383/(I1383/VLOOKUP(A1383,'Tabela de Produtos'!A:H,8,0)),"Matéria Prima Não Cadastrada")</f>
        <v>0.28558441558441555</v>
      </c>
      <c r="L1383" s="216"/>
    </row>
    <row r="1384" spans="1:12" ht="15.75" customHeight="1">
      <c r="A1384" s="114" t="s">
        <v>202</v>
      </c>
      <c r="B1384" s="114" t="str">
        <f>VLOOKUP(A1384,'Tabela de Produtos'!A:B,2,0)</f>
        <v>BRAZIMIL LÁTEX STANDARD INT/EXT FOSCO 15L CINZA INTENSO</v>
      </c>
      <c r="C1384" s="48" t="s">
        <v>1207</v>
      </c>
      <c r="D1384" s="114" t="str">
        <f>VLOOKUP(C1384,'Custos Matéria Prima Embalagens'!B:C,2,0)</f>
        <v>WANPEX 1510 (BB-200)</v>
      </c>
      <c r="E1384" s="114" t="str">
        <f>VLOOKUP(C1384,'Custos Matéria Prima Embalagens'!B:D,3,0)</f>
        <v>DISPERSANTE LATEX</v>
      </c>
      <c r="F1384" s="270">
        <f t="shared" si="180"/>
        <v>1956</v>
      </c>
      <c r="G1384" s="148">
        <f t="shared" si="181"/>
        <v>3.0674846625766872E-3</v>
      </c>
      <c r="H1384" s="96">
        <v>6</v>
      </c>
      <c r="I1384" s="272">
        <f>ROUND(F1384/VLOOKUP(A1384,'Tabela de Produtos'!A:J,10,0),0)</f>
        <v>1540</v>
      </c>
      <c r="J1384" s="97">
        <f>IFERROR(VLOOKUP(C1384,'Custos Matéria Prima Embalagens'!B:G,6,0)*H1384,"Matéria Prima Não Cadastrada")</f>
        <v>41.16</v>
      </c>
      <c r="K1384" s="97">
        <f>IFERROR(J1384/(I1384/VLOOKUP(A1384,'Tabela de Produtos'!A:H,8,0)),"Matéria Prima Não Cadastrada")</f>
        <v>0.40090909090909088</v>
      </c>
      <c r="L1384" s="216"/>
    </row>
    <row r="1385" spans="1:12" ht="15.75" customHeight="1">
      <c r="A1385" s="114" t="s">
        <v>202</v>
      </c>
      <c r="B1385" s="114" t="str">
        <f>VLOOKUP(A1385,'Tabela de Produtos'!A:B,2,0)</f>
        <v>BRAZIMIL LÁTEX STANDARD INT/EXT FOSCO 15L CINZA INTENSO</v>
      </c>
      <c r="C1385" s="48" t="s">
        <v>1209</v>
      </c>
      <c r="D1385" s="114" t="str">
        <f>VLOOKUP(C1385,'Custos Matéria Prima Embalagens'!B:C,2,0)</f>
        <v>WANFUNG WFT CE (BH-200)</v>
      </c>
      <c r="E1385" s="114" t="str">
        <f>VLOOKUP(C1385,'Custos Matéria Prima Embalagens'!B:D,3,0)</f>
        <v>FUNGICIDA</v>
      </c>
      <c r="F1385" s="270">
        <f t="shared" si="180"/>
        <v>1956</v>
      </c>
      <c r="G1385" s="148">
        <f t="shared" si="181"/>
        <v>2.5562372188139061E-3</v>
      </c>
      <c r="H1385" s="96">
        <v>5</v>
      </c>
      <c r="I1385" s="272">
        <f>ROUND(F1385/VLOOKUP(A1385,'Tabela de Produtos'!A:J,10,0),0)</f>
        <v>1540</v>
      </c>
      <c r="J1385" s="97">
        <f>IFERROR(VLOOKUP(C1385,'Custos Matéria Prima Embalagens'!B:G,6,0)*H1385,"Matéria Prima Não Cadastrada")</f>
        <v>35</v>
      </c>
      <c r="K1385" s="97">
        <f>IFERROR(J1385/(I1385/VLOOKUP(A1385,'Tabela de Produtos'!A:H,8,0)),"Matéria Prima Não Cadastrada")</f>
        <v>0.34090909090909088</v>
      </c>
      <c r="L1385" s="216"/>
    </row>
    <row r="1386" spans="1:12" ht="15.75" customHeight="1">
      <c r="A1386" s="114" t="s">
        <v>202</v>
      </c>
      <c r="B1386" s="114" t="str">
        <f>VLOOKUP(A1386,'Tabela de Produtos'!A:B,2,0)</f>
        <v>BRAZIMIL LÁTEX STANDARD INT/EXT FOSCO 15L CINZA INTENSO</v>
      </c>
      <c r="C1386" s="48" t="s">
        <v>1211</v>
      </c>
      <c r="D1386" s="114" t="str">
        <f>VLOOKUP(C1386,'Custos Matéria Prima Embalagens'!B:C,2,0)</f>
        <v>WHITE PLUS PB (SC-25) (Em negociação)</v>
      </c>
      <c r="E1386" s="114" t="str">
        <f>VLOOKUP(C1386,'Custos Matéria Prima Embalagens'!B:D,3,0)</f>
        <v>WHITE PLUS</v>
      </c>
      <c r="F1386" s="270">
        <f t="shared" si="180"/>
        <v>1956</v>
      </c>
      <c r="G1386" s="148">
        <f t="shared" si="181"/>
        <v>0.15337423312883436</v>
      </c>
      <c r="H1386" s="96">
        <v>300</v>
      </c>
      <c r="I1386" s="272">
        <f>ROUND(F1386/VLOOKUP(A1386,'Tabela de Produtos'!A:J,10,0),0)</f>
        <v>1540</v>
      </c>
      <c r="J1386" s="97">
        <f>IFERROR(VLOOKUP(C1386,'Custos Matéria Prima Embalagens'!B:G,6,0)*H1386,"Matéria Prima Não Cadastrada")</f>
        <v>927</v>
      </c>
      <c r="K1386" s="97">
        <f>IFERROR(J1386/(I1386/VLOOKUP(A1386,'Tabela de Produtos'!A:H,8,0)),"Matéria Prima Não Cadastrada")</f>
        <v>9.029220779220779</v>
      </c>
      <c r="L1386" s="216"/>
    </row>
    <row r="1387" spans="1:12" ht="15.75" customHeight="1">
      <c r="A1387" s="114" t="s">
        <v>202</v>
      </c>
      <c r="B1387" s="114" t="str">
        <f>VLOOKUP(A1387,'Tabela de Produtos'!A:B,2,0)</f>
        <v>BRAZIMIL LÁTEX STANDARD INT/EXT FOSCO 15L CINZA INTENSO</v>
      </c>
      <c r="C1387" s="48" t="s">
        <v>1213</v>
      </c>
      <c r="D1387" s="114" t="str">
        <f>VLOOKUP(C1387,'Custos Matéria Prima Embalagens'!B:C,2,0)</f>
        <v>DIOXIDO DE TITANIO RUTILO R-996</v>
      </c>
      <c r="E1387" s="114" t="str">
        <f>VLOOKUP(C1387,'Custos Matéria Prima Embalagens'!B:D,3,0)</f>
        <v>TITANIO</v>
      </c>
      <c r="F1387" s="270">
        <f t="shared" si="180"/>
        <v>1956</v>
      </c>
      <c r="G1387" s="148">
        <f t="shared" si="181"/>
        <v>3.0674846625766871E-2</v>
      </c>
      <c r="H1387" s="96">
        <v>60</v>
      </c>
      <c r="I1387" s="272">
        <f>ROUND(F1387/VLOOKUP(A1387,'Tabela de Produtos'!A:J,10,0),0)</f>
        <v>1540</v>
      </c>
      <c r="J1387" s="97">
        <f>IFERROR(VLOOKUP(C1387,'Custos Matéria Prima Embalagens'!B:G,6,0)*H1387,"Matéria Prima Não Cadastrada")</f>
        <v>1158</v>
      </c>
      <c r="K1387" s="97">
        <f>IFERROR(J1387/(I1387/VLOOKUP(A1387,'Tabela de Produtos'!A:H,8,0)),"Matéria Prima Não Cadastrada")</f>
        <v>11.279220779220779</v>
      </c>
      <c r="L1387" s="216"/>
    </row>
    <row r="1388" spans="1:12" ht="15.75" customHeight="1">
      <c r="A1388" s="114" t="s">
        <v>202</v>
      </c>
      <c r="B1388" s="114" t="str">
        <f>VLOOKUP(A1388,'Tabela de Produtos'!A:B,2,0)</f>
        <v>BRAZIMIL LÁTEX STANDARD INT/EXT FOSCO 15L CINZA INTENSO</v>
      </c>
      <c r="C1388" s="48" t="s">
        <v>1215</v>
      </c>
      <c r="D1388" s="114" t="str">
        <f>VLOOKUP(C1388,'Custos Matéria Prima Embalagens'!B:C,2,0)</f>
        <v>CALCARIO DOLOMITICO #500 ( SACOS 25 KG)</v>
      </c>
      <c r="E1388" s="114" t="str">
        <f>VLOOKUP(C1388,'Custos Matéria Prima Embalagens'!B:D,3,0)</f>
        <v>CARBONATO #500</v>
      </c>
      <c r="F1388" s="270">
        <f t="shared" si="180"/>
        <v>1956</v>
      </c>
      <c r="G1388" s="148">
        <f t="shared" si="181"/>
        <v>0.15337423312883436</v>
      </c>
      <c r="H1388" s="96">
        <v>300</v>
      </c>
      <c r="I1388" s="272">
        <f>ROUND(F1388/VLOOKUP(A1388,'Tabela de Produtos'!A:J,10,0),0)</f>
        <v>1540</v>
      </c>
      <c r="J1388" s="97">
        <f>IFERROR(VLOOKUP(C1388,'Custos Matéria Prima Embalagens'!B:G,6,0)*H1388,"Matéria Prima Não Cadastrada")</f>
        <v>240</v>
      </c>
      <c r="K1388" s="97">
        <f>IFERROR(J1388/(I1388/VLOOKUP(A1388,'Tabela de Produtos'!A:H,8,0)),"Matéria Prima Não Cadastrada")</f>
        <v>2.3376623376623376</v>
      </c>
      <c r="L1388" s="216"/>
    </row>
    <row r="1389" spans="1:12" ht="15.75" customHeight="1">
      <c r="A1389" s="114" t="s">
        <v>202</v>
      </c>
      <c r="B1389" s="114" t="str">
        <f>VLOOKUP(A1389,'Tabela de Produtos'!A:B,2,0)</f>
        <v>BRAZIMIL LÁTEX STANDARD INT/EXT FOSCO 15L CINZA INTENSO</v>
      </c>
      <c r="C1389" s="48" t="s">
        <v>1227</v>
      </c>
      <c r="D1389" s="114" t="str">
        <f>VLOOKUP(C1389,'Custos Matéria Prima Embalagens'!B:C,2,0)</f>
        <v>CAULIM MALHA 325</v>
      </c>
      <c r="E1389" s="114" t="str">
        <f>VLOOKUP(C1389,'Custos Matéria Prima Embalagens'!B:D,3,0)</f>
        <v>caulim</v>
      </c>
      <c r="F1389" s="270">
        <f t="shared" si="180"/>
        <v>1956</v>
      </c>
      <c r="G1389" s="148">
        <f t="shared" si="181"/>
        <v>5.112474437627812E-2</v>
      </c>
      <c r="H1389" s="96">
        <v>100</v>
      </c>
      <c r="I1389" s="272">
        <f>ROUND(F1389/VLOOKUP(A1389,'Tabela de Produtos'!A:J,10,0),0)</f>
        <v>1540</v>
      </c>
      <c r="J1389" s="97">
        <f>IFERROR(VLOOKUP(C1389,'Custos Matéria Prima Embalagens'!B:G,6,0)*H1389,"Matéria Prima Não Cadastrada")</f>
        <v>152.04955555555551</v>
      </c>
      <c r="K1389" s="97">
        <f>IFERROR(J1389/(I1389/VLOOKUP(A1389,'Tabela de Produtos'!A:H,8,0)),"Matéria Prima Não Cadastrada")</f>
        <v>1.481002164502164</v>
      </c>
      <c r="L1389" s="216"/>
    </row>
    <row r="1390" spans="1:12" ht="15.75" customHeight="1">
      <c r="A1390" s="114" t="s">
        <v>202</v>
      </c>
      <c r="B1390" s="114" t="str">
        <f>VLOOKUP(A1390,'Tabela de Produtos'!A:B,2,0)</f>
        <v>BRAZIMIL LÁTEX STANDARD INT/EXT FOSCO 15L CINZA INTENSO</v>
      </c>
      <c r="C1390" s="48" t="s">
        <v>1217</v>
      </c>
      <c r="D1390" s="114" t="str">
        <f>VLOOKUP(C1390,'Custos Matéria Prima Embalagens'!B:C,2,0)</f>
        <v>WANCRIL W 51 CE (CT-1000P)</v>
      </c>
      <c r="E1390" s="114" t="str">
        <f>VLOOKUP(C1390,'Custos Matéria Prima Embalagens'!B:D,3,0)</f>
        <v>RESINA ACRILICA ESTIRENADA</v>
      </c>
      <c r="F1390" s="270">
        <f t="shared" si="180"/>
        <v>1956</v>
      </c>
      <c r="G1390" s="148">
        <f t="shared" si="181"/>
        <v>0.10224948875255624</v>
      </c>
      <c r="H1390" s="96">
        <v>200</v>
      </c>
      <c r="I1390" s="272">
        <f>ROUND(F1390/VLOOKUP(A1390,'Tabela de Produtos'!A:J,10,0),0)</f>
        <v>1540</v>
      </c>
      <c r="J1390" s="97">
        <f>IFERROR(VLOOKUP(C1390,'Custos Matéria Prima Embalagens'!B:G,6,0)*H1390,"Matéria Prima Não Cadastrada")</f>
        <v>1686</v>
      </c>
      <c r="K1390" s="97">
        <f>IFERROR(J1390/(I1390/VLOOKUP(A1390,'Tabela de Produtos'!A:H,8,0)),"Matéria Prima Não Cadastrada")</f>
        <v>16.422077922077921</v>
      </c>
      <c r="L1390" s="216"/>
    </row>
    <row r="1391" spans="1:12" ht="15.75" customHeight="1">
      <c r="A1391" s="114" t="s">
        <v>202</v>
      </c>
      <c r="B1391" s="114" t="str">
        <f>VLOOKUP(A1391,'Tabela de Produtos'!A:B,2,0)</f>
        <v>BRAZIMIL LÁTEX STANDARD INT/EXT FOSCO 15L CINZA INTENSO</v>
      </c>
      <c r="C1391" s="48" t="s">
        <v>1219</v>
      </c>
      <c r="D1391" s="114" t="str">
        <f>VLOOKUP(C1391,'Custos Matéria Prima Embalagens'!B:C,2,0)</f>
        <v>WANALK 70 CE (BH-200)</v>
      </c>
      <c r="E1391" s="114" t="str">
        <f>VLOOKUP(C1391,'Custos Matéria Prima Embalagens'!B:D,3,0)</f>
        <v>ALCALINIZANTE</v>
      </c>
      <c r="F1391" s="270">
        <f t="shared" si="180"/>
        <v>1956</v>
      </c>
      <c r="G1391" s="148">
        <f t="shared" si="181"/>
        <v>2.5562372188139061E-3</v>
      </c>
      <c r="H1391" s="96">
        <v>5</v>
      </c>
      <c r="I1391" s="272">
        <f>ROUND(F1391/VLOOKUP(A1391,'Tabela de Produtos'!A:J,10,0),0)</f>
        <v>1540</v>
      </c>
      <c r="J1391" s="97">
        <f>IFERROR(VLOOKUP(C1391,'Custos Matéria Prima Embalagens'!B:G,6,0)*H1391,"Matéria Prima Não Cadastrada")</f>
        <v>24.900000000000002</v>
      </c>
      <c r="K1391" s="97">
        <f>IFERROR(J1391/(I1391/VLOOKUP(A1391,'Tabela de Produtos'!A:H,8,0)),"Matéria Prima Não Cadastrada")</f>
        <v>0.24253246753246754</v>
      </c>
      <c r="L1391" s="216"/>
    </row>
    <row r="1392" spans="1:12" ht="15.75" customHeight="1">
      <c r="A1392" s="114" t="s">
        <v>202</v>
      </c>
      <c r="B1392" s="114" t="str">
        <f>VLOOKUP(A1392,'Tabela de Produtos'!A:B,2,0)</f>
        <v>BRAZIMIL LÁTEX STANDARD INT/EXT FOSCO 15L CINZA INTENSO</v>
      </c>
      <c r="C1392" s="48" t="s">
        <v>1221</v>
      </c>
      <c r="D1392" s="114" t="str">
        <f>VLOOKUP(C1392,'Custos Matéria Prima Embalagens'!B:C,2,0)</f>
        <v>MODIWAN 105H CE (CT-1000P)</v>
      </c>
      <c r="E1392" s="114" t="str">
        <f>VLOOKUP(C1392,'Custos Matéria Prima Embalagens'!B:D,3,0)</f>
        <v>ESPESSANTE DE MEDIA</v>
      </c>
      <c r="F1392" s="270">
        <f t="shared" si="180"/>
        <v>1956</v>
      </c>
      <c r="G1392" s="148">
        <f t="shared" si="181"/>
        <v>1.0224948875255624E-2</v>
      </c>
      <c r="H1392" s="96">
        <v>20</v>
      </c>
      <c r="I1392" s="272">
        <f>ROUND(F1392/VLOOKUP(A1392,'Tabela de Produtos'!A:J,10,0),0)</f>
        <v>1540</v>
      </c>
      <c r="J1392" s="97">
        <f>IFERROR(VLOOKUP(C1392,'Custos Matéria Prima Embalagens'!B:G,6,0)*H1392,"Matéria Prima Não Cadastrada")</f>
        <v>158.1</v>
      </c>
      <c r="K1392" s="97">
        <f>IFERROR(J1392/(I1392/VLOOKUP(A1392,'Tabela de Produtos'!A:H,8,0)),"Matéria Prima Não Cadastrada")</f>
        <v>1.5399350649350647</v>
      </c>
      <c r="L1392" s="216"/>
    </row>
    <row r="1393" spans="1:12" ht="15.75" customHeight="1">
      <c r="A1393" s="114" t="s">
        <v>202</v>
      </c>
      <c r="B1393" s="114" t="str">
        <f>VLOOKUP(A1393,'Tabela de Produtos'!A:B,2,0)</f>
        <v>BRAZIMIL LÁTEX STANDARD INT/EXT FOSCO 15L CINZA INTENSO</v>
      </c>
      <c r="C1393" s="48" t="s">
        <v>1223</v>
      </c>
      <c r="D1393" s="114" t="str">
        <f>VLOOKUP(C1393,'Custos Matéria Prima Embalagens'!B:C,2,0)</f>
        <v>TURBOWAN H CE (BH-200)</v>
      </c>
      <c r="E1393" s="114" t="str">
        <f>VLOOKUP(C1393,'Custos Matéria Prima Embalagens'!B:D,3,0)</f>
        <v>PROMOTOR DE LAVABILIDADE</v>
      </c>
      <c r="F1393" s="270">
        <f t="shared" si="180"/>
        <v>1956</v>
      </c>
      <c r="G1393" s="148">
        <f t="shared" si="181"/>
        <v>7.6687116564417178E-3</v>
      </c>
      <c r="H1393" s="96">
        <v>15</v>
      </c>
      <c r="I1393" s="272">
        <f>ROUND(F1393/VLOOKUP(A1393,'Tabela de Produtos'!A:J,10,0),0)</f>
        <v>1540</v>
      </c>
      <c r="J1393" s="97">
        <f>IFERROR(VLOOKUP(C1393,'Custos Matéria Prima Embalagens'!B:G,6,0)*H1393,"Matéria Prima Não Cadastrada")</f>
        <v>72.75</v>
      </c>
      <c r="K1393" s="97">
        <f>IFERROR(J1393/(I1393/VLOOKUP(A1393,'Tabela de Produtos'!A:H,8,0)),"Matéria Prima Não Cadastrada")</f>
        <v>0.70860389610389607</v>
      </c>
      <c r="L1393" s="216"/>
    </row>
    <row r="1394" spans="1:12" ht="15.75" customHeight="1">
      <c r="A1394" s="114" t="s">
        <v>202</v>
      </c>
      <c r="B1394" s="114" t="str">
        <f>VLOOKUP(A1394,'Tabela de Produtos'!A:B,2,0)</f>
        <v>BRAZIMIL LÁTEX STANDARD INT/EXT FOSCO 15L CINZA INTENSO</v>
      </c>
      <c r="C1394" s="48" t="s">
        <v>1229</v>
      </c>
      <c r="D1394" s="114" t="str">
        <f>VLOOKUP(C1394,'Custos Matéria Prima Embalagens'!B:C,2,0)</f>
        <v>WANSOL 340 CE (BB-200)</v>
      </c>
      <c r="E1394" s="114" t="str">
        <f>VLOOKUP(C1394,'Custos Matéria Prima Embalagens'!B:D,3,0)</f>
        <v>COALESCENTE</v>
      </c>
      <c r="F1394" s="270">
        <f t="shared" si="180"/>
        <v>1956</v>
      </c>
      <c r="G1394" s="148">
        <f t="shared" si="181"/>
        <v>5.1124744376278121E-3</v>
      </c>
      <c r="H1394" s="96">
        <v>10</v>
      </c>
      <c r="I1394" s="272">
        <f>ROUND(F1394/VLOOKUP(A1394,'Tabela de Produtos'!A:J,10,0),0)</f>
        <v>1540</v>
      </c>
      <c r="J1394" s="97">
        <f>IFERROR(VLOOKUP(C1394,'Custos Matéria Prima Embalagens'!B:G,6,0)*H1394,"Matéria Prima Não Cadastrada")</f>
        <v>192.2</v>
      </c>
      <c r="K1394" s="97">
        <f>IFERROR(J1394/(I1394/VLOOKUP(A1394,'Tabela de Produtos'!A:H,8,0)),"Matéria Prima Não Cadastrada")</f>
        <v>1.8720779220779218</v>
      </c>
      <c r="L1394" s="216"/>
    </row>
    <row r="1395" spans="1:12" ht="15.75" customHeight="1">
      <c r="D1395" s="114"/>
      <c r="E1395" s="114"/>
      <c r="F1395" s="96"/>
      <c r="G1395" s="148"/>
      <c r="H1395" s="96"/>
      <c r="I1395" s="272"/>
      <c r="J1395" s="97"/>
      <c r="K1395" s="97"/>
      <c r="L1395" s="216"/>
    </row>
    <row r="1396" spans="1:12" ht="15.75" customHeight="1">
      <c r="A1396" s="114" t="s">
        <v>203</v>
      </c>
      <c r="B1396" s="114" t="str">
        <f>VLOOKUP(A1396,'Tabela de Produtos'!A:B,2,0)</f>
        <v>BRAZIMIL LÁTEX STANDARD INT/EXT SEMIBRILHO 15L BRANCO NEVE</v>
      </c>
      <c r="C1396" s="48" t="s">
        <v>1197</v>
      </c>
      <c r="D1396" s="114" t="str">
        <f>VLOOKUP(C1396,'Custos Matéria Prima Embalagens'!B:C,2,0)</f>
        <v>AGUA</v>
      </c>
      <c r="E1396" s="114" t="str">
        <f>VLOOKUP(C1396,'Custos Matéria Prima Embalagens'!B:D,3,0)</f>
        <v>AGUA</v>
      </c>
      <c r="F1396" s="270">
        <f t="shared" ref="F1396:F1407" si="182">SUMIFS(H:H,A:A,A1396)</f>
        <v>999.2</v>
      </c>
      <c r="G1396" s="148">
        <f t="shared" ref="G1396:G1407" si="183">H1396/F1396</f>
        <v>0.55044035228182542</v>
      </c>
      <c r="H1396" s="275">
        <v>550</v>
      </c>
      <c r="I1396" s="272">
        <f>ROUND(F1396/VLOOKUP(A1396,'Tabela de Produtos'!A:J,10,0),0)</f>
        <v>787</v>
      </c>
      <c r="J1396" s="97">
        <f>IFERROR(VLOOKUP(C1396,'Custos Matéria Prima Embalagens'!B:G,6,0)*H1396,"Matéria Prima Não Cadastrada")</f>
        <v>0</v>
      </c>
      <c r="K1396" s="97">
        <f>IFERROR(J1396/(I1396/VLOOKUP(A1396,'Tabela de Produtos'!A:H,8,0)),"Matéria Prima Não Cadastrada")</f>
        <v>0</v>
      </c>
      <c r="L1396" s="216"/>
    </row>
    <row r="1397" spans="1:12" ht="15.75" customHeight="1">
      <c r="A1397" s="114" t="s">
        <v>203</v>
      </c>
      <c r="B1397" s="114" t="str">
        <f>VLOOKUP(A1397,'Tabela de Produtos'!A:B,2,0)</f>
        <v>BRAZIMIL LÁTEX STANDARD INT/EXT SEMIBRILHO 15L BRANCO NEVE</v>
      </c>
      <c r="C1397" s="48" t="s">
        <v>1199</v>
      </c>
      <c r="D1397" s="114" t="str">
        <f>VLOOKUP(C1397,'Custos Matéria Prima Embalagens'!B:C,2,0)</f>
        <v>HEXAMETAFOSFATO DE SODIO</v>
      </c>
      <c r="E1397" s="114" t="str">
        <f>VLOOKUP(C1397,'Custos Matéria Prima Embalagens'!B:D,3,0)</f>
        <v>HEXAMETAFOSFATO DE SODIO</v>
      </c>
      <c r="F1397" s="270">
        <f t="shared" si="182"/>
        <v>999.2</v>
      </c>
      <c r="G1397" s="148">
        <f t="shared" si="183"/>
        <v>1.2009607686148918E-3</v>
      </c>
      <c r="H1397" s="275">
        <v>1.2</v>
      </c>
      <c r="I1397" s="272">
        <f>ROUND(F1397/VLOOKUP(A1397,'Tabela de Produtos'!A:J,10,0),0)</f>
        <v>787</v>
      </c>
      <c r="J1397" s="97">
        <f>IFERROR(VLOOKUP(C1397,'Custos Matéria Prima Embalagens'!B:G,6,0)*H1397,"Matéria Prima Não Cadastrada")</f>
        <v>21.527999999999995</v>
      </c>
      <c r="K1397" s="97">
        <f>IFERROR(J1397/(I1397/VLOOKUP(A1397,'Tabela de Produtos'!A:H,8,0)),"Matéria Prima Não Cadastrada")</f>
        <v>0.41031766200762376</v>
      </c>
      <c r="L1397" s="216"/>
    </row>
    <row r="1398" spans="1:12" ht="15.75" customHeight="1">
      <c r="A1398" s="114" t="s">
        <v>203</v>
      </c>
      <c r="B1398" s="114" t="str">
        <f>VLOOKUP(A1398,'Tabela de Produtos'!A:B,2,0)</f>
        <v>BRAZIMIL LÁTEX STANDARD INT/EXT SEMIBRILHO 15L BRANCO NEVE</v>
      </c>
      <c r="C1398" s="48" t="s">
        <v>1201</v>
      </c>
      <c r="D1398" s="114" t="str">
        <f>VLOOKUP(C1398,'Custos Matéria Prima Embalagens'!B:C,2,0)</f>
        <v>WANFOAM 528 CE (BB-190)</v>
      </c>
      <c r="E1398" s="114" t="str">
        <f>VLOOKUP(C1398,'Custos Matéria Prima Embalagens'!B:D,3,0)</f>
        <v>ANTI ESPUMA LATEX</v>
      </c>
      <c r="F1398" s="270">
        <f t="shared" si="182"/>
        <v>999.2</v>
      </c>
      <c r="G1398" s="148">
        <f t="shared" si="183"/>
        <v>2.0016012810248197E-3</v>
      </c>
      <c r="H1398" s="275">
        <v>2</v>
      </c>
      <c r="I1398" s="272">
        <f>ROUND(F1398/VLOOKUP(A1398,'Tabela de Produtos'!A:J,10,0),0)</f>
        <v>787</v>
      </c>
      <c r="J1398" s="97">
        <f>IFERROR(VLOOKUP(C1398,'Custos Matéria Prima Embalagens'!B:G,6,0)*H1398,"Matéria Prima Não Cadastrada")</f>
        <v>14.36</v>
      </c>
      <c r="K1398" s="97">
        <f>IFERROR(J1398/(I1398/VLOOKUP(A1398,'Tabela de Produtos'!A:H,8,0)),"Matéria Prima Não Cadastrada")</f>
        <v>0.27369758576874204</v>
      </c>
      <c r="L1398" s="216"/>
    </row>
    <row r="1399" spans="1:12" ht="15.75" customHeight="1">
      <c r="A1399" s="114" t="s">
        <v>203</v>
      </c>
      <c r="B1399" s="114" t="str">
        <f>VLOOKUP(A1399,'Tabela de Produtos'!A:B,2,0)</f>
        <v>BRAZIMIL LÁTEX STANDARD INT/EXT SEMIBRILHO 15L BRANCO NEVE</v>
      </c>
      <c r="C1399" s="48" t="s">
        <v>1203</v>
      </c>
      <c r="D1399" s="114" t="str">
        <f>VLOOKUP(C1399,'Custos Matéria Prima Embalagens'!B:C,2,0)</f>
        <v>WANBAC WBT CE (BH-200)</v>
      </c>
      <c r="E1399" s="114" t="str">
        <f>VLOOKUP(C1399,'Custos Matéria Prima Embalagens'!B:D,3,0)</f>
        <v>BACTERICIDA</v>
      </c>
      <c r="F1399" s="270">
        <f t="shared" si="182"/>
        <v>999.2</v>
      </c>
      <c r="G1399" s="148">
        <f t="shared" si="183"/>
        <v>2.0016012810248197E-3</v>
      </c>
      <c r="H1399" s="275">
        <v>2</v>
      </c>
      <c r="I1399" s="272">
        <f>ROUND(F1399/VLOOKUP(A1399,'Tabela de Produtos'!A:J,10,0),0)</f>
        <v>787</v>
      </c>
      <c r="J1399" s="97">
        <f>IFERROR(VLOOKUP(C1399,'Custos Matéria Prima Embalagens'!B:G,6,0)*H1399,"Matéria Prima Não Cadastrada")</f>
        <v>9.879999999999999</v>
      </c>
      <c r="K1399" s="97">
        <f>IFERROR(J1399/(I1399/VLOOKUP(A1399,'Tabela de Produtos'!A:H,8,0)),"Matéria Prima Não Cadastrada")</f>
        <v>0.18831003811944089</v>
      </c>
      <c r="L1399" s="216"/>
    </row>
    <row r="1400" spans="1:12" ht="15.75" customHeight="1">
      <c r="A1400" s="114" t="s">
        <v>203</v>
      </c>
      <c r="B1400" s="114" t="str">
        <f>VLOOKUP(A1400,'Tabela de Produtos'!A:B,2,0)</f>
        <v>BRAZIMIL LÁTEX STANDARD INT/EXT SEMIBRILHO 15L BRANCO NEVE</v>
      </c>
      <c r="C1400" s="48" t="s">
        <v>1205</v>
      </c>
      <c r="D1400" s="114" t="str">
        <f>VLOOKUP(C1400,'Custos Matéria Prima Embalagens'!B:C,2,0)</f>
        <v>WANSUR 840 CE (BB-200)01</v>
      </c>
      <c r="E1400" s="114" t="str">
        <f>VLOOKUP(C1400,'Custos Matéria Prima Embalagens'!B:D,3,0)</f>
        <v>UMECTANTE</v>
      </c>
      <c r="F1400" s="270">
        <f t="shared" si="182"/>
        <v>999.2</v>
      </c>
      <c r="G1400" s="148">
        <f t="shared" si="183"/>
        <v>2.0016012810248197E-3</v>
      </c>
      <c r="H1400" s="275">
        <v>2</v>
      </c>
      <c r="I1400" s="272">
        <f>ROUND(F1400/VLOOKUP(A1400,'Tabela de Produtos'!A:J,10,0),0)</f>
        <v>787</v>
      </c>
      <c r="J1400" s="97">
        <f>IFERROR(VLOOKUP(C1400,'Custos Matéria Prima Embalagens'!B:G,6,0)*H1400,"Matéria Prima Não Cadastrada")</f>
        <v>14.66</v>
      </c>
      <c r="K1400" s="97">
        <f>IFERROR(J1400/(I1400/VLOOKUP(A1400,'Tabela de Produtos'!A:H,8,0)),"Matéria Prima Não Cadastrada")</f>
        <v>0.27941550190597203</v>
      </c>
      <c r="L1400" s="216"/>
    </row>
    <row r="1401" spans="1:12" ht="15.75" customHeight="1">
      <c r="A1401" s="114" t="s">
        <v>203</v>
      </c>
      <c r="B1401" s="114" t="str">
        <f>VLOOKUP(A1401,'Tabela de Produtos'!A:B,2,0)</f>
        <v>BRAZIMIL LÁTEX STANDARD INT/EXT SEMIBRILHO 15L BRANCO NEVE</v>
      </c>
      <c r="C1401" s="48" t="s">
        <v>1207</v>
      </c>
      <c r="D1401" s="114" t="str">
        <f>VLOOKUP(C1401,'Custos Matéria Prima Embalagens'!B:C,2,0)</f>
        <v>WANPEX 1510 (BB-200)</v>
      </c>
      <c r="E1401" s="114" t="str">
        <f>VLOOKUP(C1401,'Custos Matéria Prima Embalagens'!B:D,3,0)</f>
        <v>DISPERSANTE LATEX</v>
      </c>
      <c r="F1401" s="270">
        <f t="shared" si="182"/>
        <v>999.2</v>
      </c>
      <c r="G1401" s="148">
        <f t="shared" si="183"/>
        <v>2.0016012810248197E-3</v>
      </c>
      <c r="H1401" s="275">
        <v>2</v>
      </c>
      <c r="I1401" s="272">
        <f>ROUND(F1401/VLOOKUP(A1401,'Tabela de Produtos'!A:J,10,0),0)</f>
        <v>787</v>
      </c>
      <c r="J1401" s="97">
        <f>IFERROR(VLOOKUP(C1401,'Custos Matéria Prima Embalagens'!B:G,6,0)*H1401,"Matéria Prima Não Cadastrada")</f>
        <v>13.719999999999999</v>
      </c>
      <c r="K1401" s="97">
        <f>IFERROR(J1401/(I1401/VLOOKUP(A1401,'Tabela de Produtos'!A:H,8,0)),"Matéria Prima Não Cadastrada")</f>
        <v>0.26149936467598472</v>
      </c>
      <c r="L1401" s="216"/>
    </row>
    <row r="1402" spans="1:12" ht="15.75" customHeight="1">
      <c r="A1402" s="114" t="s">
        <v>203</v>
      </c>
      <c r="B1402" s="114" t="str">
        <f>VLOOKUP(A1402,'Tabela de Produtos'!A:B,2,0)</f>
        <v>BRAZIMIL LÁTEX STANDARD INT/EXT SEMIBRILHO 15L BRANCO NEVE</v>
      </c>
      <c r="C1402" s="48" t="s">
        <v>1217</v>
      </c>
      <c r="D1402" s="114" t="str">
        <f>VLOOKUP(C1402,'Custos Matéria Prima Embalagens'!B:C,2,0)</f>
        <v>WANCRIL W 51 CE (CT-1000P)</v>
      </c>
      <c r="E1402" s="114" t="str">
        <f>VLOOKUP(C1402,'Custos Matéria Prima Embalagens'!B:D,3,0)</f>
        <v>RESINA ACRILICA ESTIRENADA</v>
      </c>
      <c r="F1402" s="270">
        <f t="shared" si="182"/>
        <v>999.2</v>
      </c>
      <c r="G1402" s="148">
        <f t="shared" si="183"/>
        <v>0.16012810248198558</v>
      </c>
      <c r="H1402" s="275">
        <v>160</v>
      </c>
      <c r="I1402" s="272">
        <f>ROUND(F1402/VLOOKUP(A1402,'Tabela de Produtos'!A:J,10,0),0)</f>
        <v>787</v>
      </c>
      <c r="J1402" s="97">
        <f>IFERROR(VLOOKUP(C1402,'Custos Matéria Prima Embalagens'!B:G,6,0)*H1402,"Matéria Prima Não Cadastrada")</f>
        <v>1348.8</v>
      </c>
      <c r="K1402" s="97">
        <f>IFERROR(J1402/(I1402/VLOOKUP(A1402,'Tabela de Produtos'!A:H,8,0)),"Matéria Prima Não Cadastrada")</f>
        <v>25.707750952986022</v>
      </c>
      <c r="L1402" s="216"/>
    </row>
    <row r="1403" spans="1:12" ht="15.75" customHeight="1">
      <c r="A1403" s="114" t="s">
        <v>203</v>
      </c>
      <c r="B1403" s="114" t="str">
        <f>VLOOKUP(A1403,'Tabela de Produtos'!A:B,2,0)</f>
        <v>BRAZIMIL LÁTEX STANDARD INT/EXT SEMIBRILHO 15L BRANCO NEVE</v>
      </c>
      <c r="C1403" s="48" t="s">
        <v>1229</v>
      </c>
      <c r="D1403" s="114" t="str">
        <f>VLOOKUP(C1403,'Custos Matéria Prima Embalagens'!B:C,2,0)</f>
        <v>WANSOL 340 CE (BB-200)</v>
      </c>
      <c r="E1403" s="114" t="str">
        <f>VLOOKUP(C1403,'Custos Matéria Prima Embalagens'!B:D,3,0)</f>
        <v>COALESCENTE</v>
      </c>
      <c r="F1403" s="270">
        <f t="shared" si="182"/>
        <v>999.2</v>
      </c>
      <c r="G1403" s="148">
        <f t="shared" si="183"/>
        <v>1.0008006405124099E-2</v>
      </c>
      <c r="H1403" s="275">
        <v>10</v>
      </c>
      <c r="I1403" s="272">
        <f>ROUND(F1403/VLOOKUP(A1403,'Tabela de Produtos'!A:J,10,0),0)</f>
        <v>787</v>
      </c>
      <c r="J1403" s="97">
        <f>IFERROR(VLOOKUP(C1403,'Custos Matéria Prima Embalagens'!B:G,6,0)*H1403,"Matéria Prima Não Cadastrada")</f>
        <v>192.2</v>
      </c>
      <c r="K1403" s="97">
        <f>IFERROR(J1403/(I1403/VLOOKUP(A1403,'Tabela de Produtos'!A:H,8,0)),"Matéria Prima Não Cadastrada")</f>
        <v>3.6632782719186783</v>
      </c>
      <c r="L1403" s="216"/>
    </row>
    <row r="1404" spans="1:12" ht="15.75" customHeight="1">
      <c r="A1404" s="114" t="s">
        <v>203</v>
      </c>
      <c r="B1404" s="114" t="str">
        <f>VLOOKUP(A1404,'Tabela de Produtos'!A:B,2,0)</f>
        <v>BRAZIMIL LÁTEX STANDARD INT/EXT SEMIBRILHO 15L BRANCO NEVE</v>
      </c>
      <c r="C1404" s="48" t="s">
        <v>1209</v>
      </c>
      <c r="D1404" s="114" t="str">
        <f>VLOOKUP(C1404,'Custos Matéria Prima Embalagens'!B:C,2,0)</f>
        <v>WANFUNG WFT CE (BH-200)</v>
      </c>
      <c r="E1404" s="114" t="str">
        <f>VLOOKUP(C1404,'Custos Matéria Prima Embalagens'!B:D,3,0)</f>
        <v>FUNGICIDA</v>
      </c>
      <c r="F1404" s="270">
        <f t="shared" si="182"/>
        <v>999.2</v>
      </c>
      <c r="G1404" s="148">
        <f t="shared" si="183"/>
        <v>3.0024019215372298E-3</v>
      </c>
      <c r="H1404" s="275">
        <v>3</v>
      </c>
      <c r="I1404" s="272">
        <f>ROUND(F1404/VLOOKUP(A1404,'Tabela de Produtos'!A:J,10,0),0)</f>
        <v>787</v>
      </c>
      <c r="J1404" s="97">
        <f>IFERROR(VLOOKUP(C1404,'Custos Matéria Prima Embalagens'!B:G,6,0)*H1404,"Matéria Prima Não Cadastrada")</f>
        <v>21</v>
      </c>
      <c r="K1404" s="97">
        <f>IFERROR(J1404/(I1404/VLOOKUP(A1404,'Tabela de Produtos'!A:H,8,0)),"Matéria Prima Não Cadastrada")</f>
        <v>0.40025412960609907</v>
      </c>
      <c r="L1404" s="216"/>
    </row>
    <row r="1405" spans="1:12" ht="15.75" customHeight="1">
      <c r="A1405" s="114" t="s">
        <v>203</v>
      </c>
      <c r="B1405" s="114" t="str">
        <f>VLOOKUP(A1405,'Tabela de Produtos'!A:B,2,0)</f>
        <v>BRAZIMIL LÁTEX STANDARD INT/EXT SEMIBRILHO 15L BRANCO NEVE</v>
      </c>
      <c r="C1405" s="48" t="s">
        <v>1219</v>
      </c>
      <c r="D1405" s="114" t="str">
        <f>VLOOKUP(C1405,'Custos Matéria Prima Embalagens'!B:C,2,0)</f>
        <v>WANALK 70 CE (BH-200)</v>
      </c>
      <c r="E1405" s="114" t="str">
        <f>VLOOKUP(C1405,'Custos Matéria Prima Embalagens'!B:D,3,0)</f>
        <v>ALCALINIZANTE</v>
      </c>
      <c r="F1405" s="270">
        <f t="shared" si="182"/>
        <v>999.2</v>
      </c>
      <c r="G1405" s="148">
        <f t="shared" si="183"/>
        <v>3.0024019215372298E-3</v>
      </c>
      <c r="H1405" s="275">
        <v>3</v>
      </c>
      <c r="I1405" s="272">
        <f>ROUND(F1405/VLOOKUP(A1405,'Tabela de Produtos'!A:J,10,0),0)</f>
        <v>787</v>
      </c>
      <c r="J1405" s="97">
        <f>IFERROR(VLOOKUP(C1405,'Custos Matéria Prima Embalagens'!B:G,6,0)*H1405,"Matéria Prima Não Cadastrada")</f>
        <v>14.940000000000001</v>
      </c>
      <c r="K1405" s="97">
        <f>IFERROR(J1405/(I1405/VLOOKUP(A1405,'Tabela de Produtos'!A:H,8,0)),"Matéria Prima Não Cadastrada")</f>
        <v>0.28475222363405339</v>
      </c>
      <c r="L1405" s="216"/>
    </row>
    <row r="1406" spans="1:12" ht="15.75" customHeight="1">
      <c r="A1406" s="114" t="s">
        <v>203</v>
      </c>
      <c r="B1406" s="114" t="str">
        <f>VLOOKUP(A1406,'Tabela de Produtos'!A:B,2,0)</f>
        <v>BRAZIMIL LÁTEX STANDARD INT/EXT SEMIBRILHO 15L BRANCO NEVE</v>
      </c>
      <c r="C1406" s="48" t="s">
        <v>1221</v>
      </c>
      <c r="D1406" s="114" t="str">
        <f>VLOOKUP(C1406,'Custos Matéria Prima Embalagens'!B:C,2,0)</f>
        <v>MODIWAN 105H CE (CT-1000P)</v>
      </c>
      <c r="E1406" s="114" t="str">
        <f>VLOOKUP(C1406,'Custos Matéria Prima Embalagens'!B:D,3,0)</f>
        <v>ESPESSANTE DE MEDIA</v>
      </c>
      <c r="F1406" s="270">
        <f t="shared" si="182"/>
        <v>999.2</v>
      </c>
      <c r="G1406" s="148">
        <f t="shared" si="183"/>
        <v>2.0016012810248198E-2</v>
      </c>
      <c r="H1406" s="275">
        <v>20</v>
      </c>
      <c r="I1406" s="272">
        <f>ROUND(F1406/VLOOKUP(A1406,'Tabela de Produtos'!A:J,10,0),0)</f>
        <v>787</v>
      </c>
      <c r="J1406" s="97">
        <f>IFERROR(VLOOKUP(C1406,'Custos Matéria Prima Embalagens'!B:G,6,0)*H1406,"Matéria Prima Não Cadastrada")</f>
        <v>158.1</v>
      </c>
      <c r="K1406" s="97">
        <f>IFERROR(J1406/(I1406/VLOOKUP(A1406,'Tabela de Produtos'!A:H,8,0)),"Matéria Prima Não Cadastrada")</f>
        <v>3.0133418043202029</v>
      </c>
      <c r="L1406" s="216"/>
    </row>
    <row r="1407" spans="1:12" ht="15.75" customHeight="1">
      <c r="A1407" s="114" t="s">
        <v>203</v>
      </c>
      <c r="B1407" s="114" t="str">
        <f>VLOOKUP(A1407,'Tabela de Produtos'!A:B,2,0)</f>
        <v>BRAZIMIL LÁTEX STANDARD INT/EXT SEMIBRILHO 15L BRANCO NEVE</v>
      </c>
      <c r="C1407" s="48" t="s">
        <v>1270</v>
      </c>
      <c r="D1407" s="114" t="str">
        <f>VLOOKUP(C1407,'Custos Matéria Prima Embalagens'!B:C,2,0)</f>
        <v>MISTURA CONCENTRADO SEMI BRILHO</v>
      </c>
      <c r="E1407" s="114" t="str">
        <f>VLOOKUP(C1407,'Custos Matéria Prima Embalagens'!B:D,3,0)</f>
        <v>MISTURA CONCENTRADO SEMI BRILHO</v>
      </c>
      <c r="F1407" s="270">
        <f t="shared" si="182"/>
        <v>999.2</v>
      </c>
      <c r="G1407" s="148">
        <f t="shared" si="183"/>
        <v>0.244195356285028</v>
      </c>
      <c r="H1407" s="275">
        <v>244</v>
      </c>
      <c r="I1407" s="272">
        <f>ROUND(F1407/VLOOKUP(A1407,'Tabela de Produtos'!A:J,10,0),0)</f>
        <v>787</v>
      </c>
      <c r="J1407" s="97">
        <f>IFERROR(VLOOKUP(C1407,'Custos Matéria Prima Embalagens'!B:G,6,0)*H1407,"Matéria Prima Não Cadastrada")</f>
        <v>2188.6800000000003</v>
      </c>
      <c r="K1407" s="97">
        <f>IFERROR(J1407/(I1407/VLOOKUP(A1407,'Tabela de Produtos'!A:H,8,0)),"Matéria Prima Não Cadastrada")</f>
        <v>41.7156289707751</v>
      </c>
      <c r="L1407" s="216"/>
    </row>
    <row r="1408" spans="1:12" ht="15.75" customHeight="1">
      <c r="D1408" s="114"/>
      <c r="E1408" s="114"/>
      <c r="F1408" s="96"/>
      <c r="G1408" s="148"/>
      <c r="H1408" s="96"/>
      <c r="I1408" s="272"/>
      <c r="J1408" s="97"/>
      <c r="K1408" s="97"/>
      <c r="L1408" s="216"/>
    </row>
    <row r="1409" spans="1:12" ht="15.75" customHeight="1">
      <c r="A1409" s="114" t="s">
        <v>204</v>
      </c>
      <c r="B1409" s="114" t="str">
        <f>VLOOKUP(A1409,'Tabela de Produtos'!A:B,2,0)</f>
        <v>BRAZIMIL LÁTEX STANDARD INT/EXT SEMIBRILHO 15L BRANCO GELO</v>
      </c>
      <c r="C1409" s="48" t="s">
        <v>1197</v>
      </c>
      <c r="D1409" s="114" t="str">
        <f>VLOOKUP(C1409,'Custos Matéria Prima Embalagens'!B:C,2,0)</f>
        <v>AGUA</v>
      </c>
      <c r="E1409" s="114" t="str">
        <f>VLOOKUP(C1409,'Custos Matéria Prima Embalagens'!B:D,3,0)</f>
        <v>AGUA</v>
      </c>
      <c r="F1409" s="270">
        <f t="shared" ref="F1409:F1420" si="184">SUMIFS(H:H,A:A,A1409)</f>
        <v>999.2</v>
      </c>
      <c r="G1409" s="148">
        <f t="shared" ref="G1409:G1420" si="185">H1409/F1409</f>
        <v>0.55044035228182542</v>
      </c>
      <c r="H1409" s="275">
        <v>550</v>
      </c>
      <c r="I1409" s="272">
        <f>ROUND(F1409/VLOOKUP(A1409,'Tabela de Produtos'!A:J,10,0),0)</f>
        <v>787</v>
      </c>
      <c r="J1409" s="97">
        <f>IFERROR(VLOOKUP(C1409,'Custos Matéria Prima Embalagens'!B:G,6,0)*H1409,"Matéria Prima Não Cadastrada")</f>
        <v>0</v>
      </c>
      <c r="K1409" s="97">
        <f>IFERROR(J1409/(I1409/VLOOKUP(A1409,'Tabela de Produtos'!A:H,8,0)),"Matéria Prima Não Cadastrada")</f>
        <v>0</v>
      </c>
      <c r="L1409" s="216"/>
    </row>
    <row r="1410" spans="1:12" ht="15.75" customHeight="1">
      <c r="A1410" s="114" t="s">
        <v>204</v>
      </c>
      <c r="B1410" s="114" t="str">
        <f>VLOOKUP(A1410,'Tabela de Produtos'!A:B,2,0)</f>
        <v>BRAZIMIL LÁTEX STANDARD INT/EXT SEMIBRILHO 15L BRANCO GELO</v>
      </c>
      <c r="C1410" s="48" t="s">
        <v>1199</v>
      </c>
      <c r="D1410" s="114" t="str">
        <f>VLOOKUP(C1410,'Custos Matéria Prima Embalagens'!B:C,2,0)</f>
        <v>HEXAMETAFOSFATO DE SODIO</v>
      </c>
      <c r="E1410" s="114" t="str">
        <f>VLOOKUP(C1410,'Custos Matéria Prima Embalagens'!B:D,3,0)</f>
        <v>HEXAMETAFOSFATO DE SODIO</v>
      </c>
      <c r="F1410" s="270">
        <f t="shared" si="184"/>
        <v>999.2</v>
      </c>
      <c r="G1410" s="148">
        <f t="shared" si="185"/>
        <v>1.2009607686148918E-3</v>
      </c>
      <c r="H1410" s="275">
        <v>1.2</v>
      </c>
      <c r="I1410" s="272">
        <f>ROUND(F1410/VLOOKUP(A1410,'Tabela de Produtos'!A:J,10,0),0)</f>
        <v>787</v>
      </c>
      <c r="J1410" s="97">
        <f>IFERROR(VLOOKUP(C1410,'Custos Matéria Prima Embalagens'!B:G,6,0)*H1410,"Matéria Prima Não Cadastrada")</f>
        <v>21.527999999999995</v>
      </c>
      <c r="K1410" s="97">
        <f>IFERROR(J1410/(I1410/VLOOKUP(A1410,'Tabela de Produtos'!A:H,8,0)),"Matéria Prima Não Cadastrada")</f>
        <v>0.41031766200762376</v>
      </c>
      <c r="L1410" s="216"/>
    </row>
    <row r="1411" spans="1:12" ht="15.75" customHeight="1">
      <c r="A1411" s="114" t="s">
        <v>204</v>
      </c>
      <c r="B1411" s="114" t="str">
        <f>VLOOKUP(A1411,'Tabela de Produtos'!A:B,2,0)</f>
        <v>BRAZIMIL LÁTEX STANDARD INT/EXT SEMIBRILHO 15L BRANCO GELO</v>
      </c>
      <c r="C1411" s="48" t="s">
        <v>1201</v>
      </c>
      <c r="D1411" s="114" t="str">
        <f>VLOOKUP(C1411,'Custos Matéria Prima Embalagens'!B:C,2,0)</f>
        <v>WANFOAM 528 CE (BB-190)</v>
      </c>
      <c r="E1411" s="114" t="str">
        <f>VLOOKUP(C1411,'Custos Matéria Prima Embalagens'!B:D,3,0)</f>
        <v>ANTI ESPUMA LATEX</v>
      </c>
      <c r="F1411" s="270">
        <f t="shared" si="184"/>
        <v>999.2</v>
      </c>
      <c r="G1411" s="148">
        <f t="shared" si="185"/>
        <v>2.0016012810248197E-3</v>
      </c>
      <c r="H1411" s="275">
        <v>2</v>
      </c>
      <c r="I1411" s="272">
        <f>ROUND(F1411/VLOOKUP(A1411,'Tabela de Produtos'!A:J,10,0),0)</f>
        <v>787</v>
      </c>
      <c r="J1411" s="97">
        <f>IFERROR(VLOOKUP(C1411,'Custos Matéria Prima Embalagens'!B:G,6,0)*H1411,"Matéria Prima Não Cadastrada")</f>
        <v>14.36</v>
      </c>
      <c r="K1411" s="97">
        <f>IFERROR(J1411/(I1411/VLOOKUP(A1411,'Tabela de Produtos'!A:H,8,0)),"Matéria Prima Não Cadastrada")</f>
        <v>0.27369758576874204</v>
      </c>
      <c r="L1411" s="216"/>
    </row>
    <row r="1412" spans="1:12" ht="15.75" customHeight="1">
      <c r="A1412" s="114" t="s">
        <v>204</v>
      </c>
      <c r="B1412" s="114" t="str">
        <f>VLOOKUP(A1412,'Tabela de Produtos'!A:B,2,0)</f>
        <v>BRAZIMIL LÁTEX STANDARD INT/EXT SEMIBRILHO 15L BRANCO GELO</v>
      </c>
      <c r="C1412" s="48" t="s">
        <v>1203</v>
      </c>
      <c r="D1412" s="114" t="str">
        <f>VLOOKUP(C1412,'Custos Matéria Prima Embalagens'!B:C,2,0)</f>
        <v>WANBAC WBT CE (BH-200)</v>
      </c>
      <c r="E1412" s="114" t="str">
        <f>VLOOKUP(C1412,'Custos Matéria Prima Embalagens'!B:D,3,0)</f>
        <v>BACTERICIDA</v>
      </c>
      <c r="F1412" s="270">
        <f t="shared" si="184"/>
        <v>999.2</v>
      </c>
      <c r="G1412" s="148">
        <f t="shared" si="185"/>
        <v>2.0016012810248197E-3</v>
      </c>
      <c r="H1412" s="275">
        <v>2</v>
      </c>
      <c r="I1412" s="272">
        <f>ROUND(F1412/VLOOKUP(A1412,'Tabela de Produtos'!A:J,10,0),0)</f>
        <v>787</v>
      </c>
      <c r="J1412" s="97">
        <f>IFERROR(VLOOKUP(C1412,'Custos Matéria Prima Embalagens'!B:G,6,0)*H1412,"Matéria Prima Não Cadastrada")</f>
        <v>9.879999999999999</v>
      </c>
      <c r="K1412" s="97">
        <f>IFERROR(J1412/(I1412/VLOOKUP(A1412,'Tabela de Produtos'!A:H,8,0)),"Matéria Prima Não Cadastrada")</f>
        <v>0.18831003811944089</v>
      </c>
      <c r="L1412" s="216"/>
    </row>
    <row r="1413" spans="1:12" ht="15.75" customHeight="1">
      <c r="A1413" s="114" t="s">
        <v>204</v>
      </c>
      <c r="B1413" s="114" t="str">
        <f>VLOOKUP(A1413,'Tabela de Produtos'!A:B,2,0)</f>
        <v>BRAZIMIL LÁTEX STANDARD INT/EXT SEMIBRILHO 15L BRANCO GELO</v>
      </c>
      <c r="C1413" s="48" t="s">
        <v>1205</v>
      </c>
      <c r="D1413" s="114" t="str">
        <f>VLOOKUP(C1413,'Custos Matéria Prima Embalagens'!B:C,2,0)</f>
        <v>WANSUR 840 CE (BB-200)01</v>
      </c>
      <c r="E1413" s="114" t="str">
        <f>VLOOKUP(C1413,'Custos Matéria Prima Embalagens'!B:D,3,0)</f>
        <v>UMECTANTE</v>
      </c>
      <c r="F1413" s="270">
        <f t="shared" si="184"/>
        <v>999.2</v>
      </c>
      <c r="G1413" s="148">
        <f t="shared" si="185"/>
        <v>2.0016012810248197E-3</v>
      </c>
      <c r="H1413" s="275">
        <v>2</v>
      </c>
      <c r="I1413" s="272">
        <f>ROUND(F1413/VLOOKUP(A1413,'Tabela de Produtos'!A:J,10,0),0)</f>
        <v>787</v>
      </c>
      <c r="J1413" s="97">
        <f>IFERROR(VLOOKUP(C1413,'Custos Matéria Prima Embalagens'!B:G,6,0)*H1413,"Matéria Prima Não Cadastrada")</f>
        <v>14.66</v>
      </c>
      <c r="K1413" s="97">
        <f>IFERROR(J1413/(I1413/VLOOKUP(A1413,'Tabela de Produtos'!A:H,8,0)),"Matéria Prima Não Cadastrada")</f>
        <v>0.27941550190597203</v>
      </c>
      <c r="L1413" s="216"/>
    </row>
    <row r="1414" spans="1:12" ht="15.75" customHeight="1">
      <c r="A1414" s="114" t="s">
        <v>204</v>
      </c>
      <c r="B1414" s="114" t="str">
        <f>VLOOKUP(A1414,'Tabela de Produtos'!A:B,2,0)</f>
        <v>BRAZIMIL LÁTEX STANDARD INT/EXT SEMIBRILHO 15L BRANCO GELO</v>
      </c>
      <c r="C1414" s="48" t="s">
        <v>1207</v>
      </c>
      <c r="D1414" s="114" t="str">
        <f>VLOOKUP(C1414,'Custos Matéria Prima Embalagens'!B:C,2,0)</f>
        <v>WANPEX 1510 (BB-200)</v>
      </c>
      <c r="E1414" s="114" t="str">
        <f>VLOOKUP(C1414,'Custos Matéria Prima Embalagens'!B:D,3,0)</f>
        <v>DISPERSANTE LATEX</v>
      </c>
      <c r="F1414" s="270">
        <f t="shared" si="184"/>
        <v>999.2</v>
      </c>
      <c r="G1414" s="148">
        <f t="shared" si="185"/>
        <v>2.0016012810248197E-3</v>
      </c>
      <c r="H1414" s="275">
        <v>2</v>
      </c>
      <c r="I1414" s="272">
        <f>ROUND(F1414/VLOOKUP(A1414,'Tabela de Produtos'!A:J,10,0),0)</f>
        <v>787</v>
      </c>
      <c r="J1414" s="97">
        <f>IFERROR(VLOOKUP(C1414,'Custos Matéria Prima Embalagens'!B:G,6,0)*H1414,"Matéria Prima Não Cadastrada")</f>
        <v>13.719999999999999</v>
      </c>
      <c r="K1414" s="97">
        <f>IFERROR(J1414/(I1414/VLOOKUP(A1414,'Tabela de Produtos'!A:H,8,0)),"Matéria Prima Não Cadastrada")</f>
        <v>0.26149936467598472</v>
      </c>
      <c r="L1414" s="216"/>
    </row>
    <row r="1415" spans="1:12" ht="15.75" customHeight="1">
      <c r="A1415" s="114" t="s">
        <v>204</v>
      </c>
      <c r="B1415" s="114" t="str">
        <f>VLOOKUP(A1415,'Tabela de Produtos'!A:B,2,0)</f>
        <v>BRAZIMIL LÁTEX STANDARD INT/EXT SEMIBRILHO 15L BRANCO GELO</v>
      </c>
      <c r="C1415" s="48" t="s">
        <v>1217</v>
      </c>
      <c r="D1415" s="114" t="str">
        <f>VLOOKUP(C1415,'Custos Matéria Prima Embalagens'!B:C,2,0)</f>
        <v>WANCRIL W 51 CE (CT-1000P)</v>
      </c>
      <c r="E1415" s="114" t="str">
        <f>VLOOKUP(C1415,'Custos Matéria Prima Embalagens'!B:D,3,0)</f>
        <v>RESINA ACRILICA ESTIRENADA</v>
      </c>
      <c r="F1415" s="270">
        <f t="shared" si="184"/>
        <v>999.2</v>
      </c>
      <c r="G1415" s="148">
        <f t="shared" si="185"/>
        <v>0.16012810248198558</v>
      </c>
      <c r="H1415" s="275">
        <v>160</v>
      </c>
      <c r="I1415" s="272">
        <f>ROUND(F1415/VLOOKUP(A1415,'Tabela de Produtos'!A:J,10,0),0)</f>
        <v>787</v>
      </c>
      <c r="J1415" s="97">
        <f>IFERROR(VLOOKUP(C1415,'Custos Matéria Prima Embalagens'!B:G,6,0)*H1415,"Matéria Prima Não Cadastrada")</f>
        <v>1348.8</v>
      </c>
      <c r="K1415" s="97">
        <f>IFERROR(J1415/(I1415/VLOOKUP(A1415,'Tabela de Produtos'!A:H,8,0)),"Matéria Prima Não Cadastrada")</f>
        <v>25.707750952986022</v>
      </c>
      <c r="L1415" s="216"/>
    </row>
    <row r="1416" spans="1:12" ht="15.75" customHeight="1">
      <c r="A1416" s="114" t="s">
        <v>204</v>
      </c>
      <c r="B1416" s="114" t="str">
        <f>VLOOKUP(A1416,'Tabela de Produtos'!A:B,2,0)</f>
        <v>BRAZIMIL LÁTEX STANDARD INT/EXT SEMIBRILHO 15L BRANCO GELO</v>
      </c>
      <c r="C1416" s="48" t="s">
        <v>1229</v>
      </c>
      <c r="D1416" s="114" t="str">
        <f>VLOOKUP(C1416,'Custos Matéria Prima Embalagens'!B:C,2,0)</f>
        <v>WANSOL 340 CE (BB-200)</v>
      </c>
      <c r="E1416" s="114" t="str">
        <f>VLOOKUP(C1416,'Custos Matéria Prima Embalagens'!B:D,3,0)</f>
        <v>COALESCENTE</v>
      </c>
      <c r="F1416" s="270">
        <f t="shared" si="184"/>
        <v>999.2</v>
      </c>
      <c r="G1416" s="148">
        <f t="shared" si="185"/>
        <v>1.0008006405124099E-2</v>
      </c>
      <c r="H1416" s="275">
        <v>10</v>
      </c>
      <c r="I1416" s="272">
        <f>ROUND(F1416/VLOOKUP(A1416,'Tabela de Produtos'!A:J,10,0),0)</f>
        <v>787</v>
      </c>
      <c r="J1416" s="97">
        <f>IFERROR(VLOOKUP(C1416,'Custos Matéria Prima Embalagens'!B:G,6,0)*H1416,"Matéria Prima Não Cadastrada")</f>
        <v>192.2</v>
      </c>
      <c r="K1416" s="97">
        <f>IFERROR(J1416/(I1416/VLOOKUP(A1416,'Tabela de Produtos'!A:H,8,0)),"Matéria Prima Não Cadastrada")</f>
        <v>3.6632782719186783</v>
      </c>
      <c r="L1416" s="216"/>
    </row>
    <row r="1417" spans="1:12" ht="15.75" customHeight="1">
      <c r="A1417" s="114" t="s">
        <v>204</v>
      </c>
      <c r="B1417" s="114" t="str">
        <f>VLOOKUP(A1417,'Tabela de Produtos'!A:B,2,0)</f>
        <v>BRAZIMIL LÁTEX STANDARD INT/EXT SEMIBRILHO 15L BRANCO GELO</v>
      </c>
      <c r="C1417" s="48" t="s">
        <v>1209</v>
      </c>
      <c r="D1417" s="114" t="str">
        <f>VLOOKUP(C1417,'Custos Matéria Prima Embalagens'!B:C,2,0)</f>
        <v>WANFUNG WFT CE (BH-200)</v>
      </c>
      <c r="E1417" s="114" t="str">
        <f>VLOOKUP(C1417,'Custos Matéria Prima Embalagens'!B:D,3,0)</f>
        <v>FUNGICIDA</v>
      </c>
      <c r="F1417" s="270">
        <f t="shared" si="184"/>
        <v>999.2</v>
      </c>
      <c r="G1417" s="148">
        <f t="shared" si="185"/>
        <v>3.0024019215372298E-3</v>
      </c>
      <c r="H1417" s="275">
        <v>3</v>
      </c>
      <c r="I1417" s="272">
        <f>ROUND(F1417/VLOOKUP(A1417,'Tabela de Produtos'!A:J,10,0),0)</f>
        <v>787</v>
      </c>
      <c r="J1417" s="97">
        <f>IFERROR(VLOOKUP(C1417,'Custos Matéria Prima Embalagens'!B:G,6,0)*H1417,"Matéria Prima Não Cadastrada")</f>
        <v>21</v>
      </c>
      <c r="K1417" s="97">
        <f>IFERROR(J1417/(I1417/VLOOKUP(A1417,'Tabela de Produtos'!A:H,8,0)),"Matéria Prima Não Cadastrada")</f>
        <v>0.40025412960609907</v>
      </c>
      <c r="L1417" s="216"/>
    </row>
    <row r="1418" spans="1:12" ht="15.75" customHeight="1">
      <c r="A1418" s="114" t="s">
        <v>204</v>
      </c>
      <c r="B1418" s="114" t="str">
        <f>VLOOKUP(A1418,'Tabela de Produtos'!A:B,2,0)</f>
        <v>BRAZIMIL LÁTEX STANDARD INT/EXT SEMIBRILHO 15L BRANCO GELO</v>
      </c>
      <c r="C1418" s="48" t="s">
        <v>1219</v>
      </c>
      <c r="D1418" s="114" t="str">
        <f>VLOOKUP(C1418,'Custos Matéria Prima Embalagens'!B:C,2,0)</f>
        <v>WANALK 70 CE (BH-200)</v>
      </c>
      <c r="E1418" s="114" t="str">
        <f>VLOOKUP(C1418,'Custos Matéria Prima Embalagens'!B:D,3,0)</f>
        <v>ALCALINIZANTE</v>
      </c>
      <c r="F1418" s="270">
        <f t="shared" si="184"/>
        <v>999.2</v>
      </c>
      <c r="G1418" s="148">
        <f t="shared" si="185"/>
        <v>3.0024019215372298E-3</v>
      </c>
      <c r="H1418" s="275">
        <v>3</v>
      </c>
      <c r="I1418" s="272">
        <f>ROUND(F1418/VLOOKUP(A1418,'Tabela de Produtos'!A:J,10,0),0)</f>
        <v>787</v>
      </c>
      <c r="J1418" s="97">
        <f>IFERROR(VLOOKUP(C1418,'Custos Matéria Prima Embalagens'!B:G,6,0)*H1418,"Matéria Prima Não Cadastrada")</f>
        <v>14.940000000000001</v>
      </c>
      <c r="K1418" s="97">
        <f>IFERROR(J1418/(I1418/VLOOKUP(A1418,'Tabela de Produtos'!A:H,8,0)),"Matéria Prima Não Cadastrada")</f>
        <v>0.28475222363405339</v>
      </c>
      <c r="L1418" s="216"/>
    </row>
    <row r="1419" spans="1:12" ht="15.75" customHeight="1">
      <c r="A1419" s="114" t="s">
        <v>204</v>
      </c>
      <c r="B1419" s="114" t="str">
        <f>VLOOKUP(A1419,'Tabela de Produtos'!A:B,2,0)</f>
        <v>BRAZIMIL LÁTEX STANDARD INT/EXT SEMIBRILHO 15L BRANCO GELO</v>
      </c>
      <c r="C1419" s="48" t="s">
        <v>1221</v>
      </c>
      <c r="D1419" s="114" t="str">
        <f>VLOOKUP(C1419,'Custos Matéria Prima Embalagens'!B:C,2,0)</f>
        <v>MODIWAN 105H CE (CT-1000P)</v>
      </c>
      <c r="E1419" s="114" t="str">
        <f>VLOOKUP(C1419,'Custos Matéria Prima Embalagens'!B:D,3,0)</f>
        <v>ESPESSANTE DE MEDIA</v>
      </c>
      <c r="F1419" s="270">
        <f t="shared" si="184"/>
        <v>999.2</v>
      </c>
      <c r="G1419" s="148">
        <f t="shared" si="185"/>
        <v>2.0016012810248198E-2</v>
      </c>
      <c r="H1419" s="275">
        <v>20</v>
      </c>
      <c r="I1419" s="272">
        <f>ROUND(F1419/VLOOKUP(A1419,'Tabela de Produtos'!A:J,10,0),0)</f>
        <v>787</v>
      </c>
      <c r="J1419" s="97">
        <f>IFERROR(VLOOKUP(C1419,'Custos Matéria Prima Embalagens'!B:G,6,0)*H1419,"Matéria Prima Não Cadastrada")</f>
        <v>158.1</v>
      </c>
      <c r="K1419" s="97">
        <f>IFERROR(J1419/(I1419/VLOOKUP(A1419,'Tabela de Produtos'!A:H,8,0)),"Matéria Prima Não Cadastrada")</f>
        <v>3.0133418043202029</v>
      </c>
      <c r="L1419" s="216"/>
    </row>
    <row r="1420" spans="1:12" ht="15.75" customHeight="1">
      <c r="A1420" s="114" t="s">
        <v>204</v>
      </c>
      <c r="B1420" s="114" t="str">
        <f>VLOOKUP(A1420,'Tabela de Produtos'!A:B,2,0)</f>
        <v>BRAZIMIL LÁTEX STANDARD INT/EXT SEMIBRILHO 15L BRANCO GELO</v>
      </c>
      <c r="C1420" s="48" t="s">
        <v>1270</v>
      </c>
      <c r="D1420" s="114" t="str">
        <f>VLOOKUP(C1420,'Custos Matéria Prima Embalagens'!B:C,2,0)</f>
        <v>MISTURA CONCENTRADO SEMI BRILHO</v>
      </c>
      <c r="E1420" s="114" t="str">
        <f>VLOOKUP(C1420,'Custos Matéria Prima Embalagens'!B:D,3,0)</f>
        <v>MISTURA CONCENTRADO SEMI BRILHO</v>
      </c>
      <c r="F1420" s="270">
        <f t="shared" si="184"/>
        <v>999.2</v>
      </c>
      <c r="G1420" s="148">
        <f t="shared" si="185"/>
        <v>0.244195356285028</v>
      </c>
      <c r="H1420" s="275">
        <v>244</v>
      </c>
      <c r="I1420" s="272">
        <f>ROUND(F1420/VLOOKUP(A1420,'Tabela de Produtos'!A:J,10,0),0)</f>
        <v>787</v>
      </c>
      <c r="J1420" s="97">
        <f>IFERROR(VLOOKUP(C1420,'Custos Matéria Prima Embalagens'!B:G,6,0)*H1420,"Matéria Prima Não Cadastrada")</f>
        <v>2188.6800000000003</v>
      </c>
      <c r="K1420" s="97">
        <f>IFERROR(J1420/(I1420/VLOOKUP(A1420,'Tabela de Produtos'!A:H,8,0)),"Matéria Prima Não Cadastrada")</f>
        <v>41.7156289707751</v>
      </c>
      <c r="L1420" s="216"/>
    </row>
    <row r="1421" spans="1:12" ht="15.75" customHeight="1">
      <c r="D1421" s="114"/>
      <c r="E1421" s="114"/>
      <c r="F1421" s="96"/>
      <c r="G1421" s="148"/>
      <c r="H1421" s="96"/>
      <c r="I1421" s="272"/>
      <c r="J1421" s="97"/>
      <c r="K1421" s="97"/>
      <c r="L1421" s="216"/>
    </row>
    <row r="1422" spans="1:12" ht="15.75" customHeight="1">
      <c r="A1422" s="114" t="s">
        <v>205</v>
      </c>
      <c r="B1422" s="114" t="str">
        <f>VLOOKUP(A1422,'Tabela de Produtos'!A:B,2,0)</f>
        <v>BRAZIMIL LÁTEX STANDARD INT/EXT SEMIBRILHO 15L FLAMINGO</v>
      </c>
      <c r="C1422" s="48" t="s">
        <v>1197</v>
      </c>
      <c r="D1422" s="114" t="str">
        <f>VLOOKUP(C1422,'Custos Matéria Prima Embalagens'!B:C,2,0)</f>
        <v>AGUA</v>
      </c>
      <c r="E1422" s="114" t="str">
        <f>VLOOKUP(C1422,'Custos Matéria Prima Embalagens'!B:D,3,0)</f>
        <v>AGUA</v>
      </c>
      <c r="F1422" s="270">
        <f t="shared" ref="F1422:F1433" si="186">SUMIFS(H:H,A:A,A1422)</f>
        <v>999.2</v>
      </c>
      <c r="G1422" s="148">
        <f t="shared" ref="G1422:G1433" si="187">H1422/F1422</f>
        <v>0.55044035228182542</v>
      </c>
      <c r="H1422" s="275">
        <v>550</v>
      </c>
      <c r="I1422" s="272">
        <f>ROUND(F1422/VLOOKUP(A1422,'Tabela de Produtos'!A:J,10,0),0)</f>
        <v>787</v>
      </c>
      <c r="J1422" s="97">
        <f>IFERROR(VLOOKUP(C1422,'Custos Matéria Prima Embalagens'!B:G,6,0)*H1422,"Matéria Prima Não Cadastrada")</f>
        <v>0</v>
      </c>
      <c r="K1422" s="97">
        <f>IFERROR(J1422/(I1422/VLOOKUP(A1422,'Tabela de Produtos'!A:H,8,0)),"Matéria Prima Não Cadastrada")</f>
        <v>0</v>
      </c>
      <c r="L1422" s="216"/>
    </row>
    <row r="1423" spans="1:12" ht="15.75" customHeight="1">
      <c r="A1423" s="114" t="s">
        <v>205</v>
      </c>
      <c r="B1423" s="114" t="str">
        <f>VLOOKUP(A1423,'Tabela de Produtos'!A:B,2,0)</f>
        <v>BRAZIMIL LÁTEX STANDARD INT/EXT SEMIBRILHO 15L FLAMINGO</v>
      </c>
      <c r="C1423" s="48" t="s">
        <v>1199</v>
      </c>
      <c r="D1423" s="114" t="str">
        <f>VLOOKUP(C1423,'Custos Matéria Prima Embalagens'!B:C,2,0)</f>
        <v>HEXAMETAFOSFATO DE SODIO</v>
      </c>
      <c r="E1423" s="114" t="str">
        <f>VLOOKUP(C1423,'Custos Matéria Prima Embalagens'!B:D,3,0)</f>
        <v>HEXAMETAFOSFATO DE SODIO</v>
      </c>
      <c r="F1423" s="270">
        <f t="shared" si="186"/>
        <v>999.2</v>
      </c>
      <c r="G1423" s="148">
        <f t="shared" si="187"/>
        <v>1.2009607686148918E-3</v>
      </c>
      <c r="H1423" s="275">
        <v>1.2</v>
      </c>
      <c r="I1423" s="272">
        <f>ROUND(F1423/VLOOKUP(A1423,'Tabela de Produtos'!A:J,10,0),0)</f>
        <v>787</v>
      </c>
      <c r="J1423" s="97">
        <f>IFERROR(VLOOKUP(C1423,'Custos Matéria Prima Embalagens'!B:G,6,0)*H1423,"Matéria Prima Não Cadastrada")</f>
        <v>21.527999999999995</v>
      </c>
      <c r="K1423" s="97">
        <f>IFERROR(J1423/(I1423/VLOOKUP(A1423,'Tabela de Produtos'!A:H,8,0)),"Matéria Prima Não Cadastrada")</f>
        <v>0.41031766200762376</v>
      </c>
      <c r="L1423" s="216"/>
    </row>
    <row r="1424" spans="1:12" ht="15.75" customHeight="1">
      <c r="A1424" s="114" t="s">
        <v>205</v>
      </c>
      <c r="B1424" s="114" t="str">
        <f>VLOOKUP(A1424,'Tabela de Produtos'!A:B,2,0)</f>
        <v>BRAZIMIL LÁTEX STANDARD INT/EXT SEMIBRILHO 15L FLAMINGO</v>
      </c>
      <c r="C1424" s="48" t="s">
        <v>1201</v>
      </c>
      <c r="D1424" s="114" t="str">
        <f>VLOOKUP(C1424,'Custos Matéria Prima Embalagens'!B:C,2,0)</f>
        <v>WANFOAM 528 CE (BB-190)</v>
      </c>
      <c r="E1424" s="114" t="str">
        <f>VLOOKUP(C1424,'Custos Matéria Prima Embalagens'!B:D,3,0)</f>
        <v>ANTI ESPUMA LATEX</v>
      </c>
      <c r="F1424" s="270">
        <f t="shared" si="186"/>
        <v>999.2</v>
      </c>
      <c r="G1424" s="148">
        <f t="shared" si="187"/>
        <v>2.0016012810248197E-3</v>
      </c>
      <c r="H1424" s="275">
        <v>2</v>
      </c>
      <c r="I1424" s="272">
        <f>ROUND(F1424/VLOOKUP(A1424,'Tabela de Produtos'!A:J,10,0),0)</f>
        <v>787</v>
      </c>
      <c r="J1424" s="97">
        <f>IFERROR(VLOOKUP(C1424,'Custos Matéria Prima Embalagens'!B:G,6,0)*H1424,"Matéria Prima Não Cadastrada")</f>
        <v>14.36</v>
      </c>
      <c r="K1424" s="97">
        <f>IFERROR(J1424/(I1424/VLOOKUP(A1424,'Tabela de Produtos'!A:H,8,0)),"Matéria Prima Não Cadastrada")</f>
        <v>0.27369758576874204</v>
      </c>
      <c r="L1424" s="216"/>
    </row>
    <row r="1425" spans="1:12" ht="15.75" customHeight="1">
      <c r="A1425" s="114" t="s">
        <v>205</v>
      </c>
      <c r="B1425" s="114" t="str">
        <f>VLOOKUP(A1425,'Tabela de Produtos'!A:B,2,0)</f>
        <v>BRAZIMIL LÁTEX STANDARD INT/EXT SEMIBRILHO 15L FLAMINGO</v>
      </c>
      <c r="C1425" s="48" t="s">
        <v>1203</v>
      </c>
      <c r="D1425" s="114" t="str">
        <f>VLOOKUP(C1425,'Custos Matéria Prima Embalagens'!B:C,2,0)</f>
        <v>WANBAC WBT CE (BH-200)</v>
      </c>
      <c r="E1425" s="114" t="str">
        <f>VLOOKUP(C1425,'Custos Matéria Prima Embalagens'!B:D,3,0)</f>
        <v>BACTERICIDA</v>
      </c>
      <c r="F1425" s="270">
        <f t="shared" si="186"/>
        <v>999.2</v>
      </c>
      <c r="G1425" s="148">
        <f t="shared" si="187"/>
        <v>2.0016012810248197E-3</v>
      </c>
      <c r="H1425" s="275">
        <v>2</v>
      </c>
      <c r="I1425" s="272">
        <f>ROUND(F1425/VLOOKUP(A1425,'Tabela de Produtos'!A:J,10,0),0)</f>
        <v>787</v>
      </c>
      <c r="J1425" s="97">
        <f>IFERROR(VLOOKUP(C1425,'Custos Matéria Prima Embalagens'!B:G,6,0)*H1425,"Matéria Prima Não Cadastrada")</f>
        <v>9.879999999999999</v>
      </c>
      <c r="K1425" s="97">
        <f>IFERROR(J1425/(I1425/VLOOKUP(A1425,'Tabela de Produtos'!A:H,8,0)),"Matéria Prima Não Cadastrada")</f>
        <v>0.18831003811944089</v>
      </c>
      <c r="L1425" s="216"/>
    </row>
    <row r="1426" spans="1:12" ht="15.75" customHeight="1">
      <c r="A1426" s="114" t="s">
        <v>205</v>
      </c>
      <c r="B1426" s="114" t="str">
        <f>VLOOKUP(A1426,'Tabela de Produtos'!A:B,2,0)</f>
        <v>BRAZIMIL LÁTEX STANDARD INT/EXT SEMIBRILHO 15L FLAMINGO</v>
      </c>
      <c r="C1426" s="48" t="s">
        <v>1205</v>
      </c>
      <c r="D1426" s="114" t="str">
        <f>VLOOKUP(C1426,'Custos Matéria Prima Embalagens'!B:C,2,0)</f>
        <v>WANSUR 840 CE (BB-200)01</v>
      </c>
      <c r="E1426" s="114" t="str">
        <f>VLOOKUP(C1426,'Custos Matéria Prima Embalagens'!B:D,3,0)</f>
        <v>UMECTANTE</v>
      </c>
      <c r="F1426" s="270">
        <f t="shared" si="186"/>
        <v>999.2</v>
      </c>
      <c r="G1426" s="148">
        <f t="shared" si="187"/>
        <v>2.0016012810248197E-3</v>
      </c>
      <c r="H1426" s="275">
        <v>2</v>
      </c>
      <c r="I1426" s="272">
        <f>ROUND(F1426/VLOOKUP(A1426,'Tabela de Produtos'!A:J,10,0),0)</f>
        <v>787</v>
      </c>
      <c r="J1426" s="97">
        <f>IFERROR(VLOOKUP(C1426,'Custos Matéria Prima Embalagens'!B:G,6,0)*H1426,"Matéria Prima Não Cadastrada")</f>
        <v>14.66</v>
      </c>
      <c r="K1426" s="97">
        <f>IFERROR(J1426/(I1426/VLOOKUP(A1426,'Tabela de Produtos'!A:H,8,0)),"Matéria Prima Não Cadastrada")</f>
        <v>0.27941550190597203</v>
      </c>
      <c r="L1426" s="216"/>
    </row>
    <row r="1427" spans="1:12" ht="15.75" customHeight="1">
      <c r="A1427" s="114" t="s">
        <v>205</v>
      </c>
      <c r="B1427" s="114" t="str">
        <f>VLOOKUP(A1427,'Tabela de Produtos'!A:B,2,0)</f>
        <v>BRAZIMIL LÁTEX STANDARD INT/EXT SEMIBRILHO 15L FLAMINGO</v>
      </c>
      <c r="C1427" s="48" t="s">
        <v>1207</v>
      </c>
      <c r="D1427" s="114" t="str">
        <f>VLOOKUP(C1427,'Custos Matéria Prima Embalagens'!B:C,2,0)</f>
        <v>WANPEX 1510 (BB-200)</v>
      </c>
      <c r="E1427" s="114" t="str">
        <f>VLOOKUP(C1427,'Custos Matéria Prima Embalagens'!B:D,3,0)</f>
        <v>DISPERSANTE LATEX</v>
      </c>
      <c r="F1427" s="270">
        <f t="shared" si="186"/>
        <v>999.2</v>
      </c>
      <c r="G1427" s="148">
        <f t="shared" si="187"/>
        <v>2.0016012810248197E-3</v>
      </c>
      <c r="H1427" s="275">
        <v>2</v>
      </c>
      <c r="I1427" s="272">
        <f>ROUND(F1427/VLOOKUP(A1427,'Tabela de Produtos'!A:J,10,0),0)</f>
        <v>787</v>
      </c>
      <c r="J1427" s="97">
        <f>IFERROR(VLOOKUP(C1427,'Custos Matéria Prima Embalagens'!B:G,6,0)*H1427,"Matéria Prima Não Cadastrada")</f>
        <v>13.719999999999999</v>
      </c>
      <c r="K1427" s="97">
        <f>IFERROR(J1427/(I1427/VLOOKUP(A1427,'Tabela de Produtos'!A:H,8,0)),"Matéria Prima Não Cadastrada")</f>
        <v>0.26149936467598472</v>
      </c>
      <c r="L1427" s="216"/>
    </row>
    <row r="1428" spans="1:12" ht="15.75" customHeight="1">
      <c r="A1428" s="114" t="s">
        <v>205</v>
      </c>
      <c r="B1428" s="114" t="str">
        <f>VLOOKUP(A1428,'Tabela de Produtos'!A:B,2,0)</f>
        <v>BRAZIMIL LÁTEX STANDARD INT/EXT SEMIBRILHO 15L FLAMINGO</v>
      </c>
      <c r="C1428" s="48" t="s">
        <v>1217</v>
      </c>
      <c r="D1428" s="114" t="str">
        <f>VLOOKUP(C1428,'Custos Matéria Prima Embalagens'!B:C,2,0)</f>
        <v>WANCRIL W 51 CE (CT-1000P)</v>
      </c>
      <c r="E1428" s="114" t="str">
        <f>VLOOKUP(C1428,'Custos Matéria Prima Embalagens'!B:D,3,0)</f>
        <v>RESINA ACRILICA ESTIRENADA</v>
      </c>
      <c r="F1428" s="270">
        <f t="shared" si="186"/>
        <v>999.2</v>
      </c>
      <c r="G1428" s="148">
        <f t="shared" si="187"/>
        <v>0.16012810248198558</v>
      </c>
      <c r="H1428" s="275">
        <v>160</v>
      </c>
      <c r="I1428" s="272">
        <f>ROUND(F1428/VLOOKUP(A1428,'Tabela de Produtos'!A:J,10,0),0)</f>
        <v>787</v>
      </c>
      <c r="J1428" s="97">
        <f>IFERROR(VLOOKUP(C1428,'Custos Matéria Prima Embalagens'!B:G,6,0)*H1428,"Matéria Prima Não Cadastrada")</f>
        <v>1348.8</v>
      </c>
      <c r="K1428" s="97">
        <f>IFERROR(J1428/(I1428/VLOOKUP(A1428,'Tabela de Produtos'!A:H,8,0)),"Matéria Prima Não Cadastrada")</f>
        <v>25.707750952986022</v>
      </c>
      <c r="L1428" s="216"/>
    </row>
    <row r="1429" spans="1:12" ht="15.75" customHeight="1">
      <c r="A1429" s="114" t="s">
        <v>205</v>
      </c>
      <c r="B1429" s="114" t="str">
        <f>VLOOKUP(A1429,'Tabela de Produtos'!A:B,2,0)</f>
        <v>BRAZIMIL LÁTEX STANDARD INT/EXT SEMIBRILHO 15L FLAMINGO</v>
      </c>
      <c r="C1429" s="48" t="s">
        <v>1229</v>
      </c>
      <c r="D1429" s="114" t="str">
        <f>VLOOKUP(C1429,'Custos Matéria Prima Embalagens'!B:C,2,0)</f>
        <v>WANSOL 340 CE (BB-200)</v>
      </c>
      <c r="E1429" s="114" t="str">
        <f>VLOOKUP(C1429,'Custos Matéria Prima Embalagens'!B:D,3,0)</f>
        <v>COALESCENTE</v>
      </c>
      <c r="F1429" s="270">
        <f t="shared" si="186"/>
        <v>999.2</v>
      </c>
      <c r="G1429" s="148">
        <f t="shared" si="187"/>
        <v>1.0008006405124099E-2</v>
      </c>
      <c r="H1429" s="275">
        <v>10</v>
      </c>
      <c r="I1429" s="272">
        <f>ROUND(F1429/VLOOKUP(A1429,'Tabela de Produtos'!A:J,10,0),0)</f>
        <v>787</v>
      </c>
      <c r="J1429" s="97">
        <f>IFERROR(VLOOKUP(C1429,'Custos Matéria Prima Embalagens'!B:G,6,0)*H1429,"Matéria Prima Não Cadastrada")</f>
        <v>192.2</v>
      </c>
      <c r="K1429" s="97">
        <f>IFERROR(J1429/(I1429/VLOOKUP(A1429,'Tabela de Produtos'!A:H,8,0)),"Matéria Prima Não Cadastrada")</f>
        <v>3.6632782719186783</v>
      </c>
      <c r="L1429" s="216"/>
    </row>
    <row r="1430" spans="1:12" ht="15.75" customHeight="1">
      <c r="A1430" s="114" t="s">
        <v>205</v>
      </c>
      <c r="B1430" s="114" t="str">
        <f>VLOOKUP(A1430,'Tabela de Produtos'!A:B,2,0)</f>
        <v>BRAZIMIL LÁTEX STANDARD INT/EXT SEMIBRILHO 15L FLAMINGO</v>
      </c>
      <c r="C1430" s="48" t="s">
        <v>1209</v>
      </c>
      <c r="D1430" s="114" t="str">
        <f>VLOOKUP(C1430,'Custos Matéria Prima Embalagens'!B:C,2,0)</f>
        <v>WANFUNG WFT CE (BH-200)</v>
      </c>
      <c r="E1430" s="114" t="str">
        <f>VLOOKUP(C1430,'Custos Matéria Prima Embalagens'!B:D,3,0)</f>
        <v>FUNGICIDA</v>
      </c>
      <c r="F1430" s="270">
        <f t="shared" si="186"/>
        <v>999.2</v>
      </c>
      <c r="G1430" s="148">
        <f t="shared" si="187"/>
        <v>3.0024019215372298E-3</v>
      </c>
      <c r="H1430" s="275">
        <v>3</v>
      </c>
      <c r="I1430" s="272">
        <f>ROUND(F1430/VLOOKUP(A1430,'Tabela de Produtos'!A:J,10,0),0)</f>
        <v>787</v>
      </c>
      <c r="J1430" s="97">
        <f>IFERROR(VLOOKUP(C1430,'Custos Matéria Prima Embalagens'!B:G,6,0)*H1430,"Matéria Prima Não Cadastrada")</f>
        <v>21</v>
      </c>
      <c r="K1430" s="97">
        <f>IFERROR(J1430/(I1430/VLOOKUP(A1430,'Tabela de Produtos'!A:H,8,0)),"Matéria Prima Não Cadastrada")</f>
        <v>0.40025412960609907</v>
      </c>
      <c r="L1430" s="216"/>
    </row>
    <row r="1431" spans="1:12" ht="15.75" customHeight="1">
      <c r="A1431" s="114" t="s">
        <v>205</v>
      </c>
      <c r="B1431" s="114" t="str">
        <f>VLOOKUP(A1431,'Tabela de Produtos'!A:B,2,0)</f>
        <v>BRAZIMIL LÁTEX STANDARD INT/EXT SEMIBRILHO 15L FLAMINGO</v>
      </c>
      <c r="C1431" s="48" t="s">
        <v>1219</v>
      </c>
      <c r="D1431" s="114" t="str">
        <f>VLOOKUP(C1431,'Custos Matéria Prima Embalagens'!B:C,2,0)</f>
        <v>WANALK 70 CE (BH-200)</v>
      </c>
      <c r="E1431" s="114" t="str">
        <f>VLOOKUP(C1431,'Custos Matéria Prima Embalagens'!B:D,3,0)</f>
        <v>ALCALINIZANTE</v>
      </c>
      <c r="F1431" s="270">
        <f t="shared" si="186"/>
        <v>999.2</v>
      </c>
      <c r="G1431" s="148">
        <f t="shared" si="187"/>
        <v>3.0024019215372298E-3</v>
      </c>
      <c r="H1431" s="275">
        <v>3</v>
      </c>
      <c r="I1431" s="272">
        <f>ROUND(F1431/VLOOKUP(A1431,'Tabela de Produtos'!A:J,10,0),0)</f>
        <v>787</v>
      </c>
      <c r="J1431" s="97">
        <f>IFERROR(VLOOKUP(C1431,'Custos Matéria Prima Embalagens'!B:G,6,0)*H1431,"Matéria Prima Não Cadastrada")</f>
        <v>14.940000000000001</v>
      </c>
      <c r="K1431" s="97">
        <f>IFERROR(J1431/(I1431/VLOOKUP(A1431,'Tabela de Produtos'!A:H,8,0)),"Matéria Prima Não Cadastrada")</f>
        <v>0.28475222363405339</v>
      </c>
      <c r="L1431" s="216"/>
    </row>
    <row r="1432" spans="1:12" ht="15.75" customHeight="1">
      <c r="A1432" s="114" t="s">
        <v>205</v>
      </c>
      <c r="B1432" s="114" t="str">
        <f>VLOOKUP(A1432,'Tabela de Produtos'!A:B,2,0)</f>
        <v>BRAZIMIL LÁTEX STANDARD INT/EXT SEMIBRILHO 15L FLAMINGO</v>
      </c>
      <c r="C1432" s="48" t="s">
        <v>1221</v>
      </c>
      <c r="D1432" s="114" t="str">
        <f>VLOOKUP(C1432,'Custos Matéria Prima Embalagens'!B:C,2,0)</f>
        <v>MODIWAN 105H CE (CT-1000P)</v>
      </c>
      <c r="E1432" s="114" t="str">
        <f>VLOOKUP(C1432,'Custos Matéria Prima Embalagens'!B:D,3,0)</f>
        <v>ESPESSANTE DE MEDIA</v>
      </c>
      <c r="F1432" s="270">
        <f t="shared" si="186"/>
        <v>999.2</v>
      </c>
      <c r="G1432" s="148">
        <f t="shared" si="187"/>
        <v>2.0016012810248198E-2</v>
      </c>
      <c r="H1432" s="275">
        <v>20</v>
      </c>
      <c r="I1432" s="272">
        <f>ROUND(F1432/VLOOKUP(A1432,'Tabela de Produtos'!A:J,10,0),0)</f>
        <v>787</v>
      </c>
      <c r="J1432" s="97">
        <f>IFERROR(VLOOKUP(C1432,'Custos Matéria Prima Embalagens'!B:G,6,0)*H1432,"Matéria Prima Não Cadastrada")</f>
        <v>158.1</v>
      </c>
      <c r="K1432" s="97">
        <f>IFERROR(J1432/(I1432/VLOOKUP(A1432,'Tabela de Produtos'!A:H,8,0)),"Matéria Prima Não Cadastrada")</f>
        <v>3.0133418043202029</v>
      </c>
      <c r="L1432" s="216"/>
    </row>
    <row r="1433" spans="1:12" ht="15.75" customHeight="1">
      <c r="A1433" s="114" t="s">
        <v>205</v>
      </c>
      <c r="B1433" s="114" t="str">
        <f>VLOOKUP(A1433,'Tabela de Produtos'!A:B,2,0)</f>
        <v>BRAZIMIL LÁTEX STANDARD INT/EXT SEMIBRILHO 15L FLAMINGO</v>
      </c>
      <c r="C1433" s="48" t="s">
        <v>1270</v>
      </c>
      <c r="D1433" s="114" t="str">
        <f>VLOOKUP(C1433,'Custos Matéria Prima Embalagens'!B:C,2,0)</f>
        <v>MISTURA CONCENTRADO SEMI BRILHO</v>
      </c>
      <c r="E1433" s="114" t="str">
        <f>VLOOKUP(C1433,'Custos Matéria Prima Embalagens'!B:D,3,0)</f>
        <v>MISTURA CONCENTRADO SEMI BRILHO</v>
      </c>
      <c r="F1433" s="270">
        <f t="shared" si="186"/>
        <v>999.2</v>
      </c>
      <c r="G1433" s="148">
        <f t="shared" si="187"/>
        <v>0.244195356285028</v>
      </c>
      <c r="H1433" s="275">
        <v>244</v>
      </c>
      <c r="I1433" s="272">
        <f>ROUND(F1433/VLOOKUP(A1433,'Tabela de Produtos'!A:J,10,0),0)</f>
        <v>787</v>
      </c>
      <c r="J1433" s="97">
        <f>IFERROR(VLOOKUP(C1433,'Custos Matéria Prima Embalagens'!B:G,6,0)*H1433,"Matéria Prima Não Cadastrada")</f>
        <v>2188.6800000000003</v>
      </c>
      <c r="K1433" s="97">
        <f>IFERROR(J1433/(I1433/VLOOKUP(A1433,'Tabela de Produtos'!A:H,8,0)),"Matéria Prima Não Cadastrada")</f>
        <v>41.7156289707751</v>
      </c>
      <c r="L1433" s="216"/>
    </row>
    <row r="1434" spans="1:12" ht="15.75" customHeight="1">
      <c r="D1434" s="114"/>
      <c r="E1434" s="114"/>
      <c r="F1434" s="96"/>
      <c r="G1434" s="148"/>
      <c r="H1434" s="96"/>
      <c r="I1434" s="272"/>
      <c r="J1434" s="97"/>
      <c r="K1434" s="97"/>
      <c r="L1434" s="216"/>
    </row>
    <row r="1435" spans="1:12" ht="15.75" customHeight="1">
      <c r="A1435" s="114" t="s">
        <v>206</v>
      </c>
      <c r="B1435" s="114" t="str">
        <f>VLOOKUP(A1435,'Tabela de Produtos'!A:B,2,0)</f>
        <v>BRAZIMIL LÁTEX STANDARD INT/EXT SEMIBRILHO 15L AREIA</v>
      </c>
      <c r="C1435" s="48" t="s">
        <v>1197</v>
      </c>
      <c r="D1435" s="114" t="str">
        <f>VLOOKUP(C1435,'Custos Matéria Prima Embalagens'!B:C,2,0)</f>
        <v>AGUA</v>
      </c>
      <c r="E1435" s="114" t="str">
        <f>VLOOKUP(C1435,'Custos Matéria Prima Embalagens'!B:D,3,0)</f>
        <v>AGUA</v>
      </c>
      <c r="F1435" s="270">
        <f t="shared" ref="F1435:F1446" si="188">SUMIFS(H:H,A:A,A1435)</f>
        <v>999.2</v>
      </c>
      <c r="G1435" s="148">
        <f t="shared" ref="G1435:G1446" si="189">H1435/F1435</f>
        <v>0.55044035228182542</v>
      </c>
      <c r="H1435" s="275">
        <v>550</v>
      </c>
      <c r="I1435" s="272">
        <f>ROUND(F1435/VLOOKUP(A1435,'Tabela de Produtos'!A:J,10,0),0)</f>
        <v>787</v>
      </c>
      <c r="J1435" s="97">
        <f>IFERROR(VLOOKUP(C1435,'Custos Matéria Prima Embalagens'!B:G,6,0)*H1435,"Matéria Prima Não Cadastrada")</f>
        <v>0</v>
      </c>
      <c r="K1435" s="97">
        <f>IFERROR(J1435/(I1435/VLOOKUP(A1435,'Tabela de Produtos'!A:H,8,0)),"Matéria Prima Não Cadastrada")</f>
        <v>0</v>
      </c>
      <c r="L1435" s="216"/>
    </row>
    <row r="1436" spans="1:12" ht="15.75" customHeight="1">
      <c r="A1436" s="114" t="s">
        <v>206</v>
      </c>
      <c r="B1436" s="114" t="str">
        <f>VLOOKUP(A1436,'Tabela de Produtos'!A:B,2,0)</f>
        <v>BRAZIMIL LÁTEX STANDARD INT/EXT SEMIBRILHO 15L AREIA</v>
      </c>
      <c r="C1436" s="48" t="s">
        <v>1199</v>
      </c>
      <c r="D1436" s="114" t="str">
        <f>VLOOKUP(C1436,'Custos Matéria Prima Embalagens'!B:C,2,0)</f>
        <v>HEXAMETAFOSFATO DE SODIO</v>
      </c>
      <c r="E1436" s="114" t="str">
        <f>VLOOKUP(C1436,'Custos Matéria Prima Embalagens'!B:D,3,0)</f>
        <v>HEXAMETAFOSFATO DE SODIO</v>
      </c>
      <c r="F1436" s="270">
        <f t="shared" si="188"/>
        <v>999.2</v>
      </c>
      <c r="G1436" s="148">
        <f t="shared" si="189"/>
        <v>1.2009607686148918E-3</v>
      </c>
      <c r="H1436" s="275">
        <v>1.2</v>
      </c>
      <c r="I1436" s="272">
        <f>ROUND(F1436/VLOOKUP(A1436,'Tabela de Produtos'!A:J,10,0),0)</f>
        <v>787</v>
      </c>
      <c r="J1436" s="97">
        <f>IFERROR(VLOOKUP(C1436,'Custos Matéria Prima Embalagens'!B:G,6,0)*H1436,"Matéria Prima Não Cadastrada")</f>
        <v>21.527999999999995</v>
      </c>
      <c r="K1436" s="97">
        <f>IFERROR(J1436/(I1436/VLOOKUP(A1436,'Tabela de Produtos'!A:H,8,0)),"Matéria Prima Não Cadastrada")</f>
        <v>0.41031766200762376</v>
      </c>
      <c r="L1436" s="216"/>
    </row>
    <row r="1437" spans="1:12" ht="15.75" customHeight="1">
      <c r="A1437" s="114" t="s">
        <v>206</v>
      </c>
      <c r="B1437" s="114" t="str">
        <f>VLOOKUP(A1437,'Tabela de Produtos'!A:B,2,0)</f>
        <v>BRAZIMIL LÁTEX STANDARD INT/EXT SEMIBRILHO 15L AREIA</v>
      </c>
      <c r="C1437" s="48" t="s">
        <v>1201</v>
      </c>
      <c r="D1437" s="114" t="str">
        <f>VLOOKUP(C1437,'Custos Matéria Prima Embalagens'!B:C,2,0)</f>
        <v>WANFOAM 528 CE (BB-190)</v>
      </c>
      <c r="E1437" s="114" t="str">
        <f>VLOOKUP(C1437,'Custos Matéria Prima Embalagens'!B:D,3,0)</f>
        <v>ANTI ESPUMA LATEX</v>
      </c>
      <c r="F1437" s="270">
        <f t="shared" si="188"/>
        <v>999.2</v>
      </c>
      <c r="G1437" s="148">
        <f t="shared" si="189"/>
        <v>2.0016012810248197E-3</v>
      </c>
      <c r="H1437" s="275">
        <v>2</v>
      </c>
      <c r="I1437" s="272">
        <f>ROUND(F1437/VLOOKUP(A1437,'Tabela de Produtos'!A:J,10,0),0)</f>
        <v>787</v>
      </c>
      <c r="J1437" s="97">
        <f>IFERROR(VLOOKUP(C1437,'Custos Matéria Prima Embalagens'!B:G,6,0)*H1437,"Matéria Prima Não Cadastrada")</f>
        <v>14.36</v>
      </c>
      <c r="K1437" s="97">
        <f>IFERROR(J1437/(I1437/VLOOKUP(A1437,'Tabela de Produtos'!A:H,8,0)),"Matéria Prima Não Cadastrada")</f>
        <v>0.27369758576874204</v>
      </c>
      <c r="L1437" s="216"/>
    </row>
    <row r="1438" spans="1:12" ht="15.75" customHeight="1">
      <c r="A1438" s="114" t="s">
        <v>206</v>
      </c>
      <c r="B1438" s="114" t="str">
        <f>VLOOKUP(A1438,'Tabela de Produtos'!A:B,2,0)</f>
        <v>BRAZIMIL LÁTEX STANDARD INT/EXT SEMIBRILHO 15L AREIA</v>
      </c>
      <c r="C1438" s="48" t="s">
        <v>1203</v>
      </c>
      <c r="D1438" s="114" t="str">
        <f>VLOOKUP(C1438,'Custos Matéria Prima Embalagens'!B:C,2,0)</f>
        <v>WANBAC WBT CE (BH-200)</v>
      </c>
      <c r="E1438" s="114" t="str">
        <f>VLOOKUP(C1438,'Custos Matéria Prima Embalagens'!B:D,3,0)</f>
        <v>BACTERICIDA</v>
      </c>
      <c r="F1438" s="270">
        <f t="shared" si="188"/>
        <v>999.2</v>
      </c>
      <c r="G1438" s="148">
        <f t="shared" si="189"/>
        <v>2.0016012810248197E-3</v>
      </c>
      <c r="H1438" s="275">
        <v>2</v>
      </c>
      <c r="I1438" s="272">
        <f>ROUND(F1438/VLOOKUP(A1438,'Tabela de Produtos'!A:J,10,0),0)</f>
        <v>787</v>
      </c>
      <c r="J1438" s="97">
        <f>IFERROR(VLOOKUP(C1438,'Custos Matéria Prima Embalagens'!B:G,6,0)*H1438,"Matéria Prima Não Cadastrada")</f>
        <v>9.879999999999999</v>
      </c>
      <c r="K1438" s="97">
        <f>IFERROR(J1438/(I1438/VLOOKUP(A1438,'Tabela de Produtos'!A:H,8,0)),"Matéria Prima Não Cadastrada")</f>
        <v>0.18831003811944089</v>
      </c>
      <c r="L1438" s="216"/>
    </row>
    <row r="1439" spans="1:12" ht="15.75" customHeight="1">
      <c r="A1439" s="114" t="s">
        <v>206</v>
      </c>
      <c r="B1439" s="114" t="str">
        <f>VLOOKUP(A1439,'Tabela de Produtos'!A:B,2,0)</f>
        <v>BRAZIMIL LÁTEX STANDARD INT/EXT SEMIBRILHO 15L AREIA</v>
      </c>
      <c r="C1439" s="48" t="s">
        <v>1205</v>
      </c>
      <c r="D1439" s="114" t="str">
        <f>VLOOKUP(C1439,'Custos Matéria Prima Embalagens'!B:C,2,0)</f>
        <v>WANSUR 840 CE (BB-200)01</v>
      </c>
      <c r="E1439" s="114" t="str">
        <f>VLOOKUP(C1439,'Custos Matéria Prima Embalagens'!B:D,3,0)</f>
        <v>UMECTANTE</v>
      </c>
      <c r="F1439" s="270">
        <f t="shared" si="188"/>
        <v>999.2</v>
      </c>
      <c r="G1439" s="148">
        <f t="shared" si="189"/>
        <v>2.0016012810248197E-3</v>
      </c>
      <c r="H1439" s="275">
        <v>2</v>
      </c>
      <c r="I1439" s="272">
        <f>ROUND(F1439/VLOOKUP(A1439,'Tabela de Produtos'!A:J,10,0),0)</f>
        <v>787</v>
      </c>
      <c r="J1439" s="97">
        <f>IFERROR(VLOOKUP(C1439,'Custos Matéria Prima Embalagens'!B:G,6,0)*H1439,"Matéria Prima Não Cadastrada")</f>
        <v>14.66</v>
      </c>
      <c r="K1439" s="97">
        <f>IFERROR(J1439/(I1439/VLOOKUP(A1439,'Tabela de Produtos'!A:H,8,0)),"Matéria Prima Não Cadastrada")</f>
        <v>0.27941550190597203</v>
      </c>
      <c r="L1439" s="216"/>
    </row>
    <row r="1440" spans="1:12" ht="15.75" customHeight="1">
      <c r="A1440" s="114" t="s">
        <v>206</v>
      </c>
      <c r="B1440" s="114" t="str">
        <f>VLOOKUP(A1440,'Tabela de Produtos'!A:B,2,0)</f>
        <v>BRAZIMIL LÁTEX STANDARD INT/EXT SEMIBRILHO 15L AREIA</v>
      </c>
      <c r="C1440" s="48" t="s">
        <v>1207</v>
      </c>
      <c r="D1440" s="114" t="str">
        <f>VLOOKUP(C1440,'Custos Matéria Prima Embalagens'!B:C,2,0)</f>
        <v>WANPEX 1510 (BB-200)</v>
      </c>
      <c r="E1440" s="114" t="str">
        <f>VLOOKUP(C1440,'Custos Matéria Prima Embalagens'!B:D,3,0)</f>
        <v>DISPERSANTE LATEX</v>
      </c>
      <c r="F1440" s="270">
        <f t="shared" si="188"/>
        <v>999.2</v>
      </c>
      <c r="G1440" s="148">
        <f t="shared" si="189"/>
        <v>2.0016012810248197E-3</v>
      </c>
      <c r="H1440" s="275">
        <v>2</v>
      </c>
      <c r="I1440" s="272">
        <f>ROUND(F1440/VLOOKUP(A1440,'Tabela de Produtos'!A:J,10,0),0)</f>
        <v>787</v>
      </c>
      <c r="J1440" s="97">
        <f>IFERROR(VLOOKUP(C1440,'Custos Matéria Prima Embalagens'!B:G,6,0)*H1440,"Matéria Prima Não Cadastrada")</f>
        <v>13.719999999999999</v>
      </c>
      <c r="K1440" s="97">
        <f>IFERROR(J1440/(I1440/VLOOKUP(A1440,'Tabela de Produtos'!A:H,8,0)),"Matéria Prima Não Cadastrada")</f>
        <v>0.26149936467598472</v>
      </c>
      <c r="L1440" s="216"/>
    </row>
    <row r="1441" spans="1:12" ht="15.75" customHeight="1">
      <c r="A1441" s="114" t="s">
        <v>206</v>
      </c>
      <c r="B1441" s="114" t="str">
        <f>VLOOKUP(A1441,'Tabela de Produtos'!A:B,2,0)</f>
        <v>BRAZIMIL LÁTEX STANDARD INT/EXT SEMIBRILHO 15L AREIA</v>
      </c>
      <c r="C1441" s="48" t="s">
        <v>1217</v>
      </c>
      <c r="D1441" s="114" t="str">
        <f>VLOOKUP(C1441,'Custos Matéria Prima Embalagens'!B:C,2,0)</f>
        <v>WANCRIL W 51 CE (CT-1000P)</v>
      </c>
      <c r="E1441" s="114" t="str">
        <f>VLOOKUP(C1441,'Custos Matéria Prima Embalagens'!B:D,3,0)</f>
        <v>RESINA ACRILICA ESTIRENADA</v>
      </c>
      <c r="F1441" s="270">
        <f t="shared" si="188"/>
        <v>999.2</v>
      </c>
      <c r="G1441" s="148">
        <f t="shared" si="189"/>
        <v>0.16012810248198558</v>
      </c>
      <c r="H1441" s="275">
        <v>160</v>
      </c>
      <c r="I1441" s="272">
        <f>ROUND(F1441/VLOOKUP(A1441,'Tabela de Produtos'!A:J,10,0),0)</f>
        <v>787</v>
      </c>
      <c r="J1441" s="97">
        <f>IFERROR(VLOOKUP(C1441,'Custos Matéria Prima Embalagens'!B:G,6,0)*H1441,"Matéria Prima Não Cadastrada")</f>
        <v>1348.8</v>
      </c>
      <c r="K1441" s="97">
        <f>IFERROR(J1441/(I1441/VLOOKUP(A1441,'Tabela de Produtos'!A:H,8,0)),"Matéria Prima Não Cadastrada")</f>
        <v>25.707750952986022</v>
      </c>
      <c r="L1441" s="216"/>
    </row>
    <row r="1442" spans="1:12" ht="15.75" customHeight="1">
      <c r="A1442" s="114" t="s">
        <v>206</v>
      </c>
      <c r="B1442" s="114" t="str">
        <f>VLOOKUP(A1442,'Tabela de Produtos'!A:B,2,0)</f>
        <v>BRAZIMIL LÁTEX STANDARD INT/EXT SEMIBRILHO 15L AREIA</v>
      </c>
      <c r="C1442" s="48" t="s">
        <v>1229</v>
      </c>
      <c r="D1442" s="114" t="str">
        <f>VLOOKUP(C1442,'Custos Matéria Prima Embalagens'!B:C,2,0)</f>
        <v>WANSOL 340 CE (BB-200)</v>
      </c>
      <c r="E1442" s="114" t="str">
        <f>VLOOKUP(C1442,'Custos Matéria Prima Embalagens'!B:D,3,0)</f>
        <v>COALESCENTE</v>
      </c>
      <c r="F1442" s="270">
        <f t="shared" si="188"/>
        <v>999.2</v>
      </c>
      <c r="G1442" s="148">
        <f t="shared" si="189"/>
        <v>1.0008006405124099E-2</v>
      </c>
      <c r="H1442" s="275">
        <v>10</v>
      </c>
      <c r="I1442" s="272">
        <f>ROUND(F1442/VLOOKUP(A1442,'Tabela de Produtos'!A:J,10,0),0)</f>
        <v>787</v>
      </c>
      <c r="J1442" s="97">
        <f>IFERROR(VLOOKUP(C1442,'Custos Matéria Prima Embalagens'!B:G,6,0)*H1442,"Matéria Prima Não Cadastrada")</f>
        <v>192.2</v>
      </c>
      <c r="K1442" s="97">
        <f>IFERROR(J1442/(I1442/VLOOKUP(A1442,'Tabela de Produtos'!A:H,8,0)),"Matéria Prima Não Cadastrada")</f>
        <v>3.6632782719186783</v>
      </c>
      <c r="L1442" s="216"/>
    </row>
    <row r="1443" spans="1:12" ht="15.75" customHeight="1">
      <c r="A1443" s="114" t="s">
        <v>206</v>
      </c>
      <c r="B1443" s="114" t="str">
        <f>VLOOKUP(A1443,'Tabela de Produtos'!A:B,2,0)</f>
        <v>BRAZIMIL LÁTEX STANDARD INT/EXT SEMIBRILHO 15L AREIA</v>
      </c>
      <c r="C1443" s="48" t="s">
        <v>1209</v>
      </c>
      <c r="D1443" s="114" t="str">
        <f>VLOOKUP(C1443,'Custos Matéria Prima Embalagens'!B:C,2,0)</f>
        <v>WANFUNG WFT CE (BH-200)</v>
      </c>
      <c r="E1443" s="114" t="str">
        <f>VLOOKUP(C1443,'Custos Matéria Prima Embalagens'!B:D,3,0)</f>
        <v>FUNGICIDA</v>
      </c>
      <c r="F1443" s="270">
        <f t="shared" si="188"/>
        <v>999.2</v>
      </c>
      <c r="G1443" s="148">
        <f t="shared" si="189"/>
        <v>3.0024019215372298E-3</v>
      </c>
      <c r="H1443" s="275">
        <v>3</v>
      </c>
      <c r="I1443" s="272">
        <f>ROUND(F1443/VLOOKUP(A1443,'Tabela de Produtos'!A:J,10,0),0)</f>
        <v>787</v>
      </c>
      <c r="J1443" s="97">
        <f>IFERROR(VLOOKUP(C1443,'Custos Matéria Prima Embalagens'!B:G,6,0)*H1443,"Matéria Prima Não Cadastrada")</f>
        <v>21</v>
      </c>
      <c r="K1443" s="97">
        <f>IFERROR(J1443/(I1443/VLOOKUP(A1443,'Tabela de Produtos'!A:H,8,0)),"Matéria Prima Não Cadastrada")</f>
        <v>0.40025412960609907</v>
      </c>
      <c r="L1443" s="216"/>
    </row>
    <row r="1444" spans="1:12" ht="15.75" customHeight="1">
      <c r="A1444" s="114" t="s">
        <v>206</v>
      </c>
      <c r="B1444" s="114" t="str">
        <f>VLOOKUP(A1444,'Tabela de Produtos'!A:B,2,0)</f>
        <v>BRAZIMIL LÁTEX STANDARD INT/EXT SEMIBRILHO 15L AREIA</v>
      </c>
      <c r="C1444" s="48" t="s">
        <v>1219</v>
      </c>
      <c r="D1444" s="114" t="str">
        <f>VLOOKUP(C1444,'Custos Matéria Prima Embalagens'!B:C,2,0)</f>
        <v>WANALK 70 CE (BH-200)</v>
      </c>
      <c r="E1444" s="114" t="str">
        <f>VLOOKUP(C1444,'Custos Matéria Prima Embalagens'!B:D,3,0)</f>
        <v>ALCALINIZANTE</v>
      </c>
      <c r="F1444" s="270">
        <f t="shared" si="188"/>
        <v>999.2</v>
      </c>
      <c r="G1444" s="148">
        <f t="shared" si="189"/>
        <v>3.0024019215372298E-3</v>
      </c>
      <c r="H1444" s="275">
        <v>3</v>
      </c>
      <c r="I1444" s="272">
        <f>ROUND(F1444/VLOOKUP(A1444,'Tabela de Produtos'!A:J,10,0),0)</f>
        <v>787</v>
      </c>
      <c r="J1444" s="97">
        <f>IFERROR(VLOOKUP(C1444,'Custos Matéria Prima Embalagens'!B:G,6,0)*H1444,"Matéria Prima Não Cadastrada")</f>
        <v>14.940000000000001</v>
      </c>
      <c r="K1444" s="97">
        <f>IFERROR(J1444/(I1444/VLOOKUP(A1444,'Tabela de Produtos'!A:H,8,0)),"Matéria Prima Não Cadastrada")</f>
        <v>0.28475222363405339</v>
      </c>
      <c r="L1444" s="216"/>
    </row>
    <row r="1445" spans="1:12" ht="15.75" customHeight="1">
      <c r="A1445" s="114" t="s">
        <v>206</v>
      </c>
      <c r="B1445" s="114" t="str">
        <f>VLOOKUP(A1445,'Tabela de Produtos'!A:B,2,0)</f>
        <v>BRAZIMIL LÁTEX STANDARD INT/EXT SEMIBRILHO 15L AREIA</v>
      </c>
      <c r="C1445" s="48" t="s">
        <v>1221</v>
      </c>
      <c r="D1445" s="114" t="str">
        <f>VLOOKUP(C1445,'Custos Matéria Prima Embalagens'!B:C,2,0)</f>
        <v>MODIWAN 105H CE (CT-1000P)</v>
      </c>
      <c r="E1445" s="114" t="str">
        <f>VLOOKUP(C1445,'Custos Matéria Prima Embalagens'!B:D,3,0)</f>
        <v>ESPESSANTE DE MEDIA</v>
      </c>
      <c r="F1445" s="270">
        <f t="shared" si="188"/>
        <v>999.2</v>
      </c>
      <c r="G1445" s="148">
        <f t="shared" si="189"/>
        <v>2.0016012810248198E-2</v>
      </c>
      <c r="H1445" s="275">
        <v>20</v>
      </c>
      <c r="I1445" s="272">
        <f>ROUND(F1445/VLOOKUP(A1445,'Tabela de Produtos'!A:J,10,0),0)</f>
        <v>787</v>
      </c>
      <c r="J1445" s="97">
        <f>IFERROR(VLOOKUP(C1445,'Custos Matéria Prima Embalagens'!B:G,6,0)*H1445,"Matéria Prima Não Cadastrada")</f>
        <v>158.1</v>
      </c>
      <c r="K1445" s="97">
        <f>IFERROR(J1445/(I1445/VLOOKUP(A1445,'Tabela de Produtos'!A:H,8,0)),"Matéria Prima Não Cadastrada")</f>
        <v>3.0133418043202029</v>
      </c>
      <c r="L1445" s="216"/>
    </row>
    <row r="1446" spans="1:12" ht="15.75" customHeight="1">
      <c r="A1446" s="114" t="s">
        <v>206</v>
      </c>
      <c r="B1446" s="114" t="str">
        <f>VLOOKUP(A1446,'Tabela de Produtos'!A:B,2,0)</f>
        <v>BRAZIMIL LÁTEX STANDARD INT/EXT SEMIBRILHO 15L AREIA</v>
      </c>
      <c r="C1446" s="48" t="s">
        <v>1270</v>
      </c>
      <c r="D1446" s="114" t="str">
        <f>VLOOKUP(C1446,'Custos Matéria Prima Embalagens'!B:C,2,0)</f>
        <v>MISTURA CONCENTRADO SEMI BRILHO</v>
      </c>
      <c r="E1446" s="114" t="str">
        <f>VLOOKUP(C1446,'Custos Matéria Prima Embalagens'!B:D,3,0)</f>
        <v>MISTURA CONCENTRADO SEMI BRILHO</v>
      </c>
      <c r="F1446" s="270">
        <f t="shared" si="188"/>
        <v>999.2</v>
      </c>
      <c r="G1446" s="148">
        <f t="shared" si="189"/>
        <v>0.244195356285028</v>
      </c>
      <c r="H1446" s="275">
        <v>244</v>
      </c>
      <c r="I1446" s="272">
        <f>ROUND(F1446/VLOOKUP(A1446,'Tabela de Produtos'!A:J,10,0),0)</f>
        <v>787</v>
      </c>
      <c r="J1446" s="97">
        <f>IFERROR(VLOOKUP(C1446,'Custos Matéria Prima Embalagens'!B:G,6,0)*H1446,"Matéria Prima Não Cadastrada")</f>
        <v>2188.6800000000003</v>
      </c>
      <c r="K1446" s="97">
        <f>IFERROR(J1446/(I1446/VLOOKUP(A1446,'Tabela de Produtos'!A:H,8,0)),"Matéria Prima Não Cadastrada")</f>
        <v>41.7156289707751</v>
      </c>
      <c r="L1446" s="216"/>
    </row>
    <row r="1447" spans="1:12" ht="15" customHeight="1">
      <c r="D1447" s="114"/>
      <c r="E1447" s="114"/>
      <c r="G1447" s="273"/>
      <c r="H1447" s="96"/>
      <c r="L1447" s="216"/>
    </row>
    <row r="1448" spans="1:12" ht="15.75" customHeight="1">
      <c r="A1448" s="114" t="s">
        <v>207</v>
      </c>
      <c r="B1448" s="114" t="str">
        <f>VLOOKUP(A1448,'Tabela de Produtos'!A:B,2,0)</f>
        <v>BRAZIMIL LÁTEX STANDARD INT/EXT SEMIBRILHO 15L MARFIM</v>
      </c>
      <c r="C1448" s="48" t="s">
        <v>1197</v>
      </c>
      <c r="D1448" s="114" t="str">
        <f>VLOOKUP(C1448,'Custos Matéria Prima Embalagens'!B:C,2,0)</f>
        <v>AGUA</v>
      </c>
      <c r="E1448" s="114" t="str">
        <f>VLOOKUP(C1448,'Custos Matéria Prima Embalagens'!B:D,3,0)</f>
        <v>AGUA</v>
      </c>
      <c r="F1448" s="270">
        <f t="shared" ref="F1448:F1459" si="190">SUMIFS(H:H,A:A,A1448)</f>
        <v>999.2</v>
      </c>
      <c r="G1448" s="148">
        <f t="shared" ref="G1448:G1459" si="191">H1448/F1448</f>
        <v>0.55044035228182542</v>
      </c>
      <c r="H1448" s="275">
        <v>550</v>
      </c>
      <c r="I1448" s="272">
        <f>ROUND(F1448/VLOOKUP(A1448,'Tabela de Produtos'!A:J,10,0),0)</f>
        <v>787</v>
      </c>
      <c r="J1448" s="97">
        <f>IFERROR(VLOOKUP(C1448,'Custos Matéria Prima Embalagens'!B:G,6,0)*H1448,"Matéria Prima Não Cadastrada")</f>
        <v>0</v>
      </c>
      <c r="K1448" s="97">
        <f>IFERROR(J1448/(I1448/VLOOKUP(A1448,'Tabela de Produtos'!A:H,8,0)),"Matéria Prima Não Cadastrada")</f>
        <v>0</v>
      </c>
      <c r="L1448" s="216"/>
    </row>
    <row r="1449" spans="1:12" ht="15.75" customHeight="1">
      <c r="A1449" s="114" t="s">
        <v>207</v>
      </c>
      <c r="B1449" s="114" t="str">
        <f>VLOOKUP(A1449,'Tabela de Produtos'!A:B,2,0)</f>
        <v>BRAZIMIL LÁTEX STANDARD INT/EXT SEMIBRILHO 15L MARFIM</v>
      </c>
      <c r="C1449" s="48" t="s">
        <v>1199</v>
      </c>
      <c r="D1449" s="114" t="str">
        <f>VLOOKUP(C1449,'Custos Matéria Prima Embalagens'!B:C,2,0)</f>
        <v>HEXAMETAFOSFATO DE SODIO</v>
      </c>
      <c r="E1449" s="114" t="str">
        <f>VLOOKUP(C1449,'Custos Matéria Prima Embalagens'!B:D,3,0)</f>
        <v>HEXAMETAFOSFATO DE SODIO</v>
      </c>
      <c r="F1449" s="270">
        <f t="shared" si="190"/>
        <v>999.2</v>
      </c>
      <c r="G1449" s="148">
        <f t="shared" si="191"/>
        <v>1.2009607686148918E-3</v>
      </c>
      <c r="H1449" s="275">
        <v>1.2</v>
      </c>
      <c r="I1449" s="272">
        <f>ROUND(F1449/VLOOKUP(A1449,'Tabela de Produtos'!A:J,10,0),0)</f>
        <v>787</v>
      </c>
      <c r="J1449" s="97">
        <f>IFERROR(VLOOKUP(C1449,'Custos Matéria Prima Embalagens'!B:G,6,0)*H1449,"Matéria Prima Não Cadastrada")</f>
        <v>21.527999999999995</v>
      </c>
      <c r="K1449" s="97">
        <f>IFERROR(J1449/(I1449/VLOOKUP(A1449,'Tabela de Produtos'!A:H,8,0)),"Matéria Prima Não Cadastrada")</f>
        <v>0.41031766200762376</v>
      </c>
      <c r="L1449" s="216"/>
    </row>
    <row r="1450" spans="1:12" ht="15.75" customHeight="1">
      <c r="A1450" s="114" t="s">
        <v>207</v>
      </c>
      <c r="B1450" s="114" t="str">
        <f>VLOOKUP(A1450,'Tabela de Produtos'!A:B,2,0)</f>
        <v>BRAZIMIL LÁTEX STANDARD INT/EXT SEMIBRILHO 15L MARFIM</v>
      </c>
      <c r="C1450" s="48" t="s">
        <v>1201</v>
      </c>
      <c r="D1450" s="114" t="str">
        <f>VLOOKUP(C1450,'Custos Matéria Prima Embalagens'!B:C,2,0)</f>
        <v>WANFOAM 528 CE (BB-190)</v>
      </c>
      <c r="E1450" s="114" t="str">
        <f>VLOOKUP(C1450,'Custos Matéria Prima Embalagens'!B:D,3,0)</f>
        <v>ANTI ESPUMA LATEX</v>
      </c>
      <c r="F1450" s="270">
        <f t="shared" si="190"/>
        <v>999.2</v>
      </c>
      <c r="G1450" s="148">
        <f t="shared" si="191"/>
        <v>2.0016012810248197E-3</v>
      </c>
      <c r="H1450" s="275">
        <v>2</v>
      </c>
      <c r="I1450" s="272">
        <f>ROUND(F1450/VLOOKUP(A1450,'Tabela de Produtos'!A:J,10,0),0)</f>
        <v>787</v>
      </c>
      <c r="J1450" s="97">
        <f>IFERROR(VLOOKUP(C1450,'Custos Matéria Prima Embalagens'!B:G,6,0)*H1450,"Matéria Prima Não Cadastrada")</f>
        <v>14.36</v>
      </c>
      <c r="K1450" s="97">
        <f>IFERROR(J1450/(I1450/VLOOKUP(A1450,'Tabela de Produtos'!A:H,8,0)),"Matéria Prima Não Cadastrada")</f>
        <v>0.27369758576874204</v>
      </c>
      <c r="L1450" s="216"/>
    </row>
    <row r="1451" spans="1:12" ht="15.75" customHeight="1">
      <c r="A1451" s="114" t="s">
        <v>207</v>
      </c>
      <c r="B1451" s="114" t="str">
        <f>VLOOKUP(A1451,'Tabela de Produtos'!A:B,2,0)</f>
        <v>BRAZIMIL LÁTEX STANDARD INT/EXT SEMIBRILHO 15L MARFIM</v>
      </c>
      <c r="C1451" s="48" t="s">
        <v>1203</v>
      </c>
      <c r="D1451" s="114" t="str">
        <f>VLOOKUP(C1451,'Custos Matéria Prima Embalagens'!B:C,2,0)</f>
        <v>WANBAC WBT CE (BH-200)</v>
      </c>
      <c r="E1451" s="114" t="str">
        <f>VLOOKUP(C1451,'Custos Matéria Prima Embalagens'!B:D,3,0)</f>
        <v>BACTERICIDA</v>
      </c>
      <c r="F1451" s="270">
        <f t="shared" si="190"/>
        <v>999.2</v>
      </c>
      <c r="G1451" s="148">
        <f t="shared" si="191"/>
        <v>2.0016012810248197E-3</v>
      </c>
      <c r="H1451" s="275">
        <v>2</v>
      </c>
      <c r="I1451" s="272">
        <f>ROUND(F1451/VLOOKUP(A1451,'Tabela de Produtos'!A:J,10,0),0)</f>
        <v>787</v>
      </c>
      <c r="J1451" s="97">
        <f>IFERROR(VLOOKUP(C1451,'Custos Matéria Prima Embalagens'!B:G,6,0)*H1451,"Matéria Prima Não Cadastrada")</f>
        <v>9.879999999999999</v>
      </c>
      <c r="K1451" s="97">
        <f>IFERROR(J1451/(I1451/VLOOKUP(A1451,'Tabela de Produtos'!A:H,8,0)),"Matéria Prima Não Cadastrada")</f>
        <v>0.18831003811944089</v>
      </c>
      <c r="L1451" s="216"/>
    </row>
    <row r="1452" spans="1:12" ht="15.75" customHeight="1">
      <c r="A1452" s="114" t="s">
        <v>207</v>
      </c>
      <c r="B1452" s="114" t="str">
        <f>VLOOKUP(A1452,'Tabela de Produtos'!A:B,2,0)</f>
        <v>BRAZIMIL LÁTEX STANDARD INT/EXT SEMIBRILHO 15L MARFIM</v>
      </c>
      <c r="C1452" s="48" t="s">
        <v>1205</v>
      </c>
      <c r="D1452" s="114" t="str">
        <f>VLOOKUP(C1452,'Custos Matéria Prima Embalagens'!B:C,2,0)</f>
        <v>WANSUR 840 CE (BB-200)01</v>
      </c>
      <c r="E1452" s="114" t="str">
        <f>VLOOKUP(C1452,'Custos Matéria Prima Embalagens'!B:D,3,0)</f>
        <v>UMECTANTE</v>
      </c>
      <c r="F1452" s="270">
        <f t="shared" si="190"/>
        <v>999.2</v>
      </c>
      <c r="G1452" s="148">
        <f t="shared" si="191"/>
        <v>2.0016012810248197E-3</v>
      </c>
      <c r="H1452" s="275">
        <v>2</v>
      </c>
      <c r="I1452" s="272">
        <f>ROUND(F1452/VLOOKUP(A1452,'Tabela de Produtos'!A:J,10,0),0)</f>
        <v>787</v>
      </c>
      <c r="J1452" s="97">
        <f>IFERROR(VLOOKUP(C1452,'Custos Matéria Prima Embalagens'!B:G,6,0)*H1452,"Matéria Prima Não Cadastrada")</f>
        <v>14.66</v>
      </c>
      <c r="K1452" s="97">
        <f>IFERROR(J1452/(I1452/VLOOKUP(A1452,'Tabela de Produtos'!A:H,8,0)),"Matéria Prima Não Cadastrada")</f>
        <v>0.27941550190597203</v>
      </c>
      <c r="L1452" s="216"/>
    </row>
    <row r="1453" spans="1:12" ht="15.75" customHeight="1">
      <c r="A1453" s="114" t="s">
        <v>207</v>
      </c>
      <c r="B1453" s="114" t="str">
        <f>VLOOKUP(A1453,'Tabela de Produtos'!A:B,2,0)</f>
        <v>BRAZIMIL LÁTEX STANDARD INT/EXT SEMIBRILHO 15L MARFIM</v>
      </c>
      <c r="C1453" s="48" t="s">
        <v>1207</v>
      </c>
      <c r="D1453" s="114" t="str">
        <f>VLOOKUP(C1453,'Custos Matéria Prima Embalagens'!B:C,2,0)</f>
        <v>WANPEX 1510 (BB-200)</v>
      </c>
      <c r="E1453" s="114" t="str">
        <f>VLOOKUP(C1453,'Custos Matéria Prima Embalagens'!B:D,3,0)</f>
        <v>DISPERSANTE LATEX</v>
      </c>
      <c r="F1453" s="270">
        <f t="shared" si="190"/>
        <v>999.2</v>
      </c>
      <c r="G1453" s="148">
        <f t="shared" si="191"/>
        <v>2.0016012810248197E-3</v>
      </c>
      <c r="H1453" s="275">
        <v>2</v>
      </c>
      <c r="I1453" s="272">
        <f>ROUND(F1453/VLOOKUP(A1453,'Tabela de Produtos'!A:J,10,0),0)</f>
        <v>787</v>
      </c>
      <c r="J1453" s="97">
        <f>IFERROR(VLOOKUP(C1453,'Custos Matéria Prima Embalagens'!B:G,6,0)*H1453,"Matéria Prima Não Cadastrada")</f>
        <v>13.719999999999999</v>
      </c>
      <c r="K1453" s="97">
        <f>IFERROR(J1453/(I1453/VLOOKUP(A1453,'Tabela de Produtos'!A:H,8,0)),"Matéria Prima Não Cadastrada")</f>
        <v>0.26149936467598472</v>
      </c>
      <c r="L1453" s="216"/>
    </row>
    <row r="1454" spans="1:12" ht="15.75" customHeight="1">
      <c r="A1454" s="114" t="s">
        <v>207</v>
      </c>
      <c r="B1454" s="114" t="str">
        <f>VLOOKUP(A1454,'Tabela de Produtos'!A:B,2,0)</f>
        <v>BRAZIMIL LÁTEX STANDARD INT/EXT SEMIBRILHO 15L MARFIM</v>
      </c>
      <c r="C1454" s="48" t="s">
        <v>1217</v>
      </c>
      <c r="D1454" s="114" t="str">
        <f>VLOOKUP(C1454,'Custos Matéria Prima Embalagens'!B:C,2,0)</f>
        <v>WANCRIL W 51 CE (CT-1000P)</v>
      </c>
      <c r="E1454" s="114" t="str">
        <f>VLOOKUP(C1454,'Custos Matéria Prima Embalagens'!B:D,3,0)</f>
        <v>RESINA ACRILICA ESTIRENADA</v>
      </c>
      <c r="F1454" s="270">
        <f t="shared" si="190"/>
        <v>999.2</v>
      </c>
      <c r="G1454" s="148">
        <f t="shared" si="191"/>
        <v>0.16012810248198558</v>
      </c>
      <c r="H1454" s="275">
        <v>160</v>
      </c>
      <c r="I1454" s="272">
        <f>ROUND(F1454/VLOOKUP(A1454,'Tabela de Produtos'!A:J,10,0),0)</f>
        <v>787</v>
      </c>
      <c r="J1454" s="97">
        <f>IFERROR(VLOOKUP(C1454,'Custos Matéria Prima Embalagens'!B:G,6,0)*H1454,"Matéria Prima Não Cadastrada")</f>
        <v>1348.8</v>
      </c>
      <c r="K1454" s="97">
        <f>IFERROR(J1454/(I1454/VLOOKUP(A1454,'Tabela de Produtos'!A:H,8,0)),"Matéria Prima Não Cadastrada")</f>
        <v>25.707750952986022</v>
      </c>
      <c r="L1454" s="216"/>
    </row>
    <row r="1455" spans="1:12" ht="15.75" customHeight="1">
      <c r="A1455" s="114" t="s">
        <v>207</v>
      </c>
      <c r="B1455" s="114" t="str">
        <f>VLOOKUP(A1455,'Tabela de Produtos'!A:B,2,0)</f>
        <v>BRAZIMIL LÁTEX STANDARD INT/EXT SEMIBRILHO 15L MARFIM</v>
      </c>
      <c r="C1455" s="48" t="s">
        <v>1229</v>
      </c>
      <c r="D1455" s="114" t="str">
        <f>VLOOKUP(C1455,'Custos Matéria Prima Embalagens'!B:C,2,0)</f>
        <v>WANSOL 340 CE (BB-200)</v>
      </c>
      <c r="E1455" s="114" t="str">
        <f>VLOOKUP(C1455,'Custos Matéria Prima Embalagens'!B:D,3,0)</f>
        <v>COALESCENTE</v>
      </c>
      <c r="F1455" s="270">
        <f t="shared" si="190"/>
        <v>999.2</v>
      </c>
      <c r="G1455" s="148">
        <f t="shared" si="191"/>
        <v>1.0008006405124099E-2</v>
      </c>
      <c r="H1455" s="275">
        <v>10</v>
      </c>
      <c r="I1455" s="272">
        <f>ROUND(F1455/VLOOKUP(A1455,'Tabela de Produtos'!A:J,10,0),0)</f>
        <v>787</v>
      </c>
      <c r="J1455" s="97">
        <f>IFERROR(VLOOKUP(C1455,'Custos Matéria Prima Embalagens'!B:G,6,0)*H1455,"Matéria Prima Não Cadastrada")</f>
        <v>192.2</v>
      </c>
      <c r="K1455" s="97">
        <f>IFERROR(J1455/(I1455/VLOOKUP(A1455,'Tabela de Produtos'!A:H,8,0)),"Matéria Prima Não Cadastrada")</f>
        <v>3.6632782719186783</v>
      </c>
      <c r="L1455" s="216"/>
    </row>
    <row r="1456" spans="1:12" ht="15.75" customHeight="1">
      <c r="A1456" s="114" t="s">
        <v>207</v>
      </c>
      <c r="B1456" s="114" t="str">
        <f>VLOOKUP(A1456,'Tabela de Produtos'!A:B,2,0)</f>
        <v>BRAZIMIL LÁTEX STANDARD INT/EXT SEMIBRILHO 15L MARFIM</v>
      </c>
      <c r="C1456" s="48" t="s">
        <v>1209</v>
      </c>
      <c r="D1456" s="114" t="str">
        <f>VLOOKUP(C1456,'Custos Matéria Prima Embalagens'!B:C,2,0)</f>
        <v>WANFUNG WFT CE (BH-200)</v>
      </c>
      <c r="E1456" s="114" t="str">
        <f>VLOOKUP(C1456,'Custos Matéria Prima Embalagens'!B:D,3,0)</f>
        <v>FUNGICIDA</v>
      </c>
      <c r="F1456" s="270">
        <f t="shared" si="190"/>
        <v>999.2</v>
      </c>
      <c r="G1456" s="148">
        <f t="shared" si="191"/>
        <v>3.0024019215372298E-3</v>
      </c>
      <c r="H1456" s="275">
        <v>3</v>
      </c>
      <c r="I1456" s="272">
        <f>ROUND(F1456/VLOOKUP(A1456,'Tabela de Produtos'!A:J,10,0),0)</f>
        <v>787</v>
      </c>
      <c r="J1456" s="97">
        <f>IFERROR(VLOOKUP(C1456,'Custos Matéria Prima Embalagens'!B:G,6,0)*H1456,"Matéria Prima Não Cadastrada")</f>
        <v>21</v>
      </c>
      <c r="K1456" s="97">
        <f>IFERROR(J1456/(I1456/VLOOKUP(A1456,'Tabela de Produtos'!A:H,8,0)),"Matéria Prima Não Cadastrada")</f>
        <v>0.40025412960609907</v>
      </c>
      <c r="L1456" s="216"/>
    </row>
    <row r="1457" spans="1:12" ht="15.75" customHeight="1">
      <c r="A1457" s="114" t="s">
        <v>207</v>
      </c>
      <c r="B1457" s="114" t="str">
        <f>VLOOKUP(A1457,'Tabela de Produtos'!A:B,2,0)</f>
        <v>BRAZIMIL LÁTEX STANDARD INT/EXT SEMIBRILHO 15L MARFIM</v>
      </c>
      <c r="C1457" s="48" t="s">
        <v>1219</v>
      </c>
      <c r="D1457" s="114" t="str">
        <f>VLOOKUP(C1457,'Custos Matéria Prima Embalagens'!B:C,2,0)</f>
        <v>WANALK 70 CE (BH-200)</v>
      </c>
      <c r="E1457" s="114" t="str">
        <f>VLOOKUP(C1457,'Custos Matéria Prima Embalagens'!B:D,3,0)</f>
        <v>ALCALINIZANTE</v>
      </c>
      <c r="F1457" s="270">
        <f t="shared" si="190"/>
        <v>999.2</v>
      </c>
      <c r="G1457" s="148">
        <f t="shared" si="191"/>
        <v>3.0024019215372298E-3</v>
      </c>
      <c r="H1457" s="275">
        <v>3</v>
      </c>
      <c r="I1457" s="272">
        <f>ROUND(F1457/VLOOKUP(A1457,'Tabela de Produtos'!A:J,10,0),0)</f>
        <v>787</v>
      </c>
      <c r="J1457" s="97">
        <f>IFERROR(VLOOKUP(C1457,'Custos Matéria Prima Embalagens'!B:G,6,0)*H1457,"Matéria Prima Não Cadastrada")</f>
        <v>14.940000000000001</v>
      </c>
      <c r="K1457" s="97">
        <f>IFERROR(J1457/(I1457/VLOOKUP(A1457,'Tabela de Produtos'!A:H,8,0)),"Matéria Prima Não Cadastrada")</f>
        <v>0.28475222363405339</v>
      </c>
      <c r="L1457" s="216"/>
    </row>
    <row r="1458" spans="1:12" ht="15.75" customHeight="1">
      <c r="A1458" s="114" t="s">
        <v>207</v>
      </c>
      <c r="B1458" s="114" t="str">
        <f>VLOOKUP(A1458,'Tabela de Produtos'!A:B,2,0)</f>
        <v>BRAZIMIL LÁTEX STANDARD INT/EXT SEMIBRILHO 15L MARFIM</v>
      </c>
      <c r="C1458" s="48" t="s">
        <v>1221</v>
      </c>
      <c r="D1458" s="114" t="str">
        <f>VLOOKUP(C1458,'Custos Matéria Prima Embalagens'!B:C,2,0)</f>
        <v>MODIWAN 105H CE (CT-1000P)</v>
      </c>
      <c r="E1458" s="114" t="str">
        <f>VLOOKUP(C1458,'Custos Matéria Prima Embalagens'!B:D,3,0)</f>
        <v>ESPESSANTE DE MEDIA</v>
      </c>
      <c r="F1458" s="270">
        <f t="shared" si="190"/>
        <v>999.2</v>
      </c>
      <c r="G1458" s="148">
        <f t="shared" si="191"/>
        <v>2.0016012810248198E-2</v>
      </c>
      <c r="H1458" s="275">
        <v>20</v>
      </c>
      <c r="I1458" s="272">
        <f>ROUND(F1458/VLOOKUP(A1458,'Tabela de Produtos'!A:J,10,0),0)</f>
        <v>787</v>
      </c>
      <c r="J1458" s="97">
        <f>IFERROR(VLOOKUP(C1458,'Custos Matéria Prima Embalagens'!B:G,6,0)*H1458,"Matéria Prima Não Cadastrada")</f>
        <v>158.1</v>
      </c>
      <c r="K1458" s="97">
        <f>IFERROR(J1458/(I1458/VLOOKUP(A1458,'Tabela de Produtos'!A:H,8,0)),"Matéria Prima Não Cadastrada")</f>
        <v>3.0133418043202029</v>
      </c>
      <c r="L1458" s="216"/>
    </row>
    <row r="1459" spans="1:12" ht="15.75" customHeight="1">
      <c r="A1459" s="114" t="s">
        <v>207</v>
      </c>
      <c r="B1459" s="114" t="str">
        <f>VLOOKUP(A1459,'Tabela de Produtos'!A:B,2,0)</f>
        <v>BRAZIMIL LÁTEX STANDARD INT/EXT SEMIBRILHO 15L MARFIM</v>
      </c>
      <c r="C1459" s="48" t="s">
        <v>1270</v>
      </c>
      <c r="D1459" s="114" t="str">
        <f>VLOOKUP(C1459,'Custos Matéria Prima Embalagens'!B:C,2,0)</f>
        <v>MISTURA CONCENTRADO SEMI BRILHO</v>
      </c>
      <c r="E1459" s="114" t="str">
        <f>VLOOKUP(C1459,'Custos Matéria Prima Embalagens'!B:D,3,0)</f>
        <v>MISTURA CONCENTRADO SEMI BRILHO</v>
      </c>
      <c r="F1459" s="270">
        <f t="shared" si="190"/>
        <v>999.2</v>
      </c>
      <c r="G1459" s="148">
        <f t="shared" si="191"/>
        <v>0.244195356285028</v>
      </c>
      <c r="H1459" s="275">
        <v>244</v>
      </c>
      <c r="I1459" s="272">
        <f>ROUND(F1459/VLOOKUP(A1459,'Tabela de Produtos'!A:J,10,0),0)</f>
        <v>787</v>
      </c>
      <c r="J1459" s="97">
        <f>IFERROR(VLOOKUP(C1459,'Custos Matéria Prima Embalagens'!B:G,6,0)*H1459,"Matéria Prima Não Cadastrada")</f>
        <v>2188.6800000000003</v>
      </c>
      <c r="K1459" s="97">
        <f>IFERROR(J1459/(I1459/VLOOKUP(A1459,'Tabela de Produtos'!A:H,8,0)),"Matéria Prima Não Cadastrada")</f>
        <v>41.7156289707751</v>
      </c>
      <c r="L1459" s="216"/>
    </row>
    <row r="1460" spans="1:12" ht="15.75" customHeight="1">
      <c r="D1460" s="114"/>
      <c r="E1460" s="114"/>
      <c r="F1460" s="96"/>
      <c r="G1460" s="148"/>
      <c r="H1460" s="96"/>
      <c r="I1460" s="272"/>
      <c r="J1460" s="97"/>
      <c r="K1460" s="97"/>
      <c r="L1460" s="216"/>
    </row>
    <row r="1461" spans="1:12" ht="15.75" customHeight="1">
      <c r="A1461" s="114" t="s">
        <v>208</v>
      </c>
      <c r="B1461" s="114" t="str">
        <f>VLOOKUP(A1461,'Tabela de Produtos'!A:B,2,0)</f>
        <v>BRAZIMIL LÁTEX STANDARD INT/EXT SEMIBRILHO 15L ROSA PETALA</v>
      </c>
      <c r="C1461" s="48" t="s">
        <v>1197</v>
      </c>
      <c r="D1461" s="114" t="str">
        <f>VLOOKUP(C1461,'Custos Matéria Prima Embalagens'!B:C,2,0)</f>
        <v>AGUA</v>
      </c>
      <c r="E1461" s="114" t="str">
        <f>VLOOKUP(C1461,'Custos Matéria Prima Embalagens'!B:D,3,0)</f>
        <v>AGUA</v>
      </c>
      <c r="F1461" s="270">
        <f t="shared" ref="F1461:F1472" si="192">SUMIFS(H:H,A:A,A1461)</f>
        <v>999.2</v>
      </c>
      <c r="G1461" s="148">
        <f t="shared" ref="G1461:G1472" si="193">H1461/F1461</f>
        <v>0.55044035228182542</v>
      </c>
      <c r="H1461" s="275">
        <v>550</v>
      </c>
      <c r="I1461" s="272">
        <f>ROUND(F1461/VLOOKUP(A1461,'Tabela de Produtos'!A:J,10,0),0)</f>
        <v>787</v>
      </c>
      <c r="J1461" s="97">
        <f>IFERROR(VLOOKUP(C1461,'Custos Matéria Prima Embalagens'!B:G,6,0)*H1461,"Matéria Prima Não Cadastrada")</f>
        <v>0</v>
      </c>
      <c r="K1461" s="97">
        <f>IFERROR(J1461/(I1461/VLOOKUP(A1461,'Tabela de Produtos'!A:H,8,0)),"Matéria Prima Não Cadastrada")</f>
        <v>0</v>
      </c>
      <c r="L1461" s="216"/>
    </row>
    <row r="1462" spans="1:12" ht="15.75" customHeight="1">
      <c r="A1462" s="114" t="s">
        <v>208</v>
      </c>
      <c r="B1462" s="114" t="str">
        <f>VLOOKUP(A1462,'Tabela de Produtos'!A:B,2,0)</f>
        <v>BRAZIMIL LÁTEX STANDARD INT/EXT SEMIBRILHO 15L ROSA PETALA</v>
      </c>
      <c r="C1462" s="48" t="s">
        <v>1199</v>
      </c>
      <c r="D1462" s="114" t="str">
        <f>VLOOKUP(C1462,'Custos Matéria Prima Embalagens'!B:C,2,0)</f>
        <v>HEXAMETAFOSFATO DE SODIO</v>
      </c>
      <c r="E1462" s="114" t="str">
        <f>VLOOKUP(C1462,'Custos Matéria Prima Embalagens'!B:D,3,0)</f>
        <v>HEXAMETAFOSFATO DE SODIO</v>
      </c>
      <c r="F1462" s="270">
        <f t="shared" si="192"/>
        <v>999.2</v>
      </c>
      <c r="G1462" s="148">
        <f t="shared" si="193"/>
        <v>1.2009607686148918E-3</v>
      </c>
      <c r="H1462" s="275">
        <v>1.2</v>
      </c>
      <c r="I1462" s="272">
        <f>ROUND(F1462/VLOOKUP(A1462,'Tabela de Produtos'!A:J,10,0),0)</f>
        <v>787</v>
      </c>
      <c r="J1462" s="97">
        <f>IFERROR(VLOOKUP(C1462,'Custos Matéria Prima Embalagens'!B:G,6,0)*H1462,"Matéria Prima Não Cadastrada")</f>
        <v>21.527999999999995</v>
      </c>
      <c r="K1462" s="97">
        <f>IFERROR(J1462/(I1462/VLOOKUP(A1462,'Tabela de Produtos'!A:H,8,0)),"Matéria Prima Não Cadastrada")</f>
        <v>0.41031766200762376</v>
      </c>
      <c r="L1462" s="216"/>
    </row>
    <row r="1463" spans="1:12" ht="15.75" customHeight="1">
      <c r="A1463" s="114" t="s">
        <v>208</v>
      </c>
      <c r="B1463" s="114" t="str">
        <f>VLOOKUP(A1463,'Tabela de Produtos'!A:B,2,0)</f>
        <v>BRAZIMIL LÁTEX STANDARD INT/EXT SEMIBRILHO 15L ROSA PETALA</v>
      </c>
      <c r="C1463" s="48" t="s">
        <v>1201</v>
      </c>
      <c r="D1463" s="114" t="str">
        <f>VLOOKUP(C1463,'Custos Matéria Prima Embalagens'!B:C,2,0)</f>
        <v>WANFOAM 528 CE (BB-190)</v>
      </c>
      <c r="E1463" s="114" t="str">
        <f>VLOOKUP(C1463,'Custos Matéria Prima Embalagens'!B:D,3,0)</f>
        <v>ANTI ESPUMA LATEX</v>
      </c>
      <c r="F1463" s="270">
        <f t="shared" si="192"/>
        <v>999.2</v>
      </c>
      <c r="G1463" s="148">
        <f t="shared" si="193"/>
        <v>2.0016012810248197E-3</v>
      </c>
      <c r="H1463" s="275">
        <v>2</v>
      </c>
      <c r="I1463" s="272">
        <f>ROUND(F1463/VLOOKUP(A1463,'Tabela de Produtos'!A:J,10,0),0)</f>
        <v>787</v>
      </c>
      <c r="J1463" s="97">
        <f>IFERROR(VLOOKUP(C1463,'Custos Matéria Prima Embalagens'!B:G,6,0)*H1463,"Matéria Prima Não Cadastrada")</f>
        <v>14.36</v>
      </c>
      <c r="K1463" s="97">
        <f>IFERROR(J1463/(I1463/VLOOKUP(A1463,'Tabela de Produtos'!A:H,8,0)),"Matéria Prima Não Cadastrada")</f>
        <v>0.27369758576874204</v>
      </c>
      <c r="L1463" s="216"/>
    </row>
    <row r="1464" spans="1:12" ht="15.75" customHeight="1">
      <c r="A1464" s="114" t="s">
        <v>208</v>
      </c>
      <c r="B1464" s="114" t="str">
        <f>VLOOKUP(A1464,'Tabela de Produtos'!A:B,2,0)</f>
        <v>BRAZIMIL LÁTEX STANDARD INT/EXT SEMIBRILHO 15L ROSA PETALA</v>
      </c>
      <c r="C1464" s="48" t="s">
        <v>1203</v>
      </c>
      <c r="D1464" s="114" t="str">
        <f>VLOOKUP(C1464,'Custos Matéria Prima Embalagens'!B:C,2,0)</f>
        <v>WANBAC WBT CE (BH-200)</v>
      </c>
      <c r="E1464" s="114" t="str">
        <f>VLOOKUP(C1464,'Custos Matéria Prima Embalagens'!B:D,3,0)</f>
        <v>BACTERICIDA</v>
      </c>
      <c r="F1464" s="270">
        <f t="shared" si="192"/>
        <v>999.2</v>
      </c>
      <c r="G1464" s="148">
        <f t="shared" si="193"/>
        <v>2.0016012810248197E-3</v>
      </c>
      <c r="H1464" s="275">
        <v>2</v>
      </c>
      <c r="I1464" s="272">
        <f>ROUND(F1464/VLOOKUP(A1464,'Tabela de Produtos'!A:J,10,0),0)</f>
        <v>787</v>
      </c>
      <c r="J1464" s="97">
        <f>IFERROR(VLOOKUP(C1464,'Custos Matéria Prima Embalagens'!B:G,6,0)*H1464,"Matéria Prima Não Cadastrada")</f>
        <v>9.879999999999999</v>
      </c>
      <c r="K1464" s="97">
        <f>IFERROR(J1464/(I1464/VLOOKUP(A1464,'Tabela de Produtos'!A:H,8,0)),"Matéria Prima Não Cadastrada")</f>
        <v>0.18831003811944089</v>
      </c>
      <c r="L1464" s="216"/>
    </row>
    <row r="1465" spans="1:12" ht="15.75" customHeight="1">
      <c r="A1465" s="114" t="s">
        <v>208</v>
      </c>
      <c r="B1465" s="114" t="str">
        <f>VLOOKUP(A1465,'Tabela de Produtos'!A:B,2,0)</f>
        <v>BRAZIMIL LÁTEX STANDARD INT/EXT SEMIBRILHO 15L ROSA PETALA</v>
      </c>
      <c r="C1465" s="48" t="s">
        <v>1205</v>
      </c>
      <c r="D1465" s="114" t="str">
        <f>VLOOKUP(C1465,'Custos Matéria Prima Embalagens'!B:C,2,0)</f>
        <v>WANSUR 840 CE (BB-200)01</v>
      </c>
      <c r="E1465" s="114" t="str">
        <f>VLOOKUP(C1465,'Custos Matéria Prima Embalagens'!B:D,3,0)</f>
        <v>UMECTANTE</v>
      </c>
      <c r="F1465" s="270">
        <f t="shared" si="192"/>
        <v>999.2</v>
      </c>
      <c r="G1465" s="148">
        <f t="shared" si="193"/>
        <v>2.0016012810248197E-3</v>
      </c>
      <c r="H1465" s="275">
        <v>2</v>
      </c>
      <c r="I1465" s="272">
        <f>ROUND(F1465/VLOOKUP(A1465,'Tabela de Produtos'!A:J,10,0),0)</f>
        <v>787</v>
      </c>
      <c r="J1465" s="97">
        <f>IFERROR(VLOOKUP(C1465,'Custos Matéria Prima Embalagens'!B:G,6,0)*H1465,"Matéria Prima Não Cadastrada")</f>
        <v>14.66</v>
      </c>
      <c r="K1465" s="97">
        <f>IFERROR(J1465/(I1465/VLOOKUP(A1465,'Tabela de Produtos'!A:H,8,0)),"Matéria Prima Não Cadastrada")</f>
        <v>0.27941550190597203</v>
      </c>
      <c r="L1465" s="216"/>
    </row>
    <row r="1466" spans="1:12" ht="15.75" customHeight="1">
      <c r="A1466" s="114" t="s">
        <v>208</v>
      </c>
      <c r="B1466" s="114" t="str">
        <f>VLOOKUP(A1466,'Tabela de Produtos'!A:B,2,0)</f>
        <v>BRAZIMIL LÁTEX STANDARD INT/EXT SEMIBRILHO 15L ROSA PETALA</v>
      </c>
      <c r="C1466" s="48" t="s">
        <v>1207</v>
      </c>
      <c r="D1466" s="114" t="str">
        <f>VLOOKUP(C1466,'Custos Matéria Prima Embalagens'!B:C,2,0)</f>
        <v>WANPEX 1510 (BB-200)</v>
      </c>
      <c r="E1466" s="114" t="str">
        <f>VLOOKUP(C1466,'Custos Matéria Prima Embalagens'!B:D,3,0)</f>
        <v>DISPERSANTE LATEX</v>
      </c>
      <c r="F1466" s="270">
        <f t="shared" si="192"/>
        <v>999.2</v>
      </c>
      <c r="G1466" s="148">
        <f t="shared" si="193"/>
        <v>2.0016012810248197E-3</v>
      </c>
      <c r="H1466" s="275">
        <v>2</v>
      </c>
      <c r="I1466" s="272">
        <f>ROUND(F1466/VLOOKUP(A1466,'Tabela de Produtos'!A:J,10,0),0)</f>
        <v>787</v>
      </c>
      <c r="J1466" s="97">
        <f>IFERROR(VLOOKUP(C1466,'Custos Matéria Prima Embalagens'!B:G,6,0)*H1466,"Matéria Prima Não Cadastrada")</f>
        <v>13.719999999999999</v>
      </c>
      <c r="K1466" s="97">
        <f>IFERROR(J1466/(I1466/VLOOKUP(A1466,'Tabela de Produtos'!A:H,8,0)),"Matéria Prima Não Cadastrada")</f>
        <v>0.26149936467598472</v>
      </c>
      <c r="L1466" s="216"/>
    </row>
    <row r="1467" spans="1:12" ht="15.75" customHeight="1">
      <c r="A1467" s="114" t="s">
        <v>208</v>
      </c>
      <c r="B1467" s="114" t="str">
        <f>VLOOKUP(A1467,'Tabela de Produtos'!A:B,2,0)</f>
        <v>BRAZIMIL LÁTEX STANDARD INT/EXT SEMIBRILHO 15L ROSA PETALA</v>
      </c>
      <c r="C1467" s="48" t="s">
        <v>1217</v>
      </c>
      <c r="D1467" s="114" t="str">
        <f>VLOOKUP(C1467,'Custos Matéria Prima Embalagens'!B:C,2,0)</f>
        <v>WANCRIL W 51 CE (CT-1000P)</v>
      </c>
      <c r="E1467" s="114" t="str">
        <f>VLOOKUP(C1467,'Custos Matéria Prima Embalagens'!B:D,3,0)</f>
        <v>RESINA ACRILICA ESTIRENADA</v>
      </c>
      <c r="F1467" s="270">
        <f t="shared" si="192"/>
        <v>999.2</v>
      </c>
      <c r="G1467" s="148">
        <f t="shared" si="193"/>
        <v>0.16012810248198558</v>
      </c>
      <c r="H1467" s="275">
        <v>160</v>
      </c>
      <c r="I1467" s="272">
        <f>ROUND(F1467/VLOOKUP(A1467,'Tabela de Produtos'!A:J,10,0),0)</f>
        <v>787</v>
      </c>
      <c r="J1467" s="97">
        <f>IFERROR(VLOOKUP(C1467,'Custos Matéria Prima Embalagens'!B:G,6,0)*H1467,"Matéria Prima Não Cadastrada")</f>
        <v>1348.8</v>
      </c>
      <c r="K1467" s="97">
        <f>IFERROR(J1467/(I1467/VLOOKUP(A1467,'Tabela de Produtos'!A:H,8,0)),"Matéria Prima Não Cadastrada")</f>
        <v>25.707750952986022</v>
      </c>
      <c r="L1467" s="216"/>
    </row>
    <row r="1468" spans="1:12" ht="15.75" customHeight="1">
      <c r="A1468" s="114" t="s">
        <v>208</v>
      </c>
      <c r="B1468" s="114" t="str">
        <f>VLOOKUP(A1468,'Tabela de Produtos'!A:B,2,0)</f>
        <v>BRAZIMIL LÁTEX STANDARD INT/EXT SEMIBRILHO 15L ROSA PETALA</v>
      </c>
      <c r="C1468" s="48" t="s">
        <v>1229</v>
      </c>
      <c r="D1468" s="114" t="str">
        <f>VLOOKUP(C1468,'Custos Matéria Prima Embalagens'!B:C,2,0)</f>
        <v>WANSOL 340 CE (BB-200)</v>
      </c>
      <c r="E1468" s="114" t="str">
        <f>VLOOKUP(C1468,'Custos Matéria Prima Embalagens'!B:D,3,0)</f>
        <v>COALESCENTE</v>
      </c>
      <c r="F1468" s="270">
        <f t="shared" si="192"/>
        <v>999.2</v>
      </c>
      <c r="G1468" s="148">
        <f t="shared" si="193"/>
        <v>1.0008006405124099E-2</v>
      </c>
      <c r="H1468" s="275">
        <v>10</v>
      </c>
      <c r="I1468" s="272">
        <f>ROUND(F1468/VLOOKUP(A1468,'Tabela de Produtos'!A:J,10,0),0)</f>
        <v>787</v>
      </c>
      <c r="J1468" s="97">
        <f>IFERROR(VLOOKUP(C1468,'Custos Matéria Prima Embalagens'!B:G,6,0)*H1468,"Matéria Prima Não Cadastrada")</f>
        <v>192.2</v>
      </c>
      <c r="K1468" s="97">
        <f>IFERROR(J1468/(I1468/VLOOKUP(A1468,'Tabela de Produtos'!A:H,8,0)),"Matéria Prima Não Cadastrada")</f>
        <v>3.6632782719186783</v>
      </c>
      <c r="L1468" s="216"/>
    </row>
    <row r="1469" spans="1:12" ht="15.75" customHeight="1">
      <c r="A1469" s="114" t="s">
        <v>208</v>
      </c>
      <c r="B1469" s="114" t="str">
        <f>VLOOKUP(A1469,'Tabela de Produtos'!A:B,2,0)</f>
        <v>BRAZIMIL LÁTEX STANDARD INT/EXT SEMIBRILHO 15L ROSA PETALA</v>
      </c>
      <c r="C1469" s="48" t="s">
        <v>1209</v>
      </c>
      <c r="D1469" s="114" t="str">
        <f>VLOOKUP(C1469,'Custos Matéria Prima Embalagens'!B:C,2,0)</f>
        <v>WANFUNG WFT CE (BH-200)</v>
      </c>
      <c r="E1469" s="114" t="str">
        <f>VLOOKUP(C1469,'Custos Matéria Prima Embalagens'!B:D,3,0)</f>
        <v>FUNGICIDA</v>
      </c>
      <c r="F1469" s="270">
        <f t="shared" si="192"/>
        <v>999.2</v>
      </c>
      <c r="G1469" s="148">
        <f t="shared" si="193"/>
        <v>3.0024019215372298E-3</v>
      </c>
      <c r="H1469" s="275">
        <v>3</v>
      </c>
      <c r="I1469" s="272">
        <f>ROUND(F1469/VLOOKUP(A1469,'Tabela de Produtos'!A:J,10,0),0)</f>
        <v>787</v>
      </c>
      <c r="J1469" s="97">
        <f>IFERROR(VLOOKUP(C1469,'Custos Matéria Prima Embalagens'!B:G,6,0)*H1469,"Matéria Prima Não Cadastrada")</f>
        <v>21</v>
      </c>
      <c r="K1469" s="97">
        <f>IFERROR(J1469/(I1469/VLOOKUP(A1469,'Tabela de Produtos'!A:H,8,0)),"Matéria Prima Não Cadastrada")</f>
        <v>0.40025412960609907</v>
      </c>
      <c r="L1469" s="216"/>
    </row>
    <row r="1470" spans="1:12" ht="15.75" customHeight="1">
      <c r="A1470" s="114" t="s">
        <v>208</v>
      </c>
      <c r="B1470" s="114" t="str">
        <f>VLOOKUP(A1470,'Tabela de Produtos'!A:B,2,0)</f>
        <v>BRAZIMIL LÁTEX STANDARD INT/EXT SEMIBRILHO 15L ROSA PETALA</v>
      </c>
      <c r="C1470" s="48" t="s">
        <v>1219</v>
      </c>
      <c r="D1470" s="114" t="str">
        <f>VLOOKUP(C1470,'Custos Matéria Prima Embalagens'!B:C,2,0)</f>
        <v>WANALK 70 CE (BH-200)</v>
      </c>
      <c r="E1470" s="114" t="str">
        <f>VLOOKUP(C1470,'Custos Matéria Prima Embalagens'!B:D,3,0)</f>
        <v>ALCALINIZANTE</v>
      </c>
      <c r="F1470" s="270">
        <f t="shared" si="192"/>
        <v>999.2</v>
      </c>
      <c r="G1470" s="148">
        <f t="shared" si="193"/>
        <v>3.0024019215372298E-3</v>
      </c>
      <c r="H1470" s="275">
        <v>3</v>
      </c>
      <c r="I1470" s="272">
        <f>ROUND(F1470/VLOOKUP(A1470,'Tabela de Produtos'!A:J,10,0),0)</f>
        <v>787</v>
      </c>
      <c r="J1470" s="97">
        <f>IFERROR(VLOOKUP(C1470,'Custos Matéria Prima Embalagens'!B:G,6,0)*H1470,"Matéria Prima Não Cadastrada")</f>
        <v>14.940000000000001</v>
      </c>
      <c r="K1470" s="97">
        <f>IFERROR(J1470/(I1470/VLOOKUP(A1470,'Tabela de Produtos'!A:H,8,0)),"Matéria Prima Não Cadastrada")</f>
        <v>0.28475222363405339</v>
      </c>
      <c r="L1470" s="216"/>
    </row>
    <row r="1471" spans="1:12" ht="15.75" customHeight="1">
      <c r="A1471" s="114" t="s">
        <v>208</v>
      </c>
      <c r="B1471" s="114" t="str">
        <f>VLOOKUP(A1471,'Tabela de Produtos'!A:B,2,0)</f>
        <v>BRAZIMIL LÁTEX STANDARD INT/EXT SEMIBRILHO 15L ROSA PETALA</v>
      </c>
      <c r="C1471" s="48" t="s">
        <v>1221</v>
      </c>
      <c r="D1471" s="114" t="str">
        <f>VLOOKUP(C1471,'Custos Matéria Prima Embalagens'!B:C,2,0)</f>
        <v>MODIWAN 105H CE (CT-1000P)</v>
      </c>
      <c r="E1471" s="114" t="str">
        <f>VLOOKUP(C1471,'Custos Matéria Prima Embalagens'!B:D,3,0)</f>
        <v>ESPESSANTE DE MEDIA</v>
      </c>
      <c r="F1471" s="270">
        <f t="shared" si="192"/>
        <v>999.2</v>
      </c>
      <c r="G1471" s="148">
        <f t="shared" si="193"/>
        <v>2.0016012810248198E-2</v>
      </c>
      <c r="H1471" s="275">
        <v>20</v>
      </c>
      <c r="I1471" s="272">
        <f>ROUND(F1471/VLOOKUP(A1471,'Tabela de Produtos'!A:J,10,0),0)</f>
        <v>787</v>
      </c>
      <c r="J1471" s="97">
        <f>IFERROR(VLOOKUP(C1471,'Custos Matéria Prima Embalagens'!B:G,6,0)*H1471,"Matéria Prima Não Cadastrada")</f>
        <v>158.1</v>
      </c>
      <c r="K1471" s="97">
        <f>IFERROR(J1471/(I1471/VLOOKUP(A1471,'Tabela de Produtos'!A:H,8,0)),"Matéria Prima Não Cadastrada")</f>
        <v>3.0133418043202029</v>
      </c>
      <c r="L1471" s="216"/>
    </row>
    <row r="1472" spans="1:12" ht="15.75" customHeight="1">
      <c r="A1472" s="114" t="s">
        <v>208</v>
      </c>
      <c r="B1472" s="114" t="str">
        <f>VLOOKUP(A1472,'Tabela de Produtos'!A:B,2,0)</f>
        <v>BRAZIMIL LÁTEX STANDARD INT/EXT SEMIBRILHO 15L ROSA PETALA</v>
      </c>
      <c r="C1472" s="48" t="s">
        <v>1270</v>
      </c>
      <c r="D1472" s="114" t="str">
        <f>VLOOKUP(C1472,'Custos Matéria Prima Embalagens'!B:C,2,0)</f>
        <v>MISTURA CONCENTRADO SEMI BRILHO</v>
      </c>
      <c r="E1472" s="114" t="str">
        <f>VLOOKUP(C1472,'Custos Matéria Prima Embalagens'!B:D,3,0)</f>
        <v>MISTURA CONCENTRADO SEMI BRILHO</v>
      </c>
      <c r="F1472" s="270">
        <f t="shared" si="192"/>
        <v>999.2</v>
      </c>
      <c r="G1472" s="148">
        <f t="shared" si="193"/>
        <v>0.244195356285028</v>
      </c>
      <c r="H1472" s="275">
        <v>244</v>
      </c>
      <c r="I1472" s="272">
        <f>ROUND(F1472/VLOOKUP(A1472,'Tabela de Produtos'!A:J,10,0),0)</f>
        <v>787</v>
      </c>
      <c r="J1472" s="97">
        <f>IFERROR(VLOOKUP(C1472,'Custos Matéria Prima Embalagens'!B:G,6,0)*H1472,"Matéria Prima Não Cadastrada")</f>
        <v>2188.6800000000003</v>
      </c>
      <c r="K1472" s="97">
        <f>IFERROR(J1472/(I1472/VLOOKUP(A1472,'Tabela de Produtos'!A:H,8,0)),"Matéria Prima Não Cadastrada")</f>
        <v>41.7156289707751</v>
      </c>
      <c r="L1472" s="216"/>
    </row>
    <row r="1473" spans="1:12" ht="15.75" customHeight="1">
      <c r="D1473" s="114"/>
      <c r="E1473" s="114"/>
      <c r="F1473" s="96"/>
      <c r="G1473" s="148"/>
      <c r="H1473" s="96"/>
      <c r="I1473" s="272"/>
      <c r="J1473" s="97"/>
      <c r="K1473" s="97"/>
      <c r="L1473" s="216"/>
    </row>
    <row r="1474" spans="1:12" ht="15.75" customHeight="1">
      <c r="A1474" s="114" t="s">
        <v>209</v>
      </c>
      <c r="B1474" s="114" t="str">
        <f>VLOOKUP(A1474,'Tabela de Produtos'!A:B,2,0)</f>
        <v>BRAZIMIL LÁTEX STANDARD INT/EXT SEMIBRILHO 15L ACAI AMAZONICO</v>
      </c>
      <c r="C1474" s="48" t="s">
        <v>1197</v>
      </c>
      <c r="D1474" s="114" t="str">
        <f>VLOOKUP(C1474,'Custos Matéria Prima Embalagens'!B:C,2,0)</f>
        <v>AGUA</v>
      </c>
      <c r="E1474" s="114" t="str">
        <f>VLOOKUP(C1474,'Custos Matéria Prima Embalagens'!B:D,3,0)</f>
        <v>AGUA</v>
      </c>
      <c r="F1474" s="270">
        <f t="shared" ref="F1474:F1485" si="194">SUMIFS(H:H,A:A,A1474)</f>
        <v>999.2</v>
      </c>
      <c r="G1474" s="148">
        <f t="shared" ref="G1474:G1485" si="195">H1474/F1474</f>
        <v>0.55044035228182542</v>
      </c>
      <c r="H1474" s="275">
        <v>550</v>
      </c>
      <c r="I1474" s="272">
        <f>ROUND(F1474/VLOOKUP(A1474,'Tabela de Produtos'!A:J,10,0),0)</f>
        <v>787</v>
      </c>
      <c r="J1474" s="97">
        <f>IFERROR(VLOOKUP(C1474,'Custos Matéria Prima Embalagens'!B:G,6,0)*H1474,"Matéria Prima Não Cadastrada")</f>
        <v>0</v>
      </c>
      <c r="K1474" s="97">
        <f>IFERROR(J1474/(I1474/VLOOKUP(A1474,'Tabela de Produtos'!A:H,8,0)),"Matéria Prima Não Cadastrada")</f>
        <v>0</v>
      </c>
      <c r="L1474" s="216"/>
    </row>
    <row r="1475" spans="1:12" ht="15.75" customHeight="1">
      <c r="A1475" s="114" t="s">
        <v>209</v>
      </c>
      <c r="B1475" s="114" t="str">
        <f>VLOOKUP(A1475,'Tabela de Produtos'!A:B,2,0)</f>
        <v>BRAZIMIL LÁTEX STANDARD INT/EXT SEMIBRILHO 15L ACAI AMAZONICO</v>
      </c>
      <c r="C1475" s="48" t="s">
        <v>1199</v>
      </c>
      <c r="D1475" s="114" t="str">
        <f>VLOOKUP(C1475,'Custos Matéria Prima Embalagens'!B:C,2,0)</f>
        <v>HEXAMETAFOSFATO DE SODIO</v>
      </c>
      <c r="E1475" s="114" t="str">
        <f>VLOOKUP(C1475,'Custos Matéria Prima Embalagens'!B:D,3,0)</f>
        <v>HEXAMETAFOSFATO DE SODIO</v>
      </c>
      <c r="F1475" s="270">
        <f t="shared" si="194"/>
        <v>999.2</v>
      </c>
      <c r="G1475" s="148">
        <f t="shared" si="195"/>
        <v>1.2009607686148918E-3</v>
      </c>
      <c r="H1475" s="275">
        <v>1.2</v>
      </c>
      <c r="I1475" s="272">
        <f>ROUND(F1475/VLOOKUP(A1475,'Tabela de Produtos'!A:J,10,0),0)</f>
        <v>787</v>
      </c>
      <c r="J1475" s="97">
        <f>IFERROR(VLOOKUP(C1475,'Custos Matéria Prima Embalagens'!B:G,6,0)*H1475,"Matéria Prima Não Cadastrada")</f>
        <v>21.527999999999995</v>
      </c>
      <c r="K1475" s="97">
        <f>IFERROR(J1475/(I1475/VLOOKUP(A1475,'Tabela de Produtos'!A:H,8,0)),"Matéria Prima Não Cadastrada")</f>
        <v>0.41031766200762376</v>
      </c>
      <c r="L1475" s="216"/>
    </row>
    <row r="1476" spans="1:12" ht="15.75" customHeight="1">
      <c r="A1476" s="114" t="s">
        <v>209</v>
      </c>
      <c r="B1476" s="114" t="str">
        <f>VLOOKUP(A1476,'Tabela de Produtos'!A:B,2,0)</f>
        <v>BRAZIMIL LÁTEX STANDARD INT/EXT SEMIBRILHO 15L ACAI AMAZONICO</v>
      </c>
      <c r="C1476" s="48" t="s">
        <v>1201</v>
      </c>
      <c r="D1476" s="114" t="str">
        <f>VLOOKUP(C1476,'Custos Matéria Prima Embalagens'!B:C,2,0)</f>
        <v>WANFOAM 528 CE (BB-190)</v>
      </c>
      <c r="E1476" s="114" t="str">
        <f>VLOOKUP(C1476,'Custos Matéria Prima Embalagens'!B:D,3,0)</f>
        <v>ANTI ESPUMA LATEX</v>
      </c>
      <c r="F1476" s="270">
        <f t="shared" si="194"/>
        <v>999.2</v>
      </c>
      <c r="G1476" s="148">
        <f t="shared" si="195"/>
        <v>2.0016012810248197E-3</v>
      </c>
      <c r="H1476" s="275">
        <v>2</v>
      </c>
      <c r="I1476" s="272">
        <f>ROUND(F1476/VLOOKUP(A1476,'Tabela de Produtos'!A:J,10,0),0)</f>
        <v>787</v>
      </c>
      <c r="J1476" s="97">
        <f>IFERROR(VLOOKUP(C1476,'Custos Matéria Prima Embalagens'!B:G,6,0)*H1476,"Matéria Prima Não Cadastrada")</f>
        <v>14.36</v>
      </c>
      <c r="K1476" s="97">
        <f>IFERROR(J1476/(I1476/VLOOKUP(A1476,'Tabela de Produtos'!A:H,8,0)),"Matéria Prima Não Cadastrada")</f>
        <v>0.27369758576874204</v>
      </c>
      <c r="L1476" s="216"/>
    </row>
    <row r="1477" spans="1:12" ht="15.75" customHeight="1">
      <c r="A1477" s="114" t="s">
        <v>209</v>
      </c>
      <c r="B1477" s="114" t="str">
        <f>VLOOKUP(A1477,'Tabela de Produtos'!A:B,2,0)</f>
        <v>BRAZIMIL LÁTEX STANDARD INT/EXT SEMIBRILHO 15L ACAI AMAZONICO</v>
      </c>
      <c r="C1477" s="48" t="s">
        <v>1203</v>
      </c>
      <c r="D1477" s="114" t="str">
        <f>VLOOKUP(C1477,'Custos Matéria Prima Embalagens'!B:C,2,0)</f>
        <v>WANBAC WBT CE (BH-200)</v>
      </c>
      <c r="E1477" s="114" t="str">
        <f>VLOOKUP(C1477,'Custos Matéria Prima Embalagens'!B:D,3,0)</f>
        <v>BACTERICIDA</v>
      </c>
      <c r="F1477" s="270">
        <f t="shared" si="194"/>
        <v>999.2</v>
      </c>
      <c r="G1477" s="148">
        <f t="shared" si="195"/>
        <v>2.0016012810248197E-3</v>
      </c>
      <c r="H1477" s="275">
        <v>2</v>
      </c>
      <c r="I1477" s="272">
        <f>ROUND(F1477/VLOOKUP(A1477,'Tabela de Produtos'!A:J,10,0),0)</f>
        <v>787</v>
      </c>
      <c r="J1477" s="97">
        <f>IFERROR(VLOOKUP(C1477,'Custos Matéria Prima Embalagens'!B:G,6,0)*H1477,"Matéria Prima Não Cadastrada")</f>
        <v>9.879999999999999</v>
      </c>
      <c r="K1477" s="97">
        <f>IFERROR(J1477/(I1477/VLOOKUP(A1477,'Tabela de Produtos'!A:H,8,0)),"Matéria Prima Não Cadastrada")</f>
        <v>0.18831003811944089</v>
      </c>
      <c r="L1477" s="216"/>
    </row>
    <row r="1478" spans="1:12" ht="15.75" customHeight="1">
      <c r="A1478" s="114" t="s">
        <v>209</v>
      </c>
      <c r="B1478" s="114" t="str">
        <f>VLOOKUP(A1478,'Tabela de Produtos'!A:B,2,0)</f>
        <v>BRAZIMIL LÁTEX STANDARD INT/EXT SEMIBRILHO 15L ACAI AMAZONICO</v>
      </c>
      <c r="C1478" s="48" t="s">
        <v>1205</v>
      </c>
      <c r="D1478" s="114" t="str">
        <f>VLOOKUP(C1478,'Custos Matéria Prima Embalagens'!B:C,2,0)</f>
        <v>WANSUR 840 CE (BB-200)01</v>
      </c>
      <c r="E1478" s="114" t="str">
        <f>VLOOKUP(C1478,'Custos Matéria Prima Embalagens'!B:D,3,0)</f>
        <v>UMECTANTE</v>
      </c>
      <c r="F1478" s="270">
        <f t="shared" si="194"/>
        <v>999.2</v>
      </c>
      <c r="G1478" s="148">
        <f t="shared" si="195"/>
        <v>2.0016012810248197E-3</v>
      </c>
      <c r="H1478" s="275">
        <v>2</v>
      </c>
      <c r="I1478" s="272">
        <f>ROUND(F1478/VLOOKUP(A1478,'Tabela de Produtos'!A:J,10,0),0)</f>
        <v>787</v>
      </c>
      <c r="J1478" s="97">
        <f>IFERROR(VLOOKUP(C1478,'Custos Matéria Prima Embalagens'!B:G,6,0)*H1478,"Matéria Prima Não Cadastrada")</f>
        <v>14.66</v>
      </c>
      <c r="K1478" s="97">
        <f>IFERROR(J1478/(I1478/VLOOKUP(A1478,'Tabela de Produtos'!A:H,8,0)),"Matéria Prima Não Cadastrada")</f>
        <v>0.27941550190597203</v>
      </c>
      <c r="L1478" s="216"/>
    </row>
    <row r="1479" spans="1:12" ht="15.75" customHeight="1">
      <c r="A1479" s="114" t="s">
        <v>209</v>
      </c>
      <c r="B1479" s="114" t="str">
        <f>VLOOKUP(A1479,'Tabela de Produtos'!A:B,2,0)</f>
        <v>BRAZIMIL LÁTEX STANDARD INT/EXT SEMIBRILHO 15L ACAI AMAZONICO</v>
      </c>
      <c r="C1479" s="48" t="s">
        <v>1207</v>
      </c>
      <c r="D1479" s="114" t="str">
        <f>VLOOKUP(C1479,'Custos Matéria Prima Embalagens'!B:C,2,0)</f>
        <v>WANPEX 1510 (BB-200)</v>
      </c>
      <c r="E1479" s="114" t="str">
        <f>VLOOKUP(C1479,'Custos Matéria Prima Embalagens'!B:D,3,0)</f>
        <v>DISPERSANTE LATEX</v>
      </c>
      <c r="F1479" s="270">
        <f t="shared" si="194"/>
        <v>999.2</v>
      </c>
      <c r="G1479" s="148">
        <f t="shared" si="195"/>
        <v>2.0016012810248197E-3</v>
      </c>
      <c r="H1479" s="275">
        <v>2</v>
      </c>
      <c r="I1479" s="272">
        <f>ROUND(F1479/VLOOKUP(A1479,'Tabela de Produtos'!A:J,10,0),0)</f>
        <v>787</v>
      </c>
      <c r="J1479" s="97">
        <f>IFERROR(VLOOKUP(C1479,'Custos Matéria Prima Embalagens'!B:G,6,0)*H1479,"Matéria Prima Não Cadastrada")</f>
        <v>13.719999999999999</v>
      </c>
      <c r="K1479" s="97">
        <f>IFERROR(J1479/(I1479/VLOOKUP(A1479,'Tabela de Produtos'!A:H,8,0)),"Matéria Prima Não Cadastrada")</f>
        <v>0.26149936467598472</v>
      </c>
      <c r="L1479" s="216"/>
    </row>
    <row r="1480" spans="1:12" ht="15.75" customHeight="1">
      <c r="A1480" s="114" t="s">
        <v>209</v>
      </c>
      <c r="B1480" s="114" t="str">
        <f>VLOOKUP(A1480,'Tabela de Produtos'!A:B,2,0)</f>
        <v>BRAZIMIL LÁTEX STANDARD INT/EXT SEMIBRILHO 15L ACAI AMAZONICO</v>
      </c>
      <c r="C1480" s="48" t="s">
        <v>1217</v>
      </c>
      <c r="D1480" s="114" t="str">
        <f>VLOOKUP(C1480,'Custos Matéria Prima Embalagens'!B:C,2,0)</f>
        <v>WANCRIL W 51 CE (CT-1000P)</v>
      </c>
      <c r="E1480" s="114" t="str">
        <f>VLOOKUP(C1480,'Custos Matéria Prima Embalagens'!B:D,3,0)</f>
        <v>RESINA ACRILICA ESTIRENADA</v>
      </c>
      <c r="F1480" s="270">
        <f t="shared" si="194"/>
        <v>999.2</v>
      </c>
      <c r="G1480" s="148">
        <f t="shared" si="195"/>
        <v>0.16012810248198558</v>
      </c>
      <c r="H1480" s="275">
        <v>160</v>
      </c>
      <c r="I1480" s="272">
        <f>ROUND(F1480/VLOOKUP(A1480,'Tabela de Produtos'!A:J,10,0),0)</f>
        <v>787</v>
      </c>
      <c r="J1480" s="97">
        <f>IFERROR(VLOOKUP(C1480,'Custos Matéria Prima Embalagens'!B:G,6,0)*H1480,"Matéria Prima Não Cadastrada")</f>
        <v>1348.8</v>
      </c>
      <c r="K1480" s="97">
        <f>IFERROR(J1480/(I1480/VLOOKUP(A1480,'Tabela de Produtos'!A:H,8,0)),"Matéria Prima Não Cadastrada")</f>
        <v>25.707750952986022</v>
      </c>
      <c r="L1480" s="216"/>
    </row>
    <row r="1481" spans="1:12" ht="15.75" customHeight="1">
      <c r="A1481" s="114" t="s">
        <v>209</v>
      </c>
      <c r="B1481" s="114" t="str">
        <f>VLOOKUP(A1481,'Tabela de Produtos'!A:B,2,0)</f>
        <v>BRAZIMIL LÁTEX STANDARD INT/EXT SEMIBRILHO 15L ACAI AMAZONICO</v>
      </c>
      <c r="C1481" s="48" t="s">
        <v>1229</v>
      </c>
      <c r="D1481" s="114" t="str">
        <f>VLOOKUP(C1481,'Custos Matéria Prima Embalagens'!B:C,2,0)</f>
        <v>WANSOL 340 CE (BB-200)</v>
      </c>
      <c r="E1481" s="114" t="str">
        <f>VLOOKUP(C1481,'Custos Matéria Prima Embalagens'!B:D,3,0)</f>
        <v>COALESCENTE</v>
      </c>
      <c r="F1481" s="270">
        <f t="shared" si="194"/>
        <v>999.2</v>
      </c>
      <c r="G1481" s="148">
        <f t="shared" si="195"/>
        <v>1.0008006405124099E-2</v>
      </c>
      <c r="H1481" s="275">
        <v>10</v>
      </c>
      <c r="I1481" s="272">
        <f>ROUND(F1481/VLOOKUP(A1481,'Tabela de Produtos'!A:J,10,0),0)</f>
        <v>787</v>
      </c>
      <c r="J1481" s="97">
        <f>IFERROR(VLOOKUP(C1481,'Custos Matéria Prima Embalagens'!B:G,6,0)*H1481,"Matéria Prima Não Cadastrada")</f>
        <v>192.2</v>
      </c>
      <c r="K1481" s="97">
        <f>IFERROR(J1481/(I1481/VLOOKUP(A1481,'Tabela de Produtos'!A:H,8,0)),"Matéria Prima Não Cadastrada")</f>
        <v>3.6632782719186783</v>
      </c>
      <c r="L1481" s="216"/>
    </row>
    <row r="1482" spans="1:12" ht="15.75" customHeight="1">
      <c r="A1482" s="114" t="s">
        <v>209</v>
      </c>
      <c r="B1482" s="114" t="str">
        <f>VLOOKUP(A1482,'Tabela de Produtos'!A:B,2,0)</f>
        <v>BRAZIMIL LÁTEX STANDARD INT/EXT SEMIBRILHO 15L ACAI AMAZONICO</v>
      </c>
      <c r="C1482" s="48" t="s">
        <v>1209</v>
      </c>
      <c r="D1482" s="114" t="str">
        <f>VLOOKUP(C1482,'Custos Matéria Prima Embalagens'!B:C,2,0)</f>
        <v>WANFUNG WFT CE (BH-200)</v>
      </c>
      <c r="E1482" s="114" t="str">
        <f>VLOOKUP(C1482,'Custos Matéria Prima Embalagens'!B:D,3,0)</f>
        <v>FUNGICIDA</v>
      </c>
      <c r="F1482" s="270">
        <f t="shared" si="194"/>
        <v>999.2</v>
      </c>
      <c r="G1482" s="148">
        <f t="shared" si="195"/>
        <v>3.0024019215372298E-3</v>
      </c>
      <c r="H1482" s="275">
        <v>3</v>
      </c>
      <c r="I1482" s="272">
        <f>ROUND(F1482/VLOOKUP(A1482,'Tabela de Produtos'!A:J,10,0),0)</f>
        <v>787</v>
      </c>
      <c r="J1482" s="97">
        <f>IFERROR(VLOOKUP(C1482,'Custos Matéria Prima Embalagens'!B:G,6,0)*H1482,"Matéria Prima Não Cadastrada")</f>
        <v>21</v>
      </c>
      <c r="K1482" s="97">
        <f>IFERROR(J1482/(I1482/VLOOKUP(A1482,'Tabela de Produtos'!A:H,8,0)),"Matéria Prima Não Cadastrada")</f>
        <v>0.40025412960609907</v>
      </c>
      <c r="L1482" s="216"/>
    </row>
    <row r="1483" spans="1:12" ht="15.75" customHeight="1">
      <c r="A1483" s="114" t="s">
        <v>209</v>
      </c>
      <c r="B1483" s="114" t="str">
        <f>VLOOKUP(A1483,'Tabela de Produtos'!A:B,2,0)</f>
        <v>BRAZIMIL LÁTEX STANDARD INT/EXT SEMIBRILHO 15L ACAI AMAZONICO</v>
      </c>
      <c r="C1483" s="48" t="s">
        <v>1219</v>
      </c>
      <c r="D1483" s="114" t="str">
        <f>VLOOKUP(C1483,'Custos Matéria Prima Embalagens'!B:C,2,0)</f>
        <v>WANALK 70 CE (BH-200)</v>
      </c>
      <c r="E1483" s="114" t="str">
        <f>VLOOKUP(C1483,'Custos Matéria Prima Embalagens'!B:D,3,0)</f>
        <v>ALCALINIZANTE</v>
      </c>
      <c r="F1483" s="270">
        <f t="shared" si="194"/>
        <v>999.2</v>
      </c>
      <c r="G1483" s="148">
        <f t="shared" si="195"/>
        <v>3.0024019215372298E-3</v>
      </c>
      <c r="H1483" s="275">
        <v>3</v>
      </c>
      <c r="I1483" s="272">
        <f>ROUND(F1483/VLOOKUP(A1483,'Tabela de Produtos'!A:J,10,0),0)</f>
        <v>787</v>
      </c>
      <c r="J1483" s="97">
        <f>IFERROR(VLOOKUP(C1483,'Custos Matéria Prima Embalagens'!B:G,6,0)*H1483,"Matéria Prima Não Cadastrada")</f>
        <v>14.940000000000001</v>
      </c>
      <c r="K1483" s="97">
        <f>IFERROR(J1483/(I1483/VLOOKUP(A1483,'Tabela de Produtos'!A:H,8,0)),"Matéria Prima Não Cadastrada")</f>
        <v>0.28475222363405339</v>
      </c>
      <c r="L1483" s="216"/>
    </row>
    <row r="1484" spans="1:12" ht="15.75" customHeight="1">
      <c r="A1484" s="114" t="s">
        <v>209</v>
      </c>
      <c r="B1484" s="114" t="str">
        <f>VLOOKUP(A1484,'Tabela de Produtos'!A:B,2,0)</f>
        <v>BRAZIMIL LÁTEX STANDARD INT/EXT SEMIBRILHO 15L ACAI AMAZONICO</v>
      </c>
      <c r="C1484" s="48" t="s">
        <v>1221</v>
      </c>
      <c r="D1484" s="114" t="str">
        <f>VLOOKUP(C1484,'Custos Matéria Prima Embalagens'!B:C,2,0)</f>
        <v>MODIWAN 105H CE (CT-1000P)</v>
      </c>
      <c r="E1484" s="114" t="str">
        <f>VLOOKUP(C1484,'Custos Matéria Prima Embalagens'!B:D,3,0)</f>
        <v>ESPESSANTE DE MEDIA</v>
      </c>
      <c r="F1484" s="270">
        <f t="shared" si="194"/>
        <v>999.2</v>
      </c>
      <c r="G1484" s="148">
        <f t="shared" si="195"/>
        <v>2.0016012810248198E-2</v>
      </c>
      <c r="H1484" s="275">
        <v>20</v>
      </c>
      <c r="I1484" s="272">
        <f>ROUND(F1484/VLOOKUP(A1484,'Tabela de Produtos'!A:J,10,0),0)</f>
        <v>787</v>
      </c>
      <c r="J1484" s="97">
        <f>IFERROR(VLOOKUP(C1484,'Custos Matéria Prima Embalagens'!B:G,6,0)*H1484,"Matéria Prima Não Cadastrada")</f>
        <v>158.1</v>
      </c>
      <c r="K1484" s="97">
        <f>IFERROR(J1484/(I1484/VLOOKUP(A1484,'Tabela de Produtos'!A:H,8,0)),"Matéria Prima Não Cadastrada")</f>
        <v>3.0133418043202029</v>
      </c>
      <c r="L1484" s="216"/>
    </row>
    <row r="1485" spans="1:12" ht="15.75" customHeight="1">
      <c r="A1485" s="114" t="s">
        <v>209</v>
      </c>
      <c r="B1485" s="114" t="str">
        <f>VLOOKUP(A1485,'Tabela de Produtos'!A:B,2,0)</f>
        <v>BRAZIMIL LÁTEX STANDARD INT/EXT SEMIBRILHO 15L ACAI AMAZONICO</v>
      </c>
      <c r="C1485" s="48" t="s">
        <v>1270</v>
      </c>
      <c r="D1485" s="114" t="str">
        <f>VLOOKUP(C1485,'Custos Matéria Prima Embalagens'!B:C,2,0)</f>
        <v>MISTURA CONCENTRADO SEMI BRILHO</v>
      </c>
      <c r="E1485" s="114" t="str">
        <f>VLOOKUP(C1485,'Custos Matéria Prima Embalagens'!B:D,3,0)</f>
        <v>MISTURA CONCENTRADO SEMI BRILHO</v>
      </c>
      <c r="F1485" s="270">
        <f t="shared" si="194"/>
        <v>999.2</v>
      </c>
      <c r="G1485" s="148">
        <f t="shared" si="195"/>
        <v>0.244195356285028</v>
      </c>
      <c r="H1485" s="275">
        <v>244</v>
      </c>
      <c r="I1485" s="272">
        <f>ROUND(F1485/VLOOKUP(A1485,'Tabela de Produtos'!A:J,10,0),0)</f>
        <v>787</v>
      </c>
      <c r="J1485" s="97">
        <f>IFERROR(VLOOKUP(C1485,'Custos Matéria Prima Embalagens'!B:G,6,0)*H1485,"Matéria Prima Não Cadastrada")</f>
        <v>2188.6800000000003</v>
      </c>
      <c r="K1485" s="97">
        <f>IFERROR(J1485/(I1485/VLOOKUP(A1485,'Tabela de Produtos'!A:H,8,0)),"Matéria Prima Não Cadastrada")</f>
        <v>41.7156289707751</v>
      </c>
      <c r="L1485" s="216"/>
    </row>
    <row r="1486" spans="1:12" ht="15.75" customHeight="1">
      <c r="D1486" s="114"/>
      <c r="E1486" s="114"/>
      <c r="F1486" s="96"/>
      <c r="G1486" s="148"/>
      <c r="H1486" s="96"/>
      <c r="I1486" s="272"/>
      <c r="J1486" s="97"/>
      <c r="K1486" s="97"/>
      <c r="L1486" s="216"/>
    </row>
    <row r="1487" spans="1:12" ht="15.75" customHeight="1">
      <c r="A1487" s="114" t="s">
        <v>210</v>
      </c>
      <c r="B1487" s="114" t="str">
        <f>VLOOKUP(A1487,'Tabela de Produtos'!A:B,2,0)</f>
        <v>BRAZIMIL LÁTEX STANDARD INT/EXT SEMIBRILHO 15L VERDE FOLHA</v>
      </c>
      <c r="C1487" s="48" t="s">
        <v>1197</v>
      </c>
      <c r="D1487" s="114" t="str">
        <f>VLOOKUP(C1487,'Custos Matéria Prima Embalagens'!B:C,2,0)</f>
        <v>AGUA</v>
      </c>
      <c r="E1487" s="114" t="str">
        <f>VLOOKUP(C1487,'Custos Matéria Prima Embalagens'!B:D,3,0)</f>
        <v>AGUA</v>
      </c>
      <c r="F1487" s="270">
        <f t="shared" ref="F1487:F1498" si="196">SUMIFS(H:H,A:A,A1487)</f>
        <v>999.2</v>
      </c>
      <c r="G1487" s="148">
        <f t="shared" ref="G1487:G1498" si="197">H1487/F1487</f>
        <v>0.55044035228182542</v>
      </c>
      <c r="H1487" s="275">
        <v>550</v>
      </c>
      <c r="I1487" s="272">
        <f>ROUND(F1487/VLOOKUP(A1487,'Tabela de Produtos'!A:J,10,0),0)</f>
        <v>787</v>
      </c>
      <c r="J1487" s="97">
        <f>IFERROR(VLOOKUP(C1487,'Custos Matéria Prima Embalagens'!B:G,6,0)*H1487,"Matéria Prima Não Cadastrada")</f>
        <v>0</v>
      </c>
      <c r="K1487" s="97">
        <f>IFERROR(J1487/(I1487/VLOOKUP(A1487,'Tabela de Produtos'!A:H,8,0)),"Matéria Prima Não Cadastrada")</f>
        <v>0</v>
      </c>
      <c r="L1487" s="216"/>
    </row>
    <row r="1488" spans="1:12" ht="15.75" customHeight="1">
      <c r="A1488" s="114" t="s">
        <v>210</v>
      </c>
      <c r="B1488" s="114" t="str">
        <f>VLOOKUP(A1488,'Tabela de Produtos'!A:B,2,0)</f>
        <v>BRAZIMIL LÁTEX STANDARD INT/EXT SEMIBRILHO 15L VERDE FOLHA</v>
      </c>
      <c r="C1488" s="48" t="s">
        <v>1199</v>
      </c>
      <c r="D1488" s="114" t="str">
        <f>VLOOKUP(C1488,'Custos Matéria Prima Embalagens'!B:C,2,0)</f>
        <v>HEXAMETAFOSFATO DE SODIO</v>
      </c>
      <c r="E1488" s="114" t="str">
        <f>VLOOKUP(C1488,'Custos Matéria Prima Embalagens'!B:D,3,0)</f>
        <v>HEXAMETAFOSFATO DE SODIO</v>
      </c>
      <c r="F1488" s="270">
        <f t="shared" si="196"/>
        <v>999.2</v>
      </c>
      <c r="G1488" s="148">
        <f t="shared" si="197"/>
        <v>1.2009607686148918E-3</v>
      </c>
      <c r="H1488" s="275">
        <v>1.2</v>
      </c>
      <c r="I1488" s="272">
        <f>ROUND(F1488/VLOOKUP(A1488,'Tabela de Produtos'!A:J,10,0),0)</f>
        <v>787</v>
      </c>
      <c r="J1488" s="97">
        <f>IFERROR(VLOOKUP(C1488,'Custos Matéria Prima Embalagens'!B:G,6,0)*H1488,"Matéria Prima Não Cadastrada")</f>
        <v>21.527999999999995</v>
      </c>
      <c r="K1488" s="97">
        <f>IFERROR(J1488/(I1488/VLOOKUP(A1488,'Tabela de Produtos'!A:H,8,0)),"Matéria Prima Não Cadastrada")</f>
        <v>0.41031766200762376</v>
      </c>
      <c r="L1488" s="216"/>
    </row>
    <row r="1489" spans="1:12" ht="15.75" customHeight="1">
      <c r="A1489" s="114" t="s">
        <v>210</v>
      </c>
      <c r="B1489" s="114" t="str">
        <f>VLOOKUP(A1489,'Tabela de Produtos'!A:B,2,0)</f>
        <v>BRAZIMIL LÁTEX STANDARD INT/EXT SEMIBRILHO 15L VERDE FOLHA</v>
      </c>
      <c r="C1489" s="48" t="s">
        <v>1201</v>
      </c>
      <c r="D1489" s="114" t="str">
        <f>VLOOKUP(C1489,'Custos Matéria Prima Embalagens'!B:C,2,0)</f>
        <v>WANFOAM 528 CE (BB-190)</v>
      </c>
      <c r="E1489" s="114" t="str">
        <f>VLOOKUP(C1489,'Custos Matéria Prima Embalagens'!B:D,3,0)</f>
        <v>ANTI ESPUMA LATEX</v>
      </c>
      <c r="F1489" s="270">
        <f t="shared" si="196"/>
        <v>999.2</v>
      </c>
      <c r="G1489" s="148">
        <f t="shared" si="197"/>
        <v>2.0016012810248197E-3</v>
      </c>
      <c r="H1489" s="275">
        <v>2</v>
      </c>
      <c r="I1489" s="272">
        <f>ROUND(F1489/VLOOKUP(A1489,'Tabela de Produtos'!A:J,10,0),0)</f>
        <v>787</v>
      </c>
      <c r="J1489" s="97">
        <f>IFERROR(VLOOKUP(C1489,'Custos Matéria Prima Embalagens'!B:G,6,0)*H1489,"Matéria Prima Não Cadastrada")</f>
        <v>14.36</v>
      </c>
      <c r="K1489" s="97">
        <f>IFERROR(J1489/(I1489/VLOOKUP(A1489,'Tabela de Produtos'!A:H,8,0)),"Matéria Prima Não Cadastrada")</f>
        <v>0.27369758576874204</v>
      </c>
      <c r="L1489" s="216"/>
    </row>
    <row r="1490" spans="1:12" ht="15.75" customHeight="1">
      <c r="A1490" s="114" t="s">
        <v>210</v>
      </c>
      <c r="B1490" s="114" t="str">
        <f>VLOOKUP(A1490,'Tabela de Produtos'!A:B,2,0)</f>
        <v>BRAZIMIL LÁTEX STANDARD INT/EXT SEMIBRILHO 15L VERDE FOLHA</v>
      </c>
      <c r="C1490" s="48" t="s">
        <v>1203</v>
      </c>
      <c r="D1490" s="114" t="str">
        <f>VLOOKUP(C1490,'Custos Matéria Prima Embalagens'!B:C,2,0)</f>
        <v>WANBAC WBT CE (BH-200)</v>
      </c>
      <c r="E1490" s="114" t="str">
        <f>VLOOKUP(C1490,'Custos Matéria Prima Embalagens'!B:D,3,0)</f>
        <v>BACTERICIDA</v>
      </c>
      <c r="F1490" s="270">
        <f t="shared" si="196"/>
        <v>999.2</v>
      </c>
      <c r="G1490" s="148">
        <f t="shared" si="197"/>
        <v>2.0016012810248197E-3</v>
      </c>
      <c r="H1490" s="275">
        <v>2</v>
      </c>
      <c r="I1490" s="272">
        <f>ROUND(F1490/VLOOKUP(A1490,'Tabela de Produtos'!A:J,10,0),0)</f>
        <v>787</v>
      </c>
      <c r="J1490" s="97">
        <f>IFERROR(VLOOKUP(C1490,'Custos Matéria Prima Embalagens'!B:G,6,0)*H1490,"Matéria Prima Não Cadastrada")</f>
        <v>9.879999999999999</v>
      </c>
      <c r="K1490" s="97">
        <f>IFERROR(J1490/(I1490/VLOOKUP(A1490,'Tabela de Produtos'!A:H,8,0)),"Matéria Prima Não Cadastrada")</f>
        <v>0.18831003811944089</v>
      </c>
      <c r="L1490" s="216"/>
    </row>
    <row r="1491" spans="1:12" ht="15.75" customHeight="1">
      <c r="A1491" s="114" t="s">
        <v>210</v>
      </c>
      <c r="B1491" s="114" t="str">
        <f>VLOOKUP(A1491,'Tabela de Produtos'!A:B,2,0)</f>
        <v>BRAZIMIL LÁTEX STANDARD INT/EXT SEMIBRILHO 15L VERDE FOLHA</v>
      </c>
      <c r="C1491" s="48" t="s">
        <v>1205</v>
      </c>
      <c r="D1491" s="114" t="str">
        <f>VLOOKUP(C1491,'Custos Matéria Prima Embalagens'!B:C,2,0)</f>
        <v>WANSUR 840 CE (BB-200)01</v>
      </c>
      <c r="E1491" s="114" t="str">
        <f>VLOOKUP(C1491,'Custos Matéria Prima Embalagens'!B:D,3,0)</f>
        <v>UMECTANTE</v>
      </c>
      <c r="F1491" s="270">
        <f t="shared" si="196"/>
        <v>999.2</v>
      </c>
      <c r="G1491" s="148">
        <f t="shared" si="197"/>
        <v>2.0016012810248197E-3</v>
      </c>
      <c r="H1491" s="275">
        <v>2</v>
      </c>
      <c r="I1491" s="272">
        <f>ROUND(F1491/VLOOKUP(A1491,'Tabela de Produtos'!A:J,10,0),0)</f>
        <v>787</v>
      </c>
      <c r="J1491" s="97">
        <f>IFERROR(VLOOKUP(C1491,'Custos Matéria Prima Embalagens'!B:G,6,0)*H1491,"Matéria Prima Não Cadastrada")</f>
        <v>14.66</v>
      </c>
      <c r="K1491" s="97">
        <f>IFERROR(J1491/(I1491/VLOOKUP(A1491,'Tabela de Produtos'!A:H,8,0)),"Matéria Prima Não Cadastrada")</f>
        <v>0.27941550190597203</v>
      </c>
      <c r="L1491" s="216"/>
    </row>
    <row r="1492" spans="1:12" ht="15.75" customHeight="1">
      <c r="A1492" s="114" t="s">
        <v>210</v>
      </c>
      <c r="B1492" s="114" t="str">
        <f>VLOOKUP(A1492,'Tabela de Produtos'!A:B,2,0)</f>
        <v>BRAZIMIL LÁTEX STANDARD INT/EXT SEMIBRILHO 15L VERDE FOLHA</v>
      </c>
      <c r="C1492" s="48" t="s">
        <v>1207</v>
      </c>
      <c r="D1492" s="114" t="str">
        <f>VLOOKUP(C1492,'Custos Matéria Prima Embalagens'!B:C,2,0)</f>
        <v>WANPEX 1510 (BB-200)</v>
      </c>
      <c r="E1492" s="114" t="str">
        <f>VLOOKUP(C1492,'Custos Matéria Prima Embalagens'!B:D,3,0)</f>
        <v>DISPERSANTE LATEX</v>
      </c>
      <c r="F1492" s="270">
        <f t="shared" si="196"/>
        <v>999.2</v>
      </c>
      <c r="G1492" s="148">
        <f t="shared" si="197"/>
        <v>2.0016012810248197E-3</v>
      </c>
      <c r="H1492" s="275">
        <v>2</v>
      </c>
      <c r="I1492" s="272">
        <f>ROUND(F1492/VLOOKUP(A1492,'Tabela de Produtos'!A:J,10,0),0)</f>
        <v>787</v>
      </c>
      <c r="J1492" s="97">
        <f>IFERROR(VLOOKUP(C1492,'Custos Matéria Prima Embalagens'!B:G,6,0)*H1492,"Matéria Prima Não Cadastrada")</f>
        <v>13.719999999999999</v>
      </c>
      <c r="K1492" s="97">
        <f>IFERROR(J1492/(I1492/VLOOKUP(A1492,'Tabela de Produtos'!A:H,8,0)),"Matéria Prima Não Cadastrada")</f>
        <v>0.26149936467598472</v>
      </c>
      <c r="L1492" s="216"/>
    </row>
    <row r="1493" spans="1:12" ht="15.75" customHeight="1">
      <c r="A1493" s="114" t="s">
        <v>210</v>
      </c>
      <c r="B1493" s="114" t="str">
        <f>VLOOKUP(A1493,'Tabela de Produtos'!A:B,2,0)</f>
        <v>BRAZIMIL LÁTEX STANDARD INT/EXT SEMIBRILHO 15L VERDE FOLHA</v>
      </c>
      <c r="C1493" s="48" t="s">
        <v>1217</v>
      </c>
      <c r="D1493" s="114" t="str">
        <f>VLOOKUP(C1493,'Custos Matéria Prima Embalagens'!B:C,2,0)</f>
        <v>WANCRIL W 51 CE (CT-1000P)</v>
      </c>
      <c r="E1493" s="114" t="str">
        <f>VLOOKUP(C1493,'Custos Matéria Prima Embalagens'!B:D,3,0)</f>
        <v>RESINA ACRILICA ESTIRENADA</v>
      </c>
      <c r="F1493" s="270">
        <f t="shared" si="196"/>
        <v>999.2</v>
      </c>
      <c r="G1493" s="148">
        <f t="shared" si="197"/>
        <v>0.16012810248198558</v>
      </c>
      <c r="H1493" s="275">
        <v>160</v>
      </c>
      <c r="I1493" s="272">
        <f>ROUND(F1493/VLOOKUP(A1493,'Tabela de Produtos'!A:J,10,0),0)</f>
        <v>787</v>
      </c>
      <c r="J1493" s="97">
        <f>IFERROR(VLOOKUP(C1493,'Custos Matéria Prima Embalagens'!B:G,6,0)*H1493,"Matéria Prima Não Cadastrada")</f>
        <v>1348.8</v>
      </c>
      <c r="K1493" s="97">
        <f>IFERROR(J1493/(I1493/VLOOKUP(A1493,'Tabela de Produtos'!A:H,8,0)),"Matéria Prima Não Cadastrada")</f>
        <v>25.707750952986022</v>
      </c>
      <c r="L1493" s="216"/>
    </row>
    <row r="1494" spans="1:12" ht="15.75" customHeight="1">
      <c r="A1494" s="114" t="s">
        <v>210</v>
      </c>
      <c r="B1494" s="114" t="str">
        <f>VLOOKUP(A1494,'Tabela de Produtos'!A:B,2,0)</f>
        <v>BRAZIMIL LÁTEX STANDARD INT/EXT SEMIBRILHO 15L VERDE FOLHA</v>
      </c>
      <c r="C1494" s="48" t="s">
        <v>1229</v>
      </c>
      <c r="D1494" s="114" t="str">
        <f>VLOOKUP(C1494,'Custos Matéria Prima Embalagens'!B:C,2,0)</f>
        <v>WANSOL 340 CE (BB-200)</v>
      </c>
      <c r="E1494" s="114" t="str">
        <f>VLOOKUP(C1494,'Custos Matéria Prima Embalagens'!B:D,3,0)</f>
        <v>COALESCENTE</v>
      </c>
      <c r="F1494" s="270">
        <f t="shared" si="196"/>
        <v>999.2</v>
      </c>
      <c r="G1494" s="148">
        <f t="shared" si="197"/>
        <v>1.0008006405124099E-2</v>
      </c>
      <c r="H1494" s="275">
        <v>10</v>
      </c>
      <c r="I1494" s="272">
        <f>ROUND(F1494/VLOOKUP(A1494,'Tabela de Produtos'!A:J,10,0),0)</f>
        <v>787</v>
      </c>
      <c r="J1494" s="97">
        <f>IFERROR(VLOOKUP(C1494,'Custos Matéria Prima Embalagens'!B:G,6,0)*H1494,"Matéria Prima Não Cadastrada")</f>
        <v>192.2</v>
      </c>
      <c r="K1494" s="97">
        <f>IFERROR(J1494/(I1494/VLOOKUP(A1494,'Tabela de Produtos'!A:H,8,0)),"Matéria Prima Não Cadastrada")</f>
        <v>3.6632782719186783</v>
      </c>
      <c r="L1494" s="216"/>
    </row>
    <row r="1495" spans="1:12" ht="15.75" customHeight="1">
      <c r="A1495" s="114" t="s">
        <v>210</v>
      </c>
      <c r="B1495" s="114" t="str">
        <f>VLOOKUP(A1495,'Tabela de Produtos'!A:B,2,0)</f>
        <v>BRAZIMIL LÁTEX STANDARD INT/EXT SEMIBRILHO 15L VERDE FOLHA</v>
      </c>
      <c r="C1495" s="48" t="s">
        <v>1209</v>
      </c>
      <c r="D1495" s="114" t="str">
        <f>VLOOKUP(C1495,'Custos Matéria Prima Embalagens'!B:C,2,0)</f>
        <v>WANFUNG WFT CE (BH-200)</v>
      </c>
      <c r="E1495" s="114" t="str">
        <f>VLOOKUP(C1495,'Custos Matéria Prima Embalagens'!B:D,3,0)</f>
        <v>FUNGICIDA</v>
      </c>
      <c r="F1495" s="270">
        <f t="shared" si="196"/>
        <v>999.2</v>
      </c>
      <c r="G1495" s="148">
        <f t="shared" si="197"/>
        <v>3.0024019215372298E-3</v>
      </c>
      <c r="H1495" s="275">
        <v>3</v>
      </c>
      <c r="I1495" s="272">
        <f>ROUND(F1495/VLOOKUP(A1495,'Tabela de Produtos'!A:J,10,0),0)</f>
        <v>787</v>
      </c>
      <c r="J1495" s="97">
        <f>IFERROR(VLOOKUP(C1495,'Custos Matéria Prima Embalagens'!B:G,6,0)*H1495,"Matéria Prima Não Cadastrada")</f>
        <v>21</v>
      </c>
      <c r="K1495" s="97">
        <f>IFERROR(J1495/(I1495/VLOOKUP(A1495,'Tabela de Produtos'!A:H,8,0)),"Matéria Prima Não Cadastrada")</f>
        <v>0.40025412960609907</v>
      </c>
      <c r="L1495" s="216"/>
    </row>
    <row r="1496" spans="1:12" ht="15.75" customHeight="1">
      <c r="A1496" s="114" t="s">
        <v>210</v>
      </c>
      <c r="B1496" s="114" t="str">
        <f>VLOOKUP(A1496,'Tabela de Produtos'!A:B,2,0)</f>
        <v>BRAZIMIL LÁTEX STANDARD INT/EXT SEMIBRILHO 15L VERDE FOLHA</v>
      </c>
      <c r="C1496" s="48" t="s">
        <v>1219</v>
      </c>
      <c r="D1496" s="114" t="str">
        <f>VLOOKUP(C1496,'Custos Matéria Prima Embalagens'!B:C,2,0)</f>
        <v>WANALK 70 CE (BH-200)</v>
      </c>
      <c r="E1496" s="114" t="str">
        <f>VLOOKUP(C1496,'Custos Matéria Prima Embalagens'!B:D,3,0)</f>
        <v>ALCALINIZANTE</v>
      </c>
      <c r="F1496" s="270">
        <f t="shared" si="196"/>
        <v>999.2</v>
      </c>
      <c r="G1496" s="148">
        <f t="shared" si="197"/>
        <v>3.0024019215372298E-3</v>
      </c>
      <c r="H1496" s="275">
        <v>3</v>
      </c>
      <c r="I1496" s="272">
        <f>ROUND(F1496/VLOOKUP(A1496,'Tabela de Produtos'!A:J,10,0),0)</f>
        <v>787</v>
      </c>
      <c r="J1496" s="97">
        <f>IFERROR(VLOOKUP(C1496,'Custos Matéria Prima Embalagens'!B:G,6,0)*H1496,"Matéria Prima Não Cadastrada")</f>
        <v>14.940000000000001</v>
      </c>
      <c r="K1496" s="97">
        <f>IFERROR(J1496/(I1496/VLOOKUP(A1496,'Tabela de Produtos'!A:H,8,0)),"Matéria Prima Não Cadastrada")</f>
        <v>0.28475222363405339</v>
      </c>
      <c r="L1496" s="216"/>
    </row>
    <row r="1497" spans="1:12" ht="15.75" customHeight="1">
      <c r="A1497" s="114" t="s">
        <v>210</v>
      </c>
      <c r="B1497" s="114" t="str">
        <f>VLOOKUP(A1497,'Tabela de Produtos'!A:B,2,0)</f>
        <v>BRAZIMIL LÁTEX STANDARD INT/EXT SEMIBRILHO 15L VERDE FOLHA</v>
      </c>
      <c r="C1497" s="48" t="s">
        <v>1221</v>
      </c>
      <c r="D1497" s="114" t="str">
        <f>VLOOKUP(C1497,'Custos Matéria Prima Embalagens'!B:C,2,0)</f>
        <v>MODIWAN 105H CE (CT-1000P)</v>
      </c>
      <c r="E1497" s="114" t="str">
        <f>VLOOKUP(C1497,'Custos Matéria Prima Embalagens'!B:D,3,0)</f>
        <v>ESPESSANTE DE MEDIA</v>
      </c>
      <c r="F1497" s="270">
        <f t="shared" si="196"/>
        <v>999.2</v>
      </c>
      <c r="G1497" s="148">
        <f t="shared" si="197"/>
        <v>2.0016012810248198E-2</v>
      </c>
      <c r="H1497" s="275">
        <v>20</v>
      </c>
      <c r="I1497" s="272">
        <f>ROUND(F1497/VLOOKUP(A1497,'Tabela de Produtos'!A:J,10,0),0)</f>
        <v>787</v>
      </c>
      <c r="J1497" s="97">
        <f>IFERROR(VLOOKUP(C1497,'Custos Matéria Prima Embalagens'!B:G,6,0)*H1497,"Matéria Prima Não Cadastrada")</f>
        <v>158.1</v>
      </c>
      <c r="K1497" s="97">
        <f>IFERROR(J1497/(I1497/VLOOKUP(A1497,'Tabela de Produtos'!A:H,8,0)),"Matéria Prima Não Cadastrada")</f>
        <v>3.0133418043202029</v>
      </c>
      <c r="L1497" s="216"/>
    </row>
    <row r="1498" spans="1:12" ht="15.75" customHeight="1">
      <c r="A1498" s="114" t="s">
        <v>210</v>
      </c>
      <c r="B1498" s="114" t="str">
        <f>VLOOKUP(A1498,'Tabela de Produtos'!A:B,2,0)</f>
        <v>BRAZIMIL LÁTEX STANDARD INT/EXT SEMIBRILHO 15L VERDE FOLHA</v>
      </c>
      <c r="C1498" s="48" t="s">
        <v>1270</v>
      </c>
      <c r="D1498" s="114" t="str">
        <f>VLOOKUP(C1498,'Custos Matéria Prima Embalagens'!B:C,2,0)</f>
        <v>MISTURA CONCENTRADO SEMI BRILHO</v>
      </c>
      <c r="E1498" s="114" t="str">
        <f>VLOOKUP(C1498,'Custos Matéria Prima Embalagens'!B:D,3,0)</f>
        <v>MISTURA CONCENTRADO SEMI BRILHO</v>
      </c>
      <c r="F1498" s="270">
        <f t="shared" si="196"/>
        <v>999.2</v>
      </c>
      <c r="G1498" s="148">
        <f t="shared" si="197"/>
        <v>0.244195356285028</v>
      </c>
      <c r="H1498" s="275">
        <v>244</v>
      </c>
      <c r="I1498" s="272">
        <f>ROUND(F1498/VLOOKUP(A1498,'Tabela de Produtos'!A:J,10,0),0)</f>
        <v>787</v>
      </c>
      <c r="J1498" s="97">
        <f>IFERROR(VLOOKUP(C1498,'Custos Matéria Prima Embalagens'!B:G,6,0)*H1498,"Matéria Prima Não Cadastrada")</f>
        <v>2188.6800000000003</v>
      </c>
      <c r="K1498" s="97">
        <f>IFERROR(J1498/(I1498/VLOOKUP(A1498,'Tabela de Produtos'!A:H,8,0)),"Matéria Prima Não Cadastrada")</f>
        <v>41.7156289707751</v>
      </c>
      <c r="L1498" s="216"/>
    </row>
    <row r="1499" spans="1:12" ht="15.75" customHeight="1">
      <c r="D1499" s="114"/>
      <c r="E1499" s="114"/>
      <c r="F1499" s="96"/>
      <c r="G1499" s="148"/>
      <c r="H1499" s="96"/>
      <c r="I1499" s="272"/>
      <c r="J1499" s="97"/>
      <c r="K1499" s="97"/>
      <c r="L1499" s="216"/>
    </row>
    <row r="1500" spans="1:12" ht="15.75" customHeight="1">
      <c r="A1500" s="114" t="s">
        <v>211</v>
      </c>
      <c r="B1500" s="114" t="str">
        <f>VLOOKUP(A1500,'Tabela de Produtos'!A:B,2,0)</f>
        <v>BRAZIMIL LÁTEX STANDARD INT/EXT SEMIBRILHO 15L LARANJA</v>
      </c>
      <c r="C1500" s="48" t="s">
        <v>1197</v>
      </c>
      <c r="D1500" s="114" t="str">
        <f>VLOOKUP(C1500,'Custos Matéria Prima Embalagens'!B:C,2,0)</f>
        <v>AGUA</v>
      </c>
      <c r="E1500" s="114" t="str">
        <f>VLOOKUP(C1500,'Custos Matéria Prima Embalagens'!B:D,3,0)</f>
        <v>AGUA</v>
      </c>
      <c r="F1500" s="270">
        <f t="shared" ref="F1500:F1511" si="198">SUMIFS(H:H,A:A,A1500)</f>
        <v>999.2</v>
      </c>
      <c r="G1500" s="148">
        <f t="shared" ref="G1500:G1511" si="199">H1500/F1500</f>
        <v>0.55044035228182542</v>
      </c>
      <c r="H1500" s="275">
        <v>550</v>
      </c>
      <c r="I1500" s="272">
        <f>ROUND(F1500/VLOOKUP(A1500,'Tabela de Produtos'!A:J,10,0),0)</f>
        <v>787</v>
      </c>
      <c r="J1500" s="97">
        <f>IFERROR(VLOOKUP(C1500,'Custos Matéria Prima Embalagens'!B:G,6,0)*H1500,"Matéria Prima Não Cadastrada")</f>
        <v>0</v>
      </c>
      <c r="K1500" s="97">
        <f>IFERROR(J1500/(I1500/VLOOKUP(A1500,'Tabela de Produtos'!A:H,8,0)),"Matéria Prima Não Cadastrada")</f>
        <v>0</v>
      </c>
      <c r="L1500" s="216"/>
    </row>
    <row r="1501" spans="1:12" ht="15.75" customHeight="1">
      <c r="A1501" s="114" t="s">
        <v>211</v>
      </c>
      <c r="B1501" s="114" t="str">
        <f>VLOOKUP(A1501,'Tabela de Produtos'!A:B,2,0)</f>
        <v>BRAZIMIL LÁTEX STANDARD INT/EXT SEMIBRILHO 15L LARANJA</v>
      </c>
      <c r="C1501" s="48" t="s">
        <v>1199</v>
      </c>
      <c r="D1501" s="114" t="str">
        <f>VLOOKUP(C1501,'Custos Matéria Prima Embalagens'!B:C,2,0)</f>
        <v>HEXAMETAFOSFATO DE SODIO</v>
      </c>
      <c r="E1501" s="114" t="str">
        <f>VLOOKUP(C1501,'Custos Matéria Prima Embalagens'!B:D,3,0)</f>
        <v>HEXAMETAFOSFATO DE SODIO</v>
      </c>
      <c r="F1501" s="270">
        <f t="shared" si="198"/>
        <v>999.2</v>
      </c>
      <c r="G1501" s="148">
        <f t="shared" si="199"/>
        <v>1.2009607686148918E-3</v>
      </c>
      <c r="H1501" s="275">
        <v>1.2</v>
      </c>
      <c r="I1501" s="272">
        <f>ROUND(F1501/VLOOKUP(A1501,'Tabela de Produtos'!A:J,10,0),0)</f>
        <v>787</v>
      </c>
      <c r="J1501" s="97">
        <f>IFERROR(VLOOKUP(C1501,'Custos Matéria Prima Embalagens'!B:G,6,0)*H1501,"Matéria Prima Não Cadastrada")</f>
        <v>21.527999999999995</v>
      </c>
      <c r="K1501" s="97">
        <f>IFERROR(J1501/(I1501/VLOOKUP(A1501,'Tabela de Produtos'!A:H,8,0)),"Matéria Prima Não Cadastrada")</f>
        <v>0.41031766200762376</v>
      </c>
      <c r="L1501" s="216"/>
    </row>
    <row r="1502" spans="1:12" ht="15.75" customHeight="1">
      <c r="A1502" s="114" t="s">
        <v>211</v>
      </c>
      <c r="B1502" s="114" t="str">
        <f>VLOOKUP(A1502,'Tabela de Produtos'!A:B,2,0)</f>
        <v>BRAZIMIL LÁTEX STANDARD INT/EXT SEMIBRILHO 15L LARANJA</v>
      </c>
      <c r="C1502" s="48" t="s">
        <v>1201</v>
      </c>
      <c r="D1502" s="114" t="str">
        <f>VLOOKUP(C1502,'Custos Matéria Prima Embalagens'!B:C,2,0)</f>
        <v>WANFOAM 528 CE (BB-190)</v>
      </c>
      <c r="E1502" s="114" t="str">
        <f>VLOOKUP(C1502,'Custos Matéria Prima Embalagens'!B:D,3,0)</f>
        <v>ANTI ESPUMA LATEX</v>
      </c>
      <c r="F1502" s="270">
        <f t="shared" si="198"/>
        <v>999.2</v>
      </c>
      <c r="G1502" s="148">
        <f t="shared" si="199"/>
        <v>2.0016012810248197E-3</v>
      </c>
      <c r="H1502" s="275">
        <v>2</v>
      </c>
      <c r="I1502" s="272">
        <f>ROUND(F1502/VLOOKUP(A1502,'Tabela de Produtos'!A:J,10,0),0)</f>
        <v>787</v>
      </c>
      <c r="J1502" s="97">
        <f>IFERROR(VLOOKUP(C1502,'Custos Matéria Prima Embalagens'!B:G,6,0)*H1502,"Matéria Prima Não Cadastrada")</f>
        <v>14.36</v>
      </c>
      <c r="K1502" s="97">
        <f>IFERROR(J1502/(I1502/VLOOKUP(A1502,'Tabela de Produtos'!A:H,8,0)),"Matéria Prima Não Cadastrada")</f>
        <v>0.27369758576874204</v>
      </c>
      <c r="L1502" s="216"/>
    </row>
    <row r="1503" spans="1:12" ht="15.75" customHeight="1">
      <c r="A1503" s="114" t="s">
        <v>211</v>
      </c>
      <c r="B1503" s="114" t="str">
        <f>VLOOKUP(A1503,'Tabela de Produtos'!A:B,2,0)</f>
        <v>BRAZIMIL LÁTEX STANDARD INT/EXT SEMIBRILHO 15L LARANJA</v>
      </c>
      <c r="C1503" s="48" t="s">
        <v>1203</v>
      </c>
      <c r="D1503" s="114" t="str">
        <f>VLOOKUP(C1503,'Custos Matéria Prima Embalagens'!B:C,2,0)</f>
        <v>WANBAC WBT CE (BH-200)</v>
      </c>
      <c r="E1503" s="114" t="str">
        <f>VLOOKUP(C1503,'Custos Matéria Prima Embalagens'!B:D,3,0)</f>
        <v>BACTERICIDA</v>
      </c>
      <c r="F1503" s="270">
        <f t="shared" si="198"/>
        <v>999.2</v>
      </c>
      <c r="G1503" s="148">
        <f t="shared" si="199"/>
        <v>2.0016012810248197E-3</v>
      </c>
      <c r="H1503" s="275">
        <v>2</v>
      </c>
      <c r="I1503" s="272">
        <f>ROUND(F1503/VLOOKUP(A1503,'Tabela de Produtos'!A:J,10,0),0)</f>
        <v>787</v>
      </c>
      <c r="J1503" s="97">
        <f>IFERROR(VLOOKUP(C1503,'Custos Matéria Prima Embalagens'!B:G,6,0)*H1503,"Matéria Prima Não Cadastrada")</f>
        <v>9.879999999999999</v>
      </c>
      <c r="K1503" s="97">
        <f>IFERROR(J1503/(I1503/VLOOKUP(A1503,'Tabela de Produtos'!A:H,8,0)),"Matéria Prima Não Cadastrada")</f>
        <v>0.18831003811944089</v>
      </c>
      <c r="L1503" s="216"/>
    </row>
    <row r="1504" spans="1:12" ht="15.75" customHeight="1">
      <c r="A1504" s="114" t="s">
        <v>211</v>
      </c>
      <c r="B1504" s="114" t="str">
        <f>VLOOKUP(A1504,'Tabela de Produtos'!A:B,2,0)</f>
        <v>BRAZIMIL LÁTEX STANDARD INT/EXT SEMIBRILHO 15L LARANJA</v>
      </c>
      <c r="C1504" s="48" t="s">
        <v>1205</v>
      </c>
      <c r="D1504" s="114" t="str">
        <f>VLOOKUP(C1504,'Custos Matéria Prima Embalagens'!B:C,2,0)</f>
        <v>WANSUR 840 CE (BB-200)01</v>
      </c>
      <c r="E1504" s="114" t="str">
        <f>VLOOKUP(C1504,'Custos Matéria Prima Embalagens'!B:D,3,0)</f>
        <v>UMECTANTE</v>
      </c>
      <c r="F1504" s="270">
        <f t="shared" si="198"/>
        <v>999.2</v>
      </c>
      <c r="G1504" s="148">
        <f t="shared" si="199"/>
        <v>2.0016012810248197E-3</v>
      </c>
      <c r="H1504" s="275">
        <v>2</v>
      </c>
      <c r="I1504" s="272">
        <f>ROUND(F1504/VLOOKUP(A1504,'Tabela de Produtos'!A:J,10,0),0)</f>
        <v>787</v>
      </c>
      <c r="J1504" s="97">
        <f>IFERROR(VLOOKUP(C1504,'Custos Matéria Prima Embalagens'!B:G,6,0)*H1504,"Matéria Prima Não Cadastrada")</f>
        <v>14.66</v>
      </c>
      <c r="K1504" s="97">
        <f>IFERROR(J1504/(I1504/VLOOKUP(A1504,'Tabela de Produtos'!A:H,8,0)),"Matéria Prima Não Cadastrada")</f>
        <v>0.27941550190597203</v>
      </c>
      <c r="L1504" s="216"/>
    </row>
    <row r="1505" spans="1:12" ht="15.75" customHeight="1">
      <c r="A1505" s="114" t="s">
        <v>211</v>
      </c>
      <c r="B1505" s="114" t="str">
        <f>VLOOKUP(A1505,'Tabela de Produtos'!A:B,2,0)</f>
        <v>BRAZIMIL LÁTEX STANDARD INT/EXT SEMIBRILHO 15L LARANJA</v>
      </c>
      <c r="C1505" s="48" t="s">
        <v>1207</v>
      </c>
      <c r="D1505" s="114" t="str">
        <f>VLOOKUP(C1505,'Custos Matéria Prima Embalagens'!B:C,2,0)</f>
        <v>WANPEX 1510 (BB-200)</v>
      </c>
      <c r="E1505" s="114" t="str">
        <f>VLOOKUP(C1505,'Custos Matéria Prima Embalagens'!B:D,3,0)</f>
        <v>DISPERSANTE LATEX</v>
      </c>
      <c r="F1505" s="270">
        <f t="shared" si="198"/>
        <v>999.2</v>
      </c>
      <c r="G1505" s="148">
        <f t="shared" si="199"/>
        <v>2.0016012810248197E-3</v>
      </c>
      <c r="H1505" s="275">
        <v>2</v>
      </c>
      <c r="I1505" s="272">
        <f>ROUND(F1505/VLOOKUP(A1505,'Tabela de Produtos'!A:J,10,0),0)</f>
        <v>787</v>
      </c>
      <c r="J1505" s="97">
        <f>IFERROR(VLOOKUP(C1505,'Custos Matéria Prima Embalagens'!B:G,6,0)*H1505,"Matéria Prima Não Cadastrada")</f>
        <v>13.719999999999999</v>
      </c>
      <c r="K1505" s="97">
        <f>IFERROR(J1505/(I1505/VLOOKUP(A1505,'Tabela de Produtos'!A:H,8,0)),"Matéria Prima Não Cadastrada")</f>
        <v>0.26149936467598472</v>
      </c>
      <c r="L1505" s="216"/>
    </row>
    <row r="1506" spans="1:12" ht="15.75" customHeight="1">
      <c r="A1506" s="114" t="s">
        <v>211</v>
      </c>
      <c r="B1506" s="114" t="str">
        <f>VLOOKUP(A1506,'Tabela de Produtos'!A:B,2,0)</f>
        <v>BRAZIMIL LÁTEX STANDARD INT/EXT SEMIBRILHO 15L LARANJA</v>
      </c>
      <c r="C1506" s="48" t="s">
        <v>1217</v>
      </c>
      <c r="D1506" s="114" t="str">
        <f>VLOOKUP(C1506,'Custos Matéria Prima Embalagens'!B:C,2,0)</f>
        <v>WANCRIL W 51 CE (CT-1000P)</v>
      </c>
      <c r="E1506" s="114" t="str">
        <f>VLOOKUP(C1506,'Custos Matéria Prima Embalagens'!B:D,3,0)</f>
        <v>RESINA ACRILICA ESTIRENADA</v>
      </c>
      <c r="F1506" s="270">
        <f t="shared" si="198"/>
        <v>999.2</v>
      </c>
      <c r="G1506" s="148">
        <f t="shared" si="199"/>
        <v>0.16012810248198558</v>
      </c>
      <c r="H1506" s="275">
        <v>160</v>
      </c>
      <c r="I1506" s="272">
        <f>ROUND(F1506/VLOOKUP(A1506,'Tabela de Produtos'!A:J,10,0),0)</f>
        <v>787</v>
      </c>
      <c r="J1506" s="97">
        <f>IFERROR(VLOOKUP(C1506,'Custos Matéria Prima Embalagens'!B:G,6,0)*H1506,"Matéria Prima Não Cadastrada")</f>
        <v>1348.8</v>
      </c>
      <c r="K1506" s="97">
        <f>IFERROR(J1506/(I1506/VLOOKUP(A1506,'Tabela de Produtos'!A:H,8,0)),"Matéria Prima Não Cadastrada")</f>
        <v>25.707750952986022</v>
      </c>
      <c r="L1506" s="216"/>
    </row>
    <row r="1507" spans="1:12" ht="15.75" customHeight="1">
      <c r="A1507" s="114" t="s">
        <v>211</v>
      </c>
      <c r="B1507" s="114" t="str">
        <f>VLOOKUP(A1507,'Tabela de Produtos'!A:B,2,0)</f>
        <v>BRAZIMIL LÁTEX STANDARD INT/EXT SEMIBRILHO 15L LARANJA</v>
      </c>
      <c r="C1507" s="48" t="s">
        <v>1229</v>
      </c>
      <c r="D1507" s="114" t="str">
        <f>VLOOKUP(C1507,'Custos Matéria Prima Embalagens'!B:C,2,0)</f>
        <v>WANSOL 340 CE (BB-200)</v>
      </c>
      <c r="E1507" s="114" t="str">
        <f>VLOOKUP(C1507,'Custos Matéria Prima Embalagens'!B:D,3,0)</f>
        <v>COALESCENTE</v>
      </c>
      <c r="F1507" s="270">
        <f t="shared" si="198"/>
        <v>999.2</v>
      </c>
      <c r="G1507" s="148">
        <f t="shared" si="199"/>
        <v>1.0008006405124099E-2</v>
      </c>
      <c r="H1507" s="275">
        <v>10</v>
      </c>
      <c r="I1507" s="272">
        <f>ROUND(F1507/VLOOKUP(A1507,'Tabela de Produtos'!A:J,10,0),0)</f>
        <v>787</v>
      </c>
      <c r="J1507" s="97">
        <f>IFERROR(VLOOKUP(C1507,'Custos Matéria Prima Embalagens'!B:G,6,0)*H1507,"Matéria Prima Não Cadastrada")</f>
        <v>192.2</v>
      </c>
      <c r="K1507" s="97">
        <f>IFERROR(J1507/(I1507/VLOOKUP(A1507,'Tabela de Produtos'!A:H,8,0)),"Matéria Prima Não Cadastrada")</f>
        <v>3.6632782719186783</v>
      </c>
      <c r="L1507" s="216"/>
    </row>
    <row r="1508" spans="1:12" ht="15.75" customHeight="1">
      <c r="A1508" s="114" t="s">
        <v>211</v>
      </c>
      <c r="B1508" s="114" t="str">
        <f>VLOOKUP(A1508,'Tabela de Produtos'!A:B,2,0)</f>
        <v>BRAZIMIL LÁTEX STANDARD INT/EXT SEMIBRILHO 15L LARANJA</v>
      </c>
      <c r="C1508" s="48" t="s">
        <v>1209</v>
      </c>
      <c r="D1508" s="114" t="str">
        <f>VLOOKUP(C1508,'Custos Matéria Prima Embalagens'!B:C,2,0)</f>
        <v>WANFUNG WFT CE (BH-200)</v>
      </c>
      <c r="E1508" s="114" t="str">
        <f>VLOOKUP(C1508,'Custos Matéria Prima Embalagens'!B:D,3,0)</f>
        <v>FUNGICIDA</v>
      </c>
      <c r="F1508" s="270">
        <f t="shared" si="198"/>
        <v>999.2</v>
      </c>
      <c r="G1508" s="148">
        <f t="shared" si="199"/>
        <v>3.0024019215372298E-3</v>
      </c>
      <c r="H1508" s="275">
        <v>3</v>
      </c>
      <c r="I1508" s="272">
        <f>ROUND(F1508/VLOOKUP(A1508,'Tabela de Produtos'!A:J,10,0),0)</f>
        <v>787</v>
      </c>
      <c r="J1508" s="97">
        <f>IFERROR(VLOOKUP(C1508,'Custos Matéria Prima Embalagens'!B:G,6,0)*H1508,"Matéria Prima Não Cadastrada")</f>
        <v>21</v>
      </c>
      <c r="K1508" s="97">
        <f>IFERROR(J1508/(I1508/VLOOKUP(A1508,'Tabela de Produtos'!A:H,8,0)),"Matéria Prima Não Cadastrada")</f>
        <v>0.40025412960609907</v>
      </c>
      <c r="L1508" s="216"/>
    </row>
    <row r="1509" spans="1:12" ht="15.75" customHeight="1">
      <c r="A1509" s="114" t="s">
        <v>211</v>
      </c>
      <c r="B1509" s="114" t="str">
        <f>VLOOKUP(A1509,'Tabela de Produtos'!A:B,2,0)</f>
        <v>BRAZIMIL LÁTEX STANDARD INT/EXT SEMIBRILHO 15L LARANJA</v>
      </c>
      <c r="C1509" s="48" t="s">
        <v>1219</v>
      </c>
      <c r="D1509" s="114" t="str">
        <f>VLOOKUP(C1509,'Custos Matéria Prima Embalagens'!B:C,2,0)</f>
        <v>WANALK 70 CE (BH-200)</v>
      </c>
      <c r="E1509" s="114" t="str">
        <f>VLOOKUP(C1509,'Custos Matéria Prima Embalagens'!B:D,3,0)</f>
        <v>ALCALINIZANTE</v>
      </c>
      <c r="F1509" s="270">
        <f t="shared" si="198"/>
        <v>999.2</v>
      </c>
      <c r="G1509" s="148">
        <f t="shared" si="199"/>
        <v>3.0024019215372298E-3</v>
      </c>
      <c r="H1509" s="275">
        <v>3</v>
      </c>
      <c r="I1509" s="272">
        <f>ROUND(F1509/VLOOKUP(A1509,'Tabela de Produtos'!A:J,10,0),0)</f>
        <v>787</v>
      </c>
      <c r="J1509" s="97">
        <f>IFERROR(VLOOKUP(C1509,'Custos Matéria Prima Embalagens'!B:G,6,0)*H1509,"Matéria Prima Não Cadastrada")</f>
        <v>14.940000000000001</v>
      </c>
      <c r="K1509" s="97">
        <f>IFERROR(J1509/(I1509/VLOOKUP(A1509,'Tabela de Produtos'!A:H,8,0)),"Matéria Prima Não Cadastrada")</f>
        <v>0.28475222363405339</v>
      </c>
      <c r="L1509" s="216"/>
    </row>
    <row r="1510" spans="1:12" ht="15.75" customHeight="1">
      <c r="A1510" s="114" t="s">
        <v>211</v>
      </c>
      <c r="B1510" s="114" t="str">
        <f>VLOOKUP(A1510,'Tabela de Produtos'!A:B,2,0)</f>
        <v>BRAZIMIL LÁTEX STANDARD INT/EXT SEMIBRILHO 15L LARANJA</v>
      </c>
      <c r="C1510" s="48" t="s">
        <v>1221</v>
      </c>
      <c r="D1510" s="114" t="str">
        <f>VLOOKUP(C1510,'Custos Matéria Prima Embalagens'!B:C,2,0)</f>
        <v>MODIWAN 105H CE (CT-1000P)</v>
      </c>
      <c r="E1510" s="114" t="str">
        <f>VLOOKUP(C1510,'Custos Matéria Prima Embalagens'!B:D,3,0)</f>
        <v>ESPESSANTE DE MEDIA</v>
      </c>
      <c r="F1510" s="270">
        <f t="shared" si="198"/>
        <v>999.2</v>
      </c>
      <c r="G1510" s="148">
        <f t="shared" si="199"/>
        <v>2.0016012810248198E-2</v>
      </c>
      <c r="H1510" s="275">
        <v>20</v>
      </c>
      <c r="I1510" s="272">
        <f>ROUND(F1510/VLOOKUP(A1510,'Tabela de Produtos'!A:J,10,0),0)</f>
        <v>787</v>
      </c>
      <c r="J1510" s="97">
        <f>IFERROR(VLOOKUP(C1510,'Custos Matéria Prima Embalagens'!B:G,6,0)*H1510,"Matéria Prima Não Cadastrada")</f>
        <v>158.1</v>
      </c>
      <c r="K1510" s="97">
        <f>IFERROR(J1510/(I1510/VLOOKUP(A1510,'Tabela de Produtos'!A:H,8,0)),"Matéria Prima Não Cadastrada")</f>
        <v>3.0133418043202029</v>
      </c>
      <c r="L1510" s="216"/>
    </row>
    <row r="1511" spans="1:12" ht="15.75" customHeight="1">
      <c r="A1511" s="114" t="s">
        <v>211</v>
      </c>
      <c r="B1511" s="114" t="str">
        <f>VLOOKUP(A1511,'Tabela de Produtos'!A:B,2,0)</f>
        <v>BRAZIMIL LÁTEX STANDARD INT/EXT SEMIBRILHO 15L LARANJA</v>
      </c>
      <c r="C1511" s="48" t="s">
        <v>1270</v>
      </c>
      <c r="D1511" s="114" t="str">
        <f>VLOOKUP(C1511,'Custos Matéria Prima Embalagens'!B:C,2,0)</f>
        <v>MISTURA CONCENTRADO SEMI BRILHO</v>
      </c>
      <c r="E1511" s="114" t="str">
        <f>VLOOKUP(C1511,'Custos Matéria Prima Embalagens'!B:D,3,0)</f>
        <v>MISTURA CONCENTRADO SEMI BRILHO</v>
      </c>
      <c r="F1511" s="270">
        <f t="shared" si="198"/>
        <v>999.2</v>
      </c>
      <c r="G1511" s="148">
        <f t="shared" si="199"/>
        <v>0.244195356285028</v>
      </c>
      <c r="H1511" s="275">
        <v>244</v>
      </c>
      <c r="I1511" s="272">
        <f>ROUND(F1511/VLOOKUP(A1511,'Tabela de Produtos'!A:J,10,0),0)</f>
        <v>787</v>
      </c>
      <c r="J1511" s="97">
        <f>IFERROR(VLOOKUP(C1511,'Custos Matéria Prima Embalagens'!B:G,6,0)*H1511,"Matéria Prima Não Cadastrada")</f>
        <v>2188.6800000000003</v>
      </c>
      <c r="K1511" s="97">
        <f>IFERROR(J1511/(I1511/VLOOKUP(A1511,'Tabela de Produtos'!A:H,8,0)),"Matéria Prima Não Cadastrada")</f>
        <v>41.7156289707751</v>
      </c>
      <c r="L1511" s="216"/>
    </row>
    <row r="1512" spans="1:12" ht="15" customHeight="1">
      <c r="D1512" s="114"/>
      <c r="E1512" s="114"/>
      <c r="G1512" s="273"/>
      <c r="H1512" s="96"/>
      <c r="L1512" s="216"/>
    </row>
    <row r="1513" spans="1:12" ht="15.75" customHeight="1">
      <c r="A1513" s="114" t="s">
        <v>212</v>
      </c>
      <c r="B1513" s="114" t="str">
        <f>VLOOKUP(A1513,'Tabela de Produtos'!A:B,2,0)</f>
        <v>BRAZIMIL LÁTEX STANDARD INT/EXT SEMIBRILHO 15L AZUL CARIBE</v>
      </c>
      <c r="C1513" s="48" t="s">
        <v>1197</v>
      </c>
      <c r="D1513" s="114" t="str">
        <f>VLOOKUP(C1513,'Custos Matéria Prima Embalagens'!B:C,2,0)</f>
        <v>AGUA</v>
      </c>
      <c r="E1513" s="114" t="str">
        <f>VLOOKUP(C1513,'Custos Matéria Prima Embalagens'!B:D,3,0)</f>
        <v>AGUA</v>
      </c>
      <c r="F1513" s="270">
        <f t="shared" ref="F1513:F1524" si="200">SUMIFS(H:H,A:A,A1513)</f>
        <v>999.2</v>
      </c>
      <c r="G1513" s="148">
        <f t="shared" ref="G1513:G1524" si="201">H1513/F1513</f>
        <v>0.55044035228182542</v>
      </c>
      <c r="H1513" s="275">
        <v>550</v>
      </c>
      <c r="I1513" s="272">
        <f>ROUND(F1513/VLOOKUP(A1513,'Tabela de Produtos'!A:J,10,0),0)</f>
        <v>787</v>
      </c>
      <c r="J1513" s="97">
        <f>IFERROR(VLOOKUP(C1513,'Custos Matéria Prima Embalagens'!B:G,6,0)*H1513,"Matéria Prima Não Cadastrada")</f>
        <v>0</v>
      </c>
      <c r="K1513" s="97">
        <f>IFERROR(J1513/(I1513/VLOOKUP(A1513,'Tabela de Produtos'!A:H,8,0)),"Matéria Prima Não Cadastrada")</f>
        <v>0</v>
      </c>
      <c r="L1513" s="216"/>
    </row>
    <row r="1514" spans="1:12" ht="15.75" customHeight="1">
      <c r="A1514" s="114" t="s">
        <v>212</v>
      </c>
      <c r="B1514" s="114" t="str">
        <f>VLOOKUP(A1514,'Tabela de Produtos'!A:B,2,0)</f>
        <v>BRAZIMIL LÁTEX STANDARD INT/EXT SEMIBRILHO 15L AZUL CARIBE</v>
      </c>
      <c r="C1514" s="48" t="s">
        <v>1199</v>
      </c>
      <c r="D1514" s="114" t="str">
        <f>VLOOKUP(C1514,'Custos Matéria Prima Embalagens'!B:C,2,0)</f>
        <v>HEXAMETAFOSFATO DE SODIO</v>
      </c>
      <c r="E1514" s="114" t="str">
        <f>VLOOKUP(C1514,'Custos Matéria Prima Embalagens'!B:D,3,0)</f>
        <v>HEXAMETAFOSFATO DE SODIO</v>
      </c>
      <c r="F1514" s="270">
        <f t="shared" si="200"/>
        <v>999.2</v>
      </c>
      <c r="G1514" s="148">
        <f t="shared" si="201"/>
        <v>1.2009607686148918E-3</v>
      </c>
      <c r="H1514" s="275">
        <v>1.2</v>
      </c>
      <c r="I1514" s="272">
        <f>ROUND(F1514/VLOOKUP(A1514,'Tabela de Produtos'!A:J,10,0),0)</f>
        <v>787</v>
      </c>
      <c r="J1514" s="97">
        <f>IFERROR(VLOOKUP(C1514,'Custos Matéria Prima Embalagens'!B:G,6,0)*H1514,"Matéria Prima Não Cadastrada")</f>
        <v>21.527999999999995</v>
      </c>
      <c r="K1514" s="97">
        <f>IFERROR(J1514/(I1514/VLOOKUP(A1514,'Tabela de Produtos'!A:H,8,0)),"Matéria Prima Não Cadastrada")</f>
        <v>0.41031766200762376</v>
      </c>
      <c r="L1514" s="216"/>
    </row>
    <row r="1515" spans="1:12" ht="15.75" customHeight="1">
      <c r="A1515" s="114" t="s">
        <v>212</v>
      </c>
      <c r="B1515" s="114" t="str">
        <f>VLOOKUP(A1515,'Tabela de Produtos'!A:B,2,0)</f>
        <v>BRAZIMIL LÁTEX STANDARD INT/EXT SEMIBRILHO 15L AZUL CARIBE</v>
      </c>
      <c r="C1515" s="48" t="s">
        <v>1201</v>
      </c>
      <c r="D1515" s="114" t="str">
        <f>VLOOKUP(C1515,'Custos Matéria Prima Embalagens'!B:C,2,0)</f>
        <v>WANFOAM 528 CE (BB-190)</v>
      </c>
      <c r="E1515" s="114" t="str">
        <f>VLOOKUP(C1515,'Custos Matéria Prima Embalagens'!B:D,3,0)</f>
        <v>ANTI ESPUMA LATEX</v>
      </c>
      <c r="F1515" s="270">
        <f t="shared" si="200"/>
        <v>999.2</v>
      </c>
      <c r="G1515" s="148">
        <f t="shared" si="201"/>
        <v>2.0016012810248197E-3</v>
      </c>
      <c r="H1515" s="275">
        <v>2</v>
      </c>
      <c r="I1515" s="272">
        <f>ROUND(F1515/VLOOKUP(A1515,'Tabela de Produtos'!A:J,10,0),0)</f>
        <v>787</v>
      </c>
      <c r="J1515" s="97">
        <f>IFERROR(VLOOKUP(C1515,'Custos Matéria Prima Embalagens'!B:G,6,0)*H1515,"Matéria Prima Não Cadastrada")</f>
        <v>14.36</v>
      </c>
      <c r="K1515" s="97">
        <f>IFERROR(J1515/(I1515/VLOOKUP(A1515,'Tabela de Produtos'!A:H,8,0)),"Matéria Prima Não Cadastrada")</f>
        <v>0.27369758576874204</v>
      </c>
      <c r="L1515" s="216"/>
    </row>
    <row r="1516" spans="1:12" ht="15.75" customHeight="1">
      <c r="A1516" s="114" t="s">
        <v>212</v>
      </c>
      <c r="B1516" s="114" t="str">
        <f>VLOOKUP(A1516,'Tabela de Produtos'!A:B,2,0)</f>
        <v>BRAZIMIL LÁTEX STANDARD INT/EXT SEMIBRILHO 15L AZUL CARIBE</v>
      </c>
      <c r="C1516" s="48" t="s">
        <v>1203</v>
      </c>
      <c r="D1516" s="114" t="str">
        <f>VLOOKUP(C1516,'Custos Matéria Prima Embalagens'!B:C,2,0)</f>
        <v>WANBAC WBT CE (BH-200)</v>
      </c>
      <c r="E1516" s="114" t="str">
        <f>VLOOKUP(C1516,'Custos Matéria Prima Embalagens'!B:D,3,0)</f>
        <v>BACTERICIDA</v>
      </c>
      <c r="F1516" s="270">
        <f t="shared" si="200"/>
        <v>999.2</v>
      </c>
      <c r="G1516" s="148">
        <f t="shared" si="201"/>
        <v>2.0016012810248197E-3</v>
      </c>
      <c r="H1516" s="275">
        <v>2</v>
      </c>
      <c r="I1516" s="272">
        <f>ROUND(F1516/VLOOKUP(A1516,'Tabela de Produtos'!A:J,10,0),0)</f>
        <v>787</v>
      </c>
      <c r="J1516" s="97">
        <f>IFERROR(VLOOKUP(C1516,'Custos Matéria Prima Embalagens'!B:G,6,0)*H1516,"Matéria Prima Não Cadastrada")</f>
        <v>9.879999999999999</v>
      </c>
      <c r="K1516" s="97">
        <f>IFERROR(J1516/(I1516/VLOOKUP(A1516,'Tabela de Produtos'!A:H,8,0)),"Matéria Prima Não Cadastrada")</f>
        <v>0.18831003811944089</v>
      </c>
      <c r="L1516" s="216"/>
    </row>
    <row r="1517" spans="1:12" ht="15.75" customHeight="1">
      <c r="A1517" s="114" t="s">
        <v>212</v>
      </c>
      <c r="B1517" s="114" t="str">
        <f>VLOOKUP(A1517,'Tabela de Produtos'!A:B,2,0)</f>
        <v>BRAZIMIL LÁTEX STANDARD INT/EXT SEMIBRILHO 15L AZUL CARIBE</v>
      </c>
      <c r="C1517" s="48" t="s">
        <v>1205</v>
      </c>
      <c r="D1517" s="114" t="str">
        <f>VLOOKUP(C1517,'Custos Matéria Prima Embalagens'!B:C,2,0)</f>
        <v>WANSUR 840 CE (BB-200)01</v>
      </c>
      <c r="E1517" s="114" t="str">
        <f>VLOOKUP(C1517,'Custos Matéria Prima Embalagens'!B:D,3,0)</f>
        <v>UMECTANTE</v>
      </c>
      <c r="F1517" s="270">
        <f t="shared" si="200"/>
        <v>999.2</v>
      </c>
      <c r="G1517" s="148">
        <f t="shared" si="201"/>
        <v>2.0016012810248197E-3</v>
      </c>
      <c r="H1517" s="275">
        <v>2</v>
      </c>
      <c r="I1517" s="272">
        <f>ROUND(F1517/VLOOKUP(A1517,'Tabela de Produtos'!A:J,10,0),0)</f>
        <v>787</v>
      </c>
      <c r="J1517" s="97">
        <f>IFERROR(VLOOKUP(C1517,'Custos Matéria Prima Embalagens'!B:G,6,0)*H1517,"Matéria Prima Não Cadastrada")</f>
        <v>14.66</v>
      </c>
      <c r="K1517" s="97">
        <f>IFERROR(J1517/(I1517/VLOOKUP(A1517,'Tabela de Produtos'!A:H,8,0)),"Matéria Prima Não Cadastrada")</f>
        <v>0.27941550190597203</v>
      </c>
      <c r="L1517" s="216"/>
    </row>
    <row r="1518" spans="1:12" ht="15.75" customHeight="1">
      <c r="A1518" s="114" t="s">
        <v>212</v>
      </c>
      <c r="B1518" s="114" t="str">
        <f>VLOOKUP(A1518,'Tabela de Produtos'!A:B,2,0)</f>
        <v>BRAZIMIL LÁTEX STANDARD INT/EXT SEMIBRILHO 15L AZUL CARIBE</v>
      </c>
      <c r="C1518" s="48" t="s">
        <v>1207</v>
      </c>
      <c r="D1518" s="114" t="str">
        <f>VLOOKUP(C1518,'Custos Matéria Prima Embalagens'!B:C,2,0)</f>
        <v>WANPEX 1510 (BB-200)</v>
      </c>
      <c r="E1518" s="114" t="str">
        <f>VLOOKUP(C1518,'Custos Matéria Prima Embalagens'!B:D,3,0)</f>
        <v>DISPERSANTE LATEX</v>
      </c>
      <c r="F1518" s="270">
        <f t="shared" si="200"/>
        <v>999.2</v>
      </c>
      <c r="G1518" s="148">
        <f t="shared" si="201"/>
        <v>2.0016012810248197E-3</v>
      </c>
      <c r="H1518" s="275">
        <v>2</v>
      </c>
      <c r="I1518" s="272">
        <f>ROUND(F1518/VLOOKUP(A1518,'Tabela de Produtos'!A:J,10,0),0)</f>
        <v>787</v>
      </c>
      <c r="J1518" s="97">
        <f>IFERROR(VLOOKUP(C1518,'Custos Matéria Prima Embalagens'!B:G,6,0)*H1518,"Matéria Prima Não Cadastrada")</f>
        <v>13.719999999999999</v>
      </c>
      <c r="K1518" s="97">
        <f>IFERROR(J1518/(I1518/VLOOKUP(A1518,'Tabela de Produtos'!A:H,8,0)),"Matéria Prima Não Cadastrada")</f>
        <v>0.26149936467598472</v>
      </c>
      <c r="L1518" s="216"/>
    </row>
    <row r="1519" spans="1:12" ht="15.75" customHeight="1">
      <c r="A1519" s="114" t="s">
        <v>212</v>
      </c>
      <c r="B1519" s="114" t="str">
        <f>VLOOKUP(A1519,'Tabela de Produtos'!A:B,2,0)</f>
        <v>BRAZIMIL LÁTEX STANDARD INT/EXT SEMIBRILHO 15L AZUL CARIBE</v>
      </c>
      <c r="C1519" s="48" t="s">
        <v>1217</v>
      </c>
      <c r="D1519" s="114" t="str">
        <f>VLOOKUP(C1519,'Custos Matéria Prima Embalagens'!B:C,2,0)</f>
        <v>WANCRIL W 51 CE (CT-1000P)</v>
      </c>
      <c r="E1519" s="114" t="str">
        <f>VLOOKUP(C1519,'Custos Matéria Prima Embalagens'!B:D,3,0)</f>
        <v>RESINA ACRILICA ESTIRENADA</v>
      </c>
      <c r="F1519" s="270">
        <f t="shared" si="200"/>
        <v>999.2</v>
      </c>
      <c r="G1519" s="148">
        <f t="shared" si="201"/>
        <v>0.16012810248198558</v>
      </c>
      <c r="H1519" s="275">
        <v>160</v>
      </c>
      <c r="I1519" s="272">
        <f>ROUND(F1519/VLOOKUP(A1519,'Tabela de Produtos'!A:J,10,0),0)</f>
        <v>787</v>
      </c>
      <c r="J1519" s="97">
        <f>IFERROR(VLOOKUP(C1519,'Custos Matéria Prima Embalagens'!B:G,6,0)*H1519,"Matéria Prima Não Cadastrada")</f>
        <v>1348.8</v>
      </c>
      <c r="K1519" s="97">
        <f>IFERROR(J1519/(I1519/VLOOKUP(A1519,'Tabela de Produtos'!A:H,8,0)),"Matéria Prima Não Cadastrada")</f>
        <v>25.707750952986022</v>
      </c>
      <c r="L1519" s="216"/>
    </row>
    <row r="1520" spans="1:12" ht="15.75" customHeight="1">
      <c r="A1520" s="114" t="s">
        <v>212</v>
      </c>
      <c r="B1520" s="114" t="str">
        <f>VLOOKUP(A1520,'Tabela de Produtos'!A:B,2,0)</f>
        <v>BRAZIMIL LÁTEX STANDARD INT/EXT SEMIBRILHO 15L AZUL CARIBE</v>
      </c>
      <c r="C1520" s="48" t="s">
        <v>1229</v>
      </c>
      <c r="D1520" s="114" t="str">
        <f>VLOOKUP(C1520,'Custos Matéria Prima Embalagens'!B:C,2,0)</f>
        <v>WANSOL 340 CE (BB-200)</v>
      </c>
      <c r="E1520" s="114" t="str">
        <f>VLOOKUP(C1520,'Custos Matéria Prima Embalagens'!B:D,3,0)</f>
        <v>COALESCENTE</v>
      </c>
      <c r="F1520" s="270">
        <f t="shared" si="200"/>
        <v>999.2</v>
      </c>
      <c r="G1520" s="148">
        <f t="shared" si="201"/>
        <v>1.0008006405124099E-2</v>
      </c>
      <c r="H1520" s="275">
        <v>10</v>
      </c>
      <c r="I1520" s="272">
        <f>ROUND(F1520/VLOOKUP(A1520,'Tabela de Produtos'!A:J,10,0),0)</f>
        <v>787</v>
      </c>
      <c r="J1520" s="97">
        <f>IFERROR(VLOOKUP(C1520,'Custos Matéria Prima Embalagens'!B:G,6,0)*H1520,"Matéria Prima Não Cadastrada")</f>
        <v>192.2</v>
      </c>
      <c r="K1520" s="97">
        <f>IFERROR(J1520/(I1520/VLOOKUP(A1520,'Tabela de Produtos'!A:H,8,0)),"Matéria Prima Não Cadastrada")</f>
        <v>3.6632782719186783</v>
      </c>
      <c r="L1520" s="216"/>
    </row>
    <row r="1521" spans="1:12" ht="15.75" customHeight="1">
      <c r="A1521" s="114" t="s">
        <v>212</v>
      </c>
      <c r="B1521" s="114" t="str">
        <f>VLOOKUP(A1521,'Tabela de Produtos'!A:B,2,0)</f>
        <v>BRAZIMIL LÁTEX STANDARD INT/EXT SEMIBRILHO 15L AZUL CARIBE</v>
      </c>
      <c r="C1521" s="48" t="s">
        <v>1209</v>
      </c>
      <c r="D1521" s="114" t="str">
        <f>VLOOKUP(C1521,'Custos Matéria Prima Embalagens'!B:C,2,0)</f>
        <v>WANFUNG WFT CE (BH-200)</v>
      </c>
      <c r="E1521" s="114" t="str">
        <f>VLOOKUP(C1521,'Custos Matéria Prima Embalagens'!B:D,3,0)</f>
        <v>FUNGICIDA</v>
      </c>
      <c r="F1521" s="270">
        <f t="shared" si="200"/>
        <v>999.2</v>
      </c>
      <c r="G1521" s="148">
        <f t="shared" si="201"/>
        <v>3.0024019215372298E-3</v>
      </c>
      <c r="H1521" s="275">
        <v>3</v>
      </c>
      <c r="I1521" s="272">
        <f>ROUND(F1521/VLOOKUP(A1521,'Tabela de Produtos'!A:J,10,0),0)</f>
        <v>787</v>
      </c>
      <c r="J1521" s="97">
        <f>IFERROR(VLOOKUP(C1521,'Custos Matéria Prima Embalagens'!B:G,6,0)*H1521,"Matéria Prima Não Cadastrada")</f>
        <v>21</v>
      </c>
      <c r="K1521" s="97">
        <f>IFERROR(J1521/(I1521/VLOOKUP(A1521,'Tabela de Produtos'!A:H,8,0)),"Matéria Prima Não Cadastrada")</f>
        <v>0.40025412960609907</v>
      </c>
      <c r="L1521" s="216"/>
    </row>
    <row r="1522" spans="1:12" ht="15.75" customHeight="1">
      <c r="A1522" s="114" t="s">
        <v>212</v>
      </c>
      <c r="B1522" s="114" t="str">
        <f>VLOOKUP(A1522,'Tabela de Produtos'!A:B,2,0)</f>
        <v>BRAZIMIL LÁTEX STANDARD INT/EXT SEMIBRILHO 15L AZUL CARIBE</v>
      </c>
      <c r="C1522" s="48" t="s">
        <v>1219</v>
      </c>
      <c r="D1522" s="114" t="str">
        <f>VLOOKUP(C1522,'Custos Matéria Prima Embalagens'!B:C,2,0)</f>
        <v>WANALK 70 CE (BH-200)</v>
      </c>
      <c r="E1522" s="114" t="str">
        <f>VLOOKUP(C1522,'Custos Matéria Prima Embalagens'!B:D,3,0)</f>
        <v>ALCALINIZANTE</v>
      </c>
      <c r="F1522" s="270">
        <f t="shared" si="200"/>
        <v>999.2</v>
      </c>
      <c r="G1522" s="148">
        <f t="shared" si="201"/>
        <v>3.0024019215372298E-3</v>
      </c>
      <c r="H1522" s="275">
        <v>3</v>
      </c>
      <c r="I1522" s="272">
        <f>ROUND(F1522/VLOOKUP(A1522,'Tabela de Produtos'!A:J,10,0),0)</f>
        <v>787</v>
      </c>
      <c r="J1522" s="97">
        <f>IFERROR(VLOOKUP(C1522,'Custos Matéria Prima Embalagens'!B:G,6,0)*H1522,"Matéria Prima Não Cadastrada")</f>
        <v>14.940000000000001</v>
      </c>
      <c r="K1522" s="97">
        <f>IFERROR(J1522/(I1522/VLOOKUP(A1522,'Tabela de Produtos'!A:H,8,0)),"Matéria Prima Não Cadastrada")</f>
        <v>0.28475222363405339</v>
      </c>
      <c r="L1522" s="216"/>
    </row>
    <row r="1523" spans="1:12" ht="15.75" customHeight="1">
      <c r="A1523" s="114" t="s">
        <v>212</v>
      </c>
      <c r="B1523" s="114" t="str">
        <f>VLOOKUP(A1523,'Tabela de Produtos'!A:B,2,0)</f>
        <v>BRAZIMIL LÁTEX STANDARD INT/EXT SEMIBRILHO 15L AZUL CARIBE</v>
      </c>
      <c r="C1523" s="48" t="s">
        <v>1221</v>
      </c>
      <c r="D1523" s="114" t="str">
        <f>VLOOKUP(C1523,'Custos Matéria Prima Embalagens'!B:C,2,0)</f>
        <v>MODIWAN 105H CE (CT-1000P)</v>
      </c>
      <c r="E1523" s="114" t="str">
        <f>VLOOKUP(C1523,'Custos Matéria Prima Embalagens'!B:D,3,0)</f>
        <v>ESPESSANTE DE MEDIA</v>
      </c>
      <c r="F1523" s="270">
        <f t="shared" si="200"/>
        <v>999.2</v>
      </c>
      <c r="G1523" s="148">
        <f t="shared" si="201"/>
        <v>2.0016012810248198E-2</v>
      </c>
      <c r="H1523" s="275">
        <v>20</v>
      </c>
      <c r="I1523" s="272">
        <f>ROUND(F1523/VLOOKUP(A1523,'Tabela de Produtos'!A:J,10,0),0)</f>
        <v>787</v>
      </c>
      <c r="J1523" s="97">
        <f>IFERROR(VLOOKUP(C1523,'Custos Matéria Prima Embalagens'!B:G,6,0)*H1523,"Matéria Prima Não Cadastrada")</f>
        <v>158.1</v>
      </c>
      <c r="K1523" s="97">
        <f>IFERROR(J1523/(I1523/VLOOKUP(A1523,'Tabela de Produtos'!A:H,8,0)),"Matéria Prima Não Cadastrada")</f>
        <v>3.0133418043202029</v>
      </c>
      <c r="L1523" s="216"/>
    </row>
    <row r="1524" spans="1:12" ht="15.75" customHeight="1">
      <c r="A1524" s="114" t="s">
        <v>212</v>
      </c>
      <c r="B1524" s="114" t="str">
        <f>VLOOKUP(A1524,'Tabela de Produtos'!A:B,2,0)</f>
        <v>BRAZIMIL LÁTEX STANDARD INT/EXT SEMIBRILHO 15L AZUL CARIBE</v>
      </c>
      <c r="C1524" s="48" t="s">
        <v>1270</v>
      </c>
      <c r="D1524" s="114" t="str">
        <f>VLOOKUP(C1524,'Custos Matéria Prima Embalagens'!B:C,2,0)</f>
        <v>MISTURA CONCENTRADO SEMI BRILHO</v>
      </c>
      <c r="E1524" s="114" t="str">
        <f>VLOOKUP(C1524,'Custos Matéria Prima Embalagens'!B:D,3,0)</f>
        <v>MISTURA CONCENTRADO SEMI BRILHO</v>
      </c>
      <c r="F1524" s="270">
        <f t="shared" si="200"/>
        <v>999.2</v>
      </c>
      <c r="G1524" s="148">
        <f t="shared" si="201"/>
        <v>0.244195356285028</v>
      </c>
      <c r="H1524" s="275">
        <v>244</v>
      </c>
      <c r="I1524" s="272">
        <f>ROUND(F1524/VLOOKUP(A1524,'Tabela de Produtos'!A:J,10,0),0)</f>
        <v>787</v>
      </c>
      <c r="J1524" s="97">
        <f>IFERROR(VLOOKUP(C1524,'Custos Matéria Prima Embalagens'!B:G,6,0)*H1524,"Matéria Prima Não Cadastrada")</f>
        <v>2188.6800000000003</v>
      </c>
      <c r="K1524" s="97">
        <f>IFERROR(J1524/(I1524/VLOOKUP(A1524,'Tabela de Produtos'!A:H,8,0)),"Matéria Prima Não Cadastrada")</f>
        <v>41.7156289707751</v>
      </c>
      <c r="L1524" s="216"/>
    </row>
    <row r="1525" spans="1:12" ht="15.75" customHeight="1">
      <c r="D1525" s="114"/>
      <c r="E1525" s="114"/>
      <c r="F1525" s="96"/>
      <c r="G1525" s="148"/>
      <c r="H1525" s="96"/>
      <c r="I1525" s="272"/>
      <c r="J1525" s="97"/>
      <c r="K1525" s="97"/>
      <c r="L1525" s="216"/>
    </row>
    <row r="1526" spans="1:12" ht="15.75" customHeight="1">
      <c r="A1526" s="114" t="s">
        <v>213</v>
      </c>
      <c r="B1526" s="114" t="str">
        <f>VLOOKUP(A1526,'Tabela de Produtos'!A:B,2,0)</f>
        <v>BRAZIMIL LÁTEX STANDARD INT/EXT SEMIBRILHO 15L VERDE LIMA</v>
      </c>
      <c r="C1526" s="48" t="s">
        <v>1197</v>
      </c>
      <c r="D1526" s="114" t="str">
        <f>VLOOKUP(C1526,'Custos Matéria Prima Embalagens'!B:C,2,0)</f>
        <v>AGUA</v>
      </c>
      <c r="E1526" s="114" t="str">
        <f>VLOOKUP(C1526,'Custos Matéria Prima Embalagens'!B:D,3,0)</f>
        <v>AGUA</v>
      </c>
      <c r="F1526" s="270">
        <f t="shared" ref="F1526:F1537" si="202">SUMIFS(H:H,A:A,A1526)</f>
        <v>999.2</v>
      </c>
      <c r="G1526" s="148">
        <f t="shared" ref="G1526:G1537" si="203">H1526/F1526</f>
        <v>0.55044035228182542</v>
      </c>
      <c r="H1526" s="275">
        <v>550</v>
      </c>
      <c r="I1526" s="272">
        <f>ROUND(F1526/VLOOKUP(A1526,'Tabela de Produtos'!A:J,10,0),0)</f>
        <v>787</v>
      </c>
      <c r="J1526" s="97">
        <f>IFERROR(VLOOKUP(C1526,'Custos Matéria Prima Embalagens'!B:G,6,0)*H1526,"Matéria Prima Não Cadastrada")</f>
        <v>0</v>
      </c>
      <c r="K1526" s="97">
        <f>IFERROR(J1526/(I1526/VLOOKUP(A1526,'Tabela de Produtos'!A:H,8,0)),"Matéria Prima Não Cadastrada")</f>
        <v>0</v>
      </c>
      <c r="L1526" s="216"/>
    </row>
    <row r="1527" spans="1:12" ht="15.75" customHeight="1">
      <c r="A1527" s="114" t="s">
        <v>213</v>
      </c>
      <c r="B1527" s="114" t="str">
        <f>VLOOKUP(A1527,'Tabela de Produtos'!A:B,2,0)</f>
        <v>BRAZIMIL LÁTEX STANDARD INT/EXT SEMIBRILHO 15L VERDE LIMA</v>
      </c>
      <c r="C1527" s="48" t="s">
        <v>1199</v>
      </c>
      <c r="D1527" s="114" t="str">
        <f>VLOOKUP(C1527,'Custos Matéria Prima Embalagens'!B:C,2,0)</f>
        <v>HEXAMETAFOSFATO DE SODIO</v>
      </c>
      <c r="E1527" s="114" t="str">
        <f>VLOOKUP(C1527,'Custos Matéria Prima Embalagens'!B:D,3,0)</f>
        <v>HEXAMETAFOSFATO DE SODIO</v>
      </c>
      <c r="F1527" s="270">
        <f t="shared" si="202"/>
        <v>999.2</v>
      </c>
      <c r="G1527" s="148">
        <f t="shared" si="203"/>
        <v>1.2009607686148918E-3</v>
      </c>
      <c r="H1527" s="275">
        <v>1.2</v>
      </c>
      <c r="I1527" s="272">
        <f>ROUND(F1527/VLOOKUP(A1527,'Tabela de Produtos'!A:J,10,0),0)</f>
        <v>787</v>
      </c>
      <c r="J1527" s="97">
        <f>IFERROR(VLOOKUP(C1527,'Custos Matéria Prima Embalagens'!B:G,6,0)*H1527,"Matéria Prima Não Cadastrada")</f>
        <v>21.527999999999995</v>
      </c>
      <c r="K1527" s="97">
        <f>IFERROR(J1527/(I1527/VLOOKUP(A1527,'Tabela de Produtos'!A:H,8,0)),"Matéria Prima Não Cadastrada")</f>
        <v>0.41031766200762376</v>
      </c>
      <c r="L1527" s="216"/>
    </row>
    <row r="1528" spans="1:12" ht="15.75" customHeight="1">
      <c r="A1528" s="114" t="s">
        <v>213</v>
      </c>
      <c r="B1528" s="114" t="str">
        <f>VLOOKUP(A1528,'Tabela de Produtos'!A:B,2,0)</f>
        <v>BRAZIMIL LÁTEX STANDARD INT/EXT SEMIBRILHO 15L VERDE LIMA</v>
      </c>
      <c r="C1528" s="48" t="s">
        <v>1201</v>
      </c>
      <c r="D1528" s="114" t="str">
        <f>VLOOKUP(C1528,'Custos Matéria Prima Embalagens'!B:C,2,0)</f>
        <v>WANFOAM 528 CE (BB-190)</v>
      </c>
      <c r="E1528" s="114" t="str">
        <f>VLOOKUP(C1528,'Custos Matéria Prima Embalagens'!B:D,3,0)</f>
        <v>ANTI ESPUMA LATEX</v>
      </c>
      <c r="F1528" s="270">
        <f t="shared" si="202"/>
        <v>999.2</v>
      </c>
      <c r="G1528" s="148">
        <f t="shared" si="203"/>
        <v>2.0016012810248197E-3</v>
      </c>
      <c r="H1528" s="275">
        <v>2</v>
      </c>
      <c r="I1528" s="272">
        <f>ROUND(F1528/VLOOKUP(A1528,'Tabela de Produtos'!A:J,10,0),0)</f>
        <v>787</v>
      </c>
      <c r="J1528" s="97">
        <f>IFERROR(VLOOKUP(C1528,'Custos Matéria Prima Embalagens'!B:G,6,0)*H1528,"Matéria Prima Não Cadastrada")</f>
        <v>14.36</v>
      </c>
      <c r="K1528" s="97">
        <f>IFERROR(J1528/(I1528/VLOOKUP(A1528,'Tabela de Produtos'!A:H,8,0)),"Matéria Prima Não Cadastrada")</f>
        <v>0.27369758576874204</v>
      </c>
      <c r="L1528" s="216"/>
    </row>
    <row r="1529" spans="1:12" ht="15.75" customHeight="1">
      <c r="A1529" s="114" t="s">
        <v>213</v>
      </c>
      <c r="B1529" s="114" t="str">
        <f>VLOOKUP(A1529,'Tabela de Produtos'!A:B,2,0)</f>
        <v>BRAZIMIL LÁTEX STANDARD INT/EXT SEMIBRILHO 15L VERDE LIMA</v>
      </c>
      <c r="C1529" s="48" t="s">
        <v>1203</v>
      </c>
      <c r="D1529" s="114" t="str">
        <f>VLOOKUP(C1529,'Custos Matéria Prima Embalagens'!B:C,2,0)</f>
        <v>WANBAC WBT CE (BH-200)</v>
      </c>
      <c r="E1529" s="114" t="str">
        <f>VLOOKUP(C1529,'Custos Matéria Prima Embalagens'!B:D,3,0)</f>
        <v>BACTERICIDA</v>
      </c>
      <c r="F1529" s="270">
        <f t="shared" si="202"/>
        <v>999.2</v>
      </c>
      <c r="G1529" s="148">
        <f t="shared" si="203"/>
        <v>2.0016012810248197E-3</v>
      </c>
      <c r="H1529" s="275">
        <v>2</v>
      </c>
      <c r="I1529" s="272">
        <f>ROUND(F1529/VLOOKUP(A1529,'Tabela de Produtos'!A:J,10,0),0)</f>
        <v>787</v>
      </c>
      <c r="J1529" s="97">
        <f>IFERROR(VLOOKUP(C1529,'Custos Matéria Prima Embalagens'!B:G,6,0)*H1529,"Matéria Prima Não Cadastrada")</f>
        <v>9.879999999999999</v>
      </c>
      <c r="K1529" s="97">
        <f>IFERROR(J1529/(I1529/VLOOKUP(A1529,'Tabela de Produtos'!A:H,8,0)),"Matéria Prima Não Cadastrada")</f>
        <v>0.18831003811944089</v>
      </c>
      <c r="L1529" s="216"/>
    </row>
    <row r="1530" spans="1:12" ht="15.75" customHeight="1">
      <c r="A1530" s="114" t="s">
        <v>213</v>
      </c>
      <c r="B1530" s="114" t="str">
        <f>VLOOKUP(A1530,'Tabela de Produtos'!A:B,2,0)</f>
        <v>BRAZIMIL LÁTEX STANDARD INT/EXT SEMIBRILHO 15L VERDE LIMA</v>
      </c>
      <c r="C1530" s="48" t="s">
        <v>1205</v>
      </c>
      <c r="D1530" s="114" t="str">
        <f>VLOOKUP(C1530,'Custos Matéria Prima Embalagens'!B:C,2,0)</f>
        <v>WANSUR 840 CE (BB-200)01</v>
      </c>
      <c r="E1530" s="114" t="str">
        <f>VLOOKUP(C1530,'Custos Matéria Prima Embalagens'!B:D,3,0)</f>
        <v>UMECTANTE</v>
      </c>
      <c r="F1530" s="270">
        <f t="shared" si="202"/>
        <v>999.2</v>
      </c>
      <c r="G1530" s="148">
        <f t="shared" si="203"/>
        <v>2.0016012810248197E-3</v>
      </c>
      <c r="H1530" s="275">
        <v>2</v>
      </c>
      <c r="I1530" s="272">
        <f>ROUND(F1530/VLOOKUP(A1530,'Tabela de Produtos'!A:J,10,0),0)</f>
        <v>787</v>
      </c>
      <c r="J1530" s="97">
        <f>IFERROR(VLOOKUP(C1530,'Custos Matéria Prima Embalagens'!B:G,6,0)*H1530,"Matéria Prima Não Cadastrada")</f>
        <v>14.66</v>
      </c>
      <c r="K1530" s="97">
        <f>IFERROR(J1530/(I1530/VLOOKUP(A1530,'Tabela de Produtos'!A:H,8,0)),"Matéria Prima Não Cadastrada")</f>
        <v>0.27941550190597203</v>
      </c>
      <c r="L1530" s="216"/>
    </row>
    <row r="1531" spans="1:12" ht="15.75" customHeight="1">
      <c r="A1531" s="114" t="s">
        <v>213</v>
      </c>
      <c r="B1531" s="114" t="str">
        <f>VLOOKUP(A1531,'Tabela de Produtos'!A:B,2,0)</f>
        <v>BRAZIMIL LÁTEX STANDARD INT/EXT SEMIBRILHO 15L VERDE LIMA</v>
      </c>
      <c r="C1531" s="48" t="s">
        <v>1207</v>
      </c>
      <c r="D1531" s="114" t="str">
        <f>VLOOKUP(C1531,'Custos Matéria Prima Embalagens'!B:C,2,0)</f>
        <v>WANPEX 1510 (BB-200)</v>
      </c>
      <c r="E1531" s="114" t="str">
        <f>VLOOKUP(C1531,'Custos Matéria Prima Embalagens'!B:D,3,0)</f>
        <v>DISPERSANTE LATEX</v>
      </c>
      <c r="F1531" s="270">
        <f t="shared" si="202"/>
        <v>999.2</v>
      </c>
      <c r="G1531" s="148">
        <f t="shared" si="203"/>
        <v>2.0016012810248197E-3</v>
      </c>
      <c r="H1531" s="275">
        <v>2</v>
      </c>
      <c r="I1531" s="272">
        <f>ROUND(F1531/VLOOKUP(A1531,'Tabela de Produtos'!A:J,10,0),0)</f>
        <v>787</v>
      </c>
      <c r="J1531" s="97">
        <f>IFERROR(VLOOKUP(C1531,'Custos Matéria Prima Embalagens'!B:G,6,0)*H1531,"Matéria Prima Não Cadastrada")</f>
        <v>13.719999999999999</v>
      </c>
      <c r="K1531" s="97">
        <f>IFERROR(J1531/(I1531/VLOOKUP(A1531,'Tabela de Produtos'!A:H,8,0)),"Matéria Prima Não Cadastrada")</f>
        <v>0.26149936467598472</v>
      </c>
      <c r="L1531" s="216"/>
    </row>
    <row r="1532" spans="1:12" ht="15.75" customHeight="1">
      <c r="A1532" s="114" t="s">
        <v>213</v>
      </c>
      <c r="B1532" s="114" t="str">
        <f>VLOOKUP(A1532,'Tabela de Produtos'!A:B,2,0)</f>
        <v>BRAZIMIL LÁTEX STANDARD INT/EXT SEMIBRILHO 15L VERDE LIMA</v>
      </c>
      <c r="C1532" s="48" t="s">
        <v>1217</v>
      </c>
      <c r="D1532" s="114" t="str">
        <f>VLOOKUP(C1532,'Custos Matéria Prima Embalagens'!B:C,2,0)</f>
        <v>WANCRIL W 51 CE (CT-1000P)</v>
      </c>
      <c r="E1532" s="114" t="str">
        <f>VLOOKUP(C1532,'Custos Matéria Prima Embalagens'!B:D,3,0)</f>
        <v>RESINA ACRILICA ESTIRENADA</v>
      </c>
      <c r="F1532" s="270">
        <f t="shared" si="202"/>
        <v>999.2</v>
      </c>
      <c r="G1532" s="148">
        <f t="shared" si="203"/>
        <v>0.16012810248198558</v>
      </c>
      <c r="H1532" s="275">
        <v>160</v>
      </c>
      <c r="I1532" s="272">
        <f>ROUND(F1532/VLOOKUP(A1532,'Tabela de Produtos'!A:J,10,0),0)</f>
        <v>787</v>
      </c>
      <c r="J1532" s="97">
        <f>IFERROR(VLOOKUP(C1532,'Custos Matéria Prima Embalagens'!B:G,6,0)*H1532,"Matéria Prima Não Cadastrada")</f>
        <v>1348.8</v>
      </c>
      <c r="K1532" s="97">
        <f>IFERROR(J1532/(I1532/VLOOKUP(A1532,'Tabela de Produtos'!A:H,8,0)),"Matéria Prima Não Cadastrada")</f>
        <v>25.707750952986022</v>
      </c>
      <c r="L1532" s="216"/>
    </row>
    <row r="1533" spans="1:12" ht="15.75" customHeight="1">
      <c r="A1533" s="114" t="s">
        <v>213</v>
      </c>
      <c r="B1533" s="114" t="str">
        <f>VLOOKUP(A1533,'Tabela de Produtos'!A:B,2,0)</f>
        <v>BRAZIMIL LÁTEX STANDARD INT/EXT SEMIBRILHO 15L VERDE LIMA</v>
      </c>
      <c r="C1533" s="48" t="s">
        <v>1229</v>
      </c>
      <c r="D1533" s="114" t="str">
        <f>VLOOKUP(C1533,'Custos Matéria Prima Embalagens'!B:C,2,0)</f>
        <v>WANSOL 340 CE (BB-200)</v>
      </c>
      <c r="E1533" s="114" t="str">
        <f>VLOOKUP(C1533,'Custos Matéria Prima Embalagens'!B:D,3,0)</f>
        <v>COALESCENTE</v>
      </c>
      <c r="F1533" s="270">
        <f t="shared" si="202"/>
        <v>999.2</v>
      </c>
      <c r="G1533" s="148">
        <f t="shared" si="203"/>
        <v>1.0008006405124099E-2</v>
      </c>
      <c r="H1533" s="275">
        <v>10</v>
      </c>
      <c r="I1533" s="272">
        <f>ROUND(F1533/VLOOKUP(A1533,'Tabela de Produtos'!A:J,10,0),0)</f>
        <v>787</v>
      </c>
      <c r="J1533" s="97">
        <f>IFERROR(VLOOKUP(C1533,'Custos Matéria Prima Embalagens'!B:G,6,0)*H1533,"Matéria Prima Não Cadastrada")</f>
        <v>192.2</v>
      </c>
      <c r="K1533" s="97">
        <f>IFERROR(J1533/(I1533/VLOOKUP(A1533,'Tabela de Produtos'!A:H,8,0)),"Matéria Prima Não Cadastrada")</f>
        <v>3.6632782719186783</v>
      </c>
      <c r="L1533" s="216"/>
    </row>
    <row r="1534" spans="1:12" ht="15.75" customHeight="1">
      <c r="A1534" s="114" t="s">
        <v>213</v>
      </c>
      <c r="B1534" s="114" t="str">
        <f>VLOOKUP(A1534,'Tabela de Produtos'!A:B,2,0)</f>
        <v>BRAZIMIL LÁTEX STANDARD INT/EXT SEMIBRILHO 15L VERDE LIMA</v>
      </c>
      <c r="C1534" s="48" t="s">
        <v>1209</v>
      </c>
      <c r="D1534" s="114" t="str">
        <f>VLOOKUP(C1534,'Custos Matéria Prima Embalagens'!B:C,2,0)</f>
        <v>WANFUNG WFT CE (BH-200)</v>
      </c>
      <c r="E1534" s="114" t="str">
        <f>VLOOKUP(C1534,'Custos Matéria Prima Embalagens'!B:D,3,0)</f>
        <v>FUNGICIDA</v>
      </c>
      <c r="F1534" s="270">
        <f t="shared" si="202"/>
        <v>999.2</v>
      </c>
      <c r="G1534" s="148">
        <f t="shared" si="203"/>
        <v>3.0024019215372298E-3</v>
      </c>
      <c r="H1534" s="275">
        <v>3</v>
      </c>
      <c r="I1534" s="272">
        <f>ROUND(F1534/VLOOKUP(A1534,'Tabela de Produtos'!A:J,10,0),0)</f>
        <v>787</v>
      </c>
      <c r="J1534" s="97">
        <f>IFERROR(VLOOKUP(C1534,'Custos Matéria Prima Embalagens'!B:G,6,0)*H1534,"Matéria Prima Não Cadastrada")</f>
        <v>21</v>
      </c>
      <c r="K1534" s="97">
        <f>IFERROR(J1534/(I1534/VLOOKUP(A1534,'Tabela de Produtos'!A:H,8,0)),"Matéria Prima Não Cadastrada")</f>
        <v>0.40025412960609907</v>
      </c>
      <c r="L1534" s="216"/>
    </row>
    <row r="1535" spans="1:12" ht="15.75" customHeight="1">
      <c r="A1535" s="114" t="s">
        <v>213</v>
      </c>
      <c r="B1535" s="114" t="str">
        <f>VLOOKUP(A1535,'Tabela de Produtos'!A:B,2,0)</f>
        <v>BRAZIMIL LÁTEX STANDARD INT/EXT SEMIBRILHO 15L VERDE LIMA</v>
      </c>
      <c r="C1535" s="48" t="s">
        <v>1219</v>
      </c>
      <c r="D1535" s="114" t="str">
        <f>VLOOKUP(C1535,'Custos Matéria Prima Embalagens'!B:C,2,0)</f>
        <v>WANALK 70 CE (BH-200)</v>
      </c>
      <c r="E1535" s="114" t="str">
        <f>VLOOKUP(C1535,'Custos Matéria Prima Embalagens'!B:D,3,0)</f>
        <v>ALCALINIZANTE</v>
      </c>
      <c r="F1535" s="270">
        <f t="shared" si="202"/>
        <v>999.2</v>
      </c>
      <c r="G1535" s="148">
        <f t="shared" si="203"/>
        <v>3.0024019215372298E-3</v>
      </c>
      <c r="H1535" s="275">
        <v>3</v>
      </c>
      <c r="I1535" s="272">
        <f>ROUND(F1535/VLOOKUP(A1535,'Tabela de Produtos'!A:J,10,0),0)</f>
        <v>787</v>
      </c>
      <c r="J1535" s="97">
        <f>IFERROR(VLOOKUP(C1535,'Custos Matéria Prima Embalagens'!B:G,6,0)*H1535,"Matéria Prima Não Cadastrada")</f>
        <v>14.940000000000001</v>
      </c>
      <c r="K1535" s="97">
        <f>IFERROR(J1535/(I1535/VLOOKUP(A1535,'Tabela de Produtos'!A:H,8,0)),"Matéria Prima Não Cadastrada")</f>
        <v>0.28475222363405339</v>
      </c>
      <c r="L1535" s="216"/>
    </row>
    <row r="1536" spans="1:12" ht="15.75" customHeight="1">
      <c r="A1536" s="114" t="s">
        <v>213</v>
      </c>
      <c r="B1536" s="114" t="str">
        <f>VLOOKUP(A1536,'Tabela de Produtos'!A:B,2,0)</f>
        <v>BRAZIMIL LÁTEX STANDARD INT/EXT SEMIBRILHO 15L VERDE LIMA</v>
      </c>
      <c r="C1536" s="48" t="s">
        <v>1221</v>
      </c>
      <c r="D1536" s="114" t="str">
        <f>VLOOKUP(C1536,'Custos Matéria Prima Embalagens'!B:C,2,0)</f>
        <v>MODIWAN 105H CE (CT-1000P)</v>
      </c>
      <c r="E1536" s="114" t="str">
        <f>VLOOKUP(C1536,'Custos Matéria Prima Embalagens'!B:D,3,0)</f>
        <v>ESPESSANTE DE MEDIA</v>
      </c>
      <c r="F1536" s="270">
        <f t="shared" si="202"/>
        <v>999.2</v>
      </c>
      <c r="G1536" s="148">
        <f t="shared" si="203"/>
        <v>2.0016012810248198E-2</v>
      </c>
      <c r="H1536" s="275">
        <v>20</v>
      </c>
      <c r="I1536" s="272">
        <f>ROUND(F1536/VLOOKUP(A1536,'Tabela de Produtos'!A:J,10,0),0)</f>
        <v>787</v>
      </c>
      <c r="J1536" s="97">
        <f>IFERROR(VLOOKUP(C1536,'Custos Matéria Prima Embalagens'!B:G,6,0)*H1536,"Matéria Prima Não Cadastrada")</f>
        <v>158.1</v>
      </c>
      <c r="K1536" s="97">
        <f>IFERROR(J1536/(I1536/VLOOKUP(A1536,'Tabela de Produtos'!A:H,8,0)),"Matéria Prima Não Cadastrada")</f>
        <v>3.0133418043202029</v>
      </c>
      <c r="L1536" s="216"/>
    </row>
    <row r="1537" spans="1:12" ht="15.75" customHeight="1">
      <c r="A1537" s="114" t="s">
        <v>213</v>
      </c>
      <c r="B1537" s="114" t="str">
        <f>VLOOKUP(A1537,'Tabela de Produtos'!A:B,2,0)</f>
        <v>BRAZIMIL LÁTEX STANDARD INT/EXT SEMIBRILHO 15L VERDE LIMA</v>
      </c>
      <c r="C1537" s="48" t="s">
        <v>1270</v>
      </c>
      <c r="D1537" s="114" t="str">
        <f>VLOOKUP(C1537,'Custos Matéria Prima Embalagens'!B:C,2,0)</f>
        <v>MISTURA CONCENTRADO SEMI BRILHO</v>
      </c>
      <c r="E1537" s="114" t="str">
        <f>VLOOKUP(C1537,'Custos Matéria Prima Embalagens'!B:D,3,0)</f>
        <v>MISTURA CONCENTRADO SEMI BRILHO</v>
      </c>
      <c r="F1537" s="270">
        <f t="shared" si="202"/>
        <v>999.2</v>
      </c>
      <c r="G1537" s="148">
        <f t="shared" si="203"/>
        <v>0.244195356285028</v>
      </c>
      <c r="H1537" s="275">
        <v>244</v>
      </c>
      <c r="I1537" s="272">
        <f>ROUND(F1537/VLOOKUP(A1537,'Tabela de Produtos'!A:J,10,0),0)</f>
        <v>787</v>
      </c>
      <c r="J1537" s="97">
        <f>IFERROR(VLOOKUP(C1537,'Custos Matéria Prima Embalagens'!B:G,6,0)*H1537,"Matéria Prima Não Cadastrada")</f>
        <v>2188.6800000000003</v>
      </c>
      <c r="K1537" s="97">
        <f>IFERROR(J1537/(I1537/VLOOKUP(A1537,'Tabela de Produtos'!A:H,8,0)),"Matéria Prima Não Cadastrada")</f>
        <v>41.7156289707751</v>
      </c>
      <c r="L1537" s="216"/>
    </row>
    <row r="1538" spans="1:12" ht="15.75" customHeight="1">
      <c r="D1538" s="114"/>
      <c r="E1538" s="114"/>
      <c r="F1538" s="96"/>
      <c r="G1538" s="148"/>
      <c r="H1538" s="96"/>
      <c r="I1538" s="272"/>
      <c r="J1538" s="97"/>
      <c r="K1538" s="97"/>
      <c r="L1538" s="216"/>
    </row>
    <row r="1539" spans="1:12" ht="15.75" customHeight="1">
      <c r="A1539" s="114" t="s">
        <v>214</v>
      </c>
      <c r="B1539" s="114" t="str">
        <f>VLOOKUP(A1539,'Tabela de Produtos'!A:B,2,0)</f>
        <v>BRAZIMIL LÁTEX STANDARD INT/EXT SEMIBRILHO 15L PEROLA</v>
      </c>
      <c r="C1539" s="48" t="s">
        <v>1197</v>
      </c>
      <c r="D1539" s="114" t="str">
        <f>VLOOKUP(C1539,'Custos Matéria Prima Embalagens'!B:C,2,0)</f>
        <v>AGUA</v>
      </c>
      <c r="E1539" s="114" t="str">
        <f>VLOOKUP(C1539,'Custos Matéria Prima Embalagens'!B:D,3,0)</f>
        <v>AGUA</v>
      </c>
      <c r="F1539" s="270">
        <f t="shared" ref="F1539:F1550" si="204">SUMIFS(H:H,A:A,A1539)</f>
        <v>999.2</v>
      </c>
      <c r="G1539" s="148">
        <f t="shared" ref="G1539:G1550" si="205">H1539/F1539</f>
        <v>0.55044035228182542</v>
      </c>
      <c r="H1539" s="275">
        <v>550</v>
      </c>
      <c r="I1539" s="272">
        <f>ROUND(F1539/VLOOKUP(A1539,'Tabela de Produtos'!A:J,10,0),0)</f>
        <v>787</v>
      </c>
      <c r="J1539" s="97">
        <f>IFERROR(VLOOKUP(C1539,'Custos Matéria Prima Embalagens'!B:G,6,0)*H1539,"Matéria Prima Não Cadastrada")</f>
        <v>0</v>
      </c>
      <c r="K1539" s="97">
        <f>IFERROR(J1539/(I1539/VLOOKUP(A1539,'Tabela de Produtos'!A:H,8,0)),"Matéria Prima Não Cadastrada")</f>
        <v>0</v>
      </c>
      <c r="L1539" s="216"/>
    </row>
    <row r="1540" spans="1:12" ht="15.75" customHeight="1">
      <c r="A1540" s="114" t="s">
        <v>214</v>
      </c>
      <c r="B1540" s="114" t="str">
        <f>VLOOKUP(A1540,'Tabela de Produtos'!A:B,2,0)</f>
        <v>BRAZIMIL LÁTEX STANDARD INT/EXT SEMIBRILHO 15L PEROLA</v>
      </c>
      <c r="C1540" s="48" t="s">
        <v>1199</v>
      </c>
      <c r="D1540" s="114" t="str">
        <f>VLOOKUP(C1540,'Custos Matéria Prima Embalagens'!B:C,2,0)</f>
        <v>HEXAMETAFOSFATO DE SODIO</v>
      </c>
      <c r="E1540" s="114" t="str">
        <f>VLOOKUP(C1540,'Custos Matéria Prima Embalagens'!B:D,3,0)</f>
        <v>HEXAMETAFOSFATO DE SODIO</v>
      </c>
      <c r="F1540" s="270">
        <f t="shared" si="204"/>
        <v>999.2</v>
      </c>
      <c r="G1540" s="148">
        <f t="shared" si="205"/>
        <v>1.2009607686148918E-3</v>
      </c>
      <c r="H1540" s="275">
        <v>1.2</v>
      </c>
      <c r="I1540" s="272">
        <f>ROUND(F1540/VLOOKUP(A1540,'Tabela de Produtos'!A:J,10,0),0)</f>
        <v>787</v>
      </c>
      <c r="J1540" s="97">
        <f>IFERROR(VLOOKUP(C1540,'Custos Matéria Prima Embalagens'!B:G,6,0)*H1540,"Matéria Prima Não Cadastrada")</f>
        <v>21.527999999999995</v>
      </c>
      <c r="K1540" s="97">
        <f>IFERROR(J1540/(I1540/VLOOKUP(A1540,'Tabela de Produtos'!A:H,8,0)),"Matéria Prima Não Cadastrada")</f>
        <v>0.41031766200762376</v>
      </c>
      <c r="L1540" s="216"/>
    </row>
    <row r="1541" spans="1:12" ht="15.75" customHeight="1">
      <c r="A1541" s="114" t="s">
        <v>214</v>
      </c>
      <c r="B1541" s="114" t="str">
        <f>VLOOKUP(A1541,'Tabela de Produtos'!A:B,2,0)</f>
        <v>BRAZIMIL LÁTEX STANDARD INT/EXT SEMIBRILHO 15L PEROLA</v>
      </c>
      <c r="C1541" s="48" t="s">
        <v>1201</v>
      </c>
      <c r="D1541" s="114" t="str">
        <f>VLOOKUP(C1541,'Custos Matéria Prima Embalagens'!B:C,2,0)</f>
        <v>WANFOAM 528 CE (BB-190)</v>
      </c>
      <c r="E1541" s="114" t="str">
        <f>VLOOKUP(C1541,'Custos Matéria Prima Embalagens'!B:D,3,0)</f>
        <v>ANTI ESPUMA LATEX</v>
      </c>
      <c r="F1541" s="270">
        <f t="shared" si="204"/>
        <v>999.2</v>
      </c>
      <c r="G1541" s="148">
        <f t="shared" si="205"/>
        <v>2.0016012810248197E-3</v>
      </c>
      <c r="H1541" s="275">
        <v>2</v>
      </c>
      <c r="I1541" s="272">
        <f>ROUND(F1541/VLOOKUP(A1541,'Tabela de Produtos'!A:J,10,0),0)</f>
        <v>787</v>
      </c>
      <c r="J1541" s="97">
        <f>IFERROR(VLOOKUP(C1541,'Custos Matéria Prima Embalagens'!B:G,6,0)*H1541,"Matéria Prima Não Cadastrada")</f>
        <v>14.36</v>
      </c>
      <c r="K1541" s="97">
        <f>IFERROR(J1541/(I1541/VLOOKUP(A1541,'Tabela de Produtos'!A:H,8,0)),"Matéria Prima Não Cadastrada")</f>
        <v>0.27369758576874204</v>
      </c>
      <c r="L1541" s="216"/>
    </row>
    <row r="1542" spans="1:12" ht="15.75" customHeight="1">
      <c r="A1542" s="114" t="s">
        <v>214</v>
      </c>
      <c r="B1542" s="114" t="str">
        <f>VLOOKUP(A1542,'Tabela de Produtos'!A:B,2,0)</f>
        <v>BRAZIMIL LÁTEX STANDARD INT/EXT SEMIBRILHO 15L PEROLA</v>
      </c>
      <c r="C1542" s="48" t="s">
        <v>1203</v>
      </c>
      <c r="D1542" s="114" t="str">
        <f>VLOOKUP(C1542,'Custos Matéria Prima Embalagens'!B:C,2,0)</f>
        <v>WANBAC WBT CE (BH-200)</v>
      </c>
      <c r="E1542" s="114" t="str">
        <f>VLOOKUP(C1542,'Custos Matéria Prima Embalagens'!B:D,3,0)</f>
        <v>BACTERICIDA</v>
      </c>
      <c r="F1542" s="270">
        <f t="shared" si="204"/>
        <v>999.2</v>
      </c>
      <c r="G1542" s="148">
        <f t="shared" si="205"/>
        <v>2.0016012810248197E-3</v>
      </c>
      <c r="H1542" s="275">
        <v>2</v>
      </c>
      <c r="I1542" s="272">
        <f>ROUND(F1542/VLOOKUP(A1542,'Tabela de Produtos'!A:J,10,0),0)</f>
        <v>787</v>
      </c>
      <c r="J1542" s="97">
        <f>IFERROR(VLOOKUP(C1542,'Custos Matéria Prima Embalagens'!B:G,6,0)*H1542,"Matéria Prima Não Cadastrada")</f>
        <v>9.879999999999999</v>
      </c>
      <c r="K1542" s="97">
        <f>IFERROR(J1542/(I1542/VLOOKUP(A1542,'Tabela de Produtos'!A:H,8,0)),"Matéria Prima Não Cadastrada")</f>
        <v>0.18831003811944089</v>
      </c>
      <c r="L1542" s="216"/>
    </row>
    <row r="1543" spans="1:12" ht="15.75" customHeight="1">
      <c r="A1543" s="114" t="s">
        <v>214</v>
      </c>
      <c r="B1543" s="114" t="str">
        <f>VLOOKUP(A1543,'Tabela de Produtos'!A:B,2,0)</f>
        <v>BRAZIMIL LÁTEX STANDARD INT/EXT SEMIBRILHO 15L PEROLA</v>
      </c>
      <c r="C1543" s="48" t="s">
        <v>1205</v>
      </c>
      <c r="D1543" s="114" t="str">
        <f>VLOOKUP(C1543,'Custos Matéria Prima Embalagens'!B:C,2,0)</f>
        <v>WANSUR 840 CE (BB-200)01</v>
      </c>
      <c r="E1543" s="114" t="str">
        <f>VLOOKUP(C1543,'Custos Matéria Prima Embalagens'!B:D,3,0)</f>
        <v>UMECTANTE</v>
      </c>
      <c r="F1543" s="270">
        <f t="shared" si="204"/>
        <v>999.2</v>
      </c>
      <c r="G1543" s="148">
        <f t="shared" si="205"/>
        <v>2.0016012810248197E-3</v>
      </c>
      <c r="H1543" s="275">
        <v>2</v>
      </c>
      <c r="I1543" s="272">
        <f>ROUND(F1543/VLOOKUP(A1543,'Tabela de Produtos'!A:J,10,0),0)</f>
        <v>787</v>
      </c>
      <c r="J1543" s="97">
        <f>IFERROR(VLOOKUP(C1543,'Custos Matéria Prima Embalagens'!B:G,6,0)*H1543,"Matéria Prima Não Cadastrada")</f>
        <v>14.66</v>
      </c>
      <c r="K1543" s="97">
        <f>IFERROR(J1543/(I1543/VLOOKUP(A1543,'Tabela de Produtos'!A:H,8,0)),"Matéria Prima Não Cadastrada")</f>
        <v>0.27941550190597203</v>
      </c>
      <c r="L1543" s="216"/>
    </row>
    <row r="1544" spans="1:12" ht="15.75" customHeight="1">
      <c r="A1544" s="114" t="s">
        <v>214</v>
      </c>
      <c r="B1544" s="114" t="str">
        <f>VLOOKUP(A1544,'Tabela de Produtos'!A:B,2,0)</f>
        <v>BRAZIMIL LÁTEX STANDARD INT/EXT SEMIBRILHO 15L PEROLA</v>
      </c>
      <c r="C1544" s="48" t="s">
        <v>1207</v>
      </c>
      <c r="D1544" s="114" t="str">
        <f>VLOOKUP(C1544,'Custos Matéria Prima Embalagens'!B:C,2,0)</f>
        <v>WANPEX 1510 (BB-200)</v>
      </c>
      <c r="E1544" s="114" t="str">
        <f>VLOOKUP(C1544,'Custos Matéria Prima Embalagens'!B:D,3,0)</f>
        <v>DISPERSANTE LATEX</v>
      </c>
      <c r="F1544" s="270">
        <f t="shared" si="204"/>
        <v>999.2</v>
      </c>
      <c r="G1544" s="148">
        <f t="shared" si="205"/>
        <v>2.0016012810248197E-3</v>
      </c>
      <c r="H1544" s="275">
        <v>2</v>
      </c>
      <c r="I1544" s="272">
        <f>ROUND(F1544/VLOOKUP(A1544,'Tabela de Produtos'!A:J,10,0),0)</f>
        <v>787</v>
      </c>
      <c r="J1544" s="97">
        <f>IFERROR(VLOOKUP(C1544,'Custos Matéria Prima Embalagens'!B:G,6,0)*H1544,"Matéria Prima Não Cadastrada")</f>
        <v>13.719999999999999</v>
      </c>
      <c r="K1544" s="97">
        <f>IFERROR(J1544/(I1544/VLOOKUP(A1544,'Tabela de Produtos'!A:H,8,0)),"Matéria Prima Não Cadastrada")</f>
        <v>0.26149936467598472</v>
      </c>
      <c r="L1544" s="216"/>
    </row>
    <row r="1545" spans="1:12" ht="15.75" customHeight="1">
      <c r="A1545" s="114" t="s">
        <v>214</v>
      </c>
      <c r="B1545" s="114" t="str">
        <f>VLOOKUP(A1545,'Tabela de Produtos'!A:B,2,0)</f>
        <v>BRAZIMIL LÁTEX STANDARD INT/EXT SEMIBRILHO 15L PEROLA</v>
      </c>
      <c r="C1545" s="48" t="s">
        <v>1217</v>
      </c>
      <c r="D1545" s="114" t="str">
        <f>VLOOKUP(C1545,'Custos Matéria Prima Embalagens'!B:C,2,0)</f>
        <v>WANCRIL W 51 CE (CT-1000P)</v>
      </c>
      <c r="E1545" s="114" t="str">
        <f>VLOOKUP(C1545,'Custos Matéria Prima Embalagens'!B:D,3,0)</f>
        <v>RESINA ACRILICA ESTIRENADA</v>
      </c>
      <c r="F1545" s="270">
        <f t="shared" si="204"/>
        <v>999.2</v>
      </c>
      <c r="G1545" s="148">
        <f t="shared" si="205"/>
        <v>0.16012810248198558</v>
      </c>
      <c r="H1545" s="275">
        <v>160</v>
      </c>
      <c r="I1545" s="272">
        <f>ROUND(F1545/VLOOKUP(A1545,'Tabela de Produtos'!A:J,10,0),0)</f>
        <v>787</v>
      </c>
      <c r="J1545" s="97">
        <f>IFERROR(VLOOKUP(C1545,'Custos Matéria Prima Embalagens'!B:G,6,0)*H1545,"Matéria Prima Não Cadastrada")</f>
        <v>1348.8</v>
      </c>
      <c r="K1545" s="97">
        <f>IFERROR(J1545/(I1545/VLOOKUP(A1545,'Tabela de Produtos'!A:H,8,0)),"Matéria Prima Não Cadastrada")</f>
        <v>25.707750952986022</v>
      </c>
      <c r="L1545" s="216"/>
    </row>
    <row r="1546" spans="1:12" ht="15.75" customHeight="1">
      <c r="A1546" s="114" t="s">
        <v>214</v>
      </c>
      <c r="B1546" s="114" t="str">
        <f>VLOOKUP(A1546,'Tabela de Produtos'!A:B,2,0)</f>
        <v>BRAZIMIL LÁTEX STANDARD INT/EXT SEMIBRILHO 15L PEROLA</v>
      </c>
      <c r="C1546" s="48" t="s">
        <v>1229</v>
      </c>
      <c r="D1546" s="114" t="str">
        <f>VLOOKUP(C1546,'Custos Matéria Prima Embalagens'!B:C,2,0)</f>
        <v>WANSOL 340 CE (BB-200)</v>
      </c>
      <c r="E1546" s="114" t="str">
        <f>VLOOKUP(C1546,'Custos Matéria Prima Embalagens'!B:D,3,0)</f>
        <v>COALESCENTE</v>
      </c>
      <c r="F1546" s="270">
        <f t="shared" si="204"/>
        <v>999.2</v>
      </c>
      <c r="G1546" s="148">
        <f t="shared" si="205"/>
        <v>1.0008006405124099E-2</v>
      </c>
      <c r="H1546" s="275">
        <v>10</v>
      </c>
      <c r="I1546" s="272">
        <f>ROUND(F1546/VLOOKUP(A1546,'Tabela de Produtos'!A:J,10,0),0)</f>
        <v>787</v>
      </c>
      <c r="J1546" s="97">
        <f>IFERROR(VLOOKUP(C1546,'Custos Matéria Prima Embalagens'!B:G,6,0)*H1546,"Matéria Prima Não Cadastrada")</f>
        <v>192.2</v>
      </c>
      <c r="K1546" s="97">
        <f>IFERROR(J1546/(I1546/VLOOKUP(A1546,'Tabela de Produtos'!A:H,8,0)),"Matéria Prima Não Cadastrada")</f>
        <v>3.6632782719186783</v>
      </c>
      <c r="L1546" s="216"/>
    </row>
    <row r="1547" spans="1:12" ht="15.75" customHeight="1">
      <c r="A1547" s="114" t="s">
        <v>214</v>
      </c>
      <c r="B1547" s="114" t="str">
        <f>VLOOKUP(A1547,'Tabela de Produtos'!A:B,2,0)</f>
        <v>BRAZIMIL LÁTEX STANDARD INT/EXT SEMIBRILHO 15L PEROLA</v>
      </c>
      <c r="C1547" s="48" t="s">
        <v>1209</v>
      </c>
      <c r="D1547" s="114" t="str">
        <f>VLOOKUP(C1547,'Custos Matéria Prima Embalagens'!B:C,2,0)</f>
        <v>WANFUNG WFT CE (BH-200)</v>
      </c>
      <c r="E1547" s="114" t="str">
        <f>VLOOKUP(C1547,'Custos Matéria Prima Embalagens'!B:D,3,0)</f>
        <v>FUNGICIDA</v>
      </c>
      <c r="F1547" s="270">
        <f t="shared" si="204"/>
        <v>999.2</v>
      </c>
      <c r="G1547" s="148">
        <f t="shared" si="205"/>
        <v>3.0024019215372298E-3</v>
      </c>
      <c r="H1547" s="275">
        <v>3</v>
      </c>
      <c r="I1547" s="272">
        <f>ROUND(F1547/VLOOKUP(A1547,'Tabela de Produtos'!A:J,10,0),0)</f>
        <v>787</v>
      </c>
      <c r="J1547" s="97">
        <f>IFERROR(VLOOKUP(C1547,'Custos Matéria Prima Embalagens'!B:G,6,0)*H1547,"Matéria Prima Não Cadastrada")</f>
        <v>21</v>
      </c>
      <c r="K1547" s="97">
        <f>IFERROR(J1547/(I1547/VLOOKUP(A1547,'Tabela de Produtos'!A:H,8,0)),"Matéria Prima Não Cadastrada")</f>
        <v>0.40025412960609907</v>
      </c>
      <c r="L1547" s="216"/>
    </row>
    <row r="1548" spans="1:12" ht="15.75" customHeight="1">
      <c r="A1548" s="114" t="s">
        <v>214</v>
      </c>
      <c r="B1548" s="114" t="str">
        <f>VLOOKUP(A1548,'Tabela de Produtos'!A:B,2,0)</f>
        <v>BRAZIMIL LÁTEX STANDARD INT/EXT SEMIBRILHO 15L PEROLA</v>
      </c>
      <c r="C1548" s="48" t="s">
        <v>1219</v>
      </c>
      <c r="D1548" s="114" t="str">
        <f>VLOOKUP(C1548,'Custos Matéria Prima Embalagens'!B:C,2,0)</f>
        <v>WANALK 70 CE (BH-200)</v>
      </c>
      <c r="E1548" s="114" t="str">
        <f>VLOOKUP(C1548,'Custos Matéria Prima Embalagens'!B:D,3,0)</f>
        <v>ALCALINIZANTE</v>
      </c>
      <c r="F1548" s="270">
        <f t="shared" si="204"/>
        <v>999.2</v>
      </c>
      <c r="G1548" s="148">
        <f t="shared" si="205"/>
        <v>3.0024019215372298E-3</v>
      </c>
      <c r="H1548" s="275">
        <v>3</v>
      </c>
      <c r="I1548" s="272">
        <f>ROUND(F1548/VLOOKUP(A1548,'Tabela de Produtos'!A:J,10,0),0)</f>
        <v>787</v>
      </c>
      <c r="J1548" s="97">
        <f>IFERROR(VLOOKUP(C1548,'Custos Matéria Prima Embalagens'!B:G,6,0)*H1548,"Matéria Prima Não Cadastrada")</f>
        <v>14.940000000000001</v>
      </c>
      <c r="K1548" s="97">
        <f>IFERROR(J1548/(I1548/VLOOKUP(A1548,'Tabela de Produtos'!A:H,8,0)),"Matéria Prima Não Cadastrada")</f>
        <v>0.28475222363405339</v>
      </c>
      <c r="L1548" s="216"/>
    </row>
    <row r="1549" spans="1:12" ht="15.75" customHeight="1">
      <c r="A1549" s="114" t="s">
        <v>214</v>
      </c>
      <c r="B1549" s="114" t="str">
        <f>VLOOKUP(A1549,'Tabela de Produtos'!A:B,2,0)</f>
        <v>BRAZIMIL LÁTEX STANDARD INT/EXT SEMIBRILHO 15L PEROLA</v>
      </c>
      <c r="C1549" s="48" t="s">
        <v>1221</v>
      </c>
      <c r="D1549" s="114" t="str">
        <f>VLOOKUP(C1549,'Custos Matéria Prima Embalagens'!B:C,2,0)</f>
        <v>MODIWAN 105H CE (CT-1000P)</v>
      </c>
      <c r="E1549" s="114" t="str">
        <f>VLOOKUP(C1549,'Custos Matéria Prima Embalagens'!B:D,3,0)</f>
        <v>ESPESSANTE DE MEDIA</v>
      </c>
      <c r="F1549" s="270">
        <f t="shared" si="204"/>
        <v>999.2</v>
      </c>
      <c r="G1549" s="148">
        <f t="shared" si="205"/>
        <v>2.0016012810248198E-2</v>
      </c>
      <c r="H1549" s="275">
        <v>20</v>
      </c>
      <c r="I1549" s="272">
        <f>ROUND(F1549/VLOOKUP(A1549,'Tabela de Produtos'!A:J,10,0),0)</f>
        <v>787</v>
      </c>
      <c r="J1549" s="97">
        <f>IFERROR(VLOOKUP(C1549,'Custos Matéria Prima Embalagens'!B:G,6,0)*H1549,"Matéria Prima Não Cadastrada")</f>
        <v>158.1</v>
      </c>
      <c r="K1549" s="97">
        <f>IFERROR(J1549/(I1549/VLOOKUP(A1549,'Tabela de Produtos'!A:H,8,0)),"Matéria Prima Não Cadastrada")</f>
        <v>3.0133418043202029</v>
      </c>
      <c r="L1549" s="216"/>
    </row>
    <row r="1550" spans="1:12" ht="15.75" customHeight="1">
      <c r="A1550" s="114" t="s">
        <v>214</v>
      </c>
      <c r="B1550" s="114" t="str">
        <f>VLOOKUP(A1550,'Tabela de Produtos'!A:B,2,0)</f>
        <v>BRAZIMIL LÁTEX STANDARD INT/EXT SEMIBRILHO 15L PEROLA</v>
      </c>
      <c r="C1550" s="48" t="s">
        <v>1270</v>
      </c>
      <c r="D1550" s="114" t="str">
        <f>VLOOKUP(C1550,'Custos Matéria Prima Embalagens'!B:C,2,0)</f>
        <v>MISTURA CONCENTRADO SEMI BRILHO</v>
      </c>
      <c r="E1550" s="114" t="str">
        <f>VLOOKUP(C1550,'Custos Matéria Prima Embalagens'!B:D,3,0)</f>
        <v>MISTURA CONCENTRADO SEMI BRILHO</v>
      </c>
      <c r="F1550" s="270">
        <f t="shared" si="204"/>
        <v>999.2</v>
      </c>
      <c r="G1550" s="148">
        <f t="shared" si="205"/>
        <v>0.244195356285028</v>
      </c>
      <c r="H1550" s="275">
        <v>244</v>
      </c>
      <c r="I1550" s="272">
        <f>ROUND(F1550/VLOOKUP(A1550,'Tabela de Produtos'!A:J,10,0),0)</f>
        <v>787</v>
      </c>
      <c r="J1550" s="97">
        <f>IFERROR(VLOOKUP(C1550,'Custos Matéria Prima Embalagens'!B:G,6,0)*H1550,"Matéria Prima Não Cadastrada")</f>
        <v>2188.6800000000003</v>
      </c>
      <c r="K1550" s="97">
        <f>IFERROR(J1550/(I1550/VLOOKUP(A1550,'Tabela de Produtos'!A:H,8,0)),"Matéria Prima Não Cadastrada")</f>
        <v>41.7156289707751</v>
      </c>
      <c r="L1550" s="216"/>
    </row>
    <row r="1551" spans="1:12" ht="15.75" customHeight="1">
      <c r="D1551" s="114"/>
      <c r="E1551" s="114"/>
      <c r="F1551" s="96"/>
      <c r="G1551" s="148"/>
      <c r="H1551" s="96"/>
      <c r="I1551" s="272"/>
      <c r="J1551" s="97"/>
      <c r="K1551" s="97"/>
      <c r="L1551" s="216"/>
    </row>
    <row r="1552" spans="1:12" ht="15.75" customHeight="1">
      <c r="A1552" s="114" t="s">
        <v>215</v>
      </c>
      <c r="B1552" s="114" t="str">
        <f>VLOOKUP(A1552,'Tabela de Produtos'!A:B,2,0)</f>
        <v>BRAZIMIL LÁTEX STANDARD INT/EXT SEMIBRILHO 15L AZUL INTENSO</v>
      </c>
      <c r="C1552" s="48" t="s">
        <v>1197</v>
      </c>
      <c r="D1552" s="114" t="str">
        <f>VLOOKUP(C1552,'Custos Matéria Prima Embalagens'!B:C,2,0)</f>
        <v>AGUA</v>
      </c>
      <c r="E1552" s="114" t="str">
        <f>VLOOKUP(C1552,'Custos Matéria Prima Embalagens'!B:D,3,0)</f>
        <v>AGUA</v>
      </c>
      <c r="F1552" s="270">
        <f t="shared" ref="F1552:F1563" si="206">SUMIFS(H:H,A:A,A1552)</f>
        <v>999.2</v>
      </c>
      <c r="G1552" s="148">
        <f t="shared" ref="G1552:G1563" si="207">H1552/F1552</f>
        <v>0.55044035228182542</v>
      </c>
      <c r="H1552" s="275">
        <v>550</v>
      </c>
      <c r="I1552" s="272">
        <f>ROUND(F1552/VLOOKUP(A1552,'Tabela de Produtos'!A:J,10,0),0)</f>
        <v>787</v>
      </c>
      <c r="J1552" s="97">
        <f>IFERROR(VLOOKUP(C1552,'Custos Matéria Prima Embalagens'!B:G,6,0)*H1552,"Matéria Prima Não Cadastrada")</f>
        <v>0</v>
      </c>
      <c r="K1552" s="97">
        <f>IFERROR(J1552/(I1552/VLOOKUP(A1552,'Tabela de Produtos'!A:H,8,0)),"Matéria Prima Não Cadastrada")</f>
        <v>0</v>
      </c>
      <c r="L1552" s="216"/>
    </row>
    <row r="1553" spans="1:12" ht="15.75" customHeight="1">
      <c r="A1553" s="114" t="s">
        <v>215</v>
      </c>
      <c r="B1553" s="114" t="str">
        <f>VLOOKUP(A1553,'Tabela de Produtos'!A:B,2,0)</f>
        <v>BRAZIMIL LÁTEX STANDARD INT/EXT SEMIBRILHO 15L AZUL INTENSO</v>
      </c>
      <c r="C1553" s="48" t="s">
        <v>1199</v>
      </c>
      <c r="D1553" s="114" t="str">
        <f>VLOOKUP(C1553,'Custos Matéria Prima Embalagens'!B:C,2,0)</f>
        <v>HEXAMETAFOSFATO DE SODIO</v>
      </c>
      <c r="E1553" s="114" t="str">
        <f>VLOOKUP(C1553,'Custos Matéria Prima Embalagens'!B:D,3,0)</f>
        <v>HEXAMETAFOSFATO DE SODIO</v>
      </c>
      <c r="F1553" s="270">
        <f t="shared" si="206"/>
        <v>999.2</v>
      </c>
      <c r="G1553" s="148">
        <f t="shared" si="207"/>
        <v>1.2009607686148918E-3</v>
      </c>
      <c r="H1553" s="275">
        <v>1.2</v>
      </c>
      <c r="I1553" s="272">
        <f>ROUND(F1553/VLOOKUP(A1553,'Tabela de Produtos'!A:J,10,0),0)</f>
        <v>787</v>
      </c>
      <c r="J1553" s="97">
        <f>IFERROR(VLOOKUP(C1553,'Custos Matéria Prima Embalagens'!B:G,6,0)*H1553,"Matéria Prima Não Cadastrada")</f>
        <v>21.527999999999995</v>
      </c>
      <c r="K1553" s="97">
        <f>IFERROR(J1553/(I1553/VLOOKUP(A1553,'Tabela de Produtos'!A:H,8,0)),"Matéria Prima Não Cadastrada")</f>
        <v>0.41031766200762376</v>
      </c>
      <c r="L1553" s="216"/>
    </row>
    <row r="1554" spans="1:12" ht="15.75" customHeight="1">
      <c r="A1554" s="114" t="s">
        <v>215</v>
      </c>
      <c r="B1554" s="114" t="str">
        <f>VLOOKUP(A1554,'Tabela de Produtos'!A:B,2,0)</f>
        <v>BRAZIMIL LÁTEX STANDARD INT/EXT SEMIBRILHO 15L AZUL INTENSO</v>
      </c>
      <c r="C1554" s="48" t="s">
        <v>1201</v>
      </c>
      <c r="D1554" s="114" t="str">
        <f>VLOOKUP(C1554,'Custos Matéria Prima Embalagens'!B:C,2,0)</f>
        <v>WANFOAM 528 CE (BB-190)</v>
      </c>
      <c r="E1554" s="114" t="str">
        <f>VLOOKUP(C1554,'Custos Matéria Prima Embalagens'!B:D,3,0)</f>
        <v>ANTI ESPUMA LATEX</v>
      </c>
      <c r="F1554" s="270">
        <f t="shared" si="206"/>
        <v>999.2</v>
      </c>
      <c r="G1554" s="148">
        <f t="shared" si="207"/>
        <v>2.0016012810248197E-3</v>
      </c>
      <c r="H1554" s="275">
        <v>2</v>
      </c>
      <c r="I1554" s="272">
        <f>ROUND(F1554/VLOOKUP(A1554,'Tabela de Produtos'!A:J,10,0),0)</f>
        <v>787</v>
      </c>
      <c r="J1554" s="97">
        <f>IFERROR(VLOOKUP(C1554,'Custos Matéria Prima Embalagens'!B:G,6,0)*H1554,"Matéria Prima Não Cadastrada")</f>
        <v>14.36</v>
      </c>
      <c r="K1554" s="97">
        <f>IFERROR(J1554/(I1554/VLOOKUP(A1554,'Tabela de Produtos'!A:H,8,0)),"Matéria Prima Não Cadastrada")</f>
        <v>0.27369758576874204</v>
      </c>
      <c r="L1554" s="216"/>
    </row>
    <row r="1555" spans="1:12" ht="15.75" customHeight="1">
      <c r="A1555" s="114" t="s">
        <v>215</v>
      </c>
      <c r="B1555" s="114" t="str">
        <f>VLOOKUP(A1555,'Tabela de Produtos'!A:B,2,0)</f>
        <v>BRAZIMIL LÁTEX STANDARD INT/EXT SEMIBRILHO 15L AZUL INTENSO</v>
      </c>
      <c r="C1555" s="48" t="s">
        <v>1203</v>
      </c>
      <c r="D1555" s="114" t="str">
        <f>VLOOKUP(C1555,'Custos Matéria Prima Embalagens'!B:C,2,0)</f>
        <v>WANBAC WBT CE (BH-200)</v>
      </c>
      <c r="E1555" s="114" t="str">
        <f>VLOOKUP(C1555,'Custos Matéria Prima Embalagens'!B:D,3,0)</f>
        <v>BACTERICIDA</v>
      </c>
      <c r="F1555" s="270">
        <f t="shared" si="206"/>
        <v>999.2</v>
      </c>
      <c r="G1555" s="148">
        <f t="shared" si="207"/>
        <v>2.0016012810248197E-3</v>
      </c>
      <c r="H1555" s="275">
        <v>2</v>
      </c>
      <c r="I1555" s="272">
        <f>ROUND(F1555/VLOOKUP(A1555,'Tabela de Produtos'!A:J,10,0),0)</f>
        <v>787</v>
      </c>
      <c r="J1555" s="97">
        <f>IFERROR(VLOOKUP(C1555,'Custos Matéria Prima Embalagens'!B:G,6,0)*H1555,"Matéria Prima Não Cadastrada")</f>
        <v>9.879999999999999</v>
      </c>
      <c r="K1555" s="97">
        <f>IFERROR(J1555/(I1555/VLOOKUP(A1555,'Tabela de Produtos'!A:H,8,0)),"Matéria Prima Não Cadastrada")</f>
        <v>0.18831003811944089</v>
      </c>
      <c r="L1555" s="216"/>
    </row>
    <row r="1556" spans="1:12" ht="15.75" customHeight="1">
      <c r="A1556" s="114" t="s">
        <v>215</v>
      </c>
      <c r="B1556" s="114" t="str">
        <f>VLOOKUP(A1556,'Tabela de Produtos'!A:B,2,0)</f>
        <v>BRAZIMIL LÁTEX STANDARD INT/EXT SEMIBRILHO 15L AZUL INTENSO</v>
      </c>
      <c r="C1556" s="48" t="s">
        <v>1205</v>
      </c>
      <c r="D1556" s="114" t="str">
        <f>VLOOKUP(C1556,'Custos Matéria Prima Embalagens'!B:C,2,0)</f>
        <v>WANSUR 840 CE (BB-200)01</v>
      </c>
      <c r="E1556" s="114" t="str">
        <f>VLOOKUP(C1556,'Custos Matéria Prima Embalagens'!B:D,3,0)</f>
        <v>UMECTANTE</v>
      </c>
      <c r="F1556" s="270">
        <f t="shared" si="206"/>
        <v>999.2</v>
      </c>
      <c r="G1556" s="148">
        <f t="shared" si="207"/>
        <v>2.0016012810248197E-3</v>
      </c>
      <c r="H1556" s="275">
        <v>2</v>
      </c>
      <c r="I1556" s="272">
        <f>ROUND(F1556/VLOOKUP(A1556,'Tabela de Produtos'!A:J,10,0),0)</f>
        <v>787</v>
      </c>
      <c r="J1556" s="97">
        <f>IFERROR(VLOOKUP(C1556,'Custos Matéria Prima Embalagens'!B:G,6,0)*H1556,"Matéria Prima Não Cadastrada")</f>
        <v>14.66</v>
      </c>
      <c r="K1556" s="97">
        <f>IFERROR(J1556/(I1556/VLOOKUP(A1556,'Tabela de Produtos'!A:H,8,0)),"Matéria Prima Não Cadastrada")</f>
        <v>0.27941550190597203</v>
      </c>
      <c r="L1556" s="216"/>
    </row>
    <row r="1557" spans="1:12" ht="15.75" customHeight="1">
      <c r="A1557" s="114" t="s">
        <v>215</v>
      </c>
      <c r="B1557" s="114" t="str">
        <f>VLOOKUP(A1557,'Tabela de Produtos'!A:B,2,0)</f>
        <v>BRAZIMIL LÁTEX STANDARD INT/EXT SEMIBRILHO 15L AZUL INTENSO</v>
      </c>
      <c r="C1557" s="48" t="s">
        <v>1207</v>
      </c>
      <c r="D1557" s="114" t="str">
        <f>VLOOKUP(C1557,'Custos Matéria Prima Embalagens'!B:C,2,0)</f>
        <v>WANPEX 1510 (BB-200)</v>
      </c>
      <c r="E1557" s="114" t="str">
        <f>VLOOKUP(C1557,'Custos Matéria Prima Embalagens'!B:D,3,0)</f>
        <v>DISPERSANTE LATEX</v>
      </c>
      <c r="F1557" s="270">
        <f t="shared" si="206"/>
        <v>999.2</v>
      </c>
      <c r="G1557" s="148">
        <f t="shared" si="207"/>
        <v>2.0016012810248197E-3</v>
      </c>
      <c r="H1557" s="275">
        <v>2</v>
      </c>
      <c r="I1557" s="272">
        <f>ROUND(F1557/VLOOKUP(A1557,'Tabela de Produtos'!A:J,10,0),0)</f>
        <v>787</v>
      </c>
      <c r="J1557" s="97">
        <f>IFERROR(VLOOKUP(C1557,'Custos Matéria Prima Embalagens'!B:G,6,0)*H1557,"Matéria Prima Não Cadastrada")</f>
        <v>13.719999999999999</v>
      </c>
      <c r="K1557" s="97">
        <f>IFERROR(J1557/(I1557/VLOOKUP(A1557,'Tabela de Produtos'!A:H,8,0)),"Matéria Prima Não Cadastrada")</f>
        <v>0.26149936467598472</v>
      </c>
      <c r="L1557" s="216"/>
    </row>
    <row r="1558" spans="1:12" ht="15.75" customHeight="1">
      <c r="A1558" s="114" t="s">
        <v>215</v>
      </c>
      <c r="B1558" s="114" t="str">
        <f>VLOOKUP(A1558,'Tabela de Produtos'!A:B,2,0)</f>
        <v>BRAZIMIL LÁTEX STANDARD INT/EXT SEMIBRILHO 15L AZUL INTENSO</v>
      </c>
      <c r="C1558" s="48" t="s">
        <v>1217</v>
      </c>
      <c r="D1558" s="114" t="str">
        <f>VLOOKUP(C1558,'Custos Matéria Prima Embalagens'!B:C,2,0)</f>
        <v>WANCRIL W 51 CE (CT-1000P)</v>
      </c>
      <c r="E1558" s="114" t="str">
        <f>VLOOKUP(C1558,'Custos Matéria Prima Embalagens'!B:D,3,0)</f>
        <v>RESINA ACRILICA ESTIRENADA</v>
      </c>
      <c r="F1558" s="270">
        <f t="shared" si="206"/>
        <v>999.2</v>
      </c>
      <c r="G1558" s="148">
        <f t="shared" si="207"/>
        <v>0.16012810248198558</v>
      </c>
      <c r="H1558" s="275">
        <v>160</v>
      </c>
      <c r="I1558" s="272">
        <f>ROUND(F1558/VLOOKUP(A1558,'Tabela de Produtos'!A:J,10,0),0)</f>
        <v>787</v>
      </c>
      <c r="J1558" s="97">
        <f>IFERROR(VLOOKUP(C1558,'Custos Matéria Prima Embalagens'!B:G,6,0)*H1558,"Matéria Prima Não Cadastrada")</f>
        <v>1348.8</v>
      </c>
      <c r="K1558" s="97">
        <f>IFERROR(J1558/(I1558/VLOOKUP(A1558,'Tabela de Produtos'!A:H,8,0)),"Matéria Prima Não Cadastrada")</f>
        <v>25.707750952986022</v>
      </c>
      <c r="L1558" s="216"/>
    </row>
    <row r="1559" spans="1:12" ht="15.75" customHeight="1">
      <c r="A1559" s="114" t="s">
        <v>215</v>
      </c>
      <c r="B1559" s="114" t="str">
        <f>VLOOKUP(A1559,'Tabela de Produtos'!A:B,2,0)</f>
        <v>BRAZIMIL LÁTEX STANDARD INT/EXT SEMIBRILHO 15L AZUL INTENSO</v>
      </c>
      <c r="C1559" s="48" t="s">
        <v>1229</v>
      </c>
      <c r="D1559" s="114" t="str">
        <f>VLOOKUP(C1559,'Custos Matéria Prima Embalagens'!B:C,2,0)</f>
        <v>WANSOL 340 CE (BB-200)</v>
      </c>
      <c r="E1559" s="114" t="str">
        <f>VLOOKUP(C1559,'Custos Matéria Prima Embalagens'!B:D,3,0)</f>
        <v>COALESCENTE</v>
      </c>
      <c r="F1559" s="270">
        <f t="shared" si="206"/>
        <v>999.2</v>
      </c>
      <c r="G1559" s="148">
        <f t="shared" si="207"/>
        <v>1.0008006405124099E-2</v>
      </c>
      <c r="H1559" s="275">
        <v>10</v>
      </c>
      <c r="I1559" s="272">
        <f>ROUND(F1559/VLOOKUP(A1559,'Tabela de Produtos'!A:J,10,0),0)</f>
        <v>787</v>
      </c>
      <c r="J1559" s="97">
        <f>IFERROR(VLOOKUP(C1559,'Custos Matéria Prima Embalagens'!B:G,6,0)*H1559,"Matéria Prima Não Cadastrada")</f>
        <v>192.2</v>
      </c>
      <c r="K1559" s="97">
        <f>IFERROR(J1559/(I1559/VLOOKUP(A1559,'Tabela de Produtos'!A:H,8,0)),"Matéria Prima Não Cadastrada")</f>
        <v>3.6632782719186783</v>
      </c>
      <c r="L1559" s="216"/>
    </row>
    <row r="1560" spans="1:12" ht="15.75" customHeight="1">
      <c r="A1560" s="114" t="s">
        <v>215</v>
      </c>
      <c r="B1560" s="114" t="str">
        <f>VLOOKUP(A1560,'Tabela de Produtos'!A:B,2,0)</f>
        <v>BRAZIMIL LÁTEX STANDARD INT/EXT SEMIBRILHO 15L AZUL INTENSO</v>
      </c>
      <c r="C1560" s="48" t="s">
        <v>1209</v>
      </c>
      <c r="D1560" s="114" t="str">
        <f>VLOOKUP(C1560,'Custos Matéria Prima Embalagens'!B:C,2,0)</f>
        <v>WANFUNG WFT CE (BH-200)</v>
      </c>
      <c r="E1560" s="114" t="str">
        <f>VLOOKUP(C1560,'Custos Matéria Prima Embalagens'!B:D,3,0)</f>
        <v>FUNGICIDA</v>
      </c>
      <c r="F1560" s="270">
        <f t="shared" si="206"/>
        <v>999.2</v>
      </c>
      <c r="G1560" s="148">
        <f t="shared" si="207"/>
        <v>3.0024019215372298E-3</v>
      </c>
      <c r="H1560" s="275">
        <v>3</v>
      </c>
      <c r="I1560" s="272">
        <f>ROUND(F1560/VLOOKUP(A1560,'Tabela de Produtos'!A:J,10,0),0)</f>
        <v>787</v>
      </c>
      <c r="J1560" s="97">
        <f>IFERROR(VLOOKUP(C1560,'Custos Matéria Prima Embalagens'!B:G,6,0)*H1560,"Matéria Prima Não Cadastrada")</f>
        <v>21</v>
      </c>
      <c r="K1560" s="97">
        <f>IFERROR(J1560/(I1560/VLOOKUP(A1560,'Tabela de Produtos'!A:H,8,0)),"Matéria Prima Não Cadastrada")</f>
        <v>0.40025412960609907</v>
      </c>
      <c r="L1560" s="216"/>
    </row>
    <row r="1561" spans="1:12" ht="15.75" customHeight="1">
      <c r="A1561" s="114" t="s">
        <v>215</v>
      </c>
      <c r="B1561" s="114" t="str">
        <f>VLOOKUP(A1561,'Tabela de Produtos'!A:B,2,0)</f>
        <v>BRAZIMIL LÁTEX STANDARD INT/EXT SEMIBRILHO 15L AZUL INTENSO</v>
      </c>
      <c r="C1561" s="48" t="s">
        <v>1219</v>
      </c>
      <c r="D1561" s="114" t="str">
        <f>VLOOKUP(C1561,'Custos Matéria Prima Embalagens'!B:C,2,0)</f>
        <v>WANALK 70 CE (BH-200)</v>
      </c>
      <c r="E1561" s="114" t="str">
        <f>VLOOKUP(C1561,'Custos Matéria Prima Embalagens'!B:D,3,0)</f>
        <v>ALCALINIZANTE</v>
      </c>
      <c r="F1561" s="270">
        <f t="shared" si="206"/>
        <v>999.2</v>
      </c>
      <c r="G1561" s="148">
        <f t="shared" si="207"/>
        <v>3.0024019215372298E-3</v>
      </c>
      <c r="H1561" s="275">
        <v>3</v>
      </c>
      <c r="I1561" s="272">
        <f>ROUND(F1561/VLOOKUP(A1561,'Tabela de Produtos'!A:J,10,0),0)</f>
        <v>787</v>
      </c>
      <c r="J1561" s="97">
        <f>IFERROR(VLOOKUP(C1561,'Custos Matéria Prima Embalagens'!B:G,6,0)*H1561,"Matéria Prima Não Cadastrada")</f>
        <v>14.940000000000001</v>
      </c>
      <c r="K1561" s="97">
        <f>IFERROR(J1561/(I1561/VLOOKUP(A1561,'Tabela de Produtos'!A:H,8,0)),"Matéria Prima Não Cadastrada")</f>
        <v>0.28475222363405339</v>
      </c>
      <c r="L1561" s="216"/>
    </row>
    <row r="1562" spans="1:12" ht="15.75" customHeight="1">
      <c r="A1562" s="114" t="s">
        <v>215</v>
      </c>
      <c r="B1562" s="114" t="str">
        <f>VLOOKUP(A1562,'Tabela de Produtos'!A:B,2,0)</f>
        <v>BRAZIMIL LÁTEX STANDARD INT/EXT SEMIBRILHO 15L AZUL INTENSO</v>
      </c>
      <c r="C1562" s="48" t="s">
        <v>1221</v>
      </c>
      <c r="D1562" s="114" t="str">
        <f>VLOOKUP(C1562,'Custos Matéria Prima Embalagens'!B:C,2,0)</f>
        <v>MODIWAN 105H CE (CT-1000P)</v>
      </c>
      <c r="E1562" s="114" t="str">
        <f>VLOOKUP(C1562,'Custos Matéria Prima Embalagens'!B:D,3,0)</f>
        <v>ESPESSANTE DE MEDIA</v>
      </c>
      <c r="F1562" s="270">
        <f t="shared" si="206"/>
        <v>999.2</v>
      </c>
      <c r="G1562" s="148">
        <f t="shared" si="207"/>
        <v>2.0016012810248198E-2</v>
      </c>
      <c r="H1562" s="275">
        <v>20</v>
      </c>
      <c r="I1562" s="272">
        <f>ROUND(F1562/VLOOKUP(A1562,'Tabela de Produtos'!A:J,10,0),0)</f>
        <v>787</v>
      </c>
      <c r="J1562" s="97">
        <f>IFERROR(VLOOKUP(C1562,'Custos Matéria Prima Embalagens'!B:G,6,0)*H1562,"Matéria Prima Não Cadastrada")</f>
        <v>158.1</v>
      </c>
      <c r="K1562" s="97">
        <f>IFERROR(J1562/(I1562/VLOOKUP(A1562,'Tabela de Produtos'!A:H,8,0)),"Matéria Prima Não Cadastrada")</f>
        <v>3.0133418043202029</v>
      </c>
      <c r="L1562" s="216"/>
    </row>
    <row r="1563" spans="1:12" ht="15.75" customHeight="1">
      <c r="A1563" s="114" t="s">
        <v>215</v>
      </c>
      <c r="B1563" s="114" t="str">
        <f>VLOOKUP(A1563,'Tabela de Produtos'!A:B,2,0)</f>
        <v>BRAZIMIL LÁTEX STANDARD INT/EXT SEMIBRILHO 15L AZUL INTENSO</v>
      </c>
      <c r="C1563" s="48" t="s">
        <v>1270</v>
      </c>
      <c r="D1563" s="114" t="str">
        <f>VLOOKUP(C1563,'Custos Matéria Prima Embalagens'!B:C,2,0)</f>
        <v>MISTURA CONCENTRADO SEMI BRILHO</v>
      </c>
      <c r="E1563" s="114" t="str">
        <f>VLOOKUP(C1563,'Custos Matéria Prima Embalagens'!B:D,3,0)</f>
        <v>MISTURA CONCENTRADO SEMI BRILHO</v>
      </c>
      <c r="F1563" s="270">
        <f t="shared" si="206"/>
        <v>999.2</v>
      </c>
      <c r="G1563" s="148">
        <f t="shared" si="207"/>
        <v>0.244195356285028</v>
      </c>
      <c r="H1563" s="275">
        <v>244</v>
      </c>
      <c r="I1563" s="272">
        <f>ROUND(F1563/VLOOKUP(A1563,'Tabela de Produtos'!A:J,10,0),0)</f>
        <v>787</v>
      </c>
      <c r="J1563" s="97">
        <f>IFERROR(VLOOKUP(C1563,'Custos Matéria Prima Embalagens'!B:G,6,0)*H1563,"Matéria Prima Não Cadastrada")</f>
        <v>2188.6800000000003</v>
      </c>
      <c r="K1563" s="97">
        <f>IFERROR(J1563/(I1563/VLOOKUP(A1563,'Tabela de Produtos'!A:H,8,0)),"Matéria Prima Não Cadastrada")</f>
        <v>41.7156289707751</v>
      </c>
      <c r="L1563" s="216"/>
    </row>
    <row r="1564" spans="1:12" ht="15.75" customHeight="1">
      <c r="D1564" s="114"/>
      <c r="E1564" s="114"/>
      <c r="F1564" s="96"/>
      <c r="G1564" s="148"/>
      <c r="H1564" s="96"/>
      <c r="I1564" s="272"/>
      <c r="J1564" s="97"/>
      <c r="K1564" s="97"/>
      <c r="L1564" s="216"/>
    </row>
    <row r="1565" spans="1:12" ht="15.75" customHeight="1">
      <c r="A1565" s="114" t="s">
        <v>216</v>
      </c>
      <c r="B1565" s="114" t="str">
        <f>VLOOKUP(A1565,'Tabela de Produtos'!A:B,2,0)</f>
        <v>BRAZIMIL LÁTEX STANDARD INT/EXT SEMIBRILHO 15L LILAS</v>
      </c>
      <c r="C1565" s="48" t="s">
        <v>1197</v>
      </c>
      <c r="D1565" s="114" t="str">
        <f>VLOOKUP(C1565,'Custos Matéria Prima Embalagens'!B:C,2,0)</f>
        <v>AGUA</v>
      </c>
      <c r="E1565" s="114" t="str">
        <f>VLOOKUP(C1565,'Custos Matéria Prima Embalagens'!B:D,3,0)</f>
        <v>AGUA</v>
      </c>
      <c r="F1565" s="270">
        <f t="shared" ref="F1565:F1576" si="208">SUMIFS(H:H,A:A,A1565)</f>
        <v>999.2</v>
      </c>
      <c r="G1565" s="148">
        <f t="shared" ref="G1565:G1576" si="209">H1565/F1565</f>
        <v>0.55044035228182542</v>
      </c>
      <c r="H1565" s="275">
        <v>550</v>
      </c>
      <c r="I1565" s="272">
        <f>ROUND(F1565/VLOOKUP(A1565,'Tabela de Produtos'!A:J,10,0),0)</f>
        <v>787</v>
      </c>
      <c r="J1565" s="97">
        <f>IFERROR(VLOOKUP(C1565,'Custos Matéria Prima Embalagens'!B:G,6,0)*H1565,"Matéria Prima Não Cadastrada")</f>
        <v>0</v>
      </c>
      <c r="K1565" s="97">
        <f>IFERROR(J1565/(I1565/VLOOKUP(A1565,'Tabela de Produtos'!A:H,8,0)),"Matéria Prima Não Cadastrada")</f>
        <v>0</v>
      </c>
      <c r="L1565" s="216"/>
    </row>
    <row r="1566" spans="1:12" ht="15.75" customHeight="1">
      <c r="A1566" s="114" t="s">
        <v>216</v>
      </c>
      <c r="B1566" s="114" t="str">
        <f>VLOOKUP(A1566,'Tabela de Produtos'!A:B,2,0)</f>
        <v>BRAZIMIL LÁTEX STANDARD INT/EXT SEMIBRILHO 15L LILAS</v>
      </c>
      <c r="C1566" s="48" t="s">
        <v>1199</v>
      </c>
      <c r="D1566" s="114" t="str">
        <f>VLOOKUP(C1566,'Custos Matéria Prima Embalagens'!B:C,2,0)</f>
        <v>HEXAMETAFOSFATO DE SODIO</v>
      </c>
      <c r="E1566" s="114" t="str">
        <f>VLOOKUP(C1566,'Custos Matéria Prima Embalagens'!B:D,3,0)</f>
        <v>HEXAMETAFOSFATO DE SODIO</v>
      </c>
      <c r="F1566" s="270">
        <f t="shared" si="208"/>
        <v>999.2</v>
      </c>
      <c r="G1566" s="148">
        <f t="shared" si="209"/>
        <v>1.2009607686148918E-3</v>
      </c>
      <c r="H1566" s="275">
        <v>1.2</v>
      </c>
      <c r="I1566" s="272">
        <f>ROUND(F1566/VLOOKUP(A1566,'Tabela de Produtos'!A:J,10,0),0)</f>
        <v>787</v>
      </c>
      <c r="J1566" s="97">
        <f>IFERROR(VLOOKUP(C1566,'Custos Matéria Prima Embalagens'!B:G,6,0)*H1566,"Matéria Prima Não Cadastrada")</f>
        <v>21.527999999999995</v>
      </c>
      <c r="K1566" s="97">
        <f>IFERROR(J1566/(I1566/VLOOKUP(A1566,'Tabela de Produtos'!A:H,8,0)),"Matéria Prima Não Cadastrada")</f>
        <v>0.41031766200762376</v>
      </c>
      <c r="L1566" s="216"/>
    </row>
    <row r="1567" spans="1:12" ht="15.75" customHeight="1">
      <c r="A1567" s="114" t="s">
        <v>216</v>
      </c>
      <c r="B1567" s="114" t="str">
        <f>VLOOKUP(A1567,'Tabela de Produtos'!A:B,2,0)</f>
        <v>BRAZIMIL LÁTEX STANDARD INT/EXT SEMIBRILHO 15L LILAS</v>
      </c>
      <c r="C1567" s="48" t="s">
        <v>1201</v>
      </c>
      <c r="D1567" s="114" t="str">
        <f>VLOOKUP(C1567,'Custos Matéria Prima Embalagens'!B:C,2,0)</f>
        <v>WANFOAM 528 CE (BB-190)</v>
      </c>
      <c r="E1567" s="114" t="str">
        <f>VLOOKUP(C1567,'Custos Matéria Prima Embalagens'!B:D,3,0)</f>
        <v>ANTI ESPUMA LATEX</v>
      </c>
      <c r="F1567" s="270">
        <f t="shared" si="208"/>
        <v>999.2</v>
      </c>
      <c r="G1567" s="148">
        <f t="shared" si="209"/>
        <v>2.0016012810248197E-3</v>
      </c>
      <c r="H1567" s="275">
        <v>2</v>
      </c>
      <c r="I1567" s="272">
        <f>ROUND(F1567/VLOOKUP(A1567,'Tabela de Produtos'!A:J,10,0),0)</f>
        <v>787</v>
      </c>
      <c r="J1567" s="97">
        <f>IFERROR(VLOOKUP(C1567,'Custos Matéria Prima Embalagens'!B:G,6,0)*H1567,"Matéria Prima Não Cadastrada")</f>
        <v>14.36</v>
      </c>
      <c r="K1567" s="97">
        <f>IFERROR(J1567/(I1567/VLOOKUP(A1567,'Tabela de Produtos'!A:H,8,0)),"Matéria Prima Não Cadastrada")</f>
        <v>0.27369758576874204</v>
      </c>
      <c r="L1567" s="216"/>
    </row>
    <row r="1568" spans="1:12" ht="15.75" customHeight="1">
      <c r="A1568" s="114" t="s">
        <v>216</v>
      </c>
      <c r="B1568" s="114" t="str">
        <f>VLOOKUP(A1568,'Tabela de Produtos'!A:B,2,0)</f>
        <v>BRAZIMIL LÁTEX STANDARD INT/EXT SEMIBRILHO 15L LILAS</v>
      </c>
      <c r="C1568" s="48" t="s">
        <v>1203</v>
      </c>
      <c r="D1568" s="114" t="str">
        <f>VLOOKUP(C1568,'Custos Matéria Prima Embalagens'!B:C,2,0)</f>
        <v>WANBAC WBT CE (BH-200)</v>
      </c>
      <c r="E1568" s="114" t="str">
        <f>VLOOKUP(C1568,'Custos Matéria Prima Embalagens'!B:D,3,0)</f>
        <v>BACTERICIDA</v>
      </c>
      <c r="F1568" s="270">
        <f t="shared" si="208"/>
        <v>999.2</v>
      </c>
      <c r="G1568" s="148">
        <f t="shared" si="209"/>
        <v>2.0016012810248197E-3</v>
      </c>
      <c r="H1568" s="275">
        <v>2</v>
      </c>
      <c r="I1568" s="272">
        <f>ROUND(F1568/VLOOKUP(A1568,'Tabela de Produtos'!A:J,10,0),0)</f>
        <v>787</v>
      </c>
      <c r="J1568" s="97">
        <f>IFERROR(VLOOKUP(C1568,'Custos Matéria Prima Embalagens'!B:G,6,0)*H1568,"Matéria Prima Não Cadastrada")</f>
        <v>9.879999999999999</v>
      </c>
      <c r="K1568" s="97">
        <f>IFERROR(J1568/(I1568/VLOOKUP(A1568,'Tabela de Produtos'!A:H,8,0)),"Matéria Prima Não Cadastrada")</f>
        <v>0.18831003811944089</v>
      </c>
      <c r="L1568" s="216"/>
    </row>
    <row r="1569" spans="1:12" ht="15.75" customHeight="1">
      <c r="A1569" s="114" t="s">
        <v>216</v>
      </c>
      <c r="B1569" s="114" t="str">
        <f>VLOOKUP(A1569,'Tabela de Produtos'!A:B,2,0)</f>
        <v>BRAZIMIL LÁTEX STANDARD INT/EXT SEMIBRILHO 15L LILAS</v>
      </c>
      <c r="C1569" s="48" t="s">
        <v>1205</v>
      </c>
      <c r="D1569" s="114" t="str">
        <f>VLOOKUP(C1569,'Custos Matéria Prima Embalagens'!B:C,2,0)</f>
        <v>WANSUR 840 CE (BB-200)01</v>
      </c>
      <c r="E1569" s="114" t="str">
        <f>VLOOKUP(C1569,'Custos Matéria Prima Embalagens'!B:D,3,0)</f>
        <v>UMECTANTE</v>
      </c>
      <c r="F1569" s="270">
        <f t="shared" si="208"/>
        <v>999.2</v>
      </c>
      <c r="G1569" s="148">
        <f t="shared" si="209"/>
        <v>2.0016012810248197E-3</v>
      </c>
      <c r="H1569" s="275">
        <v>2</v>
      </c>
      <c r="I1569" s="272">
        <f>ROUND(F1569/VLOOKUP(A1569,'Tabela de Produtos'!A:J,10,0),0)</f>
        <v>787</v>
      </c>
      <c r="J1569" s="97">
        <f>IFERROR(VLOOKUP(C1569,'Custos Matéria Prima Embalagens'!B:G,6,0)*H1569,"Matéria Prima Não Cadastrada")</f>
        <v>14.66</v>
      </c>
      <c r="K1569" s="97">
        <f>IFERROR(J1569/(I1569/VLOOKUP(A1569,'Tabela de Produtos'!A:H,8,0)),"Matéria Prima Não Cadastrada")</f>
        <v>0.27941550190597203</v>
      </c>
      <c r="L1569" s="216"/>
    </row>
    <row r="1570" spans="1:12" ht="15.75" customHeight="1">
      <c r="A1570" s="114" t="s">
        <v>216</v>
      </c>
      <c r="B1570" s="114" t="str">
        <f>VLOOKUP(A1570,'Tabela de Produtos'!A:B,2,0)</f>
        <v>BRAZIMIL LÁTEX STANDARD INT/EXT SEMIBRILHO 15L LILAS</v>
      </c>
      <c r="C1570" s="48" t="s">
        <v>1207</v>
      </c>
      <c r="D1570" s="114" t="str">
        <f>VLOOKUP(C1570,'Custos Matéria Prima Embalagens'!B:C,2,0)</f>
        <v>WANPEX 1510 (BB-200)</v>
      </c>
      <c r="E1570" s="114" t="str">
        <f>VLOOKUP(C1570,'Custos Matéria Prima Embalagens'!B:D,3,0)</f>
        <v>DISPERSANTE LATEX</v>
      </c>
      <c r="F1570" s="270">
        <f t="shared" si="208"/>
        <v>999.2</v>
      </c>
      <c r="G1570" s="148">
        <f t="shared" si="209"/>
        <v>2.0016012810248197E-3</v>
      </c>
      <c r="H1570" s="275">
        <v>2</v>
      </c>
      <c r="I1570" s="272">
        <f>ROUND(F1570/VLOOKUP(A1570,'Tabela de Produtos'!A:J,10,0),0)</f>
        <v>787</v>
      </c>
      <c r="J1570" s="97">
        <f>IFERROR(VLOOKUP(C1570,'Custos Matéria Prima Embalagens'!B:G,6,0)*H1570,"Matéria Prima Não Cadastrada")</f>
        <v>13.719999999999999</v>
      </c>
      <c r="K1570" s="97">
        <f>IFERROR(J1570/(I1570/VLOOKUP(A1570,'Tabela de Produtos'!A:H,8,0)),"Matéria Prima Não Cadastrada")</f>
        <v>0.26149936467598472</v>
      </c>
      <c r="L1570" s="216"/>
    </row>
    <row r="1571" spans="1:12" ht="15.75" customHeight="1">
      <c r="A1571" s="114" t="s">
        <v>216</v>
      </c>
      <c r="B1571" s="114" t="str">
        <f>VLOOKUP(A1571,'Tabela de Produtos'!A:B,2,0)</f>
        <v>BRAZIMIL LÁTEX STANDARD INT/EXT SEMIBRILHO 15L LILAS</v>
      </c>
      <c r="C1571" s="48" t="s">
        <v>1217</v>
      </c>
      <c r="D1571" s="114" t="str">
        <f>VLOOKUP(C1571,'Custos Matéria Prima Embalagens'!B:C,2,0)</f>
        <v>WANCRIL W 51 CE (CT-1000P)</v>
      </c>
      <c r="E1571" s="114" t="str">
        <f>VLOOKUP(C1571,'Custos Matéria Prima Embalagens'!B:D,3,0)</f>
        <v>RESINA ACRILICA ESTIRENADA</v>
      </c>
      <c r="F1571" s="270">
        <f t="shared" si="208"/>
        <v>999.2</v>
      </c>
      <c r="G1571" s="148">
        <f t="shared" si="209"/>
        <v>0.16012810248198558</v>
      </c>
      <c r="H1571" s="275">
        <v>160</v>
      </c>
      <c r="I1571" s="272">
        <f>ROUND(F1571/VLOOKUP(A1571,'Tabela de Produtos'!A:J,10,0),0)</f>
        <v>787</v>
      </c>
      <c r="J1571" s="97">
        <f>IFERROR(VLOOKUP(C1571,'Custos Matéria Prima Embalagens'!B:G,6,0)*H1571,"Matéria Prima Não Cadastrada")</f>
        <v>1348.8</v>
      </c>
      <c r="K1571" s="97">
        <f>IFERROR(J1571/(I1571/VLOOKUP(A1571,'Tabela de Produtos'!A:H,8,0)),"Matéria Prima Não Cadastrada")</f>
        <v>25.707750952986022</v>
      </c>
      <c r="L1571" s="216"/>
    </row>
    <row r="1572" spans="1:12" ht="15.75" customHeight="1">
      <c r="A1572" s="114" t="s">
        <v>216</v>
      </c>
      <c r="B1572" s="114" t="str">
        <f>VLOOKUP(A1572,'Tabela de Produtos'!A:B,2,0)</f>
        <v>BRAZIMIL LÁTEX STANDARD INT/EXT SEMIBRILHO 15L LILAS</v>
      </c>
      <c r="C1572" s="48" t="s">
        <v>1229</v>
      </c>
      <c r="D1572" s="114" t="str">
        <f>VLOOKUP(C1572,'Custos Matéria Prima Embalagens'!B:C,2,0)</f>
        <v>WANSOL 340 CE (BB-200)</v>
      </c>
      <c r="E1572" s="114" t="str">
        <f>VLOOKUP(C1572,'Custos Matéria Prima Embalagens'!B:D,3,0)</f>
        <v>COALESCENTE</v>
      </c>
      <c r="F1572" s="270">
        <f t="shared" si="208"/>
        <v>999.2</v>
      </c>
      <c r="G1572" s="148">
        <f t="shared" si="209"/>
        <v>1.0008006405124099E-2</v>
      </c>
      <c r="H1572" s="275">
        <v>10</v>
      </c>
      <c r="I1572" s="272">
        <f>ROUND(F1572/VLOOKUP(A1572,'Tabela de Produtos'!A:J,10,0),0)</f>
        <v>787</v>
      </c>
      <c r="J1572" s="97">
        <f>IFERROR(VLOOKUP(C1572,'Custos Matéria Prima Embalagens'!B:G,6,0)*H1572,"Matéria Prima Não Cadastrada")</f>
        <v>192.2</v>
      </c>
      <c r="K1572" s="97">
        <f>IFERROR(J1572/(I1572/VLOOKUP(A1572,'Tabela de Produtos'!A:H,8,0)),"Matéria Prima Não Cadastrada")</f>
        <v>3.6632782719186783</v>
      </c>
      <c r="L1572" s="216"/>
    </row>
    <row r="1573" spans="1:12" ht="15.75" customHeight="1">
      <c r="A1573" s="114" t="s">
        <v>216</v>
      </c>
      <c r="B1573" s="114" t="str">
        <f>VLOOKUP(A1573,'Tabela de Produtos'!A:B,2,0)</f>
        <v>BRAZIMIL LÁTEX STANDARD INT/EXT SEMIBRILHO 15L LILAS</v>
      </c>
      <c r="C1573" s="48" t="s">
        <v>1209</v>
      </c>
      <c r="D1573" s="114" t="str">
        <f>VLOOKUP(C1573,'Custos Matéria Prima Embalagens'!B:C,2,0)</f>
        <v>WANFUNG WFT CE (BH-200)</v>
      </c>
      <c r="E1573" s="114" t="str">
        <f>VLOOKUP(C1573,'Custos Matéria Prima Embalagens'!B:D,3,0)</f>
        <v>FUNGICIDA</v>
      </c>
      <c r="F1573" s="270">
        <f t="shared" si="208"/>
        <v>999.2</v>
      </c>
      <c r="G1573" s="148">
        <f t="shared" si="209"/>
        <v>3.0024019215372298E-3</v>
      </c>
      <c r="H1573" s="275">
        <v>3</v>
      </c>
      <c r="I1573" s="272">
        <f>ROUND(F1573/VLOOKUP(A1573,'Tabela de Produtos'!A:J,10,0),0)</f>
        <v>787</v>
      </c>
      <c r="J1573" s="97">
        <f>IFERROR(VLOOKUP(C1573,'Custos Matéria Prima Embalagens'!B:G,6,0)*H1573,"Matéria Prima Não Cadastrada")</f>
        <v>21</v>
      </c>
      <c r="K1573" s="97">
        <f>IFERROR(J1573/(I1573/VLOOKUP(A1573,'Tabela de Produtos'!A:H,8,0)),"Matéria Prima Não Cadastrada")</f>
        <v>0.40025412960609907</v>
      </c>
      <c r="L1573" s="216"/>
    </row>
    <row r="1574" spans="1:12" ht="15.75" customHeight="1">
      <c r="A1574" s="114" t="s">
        <v>216</v>
      </c>
      <c r="B1574" s="114" t="str">
        <f>VLOOKUP(A1574,'Tabela de Produtos'!A:B,2,0)</f>
        <v>BRAZIMIL LÁTEX STANDARD INT/EXT SEMIBRILHO 15L LILAS</v>
      </c>
      <c r="C1574" s="48" t="s">
        <v>1219</v>
      </c>
      <c r="D1574" s="114" t="str">
        <f>VLOOKUP(C1574,'Custos Matéria Prima Embalagens'!B:C,2,0)</f>
        <v>WANALK 70 CE (BH-200)</v>
      </c>
      <c r="E1574" s="114" t="str">
        <f>VLOOKUP(C1574,'Custos Matéria Prima Embalagens'!B:D,3,0)</f>
        <v>ALCALINIZANTE</v>
      </c>
      <c r="F1574" s="270">
        <f t="shared" si="208"/>
        <v>999.2</v>
      </c>
      <c r="G1574" s="148">
        <f t="shared" si="209"/>
        <v>3.0024019215372298E-3</v>
      </c>
      <c r="H1574" s="275">
        <v>3</v>
      </c>
      <c r="I1574" s="272">
        <f>ROUND(F1574/VLOOKUP(A1574,'Tabela de Produtos'!A:J,10,0),0)</f>
        <v>787</v>
      </c>
      <c r="J1574" s="97">
        <f>IFERROR(VLOOKUP(C1574,'Custos Matéria Prima Embalagens'!B:G,6,0)*H1574,"Matéria Prima Não Cadastrada")</f>
        <v>14.940000000000001</v>
      </c>
      <c r="K1574" s="97">
        <f>IFERROR(J1574/(I1574/VLOOKUP(A1574,'Tabela de Produtos'!A:H,8,0)),"Matéria Prima Não Cadastrada")</f>
        <v>0.28475222363405339</v>
      </c>
      <c r="L1574" s="216"/>
    </row>
    <row r="1575" spans="1:12" ht="15.75" customHeight="1">
      <c r="A1575" s="114" t="s">
        <v>216</v>
      </c>
      <c r="B1575" s="114" t="str">
        <f>VLOOKUP(A1575,'Tabela de Produtos'!A:B,2,0)</f>
        <v>BRAZIMIL LÁTEX STANDARD INT/EXT SEMIBRILHO 15L LILAS</v>
      </c>
      <c r="C1575" s="48" t="s">
        <v>1221</v>
      </c>
      <c r="D1575" s="114" t="str">
        <f>VLOOKUP(C1575,'Custos Matéria Prima Embalagens'!B:C,2,0)</f>
        <v>MODIWAN 105H CE (CT-1000P)</v>
      </c>
      <c r="E1575" s="114" t="str">
        <f>VLOOKUP(C1575,'Custos Matéria Prima Embalagens'!B:D,3,0)</f>
        <v>ESPESSANTE DE MEDIA</v>
      </c>
      <c r="F1575" s="270">
        <f t="shared" si="208"/>
        <v>999.2</v>
      </c>
      <c r="G1575" s="148">
        <f t="shared" si="209"/>
        <v>2.0016012810248198E-2</v>
      </c>
      <c r="H1575" s="275">
        <v>20</v>
      </c>
      <c r="I1575" s="272">
        <f>ROUND(F1575/VLOOKUP(A1575,'Tabela de Produtos'!A:J,10,0),0)</f>
        <v>787</v>
      </c>
      <c r="J1575" s="97">
        <f>IFERROR(VLOOKUP(C1575,'Custos Matéria Prima Embalagens'!B:G,6,0)*H1575,"Matéria Prima Não Cadastrada")</f>
        <v>158.1</v>
      </c>
      <c r="K1575" s="97">
        <f>IFERROR(J1575/(I1575/VLOOKUP(A1575,'Tabela de Produtos'!A:H,8,0)),"Matéria Prima Não Cadastrada")</f>
        <v>3.0133418043202029</v>
      </c>
      <c r="L1575" s="216"/>
    </row>
    <row r="1576" spans="1:12" ht="15.75" customHeight="1">
      <c r="A1576" s="114" t="s">
        <v>216</v>
      </c>
      <c r="B1576" s="114" t="str">
        <f>VLOOKUP(A1576,'Tabela de Produtos'!A:B,2,0)</f>
        <v>BRAZIMIL LÁTEX STANDARD INT/EXT SEMIBRILHO 15L LILAS</v>
      </c>
      <c r="C1576" s="48" t="s">
        <v>1270</v>
      </c>
      <c r="D1576" s="114" t="str">
        <f>VLOOKUP(C1576,'Custos Matéria Prima Embalagens'!B:C,2,0)</f>
        <v>MISTURA CONCENTRADO SEMI BRILHO</v>
      </c>
      <c r="E1576" s="114" t="str">
        <f>VLOOKUP(C1576,'Custos Matéria Prima Embalagens'!B:D,3,0)</f>
        <v>MISTURA CONCENTRADO SEMI BRILHO</v>
      </c>
      <c r="F1576" s="270">
        <f t="shared" si="208"/>
        <v>999.2</v>
      </c>
      <c r="G1576" s="148">
        <f t="shared" si="209"/>
        <v>0.244195356285028</v>
      </c>
      <c r="H1576" s="275">
        <v>244</v>
      </c>
      <c r="I1576" s="272">
        <f>ROUND(F1576/VLOOKUP(A1576,'Tabela de Produtos'!A:J,10,0),0)</f>
        <v>787</v>
      </c>
      <c r="J1576" s="97">
        <f>IFERROR(VLOOKUP(C1576,'Custos Matéria Prima Embalagens'!B:G,6,0)*H1576,"Matéria Prima Não Cadastrada")</f>
        <v>2188.6800000000003</v>
      </c>
      <c r="K1576" s="97">
        <f>IFERROR(J1576/(I1576/VLOOKUP(A1576,'Tabela de Produtos'!A:H,8,0)),"Matéria Prima Não Cadastrada")</f>
        <v>41.7156289707751</v>
      </c>
      <c r="L1576" s="216"/>
    </row>
    <row r="1577" spans="1:12" ht="15.75" customHeight="1">
      <c r="D1577" s="114"/>
      <c r="E1577" s="114"/>
      <c r="F1577" s="96"/>
      <c r="G1577" s="148"/>
      <c r="H1577" s="96"/>
      <c r="I1577" s="272"/>
      <c r="J1577" s="97"/>
      <c r="K1577" s="97"/>
      <c r="L1577" s="216"/>
    </row>
    <row r="1578" spans="1:12" ht="15.75" customHeight="1">
      <c r="A1578" s="114" t="s">
        <v>217</v>
      </c>
      <c r="B1578" s="114" t="str">
        <f>VLOOKUP(A1578,'Tabela de Produtos'!A:B,2,0)</f>
        <v>BRAZIMIL LÁTEX STANDARD INT/EXT SEMIBRILHO 15L VERMELHO GARANTIDO</v>
      </c>
      <c r="C1578" s="48" t="s">
        <v>1197</v>
      </c>
      <c r="D1578" s="114" t="str">
        <f>VLOOKUP(C1578,'Custos Matéria Prima Embalagens'!B:C,2,0)</f>
        <v>AGUA</v>
      </c>
      <c r="E1578" s="114" t="str">
        <f>VLOOKUP(C1578,'Custos Matéria Prima Embalagens'!B:D,3,0)</f>
        <v>AGUA</v>
      </c>
      <c r="F1578" s="270">
        <f t="shared" ref="F1578:F1589" si="210">SUMIFS(H:H,A:A,A1578)</f>
        <v>999.2</v>
      </c>
      <c r="G1578" s="148">
        <f t="shared" ref="G1578:G1589" si="211">H1578/F1578</f>
        <v>0.55044035228182542</v>
      </c>
      <c r="H1578" s="275">
        <v>550</v>
      </c>
      <c r="I1578" s="272">
        <f>ROUND(F1578/VLOOKUP(A1578,'Tabela de Produtos'!A:J,10,0),0)</f>
        <v>787</v>
      </c>
      <c r="J1578" s="97">
        <f>IFERROR(VLOOKUP(C1578,'Custos Matéria Prima Embalagens'!B:G,6,0)*H1578,"Matéria Prima Não Cadastrada")</f>
        <v>0</v>
      </c>
      <c r="K1578" s="97">
        <f>IFERROR(J1578/(I1578/VLOOKUP(A1578,'Tabela de Produtos'!A:H,8,0)),"Matéria Prima Não Cadastrada")</f>
        <v>0</v>
      </c>
      <c r="L1578" s="216"/>
    </row>
    <row r="1579" spans="1:12" ht="15.75" customHeight="1">
      <c r="A1579" s="114" t="s">
        <v>217</v>
      </c>
      <c r="B1579" s="114" t="str">
        <f>VLOOKUP(A1579,'Tabela de Produtos'!A:B,2,0)</f>
        <v>BRAZIMIL LÁTEX STANDARD INT/EXT SEMIBRILHO 15L VERMELHO GARANTIDO</v>
      </c>
      <c r="C1579" s="48" t="s">
        <v>1199</v>
      </c>
      <c r="D1579" s="114" t="str">
        <f>VLOOKUP(C1579,'Custos Matéria Prima Embalagens'!B:C,2,0)</f>
        <v>HEXAMETAFOSFATO DE SODIO</v>
      </c>
      <c r="E1579" s="114" t="str">
        <f>VLOOKUP(C1579,'Custos Matéria Prima Embalagens'!B:D,3,0)</f>
        <v>HEXAMETAFOSFATO DE SODIO</v>
      </c>
      <c r="F1579" s="270">
        <f t="shared" si="210"/>
        <v>999.2</v>
      </c>
      <c r="G1579" s="148">
        <f t="shared" si="211"/>
        <v>1.2009607686148918E-3</v>
      </c>
      <c r="H1579" s="275">
        <v>1.2</v>
      </c>
      <c r="I1579" s="272">
        <f>ROUND(F1579/VLOOKUP(A1579,'Tabela de Produtos'!A:J,10,0),0)</f>
        <v>787</v>
      </c>
      <c r="J1579" s="97">
        <f>IFERROR(VLOOKUP(C1579,'Custos Matéria Prima Embalagens'!B:G,6,0)*H1579,"Matéria Prima Não Cadastrada")</f>
        <v>21.527999999999995</v>
      </c>
      <c r="K1579" s="97">
        <f>IFERROR(J1579/(I1579/VLOOKUP(A1579,'Tabela de Produtos'!A:H,8,0)),"Matéria Prima Não Cadastrada")</f>
        <v>0.41031766200762376</v>
      </c>
      <c r="L1579" s="216"/>
    </row>
    <row r="1580" spans="1:12" ht="15.75" customHeight="1">
      <c r="A1580" s="114" t="s">
        <v>217</v>
      </c>
      <c r="B1580" s="114" t="str">
        <f>VLOOKUP(A1580,'Tabela de Produtos'!A:B,2,0)</f>
        <v>BRAZIMIL LÁTEX STANDARD INT/EXT SEMIBRILHO 15L VERMELHO GARANTIDO</v>
      </c>
      <c r="C1580" s="48" t="s">
        <v>1201</v>
      </c>
      <c r="D1580" s="114" t="str">
        <f>VLOOKUP(C1580,'Custos Matéria Prima Embalagens'!B:C,2,0)</f>
        <v>WANFOAM 528 CE (BB-190)</v>
      </c>
      <c r="E1580" s="114" t="str">
        <f>VLOOKUP(C1580,'Custos Matéria Prima Embalagens'!B:D,3,0)</f>
        <v>ANTI ESPUMA LATEX</v>
      </c>
      <c r="F1580" s="270">
        <f t="shared" si="210"/>
        <v>999.2</v>
      </c>
      <c r="G1580" s="148">
        <f t="shared" si="211"/>
        <v>2.0016012810248197E-3</v>
      </c>
      <c r="H1580" s="275">
        <v>2</v>
      </c>
      <c r="I1580" s="272">
        <f>ROUND(F1580/VLOOKUP(A1580,'Tabela de Produtos'!A:J,10,0),0)</f>
        <v>787</v>
      </c>
      <c r="J1580" s="97">
        <f>IFERROR(VLOOKUP(C1580,'Custos Matéria Prima Embalagens'!B:G,6,0)*H1580,"Matéria Prima Não Cadastrada")</f>
        <v>14.36</v>
      </c>
      <c r="K1580" s="97">
        <f>IFERROR(J1580/(I1580/VLOOKUP(A1580,'Tabela de Produtos'!A:H,8,0)),"Matéria Prima Não Cadastrada")</f>
        <v>0.27369758576874204</v>
      </c>
      <c r="L1580" s="216"/>
    </row>
    <row r="1581" spans="1:12" ht="15.75" customHeight="1">
      <c r="A1581" s="114" t="s">
        <v>217</v>
      </c>
      <c r="B1581" s="114" t="str">
        <f>VLOOKUP(A1581,'Tabela de Produtos'!A:B,2,0)</f>
        <v>BRAZIMIL LÁTEX STANDARD INT/EXT SEMIBRILHO 15L VERMELHO GARANTIDO</v>
      </c>
      <c r="C1581" s="48" t="s">
        <v>1203</v>
      </c>
      <c r="D1581" s="114" t="str">
        <f>VLOOKUP(C1581,'Custos Matéria Prima Embalagens'!B:C,2,0)</f>
        <v>WANBAC WBT CE (BH-200)</v>
      </c>
      <c r="E1581" s="114" t="str">
        <f>VLOOKUP(C1581,'Custos Matéria Prima Embalagens'!B:D,3,0)</f>
        <v>BACTERICIDA</v>
      </c>
      <c r="F1581" s="270">
        <f t="shared" si="210"/>
        <v>999.2</v>
      </c>
      <c r="G1581" s="148">
        <f t="shared" si="211"/>
        <v>2.0016012810248197E-3</v>
      </c>
      <c r="H1581" s="275">
        <v>2</v>
      </c>
      <c r="I1581" s="272">
        <f>ROUND(F1581/VLOOKUP(A1581,'Tabela de Produtos'!A:J,10,0),0)</f>
        <v>787</v>
      </c>
      <c r="J1581" s="97">
        <f>IFERROR(VLOOKUP(C1581,'Custos Matéria Prima Embalagens'!B:G,6,0)*H1581,"Matéria Prima Não Cadastrada")</f>
        <v>9.879999999999999</v>
      </c>
      <c r="K1581" s="97">
        <f>IFERROR(J1581/(I1581/VLOOKUP(A1581,'Tabela de Produtos'!A:H,8,0)),"Matéria Prima Não Cadastrada")</f>
        <v>0.18831003811944089</v>
      </c>
      <c r="L1581" s="216"/>
    </row>
    <row r="1582" spans="1:12" ht="15.75" customHeight="1">
      <c r="A1582" s="114" t="s">
        <v>217</v>
      </c>
      <c r="B1582" s="114" t="str">
        <f>VLOOKUP(A1582,'Tabela de Produtos'!A:B,2,0)</f>
        <v>BRAZIMIL LÁTEX STANDARD INT/EXT SEMIBRILHO 15L VERMELHO GARANTIDO</v>
      </c>
      <c r="C1582" s="48" t="s">
        <v>1205</v>
      </c>
      <c r="D1582" s="114" t="str">
        <f>VLOOKUP(C1582,'Custos Matéria Prima Embalagens'!B:C,2,0)</f>
        <v>WANSUR 840 CE (BB-200)01</v>
      </c>
      <c r="E1582" s="114" t="str">
        <f>VLOOKUP(C1582,'Custos Matéria Prima Embalagens'!B:D,3,0)</f>
        <v>UMECTANTE</v>
      </c>
      <c r="F1582" s="270">
        <f t="shared" si="210"/>
        <v>999.2</v>
      </c>
      <c r="G1582" s="148">
        <f t="shared" si="211"/>
        <v>2.0016012810248197E-3</v>
      </c>
      <c r="H1582" s="275">
        <v>2</v>
      </c>
      <c r="I1582" s="272">
        <f>ROUND(F1582/VLOOKUP(A1582,'Tabela de Produtos'!A:J,10,0),0)</f>
        <v>787</v>
      </c>
      <c r="J1582" s="97">
        <f>IFERROR(VLOOKUP(C1582,'Custos Matéria Prima Embalagens'!B:G,6,0)*H1582,"Matéria Prima Não Cadastrada")</f>
        <v>14.66</v>
      </c>
      <c r="K1582" s="97">
        <f>IFERROR(J1582/(I1582/VLOOKUP(A1582,'Tabela de Produtos'!A:H,8,0)),"Matéria Prima Não Cadastrada")</f>
        <v>0.27941550190597203</v>
      </c>
      <c r="L1582" s="216"/>
    </row>
    <row r="1583" spans="1:12" ht="15.75" customHeight="1">
      <c r="A1583" s="114" t="s">
        <v>217</v>
      </c>
      <c r="B1583" s="114" t="str">
        <f>VLOOKUP(A1583,'Tabela de Produtos'!A:B,2,0)</f>
        <v>BRAZIMIL LÁTEX STANDARD INT/EXT SEMIBRILHO 15L VERMELHO GARANTIDO</v>
      </c>
      <c r="C1583" s="48" t="s">
        <v>1207</v>
      </c>
      <c r="D1583" s="114" t="str">
        <f>VLOOKUP(C1583,'Custos Matéria Prima Embalagens'!B:C,2,0)</f>
        <v>WANPEX 1510 (BB-200)</v>
      </c>
      <c r="E1583" s="114" t="str">
        <f>VLOOKUP(C1583,'Custos Matéria Prima Embalagens'!B:D,3,0)</f>
        <v>DISPERSANTE LATEX</v>
      </c>
      <c r="F1583" s="270">
        <f t="shared" si="210"/>
        <v>999.2</v>
      </c>
      <c r="G1583" s="148">
        <f t="shared" si="211"/>
        <v>2.0016012810248197E-3</v>
      </c>
      <c r="H1583" s="275">
        <v>2</v>
      </c>
      <c r="I1583" s="272">
        <f>ROUND(F1583/VLOOKUP(A1583,'Tabela de Produtos'!A:J,10,0),0)</f>
        <v>787</v>
      </c>
      <c r="J1583" s="97">
        <f>IFERROR(VLOOKUP(C1583,'Custos Matéria Prima Embalagens'!B:G,6,0)*H1583,"Matéria Prima Não Cadastrada")</f>
        <v>13.719999999999999</v>
      </c>
      <c r="K1583" s="97">
        <f>IFERROR(J1583/(I1583/VLOOKUP(A1583,'Tabela de Produtos'!A:H,8,0)),"Matéria Prima Não Cadastrada")</f>
        <v>0.26149936467598472</v>
      </c>
      <c r="L1583" s="216"/>
    </row>
    <row r="1584" spans="1:12" ht="15.75" customHeight="1">
      <c r="A1584" s="114" t="s">
        <v>217</v>
      </c>
      <c r="B1584" s="114" t="str">
        <f>VLOOKUP(A1584,'Tabela de Produtos'!A:B,2,0)</f>
        <v>BRAZIMIL LÁTEX STANDARD INT/EXT SEMIBRILHO 15L VERMELHO GARANTIDO</v>
      </c>
      <c r="C1584" s="48" t="s">
        <v>1217</v>
      </c>
      <c r="D1584" s="114" t="str">
        <f>VLOOKUP(C1584,'Custos Matéria Prima Embalagens'!B:C,2,0)</f>
        <v>WANCRIL W 51 CE (CT-1000P)</v>
      </c>
      <c r="E1584" s="114" t="str">
        <f>VLOOKUP(C1584,'Custos Matéria Prima Embalagens'!B:D,3,0)</f>
        <v>RESINA ACRILICA ESTIRENADA</v>
      </c>
      <c r="F1584" s="270">
        <f t="shared" si="210"/>
        <v>999.2</v>
      </c>
      <c r="G1584" s="148">
        <f t="shared" si="211"/>
        <v>0.16012810248198558</v>
      </c>
      <c r="H1584" s="275">
        <v>160</v>
      </c>
      <c r="I1584" s="272">
        <f>ROUND(F1584/VLOOKUP(A1584,'Tabela de Produtos'!A:J,10,0),0)</f>
        <v>787</v>
      </c>
      <c r="J1584" s="97">
        <f>IFERROR(VLOOKUP(C1584,'Custos Matéria Prima Embalagens'!B:G,6,0)*H1584,"Matéria Prima Não Cadastrada")</f>
        <v>1348.8</v>
      </c>
      <c r="K1584" s="97">
        <f>IFERROR(J1584/(I1584/VLOOKUP(A1584,'Tabela de Produtos'!A:H,8,0)),"Matéria Prima Não Cadastrada")</f>
        <v>25.707750952986022</v>
      </c>
      <c r="L1584" s="216"/>
    </row>
    <row r="1585" spans="1:12" ht="15.75" customHeight="1">
      <c r="A1585" s="114" t="s">
        <v>217</v>
      </c>
      <c r="B1585" s="114" t="str">
        <f>VLOOKUP(A1585,'Tabela de Produtos'!A:B,2,0)</f>
        <v>BRAZIMIL LÁTEX STANDARD INT/EXT SEMIBRILHO 15L VERMELHO GARANTIDO</v>
      </c>
      <c r="C1585" s="48" t="s">
        <v>1229</v>
      </c>
      <c r="D1585" s="114" t="str">
        <f>VLOOKUP(C1585,'Custos Matéria Prima Embalagens'!B:C,2,0)</f>
        <v>WANSOL 340 CE (BB-200)</v>
      </c>
      <c r="E1585" s="114" t="str">
        <f>VLOOKUP(C1585,'Custos Matéria Prima Embalagens'!B:D,3,0)</f>
        <v>COALESCENTE</v>
      </c>
      <c r="F1585" s="270">
        <f t="shared" si="210"/>
        <v>999.2</v>
      </c>
      <c r="G1585" s="148">
        <f t="shared" si="211"/>
        <v>1.0008006405124099E-2</v>
      </c>
      <c r="H1585" s="275">
        <v>10</v>
      </c>
      <c r="I1585" s="272">
        <f>ROUND(F1585/VLOOKUP(A1585,'Tabela de Produtos'!A:J,10,0),0)</f>
        <v>787</v>
      </c>
      <c r="J1585" s="97">
        <f>IFERROR(VLOOKUP(C1585,'Custos Matéria Prima Embalagens'!B:G,6,0)*H1585,"Matéria Prima Não Cadastrada")</f>
        <v>192.2</v>
      </c>
      <c r="K1585" s="97">
        <f>IFERROR(J1585/(I1585/VLOOKUP(A1585,'Tabela de Produtos'!A:H,8,0)),"Matéria Prima Não Cadastrada")</f>
        <v>3.6632782719186783</v>
      </c>
      <c r="L1585" s="216"/>
    </row>
    <row r="1586" spans="1:12" ht="15.75" customHeight="1">
      <c r="A1586" s="114" t="s">
        <v>217</v>
      </c>
      <c r="B1586" s="114" t="str">
        <f>VLOOKUP(A1586,'Tabela de Produtos'!A:B,2,0)</f>
        <v>BRAZIMIL LÁTEX STANDARD INT/EXT SEMIBRILHO 15L VERMELHO GARANTIDO</v>
      </c>
      <c r="C1586" s="48" t="s">
        <v>1209</v>
      </c>
      <c r="D1586" s="114" t="str">
        <f>VLOOKUP(C1586,'Custos Matéria Prima Embalagens'!B:C,2,0)</f>
        <v>WANFUNG WFT CE (BH-200)</v>
      </c>
      <c r="E1586" s="114" t="str">
        <f>VLOOKUP(C1586,'Custos Matéria Prima Embalagens'!B:D,3,0)</f>
        <v>FUNGICIDA</v>
      </c>
      <c r="F1586" s="270">
        <f t="shared" si="210"/>
        <v>999.2</v>
      </c>
      <c r="G1586" s="148">
        <f t="shared" si="211"/>
        <v>3.0024019215372298E-3</v>
      </c>
      <c r="H1586" s="275">
        <v>3</v>
      </c>
      <c r="I1586" s="272">
        <f>ROUND(F1586/VLOOKUP(A1586,'Tabela de Produtos'!A:J,10,0),0)</f>
        <v>787</v>
      </c>
      <c r="J1586" s="97">
        <f>IFERROR(VLOOKUP(C1586,'Custos Matéria Prima Embalagens'!B:G,6,0)*H1586,"Matéria Prima Não Cadastrada")</f>
        <v>21</v>
      </c>
      <c r="K1586" s="97">
        <f>IFERROR(J1586/(I1586/VLOOKUP(A1586,'Tabela de Produtos'!A:H,8,0)),"Matéria Prima Não Cadastrada")</f>
        <v>0.40025412960609907</v>
      </c>
      <c r="L1586" s="216"/>
    </row>
    <row r="1587" spans="1:12" ht="15.75" customHeight="1">
      <c r="A1587" s="114" t="s">
        <v>217</v>
      </c>
      <c r="B1587" s="114" t="str">
        <f>VLOOKUP(A1587,'Tabela de Produtos'!A:B,2,0)</f>
        <v>BRAZIMIL LÁTEX STANDARD INT/EXT SEMIBRILHO 15L VERMELHO GARANTIDO</v>
      </c>
      <c r="C1587" s="48" t="s">
        <v>1219</v>
      </c>
      <c r="D1587" s="114" t="str">
        <f>VLOOKUP(C1587,'Custos Matéria Prima Embalagens'!B:C,2,0)</f>
        <v>WANALK 70 CE (BH-200)</v>
      </c>
      <c r="E1587" s="114" t="str">
        <f>VLOOKUP(C1587,'Custos Matéria Prima Embalagens'!B:D,3,0)</f>
        <v>ALCALINIZANTE</v>
      </c>
      <c r="F1587" s="270">
        <f t="shared" si="210"/>
        <v>999.2</v>
      </c>
      <c r="G1587" s="148">
        <f t="shared" si="211"/>
        <v>3.0024019215372298E-3</v>
      </c>
      <c r="H1587" s="275">
        <v>3</v>
      </c>
      <c r="I1587" s="272">
        <f>ROUND(F1587/VLOOKUP(A1587,'Tabela de Produtos'!A:J,10,0),0)</f>
        <v>787</v>
      </c>
      <c r="J1587" s="97">
        <f>IFERROR(VLOOKUP(C1587,'Custos Matéria Prima Embalagens'!B:G,6,0)*H1587,"Matéria Prima Não Cadastrada")</f>
        <v>14.940000000000001</v>
      </c>
      <c r="K1587" s="97">
        <f>IFERROR(J1587/(I1587/VLOOKUP(A1587,'Tabela de Produtos'!A:H,8,0)),"Matéria Prima Não Cadastrada")</f>
        <v>0.28475222363405339</v>
      </c>
      <c r="L1587" s="216"/>
    </row>
    <row r="1588" spans="1:12" ht="15.75" customHeight="1">
      <c r="A1588" s="114" t="s">
        <v>217</v>
      </c>
      <c r="B1588" s="114" t="str">
        <f>VLOOKUP(A1588,'Tabela de Produtos'!A:B,2,0)</f>
        <v>BRAZIMIL LÁTEX STANDARD INT/EXT SEMIBRILHO 15L VERMELHO GARANTIDO</v>
      </c>
      <c r="C1588" s="48" t="s">
        <v>1221</v>
      </c>
      <c r="D1588" s="114" t="str">
        <f>VLOOKUP(C1588,'Custos Matéria Prima Embalagens'!B:C,2,0)</f>
        <v>MODIWAN 105H CE (CT-1000P)</v>
      </c>
      <c r="E1588" s="114" t="str">
        <f>VLOOKUP(C1588,'Custos Matéria Prima Embalagens'!B:D,3,0)</f>
        <v>ESPESSANTE DE MEDIA</v>
      </c>
      <c r="F1588" s="270">
        <f t="shared" si="210"/>
        <v>999.2</v>
      </c>
      <c r="G1588" s="148">
        <f t="shared" si="211"/>
        <v>2.0016012810248198E-2</v>
      </c>
      <c r="H1588" s="275">
        <v>20</v>
      </c>
      <c r="I1588" s="272">
        <f>ROUND(F1588/VLOOKUP(A1588,'Tabela de Produtos'!A:J,10,0),0)</f>
        <v>787</v>
      </c>
      <c r="J1588" s="97">
        <f>IFERROR(VLOOKUP(C1588,'Custos Matéria Prima Embalagens'!B:G,6,0)*H1588,"Matéria Prima Não Cadastrada")</f>
        <v>158.1</v>
      </c>
      <c r="K1588" s="97">
        <f>IFERROR(J1588/(I1588/VLOOKUP(A1588,'Tabela de Produtos'!A:H,8,0)),"Matéria Prima Não Cadastrada")</f>
        <v>3.0133418043202029</v>
      </c>
      <c r="L1588" s="216"/>
    </row>
    <row r="1589" spans="1:12" ht="15.75" customHeight="1">
      <c r="A1589" s="114" t="s">
        <v>217</v>
      </c>
      <c r="B1589" s="114" t="str">
        <f>VLOOKUP(A1589,'Tabela de Produtos'!A:B,2,0)</f>
        <v>BRAZIMIL LÁTEX STANDARD INT/EXT SEMIBRILHO 15L VERMELHO GARANTIDO</v>
      </c>
      <c r="C1589" s="48" t="s">
        <v>1270</v>
      </c>
      <c r="D1589" s="114" t="str">
        <f>VLOOKUP(C1589,'Custos Matéria Prima Embalagens'!B:C,2,0)</f>
        <v>MISTURA CONCENTRADO SEMI BRILHO</v>
      </c>
      <c r="E1589" s="114" t="str">
        <f>VLOOKUP(C1589,'Custos Matéria Prima Embalagens'!B:D,3,0)</f>
        <v>MISTURA CONCENTRADO SEMI BRILHO</v>
      </c>
      <c r="F1589" s="270">
        <f t="shared" si="210"/>
        <v>999.2</v>
      </c>
      <c r="G1589" s="148">
        <f t="shared" si="211"/>
        <v>0.244195356285028</v>
      </c>
      <c r="H1589" s="275">
        <v>244</v>
      </c>
      <c r="I1589" s="272">
        <f>ROUND(F1589/VLOOKUP(A1589,'Tabela de Produtos'!A:J,10,0),0)</f>
        <v>787</v>
      </c>
      <c r="J1589" s="97">
        <f>IFERROR(VLOOKUP(C1589,'Custos Matéria Prima Embalagens'!B:G,6,0)*H1589,"Matéria Prima Não Cadastrada")</f>
        <v>2188.6800000000003</v>
      </c>
      <c r="K1589" s="97">
        <f>IFERROR(J1589/(I1589/VLOOKUP(A1589,'Tabela de Produtos'!A:H,8,0)),"Matéria Prima Não Cadastrada")</f>
        <v>41.7156289707751</v>
      </c>
      <c r="L1589" s="216"/>
    </row>
    <row r="1590" spans="1:12" ht="15.75" customHeight="1">
      <c r="D1590" s="114"/>
      <c r="E1590" s="114"/>
      <c r="F1590" s="96"/>
      <c r="G1590" s="148"/>
      <c r="H1590" s="96"/>
      <c r="I1590" s="272"/>
      <c r="J1590" s="97"/>
      <c r="K1590" s="97"/>
      <c r="L1590" s="216"/>
    </row>
    <row r="1591" spans="1:12" ht="15.75" customHeight="1">
      <c r="A1591" s="114" t="s">
        <v>218</v>
      </c>
      <c r="B1591" s="114" t="str">
        <f>VLOOKUP(A1591,'Tabela de Produtos'!A:B,2,0)</f>
        <v>BRAZIMIL LÁTEX STANDARD INT/EXT SEMIBRILHO 15L AZUL CAPRICHOSO</v>
      </c>
      <c r="C1591" s="48" t="s">
        <v>1197</v>
      </c>
      <c r="D1591" s="114" t="str">
        <f>VLOOKUP(C1591,'Custos Matéria Prima Embalagens'!B:C,2,0)</f>
        <v>AGUA</v>
      </c>
      <c r="E1591" s="114" t="str">
        <f>VLOOKUP(C1591,'Custos Matéria Prima Embalagens'!B:D,3,0)</f>
        <v>AGUA</v>
      </c>
      <c r="F1591" s="270">
        <f t="shared" ref="F1591:F1602" si="212">SUMIFS(H:H,A:A,A1591)</f>
        <v>999.2</v>
      </c>
      <c r="G1591" s="148">
        <f t="shared" ref="G1591:G1602" si="213">H1591/F1591</f>
        <v>0.55044035228182542</v>
      </c>
      <c r="H1591" s="275">
        <v>550</v>
      </c>
      <c r="I1591" s="272">
        <f>ROUND(F1591/VLOOKUP(A1591,'Tabela de Produtos'!A:J,10,0),0)</f>
        <v>787</v>
      </c>
      <c r="J1591" s="97">
        <f>IFERROR(VLOOKUP(C1591,'Custos Matéria Prima Embalagens'!B:G,6,0)*H1591,"Matéria Prima Não Cadastrada")</f>
        <v>0</v>
      </c>
      <c r="K1591" s="97">
        <f>IFERROR(J1591/(I1591/VLOOKUP(A1591,'Tabela de Produtos'!A:H,8,0)),"Matéria Prima Não Cadastrada")</f>
        <v>0</v>
      </c>
      <c r="L1591" s="216"/>
    </row>
    <row r="1592" spans="1:12" ht="15.75" customHeight="1">
      <c r="A1592" s="114" t="s">
        <v>218</v>
      </c>
      <c r="B1592" s="114" t="str">
        <f>VLOOKUP(A1592,'Tabela de Produtos'!A:B,2,0)</f>
        <v>BRAZIMIL LÁTEX STANDARD INT/EXT SEMIBRILHO 15L AZUL CAPRICHOSO</v>
      </c>
      <c r="C1592" s="48" t="s">
        <v>1199</v>
      </c>
      <c r="D1592" s="114" t="str">
        <f>VLOOKUP(C1592,'Custos Matéria Prima Embalagens'!B:C,2,0)</f>
        <v>HEXAMETAFOSFATO DE SODIO</v>
      </c>
      <c r="E1592" s="114" t="str">
        <f>VLOOKUP(C1592,'Custos Matéria Prima Embalagens'!B:D,3,0)</f>
        <v>HEXAMETAFOSFATO DE SODIO</v>
      </c>
      <c r="F1592" s="270">
        <f t="shared" si="212"/>
        <v>999.2</v>
      </c>
      <c r="G1592" s="148">
        <f t="shared" si="213"/>
        <v>1.2009607686148918E-3</v>
      </c>
      <c r="H1592" s="275">
        <v>1.2</v>
      </c>
      <c r="I1592" s="272">
        <f>ROUND(F1592/VLOOKUP(A1592,'Tabela de Produtos'!A:J,10,0),0)</f>
        <v>787</v>
      </c>
      <c r="J1592" s="97">
        <f>IFERROR(VLOOKUP(C1592,'Custos Matéria Prima Embalagens'!B:G,6,0)*H1592,"Matéria Prima Não Cadastrada")</f>
        <v>21.527999999999995</v>
      </c>
      <c r="K1592" s="97">
        <f>IFERROR(J1592/(I1592/VLOOKUP(A1592,'Tabela de Produtos'!A:H,8,0)),"Matéria Prima Não Cadastrada")</f>
        <v>0.41031766200762376</v>
      </c>
      <c r="L1592" s="216"/>
    </row>
    <row r="1593" spans="1:12" ht="15.75" customHeight="1">
      <c r="A1593" s="114" t="s">
        <v>218</v>
      </c>
      <c r="B1593" s="114" t="str">
        <f>VLOOKUP(A1593,'Tabela de Produtos'!A:B,2,0)</f>
        <v>BRAZIMIL LÁTEX STANDARD INT/EXT SEMIBRILHO 15L AZUL CAPRICHOSO</v>
      </c>
      <c r="C1593" s="48" t="s">
        <v>1201</v>
      </c>
      <c r="D1593" s="114" t="str">
        <f>VLOOKUP(C1593,'Custos Matéria Prima Embalagens'!B:C,2,0)</f>
        <v>WANFOAM 528 CE (BB-190)</v>
      </c>
      <c r="E1593" s="114" t="str">
        <f>VLOOKUP(C1593,'Custos Matéria Prima Embalagens'!B:D,3,0)</f>
        <v>ANTI ESPUMA LATEX</v>
      </c>
      <c r="F1593" s="270">
        <f t="shared" si="212"/>
        <v>999.2</v>
      </c>
      <c r="G1593" s="148">
        <f t="shared" si="213"/>
        <v>2.0016012810248197E-3</v>
      </c>
      <c r="H1593" s="275">
        <v>2</v>
      </c>
      <c r="I1593" s="272">
        <f>ROUND(F1593/VLOOKUP(A1593,'Tabela de Produtos'!A:J,10,0),0)</f>
        <v>787</v>
      </c>
      <c r="J1593" s="97">
        <f>IFERROR(VLOOKUP(C1593,'Custos Matéria Prima Embalagens'!B:G,6,0)*H1593,"Matéria Prima Não Cadastrada")</f>
        <v>14.36</v>
      </c>
      <c r="K1593" s="97">
        <f>IFERROR(J1593/(I1593/VLOOKUP(A1593,'Tabela de Produtos'!A:H,8,0)),"Matéria Prima Não Cadastrada")</f>
        <v>0.27369758576874204</v>
      </c>
      <c r="L1593" s="216"/>
    </row>
    <row r="1594" spans="1:12" ht="15.75" customHeight="1">
      <c r="A1594" s="114" t="s">
        <v>218</v>
      </c>
      <c r="B1594" s="114" t="str">
        <f>VLOOKUP(A1594,'Tabela de Produtos'!A:B,2,0)</f>
        <v>BRAZIMIL LÁTEX STANDARD INT/EXT SEMIBRILHO 15L AZUL CAPRICHOSO</v>
      </c>
      <c r="C1594" s="48" t="s">
        <v>1203</v>
      </c>
      <c r="D1594" s="114" t="str">
        <f>VLOOKUP(C1594,'Custos Matéria Prima Embalagens'!B:C,2,0)</f>
        <v>WANBAC WBT CE (BH-200)</v>
      </c>
      <c r="E1594" s="114" t="str">
        <f>VLOOKUP(C1594,'Custos Matéria Prima Embalagens'!B:D,3,0)</f>
        <v>BACTERICIDA</v>
      </c>
      <c r="F1594" s="270">
        <f t="shared" si="212"/>
        <v>999.2</v>
      </c>
      <c r="G1594" s="148">
        <f t="shared" si="213"/>
        <v>2.0016012810248197E-3</v>
      </c>
      <c r="H1594" s="275">
        <v>2</v>
      </c>
      <c r="I1594" s="272">
        <f>ROUND(F1594/VLOOKUP(A1594,'Tabela de Produtos'!A:J,10,0),0)</f>
        <v>787</v>
      </c>
      <c r="J1594" s="97">
        <f>IFERROR(VLOOKUP(C1594,'Custos Matéria Prima Embalagens'!B:G,6,0)*H1594,"Matéria Prima Não Cadastrada")</f>
        <v>9.879999999999999</v>
      </c>
      <c r="K1594" s="97">
        <f>IFERROR(J1594/(I1594/VLOOKUP(A1594,'Tabela de Produtos'!A:H,8,0)),"Matéria Prima Não Cadastrada")</f>
        <v>0.18831003811944089</v>
      </c>
      <c r="L1594" s="216"/>
    </row>
    <row r="1595" spans="1:12" ht="15.75" customHeight="1">
      <c r="A1595" s="114" t="s">
        <v>218</v>
      </c>
      <c r="B1595" s="114" t="str">
        <f>VLOOKUP(A1595,'Tabela de Produtos'!A:B,2,0)</f>
        <v>BRAZIMIL LÁTEX STANDARD INT/EXT SEMIBRILHO 15L AZUL CAPRICHOSO</v>
      </c>
      <c r="C1595" s="48" t="s">
        <v>1205</v>
      </c>
      <c r="D1595" s="114" t="str">
        <f>VLOOKUP(C1595,'Custos Matéria Prima Embalagens'!B:C,2,0)</f>
        <v>WANSUR 840 CE (BB-200)01</v>
      </c>
      <c r="E1595" s="114" t="str">
        <f>VLOOKUP(C1595,'Custos Matéria Prima Embalagens'!B:D,3,0)</f>
        <v>UMECTANTE</v>
      </c>
      <c r="F1595" s="270">
        <f t="shared" si="212"/>
        <v>999.2</v>
      </c>
      <c r="G1595" s="148">
        <f t="shared" si="213"/>
        <v>2.0016012810248197E-3</v>
      </c>
      <c r="H1595" s="275">
        <v>2</v>
      </c>
      <c r="I1595" s="272">
        <f>ROUND(F1595/VLOOKUP(A1595,'Tabela de Produtos'!A:J,10,0),0)</f>
        <v>787</v>
      </c>
      <c r="J1595" s="97">
        <f>IFERROR(VLOOKUP(C1595,'Custos Matéria Prima Embalagens'!B:G,6,0)*H1595,"Matéria Prima Não Cadastrada")</f>
        <v>14.66</v>
      </c>
      <c r="K1595" s="97">
        <f>IFERROR(J1595/(I1595/VLOOKUP(A1595,'Tabela de Produtos'!A:H,8,0)),"Matéria Prima Não Cadastrada")</f>
        <v>0.27941550190597203</v>
      </c>
      <c r="L1595" s="216"/>
    </row>
    <row r="1596" spans="1:12" ht="15.75" customHeight="1">
      <c r="A1596" s="114" t="s">
        <v>218</v>
      </c>
      <c r="B1596" s="114" t="str">
        <f>VLOOKUP(A1596,'Tabela de Produtos'!A:B,2,0)</f>
        <v>BRAZIMIL LÁTEX STANDARD INT/EXT SEMIBRILHO 15L AZUL CAPRICHOSO</v>
      </c>
      <c r="C1596" s="48" t="s">
        <v>1207</v>
      </c>
      <c r="D1596" s="114" t="str">
        <f>VLOOKUP(C1596,'Custos Matéria Prima Embalagens'!B:C,2,0)</f>
        <v>WANPEX 1510 (BB-200)</v>
      </c>
      <c r="E1596" s="114" t="str">
        <f>VLOOKUP(C1596,'Custos Matéria Prima Embalagens'!B:D,3,0)</f>
        <v>DISPERSANTE LATEX</v>
      </c>
      <c r="F1596" s="270">
        <f t="shared" si="212"/>
        <v>999.2</v>
      </c>
      <c r="G1596" s="148">
        <f t="shared" si="213"/>
        <v>2.0016012810248197E-3</v>
      </c>
      <c r="H1596" s="275">
        <v>2</v>
      </c>
      <c r="I1596" s="272">
        <f>ROUND(F1596/VLOOKUP(A1596,'Tabela de Produtos'!A:J,10,0),0)</f>
        <v>787</v>
      </c>
      <c r="J1596" s="97">
        <f>IFERROR(VLOOKUP(C1596,'Custos Matéria Prima Embalagens'!B:G,6,0)*H1596,"Matéria Prima Não Cadastrada")</f>
        <v>13.719999999999999</v>
      </c>
      <c r="K1596" s="97">
        <f>IFERROR(J1596/(I1596/VLOOKUP(A1596,'Tabela de Produtos'!A:H,8,0)),"Matéria Prima Não Cadastrada")</f>
        <v>0.26149936467598472</v>
      </c>
      <c r="L1596" s="216"/>
    </row>
    <row r="1597" spans="1:12" ht="15.75" customHeight="1">
      <c r="A1597" s="114" t="s">
        <v>218</v>
      </c>
      <c r="B1597" s="114" t="str">
        <f>VLOOKUP(A1597,'Tabela de Produtos'!A:B,2,0)</f>
        <v>BRAZIMIL LÁTEX STANDARD INT/EXT SEMIBRILHO 15L AZUL CAPRICHOSO</v>
      </c>
      <c r="C1597" s="48" t="s">
        <v>1217</v>
      </c>
      <c r="D1597" s="114" t="str">
        <f>VLOOKUP(C1597,'Custos Matéria Prima Embalagens'!B:C,2,0)</f>
        <v>WANCRIL W 51 CE (CT-1000P)</v>
      </c>
      <c r="E1597" s="114" t="str">
        <f>VLOOKUP(C1597,'Custos Matéria Prima Embalagens'!B:D,3,0)</f>
        <v>RESINA ACRILICA ESTIRENADA</v>
      </c>
      <c r="F1597" s="270">
        <f t="shared" si="212"/>
        <v>999.2</v>
      </c>
      <c r="G1597" s="148">
        <f t="shared" si="213"/>
        <v>0.16012810248198558</v>
      </c>
      <c r="H1597" s="275">
        <v>160</v>
      </c>
      <c r="I1597" s="272">
        <f>ROUND(F1597/VLOOKUP(A1597,'Tabela de Produtos'!A:J,10,0),0)</f>
        <v>787</v>
      </c>
      <c r="J1597" s="97">
        <f>IFERROR(VLOOKUP(C1597,'Custos Matéria Prima Embalagens'!B:G,6,0)*H1597,"Matéria Prima Não Cadastrada")</f>
        <v>1348.8</v>
      </c>
      <c r="K1597" s="97">
        <f>IFERROR(J1597/(I1597/VLOOKUP(A1597,'Tabela de Produtos'!A:H,8,0)),"Matéria Prima Não Cadastrada")</f>
        <v>25.707750952986022</v>
      </c>
      <c r="L1597" s="216"/>
    </row>
    <row r="1598" spans="1:12" ht="15.75" customHeight="1">
      <c r="A1598" s="114" t="s">
        <v>218</v>
      </c>
      <c r="B1598" s="114" t="str">
        <f>VLOOKUP(A1598,'Tabela de Produtos'!A:B,2,0)</f>
        <v>BRAZIMIL LÁTEX STANDARD INT/EXT SEMIBRILHO 15L AZUL CAPRICHOSO</v>
      </c>
      <c r="C1598" s="48" t="s">
        <v>1229</v>
      </c>
      <c r="D1598" s="114" t="str">
        <f>VLOOKUP(C1598,'Custos Matéria Prima Embalagens'!B:C,2,0)</f>
        <v>WANSOL 340 CE (BB-200)</v>
      </c>
      <c r="E1598" s="114" t="str">
        <f>VLOOKUP(C1598,'Custos Matéria Prima Embalagens'!B:D,3,0)</f>
        <v>COALESCENTE</v>
      </c>
      <c r="F1598" s="270">
        <f t="shared" si="212"/>
        <v>999.2</v>
      </c>
      <c r="G1598" s="148">
        <f t="shared" si="213"/>
        <v>1.0008006405124099E-2</v>
      </c>
      <c r="H1598" s="275">
        <v>10</v>
      </c>
      <c r="I1598" s="272">
        <f>ROUND(F1598/VLOOKUP(A1598,'Tabela de Produtos'!A:J,10,0),0)</f>
        <v>787</v>
      </c>
      <c r="J1598" s="97">
        <f>IFERROR(VLOOKUP(C1598,'Custos Matéria Prima Embalagens'!B:G,6,0)*H1598,"Matéria Prima Não Cadastrada")</f>
        <v>192.2</v>
      </c>
      <c r="K1598" s="97">
        <f>IFERROR(J1598/(I1598/VLOOKUP(A1598,'Tabela de Produtos'!A:H,8,0)),"Matéria Prima Não Cadastrada")</f>
        <v>3.6632782719186783</v>
      </c>
      <c r="L1598" s="216"/>
    </row>
    <row r="1599" spans="1:12" ht="15.75" customHeight="1">
      <c r="A1599" s="114" t="s">
        <v>218</v>
      </c>
      <c r="B1599" s="114" t="str">
        <f>VLOOKUP(A1599,'Tabela de Produtos'!A:B,2,0)</f>
        <v>BRAZIMIL LÁTEX STANDARD INT/EXT SEMIBRILHO 15L AZUL CAPRICHOSO</v>
      </c>
      <c r="C1599" s="48" t="s">
        <v>1209</v>
      </c>
      <c r="D1599" s="114" t="str">
        <f>VLOOKUP(C1599,'Custos Matéria Prima Embalagens'!B:C,2,0)</f>
        <v>WANFUNG WFT CE (BH-200)</v>
      </c>
      <c r="E1599" s="114" t="str">
        <f>VLOOKUP(C1599,'Custos Matéria Prima Embalagens'!B:D,3,0)</f>
        <v>FUNGICIDA</v>
      </c>
      <c r="F1599" s="270">
        <f t="shared" si="212"/>
        <v>999.2</v>
      </c>
      <c r="G1599" s="148">
        <f t="shared" si="213"/>
        <v>3.0024019215372298E-3</v>
      </c>
      <c r="H1599" s="275">
        <v>3</v>
      </c>
      <c r="I1599" s="272">
        <f>ROUND(F1599/VLOOKUP(A1599,'Tabela de Produtos'!A:J,10,0),0)</f>
        <v>787</v>
      </c>
      <c r="J1599" s="97">
        <f>IFERROR(VLOOKUP(C1599,'Custos Matéria Prima Embalagens'!B:G,6,0)*H1599,"Matéria Prima Não Cadastrada")</f>
        <v>21</v>
      </c>
      <c r="K1599" s="97">
        <f>IFERROR(J1599/(I1599/VLOOKUP(A1599,'Tabela de Produtos'!A:H,8,0)),"Matéria Prima Não Cadastrada")</f>
        <v>0.40025412960609907</v>
      </c>
      <c r="L1599" s="216"/>
    </row>
    <row r="1600" spans="1:12" ht="15.75" customHeight="1">
      <c r="A1600" s="114" t="s">
        <v>218</v>
      </c>
      <c r="B1600" s="114" t="str">
        <f>VLOOKUP(A1600,'Tabela de Produtos'!A:B,2,0)</f>
        <v>BRAZIMIL LÁTEX STANDARD INT/EXT SEMIBRILHO 15L AZUL CAPRICHOSO</v>
      </c>
      <c r="C1600" s="48" t="s">
        <v>1219</v>
      </c>
      <c r="D1600" s="114" t="str">
        <f>VLOOKUP(C1600,'Custos Matéria Prima Embalagens'!B:C,2,0)</f>
        <v>WANALK 70 CE (BH-200)</v>
      </c>
      <c r="E1600" s="114" t="str">
        <f>VLOOKUP(C1600,'Custos Matéria Prima Embalagens'!B:D,3,0)</f>
        <v>ALCALINIZANTE</v>
      </c>
      <c r="F1600" s="270">
        <f t="shared" si="212"/>
        <v>999.2</v>
      </c>
      <c r="G1600" s="148">
        <f t="shared" si="213"/>
        <v>3.0024019215372298E-3</v>
      </c>
      <c r="H1600" s="275">
        <v>3</v>
      </c>
      <c r="I1600" s="272">
        <f>ROUND(F1600/VLOOKUP(A1600,'Tabela de Produtos'!A:J,10,0),0)</f>
        <v>787</v>
      </c>
      <c r="J1600" s="97">
        <f>IFERROR(VLOOKUP(C1600,'Custos Matéria Prima Embalagens'!B:G,6,0)*H1600,"Matéria Prima Não Cadastrada")</f>
        <v>14.940000000000001</v>
      </c>
      <c r="K1600" s="97">
        <f>IFERROR(J1600/(I1600/VLOOKUP(A1600,'Tabela de Produtos'!A:H,8,0)),"Matéria Prima Não Cadastrada")</f>
        <v>0.28475222363405339</v>
      </c>
      <c r="L1600" s="216"/>
    </row>
    <row r="1601" spans="1:12" ht="15.75" customHeight="1">
      <c r="A1601" s="114" t="s">
        <v>218</v>
      </c>
      <c r="B1601" s="114" t="str">
        <f>VLOOKUP(A1601,'Tabela de Produtos'!A:B,2,0)</f>
        <v>BRAZIMIL LÁTEX STANDARD INT/EXT SEMIBRILHO 15L AZUL CAPRICHOSO</v>
      </c>
      <c r="C1601" s="48" t="s">
        <v>1221</v>
      </c>
      <c r="D1601" s="114" t="str">
        <f>VLOOKUP(C1601,'Custos Matéria Prima Embalagens'!B:C,2,0)</f>
        <v>MODIWAN 105H CE (CT-1000P)</v>
      </c>
      <c r="E1601" s="114" t="str">
        <f>VLOOKUP(C1601,'Custos Matéria Prima Embalagens'!B:D,3,0)</f>
        <v>ESPESSANTE DE MEDIA</v>
      </c>
      <c r="F1601" s="270">
        <f t="shared" si="212"/>
        <v>999.2</v>
      </c>
      <c r="G1601" s="148">
        <f t="shared" si="213"/>
        <v>2.0016012810248198E-2</v>
      </c>
      <c r="H1601" s="275">
        <v>20</v>
      </c>
      <c r="I1601" s="272">
        <f>ROUND(F1601/VLOOKUP(A1601,'Tabela de Produtos'!A:J,10,0),0)</f>
        <v>787</v>
      </c>
      <c r="J1601" s="97">
        <f>IFERROR(VLOOKUP(C1601,'Custos Matéria Prima Embalagens'!B:G,6,0)*H1601,"Matéria Prima Não Cadastrada")</f>
        <v>158.1</v>
      </c>
      <c r="K1601" s="97">
        <f>IFERROR(J1601/(I1601/VLOOKUP(A1601,'Tabela de Produtos'!A:H,8,0)),"Matéria Prima Não Cadastrada")</f>
        <v>3.0133418043202029</v>
      </c>
      <c r="L1601" s="216"/>
    </row>
    <row r="1602" spans="1:12" ht="15.75" customHeight="1">
      <c r="A1602" s="114" t="s">
        <v>218</v>
      </c>
      <c r="B1602" s="114" t="str">
        <f>VLOOKUP(A1602,'Tabela de Produtos'!A:B,2,0)</f>
        <v>BRAZIMIL LÁTEX STANDARD INT/EXT SEMIBRILHO 15L AZUL CAPRICHOSO</v>
      </c>
      <c r="C1602" s="48" t="s">
        <v>1270</v>
      </c>
      <c r="D1602" s="114" t="str">
        <f>VLOOKUP(C1602,'Custos Matéria Prima Embalagens'!B:C,2,0)</f>
        <v>MISTURA CONCENTRADO SEMI BRILHO</v>
      </c>
      <c r="E1602" s="114" t="str">
        <f>VLOOKUP(C1602,'Custos Matéria Prima Embalagens'!B:D,3,0)</f>
        <v>MISTURA CONCENTRADO SEMI BRILHO</v>
      </c>
      <c r="F1602" s="270">
        <f t="shared" si="212"/>
        <v>999.2</v>
      </c>
      <c r="G1602" s="148">
        <f t="shared" si="213"/>
        <v>0.244195356285028</v>
      </c>
      <c r="H1602" s="275">
        <v>244</v>
      </c>
      <c r="I1602" s="272">
        <f>ROUND(F1602/VLOOKUP(A1602,'Tabela de Produtos'!A:J,10,0),0)</f>
        <v>787</v>
      </c>
      <c r="J1602" s="97">
        <f>IFERROR(VLOOKUP(C1602,'Custos Matéria Prima Embalagens'!B:G,6,0)*H1602,"Matéria Prima Não Cadastrada")</f>
        <v>2188.6800000000003</v>
      </c>
      <c r="K1602" s="97">
        <f>IFERROR(J1602/(I1602/VLOOKUP(A1602,'Tabela de Produtos'!A:H,8,0)),"Matéria Prima Não Cadastrada")</f>
        <v>41.7156289707751</v>
      </c>
      <c r="L1602" s="216"/>
    </row>
    <row r="1603" spans="1:12" ht="15.75" customHeight="1">
      <c r="D1603" s="114"/>
      <c r="E1603" s="114"/>
      <c r="F1603" s="96"/>
      <c r="G1603" s="148"/>
      <c r="H1603" s="96"/>
      <c r="I1603" s="272"/>
      <c r="J1603" s="97"/>
      <c r="K1603" s="97"/>
      <c r="L1603" s="216"/>
    </row>
    <row r="1604" spans="1:12" ht="15.75" customHeight="1">
      <c r="A1604" s="114" t="s">
        <v>219</v>
      </c>
      <c r="B1604" s="114" t="str">
        <f>VLOOKUP(A1604,'Tabela de Produtos'!A:B,2,0)</f>
        <v>BRAZIMIL LÁTEX STANDARD INT/EXT SEMIBRILHO 15L CINZA MEDIO</v>
      </c>
      <c r="C1604" s="48" t="s">
        <v>1197</v>
      </c>
      <c r="D1604" s="114" t="str">
        <f>VLOOKUP(C1604,'Custos Matéria Prima Embalagens'!B:C,2,0)</f>
        <v>AGUA</v>
      </c>
      <c r="E1604" s="114" t="str">
        <f>VLOOKUP(C1604,'Custos Matéria Prima Embalagens'!B:D,3,0)</f>
        <v>AGUA</v>
      </c>
      <c r="F1604" s="270">
        <f t="shared" ref="F1604:F1615" si="214">SUMIFS(H:H,A:A,A1604)</f>
        <v>999.2</v>
      </c>
      <c r="G1604" s="148">
        <f t="shared" ref="G1604:G1615" si="215">H1604/F1604</f>
        <v>0.55044035228182542</v>
      </c>
      <c r="H1604" s="275">
        <v>550</v>
      </c>
      <c r="I1604" s="272">
        <f>ROUND(F1604/VLOOKUP(A1604,'Tabela de Produtos'!A:J,10,0),0)</f>
        <v>787</v>
      </c>
      <c r="J1604" s="97">
        <f>IFERROR(VLOOKUP(C1604,'Custos Matéria Prima Embalagens'!B:G,6,0)*H1604,"Matéria Prima Não Cadastrada")</f>
        <v>0</v>
      </c>
      <c r="K1604" s="97">
        <f>IFERROR(J1604/(I1604/VLOOKUP(A1604,'Tabela de Produtos'!A:H,8,0)),"Matéria Prima Não Cadastrada")</f>
        <v>0</v>
      </c>
      <c r="L1604" s="216"/>
    </row>
    <row r="1605" spans="1:12" ht="15.75" customHeight="1">
      <c r="A1605" s="114" t="s">
        <v>219</v>
      </c>
      <c r="B1605" s="114" t="str">
        <f>VLOOKUP(A1605,'Tabela de Produtos'!A:B,2,0)</f>
        <v>BRAZIMIL LÁTEX STANDARD INT/EXT SEMIBRILHO 15L CINZA MEDIO</v>
      </c>
      <c r="C1605" s="48" t="s">
        <v>1199</v>
      </c>
      <c r="D1605" s="114" t="str">
        <f>VLOOKUP(C1605,'Custos Matéria Prima Embalagens'!B:C,2,0)</f>
        <v>HEXAMETAFOSFATO DE SODIO</v>
      </c>
      <c r="E1605" s="114" t="str">
        <f>VLOOKUP(C1605,'Custos Matéria Prima Embalagens'!B:D,3,0)</f>
        <v>HEXAMETAFOSFATO DE SODIO</v>
      </c>
      <c r="F1605" s="270">
        <f t="shared" si="214"/>
        <v>999.2</v>
      </c>
      <c r="G1605" s="148">
        <f t="shared" si="215"/>
        <v>1.2009607686148918E-3</v>
      </c>
      <c r="H1605" s="275">
        <v>1.2</v>
      </c>
      <c r="I1605" s="272">
        <f>ROUND(F1605/VLOOKUP(A1605,'Tabela de Produtos'!A:J,10,0),0)</f>
        <v>787</v>
      </c>
      <c r="J1605" s="97">
        <f>IFERROR(VLOOKUP(C1605,'Custos Matéria Prima Embalagens'!B:G,6,0)*H1605,"Matéria Prima Não Cadastrada")</f>
        <v>21.527999999999995</v>
      </c>
      <c r="K1605" s="97">
        <f>IFERROR(J1605/(I1605/VLOOKUP(A1605,'Tabela de Produtos'!A:H,8,0)),"Matéria Prima Não Cadastrada")</f>
        <v>0.41031766200762376</v>
      </c>
      <c r="L1605" s="216"/>
    </row>
    <row r="1606" spans="1:12" ht="15.75" customHeight="1">
      <c r="A1606" s="114" t="s">
        <v>219</v>
      </c>
      <c r="B1606" s="114" t="str">
        <f>VLOOKUP(A1606,'Tabela de Produtos'!A:B,2,0)</f>
        <v>BRAZIMIL LÁTEX STANDARD INT/EXT SEMIBRILHO 15L CINZA MEDIO</v>
      </c>
      <c r="C1606" s="48" t="s">
        <v>1201</v>
      </c>
      <c r="D1606" s="114" t="str">
        <f>VLOOKUP(C1606,'Custos Matéria Prima Embalagens'!B:C,2,0)</f>
        <v>WANFOAM 528 CE (BB-190)</v>
      </c>
      <c r="E1606" s="114" t="str">
        <f>VLOOKUP(C1606,'Custos Matéria Prima Embalagens'!B:D,3,0)</f>
        <v>ANTI ESPUMA LATEX</v>
      </c>
      <c r="F1606" s="270">
        <f t="shared" si="214"/>
        <v>999.2</v>
      </c>
      <c r="G1606" s="148">
        <f t="shared" si="215"/>
        <v>2.0016012810248197E-3</v>
      </c>
      <c r="H1606" s="275">
        <v>2</v>
      </c>
      <c r="I1606" s="272">
        <f>ROUND(F1606/VLOOKUP(A1606,'Tabela de Produtos'!A:J,10,0),0)</f>
        <v>787</v>
      </c>
      <c r="J1606" s="97">
        <f>IFERROR(VLOOKUP(C1606,'Custos Matéria Prima Embalagens'!B:G,6,0)*H1606,"Matéria Prima Não Cadastrada")</f>
        <v>14.36</v>
      </c>
      <c r="K1606" s="97">
        <f>IFERROR(J1606/(I1606/VLOOKUP(A1606,'Tabela de Produtos'!A:H,8,0)),"Matéria Prima Não Cadastrada")</f>
        <v>0.27369758576874204</v>
      </c>
      <c r="L1606" s="216"/>
    </row>
    <row r="1607" spans="1:12" ht="15.75" customHeight="1">
      <c r="A1607" s="114" t="s">
        <v>219</v>
      </c>
      <c r="B1607" s="114" t="str">
        <f>VLOOKUP(A1607,'Tabela de Produtos'!A:B,2,0)</f>
        <v>BRAZIMIL LÁTEX STANDARD INT/EXT SEMIBRILHO 15L CINZA MEDIO</v>
      </c>
      <c r="C1607" s="48" t="s">
        <v>1203</v>
      </c>
      <c r="D1607" s="114" t="str">
        <f>VLOOKUP(C1607,'Custos Matéria Prima Embalagens'!B:C,2,0)</f>
        <v>WANBAC WBT CE (BH-200)</v>
      </c>
      <c r="E1607" s="114" t="str">
        <f>VLOOKUP(C1607,'Custos Matéria Prima Embalagens'!B:D,3,0)</f>
        <v>BACTERICIDA</v>
      </c>
      <c r="F1607" s="270">
        <f t="shared" si="214"/>
        <v>999.2</v>
      </c>
      <c r="G1607" s="148">
        <f t="shared" si="215"/>
        <v>2.0016012810248197E-3</v>
      </c>
      <c r="H1607" s="275">
        <v>2</v>
      </c>
      <c r="I1607" s="272">
        <f>ROUND(F1607/VLOOKUP(A1607,'Tabela de Produtos'!A:J,10,0),0)</f>
        <v>787</v>
      </c>
      <c r="J1607" s="97">
        <f>IFERROR(VLOOKUP(C1607,'Custos Matéria Prima Embalagens'!B:G,6,0)*H1607,"Matéria Prima Não Cadastrada")</f>
        <v>9.879999999999999</v>
      </c>
      <c r="K1607" s="97">
        <f>IFERROR(J1607/(I1607/VLOOKUP(A1607,'Tabela de Produtos'!A:H,8,0)),"Matéria Prima Não Cadastrada")</f>
        <v>0.18831003811944089</v>
      </c>
      <c r="L1607" s="216"/>
    </row>
    <row r="1608" spans="1:12" ht="15.75" customHeight="1">
      <c r="A1608" s="114" t="s">
        <v>219</v>
      </c>
      <c r="B1608" s="114" t="str">
        <f>VLOOKUP(A1608,'Tabela de Produtos'!A:B,2,0)</f>
        <v>BRAZIMIL LÁTEX STANDARD INT/EXT SEMIBRILHO 15L CINZA MEDIO</v>
      </c>
      <c r="C1608" s="48" t="s">
        <v>1205</v>
      </c>
      <c r="D1608" s="114" t="str">
        <f>VLOOKUP(C1608,'Custos Matéria Prima Embalagens'!B:C,2,0)</f>
        <v>WANSUR 840 CE (BB-200)01</v>
      </c>
      <c r="E1608" s="114" t="str">
        <f>VLOOKUP(C1608,'Custos Matéria Prima Embalagens'!B:D,3,0)</f>
        <v>UMECTANTE</v>
      </c>
      <c r="F1608" s="270">
        <f t="shared" si="214"/>
        <v>999.2</v>
      </c>
      <c r="G1608" s="148">
        <f t="shared" si="215"/>
        <v>2.0016012810248197E-3</v>
      </c>
      <c r="H1608" s="275">
        <v>2</v>
      </c>
      <c r="I1608" s="272">
        <f>ROUND(F1608/VLOOKUP(A1608,'Tabela de Produtos'!A:J,10,0),0)</f>
        <v>787</v>
      </c>
      <c r="J1608" s="97">
        <f>IFERROR(VLOOKUP(C1608,'Custos Matéria Prima Embalagens'!B:G,6,0)*H1608,"Matéria Prima Não Cadastrada")</f>
        <v>14.66</v>
      </c>
      <c r="K1608" s="97">
        <f>IFERROR(J1608/(I1608/VLOOKUP(A1608,'Tabela de Produtos'!A:H,8,0)),"Matéria Prima Não Cadastrada")</f>
        <v>0.27941550190597203</v>
      </c>
      <c r="L1608" s="216"/>
    </row>
    <row r="1609" spans="1:12" ht="15.75" customHeight="1">
      <c r="A1609" s="114" t="s">
        <v>219</v>
      </c>
      <c r="B1609" s="114" t="str">
        <f>VLOOKUP(A1609,'Tabela de Produtos'!A:B,2,0)</f>
        <v>BRAZIMIL LÁTEX STANDARD INT/EXT SEMIBRILHO 15L CINZA MEDIO</v>
      </c>
      <c r="C1609" s="48" t="s">
        <v>1207</v>
      </c>
      <c r="D1609" s="114" t="str">
        <f>VLOOKUP(C1609,'Custos Matéria Prima Embalagens'!B:C,2,0)</f>
        <v>WANPEX 1510 (BB-200)</v>
      </c>
      <c r="E1609" s="114" t="str">
        <f>VLOOKUP(C1609,'Custos Matéria Prima Embalagens'!B:D,3,0)</f>
        <v>DISPERSANTE LATEX</v>
      </c>
      <c r="F1609" s="270">
        <f t="shared" si="214"/>
        <v>999.2</v>
      </c>
      <c r="G1609" s="148">
        <f t="shared" si="215"/>
        <v>2.0016012810248197E-3</v>
      </c>
      <c r="H1609" s="275">
        <v>2</v>
      </c>
      <c r="I1609" s="272">
        <f>ROUND(F1609/VLOOKUP(A1609,'Tabela de Produtos'!A:J,10,0),0)</f>
        <v>787</v>
      </c>
      <c r="J1609" s="97">
        <f>IFERROR(VLOOKUP(C1609,'Custos Matéria Prima Embalagens'!B:G,6,0)*H1609,"Matéria Prima Não Cadastrada")</f>
        <v>13.719999999999999</v>
      </c>
      <c r="K1609" s="97">
        <f>IFERROR(J1609/(I1609/VLOOKUP(A1609,'Tabela de Produtos'!A:H,8,0)),"Matéria Prima Não Cadastrada")</f>
        <v>0.26149936467598472</v>
      </c>
      <c r="L1609" s="216"/>
    </row>
    <row r="1610" spans="1:12" ht="15.75" customHeight="1">
      <c r="A1610" s="114" t="s">
        <v>219</v>
      </c>
      <c r="B1610" s="114" t="str">
        <f>VLOOKUP(A1610,'Tabela de Produtos'!A:B,2,0)</f>
        <v>BRAZIMIL LÁTEX STANDARD INT/EXT SEMIBRILHO 15L CINZA MEDIO</v>
      </c>
      <c r="C1610" s="48" t="s">
        <v>1217</v>
      </c>
      <c r="D1610" s="114" t="str">
        <f>VLOOKUP(C1610,'Custos Matéria Prima Embalagens'!B:C,2,0)</f>
        <v>WANCRIL W 51 CE (CT-1000P)</v>
      </c>
      <c r="E1610" s="114" t="str">
        <f>VLOOKUP(C1610,'Custos Matéria Prima Embalagens'!B:D,3,0)</f>
        <v>RESINA ACRILICA ESTIRENADA</v>
      </c>
      <c r="F1610" s="270">
        <f t="shared" si="214"/>
        <v>999.2</v>
      </c>
      <c r="G1610" s="148">
        <f t="shared" si="215"/>
        <v>0.16012810248198558</v>
      </c>
      <c r="H1610" s="275">
        <v>160</v>
      </c>
      <c r="I1610" s="272">
        <f>ROUND(F1610/VLOOKUP(A1610,'Tabela de Produtos'!A:J,10,0),0)</f>
        <v>787</v>
      </c>
      <c r="J1610" s="97">
        <f>IFERROR(VLOOKUP(C1610,'Custos Matéria Prima Embalagens'!B:G,6,0)*H1610,"Matéria Prima Não Cadastrada")</f>
        <v>1348.8</v>
      </c>
      <c r="K1610" s="97">
        <f>IFERROR(J1610/(I1610/VLOOKUP(A1610,'Tabela de Produtos'!A:H,8,0)),"Matéria Prima Não Cadastrada")</f>
        <v>25.707750952986022</v>
      </c>
      <c r="L1610" s="216"/>
    </row>
    <row r="1611" spans="1:12" ht="15.75" customHeight="1">
      <c r="A1611" s="114" t="s">
        <v>219</v>
      </c>
      <c r="B1611" s="114" t="str">
        <f>VLOOKUP(A1611,'Tabela de Produtos'!A:B,2,0)</f>
        <v>BRAZIMIL LÁTEX STANDARD INT/EXT SEMIBRILHO 15L CINZA MEDIO</v>
      </c>
      <c r="C1611" s="48" t="s">
        <v>1229</v>
      </c>
      <c r="D1611" s="114" t="str">
        <f>VLOOKUP(C1611,'Custos Matéria Prima Embalagens'!B:C,2,0)</f>
        <v>WANSOL 340 CE (BB-200)</v>
      </c>
      <c r="E1611" s="114" t="str">
        <f>VLOOKUP(C1611,'Custos Matéria Prima Embalagens'!B:D,3,0)</f>
        <v>COALESCENTE</v>
      </c>
      <c r="F1611" s="270">
        <f t="shared" si="214"/>
        <v>999.2</v>
      </c>
      <c r="G1611" s="148">
        <f t="shared" si="215"/>
        <v>1.0008006405124099E-2</v>
      </c>
      <c r="H1611" s="275">
        <v>10</v>
      </c>
      <c r="I1611" s="272">
        <f>ROUND(F1611/VLOOKUP(A1611,'Tabela de Produtos'!A:J,10,0),0)</f>
        <v>787</v>
      </c>
      <c r="J1611" s="97">
        <f>IFERROR(VLOOKUP(C1611,'Custos Matéria Prima Embalagens'!B:G,6,0)*H1611,"Matéria Prima Não Cadastrada")</f>
        <v>192.2</v>
      </c>
      <c r="K1611" s="97">
        <f>IFERROR(J1611/(I1611/VLOOKUP(A1611,'Tabela de Produtos'!A:H,8,0)),"Matéria Prima Não Cadastrada")</f>
        <v>3.6632782719186783</v>
      </c>
      <c r="L1611" s="216"/>
    </row>
    <row r="1612" spans="1:12" ht="15.75" customHeight="1">
      <c r="A1612" s="114" t="s">
        <v>219</v>
      </c>
      <c r="B1612" s="114" t="str">
        <f>VLOOKUP(A1612,'Tabela de Produtos'!A:B,2,0)</f>
        <v>BRAZIMIL LÁTEX STANDARD INT/EXT SEMIBRILHO 15L CINZA MEDIO</v>
      </c>
      <c r="C1612" s="48" t="s">
        <v>1209</v>
      </c>
      <c r="D1612" s="114" t="str">
        <f>VLOOKUP(C1612,'Custos Matéria Prima Embalagens'!B:C,2,0)</f>
        <v>WANFUNG WFT CE (BH-200)</v>
      </c>
      <c r="E1612" s="114" t="str">
        <f>VLOOKUP(C1612,'Custos Matéria Prima Embalagens'!B:D,3,0)</f>
        <v>FUNGICIDA</v>
      </c>
      <c r="F1612" s="270">
        <f t="shared" si="214"/>
        <v>999.2</v>
      </c>
      <c r="G1612" s="148">
        <f t="shared" si="215"/>
        <v>3.0024019215372298E-3</v>
      </c>
      <c r="H1612" s="275">
        <v>3</v>
      </c>
      <c r="I1612" s="272">
        <f>ROUND(F1612/VLOOKUP(A1612,'Tabela de Produtos'!A:J,10,0),0)</f>
        <v>787</v>
      </c>
      <c r="J1612" s="97">
        <f>IFERROR(VLOOKUP(C1612,'Custos Matéria Prima Embalagens'!B:G,6,0)*H1612,"Matéria Prima Não Cadastrada")</f>
        <v>21</v>
      </c>
      <c r="K1612" s="97">
        <f>IFERROR(J1612/(I1612/VLOOKUP(A1612,'Tabela de Produtos'!A:H,8,0)),"Matéria Prima Não Cadastrada")</f>
        <v>0.40025412960609907</v>
      </c>
      <c r="L1612" s="216"/>
    </row>
    <row r="1613" spans="1:12" ht="15.75" customHeight="1">
      <c r="A1613" s="114" t="s">
        <v>219</v>
      </c>
      <c r="B1613" s="114" t="str">
        <f>VLOOKUP(A1613,'Tabela de Produtos'!A:B,2,0)</f>
        <v>BRAZIMIL LÁTEX STANDARD INT/EXT SEMIBRILHO 15L CINZA MEDIO</v>
      </c>
      <c r="C1613" s="48" t="s">
        <v>1219</v>
      </c>
      <c r="D1613" s="114" t="str">
        <f>VLOOKUP(C1613,'Custos Matéria Prima Embalagens'!B:C,2,0)</f>
        <v>WANALK 70 CE (BH-200)</v>
      </c>
      <c r="E1613" s="114" t="str">
        <f>VLOOKUP(C1613,'Custos Matéria Prima Embalagens'!B:D,3,0)</f>
        <v>ALCALINIZANTE</v>
      </c>
      <c r="F1613" s="270">
        <f t="shared" si="214"/>
        <v>999.2</v>
      </c>
      <c r="G1613" s="148">
        <f t="shared" si="215"/>
        <v>3.0024019215372298E-3</v>
      </c>
      <c r="H1613" s="275">
        <v>3</v>
      </c>
      <c r="I1613" s="272">
        <f>ROUND(F1613/VLOOKUP(A1613,'Tabela de Produtos'!A:J,10,0),0)</f>
        <v>787</v>
      </c>
      <c r="J1613" s="97">
        <f>IFERROR(VLOOKUP(C1613,'Custos Matéria Prima Embalagens'!B:G,6,0)*H1613,"Matéria Prima Não Cadastrada")</f>
        <v>14.940000000000001</v>
      </c>
      <c r="K1613" s="97">
        <f>IFERROR(J1613/(I1613/VLOOKUP(A1613,'Tabela de Produtos'!A:H,8,0)),"Matéria Prima Não Cadastrada")</f>
        <v>0.28475222363405339</v>
      </c>
      <c r="L1613" s="216"/>
    </row>
    <row r="1614" spans="1:12" ht="15.75" customHeight="1">
      <c r="A1614" s="114" t="s">
        <v>219</v>
      </c>
      <c r="B1614" s="114" t="str">
        <f>VLOOKUP(A1614,'Tabela de Produtos'!A:B,2,0)</f>
        <v>BRAZIMIL LÁTEX STANDARD INT/EXT SEMIBRILHO 15L CINZA MEDIO</v>
      </c>
      <c r="C1614" s="48" t="s">
        <v>1221</v>
      </c>
      <c r="D1614" s="114" t="str">
        <f>VLOOKUP(C1614,'Custos Matéria Prima Embalagens'!B:C,2,0)</f>
        <v>MODIWAN 105H CE (CT-1000P)</v>
      </c>
      <c r="E1614" s="114" t="str">
        <f>VLOOKUP(C1614,'Custos Matéria Prima Embalagens'!B:D,3,0)</f>
        <v>ESPESSANTE DE MEDIA</v>
      </c>
      <c r="F1614" s="270">
        <f t="shared" si="214"/>
        <v>999.2</v>
      </c>
      <c r="G1614" s="148">
        <f t="shared" si="215"/>
        <v>2.0016012810248198E-2</v>
      </c>
      <c r="H1614" s="275">
        <v>20</v>
      </c>
      <c r="I1614" s="272">
        <f>ROUND(F1614/VLOOKUP(A1614,'Tabela de Produtos'!A:J,10,0),0)</f>
        <v>787</v>
      </c>
      <c r="J1614" s="97">
        <f>IFERROR(VLOOKUP(C1614,'Custos Matéria Prima Embalagens'!B:G,6,0)*H1614,"Matéria Prima Não Cadastrada")</f>
        <v>158.1</v>
      </c>
      <c r="K1614" s="97">
        <f>IFERROR(J1614/(I1614/VLOOKUP(A1614,'Tabela de Produtos'!A:H,8,0)),"Matéria Prima Não Cadastrada")</f>
        <v>3.0133418043202029</v>
      </c>
      <c r="L1614" s="216"/>
    </row>
    <row r="1615" spans="1:12" ht="15.75" customHeight="1">
      <c r="A1615" s="114" t="s">
        <v>219</v>
      </c>
      <c r="B1615" s="114" t="str">
        <f>VLOOKUP(A1615,'Tabela de Produtos'!A:B,2,0)</f>
        <v>BRAZIMIL LÁTEX STANDARD INT/EXT SEMIBRILHO 15L CINZA MEDIO</v>
      </c>
      <c r="C1615" s="48" t="s">
        <v>1270</v>
      </c>
      <c r="D1615" s="114" t="str">
        <f>VLOOKUP(C1615,'Custos Matéria Prima Embalagens'!B:C,2,0)</f>
        <v>MISTURA CONCENTRADO SEMI BRILHO</v>
      </c>
      <c r="E1615" s="114" t="str">
        <f>VLOOKUP(C1615,'Custos Matéria Prima Embalagens'!B:D,3,0)</f>
        <v>MISTURA CONCENTRADO SEMI BRILHO</v>
      </c>
      <c r="F1615" s="270">
        <f t="shared" si="214"/>
        <v>999.2</v>
      </c>
      <c r="G1615" s="148">
        <f t="shared" si="215"/>
        <v>0.244195356285028</v>
      </c>
      <c r="H1615" s="275">
        <v>244</v>
      </c>
      <c r="I1615" s="272">
        <f>ROUND(F1615/VLOOKUP(A1615,'Tabela de Produtos'!A:J,10,0),0)</f>
        <v>787</v>
      </c>
      <c r="J1615" s="97">
        <f>IFERROR(VLOOKUP(C1615,'Custos Matéria Prima Embalagens'!B:G,6,0)*H1615,"Matéria Prima Não Cadastrada")</f>
        <v>2188.6800000000003</v>
      </c>
      <c r="K1615" s="97">
        <f>IFERROR(J1615/(I1615/VLOOKUP(A1615,'Tabela de Produtos'!A:H,8,0)),"Matéria Prima Não Cadastrada")</f>
        <v>41.7156289707751</v>
      </c>
      <c r="L1615" s="216"/>
    </row>
    <row r="1616" spans="1:12" ht="15.75" customHeight="1">
      <c r="D1616" s="114"/>
      <c r="E1616" s="114"/>
      <c r="F1616" s="96"/>
      <c r="G1616" s="148"/>
      <c r="H1616" s="96"/>
      <c r="I1616" s="272"/>
      <c r="J1616" s="97"/>
      <c r="K1616" s="97"/>
      <c r="L1616" s="216"/>
    </row>
    <row r="1617" spans="1:12" ht="15.75" customHeight="1">
      <c r="A1617" s="114" t="s">
        <v>220</v>
      </c>
      <c r="B1617" s="114" t="str">
        <f>VLOOKUP(A1617,'Tabela de Produtos'!A:B,2,0)</f>
        <v>BRAZIMIL LÁTEX STANDARD INT/EXT SEMIBRILHO 15L CINZA INTENSO</v>
      </c>
      <c r="C1617" s="48" t="s">
        <v>1197</v>
      </c>
      <c r="D1617" s="114" t="str">
        <f>VLOOKUP(C1617,'Custos Matéria Prima Embalagens'!B:C,2,0)</f>
        <v>AGUA</v>
      </c>
      <c r="E1617" s="114" t="str">
        <f>VLOOKUP(C1617,'Custos Matéria Prima Embalagens'!B:D,3,0)</f>
        <v>AGUA</v>
      </c>
      <c r="F1617" s="270">
        <f t="shared" ref="F1617:F1628" si="216">SUMIFS(H:H,A:A,A1617)</f>
        <v>999.2</v>
      </c>
      <c r="G1617" s="148">
        <f t="shared" ref="G1617:G1628" si="217">H1617/F1617</f>
        <v>0.55044035228182542</v>
      </c>
      <c r="H1617" s="275">
        <v>550</v>
      </c>
      <c r="I1617" s="272">
        <f>ROUND(F1617/VLOOKUP(A1617,'Tabela de Produtos'!A:J,10,0),0)</f>
        <v>787</v>
      </c>
      <c r="J1617" s="97">
        <f>IFERROR(VLOOKUP(C1617,'Custos Matéria Prima Embalagens'!B:G,6,0)*H1617,"Matéria Prima Não Cadastrada")</f>
        <v>0</v>
      </c>
      <c r="K1617" s="97">
        <f>IFERROR(J1617/(I1617/VLOOKUP(A1617,'Tabela de Produtos'!A:H,8,0)),"Matéria Prima Não Cadastrada")</f>
        <v>0</v>
      </c>
      <c r="L1617" s="216"/>
    </row>
    <row r="1618" spans="1:12" ht="15.75" customHeight="1">
      <c r="A1618" s="114" t="s">
        <v>220</v>
      </c>
      <c r="B1618" s="114" t="str">
        <f>VLOOKUP(A1618,'Tabela de Produtos'!A:B,2,0)</f>
        <v>BRAZIMIL LÁTEX STANDARD INT/EXT SEMIBRILHO 15L CINZA INTENSO</v>
      </c>
      <c r="C1618" s="48" t="s">
        <v>1199</v>
      </c>
      <c r="D1618" s="114" t="str">
        <f>VLOOKUP(C1618,'Custos Matéria Prima Embalagens'!B:C,2,0)</f>
        <v>HEXAMETAFOSFATO DE SODIO</v>
      </c>
      <c r="E1618" s="114" t="str">
        <f>VLOOKUP(C1618,'Custos Matéria Prima Embalagens'!B:D,3,0)</f>
        <v>HEXAMETAFOSFATO DE SODIO</v>
      </c>
      <c r="F1618" s="270">
        <f t="shared" si="216"/>
        <v>999.2</v>
      </c>
      <c r="G1618" s="148">
        <f t="shared" si="217"/>
        <v>1.2009607686148918E-3</v>
      </c>
      <c r="H1618" s="275">
        <v>1.2</v>
      </c>
      <c r="I1618" s="272">
        <f>ROUND(F1618/VLOOKUP(A1618,'Tabela de Produtos'!A:J,10,0),0)</f>
        <v>787</v>
      </c>
      <c r="J1618" s="97">
        <f>IFERROR(VLOOKUP(C1618,'Custos Matéria Prima Embalagens'!B:G,6,0)*H1618,"Matéria Prima Não Cadastrada")</f>
        <v>21.527999999999995</v>
      </c>
      <c r="K1618" s="97">
        <f>IFERROR(J1618/(I1618/VLOOKUP(A1618,'Tabela de Produtos'!A:H,8,0)),"Matéria Prima Não Cadastrada")</f>
        <v>0.41031766200762376</v>
      </c>
      <c r="L1618" s="216"/>
    </row>
    <row r="1619" spans="1:12" ht="15.75" customHeight="1">
      <c r="A1619" s="114" t="s">
        <v>220</v>
      </c>
      <c r="B1619" s="114" t="str">
        <f>VLOOKUP(A1619,'Tabela de Produtos'!A:B,2,0)</f>
        <v>BRAZIMIL LÁTEX STANDARD INT/EXT SEMIBRILHO 15L CINZA INTENSO</v>
      </c>
      <c r="C1619" s="48" t="s">
        <v>1201</v>
      </c>
      <c r="D1619" s="114" t="str">
        <f>VLOOKUP(C1619,'Custos Matéria Prima Embalagens'!B:C,2,0)</f>
        <v>WANFOAM 528 CE (BB-190)</v>
      </c>
      <c r="E1619" s="114" t="str">
        <f>VLOOKUP(C1619,'Custos Matéria Prima Embalagens'!B:D,3,0)</f>
        <v>ANTI ESPUMA LATEX</v>
      </c>
      <c r="F1619" s="270">
        <f t="shared" si="216"/>
        <v>999.2</v>
      </c>
      <c r="G1619" s="148">
        <f t="shared" si="217"/>
        <v>2.0016012810248197E-3</v>
      </c>
      <c r="H1619" s="275">
        <v>2</v>
      </c>
      <c r="I1619" s="272">
        <f>ROUND(F1619/VLOOKUP(A1619,'Tabela de Produtos'!A:J,10,0),0)</f>
        <v>787</v>
      </c>
      <c r="J1619" s="97">
        <f>IFERROR(VLOOKUP(C1619,'Custos Matéria Prima Embalagens'!B:G,6,0)*H1619,"Matéria Prima Não Cadastrada")</f>
        <v>14.36</v>
      </c>
      <c r="K1619" s="97">
        <f>IFERROR(J1619/(I1619/VLOOKUP(A1619,'Tabela de Produtos'!A:H,8,0)),"Matéria Prima Não Cadastrada")</f>
        <v>0.27369758576874204</v>
      </c>
      <c r="L1619" s="216"/>
    </row>
    <row r="1620" spans="1:12" ht="15.75" customHeight="1">
      <c r="A1620" s="114" t="s">
        <v>220</v>
      </c>
      <c r="B1620" s="114" t="str">
        <f>VLOOKUP(A1620,'Tabela de Produtos'!A:B,2,0)</f>
        <v>BRAZIMIL LÁTEX STANDARD INT/EXT SEMIBRILHO 15L CINZA INTENSO</v>
      </c>
      <c r="C1620" s="48" t="s">
        <v>1203</v>
      </c>
      <c r="D1620" s="114" t="str">
        <f>VLOOKUP(C1620,'Custos Matéria Prima Embalagens'!B:C,2,0)</f>
        <v>WANBAC WBT CE (BH-200)</v>
      </c>
      <c r="E1620" s="114" t="str">
        <f>VLOOKUP(C1620,'Custos Matéria Prima Embalagens'!B:D,3,0)</f>
        <v>BACTERICIDA</v>
      </c>
      <c r="F1620" s="270">
        <f t="shared" si="216"/>
        <v>999.2</v>
      </c>
      <c r="G1620" s="148">
        <f t="shared" si="217"/>
        <v>2.0016012810248197E-3</v>
      </c>
      <c r="H1620" s="275">
        <v>2</v>
      </c>
      <c r="I1620" s="272">
        <f>ROUND(F1620/VLOOKUP(A1620,'Tabela de Produtos'!A:J,10,0),0)</f>
        <v>787</v>
      </c>
      <c r="J1620" s="97">
        <f>IFERROR(VLOOKUP(C1620,'Custos Matéria Prima Embalagens'!B:G,6,0)*H1620,"Matéria Prima Não Cadastrada")</f>
        <v>9.879999999999999</v>
      </c>
      <c r="K1620" s="97">
        <f>IFERROR(J1620/(I1620/VLOOKUP(A1620,'Tabela de Produtos'!A:H,8,0)),"Matéria Prima Não Cadastrada")</f>
        <v>0.18831003811944089</v>
      </c>
      <c r="L1620" s="216"/>
    </row>
    <row r="1621" spans="1:12" ht="15.75" customHeight="1">
      <c r="A1621" s="114" t="s">
        <v>220</v>
      </c>
      <c r="B1621" s="114" t="str">
        <f>VLOOKUP(A1621,'Tabela de Produtos'!A:B,2,0)</f>
        <v>BRAZIMIL LÁTEX STANDARD INT/EXT SEMIBRILHO 15L CINZA INTENSO</v>
      </c>
      <c r="C1621" s="48" t="s">
        <v>1205</v>
      </c>
      <c r="D1621" s="114" t="str">
        <f>VLOOKUP(C1621,'Custos Matéria Prima Embalagens'!B:C,2,0)</f>
        <v>WANSUR 840 CE (BB-200)01</v>
      </c>
      <c r="E1621" s="114" t="str">
        <f>VLOOKUP(C1621,'Custos Matéria Prima Embalagens'!B:D,3,0)</f>
        <v>UMECTANTE</v>
      </c>
      <c r="F1621" s="270">
        <f t="shared" si="216"/>
        <v>999.2</v>
      </c>
      <c r="G1621" s="148">
        <f t="shared" si="217"/>
        <v>2.0016012810248197E-3</v>
      </c>
      <c r="H1621" s="275">
        <v>2</v>
      </c>
      <c r="I1621" s="272">
        <f>ROUND(F1621/VLOOKUP(A1621,'Tabela de Produtos'!A:J,10,0),0)</f>
        <v>787</v>
      </c>
      <c r="J1621" s="97">
        <f>IFERROR(VLOOKUP(C1621,'Custos Matéria Prima Embalagens'!B:G,6,0)*H1621,"Matéria Prima Não Cadastrada")</f>
        <v>14.66</v>
      </c>
      <c r="K1621" s="97">
        <f>IFERROR(J1621/(I1621/VLOOKUP(A1621,'Tabela de Produtos'!A:H,8,0)),"Matéria Prima Não Cadastrada")</f>
        <v>0.27941550190597203</v>
      </c>
      <c r="L1621" s="216"/>
    </row>
    <row r="1622" spans="1:12" ht="15.75" customHeight="1">
      <c r="A1622" s="114" t="s">
        <v>220</v>
      </c>
      <c r="B1622" s="114" t="str">
        <f>VLOOKUP(A1622,'Tabela de Produtos'!A:B,2,0)</f>
        <v>BRAZIMIL LÁTEX STANDARD INT/EXT SEMIBRILHO 15L CINZA INTENSO</v>
      </c>
      <c r="C1622" s="48" t="s">
        <v>1207</v>
      </c>
      <c r="D1622" s="114" t="str">
        <f>VLOOKUP(C1622,'Custos Matéria Prima Embalagens'!B:C,2,0)</f>
        <v>WANPEX 1510 (BB-200)</v>
      </c>
      <c r="E1622" s="114" t="str">
        <f>VLOOKUP(C1622,'Custos Matéria Prima Embalagens'!B:D,3,0)</f>
        <v>DISPERSANTE LATEX</v>
      </c>
      <c r="F1622" s="270">
        <f t="shared" si="216"/>
        <v>999.2</v>
      </c>
      <c r="G1622" s="148">
        <f t="shared" si="217"/>
        <v>2.0016012810248197E-3</v>
      </c>
      <c r="H1622" s="275">
        <v>2</v>
      </c>
      <c r="I1622" s="272">
        <f>ROUND(F1622/VLOOKUP(A1622,'Tabela de Produtos'!A:J,10,0),0)</f>
        <v>787</v>
      </c>
      <c r="J1622" s="97">
        <f>IFERROR(VLOOKUP(C1622,'Custos Matéria Prima Embalagens'!B:G,6,0)*H1622,"Matéria Prima Não Cadastrada")</f>
        <v>13.719999999999999</v>
      </c>
      <c r="K1622" s="97">
        <f>IFERROR(J1622/(I1622/VLOOKUP(A1622,'Tabela de Produtos'!A:H,8,0)),"Matéria Prima Não Cadastrada")</f>
        <v>0.26149936467598472</v>
      </c>
      <c r="L1622" s="216"/>
    </row>
    <row r="1623" spans="1:12" ht="15.75" customHeight="1">
      <c r="A1623" s="114" t="s">
        <v>220</v>
      </c>
      <c r="B1623" s="114" t="str">
        <f>VLOOKUP(A1623,'Tabela de Produtos'!A:B,2,0)</f>
        <v>BRAZIMIL LÁTEX STANDARD INT/EXT SEMIBRILHO 15L CINZA INTENSO</v>
      </c>
      <c r="C1623" s="48" t="s">
        <v>1217</v>
      </c>
      <c r="D1623" s="114" t="str">
        <f>VLOOKUP(C1623,'Custos Matéria Prima Embalagens'!B:C,2,0)</f>
        <v>WANCRIL W 51 CE (CT-1000P)</v>
      </c>
      <c r="E1623" s="114" t="str">
        <f>VLOOKUP(C1623,'Custos Matéria Prima Embalagens'!B:D,3,0)</f>
        <v>RESINA ACRILICA ESTIRENADA</v>
      </c>
      <c r="F1623" s="270">
        <f t="shared" si="216"/>
        <v>999.2</v>
      </c>
      <c r="G1623" s="148">
        <f t="shared" si="217"/>
        <v>0.16012810248198558</v>
      </c>
      <c r="H1623" s="275">
        <v>160</v>
      </c>
      <c r="I1623" s="272">
        <f>ROUND(F1623/VLOOKUP(A1623,'Tabela de Produtos'!A:J,10,0),0)</f>
        <v>787</v>
      </c>
      <c r="J1623" s="97">
        <f>IFERROR(VLOOKUP(C1623,'Custos Matéria Prima Embalagens'!B:G,6,0)*H1623,"Matéria Prima Não Cadastrada")</f>
        <v>1348.8</v>
      </c>
      <c r="K1623" s="97">
        <f>IFERROR(J1623/(I1623/VLOOKUP(A1623,'Tabela de Produtos'!A:H,8,0)),"Matéria Prima Não Cadastrada")</f>
        <v>25.707750952986022</v>
      </c>
      <c r="L1623" s="216"/>
    </row>
    <row r="1624" spans="1:12" ht="15.75" customHeight="1">
      <c r="A1624" s="114" t="s">
        <v>220</v>
      </c>
      <c r="B1624" s="114" t="str">
        <f>VLOOKUP(A1624,'Tabela de Produtos'!A:B,2,0)</f>
        <v>BRAZIMIL LÁTEX STANDARD INT/EXT SEMIBRILHO 15L CINZA INTENSO</v>
      </c>
      <c r="C1624" s="48" t="s">
        <v>1229</v>
      </c>
      <c r="D1624" s="114" t="str">
        <f>VLOOKUP(C1624,'Custos Matéria Prima Embalagens'!B:C,2,0)</f>
        <v>WANSOL 340 CE (BB-200)</v>
      </c>
      <c r="E1624" s="114" t="str">
        <f>VLOOKUP(C1624,'Custos Matéria Prima Embalagens'!B:D,3,0)</f>
        <v>COALESCENTE</v>
      </c>
      <c r="F1624" s="270">
        <f t="shared" si="216"/>
        <v>999.2</v>
      </c>
      <c r="G1624" s="148">
        <f t="shared" si="217"/>
        <v>1.0008006405124099E-2</v>
      </c>
      <c r="H1624" s="275">
        <v>10</v>
      </c>
      <c r="I1624" s="272">
        <f>ROUND(F1624/VLOOKUP(A1624,'Tabela de Produtos'!A:J,10,0),0)</f>
        <v>787</v>
      </c>
      <c r="J1624" s="97">
        <f>IFERROR(VLOOKUP(C1624,'Custos Matéria Prima Embalagens'!B:G,6,0)*H1624,"Matéria Prima Não Cadastrada")</f>
        <v>192.2</v>
      </c>
      <c r="K1624" s="97">
        <f>IFERROR(J1624/(I1624/VLOOKUP(A1624,'Tabela de Produtos'!A:H,8,0)),"Matéria Prima Não Cadastrada")</f>
        <v>3.6632782719186783</v>
      </c>
      <c r="L1624" s="216"/>
    </row>
    <row r="1625" spans="1:12" ht="15.75" customHeight="1">
      <c r="A1625" s="114" t="s">
        <v>220</v>
      </c>
      <c r="B1625" s="114" t="str">
        <f>VLOOKUP(A1625,'Tabela de Produtos'!A:B,2,0)</f>
        <v>BRAZIMIL LÁTEX STANDARD INT/EXT SEMIBRILHO 15L CINZA INTENSO</v>
      </c>
      <c r="C1625" s="48" t="s">
        <v>1209</v>
      </c>
      <c r="D1625" s="114" t="str">
        <f>VLOOKUP(C1625,'Custos Matéria Prima Embalagens'!B:C,2,0)</f>
        <v>WANFUNG WFT CE (BH-200)</v>
      </c>
      <c r="E1625" s="114" t="str">
        <f>VLOOKUP(C1625,'Custos Matéria Prima Embalagens'!B:D,3,0)</f>
        <v>FUNGICIDA</v>
      </c>
      <c r="F1625" s="270">
        <f t="shared" si="216"/>
        <v>999.2</v>
      </c>
      <c r="G1625" s="148">
        <f t="shared" si="217"/>
        <v>3.0024019215372298E-3</v>
      </c>
      <c r="H1625" s="275">
        <v>3</v>
      </c>
      <c r="I1625" s="272">
        <f>ROUND(F1625/VLOOKUP(A1625,'Tabela de Produtos'!A:J,10,0),0)</f>
        <v>787</v>
      </c>
      <c r="J1625" s="97">
        <f>IFERROR(VLOOKUP(C1625,'Custos Matéria Prima Embalagens'!B:G,6,0)*H1625,"Matéria Prima Não Cadastrada")</f>
        <v>21</v>
      </c>
      <c r="K1625" s="97">
        <f>IFERROR(J1625/(I1625/VLOOKUP(A1625,'Tabela de Produtos'!A:H,8,0)),"Matéria Prima Não Cadastrada")</f>
        <v>0.40025412960609907</v>
      </c>
      <c r="L1625" s="216"/>
    </row>
    <row r="1626" spans="1:12" ht="15.75" customHeight="1">
      <c r="A1626" s="114" t="s">
        <v>220</v>
      </c>
      <c r="B1626" s="114" t="str">
        <f>VLOOKUP(A1626,'Tabela de Produtos'!A:B,2,0)</f>
        <v>BRAZIMIL LÁTEX STANDARD INT/EXT SEMIBRILHO 15L CINZA INTENSO</v>
      </c>
      <c r="C1626" s="48" t="s">
        <v>1219</v>
      </c>
      <c r="D1626" s="114" t="str">
        <f>VLOOKUP(C1626,'Custos Matéria Prima Embalagens'!B:C,2,0)</f>
        <v>WANALK 70 CE (BH-200)</v>
      </c>
      <c r="E1626" s="114" t="str">
        <f>VLOOKUP(C1626,'Custos Matéria Prima Embalagens'!B:D,3,0)</f>
        <v>ALCALINIZANTE</v>
      </c>
      <c r="F1626" s="270">
        <f t="shared" si="216"/>
        <v>999.2</v>
      </c>
      <c r="G1626" s="148">
        <f t="shared" si="217"/>
        <v>3.0024019215372298E-3</v>
      </c>
      <c r="H1626" s="275">
        <v>3</v>
      </c>
      <c r="I1626" s="272">
        <f>ROUND(F1626/VLOOKUP(A1626,'Tabela de Produtos'!A:J,10,0),0)</f>
        <v>787</v>
      </c>
      <c r="J1626" s="97">
        <f>IFERROR(VLOOKUP(C1626,'Custos Matéria Prima Embalagens'!B:G,6,0)*H1626,"Matéria Prima Não Cadastrada")</f>
        <v>14.940000000000001</v>
      </c>
      <c r="K1626" s="97">
        <f>IFERROR(J1626/(I1626/VLOOKUP(A1626,'Tabela de Produtos'!A:H,8,0)),"Matéria Prima Não Cadastrada")</f>
        <v>0.28475222363405339</v>
      </c>
      <c r="L1626" s="216"/>
    </row>
    <row r="1627" spans="1:12" ht="15.75" customHeight="1">
      <c r="A1627" s="114" t="s">
        <v>220</v>
      </c>
      <c r="B1627" s="114" t="str">
        <f>VLOOKUP(A1627,'Tabela de Produtos'!A:B,2,0)</f>
        <v>BRAZIMIL LÁTEX STANDARD INT/EXT SEMIBRILHO 15L CINZA INTENSO</v>
      </c>
      <c r="C1627" s="48" t="s">
        <v>1221</v>
      </c>
      <c r="D1627" s="114" t="str">
        <f>VLOOKUP(C1627,'Custos Matéria Prima Embalagens'!B:C,2,0)</f>
        <v>MODIWAN 105H CE (CT-1000P)</v>
      </c>
      <c r="E1627" s="114" t="str">
        <f>VLOOKUP(C1627,'Custos Matéria Prima Embalagens'!B:D,3,0)</f>
        <v>ESPESSANTE DE MEDIA</v>
      </c>
      <c r="F1627" s="270">
        <f t="shared" si="216"/>
        <v>999.2</v>
      </c>
      <c r="G1627" s="148">
        <f t="shared" si="217"/>
        <v>2.0016012810248198E-2</v>
      </c>
      <c r="H1627" s="275">
        <v>20</v>
      </c>
      <c r="I1627" s="272">
        <f>ROUND(F1627/VLOOKUP(A1627,'Tabela de Produtos'!A:J,10,0),0)</f>
        <v>787</v>
      </c>
      <c r="J1627" s="97">
        <f>IFERROR(VLOOKUP(C1627,'Custos Matéria Prima Embalagens'!B:G,6,0)*H1627,"Matéria Prima Não Cadastrada")</f>
        <v>158.1</v>
      </c>
      <c r="K1627" s="97">
        <f>IFERROR(J1627/(I1627/VLOOKUP(A1627,'Tabela de Produtos'!A:H,8,0)),"Matéria Prima Não Cadastrada")</f>
        <v>3.0133418043202029</v>
      </c>
      <c r="L1627" s="216"/>
    </row>
    <row r="1628" spans="1:12" ht="15.75" customHeight="1">
      <c r="A1628" s="114" t="s">
        <v>220</v>
      </c>
      <c r="B1628" s="114" t="str">
        <f>VLOOKUP(A1628,'Tabela de Produtos'!A:B,2,0)</f>
        <v>BRAZIMIL LÁTEX STANDARD INT/EXT SEMIBRILHO 15L CINZA INTENSO</v>
      </c>
      <c r="C1628" s="48" t="s">
        <v>1270</v>
      </c>
      <c r="D1628" s="114" t="str">
        <f>VLOOKUP(C1628,'Custos Matéria Prima Embalagens'!B:C,2,0)</f>
        <v>MISTURA CONCENTRADO SEMI BRILHO</v>
      </c>
      <c r="E1628" s="114" t="str">
        <f>VLOOKUP(C1628,'Custos Matéria Prima Embalagens'!B:D,3,0)</f>
        <v>MISTURA CONCENTRADO SEMI BRILHO</v>
      </c>
      <c r="F1628" s="270">
        <f t="shared" si="216"/>
        <v>999.2</v>
      </c>
      <c r="G1628" s="148">
        <f t="shared" si="217"/>
        <v>0.244195356285028</v>
      </c>
      <c r="H1628" s="275">
        <v>244</v>
      </c>
      <c r="I1628" s="272">
        <f>ROUND(F1628/VLOOKUP(A1628,'Tabela de Produtos'!A:J,10,0),0)</f>
        <v>787</v>
      </c>
      <c r="J1628" s="97">
        <f>IFERROR(VLOOKUP(C1628,'Custos Matéria Prima Embalagens'!B:G,6,0)*H1628,"Matéria Prima Não Cadastrada")</f>
        <v>2188.6800000000003</v>
      </c>
      <c r="K1628" s="97">
        <f>IFERROR(J1628/(I1628/VLOOKUP(A1628,'Tabela de Produtos'!A:H,8,0)),"Matéria Prima Não Cadastrada")</f>
        <v>41.7156289707751</v>
      </c>
      <c r="L1628" s="216"/>
    </row>
    <row r="1629" spans="1:12" ht="15.75" customHeight="1">
      <c r="D1629" s="114"/>
      <c r="E1629" s="114"/>
      <c r="F1629" s="96"/>
      <c r="G1629" s="148"/>
      <c r="H1629" s="96"/>
      <c r="I1629" s="272"/>
      <c r="J1629" s="97"/>
      <c r="K1629" s="97"/>
      <c r="L1629" s="216"/>
    </row>
    <row r="1630" spans="1:12" ht="15.75" customHeight="1">
      <c r="A1630" s="114" t="s">
        <v>363</v>
      </c>
      <c r="B1630" s="114" t="str">
        <f>VLOOKUP(A1630,'Tabela de Produtos'!A:B,2,0)</f>
        <v>BRAZIMIL BORRACHA LIQUIDA MULTIFUNÇÃO 3,6KG BRANCO NEVE</v>
      </c>
      <c r="C1630" s="48" t="s">
        <v>1197</v>
      </c>
      <c r="D1630" s="114" t="str">
        <f>VLOOKUP(C1630,'Custos Matéria Prima Embalagens'!B:C,2,0)</f>
        <v>AGUA</v>
      </c>
      <c r="E1630" s="114" t="str">
        <f>VLOOKUP(C1630,'Custos Matéria Prima Embalagens'!B:D,3,0)</f>
        <v>AGUA</v>
      </c>
      <c r="F1630" s="270">
        <f t="shared" ref="F1630:F1645" si="218">SUMIFS(H:H,A:A,A1630)</f>
        <v>207.9</v>
      </c>
      <c r="G1630" s="148">
        <f t="shared" ref="G1630:G1645" si="219">H1630/F1630</f>
        <v>0.24050024050024049</v>
      </c>
      <c r="H1630" s="276">
        <v>50</v>
      </c>
      <c r="I1630" s="272">
        <f>ROUND(F1630/VLOOKUP(A1630,'Tabela de Produtos'!A:J,10,0),0)</f>
        <v>208</v>
      </c>
      <c r="J1630" s="97">
        <f>IFERROR(VLOOKUP(C1630,'Custos Matéria Prima Embalagens'!B:G,6,0)*H1630,"Matéria Prima Não Cadastrada")</f>
        <v>0</v>
      </c>
      <c r="K1630" s="97">
        <f>IFERROR(J1630/(I1630/VLOOKUP(A1630,'Tabela de Produtos'!A:H,8,0)),"Matéria Prima Não Cadastrada")</f>
        <v>0</v>
      </c>
      <c r="L1630" s="216" t="s">
        <v>1666</v>
      </c>
    </row>
    <row r="1631" spans="1:12" ht="15.75" customHeight="1">
      <c r="A1631" s="114" t="s">
        <v>363</v>
      </c>
      <c r="B1631" s="114" t="str">
        <f>VLOOKUP(A1631,'Tabela de Produtos'!A:B,2,0)</f>
        <v>BRAZIMIL BORRACHA LIQUIDA MULTIFUNÇÃO 3,6KG BRANCO NEVE</v>
      </c>
      <c r="C1631" s="48" t="s">
        <v>1199</v>
      </c>
      <c r="D1631" s="114" t="str">
        <f>VLOOKUP(C1631,'Custos Matéria Prima Embalagens'!B:C,2,0)</f>
        <v>HEXAMETAFOSFATO DE SODIO</v>
      </c>
      <c r="E1631" s="114" t="str">
        <f>VLOOKUP(C1631,'Custos Matéria Prima Embalagens'!B:D,3,0)</f>
        <v>HEXAMETAFOSFATO DE SODIO</v>
      </c>
      <c r="F1631" s="270">
        <f t="shared" si="218"/>
        <v>207.9</v>
      </c>
      <c r="G1631" s="148">
        <f t="shared" si="219"/>
        <v>4.8100048100048102E-4</v>
      </c>
      <c r="H1631" s="276">
        <v>0.1</v>
      </c>
      <c r="I1631" s="272">
        <f>ROUND(F1631/VLOOKUP(A1631,'Tabela de Produtos'!A:J,10,0),0)</f>
        <v>208</v>
      </c>
      <c r="J1631" s="97">
        <f>IFERROR(VLOOKUP(C1631,'Custos Matéria Prima Embalagens'!B:G,6,0)*H1631,"Matéria Prima Não Cadastrada")</f>
        <v>1.7939999999999998</v>
      </c>
      <c r="K1631" s="97">
        <f>IFERROR(J1631/(I1631/VLOOKUP(A1631,'Tabela de Produtos'!A:H,8,0)),"Matéria Prima Não Cadastrada")</f>
        <v>3.1049999999999998E-2</v>
      </c>
      <c r="L1631" s="216"/>
    </row>
    <row r="1632" spans="1:12" ht="15.75" customHeight="1">
      <c r="A1632" s="114" t="s">
        <v>363</v>
      </c>
      <c r="B1632" s="114" t="str">
        <f>VLOOKUP(A1632,'Tabela de Produtos'!A:B,2,0)</f>
        <v>BRAZIMIL BORRACHA LIQUIDA MULTIFUNÇÃO 3,6KG BRANCO NEVE</v>
      </c>
      <c r="C1632" s="48" t="s">
        <v>1257</v>
      </c>
      <c r="D1632" s="114" t="str">
        <f>VLOOKUP(C1632,'Custos Matéria Prima Embalagens'!B:C,2,0)</f>
        <v>WANCOAT 520 (BR-45)</v>
      </c>
      <c r="E1632" s="114" t="str">
        <f>VLOOKUP(C1632,'Custos Matéria Prima Embalagens'!B:D,3,0)</f>
        <v>ANTI ESPUMA ESM BASE AGUA</v>
      </c>
      <c r="F1632" s="270">
        <f t="shared" si="218"/>
        <v>207.9</v>
      </c>
      <c r="G1632" s="148">
        <f t="shared" si="219"/>
        <v>1.9240019240019241E-3</v>
      </c>
      <c r="H1632" s="276">
        <v>0.4</v>
      </c>
      <c r="I1632" s="272">
        <f>ROUND(F1632/VLOOKUP(A1632,'Tabela de Produtos'!A:J,10,0),0)</f>
        <v>208</v>
      </c>
      <c r="J1632" s="97">
        <f>IFERROR(VLOOKUP(C1632,'Custos Matéria Prima Embalagens'!B:G,6,0)*H1632,"Matéria Prima Não Cadastrada")</f>
        <v>4.70456928135276</v>
      </c>
      <c r="K1632" s="97">
        <f>IFERROR(J1632/(I1632/VLOOKUP(A1632,'Tabela de Produtos'!A:H,8,0)),"Matéria Prima Não Cadastrada")</f>
        <v>8.1425237561874697E-2</v>
      </c>
      <c r="L1632" s="216"/>
    </row>
    <row r="1633" spans="1:12" ht="15.75" customHeight="1">
      <c r="A1633" s="114" t="s">
        <v>363</v>
      </c>
      <c r="B1633" s="114" t="str">
        <f>VLOOKUP(A1633,'Tabela de Produtos'!A:B,2,0)</f>
        <v>BRAZIMIL BORRACHA LIQUIDA MULTIFUNÇÃO 3,6KG BRANCO NEVE</v>
      </c>
      <c r="C1633" s="48" t="s">
        <v>1203</v>
      </c>
      <c r="D1633" s="114" t="str">
        <f>VLOOKUP(C1633,'Custos Matéria Prima Embalagens'!B:C,2,0)</f>
        <v>WANBAC WBT CE (BH-200)</v>
      </c>
      <c r="E1633" s="114" t="str">
        <f>VLOOKUP(C1633,'Custos Matéria Prima Embalagens'!B:D,3,0)</f>
        <v>BACTERICIDA</v>
      </c>
      <c r="F1633" s="270">
        <f t="shared" si="218"/>
        <v>207.9</v>
      </c>
      <c r="G1633" s="148">
        <f t="shared" si="219"/>
        <v>1.9240019240019241E-3</v>
      </c>
      <c r="H1633" s="276">
        <v>0.4</v>
      </c>
      <c r="I1633" s="272">
        <f>ROUND(F1633/VLOOKUP(A1633,'Tabela de Produtos'!A:J,10,0),0)</f>
        <v>208</v>
      </c>
      <c r="J1633" s="97">
        <f>IFERROR(VLOOKUP(C1633,'Custos Matéria Prima Embalagens'!B:G,6,0)*H1633,"Matéria Prima Não Cadastrada")</f>
        <v>1.976</v>
      </c>
      <c r="K1633" s="97">
        <f>IFERROR(J1633/(I1633/VLOOKUP(A1633,'Tabela de Produtos'!A:H,8,0)),"Matéria Prima Não Cadastrada")</f>
        <v>3.4200000000000001E-2</v>
      </c>
      <c r="L1633" s="216"/>
    </row>
    <row r="1634" spans="1:12" ht="15.75" customHeight="1">
      <c r="A1634" s="114" t="s">
        <v>363</v>
      </c>
      <c r="B1634" s="114" t="str">
        <f>VLOOKUP(A1634,'Tabela de Produtos'!A:B,2,0)</f>
        <v>BRAZIMIL BORRACHA LIQUIDA MULTIFUNÇÃO 3,6KG BRANCO NEVE</v>
      </c>
      <c r="C1634" s="48" t="s">
        <v>1205</v>
      </c>
      <c r="D1634" s="114" t="str">
        <f>VLOOKUP(C1634,'Custos Matéria Prima Embalagens'!B:C,2,0)</f>
        <v>WANSUR 840 CE (BB-200)01</v>
      </c>
      <c r="E1634" s="114" t="str">
        <f>VLOOKUP(C1634,'Custos Matéria Prima Embalagens'!B:D,3,0)</f>
        <v>UMECTANTE</v>
      </c>
      <c r="F1634" s="270">
        <f t="shared" si="218"/>
        <v>207.9</v>
      </c>
      <c r="G1634" s="148">
        <f t="shared" si="219"/>
        <v>2.886002886002886E-3</v>
      </c>
      <c r="H1634" s="276">
        <v>0.6</v>
      </c>
      <c r="I1634" s="272">
        <f>ROUND(F1634/VLOOKUP(A1634,'Tabela de Produtos'!A:J,10,0),0)</f>
        <v>208</v>
      </c>
      <c r="J1634" s="97">
        <f>IFERROR(VLOOKUP(C1634,'Custos Matéria Prima Embalagens'!B:G,6,0)*H1634,"Matéria Prima Não Cadastrada")</f>
        <v>4.3979999999999997</v>
      </c>
      <c r="K1634" s="97">
        <f>IFERROR(J1634/(I1634/VLOOKUP(A1634,'Tabela de Produtos'!A:H,8,0)),"Matéria Prima Não Cadastrada")</f>
        <v>7.6119230769230758E-2</v>
      </c>
      <c r="L1634" s="216"/>
    </row>
    <row r="1635" spans="1:12" ht="15.75" customHeight="1">
      <c r="A1635" s="114" t="s">
        <v>363</v>
      </c>
      <c r="B1635" s="114" t="str">
        <f>VLOOKUP(A1635,'Tabela de Produtos'!A:B,2,0)</f>
        <v>BRAZIMIL BORRACHA LIQUIDA MULTIFUNÇÃO 3,6KG BRANCO NEVE</v>
      </c>
      <c r="C1635" s="48" t="s">
        <v>1207</v>
      </c>
      <c r="D1635" s="114" t="str">
        <f>VLOOKUP(C1635,'Custos Matéria Prima Embalagens'!B:C,2,0)</f>
        <v>WANPEX 1510 (BB-200)</v>
      </c>
      <c r="E1635" s="114" t="str">
        <f>VLOOKUP(C1635,'Custos Matéria Prima Embalagens'!B:D,3,0)</f>
        <v>DISPERSANTE LATEX</v>
      </c>
      <c r="F1635" s="270">
        <f t="shared" si="218"/>
        <v>207.9</v>
      </c>
      <c r="G1635" s="148">
        <f t="shared" si="219"/>
        <v>3.8480038480038481E-3</v>
      </c>
      <c r="H1635" s="276">
        <v>0.8</v>
      </c>
      <c r="I1635" s="272">
        <f>ROUND(F1635/VLOOKUP(A1635,'Tabela de Produtos'!A:J,10,0),0)</f>
        <v>208</v>
      </c>
      <c r="J1635" s="97">
        <f>IFERROR(VLOOKUP(C1635,'Custos Matéria Prima Embalagens'!B:G,6,0)*H1635,"Matéria Prima Não Cadastrada")</f>
        <v>5.4879999999999995</v>
      </c>
      <c r="K1635" s="97">
        <f>IFERROR(J1635/(I1635/VLOOKUP(A1635,'Tabela de Produtos'!A:H,8,0)),"Matéria Prima Não Cadastrada")</f>
        <v>9.4984615384615376E-2</v>
      </c>
      <c r="L1635" s="216"/>
    </row>
    <row r="1636" spans="1:12" ht="15.75" customHeight="1">
      <c r="A1636" s="114" t="s">
        <v>363</v>
      </c>
      <c r="B1636" s="114" t="str">
        <f>VLOOKUP(A1636,'Tabela de Produtos'!A:B,2,0)</f>
        <v>BRAZIMIL BORRACHA LIQUIDA MULTIFUNÇÃO 3,6KG BRANCO NEVE</v>
      </c>
      <c r="C1636" s="48" t="s">
        <v>1209</v>
      </c>
      <c r="D1636" s="114" t="str">
        <f>VLOOKUP(C1636,'Custos Matéria Prima Embalagens'!B:C,2,0)</f>
        <v>WANFUNG WFT CE (BH-200)</v>
      </c>
      <c r="E1636" s="114" t="str">
        <f>VLOOKUP(C1636,'Custos Matéria Prima Embalagens'!B:D,3,0)</f>
        <v>FUNGICIDA</v>
      </c>
      <c r="F1636" s="270">
        <f t="shared" si="218"/>
        <v>207.9</v>
      </c>
      <c r="G1636" s="148">
        <f t="shared" si="219"/>
        <v>2.4050024050024051E-3</v>
      </c>
      <c r="H1636" s="276">
        <v>0.5</v>
      </c>
      <c r="I1636" s="272">
        <f>ROUND(F1636/VLOOKUP(A1636,'Tabela de Produtos'!A:J,10,0),0)</f>
        <v>208</v>
      </c>
      <c r="J1636" s="97">
        <f>IFERROR(VLOOKUP(C1636,'Custos Matéria Prima Embalagens'!B:G,6,0)*H1636,"Matéria Prima Não Cadastrada")</f>
        <v>3.5</v>
      </c>
      <c r="K1636" s="97">
        <f>IFERROR(J1636/(I1636/VLOOKUP(A1636,'Tabela de Produtos'!A:H,8,0)),"Matéria Prima Não Cadastrada")</f>
        <v>6.0576923076923077E-2</v>
      </c>
      <c r="L1636" s="216"/>
    </row>
    <row r="1637" spans="1:12" ht="15.75" customHeight="1">
      <c r="A1637" s="114" t="s">
        <v>363</v>
      </c>
      <c r="B1637" s="114" t="str">
        <f>VLOOKUP(A1637,'Tabela de Produtos'!A:B,2,0)</f>
        <v>BRAZIMIL BORRACHA LIQUIDA MULTIFUNÇÃO 3,6KG BRANCO NEVE</v>
      </c>
      <c r="C1637" s="48" t="s">
        <v>1213</v>
      </c>
      <c r="D1637" s="114" t="str">
        <f>VLOOKUP(C1637,'Custos Matéria Prima Embalagens'!B:C,2,0)</f>
        <v>DIOXIDO DE TITANIO RUTILO R-996</v>
      </c>
      <c r="E1637" s="114" t="str">
        <f>VLOOKUP(C1637,'Custos Matéria Prima Embalagens'!B:D,3,0)</f>
        <v>TITANIO</v>
      </c>
      <c r="F1637" s="270">
        <f t="shared" si="218"/>
        <v>207.9</v>
      </c>
      <c r="G1637" s="148">
        <f t="shared" si="219"/>
        <v>0.12025012025012025</v>
      </c>
      <c r="H1637" s="276">
        <v>25</v>
      </c>
      <c r="I1637" s="272">
        <f>ROUND(F1637/VLOOKUP(A1637,'Tabela de Produtos'!A:J,10,0),0)</f>
        <v>208</v>
      </c>
      <c r="J1637" s="97">
        <f>IFERROR(VLOOKUP(C1637,'Custos Matéria Prima Embalagens'!B:G,6,0)*H1637,"Matéria Prima Não Cadastrada")</f>
        <v>482.5</v>
      </c>
      <c r="K1637" s="97">
        <f>IFERROR(J1637/(I1637/VLOOKUP(A1637,'Tabela de Produtos'!A:H,8,0)),"Matéria Prima Não Cadastrada")</f>
        <v>8.3509615384615383</v>
      </c>
      <c r="L1637" s="216"/>
    </row>
    <row r="1638" spans="1:12" ht="15.75" customHeight="1">
      <c r="A1638" s="114" t="s">
        <v>363</v>
      </c>
      <c r="B1638" s="114" t="str">
        <f>VLOOKUP(A1638,'Tabela de Produtos'!A:B,2,0)</f>
        <v>BRAZIMIL BORRACHA LIQUIDA MULTIFUNÇÃO 3,6KG BRANCO NEVE</v>
      </c>
      <c r="C1638" s="48" t="s">
        <v>1211</v>
      </c>
      <c r="D1638" s="114" t="str">
        <f>VLOOKUP(C1638,'Custos Matéria Prima Embalagens'!B:C,2,0)</f>
        <v>WHITE PLUS PB (SC-25) (Em negociação)</v>
      </c>
      <c r="E1638" s="114" t="str">
        <f>VLOOKUP(C1638,'Custos Matéria Prima Embalagens'!B:D,3,0)</f>
        <v>WHITE PLUS</v>
      </c>
      <c r="F1638" s="270">
        <f t="shared" si="218"/>
        <v>207.9</v>
      </c>
      <c r="G1638" s="148">
        <f t="shared" si="219"/>
        <v>0.18037518037518038</v>
      </c>
      <c r="H1638" s="276">
        <v>37.5</v>
      </c>
      <c r="I1638" s="272">
        <f>ROUND(F1638/VLOOKUP(A1638,'Tabela de Produtos'!A:J,10,0),0)</f>
        <v>208</v>
      </c>
      <c r="J1638" s="97">
        <f>IFERROR(VLOOKUP(C1638,'Custos Matéria Prima Embalagens'!B:G,6,0)*H1638,"Matéria Prima Não Cadastrada")</f>
        <v>115.875</v>
      </c>
      <c r="K1638" s="97">
        <f>IFERROR(J1638/(I1638/VLOOKUP(A1638,'Tabela de Produtos'!A:H,8,0)),"Matéria Prima Não Cadastrada")</f>
        <v>2.0055288461538461</v>
      </c>
      <c r="L1638" s="216"/>
    </row>
    <row r="1639" spans="1:12" ht="15.75" customHeight="1">
      <c r="A1639" s="114" t="s">
        <v>363</v>
      </c>
      <c r="B1639" s="114" t="str">
        <f>VLOOKUP(A1639,'Tabela de Produtos'!A:B,2,0)</f>
        <v>BRAZIMIL BORRACHA LIQUIDA MULTIFUNÇÃO 3,6KG BRANCO NEVE</v>
      </c>
      <c r="C1639" s="48" t="s">
        <v>1215</v>
      </c>
      <c r="D1639" s="114" t="str">
        <f>VLOOKUP(C1639,'Custos Matéria Prima Embalagens'!B:C,2,0)</f>
        <v>CALCARIO DOLOMITICO #500 ( SACOS 25 KG)</v>
      </c>
      <c r="E1639" s="114" t="str">
        <f>VLOOKUP(C1639,'Custos Matéria Prima Embalagens'!B:D,3,0)</f>
        <v>CARBONATO #500</v>
      </c>
      <c r="F1639" s="270">
        <f t="shared" si="218"/>
        <v>207.9</v>
      </c>
      <c r="G1639" s="148">
        <f t="shared" si="219"/>
        <v>6.0125060125060123E-2</v>
      </c>
      <c r="H1639" s="276">
        <v>12.5</v>
      </c>
      <c r="I1639" s="272">
        <f>ROUND(F1639/VLOOKUP(A1639,'Tabela de Produtos'!A:J,10,0),0)</f>
        <v>208</v>
      </c>
      <c r="J1639" s="97">
        <f>IFERROR(VLOOKUP(C1639,'Custos Matéria Prima Embalagens'!B:G,6,0)*H1639,"Matéria Prima Não Cadastrada")</f>
        <v>10</v>
      </c>
      <c r="K1639" s="97">
        <f>IFERROR(J1639/(I1639/VLOOKUP(A1639,'Tabela de Produtos'!A:H,8,0)),"Matéria Prima Não Cadastrada")</f>
        <v>0.17307692307692307</v>
      </c>
      <c r="L1639" s="216"/>
    </row>
    <row r="1640" spans="1:12" ht="15.75" customHeight="1">
      <c r="A1640" s="114" t="s">
        <v>363</v>
      </c>
      <c r="B1640" s="114" t="str">
        <f>VLOOKUP(A1640,'Tabela de Produtos'!A:B,2,0)</f>
        <v>BRAZIMIL BORRACHA LIQUIDA MULTIFUNÇÃO 3,6KG BRANCO NEVE</v>
      </c>
      <c r="C1640" s="48" t="s">
        <v>1217</v>
      </c>
      <c r="D1640" s="114" t="str">
        <f>VLOOKUP(C1640,'Custos Matéria Prima Embalagens'!B:C,2,0)</f>
        <v>WANCRIL W 51 CE (CT-1000P)</v>
      </c>
      <c r="E1640" s="114" t="str">
        <f>VLOOKUP(C1640,'Custos Matéria Prima Embalagens'!B:D,3,0)</f>
        <v>RESINA ACRILICA ESTIRENADA</v>
      </c>
      <c r="F1640" s="270">
        <f t="shared" si="218"/>
        <v>207.9</v>
      </c>
      <c r="G1640" s="148">
        <f t="shared" si="219"/>
        <v>4.8100048100048101E-2</v>
      </c>
      <c r="H1640" s="276">
        <v>10</v>
      </c>
      <c r="I1640" s="272">
        <f>ROUND(F1640/VLOOKUP(A1640,'Tabela de Produtos'!A:J,10,0),0)</f>
        <v>208</v>
      </c>
      <c r="J1640" s="97">
        <f>IFERROR(VLOOKUP(C1640,'Custos Matéria Prima Embalagens'!B:G,6,0)*H1640,"Matéria Prima Não Cadastrada")</f>
        <v>84.3</v>
      </c>
      <c r="K1640" s="97">
        <f>IFERROR(J1640/(I1640/VLOOKUP(A1640,'Tabela de Produtos'!A:H,8,0)),"Matéria Prima Não Cadastrada")</f>
        <v>1.4590384615384615</v>
      </c>
      <c r="L1640" s="216"/>
    </row>
    <row r="1641" spans="1:12" ht="15.75" customHeight="1">
      <c r="A1641" s="114" t="s">
        <v>363</v>
      </c>
      <c r="B1641" s="114" t="str">
        <f>VLOOKUP(A1641,'Tabela de Produtos'!A:B,2,0)</f>
        <v>BRAZIMIL BORRACHA LIQUIDA MULTIFUNÇÃO 3,6KG BRANCO NEVE</v>
      </c>
      <c r="C1641" s="48" t="s">
        <v>1259</v>
      </c>
      <c r="D1641" s="114" t="str">
        <f>VLOOKUP(C1641,'Custos Matéria Prima Embalagens'!B:C,2,0)</f>
        <v>WANCRIL IMP 09 (BB-200)</v>
      </c>
      <c r="E1641" s="114" t="str">
        <f>VLOOKUP(C1641,'Custos Matéria Prima Embalagens'!B:D,3,0)</f>
        <v>RESINA ELASTOMERICA</v>
      </c>
      <c r="F1641" s="270">
        <f t="shared" si="218"/>
        <v>207.9</v>
      </c>
      <c r="G1641" s="148">
        <f t="shared" si="219"/>
        <v>0.28860028860028858</v>
      </c>
      <c r="H1641" s="276">
        <v>60</v>
      </c>
      <c r="I1641" s="272">
        <f>ROUND(F1641/VLOOKUP(A1641,'Tabela de Produtos'!A:J,10,0),0)</f>
        <v>208</v>
      </c>
      <c r="J1641" s="97">
        <f>IFERROR(VLOOKUP(C1641,'Custos Matéria Prima Embalagens'!B:G,6,0)*H1641,"Matéria Prima Não Cadastrada")</f>
        <v>704.485392202914</v>
      </c>
      <c r="K1641" s="97">
        <f>IFERROR(J1641/(I1641/VLOOKUP(A1641,'Tabela de Produtos'!A:H,8,0)),"Matéria Prima Não Cadastrada")</f>
        <v>12.193016403511972</v>
      </c>
      <c r="L1641" s="216"/>
    </row>
    <row r="1642" spans="1:12" ht="15.75" customHeight="1">
      <c r="A1642" s="114" t="s">
        <v>363</v>
      </c>
      <c r="B1642" s="114" t="str">
        <f>VLOOKUP(A1642,'Tabela de Produtos'!A:B,2,0)</f>
        <v>BRAZIMIL BORRACHA LIQUIDA MULTIFUNÇÃO 3,6KG BRANCO NEVE</v>
      </c>
      <c r="C1642" s="48" t="s">
        <v>1229</v>
      </c>
      <c r="D1642" s="114" t="str">
        <f>VLOOKUP(C1642,'Custos Matéria Prima Embalagens'!B:C,2,0)</f>
        <v>WANSOL 340 CE (BB-200)</v>
      </c>
      <c r="E1642" s="114" t="str">
        <f>VLOOKUP(C1642,'Custos Matéria Prima Embalagens'!B:D,3,0)</f>
        <v>COALESCENTE</v>
      </c>
      <c r="F1642" s="270">
        <f t="shared" si="218"/>
        <v>207.9</v>
      </c>
      <c r="G1642" s="148">
        <f t="shared" si="219"/>
        <v>9.6200096200096206E-3</v>
      </c>
      <c r="H1642" s="276">
        <v>2</v>
      </c>
      <c r="I1642" s="272">
        <f>ROUND(F1642/VLOOKUP(A1642,'Tabela de Produtos'!A:J,10,0),0)</f>
        <v>208</v>
      </c>
      <c r="J1642" s="97">
        <f>IFERROR(VLOOKUP(C1642,'Custos Matéria Prima Embalagens'!B:G,6,0)*H1642,"Matéria Prima Não Cadastrada")</f>
        <v>38.44</v>
      </c>
      <c r="K1642" s="97">
        <f>IFERROR(J1642/(I1642/VLOOKUP(A1642,'Tabela de Produtos'!A:H,8,0)),"Matéria Prima Não Cadastrada")</f>
        <v>0.66530769230769227</v>
      </c>
      <c r="L1642" s="216"/>
    </row>
    <row r="1643" spans="1:12" ht="15.75" customHeight="1">
      <c r="A1643" s="114" t="s">
        <v>363</v>
      </c>
      <c r="B1643" s="114" t="str">
        <f>VLOOKUP(A1643,'Tabela de Produtos'!A:B,2,0)</f>
        <v>BRAZIMIL BORRACHA LIQUIDA MULTIFUNÇÃO 3,6KG BRANCO NEVE</v>
      </c>
      <c r="C1643" s="48" t="s">
        <v>1261</v>
      </c>
      <c r="D1643" s="114" t="str">
        <f>VLOOKUP(C1643,'Custos Matéria Prima Embalagens'!B:C,2,0)</f>
        <v>WANCOAT PA70 (BR-45)</v>
      </c>
      <c r="E1643" s="114" t="str">
        <f>VLOOKUP(C1643,'Custos Matéria Prima Embalagens'!B:D,3,0)</f>
        <v>HIDROREPELENTE BASE AGUA</v>
      </c>
      <c r="F1643" s="270">
        <f t="shared" si="218"/>
        <v>207.9</v>
      </c>
      <c r="G1643" s="148">
        <f t="shared" si="219"/>
        <v>2.886002886002886E-2</v>
      </c>
      <c r="H1643" s="276">
        <v>6</v>
      </c>
      <c r="I1643" s="272">
        <f>ROUND(F1643/VLOOKUP(A1643,'Tabela de Produtos'!A:J,10,0),0)</f>
        <v>208</v>
      </c>
      <c r="J1643" s="97">
        <f>IFERROR(VLOOKUP(C1643,'Custos Matéria Prima Embalagens'!B:G,6,0)*H1643,"Matéria Prima Não Cadastrada")</f>
        <v>188.58853922029141</v>
      </c>
      <c r="K1643" s="97">
        <f>IFERROR(J1643/(I1643/VLOOKUP(A1643,'Tabela de Produtos'!A:H,8,0)),"Matéria Prima Não Cadastrada")</f>
        <v>3.2640324095819668</v>
      </c>
      <c r="L1643" s="216"/>
    </row>
    <row r="1644" spans="1:12" ht="15.75" customHeight="1">
      <c r="A1644" s="114" t="s">
        <v>363</v>
      </c>
      <c r="B1644" s="114" t="str">
        <f>VLOOKUP(A1644,'Tabela de Produtos'!A:B,2,0)</f>
        <v>BRAZIMIL BORRACHA LIQUIDA MULTIFUNÇÃO 3,6KG BRANCO NEVE</v>
      </c>
      <c r="C1644" s="48" t="s">
        <v>1219</v>
      </c>
      <c r="D1644" s="114" t="str">
        <f>VLOOKUP(C1644,'Custos Matéria Prima Embalagens'!B:C,2,0)</f>
        <v>WANALK 70 CE (BH-200)</v>
      </c>
      <c r="E1644" s="114" t="str">
        <f>VLOOKUP(C1644,'Custos Matéria Prima Embalagens'!B:D,3,0)</f>
        <v>ALCALINIZANTE</v>
      </c>
      <c r="F1644" s="270">
        <f t="shared" si="218"/>
        <v>207.9</v>
      </c>
      <c r="G1644" s="148">
        <f t="shared" si="219"/>
        <v>2.886002886002886E-3</v>
      </c>
      <c r="H1644" s="276">
        <v>0.6</v>
      </c>
      <c r="I1644" s="272">
        <f>ROUND(F1644/VLOOKUP(A1644,'Tabela de Produtos'!A:J,10,0),0)</f>
        <v>208</v>
      </c>
      <c r="J1644" s="97">
        <f>IFERROR(VLOOKUP(C1644,'Custos Matéria Prima Embalagens'!B:G,6,0)*H1644,"Matéria Prima Não Cadastrada")</f>
        <v>2.988</v>
      </c>
      <c r="K1644" s="97">
        <f>IFERROR(J1644/(I1644/VLOOKUP(A1644,'Tabela de Produtos'!A:H,8,0)),"Matéria Prima Não Cadastrada")</f>
        <v>5.1715384615384614E-2</v>
      </c>
      <c r="L1644" s="216"/>
    </row>
    <row r="1645" spans="1:12" ht="15.75" customHeight="1">
      <c r="A1645" s="114" t="s">
        <v>363</v>
      </c>
      <c r="B1645" s="114" t="str">
        <f>VLOOKUP(A1645,'Tabela de Produtos'!A:B,2,0)</f>
        <v>BRAZIMIL BORRACHA LIQUIDA MULTIFUNÇÃO 3,6KG BRANCO NEVE</v>
      </c>
      <c r="C1645" s="48" t="s">
        <v>1221</v>
      </c>
      <c r="D1645" s="114" t="str">
        <f>VLOOKUP(C1645,'Custos Matéria Prima Embalagens'!B:C,2,0)</f>
        <v>MODIWAN 105H CE (CT-1000P)</v>
      </c>
      <c r="E1645" s="114" t="str">
        <f>VLOOKUP(C1645,'Custos Matéria Prima Embalagens'!B:D,3,0)</f>
        <v>ESPESSANTE DE MEDIA</v>
      </c>
      <c r="F1645" s="270">
        <f t="shared" si="218"/>
        <v>207.9</v>
      </c>
      <c r="G1645" s="148">
        <f t="shared" si="219"/>
        <v>7.215007215007215E-3</v>
      </c>
      <c r="H1645" s="276">
        <v>1.5</v>
      </c>
      <c r="I1645" s="272">
        <f>ROUND(F1645/VLOOKUP(A1645,'Tabela de Produtos'!A:J,10,0),0)</f>
        <v>208</v>
      </c>
      <c r="J1645" s="97">
        <f>IFERROR(VLOOKUP(C1645,'Custos Matéria Prima Embalagens'!B:G,6,0)*H1645,"Matéria Prima Não Cadastrada")</f>
        <v>11.857499999999998</v>
      </c>
      <c r="K1645" s="97">
        <f>IFERROR(J1645/(I1645/VLOOKUP(A1645,'Tabela de Produtos'!A:H,8,0)),"Matéria Prima Não Cadastrada")</f>
        <v>0.20522596153846151</v>
      </c>
      <c r="L1645" s="216"/>
    </row>
    <row r="1646" spans="1:12" ht="15.75" customHeight="1">
      <c r="D1646" s="114"/>
      <c r="E1646" s="114"/>
      <c r="F1646" s="96"/>
      <c r="G1646" s="148"/>
      <c r="H1646" s="96"/>
      <c r="I1646" s="272"/>
      <c r="J1646" s="97"/>
      <c r="K1646" s="97"/>
      <c r="L1646" s="216"/>
    </row>
    <row r="1647" spans="1:12" ht="15.75" customHeight="1">
      <c r="A1647" s="114" t="s">
        <v>364</v>
      </c>
      <c r="B1647" s="114" t="str">
        <f>VLOOKUP(A1647,'Tabela de Produtos'!A:B,2,0)</f>
        <v>BRAZIMIL BORRACHA LIQUIDA MULTIFUNÇÃO 3,6KG CINZA MEDIO</v>
      </c>
      <c r="C1647" s="48" t="s">
        <v>1197</v>
      </c>
      <c r="D1647" s="114" t="str">
        <f>VLOOKUP(C1647,'Custos Matéria Prima Embalagens'!B:C,2,0)</f>
        <v>AGUA</v>
      </c>
      <c r="E1647" s="114" t="str">
        <f>VLOOKUP(C1647,'Custos Matéria Prima Embalagens'!B:D,3,0)</f>
        <v>AGUA</v>
      </c>
      <c r="F1647" s="270">
        <f t="shared" ref="F1647:F1662" si="220">SUMIFS(H:H,A:A,A1647)</f>
        <v>2084</v>
      </c>
      <c r="G1647" s="148">
        <f t="shared" ref="G1647:G1662" si="221">H1647/F1647</f>
        <v>0.23992322456813819</v>
      </c>
      <c r="H1647" s="276">
        <v>500</v>
      </c>
      <c r="I1647" s="272">
        <f>ROUND(F1647/VLOOKUP(A1647,'Tabela de Produtos'!A:J,10,0),0)</f>
        <v>2084</v>
      </c>
      <c r="J1647" s="97">
        <f>IFERROR(VLOOKUP(C1647,'Custos Matéria Prima Embalagens'!B:G,6,0)*H1647,"Matéria Prima Não Cadastrada")</f>
        <v>0</v>
      </c>
      <c r="K1647" s="97">
        <f>IFERROR(J1647/(I1647/VLOOKUP(A1647,'Tabela de Produtos'!A:H,8,0)),"Matéria Prima Não Cadastrada")</f>
        <v>0</v>
      </c>
      <c r="L1647" s="216"/>
    </row>
    <row r="1648" spans="1:12" ht="15.75" customHeight="1">
      <c r="A1648" s="114" t="s">
        <v>364</v>
      </c>
      <c r="B1648" s="114" t="str">
        <f>VLOOKUP(A1648,'Tabela de Produtos'!A:B,2,0)</f>
        <v>BRAZIMIL BORRACHA LIQUIDA MULTIFUNÇÃO 3,6KG CINZA MEDIO</v>
      </c>
      <c r="C1648" s="48" t="s">
        <v>1199</v>
      </c>
      <c r="D1648" s="114" t="str">
        <f>VLOOKUP(C1648,'Custos Matéria Prima Embalagens'!B:C,2,0)</f>
        <v>HEXAMETAFOSFATO DE SODIO</v>
      </c>
      <c r="E1648" s="114" t="str">
        <f>VLOOKUP(C1648,'Custos Matéria Prima Embalagens'!B:D,3,0)</f>
        <v>HEXAMETAFOSFATO DE SODIO</v>
      </c>
      <c r="F1648" s="270">
        <f t="shared" si="220"/>
        <v>2084</v>
      </c>
      <c r="G1648" s="148">
        <f t="shared" si="221"/>
        <v>4.7984644913627637E-4</v>
      </c>
      <c r="H1648" s="276">
        <v>1</v>
      </c>
      <c r="I1648" s="272">
        <f>ROUND(F1648/VLOOKUP(A1648,'Tabela de Produtos'!A:J,10,0),0)</f>
        <v>2084</v>
      </c>
      <c r="J1648" s="97">
        <f>IFERROR(VLOOKUP(C1648,'Custos Matéria Prima Embalagens'!B:G,6,0)*H1648,"Matéria Prima Não Cadastrada")</f>
        <v>17.939999999999998</v>
      </c>
      <c r="K1648" s="97">
        <f>IFERROR(J1648/(I1648/VLOOKUP(A1648,'Tabela de Produtos'!A:H,8,0)),"Matéria Prima Não Cadastrada")</f>
        <v>3.0990403071017268E-2</v>
      </c>
      <c r="L1648" s="216"/>
    </row>
    <row r="1649" spans="1:12" ht="15.75" customHeight="1">
      <c r="A1649" s="114" t="s">
        <v>364</v>
      </c>
      <c r="B1649" s="114" t="str">
        <f>VLOOKUP(A1649,'Tabela de Produtos'!A:B,2,0)</f>
        <v>BRAZIMIL BORRACHA LIQUIDA MULTIFUNÇÃO 3,6KG CINZA MEDIO</v>
      </c>
      <c r="C1649" s="48" t="s">
        <v>1257</v>
      </c>
      <c r="D1649" s="114" t="str">
        <f>VLOOKUP(C1649,'Custos Matéria Prima Embalagens'!B:C,2,0)</f>
        <v>WANCOAT 520 (BR-45)</v>
      </c>
      <c r="E1649" s="114" t="str">
        <f>VLOOKUP(C1649,'Custos Matéria Prima Embalagens'!B:D,3,0)</f>
        <v>ANTI ESPUMA ESM BASE AGUA</v>
      </c>
      <c r="F1649" s="270">
        <f t="shared" si="220"/>
        <v>2084</v>
      </c>
      <c r="G1649" s="148">
        <f t="shared" si="221"/>
        <v>1.9193857965451055E-3</v>
      </c>
      <c r="H1649" s="276">
        <v>4</v>
      </c>
      <c r="I1649" s="272">
        <f>ROUND(F1649/VLOOKUP(A1649,'Tabela de Produtos'!A:J,10,0),0)</f>
        <v>2084</v>
      </c>
      <c r="J1649" s="97">
        <f>IFERROR(VLOOKUP(C1649,'Custos Matéria Prima Embalagens'!B:G,6,0)*H1649,"Matéria Prima Não Cadastrada")</f>
        <v>47.045692813527602</v>
      </c>
      <c r="K1649" s="97">
        <f>IFERROR(J1649/(I1649/VLOOKUP(A1649,'Tabela de Produtos'!A:H,8,0)),"Matéria Prima Não Cadastrada")</f>
        <v>8.1268951117418123E-2</v>
      </c>
      <c r="L1649" s="216"/>
    </row>
    <row r="1650" spans="1:12" ht="15.75" customHeight="1">
      <c r="A1650" s="114" t="s">
        <v>364</v>
      </c>
      <c r="B1650" s="114" t="str">
        <f>VLOOKUP(A1650,'Tabela de Produtos'!A:B,2,0)</f>
        <v>BRAZIMIL BORRACHA LIQUIDA MULTIFUNÇÃO 3,6KG CINZA MEDIO</v>
      </c>
      <c r="C1650" s="48" t="s">
        <v>1203</v>
      </c>
      <c r="D1650" s="114" t="str">
        <f>VLOOKUP(C1650,'Custos Matéria Prima Embalagens'!B:C,2,0)</f>
        <v>WANBAC WBT CE (BH-200)</v>
      </c>
      <c r="E1650" s="114" t="str">
        <f>VLOOKUP(C1650,'Custos Matéria Prima Embalagens'!B:D,3,0)</f>
        <v>BACTERICIDA</v>
      </c>
      <c r="F1650" s="270">
        <f t="shared" si="220"/>
        <v>2084</v>
      </c>
      <c r="G1650" s="148">
        <f t="shared" si="221"/>
        <v>1.9193857965451055E-3</v>
      </c>
      <c r="H1650" s="276">
        <v>4</v>
      </c>
      <c r="I1650" s="272">
        <f>ROUND(F1650/VLOOKUP(A1650,'Tabela de Produtos'!A:J,10,0),0)</f>
        <v>2084</v>
      </c>
      <c r="J1650" s="97">
        <f>IFERROR(VLOOKUP(C1650,'Custos Matéria Prima Embalagens'!B:G,6,0)*H1650,"Matéria Prima Não Cadastrada")</f>
        <v>19.759999999999998</v>
      </c>
      <c r="K1650" s="97">
        <f>IFERROR(J1650/(I1650/VLOOKUP(A1650,'Tabela de Produtos'!A:H,8,0)),"Matéria Prima Não Cadastrada")</f>
        <v>3.4134357005758155E-2</v>
      </c>
      <c r="L1650" s="216"/>
    </row>
    <row r="1651" spans="1:12" ht="15.75" customHeight="1">
      <c r="A1651" s="114" t="s">
        <v>364</v>
      </c>
      <c r="B1651" s="114" t="str">
        <f>VLOOKUP(A1651,'Tabela de Produtos'!A:B,2,0)</f>
        <v>BRAZIMIL BORRACHA LIQUIDA MULTIFUNÇÃO 3,6KG CINZA MEDIO</v>
      </c>
      <c r="C1651" s="48" t="s">
        <v>1205</v>
      </c>
      <c r="D1651" s="114" t="str">
        <f>VLOOKUP(C1651,'Custos Matéria Prima Embalagens'!B:C,2,0)</f>
        <v>WANSUR 840 CE (BB-200)01</v>
      </c>
      <c r="E1651" s="114" t="str">
        <f>VLOOKUP(C1651,'Custos Matéria Prima Embalagens'!B:D,3,0)</f>
        <v>UMECTANTE</v>
      </c>
      <c r="F1651" s="270">
        <f t="shared" si="220"/>
        <v>2084</v>
      </c>
      <c r="G1651" s="148">
        <f t="shared" si="221"/>
        <v>2.8790786948176585E-3</v>
      </c>
      <c r="H1651" s="276">
        <v>6</v>
      </c>
      <c r="I1651" s="272">
        <f>ROUND(F1651/VLOOKUP(A1651,'Tabela de Produtos'!A:J,10,0),0)</f>
        <v>2084</v>
      </c>
      <c r="J1651" s="97">
        <f>IFERROR(VLOOKUP(C1651,'Custos Matéria Prima Embalagens'!B:G,6,0)*H1651,"Matéria Prima Não Cadastrada")</f>
        <v>43.980000000000004</v>
      </c>
      <c r="K1651" s="97">
        <f>IFERROR(J1651/(I1651/VLOOKUP(A1651,'Tabela de Produtos'!A:H,8,0)),"Matéria Prima Não Cadastrada")</f>
        <v>7.5973128598848375E-2</v>
      </c>
      <c r="L1651" s="216"/>
    </row>
    <row r="1652" spans="1:12" ht="15.75" customHeight="1">
      <c r="A1652" s="114" t="s">
        <v>364</v>
      </c>
      <c r="B1652" s="114" t="str">
        <f>VLOOKUP(A1652,'Tabela de Produtos'!A:B,2,0)</f>
        <v>BRAZIMIL BORRACHA LIQUIDA MULTIFUNÇÃO 3,6KG CINZA MEDIO</v>
      </c>
      <c r="C1652" s="48" t="s">
        <v>1207</v>
      </c>
      <c r="D1652" s="114" t="str">
        <f>VLOOKUP(C1652,'Custos Matéria Prima Embalagens'!B:C,2,0)</f>
        <v>WANPEX 1510 (BB-200)</v>
      </c>
      <c r="E1652" s="114" t="str">
        <f>VLOOKUP(C1652,'Custos Matéria Prima Embalagens'!B:D,3,0)</f>
        <v>DISPERSANTE LATEX</v>
      </c>
      <c r="F1652" s="270">
        <f t="shared" si="220"/>
        <v>2084</v>
      </c>
      <c r="G1652" s="148">
        <f t="shared" si="221"/>
        <v>3.838771593090211E-3</v>
      </c>
      <c r="H1652" s="276">
        <v>8</v>
      </c>
      <c r="I1652" s="272">
        <f>ROUND(F1652/VLOOKUP(A1652,'Tabela de Produtos'!A:J,10,0),0)</f>
        <v>2084</v>
      </c>
      <c r="J1652" s="97">
        <f>IFERROR(VLOOKUP(C1652,'Custos Matéria Prima Embalagens'!B:G,6,0)*H1652,"Matéria Prima Não Cadastrada")</f>
        <v>54.879999999999995</v>
      </c>
      <c r="K1652" s="97">
        <f>IFERROR(J1652/(I1652/VLOOKUP(A1652,'Tabela de Produtos'!A:H,8,0)),"Matéria Prima Não Cadastrada")</f>
        <v>9.4802303262955842E-2</v>
      </c>
      <c r="L1652" s="216"/>
    </row>
    <row r="1653" spans="1:12" ht="15.75" customHeight="1">
      <c r="A1653" s="114" t="s">
        <v>364</v>
      </c>
      <c r="B1653" s="114" t="str">
        <f>VLOOKUP(A1653,'Tabela de Produtos'!A:B,2,0)</f>
        <v>BRAZIMIL BORRACHA LIQUIDA MULTIFUNÇÃO 3,6KG CINZA MEDIO</v>
      </c>
      <c r="C1653" s="48" t="s">
        <v>1209</v>
      </c>
      <c r="D1653" s="114" t="str">
        <f>VLOOKUP(C1653,'Custos Matéria Prima Embalagens'!B:C,2,0)</f>
        <v>WANFUNG WFT CE (BH-200)</v>
      </c>
      <c r="E1653" s="114" t="str">
        <f>VLOOKUP(C1653,'Custos Matéria Prima Embalagens'!B:D,3,0)</f>
        <v>FUNGICIDA</v>
      </c>
      <c r="F1653" s="270">
        <f t="shared" si="220"/>
        <v>2084</v>
      </c>
      <c r="G1653" s="148">
        <f t="shared" si="221"/>
        <v>2.3992322456813818E-3</v>
      </c>
      <c r="H1653" s="276">
        <v>5</v>
      </c>
      <c r="I1653" s="272">
        <f>ROUND(F1653/VLOOKUP(A1653,'Tabela de Produtos'!A:J,10,0),0)</f>
        <v>2084</v>
      </c>
      <c r="J1653" s="97">
        <f>IFERROR(VLOOKUP(C1653,'Custos Matéria Prima Embalagens'!B:G,6,0)*H1653,"Matéria Prima Não Cadastrada")</f>
        <v>35</v>
      </c>
      <c r="K1653" s="97">
        <f>IFERROR(J1653/(I1653/VLOOKUP(A1653,'Tabela de Produtos'!A:H,8,0)),"Matéria Prima Não Cadastrada")</f>
        <v>6.0460652591170824E-2</v>
      </c>
      <c r="L1653" s="216"/>
    </row>
    <row r="1654" spans="1:12" ht="15.75" customHeight="1">
      <c r="A1654" s="114" t="s">
        <v>364</v>
      </c>
      <c r="B1654" s="114" t="str">
        <f>VLOOKUP(A1654,'Tabela de Produtos'!A:B,2,0)</f>
        <v>BRAZIMIL BORRACHA LIQUIDA MULTIFUNÇÃO 3,6KG CINZA MEDIO</v>
      </c>
      <c r="C1654" s="48" t="s">
        <v>1213</v>
      </c>
      <c r="D1654" s="114" t="str">
        <f>VLOOKUP(C1654,'Custos Matéria Prima Embalagens'!B:C,2,0)</f>
        <v>DIOXIDO DE TITANIO RUTILO R-996</v>
      </c>
      <c r="E1654" s="114" t="str">
        <f>VLOOKUP(C1654,'Custos Matéria Prima Embalagens'!B:D,3,0)</f>
        <v>TITANIO</v>
      </c>
      <c r="F1654" s="270">
        <f t="shared" si="220"/>
        <v>2084</v>
      </c>
      <c r="G1654" s="148">
        <f t="shared" si="221"/>
        <v>0.1199616122840691</v>
      </c>
      <c r="H1654" s="276">
        <v>250</v>
      </c>
      <c r="I1654" s="272">
        <f>ROUND(F1654/VLOOKUP(A1654,'Tabela de Produtos'!A:J,10,0),0)</f>
        <v>2084</v>
      </c>
      <c r="J1654" s="97">
        <f>IFERROR(VLOOKUP(C1654,'Custos Matéria Prima Embalagens'!B:G,6,0)*H1654,"Matéria Prima Não Cadastrada")</f>
        <v>4825</v>
      </c>
      <c r="K1654" s="97">
        <f>IFERROR(J1654/(I1654/VLOOKUP(A1654,'Tabela de Produtos'!A:H,8,0)),"Matéria Prima Não Cadastrada")</f>
        <v>8.3349328214971212</v>
      </c>
      <c r="L1654" s="216"/>
    </row>
    <row r="1655" spans="1:12" ht="15.75" customHeight="1">
      <c r="A1655" s="114" t="s">
        <v>364</v>
      </c>
      <c r="B1655" s="114" t="str">
        <f>VLOOKUP(A1655,'Tabela de Produtos'!A:B,2,0)</f>
        <v>BRAZIMIL BORRACHA LIQUIDA MULTIFUNÇÃO 3,6KG CINZA MEDIO</v>
      </c>
      <c r="C1655" s="48" t="s">
        <v>1211</v>
      </c>
      <c r="D1655" s="114" t="str">
        <f>VLOOKUP(C1655,'Custos Matéria Prima Embalagens'!B:C,2,0)</f>
        <v>WHITE PLUS PB (SC-25) (Em negociação)</v>
      </c>
      <c r="E1655" s="114" t="str">
        <f>VLOOKUP(C1655,'Custos Matéria Prima Embalagens'!B:D,3,0)</f>
        <v>WHITE PLUS</v>
      </c>
      <c r="F1655" s="270">
        <f t="shared" si="220"/>
        <v>2084</v>
      </c>
      <c r="G1655" s="148">
        <f t="shared" si="221"/>
        <v>0.19193857965451055</v>
      </c>
      <c r="H1655" s="276">
        <v>400</v>
      </c>
      <c r="I1655" s="272">
        <f>ROUND(F1655/VLOOKUP(A1655,'Tabela de Produtos'!A:J,10,0),0)</f>
        <v>2084</v>
      </c>
      <c r="J1655" s="97">
        <f>IFERROR(VLOOKUP(C1655,'Custos Matéria Prima Embalagens'!B:G,6,0)*H1655,"Matéria Prima Não Cadastrada")</f>
        <v>1236</v>
      </c>
      <c r="K1655" s="97">
        <f>IFERROR(J1655/(I1655/VLOOKUP(A1655,'Tabela de Produtos'!A:H,8,0)),"Matéria Prima Não Cadastrada")</f>
        <v>2.1351247600767755</v>
      </c>
      <c r="L1655" s="216"/>
    </row>
    <row r="1656" spans="1:12" ht="15.75" customHeight="1">
      <c r="A1656" s="114" t="s">
        <v>364</v>
      </c>
      <c r="B1656" s="114" t="str">
        <f>VLOOKUP(A1656,'Tabela de Produtos'!A:B,2,0)</f>
        <v>BRAZIMIL BORRACHA LIQUIDA MULTIFUNÇÃO 3,6KG CINZA MEDIO</v>
      </c>
      <c r="C1656" s="48" t="s">
        <v>1215</v>
      </c>
      <c r="D1656" s="114" t="str">
        <f>VLOOKUP(C1656,'Custos Matéria Prima Embalagens'!B:C,2,0)</f>
        <v>CALCARIO DOLOMITICO #500 ( SACOS 25 KG)</v>
      </c>
      <c r="E1656" s="114" t="str">
        <f>VLOOKUP(C1656,'Custos Matéria Prima Embalagens'!B:D,3,0)</f>
        <v>CARBONATO #500</v>
      </c>
      <c r="F1656" s="270">
        <f t="shared" si="220"/>
        <v>2084</v>
      </c>
      <c r="G1656" s="148">
        <f t="shared" si="221"/>
        <v>4.7984644913627639E-2</v>
      </c>
      <c r="H1656" s="276">
        <v>100</v>
      </c>
      <c r="I1656" s="272">
        <f>ROUND(F1656/VLOOKUP(A1656,'Tabela de Produtos'!A:J,10,0),0)</f>
        <v>2084</v>
      </c>
      <c r="J1656" s="97">
        <f>IFERROR(VLOOKUP(C1656,'Custos Matéria Prima Embalagens'!B:G,6,0)*H1656,"Matéria Prima Não Cadastrada")</f>
        <v>80</v>
      </c>
      <c r="K1656" s="97">
        <f>IFERROR(J1656/(I1656/VLOOKUP(A1656,'Tabela de Produtos'!A:H,8,0)),"Matéria Prima Não Cadastrada")</f>
        <v>0.13819577735124761</v>
      </c>
      <c r="L1656" s="216"/>
    </row>
    <row r="1657" spans="1:12" ht="15.75" customHeight="1">
      <c r="A1657" s="114" t="s">
        <v>364</v>
      </c>
      <c r="B1657" s="114" t="str">
        <f>VLOOKUP(A1657,'Tabela de Produtos'!A:B,2,0)</f>
        <v>BRAZIMIL BORRACHA LIQUIDA MULTIFUNÇÃO 3,6KG CINZA MEDIO</v>
      </c>
      <c r="C1657" s="48" t="s">
        <v>1217</v>
      </c>
      <c r="D1657" s="114" t="str">
        <f>VLOOKUP(C1657,'Custos Matéria Prima Embalagens'!B:C,2,0)</f>
        <v>WANCRIL W 51 CE (CT-1000P)</v>
      </c>
      <c r="E1657" s="114" t="str">
        <f>VLOOKUP(C1657,'Custos Matéria Prima Embalagens'!B:D,3,0)</f>
        <v>RESINA ACRILICA ESTIRENADA</v>
      </c>
      <c r="F1657" s="270">
        <f t="shared" si="220"/>
        <v>2084</v>
      </c>
      <c r="G1657" s="148">
        <f t="shared" si="221"/>
        <v>4.7984644913627639E-2</v>
      </c>
      <c r="H1657" s="276">
        <v>100</v>
      </c>
      <c r="I1657" s="272">
        <f>ROUND(F1657/VLOOKUP(A1657,'Tabela de Produtos'!A:J,10,0),0)</f>
        <v>2084</v>
      </c>
      <c r="J1657" s="97">
        <f>IFERROR(VLOOKUP(C1657,'Custos Matéria Prima Embalagens'!B:G,6,0)*H1657,"Matéria Prima Não Cadastrada")</f>
        <v>843</v>
      </c>
      <c r="K1657" s="97">
        <f>IFERROR(J1657/(I1657/VLOOKUP(A1657,'Tabela de Produtos'!A:H,8,0)),"Matéria Prima Não Cadastrada")</f>
        <v>1.4562380038387714</v>
      </c>
      <c r="L1657" s="216"/>
    </row>
    <row r="1658" spans="1:12" ht="15.75" customHeight="1">
      <c r="A1658" s="114" t="s">
        <v>364</v>
      </c>
      <c r="B1658" s="114" t="str">
        <f>VLOOKUP(A1658,'Tabela de Produtos'!A:B,2,0)</f>
        <v>BRAZIMIL BORRACHA LIQUIDA MULTIFUNÇÃO 3,6KG CINZA MEDIO</v>
      </c>
      <c r="C1658" s="48" t="s">
        <v>1259</v>
      </c>
      <c r="D1658" s="114" t="str">
        <f>VLOOKUP(C1658,'Custos Matéria Prima Embalagens'!B:C,2,0)</f>
        <v>WANCRIL IMP 09 (BB-200)</v>
      </c>
      <c r="E1658" s="114" t="str">
        <f>VLOOKUP(C1658,'Custos Matéria Prima Embalagens'!B:D,3,0)</f>
        <v>RESINA ELASTOMERICA</v>
      </c>
      <c r="F1658" s="270">
        <f t="shared" si="220"/>
        <v>2084</v>
      </c>
      <c r="G1658" s="148">
        <f t="shared" si="221"/>
        <v>0.28790786948176583</v>
      </c>
      <c r="H1658" s="276">
        <v>600</v>
      </c>
      <c r="I1658" s="272">
        <f>ROUND(F1658/VLOOKUP(A1658,'Tabela de Produtos'!A:J,10,0),0)</f>
        <v>2084</v>
      </c>
      <c r="J1658" s="97">
        <f>IFERROR(VLOOKUP(C1658,'Custos Matéria Prima Embalagens'!B:G,6,0)*H1658,"Matéria Prima Não Cadastrada")</f>
        <v>7044.8539220291395</v>
      </c>
      <c r="K1658" s="97">
        <f>IFERROR(J1658/(I1658/VLOOKUP(A1658,'Tabela de Produtos'!A:H,8,0)),"Matéria Prima Não Cadastrada")</f>
        <v>12.169613301010029</v>
      </c>
      <c r="L1658" s="216"/>
    </row>
    <row r="1659" spans="1:12" ht="15.75" customHeight="1">
      <c r="A1659" s="114" t="s">
        <v>364</v>
      </c>
      <c r="B1659" s="114" t="str">
        <f>VLOOKUP(A1659,'Tabela de Produtos'!A:B,2,0)</f>
        <v>BRAZIMIL BORRACHA LIQUIDA MULTIFUNÇÃO 3,6KG CINZA MEDIO</v>
      </c>
      <c r="C1659" s="48" t="s">
        <v>1229</v>
      </c>
      <c r="D1659" s="114" t="str">
        <f>VLOOKUP(C1659,'Custos Matéria Prima Embalagens'!B:C,2,0)</f>
        <v>WANSOL 340 CE (BB-200)</v>
      </c>
      <c r="E1659" s="114" t="str">
        <f>VLOOKUP(C1659,'Custos Matéria Prima Embalagens'!B:D,3,0)</f>
        <v>COALESCENTE</v>
      </c>
      <c r="F1659" s="270">
        <f t="shared" si="220"/>
        <v>2084</v>
      </c>
      <c r="G1659" s="148">
        <f t="shared" si="221"/>
        <v>9.5969289827255271E-3</v>
      </c>
      <c r="H1659" s="276">
        <v>20</v>
      </c>
      <c r="I1659" s="272">
        <f>ROUND(F1659/VLOOKUP(A1659,'Tabela de Produtos'!A:J,10,0),0)</f>
        <v>2084</v>
      </c>
      <c r="J1659" s="97">
        <f>IFERROR(VLOOKUP(C1659,'Custos Matéria Prima Embalagens'!B:G,6,0)*H1659,"Matéria Prima Não Cadastrada")</f>
        <v>384.4</v>
      </c>
      <c r="K1659" s="97">
        <f>IFERROR(J1659/(I1659/VLOOKUP(A1659,'Tabela de Produtos'!A:H,8,0)),"Matéria Prima Não Cadastrada")</f>
        <v>0.66403071017274462</v>
      </c>
      <c r="L1659" s="216"/>
    </row>
    <row r="1660" spans="1:12" ht="15.75" customHeight="1">
      <c r="A1660" s="114" t="s">
        <v>364</v>
      </c>
      <c r="B1660" s="114" t="str">
        <f>VLOOKUP(A1660,'Tabela de Produtos'!A:B,2,0)</f>
        <v>BRAZIMIL BORRACHA LIQUIDA MULTIFUNÇÃO 3,6KG CINZA MEDIO</v>
      </c>
      <c r="C1660" s="48" t="s">
        <v>1261</v>
      </c>
      <c r="D1660" s="114" t="str">
        <f>VLOOKUP(C1660,'Custos Matéria Prima Embalagens'!B:C,2,0)</f>
        <v>WANCOAT PA70 (BR-45)</v>
      </c>
      <c r="E1660" s="114" t="str">
        <f>VLOOKUP(C1660,'Custos Matéria Prima Embalagens'!B:D,3,0)</f>
        <v>HIDROREPELENTE BASE AGUA</v>
      </c>
      <c r="F1660" s="270">
        <f t="shared" si="220"/>
        <v>2084</v>
      </c>
      <c r="G1660" s="148">
        <f t="shared" si="221"/>
        <v>2.8790786948176585E-2</v>
      </c>
      <c r="H1660" s="276">
        <v>60</v>
      </c>
      <c r="I1660" s="272">
        <f>ROUND(F1660/VLOOKUP(A1660,'Tabela de Produtos'!A:J,10,0),0)</f>
        <v>2084</v>
      </c>
      <c r="J1660" s="97">
        <f>IFERROR(VLOOKUP(C1660,'Custos Matéria Prima Embalagens'!B:G,6,0)*H1660,"Matéria Prima Não Cadastrada")</f>
        <v>1885.8853922029141</v>
      </c>
      <c r="K1660" s="97">
        <f>IFERROR(J1660/(I1660/VLOOKUP(A1660,'Tabela de Produtos'!A:H,8,0)),"Matéria Prima Não Cadastrada")</f>
        <v>3.2577674721355518</v>
      </c>
      <c r="L1660" s="216"/>
    </row>
    <row r="1661" spans="1:12" ht="15.75" customHeight="1">
      <c r="A1661" s="114" t="s">
        <v>364</v>
      </c>
      <c r="B1661" s="114" t="str">
        <f>VLOOKUP(A1661,'Tabela de Produtos'!A:B,2,0)</f>
        <v>BRAZIMIL BORRACHA LIQUIDA MULTIFUNÇÃO 3,6KG CINZA MEDIO</v>
      </c>
      <c r="C1661" s="48" t="s">
        <v>1219</v>
      </c>
      <c r="D1661" s="114" t="str">
        <f>VLOOKUP(C1661,'Custos Matéria Prima Embalagens'!B:C,2,0)</f>
        <v>WANALK 70 CE (BH-200)</v>
      </c>
      <c r="E1661" s="114" t="str">
        <f>VLOOKUP(C1661,'Custos Matéria Prima Embalagens'!B:D,3,0)</f>
        <v>ALCALINIZANTE</v>
      </c>
      <c r="F1661" s="270">
        <f t="shared" si="220"/>
        <v>2084</v>
      </c>
      <c r="G1661" s="148">
        <f t="shared" si="221"/>
        <v>2.8790786948176585E-3</v>
      </c>
      <c r="H1661" s="276">
        <v>6</v>
      </c>
      <c r="I1661" s="272">
        <f>ROUND(F1661/VLOOKUP(A1661,'Tabela de Produtos'!A:J,10,0),0)</f>
        <v>2084</v>
      </c>
      <c r="J1661" s="97">
        <f>IFERROR(VLOOKUP(C1661,'Custos Matéria Prima Embalagens'!B:G,6,0)*H1661,"Matéria Prima Não Cadastrada")</f>
        <v>29.880000000000003</v>
      </c>
      <c r="K1661" s="97">
        <f>IFERROR(J1661/(I1661/VLOOKUP(A1661,'Tabela de Produtos'!A:H,8,0)),"Matéria Prima Não Cadastrada")</f>
        <v>5.1616122840690982E-2</v>
      </c>
      <c r="L1661" s="216"/>
    </row>
    <row r="1662" spans="1:12" ht="15.75" customHeight="1">
      <c r="A1662" s="114" t="s">
        <v>364</v>
      </c>
      <c r="B1662" s="114" t="str">
        <f>VLOOKUP(A1662,'Tabela de Produtos'!A:B,2,0)</f>
        <v>BRAZIMIL BORRACHA LIQUIDA MULTIFUNÇÃO 3,6KG CINZA MEDIO</v>
      </c>
      <c r="C1662" s="48" t="s">
        <v>1221</v>
      </c>
      <c r="D1662" s="114" t="str">
        <f>VLOOKUP(C1662,'Custos Matéria Prima Embalagens'!B:C,2,0)</f>
        <v>MODIWAN 105H CE (CT-1000P)</v>
      </c>
      <c r="E1662" s="114" t="str">
        <f>VLOOKUP(C1662,'Custos Matéria Prima Embalagens'!B:D,3,0)</f>
        <v>ESPESSANTE DE MEDIA</v>
      </c>
      <c r="F1662" s="270">
        <f t="shared" si="220"/>
        <v>2084</v>
      </c>
      <c r="G1662" s="148">
        <f t="shared" si="221"/>
        <v>9.5969289827255271E-3</v>
      </c>
      <c r="H1662" s="276">
        <v>20</v>
      </c>
      <c r="I1662" s="272">
        <f>ROUND(F1662/VLOOKUP(A1662,'Tabela de Produtos'!A:J,10,0),0)</f>
        <v>2084</v>
      </c>
      <c r="J1662" s="97">
        <f>IFERROR(VLOOKUP(C1662,'Custos Matéria Prima Embalagens'!B:G,6,0)*H1662,"Matéria Prima Não Cadastrada")</f>
        <v>158.1</v>
      </c>
      <c r="K1662" s="97">
        <f>IFERROR(J1662/(I1662/VLOOKUP(A1662,'Tabela de Produtos'!A:H,8,0)),"Matéria Prima Não Cadastrada")</f>
        <v>0.27310940499040304</v>
      </c>
      <c r="L1662" s="216"/>
    </row>
    <row r="1663" spans="1:12" ht="15.75" customHeight="1">
      <c r="D1663" s="114"/>
      <c r="E1663" s="114"/>
      <c r="F1663" s="96"/>
      <c r="G1663" s="148"/>
      <c r="H1663" s="96"/>
      <c r="I1663" s="272"/>
      <c r="J1663" s="97"/>
      <c r="K1663" s="97"/>
      <c r="L1663" s="216"/>
    </row>
    <row r="1664" spans="1:12" ht="15.75" customHeight="1">
      <c r="A1664" s="114" t="s">
        <v>365</v>
      </c>
      <c r="B1664" s="114" t="str">
        <f>VLOOKUP(A1664,'Tabela de Produtos'!A:B,2,0)</f>
        <v>BRAZIMIL BORRACHA LIQUIDA MULTIFUNÇÃO 3,6KG CINZA PLATINA</v>
      </c>
      <c r="C1664" s="48" t="s">
        <v>1197</v>
      </c>
      <c r="D1664" s="114" t="str">
        <f>VLOOKUP(C1664,'Custos Matéria Prima Embalagens'!B:C,2,0)</f>
        <v>AGUA</v>
      </c>
      <c r="E1664" s="114" t="str">
        <f>VLOOKUP(C1664,'Custos Matéria Prima Embalagens'!B:D,3,0)</f>
        <v>AGUA</v>
      </c>
      <c r="F1664" s="270">
        <f t="shared" ref="F1664:F1679" si="222">SUMIFS(H:H,A:A,A1664)</f>
        <v>2084</v>
      </c>
      <c r="G1664" s="148">
        <f t="shared" ref="G1664:G1679" si="223">H1664/F1664</f>
        <v>0.23992322456813819</v>
      </c>
      <c r="H1664" s="276">
        <v>500</v>
      </c>
      <c r="I1664" s="272">
        <f>ROUND(F1664/VLOOKUP(A1664,'Tabela de Produtos'!A:J,10,0),0)</f>
        <v>2084</v>
      </c>
      <c r="J1664" s="97">
        <f>IFERROR(VLOOKUP(C1664,'Custos Matéria Prima Embalagens'!B:G,6,0)*H1664,"Matéria Prima Não Cadastrada")</f>
        <v>0</v>
      </c>
      <c r="K1664" s="97">
        <f>IFERROR(J1664/(I1664/VLOOKUP(A1664,'Tabela de Produtos'!A:H,8,0)),"Matéria Prima Não Cadastrada")</f>
        <v>0</v>
      </c>
      <c r="L1664" s="216"/>
    </row>
    <row r="1665" spans="1:12" ht="15.75" customHeight="1">
      <c r="A1665" s="114" t="s">
        <v>365</v>
      </c>
      <c r="B1665" s="114" t="str">
        <f>VLOOKUP(A1665,'Tabela de Produtos'!A:B,2,0)</f>
        <v>BRAZIMIL BORRACHA LIQUIDA MULTIFUNÇÃO 3,6KG CINZA PLATINA</v>
      </c>
      <c r="C1665" s="48" t="s">
        <v>1199</v>
      </c>
      <c r="D1665" s="114" t="str">
        <f>VLOOKUP(C1665,'Custos Matéria Prima Embalagens'!B:C,2,0)</f>
        <v>HEXAMETAFOSFATO DE SODIO</v>
      </c>
      <c r="E1665" s="114" t="str">
        <f>VLOOKUP(C1665,'Custos Matéria Prima Embalagens'!B:D,3,0)</f>
        <v>HEXAMETAFOSFATO DE SODIO</v>
      </c>
      <c r="F1665" s="270">
        <f t="shared" si="222"/>
        <v>2084</v>
      </c>
      <c r="G1665" s="148">
        <f t="shared" si="223"/>
        <v>4.7984644913627637E-4</v>
      </c>
      <c r="H1665" s="276">
        <v>1</v>
      </c>
      <c r="I1665" s="272">
        <f>ROUND(F1665/VLOOKUP(A1665,'Tabela de Produtos'!A:J,10,0),0)</f>
        <v>2084</v>
      </c>
      <c r="J1665" s="97">
        <f>IFERROR(VLOOKUP(C1665,'Custos Matéria Prima Embalagens'!B:G,6,0)*H1665,"Matéria Prima Não Cadastrada")</f>
        <v>17.939999999999998</v>
      </c>
      <c r="K1665" s="97">
        <f>IFERROR(J1665/(I1665/VLOOKUP(A1665,'Tabela de Produtos'!A:H,8,0)),"Matéria Prima Não Cadastrada")</f>
        <v>3.0990403071017268E-2</v>
      </c>
      <c r="L1665" s="216"/>
    </row>
    <row r="1666" spans="1:12" ht="15.75" customHeight="1">
      <c r="A1666" s="114" t="s">
        <v>365</v>
      </c>
      <c r="B1666" s="114" t="str">
        <f>VLOOKUP(A1666,'Tabela de Produtos'!A:B,2,0)</f>
        <v>BRAZIMIL BORRACHA LIQUIDA MULTIFUNÇÃO 3,6KG CINZA PLATINA</v>
      </c>
      <c r="C1666" s="48" t="s">
        <v>1257</v>
      </c>
      <c r="D1666" s="114" t="str">
        <f>VLOOKUP(C1666,'Custos Matéria Prima Embalagens'!B:C,2,0)</f>
        <v>WANCOAT 520 (BR-45)</v>
      </c>
      <c r="E1666" s="114" t="str">
        <f>VLOOKUP(C1666,'Custos Matéria Prima Embalagens'!B:D,3,0)</f>
        <v>ANTI ESPUMA ESM BASE AGUA</v>
      </c>
      <c r="F1666" s="270">
        <f t="shared" si="222"/>
        <v>2084</v>
      </c>
      <c r="G1666" s="148">
        <f t="shared" si="223"/>
        <v>1.9193857965451055E-3</v>
      </c>
      <c r="H1666" s="276">
        <v>4</v>
      </c>
      <c r="I1666" s="272">
        <f>ROUND(F1666/VLOOKUP(A1666,'Tabela de Produtos'!A:J,10,0),0)</f>
        <v>2084</v>
      </c>
      <c r="J1666" s="97">
        <f>IFERROR(VLOOKUP(C1666,'Custos Matéria Prima Embalagens'!B:G,6,0)*H1666,"Matéria Prima Não Cadastrada")</f>
        <v>47.045692813527602</v>
      </c>
      <c r="K1666" s="97">
        <f>IFERROR(J1666/(I1666/VLOOKUP(A1666,'Tabela de Produtos'!A:H,8,0)),"Matéria Prima Não Cadastrada")</f>
        <v>8.1268951117418123E-2</v>
      </c>
      <c r="L1666" s="216"/>
    </row>
    <row r="1667" spans="1:12" ht="15.75" customHeight="1">
      <c r="A1667" s="114" t="s">
        <v>365</v>
      </c>
      <c r="B1667" s="114" t="str">
        <f>VLOOKUP(A1667,'Tabela de Produtos'!A:B,2,0)</f>
        <v>BRAZIMIL BORRACHA LIQUIDA MULTIFUNÇÃO 3,6KG CINZA PLATINA</v>
      </c>
      <c r="C1667" s="48" t="s">
        <v>1203</v>
      </c>
      <c r="D1667" s="114" t="str">
        <f>VLOOKUP(C1667,'Custos Matéria Prima Embalagens'!B:C,2,0)</f>
        <v>WANBAC WBT CE (BH-200)</v>
      </c>
      <c r="E1667" s="114" t="str">
        <f>VLOOKUP(C1667,'Custos Matéria Prima Embalagens'!B:D,3,0)</f>
        <v>BACTERICIDA</v>
      </c>
      <c r="F1667" s="270">
        <f t="shared" si="222"/>
        <v>2084</v>
      </c>
      <c r="G1667" s="148">
        <f t="shared" si="223"/>
        <v>1.9193857965451055E-3</v>
      </c>
      <c r="H1667" s="276">
        <v>4</v>
      </c>
      <c r="I1667" s="272">
        <f>ROUND(F1667/VLOOKUP(A1667,'Tabela de Produtos'!A:J,10,0),0)</f>
        <v>2084</v>
      </c>
      <c r="J1667" s="97">
        <f>IFERROR(VLOOKUP(C1667,'Custos Matéria Prima Embalagens'!B:G,6,0)*H1667,"Matéria Prima Não Cadastrada")</f>
        <v>19.759999999999998</v>
      </c>
      <c r="K1667" s="97">
        <f>IFERROR(J1667/(I1667/VLOOKUP(A1667,'Tabela de Produtos'!A:H,8,0)),"Matéria Prima Não Cadastrada")</f>
        <v>3.4134357005758155E-2</v>
      </c>
      <c r="L1667" s="216"/>
    </row>
    <row r="1668" spans="1:12" ht="15.75" customHeight="1">
      <c r="A1668" s="114" t="s">
        <v>365</v>
      </c>
      <c r="B1668" s="114" t="str">
        <f>VLOOKUP(A1668,'Tabela de Produtos'!A:B,2,0)</f>
        <v>BRAZIMIL BORRACHA LIQUIDA MULTIFUNÇÃO 3,6KG CINZA PLATINA</v>
      </c>
      <c r="C1668" s="48" t="s">
        <v>1205</v>
      </c>
      <c r="D1668" s="114" t="str">
        <f>VLOOKUP(C1668,'Custos Matéria Prima Embalagens'!B:C,2,0)</f>
        <v>WANSUR 840 CE (BB-200)01</v>
      </c>
      <c r="E1668" s="114" t="str">
        <f>VLOOKUP(C1668,'Custos Matéria Prima Embalagens'!B:D,3,0)</f>
        <v>UMECTANTE</v>
      </c>
      <c r="F1668" s="270">
        <f t="shared" si="222"/>
        <v>2084</v>
      </c>
      <c r="G1668" s="148">
        <f t="shared" si="223"/>
        <v>2.8790786948176585E-3</v>
      </c>
      <c r="H1668" s="276">
        <v>6</v>
      </c>
      <c r="I1668" s="272">
        <f>ROUND(F1668/VLOOKUP(A1668,'Tabela de Produtos'!A:J,10,0),0)</f>
        <v>2084</v>
      </c>
      <c r="J1668" s="97">
        <f>IFERROR(VLOOKUP(C1668,'Custos Matéria Prima Embalagens'!B:G,6,0)*H1668,"Matéria Prima Não Cadastrada")</f>
        <v>43.980000000000004</v>
      </c>
      <c r="K1668" s="97">
        <f>IFERROR(J1668/(I1668/VLOOKUP(A1668,'Tabela de Produtos'!A:H,8,0)),"Matéria Prima Não Cadastrada")</f>
        <v>7.5973128598848375E-2</v>
      </c>
      <c r="L1668" s="216"/>
    </row>
    <row r="1669" spans="1:12" ht="15.75" customHeight="1">
      <c r="A1669" s="114" t="s">
        <v>365</v>
      </c>
      <c r="B1669" s="114" t="str">
        <f>VLOOKUP(A1669,'Tabela de Produtos'!A:B,2,0)</f>
        <v>BRAZIMIL BORRACHA LIQUIDA MULTIFUNÇÃO 3,6KG CINZA PLATINA</v>
      </c>
      <c r="C1669" s="48" t="s">
        <v>1207</v>
      </c>
      <c r="D1669" s="114" t="str">
        <f>VLOOKUP(C1669,'Custos Matéria Prima Embalagens'!B:C,2,0)</f>
        <v>WANPEX 1510 (BB-200)</v>
      </c>
      <c r="E1669" s="114" t="str">
        <f>VLOOKUP(C1669,'Custos Matéria Prima Embalagens'!B:D,3,0)</f>
        <v>DISPERSANTE LATEX</v>
      </c>
      <c r="F1669" s="270">
        <f t="shared" si="222"/>
        <v>2084</v>
      </c>
      <c r="G1669" s="148">
        <f t="shared" si="223"/>
        <v>3.838771593090211E-3</v>
      </c>
      <c r="H1669" s="276">
        <v>8</v>
      </c>
      <c r="I1669" s="272">
        <f>ROUND(F1669/VLOOKUP(A1669,'Tabela de Produtos'!A:J,10,0),0)</f>
        <v>2084</v>
      </c>
      <c r="J1669" s="97">
        <f>IFERROR(VLOOKUP(C1669,'Custos Matéria Prima Embalagens'!B:G,6,0)*H1669,"Matéria Prima Não Cadastrada")</f>
        <v>54.879999999999995</v>
      </c>
      <c r="K1669" s="97">
        <f>IFERROR(J1669/(I1669/VLOOKUP(A1669,'Tabela de Produtos'!A:H,8,0)),"Matéria Prima Não Cadastrada")</f>
        <v>9.4802303262955842E-2</v>
      </c>
      <c r="L1669" s="216"/>
    </row>
    <row r="1670" spans="1:12" ht="15.75" customHeight="1">
      <c r="A1670" s="114" t="s">
        <v>365</v>
      </c>
      <c r="B1670" s="114" t="str">
        <f>VLOOKUP(A1670,'Tabela de Produtos'!A:B,2,0)</f>
        <v>BRAZIMIL BORRACHA LIQUIDA MULTIFUNÇÃO 3,6KG CINZA PLATINA</v>
      </c>
      <c r="C1670" s="48" t="s">
        <v>1209</v>
      </c>
      <c r="D1670" s="114" t="str">
        <f>VLOOKUP(C1670,'Custos Matéria Prima Embalagens'!B:C,2,0)</f>
        <v>WANFUNG WFT CE (BH-200)</v>
      </c>
      <c r="E1670" s="114" t="str">
        <f>VLOOKUP(C1670,'Custos Matéria Prima Embalagens'!B:D,3,0)</f>
        <v>FUNGICIDA</v>
      </c>
      <c r="F1670" s="270">
        <f t="shared" si="222"/>
        <v>2084</v>
      </c>
      <c r="G1670" s="148">
        <f t="shared" si="223"/>
        <v>2.3992322456813818E-3</v>
      </c>
      <c r="H1670" s="276">
        <v>5</v>
      </c>
      <c r="I1670" s="272">
        <f>ROUND(F1670/VLOOKUP(A1670,'Tabela de Produtos'!A:J,10,0),0)</f>
        <v>2084</v>
      </c>
      <c r="J1670" s="97">
        <f>IFERROR(VLOOKUP(C1670,'Custos Matéria Prima Embalagens'!B:G,6,0)*H1670,"Matéria Prima Não Cadastrada")</f>
        <v>35</v>
      </c>
      <c r="K1670" s="97">
        <f>IFERROR(J1670/(I1670/VLOOKUP(A1670,'Tabela de Produtos'!A:H,8,0)),"Matéria Prima Não Cadastrada")</f>
        <v>6.0460652591170824E-2</v>
      </c>
      <c r="L1670" s="216"/>
    </row>
    <row r="1671" spans="1:12" ht="15.75" customHeight="1">
      <c r="A1671" s="114" t="s">
        <v>365</v>
      </c>
      <c r="B1671" s="114" t="str">
        <f>VLOOKUP(A1671,'Tabela de Produtos'!A:B,2,0)</f>
        <v>BRAZIMIL BORRACHA LIQUIDA MULTIFUNÇÃO 3,6KG CINZA PLATINA</v>
      </c>
      <c r="C1671" s="48" t="s">
        <v>1213</v>
      </c>
      <c r="D1671" s="114" t="str">
        <f>VLOOKUP(C1671,'Custos Matéria Prima Embalagens'!B:C,2,0)</f>
        <v>DIOXIDO DE TITANIO RUTILO R-996</v>
      </c>
      <c r="E1671" s="114" t="str">
        <f>VLOOKUP(C1671,'Custos Matéria Prima Embalagens'!B:D,3,0)</f>
        <v>TITANIO</v>
      </c>
      <c r="F1671" s="270">
        <f t="shared" si="222"/>
        <v>2084</v>
      </c>
      <c r="G1671" s="148">
        <f t="shared" si="223"/>
        <v>0.1199616122840691</v>
      </c>
      <c r="H1671" s="276">
        <v>250</v>
      </c>
      <c r="I1671" s="272">
        <f>ROUND(F1671/VLOOKUP(A1671,'Tabela de Produtos'!A:J,10,0),0)</f>
        <v>2084</v>
      </c>
      <c r="J1671" s="97">
        <f>IFERROR(VLOOKUP(C1671,'Custos Matéria Prima Embalagens'!B:G,6,0)*H1671,"Matéria Prima Não Cadastrada")</f>
        <v>4825</v>
      </c>
      <c r="K1671" s="97">
        <f>IFERROR(J1671/(I1671/VLOOKUP(A1671,'Tabela de Produtos'!A:H,8,0)),"Matéria Prima Não Cadastrada")</f>
        <v>8.3349328214971212</v>
      </c>
      <c r="L1671" s="216"/>
    </row>
    <row r="1672" spans="1:12" ht="15.75" customHeight="1">
      <c r="A1672" s="114" t="s">
        <v>365</v>
      </c>
      <c r="B1672" s="114" t="str">
        <f>VLOOKUP(A1672,'Tabela de Produtos'!A:B,2,0)</f>
        <v>BRAZIMIL BORRACHA LIQUIDA MULTIFUNÇÃO 3,6KG CINZA PLATINA</v>
      </c>
      <c r="C1672" s="48" t="s">
        <v>1211</v>
      </c>
      <c r="D1672" s="114" t="str">
        <f>VLOOKUP(C1672,'Custos Matéria Prima Embalagens'!B:C,2,0)</f>
        <v>WHITE PLUS PB (SC-25) (Em negociação)</v>
      </c>
      <c r="E1672" s="114" t="str">
        <f>VLOOKUP(C1672,'Custos Matéria Prima Embalagens'!B:D,3,0)</f>
        <v>WHITE PLUS</v>
      </c>
      <c r="F1672" s="270">
        <f t="shared" si="222"/>
        <v>2084</v>
      </c>
      <c r="G1672" s="148">
        <f t="shared" si="223"/>
        <v>0.19193857965451055</v>
      </c>
      <c r="H1672" s="276">
        <v>400</v>
      </c>
      <c r="I1672" s="272">
        <f>ROUND(F1672/VLOOKUP(A1672,'Tabela de Produtos'!A:J,10,0),0)</f>
        <v>2084</v>
      </c>
      <c r="J1672" s="97">
        <f>IFERROR(VLOOKUP(C1672,'Custos Matéria Prima Embalagens'!B:G,6,0)*H1672,"Matéria Prima Não Cadastrada")</f>
        <v>1236</v>
      </c>
      <c r="K1672" s="97">
        <f>IFERROR(J1672/(I1672/VLOOKUP(A1672,'Tabela de Produtos'!A:H,8,0)),"Matéria Prima Não Cadastrada")</f>
        <v>2.1351247600767755</v>
      </c>
      <c r="L1672" s="216"/>
    </row>
    <row r="1673" spans="1:12" ht="15.75" customHeight="1">
      <c r="A1673" s="114" t="s">
        <v>365</v>
      </c>
      <c r="B1673" s="114" t="str">
        <f>VLOOKUP(A1673,'Tabela de Produtos'!A:B,2,0)</f>
        <v>BRAZIMIL BORRACHA LIQUIDA MULTIFUNÇÃO 3,6KG CINZA PLATINA</v>
      </c>
      <c r="C1673" s="48" t="s">
        <v>1215</v>
      </c>
      <c r="D1673" s="114" t="str">
        <f>VLOOKUP(C1673,'Custos Matéria Prima Embalagens'!B:C,2,0)</f>
        <v>CALCARIO DOLOMITICO #500 ( SACOS 25 KG)</v>
      </c>
      <c r="E1673" s="114" t="str">
        <f>VLOOKUP(C1673,'Custos Matéria Prima Embalagens'!B:D,3,0)</f>
        <v>CARBONATO #500</v>
      </c>
      <c r="F1673" s="270">
        <f t="shared" si="222"/>
        <v>2084</v>
      </c>
      <c r="G1673" s="148">
        <f t="shared" si="223"/>
        <v>4.7984644913627639E-2</v>
      </c>
      <c r="H1673" s="276">
        <v>100</v>
      </c>
      <c r="I1673" s="272">
        <f>ROUND(F1673/VLOOKUP(A1673,'Tabela de Produtos'!A:J,10,0),0)</f>
        <v>2084</v>
      </c>
      <c r="J1673" s="97">
        <f>IFERROR(VLOOKUP(C1673,'Custos Matéria Prima Embalagens'!B:G,6,0)*H1673,"Matéria Prima Não Cadastrada")</f>
        <v>80</v>
      </c>
      <c r="K1673" s="97">
        <f>IFERROR(J1673/(I1673/VLOOKUP(A1673,'Tabela de Produtos'!A:H,8,0)),"Matéria Prima Não Cadastrada")</f>
        <v>0.13819577735124761</v>
      </c>
      <c r="L1673" s="216"/>
    </row>
    <row r="1674" spans="1:12" ht="15.75" customHeight="1">
      <c r="A1674" s="114" t="s">
        <v>365</v>
      </c>
      <c r="B1674" s="114" t="str">
        <f>VLOOKUP(A1674,'Tabela de Produtos'!A:B,2,0)</f>
        <v>BRAZIMIL BORRACHA LIQUIDA MULTIFUNÇÃO 3,6KG CINZA PLATINA</v>
      </c>
      <c r="C1674" s="48" t="s">
        <v>1217</v>
      </c>
      <c r="D1674" s="114" t="str">
        <f>VLOOKUP(C1674,'Custos Matéria Prima Embalagens'!B:C,2,0)</f>
        <v>WANCRIL W 51 CE (CT-1000P)</v>
      </c>
      <c r="E1674" s="114" t="str">
        <f>VLOOKUP(C1674,'Custos Matéria Prima Embalagens'!B:D,3,0)</f>
        <v>RESINA ACRILICA ESTIRENADA</v>
      </c>
      <c r="F1674" s="270">
        <f t="shared" si="222"/>
        <v>2084</v>
      </c>
      <c r="G1674" s="148">
        <f t="shared" si="223"/>
        <v>4.7984644913627639E-2</v>
      </c>
      <c r="H1674" s="276">
        <v>100</v>
      </c>
      <c r="I1674" s="272">
        <f>ROUND(F1674/VLOOKUP(A1674,'Tabela de Produtos'!A:J,10,0),0)</f>
        <v>2084</v>
      </c>
      <c r="J1674" s="97">
        <f>IFERROR(VLOOKUP(C1674,'Custos Matéria Prima Embalagens'!B:G,6,0)*H1674,"Matéria Prima Não Cadastrada")</f>
        <v>843</v>
      </c>
      <c r="K1674" s="97">
        <f>IFERROR(J1674/(I1674/VLOOKUP(A1674,'Tabela de Produtos'!A:H,8,0)),"Matéria Prima Não Cadastrada")</f>
        <v>1.4562380038387714</v>
      </c>
      <c r="L1674" s="216"/>
    </row>
    <row r="1675" spans="1:12" ht="15.75" customHeight="1">
      <c r="A1675" s="114" t="s">
        <v>365</v>
      </c>
      <c r="B1675" s="114" t="str">
        <f>VLOOKUP(A1675,'Tabela de Produtos'!A:B,2,0)</f>
        <v>BRAZIMIL BORRACHA LIQUIDA MULTIFUNÇÃO 3,6KG CINZA PLATINA</v>
      </c>
      <c r="C1675" s="48" t="s">
        <v>1259</v>
      </c>
      <c r="D1675" s="114" t="str">
        <f>VLOOKUP(C1675,'Custos Matéria Prima Embalagens'!B:C,2,0)</f>
        <v>WANCRIL IMP 09 (BB-200)</v>
      </c>
      <c r="E1675" s="114" t="str">
        <f>VLOOKUP(C1675,'Custos Matéria Prima Embalagens'!B:D,3,0)</f>
        <v>RESINA ELASTOMERICA</v>
      </c>
      <c r="F1675" s="270">
        <f t="shared" si="222"/>
        <v>2084</v>
      </c>
      <c r="G1675" s="148">
        <f t="shared" si="223"/>
        <v>0.28790786948176583</v>
      </c>
      <c r="H1675" s="276">
        <v>600</v>
      </c>
      <c r="I1675" s="272">
        <f>ROUND(F1675/VLOOKUP(A1675,'Tabela de Produtos'!A:J,10,0),0)</f>
        <v>2084</v>
      </c>
      <c r="J1675" s="97">
        <f>IFERROR(VLOOKUP(C1675,'Custos Matéria Prima Embalagens'!B:G,6,0)*H1675,"Matéria Prima Não Cadastrada")</f>
        <v>7044.8539220291395</v>
      </c>
      <c r="K1675" s="97">
        <f>IFERROR(J1675/(I1675/VLOOKUP(A1675,'Tabela de Produtos'!A:H,8,0)),"Matéria Prima Não Cadastrada")</f>
        <v>12.169613301010029</v>
      </c>
      <c r="L1675" s="216"/>
    </row>
    <row r="1676" spans="1:12" ht="15.75" customHeight="1">
      <c r="A1676" s="114" t="s">
        <v>365</v>
      </c>
      <c r="B1676" s="114" t="str">
        <f>VLOOKUP(A1676,'Tabela de Produtos'!A:B,2,0)</f>
        <v>BRAZIMIL BORRACHA LIQUIDA MULTIFUNÇÃO 3,6KG CINZA PLATINA</v>
      </c>
      <c r="C1676" s="48" t="s">
        <v>1229</v>
      </c>
      <c r="D1676" s="114" t="str">
        <f>VLOOKUP(C1676,'Custos Matéria Prima Embalagens'!B:C,2,0)</f>
        <v>WANSOL 340 CE (BB-200)</v>
      </c>
      <c r="E1676" s="114" t="str">
        <f>VLOOKUP(C1676,'Custos Matéria Prima Embalagens'!B:D,3,0)</f>
        <v>COALESCENTE</v>
      </c>
      <c r="F1676" s="270">
        <f t="shared" si="222"/>
        <v>2084</v>
      </c>
      <c r="G1676" s="148">
        <f t="shared" si="223"/>
        <v>9.5969289827255271E-3</v>
      </c>
      <c r="H1676" s="276">
        <v>20</v>
      </c>
      <c r="I1676" s="272">
        <f>ROUND(F1676/VLOOKUP(A1676,'Tabela de Produtos'!A:J,10,0),0)</f>
        <v>2084</v>
      </c>
      <c r="J1676" s="97">
        <f>IFERROR(VLOOKUP(C1676,'Custos Matéria Prima Embalagens'!B:G,6,0)*H1676,"Matéria Prima Não Cadastrada")</f>
        <v>384.4</v>
      </c>
      <c r="K1676" s="97">
        <f>IFERROR(J1676/(I1676/VLOOKUP(A1676,'Tabela de Produtos'!A:H,8,0)),"Matéria Prima Não Cadastrada")</f>
        <v>0.66403071017274462</v>
      </c>
      <c r="L1676" s="216"/>
    </row>
    <row r="1677" spans="1:12" ht="15.75" customHeight="1">
      <c r="A1677" s="114" t="s">
        <v>365</v>
      </c>
      <c r="B1677" s="114" t="str">
        <f>VLOOKUP(A1677,'Tabela de Produtos'!A:B,2,0)</f>
        <v>BRAZIMIL BORRACHA LIQUIDA MULTIFUNÇÃO 3,6KG CINZA PLATINA</v>
      </c>
      <c r="C1677" s="48" t="s">
        <v>1261</v>
      </c>
      <c r="D1677" s="114" t="str">
        <f>VLOOKUP(C1677,'Custos Matéria Prima Embalagens'!B:C,2,0)</f>
        <v>WANCOAT PA70 (BR-45)</v>
      </c>
      <c r="E1677" s="114" t="str">
        <f>VLOOKUP(C1677,'Custos Matéria Prima Embalagens'!B:D,3,0)</f>
        <v>HIDROREPELENTE BASE AGUA</v>
      </c>
      <c r="F1677" s="270">
        <f t="shared" si="222"/>
        <v>2084</v>
      </c>
      <c r="G1677" s="148">
        <f t="shared" si="223"/>
        <v>2.8790786948176585E-2</v>
      </c>
      <c r="H1677" s="276">
        <v>60</v>
      </c>
      <c r="I1677" s="272">
        <f>ROUND(F1677/VLOOKUP(A1677,'Tabela de Produtos'!A:J,10,0),0)</f>
        <v>2084</v>
      </c>
      <c r="J1677" s="97">
        <f>IFERROR(VLOOKUP(C1677,'Custos Matéria Prima Embalagens'!B:G,6,0)*H1677,"Matéria Prima Não Cadastrada")</f>
        <v>1885.8853922029141</v>
      </c>
      <c r="K1677" s="97">
        <f>IFERROR(J1677/(I1677/VLOOKUP(A1677,'Tabela de Produtos'!A:H,8,0)),"Matéria Prima Não Cadastrada")</f>
        <v>3.2577674721355518</v>
      </c>
      <c r="L1677" s="216"/>
    </row>
    <row r="1678" spans="1:12" ht="15.75" customHeight="1">
      <c r="A1678" s="114" t="s">
        <v>365</v>
      </c>
      <c r="B1678" s="114" t="str">
        <f>VLOOKUP(A1678,'Tabela de Produtos'!A:B,2,0)</f>
        <v>BRAZIMIL BORRACHA LIQUIDA MULTIFUNÇÃO 3,6KG CINZA PLATINA</v>
      </c>
      <c r="C1678" s="48" t="s">
        <v>1219</v>
      </c>
      <c r="D1678" s="114" t="str">
        <f>VLOOKUP(C1678,'Custos Matéria Prima Embalagens'!B:C,2,0)</f>
        <v>WANALK 70 CE (BH-200)</v>
      </c>
      <c r="E1678" s="114" t="str">
        <f>VLOOKUP(C1678,'Custos Matéria Prima Embalagens'!B:D,3,0)</f>
        <v>ALCALINIZANTE</v>
      </c>
      <c r="F1678" s="270">
        <f t="shared" si="222"/>
        <v>2084</v>
      </c>
      <c r="G1678" s="148">
        <f t="shared" si="223"/>
        <v>2.8790786948176585E-3</v>
      </c>
      <c r="H1678" s="276">
        <v>6</v>
      </c>
      <c r="I1678" s="272">
        <f>ROUND(F1678/VLOOKUP(A1678,'Tabela de Produtos'!A:J,10,0),0)</f>
        <v>2084</v>
      </c>
      <c r="J1678" s="97">
        <f>IFERROR(VLOOKUP(C1678,'Custos Matéria Prima Embalagens'!B:G,6,0)*H1678,"Matéria Prima Não Cadastrada")</f>
        <v>29.880000000000003</v>
      </c>
      <c r="K1678" s="97">
        <f>IFERROR(J1678/(I1678/VLOOKUP(A1678,'Tabela de Produtos'!A:H,8,0)),"Matéria Prima Não Cadastrada")</f>
        <v>5.1616122840690982E-2</v>
      </c>
      <c r="L1678" s="216"/>
    </row>
    <row r="1679" spans="1:12" ht="15.75" customHeight="1">
      <c r="A1679" s="114" t="s">
        <v>365</v>
      </c>
      <c r="B1679" s="114" t="str">
        <f>VLOOKUP(A1679,'Tabela de Produtos'!A:B,2,0)</f>
        <v>BRAZIMIL BORRACHA LIQUIDA MULTIFUNÇÃO 3,6KG CINZA PLATINA</v>
      </c>
      <c r="C1679" s="48" t="s">
        <v>1221</v>
      </c>
      <c r="D1679" s="114" t="str">
        <f>VLOOKUP(C1679,'Custos Matéria Prima Embalagens'!B:C,2,0)</f>
        <v>MODIWAN 105H CE (CT-1000P)</v>
      </c>
      <c r="E1679" s="114" t="str">
        <f>VLOOKUP(C1679,'Custos Matéria Prima Embalagens'!B:D,3,0)</f>
        <v>ESPESSANTE DE MEDIA</v>
      </c>
      <c r="F1679" s="270">
        <f t="shared" si="222"/>
        <v>2084</v>
      </c>
      <c r="G1679" s="148">
        <f t="shared" si="223"/>
        <v>9.5969289827255271E-3</v>
      </c>
      <c r="H1679" s="276">
        <v>20</v>
      </c>
      <c r="I1679" s="272">
        <f>ROUND(F1679/VLOOKUP(A1679,'Tabela de Produtos'!A:J,10,0),0)</f>
        <v>2084</v>
      </c>
      <c r="J1679" s="97">
        <f>IFERROR(VLOOKUP(C1679,'Custos Matéria Prima Embalagens'!B:G,6,0)*H1679,"Matéria Prima Não Cadastrada")</f>
        <v>158.1</v>
      </c>
      <c r="K1679" s="97">
        <f>IFERROR(J1679/(I1679/VLOOKUP(A1679,'Tabela de Produtos'!A:H,8,0)),"Matéria Prima Não Cadastrada")</f>
        <v>0.27310940499040304</v>
      </c>
      <c r="L1679" s="216"/>
    </row>
    <row r="1680" spans="1:12" ht="15.75" customHeight="1">
      <c r="D1680" s="114"/>
      <c r="E1680" s="114"/>
      <c r="F1680" s="96"/>
      <c r="G1680" s="148"/>
      <c r="H1680" s="96"/>
      <c r="I1680" s="272"/>
      <c r="J1680" s="97"/>
      <c r="K1680" s="97"/>
      <c r="L1680" s="216"/>
    </row>
    <row r="1681" spans="1:12" ht="15.75" customHeight="1">
      <c r="A1681" s="114" t="s">
        <v>366</v>
      </c>
      <c r="B1681" s="114" t="str">
        <f>VLOOKUP(A1681,'Tabela de Produtos'!A:B,2,0)</f>
        <v>BRAZIMIL BORRACHA LIQUIDA MULTIFUNÇÃO 3,6KG CERAMICA</v>
      </c>
      <c r="C1681" s="48" t="s">
        <v>1197</v>
      </c>
      <c r="D1681" s="114" t="str">
        <f>VLOOKUP(C1681,'Custos Matéria Prima Embalagens'!B:C,2,0)</f>
        <v>AGUA</v>
      </c>
      <c r="E1681" s="114" t="str">
        <f>VLOOKUP(C1681,'Custos Matéria Prima Embalagens'!B:D,3,0)</f>
        <v>AGUA</v>
      </c>
      <c r="F1681" s="270">
        <f t="shared" ref="F1681:F1696" si="224">SUMIFS(H:H,A:A,A1681)</f>
        <v>2084</v>
      </c>
      <c r="G1681" s="148">
        <f t="shared" ref="G1681:G1696" si="225">H1681/F1681</f>
        <v>0.23992322456813819</v>
      </c>
      <c r="H1681" s="276">
        <v>500</v>
      </c>
      <c r="I1681" s="272">
        <f>ROUND(F1681/VLOOKUP(A1681,'Tabela de Produtos'!A:J,10,0),0)</f>
        <v>2084</v>
      </c>
      <c r="J1681" s="97">
        <f>IFERROR(VLOOKUP(C1681,'Custos Matéria Prima Embalagens'!B:G,6,0)*H1681,"Matéria Prima Não Cadastrada")</f>
        <v>0</v>
      </c>
      <c r="K1681" s="97">
        <f>IFERROR(J1681/(I1681/VLOOKUP(A1681,'Tabela de Produtos'!A:H,8,0)),"Matéria Prima Não Cadastrada")</f>
        <v>0</v>
      </c>
      <c r="L1681" s="216"/>
    </row>
    <row r="1682" spans="1:12" ht="15.75" customHeight="1">
      <c r="A1682" s="114" t="s">
        <v>366</v>
      </c>
      <c r="B1682" s="114" t="str">
        <f>VLOOKUP(A1682,'Tabela de Produtos'!A:B,2,0)</f>
        <v>BRAZIMIL BORRACHA LIQUIDA MULTIFUNÇÃO 3,6KG CERAMICA</v>
      </c>
      <c r="C1682" s="48" t="s">
        <v>1199</v>
      </c>
      <c r="D1682" s="114" t="str">
        <f>VLOOKUP(C1682,'Custos Matéria Prima Embalagens'!B:C,2,0)</f>
        <v>HEXAMETAFOSFATO DE SODIO</v>
      </c>
      <c r="E1682" s="114" t="str">
        <f>VLOOKUP(C1682,'Custos Matéria Prima Embalagens'!B:D,3,0)</f>
        <v>HEXAMETAFOSFATO DE SODIO</v>
      </c>
      <c r="F1682" s="270">
        <f t="shared" si="224"/>
        <v>2084</v>
      </c>
      <c r="G1682" s="148">
        <f t="shared" si="225"/>
        <v>4.7984644913627637E-4</v>
      </c>
      <c r="H1682" s="276">
        <v>1</v>
      </c>
      <c r="I1682" s="272">
        <f>ROUND(F1682/VLOOKUP(A1682,'Tabela de Produtos'!A:J,10,0),0)</f>
        <v>2084</v>
      </c>
      <c r="J1682" s="97">
        <f>IFERROR(VLOOKUP(C1682,'Custos Matéria Prima Embalagens'!B:G,6,0)*H1682,"Matéria Prima Não Cadastrada")</f>
        <v>17.939999999999998</v>
      </c>
      <c r="K1682" s="97">
        <f>IFERROR(J1682/(I1682/VLOOKUP(A1682,'Tabela de Produtos'!A:H,8,0)),"Matéria Prima Não Cadastrada")</f>
        <v>3.0990403071017268E-2</v>
      </c>
      <c r="L1682" s="216"/>
    </row>
    <row r="1683" spans="1:12" ht="15.75" customHeight="1">
      <c r="A1683" s="114" t="s">
        <v>366</v>
      </c>
      <c r="B1683" s="114" t="str">
        <f>VLOOKUP(A1683,'Tabela de Produtos'!A:B,2,0)</f>
        <v>BRAZIMIL BORRACHA LIQUIDA MULTIFUNÇÃO 3,6KG CERAMICA</v>
      </c>
      <c r="C1683" s="48" t="s">
        <v>1257</v>
      </c>
      <c r="D1683" s="114" t="str">
        <f>VLOOKUP(C1683,'Custos Matéria Prima Embalagens'!B:C,2,0)</f>
        <v>WANCOAT 520 (BR-45)</v>
      </c>
      <c r="E1683" s="114" t="str">
        <f>VLOOKUP(C1683,'Custos Matéria Prima Embalagens'!B:D,3,0)</f>
        <v>ANTI ESPUMA ESM BASE AGUA</v>
      </c>
      <c r="F1683" s="270">
        <f t="shared" si="224"/>
        <v>2084</v>
      </c>
      <c r="G1683" s="148">
        <f t="shared" si="225"/>
        <v>1.9193857965451055E-3</v>
      </c>
      <c r="H1683" s="276">
        <v>4</v>
      </c>
      <c r="I1683" s="272">
        <f>ROUND(F1683/VLOOKUP(A1683,'Tabela de Produtos'!A:J,10,0),0)</f>
        <v>2084</v>
      </c>
      <c r="J1683" s="97">
        <f>IFERROR(VLOOKUP(C1683,'Custos Matéria Prima Embalagens'!B:G,6,0)*H1683,"Matéria Prima Não Cadastrada")</f>
        <v>47.045692813527602</v>
      </c>
      <c r="K1683" s="97">
        <f>IFERROR(J1683/(I1683/VLOOKUP(A1683,'Tabela de Produtos'!A:H,8,0)),"Matéria Prima Não Cadastrada")</f>
        <v>8.1268951117418123E-2</v>
      </c>
      <c r="L1683" s="216"/>
    </row>
    <row r="1684" spans="1:12" ht="15.75" customHeight="1">
      <c r="A1684" s="114" t="s">
        <v>366</v>
      </c>
      <c r="B1684" s="114" t="str">
        <f>VLOOKUP(A1684,'Tabela de Produtos'!A:B,2,0)</f>
        <v>BRAZIMIL BORRACHA LIQUIDA MULTIFUNÇÃO 3,6KG CERAMICA</v>
      </c>
      <c r="C1684" s="48" t="s">
        <v>1203</v>
      </c>
      <c r="D1684" s="114" t="str">
        <f>VLOOKUP(C1684,'Custos Matéria Prima Embalagens'!B:C,2,0)</f>
        <v>WANBAC WBT CE (BH-200)</v>
      </c>
      <c r="E1684" s="114" t="str">
        <f>VLOOKUP(C1684,'Custos Matéria Prima Embalagens'!B:D,3,0)</f>
        <v>BACTERICIDA</v>
      </c>
      <c r="F1684" s="270">
        <f t="shared" si="224"/>
        <v>2084</v>
      </c>
      <c r="G1684" s="148">
        <f t="shared" si="225"/>
        <v>1.9193857965451055E-3</v>
      </c>
      <c r="H1684" s="276">
        <v>4</v>
      </c>
      <c r="I1684" s="272">
        <f>ROUND(F1684/VLOOKUP(A1684,'Tabela de Produtos'!A:J,10,0),0)</f>
        <v>2084</v>
      </c>
      <c r="J1684" s="97">
        <f>IFERROR(VLOOKUP(C1684,'Custos Matéria Prima Embalagens'!B:G,6,0)*H1684,"Matéria Prima Não Cadastrada")</f>
        <v>19.759999999999998</v>
      </c>
      <c r="K1684" s="97">
        <f>IFERROR(J1684/(I1684/VLOOKUP(A1684,'Tabela de Produtos'!A:H,8,0)),"Matéria Prima Não Cadastrada")</f>
        <v>3.4134357005758155E-2</v>
      </c>
      <c r="L1684" s="216"/>
    </row>
    <row r="1685" spans="1:12" ht="15.75" customHeight="1">
      <c r="A1685" s="114" t="s">
        <v>366</v>
      </c>
      <c r="B1685" s="114" t="str">
        <f>VLOOKUP(A1685,'Tabela de Produtos'!A:B,2,0)</f>
        <v>BRAZIMIL BORRACHA LIQUIDA MULTIFUNÇÃO 3,6KG CERAMICA</v>
      </c>
      <c r="C1685" s="48" t="s">
        <v>1205</v>
      </c>
      <c r="D1685" s="114" t="str">
        <f>VLOOKUP(C1685,'Custos Matéria Prima Embalagens'!B:C,2,0)</f>
        <v>WANSUR 840 CE (BB-200)01</v>
      </c>
      <c r="E1685" s="114" t="str">
        <f>VLOOKUP(C1685,'Custos Matéria Prima Embalagens'!B:D,3,0)</f>
        <v>UMECTANTE</v>
      </c>
      <c r="F1685" s="270">
        <f t="shared" si="224"/>
        <v>2084</v>
      </c>
      <c r="G1685" s="148">
        <f t="shared" si="225"/>
        <v>2.8790786948176585E-3</v>
      </c>
      <c r="H1685" s="276">
        <v>6</v>
      </c>
      <c r="I1685" s="272">
        <f>ROUND(F1685/VLOOKUP(A1685,'Tabela de Produtos'!A:J,10,0),0)</f>
        <v>2084</v>
      </c>
      <c r="J1685" s="97">
        <f>IFERROR(VLOOKUP(C1685,'Custos Matéria Prima Embalagens'!B:G,6,0)*H1685,"Matéria Prima Não Cadastrada")</f>
        <v>43.980000000000004</v>
      </c>
      <c r="K1685" s="97">
        <f>IFERROR(J1685/(I1685/VLOOKUP(A1685,'Tabela de Produtos'!A:H,8,0)),"Matéria Prima Não Cadastrada")</f>
        <v>7.5973128598848375E-2</v>
      </c>
      <c r="L1685" s="216"/>
    </row>
    <row r="1686" spans="1:12" ht="15.75" customHeight="1">
      <c r="A1686" s="114" t="s">
        <v>366</v>
      </c>
      <c r="B1686" s="114" t="str">
        <f>VLOOKUP(A1686,'Tabela de Produtos'!A:B,2,0)</f>
        <v>BRAZIMIL BORRACHA LIQUIDA MULTIFUNÇÃO 3,6KG CERAMICA</v>
      </c>
      <c r="C1686" s="48" t="s">
        <v>1207</v>
      </c>
      <c r="D1686" s="114" t="str">
        <f>VLOOKUP(C1686,'Custos Matéria Prima Embalagens'!B:C,2,0)</f>
        <v>WANPEX 1510 (BB-200)</v>
      </c>
      <c r="E1686" s="114" t="str">
        <f>VLOOKUP(C1686,'Custos Matéria Prima Embalagens'!B:D,3,0)</f>
        <v>DISPERSANTE LATEX</v>
      </c>
      <c r="F1686" s="270">
        <f t="shared" si="224"/>
        <v>2084</v>
      </c>
      <c r="G1686" s="148">
        <f t="shared" si="225"/>
        <v>3.838771593090211E-3</v>
      </c>
      <c r="H1686" s="276">
        <v>8</v>
      </c>
      <c r="I1686" s="272">
        <f>ROUND(F1686/VLOOKUP(A1686,'Tabela de Produtos'!A:J,10,0),0)</f>
        <v>2084</v>
      </c>
      <c r="J1686" s="97">
        <f>IFERROR(VLOOKUP(C1686,'Custos Matéria Prima Embalagens'!B:G,6,0)*H1686,"Matéria Prima Não Cadastrada")</f>
        <v>54.879999999999995</v>
      </c>
      <c r="K1686" s="97">
        <f>IFERROR(J1686/(I1686/VLOOKUP(A1686,'Tabela de Produtos'!A:H,8,0)),"Matéria Prima Não Cadastrada")</f>
        <v>9.4802303262955842E-2</v>
      </c>
      <c r="L1686" s="216"/>
    </row>
    <row r="1687" spans="1:12" ht="15.75" customHeight="1">
      <c r="A1687" s="114" t="s">
        <v>366</v>
      </c>
      <c r="B1687" s="114" t="str">
        <f>VLOOKUP(A1687,'Tabela de Produtos'!A:B,2,0)</f>
        <v>BRAZIMIL BORRACHA LIQUIDA MULTIFUNÇÃO 3,6KG CERAMICA</v>
      </c>
      <c r="C1687" s="48" t="s">
        <v>1209</v>
      </c>
      <c r="D1687" s="114" t="str">
        <f>VLOOKUP(C1687,'Custos Matéria Prima Embalagens'!B:C,2,0)</f>
        <v>WANFUNG WFT CE (BH-200)</v>
      </c>
      <c r="E1687" s="114" t="str">
        <f>VLOOKUP(C1687,'Custos Matéria Prima Embalagens'!B:D,3,0)</f>
        <v>FUNGICIDA</v>
      </c>
      <c r="F1687" s="270">
        <f t="shared" si="224"/>
        <v>2084</v>
      </c>
      <c r="G1687" s="148">
        <f t="shared" si="225"/>
        <v>2.3992322456813818E-3</v>
      </c>
      <c r="H1687" s="276">
        <v>5</v>
      </c>
      <c r="I1687" s="272">
        <f>ROUND(F1687/VLOOKUP(A1687,'Tabela de Produtos'!A:J,10,0),0)</f>
        <v>2084</v>
      </c>
      <c r="J1687" s="97">
        <f>IFERROR(VLOOKUP(C1687,'Custos Matéria Prima Embalagens'!B:G,6,0)*H1687,"Matéria Prima Não Cadastrada")</f>
        <v>35</v>
      </c>
      <c r="K1687" s="97">
        <f>IFERROR(J1687/(I1687/VLOOKUP(A1687,'Tabela de Produtos'!A:H,8,0)),"Matéria Prima Não Cadastrada")</f>
        <v>6.0460652591170824E-2</v>
      </c>
      <c r="L1687" s="216"/>
    </row>
    <row r="1688" spans="1:12" ht="15.75" customHeight="1">
      <c r="A1688" s="114" t="s">
        <v>366</v>
      </c>
      <c r="B1688" s="114" t="str">
        <f>VLOOKUP(A1688,'Tabela de Produtos'!A:B,2,0)</f>
        <v>BRAZIMIL BORRACHA LIQUIDA MULTIFUNÇÃO 3,6KG CERAMICA</v>
      </c>
      <c r="C1688" s="48" t="s">
        <v>1213</v>
      </c>
      <c r="D1688" s="114" t="str">
        <f>VLOOKUP(C1688,'Custos Matéria Prima Embalagens'!B:C,2,0)</f>
        <v>DIOXIDO DE TITANIO RUTILO R-996</v>
      </c>
      <c r="E1688" s="114" t="str">
        <f>VLOOKUP(C1688,'Custos Matéria Prima Embalagens'!B:D,3,0)</f>
        <v>TITANIO</v>
      </c>
      <c r="F1688" s="270">
        <f t="shared" si="224"/>
        <v>2084</v>
      </c>
      <c r="G1688" s="148">
        <f t="shared" si="225"/>
        <v>0.1199616122840691</v>
      </c>
      <c r="H1688" s="276">
        <v>250</v>
      </c>
      <c r="I1688" s="272">
        <f>ROUND(F1688/VLOOKUP(A1688,'Tabela de Produtos'!A:J,10,0),0)</f>
        <v>2084</v>
      </c>
      <c r="J1688" s="97">
        <f>IFERROR(VLOOKUP(C1688,'Custos Matéria Prima Embalagens'!B:G,6,0)*H1688,"Matéria Prima Não Cadastrada")</f>
        <v>4825</v>
      </c>
      <c r="K1688" s="97">
        <f>IFERROR(J1688/(I1688/VLOOKUP(A1688,'Tabela de Produtos'!A:H,8,0)),"Matéria Prima Não Cadastrada")</f>
        <v>8.3349328214971212</v>
      </c>
      <c r="L1688" s="216"/>
    </row>
    <row r="1689" spans="1:12" ht="15.75" customHeight="1">
      <c r="A1689" s="114" t="s">
        <v>366</v>
      </c>
      <c r="B1689" s="114" t="str">
        <f>VLOOKUP(A1689,'Tabela de Produtos'!A:B,2,0)</f>
        <v>BRAZIMIL BORRACHA LIQUIDA MULTIFUNÇÃO 3,6KG CERAMICA</v>
      </c>
      <c r="C1689" s="48" t="s">
        <v>1211</v>
      </c>
      <c r="D1689" s="114" t="str">
        <f>VLOOKUP(C1689,'Custos Matéria Prima Embalagens'!B:C,2,0)</f>
        <v>WHITE PLUS PB (SC-25) (Em negociação)</v>
      </c>
      <c r="E1689" s="114" t="str">
        <f>VLOOKUP(C1689,'Custos Matéria Prima Embalagens'!B:D,3,0)</f>
        <v>WHITE PLUS</v>
      </c>
      <c r="F1689" s="270">
        <f t="shared" si="224"/>
        <v>2084</v>
      </c>
      <c r="G1689" s="148">
        <f t="shared" si="225"/>
        <v>0.19193857965451055</v>
      </c>
      <c r="H1689" s="276">
        <v>400</v>
      </c>
      <c r="I1689" s="272">
        <f>ROUND(F1689/VLOOKUP(A1689,'Tabela de Produtos'!A:J,10,0),0)</f>
        <v>2084</v>
      </c>
      <c r="J1689" s="97">
        <f>IFERROR(VLOOKUP(C1689,'Custos Matéria Prima Embalagens'!B:G,6,0)*H1689,"Matéria Prima Não Cadastrada")</f>
        <v>1236</v>
      </c>
      <c r="K1689" s="97">
        <f>IFERROR(J1689/(I1689/VLOOKUP(A1689,'Tabela de Produtos'!A:H,8,0)),"Matéria Prima Não Cadastrada")</f>
        <v>2.1351247600767755</v>
      </c>
      <c r="L1689" s="216"/>
    </row>
    <row r="1690" spans="1:12" ht="15.75" customHeight="1">
      <c r="A1690" s="114" t="s">
        <v>366</v>
      </c>
      <c r="B1690" s="114" t="str">
        <f>VLOOKUP(A1690,'Tabela de Produtos'!A:B,2,0)</f>
        <v>BRAZIMIL BORRACHA LIQUIDA MULTIFUNÇÃO 3,6KG CERAMICA</v>
      </c>
      <c r="C1690" s="48" t="s">
        <v>1215</v>
      </c>
      <c r="D1690" s="114" t="str">
        <f>VLOOKUP(C1690,'Custos Matéria Prima Embalagens'!B:C,2,0)</f>
        <v>CALCARIO DOLOMITICO #500 ( SACOS 25 KG)</v>
      </c>
      <c r="E1690" s="114" t="str">
        <f>VLOOKUP(C1690,'Custos Matéria Prima Embalagens'!B:D,3,0)</f>
        <v>CARBONATO #500</v>
      </c>
      <c r="F1690" s="270">
        <f t="shared" si="224"/>
        <v>2084</v>
      </c>
      <c r="G1690" s="148">
        <f t="shared" si="225"/>
        <v>4.7984644913627639E-2</v>
      </c>
      <c r="H1690" s="276">
        <v>100</v>
      </c>
      <c r="I1690" s="272">
        <f>ROUND(F1690/VLOOKUP(A1690,'Tabela de Produtos'!A:J,10,0),0)</f>
        <v>2084</v>
      </c>
      <c r="J1690" s="97">
        <f>IFERROR(VLOOKUP(C1690,'Custos Matéria Prima Embalagens'!B:G,6,0)*H1690,"Matéria Prima Não Cadastrada")</f>
        <v>80</v>
      </c>
      <c r="K1690" s="97">
        <f>IFERROR(J1690/(I1690/VLOOKUP(A1690,'Tabela de Produtos'!A:H,8,0)),"Matéria Prima Não Cadastrada")</f>
        <v>0.13819577735124761</v>
      </c>
      <c r="L1690" s="216"/>
    </row>
    <row r="1691" spans="1:12" ht="15.75" customHeight="1">
      <c r="A1691" s="114" t="s">
        <v>366</v>
      </c>
      <c r="B1691" s="114" t="str">
        <f>VLOOKUP(A1691,'Tabela de Produtos'!A:B,2,0)</f>
        <v>BRAZIMIL BORRACHA LIQUIDA MULTIFUNÇÃO 3,6KG CERAMICA</v>
      </c>
      <c r="C1691" s="48" t="s">
        <v>1217</v>
      </c>
      <c r="D1691" s="114" t="str">
        <f>VLOOKUP(C1691,'Custos Matéria Prima Embalagens'!B:C,2,0)</f>
        <v>WANCRIL W 51 CE (CT-1000P)</v>
      </c>
      <c r="E1691" s="114" t="str">
        <f>VLOOKUP(C1691,'Custos Matéria Prima Embalagens'!B:D,3,0)</f>
        <v>RESINA ACRILICA ESTIRENADA</v>
      </c>
      <c r="F1691" s="270">
        <f t="shared" si="224"/>
        <v>2084</v>
      </c>
      <c r="G1691" s="148">
        <f t="shared" si="225"/>
        <v>4.7984644913627639E-2</v>
      </c>
      <c r="H1691" s="276">
        <v>100</v>
      </c>
      <c r="I1691" s="272">
        <f>ROUND(F1691/VLOOKUP(A1691,'Tabela de Produtos'!A:J,10,0),0)</f>
        <v>2084</v>
      </c>
      <c r="J1691" s="97">
        <f>IFERROR(VLOOKUP(C1691,'Custos Matéria Prima Embalagens'!B:G,6,0)*H1691,"Matéria Prima Não Cadastrada")</f>
        <v>843</v>
      </c>
      <c r="K1691" s="97">
        <f>IFERROR(J1691/(I1691/VLOOKUP(A1691,'Tabela de Produtos'!A:H,8,0)),"Matéria Prima Não Cadastrada")</f>
        <v>1.4562380038387714</v>
      </c>
      <c r="L1691" s="216"/>
    </row>
    <row r="1692" spans="1:12" ht="15.75" customHeight="1">
      <c r="A1692" s="114" t="s">
        <v>366</v>
      </c>
      <c r="B1692" s="114" t="str">
        <f>VLOOKUP(A1692,'Tabela de Produtos'!A:B,2,0)</f>
        <v>BRAZIMIL BORRACHA LIQUIDA MULTIFUNÇÃO 3,6KG CERAMICA</v>
      </c>
      <c r="C1692" s="48" t="s">
        <v>1259</v>
      </c>
      <c r="D1692" s="114" t="str">
        <f>VLOOKUP(C1692,'Custos Matéria Prima Embalagens'!B:C,2,0)</f>
        <v>WANCRIL IMP 09 (BB-200)</v>
      </c>
      <c r="E1692" s="114" t="str">
        <f>VLOOKUP(C1692,'Custos Matéria Prima Embalagens'!B:D,3,0)</f>
        <v>RESINA ELASTOMERICA</v>
      </c>
      <c r="F1692" s="270">
        <f t="shared" si="224"/>
        <v>2084</v>
      </c>
      <c r="G1692" s="148">
        <f t="shared" si="225"/>
        <v>0.28790786948176583</v>
      </c>
      <c r="H1692" s="276">
        <v>600</v>
      </c>
      <c r="I1692" s="272">
        <f>ROUND(F1692/VLOOKUP(A1692,'Tabela de Produtos'!A:J,10,0),0)</f>
        <v>2084</v>
      </c>
      <c r="J1692" s="97">
        <f>IFERROR(VLOOKUP(C1692,'Custos Matéria Prima Embalagens'!B:G,6,0)*H1692,"Matéria Prima Não Cadastrada")</f>
        <v>7044.8539220291395</v>
      </c>
      <c r="K1692" s="97">
        <f>IFERROR(J1692/(I1692/VLOOKUP(A1692,'Tabela de Produtos'!A:H,8,0)),"Matéria Prima Não Cadastrada")</f>
        <v>12.169613301010029</v>
      </c>
      <c r="L1692" s="216"/>
    </row>
    <row r="1693" spans="1:12" ht="15.75" customHeight="1">
      <c r="A1693" s="114" t="s">
        <v>366</v>
      </c>
      <c r="B1693" s="114" t="str">
        <f>VLOOKUP(A1693,'Tabela de Produtos'!A:B,2,0)</f>
        <v>BRAZIMIL BORRACHA LIQUIDA MULTIFUNÇÃO 3,6KG CERAMICA</v>
      </c>
      <c r="C1693" s="48" t="s">
        <v>1229</v>
      </c>
      <c r="D1693" s="114" t="str">
        <f>VLOOKUP(C1693,'Custos Matéria Prima Embalagens'!B:C,2,0)</f>
        <v>WANSOL 340 CE (BB-200)</v>
      </c>
      <c r="E1693" s="114" t="str">
        <f>VLOOKUP(C1693,'Custos Matéria Prima Embalagens'!B:D,3,0)</f>
        <v>COALESCENTE</v>
      </c>
      <c r="F1693" s="270">
        <f t="shared" si="224"/>
        <v>2084</v>
      </c>
      <c r="G1693" s="148">
        <f t="shared" si="225"/>
        <v>9.5969289827255271E-3</v>
      </c>
      <c r="H1693" s="276">
        <v>20</v>
      </c>
      <c r="I1693" s="272">
        <f>ROUND(F1693/VLOOKUP(A1693,'Tabela de Produtos'!A:J,10,0),0)</f>
        <v>2084</v>
      </c>
      <c r="J1693" s="97">
        <f>IFERROR(VLOOKUP(C1693,'Custos Matéria Prima Embalagens'!B:G,6,0)*H1693,"Matéria Prima Não Cadastrada")</f>
        <v>384.4</v>
      </c>
      <c r="K1693" s="97">
        <f>IFERROR(J1693/(I1693/VLOOKUP(A1693,'Tabela de Produtos'!A:H,8,0)),"Matéria Prima Não Cadastrada")</f>
        <v>0.66403071017274462</v>
      </c>
      <c r="L1693" s="216"/>
    </row>
    <row r="1694" spans="1:12" ht="15.75" customHeight="1">
      <c r="A1694" s="114" t="s">
        <v>366</v>
      </c>
      <c r="B1694" s="114" t="str">
        <f>VLOOKUP(A1694,'Tabela de Produtos'!A:B,2,0)</f>
        <v>BRAZIMIL BORRACHA LIQUIDA MULTIFUNÇÃO 3,6KG CERAMICA</v>
      </c>
      <c r="C1694" s="48" t="s">
        <v>1261</v>
      </c>
      <c r="D1694" s="114" t="str">
        <f>VLOOKUP(C1694,'Custos Matéria Prima Embalagens'!B:C,2,0)</f>
        <v>WANCOAT PA70 (BR-45)</v>
      </c>
      <c r="E1694" s="114" t="str">
        <f>VLOOKUP(C1694,'Custos Matéria Prima Embalagens'!B:D,3,0)</f>
        <v>HIDROREPELENTE BASE AGUA</v>
      </c>
      <c r="F1694" s="270">
        <f t="shared" si="224"/>
        <v>2084</v>
      </c>
      <c r="G1694" s="148">
        <f t="shared" si="225"/>
        <v>2.8790786948176585E-2</v>
      </c>
      <c r="H1694" s="276">
        <v>60</v>
      </c>
      <c r="I1694" s="272">
        <f>ROUND(F1694/VLOOKUP(A1694,'Tabela de Produtos'!A:J,10,0),0)</f>
        <v>2084</v>
      </c>
      <c r="J1694" s="97">
        <f>IFERROR(VLOOKUP(C1694,'Custos Matéria Prima Embalagens'!B:G,6,0)*H1694,"Matéria Prima Não Cadastrada")</f>
        <v>1885.8853922029141</v>
      </c>
      <c r="K1694" s="97">
        <f>IFERROR(J1694/(I1694/VLOOKUP(A1694,'Tabela de Produtos'!A:H,8,0)),"Matéria Prima Não Cadastrada")</f>
        <v>3.2577674721355518</v>
      </c>
      <c r="L1694" s="216"/>
    </row>
    <row r="1695" spans="1:12" ht="15.75" customHeight="1">
      <c r="A1695" s="114" t="s">
        <v>366</v>
      </c>
      <c r="B1695" s="114" t="str">
        <f>VLOOKUP(A1695,'Tabela de Produtos'!A:B,2,0)</f>
        <v>BRAZIMIL BORRACHA LIQUIDA MULTIFUNÇÃO 3,6KG CERAMICA</v>
      </c>
      <c r="C1695" s="48" t="s">
        <v>1219</v>
      </c>
      <c r="D1695" s="114" t="str">
        <f>VLOOKUP(C1695,'Custos Matéria Prima Embalagens'!B:C,2,0)</f>
        <v>WANALK 70 CE (BH-200)</v>
      </c>
      <c r="E1695" s="114" t="str">
        <f>VLOOKUP(C1695,'Custos Matéria Prima Embalagens'!B:D,3,0)</f>
        <v>ALCALINIZANTE</v>
      </c>
      <c r="F1695" s="270">
        <f t="shared" si="224"/>
        <v>2084</v>
      </c>
      <c r="G1695" s="148">
        <f t="shared" si="225"/>
        <v>2.8790786948176585E-3</v>
      </c>
      <c r="H1695" s="276">
        <v>6</v>
      </c>
      <c r="I1695" s="272">
        <f>ROUND(F1695/VLOOKUP(A1695,'Tabela de Produtos'!A:J,10,0),0)</f>
        <v>2084</v>
      </c>
      <c r="J1695" s="97">
        <f>IFERROR(VLOOKUP(C1695,'Custos Matéria Prima Embalagens'!B:G,6,0)*H1695,"Matéria Prima Não Cadastrada")</f>
        <v>29.880000000000003</v>
      </c>
      <c r="K1695" s="97">
        <f>IFERROR(J1695/(I1695/VLOOKUP(A1695,'Tabela de Produtos'!A:H,8,0)),"Matéria Prima Não Cadastrada")</f>
        <v>5.1616122840690982E-2</v>
      </c>
      <c r="L1695" s="216"/>
    </row>
    <row r="1696" spans="1:12" ht="15.75" customHeight="1">
      <c r="A1696" s="114" t="s">
        <v>366</v>
      </c>
      <c r="B1696" s="114" t="str">
        <f>VLOOKUP(A1696,'Tabela de Produtos'!A:B,2,0)</f>
        <v>BRAZIMIL BORRACHA LIQUIDA MULTIFUNÇÃO 3,6KG CERAMICA</v>
      </c>
      <c r="C1696" s="48" t="s">
        <v>1221</v>
      </c>
      <c r="D1696" s="114" t="str">
        <f>VLOOKUP(C1696,'Custos Matéria Prima Embalagens'!B:C,2,0)</f>
        <v>MODIWAN 105H CE (CT-1000P)</v>
      </c>
      <c r="E1696" s="114" t="str">
        <f>VLOOKUP(C1696,'Custos Matéria Prima Embalagens'!B:D,3,0)</f>
        <v>ESPESSANTE DE MEDIA</v>
      </c>
      <c r="F1696" s="270">
        <f t="shared" si="224"/>
        <v>2084</v>
      </c>
      <c r="G1696" s="148">
        <f t="shared" si="225"/>
        <v>9.5969289827255271E-3</v>
      </c>
      <c r="H1696" s="276">
        <v>20</v>
      </c>
      <c r="I1696" s="272">
        <f>ROUND(F1696/VLOOKUP(A1696,'Tabela de Produtos'!A:J,10,0),0)</f>
        <v>2084</v>
      </c>
      <c r="J1696" s="97">
        <f>IFERROR(VLOOKUP(C1696,'Custos Matéria Prima Embalagens'!B:G,6,0)*H1696,"Matéria Prima Não Cadastrada")</f>
        <v>158.1</v>
      </c>
      <c r="K1696" s="97">
        <f>IFERROR(J1696/(I1696/VLOOKUP(A1696,'Tabela de Produtos'!A:H,8,0)),"Matéria Prima Não Cadastrada")</f>
        <v>0.27310940499040304</v>
      </c>
      <c r="L1696" s="216"/>
    </row>
    <row r="1697" spans="1:12" ht="15.75" customHeight="1">
      <c r="D1697" s="114"/>
      <c r="E1697" s="114"/>
      <c r="F1697" s="96"/>
      <c r="G1697" s="148"/>
      <c r="H1697" s="96"/>
      <c r="I1697" s="272"/>
      <c r="J1697" s="97"/>
      <c r="K1697" s="97"/>
      <c r="L1697" s="216"/>
    </row>
    <row r="1698" spans="1:12" ht="15.75" customHeight="1">
      <c r="A1698" s="114" t="s">
        <v>367</v>
      </c>
      <c r="B1698" s="114" t="str">
        <f>VLOOKUP(A1698,'Tabela de Produtos'!A:B,2,0)</f>
        <v>BRAZIMIL BORRACHA LIQUIDA MULTIFUNÇÃO 3,6KG BEGE</v>
      </c>
      <c r="C1698" s="48" t="s">
        <v>1197</v>
      </c>
      <c r="D1698" s="114" t="str">
        <f>VLOOKUP(C1698,'Custos Matéria Prima Embalagens'!B:C,2,0)</f>
        <v>AGUA</v>
      </c>
      <c r="E1698" s="114" t="str">
        <f>VLOOKUP(C1698,'Custos Matéria Prima Embalagens'!B:D,3,0)</f>
        <v>AGUA</v>
      </c>
      <c r="F1698" s="270">
        <f t="shared" ref="F1698:F1713" si="226">SUMIFS(H:H,A:A,A1698)</f>
        <v>2084</v>
      </c>
      <c r="G1698" s="148">
        <f t="shared" ref="G1698:G1713" si="227">H1698/F1698</f>
        <v>0.23992322456813819</v>
      </c>
      <c r="H1698" s="276">
        <v>500</v>
      </c>
      <c r="I1698" s="272">
        <f>ROUND(F1698/VLOOKUP(A1698,'Tabela de Produtos'!A:J,10,0),0)</f>
        <v>2084</v>
      </c>
      <c r="J1698" s="97">
        <f>IFERROR(VLOOKUP(C1698,'Custos Matéria Prima Embalagens'!B:G,6,0)*H1698,"Matéria Prima Não Cadastrada")</f>
        <v>0</v>
      </c>
      <c r="K1698" s="97">
        <f>IFERROR(J1698/(I1698/VLOOKUP(A1698,'Tabela de Produtos'!A:H,8,0)),"Matéria Prima Não Cadastrada")</f>
        <v>0</v>
      </c>
      <c r="L1698" s="216"/>
    </row>
    <row r="1699" spans="1:12" ht="15.75" customHeight="1">
      <c r="A1699" s="114" t="s">
        <v>367</v>
      </c>
      <c r="B1699" s="114" t="str">
        <f>VLOOKUP(A1699,'Tabela de Produtos'!A:B,2,0)</f>
        <v>BRAZIMIL BORRACHA LIQUIDA MULTIFUNÇÃO 3,6KG BEGE</v>
      </c>
      <c r="C1699" s="48" t="s">
        <v>1199</v>
      </c>
      <c r="D1699" s="114" t="str">
        <f>VLOOKUP(C1699,'Custos Matéria Prima Embalagens'!B:C,2,0)</f>
        <v>HEXAMETAFOSFATO DE SODIO</v>
      </c>
      <c r="E1699" s="114" t="str">
        <f>VLOOKUP(C1699,'Custos Matéria Prima Embalagens'!B:D,3,0)</f>
        <v>HEXAMETAFOSFATO DE SODIO</v>
      </c>
      <c r="F1699" s="270">
        <f t="shared" si="226"/>
        <v>2084</v>
      </c>
      <c r="G1699" s="148">
        <f t="shared" si="227"/>
        <v>4.7984644913627637E-4</v>
      </c>
      <c r="H1699" s="276">
        <v>1</v>
      </c>
      <c r="I1699" s="272">
        <f>ROUND(F1699/VLOOKUP(A1699,'Tabela de Produtos'!A:J,10,0),0)</f>
        <v>2084</v>
      </c>
      <c r="J1699" s="97">
        <f>IFERROR(VLOOKUP(C1699,'Custos Matéria Prima Embalagens'!B:G,6,0)*H1699,"Matéria Prima Não Cadastrada")</f>
        <v>17.939999999999998</v>
      </c>
      <c r="K1699" s="97">
        <f>IFERROR(J1699/(I1699/VLOOKUP(A1699,'Tabela de Produtos'!A:H,8,0)),"Matéria Prima Não Cadastrada")</f>
        <v>3.0990403071017268E-2</v>
      </c>
      <c r="L1699" s="216"/>
    </row>
    <row r="1700" spans="1:12" ht="15.75" customHeight="1">
      <c r="A1700" s="114" t="s">
        <v>367</v>
      </c>
      <c r="B1700" s="114" t="str">
        <f>VLOOKUP(A1700,'Tabela de Produtos'!A:B,2,0)</f>
        <v>BRAZIMIL BORRACHA LIQUIDA MULTIFUNÇÃO 3,6KG BEGE</v>
      </c>
      <c r="C1700" s="48" t="s">
        <v>1257</v>
      </c>
      <c r="D1700" s="114" t="str">
        <f>VLOOKUP(C1700,'Custos Matéria Prima Embalagens'!B:C,2,0)</f>
        <v>WANCOAT 520 (BR-45)</v>
      </c>
      <c r="E1700" s="114" t="str">
        <f>VLOOKUP(C1700,'Custos Matéria Prima Embalagens'!B:D,3,0)</f>
        <v>ANTI ESPUMA ESM BASE AGUA</v>
      </c>
      <c r="F1700" s="270">
        <f t="shared" si="226"/>
        <v>2084</v>
      </c>
      <c r="G1700" s="148">
        <f t="shared" si="227"/>
        <v>1.9193857965451055E-3</v>
      </c>
      <c r="H1700" s="276">
        <v>4</v>
      </c>
      <c r="I1700" s="272">
        <f>ROUND(F1700/VLOOKUP(A1700,'Tabela de Produtos'!A:J,10,0),0)</f>
        <v>2084</v>
      </c>
      <c r="J1700" s="97">
        <f>IFERROR(VLOOKUP(C1700,'Custos Matéria Prima Embalagens'!B:G,6,0)*H1700,"Matéria Prima Não Cadastrada")</f>
        <v>47.045692813527602</v>
      </c>
      <c r="K1700" s="97">
        <f>IFERROR(J1700/(I1700/VLOOKUP(A1700,'Tabela de Produtos'!A:H,8,0)),"Matéria Prima Não Cadastrada")</f>
        <v>8.1268951117418123E-2</v>
      </c>
      <c r="L1700" s="216"/>
    </row>
    <row r="1701" spans="1:12" ht="15.75" customHeight="1">
      <c r="A1701" s="114" t="s">
        <v>367</v>
      </c>
      <c r="B1701" s="114" t="str">
        <f>VLOOKUP(A1701,'Tabela de Produtos'!A:B,2,0)</f>
        <v>BRAZIMIL BORRACHA LIQUIDA MULTIFUNÇÃO 3,6KG BEGE</v>
      </c>
      <c r="C1701" s="48" t="s">
        <v>1203</v>
      </c>
      <c r="D1701" s="114" t="str">
        <f>VLOOKUP(C1701,'Custos Matéria Prima Embalagens'!B:C,2,0)</f>
        <v>WANBAC WBT CE (BH-200)</v>
      </c>
      <c r="E1701" s="114" t="str">
        <f>VLOOKUP(C1701,'Custos Matéria Prima Embalagens'!B:D,3,0)</f>
        <v>BACTERICIDA</v>
      </c>
      <c r="F1701" s="270">
        <f t="shared" si="226"/>
        <v>2084</v>
      </c>
      <c r="G1701" s="148">
        <f t="shared" si="227"/>
        <v>1.9193857965451055E-3</v>
      </c>
      <c r="H1701" s="276">
        <v>4</v>
      </c>
      <c r="I1701" s="272">
        <f>ROUND(F1701/VLOOKUP(A1701,'Tabela de Produtos'!A:J,10,0),0)</f>
        <v>2084</v>
      </c>
      <c r="J1701" s="97">
        <f>IFERROR(VLOOKUP(C1701,'Custos Matéria Prima Embalagens'!B:G,6,0)*H1701,"Matéria Prima Não Cadastrada")</f>
        <v>19.759999999999998</v>
      </c>
      <c r="K1701" s="97">
        <f>IFERROR(J1701/(I1701/VLOOKUP(A1701,'Tabela de Produtos'!A:H,8,0)),"Matéria Prima Não Cadastrada")</f>
        <v>3.4134357005758155E-2</v>
      </c>
      <c r="L1701" s="216"/>
    </row>
    <row r="1702" spans="1:12" ht="15.75" customHeight="1">
      <c r="A1702" s="114" t="s">
        <v>367</v>
      </c>
      <c r="B1702" s="114" t="str">
        <f>VLOOKUP(A1702,'Tabela de Produtos'!A:B,2,0)</f>
        <v>BRAZIMIL BORRACHA LIQUIDA MULTIFUNÇÃO 3,6KG BEGE</v>
      </c>
      <c r="C1702" s="48" t="s">
        <v>1205</v>
      </c>
      <c r="D1702" s="114" t="str">
        <f>VLOOKUP(C1702,'Custos Matéria Prima Embalagens'!B:C,2,0)</f>
        <v>WANSUR 840 CE (BB-200)01</v>
      </c>
      <c r="E1702" s="114" t="str">
        <f>VLOOKUP(C1702,'Custos Matéria Prima Embalagens'!B:D,3,0)</f>
        <v>UMECTANTE</v>
      </c>
      <c r="F1702" s="270">
        <f t="shared" si="226"/>
        <v>2084</v>
      </c>
      <c r="G1702" s="148">
        <f t="shared" si="227"/>
        <v>2.8790786948176585E-3</v>
      </c>
      <c r="H1702" s="276">
        <v>6</v>
      </c>
      <c r="I1702" s="272">
        <f>ROUND(F1702/VLOOKUP(A1702,'Tabela de Produtos'!A:J,10,0),0)</f>
        <v>2084</v>
      </c>
      <c r="J1702" s="97">
        <f>IFERROR(VLOOKUP(C1702,'Custos Matéria Prima Embalagens'!B:G,6,0)*H1702,"Matéria Prima Não Cadastrada")</f>
        <v>43.980000000000004</v>
      </c>
      <c r="K1702" s="97">
        <f>IFERROR(J1702/(I1702/VLOOKUP(A1702,'Tabela de Produtos'!A:H,8,0)),"Matéria Prima Não Cadastrada")</f>
        <v>7.5973128598848375E-2</v>
      </c>
      <c r="L1702" s="216"/>
    </row>
    <row r="1703" spans="1:12" ht="15.75" customHeight="1">
      <c r="A1703" s="114" t="s">
        <v>367</v>
      </c>
      <c r="B1703" s="114" t="str">
        <f>VLOOKUP(A1703,'Tabela de Produtos'!A:B,2,0)</f>
        <v>BRAZIMIL BORRACHA LIQUIDA MULTIFUNÇÃO 3,6KG BEGE</v>
      </c>
      <c r="C1703" s="48" t="s">
        <v>1207</v>
      </c>
      <c r="D1703" s="114" t="str">
        <f>VLOOKUP(C1703,'Custos Matéria Prima Embalagens'!B:C,2,0)</f>
        <v>WANPEX 1510 (BB-200)</v>
      </c>
      <c r="E1703" s="114" t="str">
        <f>VLOOKUP(C1703,'Custos Matéria Prima Embalagens'!B:D,3,0)</f>
        <v>DISPERSANTE LATEX</v>
      </c>
      <c r="F1703" s="270">
        <f t="shared" si="226"/>
        <v>2084</v>
      </c>
      <c r="G1703" s="148">
        <f t="shared" si="227"/>
        <v>3.838771593090211E-3</v>
      </c>
      <c r="H1703" s="276">
        <v>8</v>
      </c>
      <c r="I1703" s="272">
        <f>ROUND(F1703/VLOOKUP(A1703,'Tabela de Produtos'!A:J,10,0),0)</f>
        <v>2084</v>
      </c>
      <c r="J1703" s="97">
        <f>IFERROR(VLOOKUP(C1703,'Custos Matéria Prima Embalagens'!B:G,6,0)*H1703,"Matéria Prima Não Cadastrada")</f>
        <v>54.879999999999995</v>
      </c>
      <c r="K1703" s="97">
        <f>IFERROR(J1703/(I1703/VLOOKUP(A1703,'Tabela de Produtos'!A:H,8,0)),"Matéria Prima Não Cadastrada")</f>
        <v>9.4802303262955842E-2</v>
      </c>
      <c r="L1703" s="216"/>
    </row>
    <row r="1704" spans="1:12" ht="15.75" customHeight="1">
      <c r="A1704" s="114" t="s">
        <v>367</v>
      </c>
      <c r="B1704" s="114" t="str">
        <f>VLOOKUP(A1704,'Tabela de Produtos'!A:B,2,0)</f>
        <v>BRAZIMIL BORRACHA LIQUIDA MULTIFUNÇÃO 3,6KG BEGE</v>
      </c>
      <c r="C1704" s="48" t="s">
        <v>1209</v>
      </c>
      <c r="D1704" s="114" t="str">
        <f>VLOOKUP(C1704,'Custos Matéria Prima Embalagens'!B:C,2,0)</f>
        <v>WANFUNG WFT CE (BH-200)</v>
      </c>
      <c r="E1704" s="114" t="str">
        <f>VLOOKUP(C1704,'Custos Matéria Prima Embalagens'!B:D,3,0)</f>
        <v>FUNGICIDA</v>
      </c>
      <c r="F1704" s="270">
        <f t="shared" si="226"/>
        <v>2084</v>
      </c>
      <c r="G1704" s="148">
        <f t="shared" si="227"/>
        <v>2.3992322456813818E-3</v>
      </c>
      <c r="H1704" s="276">
        <v>5</v>
      </c>
      <c r="I1704" s="272">
        <f>ROUND(F1704/VLOOKUP(A1704,'Tabela de Produtos'!A:J,10,0),0)</f>
        <v>2084</v>
      </c>
      <c r="J1704" s="97">
        <f>IFERROR(VLOOKUP(C1704,'Custos Matéria Prima Embalagens'!B:G,6,0)*H1704,"Matéria Prima Não Cadastrada")</f>
        <v>35</v>
      </c>
      <c r="K1704" s="97">
        <f>IFERROR(J1704/(I1704/VLOOKUP(A1704,'Tabela de Produtos'!A:H,8,0)),"Matéria Prima Não Cadastrada")</f>
        <v>6.0460652591170824E-2</v>
      </c>
      <c r="L1704" s="216"/>
    </row>
    <row r="1705" spans="1:12" ht="15.75" customHeight="1">
      <c r="A1705" s="114" t="s">
        <v>367</v>
      </c>
      <c r="B1705" s="114" t="str">
        <f>VLOOKUP(A1705,'Tabela de Produtos'!A:B,2,0)</f>
        <v>BRAZIMIL BORRACHA LIQUIDA MULTIFUNÇÃO 3,6KG BEGE</v>
      </c>
      <c r="C1705" s="48" t="s">
        <v>1213</v>
      </c>
      <c r="D1705" s="114" t="str">
        <f>VLOOKUP(C1705,'Custos Matéria Prima Embalagens'!B:C,2,0)</f>
        <v>DIOXIDO DE TITANIO RUTILO R-996</v>
      </c>
      <c r="E1705" s="114" t="str">
        <f>VLOOKUP(C1705,'Custos Matéria Prima Embalagens'!B:D,3,0)</f>
        <v>TITANIO</v>
      </c>
      <c r="F1705" s="270">
        <f t="shared" si="226"/>
        <v>2084</v>
      </c>
      <c r="G1705" s="148">
        <f t="shared" si="227"/>
        <v>0.1199616122840691</v>
      </c>
      <c r="H1705" s="276">
        <v>250</v>
      </c>
      <c r="I1705" s="272">
        <f>ROUND(F1705/VLOOKUP(A1705,'Tabela de Produtos'!A:J,10,0),0)</f>
        <v>2084</v>
      </c>
      <c r="J1705" s="97">
        <f>IFERROR(VLOOKUP(C1705,'Custos Matéria Prima Embalagens'!B:G,6,0)*H1705,"Matéria Prima Não Cadastrada")</f>
        <v>4825</v>
      </c>
      <c r="K1705" s="97">
        <f>IFERROR(J1705/(I1705/VLOOKUP(A1705,'Tabela de Produtos'!A:H,8,0)),"Matéria Prima Não Cadastrada")</f>
        <v>8.3349328214971212</v>
      </c>
      <c r="L1705" s="216"/>
    </row>
    <row r="1706" spans="1:12" ht="15.75" customHeight="1">
      <c r="A1706" s="114" t="s">
        <v>367</v>
      </c>
      <c r="B1706" s="114" t="str">
        <f>VLOOKUP(A1706,'Tabela de Produtos'!A:B,2,0)</f>
        <v>BRAZIMIL BORRACHA LIQUIDA MULTIFUNÇÃO 3,6KG BEGE</v>
      </c>
      <c r="C1706" s="48" t="s">
        <v>1211</v>
      </c>
      <c r="D1706" s="114" t="str">
        <f>VLOOKUP(C1706,'Custos Matéria Prima Embalagens'!B:C,2,0)</f>
        <v>WHITE PLUS PB (SC-25) (Em negociação)</v>
      </c>
      <c r="E1706" s="114" t="str">
        <f>VLOOKUP(C1706,'Custos Matéria Prima Embalagens'!B:D,3,0)</f>
        <v>WHITE PLUS</v>
      </c>
      <c r="F1706" s="270">
        <f t="shared" si="226"/>
        <v>2084</v>
      </c>
      <c r="G1706" s="148">
        <f t="shared" si="227"/>
        <v>0.19193857965451055</v>
      </c>
      <c r="H1706" s="276">
        <v>400</v>
      </c>
      <c r="I1706" s="272">
        <f>ROUND(F1706/VLOOKUP(A1706,'Tabela de Produtos'!A:J,10,0),0)</f>
        <v>2084</v>
      </c>
      <c r="J1706" s="97">
        <f>IFERROR(VLOOKUP(C1706,'Custos Matéria Prima Embalagens'!B:G,6,0)*H1706,"Matéria Prima Não Cadastrada")</f>
        <v>1236</v>
      </c>
      <c r="K1706" s="97">
        <f>IFERROR(J1706/(I1706/VLOOKUP(A1706,'Tabela de Produtos'!A:H,8,0)),"Matéria Prima Não Cadastrada")</f>
        <v>2.1351247600767755</v>
      </c>
      <c r="L1706" s="216"/>
    </row>
    <row r="1707" spans="1:12" ht="15.75" customHeight="1">
      <c r="A1707" s="114" t="s">
        <v>367</v>
      </c>
      <c r="B1707" s="114" t="str">
        <f>VLOOKUP(A1707,'Tabela de Produtos'!A:B,2,0)</f>
        <v>BRAZIMIL BORRACHA LIQUIDA MULTIFUNÇÃO 3,6KG BEGE</v>
      </c>
      <c r="C1707" s="48" t="s">
        <v>1215</v>
      </c>
      <c r="D1707" s="114" t="str">
        <f>VLOOKUP(C1707,'Custos Matéria Prima Embalagens'!B:C,2,0)</f>
        <v>CALCARIO DOLOMITICO #500 ( SACOS 25 KG)</v>
      </c>
      <c r="E1707" s="114" t="str">
        <f>VLOOKUP(C1707,'Custos Matéria Prima Embalagens'!B:D,3,0)</f>
        <v>CARBONATO #500</v>
      </c>
      <c r="F1707" s="270">
        <f t="shared" si="226"/>
        <v>2084</v>
      </c>
      <c r="G1707" s="148">
        <f t="shared" si="227"/>
        <v>4.7984644913627639E-2</v>
      </c>
      <c r="H1707" s="276">
        <v>100</v>
      </c>
      <c r="I1707" s="272">
        <f>ROUND(F1707/VLOOKUP(A1707,'Tabela de Produtos'!A:J,10,0),0)</f>
        <v>2084</v>
      </c>
      <c r="J1707" s="97">
        <f>IFERROR(VLOOKUP(C1707,'Custos Matéria Prima Embalagens'!B:G,6,0)*H1707,"Matéria Prima Não Cadastrada")</f>
        <v>80</v>
      </c>
      <c r="K1707" s="97">
        <f>IFERROR(J1707/(I1707/VLOOKUP(A1707,'Tabela de Produtos'!A:H,8,0)),"Matéria Prima Não Cadastrada")</f>
        <v>0.13819577735124761</v>
      </c>
      <c r="L1707" s="216"/>
    </row>
    <row r="1708" spans="1:12" ht="15.75" customHeight="1">
      <c r="A1708" s="114" t="s">
        <v>367</v>
      </c>
      <c r="B1708" s="114" t="str">
        <f>VLOOKUP(A1708,'Tabela de Produtos'!A:B,2,0)</f>
        <v>BRAZIMIL BORRACHA LIQUIDA MULTIFUNÇÃO 3,6KG BEGE</v>
      </c>
      <c r="C1708" s="48" t="s">
        <v>1217</v>
      </c>
      <c r="D1708" s="114" t="str">
        <f>VLOOKUP(C1708,'Custos Matéria Prima Embalagens'!B:C,2,0)</f>
        <v>WANCRIL W 51 CE (CT-1000P)</v>
      </c>
      <c r="E1708" s="114" t="str">
        <f>VLOOKUP(C1708,'Custos Matéria Prima Embalagens'!B:D,3,0)</f>
        <v>RESINA ACRILICA ESTIRENADA</v>
      </c>
      <c r="F1708" s="270">
        <f t="shared" si="226"/>
        <v>2084</v>
      </c>
      <c r="G1708" s="148">
        <f t="shared" si="227"/>
        <v>4.7984644913627639E-2</v>
      </c>
      <c r="H1708" s="276">
        <v>100</v>
      </c>
      <c r="I1708" s="272">
        <f>ROUND(F1708/VLOOKUP(A1708,'Tabela de Produtos'!A:J,10,0),0)</f>
        <v>2084</v>
      </c>
      <c r="J1708" s="97">
        <f>IFERROR(VLOOKUP(C1708,'Custos Matéria Prima Embalagens'!B:G,6,0)*H1708,"Matéria Prima Não Cadastrada")</f>
        <v>843</v>
      </c>
      <c r="K1708" s="97">
        <f>IFERROR(J1708/(I1708/VLOOKUP(A1708,'Tabela de Produtos'!A:H,8,0)),"Matéria Prima Não Cadastrada")</f>
        <v>1.4562380038387714</v>
      </c>
      <c r="L1708" s="216"/>
    </row>
    <row r="1709" spans="1:12" ht="15.75" customHeight="1">
      <c r="A1709" s="114" t="s">
        <v>367</v>
      </c>
      <c r="B1709" s="114" t="str">
        <f>VLOOKUP(A1709,'Tabela de Produtos'!A:B,2,0)</f>
        <v>BRAZIMIL BORRACHA LIQUIDA MULTIFUNÇÃO 3,6KG BEGE</v>
      </c>
      <c r="C1709" s="48" t="s">
        <v>1259</v>
      </c>
      <c r="D1709" s="114" t="str">
        <f>VLOOKUP(C1709,'Custos Matéria Prima Embalagens'!B:C,2,0)</f>
        <v>WANCRIL IMP 09 (BB-200)</v>
      </c>
      <c r="E1709" s="114" t="str">
        <f>VLOOKUP(C1709,'Custos Matéria Prima Embalagens'!B:D,3,0)</f>
        <v>RESINA ELASTOMERICA</v>
      </c>
      <c r="F1709" s="270">
        <f t="shared" si="226"/>
        <v>2084</v>
      </c>
      <c r="G1709" s="148">
        <f t="shared" si="227"/>
        <v>0.28790786948176583</v>
      </c>
      <c r="H1709" s="276">
        <v>600</v>
      </c>
      <c r="I1709" s="272">
        <f>ROUND(F1709/VLOOKUP(A1709,'Tabela de Produtos'!A:J,10,0),0)</f>
        <v>2084</v>
      </c>
      <c r="J1709" s="97">
        <f>IFERROR(VLOOKUP(C1709,'Custos Matéria Prima Embalagens'!B:G,6,0)*H1709,"Matéria Prima Não Cadastrada")</f>
        <v>7044.8539220291395</v>
      </c>
      <c r="K1709" s="97">
        <f>IFERROR(J1709/(I1709/VLOOKUP(A1709,'Tabela de Produtos'!A:H,8,0)),"Matéria Prima Não Cadastrada")</f>
        <v>12.169613301010029</v>
      </c>
      <c r="L1709" s="216"/>
    </row>
    <row r="1710" spans="1:12" ht="15.75" customHeight="1">
      <c r="A1710" s="114" t="s">
        <v>367</v>
      </c>
      <c r="B1710" s="114" t="str">
        <f>VLOOKUP(A1710,'Tabela de Produtos'!A:B,2,0)</f>
        <v>BRAZIMIL BORRACHA LIQUIDA MULTIFUNÇÃO 3,6KG BEGE</v>
      </c>
      <c r="C1710" s="48" t="s">
        <v>1229</v>
      </c>
      <c r="D1710" s="114" t="str">
        <f>VLOOKUP(C1710,'Custos Matéria Prima Embalagens'!B:C,2,0)</f>
        <v>WANSOL 340 CE (BB-200)</v>
      </c>
      <c r="E1710" s="114" t="str">
        <f>VLOOKUP(C1710,'Custos Matéria Prima Embalagens'!B:D,3,0)</f>
        <v>COALESCENTE</v>
      </c>
      <c r="F1710" s="270">
        <f t="shared" si="226"/>
        <v>2084</v>
      </c>
      <c r="G1710" s="148">
        <f t="shared" si="227"/>
        <v>9.5969289827255271E-3</v>
      </c>
      <c r="H1710" s="276">
        <v>20</v>
      </c>
      <c r="I1710" s="272">
        <f>ROUND(F1710/VLOOKUP(A1710,'Tabela de Produtos'!A:J,10,0),0)</f>
        <v>2084</v>
      </c>
      <c r="J1710" s="97">
        <f>IFERROR(VLOOKUP(C1710,'Custos Matéria Prima Embalagens'!B:G,6,0)*H1710,"Matéria Prima Não Cadastrada")</f>
        <v>384.4</v>
      </c>
      <c r="K1710" s="97">
        <f>IFERROR(J1710/(I1710/VLOOKUP(A1710,'Tabela de Produtos'!A:H,8,0)),"Matéria Prima Não Cadastrada")</f>
        <v>0.66403071017274462</v>
      </c>
      <c r="L1710" s="216"/>
    </row>
    <row r="1711" spans="1:12" ht="15.75" customHeight="1">
      <c r="A1711" s="114" t="s">
        <v>367</v>
      </c>
      <c r="B1711" s="114" t="str">
        <f>VLOOKUP(A1711,'Tabela de Produtos'!A:B,2,0)</f>
        <v>BRAZIMIL BORRACHA LIQUIDA MULTIFUNÇÃO 3,6KG BEGE</v>
      </c>
      <c r="C1711" s="48" t="s">
        <v>1261</v>
      </c>
      <c r="D1711" s="114" t="str">
        <f>VLOOKUP(C1711,'Custos Matéria Prima Embalagens'!B:C,2,0)</f>
        <v>WANCOAT PA70 (BR-45)</v>
      </c>
      <c r="E1711" s="114" t="str">
        <f>VLOOKUP(C1711,'Custos Matéria Prima Embalagens'!B:D,3,0)</f>
        <v>HIDROREPELENTE BASE AGUA</v>
      </c>
      <c r="F1711" s="270">
        <f t="shared" si="226"/>
        <v>2084</v>
      </c>
      <c r="G1711" s="148">
        <f t="shared" si="227"/>
        <v>2.8790786948176585E-2</v>
      </c>
      <c r="H1711" s="276">
        <v>60</v>
      </c>
      <c r="I1711" s="272">
        <f>ROUND(F1711/VLOOKUP(A1711,'Tabela de Produtos'!A:J,10,0),0)</f>
        <v>2084</v>
      </c>
      <c r="J1711" s="97">
        <f>IFERROR(VLOOKUP(C1711,'Custos Matéria Prima Embalagens'!B:G,6,0)*H1711,"Matéria Prima Não Cadastrada")</f>
        <v>1885.8853922029141</v>
      </c>
      <c r="K1711" s="97">
        <f>IFERROR(J1711/(I1711/VLOOKUP(A1711,'Tabela de Produtos'!A:H,8,0)),"Matéria Prima Não Cadastrada")</f>
        <v>3.2577674721355518</v>
      </c>
      <c r="L1711" s="216"/>
    </row>
    <row r="1712" spans="1:12" ht="15.75" customHeight="1">
      <c r="A1712" s="114" t="s">
        <v>367</v>
      </c>
      <c r="B1712" s="114" t="str">
        <f>VLOOKUP(A1712,'Tabela de Produtos'!A:B,2,0)</f>
        <v>BRAZIMIL BORRACHA LIQUIDA MULTIFUNÇÃO 3,6KG BEGE</v>
      </c>
      <c r="C1712" s="48" t="s">
        <v>1219</v>
      </c>
      <c r="D1712" s="114" t="str">
        <f>VLOOKUP(C1712,'Custos Matéria Prima Embalagens'!B:C,2,0)</f>
        <v>WANALK 70 CE (BH-200)</v>
      </c>
      <c r="E1712" s="114" t="str">
        <f>VLOOKUP(C1712,'Custos Matéria Prima Embalagens'!B:D,3,0)</f>
        <v>ALCALINIZANTE</v>
      </c>
      <c r="F1712" s="270">
        <f t="shared" si="226"/>
        <v>2084</v>
      </c>
      <c r="G1712" s="148">
        <f t="shared" si="227"/>
        <v>2.8790786948176585E-3</v>
      </c>
      <c r="H1712" s="276">
        <v>6</v>
      </c>
      <c r="I1712" s="272">
        <f>ROUND(F1712/VLOOKUP(A1712,'Tabela de Produtos'!A:J,10,0),0)</f>
        <v>2084</v>
      </c>
      <c r="J1712" s="97">
        <f>IFERROR(VLOOKUP(C1712,'Custos Matéria Prima Embalagens'!B:G,6,0)*H1712,"Matéria Prima Não Cadastrada")</f>
        <v>29.880000000000003</v>
      </c>
      <c r="K1712" s="97">
        <f>IFERROR(J1712/(I1712/VLOOKUP(A1712,'Tabela de Produtos'!A:H,8,0)),"Matéria Prima Não Cadastrada")</f>
        <v>5.1616122840690982E-2</v>
      </c>
      <c r="L1712" s="216"/>
    </row>
    <row r="1713" spans="1:12" ht="15.75" customHeight="1">
      <c r="A1713" s="114" t="s">
        <v>367</v>
      </c>
      <c r="B1713" s="114" t="str">
        <f>VLOOKUP(A1713,'Tabela de Produtos'!A:B,2,0)</f>
        <v>BRAZIMIL BORRACHA LIQUIDA MULTIFUNÇÃO 3,6KG BEGE</v>
      </c>
      <c r="C1713" s="48" t="s">
        <v>1221</v>
      </c>
      <c r="D1713" s="114" t="str">
        <f>VLOOKUP(C1713,'Custos Matéria Prima Embalagens'!B:C,2,0)</f>
        <v>MODIWAN 105H CE (CT-1000P)</v>
      </c>
      <c r="E1713" s="114" t="str">
        <f>VLOOKUP(C1713,'Custos Matéria Prima Embalagens'!B:D,3,0)</f>
        <v>ESPESSANTE DE MEDIA</v>
      </c>
      <c r="F1713" s="270">
        <f t="shared" si="226"/>
        <v>2084</v>
      </c>
      <c r="G1713" s="148">
        <f t="shared" si="227"/>
        <v>9.5969289827255271E-3</v>
      </c>
      <c r="H1713" s="276">
        <v>20</v>
      </c>
      <c r="I1713" s="272">
        <f>ROUND(F1713/VLOOKUP(A1713,'Tabela de Produtos'!A:J,10,0),0)</f>
        <v>2084</v>
      </c>
      <c r="J1713" s="97">
        <f>IFERROR(VLOOKUP(C1713,'Custos Matéria Prima Embalagens'!B:G,6,0)*H1713,"Matéria Prima Não Cadastrada")</f>
        <v>158.1</v>
      </c>
      <c r="K1713" s="97">
        <f>IFERROR(J1713/(I1713/VLOOKUP(A1713,'Tabela de Produtos'!A:H,8,0)),"Matéria Prima Não Cadastrada")</f>
        <v>0.27310940499040304</v>
      </c>
      <c r="L1713" s="216"/>
    </row>
    <row r="1714" spans="1:12" ht="15.75" customHeight="1">
      <c r="D1714" s="114"/>
      <c r="E1714" s="114"/>
      <c r="F1714" s="96"/>
      <c r="G1714" s="148"/>
      <c r="H1714" s="96"/>
      <c r="I1714" s="272"/>
      <c r="J1714" s="97"/>
      <c r="K1714" s="97"/>
      <c r="L1714" s="216"/>
    </row>
    <row r="1715" spans="1:12" ht="15.75" customHeight="1">
      <c r="A1715" s="114" t="s">
        <v>368</v>
      </c>
      <c r="B1715" s="114" t="str">
        <f>VLOOKUP(A1715,'Tabela de Produtos'!A:B,2,0)</f>
        <v>BRAZIMIL BORRACHA LIQUIDA MULTIFUNÇÃO 14KG BRANCO NEVE</v>
      </c>
      <c r="C1715" s="48" t="s">
        <v>1197</v>
      </c>
      <c r="D1715" s="114" t="str">
        <f>VLOOKUP(C1715,'Custos Matéria Prima Embalagens'!B:C,2,0)</f>
        <v>AGUA</v>
      </c>
      <c r="E1715" s="114" t="str">
        <f>VLOOKUP(C1715,'Custos Matéria Prima Embalagens'!B:D,3,0)</f>
        <v>AGUA</v>
      </c>
      <c r="F1715" s="270">
        <f t="shared" ref="F1715:F1730" si="228">SUMIFS(H:H,A:A,A1715)</f>
        <v>2084</v>
      </c>
      <c r="G1715" s="148">
        <f t="shared" ref="G1715:G1730" si="229">H1715/F1715</f>
        <v>0.23992322456813819</v>
      </c>
      <c r="H1715" s="276">
        <v>500</v>
      </c>
      <c r="I1715" s="272">
        <f>ROUND(F1715/VLOOKUP(A1715,'Tabela de Produtos'!A:J,10,0),0)</f>
        <v>2084</v>
      </c>
      <c r="J1715" s="97">
        <f>IFERROR(VLOOKUP(C1715,'Custos Matéria Prima Embalagens'!B:G,6,0)*H1715,"Matéria Prima Não Cadastrada")</f>
        <v>0</v>
      </c>
      <c r="K1715" s="97">
        <f>IFERROR(J1715/(I1715/VLOOKUP(A1715,'Tabela de Produtos'!A:H,8,0)),"Matéria Prima Não Cadastrada")</f>
        <v>0</v>
      </c>
      <c r="L1715" s="216"/>
    </row>
    <row r="1716" spans="1:12" ht="15.75" customHeight="1">
      <c r="A1716" s="114" t="s">
        <v>368</v>
      </c>
      <c r="B1716" s="114" t="str">
        <f>VLOOKUP(A1716,'Tabela de Produtos'!A:B,2,0)</f>
        <v>BRAZIMIL BORRACHA LIQUIDA MULTIFUNÇÃO 14KG BRANCO NEVE</v>
      </c>
      <c r="C1716" s="48" t="s">
        <v>1199</v>
      </c>
      <c r="D1716" s="114" t="str">
        <f>VLOOKUP(C1716,'Custos Matéria Prima Embalagens'!B:C,2,0)</f>
        <v>HEXAMETAFOSFATO DE SODIO</v>
      </c>
      <c r="E1716" s="114" t="str">
        <f>VLOOKUP(C1716,'Custos Matéria Prima Embalagens'!B:D,3,0)</f>
        <v>HEXAMETAFOSFATO DE SODIO</v>
      </c>
      <c r="F1716" s="270">
        <f t="shared" si="228"/>
        <v>2084</v>
      </c>
      <c r="G1716" s="148">
        <f t="shared" si="229"/>
        <v>4.7984644913627637E-4</v>
      </c>
      <c r="H1716" s="276">
        <v>1</v>
      </c>
      <c r="I1716" s="272">
        <f>ROUND(F1716/VLOOKUP(A1716,'Tabela de Produtos'!A:J,10,0),0)</f>
        <v>2084</v>
      </c>
      <c r="J1716" s="97">
        <f>IFERROR(VLOOKUP(C1716,'Custos Matéria Prima Embalagens'!B:G,6,0)*H1716,"Matéria Prima Não Cadastrada")</f>
        <v>17.939999999999998</v>
      </c>
      <c r="K1716" s="97">
        <f>IFERROR(J1716/(I1716/VLOOKUP(A1716,'Tabela de Produtos'!A:H,8,0)),"Matéria Prima Não Cadastrada")</f>
        <v>0.12051823416506716</v>
      </c>
      <c r="L1716" s="216"/>
    </row>
    <row r="1717" spans="1:12" ht="15.75" customHeight="1">
      <c r="A1717" s="114" t="s">
        <v>368</v>
      </c>
      <c r="B1717" s="114" t="str">
        <f>VLOOKUP(A1717,'Tabela de Produtos'!A:B,2,0)</f>
        <v>BRAZIMIL BORRACHA LIQUIDA MULTIFUNÇÃO 14KG BRANCO NEVE</v>
      </c>
      <c r="C1717" s="48" t="s">
        <v>1257</v>
      </c>
      <c r="D1717" s="114" t="str">
        <f>VLOOKUP(C1717,'Custos Matéria Prima Embalagens'!B:C,2,0)</f>
        <v>WANCOAT 520 (BR-45)</v>
      </c>
      <c r="E1717" s="114" t="str">
        <f>VLOOKUP(C1717,'Custos Matéria Prima Embalagens'!B:D,3,0)</f>
        <v>ANTI ESPUMA ESM BASE AGUA</v>
      </c>
      <c r="F1717" s="270">
        <f t="shared" si="228"/>
        <v>2084</v>
      </c>
      <c r="G1717" s="148">
        <f t="shared" si="229"/>
        <v>1.9193857965451055E-3</v>
      </c>
      <c r="H1717" s="276">
        <v>4</v>
      </c>
      <c r="I1717" s="272">
        <f>ROUND(F1717/VLOOKUP(A1717,'Tabela de Produtos'!A:J,10,0),0)</f>
        <v>2084</v>
      </c>
      <c r="J1717" s="97">
        <f>IFERROR(VLOOKUP(C1717,'Custos Matéria Prima Embalagens'!B:G,6,0)*H1717,"Matéria Prima Não Cadastrada")</f>
        <v>47.045692813527602</v>
      </c>
      <c r="K1717" s="97">
        <f>IFERROR(J1717/(I1717/VLOOKUP(A1717,'Tabela de Produtos'!A:H,8,0)),"Matéria Prima Não Cadastrada")</f>
        <v>0.3160459210121816</v>
      </c>
      <c r="L1717" s="216"/>
    </row>
    <row r="1718" spans="1:12" ht="15.75" customHeight="1">
      <c r="A1718" s="114" t="s">
        <v>368</v>
      </c>
      <c r="B1718" s="114" t="str">
        <f>VLOOKUP(A1718,'Tabela de Produtos'!A:B,2,0)</f>
        <v>BRAZIMIL BORRACHA LIQUIDA MULTIFUNÇÃO 14KG BRANCO NEVE</v>
      </c>
      <c r="C1718" s="48" t="s">
        <v>1203</v>
      </c>
      <c r="D1718" s="114" t="str">
        <f>VLOOKUP(C1718,'Custos Matéria Prima Embalagens'!B:C,2,0)</f>
        <v>WANBAC WBT CE (BH-200)</v>
      </c>
      <c r="E1718" s="114" t="str">
        <f>VLOOKUP(C1718,'Custos Matéria Prima Embalagens'!B:D,3,0)</f>
        <v>BACTERICIDA</v>
      </c>
      <c r="F1718" s="270">
        <f t="shared" si="228"/>
        <v>2084</v>
      </c>
      <c r="G1718" s="148">
        <f t="shared" si="229"/>
        <v>1.9193857965451055E-3</v>
      </c>
      <c r="H1718" s="276">
        <v>4</v>
      </c>
      <c r="I1718" s="272">
        <f>ROUND(F1718/VLOOKUP(A1718,'Tabela de Produtos'!A:J,10,0),0)</f>
        <v>2084</v>
      </c>
      <c r="J1718" s="97">
        <f>IFERROR(VLOOKUP(C1718,'Custos Matéria Prima Embalagens'!B:G,6,0)*H1718,"Matéria Prima Não Cadastrada")</f>
        <v>19.759999999999998</v>
      </c>
      <c r="K1718" s="97">
        <f>IFERROR(J1718/(I1718/VLOOKUP(A1718,'Tabela de Produtos'!A:H,8,0)),"Matéria Prima Não Cadastrada")</f>
        <v>0.13274472168905949</v>
      </c>
      <c r="L1718" s="216"/>
    </row>
    <row r="1719" spans="1:12" ht="15.75" customHeight="1">
      <c r="A1719" s="114" t="s">
        <v>368</v>
      </c>
      <c r="B1719" s="114" t="str">
        <f>VLOOKUP(A1719,'Tabela de Produtos'!A:B,2,0)</f>
        <v>BRAZIMIL BORRACHA LIQUIDA MULTIFUNÇÃO 14KG BRANCO NEVE</v>
      </c>
      <c r="C1719" s="48" t="s">
        <v>1205</v>
      </c>
      <c r="D1719" s="114" t="str">
        <f>VLOOKUP(C1719,'Custos Matéria Prima Embalagens'!B:C,2,0)</f>
        <v>WANSUR 840 CE (BB-200)01</v>
      </c>
      <c r="E1719" s="114" t="str">
        <f>VLOOKUP(C1719,'Custos Matéria Prima Embalagens'!B:D,3,0)</f>
        <v>UMECTANTE</v>
      </c>
      <c r="F1719" s="270">
        <f t="shared" si="228"/>
        <v>2084</v>
      </c>
      <c r="G1719" s="148">
        <f t="shared" si="229"/>
        <v>2.8790786948176585E-3</v>
      </c>
      <c r="H1719" s="276">
        <v>6</v>
      </c>
      <c r="I1719" s="272">
        <f>ROUND(F1719/VLOOKUP(A1719,'Tabela de Produtos'!A:J,10,0),0)</f>
        <v>2084</v>
      </c>
      <c r="J1719" s="97">
        <f>IFERROR(VLOOKUP(C1719,'Custos Matéria Prima Embalagens'!B:G,6,0)*H1719,"Matéria Prima Não Cadastrada")</f>
        <v>43.980000000000004</v>
      </c>
      <c r="K1719" s="97">
        <f>IFERROR(J1719/(I1719/VLOOKUP(A1719,'Tabela de Produtos'!A:H,8,0)),"Matéria Prima Não Cadastrada")</f>
        <v>0.2954510556621881</v>
      </c>
      <c r="L1719" s="216"/>
    </row>
    <row r="1720" spans="1:12" ht="15.75" customHeight="1">
      <c r="A1720" s="114" t="s">
        <v>368</v>
      </c>
      <c r="B1720" s="114" t="str">
        <f>VLOOKUP(A1720,'Tabela de Produtos'!A:B,2,0)</f>
        <v>BRAZIMIL BORRACHA LIQUIDA MULTIFUNÇÃO 14KG BRANCO NEVE</v>
      </c>
      <c r="C1720" s="48" t="s">
        <v>1207</v>
      </c>
      <c r="D1720" s="114" t="str">
        <f>VLOOKUP(C1720,'Custos Matéria Prima Embalagens'!B:C,2,0)</f>
        <v>WANPEX 1510 (BB-200)</v>
      </c>
      <c r="E1720" s="114" t="str">
        <f>VLOOKUP(C1720,'Custos Matéria Prima Embalagens'!B:D,3,0)</f>
        <v>DISPERSANTE LATEX</v>
      </c>
      <c r="F1720" s="270">
        <f t="shared" si="228"/>
        <v>2084</v>
      </c>
      <c r="G1720" s="148">
        <f t="shared" si="229"/>
        <v>3.838771593090211E-3</v>
      </c>
      <c r="H1720" s="276">
        <v>8</v>
      </c>
      <c r="I1720" s="272">
        <f>ROUND(F1720/VLOOKUP(A1720,'Tabela de Produtos'!A:J,10,0),0)</f>
        <v>2084</v>
      </c>
      <c r="J1720" s="97">
        <f>IFERROR(VLOOKUP(C1720,'Custos Matéria Prima Embalagens'!B:G,6,0)*H1720,"Matéria Prima Não Cadastrada")</f>
        <v>54.879999999999995</v>
      </c>
      <c r="K1720" s="97">
        <f>IFERROR(J1720/(I1720/VLOOKUP(A1720,'Tabela de Produtos'!A:H,8,0)),"Matéria Prima Não Cadastrada")</f>
        <v>0.36867562380038382</v>
      </c>
      <c r="L1720" s="216"/>
    </row>
    <row r="1721" spans="1:12" ht="15.75" customHeight="1">
      <c r="A1721" s="114" t="s">
        <v>368</v>
      </c>
      <c r="B1721" s="114" t="str">
        <f>VLOOKUP(A1721,'Tabela de Produtos'!A:B,2,0)</f>
        <v>BRAZIMIL BORRACHA LIQUIDA MULTIFUNÇÃO 14KG BRANCO NEVE</v>
      </c>
      <c r="C1721" s="48" t="s">
        <v>1209</v>
      </c>
      <c r="D1721" s="114" t="str">
        <f>VLOOKUP(C1721,'Custos Matéria Prima Embalagens'!B:C,2,0)</f>
        <v>WANFUNG WFT CE (BH-200)</v>
      </c>
      <c r="E1721" s="114" t="str">
        <f>VLOOKUP(C1721,'Custos Matéria Prima Embalagens'!B:D,3,0)</f>
        <v>FUNGICIDA</v>
      </c>
      <c r="F1721" s="270">
        <f t="shared" si="228"/>
        <v>2084</v>
      </c>
      <c r="G1721" s="148">
        <f t="shared" si="229"/>
        <v>2.3992322456813818E-3</v>
      </c>
      <c r="H1721" s="276">
        <v>5</v>
      </c>
      <c r="I1721" s="272">
        <f>ROUND(F1721/VLOOKUP(A1721,'Tabela de Produtos'!A:J,10,0),0)</f>
        <v>2084</v>
      </c>
      <c r="J1721" s="97">
        <f>IFERROR(VLOOKUP(C1721,'Custos Matéria Prima Embalagens'!B:G,6,0)*H1721,"Matéria Prima Não Cadastrada")</f>
        <v>35</v>
      </c>
      <c r="K1721" s="97">
        <f>IFERROR(J1721/(I1721/VLOOKUP(A1721,'Tabela de Produtos'!A:H,8,0)),"Matéria Prima Não Cadastrada")</f>
        <v>0.23512476007677544</v>
      </c>
      <c r="L1721" s="216"/>
    </row>
    <row r="1722" spans="1:12" ht="15.75" customHeight="1">
      <c r="A1722" s="114" t="s">
        <v>368</v>
      </c>
      <c r="B1722" s="114" t="str">
        <f>VLOOKUP(A1722,'Tabela de Produtos'!A:B,2,0)</f>
        <v>BRAZIMIL BORRACHA LIQUIDA MULTIFUNÇÃO 14KG BRANCO NEVE</v>
      </c>
      <c r="C1722" s="48" t="s">
        <v>1213</v>
      </c>
      <c r="D1722" s="114" t="str">
        <f>VLOOKUP(C1722,'Custos Matéria Prima Embalagens'!B:C,2,0)</f>
        <v>DIOXIDO DE TITANIO RUTILO R-996</v>
      </c>
      <c r="E1722" s="114" t="str">
        <f>VLOOKUP(C1722,'Custos Matéria Prima Embalagens'!B:D,3,0)</f>
        <v>TITANIO</v>
      </c>
      <c r="F1722" s="270">
        <f t="shared" si="228"/>
        <v>2084</v>
      </c>
      <c r="G1722" s="148">
        <f t="shared" si="229"/>
        <v>0.1199616122840691</v>
      </c>
      <c r="H1722" s="276">
        <v>250</v>
      </c>
      <c r="I1722" s="272">
        <f>ROUND(F1722/VLOOKUP(A1722,'Tabela de Produtos'!A:J,10,0),0)</f>
        <v>2084</v>
      </c>
      <c r="J1722" s="97">
        <f>IFERROR(VLOOKUP(C1722,'Custos Matéria Prima Embalagens'!B:G,6,0)*H1722,"Matéria Prima Não Cadastrada")</f>
        <v>4825</v>
      </c>
      <c r="K1722" s="97">
        <f>IFERROR(J1722/(I1722/VLOOKUP(A1722,'Tabela de Produtos'!A:H,8,0)),"Matéria Prima Não Cadastrada")</f>
        <v>32.413627639155472</v>
      </c>
      <c r="L1722" s="216"/>
    </row>
    <row r="1723" spans="1:12" ht="15.75" customHeight="1">
      <c r="A1723" s="114" t="s">
        <v>368</v>
      </c>
      <c r="B1723" s="114" t="str">
        <f>VLOOKUP(A1723,'Tabela de Produtos'!A:B,2,0)</f>
        <v>BRAZIMIL BORRACHA LIQUIDA MULTIFUNÇÃO 14KG BRANCO NEVE</v>
      </c>
      <c r="C1723" s="48" t="s">
        <v>1211</v>
      </c>
      <c r="D1723" s="114" t="str">
        <f>VLOOKUP(C1723,'Custos Matéria Prima Embalagens'!B:C,2,0)</f>
        <v>WHITE PLUS PB (SC-25) (Em negociação)</v>
      </c>
      <c r="E1723" s="114" t="str">
        <f>VLOOKUP(C1723,'Custos Matéria Prima Embalagens'!B:D,3,0)</f>
        <v>WHITE PLUS</v>
      </c>
      <c r="F1723" s="270">
        <f t="shared" si="228"/>
        <v>2084</v>
      </c>
      <c r="G1723" s="148">
        <f t="shared" si="229"/>
        <v>0.19193857965451055</v>
      </c>
      <c r="H1723" s="276">
        <v>400</v>
      </c>
      <c r="I1723" s="272">
        <f>ROUND(F1723/VLOOKUP(A1723,'Tabela de Produtos'!A:J,10,0),0)</f>
        <v>2084</v>
      </c>
      <c r="J1723" s="97">
        <f>IFERROR(VLOOKUP(C1723,'Custos Matéria Prima Embalagens'!B:G,6,0)*H1723,"Matéria Prima Não Cadastrada")</f>
        <v>1236</v>
      </c>
      <c r="K1723" s="97">
        <f>IFERROR(J1723/(I1723/VLOOKUP(A1723,'Tabela de Produtos'!A:H,8,0)),"Matéria Prima Não Cadastrada")</f>
        <v>8.3032629558541267</v>
      </c>
      <c r="L1723" s="216"/>
    </row>
    <row r="1724" spans="1:12" ht="15.75" customHeight="1">
      <c r="A1724" s="114" t="s">
        <v>368</v>
      </c>
      <c r="B1724" s="114" t="str">
        <f>VLOOKUP(A1724,'Tabela de Produtos'!A:B,2,0)</f>
        <v>BRAZIMIL BORRACHA LIQUIDA MULTIFUNÇÃO 14KG BRANCO NEVE</v>
      </c>
      <c r="C1724" s="48" t="s">
        <v>1215</v>
      </c>
      <c r="D1724" s="114" t="str">
        <f>VLOOKUP(C1724,'Custos Matéria Prima Embalagens'!B:C,2,0)</f>
        <v>CALCARIO DOLOMITICO #500 ( SACOS 25 KG)</v>
      </c>
      <c r="E1724" s="114" t="str">
        <f>VLOOKUP(C1724,'Custos Matéria Prima Embalagens'!B:D,3,0)</f>
        <v>CARBONATO #500</v>
      </c>
      <c r="F1724" s="270">
        <f t="shared" si="228"/>
        <v>2084</v>
      </c>
      <c r="G1724" s="148">
        <f t="shared" si="229"/>
        <v>4.7984644913627639E-2</v>
      </c>
      <c r="H1724" s="276">
        <v>100</v>
      </c>
      <c r="I1724" s="272">
        <f>ROUND(F1724/VLOOKUP(A1724,'Tabela de Produtos'!A:J,10,0),0)</f>
        <v>2084</v>
      </c>
      <c r="J1724" s="97">
        <f>IFERROR(VLOOKUP(C1724,'Custos Matéria Prima Embalagens'!B:G,6,0)*H1724,"Matéria Prima Não Cadastrada")</f>
        <v>80</v>
      </c>
      <c r="K1724" s="97">
        <f>IFERROR(J1724/(I1724/VLOOKUP(A1724,'Tabela de Produtos'!A:H,8,0)),"Matéria Prima Não Cadastrada")</f>
        <v>0.5374280230326296</v>
      </c>
      <c r="L1724" s="216"/>
    </row>
    <row r="1725" spans="1:12" ht="15.75" customHeight="1">
      <c r="A1725" s="114" t="s">
        <v>368</v>
      </c>
      <c r="B1725" s="114" t="str">
        <f>VLOOKUP(A1725,'Tabela de Produtos'!A:B,2,0)</f>
        <v>BRAZIMIL BORRACHA LIQUIDA MULTIFUNÇÃO 14KG BRANCO NEVE</v>
      </c>
      <c r="C1725" s="48" t="s">
        <v>1217</v>
      </c>
      <c r="D1725" s="114" t="str">
        <f>VLOOKUP(C1725,'Custos Matéria Prima Embalagens'!B:C,2,0)</f>
        <v>WANCRIL W 51 CE (CT-1000P)</v>
      </c>
      <c r="E1725" s="114" t="str">
        <f>VLOOKUP(C1725,'Custos Matéria Prima Embalagens'!B:D,3,0)</f>
        <v>RESINA ACRILICA ESTIRENADA</v>
      </c>
      <c r="F1725" s="270">
        <f t="shared" si="228"/>
        <v>2084</v>
      </c>
      <c r="G1725" s="148">
        <f t="shared" si="229"/>
        <v>4.7984644913627639E-2</v>
      </c>
      <c r="H1725" s="276">
        <v>100</v>
      </c>
      <c r="I1725" s="272">
        <f>ROUND(F1725/VLOOKUP(A1725,'Tabela de Produtos'!A:J,10,0),0)</f>
        <v>2084</v>
      </c>
      <c r="J1725" s="97">
        <f>IFERROR(VLOOKUP(C1725,'Custos Matéria Prima Embalagens'!B:G,6,0)*H1725,"Matéria Prima Não Cadastrada")</f>
        <v>843</v>
      </c>
      <c r="K1725" s="97">
        <f>IFERROR(J1725/(I1725/VLOOKUP(A1725,'Tabela de Produtos'!A:H,8,0)),"Matéria Prima Não Cadastrada")</f>
        <v>5.6631477927063338</v>
      </c>
      <c r="L1725" s="216"/>
    </row>
    <row r="1726" spans="1:12" ht="15.75" customHeight="1">
      <c r="A1726" s="114" t="s">
        <v>368</v>
      </c>
      <c r="B1726" s="114" t="str">
        <f>VLOOKUP(A1726,'Tabela de Produtos'!A:B,2,0)</f>
        <v>BRAZIMIL BORRACHA LIQUIDA MULTIFUNÇÃO 14KG BRANCO NEVE</v>
      </c>
      <c r="C1726" s="48" t="s">
        <v>1259</v>
      </c>
      <c r="D1726" s="114" t="str">
        <f>VLOOKUP(C1726,'Custos Matéria Prima Embalagens'!B:C,2,0)</f>
        <v>WANCRIL IMP 09 (BB-200)</v>
      </c>
      <c r="E1726" s="114" t="str">
        <f>VLOOKUP(C1726,'Custos Matéria Prima Embalagens'!B:D,3,0)</f>
        <v>RESINA ELASTOMERICA</v>
      </c>
      <c r="F1726" s="270">
        <f t="shared" si="228"/>
        <v>2084</v>
      </c>
      <c r="G1726" s="148">
        <f t="shared" si="229"/>
        <v>0.28790786948176583</v>
      </c>
      <c r="H1726" s="276">
        <v>600</v>
      </c>
      <c r="I1726" s="272">
        <f>ROUND(F1726/VLOOKUP(A1726,'Tabela de Produtos'!A:J,10,0),0)</f>
        <v>2084</v>
      </c>
      <c r="J1726" s="97">
        <f>IFERROR(VLOOKUP(C1726,'Custos Matéria Prima Embalagens'!B:G,6,0)*H1726,"Matéria Prima Não Cadastrada")</f>
        <v>7044.8539220291395</v>
      </c>
      <c r="K1726" s="97">
        <f>IFERROR(J1726/(I1726/VLOOKUP(A1726,'Tabela de Produtos'!A:H,8,0)),"Matéria Prima Não Cadastrada")</f>
        <v>47.326273948372339</v>
      </c>
      <c r="L1726" s="216"/>
    </row>
    <row r="1727" spans="1:12" ht="15.75" customHeight="1">
      <c r="A1727" s="114" t="s">
        <v>368</v>
      </c>
      <c r="B1727" s="114" t="str">
        <f>VLOOKUP(A1727,'Tabela de Produtos'!A:B,2,0)</f>
        <v>BRAZIMIL BORRACHA LIQUIDA MULTIFUNÇÃO 14KG BRANCO NEVE</v>
      </c>
      <c r="C1727" s="48" t="s">
        <v>1229</v>
      </c>
      <c r="D1727" s="114" t="str">
        <f>VLOOKUP(C1727,'Custos Matéria Prima Embalagens'!B:C,2,0)</f>
        <v>WANSOL 340 CE (BB-200)</v>
      </c>
      <c r="E1727" s="114" t="str">
        <f>VLOOKUP(C1727,'Custos Matéria Prima Embalagens'!B:D,3,0)</f>
        <v>COALESCENTE</v>
      </c>
      <c r="F1727" s="270">
        <f t="shared" si="228"/>
        <v>2084</v>
      </c>
      <c r="G1727" s="148">
        <f t="shared" si="229"/>
        <v>9.5969289827255271E-3</v>
      </c>
      <c r="H1727" s="276">
        <v>20</v>
      </c>
      <c r="I1727" s="272">
        <f>ROUND(F1727/VLOOKUP(A1727,'Tabela de Produtos'!A:J,10,0),0)</f>
        <v>2084</v>
      </c>
      <c r="J1727" s="97">
        <f>IFERROR(VLOOKUP(C1727,'Custos Matéria Prima Embalagens'!B:G,6,0)*H1727,"Matéria Prima Não Cadastrada")</f>
        <v>384.4</v>
      </c>
      <c r="K1727" s="97">
        <f>IFERROR(J1727/(I1727/VLOOKUP(A1727,'Tabela de Produtos'!A:H,8,0)),"Matéria Prima Não Cadastrada")</f>
        <v>2.5823416506717849</v>
      </c>
      <c r="L1727" s="216"/>
    </row>
    <row r="1728" spans="1:12" ht="15.75" customHeight="1">
      <c r="A1728" s="114" t="s">
        <v>368</v>
      </c>
      <c r="B1728" s="114" t="str">
        <f>VLOOKUP(A1728,'Tabela de Produtos'!A:B,2,0)</f>
        <v>BRAZIMIL BORRACHA LIQUIDA MULTIFUNÇÃO 14KG BRANCO NEVE</v>
      </c>
      <c r="C1728" s="48" t="s">
        <v>1261</v>
      </c>
      <c r="D1728" s="114" t="str">
        <f>VLOOKUP(C1728,'Custos Matéria Prima Embalagens'!B:C,2,0)</f>
        <v>WANCOAT PA70 (BR-45)</v>
      </c>
      <c r="E1728" s="114" t="str">
        <f>VLOOKUP(C1728,'Custos Matéria Prima Embalagens'!B:D,3,0)</f>
        <v>HIDROREPELENTE BASE AGUA</v>
      </c>
      <c r="F1728" s="270">
        <f t="shared" si="228"/>
        <v>2084</v>
      </c>
      <c r="G1728" s="148">
        <f t="shared" si="229"/>
        <v>2.8790786948176585E-2</v>
      </c>
      <c r="H1728" s="276">
        <v>60</v>
      </c>
      <c r="I1728" s="272">
        <f>ROUND(F1728/VLOOKUP(A1728,'Tabela de Produtos'!A:J,10,0),0)</f>
        <v>2084</v>
      </c>
      <c r="J1728" s="97">
        <f>IFERROR(VLOOKUP(C1728,'Custos Matéria Prima Embalagens'!B:G,6,0)*H1728,"Matéria Prima Não Cadastrada")</f>
        <v>1885.8853922029141</v>
      </c>
      <c r="K1728" s="97">
        <f>IFERROR(J1728/(I1728/VLOOKUP(A1728,'Tabela de Produtos'!A:H,8,0)),"Matéria Prima Não Cadastrada")</f>
        <v>12.669095724971591</v>
      </c>
      <c r="L1728" s="216"/>
    </row>
    <row r="1729" spans="1:12" ht="15.75" customHeight="1">
      <c r="A1729" s="114" t="s">
        <v>368</v>
      </c>
      <c r="B1729" s="114" t="str">
        <f>VLOOKUP(A1729,'Tabela de Produtos'!A:B,2,0)</f>
        <v>BRAZIMIL BORRACHA LIQUIDA MULTIFUNÇÃO 14KG BRANCO NEVE</v>
      </c>
      <c r="C1729" s="48" t="s">
        <v>1219</v>
      </c>
      <c r="D1729" s="114" t="str">
        <f>VLOOKUP(C1729,'Custos Matéria Prima Embalagens'!B:C,2,0)</f>
        <v>WANALK 70 CE (BH-200)</v>
      </c>
      <c r="E1729" s="114" t="str">
        <f>VLOOKUP(C1729,'Custos Matéria Prima Embalagens'!B:D,3,0)</f>
        <v>ALCALINIZANTE</v>
      </c>
      <c r="F1729" s="270">
        <f t="shared" si="228"/>
        <v>2084</v>
      </c>
      <c r="G1729" s="148">
        <f t="shared" si="229"/>
        <v>2.8790786948176585E-3</v>
      </c>
      <c r="H1729" s="276">
        <v>6</v>
      </c>
      <c r="I1729" s="272">
        <f>ROUND(F1729/VLOOKUP(A1729,'Tabela de Produtos'!A:J,10,0),0)</f>
        <v>2084</v>
      </c>
      <c r="J1729" s="97">
        <f>IFERROR(VLOOKUP(C1729,'Custos Matéria Prima Embalagens'!B:G,6,0)*H1729,"Matéria Prima Não Cadastrada")</f>
        <v>29.880000000000003</v>
      </c>
      <c r="K1729" s="97">
        <f>IFERROR(J1729/(I1729/VLOOKUP(A1729,'Tabela de Produtos'!A:H,8,0)),"Matéria Prima Não Cadastrada")</f>
        <v>0.20072936660268714</v>
      </c>
      <c r="L1729" s="216"/>
    </row>
    <row r="1730" spans="1:12" ht="15.75" customHeight="1">
      <c r="A1730" s="114" t="s">
        <v>368</v>
      </c>
      <c r="B1730" s="114" t="str">
        <f>VLOOKUP(A1730,'Tabela de Produtos'!A:B,2,0)</f>
        <v>BRAZIMIL BORRACHA LIQUIDA MULTIFUNÇÃO 14KG BRANCO NEVE</v>
      </c>
      <c r="C1730" s="48" t="s">
        <v>1221</v>
      </c>
      <c r="D1730" s="114" t="str">
        <f>VLOOKUP(C1730,'Custos Matéria Prima Embalagens'!B:C,2,0)</f>
        <v>MODIWAN 105H CE (CT-1000P)</v>
      </c>
      <c r="E1730" s="114" t="str">
        <f>VLOOKUP(C1730,'Custos Matéria Prima Embalagens'!B:D,3,0)</f>
        <v>ESPESSANTE DE MEDIA</v>
      </c>
      <c r="F1730" s="270">
        <f t="shared" si="228"/>
        <v>2084</v>
      </c>
      <c r="G1730" s="148">
        <f t="shared" si="229"/>
        <v>9.5969289827255271E-3</v>
      </c>
      <c r="H1730" s="276">
        <v>20</v>
      </c>
      <c r="I1730" s="272">
        <f>ROUND(F1730/VLOOKUP(A1730,'Tabela de Produtos'!A:J,10,0),0)</f>
        <v>2084</v>
      </c>
      <c r="J1730" s="97">
        <f>IFERROR(VLOOKUP(C1730,'Custos Matéria Prima Embalagens'!B:G,6,0)*H1730,"Matéria Prima Não Cadastrada")</f>
        <v>158.1</v>
      </c>
      <c r="K1730" s="97">
        <f>IFERROR(J1730/(I1730/VLOOKUP(A1730,'Tabela de Produtos'!A:H,8,0)),"Matéria Prima Não Cadastrada")</f>
        <v>1.062092130518234</v>
      </c>
      <c r="L1730" s="216"/>
    </row>
    <row r="1731" spans="1:12" ht="15.75" customHeight="1">
      <c r="D1731" s="114"/>
      <c r="E1731" s="114"/>
      <c r="F1731" s="96"/>
      <c r="G1731" s="148"/>
      <c r="H1731" s="96"/>
      <c r="I1731" s="272"/>
      <c r="J1731" s="97"/>
      <c r="K1731" s="97"/>
      <c r="L1731" s="216"/>
    </row>
    <row r="1732" spans="1:12" ht="15.75" customHeight="1">
      <c r="A1732" s="114" t="s">
        <v>369</v>
      </c>
      <c r="B1732" s="114" t="str">
        <f>VLOOKUP(A1732,'Tabela de Produtos'!A:B,2,0)</f>
        <v>BRAZIMIL BORRACHA LIQUIDA MULTIFUNÇÃO 14KG CINZA MEDIO</v>
      </c>
      <c r="C1732" s="48" t="s">
        <v>1197</v>
      </c>
      <c r="D1732" s="114" t="str">
        <f>VLOOKUP(C1732,'Custos Matéria Prima Embalagens'!B:C,2,0)</f>
        <v>AGUA</v>
      </c>
      <c r="E1732" s="114" t="str">
        <f>VLOOKUP(C1732,'Custos Matéria Prima Embalagens'!B:D,3,0)</f>
        <v>AGUA</v>
      </c>
      <c r="F1732" s="270">
        <f t="shared" ref="F1732:F1747" si="230">SUMIFS(H:H,A:A,A1732)</f>
        <v>2084</v>
      </c>
      <c r="G1732" s="148">
        <f t="shared" ref="G1732:G1747" si="231">H1732/F1732</f>
        <v>0.23992322456813819</v>
      </c>
      <c r="H1732" s="276">
        <v>500</v>
      </c>
      <c r="I1732" s="272">
        <f>ROUND(F1732/VLOOKUP(A1732,'Tabela de Produtos'!A:J,10,0),0)</f>
        <v>2084</v>
      </c>
      <c r="J1732" s="97">
        <f>IFERROR(VLOOKUP(C1732,'Custos Matéria Prima Embalagens'!B:G,6,0)*H1732,"Matéria Prima Não Cadastrada")</f>
        <v>0</v>
      </c>
      <c r="K1732" s="97">
        <f>IFERROR(J1732/(I1732/VLOOKUP(A1732,'Tabela de Produtos'!A:H,8,0)),"Matéria Prima Não Cadastrada")</f>
        <v>0</v>
      </c>
      <c r="L1732" s="216"/>
    </row>
    <row r="1733" spans="1:12" ht="15.75" customHeight="1">
      <c r="A1733" s="114" t="s">
        <v>369</v>
      </c>
      <c r="B1733" s="114" t="str">
        <f>VLOOKUP(A1733,'Tabela de Produtos'!A:B,2,0)</f>
        <v>BRAZIMIL BORRACHA LIQUIDA MULTIFUNÇÃO 14KG CINZA MEDIO</v>
      </c>
      <c r="C1733" s="48" t="s">
        <v>1199</v>
      </c>
      <c r="D1733" s="114" t="str">
        <f>VLOOKUP(C1733,'Custos Matéria Prima Embalagens'!B:C,2,0)</f>
        <v>HEXAMETAFOSFATO DE SODIO</v>
      </c>
      <c r="E1733" s="114" t="str">
        <f>VLOOKUP(C1733,'Custos Matéria Prima Embalagens'!B:D,3,0)</f>
        <v>HEXAMETAFOSFATO DE SODIO</v>
      </c>
      <c r="F1733" s="270">
        <f t="shared" si="230"/>
        <v>2084</v>
      </c>
      <c r="G1733" s="148">
        <f t="shared" si="231"/>
        <v>4.7984644913627637E-4</v>
      </c>
      <c r="H1733" s="276">
        <v>1</v>
      </c>
      <c r="I1733" s="272">
        <f>ROUND(F1733/VLOOKUP(A1733,'Tabela de Produtos'!A:J,10,0),0)</f>
        <v>2084</v>
      </c>
      <c r="J1733" s="97">
        <f>IFERROR(VLOOKUP(C1733,'Custos Matéria Prima Embalagens'!B:G,6,0)*H1733,"Matéria Prima Não Cadastrada")</f>
        <v>17.939999999999998</v>
      </c>
      <c r="K1733" s="97">
        <f>IFERROR(J1733/(I1733/VLOOKUP(A1733,'Tabela de Produtos'!A:H,8,0)),"Matéria Prima Não Cadastrada")</f>
        <v>0.12051823416506716</v>
      </c>
      <c r="L1733" s="216"/>
    </row>
    <row r="1734" spans="1:12" ht="15.75" customHeight="1">
      <c r="A1734" s="114" t="s">
        <v>369</v>
      </c>
      <c r="B1734" s="114" t="str">
        <f>VLOOKUP(A1734,'Tabela de Produtos'!A:B,2,0)</f>
        <v>BRAZIMIL BORRACHA LIQUIDA MULTIFUNÇÃO 14KG CINZA MEDIO</v>
      </c>
      <c r="C1734" s="48" t="s">
        <v>1257</v>
      </c>
      <c r="D1734" s="114" t="str">
        <f>VLOOKUP(C1734,'Custos Matéria Prima Embalagens'!B:C,2,0)</f>
        <v>WANCOAT 520 (BR-45)</v>
      </c>
      <c r="E1734" s="114" t="str">
        <f>VLOOKUP(C1734,'Custos Matéria Prima Embalagens'!B:D,3,0)</f>
        <v>ANTI ESPUMA ESM BASE AGUA</v>
      </c>
      <c r="F1734" s="270">
        <f t="shared" si="230"/>
        <v>2084</v>
      </c>
      <c r="G1734" s="148">
        <f t="shared" si="231"/>
        <v>1.9193857965451055E-3</v>
      </c>
      <c r="H1734" s="276">
        <v>4</v>
      </c>
      <c r="I1734" s="272">
        <f>ROUND(F1734/VLOOKUP(A1734,'Tabela de Produtos'!A:J,10,0),0)</f>
        <v>2084</v>
      </c>
      <c r="J1734" s="97">
        <f>IFERROR(VLOOKUP(C1734,'Custos Matéria Prima Embalagens'!B:G,6,0)*H1734,"Matéria Prima Não Cadastrada")</f>
        <v>47.045692813527602</v>
      </c>
      <c r="K1734" s="97">
        <f>IFERROR(J1734/(I1734/VLOOKUP(A1734,'Tabela de Produtos'!A:H,8,0)),"Matéria Prima Não Cadastrada")</f>
        <v>0.3160459210121816</v>
      </c>
      <c r="L1734" s="216"/>
    </row>
    <row r="1735" spans="1:12" ht="15.75" customHeight="1">
      <c r="A1735" s="114" t="s">
        <v>369</v>
      </c>
      <c r="B1735" s="114" t="str">
        <f>VLOOKUP(A1735,'Tabela de Produtos'!A:B,2,0)</f>
        <v>BRAZIMIL BORRACHA LIQUIDA MULTIFUNÇÃO 14KG CINZA MEDIO</v>
      </c>
      <c r="C1735" s="48" t="s">
        <v>1203</v>
      </c>
      <c r="D1735" s="114" t="str">
        <f>VLOOKUP(C1735,'Custos Matéria Prima Embalagens'!B:C,2,0)</f>
        <v>WANBAC WBT CE (BH-200)</v>
      </c>
      <c r="E1735" s="114" t="str">
        <f>VLOOKUP(C1735,'Custos Matéria Prima Embalagens'!B:D,3,0)</f>
        <v>BACTERICIDA</v>
      </c>
      <c r="F1735" s="270">
        <f t="shared" si="230"/>
        <v>2084</v>
      </c>
      <c r="G1735" s="148">
        <f t="shared" si="231"/>
        <v>1.9193857965451055E-3</v>
      </c>
      <c r="H1735" s="276">
        <v>4</v>
      </c>
      <c r="I1735" s="272">
        <f>ROUND(F1735/VLOOKUP(A1735,'Tabela de Produtos'!A:J,10,0),0)</f>
        <v>2084</v>
      </c>
      <c r="J1735" s="97">
        <f>IFERROR(VLOOKUP(C1735,'Custos Matéria Prima Embalagens'!B:G,6,0)*H1735,"Matéria Prima Não Cadastrada")</f>
        <v>19.759999999999998</v>
      </c>
      <c r="K1735" s="97">
        <f>IFERROR(J1735/(I1735/VLOOKUP(A1735,'Tabela de Produtos'!A:H,8,0)),"Matéria Prima Não Cadastrada")</f>
        <v>0.13274472168905949</v>
      </c>
      <c r="L1735" s="216"/>
    </row>
    <row r="1736" spans="1:12" ht="15.75" customHeight="1">
      <c r="A1736" s="114" t="s">
        <v>369</v>
      </c>
      <c r="B1736" s="114" t="str">
        <f>VLOOKUP(A1736,'Tabela de Produtos'!A:B,2,0)</f>
        <v>BRAZIMIL BORRACHA LIQUIDA MULTIFUNÇÃO 14KG CINZA MEDIO</v>
      </c>
      <c r="C1736" s="48" t="s">
        <v>1205</v>
      </c>
      <c r="D1736" s="114" t="str">
        <f>VLOOKUP(C1736,'Custos Matéria Prima Embalagens'!B:C,2,0)</f>
        <v>WANSUR 840 CE (BB-200)01</v>
      </c>
      <c r="E1736" s="114" t="str">
        <f>VLOOKUP(C1736,'Custos Matéria Prima Embalagens'!B:D,3,0)</f>
        <v>UMECTANTE</v>
      </c>
      <c r="F1736" s="270">
        <f t="shared" si="230"/>
        <v>2084</v>
      </c>
      <c r="G1736" s="148">
        <f t="shared" si="231"/>
        <v>2.8790786948176585E-3</v>
      </c>
      <c r="H1736" s="276">
        <v>6</v>
      </c>
      <c r="I1736" s="272">
        <f>ROUND(F1736/VLOOKUP(A1736,'Tabela de Produtos'!A:J,10,0),0)</f>
        <v>2084</v>
      </c>
      <c r="J1736" s="97">
        <f>IFERROR(VLOOKUP(C1736,'Custos Matéria Prima Embalagens'!B:G,6,0)*H1736,"Matéria Prima Não Cadastrada")</f>
        <v>43.980000000000004</v>
      </c>
      <c r="K1736" s="97">
        <f>IFERROR(J1736/(I1736/VLOOKUP(A1736,'Tabela de Produtos'!A:H,8,0)),"Matéria Prima Não Cadastrada")</f>
        <v>0.2954510556621881</v>
      </c>
      <c r="L1736" s="216"/>
    </row>
    <row r="1737" spans="1:12" ht="15.75" customHeight="1">
      <c r="A1737" s="114" t="s">
        <v>369</v>
      </c>
      <c r="B1737" s="114" t="str">
        <f>VLOOKUP(A1737,'Tabela de Produtos'!A:B,2,0)</f>
        <v>BRAZIMIL BORRACHA LIQUIDA MULTIFUNÇÃO 14KG CINZA MEDIO</v>
      </c>
      <c r="C1737" s="48" t="s">
        <v>1207</v>
      </c>
      <c r="D1737" s="114" t="str">
        <f>VLOOKUP(C1737,'Custos Matéria Prima Embalagens'!B:C,2,0)</f>
        <v>WANPEX 1510 (BB-200)</v>
      </c>
      <c r="E1737" s="114" t="str">
        <f>VLOOKUP(C1737,'Custos Matéria Prima Embalagens'!B:D,3,0)</f>
        <v>DISPERSANTE LATEX</v>
      </c>
      <c r="F1737" s="270">
        <f t="shared" si="230"/>
        <v>2084</v>
      </c>
      <c r="G1737" s="148">
        <f t="shared" si="231"/>
        <v>3.838771593090211E-3</v>
      </c>
      <c r="H1737" s="276">
        <v>8</v>
      </c>
      <c r="I1737" s="272">
        <f>ROUND(F1737/VLOOKUP(A1737,'Tabela de Produtos'!A:J,10,0),0)</f>
        <v>2084</v>
      </c>
      <c r="J1737" s="97">
        <f>IFERROR(VLOOKUP(C1737,'Custos Matéria Prima Embalagens'!B:G,6,0)*H1737,"Matéria Prima Não Cadastrada")</f>
        <v>54.879999999999995</v>
      </c>
      <c r="K1737" s="97">
        <f>IFERROR(J1737/(I1737/VLOOKUP(A1737,'Tabela de Produtos'!A:H,8,0)),"Matéria Prima Não Cadastrada")</f>
        <v>0.36867562380038382</v>
      </c>
      <c r="L1737" s="216"/>
    </row>
    <row r="1738" spans="1:12" ht="15.75" customHeight="1">
      <c r="A1738" s="114" t="s">
        <v>369</v>
      </c>
      <c r="B1738" s="114" t="str">
        <f>VLOOKUP(A1738,'Tabela de Produtos'!A:B,2,0)</f>
        <v>BRAZIMIL BORRACHA LIQUIDA MULTIFUNÇÃO 14KG CINZA MEDIO</v>
      </c>
      <c r="C1738" s="48" t="s">
        <v>1209</v>
      </c>
      <c r="D1738" s="114" t="str">
        <f>VLOOKUP(C1738,'Custos Matéria Prima Embalagens'!B:C,2,0)</f>
        <v>WANFUNG WFT CE (BH-200)</v>
      </c>
      <c r="E1738" s="114" t="str">
        <f>VLOOKUP(C1738,'Custos Matéria Prima Embalagens'!B:D,3,0)</f>
        <v>FUNGICIDA</v>
      </c>
      <c r="F1738" s="270">
        <f t="shared" si="230"/>
        <v>2084</v>
      </c>
      <c r="G1738" s="148">
        <f t="shared" si="231"/>
        <v>2.3992322456813818E-3</v>
      </c>
      <c r="H1738" s="276">
        <v>5</v>
      </c>
      <c r="I1738" s="272">
        <f>ROUND(F1738/VLOOKUP(A1738,'Tabela de Produtos'!A:J,10,0),0)</f>
        <v>2084</v>
      </c>
      <c r="J1738" s="97">
        <f>IFERROR(VLOOKUP(C1738,'Custos Matéria Prima Embalagens'!B:G,6,0)*H1738,"Matéria Prima Não Cadastrada")</f>
        <v>35</v>
      </c>
      <c r="K1738" s="97">
        <f>IFERROR(J1738/(I1738/VLOOKUP(A1738,'Tabela de Produtos'!A:H,8,0)),"Matéria Prima Não Cadastrada")</f>
        <v>0.23512476007677544</v>
      </c>
      <c r="L1738" s="216"/>
    </row>
    <row r="1739" spans="1:12" ht="15.75" customHeight="1">
      <c r="A1739" s="114" t="s">
        <v>369</v>
      </c>
      <c r="B1739" s="114" t="str">
        <f>VLOOKUP(A1739,'Tabela de Produtos'!A:B,2,0)</f>
        <v>BRAZIMIL BORRACHA LIQUIDA MULTIFUNÇÃO 14KG CINZA MEDIO</v>
      </c>
      <c r="C1739" s="48" t="s">
        <v>1213</v>
      </c>
      <c r="D1739" s="114" t="str">
        <f>VLOOKUP(C1739,'Custos Matéria Prima Embalagens'!B:C,2,0)</f>
        <v>DIOXIDO DE TITANIO RUTILO R-996</v>
      </c>
      <c r="E1739" s="114" t="str">
        <f>VLOOKUP(C1739,'Custos Matéria Prima Embalagens'!B:D,3,0)</f>
        <v>TITANIO</v>
      </c>
      <c r="F1739" s="270">
        <f t="shared" si="230"/>
        <v>2084</v>
      </c>
      <c r="G1739" s="148">
        <f t="shared" si="231"/>
        <v>0.1199616122840691</v>
      </c>
      <c r="H1739" s="276">
        <v>250</v>
      </c>
      <c r="I1739" s="272">
        <f>ROUND(F1739/VLOOKUP(A1739,'Tabela de Produtos'!A:J,10,0),0)</f>
        <v>2084</v>
      </c>
      <c r="J1739" s="97">
        <f>IFERROR(VLOOKUP(C1739,'Custos Matéria Prima Embalagens'!B:G,6,0)*H1739,"Matéria Prima Não Cadastrada")</f>
        <v>4825</v>
      </c>
      <c r="K1739" s="97">
        <f>IFERROR(J1739/(I1739/VLOOKUP(A1739,'Tabela de Produtos'!A:H,8,0)),"Matéria Prima Não Cadastrada")</f>
        <v>32.413627639155472</v>
      </c>
      <c r="L1739" s="216"/>
    </row>
    <row r="1740" spans="1:12" ht="15.75" customHeight="1">
      <c r="A1740" s="114" t="s">
        <v>369</v>
      </c>
      <c r="B1740" s="114" t="str">
        <f>VLOOKUP(A1740,'Tabela de Produtos'!A:B,2,0)</f>
        <v>BRAZIMIL BORRACHA LIQUIDA MULTIFUNÇÃO 14KG CINZA MEDIO</v>
      </c>
      <c r="C1740" s="48" t="s">
        <v>1211</v>
      </c>
      <c r="D1740" s="114" t="str">
        <f>VLOOKUP(C1740,'Custos Matéria Prima Embalagens'!B:C,2,0)</f>
        <v>WHITE PLUS PB (SC-25) (Em negociação)</v>
      </c>
      <c r="E1740" s="114" t="str">
        <f>VLOOKUP(C1740,'Custos Matéria Prima Embalagens'!B:D,3,0)</f>
        <v>WHITE PLUS</v>
      </c>
      <c r="F1740" s="270">
        <f t="shared" si="230"/>
        <v>2084</v>
      </c>
      <c r="G1740" s="148">
        <f t="shared" si="231"/>
        <v>0.19193857965451055</v>
      </c>
      <c r="H1740" s="276">
        <v>400</v>
      </c>
      <c r="I1740" s="272">
        <f>ROUND(F1740/VLOOKUP(A1740,'Tabela de Produtos'!A:J,10,0),0)</f>
        <v>2084</v>
      </c>
      <c r="J1740" s="97">
        <f>IFERROR(VLOOKUP(C1740,'Custos Matéria Prima Embalagens'!B:G,6,0)*H1740,"Matéria Prima Não Cadastrada")</f>
        <v>1236</v>
      </c>
      <c r="K1740" s="97">
        <f>IFERROR(J1740/(I1740/VLOOKUP(A1740,'Tabela de Produtos'!A:H,8,0)),"Matéria Prima Não Cadastrada")</f>
        <v>8.3032629558541267</v>
      </c>
      <c r="L1740" s="216"/>
    </row>
    <row r="1741" spans="1:12" ht="15.75" customHeight="1">
      <c r="A1741" s="114" t="s">
        <v>369</v>
      </c>
      <c r="B1741" s="114" t="str">
        <f>VLOOKUP(A1741,'Tabela de Produtos'!A:B,2,0)</f>
        <v>BRAZIMIL BORRACHA LIQUIDA MULTIFUNÇÃO 14KG CINZA MEDIO</v>
      </c>
      <c r="C1741" s="48" t="s">
        <v>1215</v>
      </c>
      <c r="D1741" s="114" t="str">
        <f>VLOOKUP(C1741,'Custos Matéria Prima Embalagens'!B:C,2,0)</f>
        <v>CALCARIO DOLOMITICO #500 ( SACOS 25 KG)</v>
      </c>
      <c r="E1741" s="114" t="str">
        <f>VLOOKUP(C1741,'Custos Matéria Prima Embalagens'!B:D,3,0)</f>
        <v>CARBONATO #500</v>
      </c>
      <c r="F1741" s="270">
        <f t="shared" si="230"/>
        <v>2084</v>
      </c>
      <c r="G1741" s="148">
        <f t="shared" si="231"/>
        <v>4.7984644913627639E-2</v>
      </c>
      <c r="H1741" s="276">
        <v>100</v>
      </c>
      <c r="I1741" s="272">
        <f>ROUND(F1741/VLOOKUP(A1741,'Tabela de Produtos'!A:J,10,0),0)</f>
        <v>2084</v>
      </c>
      <c r="J1741" s="97">
        <f>IFERROR(VLOOKUP(C1741,'Custos Matéria Prima Embalagens'!B:G,6,0)*H1741,"Matéria Prima Não Cadastrada")</f>
        <v>80</v>
      </c>
      <c r="K1741" s="97">
        <f>IFERROR(J1741/(I1741/VLOOKUP(A1741,'Tabela de Produtos'!A:H,8,0)),"Matéria Prima Não Cadastrada")</f>
        <v>0.5374280230326296</v>
      </c>
      <c r="L1741" s="216"/>
    </row>
    <row r="1742" spans="1:12" ht="15.75" customHeight="1">
      <c r="A1742" s="114" t="s">
        <v>369</v>
      </c>
      <c r="B1742" s="114" t="str">
        <f>VLOOKUP(A1742,'Tabela de Produtos'!A:B,2,0)</f>
        <v>BRAZIMIL BORRACHA LIQUIDA MULTIFUNÇÃO 14KG CINZA MEDIO</v>
      </c>
      <c r="C1742" s="48" t="s">
        <v>1217</v>
      </c>
      <c r="D1742" s="114" t="str">
        <f>VLOOKUP(C1742,'Custos Matéria Prima Embalagens'!B:C,2,0)</f>
        <v>WANCRIL W 51 CE (CT-1000P)</v>
      </c>
      <c r="E1742" s="114" t="str">
        <f>VLOOKUP(C1742,'Custos Matéria Prima Embalagens'!B:D,3,0)</f>
        <v>RESINA ACRILICA ESTIRENADA</v>
      </c>
      <c r="F1742" s="270">
        <f t="shared" si="230"/>
        <v>2084</v>
      </c>
      <c r="G1742" s="148">
        <f t="shared" si="231"/>
        <v>4.7984644913627639E-2</v>
      </c>
      <c r="H1742" s="276">
        <v>100</v>
      </c>
      <c r="I1742" s="272">
        <f>ROUND(F1742/VLOOKUP(A1742,'Tabela de Produtos'!A:J,10,0),0)</f>
        <v>2084</v>
      </c>
      <c r="J1742" s="97">
        <f>IFERROR(VLOOKUP(C1742,'Custos Matéria Prima Embalagens'!B:G,6,0)*H1742,"Matéria Prima Não Cadastrada")</f>
        <v>843</v>
      </c>
      <c r="K1742" s="97">
        <f>IFERROR(J1742/(I1742/VLOOKUP(A1742,'Tabela de Produtos'!A:H,8,0)),"Matéria Prima Não Cadastrada")</f>
        <v>5.6631477927063338</v>
      </c>
      <c r="L1742" s="216"/>
    </row>
    <row r="1743" spans="1:12" ht="15.75" customHeight="1">
      <c r="A1743" s="114" t="s">
        <v>369</v>
      </c>
      <c r="B1743" s="114" t="str">
        <f>VLOOKUP(A1743,'Tabela de Produtos'!A:B,2,0)</f>
        <v>BRAZIMIL BORRACHA LIQUIDA MULTIFUNÇÃO 14KG CINZA MEDIO</v>
      </c>
      <c r="C1743" s="48" t="s">
        <v>1259</v>
      </c>
      <c r="D1743" s="114" t="str">
        <f>VLOOKUP(C1743,'Custos Matéria Prima Embalagens'!B:C,2,0)</f>
        <v>WANCRIL IMP 09 (BB-200)</v>
      </c>
      <c r="E1743" s="114" t="str">
        <f>VLOOKUP(C1743,'Custos Matéria Prima Embalagens'!B:D,3,0)</f>
        <v>RESINA ELASTOMERICA</v>
      </c>
      <c r="F1743" s="270">
        <f t="shared" si="230"/>
        <v>2084</v>
      </c>
      <c r="G1743" s="148">
        <f t="shared" si="231"/>
        <v>0.28790786948176583</v>
      </c>
      <c r="H1743" s="276">
        <v>600</v>
      </c>
      <c r="I1743" s="272">
        <f>ROUND(F1743/VLOOKUP(A1743,'Tabela de Produtos'!A:J,10,0),0)</f>
        <v>2084</v>
      </c>
      <c r="J1743" s="97">
        <f>IFERROR(VLOOKUP(C1743,'Custos Matéria Prima Embalagens'!B:G,6,0)*H1743,"Matéria Prima Não Cadastrada")</f>
        <v>7044.8539220291395</v>
      </c>
      <c r="K1743" s="97">
        <f>IFERROR(J1743/(I1743/VLOOKUP(A1743,'Tabela de Produtos'!A:H,8,0)),"Matéria Prima Não Cadastrada")</f>
        <v>47.326273948372339</v>
      </c>
      <c r="L1743" s="216"/>
    </row>
    <row r="1744" spans="1:12" ht="15.75" customHeight="1">
      <c r="A1744" s="114" t="s">
        <v>369</v>
      </c>
      <c r="B1744" s="114" t="str">
        <f>VLOOKUP(A1744,'Tabela de Produtos'!A:B,2,0)</f>
        <v>BRAZIMIL BORRACHA LIQUIDA MULTIFUNÇÃO 14KG CINZA MEDIO</v>
      </c>
      <c r="C1744" s="48" t="s">
        <v>1229</v>
      </c>
      <c r="D1744" s="114" t="str">
        <f>VLOOKUP(C1744,'Custos Matéria Prima Embalagens'!B:C,2,0)</f>
        <v>WANSOL 340 CE (BB-200)</v>
      </c>
      <c r="E1744" s="114" t="str">
        <f>VLOOKUP(C1744,'Custos Matéria Prima Embalagens'!B:D,3,0)</f>
        <v>COALESCENTE</v>
      </c>
      <c r="F1744" s="270">
        <f t="shared" si="230"/>
        <v>2084</v>
      </c>
      <c r="G1744" s="148">
        <f t="shared" si="231"/>
        <v>9.5969289827255271E-3</v>
      </c>
      <c r="H1744" s="276">
        <v>20</v>
      </c>
      <c r="I1744" s="272">
        <f>ROUND(F1744/VLOOKUP(A1744,'Tabela de Produtos'!A:J,10,0),0)</f>
        <v>2084</v>
      </c>
      <c r="J1744" s="97">
        <f>IFERROR(VLOOKUP(C1744,'Custos Matéria Prima Embalagens'!B:G,6,0)*H1744,"Matéria Prima Não Cadastrada")</f>
        <v>384.4</v>
      </c>
      <c r="K1744" s="97">
        <f>IFERROR(J1744/(I1744/VLOOKUP(A1744,'Tabela de Produtos'!A:H,8,0)),"Matéria Prima Não Cadastrada")</f>
        <v>2.5823416506717849</v>
      </c>
      <c r="L1744" s="216"/>
    </row>
    <row r="1745" spans="1:12" ht="15.75" customHeight="1">
      <c r="A1745" s="114" t="s">
        <v>369</v>
      </c>
      <c r="B1745" s="114" t="str">
        <f>VLOOKUP(A1745,'Tabela de Produtos'!A:B,2,0)</f>
        <v>BRAZIMIL BORRACHA LIQUIDA MULTIFUNÇÃO 14KG CINZA MEDIO</v>
      </c>
      <c r="C1745" s="48" t="s">
        <v>1261</v>
      </c>
      <c r="D1745" s="114" t="str">
        <f>VLOOKUP(C1745,'Custos Matéria Prima Embalagens'!B:C,2,0)</f>
        <v>WANCOAT PA70 (BR-45)</v>
      </c>
      <c r="E1745" s="114" t="str">
        <f>VLOOKUP(C1745,'Custos Matéria Prima Embalagens'!B:D,3,0)</f>
        <v>HIDROREPELENTE BASE AGUA</v>
      </c>
      <c r="F1745" s="270">
        <f t="shared" si="230"/>
        <v>2084</v>
      </c>
      <c r="G1745" s="148">
        <f t="shared" si="231"/>
        <v>2.8790786948176585E-2</v>
      </c>
      <c r="H1745" s="276">
        <v>60</v>
      </c>
      <c r="I1745" s="272">
        <f>ROUND(F1745/VLOOKUP(A1745,'Tabela de Produtos'!A:J,10,0),0)</f>
        <v>2084</v>
      </c>
      <c r="J1745" s="97">
        <f>IFERROR(VLOOKUP(C1745,'Custos Matéria Prima Embalagens'!B:G,6,0)*H1745,"Matéria Prima Não Cadastrada")</f>
        <v>1885.8853922029141</v>
      </c>
      <c r="K1745" s="97">
        <f>IFERROR(J1745/(I1745/VLOOKUP(A1745,'Tabela de Produtos'!A:H,8,0)),"Matéria Prima Não Cadastrada")</f>
        <v>12.669095724971591</v>
      </c>
      <c r="L1745" s="216"/>
    </row>
    <row r="1746" spans="1:12" ht="15.75" customHeight="1">
      <c r="A1746" s="114" t="s">
        <v>369</v>
      </c>
      <c r="B1746" s="114" t="str">
        <f>VLOOKUP(A1746,'Tabela de Produtos'!A:B,2,0)</f>
        <v>BRAZIMIL BORRACHA LIQUIDA MULTIFUNÇÃO 14KG CINZA MEDIO</v>
      </c>
      <c r="C1746" s="48" t="s">
        <v>1219</v>
      </c>
      <c r="D1746" s="114" t="str">
        <f>VLOOKUP(C1746,'Custos Matéria Prima Embalagens'!B:C,2,0)</f>
        <v>WANALK 70 CE (BH-200)</v>
      </c>
      <c r="E1746" s="114" t="str">
        <f>VLOOKUP(C1746,'Custos Matéria Prima Embalagens'!B:D,3,0)</f>
        <v>ALCALINIZANTE</v>
      </c>
      <c r="F1746" s="270">
        <f t="shared" si="230"/>
        <v>2084</v>
      </c>
      <c r="G1746" s="148">
        <f t="shared" si="231"/>
        <v>2.8790786948176585E-3</v>
      </c>
      <c r="H1746" s="276">
        <v>6</v>
      </c>
      <c r="I1746" s="272">
        <f>ROUND(F1746/VLOOKUP(A1746,'Tabela de Produtos'!A:J,10,0),0)</f>
        <v>2084</v>
      </c>
      <c r="J1746" s="97">
        <f>IFERROR(VLOOKUP(C1746,'Custos Matéria Prima Embalagens'!B:G,6,0)*H1746,"Matéria Prima Não Cadastrada")</f>
        <v>29.880000000000003</v>
      </c>
      <c r="K1746" s="97">
        <f>IFERROR(J1746/(I1746/VLOOKUP(A1746,'Tabela de Produtos'!A:H,8,0)),"Matéria Prima Não Cadastrada")</f>
        <v>0.20072936660268714</v>
      </c>
      <c r="L1746" s="216"/>
    </row>
    <row r="1747" spans="1:12" ht="15.75" customHeight="1">
      <c r="A1747" s="114" t="s">
        <v>369</v>
      </c>
      <c r="B1747" s="114" t="str">
        <f>VLOOKUP(A1747,'Tabela de Produtos'!A:B,2,0)</f>
        <v>BRAZIMIL BORRACHA LIQUIDA MULTIFUNÇÃO 14KG CINZA MEDIO</v>
      </c>
      <c r="C1747" s="48" t="s">
        <v>1221</v>
      </c>
      <c r="D1747" s="114" t="str">
        <f>VLOOKUP(C1747,'Custos Matéria Prima Embalagens'!B:C,2,0)</f>
        <v>MODIWAN 105H CE (CT-1000P)</v>
      </c>
      <c r="E1747" s="114" t="str">
        <f>VLOOKUP(C1747,'Custos Matéria Prima Embalagens'!B:D,3,0)</f>
        <v>ESPESSANTE DE MEDIA</v>
      </c>
      <c r="F1747" s="270">
        <f t="shared" si="230"/>
        <v>2084</v>
      </c>
      <c r="G1747" s="148">
        <f t="shared" si="231"/>
        <v>9.5969289827255271E-3</v>
      </c>
      <c r="H1747" s="276">
        <v>20</v>
      </c>
      <c r="I1747" s="272">
        <f>ROUND(F1747/VLOOKUP(A1747,'Tabela de Produtos'!A:J,10,0),0)</f>
        <v>2084</v>
      </c>
      <c r="J1747" s="97">
        <f>IFERROR(VLOOKUP(C1747,'Custos Matéria Prima Embalagens'!B:G,6,0)*H1747,"Matéria Prima Não Cadastrada")</f>
        <v>158.1</v>
      </c>
      <c r="K1747" s="97">
        <f>IFERROR(J1747/(I1747/VLOOKUP(A1747,'Tabela de Produtos'!A:H,8,0)),"Matéria Prima Não Cadastrada")</f>
        <v>1.062092130518234</v>
      </c>
      <c r="L1747" s="216"/>
    </row>
    <row r="1748" spans="1:12" ht="15.75" customHeight="1">
      <c r="D1748" s="114"/>
      <c r="E1748" s="114"/>
      <c r="F1748" s="96"/>
      <c r="G1748" s="148"/>
      <c r="H1748" s="96"/>
      <c r="I1748" s="272"/>
      <c r="J1748" s="97"/>
      <c r="K1748" s="97"/>
      <c r="L1748" s="216"/>
    </row>
    <row r="1749" spans="1:12" ht="15.75" customHeight="1">
      <c r="A1749" s="114" t="s">
        <v>370</v>
      </c>
      <c r="B1749" s="114" t="str">
        <f>VLOOKUP(A1749,'Tabela de Produtos'!A:B,2,0)</f>
        <v>BRAZIMIL BORRACHA LIQUIDA MULTIFUNÇÃO 14KG CINZA PLATINA</v>
      </c>
      <c r="C1749" s="48" t="s">
        <v>1197</v>
      </c>
      <c r="D1749" s="114" t="str">
        <f>VLOOKUP(C1749,'Custos Matéria Prima Embalagens'!B:C,2,0)</f>
        <v>AGUA</v>
      </c>
      <c r="E1749" s="114" t="str">
        <f>VLOOKUP(C1749,'Custos Matéria Prima Embalagens'!B:D,3,0)</f>
        <v>AGUA</v>
      </c>
      <c r="F1749" s="270">
        <f t="shared" ref="F1749:F1764" si="232">SUMIFS(H:H,A:A,A1749)</f>
        <v>2084</v>
      </c>
      <c r="G1749" s="148">
        <f t="shared" ref="G1749:G1764" si="233">H1749/F1749</f>
        <v>0.23992322456813819</v>
      </c>
      <c r="H1749" s="276">
        <v>500</v>
      </c>
      <c r="I1749" s="272">
        <f>ROUND(F1749/VLOOKUP(A1749,'Tabela de Produtos'!A:J,10,0),0)</f>
        <v>2084</v>
      </c>
      <c r="J1749" s="97">
        <f>IFERROR(VLOOKUP(C1749,'Custos Matéria Prima Embalagens'!B:G,6,0)*H1749,"Matéria Prima Não Cadastrada")</f>
        <v>0</v>
      </c>
      <c r="K1749" s="97">
        <f>IFERROR(J1749/(I1749/VLOOKUP(A1749,'Tabela de Produtos'!A:H,8,0)),"Matéria Prima Não Cadastrada")</f>
        <v>0</v>
      </c>
      <c r="L1749" s="216"/>
    </row>
    <row r="1750" spans="1:12" ht="15.75" customHeight="1">
      <c r="A1750" s="114" t="s">
        <v>370</v>
      </c>
      <c r="B1750" s="114" t="str">
        <f>VLOOKUP(A1750,'Tabela de Produtos'!A:B,2,0)</f>
        <v>BRAZIMIL BORRACHA LIQUIDA MULTIFUNÇÃO 14KG CINZA PLATINA</v>
      </c>
      <c r="C1750" s="48" t="s">
        <v>1199</v>
      </c>
      <c r="D1750" s="114" t="str">
        <f>VLOOKUP(C1750,'Custos Matéria Prima Embalagens'!B:C,2,0)</f>
        <v>HEXAMETAFOSFATO DE SODIO</v>
      </c>
      <c r="E1750" s="114" t="str">
        <f>VLOOKUP(C1750,'Custos Matéria Prima Embalagens'!B:D,3,0)</f>
        <v>HEXAMETAFOSFATO DE SODIO</v>
      </c>
      <c r="F1750" s="270">
        <f t="shared" si="232"/>
        <v>2084</v>
      </c>
      <c r="G1750" s="148">
        <f t="shared" si="233"/>
        <v>4.7984644913627637E-4</v>
      </c>
      <c r="H1750" s="276">
        <v>1</v>
      </c>
      <c r="I1750" s="272">
        <f>ROUND(F1750/VLOOKUP(A1750,'Tabela de Produtos'!A:J,10,0),0)</f>
        <v>2084</v>
      </c>
      <c r="J1750" s="97">
        <f>IFERROR(VLOOKUP(C1750,'Custos Matéria Prima Embalagens'!B:G,6,0)*H1750,"Matéria Prima Não Cadastrada")</f>
        <v>17.939999999999998</v>
      </c>
      <c r="K1750" s="97">
        <f>IFERROR(J1750/(I1750/VLOOKUP(A1750,'Tabela de Produtos'!A:H,8,0)),"Matéria Prima Não Cadastrada")</f>
        <v>0.12051823416506716</v>
      </c>
      <c r="L1750" s="216"/>
    </row>
    <row r="1751" spans="1:12" ht="15.75" customHeight="1">
      <c r="A1751" s="114" t="s">
        <v>370</v>
      </c>
      <c r="B1751" s="114" t="str">
        <f>VLOOKUP(A1751,'Tabela de Produtos'!A:B,2,0)</f>
        <v>BRAZIMIL BORRACHA LIQUIDA MULTIFUNÇÃO 14KG CINZA PLATINA</v>
      </c>
      <c r="C1751" s="48" t="s">
        <v>1257</v>
      </c>
      <c r="D1751" s="114" t="str">
        <f>VLOOKUP(C1751,'Custos Matéria Prima Embalagens'!B:C,2,0)</f>
        <v>WANCOAT 520 (BR-45)</v>
      </c>
      <c r="E1751" s="114" t="str">
        <f>VLOOKUP(C1751,'Custos Matéria Prima Embalagens'!B:D,3,0)</f>
        <v>ANTI ESPUMA ESM BASE AGUA</v>
      </c>
      <c r="F1751" s="270">
        <f t="shared" si="232"/>
        <v>2084</v>
      </c>
      <c r="G1751" s="148">
        <f t="shared" si="233"/>
        <v>1.9193857965451055E-3</v>
      </c>
      <c r="H1751" s="276">
        <v>4</v>
      </c>
      <c r="I1751" s="272">
        <f>ROUND(F1751/VLOOKUP(A1751,'Tabela de Produtos'!A:J,10,0),0)</f>
        <v>2084</v>
      </c>
      <c r="J1751" s="97">
        <f>IFERROR(VLOOKUP(C1751,'Custos Matéria Prima Embalagens'!B:G,6,0)*H1751,"Matéria Prima Não Cadastrada")</f>
        <v>47.045692813527602</v>
      </c>
      <c r="K1751" s="97">
        <f>IFERROR(J1751/(I1751/VLOOKUP(A1751,'Tabela de Produtos'!A:H,8,0)),"Matéria Prima Não Cadastrada")</f>
        <v>0.3160459210121816</v>
      </c>
      <c r="L1751" s="216"/>
    </row>
    <row r="1752" spans="1:12" ht="15.75" customHeight="1">
      <c r="A1752" s="114" t="s">
        <v>370</v>
      </c>
      <c r="B1752" s="114" t="str">
        <f>VLOOKUP(A1752,'Tabela de Produtos'!A:B,2,0)</f>
        <v>BRAZIMIL BORRACHA LIQUIDA MULTIFUNÇÃO 14KG CINZA PLATINA</v>
      </c>
      <c r="C1752" s="48" t="s">
        <v>1203</v>
      </c>
      <c r="D1752" s="114" t="str">
        <f>VLOOKUP(C1752,'Custos Matéria Prima Embalagens'!B:C,2,0)</f>
        <v>WANBAC WBT CE (BH-200)</v>
      </c>
      <c r="E1752" s="114" t="str">
        <f>VLOOKUP(C1752,'Custos Matéria Prima Embalagens'!B:D,3,0)</f>
        <v>BACTERICIDA</v>
      </c>
      <c r="F1752" s="270">
        <f t="shared" si="232"/>
        <v>2084</v>
      </c>
      <c r="G1752" s="148">
        <f t="shared" si="233"/>
        <v>1.9193857965451055E-3</v>
      </c>
      <c r="H1752" s="276">
        <v>4</v>
      </c>
      <c r="I1752" s="272">
        <f>ROUND(F1752/VLOOKUP(A1752,'Tabela de Produtos'!A:J,10,0),0)</f>
        <v>2084</v>
      </c>
      <c r="J1752" s="97">
        <f>IFERROR(VLOOKUP(C1752,'Custos Matéria Prima Embalagens'!B:G,6,0)*H1752,"Matéria Prima Não Cadastrada")</f>
        <v>19.759999999999998</v>
      </c>
      <c r="K1752" s="97">
        <f>IFERROR(J1752/(I1752/VLOOKUP(A1752,'Tabela de Produtos'!A:H,8,0)),"Matéria Prima Não Cadastrada")</f>
        <v>0.13274472168905949</v>
      </c>
      <c r="L1752" s="216"/>
    </row>
    <row r="1753" spans="1:12" ht="15.75" customHeight="1">
      <c r="A1753" s="114" t="s">
        <v>370</v>
      </c>
      <c r="B1753" s="114" t="str">
        <f>VLOOKUP(A1753,'Tabela de Produtos'!A:B,2,0)</f>
        <v>BRAZIMIL BORRACHA LIQUIDA MULTIFUNÇÃO 14KG CINZA PLATINA</v>
      </c>
      <c r="C1753" s="48" t="s">
        <v>1205</v>
      </c>
      <c r="D1753" s="114" t="str">
        <f>VLOOKUP(C1753,'Custos Matéria Prima Embalagens'!B:C,2,0)</f>
        <v>WANSUR 840 CE (BB-200)01</v>
      </c>
      <c r="E1753" s="114" t="str">
        <f>VLOOKUP(C1753,'Custos Matéria Prima Embalagens'!B:D,3,0)</f>
        <v>UMECTANTE</v>
      </c>
      <c r="F1753" s="270">
        <f t="shared" si="232"/>
        <v>2084</v>
      </c>
      <c r="G1753" s="148">
        <f t="shared" si="233"/>
        <v>2.8790786948176585E-3</v>
      </c>
      <c r="H1753" s="276">
        <v>6</v>
      </c>
      <c r="I1753" s="272">
        <f>ROUND(F1753/VLOOKUP(A1753,'Tabela de Produtos'!A:J,10,0),0)</f>
        <v>2084</v>
      </c>
      <c r="J1753" s="97">
        <f>IFERROR(VLOOKUP(C1753,'Custos Matéria Prima Embalagens'!B:G,6,0)*H1753,"Matéria Prima Não Cadastrada")</f>
        <v>43.980000000000004</v>
      </c>
      <c r="K1753" s="97">
        <f>IFERROR(J1753/(I1753/VLOOKUP(A1753,'Tabela de Produtos'!A:H,8,0)),"Matéria Prima Não Cadastrada")</f>
        <v>0.2954510556621881</v>
      </c>
      <c r="L1753" s="216"/>
    </row>
    <row r="1754" spans="1:12" ht="15.75" customHeight="1">
      <c r="A1754" s="114" t="s">
        <v>370</v>
      </c>
      <c r="B1754" s="114" t="str">
        <f>VLOOKUP(A1754,'Tabela de Produtos'!A:B,2,0)</f>
        <v>BRAZIMIL BORRACHA LIQUIDA MULTIFUNÇÃO 14KG CINZA PLATINA</v>
      </c>
      <c r="C1754" s="48" t="s">
        <v>1207</v>
      </c>
      <c r="D1754" s="114" t="str">
        <f>VLOOKUP(C1754,'Custos Matéria Prima Embalagens'!B:C,2,0)</f>
        <v>WANPEX 1510 (BB-200)</v>
      </c>
      <c r="E1754" s="114" t="str">
        <f>VLOOKUP(C1754,'Custos Matéria Prima Embalagens'!B:D,3,0)</f>
        <v>DISPERSANTE LATEX</v>
      </c>
      <c r="F1754" s="270">
        <f t="shared" si="232"/>
        <v>2084</v>
      </c>
      <c r="G1754" s="148">
        <f t="shared" si="233"/>
        <v>3.838771593090211E-3</v>
      </c>
      <c r="H1754" s="276">
        <v>8</v>
      </c>
      <c r="I1754" s="272">
        <f>ROUND(F1754/VLOOKUP(A1754,'Tabela de Produtos'!A:J,10,0),0)</f>
        <v>2084</v>
      </c>
      <c r="J1754" s="97">
        <f>IFERROR(VLOOKUP(C1754,'Custos Matéria Prima Embalagens'!B:G,6,0)*H1754,"Matéria Prima Não Cadastrada")</f>
        <v>54.879999999999995</v>
      </c>
      <c r="K1754" s="97">
        <f>IFERROR(J1754/(I1754/VLOOKUP(A1754,'Tabela de Produtos'!A:H,8,0)),"Matéria Prima Não Cadastrada")</f>
        <v>0.36867562380038382</v>
      </c>
      <c r="L1754" s="216"/>
    </row>
    <row r="1755" spans="1:12" ht="15.75" customHeight="1">
      <c r="A1755" s="114" t="s">
        <v>370</v>
      </c>
      <c r="B1755" s="114" t="str">
        <f>VLOOKUP(A1755,'Tabela de Produtos'!A:B,2,0)</f>
        <v>BRAZIMIL BORRACHA LIQUIDA MULTIFUNÇÃO 14KG CINZA PLATINA</v>
      </c>
      <c r="C1755" s="48" t="s">
        <v>1209</v>
      </c>
      <c r="D1755" s="114" t="str">
        <f>VLOOKUP(C1755,'Custos Matéria Prima Embalagens'!B:C,2,0)</f>
        <v>WANFUNG WFT CE (BH-200)</v>
      </c>
      <c r="E1755" s="114" t="str">
        <f>VLOOKUP(C1755,'Custos Matéria Prima Embalagens'!B:D,3,0)</f>
        <v>FUNGICIDA</v>
      </c>
      <c r="F1755" s="270">
        <f t="shared" si="232"/>
        <v>2084</v>
      </c>
      <c r="G1755" s="148">
        <f t="shared" si="233"/>
        <v>2.3992322456813818E-3</v>
      </c>
      <c r="H1755" s="276">
        <v>5</v>
      </c>
      <c r="I1755" s="272">
        <f>ROUND(F1755/VLOOKUP(A1755,'Tabela de Produtos'!A:J,10,0),0)</f>
        <v>2084</v>
      </c>
      <c r="J1755" s="97">
        <f>IFERROR(VLOOKUP(C1755,'Custos Matéria Prima Embalagens'!B:G,6,0)*H1755,"Matéria Prima Não Cadastrada")</f>
        <v>35</v>
      </c>
      <c r="K1755" s="97">
        <f>IFERROR(J1755/(I1755/VLOOKUP(A1755,'Tabela de Produtos'!A:H,8,0)),"Matéria Prima Não Cadastrada")</f>
        <v>0.23512476007677544</v>
      </c>
      <c r="L1755" s="216"/>
    </row>
    <row r="1756" spans="1:12" ht="15.75" customHeight="1">
      <c r="A1756" s="114" t="s">
        <v>370</v>
      </c>
      <c r="B1756" s="114" t="str">
        <f>VLOOKUP(A1756,'Tabela de Produtos'!A:B,2,0)</f>
        <v>BRAZIMIL BORRACHA LIQUIDA MULTIFUNÇÃO 14KG CINZA PLATINA</v>
      </c>
      <c r="C1756" s="48" t="s">
        <v>1213</v>
      </c>
      <c r="D1756" s="114" t="str">
        <f>VLOOKUP(C1756,'Custos Matéria Prima Embalagens'!B:C,2,0)</f>
        <v>DIOXIDO DE TITANIO RUTILO R-996</v>
      </c>
      <c r="E1756" s="114" t="str">
        <f>VLOOKUP(C1756,'Custos Matéria Prima Embalagens'!B:D,3,0)</f>
        <v>TITANIO</v>
      </c>
      <c r="F1756" s="270">
        <f t="shared" si="232"/>
        <v>2084</v>
      </c>
      <c r="G1756" s="148">
        <f t="shared" si="233"/>
        <v>0.1199616122840691</v>
      </c>
      <c r="H1756" s="276">
        <v>250</v>
      </c>
      <c r="I1756" s="272">
        <f>ROUND(F1756/VLOOKUP(A1756,'Tabela de Produtos'!A:J,10,0),0)</f>
        <v>2084</v>
      </c>
      <c r="J1756" s="97">
        <f>IFERROR(VLOOKUP(C1756,'Custos Matéria Prima Embalagens'!B:G,6,0)*H1756,"Matéria Prima Não Cadastrada")</f>
        <v>4825</v>
      </c>
      <c r="K1756" s="97">
        <f>IFERROR(J1756/(I1756/VLOOKUP(A1756,'Tabela de Produtos'!A:H,8,0)),"Matéria Prima Não Cadastrada")</f>
        <v>32.413627639155472</v>
      </c>
      <c r="L1756" s="216"/>
    </row>
    <row r="1757" spans="1:12" ht="15.75" customHeight="1">
      <c r="A1757" s="114" t="s">
        <v>370</v>
      </c>
      <c r="B1757" s="114" t="str">
        <f>VLOOKUP(A1757,'Tabela de Produtos'!A:B,2,0)</f>
        <v>BRAZIMIL BORRACHA LIQUIDA MULTIFUNÇÃO 14KG CINZA PLATINA</v>
      </c>
      <c r="C1757" s="48" t="s">
        <v>1211</v>
      </c>
      <c r="D1757" s="114" t="str">
        <f>VLOOKUP(C1757,'Custos Matéria Prima Embalagens'!B:C,2,0)</f>
        <v>WHITE PLUS PB (SC-25) (Em negociação)</v>
      </c>
      <c r="E1757" s="114" t="str">
        <f>VLOOKUP(C1757,'Custos Matéria Prima Embalagens'!B:D,3,0)</f>
        <v>WHITE PLUS</v>
      </c>
      <c r="F1757" s="270">
        <f t="shared" si="232"/>
        <v>2084</v>
      </c>
      <c r="G1757" s="148">
        <f t="shared" si="233"/>
        <v>0.19193857965451055</v>
      </c>
      <c r="H1757" s="276">
        <v>400</v>
      </c>
      <c r="I1757" s="272">
        <f>ROUND(F1757/VLOOKUP(A1757,'Tabela de Produtos'!A:J,10,0),0)</f>
        <v>2084</v>
      </c>
      <c r="J1757" s="97">
        <f>IFERROR(VLOOKUP(C1757,'Custos Matéria Prima Embalagens'!B:G,6,0)*H1757,"Matéria Prima Não Cadastrada")</f>
        <v>1236</v>
      </c>
      <c r="K1757" s="97">
        <f>IFERROR(J1757/(I1757/VLOOKUP(A1757,'Tabela de Produtos'!A:H,8,0)),"Matéria Prima Não Cadastrada")</f>
        <v>8.3032629558541267</v>
      </c>
      <c r="L1757" s="216"/>
    </row>
    <row r="1758" spans="1:12" ht="15.75" customHeight="1">
      <c r="A1758" s="114" t="s">
        <v>370</v>
      </c>
      <c r="B1758" s="114" t="str">
        <f>VLOOKUP(A1758,'Tabela de Produtos'!A:B,2,0)</f>
        <v>BRAZIMIL BORRACHA LIQUIDA MULTIFUNÇÃO 14KG CINZA PLATINA</v>
      </c>
      <c r="C1758" s="48" t="s">
        <v>1215</v>
      </c>
      <c r="D1758" s="114" t="str">
        <f>VLOOKUP(C1758,'Custos Matéria Prima Embalagens'!B:C,2,0)</f>
        <v>CALCARIO DOLOMITICO #500 ( SACOS 25 KG)</v>
      </c>
      <c r="E1758" s="114" t="str">
        <f>VLOOKUP(C1758,'Custos Matéria Prima Embalagens'!B:D,3,0)</f>
        <v>CARBONATO #500</v>
      </c>
      <c r="F1758" s="270">
        <f t="shared" si="232"/>
        <v>2084</v>
      </c>
      <c r="G1758" s="148">
        <f t="shared" si="233"/>
        <v>4.7984644913627639E-2</v>
      </c>
      <c r="H1758" s="276">
        <v>100</v>
      </c>
      <c r="I1758" s="272">
        <f>ROUND(F1758/VLOOKUP(A1758,'Tabela de Produtos'!A:J,10,0),0)</f>
        <v>2084</v>
      </c>
      <c r="J1758" s="97">
        <f>IFERROR(VLOOKUP(C1758,'Custos Matéria Prima Embalagens'!B:G,6,0)*H1758,"Matéria Prima Não Cadastrada")</f>
        <v>80</v>
      </c>
      <c r="K1758" s="97">
        <f>IFERROR(J1758/(I1758/VLOOKUP(A1758,'Tabela de Produtos'!A:H,8,0)),"Matéria Prima Não Cadastrada")</f>
        <v>0.5374280230326296</v>
      </c>
      <c r="L1758" s="216"/>
    </row>
    <row r="1759" spans="1:12" ht="15.75" customHeight="1">
      <c r="A1759" s="114" t="s">
        <v>370</v>
      </c>
      <c r="B1759" s="114" t="str">
        <f>VLOOKUP(A1759,'Tabela de Produtos'!A:B,2,0)</f>
        <v>BRAZIMIL BORRACHA LIQUIDA MULTIFUNÇÃO 14KG CINZA PLATINA</v>
      </c>
      <c r="C1759" s="48" t="s">
        <v>1217</v>
      </c>
      <c r="D1759" s="114" t="str">
        <f>VLOOKUP(C1759,'Custos Matéria Prima Embalagens'!B:C,2,0)</f>
        <v>WANCRIL W 51 CE (CT-1000P)</v>
      </c>
      <c r="E1759" s="114" t="str">
        <f>VLOOKUP(C1759,'Custos Matéria Prima Embalagens'!B:D,3,0)</f>
        <v>RESINA ACRILICA ESTIRENADA</v>
      </c>
      <c r="F1759" s="270">
        <f t="shared" si="232"/>
        <v>2084</v>
      </c>
      <c r="G1759" s="148">
        <f t="shared" si="233"/>
        <v>4.7984644913627639E-2</v>
      </c>
      <c r="H1759" s="276">
        <v>100</v>
      </c>
      <c r="I1759" s="272">
        <f>ROUND(F1759/VLOOKUP(A1759,'Tabela de Produtos'!A:J,10,0),0)</f>
        <v>2084</v>
      </c>
      <c r="J1759" s="97">
        <f>IFERROR(VLOOKUP(C1759,'Custos Matéria Prima Embalagens'!B:G,6,0)*H1759,"Matéria Prima Não Cadastrada")</f>
        <v>843</v>
      </c>
      <c r="K1759" s="97">
        <f>IFERROR(J1759/(I1759/VLOOKUP(A1759,'Tabela de Produtos'!A:H,8,0)),"Matéria Prima Não Cadastrada")</f>
        <v>5.6631477927063338</v>
      </c>
      <c r="L1759" s="216"/>
    </row>
    <row r="1760" spans="1:12" ht="15.75" customHeight="1">
      <c r="A1760" s="114" t="s">
        <v>370</v>
      </c>
      <c r="B1760" s="114" t="str">
        <f>VLOOKUP(A1760,'Tabela de Produtos'!A:B,2,0)</f>
        <v>BRAZIMIL BORRACHA LIQUIDA MULTIFUNÇÃO 14KG CINZA PLATINA</v>
      </c>
      <c r="C1760" s="48" t="s">
        <v>1259</v>
      </c>
      <c r="D1760" s="114" t="str">
        <f>VLOOKUP(C1760,'Custos Matéria Prima Embalagens'!B:C,2,0)</f>
        <v>WANCRIL IMP 09 (BB-200)</v>
      </c>
      <c r="E1760" s="114" t="str">
        <f>VLOOKUP(C1760,'Custos Matéria Prima Embalagens'!B:D,3,0)</f>
        <v>RESINA ELASTOMERICA</v>
      </c>
      <c r="F1760" s="270">
        <f t="shared" si="232"/>
        <v>2084</v>
      </c>
      <c r="G1760" s="148">
        <f t="shared" si="233"/>
        <v>0.28790786948176583</v>
      </c>
      <c r="H1760" s="276">
        <v>600</v>
      </c>
      <c r="I1760" s="272">
        <f>ROUND(F1760/VLOOKUP(A1760,'Tabela de Produtos'!A:J,10,0),0)</f>
        <v>2084</v>
      </c>
      <c r="J1760" s="97">
        <f>IFERROR(VLOOKUP(C1760,'Custos Matéria Prima Embalagens'!B:G,6,0)*H1760,"Matéria Prima Não Cadastrada")</f>
        <v>7044.8539220291395</v>
      </c>
      <c r="K1760" s="97">
        <f>IFERROR(J1760/(I1760/VLOOKUP(A1760,'Tabela de Produtos'!A:H,8,0)),"Matéria Prima Não Cadastrada")</f>
        <v>47.326273948372339</v>
      </c>
      <c r="L1760" s="216"/>
    </row>
    <row r="1761" spans="1:12" ht="15.75" customHeight="1">
      <c r="A1761" s="114" t="s">
        <v>370</v>
      </c>
      <c r="B1761" s="114" t="str">
        <f>VLOOKUP(A1761,'Tabela de Produtos'!A:B,2,0)</f>
        <v>BRAZIMIL BORRACHA LIQUIDA MULTIFUNÇÃO 14KG CINZA PLATINA</v>
      </c>
      <c r="C1761" s="48" t="s">
        <v>1229</v>
      </c>
      <c r="D1761" s="114" t="str">
        <f>VLOOKUP(C1761,'Custos Matéria Prima Embalagens'!B:C,2,0)</f>
        <v>WANSOL 340 CE (BB-200)</v>
      </c>
      <c r="E1761" s="114" t="str">
        <f>VLOOKUP(C1761,'Custos Matéria Prima Embalagens'!B:D,3,0)</f>
        <v>COALESCENTE</v>
      </c>
      <c r="F1761" s="270">
        <f t="shared" si="232"/>
        <v>2084</v>
      </c>
      <c r="G1761" s="148">
        <f t="shared" si="233"/>
        <v>9.5969289827255271E-3</v>
      </c>
      <c r="H1761" s="276">
        <v>20</v>
      </c>
      <c r="I1761" s="272">
        <f>ROUND(F1761/VLOOKUP(A1761,'Tabela de Produtos'!A:J,10,0),0)</f>
        <v>2084</v>
      </c>
      <c r="J1761" s="97">
        <f>IFERROR(VLOOKUP(C1761,'Custos Matéria Prima Embalagens'!B:G,6,0)*H1761,"Matéria Prima Não Cadastrada")</f>
        <v>384.4</v>
      </c>
      <c r="K1761" s="97">
        <f>IFERROR(J1761/(I1761/VLOOKUP(A1761,'Tabela de Produtos'!A:H,8,0)),"Matéria Prima Não Cadastrada")</f>
        <v>2.5823416506717849</v>
      </c>
      <c r="L1761" s="216"/>
    </row>
    <row r="1762" spans="1:12" ht="15.75" customHeight="1">
      <c r="A1762" s="114" t="s">
        <v>370</v>
      </c>
      <c r="B1762" s="114" t="str">
        <f>VLOOKUP(A1762,'Tabela de Produtos'!A:B,2,0)</f>
        <v>BRAZIMIL BORRACHA LIQUIDA MULTIFUNÇÃO 14KG CINZA PLATINA</v>
      </c>
      <c r="C1762" s="48" t="s">
        <v>1261</v>
      </c>
      <c r="D1762" s="114" t="str">
        <f>VLOOKUP(C1762,'Custos Matéria Prima Embalagens'!B:C,2,0)</f>
        <v>WANCOAT PA70 (BR-45)</v>
      </c>
      <c r="E1762" s="114" t="str">
        <f>VLOOKUP(C1762,'Custos Matéria Prima Embalagens'!B:D,3,0)</f>
        <v>HIDROREPELENTE BASE AGUA</v>
      </c>
      <c r="F1762" s="270">
        <f t="shared" si="232"/>
        <v>2084</v>
      </c>
      <c r="G1762" s="148">
        <f t="shared" si="233"/>
        <v>2.8790786948176585E-2</v>
      </c>
      <c r="H1762" s="276">
        <v>60</v>
      </c>
      <c r="I1762" s="272">
        <f>ROUND(F1762/VLOOKUP(A1762,'Tabela de Produtos'!A:J,10,0),0)</f>
        <v>2084</v>
      </c>
      <c r="J1762" s="97">
        <f>IFERROR(VLOOKUP(C1762,'Custos Matéria Prima Embalagens'!B:G,6,0)*H1762,"Matéria Prima Não Cadastrada")</f>
        <v>1885.8853922029141</v>
      </c>
      <c r="K1762" s="97">
        <f>IFERROR(J1762/(I1762/VLOOKUP(A1762,'Tabela de Produtos'!A:H,8,0)),"Matéria Prima Não Cadastrada")</f>
        <v>12.669095724971591</v>
      </c>
      <c r="L1762" s="216"/>
    </row>
    <row r="1763" spans="1:12" ht="15.75" customHeight="1">
      <c r="A1763" s="114" t="s">
        <v>370</v>
      </c>
      <c r="B1763" s="114" t="str">
        <f>VLOOKUP(A1763,'Tabela de Produtos'!A:B,2,0)</f>
        <v>BRAZIMIL BORRACHA LIQUIDA MULTIFUNÇÃO 14KG CINZA PLATINA</v>
      </c>
      <c r="C1763" s="48" t="s">
        <v>1219</v>
      </c>
      <c r="D1763" s="114" t="str">
        <f>VLOOKUP(C1763,'Custos Matéria Prima Embalagens'!B:C,2,0)</f>
        <v>WANALK 70 CE (BH-200)</v>
      </c>
      <c r="E1763" s="114" t="str">
        <f>VLOOKUP(C1763,'Custos Matéria Prima Embalagens'!B:D,3,0)</f>
        <v>ALCALINIZANTE</v>
      </c>
      <c r="F1763" s="270">
        <f t="shared" si="232"/>
        <v>2084</v>
      </c>
      <c r="G1763" s="148">
        <f t="shared" si="233"/>
        <v>2.8790786948176585E-3</v>
      </c>
      <c r="H1763" s="276">
        <v>6</v>
      </c>
      <c r="I1763" s="272">
        <f>ROUND(F1763/VLOOKUP(A1763,'Tabela de Produtos'!A:J,10,0),0)</f>
        <v>2084</v>
      </c>
      <c r="J1763" s="97">
        <f>IFERROR(VLOOKUP(C1763,'Custos Matéria Prima Embalagens'!B:G,6,0)*H1763,"Matéria Prima Não Cadastrada")</f>
        <v>29.880000000000003</v>
      </c>
      <c r="K1763" s="97">
        <f>IFERROR(J1763/(I1763/VLOOKUP(A1763,'Tabela de Produtos'!A:H,8,0)),"Matéria Prima Não Cadastrada")</f>
        <v>0.20072936660268714</v>
      </c>
      <c r="L1763" s="216"/>
    </row>
    <row r="1764" spans="1:12" ht="15.75" customHeight="1">
      <c r="A1764" s="114" t="s">
        <v>370</v>
      </c>
      <c r="B1764" s="114" t="str">
        <f>VLOOKUP(A1764,'Tabela de Produtos'!A:B,2,0)</f>
        <v>BRAZIMIL BORRACHA LIQUIDA MULTIFUNÇÃO 14KG CINZA PLATINA</v>
      </c>
      <c r="C1764" s="48" t="s">
        <v>1221</v>
      </c>
      <c r="D1764" s="114" t="str">
        <f>VLOOKUP(C1764,'Custos Matéria Prima Embalagens'!B:C,2,0)</f>
        <v>MODIWAN 105H CE (CT-1000P)</v>
      </c>
      <c r="E1764" s="114" t="str">
        <f>VLOOKUP(C1764,'Custos Matéria Prima Embalagens'!B:D,3,0)</f>
        <v>ESPESSANTE DE MEDIA</v>
      </c>
      <c r="F1764" s="270">
        <f t="shared" si="232"/>
        <v>2084</v>
      </c>
      <c r="G1764" s="148">
        <f t="shared" si="233"/>
        <v>9.5969289827255271E-3</v>
      </c>
      <c r="H1764" s="276">
        <v>20</v>
      </c>
      <c r="I1764" s="272">
        <f>ROUND(F1764/VLOOKUP(A1764,'Tabela de Produtos'!A:J,10,0),0)</f>
        <v>2084</v>
      </c>
      <c r="J1764" s="97">
        <f>IFERROR(VLOOKUP(C1764,'Custos Matéria Prima Embalagens'!B:G,6,0)*H1764,"Matéria Prima Não Cadastrada")</f>
        <v>158.1</v>
      </c>
      <c r="K1764" s="97">
        <f>IFERROR(J1764/(I1764/VLOOKUP(A1764,'Tabela de Produtos'!A:H,8,0)),"Matéria Prima Não Cadastrada")</f>
        <v>1.062092130518234</v>
      </c>
      <c r="L1764" s="216"/>
    </row>
    <row r="1765" spans="1:12" ht="15.75" customHeight="1">
      <c r="D1765" s="114"/>
      <c r="E1765" s="114"/>
      <c r="F1765" s="96"/>
      <c r="G1765" s="148"/>
      <c r="H1765" s="96"/>
      <c r="I1765" s="272"/>
      <c r="J1765" s="97"/>
      <c r="K1765" s="97"/>
      <c r="L1765" s="216"/>
    </row>
    <row r="1766" spans="1:12" ht="15.75" customHeight="1">
      <c r="A1766" s="114" t="s">
        <v>371</v>
      </c>
      <c r="B1766" s="114" t="str">
        <f>VLOOKUP(A1766,'Tabela de Produtos'!A:B,2,0)</f>
        <v>BRAZIMIL BORRACHA LIQUIDA MULTIFUNÇÃO 14KG CERAMICA</v>
      </c>
      <c r="C1766" s="48" t="s">
        <v>1197</v>
      </c>
      <c r="D1766" s="114" t="str">
        <f>VLOOKUP(C1766,'Custos Matéria Prima Embalagens'!B:C,2,0)</f>
        <v>AGUA</v>
      </c>
      <c r="E1766" s="114" t="str">
        <f>VLOOKUP(C1766,'Custos Matéria Prima Embalagens'!B:D,3,0)</f>
        <v>AGUA</v>
      </c>
      <c r="F1766" s="270">
        <f t="shared" ref="F1766:F1781" si="234">SUMIFS(H:H,A:A,A1766)</f>
        <v>2084</v>
      </c>
      <c r="G1766" s="148">
        <f t="shared" ref="G1766:G1781" si="235">H1766/F1766</f>
        <v>0.23992322456813819</v>
      </c>
      <c r="H1766" s="276">
        <v>500</v>
      </c>
      <c r="I1766" s="272">
        <f>ROUND(F1766/VLOOKUP(A1766,'Tabela de Produtos'!A:J,10,0),0)</f>
        <v>2084</v>
      </c>
      <c r="J1766" s="97">
        <f>IFERROR(VLOOKUP(C1766,'Custos Matéria Prima Embalagens'!B:G,6,0)*H1766,"Matéria Prima Não Cadastrada")</f>
        <v>0</v>
      </c>
      <c r="K1766" s="97">
        <f>IFERROR(J1766/(I1766/VLOOKUP(A1766,'Tabela de Produtos'!A:H,8,0)),"Matéria Prima Não Cadastrada")</f>
        <v>0</v>
      </c>
      <c r="L1766" s="216"/>
    </row>
    <row r="1767" spans="1:12" ht="15.75" customHeight="1">
      <c r="A1767" s="114" t="s">
        <v>371</v>
      </c>
      <c r="B1767" s="114" t="str">
        <f>VLOOKUP(A1767,'Tabela de Produtos'!A:B,2,0)</f>
        <v>BRAZIMIL BORRACHA LIQUIDA MULTIFUNÇÃO 14KG CERAMICA</v>
      </c>
      <c r="C1767" s="48" t="s">
        <v>1199</v>
      </c>
      <c r="D1767" s="114" t="str">
        <f>VLOOKUP(C1767,'Custos Matéria Prima Embalagens'!B:C,2,0)</f>
        <v>HEXAMETAFOSFATO DE SODIO</v>
      </c>
      <c r="E1767" s="114" t="str">
        <f>VLOOKUP(C1767,'Custos Matéria Prima Embalagens'!B:D,3,0)</f>
        <v>HEXAMETAFOSFATO DE SODIO</v>
      </c>
      <c r="F1767" s="270">
        <f t="shared" si="234"/>
        <v>2084</v>
      </c>
      <c r="G1767" s="148">
        <f t="shared" si="235"/>
        <v>4.7984644913627637E-4</v>
      </c>
      <c r="H1767" s="276">
        <v>1</v>
      </c>
      <c r="I1767" s="272">
        <f>ROUND(F1767/VLOOKUP(A1767,'Tabela de Produtos'!A:J,10,0),0)</f>
        <v>2084</v>
      </c>
      <c r="J1767" s="97">
        <f>IFERROR(VLOOKUP(C1767,'Custos Matéria Prima Embalagens'!B:G,6,0)*H1767,"Matéria Prima Não Cadastrada")</f>
        <v>17.939999999999998</v>
      </c>
      <c r="K1767" s="97">
        <f>IFERROR(J1767/(I1767/VLOOKUP(A1767,'Tabela de Produtos'!A:H,8,0)),"Matéria Prima Não Cadastrada")</f>
        <v>0.12051823416506716</v>
      </c>
      <c r="L1767" s="216"/>
    </row>
    <row r="1768" spans="1:12" ht="15.75" customHeight="1">
      <c r="A1768" s="114" t="s">
        <v>371</v>
      </c>
      <c r="B1768" s="114" t="str">
        <f>VLOOKUP(A1768,'Tabela de Produtos'!A:B,2,0)</f>
        <v>BRAZIMIL BORRACHA LIQUIDA MULTIFUNÇÃO 14KG CERAMICA</v>
      </c>
      <c r="C1768" s="48" t="s">
        <v>1257</v>
      </c>
      <c r="D1768" s="114" t="str">
        <f>VLOOKUP(C1768,'Custos Matéria Prima Embalagens'!B:C,2,0)</f>
        <v>WANCOAT 520 (BR-45)</v>
      </c>
      <c r="E1768" s="114" t="str">
        <f>VLOOKUP(C1768,'Custos Matéria Prima Embalagens'!B:D,3,0)</f>
        <v>ANTI ESPUMA ESM BASE AGUA</v>
      </c>
      <c r="F1768" s="270">
        <f t="shared" si="234"/>
        <v>2084</v>
      </c>
      <c r="G1768" s="148">
        <f t="shared" si="235"/>
        <v>1.9193857965451055E-3</v>
      </c>
      <c r="H1768" s="276">
        <v>4</v>
      </c>
      <c r="I1768" s="272">
        <f>ROUND(F1768/VLOOKUP(A1768,'Tabela de Produtos'!A:J,10,0),0)</f>
        <v>2084</v>
      </c>
      <c r="J1768" s="97">
        <f>IFERROR(VLOOKUP(C1768,'Custos Matéria Prima Embalagens'!B:G,6,0)*H1768,"Matéria Prima Não Cadastrada")</f>
        <v>47.045692813527602</v>
      </c>
      <c r="K1768" s="97">
        <f>IFERROR(J1768/(I1768/VLOOKUP(A1768,'Tabela de Produtos'!A:H,8,0)),"Matéria Prima Não Cadastrada")</f>
        <v>0.3160459210121816</v>
      </c>
      <c r="L1768" s="216"/>
    </row>
    <row r="1769" spans="1:12" ht="15.75" customHeight="1">
      <c r="A1769" s="114" t="s">
        <v>371</v>
      </c>
      <c r="B1769" s="114" t="str">
        <f>VLOOKUP(A1769,'Tabela de Produtos'!A:B,2,0)</f>
        <v>BRAZIMIL BORRACHA LIQUIDA MULTIFUNÇÃO 14KG CERAMICA</v>
      </c>
      <c r="C1769" s="48" t="s">
        <v>1203</v>
      </c>
      <c r="D1769" s="114" t="str">
        <f>VLOOKUP(C1769,'Custos Matéria Prima Embalagens'!B:C,2,0)</f>
        <v>WANBAC WBT CE (BH-200)</v>
      </c>
      <c r="E1769" s="114" t="str">
        <f>VLOOKUP(C1769,'Custos Matéria Prima Embalagens'!B:D,3,0)</f>
        <v>BACTERICIDA</v>
      </c>
      <c r="F1769" s="270">
        <f t="shared" si="234"/>
        <v>2084</v>
      </c>
      <c r="G1769" s="148">
        <f t="shared" si="235"/>
        <v>1.9193857965451055E-3</v>
      </c>
      <c r="H1769" s="276">
        <v>4</v>
      </c>
      <c r="I1769" s="272">
        <f>ROUND(F1769/VLOOKUP(A1769,'Tabela de Produtos'!A:J,10,0),0)</f>
        <v>2084</v>
      </c>
      <c r="J1769" s="97">
        <f>IFERROR(VLOOKUP(C1769,'Custos Matéria Prima Embalagens'!B:G,6,0)*H1769,"Matéria Prima Não Cadastrada")</f>
        <v>19.759999999999998</v>
      </c>
      <c r="K1769" s="97">
        <f>IFERROR(J1769/(I1769/VLOOKUP(A1769,'Tabela de Produtos'!A:H,8,0)),"Matéria Prima Não Cadastrada")</f>
        <v>0.13274472168905949</v>
      </c>
      <c r="L1769" s="216"/>
    </row>
    <row r="1770" spans="1:12" ht="15.75" customHeight="1">
      <c r="A1770" s="114" t="s">
        <v>371</v>
      </c>
      <c r="B1770" s="114" t="str">
        <f>VLOOKUP(A1770,'Tabela de Produtos'!A:B,2,0)</f>
        <v>BRAZIMIL BORRACHA LIQUIDA MULTIFUNÇÃO 14KG CERAMICA</v>
      </c>
      <c r="C1770" s="48" t="s">
        <v>1205</v>
      </c>
      <c r="D1770" s="114" t="str">
        <f>VLOOKUP(C1770,'Custos Matéria Prima Embalagens'!B:C,2,0)</f>
        <v>WANSUR 840 CE (BB-200)01</v>
      </c>
      <c r="E1770" s="114" t="str">
        <f>VLOOKUP(C1770,'Custos Matéria Prima Embalagens'!B:D,3,0)</f>
        <v>UMECTANTE</v>
      </c>
      <c r="F1770" s="270">
        <f t="shared" si="234"/>
        <v>2084</v>
      </c>
      <c r="G1770" s="148">
        <f t="shared" si="235"/>
        <v>2.8790786948176585E-3</v>
      </c>
      <c r="H1770" s="276">
        <v>6</v>
      </c>
      <c r="I1770" s="272">
        <f>ROUND(F1770/VLOOKUP(A1770,'Tabela de Produtos'!A:J,10,0),0)</f>
        <v>2084</v>
      </c>
      <c r="J1770" s="97">
        <f>IFERROR(VLOOKUP(C1770,'Custos Matéria Prima Embalagens'!B:G,6,0)*H1770,"Matéria Prima Não Cadastrada")</f>
        <v>43.980000000000004</v>
      </c>
      <c r="K1770" s="97">
        <f>IFERROR(J1770/(I1770/VLOOKUP(A1770,'Tabela de Produtos'!A:H,8,0)),"Matéria Prima Não Cadastrada")</f>
        <v>0.2954510556621881</v>
      </c>
      <c r="L1770" s="216"/>
    </row>
    <row r="1771" spans="1:12" ht="15.75" customHeight="1">
      <c r="A1771" s="114" t="s">
        <v>371</v>
      </c>
      <c r="B1771" s="114" t="str">
        <f>VLOOKUP(A1771,'Tabela de Produtos'!A:B,2,0)</f>
        <v>BRAZIMIL BORRACHA LIQUIDA MULTIFUNÇÃO 14KG CERAMICA</v>
      </c>
      <c r="C1771" s="48" t="s">
        <v>1207</v>
      </c>
      <c r="D1771" s="114" t="str">
        <f>VLOOKUP(C1771,'Custos Matéria Prima Embalagens'!B:C,2,0)</f>
        <v>WANPEX 1510 (BB-200)</v>
      </c>
      <c r="E1771" s="114" t="str">
        <f>VLOOKUP(C1771,'Custos Matéria Prima Embalagens'!B:D,3,0)</f>
        <v>DISPERSANTE LATEX</v>
      </c>
      <c r="F1771" s="270">
        <f t="shared" si="234"/>
        <v>2084</v>
      </c>
      <c r="G1771" s="148">
        <f t="shared" si="235"/>
        <v>3.838771593090211E-3</v>
      </c>
      <c r="H1771" s="276">
        <v>8</v>
      </c>
      <c r="I1771" s="272">
        <f>ROUND(F1771/VLOOKUP(A1771,'Tabela de Produtos'!A:J,10,0),0)</f>
        <v>2084</v>
      </c>
      <c r="J1771" s="97">
        <f>IFERROR(VLOOKUP(C1771,'Custos Matéria Prima Embalagens'!B:G,6,0)*H1771,"Matéria Prima Não Cadastrada")</f>
        <v>54.879999999999995</v>
      </c>
      <c r="K1771" s="97">
        <f>IFERROR(J1771/(I1771/VLOOKUP(A1771,'Tabela de Produtos'!A:H,8,0)),"Matéria Prima Não Cadastrada")</f>
        <v>0.36867562380038382</v>
      </c>
      <c r="L1771" s="216"/>
    </row>
    <row r="1772" spans="1:12" ht="15.75" customHeight="1">
      <c r="A1772" s="114" t="s">
        <v>371</v>
      </c>
      <c r="B1772" s="114" t="str">
        <f>VLOOKUP(A1772,'Tabela de Produtos'!A:B,2,0)</f>
        <v>BRAZIMIL BORRACHA LIQUIDA MULTIFUNÇÃO 14KG CERAMICA</v>
      </c>
      <c r="C1772" s="48" t="s">
        <v>1209</v>
      </c>
      <c r="D1772" s="114" t="str">
        <f>VLOOKUP(C1772,'Custos Matéria Prima Embalagens'!B:C,2,0)</f>
        <v>WANFUNG WFT CE (BH-200)</v>
      </c>
      <c r="E1772" s="114" t="str">
        <f>VLOOKUP(C1772,'Custos Matéria Prima Embalagens'!B:D,3,0)</f>
        <v>FUNGICIDA</v>
      </c>
      <c r="F1772" s="270">
        <f t="shared" si="234"/>
        <v>2084</v>
      </c>
      <c r="G1772" s="148">
        <f t="shared" si="235"/>
        <v>2.3992322456813818E-3</v>
      </c>
      <c r="H1772" s="276">
        <v>5</v>
      </c>
      <c r="I1772" s="272">
        <f>ROUND(F1772/VLOOKUP(A1772,'Tabela de Produtos'!A:J,10,0),0)</f>
        <v>2084</v>
      </c>
      <c r="J1772" s="97">
        <f>IFERROR(VLOOKUP(C1772,'Custos Matéria Prima Embalagens'!B:G,6,0)*H1772,"Matéria Prima Não Cadastrada")</f>
        <v>35</v>
      </c>
      <c r="K1772" s="97">
        <f>IFERROR(J1772/(I1772/VLOOKUP(A1772,'Tabela de Produtos'!A:H,8,0)),"Matéria Prima Não Cadastrada")</f>
        <v>0.23512476007677544</v>
      </c>
      <c r="L1772" s="216"/>
    </row>
    <row r="1773" spans="1:12" ht="15.75" customHeight="1">
      <c r="A1773" s="114" t="s">
        <v>371</v>
      </c>
      <c r="B1773" s="114" t="str">
        <f>VLOOKUP(A1773,'Tabela de Produtos'!A:B,2,0)</f>
        <v>BRAZIMIL BORRACHA LIQUIDA MULTIFUNÇÃO 14KG CERAMICA</v>
      </c>
      <c r="C1773" s="48" t="s">
        <v>1213</v>
      </c>
      <c r="D1773" s="114" t="str">
        <f>VLOOKUP(C1773,'Custos Matéria Prima Embalagens'!B:C,2,0)</f>
        <v>DIOXIDO DE TITANIO RUTILO R-996</v>
      </c>
      <c r="E1773" s="114" t="str">
        <f>VLOOKUP(C1773,'Custos Matéria Prima Embalagens'!B:D,3,0)</f>
        <v>TITANIO</v>
      </c>
      <c r="F1773" s="270">
        <f t="shared" si="234"/>
        <v>2084</v>
      </c>
      <c r="G1773" s="148">
        <f t="shared" si="235"/>
        <v>0.1199616122840691</v>
      </c>
      <c r="H1773" s="276">
        <v>250</v>
      </c>
      <c r="I1773" s="272">
        <f>ROUND(F1773/VLOOKUP(A1773,'Tabela de Produtos'!A:J,10,0),0)</f>
        <v>2084</v>
      </c>
      <c r="J1773" s="97">
        <f>IFERROR(VLOOKUP(C1773,'Custos Matéria Prima Embalagens'!B:G,6,0)*H1773,"Matéria Prima Não Cadastrada")</f>
        <v>4825</v>
      </c>
      <c r="K1773" s="97">
        <f>IFERROR(J1773/(I1773/VLOOKUP(A1773,'Tabela de Produtos'!A:H,8,0)),"Matéria Prima Não Cadastrada")</f>
        <v>32.413627639155472</v>
      </c>
      <c r="L1773" s="216"/>
    </row>
    <row r="1774" spans="1:12" ht="15.75" customHeight="1">
      <c r="A1774" s="114" t="s">
        <v>371</v>
      </c>
      <c r="B1774" s="114" t="str">
        <f>VLOOKUP(A1774,'Tabela de Produtos'!A:B,2,0)</f>
        <v>BRAZIMIL BORRACHA LIQUIDA MULTIFUNÇÃO 14KG CERAMICA</v>
      </c>
      <c r="C1774" s="48" t="s">
        <v>1211</v>
      </c>
      <c r="D1774" s="114" t="str">
        <f>VLOOKUP(C1774,'Custos Matéria Prima Embalagens'!B:C,2,0)</f>
        <v>WHITE PLUS PB (SC-25) (Em negociação)</v>
      </c>
      <c r="E1774" s="114" t="str">
        <f>VLOOKUP(C1774,'Custos Matéria Prima Embalagens'!B:D,3,0)</f>
        <v>WHITE PLUS</v>
      </c>
      <c r="F1774" s="270">
        <f t="shared" si="234"/>
        <v>2084</v>
      </c>
      <c r="G1774" s="148">
        <f t="shared" si="235"/>
        <v>0.19193857965451055</v>
      </c>
      <c r="H1774" s="276">
        <v>400</v>
      </c>
      <c r="I1774" s="272">
        <f>ROUND(F1774/VLOOKUP(A1774,'Tabela de Produtos'!A:J,10,0),0)</f>
        <v>2084</v>
      </c>
      <c r="J1774" s="97">
        <f>IFERROR(VLOOKUP(C1774,'Custos Matéria Prima Embalagens'!B:G,6,0)*H1774,"Matéria Prima Não Cadastrada")</f>
        <v>1236</v>
      </c>
      <c r="K1774" s="97">
        <f>IFERROR(J1774/(I1774/VLOOKUP(A1774,'Tabela de Produtos'!A:H,8,0)),"Matéria Prima Não Cadastrada")</f>
        <v>8.3032629558541267</v>
      </c>
      <c r="L1774" s="216"/>
    </row>
    <row r="1775" spans="1:12" ht="15.75" customHeight="1">
      <c r="A1775" s="114" t="s">
        <v>371</v>
      </c>
      <c r="B1775" s="114" t="str">
        <f>VLOOKUP(A1775,'Tabela de Produtos'!A:B,2,0)</f>
        <v>BRAZIMIL BORRACHA LIQUIDA MULTIFUNÇÃO 14KG CERAMICA</v>
      </c>
      <c r="C1775" s="48" t="s">
        <v>1215</v>
      </c>
      <c r="D1775" s="114" t="str">
        <f>VLOOKUP(C1775,'Custos Matéria Prima Embalagens'!B:C,2,0)</f>
        <v>CALCARIO DOLOMITICO #500 ( SACOS 25 KG)</v>
      </c>
      <c r="E1775" s="114" t="str">
        <f>VLOOKUP(C1775,'Custos Matéria Prima Embalagens'!B:D,3,0)</f>
        <v>CARBONATO #500</v>
      </c>
      <c r="F1775" s="270">
        <f t="shared" si="234"/>
        <v>2084</v>
      </c>
      <c r="G1775" s="148">
        <f t="shared" si="235"/>
        <v>4.7984644913627639E-2</v>
      </c>
      <c r="H1775" s="276">
        <v>100</v>
      </c>
      <c r="I1775" s="272">
        <f>ROUND(F1775/VLOOKUP(A1775,'Tabela de Produtos'!A:J,10,0),0)</f>
        <v>2084</v>
      </c>
      <c r="J1775" s="97">
        <f>IFERROR(VLOOKUP(C1775,'Custos Matéria Prima Embalagens'!B:G,6,0)*H1775,"Matéria Prima Não Cadastrada")</f>
        <v>80</v>
      </c>
      <c r="K1775" s="97">
        <f>IFERROR(J1775/(I1775/VLOOKUP(A1775,'Tabela de Produtos'!A:H,8,0)),"Matéria Prima Não Cadastrada")</f>
        <v>0.5374280230326296</v>
      </c>
      <c r="L1775" s="216"/>
    </row>
    <row r="1776" spans="1:12" ht="15.75" customHeight="1">
      <c r="A1776" s="114" t="s">
        <v>371</v>
      </c>
      <c r="B1776" s="114" t="str">
        <f>VLOOKUP(A1776,'Tabela de Produtos'!A:B,2,0)</f>
        <v>BRAZIMIL BORRACHA LIQUIDA MULTIFUNÇÃO 14KG CERAMICA</v>
      </c>
      <c r="C1776" s="48" t="s">
        <v>1217</v>
      </c>
      <c r="D1776" s="114" t="str">
        <f>VLOOKUP(C1776,'Custos Matéria Prima Embalagens'!B:C,2,0)</f>
        <v>WANCRIL W 51 CE (CT-1000P)</v>
      </c>
      <c r="E1776" s="114" t="str">
        <f>VLOOKUP(C1776,'Custos Matéria Prima Embalagens'!B:D,3,0)</f>
        <v>RESINA ACRILICA ESTIRENADA</v>
      </c>
      <c r="F1776" s="270">
        <f t="shared" si="234"/>
        <v>2084</v>
      </c>
      <c r="G1776" s="148">
        <f t="shared" si="235"/>
        <v>4.7984644913627639E-2</v>
      </c>
      <c r="H1776" s="276">
        <v>100</v>
      </c>
      <c r="I1776" s="272">
        <f>ROUND(F1776/VLOOKUP(A1776,'Tabela de Produtos'!A:J,10,0),0)</f>
        <v>2084</v>
      </c>
      <c r="J1776" s="97">
        <f>IFERROR(VLOOKUP(C1776,'Custos Matéria Prima Embalagens'!B:G,6,0)*H1776,"Matéria Prima Não Cadastrada")</f>
        <v>843</v>
      </c>
      <c r="K1776" s="97">
        <f>IFERROR(J1776/(I1776/VLOOKUP(A1776,'Tabela de Produtos'!A:H,8,0)),"Matéria Prima Não Cadastrada")</f>
        <v>5.6631477927063338</v>
      </c>
      <c r="L1776" s="216"/>
    </row>
    <row r="1777" spans="1:12" ht="15.75" customHeight="1">
      <c r="A1777" s="114" t="s">
        <v>371</v>
      </c>
      <c r="B1777" s="114" t="str">
        <f>VLOOKUP(A1777,'Tabela de Produtos'!A:B,2,0)</f>
        <v>BRAZIMIL BORRACHA LIQUIDA MULTIFUNÇÃO 14KG CERAMICA</v>
      </c>
      <c r="C1777" s="48" t="s">
        <v>1259</v>
      </c>
      <c r="D1777" s="114" t="str">
        <f>VLOOKUP(C1777,'Custos Matéria Prima Embalagens'!B:C,2,0)</f>
        <v>WANCRIL IMP 09 (BB-200)</v>
      </c>
      <c r="E1777" s="114" t="str">
        <f>VLOOKUP(C1777,'Custos Matéria Prima Embalagens'!B:D,3,0)</f>
        <v>RESINA ELASTOMERICA</v>
      </c>
      <c r="F1777" s="270">
        <f t="shared" si="234"/>
        <v>2084</v>
      </c>
      <c r="G1777" s="148">
        <f t="shared" si="235"/>
        <v>0.28790786948176583</v>
      </c>
      <c r="H1777" s="276">
        <v>600</v>
      </c>
      <c r="I1777" s="272">
        <f>ROUND(F1777/VLOOKUP(A1777,'Tabela de Produtos'!A:J,10,0),0)</f>
        <v>2084</v>
      </c>
      <c r="J1777" s="97">
        <f>IFERROR(VLOOKUP(C1777,'Custos Matéria Prima Embalagens'!B:G,6,0)*H1777,"Matéria Prima Não Cadastrada")</f>
        <v>7044.8539220291395</v>
      </c>
      <c r="K1777" s="97">
        <f>IFERROR(J1777/(I1777/VLOOKUP(A1777,'Tabela de Produtos'!A:H,8,0)),"Matéria Prima Não Cadastrada")</f>
        <v>47.326273948372339</v>
      </c>
      <c r="L1777" s="216"/>
    </row>
    <row r="1778" spans="1:12" ht="15.75" customHeight="1">
      <c r="A1778" s="114" t="s">
        <v>371</v>
      </c>
      <c r="B1778" s="114" t="str">
        <f>VLOOKUP(A1778,'Tabela de Produtos'!A:B,2,0)</f>
        <v>BRAZIMIL BORRACHA LIQUIDA MULTIFUNÇÃO 14KG CERAMICA</v>
      </c>
      <c r="C1778" s="48" t="s">
        <v>1229</v>
      </c>
      <c r="D1778" s="114" t="str">
        <f>VLOOKUP(C1778,'Custos Matéria Prima Embalagens'!B:C,2,0)</f>
        <v>WANSOL 340 CE (BB-200)</v>
      </c>
      <c r="E1778" s="114" t="str">
        <f>VLOOKUP(C1778,'Custos Matéria Prima Embalagens'!B:D,3,0)</f>
        <v>COALESCENTE</v>
      </c>
      <c r="F1778" s="270">
        <f t="shared" si="234"/>
        <v>2084</v>
      </c>
      <c r="G1778" s="148">
        <f t="shared" si="235"/>
        <v>9.5969289827255271E-3</v>
      </c>
      <c r="H1778" s="276">
        <v>20</v>
      </c>
      <c r="I1778" s="272">
        <f>ROUND(F1778/VLOOKUP(A1778,'Tabela de Produtos'!A:J,10,0),0)</f>
        <v>2084</v>
      </c>
      <c r="J1778" s="97">
        <f>IFERROR(VLOOKUP(C1778,'Custos Matéria Prima Embalagens'!B:G,6,0)*H1778,"Matéria Prima Não Cadastrada")</f>
        <v>384.4</v>
      </c>
      <c r="K1778" s="97">
        <f>IFERROR(J1778/(I1778/VLOOKUP(A1778,'Tabela de Produtos'!A:H,8,0)),"Matéria Prima Não Cadastrada")</f>
        <v>2.5823416506717849</v>
      </c>
      <c r="L1778" s="216"/>
    </row>
    <row r="1779" spans="1:12" ht="15.75" customHeight="1">
      <c r="A1779" s="114" t="s">
        <v>371</v>
      </c>
      <c r="B1779" s="114" t="str">
        <f>VLOOKUP(A1779,'Tabela de Produtos'!A:B,2,0)</f>
        <v>BRAZIMIL BORRACHA LIQUIDA MULTIFUNÇÃO 14KG CERAMICA</v>
      </c>
      <c r="C1779" s="48" t="s">
        <v>1261</v>
      </c>
      <c r="D1779" s="114" t="str">
        <f>VLOOKUP(C1779,'Custos Matéria Prima Embalagens'!B:C,2,0)</f>
        <v>WANCOAT PA70 (BR-45)</v>
      </c>
      <c r="E1779" s="114" t="str">
        <f>VLOOKUP(C1779,'Custos Matéria Prima Embalagens'!B:D,3,0)</f>
        <v>HIDROREPELENTE BASE AGUA</v>
      </c>
      <c r="F1779" s="270">
        <f t="shared" si="234"/>
        <v>2084</v>
      </c>
      <c r="G1779" s="148">
        <f t="shared" si="235"/>
        <v>2.8790786948176585E-2</v>
      </c>
      <c r="H1779" s="276">
        <v>60</v>
      </c>
      <c r="I1779" s="272">
        <f>ROUND(F1779/VLOOKUP(A1779,'Tabela de Produtos'!A:J,10,0),0)</f>
        <v>2084</v>
      </c>
      <c r="J1779" s="97">
        <f>IFERROR(VLOOKUP(C1779,'Custos Matéria Prima Embalagens'!B:G,6,0)*H1779,"Matéria Prima Não Cadastrada")</f>
        <v>1885.8853922029141</v>
      </c>
      <c r="K1779" s="97">
        <f>IFERROR(J1779/(I1779/VLOOKUP(A1779,'Tabela de Produtos'!A:H,8,0)),"Matéria Prima Não Cadastrada")</f>
        <v>12.669095724971591</v>
      </c>
      <c r="L1779" s="216"/>
    </row>
    <row r="1780" spans="1:12" ht="15.75" customHeight="1">
      <c r="A1780" s="114" t="s">
        <v>371</v>
      </c>
      <c r="B1780" s="114" t="str">
        <f>VLOOKUP(A1780,'Tabela de Produtos'!A:B,2,0)</f>
        <v>BRAZIMIL BORRACHA LIQUIDA MULTIFUNÇÃO 14KG CERAMICA</v>
      </c>
      <c r="C1780" s="48" t="s">
        <v>1219</v>
      </c>
      <c r="D1780" s="114" t="str">
        <f>VLOOKUP(C1780,'Custos Matéria Prima Embalagens'!B:C,2,0)</f>
        <v>WANALK 70 CE (BH-200)</v>
      </c>
      <c r="E1780" s="114" t="str">
        <f>VLOOKUP(C1780,'Custos Matéria Prima Embalagens'!B:D,3,0)</f>
        <v>ALCALINIZANTE</v>
      </c>
      <c r="F1780" s="270">
        <f t="shared" si="234"/>
        <v>2084</v>
      </c>
      <c r="G1780" s="148">
        <f t="shared" si="235"/>
        <v>2.8790786948176585E-3</v>
      </c>
      <c r="H1780" s="276">
        <v>6</v>
      </c>
      <c r="I1780" s="272">
        <f>ROUND(F1780/VLOOKUP(A1780,'Tabela de Produtos'!A:J,10,0),0)</f>
        <v>2084</v>
      </c>
      <c r="J1780" s="97">
        <f>IFERROR(VLOOKUP(C1780,'Custos Matéria Prima Embalagens'!B:G,6,0)*H1780,"Matéria Prima Não Cadastrada")</f>
        <v>29.880000000000003</v>
      </c>
      <c r="K1780" s="97">
        <f>IFERROR(J1780/(I1780/VLOOKUP(A1780,'Tabela de Produtos'!A:H,8,0)),"Matéria Prima Não Cadastrada")</f>
        <v>0.20072936660268714</v>
      </c>
      <c r="L1780" s="216"/>
    </row>
    <row r="1781" spans="1:12" ht="15.75" customHeight="1">
      <c r="A1781" s="114" t="s">
        <v>371</v>
      </c>
      <c r="B1781" s="114" t="str">
        <f>VLOOKUP(A1781,'Tabela de Produtos'!A:B,2,0)</f>
        <v>BRAZIMIL BORRACHA LIQUIDA MULTIFUNÇÃO 14KG CERAMICA</v>
      </c>
      <c r="C1781" s="48" t="s">
        <v>1221</v>
      </c>
      <c r="D1781" s="114" t="str">
        <f>VLOOKUP(C1781,'Custos Matéria Prima Embalagens'!B:C,2,0)</f>
        <v>MODIWAN 105H CE (CT-1000P)</v>
      </c>
      <c r="E1781" s="114" t="str">
        <f>VLOOKUP(C1781,'Custos Matéria Prima Embalagens'!B:D,3,0)</f>
        <v>ESPESSANTE DE MEDIA</v>
      </c>
      <c r="F1781" s="270">
        <f t="shared" si="234"/>
        <v>2084</v>
      </c>
      <c r="G1781" s="148">
        <f t="shared" si="235"/>
        <v>9.5969289827255271E-3</v>
      </c>
      <c r="H1781" s="276">
        <v>20</v>
      </c>
      <c r="I1781" s="272">
        <f>ROUND(F1781/VLOOKUP(A1781,'Tabela de Produtos'!A:J,10,0),0)</f>
        <v>2084</v>
      </c>
      <c r="J1781" s="97">
        <f>IFERROR(VLOOKUP(C1781,'Custos Matéria Prima Embalagens'!B:G,6,0)*H1781,"Matéria Prima Não Cadastrada")</f>
        <v>158.1</v>
      </c>
      <c r="K1781" s="97">
        <f>IFERROR(J1781/(I1781/VLOOKUP(A1781,'Tabela de Produtos'!A:H,8,0)),"Matéria Prima Não Cadastrada")</f>
        <v>1.062092130518234</v>
      </c>
      <c r="L1781" s="216"/>
    </row>
    <row r="1782" spans="1:12" ht="15.75" customHeight="1">
      <c r="D1782" s="114"/>
      <c r="E1782" s="114"/>
      <c r="F1782" s="96"/>
      <c r="G1782" s="148"/>
      <c r="H1782" s="96"/>
      <c r="I1782" s="272"/>
      <c r="J1782" s="97"/>
      <c r="K1782" s="97"/>
      <c r="L1782" s="216"/>
    </row>
    <row r="1783" spans="1:12" ht="15.75" customHeight="1">
      <c r="A1783" s="114" t="s">
        <v>372</v>
      </c>
      <c r="B1783" s="114" t="str">
        <f>VLOOKUP(A1783,'Tabela de Produtos'!A:B,2,0)</f>
        <v>BRAZIMIL BORRACHA LIQUIDA MULTIFUNÇÃO 14KG BEGE</v>
      </c>
      <c r="C1783" s="48" t="s">
        <v>1197</v>
      </c>
      <c r="D1783" s="114" t="str">
        <f>VLOOKUP(C1783,'Custos Matéria Prima Embalagens'!B:C,2,0)</f>
        <v>AGUA</v>
      </c>
      <c r="E1783" s="114" t="str">
        <f>VLOOKUP(C1783,'Custos Matéria Prima Embalagens'!B:D,3,0)</f>
        <v>AGUA</v>
      </c>
      <c r="F1783" s="270">
        <f t="shared" ref="F1783:F1798" si="236">SUMIFS(H:H,A:A,A1783)</f>
        <v>2084</v>
      </c>
      <c r="G1783" s="148">
        <f t="shared" ref="G1783:G1798" si="237">H1783/F1783</f>
        <v>0.23992322456813819</v>
      </c>
      <c r="H1783" s="276">
        <v>500</v>
      </c>
      <c r="I1783" s="272">
        <f>ROUND(F1783/VLOOKUP(A1783,'Tabela de Produtos'!A:J,10,0),0)</f>
        <v>2084</v>
      </c>
      <c r="J1783" s="97">
        <f>IFERROR(VLOOKUP(C1783,'Custos Matéria Prima Embalagens'!B:G,6,0)*H1783,"Matéria Prima Não Cadastrada")</f>
        <v>0</v>
      </c>
      <c r="K1783" s="97">
        <f>IFERROR(J1783/(I1783/VLOOKUP(A1783,'Tabela de Produtos'!A:H,8,0)),"Matéria Prima Não Cadastrada")</f>
        <v>0</v>
      </c>
      <c r="L1783" s="216"/>
    </row>
    <row r="1784" spans="1:12" ht="15.75" customHeight="1">
      <c r="A1784" s="114" t="s">
        <v>372</v>
      </c>
      <c r="B1784" s="114" t="str">
        <f>VLOOKUP(A1784,'Tabela de Produtos'!A:B,2,0)</f>
        <v>BRAZIMIL BORRACHA LIQUIDA MULTIFUNÇÃO 14KG BEGE</v>
      </c>
      <c r="C1784" s="48" t="s">
        <v>1199</v>
      </c>
      <c r="D1784" s="114" t="str">
        <f>VLOOKUP(C1784,'Custos Matéria Prima Embalagens'!B:C,2,0)</f>
        <v>HEXAMETAFOSFATO DE SODIO</v>
      </c>
      <c r="E1784" s="114" t="str">
        <f>VLOOKUP(C1784,'Custos Matéria Prima Embalagens'!B:D,3,0)</f>
        <v>HEXAMETAFOSFATO DE SODIO</v>
      </c>
      <c r="F1784" s="270">
        <f t="shared" si="236"/>
        <v>2084</v>
      </c>
      <c r="G1784" s="148">
        <f t="shared" si="237"/>
        <v>4.7984644913627637E-4</v>
      </c>
      <c r="H1784" s="276">
        <v>1</v>
      </c>
      <c r="I1784" s="272">
        <f>ROUND(F1784/VLOOKUP(A1784,'Tabela de Produtos'!A:J,10,0),0)</f>
        <v>2084</v>
      </c>
      <c r="J1784" s="97">
        <f>IFERROR(VLOOKUP(C1784,'Custos Matéria Prima Embalagens'!B:G,6,0)*H1784,"Matéria Prima Não Cadastrada")</f>
        <v>17.939999999999998</v>
      </c>
      <c r="K1784" s="97">
        <f>IFERROR(J1784/(I1784/VLOOKUP(A1784,'Tabela de Produtos'!A:H,8,0)),"Matéria Prima Não Cadastrada")</f>
        <v>0.12051823416506716</v>
      </c>
      <c r="L1784" s="216"/>
    </row>
    <row r="1785" spans="1:12" ht="15.75" customHeight="1">
      <c r="A1785" s="114" t="s">
        <v>372</v>
      </c>
      <c r="B1785" s="114" t="str">
        <f>VLOOKUP(A1785,'Tabela de Produtos'!A:B,2,0)</f>
        <v>BRAZIMIL BORRACHA LIQUIDA MULTIFUNÇÃO 14KG BEGE</v>
      </c>
      <c r="C1785" s="48" t="s">
        <v>1257</v>
      </c>
      <c r="D1785" s="114" t="str">
        <f>VLOOKUP(C1785,'Custos Matéria Prima Embalagens'!B:C,2,0)</f>
        <v>WANCOAT 520 (BR-45)</v>
      </c>
      <c r="E1785" s="114" t="str">
        <f>VLOOKUP(C1785,'Custos Matéria Prima Embalagens'!B:D,3,0)</f>
        <v>ANTI ESPUMA ESM BASE AGUA</v>
      </c>
      <c r="F1785" s="270">
        <f t="shared" si="236"/>
        <v>2084</v>
      </c>
      <c r="G1785" s="148">
        <f t="shared" si="237"/>
        <v>1.9193857965451055E-3</v>
      </c>
      <c r="H1785" s="276">
        <v>4</v>
      </c>
      <c r="I1785" s="272">
        <f>ROUND(F1785/VLOOKUP(A1785,'Tabela de Produtos'!A:J,10,0),0)</f>
        <v>2084</v>
      </c>
      <c r="J1785" s="97">
        <f>IFERROR(VLOOKUP(C1785,'Custos Matéria Prima Embalagens'!B:G,6,0)*H1785,"Matéria Prima Não Cadastrada")</f>
        <v>47.045692813527602</v>
      </c>
      <c r="K1785" s="97">
        <f>IFERROR(J1785/(I1785/VLOOKUP(A1785,'Tabela de Produtos'!A:H,8,0)),"Matéria Prima Não Cadastrada")</f>
        <v>0.3160459210121816</v>
      </c>
      <c r="L1785" s="216"/>
    </row>
    <row r="1786" spans="1:12" ht="15.75" customHeight="1">
      <c r="A1786" s="114" t="s">
        <v>372</v>
      </c>
      <c r="B1786" s="114" t="str">
        <f>VLOOKUP(A1786,'Tabela de Produtos'!A:B,2,0)</f>
        <v>BRAZIMIL BORRACHA LIQUIDA MULTIFUNÇÃO 14KG BEGE</v>
      </c>
      <c r="C1786" s="48" t="s">
        <v>1203</v>
      </c>
      <c r="D1786" s="114" t="str">
        <f>VLOOKUP(C1786,'Custos Matéria Prima Embalagens'!B:C,2,0)</f>
        <v>WANBAC WBT CE (BH-200)</v>
      </c>
      <c r="E1786" s="114" t="str">
        <f>VLOOKUP(C1786,'Custos Matéria Prima Embalagens'!B:D,3,0)</f>
        <v>BACTERICIDA</v>
      </c>
      <c r="F1786" s="270">
        <f t="shared" si="236"/>
        <v>2084</v>
      </c>
      <c r="G1786" s="148">
        <f t="shared" si="237"/>
        <v>1.9193857965451055E-3</v>
      </c>
      <c r="H1786" s="276">
        <v>4</v>
      </c>
      <c r="I1786" s="272">
        <f>ROUND(F1786/VLOOKUP(A1786,'Tabela de Produtos'!A:J,10,0),0)</f>
        <v>2084</v>
      </c>
      <c r="J1786" s="97">
        <f>IFERROR(VLOOKUP(C1786,'Custos Matéria Prima Embalagens'!B:G,6,0)*H1786,"Matéria Prima Não Cadastrada")</f>
        <v>19.759999999999998</v>
      </c>
      <c r="K1786" s="97">
        <f>IFERROR(J1786/(I1786/VLOOKUP(A1786,'Tabela de Produtos'!A:H,8,0)),"Matéria Prima Não Cadastrada")</f>
        <v>0.13274472168905949</v>
      </c>
      <c r="L1786" s="216"/>
    </row>
    <row r="1787" spans="1:12" ht="15.75" customHeight="1">
      <c r="A1787" s="114" t="s">
        <v>372</v>
      </c>
      <c r="B1787" s="114" t="str">
        <f>VLOOKUP(A1787,'Tabela de Produtos'!A:B,2,0)</f>
        <v>BRAZIMIL BORRACHA LIQUIDA MULTIFUNÇÃO 14KG BEGE</v>
      </c>
      <c r="C1787" s="48" t="s">
        <v>1205</v>
      </c>
      <c r="D1787" s="114" t="str">
        <f>VLOOKUP(C1787,'Custos Matéria Prima Embalagens'!B:C,2,0)</f>
        <v>WANSUR 840 CE (BB-200)01</v>
      </c>
      <c r="E1787" s="114" t="str">
        <f>VLOOKUP(C1787,'Custos Matéria Prima Embalagens'!B:D,3,0)</f>
        <v>UMECTANTE</v>
      </c>
      <c r="F1787" s="270">
        <f t="shared" si="236"/>
        <v>2084</v>
      </c>
      <c r="G1787" s="148">
        <f t="shared" si="237"/>
        <v>2.8790786948176585E-3</v>
      </c>
      <c r="H1787" s="276">
        <v>6</v>
      </c>
      <c r="I1787" s="272">
        <f>ROUND(F1787/VLOOKUP(A1787,'Tabela de Produtos'!A:J,10,0),0)</f>
        <v>2084</v>
      </c>
      <c r="J1787" s="97">
        <f>IFERROR(VLOOKUP(C1787,'Custos Matéria Prima Embalagens'!B:G,6,0)*H1787,"Matéria Prima Não Cadastrada")</f>
        <v>43.980000000000004</v>
      </c>
      <c r="K1787" s="97">
        <f>IFERROR(J1787/(I1787/VLOOKUP(A1787,'Tabela de Produtos'!A:H,8,0)),"Matéria Prima Não Cadastrada")</f>
        <v>0.2954510556621881</v>
      </c>
      <c r="L1787" s="216"/>
    </row>
    <row r="1788" spans="1:12" ht="15.75" customHeight="1">
      <c r="A1788" s="114" t="s">
        <v>372</v>
      </c>
      <c r="B1788" s="114" t="str">
        <f>VLOOKUP(A1788,'Tabela de Produtos'!A:B,2,0)</f>
        <v>BRAZIMIL BORRACHA LIQUIDA MULTIFUNÇÃO 14KG BEGE</v>
      </c>
      <c r="C1788" s="48" t="s">
        <v>1207</v>
      </c>
      <c r="D1788" s="114" t="str">
        <f>VLOOKUP(C1788,'Custos Matéria Prima Embalagens'!B:C,2,0)</f>
        <v>WANPEX 1510 (BB-200)</v>
      </c>
      <c r="E1788" s="114" t="str">
        <f>VLOOKUP(C1788,'Custos Matéria Prima Embalagens'!B:D,3,0)</f>
        <v>DISPERSANTE LATEX</v>
      </c>
      <c r="F1788" s="270">
        <f t="shared" si="236"/>
        <v>2084</v>
      </c>
      <c r="G1788" s="148">
        <f t="shared" si="237"/>
        <v>3.838771593090211E-3</v>
      </c>
      <c r="H1788" s="276">
        <v>8</v>
      </c>
      <c r="I1788" s="272">
        <f>ROUND(F1788/VLOOKUP(A1788,'Tabela de Produtos'!A:J,10,0),0)</f>
        <v>2084</v>
      </c>
      <c r="J1788" s="97">
        <f>IFERROR(VLOOKUP(C1788,'Custos Matéria Prima Embalagens'!B:G,6,0)*H1788,"Matéria Prima Não Cadastrada")</f>
        <v>54.879999999999995</v>
      </c>
      <c r="K1788" s="97">
        <f>IFERROR(J1788/(I1788/VLOOKUP(A1788,'Tabela de Produtos'!A:H,8,0)),"Matéria Prima Não Cadastrada")</f>
        <v>0.36867562380038382</v>
      </c>
      <c r="L1788" s="216"/>
    </row>
    <row r="1789" spans="1:12" ht="15.75" customHeight="1">
      <c r="A1789" s="114" t="s">
        <v>372</v>
      </c>
      <c r="B1789" s="114" t="str">
        <f>VLOOKUP(A1789,'Tabela de Produtos'!A:B,2,0)</f>
        <v>BRAZIMIL BORRACHA LIQUIDA MULTIFUNÇÃO 14KG BEGE</v>
      </c>
      <c r="C1789" s="48" t="s">
        <v>1209</v>
      </c>
      <c r="D1789" s="114" t="str">
        <f>VLOOKUP(C1789,'Custos Matéria Prima Embalagens'!B:C,2,0)</f>
        <v>WANFUNG WFT CE (BH-200)</v>
      </c>
      <c r="E1789" s="114" t="str">
        <f>VLOOKUP(C1789,'Custos Matéria Prima Embalagens'!B:D,3,0)</f>
        <v>FUNGICIDA</v>
      </c>
      <c r="F1789" s="270">
        <f t="shared" si="236"/>
        <v>2084</v>
      </c>
      <c r="G1789" s="148">
        <f t="shared" si="237"/>
        <v>2.3992322456813818E-3</v>
      </c>
      <c r="H1789" s="276">
        <v>5</v>
      </c>
      <c r="I1789" s="272">
        <f>ROUND(F1789/VLOOKUP(A1789,'Tabela de Produtos'!A:J,10,0),0)</f>
        <v>2084</v>
      </c>
      <c r="J1789" s="97">
        <f>IFERROR(VLOOKUP(C1789,'Custos Matéria Prima Embalagens'!B:G,6,0)*H1789,"Matéria Prima Não Cadastrada")</f>
        <v>35</v>
      </c>
      <c r="K1789" s="97">
        <f>IFERROR(J1789/(I1789/VLOOKUP(A1789,'Tabela de Produtos'!A:H,8,0)),"Matéria Prima Não Cadastrada")</f>
        <v>0.23512476007677544</v>
      </c>
      <c r="L1789" s="216"/>
    </row>
    <row r="1790" spans="1:12" ht="15.75" customHeight="1">
      <c r="A1790" s="114" t="s">
        <v>372</v>
      </c>
      <c r="B1790" s="114" t="str">
        <f>VLOOKUP(A1790,'Tabela de Produtos'!A:B,2,0)</f>
        <v>BRAZIMIL BORRACHA LIQUIDA MULTIFUNÇÃO 14KG BEGE</v>
      </c>
      <c r="C1790" s="48" t="s">
        <v>1213</v>
      </c>
      <c r="D1790" s="114" t="str">
        <f>VLOOKUP(C1790,'Custos Matéria Prima Embalagens'!B:C,2,0)</f>
        <v>DIOXIDO DE TITANIO RUTILO R-996</v>
      </c>
      <c r="E1790" s="114" t="str">
        <f>VLOOKUP(C1790,'Custos Matéria Prima Embalagens'!B:D,3,0)</f>
        <v>TITANIO</v>
      </c>
      <c r="F1790" s="270">
        <f t="shared" si="236"/>
        <v>2084</v>
      </c>
      <c r="G1790" s="148">
        <f t="shared" si="237"/>
        <v>0.1199616122840691</v>
      </c>
      <c r="H1790" s="276">
        <v>250</v>
      </c>
      <c r="I1790" s="272">
        <f>ROUND(F1790/VLOOKUP(A1790,'Tabela de Produtos'!A:J,10,0),0)</f>
        <v>2084</v>
      </c>
      <c r="J1790" s="97">
        <f>IFERROR(VLOOKUP(C1790,'Custos Matéria Prima Embalagens'!B:G,6,0)*H1790,"Matéria Prima Não Cadastrada")</f>
        <v>4825</v>
      </c>
      <c r="K1790" s="97">
        <f>IFERROR(J1790/(I1790/VLOOKUP(A1790,'Tabela de Produtos'!A:H,8,0)),"Matéria Prima Não Cadastrada")</f>
        <v>32.413627639155472</v>
      </c>
      <c r="L1790" s="216"/>
    </row>
    <row r="1791" spans="1:12" ht="15.75" customHeight="1">
      <c r="A1791" s="114" t="s">
        <v>372</v>
      </c>
      <c r="B1791" s="114" t="str">
        <f>VLOOKUP(A1791,'Tabela de Produtos'!A:B,2,0)</f>
        <v>BRAZIMIL BORRACHA LIQUIDA MULTIFUNÇÃO 14KG BEGE</v>
      </c>
      <c r="C1791" s="48" t="s">
        <v>1211</v>
      </c>
      <c r="D1791" s="114" t="str">
        <f>VLOOKUP(C1791,'Custos Matéria Prima Embalagens'!B:C,2,0)</f>
        <v>WHITE PLUS PB (SC-25) (Em negociação)</v>
      </c>
      <c r="E1791" s="114" t="str">
        <f>VLOOKUP(C1791,'Custos Matéria Prima Embalagens'!B:D,3,0)</f>
        <v>WHITE PLUS</v>
      </c>
      <c r="F1791" s="270">
        <f t="shared" si="236"/>
        <v>2084</v>
      </c>
      <c r="G1791" s="148">
        <f t="shared" si="237"/>
        <v>0.19193857965451055</v>
      </c>
      <c r="H1791" s="276">
        <v>400</v>
      </c>
      <c r="I1791" s="272">
        <f>ROUND(F1791/VLOOKUP(A1791,'Tabela de Produtos'!A:J,10,0),0)</f>
        <v>2084</v>
      </c>
      <c r="J1791" s="97">
        <f>IFERROR(VLOOKUP(C1791,'Custos Matéria Prima Embalagens'!B:G,6,0)*H1791,"Matéria Prima Não Cadastrada")</f>
        <v>1236</v>
      </c>
      <c r="K1791" s="97">
        <f>IFERROR(J1791/(I1791/VLOOKUP(A1791,'Tabela de Produtos'!A:H,8,0)),"Matéria Prima Não Cadastrada")</f>
        <v>8.3032629558541267</v>
      </c>
      <c r="L1791" s="216"/>
    </row>
    <row r="1792" spans="1:12" ht="15.75" customHeight="1">
      <c r="A1792" s="114" t="s">
        <v>372</v>
      </c>
      <c r="B1792" s="114" t="str">
        <f>VLOOKUP(A1792,'Tabela de Produtos'!A:B,2,0)</f>
        <v>BRAZIMIL BORRACHA LIQUIDA MULTIFUNÇÃO 14KG BEGE</v>
      </c>
      <c r="C1792" s="48" t="s">
        <v>1215</v>
      </c>
      <c r="D1792" s="114" t="str">
        <f>VLOOKUP(C1792,'Custos Matéria Prima Embalagens'!B:C,2,0)</f>
        <v>CALCARIO DOLOMITICO #500 ( SACOS 25 KG)</v>
      </c>
      <c r="E1792" s="114" t="str">
        <f>VLOOKUP(C1792,'Custos Matéria Prima Embalagens'!B:D,3,0)</f>
        <v>CARBONATO #500</v>
      </c>
      <c r="F1792" s="270">
        <f t="shared" si="236"/>
        <v>2084</v>
      </c>
      <c r="G1792" s="148">
        <f t="shared" si="237"/>
        <v>4.7984644913627639E-2</v>
      </c>
      <c r="H1792" s="276">
        <v>100</v>
      </c>
      <c r="I1792" s="272">
        <f>ROUND(F1792/VLOOKUP(A1792,'Tabela de Produtos'!A:J,10,0),0)</f>
        <v>2084</v>
      </c>
      <c r="J1792" s="97">
        <f>IFERROR(VLOOKUP(C1792,'Custos Matéria Prima Embalagens'!B:G,6,0)*H1792,"Matéria Prima Não Cadastrada")</f>
        <v>80</v>
      </c>
      <c r="K1792" s="97">
        <f>IFERROR(J1792/(I1792/VLOOKUP(A1792,'Tabela de Produtos'!A:H,8,0)),"Matéria Prima Não Cadastrada")</f>
        <v>0.5374280230326296</v>
      </c>
      <c r="L1792" s="216"/>
    </row>
    <row r="1793" spans="1:12" ht="15.75" customHeight="1">
      <c r="A1793" s="114" t="s">
        <v>372</v>
      </c>
      <c r="B1793" s="114" t="str">
        <f>VLOOKUP(A1793,'Tabela de Produtos'!A:B,2,0)</f>
        <v>BRAZIMIL BORRACHA LIQUIDA MULTIFUNÇÃO 14KG BEGE</v>
      </c>
      <c r="C1793" s="48" t="s">
        <v>1217</v>
      </c>
      <c r="D1793" s="114" t="str">
        <f>VLOOKUP(C1793,'Custos Matéria Prima Embalagens'!B:C,2,0)</f>
        <v>WANCRIL W 51 CE (CT-1000P)</v>
      </c>
      <c r="E1793" s="114" t="str">
        <f>VLOOKUP(C1793,'Custos Matéria Prima Embalagens'!B:D,3,0)</f>
        <v>RESINA ACRILICA ESTIRENADA</v>
      </c>
      <c r="F1793" s="270">
        <f t="shared" si="236"/>
        <v>2084</v>
      </c>
      <c r="G1793" s="148">
        <f t="shared" si="237"/>
        <v>4.7984644913627639E-2</v>
      </c>
      <c r="H1793" s="276">
        <v>100</v>
      </c>
      <c r="I1793" s="272">
        <f>ROUND(F1793/VLOOKUP(A1793,'Tabela de Produtos'!A:J,10,0),0)</f>
        <v>2084</v>
      </c>
      <c r="J1793" s="97">
        <f>IFERROR(VLOOKUP(C1793,'Custos Matéria Prima Embalagens'!B:G,6,0)*H1793,"Matéria Prima Não Cadastrada")</f>
        <v>843</v>
      </c>
      <c r="K1793" s="97">
        <f>IFERROR(J1793/(I1793/VLOOKUP(A1793,'Tabela de Produtos'!A:H,8,0)),"Matéria Prima Não Cadastrada")</f>
        <v>5.6631477927063338</v>
      </c>
      <c r="L1793" s="216"/>
    </row>
    <row r="1794" spans="1:12" ht="15.75" customHeight="1">
      <c r="A1794" s="114" t="s">
        <v>372</v>
      </c>
      <c r="B1794" s="114" t="str">
        <f>VLOOKUP(A1794,'Tabela de Produtos'!A:B,2,0)</f>
        <v>BRAZIMIL BORRACHA LIQUIDA MULTIFUNÇÃO 14KG BEGE</v>
      </c>
      <c r="C1794" s="48" t="s">
        <v>1259</v>
      </c>
      <c r="D1794" s="114" t="str">
        <f>VLOOKUP(C1794,'Custos Matéria Prima Embalagens'!B:C,2,0)</f>
        <v>WANCRIL IMP 09 (BB-200)</v>
      </c>
      <c r="E1794" s="114" t="str">
        <f>VLOOKUP(C1794,'Custos Matéria Prima Embalagens'!B:D,3,0)</f>
        <v>RESINA ELASTOMERICA</v>
      </c>
      <c r="F1794" s="270">
        <f t="shared" si="236"/>
        <v>2084</v>
      </c>
      <c r="G1794" s="148">
        <f t="shared" si="237"/>
        <v>0.28790786948176583</v>
      </c>
      <c r="H1794" s="276">
        <v>600</v>
      </c>
      <c r="I1794" s="272">
        <f>ROUND(F1794/VLOOKUP(A1794,'Tabela de Produtos'!A:J,10,0),0)</f>
        <v>2084</v>
      </c>
      <c r="J1794" s="97">
        <f>IFERROR(VLOOKUP(C1794,'Custos Matéria Prima Embalagens'!B:G,6,0)*H1794,"Matéria Prima Não Cadastrada")</f>
        <v>7044.8539220291395</v>
      </c>
      <c r="K1794" s="97">
        <f>IFERROR(J1794/(I1794/VLOOKUP(A1794,'Tabela de Produtos'!A:H,8,0)),"Matéria Prima Não Cadastrada")</f>
        <v>47.326273948372339</v>
      </c>
      <c r="L1794" s="216"/>
    </row>
    <row r="1795" spans="1:12" ht="15.75" customHeight="1">
      <c r="A1795" s="114" t="s">
        <v>372</v>
      </c>
      <c r="B1795" s="114" t="str">
        <f>VLOOKUP(A1795,'Tabela de Produtos'!A:B,2,0)</f>
        <v>BRAZIMIL BORRACHA LIQUIDA MULTIFUNÇÃO 14KG BEGE</v>
      </c>
      <c r="C1795" s="48" t="s">
        <v>1229</v>
      </c>
      <c r="D1795" s="114" t="str">
        <f>VLOOKUP(C1795,'Custos Matéria Prima Embalagens'!B:C,2,0)</f>
        <v>WANSOL 340 CE (BB-200)</v>
      </c>
      <c r="E1795" s="114" t="str">
        <f>VLOOKUP(C1795,'Custos Matéria Prima Embalagens'!B:D,3,0)</f>
        <v>COALESCENTE</v>
      </c>
      <c r="F1795" s="270">
        <f t="shared" si="236"/>
        <v>2084</v>
      </c>
      <c r="G1795" s="148">
        <f t="shared" si="237"/>
        <v>9.5969289827255271E-3</v>
      </c>
      <c r="H1795" s="276">
        <v>20</v>
      </c>
      <c r="I1795" s="272">
        <f>ROUND(F1795/VLOOKUP(A1795,'Tabela de Produtos'!A:J,10,0),0)</f>
        <v>2084</v>
      </c>
      <c r="J1795" s="97">
        <f>IFERROR(VLOOKUP(C1795,'Custos Matéria Prima Embalagens'!B:G,6,0)*H1795,"Matéria Prima Não Cadastrada")</f>
        <v>384.4</v>
      </c>
      <c r="K1795" s="97">
        <f>IFERROR(J1795/(I1795/VLOOKUP(A1795,'Tabela de Produtos'!A:H,8,0)),"Matéria Prima Não Cadastrada")</f>
        <v>2.5823416506717849</v>
      </c>
      <c r="L1795" s="216"/>
    </row>
    <row r="1796" spans="1:12" ht="15.75" customHeight="1">
      <c r="A1796" s="114" t="s">
        <v>372</v>
      </c>
      <c r="B1796" s="114" t="str">
        <f>VLOOKUP(A1796,'Tabela de Produtos'!A:B,2,0)</f>
        <v>BRAZIMIL BORRACHA LIQUIDA MULTIFUNÇÃO 14KG BEGE</v>
      </c>
      <c r="C1796" s="48" t="s">
        <v>1261</v>
      </c>
      <c r="D1796" s="114" t="str">
        <f>VLOOKUP(C1796,'Custos Matéria Prima Embalagens'!B:C,2,0)</f>
        <v>WANCOAT PA70 (BR-45)</v>
      </c>
      <c r="E1796" s="114" t="str">
        <f>VLOOKUP(C1796,'Custos Matéria Prima Embalagens'!B:D,3,0)</f>
        <v>HIDROREPELENTE BASE AGUA</v>
      </c>
      <c r="F1796" s="270">
        <f t="shared" si="236"/>
        <v>2084</v>
      </c>
      <c r="G1796" s="148">
        <f t="shared" si="237"/>
        <v>2.8790786948176585E-2</v>
      </c>
      <c r="H1796" s="276">
        <v>60</v>
      </c>
      <c r="I1796" s="272">
        <f>ROUND(F1796/VLOOKUP(A1796,'Tabela de Produtos'!A:J,10,0),0)</f>
        <v>2084</v>
      </c>
      <c r="J1796" s="97">
        <f>IFERROR(VLOOKUP(C1796,'Custos Matéria Prima Embalagens'!B:G,6,0)*H1796,"Matéria Prima Não Cadastrada")</f>
        <v>1885.8853922029141</v>
      </c>
      <c r="K1796" s="97">
        <f>IFERROR(J1796/(I1796/VLOOKUP(A1796,'Tabela de Produtos'!A:H,8,0)),"Matéria Prima Não Cadastrada")</f>
        <v>12.669095724971591</v>
      </c>
      <c r="L1796" s="216"/>
    </row>
    <row r="1797" spans="1:12" ht="15.75" customHeight="1">
      <c r="A1797" s="114" t="s">
        <v>372</v>
      </c>
      <c r="B1797" s="114" t="str">
        <f>VLOOKUP(A1797,'Tabela de Produtos'!A:B,2,0)</f>
        <v>BRAZIMIL BORRACHA LIQUIDA MULTIFUNÇÃO 14KG BEGE</v>
      </c>
      <c r="C1797" s="48" t="s">
        <v>1219</v>
      </c>
      <c r="D1797" s="114" t="str">
        <f>VLOOKUP(C1797,'Custos Matéria Prima Embalagens'!B:C,2,0)</f>
        <v>WANALK 70 CE (BH-200)</v>
      </c>
      <c r="E1797" s="114" t="str">
        <f>VLOOKUP(C1797,'Custos Matéria Prima Embalagens'!B:D,3,0)</f>
        <v>ALCALINIZANTE</v>
      </c>
      <c r="F1797" s="270">
        <f t="shared" si="236"/>
        <v>2084</v>
      </c>
      <c r="G1797" s="148">
        <f t="shared" si="237"/>
        <v>2.8790786948176585E-3</v>
      </c>
      <c r="H1797" s="276">
        <v>6</v>
      </c>
      <c r="I1797" s="272">
        <f>ROUND(F1797/VLOOKUP(A1797,'Tabela de Produtos'!A:J,10,0),0)</f>
        <v>2084</v>
      </c>
      <c r="J1797" s="97">
        <f>IFERROR(VLOOKUP(C1797,'Custos Matéria Prima Embalagens'!B:G,6,0)*H1797,"Matéria Prima Não Cadastrada")</f>
        <v>29.880000000000003</v>
      </c>
      <c r="K1797" s="97">
        <f>IFERROR(J1797/(I1797/VLOOKUP(A1797,'Tabela de Produtos'!A:H,8,0)),"Matéria Prima Não Cadastrada")</f>
        <v>0.20072936660268714</v>
      </c>
      <c r="L1797" s="216"/>
    </row>
    <row r="1798" spans="1:12" ht="15.75" customHeight="1">
      <c r="A1798" s="114" t="s">
        <v>372</v>
      </c>
      <c r="B1798" s="114" t="str">
        <f>VLOOKUP(A1798,'Tabela de Produtos'!A:B,2,0)</f>
        <v>BRAZIMIL BORRACHA LIQUIDA MULTIFUNÇÃO 14KG BEGE</v>
      </c>
      <c r="C1798" s="48" t="s">
        <v>1221</v>
      </c>
      <c r="D1798" s="114" t="str">
        <f>VLOOKUP(C1798,'Custos Matéria Prima Embalagens'!B:C,2,0)</f>
        <v>MODIWAN 105H CE (CT-1000P)</v>
      </c>
      <c r="E1798" s="114" t="str">
        <f>VLOOKUP(C1798,'Custos Matéria Prima Embalagens'!B:D,3,0)</f>
        <v>ESPESSANTE DE MEDIA</v>
      </c>
      <c r="F1798" s="270">
        <f t="shared" si="236"/>
        <v>2084</v>
      </c>
      <c r="G1798" s="148">
        <f t="shared" si="237"/>
        <v>9.5969289827255271E-3</v>
      </c>
      <c r="H1798" s="276">
        <v>20</v>
      </c>
      <c r="I1798" s="272">
        <f>ROUND(F1798/VLOOKUP(A1798,'Tabela de Produtos'!A:J,10,0),0)</f>
        <v>2084</v>
      </c>
      <c r="J1798" s="97">
        <f>IFERROR(VLOOKUP(C1798,'Custos Matéria Prima Embalagens'!B:G,6,0)*H1798,"Matéria Prima Não Cadastrada")</f>
        <v>158.1</v>
      </c>
      <c r="K1798" s="97">
        <f>IFERROR(J1798/(I1798/VLOOKUP(A1798,'Tabela de Produtos'!A:H,8,0)),"Matéria Prima Não Cadastrada")</f>
        <v>1.062092130518234</v>
      </c>
      <c r="L1798" s="216"/>
    </row>
    <row r="1799" spans="1:12" ht="15.75" customHeight="1">
      <c r="G1799" s="273"/>
      <c r="H1799" s="96"/>
      <c r="L1799" s="216"/>
    </row>
    <row r="1800" spans="1:12" ht="15" customHeight="1">
      <c r="A1800" s="48" t="s">
        <v>327</v>
      </c>
      <c r="B1800" s="114" t="str">
        <f>VLOOKUP(A1800,'Tabela de Produtos'!A:B,2,0)</f>
        <v>BRAZIMIL TINTA PISO PREMIUM  INT/EXT FOSCO 3L BRANCO NEVE</v>
      </c>
      <c r="C1800" s="48" t="s">
        <v>1197</v>
      </c>
      <c r="D1800" s="114" t="str">
        <f>VLOOKUP(C1800,'Custos Matéria Prima Embalagens'!B:C,2,0)</f>
        <v>AGUA</v>
      </c>
      <c r="E1800" s="114" t="str">
        <f>VLOOKUP(C1800,'Custos Matéria Prima Embalagens'!B:D,3,0)</f>
        <v>AGUA</v>
      </c>
      <c r="F1800" s="270">
        <f t="shared" ref="F1800:F1815" si="238">SUMIFS(H:H,A:A,A1800)</f>
        <v>2095</v>
      </c>
      <c r="G1800" s="148">
        <f t="shared" ref="G1800:G1815" si="239">H1800/F1800</f>
        <v>0.31503579952267302</v>
      </c>
      <c r="H1800" s="96">
        <v>660</v>
      </c>
      <c r="I1800" s="272">
        <f>ROUND(F1800/VLOOKUP(A1800,'Tabela de Produtos'!A:J,10,0),0)</f>
        <v>1650</v>
      </c>
      <c r="J1800" s="97">
        <f>IFERROR(VLOOKUP(C1800,'Custos Matéria Prima Embalagens'!B:G,6,0)*H1800,"Matéria Prima Não Cadastrada")</f>
        <v>0</v>
      </c>
      <c r="K1800" s="97">
        <f>IFERROR(J1800/(I1800/VLOOKUP(A1800,'Tabela de Produtos'!A:H,8,0)),"Matéria Prima Não Cadastrada")</f>
        <v>0</v>
      </c>
      <c r="L1800" s="216">
        <v>45939</v>
      </c>
    </row>
    <row r="1801" spans="1:12" ht="15" customHeight="1">
      <c r="A1801" s="48" t="s">
        <v>327</v>
      </c>
      <c r="B1801" s="114" t="str">
        <f>VLOOKUP(A1801,'Tabela de Produtos'!A:B,2,0)</f>
        <v>BRAZIMIL TINTA PISO PREMIUM  INT/EXT FOSCO 3L BRANCO NEVE</v>
      </c>
      <c r="C1801" s="48" t="s">
        <v>1199</v>
      </c>
      <c r="D1801" s="114" t="str">
        <f>VLOOKUP(C1801,'Custos Matéria Prima Embalagens'!B:C,2,0)</f>
        <v>HEXAMETAFOSFATO DE SODIO</v>
      </c>
      <c r="E1801" s="114" t="str">
        <f>VLOOKUP(C1801,'Custos Matéria Prima Embalagens'!B:D,3,0)</f>
        <v>HEXAMETAFOSFATO DE SODIO</v>
      </c>
      <c r="F1801" s="270">
        <f t="shared" si="238"/>
        <v>2095</v>
      </c>
      <c r="G1801" s="148">
        <f t="shared" si="239"/>
        <v>1.431980906921241E-3</v>
      </c>
      <c r="H1801" s="96">
        <v>3</v>
      </c>
      <c r="I1801" s="272">
        <f>ROUND(F1801/VLOOKUP(A1801,'Tabela de Produtos'!A:J,10,0),0)</f>
        <v>1650</v>
      </c>
      <c r="J1801" s="97">
        <f>IFERROR(VLOOKUP(C1801,'Custos Matéria Prima Embalagens'!B:G,6,0)*H1801,"Matéria Prima Não Cadastrada")</f>
        <v>53.819999999999993</v>
      </c>
      <c r="K1801" s="97">
        <f>IFERROR(J1801/(I1801/VLOOKUP(A1801,'Tabela de Produtos'!A:H,8,0)),"Matéria Prima Não Cadastrada")</f>
        <v>9.7854545454545444E-2</v>
      </c>
      <c r="L1801" s="216">
        <v>45939</v>
      </c>
    </row>
    <row r="1802" spans="1:12" ht="15" customHeight="1">
      <c r="A1802" s="48" t="s">
        <v>327</v>
      </c>
      <c r="B1802" s="114" t="str">
        <f>VLOOKUP(A1802,'Tabela de Produtos'!A:B,2,0)</f>
        <v>BRAZIMIL TINTA PISO PREMIUM  INT/EXT FOSCO 3L BRANCO NEVE</v>
      </c>
      <c r="C1802" s="48" t="s">
        <v>1201</v>
      </c>
      <c r="D1802" s="114" t="str">
        <f>VLOOKUP(C1802,'Custos Matéria Prima Embalagens'!B:C,2,0)</f>
        <v>WANFOAM 528 CE (BB-190)</v>
      </c>
      <c r="E1802" s="114" t="str">
        <f>VLOOKUP(C1802,'Custos Matéria Prima Embalagens'!B:D,3,0)</f>
        <v>ANTI ESPUMA LATEX</v>
      </c>
      <c r="F1802" s="270">
        <f t="shared" si="238"/>
        <v>2095</v>
      </c>
      <c r="G1802" s="148">
        <f t="shared" si="239"/>
        <v>2.8639618138424821E-3</v>
      </c>
      <c r="H1802" s="96">
        <v>6</v>
      </c>
      <c r="I1802" s="272">
        <f>ROUND(F1802/VLOOKUP(A1802,'Tabela de Produtos'!A:J,10,0),0)</f>
        <v>1650</v>
      </c>
      <c r="J1802" s="97">
        <f>IFERROR(VLOOKUP(C1802,'Custos Matéria Prima Embalagens'!B:G,6,0)*H1802,"Matéria Prima Não Cadastrada")</f>
        <v>43.08</v>
      </c>
      <c r="K1802" s="97">
        <f>IFERROR(J1802/(I1802/VLOOKUP(A1802,'Tabela de Produtos'!A:H,8,0)),"Matéria Prima Não Cadastrada")</f>
        <v>7.8327272727272718E-2</v>
      </c>
      <c r="L1802" s="216">
        <v>45939</v>
      </c>
    </row>
    <row r="1803" spans="1:12" ht="15" customHeight="1">
      <c r="A1803" s="48" t="s">
        <v>327</v>
      </c>
      <c r="B1803" s="114" t="str">
        <f>VLOOKUP(A1803,'Tabela de Produtos'!A:B,2,0)</f>
        <v>BRAZIMIL TINTA PISO PREMIUM  INT/EXT FOSCO 3L BRANCO NEVE</v>
      </c>
      <c r="C1803" s="48" t="s">
        <v>1203</v>
      </c>
      <c r="D1803" s="114" t="str">
        <f>VLOOKUP(C1803,'Custos Matéria Prima Embalagens'!B:C,2,0)</f>
        <v>WANBAC WBT CE (BH-200)</v>
      </c>
      <c r="E1803" s="114" t="str">
        <f>VLOOKUP(C1803,'Custos Matéria Prima Embalagens'!B:D,3,0)</f>
        <v>BACTERICIDA</v>
      </c>
      <c r="F1803" s="270">
        <f t="shared" si="238"/>
        <v>2095</v>
      </c>
      <c r="G1803" s="148">
        <f t="shared" si="239"/>
        <v>2.8639618138424821E-3</v>
      </c>
      <c r="H1803" s="96">
        <v>6</v>
      </c>
      <c r="I1803" s="272">
        <f>ROUND(F1803/VLOOKUP(A1803,'Tabela de Produtos'!A:J,10,0),0)</f>
        <v>1650</v>
      </c>
      <c r="J1803" s="97">
        <f>IFERROR(VLOOKUP(C1803,'Custos Matéria Prima Embalagens'!B:G,6,0)*H1803,"Matéria Prima Não Cadastrada")</f>
        <v>29.639999999999997</v>
      </c>
      <c r="K1803" s="97">
        <f>IFERROR(J1803/(I1803/VLOOKUP(A1803,'Tabela de Produtos'!A:H,8,0)),"Matéria Prima Não Cadastrada")</f>
        <v>5.3890909090909087E-2</v>
      </c>
      <c r="L1803" s="216">
        <v>45939</v>
      </c>
    </row>
    <row r="1804" spans="1:12" ht="15" customHeight="1">
      <c r="A1804" s="48" t="s">
        <v>327</v>
      </c>
      <c r="B1804" s="114" t="str">
        <f>VLOOKUP(A1804,'Tabela de Produtos'!A:B,2,0)</f>
        <v>BRAZIMIL TINTA PISO PREMIUM  INT/EXT FOSCO 3L BRANCO NEVE</v>
      </c>
      <c r="C1804" s="48" t="s">
        <v>1205</v>
      </c>
      <c r="D1804" s="114" t="str">
        <f>VLOOKUP(C1804,'Custos Matéria Prima Embalagens'!B:C,2,0)</f>
        <v>WANSUR 840 CE (BB-200)01</v>
      </c>
      <c r="E1804" s="114" t="str">
        <f>VLOOKUP(C1804,'Custos Matéria Prima Embalagens'!B:D,3,0)</f>
        <v>UMECTANTE</v>
      </c>
      <c r="F1804" s="270">
        <f t="shared" si="238"/>
        <v>2095</v>
      </c>
      <c r="G1804" s="148">
        <f t="shared" si="239"/>
        <v>2.8639618138424821E-3</v>
      </c>
      <c r="H1804" s="96">
        <v>6</v>
      </c>
      <c r="I1804" s="272">
        <f>ROUND(F1804/VLOOKUP(A1804,'Tabela de Produtos'!A:J,10,0),0)</f>
        <v>1650</v>
      </c>
      <c r="J1804" s="97">
        <f>IFERROR(VLOOKUP(C1804,'Custos Matéria Prima Embalagens'!B:G,6,0)*H1804,"Matéria Prima Não Cadastrada")</f>
        <v>43.980000000000004</v>
      </c>
      <c r="K1804" s="97">
        <f>IFERROR(J1804/(I1804/VLOOKUP(A1804,'Tabela de Produtos'!A:H,8,0)),"Matéria Prima Não Cadastrada")</f>
        <v>7.9963636363636376E-2</v>
      </c>
      <c r="L1804" s="216">
        <v>45939</v>
      </c>
    </row>
    <row r="1805" spans="1:12" ht="15" customHeight="1">
      <c r="A1805" s="48" t="s">
        <v>327</v>
      </c>
      <c r="B1805" s="114" t="str">
        <f>VLOOKUP(A1805,'Tabela de Produtos'!A:B,2,0)</f>
        <v>BRAZIMIL TINTA PISO PREMIUM  INT/EXT FOSCO 3L BRANCO NEVE</v>
      </c>
      <c r="C1805" s="48" t="s">
        <v>1207</v>
      </c>
      <c r="D1805" s="114" t="str">
        <f>VLOOKUP(C1805,'Custos Matéria Prima Embalagens'!B:C,2,0)</f>
        <v>WANPEX 1510 (BB-200)</v>
      </c>
      <c r="E1805" s="114" t="str">
        <f>VLOOKUP(C1805,'Custos Matéria Prima Embalagens'!B:D,3,0)</f>
        <v>DISPERSANTE LATEX</v>
      </c>
      <c r="F1805" s="270">
        <f t="shared" si="238"/>
        <v>2095</v>
      </c>
      <c r="G1805" s="148">
        <f t="shared" si="239"/>
        <v>3.8186157517899762E-3</v>
      </c>
      <c r="H1805" s="96">
        <v>8</v>
      </c>
      <c r="I1805" s="272">
        <f>ROUND(F1805/VLOOKUP(A1805,'Tabela de Produtos'!A:J,10,0),0)</f>
        <v>1650</v>
      </c>
      <c r="J1805" s="97">
        <f>IFERROR(VLOOKUP(C1805,'Custos Matéria Prima Embalagens'!B:G,6,0)*H1805,"Matéria Prima Não Cadastrada")</f>
        <v>54.879999999999995</v>
      </c>
      <c r="K1805" s="97">
        <f>IFERROR(J1805/(I1805/VLOOKUP(A1805,'Tabela de Produtos'!A:H,8,0)),"Matéria Prima Não Cadastrada")</f>
        <v>9.978181818181818E-2</v>
      </c>
      <c r="L1805" s="216">
        <v>45939</v>
      </c>
    </row>
    <row r="1806" spans="1:12" ht="15" customHeight="1">
      <c r="A1806" s="48" t="s">
        <v>327</v>
      </c>
      <c r="B1806" s="114" t="str">
        <f>VLOOKUP(A1806,'Tabela de Produtos'!A:B,2,0)</f>
        <v>BRAZIMIL TINTA PISO PREMIUM  INT/EXT FOSCO 3L BRANCO NEVE</v>
      </c>
      <c r="C1806" s="48" t="s">
        <v>1209</v>
      </c>
      <c r="D1806" s="114" t="str">
        <f>VLOOKUP(C1806,'Custos Matéria Prima Embalagens'!B:C,2,0)</f>
        <v>WANFUNG WFT CE (BH-200)</v>
      </c>
      <c r="E1806" s="114" t="str">
        <f>VLOOKUP(C1806,'Custos Matéria Prima Embalagens'!B:D,3,0)</f>
        <v>FUNGICIDA</v>
      </c>
      <c r="F1806" s="270">
        <f t="shared" si="238"/>
        <v>2095</v>
      </c>
      <c r="G1806" s="148">
        <f t="shared" si="239"/>
        <v>3.8186157517899762E-3</v>
      </c>
      <c r="H1806" s="96">
        <v>8</v>
      </c>
      <c r="I1806" s="272">
        <f>ROUND(F1806/VLOOKUP(A1806,'Tabela de Produtos'!A:J,10,0),0)</f>
        <v>1650</v>
      </c>
      <c r="J1806" s="97">
        <f>IFERROR(VLOOKUP(C1806,'Custos Matéria Prima Embalagens'!B:G,6,0)*H1806,"Matéria Prima Não Cadastrada")</f>
        <v>56</v>
      </c>
      <c r="K1806" s="97">
        <f>IFERROR(J1806/(I1806/VLOOKUP(A1806,'Tabela de Produtos'!A:H,8,0)),"Matéria Prima Não Cadastrada")</f>
        <v>0.10181818181818182</v>
      </c>
      <c r="L1806" s="216">
        <v>45939</v>
      </c>
    </row>
    <row r="1807" spans="1:12" ht="15" customHeight="1">
      <c r="A1807" s="48" t="s">
        <v>327</v>
      </c>
      <c r="B1807" s="114" t="str">
        <f>VLOOKUP(A1807,'Tabela de Produtos'!A:B,2,0)</f>
        <v>BRAZIMIL TINTA PISO PREMIUM  INT/EXT FOSCO 3L BRANCO NEVE</v>
      </c>
      <c r="C1807" s="48" t="s">
        <v>1279</v>
      </c>
      <c r="D1807" s="114" t="str">
        <f>VLOOKUP(C1807,'Custos Matéria Prima Embalagens'!B:C,2,0)</f>
        <v>CARBONATO #200</v>
      </c>
      <c r="E1807" s="114" t="str">
        <f>VLOOKUP(C1807,'Custos Matéria Prima Embalagens'!B:D,3,0)</f>
        <v>CARBONATO #200</v>
      </c>
      <c r="F1807" s="270">
        <f t="shared" si="238"/>
        <v>2095</v>
      </c>
      <c r="G1807" s="148">
        <f t="shared" si="239"/>
        <v>7.1599045346062054E-2</v>
      </c>
      <c r="H1807" s="96">
        <v>150</v>
      </c>
      <c r="I1807" s="272">
        <f>ROUND(F1807/VLOOKUP(A1807,'Tabela de Produtos'!A:J,10,0),0)</f>
        <v>1650</v>
      </c>
      <c r="J1807" s="97">
        <f>IFERROR(VLOOKUP(C1807,'Custos Matéria Prima Embalagens'!B:G,6,0)*H1807,"Matéria Prima Não Cadastrada")</f>
        <v>46.5</v>
      </c>
      <c r="K1807" s="97">
        <f>IFERROR(J1807/(I1807/VLOOKUP(A1807,'Tabela de Produtos'!A:H,8,0)),"Matéria Prima Não Cadastrada")</f>
        <v>8.4545454545454549E-2</v>
      </c>
      <c r="L1807" s="216">
        <v>45939</v>
      </c>
    </row>
    <row r="1808" spans="1:12" ht="15" customHeight="1">
      <c r="A1808" s="48" t="s">
        <v>327</v>
      </c>
      <c r="B1808" s="114" t="str">
        <f>VLOOKUP(A1808,'Tabela de Produtos'!A:B,2,0)</f>
        <v>BRAZIMIL TINTA PISO PREMIUM  INT/EXT FOSCO 3L BRANCO NEVE</v>
      </c>
      <c r="C1808" s="48" t="s">
        <v>1213</v>
      </c>
      <c r="D1808" s="114" t="str">
        <f>VLOOKUP(C1808,'Custos Matéria Prima Embalagens'!B:C,2,0)</f>
        <v>DIOXIDO DE TITANIO RUTILO R-996</v>
      </c>
      <c r="E1808" s="114" t="str">
        <f>VLOOKUP(C1808,'Custos Matéria Prima Embalagens'!B:D,3,0)</f>
        <v>TITANIO</v>
      </c>
      <c r="F1808" s="270">
        <f t="shared" si="238"/>
        <v>2095</v>
      </c>
      <c r="G1808" s="148">
        <f t="shared" si="239"/>
        <v>7.1599045346062054E-2</v>
      </c>
      <c r="H1808" s="96">
        <v>150</v>
      </c>
      <c r="I1808" s="272">
        <f>ROUND(F1808/VLOOKUP(A1808,'Tabela de Produtos'!A:J,10,0),0)</f>
        <v>1650</v>
      </c>
      <c r="J1808" s="97">
        <f>IFERROR(VLOOKUP(C1808,'Custos Matéria Prima Embalagens'!B:G,6,0)*H1808,"Matéria Prima Não Cadastrada")</f>
        <v>2895</v>
      </c>
      <c r="K1808" s="97">
        <f>IFERROR(J1808/(I1808/VLOOKUP(A1808,'Tabela de Produtos'!A:H,8,0)),"Matéria Prima Não Cadastrada")</f>
        <v>5.2636363636363637</v>
      </c>
      <c r="L1808" s="216">
        <v>45939</v>
      </c>
    </row>
    <row r="1809" spans="1:12" ht="15" customHeight="1">
      <c r="A1809" s="48" t="s">
        <v>327</v>
      </c>
      <c r="B1809" s="114" t="str">
        <f>VLOOKUP(A1809,'Tabela de Produtos'!A:B,2,0)</f>
        <v>BRAZIMIL TINTA PISO PREMIUM  INT/EXT FOSCO 3L BRANCO NEVE</v>
      </c>
      <c r="C1809" s="48" t="s">
        <v>1211</v>
      </c>
      <c r="D1809" s="114" t="str">
        <f>VLOOKUP(C1809,'Custos Matéria Prima Embalagens'!B:C,2,0)</f>
        <v>WHITE PLUS PB (SC-25) (Em negociação)</v>
      </c>
      <c r="E1809" s="114" t="str">
        <f>VLOOKUP(C1809,'Custos Matéria Prima Embalagens'!B:D,3,0)</f>
        <v>WHITE PLUS</v>
      </c>
      <c r="F1809" s="270">
        <f t="shared" si="238"/>
        <v>2095</v>
      </c>
      <c r="G1809" s="148">
        <f t="shared" si="239"/>
        <v>0.14319809069212411</v>
      </c>
      <c r="H1809" s="96">
        <v>300</v>
      </c>
      <c r="I1809" s="272">
        <f>ROUND(F1809/VLOOKUP(A1809,'Tabela de Produtos'!A:J,10,0),0)</f>
        <v>1650</v>
      </c>
      <c r="J1809" s="97">
        <f>IFERROR(VLOOKUP(C1809,'Custos Matéria Prima Embalagens'!B:G,6,0)*H1809,"Matéria Prima Não Cadastrada")</f>
        <v>927</v>
      </c>
      <c r="K1809" s="97">
        <f>IFERROR(J1809/(I1809/VLOOKUP(A1809,'Tabela de Produtos'!A:H,8,0)),"Matéria Prima Não Cadastrada")</f>
        <v>1.6854545454545455</v>
      </c>
      <c r="L1809" s="216">
        <v>45939</v>
      </c>
    </row>
    <row r="1810" spans="1:12" ht="15" customHeight="1">
      <c r="A1810" s="48" t="s">
        <v>327</v>
      </c>
      <c r="B1810" s="114" t="str">
        <f>VLOOKUP(A1810,'Tabela de Produtos'!A:B,2,0)</f>
        <v>BRAZIMIL TINTA PISO PREMIUM  INT/EXT FOSCO 3L BRANCO NEVE</v>
      </c>
      <c r="C1810" s="48" t="s">
        <v>1227</v>
      </c>
      <c r="D1810" s="114" t="str">
        <f>VLOOKUP(C1810,'Custos Matéria Prima Embalagens'!B:C,2,0)</f>
        <v>CAULIM MALHA 325</v>
      </c>
      <c r="E1810" s="114" t="str">
        <f>VLOOKUP(C1810,'Custos Matéria Prima Embalagens'!B:D,3,0)</f>
        <v>caulim</v>
      </c>
      <c r="F1810" s="270">
        <f t="shared" si="238"/>
        <v>2095</v>
      </c>
      <c r="G1810" s="148">
        <f t="shared" si="239"/>
        <v>4.77326968973747E-2</v>
      </c>
      <c r="H1810" s="96">
        <v>100</v>
      </c>
      <c r="I1810" s="272">
        <f>ROUND(F1810/VLOOKUP(A1810,'Tabela de Produtos'!A:J,10,0),0)</f>
        <v>1650</v>
      </c>
      <c r="J1810" s="97">
        <f>IFERROR(VLOOKUP(C1810,'Custos Matéria Prima Embalagens'!B:G,6,0)*H1810,"Matéria Prima Não Cadastrada")</f>
        <v>152.04955555555551</v>
      </c>
      <c r="K1810" s="97">
        <f>IFERROR(J1810/(I1810/VLOOKUP(A1810,'Tabela de Produtos'!A:H,8,0)),"Matéria Prima Não Cadastrada")</f>
        <v>0.2764537373737373</v>
      </c>
      <c r="L1810" s="216">
        <v>45939</v>
      </c>
    </row>
    <row r="1811" spans="1:12" ht="15" customHeight="1">
      <c r="A1811" s="48" t="s">
        <v>327</v>
      </c>
      <c r="B1811" s="114" t="str">
        <f>VLOOKUP(A1811,'Tabela de Produtos'!A:B,2,0)</f>
        <v>BRAZIMIL TINTA PISO PREMIUM  INT/EXT FOSCO 3L BRANCO NEVE</v>
      </c>
      <c r="C1811" s="48" t="s">
        <v>1217</v>
      </c>
      <c r="D1811" s="114" t="str">
        <f>VLOOKUP(C1811,'Custos Matéria Prima Embalagens'!B:C,2,0)</f>
        <v>WANCRIL W 51 CE (CT-1000P)</v>
      </c>
      <c r="E1811" s="114" t="str">
        <f>VLOOKUP(C1811,'Custos Matéria Prima Embalagens'!B:D,3,0)</f>
        <v>RESINA ACRILICA ESTIRENADA</v>
      </c>
      <c r="F1811" s="270">
        <f t="shared" si="238"/>
        <v>2095</v>
      </c>
      <c r="G1811" s="148">
        <f t="shared" si="239"/>
        <v>0.28639618138424822</v>
      </c>
      <c r="H1811" s="96">
        <v>600</v>
      </c>
      <c r="I1811" s="272">
        <f>ROUND(F1811/VLOOKUP(A1811,'Tabela de Produtos'!A:J,10,0),0)</f>
        <v>1650</v>
      </c>
      <c r="J1811" s="97">
        <f>IFERROR(VLOOKUP(C1811,'Custos Matéria Prima Embalagens'!B:G,6,0)*H1811,"Matéria Prima Não Cadastrada")</f>
        <v>5058</v>
      </c>
      <c r="K1811" s="97">
        <f>IFERROR(J1811/(I1811/VLOOKUP(A1811,'Tabela de Produtos'!A:H,8,0)),"Matéria Prima Não Cadastrada")</f>
        <v>9.1963636363636372</v>
      </c>
      <c r="L1811" s="216">
        <v>45939</v>
      </c>
    </row>
    <row r="1812" spans="1:12" ht="15" customHeight="1">
      <c r="A1812" s="48" t="s">
        <v>327</v>
      </c>
      <c r="B1812" s="114" t="str">
        <f>VLOOKUP(A1812,'Tabela de Produtos'!A:B,2,0)</f>
        <v>BRAZIMIL TINTA PISO PREMIUM  INT/EXT FOSCO 3L BRANCO NEVE</v>
      </c>
      <c r="C1812" s="48" t="s">
        <v>1261</v>
      </c>
      <c r="D1812" s="114" t="str">
        <f>VLOOKUP(C1812,'Custos Matéria Prima Embalagens'!B:C,2,0)</f>
        <v>WANCOAT PA70 (BR-45)</v>
      </c>
      <c r="E1812" s="114" t="str">
        <f>VLOOKUP(C1812,'Custos Matéria Prima Embalagens'!B:D,3,0)</f>
        <v>HIDROREPELENTE BASE AGUA</v>
      </c>
      <c r="F1812" s="270">
        <f t="shared" si="238"/>
        <v>2095</v>
      </c>
      <c r="G1812" s="148">
        <f t="shared" si="239"/>
        <v>2.386634844868735E-2</v>
      </c>
      <c r="H1812" s="96">
        <v>50</v>
      </c>
      <c r="I1812" s="272">
        <f>ROUND(F1812/VLOOKUP(A1812,'Tabela de Produtos'!A:J,10,0),0)</f>
        <v>1650</v>
      </c>
      <c r="J1812" s="97">
        <f>IFERROR(VLOOKUP(C1812,'Custos Matéria Prima Embalagens'!B:G,6,0)*H1812,"Matéria Prima Não Cadastrada")</f>
        <v>1571.571160169095</v>
      </c>
      <c r="K1812" s="97">
        <f>IFERROR(J1812/(I1812/VLOOKUP(A1812,'Tabela de Produtos'!A:H,8,0)),"Matéria Prima Não Cadastrada")</f>
        <v>2.8574021093983548</v>
      </c>
      <c r="L1812" s="216">
        <v>45939</v>
      </c>
    </row>
    <row r="1813" spans="1:12" ht="15" customHeight="1">
      <c r="A1813" s="48" t="s">
        <v>327</v>
      </c>
      <c r="B1813" s="114" t="str">
        <f>VLOOKUP(A1813,'Tabela de Produtos'!A:B,2,0)</f>
        <v>BRAZIMIL TINTA PISO PREMIUM  INT/EXT FOSCO 3L BRANCO NEVE</v>
      </c>
      <c r="C1813" s="48" t="s">
        <v>1229</v>
      </c>
      <c r="D1813" s="114" t="str">
        <f>VLOOKUP(C1813,'Custos Matéria Prima Embalagens'!B:C,2,0)</f>
        <v>WANSOL 340 CE (BB-200)</v>
      </c>
      <c r="E1813" s="114" t="str">
        <f>VLOOKUP(C1813,'Custos Matéria Prima Embalagens'!B:D,3,0)</f>
        <v>COALESCENTE</v>
      </c>
      <c r="F1813" s="270">
        <f t="shared" si="238"/>
        <v>2095</v>
      </c>
      <c r="G1813" s="148">
        <f t="shared" si="239"/>
        <v>9.5465393794749408E-3</v>
      </c>
      <c r="H1813" s="96">
        <v>20</v>
      </c>
      <c r="I1813" s="272">
        <f>ROUND(F1813/VLOOKUP(A1813,'Tabela de Produtos'!A:J,10,0),0)</f>
        <v>1650</v>
      </c>
      <c r="J1813" s="97">
        <f>IFERROR(VLOOKUP(C1813,'Custos Matéria Prima Embalagens'!B:G,6,0)*H1813,"Matéria Prima Não Cadastrada")</f>
        <v>384.4</v>
      </c>
      <c r="K1813" s="97">
        <f>IFERROR(J1813/(I1813/VLOOKUP(A1813,'Tabela de Produtos'!A:H,8,0)),"Matéria Prima Não Cadastrada")</f>
        <v>0.69890909090909081</v>
      </c>
      <c r="L1813" s="216">
        <v>45939</v>
      </c>
    </row>
    <row r="1814" spans="1:12" ht="15" customHeight="1">
      <c r="A1814" s="48" t="s">
        <v>327</v>
      </c>
      <c r="B1814" s="114" t="str">
        <f>VLOOKUP(A1814,'Tabela de Produtos'!A:B,2,0)</f>
        <v>BRAZIMIL TINTA PISO PREMIUM  INT/EXT FOSCO 3L BRANCO NEVE</v>
      </c>
      <c r="C1814" s="48" t="s">
        <v>1219</v>
      </c>
      <c r="D1814" s="114" t="str">
        <f>VLOOKUP(C1814,'Custos Matéria Prima Embalagens'!B:C,2,0)</f>
        <v>WANALK 70 CE (BH-200)</v>
      </c>
      <c r="E1814" s="114" t="str">
        <f>VLOOKUP(C1814,'Custos Matéria Prima Embalagens'!B:D,3,0)</f>
        <v>ALCALINIZANTE</v>
      </c>
      <c r="F1814" s="270">
        <f t="shared" si="238"/>
        <v>2095</v>
      </c>
      <c r="G1814" s="148">
        <f t="shared" si="239"/>
        <v>3.8186157517899762E-3</v>
      </c>
      <c r="H1814" s="96">
        <v>8</v>
      </c>
      <c r="I1814" s="272">
        <f>ROUND(F1814/VLOOKUP(A1814,'Tabela de Produtos'!A:J,10,0),0)</f>
        <v>1650</v>
      </c>
      <c r="J1814" s="97">
        <f>IFERROR(VLOOKUP(C1814,'Custos Matéria Prima Embalagens'!B:G,6,0)*H1814,"Matéria Prima Não Cadastrada")</f>
        <v>39.840000000000003</v>
      </c>
      <c r="K1814" s="97">
        <f>IFERROR(J1814/(I1814/VLOOKUP(A1814,'Tabela de Produtos'!A:H,8,0)),"Matéria Prima Não Cadastrada")</f>
        <v>7.2436363636363646E-2</v>
      </c>
      <c r="L1814" s="216">
        <v>45939</v>
      </c>
    </row>
    <row r="1815" spans="1:12" ht="15" customHeight="1">
      <c r="A1815" s="48" t="s">
        <v>327</v>
      </c>
      <c r="B1815" s="114" t="str">
        <f>VLOOKUP(A1815,'Tabela de Produtos'!A:B,2,0)</f>
        <v>BRAZIMIL TINTA PISO PREMIUM  INT/EXT FOSCO 3L BRANCO NEVE</v>
      </c>
      <c r="C1815" s="48" t="s">
        <v>1221</v>
      </c>
      <c r="D1815" s="114" t="str">
        <f>VLOOKUP(C1815,'Custos Matéria Prima Embalagens'!B:C,2,0)</f>
        <v>MODIWAN 105H CE (CT-1000P)</v>
      </c>
      <c r="E1815" s="114" t="str">
        <f>VLOOKUP(C1815,'Custos Matéria Prima Embalagens'!B:D,3,0)</f>
        <v>ESPESSANTE DE MEDIA</v>
      </c>
      <c r="F1815" s="270">
        <f t="shared" si="238"/>
        <v>2095</v>
      </c>
      <c r="G1815" s="148">
        <f t="shared" si="239"/>
        <v>9.5465393794749408E-3</v>
      </c>
      <c r="H1815" s="96">
        <v>20</v>
      </c>
      <c r="I1815" s="272">
        <f>ROUND(F1815/VLOOKUP(A1815,'Tabela de Produtos'!A:J,10,0),0)</f>
        <v>1650</v>
      </c>
      <c r="J1815" s="97">
        <f>IFERROR(VLOOKUP(C1815,'Custos Matéria Prima Embalagens'!B:G,6,0)*H1815,"Matéria Prima Não Cadastrada")</f>
        <v>158.1</v>
      </c>
      <c r="K1815" s="97">
        <f>IFERROR(J1815/(I1815/VLOOKUP(A1815,'Tabela de Produtos'!A:H,8,0)),"Matéria Prima Não Cadastrada")</f>
        <v>0.28745454545454546</v>
      </c>
      <c r="L1815" s="216">
        <v>45939</v>
      </c>
    </row>
    <row r="1816" spans="1:12" ht="15" customHeight="1">
      <c r="G1816" s="273"/>
      <c r="H1816" s="96"/>
      <c r="L1816" s="216">
        <v>45939</v>
      </c>
    </row>
    <row r="1817" spans="1:12" ht="15" customHeight="1">
      <c r="A1817" s="48" t="s">
        <v>330</v>
      </c>
      <c r="B1817" s="114" t="str">
        <f>VLOOKUP(A1817,'Tabela de Produtos'!A:B,2,0)</f>
        <v>BRAZIMIL TINTA PISO PREMIUM  INT/EXT FOSCO 3L CINZA MEDIO</v>
      </c>
      <c r="C1817" s="48" t="s">
        <v>1197</v>
      </c>
      <c r="D1817" s="114" t="str">
        <f>VLOOKUP(C1817,'Custos Matéria Prima Embalagens'!B:C,2,0)</f>
        <v>AGUA</v>
      </c>
      <c r="E1817" s="114" t="str">
        <f>VLOOKUP(C1817,'Custos Matéria Prima Embalagens'!B:D,3,0)</f>
        <v>AGUA</v>
      </c>
      <c r="F1817" s="270">
        <f t="shared" ref="F1817:F1834" si="240">SUMIFS(H:H,A:A,A1817)</f>
        <v>2099.4</v>
      </c>
      <c r="G1817" s="148">
        <f t="shared" ref="G1817:G1834" si="241">H1817/F1817</f>
        <v>0.31437553586739064</v>
      </c>
      <c r="H1817" s="96">
        <v>660</v>
      </c>
      <c r="I1817" s="272">
        <f>ROUND(F1817/VLOOKUP(A1817,'Tabela de Produtos'!A:J,10,0),0)</f>
        <v>1653</v>
      </c>
      <c r="J1817" s="97">
        <f>IFERROR(VLOOKUP(C1817,'Custos Matéria Prima Embalagens'!B:G,6,0)*H1817,"Matéria Prima Não Cadastrada")</f>
        <v>0</v>
      </c>
      <c r="K1817" s="97">
        <f>IFERROR(J1817/(I1817/VLOOKUP(A1817,'Tabela de Produtos'!A:H,8,0)),"Matéria Prima Não Cadastrada")</f>
        <v>0</v>
      </c>
      <c r="L1817" s="216">
        <v>45939</v>
      </c>
    </row>
    <row r="1818" spans="1:12" ht="15" customHeight="1">
      <c r="A1818" s="48" t="s">
        <v>330</v>
      </c>
      <c r="B1818" s="114" t="str">
        <f>VLOOKUP(A1818,'Tabela de Produtos'!A:B,2,0)</f>
        <v>BRAZIMIL TINTA PISO PREMIUM  INT/EXT FOSCO 3L CINZA MEDIO</v>
      </c>
      <c r="C1818" s="48" t="s">
        <v>1199</v>
      </c>
      <c r="D1818" s="114" t="str">
        <f>VLOOKUP(C1818,'Custos Matéria Prima Embalagens'!B:C,2,0)</f>
        <v>HEXAMETAFOSFATO DE SODIO</v>
      </c>
      <c r="E1818" s="114" t="str">
        <f>VLOOKUP(C1818,'Custos Matéria Prima Embalagens'!B:D,3,0)</f>
        <v>HEXAMETAFOSFATO DE SODIO</v>
      </c>
      <c r="F1818" s="270">
        <f t="shared" si="240"/>
        <v>2099.4</v>
      </c>
      <c r="G1818" s="148">
        <f t="shared" si="241"/>
        <v>1.4289797084881394E-3</v>
      </c>
      <c r="H1818" s="96">
        <v>3</v>
      </c>
      <c r="I1818" s="272">
        <f>ROUND(F1818/VLOOKUP(A1818,'Tabela de Produtos'!A:J,10,0),0)</f>
        <v>1653</v>
      </c>
      <c r="J1818" s="97">
        <f>IFERROR(VLOOKUP(C1818,'Custos Matéria Prima Embalagens'!B:G,6,0)*H1818,"Matéria Prima Não Cadastrada")</f>
        <v>53.819999999999993</v>
      </c>
      <c r="K1818" s="97">
        <f>IFERROR(J1818/(I1818/VLOOKUP(A1818,'Tabela de Produtos'!A:H,8,0)),"Matéria Prima Não Cadastrada")</f>
        <v>9.7676950998185103E-2</v>
      </c>
      <c r="L1818" s="216">
        <v>45939</v>
      </c>
    </row>
    <row r="1819" spans="1:12" ht="15" customHeight="1">
      <c r="A1819" s="48" t="s">
        <v>330</v>
      </c>
      <c r="B1819" s="114" t="str">
        <f>VLOOKUP(A1819,'Tabela de Produtos'!A:B,2,0)</f>
        <v>BRAZIMIL TINTA PISO PREMIUM  INT/EXT FOSCO 3L CINZA MEDIO</v>
      </c>
      <c r="C1819" s="48" t="s">
        <v>1201</v>
      </c>
      <c r="D1819" s="114" t="str">
        <f>VLOOKUP(C1819,'Custos Matéria Prima Embalagens'!B:C,2,0)</f>
        <v>WANFOAM 528 CE (BB-190)</v>
      </c>
      <c r="E1819" s="114" t="str">
        <f>VLOOKUP(C1819,'Custos Matéria Prima Embalagens'!B:D,3,0)</f>
        <v>ANTI ESPUMA LATEX</v>
      </c>
      <c r="F1819" s="270">
        <f t="shared" si="240"/>
        <v>2099.4</v>
      </c>
      <c r="G1819" s="148">
        <f t="shared" si="241"/>
        <v>2.8579594169762788E-3</v>
      </c>
      <c r="H1819" s="96">
        <v>6</v>
      </c>
      <c r="I1819" s="272">
        <f>ROUND(F1819/VLOOKUP(A1819,'Tabela de Produtos'!A:J,10,0),0)</f>
        <v>1653</v>
      </c>
      <c r="J1819" s="97">
        <f>IFERROR(VLOOKUP(C1819,'Custos Matéria Prima Embalagens'!B:G,6,0)*H1819,"Matéria Prima Não Cadastrada")</f>
        <v>43.08</v>
      </c>
      <c r="K1819" s="97">
        <f>IFERROR(J1819/(I1819/VLOOKUP(A1819,'Tabela de Produtos'!A:H,8,0)),"Matéria Prima Não Cadastrada")</f>
        <v>7.8185117967332116E-2</v>
      </c>
      <c r="L1819" s="216">
        <v>45939</v>
      </c>
    </row>
    <row r="1820" spans="1:12" ht="15" customHeight="1">
      <c r="A1820" s="48" t="s">
        <v>330</v>
      </c>
      <c r="B1820" s="114" t="str">
        <f>VLOOKUP(A1820,'Tabela de Produtos'!A:B,2,0)</f>
        <v>BRAZIMIL TINTA PISO PREMIUM  INT/EXT FOSCO 3L CINZA MEDIO</v>
      </c>
      <c r="C1820" s="48" t="s">
        <v>1203</v>
      </c>
      <c r="D1820" s="114" t="str">
        <f>VLOOKUP(C1820,'Custos Matéria Prima Embalagens'!B:C,2,0)</f>
        <v>WANBAC WBT CE (BH-200)</v>
      </c>
      <c r="E1820" s="114" t="str">
        <f>VLOOKUP(C1820,'Custos Matéria Prima Embalagens'!B:D,3,0)</f>
        <v>BACTERICIDA</v>
      </c>
      <c r="F1820" s="270">
        <f t="shared" si="240"/>
        <v>2099.4</v>
      </c>
      <c r="G1820" s="148">
        <f t="shared" si="241"/>
        <v>2.8579594169762788E-3</v>
      </c>
      <c r="H1820" s="96">
        <v>6</v>
      </c>
      <c r="I1820" s="272">
        <f>ROUND(F1820/VLOOKUP(A1820,'Tabela de Produtos'!A:J,10,0),0)</f>
        <v>1653</v>
      </c>
      <c r="J1820" s="97">
        <f>IFERROR(VLOOKUP(C1820,'Custos Matéria Prima Embalagens'!B:G,6,0)*H1820,"Matéria Prima Não Cadastrada")</f>
        <v>29.639999999999997</v>
      </c>
      <c r="K1820" s="97">
        <f>IFERROR(J1820/(I1820/VLOOKUP(A1820,'Tabela de Produtos'!A:H,8,0)),"Matéria Prima Não Cadastrada")</f>
        <v>5.3793103448275856E-2</v>
      </c>
      <c r="L1820" s="216">
        <v>45939</v>
      </c>
    </row>
    <row r="1821" spans="1:12" ht="15" customHeight="1">
      <c r="A1821" s="48" t="s">
        <v>330</v>
      </c>
      <c r="B1821" s="114" t="str">
        <f>VLOOKUP(A1821,'Tabela de Produtos'!A:B,2,0)</f>
        <v>BRAZIMIL TINTA PISO PREMIUM  INT/EXT FOSCO 3L CINZA MEDIO</v>
      </c>
      <c r="C1821" s="48" t="s">
        <v>1205</v>
      </c>
      <c r="D1821" s="114" t="str">
        <f>VLOOKUP(C1821,'Custos Matéria Prima Embalagens'!B:C,2,0)</f>
        <v>WANSUR 840 CE (BB-200)01</v>
      </c>
      <c r="E1821" s="114" t="str">
        <f>VLOOKUP(C1821,'Custos Matéria Prima Embalagens'!B:D,3,0)</f>
        <v>UMECTANTE</v>
      </c>
      <c r="F1821" s="270">
        <f t="shared" si="240"/>
        <v>2099.4</v>
      </c>
      <c r="G1821" s="148">
        <f t="shared" si="241"/>
        <v>2.8579594169762788E-3</v>
      </c>
      <c r="H1821" s="96">
        <v>6</v>
      </c>
      <c r="I1821" s="272">
        <f>ROUND(F1821/VLOOKUP(A1821,'Tabela de Produtos'!A:J,10,0),0)</f>
        <v>1653</v>
      </c>
      <c r="J1821" s="97">
        <f>IFERROR(VLOOKUP(C1821,'Custos Matéria Prima Embalagens'!B:G,6,0)*H1821,"Matéria Prima Não Cadastrada")</f>
        <v>43.980000000000004</v>
      </c>
      <c r="K1821" s="97">
        <f>IFERROR(J1821/(I1821/VLOOKUP(A1821,'Tabela de Produtos'!A:H,8,0)),"Matéria Prima Não Cadastrada")</f>
        <v>7.9818511796733216E-2</v>
      </c>
      <c r="L1821" s="216">
        <v>45939</v>
      </c>
    </row>
    <row r="1822" spans="1:12" ht="15" customHeight="1">
      <c r="A1822" s="48" t="s">
        <v>330</v>
      </c>
      <c r="B1822" s="114" t="str">
        <f>VLOOKUP(A1822,'Tabela de Produtos'!A:B,2,0)</f>
        <v>BRAZIMIL TINTA PISO PREMIUM  INT/EXT FOSCO 3L CINZA MEDIO</v>
      </c>
      <c r="C1822" s="48" t="s">
        <v>1207</v>
      </c>
      <c r="D1822" s="114" t="str">
        <f>VLOOKUP(C1822,'Custos Matéria Prima Embalagens'!B:C,2,0)</f>
        <v>WANPEX 1510 (BB-200)</v>
      </c>
      <c r="E1822" s="114" t="str">
        <f>VLOOKUP(C1822,'Custos Matéria Prima Embalagens'!B:D,3,0)</f>
        <v>DISPERSANTE LATEX</v>
      </c>
      <c r="F1822" s="270">
        <f t="shared" si="240"/>
        <v>2099.4</v>
      </c>
      <c r="G1822" s="148">
        <f t="shared" si="241"/>
        <v>3.8106125559683717E-3</v>
      </c>
      <c r="H1822" s="96">
        <v>8</v>
      </c>
      <c r="I1822" s="272">
        <f>ROUND(F1822/VLOOKUP(A1822,'Tabela de Produtos'!A:J,10,0),0)</f>
        <v>1653</v>
      </c>
      <c r="J1822" s="97">
        <f>IFERROR(VLOOKUP(C1822,'Custos Matéria Prima Embalagens'!B:G,6,0)*H1822,"Matéria Prima Não Cadastrada")</f>
        <v>54.879999999999995</v>
      </c>
      <c r="K1822" s="97">
        <f>IFERROR(J1822/(I1822/VLOOKUP(A1822,'Tabela de Produtos'!A:H,8,0)),"Matéria Prima Não Cadastrada")</f>
        <v>9.9600725952813066E-2</v>
      </c>
      <c r="L1822" s="216">
        <v>45939</v>
      </c>
    </row>
    <row r="1823" spans="1:12" ht="15" customHeight="1">
      <c r="A1823" s="48" t="s">
        <v>330</v>
      </c>
      <c r="B1823" s="114" t="str">
        <f>VLOOKUP(A1823,'Tabela de Produtos'!A:B,2,0)</f>
        <v>BRAZIMIL TINTA PISO PREMIUM  INT/EXT FOSCO 3L CINZA MEDIO</v>
      </c>
      <c r="C1823" s="48" t="s">
        <v>1209</v>
      </c>
      <c r="D1823" s="114" t="str">
        <f>VLOOKUP(C1823,'Custos Matéria Prima Embalagens'!B:C,2,0)</f>
        <v>WANFUNG WFT CE (BH-200)</v>
      </c>
      <c r="E1823" s="114" t="str">
        <f>VLOOKUP(C1823,'Custos Matéria Prima Embalagens'!B:D,3,0)</f>
        <v>FUNGICIDA</v>
      </c>
      <c r="F1823" s="270">
        <f t="shared" si="240"/>
        <v>2099.4</v>
      </c>
      <c r="G1823" s="148">
        <f t="shared" si="241"/>
        <v>3.8106125559683717E-3</v>
      </c>
      <c r="H1823" s="96">
        <v>8</v>
      </c>
      <c r="I1823" s="272">
        <f>ROUND(F1823/VLOOKUP(A1823,'Tabela de Produtos'!A:J,10,0),0)</f>
        <v>1653</v>
      </c>
      <c r="J1823" s="97">
        <f>IFERROR(VLOOKUP(C1823,'Custos Matéria Prima Embalagens'!B:G,6,0)*H1823,"Matéria Prima Não Cadastrada")</f>
        <v>56</v>
      </c>
      <c r="K1823" s="97">
        <f>IFERROR(J1823/(I1823/VLOOKUP(A1823,'Tabela de Produtos'!A:H,8,0)),"Matéria Prima Não Cadastrada")</f>
        <v>0.10163339382940109</v>
      </c>
      <c r="L1823" s="216">
        <v>45939</v>
      </c>
    </row>
    <row r="1824" spans="1:12" ht="15" customHeight="1">
      <c r="A1824" s="48" t="s">
        <v>330</v>
      </c>
      <c r="B1824" s="114" t="str">
        <f>VLOOKUP(A1824,'Tabela de Produtos'!A:B,2,0)</f>
        <v>BRAZIMIL TINTA PISO PREMIUM  INT/EXT FOSCO 3L CINZA MEDIO</v>
      </c>
      <c r="C1824" s="48" t="s">
        <v>1279</v>
      </c>
      <c r="D1824" s="114" t="str">
        <f>VLOOKUP(C1824,'Custos Matéria Prima Embalagens'!B:C,2,0)</f>
        <v>CARBONATO #200</v>
      </c>
      <c r="E1824" s="114" t="str">
        <f>VLOOKUP(C1824,'Custos Matéria Prima Embalagens'!B:D,3,0)</f>
        <v>CARBONATO #200</v>
      </c>
      <c r="F1824" s="270">
        <f t="shared" si="240"/>
        <v>2099.4</v>
      </c>
      <c r="G1824" s="148">
        <f t="shared" si="241"/>
        <v>7.1448985424406974E-2</v>
      </c>
      <c r="H1824" s="96">
        <v>150</v>
      </c>
      <c r="I1824" s="272">
        <f>ROUND(F1824/VLOOKUP(A1824,'Tabela de Produtos'!A:J,10,0),0)</f>
        <v>1653</v>
      </c>
      <c r="J1824" s="97">
        <f>IFERROR(VLOOKUP(C1824,'Custos Matéria Prima Embalagens'!B:G,6,0)*H1824,"Matéria Prima Não Cadastrada")</f>
        <v>46.5</v>
      </c>
      <c r="K1824" s="97">
        <f>IFERROR(J1824/(I1824/VLOOKUP(A1824,'Tabela de Produtos'!A:H,8,0)),"Matéria Prima Não Cadastrada")</f>
        <v>8.4392014519056258E-2</v>
      </c>
      <c r="L1824" s="216">
        <v>45939</v>
      </c>
    </row>
    <row r="1825" spans="1:13" ht="15" customHeight="1">
      <c r="A1825" s="48" t="s">
        <v>330</v>
      </c>
      <c r="B1825" s="114" t="str">
        <f>VLOOKUP(A1825,'Tabela de Produtos'!A:B,2,0)</f>
        <v>BRAZIMIL TINTA PISO PREMIUM  INT/EXT FOSCO 3L CINZA MEDIO</v>
      </c>
      <c r="C1825" s="48" t="s">
        <v>1213</v>
      </c>
      <c r="D1825" s="114" t="str">
        <f>VLOOKUP(C1825,'Custos Matéria Prima Embalagens'!B:C,2,0)</f>
        <v>DIOXIDO DE TITANIO RUTILO R-996</v>
      </c>
      <c r="E1825" s="114" t="s">
        <v>1214</v>
      </c>
      <c r="F1825" s="270">
        <f t="shared" si="240"/>
        <v>2099.4</v>
      </c>
      <c r="G1825" s="148">
        <f t="shared" si="241"/>
        <v>7.1448985424406974E-2</v>
      </c>
      <c r="H1825" s="96">
        <v>150</v>
      </c>
      <c r="I1825" s="272">
        <f>ROUND(F1825/VLOOKUP(A1825,'Tabela de Produtos'!A:J,10,0),0)</f>
        <v>1653</v>
      </c>
      <c r="J1825" s="97">
        <f>IFERROR(VLOOKUP(C1825,'Custos Matéria Prima Embalagens'!B:G,6,0)*H1825,"Matéria Prima Não Cadastrada")</f>
        <v>2895</v>
      </c>
      <c r="K1825" s="97">
        <f>IFERROR(J1825/(I1825/VLOOKUP(A1825,'Tabela de Produtos'!A:H,8,0)),"Matéria Prima Não Cadastrada")</f>
        <v>5.2540834845735027</v>
      </c>
      <c r="L1825" s="216">
        <v>45939</v>
      </c>
    </row>
    <row r="1826" spans="1:13" ht="15" customHeight="1">
      <c r="A1826" s="48" t="s">
        <v>330</v>
      </c>
      <c r="B1826" s="114" t="str">
        <f>VLOOKUP(A1826,'Tabela de Produtos'!A:B,2,0)</f>
        <v>BRAZIMIL TINTA PISO PREMIUM  INT/EXT FOSCO 3L CINZA MEDIO</v>
      </c>
      <c r="C1826" s="48" t="s">
        <v>1211</v>
      </c>
      <c r="D1826" s="114" t="str">
        <f>VLOOKUP(C1826,'Custos Matéria Prima Embalagens'!B:C,2,0)</f>
        <v>WHITE PLUS PB (SC-25) (Em negociação)</v>
      </c>
      <c r="E1826" s="114" t="s">
        <v>1212</v>
      </c>
      <c r="F1826" s="270">
        <f t="shared" si="240"/>
        <v>2099.4</v>
      </c>
      <c r="G1826" s="148">
        <f t="shared" si="241"/>
        <v>0.14289797084881395</v>
      </c>
      <c r="H1826" s="96">
        <v>300</v>
      </c>
      <c r="I1826" s="272">
        <f>ROUND(F1826/VLOOKUP(A1826,'Tabela de Produtos'!A:J,10,0),0)</f>
        <v>1653</v>
      </c>
      <c r="J1826" s="97">
        <f>IFERROR(VLOOKUP(C1826,'Custos Matéria Prima Embalagens'!B:G,6,0)*H1826,"Matéria Prima Não Cadastrada")</f>
        <v>927</v>
      </c>
      <c r="K1826" s="97">
        <f>IFERROR(J1826/(I1826/VLOOKUP(A1826,'Tabela de Produtos'!A:H,8,0)),"Matéria Prima Não Cadastrada")</f>
        <v>1.6823956442831216</v>
      </c>
      <c r="L1826" s="216">
        <v>45939</v>
      </c>
    </row>
    <row r="1827" spans="1:13" ht="15" customHeight="1">
      <c r="A1827" s="48" t="s">
        <v>330</v>
      </c>
      <c r="B1827" s="114" t="str">
        <f>VLOOKUP(A1827,'Tabela de Produtos'!A:B,2,0)</f>
        <v>BRAZIMIL TINTA PISO PREMIUM  INT/EXT FOSCO 3L CINZA MEDIO</v>
      </c>
      <c r="C1827" s="48" t="s">
        <v>1227</v>
      </c>
      <c r="D1827" s="114" t="str">
        <f>VLOOKUP(C1827,'Custos Matéria Prima Embalagens'!B:C,2,0)</f>
        <v>CAULIM MALHA 325</v>
      </c>
      <c r="E1827" s="114" t="str">
        <f>VLOOKUP(C1827,'Custos Matéria Prima Embalagens'!B:D,3,0)</f>
        <v>caulim</v>
      </c>
      <c r="F1827" s="270">
        <f t="shared" si="240"/>
        <v>2099.4</v>
      </c>
      <c r="G1827" s="148">
        <f t="shared" si="241"/>
        <v>4.7632656949604647E-2</v>
      </c>
      <c r="H1827" s="96">
        <v>100</v>
      </c>
      <c r="I1827" s="272">
        <f>ROUND(F1827/VLOOKUP(A1827,'Tabela de Produtos'!A:J,10,0),0)</f>
        <v>1653</v>
      </c>
      <c r="J1827" s="97">
        <f>IFERROR(VLOOKUP(C1827,'Custos Matéria Prima Embalagens'!B:G,6,0)*H1827,"Matéria Prima Não Cadastrada")</f>
        <v>152.04955555555551</v>
      </c>
      <c r="K1827" s="97">
        <f>IFERROR(J1827/(I1827/VLOOKUP(A1827,'Tabela de Produtos'!A:H,8,0)),"Matéria Prima Não Cadastrada")</f>
        <v>0.27595200645291385</v>
      </c>
      <c r="L1827" s="216">
        <v>45939</v>
      </c>
    </row>
    <row r="1828" spans="1:13" ht="15" customHeight="1">
      <c r="A1828" s="48" t="s">
        <v>330</v>
      </c>
      <c r="B1828" s="114" t="str">
        <f>VLOOKUP(A1828,'Tabela de Produtos'!A:B,2,0)</f>
        <v>BRAZIMIL TINTA PISO PREMIUM  INT/EXT FOSCO 3L CINZA MEDIO</v>
      </c>
      <c r="C1828" s="48" t="s">
        <v>1217</v>
      </c>
      <c r="D1828" s="114" t="str">
        <f>VLOOKUP(C1828,'Custos Matéria Prima Embalagens'!B:C,2,0)</f>
        <v>WANCRIL W 51 CE (CT-1000P)</v>
      </c>
      <c r="E1828" s="114" t="str">
        <f>VLOOKUP(C1828,'Custos Matéria Prima Embalagens'!B:D,3,0)</f>
        <v>RESINA ACRILICA ESTIRENADA</v>
      </c>
      <c r="F1828" s="270">
        <f t="shared" si="240"/>
        <v>2099.4</v>
      </c>
      <c r="G1828" s="148">
        <f t="shared" si="241"/>
        <v>0.2857959416976279</v>
      </c>
      <c r="H1828" s="96">
        <v>600</v>
      </c>
      <c r="I1828" s="272">
        <f>ROUND(F1828/VLOOKUP(A1828,'Tabela de Produtos'!A:J,10,0),0)</f>
        <v>1653</v>
      </c>
      <c r="J1828" s="97">
        <f>IFERROR(VLOOKUP(C1828,'Custos Matéria Prima Embalagens'!B:G,6,0)*H1828,"Matéria Prima Não Cadastrada")</f>
        <v>5058</v>
      </c>
      <c r="K1828" s="97">
        <f>IFERROR(J1828/(I1828/VLOOKUP(A1828,'Tabela de Produtos'!A:H,8,0)),"Matéria Prima Não Cadastrada")</f>
        <v>9.1796733212341195</v>
      </c>
      <c r="L1828" s="216">
        <v>45939</v>
      </c>
    </row>
    <row r="1829" spans="1:13" ht="15" customHeight="1">
      <c r="A1829" s="48" t="s">
        <v>330</v>
      </c>
      <c r="B1829" s="114" t="str">
        <f>VLOOKUP(A1829,'Tabela de Produtos'!A:B,2,0)</f>
        <v>BRAZIMIL TINTA PISO PREMIUM  INT/EXT FOSCO 3L CINZA MEDIO</v>
      </c>
      <c r="C1829" s="48" t="s">
        <v>1261</v>
      </c>
      <c r="D1829" s="114" t="str">
        <f>VLOOKUP(C1829,'Custos Matéria Prima Embalagens'!B:C,2,0)</f>
        <v>WANCOAT PA70 (BR-45)</v>
      </c>
      <c r="E1829" s="114" t="str">
        <f>VLOOKUP(C1829,'Custos Matéria Prima Embalagens'!B:D,3,0)</f>
        <v>HIDROREPELENTE BASE AGUA</v>
      </c>
      <c r="F1829" s="270">
        <f t="shared" si="240"/>
        <v>2099.4</v>
      </c>
      <c r="G1829" s="148">
        <f t="shared" si="241"/>
        <v>2.3816328474802324E-2</v>
      </c>
      <c r="H1829" s="96">
        <v>50</v>
      </c>
      <c r="I1829" s="272">
        <f>ROUND(F1829/VLOOKUP(A1829,'Tabela de Produtos'!A:J,10,0),0)</f>
        <v>1653</v>
      </c>
      <c r="J1829" s="97">
        <f>IFERROR(VLOOKUP(C1829,'Custos Matéria Prima Embalagens'!B:G,6,0)*H1829,"Matéria Prima Não Cadastrada")</f>
        <v>1571.571160169095</v>
      </c>
      <c r="K1829" s="97">
        <f>IFERROR(J1829/(I1829/VLOOKUP(A1829,'Tabela de Produtos'!A:H,8,0)),"Matéria Prima Não Cadastrada")</f>
        <v>2.8522162616499003</v>
      </c>
      <c r="L1829" s="216">
        <v>45939</v>
      </c>
    </row>
    <row r="1830" spans="1:13" ht="15" customHeight="1">
      <c r="A1830" s="48" t="s">
        <v>330</v>
      </c>
      <c r="B1830" s="114" t="str">
        <f>VLOOKUP(A1830,'Tabela de Produtos'!A:B,2,0)</f>
        <v>BRAZIMIL TINTA PISO PREMIUM  INT/EXT FOSCO 3L CINZA MEDIO</v>
      </c>
      <c r="C1830" s="48" t="s">
        <v>1229</v>
      </c>
      <c r="D1830" s="114" t="str">
        <f>VLOOKUP(C1830,'Custos Matéria Prima Embalagens'!B:C,2,0)</f>
        <v>WANSOL 340 CE (BB-200)</v>
      </c>
      <c r="E1830" s="114" t="str">
        <f>VLOOKUP(C1830,'Custos Matéria Prima Embalagens'!B:D,3,0)</f>
        <v>COALESCENTE</v>
      </c>
      <c r="F1830" s="270">
        <f t="shared" si="240"/>
        <v>2099.4</v>
      </c>
      <c r="G1830" s="148">
        <f t="shared" si="241"/>
        <v>9.5265313899209302E-3</v>
      </c>
      <c r="H1830" s="96">
        <v>20</v>
      </c>
      <c r="I1830" s="272">
        <f>ROUND(F1830/VLOOKUP(A1830,'Tabela de Produtos'!A:J,10,0),0)</f>
        <v>1653</v>
      </c>
      <c r="J1830" s="97">
        <f>IFERROR(VLOOKUP(C1830,'Custos Matéria Prima Embalagens'!B:G,6,0)*H1830,"Matéria Prima Não Cadastrada")</f>
        <v>384.4</v>
      </c>
      <c r="K1830" s="97">
        <f>IFERROR(J1830/(I1830/VLOOKUP(A1830,'Tabela de Produtos'!A:H,8,0)),"Matéria Prima Não Cadastrada")</f>
        <v>0.69764065335753167</v>
      </c>
      <c r="L1830" s="216">
        <v>45939</v>
      </c>
    </row>
    <row r="1831" spans="1:13" ht="15" customHeight="1">
      <c r="A1831" s="48" t="s">
        <v>330</v>
      </c>
      <c r="B1831" s="114" t="str">
        <f>VLOOKUP(A1831,'Tabela de Produtos'!A:B,2,0)</f>
        <v>BRAZIMIL TINTA PISO PREMIUM  INT/EXT FOSCO 3L CINZA MEDIO</v>
      </c>
      <c r="C1831" s="48" t="s">
        <v>1219</v>
      </c>
      <c r="D1831" s="114" t="str">
        <f>VLOOKUP(C1831,'Custos Matéria Prima Embalagens'!B:C,2,0)</f>
        <v>WANALK 70 CE (BH-200)</v>
      </c>
      <c r="E1831" s="114" t="str">
        <f>VLOOKUP(C1831,'Custos Matéria Prima Embalagens'!B:D,3,0)</f>
        <v>ALCALINIZANTE</v>
      </c>
      <c r="F1831" s="270">
        <f t="shared" si="240"/>
        <v>2099.4</v>
      </c>
      <c r="G1831" s="148">
        <f t="shared" si="241"/>
        <v>3.8106125559683717E-3</v>
      </c>
      <c r="H1831" s="96">
        <v>8</v>
      </c>
      <c r="I1831" s="272">
        <f>ROUND(F1831/VLOOKUP(A1831,'Tabela de Produtos'!A:J,10,0),0)</f>
        <v>1653</v>
      </c>
      <c r="J1831" s="97">
        <f>IFERROR(VLOOKUP(C1831,'Custos Matéria Prima Embalagens'!B:G,6,0)*H1831,"Matéria Prima Não Cadastrada")</f>
        <v>39.840000000000003</v>
      </c>
      <c r="K1831" s="97">
        <f>IFERROR(J1831/(I1831/VLOOKUP(A1831,'Tabela de Produtos'!A:H,8,0)),"Matéria Prima Não Cadastrada")</f>
        <v>7.2304900181488205E-2</v>
      </c>
      <c r="L1831" s="216">
        <v>45939</v>
      </c>
    </row>
    <row r="1832" spans="1:13" ht="15" customHeight="1">
      <c r="A1832" s="48" t="s">
        <v>330</v>
      </c>
      <c r="B1832" s="114" t="str">
        <f>VLOOKUP(A1832,'Tabela de Produtos'!A:B,2,0)</f>
        <v>BRAZIMIL TINTA PISO PREMIUM  INT/EXT FOSCO 3L CINZA MEDIO</v>
      </c>
      <c r="C1832" s="48" t="s">
        <v>1221</v>
      </c>
      <c r="D1832" s="114" t="str">
        <f>VLOOKUP(C1832,'Custos Matéria Prima Embalagens'!B:C,2,0)</f>
        <v>MODIWAN 105H CE (CT-1000P)</v>
      </c>
      <c r="E1832" s="114" t="str">
        <f>VLOOKUP(C1832,'Custos Matéria Prima Embalagens'!B:D,3,0)</f>
        <v>ESPESSANTE DE MEDIA</v>
      </c>
      <c r="F1832" s="270">
        <f t="shared" si="240"/>
        <v>2099.4</v>
      </c>
      <c r="G1832" s="148">
        <f t="shared" si="241"/>
        <v>9.5265313899209302E-3</v>
      </c>
      <c r="H1832" s="96">
        <v>20</v>
      </c>
      <c r="I1832" s="272">
        <f>ROUND(F1832/VLOOKUP(A1832,'Tabela de Produtos'!A:J,10,0),0)</f>
        <v>1653</v>
      </c>
      <c r="J1832" s="97">
        <f>IFERROR(VLOOKUP(C1832,'Custos Matéria Prima Embalagens'!B:G,6,0)*H1832,"Matéria Prima Não Cadastrada")</f>
        <v>158.1</v>
      </c>
      <c r="K1832" s="97">
        <f>IFERROR(J1832/(I1832/VLOOKUP(A1832,'Tabela de Produtos'!A:H,8,0)),"Matéria Prima Não Cadastrada")</f>
        <v>0.2869328493647913</v>
      </c>
      <c r="L1832" s="216">
        <v>45939</v>
      </c>
    </row>
    <row r="1833" spans="1:13" ht="15" customHeight="1">
      <c r="A1833" s="48" t="s">
        <v>330</v>
      </c>
      <c r="B1833" s="114" t="str">
        <f>VLOOKUP(A1833,'Tabela de Produtos'!A:B,2,0)</f>
        <v>BRAZIMIL TINTA PISO PREMIUM  INT/EXT FOSCO 3L CINZA MEDIO</v>
      </c>
      <c r="C1833" s="48" t="s">
        <v>1231</v>
      </c>
      <c r="D1833" s="114" t="str">
        <f>VLOOKUP(C1833,'Custos Matéria Prima Embalagens'!B:C,2,0)</f>
        <v>PRETO SPECTRAPRINT SFF</v>
      </c>
      <c r="E1833" s="114" t="str">
        <f>VLOOKUP(C1833,'Custos Matéria Prima Embalagens'!B:D,3,0)</f>
        <v>PRETO SPECTRAPRINT SFF</v>
      </c>
      <c r="F1833" s="270">
        <f t="shared" si="240"/>
        <v>2099.4</v>
      </c>
      <c r="G1833" s="148">
        <f t="shared" si="241"/>
        <v>1.9053062779841859E-3</v>
      </c>
      <c r="H1833" s="96">
        <v>4</v>
      </c>
      <c r="I1833" s="272">
        <f>ROUND(F1833/VLOOKUP(A1833,'Tabela de Produtos'!A:J,10,0),0)</f>
        <v>1653</v>
      </c>
      <c r="J1833" s="97">
        <f>IFERROR(VLOOKUP(C1833,'Custos Matéria Prima Embalagens'!B:G,6,0)*H1833,"Matéria Prima Não Cadastrada")</f>
        <v>60.8</v>
      </c>
      <c r="K1833" s="97">
        <f>IFERROR(J1833/(I1833/VLOOKUP(A1833,'Tabela de Produtos'!A:H,8,0)),"Matéria Prima Não Cadastrada")</f>
        <v>0.1103448275862069</v>
      </c>
      <c r="L1833" s="216">
        <v>45939</v>
      </c>
    </row>
    <row r="1834" spans="1:13" ht="15" customHeight="1">
      <c r="A1834" s="48" t="s">
        <v>330</v>
      </c>
      <c r="B1834" s="114" t="str">
        <f>VLOOKUP(A1834,'Tabela de Produtos'!A:B,2,0)</f>
        <v>BRAZIMIL TINTA PISO PREMIUM  INT/EXT FOSCO 3L CINZA MEDIO</v>
      </c>
      <c r="C1834" s="48" t="s">
        <v>1233</v>
      </c>
      <c r="D1834" s="114" t="str">
        <f>VLOOKUP(C1834,'Custos Matéria Prima Embalagens'!B:C,2,0)</f>
        <v>PRETO SPECTRA PR</v>
      </c>
      <c r="E1834" s="114" t="str">
        <f>VLOOKUP(C1834,'Custos Matéria Prima Embalagens'!B:D,3,0)</f>
        <v>PRETO SPECTRA PR</v>
      </c>
      <c r="F1834" s="270">
        <f t="shared" si="240"/>
        <v>2099.4</v>
      </c>
      <c r="G1834" s="148">
        <f t="shared" si="241"/>
        <v>1.9053062779841859E-4</v>
      </c>
      <c r="H1834" s="96">
        <v>0.4</v>
      </c>
      <c r="I1834" s="272">
        <f>ROUND(F1834/VLOOKUP(A1834,'Tabela de Produtos'!A:J,10,0),0)</f>
        <v>1653</v>
      </c>
      <c r="J1834" s="97">
        <f>IFERROR(VLOOKUP(C1834,'Custos Matéria Prima Embalagens'!B:G,6,0)*H1834,"Matéria Prima Não Cadastrada")</f>
        <v>12.772</v>
      </c>
      <c r="K1834" s="97">
        <f>IFERROR(J1834/(I1834/VLOOKUP(A1834,'Tabela de Produtos'!A:H,8,0)),"Matéria Prima Não Cadastrada")</f>
        <v>2.317967332123412E-2</v>
      </c>
      <c r="L1834" s="216">
        <v>45939</v>
      </c>
    </row>
    <row r="1835" spans="1:13" ht="15" customHeight="1">
      <c r="G1835" s="273"/>
      <c r="H1835" s="96"/>
      <c r="L1835" s="216">
        <v>45939</v>
      </c>
    </row>
    <row r="1836" spans="1:13" ht="15" customHeight="1">
      <c r="A1836" s="48" t="s">
        <v>345</v>
      </c>
      <c r="B1836" s="114" t="str">
        <f>VLOOKUP(A1836,'Tabela de Produtos'!A:B,2,0)</f>
        <v>BRAZIMIL TINTA PISO PREMIUM  INT/EXT FOSCO 15L BRANCO NEVE</v>
      </c>
      <c r="C1836" s="48" t="s">
        <v>1197</v>
      </c>
      <c r="D1836" s="114" t="str">
        <f>VLOOKUP(C1836,'Custos Matéria Prima Embalagens'!B:C,2,0)</f>
        <v>AGUA</v>
      </c>
      <c r="E1836" s="114" t="str">
        <f>VLOOKUP(C1836,'Custos Matéria Prima Embalagens'!B:D,3,0)</f>
        <v>AGUA</v>
      </c>
      <c r="F1836" s="270">
        <f t="shared" ref="F1836:F1851" si="242">SUMIFS(H:H,A:A,A1836)</f>
        <v>2095</v>
      </c>
      <c r="G1836" s="148">
        <f t="shared" ref="G1836:G1851" si="243">H1836/F1836</f>
        <v>0.31503579952267302</v>
      </c>
      <c r="H1836" s="96">
        <v>660</v>
      </c>
      <c r="I1836" s="272">
        <f>ROUND(F1836/VLOOKUP(A1836,'Tabela de Produtos'!A:J,10,0),0)</f>
        <v>1650</v>
      </c>
      <c r="J1836" s="97">
        <f>IFERROR(VLOOKUP(C1836,'Custos Matéria Prima Embalagens'!B:G,6,0)*H1836,"Matéria Prima Não Cadastrada")</f>
        <v>0</v>
      </c>
      <c r="K1836" s="97">
        <f>IFERROR(J1836/(I1836/VLOOKUP(A1836,'Tabela de Produtos'!A:H,8,0)),"Matéria Prima Não Cadastrada")</f>
        <v>0</v>
      </c>
      <c r="L1836" s="216">
        <v>45939</v>
      </c>
      <c r="M1836" s="97"/>
    </row>
    <row r="1837" spans="1:13" ht="15" customHeight="1">
      <c r="A1837" s="48" t="s">
        <v>345</v>
      </c>
      <c r="B1837" s="114" t="str">
        <f>VLOOKUP(A1837,'Tabela de Produtos'!A:B,2,0)</f>
        <v>BRAZIMIL TINTA PISO PREMIUM  INT/EXT FOSCO 15L BRANCO NEVE</v>
      </c>
      <c r="C1837" s="48" t="s">
        <v>1199</v>
      </c>
      <c r="D1837" s="114" t="str">
        <f>VLOOKUP(C1837,'Custos Matéria Prima Embalagens'!B:C,2,0)</f>
        <v>HEXAMETAFOSFATO DE SODIO</v>
      </c>
      <c r="E1837" s="114" t="str">
        <f>VLOOKUP(C1837,'Custos Matéria Prima Embalagens'!B:D,3,0)</f>
        <v>HEXAMETAFOSFATO DE SODIO</v>
      </c>
      <c r="F1837" s="270">
        <f t="shared" si="242"/>
        <v>2095</v>
      </c>
      <c r="G1837" s="148">
        <f t="shared" si="243"/>
        <v>1.431980906921241E-3</v>
      </c>
      <c r="H1837" s="96">
        <v>3</v>
      </c>
      <c r="I1837" s="272">
        <f>ROUND(F1837/VLOOKUP(A1837,'Tabela de Produtos'!A:J,10,0),0)</f>
        <v>1650</v>
      </c>
      <c r="J1837" s="97">
        <f>IFERROR(VLOOKUP(C1837,'Custos Matéria Prima Embalagens'!B:G,6,0)*H1837,"Matéria Prima Não Cadastrada")</f>
        <v>53.819999999999993</v>
      </c>
      <c r="K1837" s="97">
        <f>IFERROR(J1837/(I1837/VLOOKUP(A1837,'Tabela de Produtos'!A:H,8,0)),"Matéria Prima Não Cadastrada")</f>
        <v>0.48927272727272719</v>
      </c>
      <c r="L1837" s="216">
        <v>45939</v>
      </c>
      <c r="M1837" s="97"/>
    </row>
    <row r="1838" spans="1:13" ht="15" customHeight="1">
      <c r="A1838" s="48" t="s">
        <v>345</v>
      </c>
      <c r="B1838" s="114" t="str">
        <f>VLOOKUP(A1838,'Tabela de Produtos'!A:B,2,0)</f>
        <v>BRAZIMIL TINTA PISO PREMIUM  INT/EXT FOSCO 15L BRANCO NEVE</v>
      </c>
      <c r="C1838" s="48" t="s">
        <v>1201</v>
      </c>
      <c r="D1838" s="114" t="str">
        <f>VLOOKUP(C1838,'Custos Matéria Prima Embalagens'!B:C,2,0)</f>
        <v>WANFOAM 528 CE (BB-190)</v>
      </c>
      <c r="E1838" s="114" t="str">
        <f>VLOOKUP(C1838,'Custos Matéria Prima Embalagens'!B:D,3,0)</f>
        <v>ANTI ESPUMA LATEX</v>
      </c>
      <c r="F1838" s="270">
        <f t="shared" si="242"/>
        <v>2095</v>
      </c>
      <c r="G1838" s="148">
        <f t="shared" si="243"/>
        <v>2.8639618138424821E-3</v>
      </c>
      <c r="H1838" s="96">
        <v>6</v>
      </c>
      <c r="I1838" s="272">
        <f>ROUND(F1838/VLOOKUP(A1838,'Tabela de Produtos'!A:J,10,0),0)</f>
        <v>1650</v>
      </c>
      <c r="J1838" s="97">
        <f>IFERROR(VLOOKUP(C1838,'Custos Matéria Prima Embalagens'!B:G,6,0)*H1838,"Matéria Prima Não Cadastrada")</f>
        <v>43.08</v>
      </c>
      <c r="K1838" s="97">
        <f>IFERROR(J1838/(I1838/VLOOKUP(A1838,'Tabela de Produtos'!A:H,8,0)),"Matéria Prima Não Cadastrada")</f>
        <v>0.39163636363636362</v>
      </c>
      <c r="L1838" s="216">
        <v>45939</v>
      </c>
      <c r="M1838" s="97"/>
    </row>
    <row r="1839" spans="1:13" ht="15" customHeight="1">
      <c r="A1839" s="48" t="s">
        <v>345</v>
      </c>
      <c r="B1839" s="114" t="str">
        <f>VLOOKUP(A1839,'Tabela de Produtos'!A:B,2,0)</f>
        <v>BRAZIMIL TINTA PISO PREMIUM  INT/EXT FOSCO 15L BRANCO NEVE</v>
      </c>
      <c r="C1839" s="48" t="s">
        <v>1203</v>
      </c>
      <c r="D1839" s="114" t="str">
        <f>VLOOKUP(C1839,'Custos Matéria Prima Embalagens'!B:C,2,0)</f>
        <v>WANBAC WBT CE (BH-200)</v>
      </c>
      <c r="E1839" s="114" t="str">
        <f>VLOOKUP(C1839,'Custos Matéria Prima Embalagens'!B:D,3,0)</f>
        <v>BACTERICIDA</v>
      </c>
      <c r="F1839" s="270">
        <f t="shared" si="242"/>
        <v>2095</v>
      </c>
      <c r="G1839" s="148">
        <f t="shared" si="243"/>
        <v>2.8639618138424821E-3</v>
      </c>
      <c r="H1839" s="96">
        <v>6</v>
      </c>
      <c r="I1839" s="272">
        <f>ROUND(F1839/VLOOKUP(A1839,'Tabela de Produtos'!A:J,10,0),0)</f>
        <v>1650</v>
      </c>
      <c r="J1839" s="97">
        <f>IFERROR(VLOOKUP(C1839,'Custos Matéria Prima Embalagens'!B:G,6,0)*H1839,"Matéria Prima Não Cadastrada")</f>
        <v>29.639999999999997</v>
      </c>
      <c r="K1839" s="97">
        <f>IFERROR(J1839/(I1839/VLOOKUP(A1839,'Tabela de Produtos'!A:H,8,0)),"Matéria Prima Não Cadastrada")</f>
        <v>0.26945454545454545</v>
      </c>
      <c r="L1839" s="216">
        <v>45939</v>
      </c>
      <c r="M1839" s="97"/>
    </row>
    <row r="1840" spans="1:13" ht="15" customHeight="1">
      <c r="A1840" s="48" t="s">
        <v>345</v>
      </c>
      <c r="B1840" s="114" t="str">
        <f>VLOOKUP(A1840,'Tabela de Produtos'!A:B,2,0)</f>
        <v>BRAZIMIL TINTA PISO PREMIUM  INT/EXT FOSCO 15L BRANCO NEVE</v>
      </c>
      <c r="C1840" s="48" t="s">
        <v>1205</v>
      </c>
      <c r="D1840" s="114" t="str">
        <f>VLOOKUP(C1840,'Custos Matéria Prima Embalagens'!B:C,2,0)</f>
        <v>WANSUR 840 CE (BB-200)01</v>
      </c>
      <c r="E1840" s="114" t="str">
        <f>VLOOKUP(C1840,'Custos Matéria Prima Embalagens'!B:D,3,0)</f>
        <v>UMECTANTE</v>
      </c>
      <c r="F1840" s="270">
        <f t="shared" si="242"/>
        <v>2095</v>
      </c>
      <c r="G1840" s="148">
        <f t="shared" si="243"/>
        <v>2.8639618138424821E-3</v>
      </c>
      <c r="H1840" s="96">
        <v>6</v>
      </c>
      <c r="I1840" s="272">
        <f>ROUND(F1840/VLOOKUP(A1840,'Tabela de Produtos'!A:J,10,0),0)</f>
        <v>1650</v>
      </c>
      <c r="J1840" s="97">
        <f>IFERROR(VLOOKUP(C1840,'Custos Matéria Prima Embalagens'!B:G,6,0)*H1840,"Matéria Prima Não Cadastrada")</f>
        <v>43.980000000000004</v>
      </c>
      <c r="K1840" s="97">
        <f>IFERROR(J1840/(I1840/VLOOKUP(A1840,'Tabela de Produtos'!A:H,8,0)),"Matéria Prima Não Cadastrada")</f>
        <v>0.39981818181818185</v>
      </c>
      <c r="L1840" s="216">
        <v>45939</v>
      </c>
      <c r="M1840" s="97"/>
    </row>
    <row r="1841" spans="1:13" ht="15" customHeight="1">
      <c r="A1841" s="48" t="s">
        <v>345</v>
      </c>
      <c r="B1841" s="114" t="str">
        <f>VLOOKUP(A1841,'Tabela de Produtos'!A:B,2,0)</f>
        <v>BRAZIMIL TINTA PISO PREMIUM  INT/EXT FOSCO 15L BRANCO NEVE</v>
      </c>
      <c r="C1841" s="48" t="s">
        <v>1207</v>
      </c>
      <c r="D1841" s="114" t="str">
        <f>VLOOKUP(C1841,'Custos Matéria Prima Embalagens'!B:C,2,0)</f>
        <v>WANPEX 1510 (BB-200)</v>
      </c>
      <c r="E1841" s="114" t="str">
        <f>VLOOKUP(C1841,'Custos Matéria Prima Embalagens'!B:D,3,0)</f>
        <v>DISPERSANTE LATEX</v>
      </c>
      <c r="F1841" s="270">
        <f t="shared" si="242"/>
        <v>2095</v>
      </c>
      <c r="G1841" s="148">
        <f t="shared" si="243"/>
        <v>3.8186157517899762E-3</v>
      </c>
      <c r="H1841" s="96">
        <v>8</v>
      </c>
      <c r="I1841" s="272">
        <f>ROUND(F1841/VLOOKUP(A1841,'Tabela de Produtos'!A:J,10,0),0)</f>
        <v>1650</v>
      </c>
      <c r="J1841" s="97">
        <f>IFERROR(VLOOKUP(C1841,'Custos Matéria Prima Embalagens'!B:G,6,0)*H1841,"Matéria Prima Não Cadastrada")</f>
        <v>54.879999999999995</v>
      </c>
      <c r="K1841" s="97">
        <f>IFERROR(J1841/(I1841/VLOOKUP(A1841,'Tabela de Produtos'!A:H,8,0)),"Matéria Prima Não Cadastrada")</f>
        <v>0.49890909090909086</v>
      </c>
      <c r="L1841" s="216">
        <v>45939</v>
      </c>
      <c r="M1841" s="97"/>
    </row>
    <row r="1842" spans="1:13" ht="15" customHeight="1">
      <c r="A1842" s="48" t="s">
        <v>345</v>
      </c>
      <c r="B1842" s="114" t="str">
        <f>VLOOKUP(A1842,'Tabela de Produtos'!A:B,2,0)</f>
        <v>BRAZIMIL TINTA PISO PREMIUM  INT/EXT FOSCO 15L BRANCO NEVE</v>
      </c>
      <c r="C1842" s="48" t="s">
        <v>1209</v>
      </c>
      <c r="D1842" s="114" t="str">
        <f>VLOOKUP(C1842,'Custos Matéria Prima Embalagens'!B:C,2,0)</f>
        <v>WANFUNG WFT CE (BH-200)</v>
      </c>
      <c r="E1842" s="114" t="str">
        <f>VLOOKUP(C1842,'Custos Matéria Prima Embalagens'!B:D,3,0)</f>
        <v>FUNGICIDA</v>
      </c>
      <c r="F1842" s="270">
        <f t="shared" si="242"/>
        <v>2095</v>
      </c>
      <c r="G1842" s="148">
        <f t="shared" si="243"/>
        <v>3.8186157517899762E-3</v>
      </c>
      <c r="H1842" s="96">
        <v>8</v>
      </c>
      <c r="I1842" s="272">
        <f>ROUND(F1842/VLOOKUP(A1842,'Tabela de Produtos'!A:J,10,0),0)</f>
        <v>1650</v>
      </c>
      <c r="J1842" s="97">
        <f>IFERROR(VLOOKUP(C1842,'Custos Matéria Prima Embalagens'!B:G,6,0)*H1842,"Matéria Prima Não Cadastrada")</f>
        <v>56</v>
      </c>
      <c r="K1842" s="97">
        <f>IFERROR(J1842/(I1842/VLOOKUP(A1842,'Tabela de Produtos'!A:H,8,0)),"Matéria Prima Não Cadastrada")</f>
        <v>0.50909090909090904</v>
      </c>
      <c r="L1842" s="216">
        <v>45939</v>
      </c>
      <c r="M1842" s="97"/>
    </row>
    <row r="1843" spans="1:13" ht="15" customHeight="1">
      <c r="A1843" s="48" t="s">
        <v>345</v>
      </c>
      <c r="B1843" s="114" t="str">
        <f>VLOOKUP(A1843,'Tabela de Produtos'!A:B,2,0)</f>
        <v>BRAZIMIL TINTA PISO PREMIUM  INT/EXT FOSCO 15L BRANCO NEVE</v>
      </c>
      <c r="C1843" s="48" t="s">
        <v>1279</v>
      </c>
      <c r="D1843" s="114" t="str">
        <f>VLOOKUP(C1843,'Custos Matéria Prima Embalagens'!B:C,2,0)</f>
        <v>CARBONATO #200</v>
      </c>
      <c r="E1843" s="114" t="str">
        <f>VLOOKUP(C1843,'Custos Matéria Prima Embalagens'!B:D,3,0)</f>
        <v>CARBONATO #200</v>
      </c>
      <c r="F1843" s="270">
        <f t="shared" si="242"/>
        <v>2095</v>
      </c>
      <c r="G1843" s="148">
        <f t="shared" si="243"/>
        <v>7.1599045346062054E-2</v>
      </c>
      <c r="H1843" s="96">
        <v>150</v>
      </c>
      <c r="I1843" s="272">
        <f>ROUND(F1843/VLOOKUP(A1843,'Tabela de Produtos'!A:J,10,0),0)</f>
        <v>1650</v>
      </c>
      <c r="J1843" s="97">
        <f>IFERROR(VLOOKUP(C1843,'Custos Matéria Prima Embalagens'!B:G,6,0)*H1843,"Matéria Prima Não Cadastrada")</f>
        <v>46.5</v>
      </c>
      <c r="K1843" s="97">
        <f>IFERROR(J1843/(I1843/VLOOKUP(A1843,'Tabela de Produtos'!A:H,8,0)),"Matéria Prima Não Cadastrada")</f>
        <v>0.42272727272727273</v>
      </c>
      <c r="L1843" s="216">
        <v>45939</v>
      </c>
      <c r="M1843" s="97"/>
    </row>
    <row r="1844" spans="1:13" ht="15" customHeight="1">
      <c r="A1844" s="48" t="s">
        <v>345</v>
      </c>
      <c r="B1844" s="114" t="str">
        <f>VLOOKUP(A1844,'Tabela de Produtos'!A:B,2,0)</f>
        <v>BRAZIMIL TINTA PISO PREMIUM  INT/EXT FOSCO 15L BRANCO NEVE</v>
      </c>
      <c r="C1844" s="48" t="s">
        <v>1213</v>
      </c>
      <c r="D1844" s="114" t="str">
        <f>VLOOKUP(C1844,'Custos Matéria Prima Embalagens'!B:C,2,0)</f>
        <v>DIOXIDO DE TITANIO RUTILO R-996</v>
      </c>
      <c r="E1844" s="114" t="str">
        <f>VLOOKUP(C1844,'Custos Matéria Prima Embalagens'!B:D,3,0)</f>
        <v>TITANIO</v>
      </c>
      <c r="F1844" s="270">
        <f t="shared" si="242"/>
        <v>2095</v>
      </c>
      <c r="G1844" s="148">
        <f t="shared" si="243"/>
        <v>7.1599045346062054E-2</v>
      </c>
      <c r="H1844" s="96">
        <v>150</v>
      </c>
      <c r="I1844" s="272">
        <f>ROUND(F1844/VLOOKUP(A1844,'Tabela de Produtos'!A:J,10,0),0)</f>
        <v>1650</v>
      </c>
      <c r="J1844" s="97">
        <f>IFERROR(VLOOKUP(C1844,'Custos Matéria Prima Embalagens'!B:G,6,0)*H1844,"Matéria Prima Não Cadastrada")</f>
        <v>2895</v>
      </c>
      <c r="K1844" s="97">
        <f>IFERROR(J1844/(I1844/VLOOKUP(A1844,'Tabela de Produtos'!A:H,8,0)),"Matéria Prima Não Cadastrada")</f>
        <v>26.318181818181817</v>
      </c>
      <c r="L1844" s="216">
        <v>45939</v>
      </c>
      <c r="M1844" s="97"/>
    </row>
    <row r="1845" spans="1:13" ht="15" customHeight="1">
      <c r="A1845" s="48" t="s">
        <v>345</v>
      </c>
      <c r="B1845" s="114" t="str">
        <f>VLOOKUP(A1845,'Tabela de Produtos'!A:B,2,0)</f>
        <v>BRAZIMIL TINTA PISO PREMIUM  INT/EXT FOSCO 15L BRANCO NEVE</v>
      </c>
      <c r="C1845" s="48" t="s">
        <v>1211</v>
      </c>
      <c r="D1845" s="114" t="str">
        <f>VLOOKUP(C1845,'Custos Matéria Prima Embalagens'!B:C,2,0)</f>
        <v>WHITE PLUS PB (SC-25) (Em negociação)</v>
      </c>
      <c r="E1845" s="114" t="str">
        <f>VLOOKUP(C1845,'Custos Matéria Prima Embalagens'!B:D,3,0)</f>
        <v>WHITE PLUS</v>
      </c>
      <c r="F1845" s="270">
        <f t="shared" si="242"/>
        <v>2095</v>
      </c>
      <c r="G1845" s="148">
        <f t="shared" si="243"/>
        <v>0.14319809069212411</v>
      </c>
      <c r="H1845" s="96">
        <v>300</v>
      </c>
      <c r="I1845" s="272">
        <f>ROUND(F1845/VLOOKUP(A1845,'Tabela de Produtos'!A:J,10,0),0)</f>
        <v>1650</v>
      </c>
      <c r="J1845" s="97">
        <f>IFERROR(VLOOKUP(C1845,'Custos Matéria Prima Embalagens'!B:G,6,0)*H1845,"Matéria Prima Não Cadastrada")</f>
        <v>927</v>
      </c>
      <c r="K1845" s="97">
        <f>IFERROR(J1845/(I1845/VLOOKUP(A1845,'Tabela de Produtos'!A:H,8,0)),"Matéria Prima Não Cadastrada")</f>
        <v>8.4272727272727277</v>
      </c>
      <c r="L1845" s="216">
        <v>45939</v>
      </c>
      <c r="M1845" s="97"/>
    </row>
    <row r="1846" spans="1:13" ht="15" customHeight="1">
      <c r="A1846" s="48" t="s">
        <v>345</v>
      </c>
      <c r="B1846" s="114" t="str">
        <f>VLOOKUP(A1846,'Tabela de Produtos'!A:B,2,0)</f>
        <v>BRAZIMIL TINTA PISO PREMIUM  INT/EXT FOSCO 15L BRANCO NEVE</v>
      </c>
      <c r="C1846" s="48" t="s">
        <v>1227</v>
      </c>
      <c r="D1846" s="114" t="str">
        <f>VLOOKUP(C1846,'Custos Matéria Prima Embalagens'!B:C,2,0)</f>
        <v>CAULIM MALHA 325</v>
      </c>
      <c r="E1846" s="114" t="str">
        <f>VLOOKUP(C1846,'Custos Matéria Prima Embalagens'!B:D,3,0)</f>
        <v>caulim</v>
      </c>
      <c r="F1846" s="270">
        <f t="shared" si="242"/>
        <v>2095</v>
      </c>
      <c r="G1846" s="148">
        <f t="shared" si="243"/>
        <v>4.77326968973747E-2</v>
      </c>
      <c r="H1846" s="96">
        <v>100</v>
      </c>
      <c r="I1846" s="272">
        <f>ROUND(F1846/VLOOKUP(A1846,'Tabela de Produtos'!A:J,10,0),0)</f>
        <v>1650</v>
      </c>
      <c r="J1846" s="97">
        <f>IFERROR(VLOOKUP(C1846,'Custos Matéria Prima Embalagens'!B:G,6,0)*H1846,"Matéria Prima Não Cadastrada")</f>
        <v>152.04955555555551</v>
      </c>
      <c r="K1846" s="97">
        <f>IFERROR(J1846/(I1846/VLOOKUP(A1846,'Tabela de Produtos'!A:H,8,0)),"Matéria Prima Não Cadastrada")</f>
        <v>1.3822686868686864</v>
      </c>
      <c r="L1846" s="216">
        <v>45939</v>
      </c>
      <c r="M1846" s="97"/>
    </row>
    <row r="1847" spans="1:13" ht="15" customHeight="1">
      <c r="A1847" s="48" t="s">
        <v>345</v>
      </c>
      <c r="B1847" s="114" t="str">
        <f>VLOOKUP(A1847,'Tabela de Produtos'!A:B,2,0)</f>
        <v>BRAZIMIL TINTA PISO PREMIUM  INT/EXT FOSCO 15L BRANCO NEVE</v>
      </c>
      <c r="C1847" s="48" t="s">
        <v>1217</v>
      </c>
      <c r="D1847" s="114" t="str">
        <f>VLOOKUP(C1847,'Custos Matéria Prima Embalagens'!B:C,2,0)</f>
        <v>WANCRIL W 51 CE (CT-1000P)</v>
      </c>
      <c r="E1847" s="114" t="str">
        <f>VLOOKUP(C1847,'Custos Matéria Prima Embalagens'!B:D,3,0)</f>
        <v>RESINA ACRILICA ESTIRENADA</v>
      </c>
      <c r="F1847" s="270">
        <f t="shared" si="242"/>
        <v>2095</v>
      </c>
      <c r="G1847" s="148">
        <f t="shared" si="243"/>
        <v>0.28639618138424822</v>
      </c>
      <c r="H1847" s="96">
        <v>600</v>
      </c>
      <c r="I1847" s="272">
        <f>ROUND(F1847/VLOOKUP(A1847,'Tabela de Produtos'!A:J,10,0),0)</f>
        <v>1650</v>
      </c>
      <c r="J1847" s="97">
        <f>IFERROR(VLOOKUP(C1847,'Custos Matéria Prima Embalagens'!B:G,6,0)*H1847,"Matéria Prima Não Cadastrada")</f>
        <v>5058</v>
      </c>
      <c r="K1847" s="97">
        <f>IFERROR(J1847/(I1847/VLOOKUP(A1847,'Tabela de Produtos'!A:H,8,0)),"Matéria Prima Não Cadastrada")</f>
        <v>45.981818181818184</v>
      </c>
      <c r="L1847" s="216">
        <v>45939</v>
      </c>
      <c r="M1847" s="97"/>
    </row>
    <row r="1848" spans="1:13" ht="15" customHeight="1">
      <c r="A1848" s="48" t="s">
        <v>345</v>
      </c>
      <c r="B1848" s="114" t="str">
        <f>VLOOKUP(A1848,'Tabela de Produtos'!A:B,2,0)</f>
        <v>BRAZIMIL TINTA PISO PREMIUM  INT/EXT FOSCO 15L BRANCO NEVE</v>
      </c>
      <c r="C1848" s="48" t="s">
        <v>1261</v>
      </c>
      <c r="D1848" s="114" t="str">
        <f>VLOOKUP(C1848,'Custos Matéria Prima Embalagens'!B:C,2,0)</f>
        <v>WANCOAT PA70 (BR-45)</v>
      </c>
      <c r="E1848" s="114" t="str">
        <f>VLOOKUP(C1848,'Custos Matéria Prima Embalagens'!B:D,3,0)</f>
        <v>HIDROREPELENTE BASE AGUA</v>
      </c>
      <c r="F1848" s="270">
        <f t="shared" si="242"/>
        <v>2095</v>
      </c>
      <c r="G1848" s="148">
        <f t="shared" si="243"/>
        <v>2.386634844868735E-2</v>
      </c>
      <c r="H1848" s="96">
        <v>50</v>
      </c>
      <c r="I1848" s="272">
        <f>ROUND(F1848/VLOOKUP(A1848,'Tabela de Produtos'!A:J,10,0),0)</f>
        <v>1650</v>
      </c>
      <c r="J1848" s="97">
        <f>IFERROR(VLOOKUP(C1848,'Custos Matéria Prima Embalagens'!B:G,6,0)*H1848,"Matéria Prima Não Cadastrada")</f>
        <v>1571.571160169095</v>
      </c>
      <c r="K1848" s="97">
        <f>IFERROR(J1848/(I1848/VLOOKUP(A1848,'Tabela de Produtos'!A:H,8,0)),"Matéria Prima Não Cadastrada")</f>
        <v>14.287010546991773</v>
      </c>
      <c r="L1848" s="216">
        <v>45939</v>
      </c>
      <c r="M1848" s="97"/>
    </row>
    <row r="1849" spans="1:13" ht="15" customHeight="1">
      <c r="A1849" s="48" t="s">
        <v>345</v>
      </c>
      <c r="B1849" s="114" t="str">
        <f>VLOOKUP(A1849,'Tabela de Produtos'!A:B,2,0)</f>
        <v>BRAZIMIL TINTA PISO PREMIUM  INT/EXT FOSCO 15L BRANCO NEVE</v>
      </c>
      <c r="C1849" s="48" t="s">
        <v>1229</v>
      </c>
      <c r="D1849" s="114" t="str">
        <f>VLOOKUP(C1849,'Custos Matéria Prima Embalagens'!B:C,2,0)</f>
        <v>WANSOL 340 CE (BB-200)</v>
      </c>
      <c r="E1849" s="114" t="str">
        <f>VLOOKUP(C1849,'Custos Matéria Prima Embalagens'!B:D,3,0)</f>
        <v>COALESCENTE</v>
      </c>
      <c r="F1849" s="270">
        <f t="shared" si="242"/>
        <v>2095</v>
      </c>
      <c r="G1849" s="148">
        <f t="shared" si="243"/>
        <v>9.5465393794749408E-3</v>
      </c>
      <c r="H1849" s="96">
        <v>20</v>
      </c>
      <c r="I1849" s="272">
        <f>ROUND(F1849/VLOOKUP(A1849,'Tabela de Produtos'!A:J,10,0),0)</f>
        <v>1650</v>
      </c>
      <c r="J1849" s="97">
        <f>IFERROR(VLOOKUP(C1849,'Custos Matéria Prima Embalagens'!B:G,6,0)*H1849,"Matéria Prima Não Cadastrada")</f>
        <v>384.4</v>
      </c>
      <c r="K1849" s="97">
        <f>IFERROR(J1849/(I1849/VLOOKUP(A1849,'Tabela de Produtos'!A:H,8,0)),"Matéria Prima Não Cadastrada")</f>
        <v>3.4945454545454542</v>
      </c>
      <c r="L1849" s="216">
        <v>45939</v>
      </c>
      <c r="M1849" s="97"/>
    </row>
    <row r="1850" spans="1:13" ht="15" customHeight="1">
      <c r="A1850" s="48" t="s">
        <v>345</v>
      </c>
      <c r="B1850" s="114" t="str">
        <f>VLOOKUP(A1850,'Tabela de Produtos'!A:B,2,0)</f>
        <v>BRAZIMIL TINTA PISO PREMIUM  INT/EXT FOSCO 15L BRANCO NEVE</v>
      </c>
      <c r="C1850" s="48" t="s">
        <v>1219</v>
      </c>
      <c r="D1850" s="114" t="str">
        <f>VLOOKUP(C1850,'Custos Matéria Prima Embalagens'!B:C,2,0)</f>
        <v>WANALK 70 CE (BH-200)</v>
      </c>
      <c r="E1850" s="114" t="str">
        <f>VLOOKUP(C1850,'Custos Matéria Prima Embalagens'!B:D,3,0)</f>
        <v>ALCALINIZANTE</v>
      </c>
      <c r="F1850" s="270">
        <f t="shared" si="242"/>
        <v>2095</v>
      </c>
      <c r="G1850" s="148">
        <f t="shared" si="243"/>
        <v>3.8186157517899762E-3</v>
      </c>
      <c r="H1850" s="96">
        <v>8</v>
      </c>
      <c r="I1850" s="272">
        <f>ROUND(F1850/VLOOKUP(A1850,'Tabela de Produtos'!A:J,10,0),0)</f>
        <v>1650</v>
      </c>
      <c r="J1850" s="97">
        <f>IFERROR(VLOOKUP(C1850,'Custos Matéria Prima Embalagens'!B:G,6,0)*H1850,"Matéria Prima Não Cadastrada")</f>
        <v>39.840000000000003</v>
      </c>
      <c r="K1850" s="97">
        <f>IFERROR(J1850/(I1850/VLOOKUP(A1850,'Tabela de Produtos'!A:H,8,0)),"Matéria Prima Não Cadastrada")</f>
        <v>0.36218181818181822</v>
      </c>
      <c r="L1850" s="216">
        <v>45939</v>
      </c>
      <c r="M1850" s="97"/>
    </row>
    <row r="1851" spans="1:13" ht="15" customHeight="1">
      <c r="A1851" s="48" t="s">
        <v>345</v>
      </c>
      <c r="B1851" s="114" t="str">
        <f>VLOOKUP(A1851,'Tabela de Produtos'!A:B,2,0)</f>
        <v>BRAZIMIL TINTA PISO PREMIUM  INT/EXT FOSCO 15L BRANCO NEVE</v>
      </c>
      <c r="C1851" s="48" t="s">
        <v>1221</v>
      </c>
      <c r="D1851" s="114" t="str">
        <f>VLOOKUP(C1851,'Custos Matéria Prima Embalagens'!B:C,2,0)</f>
        <v>MODIWAN 105H CE (CT-1000P)</v>
      </c>
      <c r="E1851" s="114" t="str">
        <f>VLOOKUP(C1851,'Custos Matéria Prima Embalagens'!B:D,3,0)</f>
        <v>ESPESSANTE DE MEDIA</v>
      </c>
      <c r="F1851" s="270">
        <f t="shared" si="242"/>
        <v>2095</v>
      </c>
      <c r="G1851" s="148">
        <f t="shared" si="243"/>
        <v>9.5465393794749408E-3</v>
      </c>
      <c r="H1851" s="96">
        <v>20</v>
      </c>
      <c r="I1851" s="272">
        <f>ROUND(F1851/VLOOKUP(A1851,'Tabela de Produtos'!A:J,10,0),0)</f>
        <v>1650</v>
      </c>
      <c r="J1851" s="97">
        <f>IFERROR(VLOOKUP(C1851,'Custos Matéria Prima Embalagens'!B:G,6,0)*H1851,"Matéria Prima Não Cadastrada")</f>
        <v>158.1</v>
      </c>
      <c r="K1851" s="97">
        <f>IFERROR(J1851/(I1851/VLOOKUP(A1851,'Tabela de Produtos'!A:H,8,0)),"Matéria Prima Não Cadastrada")</f>
        <v>1.4372727272727273</v>
      </c>
      <c r="L1851" s="216">
        <v>45939</v>
      </c>
      <c r="M1851" s="97"/>
    </row>
    <row r="1852" spans="1:13" ht="15" customHeight="1">
      <c r="G1852" s="273"/>
      <c r="H1852" s="96"/>
      <c r="L1852" s="216">
        <v>45939</v>
      </c>
      <c r="M1852" s="97"/>
    </row>
    <row r="1853" spans="1:13" ht="15" customHeight="1">
      <c r="A1853" s="48" t="s">
        <v>348</v>
      </c>
      <c r="B1853" s="114" t="str">
        <f>VLOOKUP(A1853,'Tabela de Produtos'!A:B,2,0)</f>
        <v>BRAZIMIL TINTA PISO PREMIUM  INT/EXT FOSCO 15L CINZA MEDIO</v>
      </c>
      <c r="C1853" s="48" t="s">
        <v>1197</v>
      </c>
      <c r="D1853" s="114" t="str">
        <f>VLOOKUP(C1853,'Custos Matéria Prima Embalagens'!B:C,2,0)</f>
        <v>AGUA</v>
      </c>
      <c r="E1853" s="48" t="s">
        <v>1198</v>
      </c>
      <c r="F1853" s="270">
        <f t="shared" ref="F1853:F1870" si="244">SUMIFS(H:H,A:A,A1853)</f>
        <v>2099.4</v>
      </c>
      <c r="G1853" s="148">
        <f t="shared" ref="G1853:G1870" si="245">H1853/F1853</f>
        <v>0.31437553586739064</v>
      </c>
      <c r="H1853" s="96">
        <v>660</v>
      </c>
      <c r="I1853" s="272">
        <f>ROUND(F1853/VLOOKUP(A1853,'Tabela de Produtos'!A:J,10,0),0)</f>
        <v>1653</v>
      </c>
      <c r="J1853" s="97">
        <f>IFERROR(VLOOKUP(C1853,'Custos Matéria Prima Embalagens'!B:G,6,0)*H1853,"Matéria Prima Não Cadastrada")</f>
        <v>0</v>
      </c>
      <c r="K1853" s="97">
        <f>IFERROR(J1853/(I1853/VLOOKUP(A1853,'Tabela de Produtos'!A:H,8,0)),"Matéria Prima Não Cadastrada")</f>
        <v>0</v>
      </c>
      <c r="L1853" s="216">
        <v>45939</v>
      </c>
      <c r="M1853" s="97"/>
    </row>
    <row r="1854" spans="1:13" ht="15" customHeight="1">
      <c r="A1854" s="48" t="s">
        <v>348</v>
      </c>
      <c r="B1854" s="114" t="str">
        <f>VLOOKUP(A1854,'Tabela de Produtos'!A:B,2,0)</f>
        <v>BRAZIMIL TINTA PISO PREMIUM  INT/EXT FOSCO 15L CINZA MEDIO</v>
      </c>
      <c r="C1854" s="48" t="s">
        <v>1199</v>
      </c>
      <c r="D1854" s="114" t="str">
        <f>VLOOKUP(C1854,'Custos Matéria Prima Embalagens'!B:C,2,0)</f>
        <v>HEXAMETAFOSFATO DE SODIO</v>
      </c>
      <c r="E1854" s="48" t="s">
        <v>1200</v>
      </c>
      <c r="F1854" s="270">
        <f t="shared" si="244"/>
        <v>2099.4</v>
      </c>
      <c r="G1854" s="148">
        <f t="shared" si="245"/>
        <v>1.4289797084881394E-3</v>
      </c>
      <c r="H1854" s="96">
        <v>3</v>
      </c>
      <c r="I1854" s="272">
        <f>ROUND(F1854/VLOOKUP(A1854,'Tabela de Produtos'!A:J,10,0),0)</f>
        <v>1653</v>
      </c>
      <c r="J1854" s="97">
        <f>IFERROR(VLOOKUP(C1854,'Custos Matéria Prima Embalagens'!B:G,6,0)*H1854,"Matéria Prima Não Cadastrada")</f>
        <v>53.819999999999993</v>
      </c>
      <c r="K1854" s="97">
        <f>IFERROR(J1854/(I1854/VLOOKUP(A1854,'Tabela de Produtos'!A:H,8,0)),"Matéria Prima Não Cadastrada")</f>
        <v>0.48838475499092554</v>
      </c>
      <c r="L1854" s="216">
        <v>45939</v>
      </c>
      <c r="M1854" s="97"/>
    </row>
    <row r="1855" spans="1:13" ht="15" customHeight="1">
      <c r="A1855" s="48" t="s">
        <v>348</v>
      </c>
      <c r="B1855" s="114" t="str">
        <f>VLOOKUP(A1855,'Tabela de Produtos'!A:B,2,0)</f>
        <v>BRAZIMIL TINTA PISO PREMIUM  INT/EXT FOSCO 15L CINZA MEDIO</v>
      </c>
      <c r="C1855" s="48" t="s">
        <v>1201</v>
      </c>
      <c r="D1855" s="114" t="str">
        <f>VLOOKUP(C1855,'Custos Matéria Prima Embalagens'!B:C,2,0)</f>
        <v>WANFOAM 528 CE (BB-190)</v>
      </c>
      <c r="E1855" s="48" t="s">
        <v>1202</v>
      </c>
      <c r="F1855" s="270">
        <f t="shared" si="244"/>
        <v>2099.4</v>
      </c>
      <c r="G1855" s="148">
        <f t="shared" si="245"/>
        <v>2.8579594169762788E-3</v>
      </c>
      <c r="H1855" s="96">
        <v>6</v>
      </c>
      <c r="I1855" s="272">
        <f>ROUND(F1855/VLOOKUP(A1855,'Tabela de Produtos'!A:J,10,0),0)</f>
        <v>1653</v>
      </c>
      <c r="J1855" s="97">
        <f>IFERROR(VLOOKUP(C1855,'Custos Matéria Prima Embalagens'!B:G,6,0)*H1855,"Matéria Prima Não Cadastrada")</f>
        <v>43.08</v>
      </c>
      <c r="K1855" s="97">
        <f>IFERROR(J1855/(I1855/VLOOKUP(A1855,'Tabela de Produtos'!A:H,8,0)),"Matéria Prima Não Cadastrada")</f>
        <v>0.39092558983666059</v>
      </c>
      <c r="L1855" s="216">
        <v>45939</v>
      </c>
      <c r="M1855" s="97"/>
    </row>
    <row r="1856" spans="1:13" ht="15" customHeight="1">
      <c r="A1856" s="48" t="s">
        <v>348</v>
      </c>
      <c r="B1856" s="114" t="str">
        <f>VLOOKUP(A1856,'Tabela de Produtos'!A:B,2,0)</f>
        <v>BRAZIMIL TINTA PISO PREMIUM  INT/EXT FOSCO 15L CINZA MEDIO</v>
      </c>
      <c r="C1856" s="48" t="s">
        <v>1203</v>
      </c>
      <c r="D1856" s="114" t="str">
        <f>VLOOKUP(C1856,'Custos Matéria Prima Embalagens'!B:C,2,0)</f>
        <v>WANBAC WBT CE (BH-200)</v>
      </c>
      <c r="E1856" s="48" t="s">
        <v>1204</v>
      </c>
      <c r="F1856" s="270">
        <f t="shared" si="244"/>
        <v>2099.4</v>
      </c>
      <c r="G1856" s="148">
        <f t="shared" si="245"/>
        <v>2.8579594169762788E-3</v>
      </c>
      <c r="H1856" s="96">
        <v>6</v>
      </c>
      <c r="I1856" s="272">
        <f>ROUND(F1856/VLOOKUP(A1856,'Tabela de Produtos'!A:J,10,0),0)</f>
        <v>1653</v>
      </c>
      <c r="J1856" s="97">
        <f>IFERROR(VLOOKUP(C1856,'Custos Matéria Prima Embalagens'!B:G,6,0)*H1856,"Matéria Prima Não Cadastrada")</f>
        <v>29.639999999999997</v>
      </c>
      <c r="K1856" s="97">
        <f>IFERROR(J1856/(I1856/VLOOKUP(A1856,'Tabela de Produtos'!A:H,8,0)),"Matéria Prima Não Cadastrada")</f>
        <v>0.26896551724137929</v>
      </c>
      <c r="L1856" s="216">
        <v>45939</v>
      </c>
    </row>
    <row r="1857" spans="1:12" ht="15" customHeight="1">
      <c r="A1857" s="48" t="s">
        <v>348</v>
      </c>
      <c r="B1857" s="114" t="str">
        <f>VLOOKUP(A1857,'Tabela de Produtos'!A:B,2,0)</f>
        <v>BRAZIMIL TINTA PISO PREMIUM  INT/EXT FOSCO 15L CINZA MEDIO</v>
      </c>
      <c r="C1857" s="48" t="s">
        <v>1205</v>
      </c>
      <c r="D1857" s="114" t="str">
        <f>VLOOKUP(C1857,'Custos Matéria Prima Embalagens'!B:C,2,0)</f>
        <v>WANSUR 840 CE (BB-200)01</v>
      </c>
      <c r="E1857" s="48" t="s">
        <v>1206</v>
      </c>
      <c r="F1857" s="270">
        <f t="shared" si="244"/>
        <v>2099.4</v>
      </c>
      <c r="G1857" s="148">
        <f t="shared" si="245"/>
        <v>2.8579594169762788E-3</v>
      </c>
      <c r="H1857" s="96">
        <v>6</v>
      </c>
      <c r="I1857" s="272">
        <f>ROUND(F1857/VLOOKUP(A1857,'Tabela de Produtos'!A:J,10,0),0)</f>
        <v>1653</v>
      </c>
      <c r="J1857" s="97">
        <f>IFERROR(VLOOKUP(C1857,'Custos Matéria Prima Embalagens'!B:G,6,0)*H1857,"Matéria Prima Não Cadastrada")</f>
        <v>43.980000000000004</v>
      </c>
      <c r="K1857" s="97">
        <f>IFERROR(J1857/(I1857/VLOOKUP(A1857,'Tabela de Produtos'!A:H,8,0)),"Matéria Prima Não Cadastrada")</f>
        <v>0.39909255898366608</v>
      </c>
      <c r="L1857" s="216">
        <v>45939</v>
      </c>
    </row>
    <row r="1858" spans="1:12" ht="15" customHeight="1">
      <c r="A1858" s="48" t="s">
        <v>348</v>
      </c>
      <c r="B1858" s="114" t="str">
        <f>VLOOKUP(A1858,'Tabela de Produtos'!A:B,2,0)</f>
        <v>BRAZIMIL TINTA PISO PREMIUM  INT/EXT FOSCO 15L CINZA MEDIO</v>
      </c>
      <c r="C1858" s="48" t="s">
        <v>1207</v>
      </c>
      <c r="D1858" s="114" t="str">
        <f>VLOOKUP(C1858,'Custos Matéria Prima Embalagens'!B:C,2,0)</f>
        <v>WANPEX 1510 (BB-200)</v>
      </c>
      <c r="E1858" s="48" t="s">
        <v>1208</v>
      </c>
      <c r="F1858" s="270">
        <f t="shared" si="244"/>
        <v>2099.4</v>
      </c>
      <c r="G1858" s="148">
        <f t="shared" si="245"/>
        <v>3.8106125559683717E-3</v>
      </c>
      <c r="H1858" s="96">
        <v>8</v>
      </c>
      <c r="I1858" s="272">
        <f>ROUND(F1858/VLOOKUP(A1858,'Tabela de Produtos'!A:J,10,0),0)</f>
        <v>1653</v>
      </c>
      <c r="J1858" s="97">
        <f>IFERROR(VLOOKUP(C1858,'Custos Matéria Prima Embalagens'!B:G,6,0)*H1858,"Matéria Prima Não Cadastrada")</f>
        <v>54.879999999999995</v>
      </c>
      <c r="K1858" s="97">
        <f>IFERROR(J1858/(I1858/VLOOKUP(A1858,'Tabela de Produtos'!A:H,8,0)),"Matéria Prima Não Cadastrada")</f>
        <v>0.49800362976406526</v>
      </c>
      <c r="L1858" s="216">
        <v>45939</v>
      </c>
    </row>
    <row r="1859" spans="1:12" ht="15" customHeight="1">
      <c r="A1859" s="48" t="s">
        <v>348</v>
      </c>
      <c r="B1859" s="114" t="str">
        <f>VLOOKUP(A1859,'Tabela de Produtos'!A:B,2,0)</f>
        <v>BRAZIMIL TINTA PISO PREMIUM  INT/EXT FOSCO 15L CINZA MEDIO</v>
      </c>
      <c r="C1859" s="48" t="s">
        <v>1209</v>
      </c>
      <c r="D1859" s="114" t="str">
        <f>VLOOKUP(C1859,'Custos Matéria Prima Embalagens'!B:C,2,0)</f>
        <v>WANFUNG WFT CE (BH-200)</v>
      </c>
      <c r="E1859" s="48" t="s">
        <v>1210</v>
      </c>
      <c r="F1859" s="270">
        <f t="shared" si="244"/>
        <v>2099.4</v>
      </c>
      <c r="G1859" s="148">
        <f t="shared" si="245"/>
        <v>3.8106125559683717E-3</v>
      </c>
      <c r="H1859" s="96">
        <v>8</v>
      </c>
      <c r="I1859" s="272">
        <f>ROUND(F1859/VLOOKUP(A1859,'Tabela de Produtos'!A:J,10,0),0)</f>
        <v>1653</v>
      </c>
      <c r="J1859" s="97">
        <f>IFERROR(VLOOKUP(C1859,'Custos Matéria Prima Embalagens'!B:G,6,0)*H1859,"Matéria Prima Não Cadastrada")</f>
        <v>56</v>
      </c>
      <c r="K1859" s="97">
        <f>IFERROR(J1859/(I1859/VLOOKUP(A1859,'Tabela de Produtos'!A:H,8,0)),"Matéria Prima Não Cadastrada")</f>
        <v>0.50816696914700543</v>
      </c>
      <c r="L1859" s="216">
        <v>45939</v>
      </c>
    </row>
    <row r="1860" spans="1:12" ht="15" customHeight="1">
      <c r="A1860" s="48" t="s">
        <v>348</v>
      </c>
      <c r="B1860" s="114" t="str">
        <f>VLOOKUP(A1860,'Tabela de Produtos'!A:B,2,0)</f>
        <v>BRAZIMIL TINTA PISO PREMIUM  INT/EXT FOSCO 15L CINZA MEDIO</v>
      </c>
      <c r="C1860" s="48" t="s">
        <v>1279</v>
      </c>
      <c r="D1860" s="114" t="str">
        <f>VLOOKUP(C1860,'Custos Matéria Prima Embalagens'!B:C,2,0)</f>
        <v>CARBONATO #200</v>
      </c>
      <c r="E1860" s="48" t="s">
        <v>1280</v>
      </c>
      <c r="F1860" s="270">
        <f t="shared" si="244"/>
        <v>2099.4</v>
      </c>
      <c r="G1860" s="148">
        <f t="shared" si="245"/>
        <v>7.1448985424406974E-2</v>
      </c>
      <c r="H1860" s="96">
        <v>150</v>
      </c>
      <c r="I1860" s="272">
        <f>ROUND(F1860/VLOOKUP(A1860,'Tabela de Produtos'!A:J,10,0),0)</f>
        <v>1653</v>
      </c>
      <c r="J1860" s="97">
        <f>IFERROR(VLOOKUP(C1860,'Custos Matéria Prima Embalagens'!B:G,6,0)*H1860,"Matéria Prima Não Cadastrada")</f>
        <v>46.5</v>
      </c>
      <c r="K1860" s="97">
        <f>IFERROR(J1860/(I1860/VLOOKUP(A1860,'Tabela de Produtos'!A:H,8,0)),"Matéria Prima Não Cadastrada")</f>
        <v>0.42196007259528129</v>
      </c>
      <c r="L1860" s="216">
        <v>45939</v>
      </c>
    </row>
    <row r="1861" spans="1:12" ht="15" customHeight="1">
      <c r="A1861" s="48" t="s">
        <v>348</v>
      </c>
      <c r="B1861" s="114" t="str">
        <f>VLOOKUP(A1861,'Tabela de Produtos'!A:B,2,0)</f>
        <v>BRAZIMIL TINTA PISO PREMIUM  INT/EXT FOSCO 15L CINZA MEDIO</v>
      </c>
      <c r="C1861" s="48" t="s">
        <v>1213</v>
      </c>
      <c r="D1861" s="114" t="str">
        <f>VLOOKUP(C1861,'Custos Matéria Prima Embalagens'!B:C,2,0)</f>
        <v>DIOXIDO DE TITANIO RUTILO R-996</v>
      </c>
      <c r="E1861" s="48" t="s">
        <v>1214</v>
      </c>
      <c r="F1861" s="270">
        <f t="shared" si="244"/>
        <v>2099.4</v>
      </c>
      <c r="G1861" s="148">
        <f t="shared" si="245"/>
        <v>7.1448985424406974E-2</v>
      </c>
      <c r="H1861" s="96">
        <v>150</v>
      </c>
      <c r="I1861" s="272">
        <f>ROUND(F1861/VLOOKUP(A1861,'Tabela de Produtos'!A:J,10,0),0)</f>
        <v>1653</v>
      </c>
      <c r="J1861" s="97">
        <f>IFERROR(VLOOKUP(C1861,'Custos Matéria Prima Embalagens'!B:G,6,0)*H1861,"Matéria Prima Não Cadastrada")</f>
        <v>2895</v>
      </c>
      <c r="K1861" s="97">
        <f>IFERROR(J1861/(I1861/VLOOKUP(A1861,'Tabela de Produtos'!A:H,8,0)),"Matéria Prima Não Cadastrada")</f>
        <v>26.270417422867514</v>
      </c>
      <c r="L1861" s="216">
        <v>45939</v>
      </c>
    </row>
    <row r="1862" spans="1:12" ht="15" customHeight="1">
      <c r="A1862" s="48" t="s">
        <v>348</v>
      </c>
      <c r="B1862" s="114" t="str">
        <f>VLOOKUP(A1862,'Tabela de Produtos'!A:B,2,0)</f>
        <v>BRAZIMIL TINTA PISO PREMIUM  INT/EXT FOSCO 15L CINZA MEDIO</v>
      </c>
      <c r="C1862" s="48" t="s">
        <v>1211</v>
      </c>
      <c r="D1862" s="114" t="str">
        <f>VLOOKUP(C1862,'Custos Matéria Prima Embalagens'!B:C,2,0)</f>
        <v>WHITE PLUS PB (SC-25) (Em negociação)</v>
      </c>
      <c r="E1862" s="48" t="s">
        <v>1212</v>
      </c>
      <c r="F1862" s="270">
        <f t="shared" si="244"/>
        <v>2099.4</v>
      </c>
      <c r="G1862" s="148">
        <f t="shared" si="245"/>
        <v>0.14289797084881395</v>
      </c>
      <c r="H1862" s="96">
        <v>300</v>
      </c>
      <c r="I1862" s="272">
        <f>ROUND(F1862/VLOOKUP(A1862,'Tabela de Produtos'!A:J,10,0),0)</f>
        <v>1653</v>
      </c>
      <c r="J1862" s="97">
        <f>IFERROR(VLOOKUP(C1862,'Custos Matéria Prima Embalagens'!B:G,6,0)*H1862,"Matéria Prima Não Cadastrada")</f>
        <v>927</v>
      </c>
      <c r="K1862" s="97">
        <f>IFERROR(J1862/(I1862/VLOOKUP(A1862,'Tabela de Produtos'!A:H,8,0)),"Matéria Prima Não Cadastrada")</f>
        <v>8.4119782214156071</v>
      </c>
      <c r="L1862" s="216">
        <v>45939</v>
      </c>
    </row>
    <row r="1863" spans="1:12" ht="15" customHeight="1">
      <c r="A1863" s="48" t="s">
        <v>348</v>
      </c>
      <c r="B1863" s="114" t="str">
        <f>VLOOKUP(A1863,'Tabela de Produtos'!A:B,2,0)</f>
        <v>BRAZIMIL TINTA PISO PREMIUM  INT/EXT FOSCO 15L CINZA MEDIO</v>
      </c>
      <c r="C1863" s="48" t="s">
        <v>1227</v>
      </c>
      <c r="D1863" s="114" t="str">
        <f>VLOOKUP(C1863,'Custos Matéria Prima Embalagens'!B:C,2,0)</f>
        <v>CAULIM MALHA 325</v>
      </c>
      <c r="E1863" s="48" t="s">
        <v>1228</v>
      </c>
      <c r="F1863" s="270">
        <f t="shared" si="244"/>
        <v>2099.4</v>
      </c>
      <c r="G1863" s="148">
        <f t="shared" si="245"/>
        <v>4.7632656949604647E-2</v>
      </c>
      <c r="H1863" s="96">
        <v>100</v>
      </c>
      <c r="I1863" s="272">
        <f>ROUND(F1863/VLOOKUP(A1863,'Tabela de Produtos'!A:J,10,0),0)</f>
        <v>1653</v>
      </c>
      <c r="J1863" s="97">
        <f>IFERROR(VLOOKUP(C1863,'Custos Matéria Prima Embalagens'!B:G,6,0)*H1863,"Matéria Prima Não Cadastrada")</f>
        <v>152.04955555555551</v>
      </c>
      <c r="K1863" s="97">
        <f>IFERROR(J1863/(I1863/VLOOKUP(A1863,'Tabela de Produtos'!A:H,8,0)),"Matéria Prima Não Cadastrada")</f>
        <v>1.3797600322645691</v>
      </c>
      <c r="L1863" s="216">
        <v>45939</v>
      </c>
    </row>
    <row r="1864" spans="1:12" ht="15" customHeight="1">
      <c r="A1864" s="48" t="s">
        <v>348</v>
      </c>
      <c r="B1864" s="114" t="str">
        <f>VLOOKUP(A1864,'Tabela de Produtos'!A:B,2,0)</f>
        <v>BRAZIMIL TINTA PISO PREMIUM  INT/EXT FOSCO 15L CINZA MEDIO</v>
      </c>
      <c r="C1864" s="48" t="s">
        <v>1217</v>
      </c>
      <c r="D1864" s="114" t="str">
        <f>VLOOKUP(C1864,'Custos Matéria Prima Embalagens'!B:C,2,0)</f>
        <v>WANCRIL W 51 CE (CT-1000P)</v>
      </c>
      <c r="E1864" s="48" t="s">
        <v>1218</v>
      </c>
      <c r="F1864" s="270">
        <f t="shared" si="244"/>
        <v>2099.4</v>
      </c>
      <c r="G1864" s="148">
        <f t="shared" si="245"/>
        <v>0.2857959416976279</v>
      </c>
      <c r="H1864" s="96">
        <v>600</v>
      </c>
      <c r="I1864" s="272">
        <f>ROUND(F1864/VLOOKUP(A1864,'Tabela de Produtos'!A:J,10,0),0)</f>
        <v>1653</v>
      </c>
      <c r="J1864" s="97">
        <f>IFERROR(VLOOKUP(C1864,'Custos Matéria Prima Embalagens'!B:G,6,0)*H1864,"Matéria Prima Não Cadastrada")</f>
        <v>5058</v>
      </c>
      <c r="K1864" s="97">
        <f>IFERROR(J1864/(I1864/VLOOKUP(A1864,'Tabela de Produtos'!A:H,8,0)),"Matéria Prima Não Cadastrada")</f>
        <v>45.898366606170597</v>
      </c>
      <c r="L1864" s="216">
        <v>45939</v>
      </c>
    </row>
    <row r="1865" spans="1:12" ht="15" customHeight="1">
      <c r="A1865" s="48" t="s">
        <v>348</v>
      </c>
      <c r="B1865" s="114" t="str">
        <f>VLOOKUP(A1865,'Tabela de Produtos'!A:B,2,0)</f>
        <v>BRAZIMIL TINTA PISO PREMIUM  INT/EXT FOSCO 15L CINZA MEDIO</v>
      </c>
      <c r="C1865" s="48" t="s">
        <v>1261</v>
      </c>
      <c r="D1865" s="114" t="str">
        <f>VLOOKUP(C1865,'Custos Matéria Prima Embalagens'!B:C,2,0)</f>
        <v>WANCOAT PA70 (BR-45)</v>
      </c>
      <c r="E1865" s="48" t="s">
        <v>1262</v>
      </c>
      <c r="F1865" s="270">
        <f t="shared" si="244"/>
        <v>2099.4</v>
      </c>
      <c r="G1865" s="148">
        <f t="shared" si="245"/>
        <v>2.3816328474802324E-2</v>
      </c>
      <c r="H1865" s="96">
        <v>50</v>
      </c>
      <c r="I1865" s="272">
        <f>ROUND(F1865/VLOOKUP(A1865,'Tabela de Produtos'!A:J,10,0),0)</f>
        <v>1653</v>
      </c>
      <c r="J1865" s="97">
        <f>IFERROR(VLOOKUP(C1865,'Custos Matéria Prima Embalagens'!B:G,6,0)*H1865,"Matéria Prima Não Cadastrada")</f>
        <v>1571.571160169095</v>
      </c>
      <c r="K1865" s="97">
        <f>IFERROR(J1865/(I1865/VLOOKUP(A1865,'Tabela de Produtos'!A:H,8,0)),"Matéria Prima Não Cadastrada")</f>
        <v>14.261081308249501</v>
      </c>
      <c r="L1865" s="216">
        <v>45939</v>
      </c>
    </row>
    <row r="1866" spans="1:12" ht="15" customHeight="1">
      <c r="A1866" s="48" t="s">
        <v>348</v>
      </c>
      <c r="B1866" s="114" t="str">
        <f>VLOOKUP(A1866,'Tabela de Produtos'!A:B,2,0)</f>
        <v>BRAZIMIL TINTA PISO PREMIUM  INT/EXT FOSCO 15L CINZA MEDIO</v>
      </c>
      <c r="C1866" s="48" t="s">
        <v>1229</v>
      </c>
      <c r="D1866" s="114" t="str">
        <f>VLOOKUP(C1866,'Custos Matéria Prima Embalagens'!B:C,2,0)</f>
        <v>WANSOL 340 CE (BB-200)</v>
      </c>
      <c r="E1866" s="48" t="s">
        <v>1230</v>
      </c>
      <c r="F1866" s="270">
        <f t="shared" si="244"/>
        <v>2099.4</v>
      </c>
      <c r="G1866" s="148">
        <f t="shared" si="245"/>
        <v>9.5265313899209302E-3</v>
      </c>
      <c r="H1866" s="96">
        <v>20</v>
      </c>
      <c r="I1866" s="272">
        <f>ROUND(F1866/VLOOKUP(A1866,'Tabela de Produtos'!A:J,10,0),0)</f>
        <v>1653</v>
      </c>
      <c r="J1866" s="97">
        <f>IFERROR(VLOOKUP(C1866,'Custos Matéria Prima Embalagens'!B:G,6,0)*H1866,"Matéria Prima Não Cadastrada")</f>
        <v>384.4</v>
      </c>
      <c r="K1866" s="97">
        <f>IFERROR(J1866/(I1866/VLOOKUP(A1866,'Tabela de Produtos'!A:H,8,0)),"Matéria Prima Não Cadastrada")</f>
        <v>3.4882032667876586</v>
      </c>
      <c r="L1866" s="216">
        <v>45939</v>
      </c>
    </row>
    <row r="1867" spans="1:12" ht="15" customHeight="1">
      <c r="A1867" s="48" t="s">
        <v>348</v>
      </c>
      <c r="B1867" s="114" t="str">
        <f>VLOOKUP(A1867,'Tabela de Produtos'!A:B,2,0)</f>
        <v>BRAZIMIL TINTA PISO PREMIUM  INT/EXT FOSCO 15L CINZA MEDIO</v>
      </c>
      <c r="C1867" s="48" t="s">
        <v>1219</v>
      </c>
      <c r="D1867" s="114" t="str">
        <f>VLOOKUP(C1867,'Custos Matéria Prima Embalagens'!B:C,2,0)</f>
        <v>WANALK 70 CE (BH-200)</v>
      </c>
      <c r="E1867" s="48" t="s">
        <v>1220</v>
      </c>
      <c r="F1867" s="270">
        <f t="shared" si="244"/>
        <v>2099.4</v>
      </c>
      <c r="G1867" s="148">
        <f t="shared" si="245"/>
        <v>3.8106125559683717E-3</v>
      </c>
      <c r="H1867" s="96">
        <v>8</v>
      </c>
      <c r="I1867" s="272">
        <f>ROUND(F1867/VLOOKUP(A1867,'Tabela de Produtos'!A:J,10,0),0)</f>
        <v>1653</v>
      </c>
      <c r="J1867" s="97">
        <f>IFERROR(VLOOKUP(C1867,'Custos Matéria Prima Embalagens'!B:G,6,0)*H1867,"Matéria Prima Não Cadastrada")</f>
        <v>39.840000000000003</v>
      </c>
      <c r="K1867" s="97">
        <f>IFERROR(J1867/(I1867/VLOOKUP(A1867,'Tabela de Produtos'!A:H,8,0)),"Matéria Prima Não Cadastrada")</f>
        <v>0.36152450090744104</v>
      </c>
      <c r="L1867" s="216">
        <v>45939</v>
      </c>
    </row>
    <row r="1868" spans="1:12" ht="15" customHeight="1">
      <c r="A1868" s="48" t="s">
        <v>348</v>
      </c>
      <c r="B1868" s="114" t="str">
        <f>VLOOKUP(A1868,'Tabela de Produtos'!A:B,2,0)</f>
        <v>BRAZIMIL TINTA PISO PREMIUM  INT/EXT FOSCO 15L CINZA MEDIO</v>
      </c>
      <c r="C1868" s="48" t="s">
        <v>1221</v>
      </c>
      <c r="D1868" s="114" t="str">
        <f>VLOOKUP(C1868,'Custos Matéria Prima Embalagens'!B:C,2,0)</f>
        <v>MODIWAN 105H CE (CT-1000P)</v>
      </c>
      <c r="E1868" s="48" t="s">
        <v>1222</v>
      </c>
      <c r="F1868" s="270">
        <f t="shared" si="244"/>
        <v>2099.4</v>
      </c>
      <c r="G1868" s="148">
        <f t="shared" si="245"/>
        <v>9.5265313899209302E-3</v>
      </c>
      <c r="H1868" s="96">
        <v>20</v>
      </c>
      <c r="I1868" s="272">
        <f>ROUND(F1868/VLOOKUP(A1868,'Tabela de Produtos'!A:J,10,0),0)</f>
        <v>1653</v>
      </c>
      <c r="J1868" s="97">
        <f>IFERROR(VLOOKUP(C1868,'Custos Matéria Prima Embalagens'!B:G,6,0)*H1868,"Matéria Prima Não Cadastrada")</f>
        <v>158.1</v>
      </c>
      <c r="K1868" s="97">
        <f>IFERROR(J1868/(I1868/VLOOKUP(A1868,'Tabela de Produtos'!A:H,8,0)),"Matéria Prima Não Cadastrada")</f>
        <v>1.4346642468239563</v>
      </c>
      <c r="L1868" s="216">
        <v>45939</v>
      </c>
    </row>
    <row r="1869" spans="1:12" ht="15" customHeight="1">
      <c r="A1869" s="48" t="s">
        <v>348</v>
      </c>
      <c r="B1869" s="114" t="str">
        <f>VLOOKUP(A1869,'Tabela de Produtos'!A:B,2,0)</f>
        <v>BRAZIMIL TINTA PISO PREMIUM  INT/EXT FOSCO 15L CINZA MEDIO</v>
      </c>
      <c r="C1869" s="48" t="s">
        <v>1231</v>
      </c>
      <c r="D1869" s="114" t="str">
        <f>VLOOKUP(C1869,'Custos Matéria Prima Embalagens'!B:C,2,0)</f>
        <v>PRETO SPECTRAPRINT SFF</v>
      </c>
      <c r="E1869" s="114" t="str">
        <f>VLOOKUP(C1869,'Custos Matéria Prima Embalagens'!B:D,3,0)</f>
        <v>PRETO SPECTRAPRINT SFF</v>
      </c>
      <c r="F1869" s="270">
        <f t="shared" si="244"/>
        <v>2099.4</v>
      </c>
      <c r="G1869" s="148">
        <f t="shared" si="245"/>
        <v>1.9053062779841859E-3</v>
      </c>
      <c r="H1869" s="96">
        <v>4</v>
      </c>
      <c r="I1869" s="272">
        <f>ROUND(F1869/VLOOKUP(A1869,'Tabela de Produtos'!A:J,10,0),0)</f>
        <v>1653</v>
      </c>
      <c r="J1869" s="97">
        <f>IFERROR(VLOOKUP(C1869,'Custos Matéria Prima Embalagens'!B:G,6,0)*H1869,"Matéria Prima Não Cadastrada")</f>
        <v>60.8</v>
      </c>
      <c r="K1869" s="97">
        <f>IFERROR(J1869/(I1869/VLOOKUP(A1869,'Tabela de Produtos'!A:H,8,0)),"Matéria Prima Não Cadastrada")</f>
        <v>0.55172413793103448</v>
      </c>
      <c r="L1869" s="216">
        <v>45939</v>
      </c>
    </row>
    <row r="1870" spans="1:12" ht="15" customHeight="1">
      <c r="A1870" s="48" t="s">
        <v>348</v>
      </c>
      <c r="B1870" s="114" t="str">
        <f>VLOOKUP(A1870,'Tabela de Produtos'!A:B,2,0)</f>
        <v>BRAZIMIL TINTA PISO PREMIUM  INT/EXT FOSCO 15L CINZA MEDIO</v>
      </c>
      <c r="C1870" s="48" t="s">
        <v>1233</v>
      </c>
      <c r="D1870" s="114" t="str">
        <f>VLOOKUP(C1870,'Custos Matéria Prima Embalagens'!B:C,2,0)</f>
        <v>PRETO SPECTRA PR</v>
      </c>
      <c r="E1870" s="114" t="str">
        <f>VLOOKUP(C1870,'Custos Matéria Prima Embalagens'!B:D,3,0)</f>
        <v>PRETO SPECTRA PR</v>
      </c>
      <c r="F1870" s="270">
        <f t="shared" si="244"/>
        <v>2099.4</v>
      </c>
      <c r="G1870" s="148">
        <f t="shared" si="245"/>
        <v>1.9053062779841859E-4</v>
      </c>
      <c r="H1870" s="96">
        <v>0.4</v>
      </c>
      <c r="I1870" s="272">
        <f>ROUND(F1870/VLOOKUP(A1870,'Tabela de Produtos'!A:J,10,0),0)</f>
        <v>1653</v>
      </c>
      <c r="J1870" s="97">
        <f>IFERROR(VLOOKUP(C1870,'Custos Matéria Prima Embalagens'!B:G,6,0)*H1870,"Matéria Prima Não Cadastrada")</f>
        <v>12.772</v>
      </c>
      <c r="K1870" s="97">
        <f>IFERROR(J1870/(I1870/VLOOKUP(A1870,'Tabela de Produtos'!A:H,8,0)),"Matéria Prima Não Cadastrada")</f>
        <v>0.1158983666061706</v>
      </c>
      <c r="L1870" s="216">
        <v>45939</v>
      </c>
    </row>
    <row r="1871" spans="1:12" ht="15" customHeight="1">
      <c r="F1871" s="272"/>
      <c r="G1871" s="148"/>
      <c r="H1871" s="96"/>
      <c r="I1871" s="272"/>
      <c r="J1871" s="97"/>
      <c r="K1871" s="97"/>
      <c r="L1871" s="216">
        <v>45939</v>
      </c>
    </row>
    <row r="1872" spans="1:12" ht="15" customHeight="1">
      <c r="A1872" s="48" t="s">
        <v>421</v>
      </c>
      <c r="B1872" s="114" t="str">
        <f>VLOOKUP(A1872,'Tabela de Produtos'!A:B,2,0)</f>
        <v>BRAZIMIL ESMALTE SINTETICO BRILHANTE MADEIRAS E METAIS 0,75L BRANCO</v>
      </c>
      <c r="C1872" s="48" t="s">
        <v>1283</v>
      </c>
      <c r="D1872" s="114" t="str">
        <f>VLOOKUP(C1872,'Custos Matéria Prima Embalagens'!B:C,2,0)</f>
        <v>RESINA ALQUIDICA 170</v>
      </c>
      <c r="E1872" s="114" t="str">
        <f>VLOOKUP(C1872,'Custos Matéria Prima Embalagens'!B:D,3,0)</f>
        <v>RESINA MÉDIA</v>
      </c>
      <c r="F1872" s="270">
        <f t="shared" ref="F1872:F1879" si="246">SUMIFS(H:H,A:A,A1872)</f>
        <v>200</v>
      </c>
      <c r="G1872" s="148">
        <f t="shared" ref="G1872:G1879" si="247">H1872/F1872</f>
        <v>0.2</v>
      </c>
      <c r="H1872" s="96">
        <v>40</v>
      </c>
      <c r="I1872" s="272">
        <f>ROUND(F1872/VLOOKUP(A1872,'Tabela de Produtos'!A:J,10,0),0)</f>
        <v>157</v>
      </c>
      <c r="J1872" s="97">
        <f>IFERROR(VLOOKUP(C1872,'Custos Matéria Prima Embalagens'!B:G,6,0)*H1872,"Matéria Prima Não Cadastrada")</f>
        <v>498.8</v>
      </c>
      <c r="K1872" s="97">
        <f>IFERROR(J1872/(I1872/VLOOKUP(A1872,'Tabela de Produtos'!A:H,8,0)),"Matéria Prima Não Cadastrada")</f>
        <v>2.3828025477707007</v>
      </c>
      <c r="L1872" s="216">
        <v>45939</v>
      </c>
    </row>
    <row r="1873" spans="1:12" ht="15" customHeight="1">
      <c r="A1873" s="48" t="s">
        <v>421</v>
      </c>
      <c r="B1873" s="114" t="str">
        <f>VLOOKUP(A1873,'Tabela de Produtos'!A:B,2,0)</f>
        <v>BRAZIMIL ESMALTE SINTETICO BRILHANTE MADEIRAS E METAIS 0,75L BRANCO</v>
      </c>
      <c r="C1873" s="48" t="s">
        <v>1285</v>
      </c>
      <c r="D1873" s="114" t="str">
        <f>VLOOKUP(C1873,'Custos Matéria Prima Embalagens'!B:C,2,0)</f>
        <v>RESINA ALQUIDICA 970</v>
      </c>
      <c r="E1873" s="114" t="str">
        <f>VLOOKUP(C1873,'Custos Matéria Prima Embalagens'!B:D,3,0)</f>
        <v>RESINA FENOLADA</v>
      </c>
      <c r="F1873" s="270">
        <f t="shared" si="246"/>
        <v>200</v>
      </c>
      <c r="G1873" s="148">
        <f t="shared" si="247"/>
        <v>0.1</v>
      </c>
      <c r="H1873" s="96">
        <v>20</v>
      </c>
      <c r="I1873" s="272">
        <f>ROUND(F1873/VLOOKUP(A1873,'Tabela de Produtos'!A:J,10,0),0)</f>
        <v>157</v>
      </c>
      <c r="J1873" s="97">
        <f>IFERROR(VLOOKUP(C1873,'Custos Matéria Prima Embalagens'!B:G,6,0)*H1873,"Matéria Prima Não Cadastrada")</f>
        <v>293.60000000000002</v>
      </c>
      <c r="K1873" s="97">
        <f>IFERROR(J1873/(I1873/VLOOKUP(A1873,'Tabela de Produtos'!A:H,8,0)),"Matéria Prima Não Cadastrada")</f>
        <v>1.4025477707006371</v>
      </c>
      <c r="L1873" s="216">
        <v>45939</v>
      </c>
    </row>
    <row r="1874" spans="1:12" ht="15" customHeight="1">
      <c r="A1874" s="48" t="s">
        <v>421</v>
      </c>
      <c r="B1874" s="114" t="str">
        <f>VLOOKUP(A1874,'Tabela de Produtos'!A:B,2,0)</f>
        <v>BRAZIMIL ESMALTE SINTETICO BRILHANTE MADEIRAS E METAIS 0,75L BRANCO</v>
      </c>
      <c r="C1874" s="48" t="s">
        <v>1287</v>
      </c>
      <c r="D1874" s="114" t="str">
        <f>VLOOKUP(C1874,'Custos Matéria Prima Embalagens'!B:C,2,0)</f>
        <v>(**) BAN RAS TBN200L</v>
      </c>
      <c r="E1874" s="114" t="str">
        <f>VLOOKUP(C1874,'Custos Matéria Prima Embalagens'!B:D,3,0)</f>
        <v>AGUARRAS</v>
      </c>
      <c r="F1874" s="270">
        <f t="shared" si="246"/>
        <v>200</v>
      </c>
      <c r="G1874" s="148">
        <f t="shared" si="247"/>
        <v>0.1</v>
      </c>
      <c r="H1874" s="96">
        <v>20</v>
      </c>
      <c r="I1874" s="272">
        <f>ROUND(F1874/VLOOKUP(A1874,'Tabela de Produtos'!A:J,10,0),0)</f>
        <v>157</v>
      </c>
      <c r="J1874" s="97">
        <f>IFERROR(VLOOKUP(C1874,'Custos Matéria Prima Embalagens'!B:G,6,0)*H1874,"Matéria Prima Não Cadastrada")</f>
        <v>170.27824938515462</v>
      </c>
      <c r="K1874" s="97">
        <f>IFERROR(J1874/(I1874/VLOOKUP(A1874,'Tabela de Produtos'!A:H,8,0)),"Matéria Prima Não Cadastrada")</f>
        <v>0.81343112763608894</v>
      </c>
      <c r="L1874" s="216">
        <v>45939</v>
      </c>
    </row>
    <row r="1875" spans="1:12" ht="15" customHeight="1">
      <c r="A1875" s="48" t="s">
        <v>421</v>
      </c>
      <c r="B1875" s="114" t="str">
        <f>VLOOKUP(A1875,'Tabela de Produtos'!A:B,2,0)</f>
        <v>BRAZIMIL ESMALTE SINTETICO BRILHANTE MADEIRAS E METAIS 0,75L BRANCO</v>
      </c>
      <c r="C1875" s="48" t="s">
        <v>1289</v>
      </c>
      <c r="D1875" s="114" t="str">
        <f>VLOOKUP(C1875,'Custos Matéria Prima Embalagens'!B:C,2,0)</f>
        <v>Disastab Gat (Bb 220 Kg)</v>
      </c>
      <c r="E1875" s="114" t="str">
        <f>VLOOKUP(C1875,'Custos Matéria Prima Embalagens'!B:D,3,0)</f>
        <v>DISASTAB</v>
      </c>
      <c r="F1875" s="270">
        <f t="shared" si="246"/>
        <v>200</v>
      </c>
      <c r="G1875" s="148">
        <f t="shared" si="247"/>
        <v>6.0000000000000001E-3</v>
      </c>
      <c r="H1875" s="96">
        <v>1.2</v>
      </c>
      <c r="I1875" s="272">
        <f>ROUND(F1875/VLOOKUP(A1875,'Tabela de Produtos'!A:J,10,0),0)</f>
        <v>157</v>
      </c>
      <c r="J1875" s="97">
        <f>IFERROR(VLOOKUP(C1875,'Custos Matéria Prima Embalagens'!B:G,6,0)*H1875,"Matéria Prima Não Cadastrada")</f>
        <v>13.096500109090908</v>
      </c>
      <c r="K1875" s="97">
        <f>IFERROR(J1875/(I1875/VLOOKUP(A1875,'Tabela de Produtos'!A:H,8,0)),"Matéria Prima Não Cadastrada")</f>
        <v>6.256289861030688E-2</v>
      </c>
      <c r="L1875" s="216">
        <v>45939</v>
      </c>
    </row>
    <row r="1876" spans="1:12" ht="15" customHeight="1">
      <c r="A1876" s="48" t="s">
        <v>421</v>
      </c>
      <c r="B1876" s="114" t="str">
        <f>VLOOKUP(A1876,'Tabela de Produtos'!A:B,2,0)</f>
        <v>BRAZIMIL ESMALTE SINTETICO BRILHANTE MADEIRAS E METAIS 0,75L BRANCO</v>
      </c>
      <c r="C1876" s="48" t="s">
        <v>1197</v>
      </c>
      <c r="D1876" s="114" t="str">
        <f>VLOOKUP(C1876,'Custos Matéria Prima Embalagens'!B:C,2,0)</f>
        <v>AGUA</v>
      </c>
      <c r="E1876" s="114" t="str">
        <f>VLOOKUP(C1876,'Custos Matéria Prima Embalagens'!B:D,3,0)</f>
        <v>AGUA</v>
      </c>
      <c r="F1876" s="270">
        <f t="shared" si="246"/>
        <v>200</v>
      </c>
      <c r="G1876" s="148">
        <f t="shared" si="247"/>
        <v>0.35499999999999998</v>
      </c>
      <c r="H1876" s="96">
        <v>71</v>
      </c>
      <c r="I1876" s="272">
        <f>ROUND(F1876/VLOOKUP(A1876,'Tabela de Produtos'!A:J,10,0),0)</f>
        <v>157</v>
      </c>
      <c r="J1876" s="97">
        <f>IFERROR(VLOOKUP(C1876,'Custos Matéria Prima Embalagens'!B:G,6,0)*H1876,"Matéria Prima Não Cadastrada")</f>
        <v>0</v>
      </c>
      <c r="K1876" s="97">
        <f>IFERROR(J1876/(I1876/VLOOKUP(A1876,'Tabela de Produtos'!A:H,8,0)),"Matéria Prima Não Cadastrada")</f>
        <v>0</v>
      </c>
      <c r="L1876" s="216">
        <v>45939</v>
      </c>
    </row>
    <row r="1877" spans="1:12" ht="15" customHeight="1">
      <c r="A1877" s="48" t="s">
        <v>421</v>
      </c>
      <c r="B1877" s="114" t="str">
        <f>VLOOKUP(A1877,'Tabela de Produtos'!A:B,2,0)</f>
        <v>BRAZIMIL ESMALTE SINTETICO BRILHANTE MADEIRAS E METAIS 0,75L BRANCO</v>
      </c>
      <c r="C1877" s="48" t="s">
        <v>1291</v>
      </c>
      <c r="D1877" s="114" t="str">
        <f>VLOOKUP(C1877,'Custos Matéria Prima Embalagens'!B:C,2,0)</f>
        <v>PASTA BRANCA ESMALTE</v>
      </c>
      <c r="E1877" s="114" t="str">
        <f>VLOOKUP(C1877,'Custos Matéria Prima Embalagens'!B:D,3,0)</f>
        <v>PASTA BRANCA ESMALTE</v>
      </c>
      <c r="F1877" s="270">
        <f t="shared" si="246"/>
        <v>200</v>
      </c>
      <c r="G1877" s="148">
        <f t="shared" si="247"/>
        <v>0.2</v>
      </c>
      <c r="H1877" s="96">
        <v>40</v>
      </c>
      <c r="I1877" s="272">
        <f>ROUND(F1877/VLOOKUP(A1877,'Tabela de Produtos'!A:J,10,0),0)</f>
        <v>157</v>
      </c>
      <c r="J1877" s="97">
        <f>IFERROR(VLOOKUP(C1877,'Custos Matéria Prima Embalagens'!B:G,6,0)*H1877,"Matéria Prima Não Cadastrada")</f>
        <v>647.6</v>
      </c>
      <c r="K1877" s="97">
        <f>IFERROR(J1877/(I1877/VLOOKUP(A1877,'Tabela de Produtos'!A:H,8,0)),"Matéria Prima Não Cadastrada")</f>
        <v>3.0936305732484075</v>
      </c>
      <c r="L1877" s="216">
        <v>45939</v>
      </c>
    </row>
    <row r="1878" spans="1:12" ht="15" customHeight="1">
      <c r="A1878" s="48" t="s">
        <v>421</v>
      </c>
      <c r="B1878" s="114" t="str">
        <f>VLOOKUP(A1878,'Tabela de Produtos'!A:B,2,0)</f>
        <v>BRAZIMIL ESMALTE SINTETICO BRILHANTE MADEIRAS E METAIS 0,75L BRANCO</v>
      </c>
      <c r="C1878" s="48" t="s">
        <v>1293</v>
      </c>
      <c r="D1878" s="114" t="str">
        <f>VLOOKUP(C1878,'Custos Matéria Prima Embalagens'!B:C,2,0)</f>
        <v>LIOPLEX COMBO 4455</v>
      </c>
      <c r="E1878" s="114" t="str">
        <f>VLOOKUP(C1878,'Custos Matéria Prima Embalagens'!B:D,3,0)</f>
        <v>SOLUÇÃO SECANTE</v>
      </c>
      <c r="F1878" s="270">
        <f t="shared" si="246"/>
        <v>200</v>
      </c>
      <c r="G1878" s="148">
        <f t="shared" si="247"/>
        <v>3.5000000000000003E-2</v>
      </c>
      <c r="H1878" s="96">
        <v>7</v>
      </c>
      <c r="I1878" s="272">
        <f>ROUND(F1878/VLOOKUP(A1878,'Tabela de Produtos'!A:J,10,0),0)</f>
        <v>157</v>
      </c>
      <c r="J1878" s="97">
        <f>IFERROR(VLOOKUP(C1878,'Custos Matéria Prima Embalagens'!B:G,6,0)*H1878,"Matéria Prima Não Cadastrada")</f>
        <v>183.6362476057445</v>
      </c>
      <c r="K1878" s="97">
        <f>IFERROR(J1878/(I1878/VLOOKUP(A1878,'Tabela de Produtos'!A:H,8,0)),"Matéria Prima Não Cadastrada")</f>
        <v>0.87724322104655017</v>
      </c>
      <c r="L1878" s="216">
        <v>45939</v>
      </c>
    </row>
    <row r="1879" spans="1:12" ht="15" customHeight="1">
      <c r="A1879" s="48" t="s">
        <v>421</v>
      </c>
      <c r="B1879" s="114" t="str">
        <f>VLOOKUP(A1879,'Tabela de Produtos'!A:B,2,0)</f>
        <v>BRAZIMIL ESMALTE SINTETICO BRILHANTE MADEIRAS E METAIS 0,75L BRANCO</v>
      </c>
      <c r="C1879" s="48" t="s">
        <v>1295</v>
      </c>
      <c r="D1879" s="114" t="str">
        <f>VLOOKUP(C1879,'Custos Matéria Prima Embalagens'!B:C,2,0)</f>
        <v>SCINEX</v>
      </c>
      <c r="E1879" s="114" t="str">
        <f>VLOOKUP(C1879,'Custos Matéria Prima Embalagens'!B:D,3,0)</f>
        <v>ANTIPELE</v>
      </c>
      <c r="F1879" s="270">
        <f t="shared" si="246"/>
        <v>200</v>
      </c>
      <c r="G1879" s="148">
        <f t="shared" si="247"/>
        <v>4.0000000000000001E-3</v>
      </c>
      <c r="H1879" s="96">
        <v>0.8</v>
      </c>
      <c r="I1879" s="272">
        <f>ROUND(F1879/VLOOKUP(A1879,'Tabela de Produtos'!A:J,10,0),0)</f>
        <v>157</v>
      </c>
      <c r="J1879" s="97">
        <f>IFERROR(VLOOKUP(C1879,'Custos Matéria Prima Embalagens'!B:G,6,0)*H1879,"Matéria Prima Não Cadastrada")</f>
        <v>16.868294126370724</v>
      </c>
      <c r="K1879" s="97">
        <f>IFERROR(J1879/(I1879/VLOOKUP(A1879,'Tabela de Produtos'!A:H,8,0)),"Matéria Prima Não Cadastrada")</f>
        <v>8.0581022896675431E-2</v>
      </c>
      <c r="L1879" s="216">
        <v>45939</v>
      </c>
    </row>
    <row r="1880" spans="1:12" ht="15" customHeight="1">
      <c r="F1880" s="272"/>
      <c r="G1880" s="148"/>
      <c r="H1880" s="96"/>
      <c r="I1880" s="272"/>
      <c r="J1880" s="97"/>
      <c r="K1880" s="97"/>
      <c r="L1880" s="216">
        <v>45939</v>
      </c>
    </row>
    <row r="1881" spans="1:12" ht="15" customHeight="1">
      <c r="A1881" s="48" t="s">
        <v>425</v>
      </c>
      <c r="B1881" s="114" t="str">
        <f>VLOOKUP(A1881,'Tabela de Produtos'!A:B,2,0)</f>
        <v>BRAZIMIL ESMALTE SINTETICO BRILHANTE MADEIRAS E METAIS 0,75L PRETO</v>
      </c>
      <c r="C1881" s="48" t="s">
        <v>1283</v>
      </c>
      <c r="D1881" s="114" t="str">
        <f>VLOOKUP(C1881,'Custos Matéria Prima Embalagens'!B:C,2,0)</f>
        <v>RESINA ALQUIDICA 170</v>
      </c>
      <c r="E1881" s="114" t="str">
        <f>VLOOKUP(C1881,'Custos Matéria Prima Embalagens'!B:D,3,0)</f>
        <v>RESINA MÉDIA</v>
      </c>
      <c r="F1881" s="270">
        <f t="shared" ref="F1881:F1888" si="248">SUMIFS(H:H,A:A,A1881)</f>
        <v>155</v>
      </c>
      <c r="G1881" s="148">
        <f t="shared" ref="G1881:G1888" si="249">H1881/F1881</f>
        <v>0.19354838709677419</v>
      </c>
      <c r="H1881" s="96">
        <v>30</v>
      </c>
      <c r="I1881" s="272">
        <f>ROUND(F1881/VLOOKUP(A1881,'Tabela de Produtos'!A:J,10,0),0)</f>
        <v>122</v>
      </c>
      <c r="J1881" s="97">
        <f>IFERROR(VLOOKUP(C1881,'Custos Matéria Prima Embalagens'!B:G,6,0)*H1881,"Matéria Prima Não Cadastrada")</f>
        <v>374.1</v>
      </c>
      <c r="K1881" s="97">
        <f>IFERROR(J1881/(I1881/VLOOKUP(A1881,'Tabela de Produtos'!A:H,8,0)),"Matéria Prima Não Cadastrada")</f>
        <v>2.2997950819672135</v>
      </c>
      <c r="L1881" s="216">
        <v>45939</v>
      </c>
    </row>
    <row r="1882" spans="1:12" ht="15" customHeight="1">
      <c r="A1882" s="48" t="s">
        <v>425</v>
      </c>
      <c r="B1882" s="114" t="str">
        <f>VLOOKUP(A1882,'Tabela de Produtos'!A:B,2,0)</f>
        <v>BRAZIMIL ESMALTE SINTETICO BRILHANTE MADEIRAS E METAIS 0,75L PRETO</v>
      </c>
      <c r="C1882" s="48" t="s">
        <v>1285</v>
      </c>
      <c r="D1882" s="114" t="str">
        <f>VLOOKUP(C1882,'Custos Matéria Prima Embalagens'!B:C,2,0)</f>
        <v>RESINA ALQUIDICA 970</v>
      </c>
      <c r="E1882" s="114" t="str">
        <f>VLOOKUP(C1882,'Custos Matéria Prima Embalagens'!B:D,3,0)</f>
        <v>RESINA FENOLADA</v>
      </c>
      <c r="F1882" s="270">
        <f t="shared" si="248"/>
        <v>155</v>
      </c>
      <c r="G1882" s="148">
        <f t="shared" si="249"/>
        <v>0.12903225806451613</v>
      </c>
      <c r="H1882" s="96">
        <v>20</v>
      </c>
      <c r="I1882" s="272">
        <f>ROUND(F1882/VLOOKUP(A1882,'Tabela de Produtos'!A:J,10,0),0)</f>
        <v>122</v>
      </c>
      <c r="J1882" s="97">
        <f>IFERROR(VLOOKUP(C1882,'Custos Matéria Prima Embalagens'!B:G,6,0)*H1882,"Matéria Prima Não Cadastrada")</f>
        <v>293.60000000000002</v>
      </c>
      <c r="K1882" s="97">
        <f>IFERROR(J1882/(I1882/VLOOKUP(A1882,'Tabela de Produtos'!A:H,8,0)),"Matéria Prima Não Cadastrada")</f>
        <v>1.8049180327868855</v>
      </c>
      <c r="L1882" s="216">
        <v>45939</v>
      </c>
    </row>
    <row r="1883" spans="1:12" ht="15" customHeight="1">
      <c r="A1883" s="48" t="s">
        <v>425</v>
      </c>
      <c r="B1883" s="114" t="str">
        <f>VLOOKUP(A1883,'Tabela de Produtos'!A:B,2,0)</f>
        <v>BRAZIMIL ESMALTE SINTETICO BRILHANTE MADEIRAS E METAIS 0,75L PRETO</v>
      </c>
      <c r="C1883" s="48" t="s">
        <v>1287</v>
      </c>
      <c r="D1883" s="114" t="str">
        <f>VLOOKUP(C1883,'Custos Matéria Prima Embalagens'!B:C,2,0)</f>
        <v>(**) BAN RAS TBN200L</v>
      </c>
      <c r="E1883" s="114" t="str">
        <f>VLOOKUP(C1883,'Custos Matéria Prima Embalagens'!B:D,3,0)</f>
        <v>AGUARRAS</v>
      </c>
      <c r="F1883" s="270">
        <f t="shared" si="248"/>
        <v>155</v>
      </c>
      <c r="G1883" s="148">
        <f t="shared" si="249"/>
        <v>0.16129032258064516</v>
      </c>
      <c r="H1883" s="96">
        <v>25</v>
      </c>
      <c r="I1883" s="272">
        <f>ROUND(F1883/VLOOKUP(A1883,'Tabela de Produtos'!A:J,10,0),0)</f>
        <v>122</v>
      </c>
      <c r="J1883" s="97">
        <f>IFERROR(VLOOKUP(C1883,'Custos Matéria Prima Embalagens'!B:G,6,0)*H1883,"Matéria Prima Não Cadastrada")</f>
        <v>212.84781173144327</v>
      </c>
      <c r="K1883" s="97">
        <f>IFERROR(J1883/(I1883/VLOOKUP(A1883,'Tabela de Produtos'!A:H,8,0)),"Matéria Prima Não Cadastrada")</f>
        <v>1.3084906458900203</v>
      </c>
      <c r="L1883" s="216">
        <v>45939</v>
      </c>
    </row>
    <row r="1884" spans="1:12" ht="15" customHeight="1">
      <c r="A1884" s="48" t="s">
        <v>425</v>
      </c>
      <c r="B1884" s="114" t="str">
        <f>VLOOKUP(A1884,'Tabela de Produtos'!A:B,2,0)</f>
        <v>BRAZIMIL ESMALTE SINTETICO BRILHANTE MADEIRAS E METAIS 0,75L PRETO</v>
      </c>
      <c r="C1884" s="48" t="s">
        <v>1289</v>
      </c>
      <c r="D1884" s="114" t="str">
        <f>VLOOKUP(C1884,'Custos Matéria Prima Embalagens'!B:C,2,0)</f>
        <v>Disastab Gat (Bb 220 Kg)</v>
      </c>
      <c r="E1884" s="114" t="str">
        <f>VLOOKUP(C1884,'Custos Matéria Prima Embalagens'!B:D,3,0)</f>
        <v>DISASTAB</v>
      </c>
      <c r="F1884" s="270">
        <f t="shared" si="248"/>
        <v>155</v>
      </c>
      <c r="G1884" s="148">
        <f t="shared" si="249"/>
        <v>7.7419354838709677E-3</v>
      </c>
      <c r="H1884" s="96">
        <v>1.2</v>
      </c>
      <c r="I1884" s="272">
        <f>ROUND(F1884/VLOOKUP(A1884,'Tabela de Produtos'!A:J,10,0),0)</f>
        <v>122</v>
      </c>
      <c r="J1884" s="97">
        <f>IFERROR(VLOOKUP(C1884,'Custos Matéria Prima Embalagens'!B:G,6,0)*H1884,"Matéria Prima Não Cadastrada")</f>
        <v>13.096500109090908</v>
      </c>
      <c r="K1884" s="97">
        <f>IFERROR(J1884/(I1884/VLOOKUP(A1884,'Tabela de Produtos'!A:H,8,0)),"Matéria Prima Não Cadastrada")</f>
        <v>8.0511271162444109E-2</v>
      </c>
      <c r="L1884" s="216">
        <v>45939</v>
      </c>
    </row>
    <row r="1885" spans="1:12" ht="15" customHeight="1">
      <c r="A1885" s="48" t="s">
        <v>425</v>
      </c>
      <c r="B1885" s="114" t="str">
        <f>VLOOKUP(A1885,'Tabela de Produtos'!A:B,2,0)</f>
        <v>BRAZIMIL ESMALTE SINTETICO BRILHANTE MADEIRAS E METAIS 0,75L PRETO</v>
      </c>
      <c r="C1885" s="48" t="s">
        <v>1197</v>
      </c>
      <c r="D1885" s="114" t="str">
        <f>VLOOKUP(C1885,'Custos Matéria Prima Embalagens'!B:C,2,0)</f>
        <v>AGUA</v>
      </c>
      <c r="E1885" s="114" t="str">
        <f>VLOOKUP(C1885,'Custos Matéria Prima Embalagens'!B:D,3,0)</f>
        <v>AGUA</v>
      </c>
      <c r="F1885" s="270">
        <f t="shared" si="248"/>
        <v>155</v>
      </c>
      <c r="G1885" s="148">
        <f t="shared" si="249"/>
        <v>0.41290322580645161</v>
      </c>
      <c r="H1885" s="96">
        <v>64</v>
      </c>
      <c r="I1885" s="272">
        <f>ROUND(F1885/VLOOKUP(A1885,'Tabela de Produtos'!A:J,10,0),0)</f>
        <v>122</v>
      </c>
      <c r="J1885" s="97">
        <f>IFERROR(VLOOKUP(C1885,'Custos Matéria Prima Embalagens'!B:G,6,0)*H1885,"Matéria Prima Não Cadastrada")</f>
        <v>0</v>
      </c>
      <c r="K1885" s="97">
        <f>IFERROR(J1885/(I1885/VLOOKUP(A1885,'Tabela de Produtos'!A:H,8,0)),"Matéria Prima Não Cadastrada")</f>
        <v>0</v>
      </c>
      <c r="L1885" s="216">
        <v>45939</v>
      </c>
    </row>
    <row r="1886" spans="1:12" ht="15" customHeight="1">
      <c r="A1886" s="48" t="s">
        <v>425</v>
      </c>
      <c r="B1886" s="114" t="str">
        <f>VLOOKUP(A1886,'Tabela de Produtos'!A:B,2,0)</f>
        <v>BRAZIMIL ESMALTE SINTETICO BRILHANTE MADEIRAS E METAIS 0,75L PRETO</v>
      </c>
      <c r="C1886" s="48" t="s">
        <v>1293</v>
      </c>
      <c r="D1886" s="114" t="str">
        <f>VLOOKUP(C1886,'Custos Matéria Prima Embalagens'!B:C,2,0)</f>
        <v>LIOPLEX COMBO 4455</v>
      </c>
      <c r="E1886" s="114" t="str">
        <f>VLOOKUP(C1886,'Custos Matéria Prima Embalagens'!B:D,3,0)</f>
        <v>SOLUÇÃO SECANTE</v>
      </c>
      <c r="F1886" s="270">
        <f t="shared" si="248"/>
        <v>155</v>
      </c>
      <c r="G1886" s="148">
        <f t="shared" si="249"/>
        <v>4.5161290322580643E-2</v>
      </c>
      <c r="H1886" s="96">
        <v>7</v>
      </c>
      <c r="I1886" s="272">
        <f>ROUND(F1886/VLOOKUP(A1886,'Tabela de Produtos'!A:J,10,0),0)</f>
        <v>122</v>
      </c>
      <c r="J1886" s="97">
        <f>IFERROR(VLOOKUP(C1886,'Custos Matéria Prima Embalagens'!B:G,6,0)*H1886,"Matéria Prima Não Cadastrada")</f>
        <v>183.6362476057445</v>
      </c>
      <c r="K1886" s="97">
        <f>IFERROR(J1886/(I1886/VLOOKUP(A1886,'Tabela de Produtos'!A:H,8,0)),"Matéria Prima Não Cadastrada")</f>
        <v>1.128911358232036</v>
      </c>
      <c r="L1886" s="216">
        <v>45939</v>
      </c>
    </row>
    <row r="1887" spans="1:12" ht="15" customHeight="1">
      <c r="A1887" s="48" t="s">
        <v>425</v>
      </c>
      <c r="B1887" s="114" t="str">
        <f>VLOOKUP(A1887,'Tabela de Produtos'!A:B,2,0)</f>
        <v>BRAZIMIL ESMALTE SINTETICO BRILHANTE MADEIRAS E METAIS 0,75L PRETO</v>
      </c>
      <c r="C1887" s="48" t="s">
        <v>1295</v>
      </c>
      <c r="D1887" s="114" t="str">
        <f>VLOOKUP(C1887,'Custos Matéria Prima Embalagens'!B:C,2,0)</f>
        <v>SCINEX</v>
      </c>
      <c r="E1887" s="114" t="str">
        <f>VLOOKUP(C1887,'Custos Matéria Prima Embalagens'!B:D,3,0)</f>
        <v>ANTIPELE</v>
      </c>
      <c r="F1887" s="270">
        <f t="shared" si="248"/>
        <v>155</v>
      </c>
      <c r="G1887" s="148">
        <f t="shared" si="249"/>
        <v>5.1612903225806452E-3</v>
      </c>
      <c r="H1887" s="96">
        <v>0.8</v>
      </c>
      <c r="I1887" s="272">
        <f>ROUND(F1887/VLOOKUP(A1887,'Tabela de Produtos'!A:J,10,0),0)</f>
        <v>122</v>
      </c>
      <c r="J1887" s="97">
        <f>IFERROR(VLOOKUP(C1887,'Custos Matéria Prima Embalagens'!B:G,6,0)*H1887,"Matéria Prima Não Cadastrada")</f>
        <v>16.868294126370724</v>
      </c>
      <c r="K1887" s="97">
        <f>IFERROR(J1887/(I1887/VLOOKUP(A1887,'Tabela de Produtos'!A:H,8,0)),"Matéria Prima Não Cadastrada")</f>
        <v>0.1036985294653938</v>
      </c>
      <c r="L1887" s="216">
        <v>45939</v>
      </c>
    </row>
    <row r="1888" spans="1:12" ht="15" customHeight="1">
      <c r="A1888" s="48" t="s">
        <v>425</v>
      </c>
      <c r="B1888" s="114" t="str">
        <f>VLOOKUP(A1888,'Tabela de Produtos'!A:B,2,0)</f>
        <v>BRAZIMIL ESMALTE SINTETICO BRILHANTE MADEIRAS E METAIS 0,75L PRETO</v>
      </c>
      <c r="C1888" s="48" t="s">
        <v>1309</v>
      </c>
      <c r="D1888" s="114" t="str">
        <f>VLOOKUP(C1888,'Custos Matéria Prima Embalagens'!B:C,2,0)</f>
        <v>PASTA DE PIGMENTO PRETO ESMALTE</v>
      </c>
      <c r="E1888" s="114" t="str">
        <f>VLOOKUP(C1888,'Custos Matéria Prima Embalagens'!B:D,3,0)</f>
        <v>PASTA DE PIGMENTO PRETO ESMALTE</v>
      </c>
      <c r="F1888" s="270">
        <f t="shared" si="248"/>
        <v>155</v>
      </c>
      <c r="G1888" s="148">
        <f t="shared" si="249"/>
        <v>4.5161290322580643E-2</v>
      </c>
      <c r="H1888" s="96">
        <v>7</v>
      </c>
      <c r="I1888" s="272">
        <f>ROUND(F1888/VLOOKUP(A1888,'Tabela de Produtos'!A:J,10,0),0)</f>
        <v>122</v>
      </c>
      <c r="J1888" s="97">
        <f>IFERROR(VLOOKUP(C1888,'Custos Matéria Prima Embalagens'!B:G,6,0)*H1888,"Matéria Prima Não Cadastrada")</f>
        <v>119.14</v>
      </c>
      <c r="K1888" s="97">
        <f>IFERROR(J1888/(I1888/VLOOKUP(A1888,'Tabela de Produtos'!A:H,8,0)),"Matéria Prima Não Cadastrada")</f>
        <v>0.73241803278688533</v>
      </c>
      <c r="L1888" s="216">
        <v>45939</v>
      </c>
    </row>
    <row r="1889" spans="1:12" ht="15" customHeight="1">
      <c r="F1889" s="272"/>
      <c r="G1889" s="148"/>
      <c r="H1889" s="96"/>
      <c r="I1889" s="272"/>
      <c r="J1889" s="97"/>
      <c r="K1889" s="97"/>
      <c r="L1889" s="216">
        <v>45939</v>
      </c>
    </row>
    <row r="1890" spans="1:12" ht="15" customHeight="1">
      <c r="A1890" s="114" t="s">
        <v>445</v>
      </c>
      <c r="B1890" s="114" t="str">
        <f>VLOOKUP(A1890,'Tabela de Produtos'!A:B,2,0)</f>
        <v>BRAZIMIL ESMALTE SINTETICO BRILHANTE MADEIRAS E METAIS 3L BRANCO</v>
      </c>
      <c r="C1890" s="48" t="s">
        <v>1283</v>
      </c>
      <c r="D1890" s="114" t="str">
        <f>VLOOKUP(C1890,'Custos Matéria Prima Embalagens'!B:C,2,0)</f>
        <v>RESINA ALQUIDICA 170</v>
      </c>
      <c r="E1890" s="114" t="str">
        <f>VLOOKUP(C1890,'Custos Matéria Prima Embalagens'!B:D,3,0)</f>
        <v>RESINA MÉDIA</v>
      </c>
      <c r="F1890" s="270">
        <f t="shared" ref="F1890:F1897" si="250">SUMIFS(H:H,A:A,A1890)</f>
        <v>200</v>
      </c>
      <c r="G1890" s="148">
        <f t="shared" ref="G1890:G1897" si="251">H1890/F1890</f>
        <v>0.2</v>
      </c>
      <c r="H1890" s="96">
        <v>40</v>
      </c>
      <c r="I1890" s="272">
        <f>ROUND(F1890/VLOOKUP(A1890,'Tabela de Produtos'!A:J,10,0),0)</f>
        <v>157</v>
      </c>
      <c r="J1890" s="97">
        <f>IFERROR(VLOOKUP(C1890,'Custos Matéria Prima Embalagens'!B:G,6,0)*H1890,"Matéria Prima Não Cadastrada")</f>
        <v>498.8</v>
      </c>
      <c r="K1890" s="97">
        <f>IFERROR(J1890/(I1890/VLOOKUP(A1890,'Tabela de Produtos'!A:H,8,0)),"Matéria Prima Não Cadastrada")</f>
        <v>9.5312101910828027</v>
      </c>
      <c r="L1890" s="216">
        <v>45939</v>
      </c>
    </row>
    <row r="1891" spans="1:12" ht="15" customHeight="1">
      <c r="A1891" s="114" t="s">
        <v>445</v>
      </c>
      <c r="B1891" s="114" t="str">
        <f>VLOOKUP(A1891,'Tabela de Produtos'!A:B,2,0)</f>
        <v>BRAZIMIL ESMALTE SINTETICO BRILHANTE MADEIRAS E METAIS 3L BRANCO</v>
      </c>
      <c r="C1891" s="48" t="s">
        <v>1285</v>
      </c>
      <c r="D1891" s="114" t="str">
        <f>VLOOKUP(C1891,'Custos Matéria Prima Embalagens'!B:C,2,0)</f>
        <v>RESINA ALQUIDICA 970</v>
      </c>
      <c r="E1891" s="114" t="str">
        <f>VLOOKUP(C1891,'Custos Matéria Prima Embalagens'!B:D,3,0)</f>
        <v>RESINA FENOLADA</v>
      </c>
      <c r="F1891" s="270">
        <f t="shared" si="250"/>
        <v>200</v>
      </c>
      <c r="G1891" s="148">
        <f t="shared" si="251"/>
        <v>0.1</v>
      </c>
      <c r="H1891" s="96">
        <v>20</v>
      </c>
      <c r="I1891" s="272">
        <f>ROUND(F1891/VLOOKUP(A1891,'Tabela de Produtos'!A:J,10,0),0)</f>
        <v>157</v>
      </c>
      <c r="J1891" s="97">
        <f>IFERROR(VLOOKUP(C1891,'Custos Matéria Prima Embalagens'!B:G,6,0)*H1891,"Matéria Prima Não Cadastrada")</f>
        <v>293.60000000000002</v>
      </c>
      <c r="K1891" s="97">
        <f>IFERROR(J1891/(I1891/VLOOKUP(A1891,'Tabela de Produtos'!A:H,8,0)),"Matéria Prima Não Cadastrada")</f>
        <v>5.6101910828025483</v>
      </c>
      <c r="L1891" s="216">
        <v>45939</v>
      </c>
    </row>
    <row r="1892" spans="1:12" ht="15" customHeight="1">
      <c r="A1892" s="114" t="s">
        <v>445</v>
      </c>
      <c r="B1892" s="114" t="str">
        <f>VLOOKUP(A1892,'Tabela de Produtos'!A:B,2,0)</f>
        <v>BRAZIMIL ESMALTE SINTETICO BRILHANTE MADEIRAS E METAIS 3L BRANCO</v>
      </c>
      <c r="C1892" s="48" t="s">
        <v>1287</v>
      </c>
      <c r="D1892" s="114" t="str">
        <f>VLOOKUP(C1892,'Custos Matéria Prima Embalagens'!B:C,2,0)</f>
        <v>(**) BAN RAS TBN200L</v>
      </c>
      <c r="E1892" s="114" t="str">
        <f>VLOOKUP(C1892,'Custos Matéria Prima Embalagens'!B:D,3,0)</f>
        <v>AGUARRAS</v>
      </c>
      <c r="F1892" s="270">
        <f t="shared" si="250"/>
        <v>200</v>
      </c>
      <c r="G1892" s="148">
        <f t="shared" si="251"/>
        <v>0.1</v>
      </c>
      <c r="H1892" s="96">
        <v>20</v>
      </c>
      <c r="I1892" s="272">
        <f>ROUND(F1892/VLOOKUP(A1892,'Tabela de Produtos'!A:J,10,0),0)</f>
        <v>157</v>
      </c>
      <c r="J1892" s="97">
        <f>IFERROR(VLOOKUP(C1892,'Custos Matéria Prima Embalagens'!B:G,6,0)*H1892,"Matéria Prima Não Cadastrada")</f>
        <v>170.27824938515462</v>
      </c>
      <c r="K1892" s="97">
        <f>IFERROR(J1892/(I1892/VLOOKUP(A1892,'Tabela de Produtos'!A:H,8,0)),"Matéria Prima Não Cadastrada")</f>
        <v>3.2537245105443557</v>
      </c>
      <c r="L1892" s="216">
        <v>45939</v>
      </c>
    </row>
    <row r="1893" spans="1:12" ht="15" customHeight="1">
      <c r="A1893" s="114" t="s">
        <v>445</v>
      </c>
      <c r="B1893" s="114" t="str">
        <f>VLOOKUP(A1893,'Tabela de Produtos'!A:B,2,0)</f>
        <v>BRAZIMIL ESMALTE SINTETICO BRILHANTE MADEIRAS E METAIS 3L BRANCO</v>
      </c>
      <c r="C1893" s="48" t="s">
        <v>1289</v>
      </c>
      <c r="D1893" s="114" t="str">
        <f>VLOOKUP(C1893,'Custos Matéria Prima Embalagens'!B:C,2,0)</f>
        <v>Disastab Gat (Bb 220 Kg)</v>
      </c>
      <c r="E1893" s="114" t="str">
        <f>VLOOKUP(C1893,'Custos Matéria Prima Embalagens'!B:D,3,0)</f>
        <v>DISASTAB</v>
      </c>
      <c r="F1893" s="270">
        <f t="shared" si="250"/>
        <v>200</v>
      </c>
      <c r="G1893" s="148">
        <f t="shared" si="251"/>
        <v>6.0000000000000001E-3</v>
      </c>
      <c r="H1893" s="96">
        <v>1.2</v>
      </c>
      <c r="I1893" s="272">
        <f>ROUND(F1893/VLOOKUP(A1893,'Tabela de Produtos'!A:J,10,0),0)</f>
        <v>157</v>
      </c>
      <c r="J1893" s="97">
        <f>IFERROR(VLOOKUP(C1893,'Custos Matéria Prima Embalagens'!B:G,6,0)*H1893,"Matéria Prima Não Cadastrada")</f>
        <v>13.096500109090908</v>
      </c>
      <c r="K1893" s="97">
        <f>IFERROR(J1893/(I1893/VLOOKUP(A1893,'Tabela de Produtos'!A:H,8,0)),"Matéria Prima Não Cadastrada")</f>
        <v>0.25025159444122752</v>
      </c>
      <c r="L1893" s="216">
        <v>45939</v>
      </c>
    </row>
    <row r="1894" spans="1:12" ht="15" customHeight="1">
      <c r="A1894" s="114" t="s">
        <v>445</v>
      </c>
      <c r="B1894" s="114" t="str">
        <f>VLOOKUP(A1894,'Tabela de Produtos'!A:B,2,0)</f>
        <v>BRAZIMIL ESMALTE SINTETICO BRILHANTE MADEIRAS E METAIS 3L BRANCO</v>
      </c>
      <c r="C1894" s="48" t="s">
        <v>1197</v>
      </c>
      <c r="D1894" s="114" t="str">
        <f>VLOOKUP(C1894,'Custos Matéria Prima Embalagens'!B:C,2,0)</f>
        <v>AGUA</v>
      </c>
      <c r="E1894" s="114" t="str">
        <f>VLOOKUP(C1894,'Custos Matéria Prima Embalagens'!B:D,3,0)</f>
        <v>AGUA</v>
      </c>
      <c r="F1894" s="270">
        <f t="shared" si="250"/>
        <v>200</v>
      </c>
      <c r="G1894" s="148">
        <f t="shared" si="251"/>
        <v>0.35499999999999998</v>
      </c>
      <c r="H1894" s="96">
        <v>71</v>
      </c>
      <c r="I1894" s="272">
        <f>ROUND(F1894/VLOOKUP(A1894,'Tabela de Produtos'!A:J,10,0),0)</f>
        <v>157</v>
      </c>
      <c r="J1894" s="97">
        <f>IFERROR(VLOOKUP(C1894,'Custos Matéria Prima Embalagens'!B:G,6,0)*H1894,"Matéria Prima Não Cadastrada")</f>
        <v>0</v>
      </c>
      <c r="K1894" s="97">
        <f>IFERROR(J1894/(I1894/VLOOKUP(A1894,'Tabela de Produtos'!A:H,8,0)),"Matéria Prima Não Cadastrada")</f>
        <v>0</v>
      </c>
      <c r="L1894" s="216">
        <v>45939</v>
      </c>
    </row>
    <row r="1895" spans="1:12" ht="15" customHeight="1">
      <c r="A1895" s="114" t="s">
        <v>445</v>
      </c>
      <c r="B1895" s="114" t="str">
        <f>VLOOKUP(A1895,'Tabela de Produtos'!A:B,2,0)</f>
        <v>BRAZIMIL ESMALTE SINTETICO BRILHANTE MADEIRAS E METAIS 3L BRANCO</v>
      </c>
      <c r="C1895" s="48" t="s">
        <v>1291</v>
      </c>
      <c r="D1895" s="114" t="str">
        <f>VLOOKUP(C1895,'Custos Matéria Prima Embalagens'!B:C,2,0)</f>
        <v>PASTA BRANCA ESMALTE</v>
      </c>
      <c r="E1895" s="114" t="str">
        <f>VLOOKUP(C1895,'Custos Matéria Prima Embalagens'!B:D,3,0)</f>
        <v>PASTA BRANCA ESMALTE</v>
      </c>
      <c r="F1895" s="270">
        <f t="shared" si="250"/>
        <v>200</v>
      </c>
      <c r="G1895" s="148">
        <f t="shared" si="251"/>
        <v>0.2</v>
      </c>
      <c r="H1895" s="96">
        <v>40</v>
      </c>
      <c r="I1895" s="272">
        <f>ROUND(F1895/VLOOKUP(A1895,'Tabela de Produtos'!A:J,10,0),0)</f>
        <v>157</v>
      </c>
      <c r="J1895" s="97">
        <f>IFERROR(VLOOKUP(C1895,'Custos Matéria Prima Embalagens'!B:G,6,0)*H1895,"Matéria Prima Não Cadastrada")</f>
        <v>647.6</v>
      </c>
      <c r="K1895" s="97">
        <f>IFERROR(J1895/(I1895/VLOOKUP(A1895,'Tabela de Produtos'!A:H,8,0)),"Matéria Prima Não Cadastrada")</f>
        <v>12.37452229299363</v>
      </c>
      <c r="L1895" s="216">
        <v>45939</v>
      </c>
    </row>
    <row r="1896" spans="1:12" ht="15" customHeight="1">
      <c r="A1896" s="114" t="s">
        <v>445</v>
      </c>
      <c r="B1896" s="114" t="str">
        <f>VLOOKUP(A1896,'Tabela de Produtos'!A:B,2,0)</f>
        <v>BRAZIMIL ESMALTE SINTETICO BRILHANTE MADEIRAS E METAIS 3L BRANCO</v>
      </c>
      <c r="C1896" s="48" t="s">
        <v>1293</v>
      </c>
      <c r="D1896" s="114" t="str">
        <f>VLOOKUP(C1896,'Custos Matéria Prima Embalagens'!B:C,2,0)</f>
        <v>LIOPLEX COMBO 4455</v>
      </c>
      <c r="E1896" s="114" t="str">
        <f>VLOOKUP(C1896,'Custos Matéria Prima Embalagens'!B:D,3,0)</f>
        <v>SOLUÇÃO SECANTE</v>
      </c>
      <c r="F1896" s="270">
        <f t="shared" si="250"/>
        <v>200</v>
      </c>
      <c r="G1896" s="148">
        <f t="shared" si="251"/>
        <v>3.5000000000000003E-2</v>
      </c>
      <c r="H1896" s="96">
        <v>7</v>
      </c>
      <c r="I1896" s="272">
        <f>ROUND(F1896/VLOOKUP(A1896,'Tabela de Produtos'!A:J,10,0),0)</f>
        <v>157</v>
      </c>
      <c r="J1896" s="97">
        <f>IFERROR(VLOOKUP(C1896,'Custos Matéria Prima Embalagens'!B:G,6,0)*H1896,"Matéria Prima Não Cadastrada")</f>
        <v>183.6362476057445</v>
      </c>
      <c r="K1896" s="97">
        <f>IFERROR(J1896/(I1896/VLOOKUP(A1896,'Tabela de Produtos'!A:H,8,0)),"Matéria Prima Não Cadastrada")</f>
        <v>3.5089728841862007</v>
      </c>
      <c r="L1896" s="216">
        <v>45939</v>
      </c>
    </row>
    <row r="1897" spans="1:12" ht="15" customHeight="1">
      <c r="A1897" s="114" t="s">
        <v>445</v>
      </c>
      <c r="B1897" s="114" t="str">
        <f>VLOOKUP(A1897,'Tabela de Produtos'!A:B,2,0)</f>
        <v>BRAZIMIL ESMALTE SINTETICO BRILHANTE MADEIRAS E METAIS 3L BRANCO</v>
      </c>
      <c r="C1897" s="48" t="s">
        <v>1295</v>
      </c>
      <c r="D1897" s="114" t="str">
        <f>VLOOKUP(C1897,'Custos Matéria Prima Embalagens'!B:C,2,0)</f>
        <v>SCINEX</v>
      </c>
      <c r="E1897" s="114" t="str">
        <f>VLOOKUP(C1897,'Custos Matéria Prima Embalagens'!B:D,3,0)</f>
        <v>ANTIPELE</v>
      </c>
      <c r="F1897" s="270">
        <f t="shared" si="250"/>
        <v>200</v>
      </c>
      <c r="G1897" s="148">
        <f t="shared" si="251"/>
        <v>4.0000000000000001E-3</v>
      </c>
      <c r="H1897" s="96">
        <v>0.8</v>
      </c>
      <c r="I1897" s="272">
        <f>ROUND(F1897/VLOOKUP(A1897,'Tabela de Produtos'!A:J,10,0),0)</f>
        <v>157</v>
      </c>
      <c r="J1897" s="97">
        <f>IFERROR(VLOOKUP(C1897,'Custos Matéria Prima Embalagens'!B:G,6,0)*H1897,"Matéria Prima Não Cadastrada")</f>
        <v>16.868294126370724</v>
      </c>
      <c r="K1897" s="97">
        <f>IFERROR(J1897/(I1897/VLOOKUP(A1897,'Tabela de Produtos'!A:H,8,0)),"Matéria Prima Não Cadastrada")</f>
        <v>0.32232409158670172</v>
      </c>
      <c r="L1897" s="216">
        <v>45939</v>
      </c>
    </row>
    <row r="1898" spans="1:12" ht="15" customHeight="1">
      <c r="F1898" s="272"/>
      <c r="G1898" s="148"/>
      <c r="H1898" s="96"/>
      <c r="I1898" s="272"/>
      <c r="J1898" s="97"/>
      <c r="K1898" s="97"/>
      <c r="L1898" s="216">
        <v>45939</v>
      </c>
    </row>
    <row r="1899" spans="1:12" ht="15" customHeight="1">
      <c r="A1899" s="114" t="s">
        <v>449</v>
      </c>
      <c r="B1899" s="114" t="str">
        <f>VLOOKUP(A1899,'Tabela de Produtos'!A:B,2,0)</f>
        <v>BRAZIMIL ESMALTE SINTETICO BRILHANTE MADEIRAS E METAIS 3L PRETO</v>
      </c>
      <c r="C1899" s="48" t="s">
        <v>1283</v>
      </c>
      <c r="D1899" s="114" t="str">
        <f>VLOOKUP(C1899,'Custos Matéria Prima Embalagens'!B:C,2,0)</f>
        <v>RESINA ALQUIDICA 170</v>
      </c>
      <c r="E1899" s="114" t="str">
        <f>VLOOKUP(C1899,'Custos Matéria Prima Embalagens'!B:D,3,0)</f>
        <v>RESINA MÉDIA</v>
      </c>
      <c r="F1899" s="270">
        <f t="shared" ref="F1899:F1906" si="252">SUMIFS(H:H,A:A,A1899)</f>
        <v>155</v>
      </c>
      <c r="G1899" s="148">
        <f t="shared" ref="G1899:G1906" si="253">H1899/F1899</f>
        <v>0.19354838709677419</v>
      </c>
      <c r="H1899" s="96">
        <v>30</v>
      </c>
      <c r="I1899" s="272">
        <f>ROUND(F1899/VLOOKUP(A1899,'Tabela de Produtos'!A:J,10,0),0)</f>
        <v>122</v>
      </c>
      <c r="J1899" s="97">
        <f>IFERROR(VLOOKUP(C1899,'Custos Matéria Prima Embalagens'!B:G,6,0)*H1899,"Matéria Prima Não Cadastrada")</f>
        <v>374.1</v>
      </c>
      <c r="K1899" s="97">
        <f>IFERROR(J1899/(I1899/VLOOKUP(A1899,'Tabela de Produtos'!A:H,8,0)),"Matéria Prima Não Cadastrada")</f>
        <v>9.199180327868854</v>
      </c>
      <c r="L1899" s="216">
        <v>45939</v>
      </c>
    </row>
    <row r="1900" spans="1:12" ht="15" customHeight="1">
      <c r="A1900" s="114" t="s">
        <v>449</v>
      </c>
      <c r="B1900" s="114" t="str">
        <f>VLOOKUP(A1900,'Tabela de Produtos'!A:B,2,0)</f>
        <v>BRAZIMIL ESMALTE SINTETICO BRILHANTE MADEIRAS E METAIS 3L PRETO</v>
      </c>
      <c r="C1900" s="48" t="s">
        <v>1285</v>
      </c>
      <c r="D1900" s="114" t="str">
        <f>VLOOKUP(C1900,'Custos Matéria Prima Embalagens'!B:C,2,0)</f>
        <v>RESINA ALQUIDICA 970</v>
      </c>
      <c r="E1900" s="114" t="str">
        <f>VLOOKUP(C1900,'Custos Matéria Prima Embalagens'!B:D,3,0)</f>
        <v>RESINA FENOLADA</v>
      </c>
      <c r="F1900" s="270">
        <f t="shared" si="252"/>
        <v>155</v>
      </c>
      <c r="G1900" s="148">
        <f t="shared" si="253"/>
        <v>0.12903225806451613</v>
      </c>
      <c r="H1900" s="96">
        <v>20</v>
      </c>
      <c r="I1900" s="272">
        <f>ROUND(F1900/VLOOKUP(A1900,'Tabela de Produtos'!A:J,10,0),0)</f>
        <v>122</v>
      </c>
      <c r="J1900" s="97">
        <f>IFERROR(VLOOKUP(C1900,'Custos Matéria Prima Embalagens'!B:G,6,0)*H1900,"Matéria Prima Não Cadastrada")</f>
        <v>293.60000000000002</v>
      </c>
      <c r="K1900" s="97">
        <f>IFERROR(J1900/(I1900/VLOOKUP(A1900,'Tabela de Produtos'!A:H,8,0)),"Matéria Prima Não Cadastrada")</f>
        <v>7.2196721311475418</v>
      </c>
      <c r="L1900" s="216">
        <v>45939</v>
      </c>
    </row>
    <row r="1901" spans="1:12" ht="15" customHeight="1">
      <c r="A1901" s="114" t="s">
        <v>449</v>
      </c>
      <c r="B1901" s="114" t="str">
        <f>VLOOKUP(A1901,'Tabela de Produtos'!A:B,2,0)</f>
        <v>BRAZIMIL ESMALTE SINTETICO BRILHANTE MADEIRAS E METAIS 3L PRETO</v>
      </c>
      <c r="C1901" s="48" t="s">
        <v>1287</v>
      </c>
      <c r="D1901" s="114" t="str">
        <f>VLOOKUP(C1901,'Custos Matéria Prima Embalagens'!B:C,2,0)</f>
        <v>(**) BAN RAS TBN200L</v>
      </c>
      <c r="E1901" s="114" t="str">
        <f>VLOOKUP(C1901,'Custos Matéria Prima Embalagens'!B:D,3,0)</f>
        <v>AGUARRAS</v>
      </c>
      <c r="F1901" s="270">
        <f t="shared" si="252"/>
        <v>155</v>
      </c>
      <c r="G1901" s="148">
        <f t="shared" si="253"/>
        <v>0.16129032258064516</v>
      </c>
      <c r="H1901" s="96">
        <v>25</v>
      </c>
      <c r="I1901" s="272">
        <f>ROUND(F1901/VLOOKUP(A1901,'Tabela de Produtos'!A:J,10,0),0)</f>
        <v>122</v>
      </c>
      <c r="J1901" s="97">
        <f>IFERROR(VLOOKUP(C1901,'Custos Matéria Prima Embalagens'!B:G,6,0)*H1901,"Matéria Prima Não Cadastrada")</f>
        <v>212.84781173144327</v>
      </c>
      <c r="K1901" s="97">
        <f>IFERROR(J1901/(I1901/VLOOKUP(A1901,'Tabela de Produtos'!A:H,8,0)),"Matéria Prima Não Cadastrada")</f>
        <v>5.2339625835600811</v>
      </c>
      <c r="L1901" s="216">
        <v>45939</v>
      </c>
    </row>
    <row r="1902" spans="1:12" ht="15" customHeight="1">
      <c r="A1902" s="114" t="s">
        <v>449</v>
      </c>
      <c r="B1902" s="114" t="str">
        <f>VLOOKUP(A1902,'Tabela de Produtos'!A:B,2,0)</f>
        <v>BRAZIMIL ESMALTE SINTETICO BRILHANTE MADEIRAS E METAIS 3L PRETO</v>
      </c>
      <c r="C1902" s="48" t="s">
        <v>1289</v>
      </c>
      <c r="D1902" s="114" t="str">
        <f>VLOOKUP(C1902,'Custos Matéria Prima Embalagens'!B:C,2,0)</f>
        <v>Disastab Gat (Bb 220 Kg)</v>
      </c>
      <c r="E1902" s="114" t="str">
        <f>VLOOKUP(C1902,'Custos Matéria Prima Embalagens'!B:D,3,0)</f>
        <v>DISASTAB</v>
      </c>
      <c r="F1902" s="270">
        <f t="shared" si="252"/>
        <v>155</v>
      </c>
      <c r="G1902" s="148">
        <f t="shared" si="253"/>
        <v>7.7419354838709677E-3</v>
      </c>
      <c r="H1902" s="96">
        <v>1.2</v>
      </c>
      <c r="I1902" s="272">
        <f>ROUND(F1902/VLOOKUP(A1902,'Tabela de Produtos'!A:J,10,0),0)</f>
        <v>122</v>
      </c>
      <c r="J1902" s="97">
        <f>IFERROR(VLOOKUP(C1902,'Custos Matéria Prima Embalagens'!B:G,6,0)*H1902,"Matéria Prima Não Cadastrada")</f>
        <v>13.096500109090908</v>
      </c>
      <c r="K1902" s="97">
        <f>IFERROR(J1902/(I1902/VLOOKUP(A1902,'Tabela de Produtos'!A:H,8,0)),"Matéria Prima Não Cadastrada")</f>
        <v>0.32204508464977644</v>
      </c>
      <c r="L1902" s="216">
        <v>45939</v>
      </c>
    </row>
    <row r="1903" spans="1:12" ht="15" customHeight="1">
      <c r="A1903" s="114" t="s">
        <v>449</v>
      </c>
      <c r="B1903" s="114" t="str">
        <f>VLOOKUP(A1903,'Tabela de Produtos'!A:B,2,0)</f>
        <v>BRAZIMIL ESMALTE SINTETICO BRILHANTE MADEIRAS E METAIS 3L PRETO</v>
      </c>
      <c r="C1903" s="48" t="s">
        <v>1197</v>
      </c>
      <c r="D1903" s="114" t="str">
        <f>VLOOKUP(C1903,'Custos Matéria Prima Embalagens'!B:C,2,0)</f>
        <v>AGUA</v>
      </c>
      <c r="E1903" s="114" t="str">
        <f>VLOOKUP(C1903,'Custos Matéria Prima Embalagens'!B:D,3,0)</f>
        <v>AGUA</v>
      </c>
      <c r="F1903" s="270">
        <f t="shared" si="252"/>
        <v>155</v>
      </c>
      <c r="G1903" s="148">
        <f t="shared" si="253"/>
        <v>0.41290322580645161</v>
      </c>
      <c r="H1903" s="96">
        <v>64</v>
      </c>
      <c r="I1903" s="272">
        <f>ROUND(F1903/VLOOKUP(A1903,'Tabela de Produtos'!A:J,10,0),0)</f>
        <v>122</v>
      </c>
      <c r="J1903" s="97">
        <f>IFERROR(VLOOKUP(C1903,'Custos Matéria Prima Embalagens'!B:G,6,0)*H1903,"Matéria Prima Não Cadastrada")</f>
        <v>0</v>
      </c>
      <c r="K1903" s="97">
        <f>IFERROR(J1903/(I1903/VLOOKUP(A1903,'Tabela de Produtos'!A:H,8,0)),"Matéria Prima Não Cadastrada")</f>
        <v>0</v>
      </c>
      <c r="L1903" s="216">
        <v>45939</v>
      </c>
    </row>
    <row r="1904" spans="1:12" ht="15" customHeight="1">
      <c r="A1904" s="114" t="s">
        <v>449</v>
      </c>
      <c r="B1904" s="114" t="str">
        <f>VLOOKUP(A1904,'Tabela de Produtos'!A:B,2,0)</f>
        <v>BRAZIMIL ESMALTE SINTETICO BRILHANTE MADEIRAS E METAIS 3L PRETO</v>
      </c>
      <c r="C1904" s="48" t="s">
        <v>1293</v>
      </c>
      <c r="D1904" s="114" t="str">
        <f>VLOOKUP(C1904,'Custos Matéria Prima Embalagens'!B:C,2,0)</f>
        <v>LIOPLEX COMBO 4455</v>
      </c>
      <c r="E1904" s="114" t="str">
        <f>VLOOKUP(C1904,'Custos Matéria Prima Embalagens'!B:D,3,0)</f>
        <v>SOLUÇÃO SECANTE</v>
      </c>
      <c r="F1904" s="270">
        <f t="shared" si="252"/>
        <v>155</v>
      </c>
      <c r="G1904" s="148">
        <f t="shared" si="253"/>
        <v>4.5161290322580643E-2</v>
      </c>
      <c r="H1904" s="96">
        <v>7</v>
      </c>
      <c r="I1904" s="272">
        <f>ROUND(F1904/VLOOKUP(A1904,'Tabela de Produtos'!A:J,10,0),0)</f>
        <v>122</v>
      </c>
      <c r="J1904" s="97">
        <f>IFERROR(VLOOKUP(C1904,'Custos Matéria Prima Embalagens'!B:G,6,0)*H1904,"Matéria Prima Não Cadastrada")</f>
        <v>183.6362476057445</v>
      </c>
      <c r="K1904" s="97">
        <f>IFERROR(J1904/(I1904/VLOOKUP(A1904,'Tabela de Produtos'!A:H,8,0)),"Matéria Prima Não Cadastrada")</f>
        <v>4.5156454329281441</v>
      </c>
      <c r="L1904" s="216">
        <v>45939</v>
      </c>
    </row>
    <row r="1905" spans="1:12" ht="15" customHeight="1">
      <c r="A1905" s="114" t="s">
        <v>449</v>
      </c>
      <c r="B1905" s="114" t="str">
        <f>VLOOKUP(A1905,'Tabela de Produtos'!A:B,2,0)</f>
        <v>BRAZIMIL ESMALTE SINTETICO BRILHANTE MADEIRAS E METAIS 3L PRETO</v>
      </c>
      <c r="C1905" s="48" t="s">
        <v>1295</v>
      </c>
      <c r="D1905" s="114" t="str">
        <f>VLOOKUP(C1905,'Custos Matéria Prima Embalagens'!B:C,2,0)</f>
        <v>SCINEX</v>
      </c>
      <c r="E1905" s="114" t="str">
        <f>VLOOKUP(C1905,'Custos Matéria Prima Embalagens'!B:D,3,0)</f>
        <v>ANTIPELE</v>
      </c>
      <c r="F1905" s="270">
        <f t="shared" si="252"/>
        <v>155</v>
      </c>
      <c r="G1905" s="148">
        <f t="shared" si="253"/>
        <v>5.1612903225806452E-3</v>
      </c>
      <c r="H1905" s="96">
        <v>0.8</v>
      </c>
      <c r="I1905" s="272">
        <f>ROUND(F1905/VLOOKUP(A1905,'Tabela de Produtos'!A:J,10,0),0)</f>
        <v>122</v>
      </c>
      <c r="J1905" s="97">
        <f>IFERROR(VLOOKUP(C1905,'Custos Matéria Prima Embalagens'!B:G,6,0)*H1905,"Matéria Prima Não Cadastrada")</f>
        <v>16.868294126370724</v>
      </c>
      <c r="K1905" s="97">
        <f>IFERROR(J1905/(I1905/VLOOKUP(A1905,'Tabela de Produtos'!A:H,8,0)),"Matéria Prima Não Cadastrada")</f>
        <v>0.41479411786157522</v>
      </c>
      <c r="L1905" s="216">
        <v>45939</v>
      </c>
    </row>
    <row r="1906" spans="1:12" ht="15" customHeight="1">
      <c r="A1906" s="114" t="s">
        <v>449</v>
      </c>
      <c r="B1906" s="114" t="str">
        <f>VLOOKUP(A1906,'Tabela de Produtos'!A:B,2,0)</f>
        <v>BRAZIMIL ESMALTE SINTETICO BRILHANTE MADEIRAS E METAIS 3L PRETO</v>
      </c>
      <c r="C1906" s="48" t="s">
        <v>1309</v>
      </c>
      <c r="D1906" s="114" t="str">
        <f>VLOOKUP(C1906,'Custos Matéria Prima Embalagens'!B:C,2,0)</f>
        <v>PASTA DE PIGMENTO PRETO ESMALTE</v>
      </c>
      <c r="E1906" s="114" t="str">
        <f>VLOOKUP(C1906,'Custos Matéria Prima Embalagens'!B:D,3,0)</f>
        <v>PASTA DE PIGMENTO PRETO ESMALTE</v>
      </c>
      <c r="F1906" s="270">
        <f t="shared" si="252"/>
        <v>155</v>
      </c>
      <c r="G1906" s="148">
        <f t="shared" si="253"/>
        <v>4.5161290322580643E-2</v>
      </c>
      <c r="H1906" s="96">
        <v>7</v>
      </c>
      <c r="I1906" s="272">
        <f>ROUND(F1906/VLOOKUP(A1906,'Tabela de Produtos'!A:J,10,0),0)</f>
        <v>122</v>
      </c>
      <c r="J1906" s="97">
        <f>IFERROR(VLOOKUP(C1906,'Custos Matéria Prima Embalagens'!B:G,6,0)*H1906,"Matéria Prima Não Cadastrada")</f>
        <v>119.14</v>
      </c>
      <c r="K1906" s="97">
        <f>IFERROR(J1906/(I1906/VLOOKUP(A1906,'Tabela de Produtos'!A:H,8,0)),"Matéria Prima Não Cadastrada")</f>
        <v>2.9296721311475413</v>
      </c>
      <c r="L1906" s="216">
        <v>45939</v>
      </c>
    </row>
    <row r="1907" spans="1:12" ht="15" customHeight="1">
      <c r="F1907" s="272"/>
      <c r="G1907" s="148"/>
      <c r="H1907" s="96"/>
      <c r="I1907" s="272"/>
      <c r="J1907" s="97"/>
      <c r="K1907" s="97"/>
      <c r="L1907" s="216"/>
    </row>
    <row r="1908" spans="1:12" ht="15" customHeight="1">
      <c r="F1908" s="272"/>
      <c r="G1908" s="148"/>
      <c r="H1908" s="96"/>
      <c r="I1908" s="272"/>
      <c r="J1908" s="97"/>
      <c r="K1908" s="97"/>
      <c r="L1908" s="216"/>
    </row>
    <row r="1909" spans="1:12" ht="15" customHeight="1">
      <c r="F1909" s="272"/>
      <c r="G1909" s="148"/>
      <c r="H1909" s="96"/>
      <c r="I1909" s="272"/>
      <c r="J1909" s="97"/>
      <c r="K1909" s="97"/>
      <c r="L1909" s="216"/>
    </row>
    <row r="1910" spans="1:12" ht="15" customHeight="1">
      <c r="F1910" s="272"/>
      <c r="G1910" s="148"/>
      <c r="H1910" s="96"/>
      <c r="I1910" s="272"/>
      <c r="J1910" s="97"/>
      <c r="K1910" s="97"/>
      <c r="L1910" s="216"/>
    </row>
    <row r="1911" spans="1:12" ht="15" customHeight="1">
      <c r="F1911" s="272"/>
      <c r="G1911" s="148"/>
      <c r="H1911" s="96"/>
      <c r="I1911" s="272"/>
      <c r="J1911" s="97"/>
      <c r="K1911" s="97"/>
      <c r="L1911" s="216"/>
    </row>
    <row r="1912" spans="1:12" ht="15" customHeight="1">
      <c r="F1912" s="272"/>
      <c r="G1912" s="148"/>
      <c r="H1912" s="96"/>
      <c r="I1912" s="272"/>
      <c r="J1912" s="97"/>
      <c r="K1912" s="97"/>
      <c r="L1912" s="216"/>
    </row>
    <row r="1913" spans="1:12" ht="15" customHeight="1">
      <c r="F1913" s="272"/>
      <c r="G1913" s="148"/>
      <c r="H1913" s="96"/>
      <c r="I1913" s="272"/>
      <c r="J1913" s="97"/>
      <c r="K1913" s="97"/>
      <c r="L1913" s="216"/>
    </row>
    <row r="1914" spans="1:12" ht="15" customHeight="1">
      <c r="F1914" s="272"/>
      <c r="G1914" s="148"/>
      <c r="H1914" s="96"/>
      <c r="I1914" s="272"/>
      <c r="J1914" s="97"/>
      <c r="K1914" s="97"/>
      <c r="L1914" s="216"/>
    </row>
    <row r="1915" spans="1:12" ht="15" customHeight="1">
      <c r="F1915" s="272"/>
      <c r="G1915" s="148"/>
      <c r="H1915" s="96"/>
      <c r="I1915" s="272"/>
      <c r="J1915" s="97"/>
      <c r="K1915" s="97"/>
      <c r="L1915" s="216"/>
    </row>
    <row r="1916" spans="1:12" ht="15" customHeight="1">
      <c r="F1916" s="272"/>
      <c r="G1916" s="148"/>
      <c r="H1916" s="96"/>
      <c r="I1916" s="272"/>
      <c r="J1916" s="97"/>
      <c r="K1916" s="97"/>
      <c r="L1916" s="216"/>
    </row>
    <row r="1917" spans="1:12" ht="15" customHeight="1">
      <c r="F1917" s="272"/>
      <c r="G1917" s="148"/>
      <c r="H1917" s="96"/>
      <c r="I1917" s="272"/>
      <c r="J1917" s="97"/>
      <c r="K1917" s="97"/>
      <c r="L1917" s="216"/>
    </row>
    <row r="1918" spans="1:12" ht="15" customHeight="1">
      <c r="F1918" s="272"/>
      <c r="G1918" s="148"/>
      <c r="H1918" s="96"/>
      <c r="I1918" s="272"/>
      <c r="J1918" s="97"/>
      <c r="K1918" s="97"/>
      <c r="L1918" s="216"/>
    </row>
    <row r="1919" spans="1:12" ht="15" customHeight="1">
      <c r="F1919" s="272"/>
      <c r="G1919" s="148"/>
      <c r="H1919" s="96"/>
      <c r="I1919" s="272"/>
      <c r="J1919" s="97"/>
      <c r="K1919" s="97"/>
      <c r="L1919" s="216"/>
    </row>
    <row r="1920" spans="1:12" ht="15" customHeight="1">
      <c r="F1920" s="272"/>
      <c r="G1920" s="148"/>
      <c r="H1920" s="96"/>
      <c r="I1920" s="272"/>
      <c r="J1920" s="97"/>
      <c r="K1920" s="97"/>
      <c r="L1920" s="216"/>
    </row>
    <row r="1921" spans="6:12" ht="15" customHeight="1">
      <c r="F1921" s="272"/>
      <c r="G1921" s="148"/>
      <c r="H1921" s="96"/>
      <c r="I1921" s="272"/>
      <c r="J1921" s="97"/>
      <c r="K1921" s="97"/>
      <c r="L1921" s="216"/>
    </row>
    <row r="1922" spans="6:12" ht="15" customHeight="1">
      <c r="F1922" s="272"/>
      <c r="G1922" s="148"/>
      <c r="H1922" s="96"/>
      <c r="I1922" s="272"/>
      <c r="J1922" s="97"/>
      <c r="K1922" s="97"/>
      <c r="L1922" s="216"/>
    </row>
    <row r="1923" spans="6:12" ht="15" customHeight="1">
      <c r="F1923" s="272"/>
      <c r="G1923" s="148"/>
      <c r="H1923" s="96"/>
      <c r="I1923" s="272"/>
      <c r="J1923" s="97"/>
      <c r="K1923" s="97"/>
      <c r="L1923" s="216"/>
    </row>
    <row r="1924" spans="6:12" ht="15" customHeight="1">
      <c r="F1924" s="272"/>
      <c r="G1924" s="148"/>
      <c r="H1924" s="96"/>
      <c r="I1924" s="272"/>
      <c r="J1924" s="97"/>
      <c r="K1924" s="97"/>
      <c r="L1924" s="216"/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"/>
  <sheetViews>
    <sheetView zoomScaleNormal="100" workbookViewId="0">
      <selection activeCell="A10" sqref="A10"/>
    </sheetView>
  </sheetViews>
  <sheetFormatPr baseColWidth="10" defaultColWidth="8.5" defaultRowHeight="15"/>
  <cols>
    <col min="1" max="1" width="38.33203125" customWidth="1"/>
    <col min="2" max="2" width="28.5" customWidth="1"/>
  </cols>
  <sheetData>
    <row r="1" spans="1:2">
      <c r="A1" t="s">
        <v>1182</v>
      </c>
      <c r="B1" s="48" t="s">
        <v>1667</v>
      </c>
    </row>
    <row r="2" spans="1:2">
      <c r="A2" t="s">
        <v>1267</v>
      </c>
      <c r="B2">
        <v>1.27</v>
      </c>
    </row>
    <row r="3" spans="1:2">
      <c r="A3" t="s">
        <v>1321</v>
      </c>
      <c r="B3">
        <v>1</v>
      </c>
    </row>
    <row r="4" spans="1:2">
      <c r="A4" t="s">
        <v>1252</v>
      </c>
      <c r="B4">
        <v>1.27</v>
      </c>
    </row>
    <row r="5" spans="1:2">
      <c r="A5" t="s">
        <v>1282</v>
      </c>
      <c r="B5">
        <v>1.27</v>
      </c>
    </row>
    <row r="6" spans="1:2">
      <c r="A6" t="s">
        <v>1256</v>
      </c>
      <c r="B6">
        <v>1</v>
      </c>
    </row>
    <row r="7" spans="1:2">
      <c r="A7" t="s">
        <v>1196</v>
      </c>
      <c r="B7">
        <v>1.27</v>
      </c>
    </row>
    <row r="8" spans="1:2">
      <c r="A8" s="48" t="s">
        <v>1355</v>
      </c>
      <c r="B8">
        <v>1.6</v>
      </c>
    </row>
    <row r="9" spans="1:2">
      <c r="A9" s="48" t="s">
        <v>1271</v>
      </c>
      <c r="B9">
        <v>1.6</v>
      </c>
    </row>
    <row r="10" spans="1:2">
      <c r="A10" s="48" t="s">
        <v>1330</v>
      </c>
      <c r="B10">
        <v>1</v>
      </c>
    </row>
    <row r="11" spans="1:2">
      <c r="A11" t="s">
        <v>1278</v>
      </c>
      <c r="B11">
        <v>1.27</v>
      </c>
    </row>
  </sheetData>
  <autoFilter ref="A1:F11" xr:uid="{00000000-0009-0000-0000-00000E000000}">
    <sortState xmlns:xlrd2="http://schemas.microsoft.com/office/spreadsheetml/2017/richdata2" ref="A2:F11">
      <sortCondition ref="A2:A11"/>
    </sortState>
  </autoFilter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77"/>
  <sheetViews>
    <sheetView showGridLines="0" zoomScaleNormal="100" workbookViewId="0">
      <selection activeCell="B1" sqref="B1"/>
    </sheetView>
  </sheetViews>
  <sheetFormatPr baseColWidth="10" defaultColWidth="12.5" defaultRowHeight="15"/>
  <cols>
    <col min="1" max="1" width="8.5" customWidth="1"/>
    <col min="2" max="2" width="39" customWidth="1"/>
    <col min="3" max="26" width="8.5" customWidth="1"/>
  </cols>
  <sheetData>
    <row r="1" spans="1:8">
      <c r="A1" s="217" t="s">
        <v>2</v>
      </c>
      <c r="B1" s="217" t="s">
        <v>3</v>
      </c>
      <c r="C1" s="217" t="s">
        <v>1668</v>
      </c>
      <c r="D1" s="217" t="s">
        <v>1669</v>
      </c>
      <c r="E1" s="217" t="s">
        <v>1670</v>
      </c>
      <c r="F1" s="217" t="s">
        <v>1671</v>
      </c>
      <c r="G1" s="217" t="s">
        <v>1672</v>
      </c>
      <c r="H1" s="217" t="s">
        <v>1673</v>
      </c>
    </row>
    <row r="2" spans="1:8" ht="14.25" customHeight="1">
      <c r="A2" s="48">
        <v>30</v>
      </c>
      <c r="B2" s="48" t="s">
        <v>1674</v>
      </c>
      <c r="C2" s="48" t="s">
        <v>1675</v>
      </c>
      <c r="D2" s="48">
        <v>100</v>
      </c>
      <c r="E2" s="48">
        <v>43</v>
      </c>
      <c r="F2" s="48">
        <v>0</v>
      </c>
      <c r="G2" s="48">
        <v>43</v>
      </c>
      <c r="H2" s="277">
        <v>4300</v>
      </c>
    </row>
    <row r="3" spans="1:8" ht="14.25" customHeight="1">
      <c r="A3" s="48">
        <v>31</v>
      </c>
      <c r="B3" s="48" t="s">
        <v>1676</v>
      </c>
      <c r="C3" s="48" t="s">
        <v>1677</v>
      </c>
      <c r="D3" s="48">
        <v>100</v>
      </c>
      <c r="E3" s="48">
        <v>12</v>
      </c>
      <c r="F3" s="48">
        <v>0</v>
      </c>
      <c r="G3" s="48">
        <v>12</v>
      </c>
      <c r="H3" s="277">
        <v>1200</v>
      </c>
    </row>
    <row r="4" spans="1:8" ht="14.25" customHeight="1">
      <c r="A4" s="48">
        <v>751</v>
      </c>
      <c r="B4" s="48" t="s">
        <v>1678</v>
      </c>
      <c r="C4" s="48" t="s">
        <v>1677</v>
      </c>
      <c r="D4" s="48">
        <v>300</v>
      </c>
      <c r="E4" s="48">
        <v>35</v>
      </c>
      <c r="F4" s="48">
        <v>0</v>
      </c>
      <c r="G4" s="48">
        <v>35</v>
      </c>
      <c r="H4" s="277">
        <v>10500</v>
      </c>
    </row>
    <row r="5" spans="1:8" ht="14.25" customHeight="1">
      <c r="A5" s="48">
        <v>760</v>
      </c>
      <c r="B5" s="48" t="s">
        <v>1679</v>
      </c>
      <c r="C5" s="48" t="s">
        <v>1677</v>
      </c>
      <c r="D5" s="48">
        <v>200</v>
      </c>
      <c r="E5" s="48">
        <v>35</v>
      </c>
      <c r="F5" s="48">
        <v>0</v>
      </c>
      <c r="G5" s="48">
        <v>35</v>
      </c>
      <c r="H5" s="277">
        <v>7000</v>
      </c>
    </row>
    <row r="6" spans="1:8" ht="14.25" customHeight="1">
      <c r="A6" s="48">
        <v>762</v>
      </c>
      <c r="B6" s="48" t="s">
        <v>1680</v>
      </c>
      <c r="C6" s="48" t="s">
        <v>1677</v>
      </c>
      <c r="D6" s="48">
        <v>10</v>
      </c>
      <c r="E6" s="48">
        <v>35</v>
      </c>
      <c r="F6" s="48">
        <v>0</v>
      </c>
      <c r="G6" s="48">
        <v>35</v>
      </c>
      <c r="H6" s="48">
        <v>350</v>
      </c>
    </row>
    <row r="7" spans="1:8" ht="14.25" customHeight="1">
      <c r="A7" s="48">
        <v>786</v>
      </c>
      <c r="B7" s="48" t="s">
        <v>1681</v>
      </c>
      <c r="C7" s="48" t="s">
        <v>1677</v>
      </c>
      <c r="D7" s="48">
        <v>5</v>
      </c>
      <c r="E7" s="48">
        <v>35</v>
      </c>
      <c r="F7" s="48">
        <v>0</v>
      </c>
      <c r="G7" s="48">
        <v>35</v>
      </c>
      <c r="H7" s="48">
        <v>175</v>
      </c>
    </row>
    <row r="8" spans="1:8" ht="14.25" customHeight="1">
      <c r="A8" s="48">
        <v>787</v>
      </c>
      <c r="B8" s="48" t="s">
        <v>1682</v>
      </c>
      <c r="C8" s="48" t="s">
        <v>1677</v>
      </c>
      <c r="D8" s="48">
        <v>5</v>
      </c>
      <c r="E8" s="48">
        <v>35</v>
      </c>
      <c r="F8" s="48">
        <v>0</v>
      </c>
      <c r="G8" s="48">
        <v>35</v>
      </c>
      <c r="H8" s="48">
        <v>175</v>
      </c>
    </row>
    <row r="9" spans="1:8" ht="14.25" customHeight="1">
      <c r="A9" s="48">
        <v>3654</v>
      </c>
      <c r="B9" s="48" t="s">
        <v>1683</v>
      </c>
      <c r="C9" s="48" t="s">
        <v>1677</v>
      </c>
      <c r="D9" s="48">
        <v>10</v>
      </c>
      <c r="E9" s="48">
        <v>35</v>
      </c>
      <c r="F9" s="48">
        <v>0</v>
      </c>
      <c r="G9" s="48">
        <v>35</v>
      </c>
      <c r="H9" s="48">
        <v>350</v>
      </c>
    </row>
    <row r="10" spans="1:8" ht="14.25" customHeight="1">
      <c r="A10" s="48">
        <v>3658</v>
      </c>
      <c r="B10" s="48" t="s">
        <v>1684</v>
      </c>
      <c r="C10" s="48" t="s">
        <v>1677</v>
      </c>
      <c r="D10" s="48">
        <v>20</v>
      </c>
      <c r="E10" s="48">
        <v>35</v>
      </c>
      <c r="F10" s="48">
        <v>0</v>
      </c>
      <c r="G10" s="48">
        <v>35</v>
      </c>
      <c r="H10" s="48">
        <v>700</v>
      </c>
    </row>
    <row r="11" spans="1:8" ht="14.25" customHeight="1">
      <c r="A11" s="48">
        <v>3662</v>
      </c>
      <c r="B11" s="48" t="s">
        <v>1685</v>
      </c>
      <c r="C11" s="48" t="s">
        <v>1677</v>
      </c>
      <c r="D11" s="48">
        <v>20</v>
      </c>
      <c r="E11" s="48">
        <v>35</v>
      </c>
      <c r="F11" s="48">
        <v>0</v>
      </c>
      <c r="G11" s="48">
        <v>35</v>
      </c>
      <c r="H11" s="48">
        <v>700</v>
      </c>
    </row>
    <row r="12" spans="1:8" ht="14.25" customHeight="1">
      <c r="A12" s="48">
        <v>3680</v>
      </c>
      <c r="B12" s="48" t="s">
        <v>1686</v>
      </c>
      <c r="C12" s="48" t="s">
        <v>1677</v>
      </c>
      <c r="D12" s="48">
        <v>5</v>
      </c>
      <c r="E12" s="48">
        <v>35</v>
      </c>
      <c r="F12" s="48">
        <v>0</v>
      </c>
      <c r="G12" s="48">
        <v>35</v>
      </c>
      <c r="H12" s="48">
        <v>175</v>
      </c>
    </row>
    <row r="13" spans="1:8" ht="14.25" customHeight="1">
      <c r="A13" s="48">
        <v>3727</v>
      </c>
      <c r="B13" s="48" t="s">
        <v>1687</v>
      </c>
      <c r="C13" s="48" t="s">
        <v>1677</v>
      </c>
      <c r="D13" s="48">
        <v>20</v>
      </c>
      <c r="E13" s="48">
        <v>35</v>
      </c>
      <c r="F13" s="48">
        <v>0</v>
      </c>
      <c r="G13" s="48">
        <v>35</v>
      </c>
      <c r="H13" s="48">
        <v>700</v>
      </c>
    </row>
    <row r="14" spans="1:8" ht="14.25" customHeight="1">
      <c r="A14" s="48">
        <v>4276</v>
      </c>
      <c r="B14" s="48" t="s">
        <v>1688</v>
      </c>
      <c r="C14" s="48" t="s">
        <v>1677</v>
      </c>
      <c r="D14" s="48">
        <v>100</v>
      </c>
      <c r="E14" s="48">
        <v>15</v>
      </c>
      <c r="F14" s="48">
        <v>0</v>
      </c>
      <c r="G14" s="48">
        <v>15</v>
      </c>
      <c r="H14" s="277">
        <v>1500</v>
      </c>
    </row>
    <row r="15" spans="1:8" ht="14.25" customHeight="1">
      <c r="A15" s="48">
        <v>4280</v>
      </c>
      <c r="B15" s="48" t="s">
        <v>1689</v>
      </c>
      <c r="C15" s="48" t="s">
        <v>1677</v>
      </c>
      <c r="D15" s="48">
        <v>10</v>
      </c>
      <c r="E15" s="48">
        <v>15</v>
      </c>
      <c r="F15" s="48">
        <v>0</v>
      </c>
      <c r="G15" s="48">
        <v>15</v>
      </c>
      <c r="H15" s="48">
        <v>150</v>
      </c>
    </row>
    <row r="16" spans="1:8" ht="14.25" customHeight="1">
      <c r="A16" s="48">
        <v>4286</v>
      </c>
      <c r="B16" s="48" t="s">
        <v>1690</v>
      </c>
      <c r="C16" s="48" t="s">
        <v>1677</v>
      </c>
      <c r="D16" s="48">
        <v>200</v>
      </c>
      <c r="E16" s="48">
        <v>15</v>
      </c>
      <c r="F16" s="48">
        <v>0</v>
      </c>
      <c r="G16" s="48">
        <v>15</v>
      </c>
      <c r="H16" s="277">
        <v>3000</v>
      </c>
    </row>
    <row r="17" spans="1:8" ht="14.25" customHeight="1">
      <c r="A17" s="48">
        <v>4293</v>
      </c>
      <c r="B17" s="48" t="s">
        <v>1691</v>
      </c>
      <c r="C17" s="48" t="s">
        <v>1677</v>
      </c>
      <c r="D17" s="48">
        <v>10</v>
      </c>
      <c r="E17" s="48">
        <v>15</v>
      </c>
      <c r="F17" s="48">
        <v>0</v>
      </c>
      <c r="G17" s="48">
        <v>15</v>
      </c>
      <c r="H17" s="48">
        <v>150</v>
      </c>
    </row>
    <row r="18" spans="1:8" ht="14.25" customHeight="1">
      <c r="A18" s="48">
        <v>4295</v>
      </c>
      <c r="B18" s="48" t="s">
        <v>1692</v>
      </c>
      <c r="C18" s="48" t="s">
        <v>1677</v>
      </c>
      <c r="D18" s="48">
        <v>10</v>
      </c>
      <c r="E18" s="48">
        <v>15</v>
      </c>
      <c r="F18" s="48">
        <v>0</v>
      </c>
      <c r="G18" s="48">
        <v>15</v>
      </c>
      <c r="H18" s="48">
        <v>150</v>
      </c>
    </row>
    <row r="19" spans="1:8" ht="14.25" customHeight="1">
      <c r="A19" s="48">
        <v>4297</v>
      </c>
      <c r="B19" s="48" t="s">
        <v>1693</v>
      </c>
      <c r="C19" s="48" t="s">
        <v>1677</v>
      </c>
      <c r="D19" s="48">
        <v>20</v>
      </c>
      <c r="E19" s="48">
        <v>15</v>
      </c>
      <c r="F19" s="48">
        <v>0</v>
      </c>
      <c r="G19" s="48">
        <v>15</v>
      </c>
      <c r="H19" s="48">
        <v>300</v>
      </c>
    </row>
    <row r="20" spans="1:8" ht="14.25" customHeight="1">
      <c r="A20" s="48">
        <v>4307</v>
      </c>
      <c r="B20" s="48" t="s">
        <v>1694</v>
      </c>
      <c r="C20" s="48" t="s">
        <v>1677</v>
      </c>
      <c r="D20" s="48">
        <v>10</v>
      </c>
      <c r="E20" s="48">
        <v>15</v>
      </c>
      <c r="F20" s="48">
        <v>0</v>
      </c>
      <c r="G20" s="48">
        <v>15</v>
      </c>
      <c r="H20" s="48">
        <v>150</v>
      </c>
    </row>
    <row r="21" spans="1:8" ht="15.75" customHeight="1">
      <c r="A21" s="48">
        <v>4309</v>
      </c>
      <c r="B21" s="48" t="s">
        <v>1695</v>
      </c>
      <c r="C21" s="48" t="s">
        <v>1677</v>
      </c>
      <c r="D21" s="48">
        <v>10</v>
      </c>
      <c r="E21" s="48">
        <v>15</v>
      </c>
      <c r="F21" s="48">
        <v>0</v>
      </c>
      <c r="G21" s="48">
        <v>15</v>
      </c>
      <c r="H21" s="48">
        <v>150</v>
      </c>
    </row>
    <row r="22" spans="1:8" ht="15.75" customHeight="1">
      <c r="A22" s="48">
        <v>4317</v>
      </c>
      <c r="B22" s="48" t="s">
        <v>1696</v>
      </c>
      <c r="C22" s="48" t="s">
        <v>1677</v>
      </c>
      <c r="D22" s="48">
        <v>10</v>
      </c>
      <c r="E22" s="48">
        <v>15</v>
      </c>
      <c r="F22" s="48">
        <v>0</v>
      </c>
      <c r="G22" s="48">
        <v>15</v>
      </c>
      <c r="H22" s="48">
        <v>150</v>
      </c>
    </row>
    <row r="23" spans="1:8" ht="15.75" customHeight="1">
      <c r="A23" s="48">
        <v>5372</v>
      </c>
      <c r="B23" s="48" t="s">
        <v>1697</v>
      </c>
      <c r="C23" s="48" t="s">
        <v>1668</v>
      </c>
      <c r="D23" s="48">
        <v>1000</v>
      </c>
      <c r="E23" s="48">
        <v>21.9</v>
      </c>
      <c r="F23" s="48">
        <v>0</v>
      </c>
      <c r="G23" s="48">
        <v>21.9</v>
      </c>
      <c r="H23" s="277">
        <v>21900</v>
      </c>
    </row>
    <row r="24" spans="1:8" ht="15.75" customHeight="1">
      <c r="A24" s="48">
        <v>5375</v>
      </c>
      <c r="B24" s="48" t="s">
        <v>1698</v>
      </c>
      <c r="C24" s="48" t="s">
        <v>1675</v>
      </c>
      <c r="D24" s="48">
        <v>100</v>
      </c>
      <c r="E24" s="48">
        <v>50</v>
      </c>
      <c r="F24" s="48">
        <v>0</v>
      </c>
      <c r="G24" s="48">
        <v>50</v>
      </c>
      <c r="H24" s="277">
        <v>5000</v>
      </c>
    </row>
    <row r="25" spans="1:8" ht="15.75" customHeight="1">
      <c r="A25" s="48">
        <v>6230</v>
      </c>
      <c r="B25" s="48" t="s">
        <v>1699</v>
      </c>
      <c r="C25" s="48" t="s">
        <v>1668</v>
      </c>
      <c r="D25" s="48">
        <v>100</v>
      </c>
      <c r="E25" s="48">
        <v>49.9</v>
      </c>
      <c r="F25" s="48">
        <v>0</v>
      </c>
      <c r="G25" s="48">
        <v>49.9</v>
      </c>
      <c r="H25" s="277">
        <v>4990</v>
      </c>
    </row>
    <row r="26" spans="1:8" ht="15.75" customHeight="1">
      <c r="A26" s="48">
        <v>6232</v>
      </c>
      <c r="B26" s="48" t="s">
        <v>1700</v>
      </c>
      <c r="C26" s="48" t="s">
        <v>1668</v>
      </c>
      <c r="D26" s="48">
        <v>10</v>
      </c>
      <c r="E26" s="48">
        <v>49.9</v>
      </c>
      <c r="F26" s="48">
        <v>0</v>
      </c>
      <c r="G26" s="48">
        <v>49.9</v>
      </c>
      <c r="H26" s="48">
        <v>499</v>
      </c>
    </row>
    <row r="27" spans="1:8" ht="15.75" customHeight="1">
      <c r="A27" s="48">
        <v>6235</v>
      </c>
      <c r="B27" s="48" t="s">
        <v>1701</v>
      </c>
      <c r="C27" s="48" t="s">
        <v>1675</v>
      </c>
      <c r="D27" s="48">
        <v>10</v>
      </c>
      <c r="E27" s="48">
        <v>49.9</v>
      </c>
      <c r="F27" s="48">
        <v>0</v>
      </c>
      <c r="G27" s="48">
        <v>49.9</v>
      </c>
      <c r="H27" s="48">
        <v>499</v>
      </c>
    </row>
    <row r="28" spans="1:8" ht="15.75" customHeight="1">
      <c r="A28" s="48">
        <v>6238</v>
      </c>
      <c r="B28" s="48" t="s">
        <v>1702</v>
      </c>
      <c r="C28" s="48" t="s">
        <v>1668</v>
      </c>
      <c r="D28" s="48">
        <v>10</v>
      </c>
      <c r="E28" s="48">
        <v>49.9</v>
      </c>
      <c r="F28" s="48">
        <v>0</v>
      </c>
      <c r="G28" s="48">
        <v>49.9</v>
      </c>
      <c r="H28" s="48">
        <v>499</v>
      </c>
    </row>
    <row r="29" spans="1:8" ht="15.75" customHeight="1">
      <c r="A29" s="48">
        <v>6239</v>
      </c>
      <c r="B29" s="48" t="s">
        <v>1703</v>
      </c>
      <c r="C29" s="48" t="s">
        <v>1668</v>
      </c>
      <c r="D29" s="48">
        <v>10</v>
      </c>
      <c r="E29" s="48">
        <v>49.9</v>
      </c>
      <c r="F29" s="48">
        <v>0</v>
      </c>
      <c r="G29" s="48">
        <v>49.9</v>
      </c>
      <c r="H29" s="48">
        <v>499</v>
      </c>
    </row>
    <row r="30" spans="1:8" ht="15.75" customHeight="1">
      <c r="A30" s="48">
        <v>6260</v>
      </c>
      <c r="B30" s="48" t="s">
        <v>1704</v>
      </c>
      <c r="C30" s="48" t="s">
        <v>1668</v>
      </c>
      <c r="D30" s="48">
        <v>50</v>
      </c>
      <c r="E30" s="48">
        <v>49.9</v>
      </c>
      <c r="F30" s="48">
        <v>0</v>
      </c>
      <c r="G30" s="48">
        <v>49.9</v>
      </c>
      <c r="H30" s="277">
        <v>2495</v>
      </c>
    </row>
    <row r="31" spans="1:8" ht="15.75" customHeight="1">
      <c r="A31" s="48">
        <v>6346</v>
      </c>
      <c r="B31" s="48" t="s">
        <v>1705</v>
      </c>
      <c r="C31" s="48" t="s">
        <v>1677</v>
      </c>
      <c r="D31" s="48">
        <v>100</v>
      </c>
      <c r="E31" s="48">
        <v>69</v>
      </c>
      <c r="F31" s="48">
        <v>0</v>
      </c>
      <c r="G31" s="48">
        <v>69</v>
      </c>
      <c r="H31" s="277">
        <v>6800</v>
      </c>
    </row>
    <row r="32" spans="1:8" ht="15.75" customHeight="1">
      <c r="A32" s="48">
        <v>6517</v>
      </c>
      <c r="B32" s="48" t="s">
        <v>1706</v>
      </c>
      <c r="C32" s="48" t="s">
        <v>1677</v>
      </c>
      <c r="D32" s="48">
        <v>5</v>
      </c>
      <c r="E32" s="48">
        <v>35</v>
      </c>
      <c r="F32" s="48">
        <v>0</v>
      </c>
      <c r="G32" s="48">
        <v>35</v>
      </c>
      <c r="H32" s="48">
        <v>175</v>
      </c>
    </row>
    <row r="33" spans="1:8" ht="15.75" customHeight="1">
      <c r="A33" s="48">
        <v>6519</v>
      </c>
      <c r="B33" s="48" t="s">
        <v>1707</v>
      </c>
      <c r="C33" s="48" t="s">
        <v>1677</v>
      </c>
      <c r="D33" s="48">
        <v>20</v>
      </c>
      <c r="E33" s="48">
        <v>35</v>
      </c>
      <c r="F33" s="48">
        <v>0</v>
      </c>
      <c r="G33" s="48">
        <v>35</v>
      </c>
      <c r="H33" s="48">
        <v>700</v>
      </c>
    </row>
    <row r="34" spans="1:8" ht="15.75" customHeight="1">
      <c r="A34" s="48">
        <v>6521</v>
      </c>
      <c r="B34" s="48" t="s">
        <v>1708</v>
      </c>
      <c r="C34" s="48" t="s">
        <v>1677</v>
      </c>
      <c r="D34" s="48">
        <v>5</v>
      </c>
      <c r="E34" s="48">
        <v>35</v>
      </c>
      <c r="F34" s="48">
        <v>0</v>
      </c>
      <c r="G34" s="48">
        <v>35</v>
      </c>
      <c r="H34" s="48">
        <v>175</v>
      </c>
    </row>
    <row r="35" spans="1:8" ht="15.75" customHeight="1">
      <c r="A35" s="48">
        <v>6527</v>
      </c>
      <c r="B35" s="48" t="s">
        <v>1709</v>
      </c>
      <c r="C35" s="48" t="s">
        <v>1677</v>
      </c>
      <c r="D35" s="48">
        <v>10</v>
      </c>
      <c r="E35" s="48">
        <v>15</v>
      </c>
      <c r="F35" s="48">
        <v>0</v>
      </c>
      <c r="G35" s="48">
        <v>15</v>
      </c>
      <c r="H35" s="48">
        <v>150</v>
      </c>
    </row>
    <row r="36" spans="1:8" ht="15.75" customHeight="1">
      <c r="A36" s="48">
        <v>6528</v>
      </c>
      <c r="B36" s="48" t="s">
        <v>1710</v>
      </c>
      <c r="C36" s="48" t="s">
        <v>1675</v>
      </c>
      <c r="D36" s="48">
        <v>10</v>
      </c>
      <c r="E36" s="48">
        <v>49.9</v>
      </c>
      <c r="F36" s="48">
        <v>0</v>
      </c>
      <c r="G36" s="48">
        <v>49.9</v>
      </c>
      <c r="H36" s="48">
        <v>499</v>
      </c>
    </row>
    <row r="37" spans="1:8" ht="15.75" customHeight="1">
      <c r="A37" s="48">
        <v>6925</v>
      </c>
      <c r="B37" s="48" t="s">
        <v>1711</v>
      </c>
      <c r="C37" s="48" t="s">
        <v>1668</v>
      </c>
      <c r="D37" s="48">
        <v>5</v>
      </c>
      <c r="E37" s="48">
        <v>154</v>
      </c>
      <c r="F37" s="48">
        <v>0</v>
      </c>
      <c r="G37" s="48">
        <v>154</v>
      </c>
      <c r="H37" s="48">
        <v>770</v>
      </c>
    </row>
    <row r="38" spans="1:8" ht="15.75" customHeight="1">
      <c r="A38" s="48">
        <v>6927</v>
      </c>
      <c r="B38" s="48" t="s">
        <v>1712</v>
      </c>
      <c r="C38" s="48" t="s">
        <v>1668</v>
      </c>
      <c r="D38" s="48">
        <v>5</v>
      </c>
      <c r="E38" s="48">
        <v>154</v>
      </c>
      <c r="F38" s="48">
        <v>0</v>
      </c>
      <c r="G38" s="48">
        <v>154</v>
      </c>
      <c r="H38" s="48">
        <v>770</v>
      </c>
    </row>
    <row r="39" spans="1:8" ht="15.75" customHeight="1">
      <c r="A39" s="48">
        <v>6928</v>
      </c>
      <c r="B39" s="48" t="s">
        <v>1713</v>
      </c>
      <c r="C39" s="48" t="s">
        <v>1668</v>
      </c>
      <c r="D39" s="48">
        <v>5</v>
      </c>
      <c r="E39" s="48">
        <v>154</v>
      </c>
      <c r="F39" s="48">
        <v>0</v>
      </c>
      <c r="G39" s="48">
        <v>154</v>
      </c>
      <c r="H39" s="48">
        <v>770</v>
      </c>
    </row>
    <row r="40" spans="1:8" ht="15.75" customHeight="1">
      <c r="A40" s="48">
        <v>6929</v>
      </c>
      <c r="B40" s="48" t="s">
        <v>1714</v>
      </c>
      <c r="C40" s="48" t="s">
        <v>1668</v>
      </c>
      <c r="D40" s="48">
        <v>10</v>
      </c>
      <c r="E40" s="48">
        <v>154</v>
      </c>
      <c r="F40" s="48">
        <v>0</v>
      </c>
      <c r="G40" s="48">
        <v>154</v>
      </c>
      <c r="H40" s="277">
        <v>1540</v>
      </c>
    </row>
    <row r="41" spans="1:8" ht="15.75" customHeight="1">
      <c r="A41" s="48">
        <v>6930</v>
      </c>
      <c r="B41" s="48" t="s">
        <v>1715</v>
      </c>
      <c r="C41" s="48" t="s">
        <v>1675</v>
      </c>
      <c r="D41" s="48">
        <v>5</v>
      </c>
      <c r="E41" s="48">
        <v>154</v>
      </c>
      <c r="F41" s="48">
        <v>0</v>
      </c>
      <c r="G41" s="48">
        <v>154</v>
      </c>
      <c r="H41" s="48">
        <v>770</v>
      </c>
    </row>
    <row r="42" spans="1:8" ht="15.75" customHeight="1">
      <c r="A42" s="48">
        <v>6931</v>
      </c>
      <c r="B42" s="48" t="s">
        <v>1716</v>
      </c>
      <c r="C42" s="48" t="s">
        <v>1668</v>
      </c>
      <c r="D42" s="48">
        <v>10</v>
      </c>
      <c r="E42" s="48">
        <v>154</v>
      </c>
      <c r="F42" s="48">
        <v>0</v>
      </c>
      <c r="G42" s="48">
        <v>154</v>
      </c>
      <c r="H42" s="277">
        <v>1540</v>
      </c>
    </row>
    <row r="43" spans="1:8" ht="15.75" customHeight="1">
      <c r="A43" s="48">
        <v>6932</v>
      </c>
      <c r="B43" s="48" t="s">
        <v>1717</v>
      </c>
      <c r="C43" s="48" t="s">
        <v>1675</v>
      </c>
      <c r="D43" s="48">
        <v>5</v>
      </c>
      <c r="E43" s="48">
        <v>154</v>
      </c>
      <c r="F43" s="48">
        <v>0</v>
      </c>
      <c r="G43" s="48">
        <v>154</v>
      </c>
      <c r="H43" s="48">
        <v>770</v>
      </c>
    </row>
    <row r="44" spans="1:8" ht="15.75" customHeight="1">
      <c r="A44" s="48">
        <v>6934</v>
      </c>
      <c r="B44" s="48" t="s">
        <v>1718</v>
      </c>
      <c r="C44" s="48" t="s">
        <v>1668</v>
      </c>
      <c r="D44" s="48">
        <v>50</v>
      </c>
      <c r="E44" s="48">
        <v>154</v>
      </c>
      <c r="F44" s="48">
        <v>0</v>
      </c>
      <c r="G44" s="48">
        <v>154</v>
      </c>
      <c r="H44" s="277">
        <v>7700</v>
      </c>
    </row>
    <row r="45" spans="1:8" ht="15.75" customHeight="1">
      <c r="A45" s="48">
        <v>6935</v>
      </c>
      <c r="B45" s="48" t="s">
        <v>1719</v>
      </c>
      <c r="C45" s="48" t="s">
        <v>1668</v>
      </c>
      <c r="D45" s="48">
        <v>75</v>
      </c>
      <c r="E45" s="48">
        <v>154</v>
      </c>
      <c r="F45" s="48">
        <v>0</v>
      </c>
      <c r="G45" s="48">
        <v>154</v>
      </c>
      <c r="H45" s="277">
        <v>11550</v>
      </c>
    </row>
    <row r="46" spans="1:8" ht="15.75" customHeight="1">
      <c r="A46" s="48">
        <v>6936</v>
      </c>
      <c r="B46" s="48" t="s">
        <v>1720</v>
      </c>
      <c r="C46" s="48" t="s">
        <v>1675</v>
      </c>
      <c r="D46" s="48">
        <v>10</v>
      </c>
      <c r="E46" s="48">
        <v>154</v>
      </c>
      <c r="F46" s="48">
        <v>0</v>
      </c>
      <c r="G46" s="48">
        <v>154</v>
      </c>
      <c r="H46" s="277">
        <v>1540</v>
      </c>
    </row>
    <row r="47" spans="1:8" ht="15.75" customHeight="1">
      <c r="A47" s="48">
        <v>6937</v>
      </c>
      <c r="B47" s="48" t="s">
        <v>1721</v>
      </c>
      <c r="C47" s="48" t="s">
        <v>1668</v>
      </c>
      <c r="D47" s="48">
        <v>10</v>
      </c>
      <c r="E47" s="48">
        <v>154</v>
      </c>
      <c r="F47" s="48">
        <v>0</v>
      </c>
      <c r="G47" s="48">
        <v>154</v>
      </c>
      <c r="H47" s="277">
        <v>1540</v>
      </c>
    </row>
    <row r="48" spans="1:8" ht="15.75" customHeight="1">
      <c r="A48" s="48">
        <v>6938</v>
      </c>
      <c r="B48" s="48" t="s">
        <v>1722</v>
      </c>
      <c r="C48" s="48" t="s">
        <v>1668</v>
      </c>
      <c r="D48" s="48">
        <v>5</v>
      </c>
      <c r="E48" s="48">
        <v>154</v>
      </c>
      <c r="F48" s="48">
        <v>0</v>
      </c>
      <c r="G48" s="48">
        <v>154</v>
      </c>
      <c r="H48" s="48">
        <v>770</v>
      </c>
    </row>
    <row r="49" spans="1:8" ht="15.75" customHeight="1">
      <c r="A49" s="48">
        <v>6940</v>
      </c>
      <c r="B49" s="48" t="s">
        <v>1723</v>
      </c>
      <c r="C49" s="48" t="s">
        <v>1668</v>
      </c>
      <c r="D49" s="48">
        <v>5</v>
      </c>
      <c r="E49" s="48">
        <v>154</v>
      </c>
      <c r="F49" s="48">
        <v>0</v>
      </c>
      <c r="G49" s="48">
        <v>154</v>
      </c>
      <c r="H49" s="48">
        <v>770</v>
      </c>
    </row>
    <row r="50" spans="1:8" ht="15.75" customHeight="1">
      <c r="A50" s="48">
        <v>6941</v>
      </c>
      <c r="B50" s="48" t="s">
        <v>1724</v>
      </c>
      <c r="C50" s="48" t="s">
        <v>1668</v>
      </c>
      <c r="D50" s="48">
        <v>5</v>
      </c>
      <c r="E50" s="48">
        <v>154</v>
      </c>
      <c r="F50" s="48">
        <v>0</v>
      </c>
      <c r="G50" s="48">
        <v>154</v>
      </c>
      <c r="H50" s="48">
        <v>770</v>
      </c>
    </row>
    <row r="51" spans="1:8" ht="15.75" customHeight="1">
      <c r="A51" s="48">
        <v>6942</v>
      </c>
      <c r="B51" s="48" t="s">
        <v>1725</v>
      </c>
      <c r="C51" s="48" t="s">
        <v>1668</v>
      </c>
      <c r="D51" s="48">
        <v>5</v>
      </c>
      <c r="E51" s="48">
        <v>154</v>
      </c>
      <c r="F51" s="48">
        <v>0</v>
      </c>
      <c r="G51" s="48">
        <v>154</v>
      </c>
      <c r="H51" s="48">
        <v>770</v>
      </c>
    </row>
    <row r="52" spans="1:8" ht="15.75" customHeight="1">
      <c r="A52" s="48">
        <v>6987</v>
      </c>
      <c r="B52" s="48" t="s">
        <v>1726</v>
      </c>
      <c r="C52" s="48" t="s">
        <v>1677</v>
      </c>
      <c r="D52" s="48">
        <v>10</v>
      </c>
      <c r="E52" s="48">
        <v>42</v>
      </c>
      <c r="F52" s="48">
        <v>0</v>
      </c>
      <c r="G52" s="48">
        <v>42</v>
      </c>
      <c r="H52" s="48">
        <v>420</v>
      </c>
    </row>
    <row r="53" spans="1:8" ht="15.75" customHeight="1">
      <c r="A53" s="48">
        <v>6989</v>
      </c>
      <c r="B53" s="48" t="s">
        <v>1727</v>
      </c>
      <c r="C53" s="48" t="s">
        <v>1677</v>
      </c>
      <c r="D53" s="48">
        <v>20</v>
      </c>
      <c r="E53" s="48">
        <v>42</v>
      </c>
      <c r="F53" s="48">
        <v>0</v>
      </c>
      <c r="G53" s="48">
        <v>42</v>
      </c>
      <c r="H53" s="48">
        <v>840</v>
      </c>
    </row>
    <row r="54" spans="1:8" ht="15.75" customHeight="1">
      <c r="A54" s="48">
        <v>7002</v>
      </c>
      <c r="B54" s="48" t="s">
        <v>1728</v>
      </c>
      <c r="C54" s="48" t="s">
        <v>1677</v>
      </c>
      <c r="D54" s="48">
        <v>20</v>
      </c>
      <c r="E54" s="48">
        <v>42</v>
      </c>
      <c r="F54" s="48">
        <v>0</v>
      </c>
      <c r="G54" s="48">
        <v>42</v>
      </c>
      <c r="H54" s="48">
        <v>840</v>
      </c>
    </row>
    <row r="55" spans="1:8" ht="15.75" customHeight="1">
      <c r="A55" s="48">
        <v>7003</v>
      </c>
      <c r="B55" s="48" t="s">
        <v>1729</v>
      </c>
      <c r="C55" s="48" t="s">
        <v>1677</v>
      </c>
      <c r="D55" s="48">
        <v>10</v>
      </c>
      <c r="E55" s="48">
        <v>12.8</v>
      </c>
      <c r="F55" s="48">
        <v>0</v>
      </c>
      <c r="G55" s="48">
        <v>12.8</v>
      </c>
      <c r="H55" s="48">
        <v>128</v>
      </c>
    </row>
    <row r="56" spans="1:8" ht="15.75" customHeight="1">
      <c r="A56" s="48">
        <v>7008</v>
      </c>
      <c r="B56" s="48" t="s">
        <v>1730</v>
      </c>
      <c r="C56" s="48" t="s">
        <v>1668</v>
      </c>
      <c r="D56" s="48">
        <v>20</v>
      </c>
      <c r="E56" s="48">
        <v>49.9</v>
      </c>
      <c r="F56" s="48">
        <v>0</v>
      </c>
      <c r="G56" s="48">
        <v>49.9</v>
      </c>
      <c r="H56" s="48">
        <v>998</v>
      </c>
    </row>
    <row r="57" spans="1:8" ht="15.75" customHeight="1">
      <c r="A57" s="48">
        <v>7012</v>
      </c>
      <c r="B57" s="48" t="s">
        <v>1731</v>
      </c>
      <c r="C57" s="48" t="s">
        <v>1668</v>
      </c>
      <c r="D57" s="48">
        <v>20</v>
      </c>
      <c r="E57" s="48">
        <v>49.9</v>
      </c>
      <c r="F57" s="48">
        <v>0</v>
      </c>
      <c r="G57" s="48">
        <v>49.9</v>
      </c>
      <c r="H57" s="48">
        <v>998</v>
      </c>
    </row>
    <row r="58" spans="1:8" ht="15.75" customHeight="1">
      <c r="A58" s="48">
        <v>7014</v>
      </c>
      <c r="B58" s="48" t="s">
        <v>1732</v>
      </c>
      <c r="C58" s="48" t="s">
        <v>1668</v>
      </c>
      <c r="D58" s="48">
        <v>10</v>
      </c>
      <c r="E58" s="48">
        <v>49.9</v>
      </c>
      <c r="F58" s="48">
        <v>0</v>
      </c>
      <c r="G58" s="48">
        <v>49.9</v>
      </c>
      <c r="H58" s="48">
        <v>499</v>
      </c>
    </row>
    <row r="59" spans="1:8" ht="15.75" customHeight="1">
      <c r="A59" s="48">
        <v>7023</v>
      </c>
      <c r="B59" s="48" t="s">
        <v>1733</v>
      </c>
      <c r="C59" s="48" t="s">
        <v>1677</v>
      </c>
      <c r="D59" s="48">
        <v>20</v>
      </c>
      <c r="E59" s="48">
        <v>15</v>
      </c>
      <c r="F59" s="48">
        <v>0</v>
      </c>
      <c r="G59" s="48">
        <v>15</v>
      </c>
      <c r="H59" s="48">
        <v>300</v>
      </c>
    </row>
    <row r="60" spans="1:8" ht="15.75" customHeight="1">
      <c r="A60" s="48">
        <v>7032</v>
      </c>
      <c r="B60" s="48" t="s">
        <v>1734</v>
      </c>
      <c r="C60" s="48" t="s">
        <v>1677</v>
      </c>
      <c r="D60" s="48">
        <v>10</v>
      </c>
      <c r="E60" s="48">
        <v>15</v>
      </c>
      <c r="F60" s="48">
        <v>0</v>
      </c>
      <c r="G60" s="48">
        <v>15</v>
      </c>
      <c r="H60" s="48">
        <v>150</v>
      </c>
    </row>
    <row r="61" spans="1:8" ht="15.75" customHeight="1">
      <c r="A61" s="48">
        <v>7044</v>
      </c>
      <c r="B61" s="48" t="s">
        <v>1735</v>
      </c>
      <c r="C61" s="48" t="s">
        <v>1677</v>
      </c>
      <c r="D61" s="48">
        <v>10</v>
      </c>
      <c r="E61" s="48">
        <v>15</v>
      </c>
      <c r="F61" s="48">
        <v>0</v>
      </c>
      <c r="G61" s="48">
        <v>15</v>
      </c>
      <c r="H61" s="48">
        <v>150</v>
      </c>
    </row>
    <row r="62" spans="1:8" ht="15.75" customHeight="1">
      <c r="A62" s="48">
        <v>7094</v>
      </c>
      <c r="B62" s="48" t="s">
        <v>1736</v>
      </c>
      <c r="C62" s="48" t="s">
        <v>1677</v>
      </c>
      <c r="D62" s="48">
        <v>10</v>
      </c>
      <c r="E62" s="48">
        <v>57</v>
      </c>
      <c r="F62" s="48">
        <v>0</v>
      </c>
      <c r="G62" s="48">
        <v>57</v>
      </c>
      <c r="H62" s="48">
        <v>570</v>
      </c>
    </row>
    <row r="63" spans="1:8" ht="15.75" customHeight="1">
      <c r="A63" s="48">
        <v>7095</v>
      </c>
      <c r="B63" s="48" t="s">
        <v>1737</v>
      </c>
      <c r="C63" s="48" t="s">
        <v>1677</v>
      </c>
      <c r="D63" s="48">
        <v>10</v>
      </c>
      <c r="E63" s="48">
        <v>57</v>
      </c>
      <c r="F63" s="48">
        <v>0</v>
      </c>
      <c r="G63" s="48">
        <v>57</v>
      </c>
      <c r="H63" s="48">
        <v>570</v>
      </c>
    </row>
    <row r="64" spans="1:8" ht="15.75" customHeight="1">
      <c r="A64" s="48">
        <v>7096</v>
      </c>
      <c r="B64" s="48" t="s">
        <v>1738</v>
      </c>
      <c r="C64" s="48" t="s">
        <v>1677</v>
      </c>
      <c r="D64" s="48">
        <v>20</v>
      </c>
      <c r="E64" s="48">
        <v>57</v>
      </c>
      <c r="F64" s="48">
        <v>0</v>
      </c>
      <c r="G64" s="48">
        <v>57</v>
      </c>
      <c r="H64" s="277">
        <v>1140</v>
      </c>
    </row>
    <row r="65" spans="1:8" ht="15.75" customHeight="1">
      <c r="A65" s="48">
        <v>7177</v>
      </c>
      <c r="B65" s="48" t="s">
        <v>1739</v>
      </c>
      <c r="C65" s="48" t="s">
        <v>1675</v>
      </c>
      <c r="D65" s="48">
        <v>100</v>
      </c>
      <c r="E65" s="48">
        <v>12.8</v>
      </c>
      <c r="F65" s="48">
        <v>0</v>
      </c>
      <c r="G65" s="48">
        <v>12.8</v>
      </c>
      <c r="H65" s="277">
        <v>1280</v>
      </c>
    </row>
    <row r="66" spans="1:8" ht="15.75" customHeight="1">
      <c r="A66" s="48">
        <v>7178</v>
      </c>
      <c r="B66" s="48" t="s">
        <v>1740</v>
      </c>
      <c r="C66" s="48" t="s">
        <v>1675</v>
      </c>
      <c r="D66" s="48">
        <v>50</v>
      </c>
      <c r="E66" s="48">
        <v>16.2</v>
      </c>
      <c r="F66" s="48">
        <v>0</v>
      </c>
      <c r="G66" s="48">
        <v>16.2</v>
      </c>
      <c r="H66" s="48">
        <v>810</v>
      </c>
    </row>
    <row r="67" spans="1:8" ht="15.75" customHeight="1">
      <c r="A67" s="48">
        <v>7190</v>
      </c>
      <c r="B67" s="48" t="s">
        <v>1741</v>
      </c>
      <c r="C67" s="48" t="s">
        <v>1677</v>
      </c>
      <c r="D67" s="48">
        <v>10</v>
      </c>
      <c r="E67" s="48">
        <v>57</v>
      </c>
      <c r="F67" s="48">
        <v>0</v>
      </c>
      <c r="G67" s="48">
        <v>57</v>
      </c>
      <c r="H67" s="48">
        <v>570</v>
      </c>
    </row>
    <row r="68" spans="1:8" ht="15.75" customHeight="1">
      <c r="A68" s="48">
        <v>7191</v>
      </c>
      <c r="B68" s="48" t="s">
        <v>1742</v>
      </c>
      <c r="C68" s="48" t="s">
        <v>1677</v>
      </c>
      <c r="D68" s="48">
        <v>10</v>
      </c>
      <c r="E68" s="48">
        <v>57</v>
      </c>
      <c r="F68" s="48">
        <v>0</v>
      </c>
      <c r="G68" s="48">
        <v>57</v>
      </c>
      <c r="H68" s="48">
        <v>570</v>
      </c>
    </row>
    <row r="69" spans="1:8" ht="15.75" customHeight="1">
      <c r="A69" s="48">
        <v>7199</v>
      </c>
      <c r="B69" s="48" t="s">
        <v>1743</v>
      </c>
      <c r="C69" s="48" t="s">
        <v>1675</v>
      </c>
      <c r="D69" s="48">
        <v>100</v>
      </c>
      <c r="E69" s="48">
        <v>12.8</v>
      </c>
      <c r="F69" s="48">
        <v>0</v>
      </c>
      <c r="G69" s="48">
        <v>12.8</v>
      </c>
      <c r="H69" s="277">
        <v>1280</v>
      </c>
    </row>
    <row r="70" spans="1:8" ht="15.75" customHeight="1">
      <c r="A70" s="48">
        <v>7200</v>
      </c>
      <c r="B70" s="48" t="s">
        <v>1744</v>
      </c>
      <c r="C70" s="48" t="s">
        <v>1675</v>
      </c>
      <c r="D70" s="48">
        <v>50</v>
      </c>
      <c r="E70" s="48">
        <v>12.8</v>
      </c>
      <c r="F70" s="48">
        <v>0</v>
      </c>
      <c r="G70" s="48">
        <v>12.8</v>
      </c>
      <c r="H70" s="48">
        <v>640</v>
      </c>
    </row>
    <row r="71" spans="1:8" ht="15.75" customHeight="1">
      <c r="A71" s="48">
        <v>7295</v>
      </c>
      <c r="B71" s="48" t="s">
        <v>1745</v>
      </c>
      <c r="C71" s="48" t="s">
        <v>1677</v>
      </c>
      <c r="D71" s="48">
        <v>200</v>
      </c>
      <c r="E71" s="48">
        <v>9.5</v>
      </c>
      <c r="F71" s="48">
        <v>0</v>
      </c>
      <c r="G71" s="48">
        <v>9.5</v>
      </c>
      <c r="H71" s="277">
        <v>1900</v>
      </c>
    </row>
    <row r="72" spans="1:8" ht="15.75" customHeight="1">
      <c r="A72" s="48">
        <v>7296</v>
      </c>
      <c r="B72" s="48" t="s">
        <v>1746</v>
      </c>
      <c r="C72" s="48" t="s">
        <v>1677</v>
      </c>
      <c r="D72" s="48">
        <v>200</v>
      </c>
      <c r="E72" s="48">
        <v>15</v>
      </c>
      <c r="F72" s="48">
        <v>0</v>
      </c>
      <c r="G72" s="48">
        <v>15</v>
      </c>
      <c r="H72" s="277">
        <v>3000</v>
      </c>
    </row>
    <row r="73" spans="1:8" ht="15.75" customHeight="1">
      <c r="A73" s="48">
        <v>7330</v>
      </c>
      <c r="B73" s="48" t="s">
        <v>1747</v>
      </c>
      <c r="C73" s="48" t="s">
        <v>1675</v>
      </c>
      <c r="D73" s="48">
        <v>50</v>
      </c>
      <c r="E73" s="48">
        <v>16.2</v>
      </c>
      <c r="F73" s="48">
        <v>0</v>
      </c>
      <c r="G73" s="48">
        <v>16.2</v>
      </c>
      <c r="H73" s="48">
        <v>810</v>
      </c>
    </row>
    <row r="74" spans="1:8" ht="15.75" customHeight="1">
      <c r="A74" s="48">
        <v>7331</v>
      </c>
      <c r="B74" s="48" t="s">
        <v>1748</v>
      </c>
      <c r="C74" s="48" t="s">
        <v>1675</v>
      </c>
      <c r="D74" s="48">
        <v>75</v>
      </c>
      <c r="E74" s="48">
        <v>16.2</v>
      </c>
      <c r="F74" s="48">
        <v>0</v>
      </c>
      <c r="G74" s="48">
        <v>16.2</v>
      </c>
      <c r="H74" s="277">
        <v>1215</v>
      </c>
    </row>
    <row r="75" spans="1:8" ht="15.75" customHeight="1">
      <c r="A75" s="48">
        <v>7332</v>
      </c>
      <c r="B75" s="48" t="s">
        <v>1749</v>
      </c>
      <c r="C75" s="48" t="s">
        <v>1675</v>
      </c>
      <c r="D75" s="48">
        <v>50</v>
      </c>
      <c r="E75" s="48">
        <v>16.2</v>
      </c>
      <c r="F75" s="48">
        <v>0</v>
      </c>
      <c r="G75" s="48">
        <v>16.2</v>
      </c>
      <c r="H75" s="48">
        <v>810</v>
      </c>
    </row>
    <row r="76" spans="1:8" ht="15.75" customHeight="1">
      <c r="A76" s="48">
        <v>7333</v>
      </c>
      <c r="B76" s="48" t="s">
        <v>1750</v>
      </c>
      <c r="C76" s="48" t="s">
        <v>1675</v>
      </c>
      <c r="D76" s="48">
        <v>75</v>
      </c>
      <c r="E76" s="48">
        <v>16.2</v>
      </c>
      <c r="F76" s="48">
        <v>0</v>
      </c>
      <c r="G76" s="48">
        <v>16.2</v>
      </c>
      <c r="H76" s="277">
        <v>1215</v>
      </c>
    </row>
    <row r="77" spans="1:8" ht="15.75" customHeight="1">
      <c r="A77" s="48">
        <v>7334</v>
      </c>
      <c r="B77" s="48" t="s">
        <v>1751</v>
      </c>
      <c r="C77" s="48" t="s">
        <v>1675</v>
      </c>
      <c r="D77" s="48">
        <v>50</v>
      </c>
      <c r="E77" s="48">
        <v>16.2</v>
      </c>
      <c r="F77" s="48">
        <v>0</v>
      </c>
      <c r="G77" s="48">
        <v>16.2</v>
      </c>
      <c r="H77" s="48">
        <v>810</v>
      </c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63"/>
  <sheetViews>
    <sheetView zoomScaleNormal="100" workbookViewId="0"/>
  </sheetViews>
  <sheetFormatPr baseColWidth="10" defaultColWidth="8.5" defaultRowHeight="15"/>
  <cols>
    <col min="1" max="1" width="10" customWidth="1"/>
    <col min="2" max="2" width="42" customWidth="1"/>
    <col min="3" max="6" width="12" customWidth="1"/>
    <col min="7" max="7" width="10" customWidth="1"/>
    <col min="8" max="8" width="12" customWidth="1"/>
    <col min="9" max="11" width="14" customWidth="1"/>
  </cols>
  <sheetData>
    <row r="1" spans="1:11" ht="31.5" customHeight="1">
      <c r="A1" s="308" t="s">
        <v>1752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</row>
    <row r="3" spans="1:11">
      <c r="A3" s="309" t="s">
        <v>1753</v>
      </c>
      <c r="B3" s="309"/>
      <c r="C3" s="309"/>
      <c r="D3" s="309"/>
      <c r="E3" s="309"/>
      <c r="F3" s="309"/>
      <c r="G3" s="309"/>
      <c r="H3" s="309"/>
      <c r="I3" s="309"/>
      <c r="J3" s="309"/>
      <c r="K3" s="309"/>
    </row>
    <row r="4" spans="1:11">
      <c r="A4" s="278" t="s">
        <v>1754</v>
      </c>
      <c r="B4" s="279" t="str">
        <f>'Despesas Fixas'!F3</f>
        <v>Total</v>
      </c>
      <c r="C4" s="280" t="s">
        <v>1755</v>
      </c>
    </row>
    <row r="5" spans="1:11">
      <c r="A5" s="278" t="s">
        <v>1756</v>
      </c>
      <c r="B5" s="279">
        <f>'Despesas Fixas'!F4</f>
        <v>22985.370833333334</v>
      </c>
      <c r="C5" s="280" t="s">
        <v>1757</v>
      </c>
    </row>
    <row r="6" spans="1:11">
      <c r="A6" s="278" t="s">
        <v>1758</v>
      </c>
      <c r="B6" s="279" t="e">
        <f>'Despesas Fixas'!F3-'Despesas Fixas'!F4</f>
        <v>#VALUE!</v>
      </c>
      <c r="C6" s="280" t="s">
        <v>1759</v>
      </c>
    </row>
    <row r="7" spans="1:11">
      <c r="A7" s="278" t="s">
        <v>1760</v>
      </c>
      <c r="B7" s="281">
        <v>1200</v>
      </c>
      <c r="C7" s="280" t="s">
        <v>1761</v>
      </c>
    </row>
    <row r="8" spans="1:11">
      <c r="A8" s="278" t="s">
        <v>1762</v>
      </c>
      <c r="B8" s="279">
        <f>'Tabela de Produtos'!$R$1</f>
        <v>0.05</v>
      </c>
      <c r="C8" s="280" t="s">
        <v>1763</v>
      </c>
    </row>
    <row r="9" spans="1:11">
      <c r="A9" s="278" t="s">
        <v>1764</v>
      </c>
      <c r="B9" s="279">
        <v>0.11550000000000001</v>
      </c>
      <c r="C9" s="280" t="s">
        <v>1765</v>
      </c>
    </row>
    <row r="11" spans="1:11" ht="43.5" customHeight="1">
      <c r="A11" s="282" t="s">
        <v>2</v>
      </c>
      <c r="B11" s="282" t="s">
        <v>1144</v>
      </c>
      <c r="C11" s="111" t="s">
        <v>1766</v>
      </c>
      <c r="D11" s="111" t="s">
        <v>1767</v>
      </c>
      <c r="E11" s="282" t="s">
        <v>1768</v>
      </c>
      <c r="F11" s="111" t="s">
        <v>1769</v>
      </c>
      <c r="G11" s="111" t="s">
        <v>1770</v>
      </c>
      <c r="H11" s="112" t="s">
        <v>1771</v>
      </c>
      <c r="I11" s="283" t="s">
        <v>1772</v>
      </c>
      <c r="J11" s="112" t="s">
        <v>1773</v>
      </c>
      <c r="K11" s="284" t="s">
        <v>1774</v>
      </c>
    </row>
    <row r="12" spans="1:11">
      <c r="A12" s="285" t="str">
        <f>'Tabela de Produtos'!A4</f>
        <v>PRD00001</v>
      </c>
      <c r="B12" s="285" t="str">
        <f>'Tabela de Produtos'!B4</f>
        <v>BRAZIMIL MASSA CORRIDA 4,0KG</v>
      </c>
      <c r="C12" s="286">
        <f>'Tabela de Produtos'!Q4</f>
        <v>7.3000000000000007</v>
      </c>
      <c r="D12" s="286">
        <f>'Tabela de Produtos'!U4*(1-'Tabela de Produtos'!$R$1-'Tabela de Produtos'!$S$1)</f>
        <v>14.071199999999999</v>
      </c>
      <c r="E12" s="286">
        <f>'Tabela de Produtos'!U4</f>
        <v>15.99</v>
      </c>
      <c r="F12" s="287">
        <f t="shared" ref="F12:F43" si="0">D12-C12</f>
        <v>6.7711999999999986</v>
      </c>
      <c r="G12" s="288">
        <f t="shared" ref="G12:G43" si="1">IF(D12=0,"",F12/D12)</f>
        <v>0.4812098470635055</v>
      </c>
      <c r="H12" s="286" t="e">
        <f t="shared" ref="H12:H43" si="2">IF($B$7=0,0,$B$4/$B$7)</f>
        <v>#VALUE!</v>
      </c>
      <c r="I12" s="289">
        <f>ROUNDUP(C12/(1-'Tabela de Produtos'!$R$1-'Tabela de Produtos'!$S$1),2)</f>
        <v>8.2999999999999989</v>
      </c>
      <c r="J12" s="289">
        <f>ROUNDUP((C12+$B$7/'Tabela de Produtos'!$R$1)/(1-'Tabela de Produtos'!$R$1-'Tabela de Produtos'!$S$1),2)</f>
        <v>27281.03</v>
      </c>
      <c r="K12" s="290">
        <f t="shared" ref="K12:K43" si="3">E12-J12</f>
        <v>-27265.039999999997</v>
      </c>
    </row>
    <row r="13" spans="1:11">
      <c r="A13" s="285" t="str">
        <f>'Tabela de Produtos'!A5</f>
        <v>PRD00002</v>
      </c>
      <c r="B13" s="285" t="str">
        <f>'Tabela de Produtos'!B5</f>
        <v>BRAZIMIL MASSA CORRIDA 20,0 KG</v>
      </c>
      <c r="C13" s="286">
        <f>'Tabela de Produtos'!Q5</f>
        <v>29.81</v>
      </c>
      <c r="D13" s="286">
        <f>'Tabela de Produtos'!U5*(1-'Tabela de Produtos'!$R$1-'Tabela de Produtos'!$S$1)</f>
        <v>34.231999999999992</v>
      </c>
      <c r="E13" s="286">
        <f>'Tabela de Produtos'!U5</f>
        <v>38.9</v>
      </c>
      <c r="F13" s="287">
        <f t="shared" si="0"/>
        <v>4.4219999999999935</v>
      </c>
      <c r="G13" s="288">
        <f t="shared" si="1"/>
        <v>0.12917737789203068</v>
      </c>
      <c r="H13" s="286" t="e">
        <f t="shared" si="2"/>
        <v>#VALUE!</v>
      </c>
      <c r="I13" s="289">
        <f>ROUNDUP(C13/(1-'Tabela de Produtos'!$R$1-'Tabela de Produtos'!$S$1),2)</f>
        <v>33.879999999999995</v>
      </c>
      <c r="J13" s="289">
        <f>ROUNDUP((C13+$B$7/'Tabela de Produtos'!$R$1)/(1-'Tabela de Produtos'!$R$1-'Tabela de Produtos'!$S$1),2)</f>
        <v>27306.609999999997</v>
      </c>
      <c r="K13" s="290">
        <f t="shared" si="3"/>
        <v>-27267.709999999995</v>
      </c>
    </row>
    <row r="14" spans="1:11">
      <c r="A14" s="285" t="str">
        <f>'Tabela de Produtos'!A6</f>
        <v>PRD00003</v>
      </c>
      <c r="B14" s="285" t="str">
        <f>'Tabela de Produtos'!B6</f>
        <v>BRAZIMIL SELADOR ACRILICO 3L</v>
      </c>
      <c r="C14" s="286">
        <f>'Tabela de Produtos'!Q6</f>
        <v>6.63</v>
      </c>
      <c r="D14" s="286">
        <f>'Tabela de Produtos'!U6*(1-'Tabela de Produtos'!$R$1-'Tabela de Produtos'!$S$1)</f>
        <v>14.951199999999996</v>
      </c>
      <c r="E14" s="286">
        <f>'Tabela de Produtos'!U6</f>
        <v>16.989999999999998</v>
      </c>
      <c r="F14" s="287">
        <f t="shared" si="0"/>
        <v>8.3211999999999975</v>
      </c>
      <c r="G14" s="288">
        <f t="shared" si="1"/>
        <v>0.55655733319064682</v>
      </c>
      <c r="H14" s="286" t="e">
        <f t="shared" si="2"/>
        <v>#VALUE!</v>
      </c>
      <c r="I14" s="289">
        <f>ROUNDUP(C14/(1-'Tabela de Produtos'!$R$1-'Tabela de Produtos'!$S$1),2)</f>
        <v>7.54</v>
      </c>
      <c r="J14" s="289">
        <f>ROUNDUP((C14+$B$7/'Tabela de Produtos'!$R$1)/(1-'Tabela de Produtos'!$R$1-'Tabela de Produtos'!$S$1),2)</f>
        <v>27280.269999999997</v>
      </c>
      <c r="K14" s="290">
        <f t="shared" si="3"/>
        <v>-27263.279999999995</v>
      </c>
    </row>
    <row r="15" spans="1:11">
      <c r="A15" s="285" t="str">
        <f>'Tabela de Produtos'!A7</f>
        <v>PRD00004</v>
      </c>
      <c r="B15" s="285" t="str">
        <f>'Tabela de Produtos'!B7</f>
        <v>BRAZIMIL SELADOR ACRILICO 15L</v>
      </c>
      <c r="C15" s="286">
        <f>'Tabela de Produtos'!Q7</f>
        <v>26.46</v>
      </c>
      <c r="D15" s="286">
        <f>'Tabela de Produtos'!U7*(1-'Tabela de Produtos'!$R$1-'Tabela de Produtos'!$S$1)</f>
        <v>58.511199999999988</v>
      </c>
      <c r="E15" s="286">
        <f>'Tabela de Produtos'!U7</f>
        <v>66.489999999999995</v>
      </c>
      <c r="F15" s="287">
        <f t="shared" si="0"/>
        <v>32.051199999999987</v>
      </c>
      <c r="G15" s="288">
        <f t="shared" si="1"/>
        <v>0.5477788867772323</v>
      </c>
      <c r="H15" s="286" t="e">
        <f t="shared" si="2"/>
        <v>#VALUE!</v>
      </c>
      <c r="I15" s="289">
        <f>ROUNDUP(C15/(1-'Tabela de Produtos'!$R$1-'Tabela de Produtos'!$S$1),2)</f>
        <v>30.07</v>
      </c>
      <c r="J15" s="289">
        <f>ROUNDUP((C15+$B$7/'Tabela de Produtos'!$R$1)/(1-'Tabela de Produtos'!$R$1-'Tabela de Produtos'!$S$1),2)</f>
        <v>27302.799999999999</v>
      </c>
      <c r="K15" s="290">
        <f t="shared" si="3"/>
        <v>-27236.309999999998</v>
      </c>
    </row>
    <row r="16" spans="1:11">
      <c r="A16" s="285" t="str">
        <f>'Tabela de Produtos'!A10</f>
        <v>PRD00007</v>
      </c>
      <c r="B16" s="285" t="str">
        <f>'Tabela de Produtos'!B10</f>
        <v>BRAZIMIL MASSA ACRÍLICA 4KG</v>
      </c>
      <c r="C16" s="286">
        <f>'Tabela de Produtos'!Q10</f>
        <v>10.74</v>
      </c>
      <c r="D16" s="286">
        <f>'Tabela de Produtos'!U10*(1-'Tabela de Produtos'!$R$1-'Tabela de Produtos'!$S$1)</f>
        <v>17.591199999999997</v>
      </c>
      <c r="E16" s="286">
        <f>'Tabela de Produtos'!U10</f>
        <v>19.989999999999998</v>
      </c>
      <c r="F16" s="287">
        <f t="shared" si="0"/>
        <v>6.8511999999999968</v>
      </c>
      <c r="G16" s="288">
        <f t="shared" si="1"/>
        <v>0.38946746100322877</v>
      </c>
      <c r="H16" s="286" t="e">
        <f t="shared" si="2"/>
        <v>#VALUE!</v>
      </c>
      <c r="I16" s="289">
        <f>ROUNDUP(C16/(1-'Tabela de Produtos'!$R$1-'Tabela de Produtos'!$S$1),2)</f>
        <v>12.209999999999999</v>
      </c>
      <c r="J16" s="289">
        <f>ROUNDUP((C16+$B$7/'Tabela de Produtos'!$R$1)/(1-'Tabela de Produtos'!$R$1-'Tabela de Produtos'!$S$1),2)</f>
        <v>27284.94</v>
      </c>
      <c r="K16" s="290">
        <f t="shared" si="3"/>
        <v>-27264.949999999997</v>
      </c>
    </row>
    <row r="17" spans="1:11">
      <c r="A17" s="285" t="str">
        <f>'Tabela de Produtos'!A11</f>
        <v>PRD00008</v>
      </c>
      <c r="B17" s="285" t="str">
        <f>'Tabela de Produtos'!B11</f>
        <v>BRAZIMIL MASSA ACRÍLICA 20KG</v>
      </c>
      <c r="C17" s="286">
        <f>'Tabela de Produtos'!Q11</f>
        <v>47.01</v>
      </c>
      <c r="D17" s="286">
        <f>'Tabela de Produtos'!U11*(1-'Tabela de Produtos'!$R$1-'Tabela de Produtos'!$S$1)</f>
        <v>61.512</v>
      </c>
      <c r="E17" s="286">
        <f>'Tabela de Produtos'!U11</f>
        <v>69.900000000000006</v>
      </c>
      <c r="F17" s="287">
        <f t="shared" si="0"/>
        <v>14.502000000000002</v>
      </c>
      <c r="G17" s="288">
        <f t="shared" si="1"/>
        <v>0.23575887631681627</v>
      </c>
      <c r="H17" s="286" t="e">
        <f t="shared" si="2"/>
        <v>#VALUE!</v>
      </c>
      <c r="I17" s="289">
        <f>ROUNDUP(C17/(1-'Tabela de Produtos'!$R$1-'Tabela de Produtos'!$S$1),2)</f>
        <v>53.43</v>
      </c>
      <c r="J17" s="289">
        <f>ROUNDUP((C17+$B$7/'Tabela de Produtos'!$R$1)/(1-'Tabela de Produtos'!$R$1-'Tabela de Produtos'!$S$1),2)</f>
        <v>27326.149999999998</v>
      </c>
      <c r="K17" s="290">
        <f t="shared" si="3"/>
        <v>-27256.249999999996</v>
      </c>
    </row>
    <row r="18" spans="1:11">
      <c r="A18" s="285" t="str">
        <f>'Tabela de Produtos'!A12</f>
        <v>PRD00009</v>
      </c>
      <c r="B18" s="285" t="str">
        <f>'Tabela de Produtos'!B12</f>
        <v>BRAZIMIL LÁTEX ECONÔMICO INT FOSCO 3L BRANCO NEVE</v>
      </c>
      <c r="C18" s="286">
        <f>'Tabela de Produtos'!Q12</f>
        <v>8</v>
      </c>
      <c r="D18" s="286">
        <f>'Tabela de Produtos'!U12*(1-'Tabela de Produtos'!$R$1-'Tabela de Produtos'!$S$1)</f>
        <v>15.831199999999997</v>
      </c>
      <c r="E18" s="286">
        <f>'Tabela de Produtos'!U12</f>
        <v>17.989999999999998</v>
      </c>
      <c r="F18" s="287">
        <f t="shared" si="0"/>
        <v>7.8311999999999973</v>
      </c>
      <c r="G18" s="288">
        <f t="shared" si="1"/>
        <v>0.4946687553691444</v>
      </c>
      <c r="H18" s="286" t="e">
        <f t="shared" si="2"/>
        <v>#VALUE!</v>
      </c>
      <c r="I18" s="289">
        <f>ROUNDUP(C18/(1-'Tabela de Produtos'!$R$1-'Tabela de Produtos'!$S$1),2)</f>
        <v>9.1</v>
      </c>
      <c r="J18" s="289">
        <f>ROUNDUP((C18+$B$7/'Tabela de Produtos'!$R$1)/(1-'Tabela de Produtos'!$R$1-'Tabela de Produtos'!$S$1),2)</f>
        <v>27281.82</v>
      </c>
      <c r="K18" s="290">
        <f t="shared" si="3"/>
        <v>-27263.829999999998</v>
      </c>
    </row>
    <row r="19" spans="1:11">
      <c r="A19" s="285" t="str">
        <f>'Tabela de Produtos'!A13</f>
        <v>PRD00010</v>
      </c>
      <c r="B19" s="285" t="str">
        <f>'Tabela de Produtos'!B13</f>
        <v>BRAZIMIL LÁTEX ECONÔMICO INT FOSCO 3L BRANCO GELO</v>
      </c>
      <c r="C19" s="286">
        <f>'Tabela de Produtos'!Q13</f>
        <v>9.1399999999999988</v>
      </c>
      <c r="D19" s="286">
        <f>'Tabela de Produtos'!U13*(1-'Tabela de Produtos'!$R$1-'Tabela de Produtos'!$S$1)</f>
        <v>15.831199999999997</v>
      </c>
      <c r="E19" s="286">
        <f>'Tabela de Produtos'!U13</f>
        <v>17.989999999999998</v>
      </c>
      <c r="F19" s="287">
        <f t="shared" si="0"/>
        <v>6.6911999999999985</v>
      </c>
      <c r="G19" s="288">
        <f t="shared" si="1"/>
        <v>0.42265905300924755</v>
      </c>
      <c r="H19" s="286" t="e">
        <f t="shared" si="2"/>
        <v>#VALUE!</v>
      </c>
      <c r="I19" s="289">
        <f>ROUNDUP(C19/(1-'Tabela de Produtos'!$R$1-'Tabela de Produtos'!$S$1),2)</f>
        <v>10.39</v>
      </c>
      <c r="J19" s="289">
        <f>ROUNDUP((C19+$B$7/'Tabela de Produtos'!$R$1)/(1-'Tabela de Produtos'!$R$1-'Tabela de Produtos'!$S$1),2)</f>
        <v>27283.119999999999</v>
      </c>
      <c r="K19" s="290">
        <f t="shared" si="3"/>
        <v>-27265.129999999997</v>
      </c>
    </row>
    <row r="20" spans="1:11">
      <c r="A20" s="285" t="str">
        <f>'Tabela de Produtos'!A14</f>
        <v>PRD00011</v>
      </c>
      <c r="B20" s="285" t="str">
        <f>'Tabela de Produtos'!B14</f>
        <v>BRAZIMIL LÁTEX ECONÔMICO INT FOSCO 3L AREIA</v>
      </c>
      <c r="C20" s="286">
        <f>'Tabela de Produtos'!Q14</f>
        <v>9.56</v>
      </c>
      <c r="D20" s="286">
        <f>'Tabela de Produtos'!U14*(1-'Tabela de Produtos'!$R$1-'Tabela de Produtos'!$S$1)</f>
        <v>15.831199999999997</v>
      </c>
      <c r="E20" s="286">
        <f>'Tabela de Produtos'!U14</f>
        <v>17.989999999999998</v>
      </c>
      <c r="F20" s="287">
        <f t="shared" si="0"/>
        <v>6.2711999999999968</v>
      </c>
      <c r="G20" s="288">
        <f t="shared" si="1"/>
        <v>0.39612916266612752</v>
      </c>
      <c r="H20" s="286" t="e">
        <f t="shared" si="2"/>
        <v>#VALUE!</v>
      </c>
      <c r="I20" s="289">
        <f>ROUNDUP(C20/(1-'Tabela de Produtos'!$R$1-'Tabela de Produtos'!$S$1),2)</f>
        <v>10.87</v>
      </c>
      <c r="J20" s="289">
        <f>ROUNDUP((C20+$B$7/'Tabela de Produtos'!$R$1)/(1-'Tabela de Produtos'!$R$1-'Tabela de Produtos'!$S$1),2)</f>
        <v>27283.599999999999</v>
      </c>
      <c r="K20" s="290">
        <f t="shared" si="3"/>
        <v>-27265.609999999997</v>
      </c>
    </row>
    <row r="21" spans="1:11">
      <c r="A21" s="285" t="str">
        <f>'Tabela de Produtos'!A15</f>
        <v>PRD00012</v>
      </c>
      <c r="B21" s="285" t="str">
        <f>'Tabela de Produtos'!B15</f>
        <v>BRAZIMIL LÁTEX ECONÔMICO INT FOSCO 3L PALHA</v>
      </c>
      <c r="C21" s="286">
        <f>'Tabela de Produtos'!Q15</f>
        <v>9.2899999999999991</v>
      </c>
      <c r="D21" s="286">
        <f>'Tabela de Produtos'!U15*(1-'Tabela de Produtos'!$R$1-'Tabela de Produtos'!$S$1)</f>
        <v>15.831199999999997</v>
      </c>
      <c r="E21" s="286">
        <f>'Tabela de Produtos'!U15</f>
        <v>17.989999999999998</v>
      </c>
      <c r="F21" s="287">
        <f t="shared" si="0"/>
        <v>6.5411999999999981</v>
      </c>
      <c r="G21" s="288">
        <f t="shared" si="1"/>
        <v>0.41318409217241897</v>
      </c>
      <c r="H21" s="286" t="e">
        <f t="shared" si="2"/>
        <v>#VALUE!</v>
      </c>
      <c r="I21" s="289">
        <f>ROUNDUP(C21/(1-'Tabela de Produtos'!$R$1-'Tabela de Produtos'!$S$1),2)</f>
        <v>10.56</v>
      </c>
      <c r="J21" s="289">
        <f>ROUNDUP((C21+$B$7/'Tabela de Produtos'!$R$1)/(1-'Tabela de Produtos'!$R$1-'Tabela de Produtos'!$S$1),2)</f>
        <v>27283.289999999997</v>
      </c>
      <c r="K21" s="290">
        <f t="shared" si="3"/>
        <v>-27265.299999999996</v>
      </c>
    </row>
    <row r="22" spans="1:11">
      <c r="A22" s="285" t="str">
        <f>'Tabela de Produtos'!A16</f>
        <v>PRD00013</v>
      </c>
      <c r="B22" s="285" t="str">
        <f>'Tabela de Produtos'!B16</f>
        <v>BRAZIMIL LÁTEX ECONÔMICO INT FOSCO 3L VERDE PRIMAVERA</v>
      </c>
      <c r="C22" s="286">
        <f>'Tabela de Produtos'!Q16</f>
        <v>10.130000000000001</v>
      </c>
      <c r="D22" s="286">
        <f>'Tabela de Produtos'!U16*(1-'Tabela de Produtos'!$R$1-'Tabela de Produtos'!$S$1)</f>
        <v>15.831199999999997</v>
      </c>
      <c r="E22" s="286">
        <f>'Tabela de Produtos'!U16</f>
        <v>17.989999999999998</v>
      </c>
      <c r="F22" s="287">
        <f t="shared" si="0"/>
        <v>5.7011999999999965</v>
      </c>
      <c r="G22" s="288">
        <f t="shared" si="1"/>
        <v>0.36012431148617902</v>
      </c>
      <c r="H22" s="286" t="e">
        <f t="shared" si="2"/>
        <v>#VALUE!</v>
      </c>
      <c r="I22" s="289">
        <f>ROUNDUP(C22/(1-'Tabela de Produtos'!$R$1-'Tabela de Produtos'!$S$1),2)</f>
        <v>11.52</v>
      </c>
      <c r="J22" s="289">
        <f>ROUNDUP((C22+$B$7/'Tabela de Produtos'!$R$1)/(1-'Tabela de Produtos'!$R$1-'Tabela de Produtos'!$S$1),2)</f>
        <v>27284.239999999998</v>
      </c>
      <c r="K22" s="290">
        <f t="shared" si="3"/>
        <v>-27266.249999999996</v>
      </c>
    </row>
    <row r="23" spans="1:11">
      <c r="A23" s="285" t="str">
        <f>'Tabela de Produtos'!A17</f>
        <v>PRD00014</v>
      </c>
      <c r="B23" s="285" t="str">
        <f>'Tabela de Produtos'!B17</f>
        <v>BRAZIMIL LÁTEX ECONÔMICO INT FOSCO 3L VERDE FOLHA</v>
      </c>
      <c r="C23" s="286">
        <f>'Tabela de Produtos'!Q17</f>
        <v>11.24</v>
      </c>
      <c r="D23" s="286">
        <f>'Tabela de Produtos'!U17*(1-'Tabela de Produtos'!$R$1-'Tabela de Produtos'!$S$1)</f>
        <v>15.831199999999997</v>
      </c>
      <c r="E23" s="286">
        <f>'Tabela de Produtos'!U17</f>
        <v>17.989999999999998</v>
      </c>
      <c r="F23" s="287">
        <f t="shared" si="0"/>
        <v>4.5911999999999971</v>
      </c>
      <c r="G23" s="288">
        <f t="shared" si="1"/>
        <v>0.29000960129364783</v>
      </c>
      <c r="H23" s="286" t="e">
        <f t="shared" si="2"/>
        <v>#VALUE!</v>
      </c>
      <c r="I23" s="289">
        <f>ROUNDUP(C23/(1-'Tabela de Produtos'!$R$1-'Tabela de Produtos'!$S$1),2)</f>
        <v>12.78</v>
      </c>
      <c r="J23" s="289">
        <f>ROUNDUP((C23+$B$7/'Tabela de Produtos'!$R$1)/(1-'Tabela de Produtos'!$R$1-'Tabela de Produtos'!$S$1),2)</f>
        <v>27285.5</v>
      </c>
      <c r="K23" s="290">
        <f t="shared" si="3"/>
        <v>-27267.51</v>
      </c>
    </row>
    <row r="24" spans="1:11">
      <c r="A24" s="285" t="str">
        <f>'Tabela de Produtos'!A18</f>
        <v>PRD00015</v>
      </c>
      <c r="B24" s="285" t="str">
        <f>'Tabela de Produtos'!B18</f>
        <v>BRAZIMIL LÁTEX ECONÔMICO INT FOSCO 3L AZUL CEU</v>
      </c>
      <c r="C24" s="286">
        <f>'Tabela de Produtos'!Q18</f>
        <v>9.2299999999999986</v>
      </c>
      <c r="D24" s="286">
        <f>'Tabela de Produtos'!U18*(1-'Tabela de Produtos'!$R$1-'Tabela de Produtos'!$S$1)</f>
        <v>15.831199999999997</v>
      </c>
      <c r="E24" s="286">
        <f>'Tabela de Produtos'!U18</f>
        <v>17.989999999999998</v>
      </c>
      <c r="F24" s="287">
        <f t="shared" si="0"/>
        <v>6.6011999999999986</v>
      </c>
      <c r="G24" s="288">
        <f t="shared" si="1"/>
        <v>0.4169740765071504</v>
      </c>
      <c r="H24" s="286" t="e">
        <f t="shared" si="2"/>
        <v>#VALUE!</v>
      </c>
      <c r="I24" s="289">
        <f>ROUNDUP(C24/(1-'Tabela de Produtos'!$R$1-'Tabela de Produtos'!$S$1),2)</f>
        <v>10.49</v>
      </c>
      <c r="J24" s="289">
        <f>ROUNDUP((C24+$B$7/'Tabela de Produtos'!$R$1)/(1-'Tabela de Produtos'!$R$1-'Tabela de Produtos'!$S$1),2)</f>
        <v>27283.219999999998</v>
      </c>
      <c r="K24" s="290">
        <f t="shared" si="3"/>
        <v>-27265.229999999996</v>
      </c>
    </row>
    <row r="25" spans="1:11">
      <c r="A25" s="285" t="str">
        <f>'Tabela de Produtos'!A19</f>
        <v>PRD00016</v>
      </c>
      <c r="B25" s="285" t="str">
        <f>'Tabela de Produtos'!B19</f>
        <v>BRAZIMIL LÁTEX ECONÔMICO INT FOSCO 3L AZUL OCEANO</v>
      </c>
      <c r="C25" s="286">
        <f>'Tabela de Produtos'!Q19</f>
        <v>10.399999999999999</v>
      </c>
      <c r="D25" s="286">
        <f>'Tabela de Produtos'!U19*(1-'Tabela de Produtos'!$R$1-'Tabela de Produtos'!$S$1)</f>
        <v>15.831199999999997</v>
      </c>
      <c r="E25" s="286">
        <f>'Tabela de Produtos'!U19</f>
        <v>17.989999999999998</v>
      </c>
      <c r="F25" s="287">
        <f t="shared" si="0"/>
        <v>5.4311999999999987</v>
      </c>
      <c r="G25" s="288">
        <f t="shared" si="1"/>
        <v>0.34306938197988779</v>
      </c>
      <c r="H25" s="286" t="e">
        <f t="shared" si="2"/>
        <v>#VALUE!</v>
      </c>
      <c r="I25" s="289">
        <f>ROUNDUP(C25/(1-'Tabela de Produtos'!$R$1-'Tabela de Produtos'!$S$1),2)</f>
        <v>11.82</v>
      </c>
      <c r="J25" s="289">
        <f>ROUNDUP((C25+$B$7/'Tabela de Produtos'!$R$1)/(1-'Tabela de Produtos'!$R$1-'Tabela de Produtos'!$S$1),2)</f>
        <v>27284.55</v>
      </c>
      <c r="K25" s="290">
        <f t="shared" si="3"/>
        <v>-27266.559999999998</v>
      </c>
    </row>
    <row r="26" spans="1:11">
      <c r="A26" s="285" t="str">
        <f>'Tabela de Produtos'!A20</f>
        <v>PRD00017</v>
      </c>
      <c r="B26" s="285" t="str">
        <f>'Tabela de Produtos'!B20</f>
        <v>BRAZIMIL LÁTEX ECONÔMICO INT FOSCO 3L AMARELO CANARIO</v>
      </c>
      <c r="C26" s="286">
        <f>'Tabela de Produtos'!Q20</f>
        <v>9.5</v>
      </c>
      <c r="D26" s="286">
        <f>'Tabela de Produtos'!U20*(1-'Tabela de Produtos'!$R$1-'Tabela de Produtos'!$S$1)</f>
        <v>15.831199999999997</v>
      </c>
      <c r="E26" s="286">
        <f>'Tabela de Produtos'!U20</f>
        <v>17.989999999999998</v>
      </c>
      <c r="F26" s="287">
        <f t="shared" si="0"/>
        <v>6.3311999999999973</v>
      </c>
      <c r="G26" s="288">
        <f t="shared" si="1"/>
        <v>0.39991914700085895</v>
      </c>
      <c r="H26" s="286" t="e">
        <f t="shared" si="2"/>
        <v>#VALUE!</v>
      </c>
      <c r="I26" s="289">
        <f>ROUNDUP(C26/(1-'Tabela de Produtos'!$R$1-'Tabela de Produtos'!$S$1),2)</f>
        <v>10.799999999999999</v>
      </c>
      <c r="J26" s="289">
        <f>ROUNDUP((C26+$B$7/'Tabela de Produtos'!$R$1)/(1-'Tabela de Produtos'!$R$1-'Tabela de Produtos'!$S$1),2)</f>
        <v>27283.53</v>
      </c>
      <c r="K26" s="290">
        <f t="shared" si="3"/>
        <v>-27265.539999999997</v>
      </c>
    </row>
    <row r="27" spans="1:11">
      <c r="A27" s="285" t="str">
        <f>'Tabela de Produtos'!A21</f>
        <v>PRD00018</v>
      </c>
      <c r="B27" s="285" t="str">
        <f>'Tabela de Produtos'!B21</f>
        <v>BRAZIMIL LÁTEX ECONÔMICO INT FOSCO 3L CROMO SUAVE</v>
      </c>
      <c r="C27" s="286">
        <f>'Tabela de Produtos'!Q21</f>
        <v>10.220000000000001</v>
      </c>
      <c r="D27" s="286">
        <f>'Tabela de Produtos'!U21*(1-'Tabela de Produtos'!$R$1-'Tabela de Produtos'!$S$1)</f>
        <v>15.831199999999997</v>
      </c>
      <c r="E27" s="286">
        <f>'Tabela de Produtos'!U21</f>
        <v>17.989999999999998</v>
      </c>
      <c r="F27" s="287">
        <f t="shared" si="0"/>
        <v>5.6111999999999966</v>
      </c>
      <c r="G27" s="288">
        <f t="shared" si="1"/>
        <v>0.35443933498408192</v>
      </c>
      <c r="H27" s="286" t="e">
        <f t="shared" si="2"/>
        <v>#VALUE!</v>
      </c>
      <c r="I27" s="289">
        <f>ROUNDUP(C27/(1-'Tabela de Produtos'!$R$1-'Tabela de Produtos'!$S$1),2)</f>
        <v>11.62</v>
      </c>
      <c r="J27" s="289">
        <f>ROUNDUP((C27+$B$7/'Tabela de Produtos'!$R$1)/(1-'Tabela de Produtos'!$R$1-'Tabela de Produtos'!$S$1),2)</f>
        <v>27284.35</v>
      </c>
      <c r="K27" s="290">
        <f t="shared" si="3"/>
        <v>-27266.359999999997</v>
      </c>
    </row>
    <row r="28" spans="1:11">
      <c r="A28" s="285" t="str">
        <f>'Tabela de Produtos'!A22</f>
        <v>PRD00019</v>
      </c>
      <c r="B28" s="285" t="str">
        <f>'Tabela de Produtos'!B22</f>
        <v>BRAZIMIL LÁTEX ECONÔMICO INT FOSCO 3L ROSA BEBE</v>
      </c>
      <c r="C28" s="286">
        <f>'Tabela de Produtos'!Q22</f>
        <v>9.3199999999999985</v>
      </c>
      <c r="D28" s="286">
        <f>'Tabela de Produtos'!U22*(1-'Tabela de Produtos'!$R$1-'Tabela de Produtos'!$S$1)</f>
        <v>15.831199999999997</v>
      </c>
      <c r="E28" s="286">
        <f>'Tabela de Produtos'!U22</f>
        <v>17.989999999999998</v>
      </c>
      <c r="F28" s="287">
        <f t="shared" si="0"/>
        <v>6.5111999999999988</v>
      </c>
      <c r="G28" s="288">
        <f t="shared" si="1"/>
        <v>0.41128910000505331</v>
      </c>
      <c r="H28" s="286" t="e">
        <f t="shared" si="2"/>
        <v>#VALUE!</v>
      </c>
      <c r="I28" s="289">
        <f>ROUNDUP(C28/(1-'Tabela de Produtos'!$R$1-'Tabela de Produtos'!$S$1),2)</f>
        <v>10.6</v>
      </c>
      <c r="J28" s="289">
        <f>ROUNDUP((C28+$B$7/'Tabela de Produtos'!$R$1)/(1-'Tabela de Produtos'!$R$1-'Tabela de Produtos'!$S$1),2)</f>
        <v>27283.32</v>
      </c>
      <c r="K28" s="290">
        <f t="shared" si="3"/>
        <v>-27265.329999999998</v>
      </c>
    </row>
    <row r="29" spans="1:11">
      <c r="A29" s="285" t="str">
        <f>'Tabela de Produtos'!A23</f>
        <v>PRD00020</v>
      </c>
      <c r="B29" s="285" t="str">
        <f>'Tabela de Produtos'!B23</f>
        <v>BRAZIMIL LÁTEX ECONÔMICO INT FOSCO 3L MARFIM</v>
      </c>
      <c r="C29" s="286">
        <f>'Tabela de Produtos'!Q23</f>
        <v>9.35</v>
      </c>
      <c r="D29" s="286">
        <f>'Tabela de Produtos'!U23*(1-'Tabela de Produtos'!$R$1-'Tabela de Produtos'!$S$1)</f>
        <v>15.831199999999997</v>
      </c>
      <c r="E29" s="286">
        <f>'Tabela de Produtos'!U23</f>
        <v>17.989999999999998</v>
      </c>
      <c r="F29" s="287">
        <f t="shared" si="0"/>
        <v>6.4811999999999976</v>
      </c>
      <c r="G29" s="288">
        <f t="shared" si="1"/>
        <v>0.40939410783768754</v>
      </c>
      <c r="H29" s="286" t="e">
        <f t="shared" si="2"/>
        <v>#VALUE!</v>
      </c>
      <c r="I29" s="289">
        <f>ROUNDUP(C29/(1-'Tabela de Produtos'!$R$1-'Tabela de Produtos'!$S$1),2)</f>
        <v>10.629999999999999</v>
      </c>
      <c r="J29" s="289">
        <f>ROUNDUP((C29+$B$7/'Tabela de Produtos'!$R$1)/(1-'Tabela de Produtos'!$R$1-'Tabela de Produtos'!$S$1),2)</f>
        <v>27283.359999999997</v>
      </c>
      <c r="K29" s="290">
        <f t="shared" si="3"/>
        <v>-27265.369999999995</v>
      </c>
    </row>
    <row r="30" spans="1:11">
      <c r="A30" s="285" t="str">
        <f>'Tabela de Produtos'!A24</f>
        <v>PRD00021</v>
      </c>
      <c r="B30" s="285" t="str">
        <f>'Tabela de Produtos'!B24</f>
        <v>BRAZIMIL LÁTEX ECONÔMICO INT FOSCO 3L AMARELO IPE</v>
      </c>
      <c r="C30" s="286">
        <f>'Tabela de Produtos'!Q24</f>
        <v>10.220000000000001</v>
      </c>
      <c r="D30" s="286">
        <f>'Tabela de Produtos'!U24*(1-'Tabela de Produtos'!$R$1-'Tabela de Produtos'!$S$1)</f>
        <v>15.831199999999997</v>
      </c>
      <c r="E30" s="286">
        <f>'Tabela de Produtos'!U24</f>
        <v>17.989999999999998</v>
      </c>
      <c r="F30" s="287">
        <f t="shared" si="0"/>
        <v>5.6111999999999966</v>
      </c>
      <c r="G30" s="288">
        <f t="shared" si="1"/>
        <v>0.35443933498408192</v>
      </c>
      <c r="H30" s="286" t="e">
        <f t="shared" si="2"/>
        <v>#VALUE!</v>
      </c>
      <c r="I30" s="289">
        <f>ROUNDUP(C30/(1-'Tabela de Produtos'!$R$1-'Tabela de Produtos'!$S$1),2)</f>
        <v>11.62</v>
      </c>
      <c r="J30" s="289">
        <f>ROUNDUP((C30+$B$7/'Tabela de Produtos'!$R$1)/(1-'Tabela de Produtos'!$R$1-'Tabela de Produtos'!$S$1),2)</f>
        <v>27284.35</v>
      </c>
      <c r="K30" s="290">
        <f t="shared" si="3"/>
        <v>-27266.359999999997</v>
      </c>
    </row>
    <row r="31" spans="1:11">
      <c r="A31" s="285" t="str">
        <f>'Tabela de Produtos'!A25</f>
        <v>PRD00022</v>
      </c>
      <c r="B31" s="285" t="str">
        <f>'Tabela de Produtos'!B25</f>
        <v>BRAZIMIL LÁTEX ECONÔMICO INT FOSCO 3L DAMASCO</v>
      </c>
      <c r="C31" s="286">
        <f>'Tabela de Produtos'!Q25</f>
        <v>10.4</v>
      </c>
      <c r="D31" s="286">
        <f>'Tabela de Produtos'!U25*(1-'Tabela de Produtos'!$R$1-'Tabela de Produtos'!$S$1)</f>
        <v>15.831199999999997</v>
      </c>
      <c r="E31" s="286">
        <f>'Tabela de Produtos'!U25</f>
        <v>17.989999999999998</v>
      </c>
      <c r="F31" s="287">
        <f t="shared" si="0"/>
        <v>5.4311999999999969</v>
      </c>
      <c r="G31" s="288">
        <f t="shared" si="1"/>
        <v>0.34306938197988768</v>
      </c>
      <c r="H31" s="286" t="e">
        <f t="shared" si="2"/>
        <v>#VALUE!</v>
      </c>
      <c r="I31" s="289">
        <f>ROUNDUP(C31/(1-'Tabela de Produtos'!$R$1-'Tabela de Produtos'!$S$1),2)</f>
        <v>11.82</v>
      </c>
      <c r="J31" s="289">
        <f>ROUNDUP((C31+$B$7/'Tabela de Produtos'!$R$1)/(1-'Tabela de Produtos'!$R$1-'Tabela de Produtos'!$S$1),2)</f>
        <v>27284.55</v>
      </c>
      <c r="K31" s="290">
        <f t="shared" si="3"/>
        <v>-27266.559999999998</v>
      </c>
    </row>
    <row r="32" spans="1:11">
      <c r="A32" s="285" t="str">
        <f>'Tabela de Produtos'!A26</f>
        <v>PRD00023</v>
      </c>
      <c r="B32" s="285" t="str">
        <f>'Tabela de Produtos'!B26</f>
        <v>BRAZIMIL LÁTEX ECONÔMICO INT FOSCO 3L PEROLA</v>
      </c>
      <c r="C32" s="286">
        <f>'Tabela de Produtos'!Q26</f>
        <v>9.2899999999999991</v>
      </c>
      <c r="D32" s="286">
        <f>'Tabela de Produtos'!U26*(1-'Tabela de Produtos'!$R$1-'Tabela de Produtos'!$S$1)</f>
        <v>15.831199999999997</v>
      </c>
      <c r="E32" s="286">
        <f>'Tabela de Produtos'!U26</f>
        <v>17.989999999999998</v>
      </c>
      <c r="F32" s="287">
        <f t="shared" si="0"/>
        <v>6.5411999999999981</v>
      </c>
      <c r="G32" s="288">
        <f t="shared" si="1"/>
        <v>0.41318409217241897</v>
      </c>
      <c r="H32" s="286" t="e">
        <f t="shared" si="2"/>
        <v>#VALUE!</v>
      </c>
      <c r="I32" s="289">
        <f>ROUNDUP(C32/(1-'Tabela de Produtos'!$R$1-'Tabela de Produtos'!$S$1),2)</f>
        <v>10.56</v>
      </c>
      <c r="J32" s="289">
        <f>ROUNDUP((C32+$B$7/'Tabela de Produtos'!$R$1)/(1-'Tabela de Produtos'!$R$1-'Tabela de Produtos'!$S$1),2)</f>
        <v>27283.289999999997</v>
      </c>
      <c r="K32" s="290">
        <f t="shared" si="3"/>
        <v>-27265.299999999996</v>
      </c>
    </row>
    <row r="33" spans="1:11">
      <c r="A33" s="285" t="str">
        <f>'Tabela de Produtos'!A42</f>
        <v>PRD00039</v>
      </c>
      <c r="B33" s="285" t="str">
        <f>'Tabela de Produtos'!B42</f>
        <v>BRAZIMIL LÁTEX ECONÔMICO INT FOSCO 15L BRANCO NEVE</v>
      </c>
      <c r="C33" s="286">
        <f>'Tabela de Produtos'!Q42</f>
        <v>31.410000000000004</v>
      </c>
      <c r="D33" s="286">
        <f>'Tabela de Produtos'!U42*(1-'Tabela de Produtos'!$R$1-'Tabela de Produtos'!$S$1)</f>
        <v>61.512</v>
      </c>
      <c r="E33" s="286">
        <f>'Tabela de Produtos'!U42</f>
        <v>69.900000000000006</v>
      </c>
      <c r="F33" s="287">
        <f t="shared" si="0"/>
        <v>30.101999999999997</v>
      </c>
      <c r="G33" s="288">
        <f t="shared" si="1"/>
        <v>0.48936792820912989</v>
      </c>
      <c r="H33" s="286" t="e">
        <f t="shared" si="2"/>
        <v>#VALUE!</v>
      </c>
      <c r="I33" s="289">
        <f>ROUNDUP(C33/(1-'Tabela de Produtos'!$R$1-'Tabela de Produtos'!$S$1),2)</f>
        <v>35.699999999999996</v>
      </c>
      <c r="J33" s="289">
        <f>ROUNDUP((C33+$B$7/'Tabela de Produtos'!$R$1)/(1-'Tabela de Produtos'!$R$1-'Tabela de Produtos'!$S$1),2)</f>
        <v>27308.429999999997</v>
      </c>
      <c r="K33" s="290">
        <f t="shared" si="3"/>
        <v>-27238.529999999995</v>
      </c>
    </row>
    <row r="34" spans="1:11">
      <c r="A34" s="285" t="str">
        <f>'Tabela de Produtos'!A43</f>
        <v>PRD00040</v>
      </c>
      <c r="B34" s="285" t="str">
        <f>'Tabela de Produtos'!B43</f>
        <v>BRAZIMIL LÁTEX ECONÔMICO INT FOSCO 15L BRANCO GELO</v>
      </c>
      <c r="C34" s="286">
        <f>'Tabela de Produtos'!Q43</f>
        <v>37.109999999999992</v>
      </c>
      <c r="D34" s="286">
        <f>'Tabela de Produtos'!U43*(1-'Tabela de Produtos'!$R$1-'Tabela de Produtos'!$S$1)</f>
        <v>61.512</v>
      </c>
      <c r="E34" s="286">
        <f>'Tabela de Produtos'!U43</f>
        <v>69.900000000000006</v>
      </c>
      <c r="F34" s="287">
        <f t="shared" si="0"/>
        <v>24.402000000000008</v>
      </c>
      <c r="G34" s="288">
        <f t="shared" si="1"/>
        <v>0.39670308232540002</v>
      </c>
      <c r="H34" s="286" t="e">
        <f t="shared" si="2"/>
        <v>#VALUE!</v>
      </c>
      <c r="I34" s="289">
        <f>ROUNDUP(C34/(1-'Tabela de Produtos'!$R$1-'Tabela de Produtos'!$S$1),2)</f>
        <v>42.18</v>
      </c>
      <c r="J34" s="289">
        <f>ROUNDUP((C34+$B$7/'Tabela de Produtos'!$R$1)/(1-'Tabela de Produtos'!$R$1-'Tabela de Produtos'!$S$1),2)</f>
        <v>27314.899999999998</v>
      </c>
      <c r="K34" s="290">
        <f t="shared" si="3"/>
        <v>-27244.999999999996</v>
      </c>
    </row>
    <row r="35" spans="1:11">
      <c r="A35" s="285" t="str">
        <f>'Tabela de Produtos'!A44</f>
        <v>PRD00041</v>
      </c>
      <c r="B35" s="285" t="str">
        <f>'Tabela de Produtos'!B44</f>
        <v>BRAZIMIL LÁTEX ECONÔMICO INT FOSCO 15L AREIA</v>
      </c>
      <c r="C35" s="286">
        <f>'Tabela de Produtos'!Q44</f>
        <v>39.21</v>
      </c>
      <c r="D35" s="286">
        <f>'Tabela de Produtos'!U44*(1-'Tabela de Produtos'!$R$1-'Tabela de Produtos'!$S$1)</f>
        <v>61.512</v>
      </c>
      <c r="E35" s="286">
        <f>'Tabela de Produtos'!U44</f>
        <v>69.900000000000006</v>
      </c>
      <c r="F35" s="287">
        <f t="shared" si="0"/>
        <v>22.302</v>
      </c>
      <c r="G35" s="288">
        <f t="shared" si="1"/>
        <v>0.36256340226297307</v>
      </c>
      <c r="H35" s="286" t="e">
        <f t="shared" si="2"/>
        <v>#VALUE!</v>
      </c>
      <c r="I35" s="289">
        <f>ROUNDUP(C35/(1-'Tabela de Produtos'!$R$1-'Tabela de Produtos'!$S$1),2)</f>
        <v>44.559999999999995</v>
      </c>
      <c r="J35" s="289">
        <f>ROUNDUP((C35+$B$7/'Tabela de Produtos'!$R$1)/(1-'Tabela de Produtos'!$R$1-'Tabela de Produtos'!$S$1),2)</f>
        <v>27317.289999999997</v>
      </c>
      <c r="K35" s="290">
        <f t="shared" si="3"/>
        <v>-27247.389999999996</v>
      </c>
    </row>
    <row r="36" spans="1:11">
      <c r="A36" s="285" t="str">
        <f>'Tabela de Produtos'!A45</f>
        <v>PRD00042</v>
      </c>
      <c r="B36" s="285" t="str">
        <f>'Tabela de Produtos'!B45</f>
        <v>BRAZIMIL LÁTEX ECONÔMICO INT FOSCO 15L PALHA</v>
      </c>
      <c r="C36" s="286">
        <f>'Tabela de Produtos'!Q45</f>
        <v>37.859999999999992</v>
      </c>
      <c r="D36" s="286">
        <f>'Tabela de Produtos'!U45*(1-'Tabela de Produtos'!$R$1-'Tabela de Produtos'!$S$1)</f>
        <v>61.512</v>
      </c>
      <c r="E36" s="286">
        <f>'Tabela de Produtos'!U45</f>
        <v>69.900000000000006</v>
      </c>
      <c r="F36" s="287">
        <f t="shared" si="0"/>
        <v>23.652000000000008</v>
      </c>
      <c r="G36" s="288">
        <f t="shared" si="1"/>
        <v>0.38451033944596191</v>
      </c>
      <c r="H36" s="286" t="e">
        <f t="shared" si="2"/>
        <v>#VALUE!</v>
      </c>
      <c r="I36" s="289">
        <f>ROUNDUP(C36/(1-'Tabela de Produtos'!$R$1-'Tabela de Produtos'!$S$1),2)</f>
        <v>43.03</v>
      </c>
      <c r="J36" s="289">
        <f>ROUNDUP((C36+$B$7/'Tabela de Produtos'!$R$1)/(1-'Tabela de Produtos'!$R$1-'Tabela de Produtos'!$S$1),2)</f>
        <v>27315.75</v>
      </c>
      <c r="K36" s="290">
        <f t="shared" si="3"/>
        <v>-27245.85</v>
      </c>
    </row>
    <row r="37" spans="1:11">
      <c r="A37" s="285" t="str">
        <f>'Tabela de Produtos'!A46</f>
        <v>PRD00043</v>
      </c>
      <c r="B37" s="285" t="str">
        <f>'Tabela de Produtos'!B46</f>
        <v>BRAZIMIL LÁTEX ECONÔMICO INT FOSCO 15L VERDE PRIMAVERA</v>
      </c>
      <c r="C37" s="286">
        <f>'Tabela de Produtos'!Q46</f>
        <v>42.06</v>
      </c>
      <c r="D37" s="286">
        <f>'Tabela de Produtos'!U46*(1-'Tabela de Produtos'!$R$1-'Tabela de Produtos'!$S$1)</f>
        <v>61.512</v>
      </c>
      <c r="E37" s="286">
        <f>'Tabela de Produtos'!U46</f>
        <v>69.900000000000006</v>
      </c>
      <c r="F37" s="287">
        <f t="shared" si="0"/>
        <v>19.451999999999998</v>
      </c>
      <c r="G37" s="288">
        <f t="shared" si="1"/>
        <v>0.31623097932110805</v>
      </c>
      <c r="H37" s="286" t="e">
        <f t="shared" si="2"/>
        <v>#VALUE!</v>
      </c>
      <c r="I37" s="289">
        <f>ROUNDUP(C37/(1-'Tabela de Produtos'!$R$1-'Tabela de Produtos'!$S$1),2)</f>
        <v>47.8</v>
      </c>
      <c r="J37" s="289">
        <f>ROUNDUP((C37+$B$7/'Tabela de Produtos'!$R$1)/(1-'Tabela de Produtos'!$R$1-'Tabela de Produtos'!$S$1),2)</f>
        <v>27320.53</v>
      </c>
      <c r="K37" s="290">
        <f t="shared" si="3"/>
        <v>-27250.629999999997</v>
      </c>
    </row>
    <row r="38" spans="1:11">
      <c r="A38" s="285" t="str">
        <f>'Tabela de Produtos'!A47</f>
        <v>PRD00044</v>
      </c>
      <c r="B38" s="285" t="str">
        <f>'Tabela de Produtos'!B47</f>
        <v>BRAZIMIL LÁTEX ECONÔMICO INT FOSCO 15L VERDE FOLHA</v>
      </c>
      <c r="C38" s="286">
        <f>'Tabela de Produtos'!Q47</f>
        <v>47.61</v>
      </c>
      <c r="D38" s="286">
        <f>'Tabela de Produtos'!U47*(1-'Tabela de Produtos'!$R$1-'Tabela de Produtos'!$S$1)</f>
        <v>61.512</v>
      </c>
      <c r="E38" s="286">
        <f>'Tabela de Produtos'!U47</f>
        <v>69.900000000000006</v>
      </c>
      <c r="F38" s="287">
        <f t="shared" si="0"/>
        <v>13.902000000000001</v>
      </c>
      <c r="G38" s="288">
        <f t="shared" si="1"/>
        <v>0.22600468201326571</v>
      </c>
      <c r="H38" s="286" t="e">
        <f t="shared" si="2"/>
        <v>#VALUE!</v>
      </c>
      <c r="I38" s="289">
        <f>ROUNDUP(C38/(1-'Tabela de Produtos'!$R$1-'Tabela de Produtos'!$S$1),2)</f>
        <v>54.11</v>
      </c>
      <c r="J38" s="289">
        <f>ROUNDUP((C38+$B$7/'Tabela de Produtos'!$R$1)/(1-'Tabela de Produtos'!$R$1-'Tabela de Produtos'!$S$1),2)</f>
        <v>27326.829999999998</v>
      </c>
      <c r="K38" s="290">
        <f t="shared" si="3"/>
        <v>-27256.929999999997</v>
      </c>
    </row>
    <row r="39" spans="1:11">
      <c r="A39" s="285" t="str">
        <f>'Tabela de Produtos'!A48</f>
        <v>PRD00045</v>
      </c>
      <c r="B39" s="285" t="str">
        <f>'Tabela de Produtos'!B48</f>
        <v>BRAZIMIL LÁTEX ECONÔMICO INT FOSCO 15L AZUL CEU</v>
      </c>
      <c r="C39" s="286">
        <f>'Tabela de Produtos'!Q48</f>
        <v>37.559999999999995</v>
      </c>
      <c r="D39" s="286">
        <f>'Tabela de Produtos'!U48*(1-'Tabela de Produtos'!$R$1-'Tabela de Produtos'!$S$1)</f>
        <v>61.512</v>
      </c>
      <c r="E39" s="286">
        <f>'Tabela de Produtos'!U48</f>
        <v>69.900000000000006</v>
      </c>
      <c r="F39" s="287">
        <f t="shared" si="0"/>
        <v>23.952000000000005</v>
      </c>
      <c r="G39" s="288">
        <f t="shared" si="1"/>
        <v>0.38938743659773711</v>
      </c>
      <c r="H39" s="286" t="e">
        <f t="shared" si="2"/>
        <v>#VALUE!</v>
      </c>
      <c r="I39" s="289">
        <f>ROUNDUP(C39/(1-'Tabela de Produtos'!$R$1-'Tabela de Produtos'!$S$1),2)</f>
        <v>42.69</v>
      </c>
      <c r="J39" s="289">
        <f>ROUNDUP((C39+$B$7/'Tabela de Produtos'!$R$1)/(1-'Tabela de Produtos'!$R$1-'Tabela de Produtos'!$S$1),2)</f>
        <v>27315.41</v>
      </c>
      <c r="K39" s="290">
        <f t="shared" si="3"/>
        <v>-27245.51</v>
      </c>
    </row>
    <row r="40" spans="1:11">
      <c r="A40" s="285" t="str">
        <f>'Tabela de Produtos'!A49</f>
        <v>PRD00046</v>
      </c>
      <c r="B40" s="285" t="str">
        <f>'Tabela de Produtos'!B49</f>
        <v>BRAZIMIL LÁTEX ECONÔMICO INT FOSCO 15L AZUL OCEANO</v>
      </c>
      <c r="C40" s="286">
        <f>'Tabela de Produtos'!Q49</f>
        <v>43.41</v>
      </c>
      <c r="D40" s="286">
        <f>'Tabela de Produtos'!U49*(1-'Tabela de Produtos'!$R$1-'Tabela de Produtos'!$S$1)</f>
        <v>61.512</v>
      </c>
      <c r="E40" s="286">
        <f>'Tabela de Produtos'!U49</f>
        <v>69.900000000000006</v>
      </c>
      <c r="F40" s="287">
        <f t="shared" si="0"/>
        <v>18.102000000000004</v>
      </c>
      <c r="G40" s="288">
        <f t="shared" si="1"/>
        <v>0.29428404213811943</v>
      </c>
      <c r="H40" s="286" t="e">
        <f t="shared" si="2"/>
        <v>#VALUE!</v>
      </c>
      <c r="I40" s="289">
        <f>ROUNDUP(C40/(1-'Tabela de Produtos'!$R$1-'Tabela de Produtos'!$S$1),2)</f>
        <v>49.33</v>
      </c>
      <c r="J40" s="289">
        <f>ROUNDUP((C40+$B$7/'Tabela de Produtos'!$R$1)/(1-'Tabela de Produtos'!$R$1-'Tabela de Produtos'!$S$1),2)</f>
        <v>27322.059999999998</v>
      </c>
      <c r="K40" s="290">
        <f t="shared" si="3"/>
        <v>-27252.159999999996</v>
      </c>
    </row>
    <row r="41" spans="1:11">
      <c r="A41" s="285" t="str">
        <f>'Tabela de Produtos'!A50</f>
        <v>PRD00047</v>
      </c>
      <c r="B41" s="285" t="str">
        <f>'Tabela de Produtos'!B50</f>
        <v>BRAZIMIL LÁTEX ECONÔMICO INT FOSCO 15L AMARELO CANARIO</v>
      </c>
      <c r="C41" s="286">
        <f>'Tabela de Produtos'!Q50</f>
        <v>38.909999999999997</v>
      </c>
      <c r="D41" s="286">
        <f>'Tabela de Produtos'!U50*(1-'Tabela de Produtos'!$R$1-'Tabela de Produtos'!$S$1)</f>
        <v>61.512</v>
      </c>
      <c r="E41" s="286">
        <f>'Tabela de Produtos'!U50</f>
        <v>69.900000000000006</v>
      </c>
      <c r="F41" s="287">
        <f t="shared" si="0"/>
        <v>22.602000000000004</v>
      </c>
      <c r="G41" s="288">
        <f t="shared" si="1"/>
        <v>0.36744049941474838</v>
      </c>
      <c r="H41" s="286" t="e">
        <f t="shared" si="2"/>
        <v>#VALUE!</v>
      </c>
      <c r="I41" s="289">
        <f>ROUNDUP(C41/(1-'Tabela de Produtos'!$R$1-'Tabela de Produtos'!$S$1),2)</f>
        <v>44.22</v>
      </c>
      <c r="J41" s="289">
        <f>ROUNDUP((C41+$B$7/'Tabela de Produtos'!$R$1)/(1-'Tabela de Produtos'!$R$1-'Tabela de Produtos'!$S$1),2)</f>
        <v>27316.949999999997</v>
      </c>
      <c r="K41" s="290">
        <f t="shared" si="3"/>
        <v>-27247.049999999996</v>
      </c>
    </row>
    <row r="42" spans="1:11">
      <c r="A42" s="285" t="str">
        <f>'Tabela de Produtos'!A51</f>
        <v>PRD00048</v>
      </c>
      <c r="B42" s="285" t="str">
        <f>'Tabela de Produtos'!B51</f>
        <v>BRAZIMIL LÁTEX ECONÔMICO INT FOSCO 15L CROMO SUAVE</v>
      </c>
      <c r="C42" s="286">
        <f>'Tabela de Produtos'!Q51</f>
        <v>42.510000000000005</v>
      </c>
      <c r="D42" s="286">
        <f>'Tabela de Produtos'!U51*(1-'Tabela de Produtos'!$R$1-'Tabela de Produtos'!$S$1)</f>
        <v>61.512</v>
      </c>
      <c r="E42" s="286">
        <f>'Tabela de Produtos'!U51</f>
        <v>69.900000000000006</v>
      </c>
      <c r="F42" s="287">
        <f t="shared" si="0"/>
        <v>19.001999999999995</v>
      </c>
      <c r="G42" s="288">
        <f t="shared" si="1"/>
        <v>0.30891533359344509</v>
      </c>
      <c r="H42" s="286" t="e">
        <f t="shared" si="2"/>
        <v>#VALUE!</v>
      </c>
      <c r="I42" s="289">
        <f>ROUNDUP(C42/(1-'Tabela de Produtos'!$R$1-'Tabela de Produtos'!$S$1),2)</f>
        <v>48.309999999999995</v>
      </c>
      <c r="J42" s="289">
        <f>ROUNDUP((C42+$B$7/'Tabela de Produtos'!$R$1)/(1-'Tabela de Produtos'!$R$1-'Tabela de Produtos'!$S$1),2)</f>
        <v>27321.039999999997</v>
      </c>
      <c r="K42" s="290">
        <f t="shared" si="3"/>
        <v>-27251.139999999996</v>
      </c>
    </row>
    <row r="43" spans="1:11">
      <c r="A43" s="285" t="str">
        <f>'Tabela de Produtos'!A52</f>
        <v>PRD00049</v>
      </c>
      <c r="B43" s="285" t="str">
        <f>'Tabela de Produtos'!B52</f>
        <v>BRAZIMIL LÁTEX ECONÔMICO INT FOSCO 15L ROSA BEBE</v>
      </c>
      <c r="C43" s="286">
        <f>'Tabela de Produtos'!Q52</f>
        <v>38.01</v>
      </c>
      <c r="D43" s="286">
        <f>'Tabela de Produtos'!U52*(1-'Tabela de Produtos'!$R$1-'Tabela de Produtos'!$S$1)</f>
        <v>61.512</v>
      </c>
      <c r="E43" s="286">
        <f>'Tabela de Produtos'!U52</f>
        <v>69.900000000000006</v>
      </c>
      <c r="F43" s="287">
        <f t="shared" si="0"/>
        <v>23.502000000000002</v>
      </c>
      <c r="G43" s="288">
        <f t="shared" si="1"/>
        <v>0.38207179087007415</v>
      </c>
      <c r="H43" s="286" t="e">
        <f t="shared" si="2"/>
        <v>#VALUE!</v>
      </c>
      <c r="I43" s="289">
        <f>ROUNDUP(C43/(1-'Tabela de Produtos'!$R$1-'Tabela de Produtos'!$S$1),2)</f>
        <v>43.199999999999996</v>
      </c>
      <c r="J43" s="289">
        <f>ROUNDUP((C43+$B$7/'Tabela de Produtos'!$R$1)/(1-'Tabela de Produtos'!$R$1-'Tabela de Produtos'!$S$1),2)</f>
        <v>27315.929999999997</v>
      </c>
      <c r="K43" s="290">
        <f t="shared" si="3"/>
        <v>-27246.029999999995</v>
      </c>
    </row>
    <row r="44" spans="1:11">
      <c r="A44" s="285" t="str">
        <f>'Tabela de Produtos'!A53</f>
        <v>PRD00050</v>
      </c>
      <c r="B44" s="285" t="str">
        <f>'Tabela de Produtos'!B53</f>
        <v>BRAZIMIL LÁTEX ECONÔMICO INT FOSCO 15L MARFIM</v>
      </c>
      <c r="C44" s="286">
        <f>'Tabela de Produtos'!Q53</f>
        <v>38.159999999999997</v>
      </c>
      <c r="D44" s="286">
        <f>'Tabela de Produtos'!U53*(1-'Tabela de Produtos'!$R$1-'Tabela de Produtos'!$S$1)</f>
        <v>61.512</v>
      </c>
      <c r="E44" s="286">
        <f>'Tabela de Produtos'!U53</f>
        <v>69.900000000000006</v>
      </c>
      <c r="F44" s="287">
        <f t="shared" ref="F44:F75" si="4">D44-C44</f>
        <v>23.352000000000004</v>
      </c>
      <c r="G44" s="288">
        <f t="shared" ref="G44:G75" si="5">IF(D44=0,"",F44/D44)</f>
        <v>0.37963324229418655</v>
      </c>
      <c r="H44" s="286" t="e">
        <f t="shared" ref="H44:H75" si="6">IF($B$7=0,0,$B$4/$B$7)</f>
        <v>#VALUE!</v>
      </c>
      <c r="I44" s="289">
        <f>ROUNDUP(C44/(1-'Tabela de Produtos'!$R$1-'Tabela de Produtos'!$S$1),2)</f>
        <v>43.37</v>
      </c>
      <c r="J44" s="289">
        <f>ROUNDUP((C44+$B$7/'Tabela de Produtos'!$R$1)/(1-'Tabela de Produtos'!$R$1-'Tabela de Produtos'!$S$1),2)</f>
        <v>27316.1</v>
      </c>
      <c r="K44" s="290">
        <f t="shared" ref="K44:K75" si="7">E44-J44</f>
        <v>-27246.199999999997</v>
      </c>
    </row>
    <row r="45" spans="1:11">
      <c r="A45" s="285" t="str">
        <f>'Tabela de Produtos'!A54</f>
        <v>PRD00051</v>
      </c>
      <c r="B45" s="285" t="str">
        <f>'Tabela de Produtos'!B54</f>
        <v>BRAZIMIL LÁTEX ECONÔMICO INT FOSCO 15L AMARELO IPE</v>
      </c>
      <c r="C45" s="286">
        <f>'Tabela de Produtos'!Q54</f>
        <v>42.510000000000005</v>
      </c>
      <c r="D45" s="286">
        <f>'Tabela de Produtos'!U54*(1-'Tabela de Produtos'!$R$1-'Tabela de Produtos'!$S$1)</f>
        <v>61.512</v>
      </c>
      <c r="E45" s="286">
        <f>'Tabela de Produtos'!U54</f>
        <v>69.900000000000006</v>
      </c>
      <c r="F45" s="287">
        <f t="shared" si="4"/>
        <v>19.001999999999995</v>
      </c>
      <c r="G45" s="288">
        <f t="shared" si="5"/>
        <v>0.30891533359344509</v>
      </c>
      <c r="H45" s="286" t="e">
        <f t="shared" si="6"/>
        <v>#VALUE!</v>
      </c>
      <c r="I45" s="289">
        <f>ROUNDUP(C45/(1-'Tabela de Produtos'!$R$1-'Tabela de Produtos'!$S$1),2)</f>
        <v>48.309999999999995</v>
      </c>
      <c r="J45" s="289">
        <f>ROUNDUP((C45+$B$7/'Tabela de Produtos'!$R$1)/(1-'Tabela de Produtos'!$R$1-'Tabela de Produtos'!$S$1),2)</f>
        <v>27321.039999999997</v>
      </c>
      <c r="K45" s="290">
        <f t="shared" si="7"/>
        <v>-27251.139999999996</v>
      </c>
    </row>
    <row r="46" spans="1:11">
      <c r="A46" s="285" t="str">
        <f>'Tabela de Produtos'!A55</f>
        <v>PRD00052</v>
      </c>
      <c r="B46" s="285" t="str">
        <f>'Tabela de Produtos'!B55</f>
        <v>BRAZIMIL LÁTEX ECONÔMICO INT FOSCO 15L DAMASCO</v>
      </c>
      <c r="C46" s="286">
        <f>'Tabela de Produtos'!Q55</f>
        <v>43.410000000000004</v>
      </c>
      <c r="D46" s="286">
        <f>'Tabela de Produtos'!U55*(1-'Tabela de Produtos'!$R$1-'Tabela de Produtos'!$S$1)</f>
        <v>61.512</v>
      </c>
      <c r="E46" s="286">
        <f>'Tabela de Produtos'!U55</f>
        <v>69.900000000000006</v>
      </c>
      <c r="F46" s="287">
        <f t="shared" si="4"/>
        <v>18.101999999999997</v>
      </c>
      <c r="G46" s="288">
        <f t="shared" si="5"/>
        <v>0.29428404213811932</v>
      </c>
      <c r="H46" s="286" t="e">
        <f t="shared" si="6"/>
        <v>#VALUE!</v>
      </c>
      <c r="I46" s="289">
        <f>ROUNDUP(C46/(1-'Tabela de Produtos'!$R$1-'Tabela de Produtos'!$S$1),2)</f>
        <v>49.33</v>
      </c>
      <c r="J46" s="289">
        <f>ROUNDUP((C46+$B$7/'Tabela de Produtos'!$R$1)/(1-'Tabela de Produtos'!$R$1-'Tabela de Produtos'!$S$1),2)</f>
        <v>27322.059999999998</v>
      </c>
      <c r="K46" s="290">
        <f t="shared" si="7"/>
        <v>-27252.159999999996</v>
      </c>
    </row>
    <row r="47" spans="1:11">
      <c r="A47" s="285" t="str">
        <f>'Tabela de Produtos'!A56</f>
        <v>PRD00053</v>
      </c>
      <c r="B47" s="285" t="str">
        <f>'Tabela de Produtos'!B56</f>
        <v>BRAZIMIL LÁTEX ECONÔMICO INT FOSCO 15L PEROLA</v>
      </c>
      <c r="C47" s="286">
        <f>'Tabela de Produtos'!Q56</f>
        <v>37.859999999999992</v>
      </c>
      <c r="D47" s="286">
        <f>'Tabela de Produtos'!U56*(1-'Tabela de Produtos'!$R$1-'Tabela de Produtos'!$S$1)</f>
        <v>61.512</v>
      </c>
      <c r="E47" s="286">
        <f>'Tabela de Produtos'!U56</f>
        <v>69.900000000000006</v>
      </c>
      <c r="F47" s="287">
        <f t="shared" si="4"/>
        <v>23.652000000000008</v>
      </c>
      <c r="G47" s="288">
        <f t="shared" si="5"/>
        <v>0.38451033944596191</v>
      </c>
      <c r="H47" s="286" t="e">
        <f t="shared" si="6"/>
        <v>#VALUE!</v>
      </c>
      <c r="I47" s="289">
        <f>ROUNDUP(C47/(1-'Tabela de Produtos'!$R$1-'Tabela de Produtos'!$S$1),2)</f>
        <v>43.03</v>
      </c>
      <c r="J47" s="289">
        <f>ROUNDUP((C47+$B$7/'Tabela de Produtos'!$R$1)/(1-'Tabela de Produtos'!$R$1-'Tabela de Produtos'!$S$1),2)</f>
        <v>27315.75</v>
      </c>
      <c r="K47" s="290">
        <f t="shared" si="7"/>
        <v>-27245.85</v>
      </c>
    </row>
    <row r="48" spans="1:11">
      <c r="A48" s="285" t="str">
        <f>'Tabela de Produtos'!A72</f>
        <v>PRD00069</v>
      </c>
      <c r="B48" s="285" t="str">
        <f>'Tabela de Produtos'!B72</f>
        <v>BRAZIMIL LÁTEX STANDARD INT/EXT FOSCO 3L BRANCO NEVE</v>
      </c>
      <c r="C48" s="286">
        <f>'Tabela de Produtos'!Q72</f>
        <v>14.18</v>
      </c>
      <c r="D48" s="286">
        <f>'Tabela de Produtos'!U72*(1-'Tabela de Produtos'!$R$1-'Tabela de Produtos'!$S$1)</f>
        <v>21.999999999999996</v>
      </c>
      <c r="E48" s="286">
        <f>'Tabela de Produtos'!U72</f>
        <v>25</v>
      </c>
      <c r="F48" s="287">
        <f t="shared" si="4"/>
        <v>7.8199999999999967</v>
      </c>
      <c r="G48" s="288">
        <f t="shared" si="5"/>
        <v>0.35545454545454536</v>
      </c>
      <c r="H48" s="286" t="e">
        <f t="shared" si="6"/>
        <v>#VALUE!</v>
      </c>
      <c r="I48" s="289">
        <f>ROUNDUP(C48/(1-'Tabela de Produtos'!$R$1-'Tabela de Produtos'!$S$1),2)</f>
        <v>16.12</v>
      </c>
      <c r="J48" s="289">
        <f>ROUNDUP((C48+$B$7/'Tabela de Produtos'!$R$1)/(1-'Tabela de Produtos'!$R$1-'Tabela de Produtos'!$S$1),2)</f>
        <v>27288.85</v>
      </c>
      <c r="K48" s="290">
        <f t="shared" si="7"/>
        <v>-27263.85</v>
      </c>
    </row>
    <row r="49" spans="1:11">
      <c r="A49" s="285" t="str">
        <f>'Tabela de Produtos'!A73</f>
        <v>PRD00070</v>
      </c>
      <c r="B49" s="285" t="str">
        <f>'Tabela de Produtos'!B73</f>
        <v>BRAZIMIL LÁTEX STANDARD INT/EXT FOSCO 3L BRANCO GELO</v>
      </c>
      <c r="C49" s="286">
        <f>'Tabela de Produtos'!Q73</f>
        <v>12.02</v>
      </c>
      <c r="D49" s="286">
        <f>'Tabela de Produtos'!U73*(1-'Tabela de Produtos'!$R$1-'Tabela de Produtos'!$S$1)</f>
        <v>21.999999999999996</v>
      </c>
      <c r="E49" s="286">
        <f>'Tabela de Produtos'!U73</f>
        <v>25</v>
      </c>
      <c r="F49" s="287">
        <f t="shared" si="4"/>
        <v>9.9799999999999969</v>
      </c>
      <c r="G49" s="288">
        <f t="shared" si="5"/>
        <v>0.45363636363636356</v>
      </c>
      <c r="H49" s="286" t="e">
        <f t="shared" si="6"/>
        <v>#VALUE!</v>
      </c>
      <c r="I49" s="289">
        <f>ROUNDUP(C49/(1-'Tabela de Produtos'!$R$1-'Tabela de Produtos'!$S$1),2)</f>
        <v>13.66</v>
      </c>
      <c r="J49" s="289">
        <f>ROUNDUP((C49+$B$7/'Tabela de Produtos'!$R$1)/(1-'Tabela de Produtos'!$R$1-'Tabela de Produtos'!$S$1),2)</f>
        <v>27286.39</v>
      </c>
      <c r="K49" s="290">
        <f t="shared" si="7"/>
        <v>-27261.39</v>
      </c>
    </row>
    <row r="50" spans="1:11">
      <c r="A50" s="285" t="str">
        <f>'Tabela de Produtos'!A74</f>
        <v>PRD00071</v>
      </c>
      <c r="B50" s="285" t="str">
        <f>'Tabela de Produtos'!B74</f>
        <v>BRAZIMIL LÁTEX STANDARD INT/EXT FOSCO 3L FLAMINGO</v>
      </c>
      <c r="C50" s="286">
        <f>'Tabela de Produtos'!Q74</f>
        <v>13.429999999999998</v>
      </c>
      <c r="D50" s="286">
        <f>'Tabela de Produtos'!U74*(1-'Tabela de Produtos'!$R$1-'Tabela de Produtos'!$S$1)</f>
        <v>21.999999999999996</v>
      </c>
      <c r="E50" s="286">
        <f>'Tabela de Produtos'!U74</f>
        <v>25</v>
      </c>
      <c r="F50" s="287">
        <f t="shared" si="4"/>
        <v>8.5699999999999985</v>
      </c>
      <c r="G50" s="288">
        <f t="shared" si="5"/>
        <v>0.38954545454545453</v>
      </c>
      <c r="H50" s="286" t="e">
        <f t="shared" si="6"/>
        <v>#VALUE!</v>
      </c>
      <c r="I50" s="289">
        <f>ROUNDUP(C50/(1-'Tabela de Produtos'!$R$1-'Tabela de Produtos'!$S$1),2)</f>
        <v>15.27</v>
      </c>
      <c r="J50" s="289">
        <f>ROUNDUP((C50+$B$7/'Tabela de Produtos'!$R$1)/(1-'Tabela de Produtos'!$R$1-'Tabela de Produtos'!$S$1),2)</f>
        <v>27287.989999999998</v>
      </c>
      <c r="K50" s="290">
        <f t="shared" si="7"/>
        <v>-27262.989999999998</v>
      </c>
    </row>
    <row r="51" spans="1:11">
      <c r="A51" s="285" t="str">
        <f>'Tabela de Produtos'!A75</f>
        <v>PRD00072</v>
      </c>
      <c r="B51" s="285" t="str">
        <f>'Tabela de Produtos'!B75</f>
        <v>BRAZIMIL LÁTEX STANDARD INT/EXT FOSCO 3L AREIA</v>
      </c>
      <c r="C51" s="286">
        <f>'Tabela de Produtos'!Q75</f>
        <v>3.44</v>
      </c>
      <c r="D51" s="286">
        <f>'Tabela de Produtos'!U75*(1-'Tabela de Produtos'!$R$1-'Tabela de Produtos'!$S$1)</f>
        <v>21.999999999999996</v>
      </c>
      <c r="E51" s="286">
        <f>'Tabela de Produtos'!U75</f>
        <v>25</v>
      </c>
      <c r="F51" s="287">
        <f t="shared" si="4"/>
        <v>18.559999999999995</v>
      </c>
      <c r="G51" s="288">
        <f t="shared" si="5"/>
        <v>0.84363636363636352</v>
      </c>
      <c r="H51" s="286" t="e">
        <f t="shared" si="6"/>
        <v>#VALUE!</v>
      </c>
      <c r="I51" s="289">
        <f>ROUNDUP(C51/(1-'Tabela de Produtos'!$R$1-'Tabela de Produtos'!$S$1),2)</f>
        <v>3.9099999999999997</v>
      </c>
      <c r="J51" s="289">
        <f>ROUNDUP((C51+$B$7/'Tabela de Produtos'!$R$1)/(1-'Tabela de Produtos'!$R$1-'Tabela de Produtos'!$S$1),2)</f>
        <v>27276.639999999999</v>
      </c>
      <c r="K51" s="290">
        <f t="shared" si="7"/>
        <v>-27251.64</v>
      </c>
    </row>
    <row r="52" spans="1:11">
      <c r="A52" s="285" t="str">
        <f>'Tabela de Produtos'!A76</f>
        <v>PRD00073</v>
      </c>
      <c r="B52" s="285" t="str">
        <f>'Tabela de Produtos'!B76</f>
        <v>BRAZIMIL LÁTEX STANDARD INT/EXT FOSCO 3L MARFIM</v>
      </c>
      <c r="C52" s="286">
        <f>'Tabela de Produtos'!Q76</f>
        <v>12.229999999999999</v>
      </c>
      <c r="D52" s="286">
        <f>'Tabela de Produtos'!U76*(1-'Tabela de Produtos'!$R$1-'Tabela de Produtos'!$S$1)</f>
        <v>21.999999999999996</v>
      </c>
      <c r="E52" s="286">
        <f>'Tabela de Produtos'!U76</f>
        <v>25</v>
      </c>
      <c r="F52" s="287">
        <f t="shared" si="4"/>
        <v>9.7699999999999978</v>
      </c>
      <c r="G52" s="288">
        <f t="shared" si="5"/>
        <v>0.44409090909090904</v>
      </c>
      <c r="H52" s="286" t="e">
        <f t="shared" si="6"/>
        <v>#VALUE!</v>
      </c>
      <c r="I52" s="289">
        <f>ROUNDUP(C52/(1-'Tabela de Produtos'!$R$1-'Tabela de Produtos'!$S$1),2)</f>
        <v>13.9</v>
      </c>
      <c r="J52" s="289">
        <f>ROUNDUP((C52+$B$7/'Tabela de Produtos'!$R$1)/(1-'Tabela de Produtos'!$R$1-'Tabela de Produtos'!$S$1),2)</f>
        <v>27286.629999999997</v>
      </c>
      <c r="K52" s="290">
        <f t="shared" si="7"/>
        <v>-27261.629999999997</v>
      </c>
    </row>
    <row r="53" spans="1:11">
      <c r="A53" s="285" t="str">
        <f>'Tabela de Produtos'!A77</f>
        <v>PRD00074</v>
      </c>
      <c r="B53" s="285" t="str">
        <f>'Tabela de Produtos'!B77</f>
        <v>BRAZIMIL LÁTEX STANDARD INT/EXT FOSCO 3L ROSA PETALA</v>
      </c>
      <c r="C53" s="286">
        <f>'Tabela de Produtos'!Q77</f>
        <v>12.26</v>
      </c>
      <c r="D53" s="286">
        <f>'Tabela de Produtos'!U77*(1-'Tabela de Produtos'!$R$1-'Tabela de Produtos'!$S$1)</f>
        <v>21.999999999999996</v>
      </c>
      <c r="E53" s="286">
        <f>'Tabela de Produtos'!U77</f>
        <v>25</v>
      </c>
      <c r="F53" s="287">
        <f t="shared" si="4"/>
        <v>9.7399999999999967</v>
      </c>
      <c r="G53" s="288">
        <f t="shared" si="5"/>
        <v>0.44272727272727264</v>
      </c>
      <c r="H53" s="286" t="e">
        <f t="shared" si="6"/>
        <v>#VALUE!</v>
      </c>
      <c r="I53" s="289">
        <f>ROUNDUP(C53/(1-'Tabela de Produtos'!$R$1-'Tabela de Produtos'!$S$1),2)</f>
        <v>13.94</v>
      </c>
      <c r="J53" s="289">
        <f>ROUNDUP((C53+$B$7/'Tabela de Produtos'!$R$1)/(1-'Tabela de Produtos'!$R$1-'Tabela de Produtos'!$S$1),2)</f>
        <v>27286.66</v>
      </c>
      <c r="K53" s="290">
        <f t="shared" si="7"/>
        <v>-27261.66</v>
      </c>
    </row>
    <row r="54" spans="1:11">
      <c r="A54" s="285" t="str">
        <f>'Tabela de Produtos'!A78</f>
        <v>PRD00075</v>
      </c>
      <c r="B54" s="285" t="str">
        <f>'Tabela de Produtos'!B78</f>
        <v>BRAZIMIL LÁTEX STANDARD INT/EXT FOSCO 3L ACAI AMAZONICO</v>
      </c>
      <c r="C54" s="286">
        <f>'Tabela de Produtos'!Q78</f>
        <v>3.44</v>
      </c>
      <c r="D54" s="286">
        <f>'Tabela de Produtos'!U78*(1-'Tabela de Produtos'!$R$1-'Tabela de Produtos'!$S$1)</f>
        <v>21.999999999999996</v>
      </c>
      <c r="E54" s="286">
        <f>'Tabela de Produtos'!U78</f>
        <v>25</v>
      </c>
      <c r="F54" s="287">
        <f t="shared" si="4"/>
        <v>18.559999999999995</v>
      </c>
      <c r="G54" s="288">
        <f t="shared" si="5"/>
        <v>0.84363636363636352</v>
      </c>
      <c r="H54" s="286" t="e">
        <f t="shared" si="6"/>
        <v>#VALUE!</v>
      </c>
      <c r="I54" s="289">
        <f>ROUNDUP(C54/(1-'Tabela de Produtos'!$R$1-'Tabela de Produtos'!$S$1),2)</f>
        <v>3.9099999999999997</v>
      </c>
      <c r="J54" s="289">
        <f>ROUNDUP((C54+$B$7/'Tabela de Produtos'!$R$1)/(1-'Tabela de Produtos'!$R$1-'Tabela de Produtos'!$S$1),2)</f>
        <v>27276.639999999999</v>
      </c>
      <c r="K54" s="290">
        <f t="shared" si="7"/>
        <v>-27251.64</v>
      </c>
    </row>
    <row r="55" spans="1:11">
      <c r="A55" s="285" t="str">
        <f>'Tabela de Produtos'!A79</f>
        <v>PRD00076</v>
      </c>
      <c r="B55" s="285" t="str">
        <f>'Tabela de Produtos'!B79</f>
        <v>BRAZIMIL LÁTEX STANDARD INT/EXT FOSCO 3L VERDE FOLHA</v>
      </c>
      <c r="C55" s="286">
        <f>'Tabela de Produtos'!Q79</f>
        <v>3.44</v>
      </c>
      <c r="D55" s="286">
        <f>'Tabela de Produtos'!U79*(1-'Tabela de Produtos'!$R$1-'Tabela de Produtos'!$S$1)</f>
        <v>21.999999999999996</v>
      </c>
      <c r="E55" s="286">
        <f>'Tabela de Produtos'!U79</f>
        <v>25</v>
      </c>
      <c r="F55" s="287">
        <f t="shared" si="4"/>
        <v>18.559999999999995</v>
      </c>
      <c r="G55" s="288">
        <f t="shared" si="5"/>
        <v>0.84363636363636352</v>
      </c>
      <c r="H55" s="286" t="e">
        <f t="shared" si="6"/>
        <v>#VALUE!</v>
      </c>
      <c r="I55" s="289">
        <f>ROUNDUP(C55/(1-'Tabela de Produtos'!$R$1-'Tabela de Produtos'!$S$1),2)</f>
        <v>3.9099999999999997</v>
      </c>
      <c r="J55" s="289">
        <f>ROUNDUP((C55+$B$7/'Tabela de Produtos'!$R$1)/(1-'Tabela de Produtos'!$R$1-'Tabela de Produtos'!$S$1),2)</f>
        <v>27276.639999999999</v>
      </c>
      <c r="K55" s="290">
        <f t="shared" si="7"/>
        <v>-27251.64</v>
      </c>
    </row>
    <row r="56" spans="1:11">
      <c r="A56" s="285" t="str">
        <f>'Tabela de Produtos'!A80</f>
        <v>PRD00077</v>
      </c>
      <c r="B56" s="285" t="str">
        <f>'Tabela de Produtos'!B80</f>
        <v>BRAZIMIL LÁTEX STANDARD INT/EXT FOSCO 3L LARANJA</v>
      </c>
      <c r="C56" s="286">
        <f>'Tabela de Produtos'!Q80</f>
        <v>3.44</v>
      </c>
      <c r="D56" s="286">
        <f>'Tabela de Produtos'!U80*(1-'Tabela de Produtos'!$R$1-'Tabela de Produtos'!$S$1)</f>
        <v>21.999999999999996</v>
      </c>
      <c r="E56" s="286">
        <f>'Tabela de Produtos'!U80</f>
        <v>25</v>
      </c>
      <c r="F56" s="287">
        <f t="shared" si="4"/>
        <v>18.559999999999995</v>
      </c>
      <c r="G56" s="288">
        <f t="shared" si="5"/>
        <v>0.84363636363636352</v>
      </c>
      <c r="H56" s="286" t="e">
        <f t="shared" si="6"/>
        <v>#VALUE!</v>
      </c>
      <c r="I56" s="289">
        <f>ROUNDUP(C56/(1-'Tabela de Produtos'!$R$1-'Tabela de Produtos'!$S$1),2)</f>
        <v>3.9099999999999997</v>
      </c>
      <c r="J56" s="289">
        <f>ROUNDUP((C56+$B$7/'Tabela de Produtos'!$R$1)/(1-'Tabela de Produtos'!$R$1-'Tabela de Produtos'!$S$1),2)</f>
        <v>27276.639999999999</v>
      </c>
      <c r="K56" s="290">
        <f t="shared" si="7"/>
        <v>-27251.64</v>
      </c>
    </row>
    <row r="57" spans="1:11">
      <c r="A57" s="285" t="str">
        <f>'Tabela de Produtos'!A81</f>
        <v>PRD00078</v>
      </c>
      <c r="B57" s="285" t="str">
        <f>'Tabela de Produtos'!B81</f>
        <v>BRAZIMIL LÁTEX STANDARD INT/EXT FOSCO 3L AZUL CARIBE</v>
      </c>
      <c r="C57" s="286">
        <f>'Tabela de Produtos'!Q81</f>
        <v>12.229999999999999</v>
      </c>
      <c r="D57" s="286">
        <f>'Tabela de Produtos'!U81*(1-'Tabela de Produtos'!$R$1-'Tabela de Produtos'!$S$1)</f>
        <v>21.999999999999996</v>
      </c>
      <c r="E57" s="286">
        <f>'Tabela de Produtos'!U81</f>
        <v>25</v>
      </c>
      <c r="F57" s="287">
        <f t="shared" si="4"/>
        <v>9.7699999999999978</v>
      </c>
      <c r="G57" s="288">
        <f t="shared" si="5"/>
        <v>0.44409090909090904</v>
      </c>
      <c r="H57" s="286" t="e">
        <f t="shared" si="6"/>
        <v>#VALUE!</v>
      </c>
      <c r="I57" s="289">
        <f>ROUNDUP(C57/(1-'Tabela de Produtos'!$R$1-'Tabela de Produtos'!$S$1),2)</f>
        <v>13.9</v>
      </c>
      <c r="J57" s="289">
        <f>ROUNDUP((C57+$B$7/'Tabela de Produtos'!$R$1)/(1-'Tabela de Produtos'!$R$1-'Tabela de Produtos'!$S$1),2)</f>
        <v>27286.629999999997</v>
      </c>
      <c r="K57" s="290">
        <f t="shared" si="7"/>
        <v>-27261.629999999997</v>
      </c>
    </row>
    <row r="58" spans="1:11">
      <c r="A58" s="285" t="str">
        <f>'Tabela de Produtos'!A82</f>
        <v>PRD00079</v>
      </c>
      <c r="B58" s="285" t="str">
        <f>'Tabela de Produtos'!B82</f>
        <v>BRAZIMIL LÁTEX STANDARD INT/EXT FOSCO 3L VERDE LIMA</v>
      </c>
      <c r="C58" s="286">
        <f>'Tabela de Produtos'!Q82</f>
        <v>12.74</v>
      </c>
      <c r="D58" s="286">
        <f>'Tabela de Produtos'!U82*(1-'Tabela de Produtos'!$R$1-'Tabela de Produtos'!$S$1)</f>
        <v>21.999999999999996</v>
      </c>
      <c r="E58" s="286">
        <f>'Tabela de Produtos'!U82</f>
        <v>25</v>
      </c>
      <c r="F58" s="287">
        <f t="shared" si="4"/>
        <v>9.2599999999999962</v>
      </c>
      <c r="G58" s="288">
        <f t="shared" si="5"/>
        <v>0.42090909090909079</v>
      </c>
      <c r="H58" s="286" t="e">
        <f t="shared" si="6"/>
        <v>#VALUE!</v>
      </c>
      <c r="I58" s="289">
        <f>ROUNDUP(C58/(1-'Tabela de Produtos'!$R$1-'Tabela de Produtos'!$S$1),2)</f>
        <v>14.48</v>
      </c>
      <c r="J58" s="289">
        <f>ROUNDUP((C58+$B$7/'Tabela de Produtos'!$R$1)/(1-'Tabela de Produtos'!$R$1-'Tabela de Produtos'!$S$1),2)</f>
        <v>27287.21</v>
      </c>
      <c r="K58" s="290">
        <f t="shared" si="7"/>
        <v>-27262.21</v>
      </c>
    </row>
    <row r="59" spans="1:11">
      <c r="A59" s="285" t="str">
        <f>'Tabela de Produtos'!A83</f>
        <v>PRD00080</v>
      </c>
      <c r="B59" s="285" t="str">
        <f>'Tabela de Produtos'!B83</f>
        <v>BRAZIMIL LÁTEX STANDARD INT/EXT FOSCO 3L PEROLA</v>
      </c>
      <c r="C59" s="286">
        <f>'Tabela de Produtos'!Q83</f>
        <v>3.44</v>
      </c>
      <c r="D59" s="286">
        <f>'Tabela de Produtos'!U83*(1-'Tabela de Produtos'!$R$1-'Tabela de Produtos'!$S$1)</f>
        <v>21.999999999999996</v>
      </c>
      <c r="E59" s="286">
        <f>'Tabela de Produtos'!U83</f>
        <v>25</v>
      </c>
      <c r="F59" s="287">
        <f t="shared" si="4"/>
        <v>18.559999999999995</v>
      </c>
      <c r="G59" s="288">
        <f t="shared" si="5"/>
        <v>0.84363636363636352</v>
      </c>
      <c r="H59" s="286" t="e">
        <f t="shared" si="6"/>
        <v>#VALUE!</v>
      </c>
      <c r="I59" s="289">
        <f>ROUNDUP(C59/(1-'Tabela de Produtos'!$R$1-'Tabela de Produtos'!$S$1),2)</f>
        <v>3.9099999999999997</v>
      </c>
      <c r="J59" s="289">
        <f>ROUNDUP((C59+$B$7/'Tabela de Produtos'!$R$1)/(1-'Tabela de Produtos'!$R$1-'Tabela de Produtos'!$S$1),2)</f>
        <v>27276.639999999999</v>
      </c>
      <c r="K59" s="290">
        <f t="shared" si="7"/>
        <v>-27251.64</v>
      </c>
    </row>
    <row r="60" spans="1:11">
      <c r="A60" s="285" t="str">
        <f>'Tabela de Produtos'!A84</f>
        <v>PRD00081</v>
      </c>
      <c r="B60" s="285" t="str">
        <f>'Tabela de Produtos'!B84</f>
        <v>BRAZIMIL LÁTEX STANDARD INT/EXT FOSCO 3L AZUL INTENSO</v>
      </c>
      <c r="C60" s="286">
        <f>'Tabela de Produtos'!Q84</f>
        <v>13.759999999999998</v>
      </c>
      <c r="D60" s="286">
        <f>'Tabela de Produtos'!U84*(1-'Tabela de Produtos'!$R$1-'Tabela de Produtos'!$S$1)</f>
        <v>21.999999999999996</v>
      </c>
      <c r="E60" s="286">
        <f>'Tabela de Produtos'!U84</f>
        <v>25</v>
      </c>
      <c r="F60" s="287">
        <f t="shared" si="4"/>
        <v>8.2399999999999984</v>
      </c>
      <c r="G60" s="288">
        <f t="shared" si="5"/>
        <v>0.37454545454545451</v>
      </c>
      <c r="H60" s="286" t="e">
        <f t="shared" si="6"/>
        <v>#VALUE!</v>
      </c>
      <c r="I60" s="289">
        <f>ROUNDUP(C60/(1-'Tabela de Produtos'!$R$1-'Tabela de Produtos'!$S$1),2)</f>
        <v>15.64</v>
      </c>
      <c r="J60" s="289">
        <f>ROUNDUP((C60+$B$7/'Tabela de Produtos'!$R$1)/(1-'Tabela de Produtos'!$R$1-'Tabela de Produtos'!$S$1),2)</f>
        <v>27288.37</v>
      </c>
      <c r="K60" s="290">
        <f t="shared" si="7"/>
        <v>-27263.37</v>
      </c>
    </row>
    <row r="61" spans="1:11">
      <c r="A61" s="285" t="str">
        <f>'Tabela de Produtos'!A85</f>
        <v>PRD00082</v>
      </c>
      <c r="B61" s="285" t="str">
        <f>'Tabela de Produtos'!B85</f>
        <v>BRAZIMIL LÁTEX STANDARD INT/EXT FOSCO 3L LILAS</v>
      </c>
      <c r="C61" s="286">
        <f>'Tabela de Produtos'!Q85</f>
        <v>3.44</v>
      </c>
      <c r="D61" s="286">
        <f>'Tabela de Produtos'!U85*(1-'Tabela de Produtos'!$R$1-'Tabela de Produtos'!$S$1)</f>
        <v>21.999999999999996</v>
      </c>
      <c r="E61" s="286">
        <f>'Tabela de Produtos'!U85</f>
        <v>25</v>
      </c>
      <c r="F61" s="287">
        <f t="shared" si="4"/>
        <v>18.559999999999995</v>
      </c>
      <c r="G61" s="288">
        <f t="shared" si="5"/>
        <v>0.84363636363636352</v>
      </c>
      <c r="H61" s="286" t="e">
        <f t="shared" si="6"/>
        <v>#VALUE!</v>
      </c>
      <c r="I61" s="289">
        <f>ROUNDUP(C61/(1-'Tabela de Produtos'!$R$1-'Tabela de Produtos'!$S$1),2)</f>
        <v>3.9099999999999997</v>
      </c>
      <c r="J61" s="289">
        <f>ROUNDUP((C61+$B$7/'Tabela de Produtos'!$R$1)/(1-'Tabela de Produtos'!$R$1-'Tabela de Produtos'!$S$1),2)</f>
        <v>27276.639999999999</v>
      </c>
      <c r="K61" s="290">
        <f t="shared" si="7"/>
        <v>-27251.64</v>
      </c>
    </row>
    <row r="62" spans="1:11">
      <c r="A62" s="285" t="str">
        <f>'Tabela de Produtos'!A86</f>
        <v>PRD00083</v>
      </c>
      <c r="B62" s="285" t="str">
        <f>'Tabela de Produtos'!B86</f>
        <v>BRAZIMIL LÁTEX STANDARD INT/EXT FOSCO 3L VERMELHO GARANTIDO</v>
      </c>
      <c r="C62" s="286">
        <f>'Tabela de Produtos'!Q86</f>
        <v>3.44</v>
      </c>
      <c r="D62" s="286">
        <f>'Tabela de Produtos'!U86*(1-'Tabela de Produtos'!$R$1-'Tabela de Produtos'!$S$1)</f>
        <v>21.999999999999996</v>
      </c>
      <c r="E62" s="286">
        <f>'Tabela de Produtos'!U86</f>
        <v>25</v>
      </c>
      <c r="F62" s="287">
        <f t="shared" si="4"/>
        <v>18.559999999999995</v>
      </c>
      <c r="G62" s="288">
        <f t="shared" si="5"/>
        <v>0.84363636363636352</v>
      </c>
      <c r="H62" s="286" t="e">
        <f t="shared" si="6"/>
        <v>#VALUE!</v>
      </c>
      <c r="I62" s="289">
        <f>ROUNDUP(C62/(1-'Tabela de Produtos'!$R$1-'Tabela de Produtos'!$S$1),2)</f>
        <v>3.9099999999999997</v>
      </c>
      <c r="J62" s="289">
        <f>ROUNDUP((C62+$B$7/'Tabela de Produtos'!$R$1)/(1-'Tabela de Produtos'!$R$1-'Tabela de Produtos'!$S$1),2)</f>
        <v>27276.639999999999</v>
      </c>
      <c r="K62" s="290">
        <f t="shared" si="7"/>
        <v>-27251.64</v>
      </c>
    </row>
    <row r="63" spans="1:11">
      <c r="A63" s="285" t="str">
        <f>'Tabela de Produtos'!A87</f>
        <v>PRD00084</v>
      </c>
      <c r="B63" s="285" t="str">
        <f>'Tabela de Produtos'!B87</f>
        <v>BRAZIMIL LÁTEX STANDARD INT/EXT FOSCO 3L AZUL CAPRICHOSO</v>
      </c>
      <c r="C63" s="286">
        <f>'Tabela de Produtos'!Q87</f>
        <v>3.44</v>
      </c>
      <c r="D63" s="286">
        <f>'Tabela de Produtos'!U87*(1-'Tabela de Produtos'!$R$1-'Tabela de Produtos'!$S$1)</f>
        <v>21.999999999999996</v>
      </c>
      <c r="E63" s="286">
        <f>'Tabela de Produtos'!U87</f>
        <v>25</v>
      </c>
      <c r="F63" s="287">
        <f t="shared" si="4"/>
        <v>18.559999999999995</v>
      </c>
      <c r="G63" s="288">
        <f t="shared" si="5"/>
        <v>0.84363636363636352</v>
      </c>
      <c r="H63" s="286" t="e">
        <f t="shared" si="6"/>
        <v>#VALUE!</v>
      </c>
      <c r="I63" s="289">
        <f>ROUNDUP(C63/(1-'Tabela de Produtos'!$R$1-'Tabela de Produtos'!$S$1),2)</f>
        <v>3.9099999999999997</v>
      </c>
      <c r="J63" s="289">
        <f>ROUNDUP((C63+$B$7/'Tabela de Produtos'!$R$1)/(1-'Tabela de Produtos'!$R$1-'Tabela de Produtos'!$S$1),2)</f>
        <v>27276.639999999999</v>
      </c>
      <c r="K63" s="290">
        <f t="shared" si="7"/>
        <v>-27251.64</v>
      </c>
    </row>
    <row r="64" spans="1:11">
      <c r="A64" s="285" t="str">
        <f>'Tabela de Produtos'!A88</f>
        <v>PRD00085</v>
      </c>
      <c r="B64" s="285" t="str">
        <f>'Tabela de Produtos'!B88</f>
        <v>BRAZIMIL LÁTEX STANDARD INT/EXT FOSCO 3L CINZA MEDIO</v>
      </c>
      <c r="C64" s="286">
        <f>'Tabela de Produtos'!Q88</f>
        <v>12.049999999999999</v>
      </c>
      <c r="D64" s="286">
        <f>'Tabela de Produtos'!U88*(1-'Tabela de Produtos'!$R$1-'Tabela de Produtos'!$S$1)</f>
        <v>21.999999999999996</v>
      </c>
      <c r="E64" s="286">
        <f>'Tabela de Produtos'!U88</f>
        <v>25</v>
      </c>
      <c r="F64" s="287">
        <f t="shared" si="4"/>
        <v>9.9499999999999975</v>
      </c>
      <c r="G64" s="288">
        <f t="shared" si="5"/>
        <v>0.45227272727272722</v>
      </c>
      <c r="H64" s="286" t="e">
        <f t="shared" si="6"/>
        <v>#VALUE!</v>
      </c>
      <c r="I64" s="289">
        <f>ROUNDUP(C64/(1-'Tabela de Produtos'!$R$1-'Tabela de Produtos'!$S$1),2)</f>
        <v>13.7</v>
      </c>
      <c r="J64" s="289">
        <f>ROUNDUP((C64+$B$7/'Tabela de Produtos'!$R$1)/(1-'Tabela de Produtos'!$R$1-'Tabela de Produtos'!$S$1),2)</f>
        <v>27286.429999999997</v>
      </c>
      <c r="K64" s="290">
        <f t="shared" si="7"/>
        <v>-27261.429999999997</v>
      </c>
    </row>
    <row r="65" spans="1:11">
      <c r="A65" s="285" t="str">
        <f>'Tabela de Produtos'!A89</f>
        <v>PRD00086</v>
      </c>
      <c r="B65" s="285" t="str">
        <f>'Tabela de Produtos'!B89</f>
        <v>BRAZIMIL LÁTEX STANDARD INT/EXT FOSCO 3L CINZA INTENSO</v>
      </c>
      <c r="C65" s="286">
        <f>'Tabela de Produtos'!Q89</f>
        <v>12.109999999999998</v>
      </c>
      <c r="D65" s="286">
        <f>'Tabela de Produtos'!U89*(1-'Tabela de Produtos'!$R$1-'Tabela de Produtos'!$S$1)</f>
        <v>21.999999999999996</v>
      </c>
      <c r="E65" s="286">
        <f>'Tabela de Produtos'!U89</f>
        <v>25</v>
      </c>
      <c r="F65" s="287">
        <f t="shared" si="4"/>
        <v>9.8899999999999988</v>
      </c>
      <c r="G65" s="288">
        <f t="shared" si="5"/>
        <v>0.44954545454545458</v>
      </c>
      <c r="H65" s="286" t="e">
        <f t="shared" si="6"/>
        <v>#VALUE!</v>
      </c>
      <c r="I65" s="289">
        <f>ROUNDUP(C65/(1-'Tabela de Produtos'!$R$1-'Tabela de Produtos'!$S$1),2)</f>
        <v>13.77</v>
      </c>
      <c r="J65" s="289">
        <f>ROUNDUP((C65+$B$7/'Tabela de Produtos'!$R$1)/(1-'Tabela de Produtos'!$R$1-'Tabela de Produtos'!$S$1),2)</f>
        <v>27286.489999999998</v>
      </c>
      <c r="K65" s="290">
        <f t="shared" si="7"/>
        <v>-27261.489999999998</v>
      </c>
    </row>
    <row r="66" spans="1:11">
      <c r="A66" s="285" t="str">
        <f>'Tabela de Produtos'!A90</f>
        <v>PRD00087</v>
      </c>
      <c r="B66" s="285" t="str">
        <f>'Tabela de Produtos'!B90</f>
        <v>BRAZIMIL LÁTEX STANDARD INT/EXT SEMIBRILHO 3L BRANCO NEVE</v>
      </c>
      <c r="C66" s="286">
        <f>'Tabela de Produtos'!Q90</f>
        <v>26.24</v>
      </c>
      <c r="D66" s="286">
        <f>'Tabela de Produtos'!U90*(1-'Tabela de Produtos'!$R$1-'Tabela de Produtos'!$S$1)</f>
        <v>41.271999999999991</v>
      </c>
      <c r="E66" s="286">
        <f>'Tabela de Produtos'!U90</f>
        <v>46.9</v>
      </c>
      <c r="F66" s="287">
        <f t="shared" si="4"/>
        <v>15.031999999999993</v>
      </c>
      <c r="G66" s="288">
        <f t="shared" si="5"/>
        <v>0.36421787168055814</v>
      </c>
      <c r="H66" s="286" t="e">
        <f t="shared" si="6"/>
        <v>#VALUE!</v>
      </c>
      <c r="I66" s="289">
        <f>ROUNDUP(C66/(1-'Tabela de Produtos'!$R$1-'Tabela de Produtos'!$S$1),2)</f>
        <v>29.82</v>
      </c>
      <c r="J66" s="289">
        <f>ROUNDUP((C66+$B$7/'Tabela de Produtos'!$R$1)/(1-'Tabela de Produtos'!$R$1-'Tabela de Produtos'!$S$1),2)</f>
        <v>27302.55</v>
      </c>
      <c r="K66" s="290">
        <f t="shared" si="7"/>
        <v>-27255.649999999998</v>
      </c>
    </row>
    <row r="67" spans="1:11">
      <c r="A67" s="285" t="str">
        <f>'Tabela de Produtos'!A91</f>
        <v>PRD00088</v>
      </c>
      <c r="B67" s="285" t="str">
        <f>'Tabela de Produtos'!B91</f>
        <v>BRAZIMIL LÁTEX STANDARD INT/EXT SEMIBRILHO 3L BRANCO GELO</v>
      </c>
      <c r="C67" s="286">
        <f>'Tabela de Produtos'!Q91</f>
        <v>29.81</v>
      </c>
      <c r="D67" s="286">
        <f>'Tabela de Produtos'!U91*(1-'Tabela de Produtos'!$R$1-'Tabela de Produtos'!$S$1)</f>
        <v>41.271999999999991</v>
      </c>
      <c r="E67" s="286">
        <f>'Tabela de Produtos'!U91</f>
        <v>46.9</v>
      </c>
      <c r="F67" s="287">
        <f t="shared" si="4"/>
        <v>11.461999999999993</v>
      </c>
      <c r="G67" s="288">
        <f t="shared" si="5"/>
        <v>0.27771855010660967</v>
      </c>
      <c r="H67" s="286" t="e">
        <f t="shared" si="6"/>
        <v>#VALUE!</v>
      </c>
      <c r="I67" s="289">
        <f>ROUNDUP(C67/(1-'Tabela de Produtos'!$R$1-'Tabela de Produtos'!$S$1),2)</f>
        <v>33.879999999999995</v>
      </c>
      <c r="J67" s="289">
        <f>ROUNDUP((C67+$B$7/'Tabela de Produtos'!$R$1)/(1-'Tabela de Produtos'!$R$1-'Tabela de Produtos'!$S$1),2)</f>
        <v>27306.609999999997</v>
      </c>
      <c r="K67" s="290">
        <f t="shared" si="7"/>
        <v>-27259.709999999995</v>
      </c>
    </row>
    <row r="68" spans="1:11">
      <c r="A68" s="285" t="str">
        <f>'Tabela de Produtos'!A92</f>
        <v>PRD00089</v>
      </c>
      <c r="B68" s="285" t="str">
        <f>'Tabela de Produtos'!B92</f>
        <v>BRAZIMIL LÁTEX STANDARD INT/EXT SEMIBRILHO 3L FLAMINGO</v>
      </c>
      <c r="C68" s="286">
        <f>'Tabela de Produtos'!Q92</f>
        <v>29.84</v>
      </c>
      <c r="D68" s="286">
        <f>'Tabela de Produtos'!U92*(1-'Tabela de Produtos'!$R$1-'Tabela de Produtos'!$S$1)</f>
        <v>41.271999999999991</v>
      </c>
      <c r="E68" s="286">
        <f>'Tabela de Produtos'!U92</f>
        <v>46.9</v>
      </c>
      <c r="F68" s="287">
        <f t="shared" si="4"/>
        <v>11.431999999999992</v>
      </c>
      <c r="G68" s="288">
        <f t="shared" si="5"/>
        <v>0.27699166505136641</v>
      </c>
      <c r="H68" s="286" t="e">
        <f t="shared" si="6"/>
        <v>#VALUE!</v>
      </c>
      <c r="I68" s="289">
        <f>ROUNDUP(C68/(1-'Tabela de Produtos'!$R$1-'Tabela de Produtos'!$S$1),2)</f>
        <v>33.909999999999997</v>
      </c>
      <c r="J68" s="289">
        <f>ROUNDUP((C68+$B$7/'Tabela de Produtos'!$R$1)/(1-'Tabela de Produtos'!$R$1-'Tabela de Produtos'!$S$1),2)</f>
        <v>27306.639999999999</v>
      </c>
      <c r="K68" s="290">
        <f t="shared" si="7"/>
        <v>-27259.739999999998</v>
      </c>
    </row>
    <row r="69" spans="1:11">
      <c r="A69" s="285" t="str">
        <f>'Tabela de Produtos'!A93</f>
        <v>PRD00090</v>
      </c>
      <c r="B69" s="285" t="str">
        <f>'Tabela de Produtos'!B93</f>
        <v>BRAZIMIL LÁTEX STANDARD INT/EXT SEMIBRILHO 3L AREIA</v>
      </c>
      <c r="C69" s="286">
        <f>'Tabela de Produtos'!Q93</f>
        <v>28.580000000000002</v>
      </c>
      <c r="D69" s="286">
        <f>'Tabela de Produtos'!U93*(1-'Tabela de Produtos'!$R$1-'Tabela de Produtos'!$S$1)</f>
        <v>41.271999999999991</v>
      </c>
      <c r="E69" s="286">
        <f>'Tabela de Produtos'!U93</f>
        <v>46.9</v>
      </c>
      <c r="F69" s="287">
        <f t="shared" si="4"/>
        <v>12.69199999999999</v>
      </c>
      <c r="G69" s="288">
        <f t="shared" si="5"/>
        <v>0.30752083737158348</v>
      </c>
      <c r="H69" s="286" t="e">
        <f t="shared" si="6"/>
        <v>#VALUE!</v>
      </c>
      <c r="I69" s="289">
        <f>ROUNDUP(C69/(1-'Tabela de Produtos'!$R$1-'Tabela de Produtos'!$S$1),2)</f>
        <v>32.479999999999997</v>
      </c>
      <c r="J69" s="289">
        <f>ROUNDUP((C69+$B$7/'Tabela de Produtos'!$R$1)/(1-'Tabela de Produtos'!$R$1-'Tabela de Produtos'!$S$1),2)</f>
        <v>27305.21</v>
      </c>
      <c r="K69" s="290">
        <f t="shared" si="7"/>
        <v>-27258.309999999998</v>
      </c>
    </row>
    <row r="70" spans="1:11">
      <c r="A70" s="285" t="str">
        <f>'Tabela de Produtos'!A94</f>
        <v>PRD00091</v>
      </c>
      <c r="B70" s="285" t="str">
        <f>'Tabela de Produtos'!B94</f>
        <v>BRAZIMIL LÁTEX STANDARD INT/EXT SEMIBRILHO 3L MARFIM</v>
      </c>
      <c r="C70" s="286">
        <f>'Tabela de Produtos'!Q94</f>
        <v>29.929999999999996</v>
      </c>
      <c r="D70" s="286">
        <f>'Tabela de Produtos'!U94*(1-'Tabela de Produtos'!$R$1-'Tabela de Produtos'!$S$1)</f>
        <v>41.271999999999991</v>
      </c>
      <c r="E70" s="286">
        <f>'Tabela de Produtos'!U94</f>
        <v>46.9</v>
      </c>
      <c r="F70" s="287">
        <f t="shared" si="4"/>
        <v>11.341999999999995</v>
      </c>
      <c r="G70" s="288">
        <f t="shared" si="5"/>
        <v>0.27481100988563667</v>
      </c>
      <c r="H70" s="286" t="e">
        <f t="shared" si="6"/>
        <v>#VALUE!</v>
      </c>
      <c r="I70" s="289">
        <f>ROUNDUP(C70/(1-'Tabela de Produtos'!$R$1-'Tabela de Produtos'!$S$1),2)</f>
        <v>34.019999999999996</v>
      </c>
      <c r="J70" s="289">
        <f>ROUNDUP((C70+$B$7/'Tabela de Produtos'!$R$1)/(1-'Tabela de Produtos'!$R$1-'Tabela de Produtos'!$S$1),2)</f>
        <v>27306.739999999998</v>
      </c>
      <c r="K70" s="290">
        <f t="shared" si="7"/>
        <v>-27259.839999999997</v>
      </c>
    </row>
    <row r="71" spans="1:11">
      <c r="A71" s="285" t="str">
        <f>'Tabela de Produtos'!A95</f>
        <v>PRD00092</v>
      </c>
      <c r="B71" s="285" t="str">
        <f>'Tabela de Produtos'!B95</f>
        <v>BRAZIMIL LÁTEX STANDARD INT/EXT SEMIBRILHO 3L ROSA PETALA</v>
      </c>
      <c r="C71" s="286">
        <f>'Tabela de Produtos'!Q95</f>
        <v>28.369999999999997</v>
      </c>
      <c r="D71" s="286">
        <f>'Tabela de Produtos'!U95*(1-'Tabela de Produtos'!$R$1-'Tabela de Produtos'!$S$1)</f>
        <v>41.271999999999991</v>
      </c>
      <c r="E71" s="286">
        <f>'Tabela de Produtos'!U95</f>
        <v>46.9</v>
      </c>
      <c r="F71" s="287">
        <f t="shared" si="4"/>
        <v>12.901999999999994</v>
      </c>
      <c r="G71" s="288">
        <f t="shared" si="5"/>
        <v>0.31260903275828639</v>
      </c>
      <c r="H71" s="286" t="e">
        <f t="shared" si="6"/>
        <v>#VALUE!</v>
      </c>
      <c r="I71" s="289">
        <f>ROUNDUP(C71/(1-'Tabela de Produtos'!$R$1-'Tabela de Produtos'!$S$1),2)</f>
        <v>32.239999999999995</v>
      </c>
      <c r="J71" s="289">
        <f>ROUNDUP((C71+$B$7/'Tabela de Produtos'!$R$1)/(1-'Tabela de Produtos'!$R$1-'Tabela de Produtos'!$S$1),2)</f>
        <v>27304.969999999998</v>
      </c>
      <c r="K71" s="290">
        <f t="shared" si="7"/>
        <v>-27258.069999999996</v>
      </c>
    </row>
    <row r="72" spans="1:11">
      <c r="A72" s="285" t="str">
        <f>'Tabela de Produtos'!A96</f>
        <v>PRD00093</v>
      </c>
      <c r="B72" s="285" t="str">
        <f>'Tabela de Produtos'!B96</f>
        <v>BRAZIMIL LÁTEX STANDARD INT/EXT SEMIBRILHO 3L ACAI AMAZONICO</v>
      </c>
      <c r="C72" s="286">
        <f>'Tabela de Produtos'!Q96</f>
        <v>26.09</v>
      </c>
      <c r="D72" s="286">
        <f>'Tabela de Produtos'!U96*(1-'Tabela de Produtos'!$R$1-'Tabela de Produtos'!$S$1)</f>
        <v>41.271999999999991</v>
      </c>
      <c r="E72" s="286">
        <f>'Tabela de Produtos'!U96</f>
        <v>46.9</v>
      </c>
      <c r="F72" s="287">
        <f t="shared" si="4"/>
        <v>15.181999999999992</v>
      </c>
      <c r="G72" s="288">
        <f t="shared" si="5"/>
        <v>0.36785229695677446</v>
      </c>
      <c r="H72" s="286" t="e">
        <f t="shared" si="6"/>
        <v>#VALUE!</v>
      </c>
      <c r="I72" s="289">
        <f>ROUNDUP(C72/(1-'Tabela de Produtos'!$R$1-'Tabela de Produtos'!$S$1),2)</f>
        <v>29.650000000000002</v>
      </c>
      <c r="J72" s="289">
        <f>ROUNDUP((C72+$B$7/'Tabela de Produtos'!$R$1)/(1-'Tabela de Produtos'!$R$1-'Tabela de Produtos'!$S$1),2)</f>
        <v>27302.379999999997</v>
      </c>
      <c r="K72" s="290">
        <f t="shared" si="7"/>
        <v>-27255.479999999996</v>
      </c>
    </row>
    <row r="73" spans="1:11">
      <c r="A73" s="285" t="str">
        <f>'Tabela de Produtos'!A97</f>
        <v>PRD00094</v>
      </c>
      <c r="B73" s="285" t="str">
        <f>'Tabela de Produtos'!B97</f>
        <v>BRAZIMIL LÁTEX STANDARD INT/EXT SEMIBRILHO 3L VERDE FOLHA</v>
      </c>
      <c r="C73" s="286">
        <f>'Tabela de Produtos'!Q97</f>
        <v>28.16</v>
      </c>
      <c r="D73" s="286">
        <f>'Tabela de Produtos'!U97*(1-'Tabela de Produtos'!$R$1-'Tabela de Produtos'!$S$1)</f>
        <v>41.271999999999991</v>
      </c>
      <c r="E73" s="286">
        <f>'Tabela de Produtos'!U97</f>
        <v>46.9</v>
      </c>
      <c r="F73" s="287">
        <f t="shared" si="4"/>
        <v>13.111999999999991</v>
      </c>
      <c r="G73" s="288">
        <f t="shared" si="5"/>
        <v>0.31769722814498919</v>
      </c>
      <c r="H73" s="286" t="e">
        <f t="shared" si="6"/>
        <v>#VALUE!</v>
      </c>
      <c r="I73" s="289">
        <f>ROUNDUP(C73/(1-'Tabela de Produtos'!$R$1-'Tabela de Produtos'!$S$1),2)</f>
        <v>32</v>
      </c>
      <c r="J73" s="289">
        <f>ROUNDUP((C73+$B$7/'Tabela de Produtos'!$R$1)/(1-'Tabela de Produtos'!$R$1-'Tabela de Produtos'!$S$1),2)</f>
        <v>27304.73</v>
      </c>
      <c r="K73" s="290">
        <f t="shared" si="7"/>
        <v>-27257.829999999998</v>
      </c>
    </row>
    <row r="74" spans="1:11">
      <c r="A74" s="285" t="str">
        <f>'Tabela de Produtos'!A98</f>
        <v>PRD00095</v>
      </c>
      <c r="B74" s="285" t="str">
        <f>'Tabela de Produtos'!B98</f>
        <v>BRAZIMIL LÁTEX STANDARD INT/EXT SEMIBRILHO 3L LARANJA</v>
      </c>
      <c r="C74" s="286">
        <f>'Tabela de Produtos'!Q98</f>
        <v>27.65</v>
      </c>
      <c r="D74" s="286">
        <f>'Tabela de Produtos'!U98*(1-'Tabela de Produtos'!$R$1-'Tabela de Produtos'!$S$1)</f>
        <v>41.271999999999991</v>
      </c>
      <c r="E74" s="286">
        <f>'Tabela de Produtos'!U98</f>
        <v>46.9</v>
      </c>
      <c r="F74" s="287">
        <f t="shared" si="4"/>
        <v>13.621999999999993</v>
      </c>
      <c r="G74" s="288">
        <f t="shared" si="5"/>
        <v>0.33005427408412474</v>
      </c>
      <c r="H74" s="286" t="e">
        <f t="shared" si="6"/>
        <v>#VALUE!</v>
      </c>
      <c r="I74" s="289">
        <f>ROUNDUP(C74/(1-'Tabela de Produtos'!$R$1-'Tabela de Produtos'!$S$1),2)</f>
        <v>31.430000000000003</v>
      </c>
      <c r="J74" s="289">
        <f>ROUNDUP((C74+$B$7/'Tabela de Produtos'!$R$1)/(1-'Tabela de Produtos'!$R$1-'Tabela de Produtos'!$S$1),2)</f>
        <v>27304.149999999998</v>
      </c>
      <c r="K74" s="290">
        <f t="shared" si="7"/>
        <v>-27257.249999999996</v>
      </c>
    </row>
    <row r="75" spans="1:11">
      <c r="A75" s="285" t="str">
        <f>'Tabela de Produtos'!A99</f>
        <v>PRD00096</v>
      </c>
      <c r="B75" s="285" t="str">
        <f>'Tabela de Produtos'!B99</f>
        <v>BRAZIMIL LÁTEX STANDARD INT/EXT SEMIBRILHO 3L AZUL CARIBE</v>
      </c>
      <c r="C75" s="286">
        <f>'Tabela de Produtos'!Q99</f>
        <v>28.64</v>
      </c>
      <c r="D75" s="286">
        <f>'Tabela de Produtos'!U99*(1-'Tabela de Produtos'!$R$1-'Tabela de Produtos'!$S$1)</f>
        <v>41.271999999999991</v>
      </c>
      <c r="E75" s="286">
        <f>'Tabela de Produtos'!U99</f>
        <v>46.9</v>
      </c>
      <c r="F75" s="287">
        <f t="shared" si="4"/>
        <v>12.631999999999991</v>
      </c>
      <c r="G75" s="288">
        <f t="shared" si="5"/>
        <v>0.30606706726109695</v>
      </c>
      <c r="H75" s="286" t="e">
        <f t="shared" si="6"/>
        <v>#VALUE!</v>
      </c>
      <c r="I75" s="289">
        <f>ROUNDUP(C75/(1-'Tabela de Produtos'!$R$1-'Tabela de Produtos'!$S$1),2)</f>
        <v>32.549999999999997</v>
      </c>
      <c r="J75" s="289">
        <f>ROUNDUP((C75+$B$7/'Tabela de Produtos'!$R$1)/(1-'Tabela de Produtos'!$R$1-'Tabela de Produtos'!$S$1),2)</f>
        <v>27305.279999999999</v>
      </c>
      <c r="K75" s="290">
        <f t="shared" si="7"/>
        <v>-27258.379999999997</v>
      </c>
    </row>
    <row r="76" spans="1:11">
      <c r="A76" s="285" t="str">
        <f>'Tabela de Produtos'!A100</f>
        <v>PRD00097</v>
      </c>
      <c r="B76" s="285" t="str">
        <f>'Tabela de Produtos'!B100</f>
        <v>BRAZIMIL LÁTEX STANDARD INT/EXT SEMIBRILHO 3L VERDE LIMA</v>
      </c>
      <c r="C76" s="286">
        <f>'Tabela de Produtos'!Q100</f>
        <v>28.64</v>
      </c>
      <c r="D76" s="286">
        <f>'Tabela de Produtos'!U100*(1-'Tabela de Produtos'!$R$1-'Tabela de Produtos'!$S$1)</f>
        <v>41.271999999999991</v>
      </c>
      <c r="E76" s="286">
        <f>'Tabela de Produtos'!U100</f>
        <v>46.9</v>
      </c>
      <c r="F76" s="287">
        <f t="shared" ref="F76:F107" si="8">D76-C76</f>
        <v>12.631999999999991</v>
      </c>
      <c r="G76" s="288">
        <f t="shared" ref="G76:G107" si="9">IF(D76=0,"",F76/D76)</f>
        <v>0.30606706726109695</v>
      </c>
      <c r="H76" s="286" t="e">
        <f t="shared" ref="H76:H107" si="10">IF($B$7=0,0,$B$4/$B$7)</f>
        <v>#VALUE!</v>
      </c>
      <c r="I76" s="289">
        <f>ROUNDUP(C76/(1-'Tabela de Produtos'!$R$1-'Tabela de Produtos'!$S$1),2)</f>
        <v>32.549999999999997</v>
      </c>
      <c r="J76" s="289">
        <f>ROUNDUP((C76+$B$7/'Tabela de Produtos'!$R$1)/(1-'Tabela de Produtos'!$R$1-'Tabela de Produtos'!$S$1),2)</f>
        <v>27305.279999999999</v>
      </c>
      <c r="K76" s="290">
        <f t="shared" ref="K76:K107" si="11">E76-J76</f>
        <v>-27258.379999999997</v>
      </c>
    </row>
    <row r="77" spans="1:11">
      <c r="A77" s="285" t="str">
        <f>'Tabela de Produtos'!A101</f>
        <v>PRD00098</v>
      </c>
      <c r="B77" s="285" t="str">
        <f>'Tabela de Produtos'!B101</f>
        <v>BRAZIMIL LÁTEX STANDARD INT/EXT SEMIBRILHO 3L PEROLA</v>
      </c>
      <c r="C77" s="286">
        <f>'Tabela de Produtos'!Q101</f>
        <v>29.87</v>
      </c>
      <c r="D77" s="286">
        <f>'Tabela de Produtos'!U101*(1-'Tabela de Produtos'!$R$1-'Tabela de Produtos'!$S$1)</f>
        <v>41.271999999999991</v>
      </c>
      <c r="E77" s="286">
        <f>'Tabela de Produtos'!U101</f>
        <v>46.9</v>
      </c>
      <c r="F77" s="287">
        <f t="shared" si="8"/>
        <v>11.40199999999999</v>
      </c>
      <c r="G77" s="288">
        <f t="shared" si="9"/>
        <v>0.27626477999612309</v>
      </c>
      <c r="H77" s="286" t="e">
        <f t="shared" si="10"/>
        <v>#VALUE!</v>
      </c>
      <c r="I77" s="289">
        <f>ROUNDUP(C77/(1-'Tabela de Produtos'!$R$1-'Tabela de Produtos'!$S$1),2)</f>
        <v>33.949999999999996</v>
      </c>
      <c r="J77" s="289">
        <f>ROUNDUP((C77+$B$7/'Tabela de Produtos'!$R$1)/(1-'Tabela de Produtos'!$R$1-'Tabela de Produtos'!$S$1),2)</f>
        <v>27306.679999999997</v>
      </c>
      <c r="K77" s="290">
        <f t="shared" si="11"/>
        <v>-27259.779999999995</v>
      </c>
    </row>
    <row r="78" spans="1:11">
      <c r="A78" s="285" t="str">
        <f>'Tabela de Produtos'!A102</f>
        <v>PRD00099</v>
      </c>
      <c r="B78" s="285" t="str">
        <f>'Tabela de Produtos'!B102</f>
        <v>BRAZIMIL LÁTEX STANDARD INT/EXT SEMIBRILHO 3L AZUL INTENSO</v>
      </c>
      <c r="C78" s="286">
        <f>'Tabela de Produtos'!Q102</f>
        <v>26.96</v>
      </c>
      <c r="D78" s="286">
        <f>'Tabela de Produtos'!U102*(1-'Tabela de Produtos'!$R$1-'Tabela de Produtos'!$S$1)</f>
        <v>41.271999999999991</v>
      </c>
      <c r="E78" s="286">
        <f>'Tabela de Produtos'!U102</f>
        <v>46.9</v>
      </c>
      <c r="F78" s="287">
        <f t="shared" si="8"/>
        <v>14.311999999999991</v>
      </c>
      <c r="G78" s="288">
        <f t="shared" si="9"/>
        <v>0.34677263035471972</v>
      </c>
      <c r="H78" s="286" t="e">
        <f t="shared" si="10"/>
        <v>#VALUE!</v>
      </c>
      <c r="I78" s="289">
        <f>ROUNDUP(C78/(1-'Tabela de Produtos'!$R$1-'Tabela de Produtos'!$S$1),2)</f>
        <v>30.64</v>
      </c>
      <c r="J78" s="289">
        <f>ROUNDUP((C78+$B$7/'Tabela de Produtos'!$R$1)/(1-'Tabela de Produtos'!$R$1-'Tabela de Produtos'!$S$1),2)</f>
        <v>27303.37</v>
      </c>
      <c r="K78" s="290">
        <f t="shared" si="11"/>
        <v>-27256.469999999998</v>
      </c>
    </row>
    <row r="79" spans="1:11">
      <c r="A79" s="285" t="str">
        <f>'Tabela de Produtos'!A103</f>
        <v>PRD00100</v>
      </c>
      <c r="B79" s="285" t="str">
        <f>'Tabela de Produtos'!B103</f>
        <v>BRAZIMIL LÁTEX STANDARD INT/EXT SEMIBRILHO 3L LILAS</v>
      </c>
      <c r="C79" s="286">
        <f>'Tabela de Produtos'!Q103</f>
        <v>25.640000000000004</v>
      </c>
      <c r="D79" s="286">
        <f>'Tabela de Produtos'!U103*(1-'Tabela de Produtos'!$R$1-'Tabela de Produtos'!$S$1)</f>
        <v>41.271999999999991</v>
      </c>
      <c r="E79" s="286">
        <f>'Tabela de Produtos'!U103</f>
        <v>46.9</v>
      </c>
      <c r="F79" s="287">
        <f t="shared" si="8"/>
        <v>15.631999999999987</v>
      </c>
      <c r="G79" s="288">
        <f t="shared" si="9"/>
        <v>0.37875557278542332</v>
      </c>
      <c r="H79" s="286" t="e">
        <f t="shared" si="10"/>
        <v>#VALUE!</v>
      </c>
      <c r="I79" s="289">
        <f>ROUNDUP(C79/(1-'Tabela de Produtos'!$R$1-'Tabela de Produtos'!$S$1),2)</f>
        <v>29.14</v>
      </c>
      <c r="J79" s="289">
        <f>ROUNDUP((C79+$B$7/'Tabela de Produtos'!$R$1)/(1-'Tabela de Produtos'!$R$1-'Tabela de Produtos'!$S$1),2)</f>
        <v>27301.87</v>
      </c>
      <c r="K79" s="290">
        <f t="shared" si="11"/>
        <v>-27254.969999999998</v>
      </c>
    </row>
    <row r="80" spans="1:11">
      <c r="A80" s="285" t="str">
        <f>'Tabela de Produtos'!A104</f>
        <v>PRD00101</v>
      </c>
      <c r="B80" s="285" t="str">
        <f>'Tabela de Produtos'!B104</f>
        <v>BRAZIMIL LÁTEX STANDARD INT/EXT SEMIBRILHO 3L VERMELHO GARANTIDO</v>
      </c>
      <c r="C80" s="286">
        <f>'Tabela de Produtos'!Q104</f>
        <v>31.399999999999995</v>
      </c>
      <c r="D80" s="286">
        <f>'Tabela de Produtos'!U104*(1-'Tabela de Produtos'!$R$1-'Tabela de Produtos'!$S$1)</f>
        <v>41.271999999999991</v>
      </c>
      <c r="E80" s="286">
        <f>'Tabela de Produtos'!U104</f>
        <v>46.9</v>
      </c>
      <c r="F80" s="287">
        <f t="shared" si="8"/>
        <v>9.8719999999999963</v>
      </c>
      <c r="G80" s="288">
        <f t="shared" si="9"/>
        <v>0.23919364217871678</v>
      </c>
      <c r="H80" s="286" t="e">
        <f t="shared" si="10"/>
        <v>#VALUE!</v>
      </c>
      <c r="I80" s="289">
        <f>ROUNDUP(C80/(1-'Tabela de Produtos'!$R$1-'Tabela de Produtos'!$S$1),2)</f>
        <v>35.69</v>
      </c>
      <c r="J80" s="289">
        <f>ROUNDUP((C80+$B$7/'Tabela de Produtos'!$R$1)/(1-'Tabela de Produtos'!$R$1-'Tabela de Produtos'!$S$1),2)</f>
        <v>27308.41</v>
      </c>
      <c r="K80" s="290">
        <f t="shared" si="11"/>
        <v>-27261.51</v>
      </c>
    </row>
    <row r="81" spans="1:11">
      <c r="A81" s="285" t="str">
        <f>'Tabela de Produtos'!A105</f>
        <v>PRD00102</v>
      </c>
      <c r="B81" s="285" t="str">
        <f>'Tabela de Produtos'!B105</f>
        <v>BRAZIMIL LÁTEX STANDARD INT/EXT SEMIBRILHO 3L AZUL CAPRICHOSO</v>
      </c>
      <c r="C81" s="286">
        <f>'Tabela de Produtos'!Q105</f>
        <v>26.96</v>
      </c>
      <c r="D81" s="286">
        <f>'Tabela de Produtos'!U105*(1-'Tabela de Produtos'!$R$1-'Tabela de Produtos'!$S$1)</f>
        <v>41.271999999999991</v>
      </c>
      <c r="E81" s="286">
        <f>'Tabela de Produtos'!U105</f>
        <v>46.9</v>
      </c>
      <c r="F81" s="287">
        <f t="shared" si="8"/>
        <v>14.311999999999991</v>
      </c>
      <c r="G81" s="288">
        <f t="shared" si="9"/>
        <v>0.34677263035471972</v>
      </c>
      <c r="H81" s="286" t="e">
        <f t="shared" si="10"/>
        <v>#VALUE!</v>
      </c>
      <c r="I81" s="289">
        <f>ROUNDUP(C81/(1-'Tabela de Produtos'!$R$1-'Tabela de Produtos'!$S$1),2)</f>
        <v>30.64</v>
      </c>
      <c r="J81" s="289">
        <f>ROUNDUP((C81+$B$7/'Tabela de Produtos'!$R$1)/(1-'Tabela de Produtos'!$R$1-'Tabela de Produtos'!$S$1),2)</f>
        <v>27303.37</v>
      </c>
      <c r="K81" s="290">
        <f t="shared" si="11"/>
        <v>-27256.469999999998</v>
      </c>
    </row>
    <row r="82" spans="1:11">
      <c r="A82" s="285" t="str">
        <f>'Tabela de Produtos'!A106</f>
        <v>PRD00103</v>
      </c>
      <c r="B82" s="285" t="str">
        <f>'Tabela de Produtos'!B106</f>
        <v>BRAZIMIL LÁTEX STANDARD INT/EXT SEMIBRILHO 3L CINZA MEDIO</v>
      </c>
      <c r="C82" s="286">
        <f>'Tabela de Produtos'!Q106</f>
        <v>28.13</v>
      </c>
      <c r="D82" s="286">
        <f>'Tabela de Produtos'!U106*(1-'Tabela de Produtos'!$R$1-'Tabela de Produtos'!$S$1)</f>
        <v>41.271999999999991</v>
      </c>
      <c r="E82" s="286">
        <f>'Tabela de Produtos'!U106</f>
        <v>46.9</v>
      </c>
      <c r="F82" s="287">
        <f t="shared" si="8"/>
        <v>13.141999999999992</v>
      </c>
      <c r="G82" s="288">
        <f t="shared" si="9"/>
        <v>0.31842411320023251</v>
      </c>
      <c r="H82" s="286" t="e">
        <f t="shared" si="10"/>
        <v>#VALUE!</v>
      </c>
      <c r="I82" s="289">
        <f>ROUNDUP(C82/(1-'Tabela de Produtos'!$R$1-'Tabela de Produtos'!$S$1),2)</f>
        <v>31.970000000000002</v>
      </c>
      <c r="J82" s="289">
        <f>ROUNDUP((C82+$B$7/'Tabela de Produtos'!$R$1)/(1-'Tabela de Produtos'!$R$1-'Tabela de Produtos'!$S$1),2)</f>
        <v>27304.699999999997</v>
      </c>
      <c r="K82" s="290">
        <f t="shared" si="11"/>
        <v>-27257.799999999996</v>
      </c>
    </row>
    <row r="83" spans="1:11">
      <c r="A83" s="285" t="str">
        <f>'Tabela de Produtos'!A107</f>
        <v>PRD00104</v>
      </c>
      <c r="B83" s="285" t="str">
        <f>'Tabela de Produtos'!B107</f>
        <v>BRAZIMIL LÁTEX STANDARD INT/EXT SEMIBRILHO 3L CINZA INTENSO</v>
      </c>
      <c r="C83" s="286">
        <f>'Tabela de Produtos'!Q107</f>
        <v>28.159999999999997</v>
      </c>
      <c r="D83" s="286">
        <f>'Tabela de Produtos'!U107*(1-'Tabela de Produtos'!$R$1-'Tabela de Produtos'!$S$1)</f>
        <v>41.271999999999991</v>
      </c>
      <c r="E83" s="286">
        <f>'Tabela de Produtos'!U107</f>
        <v>46.9</v>
      </c>
      <c r="F83" s="287">
        <f t="shared" si="8"/>
        <v>13.111999999999995</v>
      </c>
      <c r="G83" s="288">
        <f t="shared" si="9"/>
        <v>0.3176972281449893</v>
      </c>
      <c r="H83" s="286" t="e">
        <f t="shared" si="10"/>
        <v>#VALUE!</v>
      </c>
      <c r="I83" s="289">
        <f>ROUNDUP(C83/(1-'Tabela de Produtos'!$R$1-'Tabela de Produtos'!$S$1),2)</f>
        <v>32</v>
      </c>
      <c r="J83" s="289">
        <f>ROUNDUP((C83+$B$7/'Tabela de Produtos'!$R$1)/(1-'Tabela de Produtos'!$R$1-'Tabela de Produtos'!$S$1),2)</f>
        <v>27304.73</v>
      </c>
      <c r="K83" s="290">
        <f t="shared" si="11"/>
        <v>-27257.829999999998</v>
      </c>
    </row>
    <row r="84" spans="1:11">
      <c r="A84" s="285" t="str">
        <f>'Tabela de Produtos'!A108</f>
        <v>PRD00105</v>
      </c>
      <c r="B84" s="285" t="str">
        <f>'Tabela de Produtos'!B108</f>
        <v>BRAZIMIL LÁTEX STANDARD INT/EXT FOSCO 15L BRANCO NEVE</v>
      </c>
      <c r="C84" s="286">
        <f>'Tabela de Produtos'!Q108</f>
        <v>62.309999999999995</v>
      </c>
      <c r="D84" s="286">
        <f>'Tabela de Produtos'!U108*(1-'Tabela de Produtos'!$R$1-'Tabela de Produtos'!$S$1)</f>
        <v>52.8</v>
      </c>
      <c r="E84" s="286">
        <f>'Tabela de Produtos'!U108</f>
        <v>60</v>
      </c>
      <c r="F84" s="287">
        <f t="shared" si="8"/>
        <v>-9.509999999999998</v>
      </c>
      <c r="G84" s="288">
        <f t="shared" si="9"/>
        <v>-0.18011363636363634</v>
      </c>
      <c r="H84" s="286" t="e">
        <f t="shared" si="10"/>
        <v>#VALUE!</v>
      </c>
      <c r="I84" s="289">
        <f>ROUNDUP(C84/(1-'Tabela de Produtos'!$R$1-'Tabela de Produtos'!$S$1),2)</f>
        <v>70.81</v>
      </c>
      <c r="J84" s="289">
        <f>ROUNDUP((C84+$B$7/'Tabela de Produtos'!$R$1)/(1-'Tabela de Produtos'!$R$1-'Tabela de Produtos'!$S$1),2)</f>
        <v>27343.539999999997</v>
      </c>
      <c r="K84" s="290">
        <f t="shared" si="11"/>
        <v>-27283.539999999997</v>
      </c>
    </row>
    <row r="85" spans="1:11">
      <c r="A85" s="285" t="str">
        <f>'Tabela de Produtos'!A109</f>
        <v>PRD00106</v>
      </c>
      <c r="B85" s="285" t="str">
        <f>'Tabela de Produtos'!B109</f>
        <v>BRAZIMIL LÁTEX STANDARD INT/EXT FOSCO 15L BRANCO GELO</v>
      </c>
      <c r="C85" s="286">
        <f>'Tabela de Produtos'!Q109</f>
        <v>51.51</v>
      </c>
      <c r="D85" s="286">
        <f>'Tabela de Produtos'!U109*(1-'Tabela de Produtos'!$R$1-'Tabela de Produtos'!$S$1)</f>
        <v>52.8</v>
      </c>
      <c r="E85" s="286">
        <f>'Tabela de Produtos'!U109</f>
        <v>60</v>
      </c>
      <c r="F85" s="287">
        <f t="shared" si="8"/>
        <v>1.2899999999999991</v>
      </c>
      <c r="G85" s="288">
        <f t="shared" si="9"/>
        <v>2.4431818181818166E-2</v>
      </c>
      <c r="H85" s="286" t="e">
        <f t="shared" si="10"/>
        <v>#VALUE!</v>
      </c>
      <c r="I85" s="289">
        <f>ROUNDUP(C85/(1-'Tabela de Produtos'!$R$1-'Tabela de Produtos'!$S$1),2)</f>
        <v>58.54</v>
      </c>
      <c r="J85" s="289">
        <f>ROUNDUP((C85+$B$7/'Tabela de Produtos'!$R$1)/(1-'Tabela de Produtos'!$R$1-'Tabela de Produtos'!$S$1),2)</f>
        <v>27331.269999999997</v>
      </c>
      <c r="K85" s="290">
        <f t="shared" si="11"/>
        <v>-27271.269999999997</v>
      </c>
    </row>
    <row r="86" spans="1:11">
      <c r="A86" s="285" t="str">
        <f>'Tabela de Produtos'!A110</f>
        <v>PRD00107</v>
      </c>
      <c r="B86" s="285" t="str">
        <f>'Tabela de Produtos'!B110</f>
        <v>BRAZIMIL LÁTEX STANDARD INT/EXT FOSCO 15L FLAMINGO</v>
      </c>
      <c r="C86" s="286">
        <f>'Tabela de Produtos'!Q110</f>
        <v>58.559999999999995</v>
      </c>
      <c r="D86" s="286">
        <f>'Tabela de Produtos'!U110*(1-'Tabela de Produtos'!$R$1-'Tabela de Produtos'!$S$1)</f>
        <v>52.8</v>
      </c>
      <c r="E86" s="286">
        <f>'Tabela de Produtos'!U110</f>
        <v>60</v>
      </c>
      <c r="F86" s="287">
        <f t="shared" si="8"/>
        <v>-5.759999999999998</v>
      </c>
      <c r="G86" s="288">
        <f t="shared" si="9"/>
        <v>-0.10909090909090906</v>
      </c>
      <c r="H86" s="286" t="e">
        <f t="shared" si="10"/>
        <v>#VALUE!</v>
      </c>
      <c r="I86" s="289">
        <f>ROUNDUP(C86/(1-'Tabela de Produtos'!$R$1-'Tabela de Produtos'!$S$1),2)</f>
        <v>66.550000000000011</v>
      </c>
      <c r="J86" s="289">
        <f>ROUNDUP((C86+$B$7/'Tabela de Produtos'!$R$1)/(1-'Tabela de Produtos'!$R$1-'Tabela de Produtos'!$S$1),2)</f>
        <v>27339.279999999999</v>
      </c>
      <c r="K86" s="290">
        <f t="shared" si="11"/>
        <v>-27279.279999999999</v>
      </c>
    </row>
    <row r="87" spans="1:11">
      <c r="A87" s="285" t="str">
        <f>'Tabela de Produtos'!A111</f>
        <v>PRD00108</v>
      </c>
      <c r="B87" s="285" t="str">
        <f>'Tabela de Produtos'!B111</f>
        <v>BRAZIMIL LÁTEX STANDARD INT/EXT FOSCO 15L AREIA</v>
      </c>
      <c r="C87" s="286">
        <f>'Tabela de Produtos'!Q111</f>
        <v>8.61</v>
      </c>
      <c r="D87" s="286">
        <f>'Tabela de Produtos'!U111*(1-'Tabela de Produtos'!$R$1-'Tabela de Produtos'!$S$1)</f>
        <v>52.8</v>
      </c>
      <c r="E87" s="286">
        <f>'Tabela de Produtos'!U111</f>
        <v>60</v>
      </c>
      <c r="F87" s="287">
        <f t="shared" si="8"/>
        <v>44.19</v>
      </c>
      <c r="G87" s="288">
        <f t="shared" si="9"/>
        <v>0.83693181818181817</v>
      </c>
      <c r="H87" s="286" t="e">
        <f t="shared" si="10"/>
        <v>#VALUE!</v>
      </c>
      <c r="I87" s="289">
        <f>ROUNDUP(C87/(1-'Tabela de Produtos'!$R$1-'Tabela de Produtos'!$S$1),2)</f>
        <v>9.7899999999999991</v>
      </c>
      <c r="J87" s="289">
        <f>ROUNDUP((C87+$B$7/'Tabela de Produtos'!$R$1)/(1-'Tabela de Produtos'!$R$1-'Tabela de Produtos'!$S$1),2)</f>
        <v>27282.519999999997</v>
      </c>
      <c r="K87" s="290">
        <f t="shared" si="11"/>
        <v>-27222.519999999997</v>
      </c>
    </row>
    <row r="88" spans="1:11">
      <c r="A88" s="285" t="str">
        <f>'Tabela de Produtos'!A112</f>
        <v>PRD00109</v>
      </c>
      <c r="B88" s="285" t="str">
        <f>'Tabela de Produtos'!B112</f>
        <v>BRAZIMIL LÁTEX STANDARD INT/EXT FOSCO 15L MARFIM</v>
      </c>
      <c r="C88" s="286">
        <f>'Tabela de Produtos'!Q112</f>
        <v>52.559999999999995</v>
      </c>
      <c r="D88" s="286">
        <f>'Tabela de Produtos'!U112*(1-'Tabela de Produtos'!$R$1-'Tabela de Produtos'!$S$1)</f>
        <v>52.8</v>
      </c>
      <c r="E88" s="286">
        <f>'Tabela de Produtos'!U112</f>
        <v>60</v>
      </c>
      <c r="F88" s="287">
        <f t="shared" si="8"/>
        <v>0.24000000000000199</v>
      </c>
      <c r="G88" s="288">
        <f t="shared" si="9"/>
        <v>4.5454545454545834E-3</v>
      </c>
      <c r="H88" s="286" t="e">
        <f t="shared" si="10"/>
        <v>#VALUE!</v>
      </c>
      <c r="I88" s="289">
        <f>ROUNDUP(C88/(1-'Tabela de Produtos'!$R$1-'Tabela de Produtos'!$S$1),2)</f>
        <v>59.73</v>
      </c>
      <c r="J88" s="289">
        <f>ROUNDUP((C88+$B$7/'Tabela de Produtos'!$R$1)/(1-'Tabela de Produtos'!$R$1-'Tabela de Produtos'!$S$1),2)</f>
        <v>27332.46</v>
      </c>
      <c r="K88" s="290">
        <f t="shared" si="11"/>
        <v>-27272.46</v>
      </c>
    </row>
    <row r="89" spans="1:11">
      <c r="A89" s="285" t="str">
        <f>'Tabela de Produtos'!A113</f>
        <v>PRD00110</v>
      </c>
      <c r="B89" s="285" t="str">
        <f>'Tabela de Produtos'!B113</f>
        <v>BRAZIMIL LÁTEX STANDARD INT/EXT FOSCO 15L ROSA PETALA</v>
      </c>
      <c r="C89" s="286">
        <f>'Tabela de Produtos'!Q113</f>
        <v>52.709999999999994</v>
      </c>
      <c r="D89" s="286">
        <f>'Tabela de Produtos'!U113*(1-'Tabela de Produtos'!$R$1-'Tabela de Produtos'!$S$1)</f>
        <v>52.8</v>
      </c>
      <c r="E89" s="286">
        <f>'Tabela de Produtos'!U113</f>
        <v>60</v>
      </c>
      <c r="F89" s="287">
        <f t="shared" si="8"/>
        <v>9.0000000000003411E-2</v>
      </c>
      <c r="G89" s="288">
        <f t="shared" si="9"/>
        <v>1.7045454545455193E-3</v>
      </c>
      <c r="H89" s="286" t="e">
        <f t="shared" si="10"/>
        <v>#VALUE!</v>
      </c>
      <c r="I89" s="289">
        <f>ROUNDUP(C89/(1-'Tabela de Produtos'!$R$1-'Tabela de Produtos'!$S$1),2)</f>
        <v>59.9</v>
      </c>
      <c r="J89" s="289">
        <f>ROUNDUP((C89+$B$7/'Tabela de Produtos'!$R$1)/(1-'Tabela de Produtos'!$R$1-'Tabela de Produtos'!$S$1),2)</f>
        <v>27332.629999999997</v>
      </c>
      <c r="K89" s="290">
        <f t="shared" si="11"/>
        <v>-27272.629999999997</v>
      </c>
    </row>
    <row r="90" spans="1:11">
      <c r="A90" s="285" t="str">
        <f>'Tabela de Produtos'!A114</f>
        <v>PRD00111</v>
      </c>
      <c r="B90" s="285" t="str">
        <f>'Tabela de Produtos'!B114</f>
        <v>BRAZIMIL LÁTEX STANDARD INT/EXT FOSCO 15L ACAI AMAZONICO</v>
      </c>
      <c r="C90" s="286">
        <f>'Tabela de Produtos'!Q114</f>
        <v>8.61</v>
      </c>
      <c r="D90" s="286">
        <f>'Tabela de Produtos'!U114*(1-'Tabela de Produtos'!$R$1-'Tabela de Produtos'!$S$1)</f>
        <v>52.8</v>
      </c>
      <c r="E90" s="286">
        <f>'Tabela de Produtos'!U114</f>
        <v>60</v>
      </c>
      <c r="F90" s="287">
        <f t="shared" si="8"/>
        <v>44.19</v>
      </c>
      <c r="G90" s="288">
        <f t="shared" si="9"/>
        <v>0.83693181818181817</v>
      </c>
      <c r="H90" s="286" t="e">
        <f t="shared" si="10"/>
        <v>#VALUE!</v>
      </c>
      <c r="I90" s="289">
        <f>ROUNDUP(C90/(1-'Tabela de Produtos'!$R$1-'Tabela de Produtos'!$S$1),2)</f>
        <v>9.7899999999999991</v>
      </c>
      <c r="J90" s="289">
        <f>ROUNDUP((C90+$B$7/'Tabela de Produtos'!$R$1)/(1-'Tabela de Produtos'!$R$1-'Tabela de Produtos'!$S$1),2)</f>
        <v>27282.519999999997</v>
      </c>
      <c r="K90" s="290">
        <f t="shared" si="11"/>
        <v>-27222.519999999997</v>
      </c>
    </row>
    <row r="91" spans="1:11">
      <c r="A91" s="285" t="str">
        <f>'Tabela de Produtos'!A115</f>
        <v>PRD00112</v>
      </c>
      <c r="B91" s="285" t="str">
        <f>'Tabela de Produtos'!B115</f>
        <v>BRAZIMIL LÁTEX STANDARD INT/EXT FOSCO 15L VERDE FOLHA</v>
      </c>
      <c r="C91" s="286">
        <f>'Tabela de Produtos'!Q115</f>
        <v>8.61</v>
      </c>
      <c r="D91" s="286">
        <f>'Tabela de Produtos'!U115*(1-'Tabela de Produtos'!$R$1-'Tabela de Produtos'!$S$1)</f>
        <v>52.8</v>
      </c>
      <c r="E91" s="286">
        <f>'Tabela de Produtos'!U115</f>
        <v>60</v>
      </c>
      <c r="F91" s="287">
        <f t="shared" si="8"/>
        <v>44.19</v>
      </c>
      <c r="G91" s="288">
        <f t="shared" si="9"/>
        <v>0.83693181818181817</v>
      </c>
      <c r="H91" s="286" t="e">
        <f t="shared" si="10"/>
        <v>#VALUE!</v>
      </c>
      <c r="I91" s="289">
        <f>ROUNDUP(C91/(1-'Tabela de Produtos'!$R$1-'Tabela de Produtos'!$S$1),2)</f>
        <v>9.7899999999999991</v>
      </c>
      <c r="J91" s="289">
        <f>ROUNDUP((C91+$B$7/'Tabela de Produtos'!$R$1)/(1-'Tabela de Produtos'!$R$1-'Tabela de Produtos'!$S$1),2)</f>
        <v>27282.519999999997</v>
      </c>
      <c r="K91" s="290">
        <f t="shared" si="11"/>
        <v>-27222.519999999997</v>
      </c>
    </row>
    <row r="92" spans="1:11">
      <c r="A92" s="285" t="str">
        <f>'Tabela de Produtos'!A116</f>
        <v>PRD00113</v>
      </c>
      <c r="B92" s="285" t="str">
        <f>'Tabela de Produtos'!B116</f>
        <v>BRAZIMIL LÁTEX STANDARD INT/EXT FOSCO 15L LARANJA</v>
      </c>
      <c r="C92" s="286">
        <f>'Tabela de Produtos'!Q116</f>
        <v>8.61</v>
      </c>
      <c r="D92" s="286">
        <f>'Tabela de Produtos'!U116*(1-'Tabela de Produtos'!$R$1-'Tabela de Produtos'!$S$1)</f>
        <v>52.8</v>
      </c>
      <c r="E92" s="286">
        <f>'Tabela de Produtos'!U116</f>
        <v>60</v>
      </c>
      <c r="F92" s="287">
        <f t="shared" si="8"/>
        <v>44.19</v>
      </c>
      <c r="G92" s="288">
        <f t="shared" si="9"/>
        <v>0.83693181818181817</v>
      </c>
      <c r="H92" s="286" t="e">
        <f t="shared" si="10"/>
        <v>#VALUE!</v>
      </c>
      <c r="I92" s="289">
        <f>ROUNDUP(C92/(1-'Tabela de Produtos'!$R$1-'Tabela de Produtos'!$S$1),2)</f>
        <v>9.7899999999999991</v>
      </c>
      <c r="J92" s="289">
        <f>ROUNDUP((C92+$B$7/'Tabela de Produtos'!$R$1)/(1-'Tabela de Produtos'!$R$1-'Tabela de Produtos'!$S$1),2)</f>
        <v>27282.519999999997</v>
      </c>
      <c r="K92" s="290">
        <f t="shared" si="11"/>
        <v>-27222.519999999997</v>
      </c>
    </row>
    <row r="93" spans="1:11">
      <c r="A93" s="285" t="str">
        <f>'Tabela de Produtos'!A117</f>
        <v>PRD00114</v>
      </c>
      <c r="B93" s="285" t="str">
        <f>'Tabela de Produtos'!B117</f>
        <v>BRAZIMIL LÁTEX STANDARD INT/EXT FOSCO 15L AZUL CARIBE</v>
      </c>
      <c r="C93" s="286">
        <f>'Tabela de Produtos'!Q117</f>
        <v>52.559999999999995</v>
      </c>
      <c r="D93" s="286">
        <f>'Tabela de Produtos'!U117*(1-'Tabela de Produtos'!$R$1-'Tabela de Produtos'!$S$1)</f>
        <v>52.8</v>
      </c>
      <c r="E93" s="286">
        <f>'Tabela de Produtos'!U117</f>
        <v>60</v>
      </c>
      <c r="F93" s="287">
        <f t="shared" si="8"/>
        <v>0.24000000000000199</v>
      </c>
      <c r="G93" s="288">
        <f t="shared" si="9"/>
        <v>4.5454545454545834E-3</v>
      </c>
      <c r="H93" s="286" t="e">
        <f t="shared" si="10"/>
        <v>#VALUE!</v>
      </c>
      <c r="I93" s="289">
        <f>ROUNDUP(C93/(1-'Tabela de Produtos'!$R$1-'Tabela de Produtos'!$S$1),2)</f>
        <v>59.73</v>
      </c>
      <c r="J93" s="289">
        <f>ROUNDUP((C93+$B$7/'Tabela de Produtos'!$R$1)/(1-'Tabela de Produtos'!$R$1-'Tabela de Produtos'!$S$1),2)</f>
        <v>27332.46</v>
      </c>
      <c r="K93" s="290">
        <f t="shared" si="11"/>
        <v>-27272.46</v>
      </c>
    </row>
    <row r="94" spans="1:11">
      <c r="A94" s="285" t="str">
        <f>'Tabela de Produtos'!A118</f>
        <v>PRD00115</v>
      </c>
      <c r="B94" s="285" t="str">
        <f>'Tabela de Produtos'!B118</f>
        <v>BRAZIMIL LÁTEX STANDARD INT/EXT FOSCO 15L VERDE LIMA</v>
      </c>
      <c r="C94" s="286">
        <f>'Tabela de Produtos'!Q118</f>
        <v>55.11</v>
      </c>
      <c r="D94" s="286">
        <f>'Tabela de Produtos'!U118*(1-'Tabela de Produtos'!$R$1-'Tabela de Produtos'!$S$1)</f>
        <v>52.8</v>
      </c>
      <c r="E94" s="286">
        <f>'Tabela de Produtos'!U118</f>
        <v>60</v>
      </c>
      <c r="F94" s="287">
        <f t="shared" si="8"/>
        <v>-2.3100000000000023</v>
      </c>
      <c r="G94" s="288">
        <f t="shared" si="9"/>
        <v>-4.3750000000000046E-2</v>
      </c>
      <c r="H94" s="286" t="e">
        <f t="shared" si="10"/>
        <v>#VALUE!</v>
      </c>
      <c r="I94" s="289">
        <f>ROUNDUP(C94/(1-'Tabela de Produtos'!$R$1-'Tabela de Produtos'!$S$1),2)</f>
        <v>62.629999999999995</v>
      </c>
      <c r="J94" s="289">
        <f>ROUNDUP((C94+$B$7/'Tabela de Produtos'!$R$1)/(1-'Tabela de Produtos'!$R$1-'Tabela de Produtos'!$S$1),2)</f>
        <v>27335.359999999997</v>
      </c>
      <c r="K94" s="290">
        <f t="shared" si="11"/>
        <v>-27275.359999999997</v>
      </c>
    </row>
    <row r="95" spans="1:11">
      <c r="A95" s="285" t="str">
        <f>'Tabela de Produtos'!A119</f>
        <v>PRD00116</v>
      </c>
      <c r="B95" s="285" t="str">
        <f>'Tabela de Produtos'!B119</f>
        <v>BRAZIMIL LÁTEX STANDARD INT/EXT FOSCO 15L PEROLA</v>
      </c>
      <c r="C95" s="286">
        <f>'Tabela de Produtos'!Q119</f>
        <v>8.61</v>
      </c>
      <c r="D95" s="286">
        <f>'Tabela de Produtos'!U119*(1-'Tabela de Produtos'!$R$1-'Tabela de Produtos'!$S$1)</f>
        <v>52.8</v>
      </c>
      <c r="E95" s="286">
        <f>'Tabela de Produtos'!U119</f>
        <v>60</v>
      </c>
      <c r="F95" s="287">
        <f t="shared" si="8"/>
        <v>44.19</v>
      </c>
      <c r="G95" s="288">
        <f t="shared" si="9"/>
        <v>0.83693181818181817</v>
      </c>
      <c r="H95" s="286" t="e">
        <f t="shared" si="10"/>
        <v>#VALUE!</v>
      </c>
      <c r="I95" s="289">
        <f>ROUNDUP(C95/(1-'Tabela de Produtos'!$R$1-'Tabela de Produtos'!$S$1),2)</f>
        <v>9.7899999999999991</v>
      </c>
      <c r="J95" s="289">
        <f>ROUNDUP((C95+$B$7/'Tabela de Produtos'!$R$1)/(1-'Tabela de Produtos'!$R$1-'Tabela de Produtos'!$S$1),2)</f>
        <v>27282.519999999997</v>
      </c>
      <c r="K95" s="290">
        <f t="shared" si="11"/>
        <v>-27222.519999999997</v>
      </c>
    </row>
    <row r="96" spans="1:11">
      <c r="A96" s="285" t="str">
        <f>'Tabela de Produtos'!A120</f>
        <v>PRD00117</v>
      </c>
      <c r="B96" s="285" t="str">
        <f>'Tabela de Produtos'!B120</f>
        <v>BRAZIMIL LÁTEX STANDARD INT/EXT FOSCO 15L AZUL INTENSO</v>
      </c>
      <c r="C96" s="286">
        <f>'Tabela de Produtos'!Q120</f>
        <v>60.209999999999987</v>
      </c>
      <c r="D96" s="286">
        <f>'Tabela de Produtos'!U120*(1-'Tabela de Produtos'!$R$1-'Tabela de Produtos'!$S$1)</f>
        <v>52.8</v>
      </c>
      <c r="E96" s="286">
        <f>'Tabela de Produtos'!U120</f>
        <v>60</v>
      </c>
      <c r="F96" s="287">
        <f t="shared" si="8"/>
        <v>-7.4099999999999895</v>
      </c>
      <c r="G96" s="288">
        <f t="shared" si="9"/>
        <v>-0.14034090909090891</v>
      </c>
      <c r="H96" s="286" t="e">
        <f t="shared" si="10"/>
        <v>#VALUE!</v>
      </c>
      <c r="I96" s="289">
        <f>ROUNDUP(C96/(1-'Tabela de Produtos'!$R$1-'Tabela de Produtos'!$S$1),2)</f>
        <v>68.430000000000007</v>
      </c>
      <c r="J96" s="289">
        <f>ROUNDUP((C96+$B$7/'Tabela de Produtos'!$R$1)/(1-'Tabela de Produtos'!$R$1-'Tabela de Produtos'!$S$1),2)</f>
        <v>27341.149999999998</v>
      </c>
      <c r="K96" s="290">
        <f t="shared" si="11"/>
        <v>-27281.149999999998</v>
      </c>
    </row>
    <row r="97" spans="1:11">
      <c r="A97" s="285" t="str">
        <f>'Tabela de Produtos'!A121</f>
        <v>PRD00118</v>
      </c>
      <c r="B97" s="285" t="str">
        <f>'Tabela de Produtos'!B121</f>
        <v>BRAZIMIL LÁTEX STANDARD INT/EXT FOSCO 15L LILAS</v>
      </c>
      <c r="C97" s="286">
        <f>'Tabela de Produtos'!Q121</f>
        <v>8.61</v>
      </c>
      <c r="D97" s="286">
        <f>'Tabela de Produtos'!U121*(1-'Tabela de Produtos'!$R$1-'Tabela de Produtos'!$S$1)</f>
        <v>52.8</v>
      </c>
      <c r="E97" s="286">
        <f>'Tabela de Produtos'!U121</f>
        <v>60</v>
      </c>
      <c r="F97" s="287">
        <f t="shared" si="8"/>
        <v>44.19</v>
      </c>
      <c r="G97" s="288">
        <f t="shared" si="9"/>
        <v>0.83693181818181817</v>
      </c>
      <c r="H97" s="286" t="e">
        <f t="shared" si="10"/>
        <v>#VALUE!</v>
      </c>
      <c r="I97" s="289">
        <f>ROUNDUP(C97/(1-'Tabela de Produtos'!$R$1-'Tabela de Produtos'!$S$1),2)</f>
        <v>9.7899999999999991</v>
      </c>
      <c r="J97" s="289">
        <f>ROUNDUP((C97+$B$7/'Tabela de Produtos'!$R$1)/(1-'Tabela de Produtos'!$R$1-'Tabela de Produtos'!$S$1),2)</f>
        <v>27282.519999999997</v>
      </c>
      <c r="K97" s="290">
        <f t="shared" si="11"/>
        <v>-27222.519999999997</v>
      </c>
    </row>
    <row r="98" spans="1:11">
      <c r="A98" s="285" t="str">
        <f>'Tabela de Produtos'!A122</f>
        <v>PRD00119</v>
      </c>
      <c r="B98" s="285" t="str">
        <f>'Tabela de Produtos'!B122</f>
        <v>BRAZIMIL LÁTEX STANDARD INT/EXT FOSCO 15L VERMELHO GARANTIDO</v>
      </c>
      <c r="C98" s="286">
        <f>'Tabela de Produtos'!Q122</f>
        <v>8.61</v>
      </c>
      <c r="D98" s="286">
        <f>'Tabela de Produtos'!U122*(1-'Tabela de Produtos'!$R$1-'Tabela de Produtos'!$S$1)</f>
        <v>52.8</v>
      </c>
      <c r="E98" s="286">
        <f>'Tabela de Produtos'!U122</f>
        <v>60</v>
      </c>
      <c r="F98" s="287">
        <f t="shared" si="8"/>
        <v>44.19</v>
      </c>
      <c r="G98" s="288">
        <f t="shared" si="9"/>
        <v>0.83693181818181817</v>
      </c>
      <c r="H98" s="286" t="e">
        <f t="shared" si="10"/>
        <v>#VALUE!</v>
      </c>
      <c r="I98" s="289">
        <f>ROUNDUP(C98/(1-'Tabela de Produtos'!$R$1-'Tabela de Produtos'!$S$1),2)</f>
        <v>9.7899999999999991</v>
      </c>
      <c r="J98" s="289">
        <f>ROUNDUP((C98+$B$7/'Tabela de Produtos'!$R$1)/(1-'Tabela de Produtos'!$R$1-'Tabela de Produtos'!$S$1),2)</f>
        <v>27282.519999999997</v>
      </c>
      <c r="K98" s="290">
        <f t="shared" si="11"/>
        <v>-27222.519999999997</v>
      </c>
    </row>
    <row r="99" spans="1:11">
      <c r="A99" s="285" t="str">
        <f>'Tabela de Produtos'!A123</f>
        <v>PRD00120</v>
      </c>
      <c r="B99" s="285" t="str">
        <f>'Tabela de Produtos'!B123</f>
        <v>BRAZIMIL LÁTEX STANDARD INT/EXT FOSCO 15L AZUL CAPRICHOSO</v>
      </c>
      <c r="C99" s="286">
        <f>'Tabela de Produtos'!Q123</f>
        <v>8.61</v>
      </c>
      <c r="D99" s="286">
        <f>'Tabela de Produtos'!U123*(1-'Tabela de Produtos'!$R$1-'Tabela de Produtos'!$S$1)</f>
        <v>52.8</v>
      </c>
      <c r="E99" s="286">
        <f>'Tabela de Produtos'!U123</f>
        <v>60</v>
      </c>
      <c r="F99" s="287">
        <f t="shared" si="8"/>
        <v>44.19</v>
      </c>
      <c r="G99" s="288">
        <f t="shared" si="9"/>
        <v>0.83693181818181817</v>
      </c>
      <c r="H99" s="286" t="e">
        <f t="shared" si="10"/>
        <v>#VALUE!</v>
      </c>
      <c r="I99" s="289">
        <f>ROUNDUP(C99/(1-'Tabela de Produtos'!$R$1-'Tabela de Produtos'!$S$1),2)</f>
        <v>9.7899999999999991</v>
      </c>
      <c r="J99" s="289">
        <f>ROUNDUP((C99+$B$7/'Tabela de Produtos'!$R$1)/(1-'Tabela de Produtos'!$R$1-'Tabela de Produtos'!$S$1),2)</f>
        <v>27282.519999999997</v>
      </c>
      <c r="K99" s="290">
        <f t="shared" si="11"/>
        <v>-27222.519999999997</v>
      </c>
    </row>
    <row r="100" spans="1:11">
      <c r="A100" s="285" t="str">
        <f>'Tabela de Produtos'!A124</f>
        <v>PRD00121</v>
      </c>
      <c r="B100" s="285" t="str">
        <f>'Tabela de Produtos'!B124</f>
        <v>BRAZIMIL LÁTEX STANDARD INT/EXT FOSCO 15L CINZA MEDIO</v>
      </c>
      <c r="C100" s="286">
        <f>'Tabela de Produtos'!Q124</f>
        <v>51.659999999999989</v>
      </c>
      <c r="D100" s="286">
        <f>'Tabela de Produtos'!U124*(1-'Tabela de Produtos'!$R$1-'Tabela de Produtos'!$S$1)</f>
        <v>52.8</v>
      </c>
      <c r="E100" s="286">
        <f>'Tabela de Produtos'!U124</f>
        <v>60</v>
      </c>
      <c r="F100" s="287">
        <f t="shared" si="8"/>
        <v>1.1400000000000077</v>
      </c>
      <c r="G100" s="288">
        <f t="shared" si="9"/>
        <v>2.1590909090909237E-2</v>
      </c>
      <c r="H100" s="286" t="e">
        <f t="shared" si="10"/>
        <v>#VALUE!</v>
      </c>
      <c r="I100" s="289">
        <f>ROUNDUP(C100/(1-'Tabela de Produtos'!$R$1-'Tabela de Produtos'!$S$1),2)</f>
        <v>58.71</v>
      </c>
      <c r="J100" s="289">
        <f>ROUNDUP((C100+$B$7/'Tabela de Produtos'!$R$1)/(1-'Tabela de Produtos'!$R$1-'Tabela de Produtos'!$S$1),2)</f>
        <v>27331.439999999999</v>
      </c>
      <c r="K100" s="290">
        <f t="shared" si="11"/>
        <v>-27271.439999999999</v>
      </c>
    </row>
    <row r="101" spans="1:11">
      <c r="A101" s="285" t="str">
        <f>'Tabela de Produtos'!A125</f>
        <v>PRD00122</v>
      </c>
      <c r="B101" s="285" t="str">
        <f>'Tabela de Produtos'!B125</f>
        <v>BRAZIMIL LÁTEX STANDARD INT/EXT FOSCO 15L CINZA INTENSO</v>
      </c>
      <c r="C101" s="286">
        <f>'Tabela de Produtos'!Q125</f>
        <v>51.959999999999994</v>
      </c>
      <c r="D101" s="286">
        <f>'Tabela de Produtos'!U125*(1-'Tabela de Produtos'!$R$1-'Tabela de Produtos'!$S$1)</f>
        <v>52.8</v>
      </c>
      <c r="E101" s="286">
        <f>'Tabela de Produtos'!U125</f>
        <v>60</v>
      </c>
      <c r="F101" s="287">
        <f t="shared" si="8"/>
        <v>0.84000000000000341</v>
      </c>
      <c r="G101" s="288">
        <f t="shared" si="9"/>
        <v>1.5909090909090973E-2</v>
      </c>
      <c r="H101" s="286" t="e">
        <f t="shared" si="10"/>
        <v>#VALUE!</v>
      </c>
      <c r="I101" s="289">
        <f>ROUNDUP(C101/(1-'Tabela de Produtos'!$R$1-'Tabela de Produtos'!$S$1),2)</f>
        <v>59.05</v>
      </c>
      <c r="J101" s="289">
        <f>ROUNDUP((C101+$B$7/'Tabela de Produtos'!$R$1)/(1-'Tabela de Produtos'!$R$1-'Tabela de Produtos'!$S$1),2)</f>
        <v>27331.78</v>
      </c>
      <c r="K101" s="290">
        <f t="shared" si="11"/>
        <v>-27271.78</v>
      </c>
    </row>
    <row r="102" spans="1:11">
      <c r="A102" s="285" t="str">
        <f>'Tabela de Produtos'!A126</f>
        <v>PRD00123</v>
      </c>
      <c r="B102" s="285" t="str">
        <f>'Tabela de Produtos'!B126</f>
        <v>BRAZIMIL LÁTEX STANDARD INT/EXT SEMIBRILHO 15L BRANCO NEVE</v>
      </c>
      <c r="C102" s="286">
        <f>'Tabela de Produtos'!Q126</f>
        <v>122.61</v>
      </c>
      <c r="D102" s="286">
        <f>'Tabela de Produtos'!U126*(1-'Tabela de Produtos'!$R$1-'Tabela de Produtos'!$S$1)</f>
        <v>154.79199999999997</v>
      </c>
      <c r="E102" s="286">
        <f>'Tabela de Produtos'!U126</f>
        <v>175.9</v>
      </c>
      <c r="F102" s="287">
        <f t="shared" si="8"/>
        <v>32.181999999999974</v>
      </c>
      <c r="G102" s="288">
        <f t="shared" si="9"/>
        <v>0.20790480128171984</v>
      </c>
      <c r="H102" s="286" t="e">
        <f t="shared" si="10"/>
        <v>#VALUE!</v>
      </c>
      <c r="I102" s="289">
        <f>ROUNDUP(C102/(1-'Tabela de Produtos'!$R$1-'Tabela de Produtos'!$S$1),2)</f>
        <v>139.32999999999998</v>
      </c>
      <c r="J102" s="289">
        <f>ROUNDUP((C102+$B$7/'Tabela de Produtos'!$R$1)/(1-'Tabela de Produtos'!$R$1-'Tabela de Produtos'!$S$1),2)</f>
        <v>27412.059999999998</v>
      </c>
      <c r="K102" s="290">
        <f t="shared" si="11"/>
        <v>-27236.159999999996</v>
      </c>
    </row>
    <row r="103" spans="1:11">
      <c r="A103" s="285" t="str">
        <f>'Tabela de Produtos'!A127</f>
        <v>PRD00124</v>
      </c>
      <c r="B103" s="285" t="str">
        <f>'Tabela de Produtos'!B127</f>
        <v>BRAZIMIL LÁTEX STANDARD INT/EXT SEMIBRILHO 15L BRANCO GELO</v>
      </c>
      <c r="C103" s="286">
        <f>'Tabela de Produtos'!Q127</f>
        <v>140.45999999999998</v>
      </c>
      <c r="D103" s="286">
        <f>'Tabela de Produtos'!U127*(1-'Tabela de Produtos'!$R$1-'Tabela de Produtos'!$S$1)</f>
        <v>154.79199999999997</v>
      </c>
      <c r="E103" s="286">
        <f>'Tabela de Produtos'!U127</f>
        <v>175.9</v>
      </c>
      <c r="F103" s="287">
        <f t="shared" si="8"/>
        <v>14.331999999999994</v>
      </c>
      <c r="G103" s="288">
        <f t="shared" si="9"/>
        <v>9.2588764277223609E-2</v>
      </c>
      <c r="H103" s="286" t="e">
        <f t="shared" si="10"/>
        <v>#VALUE!</v>
      </c>
      <c r="I103" s="289">
        <f>ROUNDUP(C103/(1-'Tabela de Produtos'!$R$1-'Tabela de Produtos'!$S$1),2)</f>
        <v>159.62</v>
      </c>
      <c r="J103" s="289">
        <f>ROUNDUP((C103+$B$7/'Tabela de Produtos'!$R$1)/(1-'Tabela de Produtos'!$R$1-'Tabela de Produtos'!$S$1),2)</f>
        <v>27432.35</v>
      </c>
      <c r="K103" s="290">
        <f t="shared" si="11"/>
        <v>-27256.449999999997</v>
      </c>
    </row>
    <row r="104" spans="1:11">
      <c r="A104" s="285" t="str">
        <f>'Tabela de Produtos'!A128</f>
        <v>PRD00125</v>
      </c>
      <c r="B104" s="285" t="str">
        <f>'Tabela de Produtos'!B128</f>
        <v>BRAZIMIL LÁTEX STANDARD INT/EXT SEMIBRILHO 15L FLAMINGO</v>
      </c>
      <c r="C104" s="286">
        <f>'Tabela de Produtos'!Q128</f>
        <v>140.61000000000001</v>
      </c>
      <c r="D104" s="286">
        <f>'Tabela de Produtos'!U128*(1-'Tabela de Produtos'!$R$1-'Tabela de Produtos'!$S$1)</f>
        <v>154.79199999999997</v>
      </c>
      <c r="E104" s="286">
        <f>'Tabela de Produtos'!U128</f>
        <v>175.9</v>
      </c>
      <c r="F104" s="287">
        <f t="shared" si="8"/>
        <v>14.18199999999996</v>
      </c>
      <c r="G104" s="288">
        <f t="shared" si="9"/>
        <v>9.1619721949454502E-2</v>
      </c>
      <c r="H104" s="286" t="e">
        <f t="shared" si="10"/>
        <v>#VALUE!</v>
      </c>
      <c r="I104" s="289">
        <f>ROUNDUP(C104/(1-'Tabela de Produtos'!$R$1-'Tabela de Produtos'!$S$1),2)</f>
        <v>159.79</v>
      </c>
      <c r="J104" s="289">
        <f>ROUNDUP((C104+$B$7/'Tabela de Produtos'!$R$1)/(1-'Tabela de Produtos'!$R$1-'Tabela de Produtos'!$S$1),2)</f>
        <v>27432.519999999997</v>
      </c>
      <c r="K104" s="290">
        <f t="shared" si="11"/>
        <v>-27256.619999999995</v>
      </c>
    </row>
    <row r="105" spans="1:11">
      <c r="A105" s="285" t="str">
        <f>'Tabela de Produtos'!A129</f>
        <v>PRD00126</v>
      </c>
      <c r="B105" s="285" t="str">
        <f>'Tabela de Produtos'!B129</f>
        <v>BRAZIMIL LÁTEX STANDARD INT/EXT SEMIBRILHO 15L AREIA</v>
      </c>
      <c r="C105" s="286">
        <f>'Tabela de Produtos'!Q129</f>
        <v>134.31000000000003</v>
      </c>
      <c r="D105" s="286">
        <f>'Tabela de Produtos'!U129*(1-'Tabela de Produtos'!$R$1-'Tabela de Produtos'!$S$1)</f>
        <v>154.79199999999997</v>
      </c>
      <c r="E105" s="286">
        <f>'Tabela de Produtos'!U129</f>
        <v>175.9</v>
      </c>
      <c r="F105" s="287">
        <f t="shared" si="8"/>
        <v>20.481999999999942</v>
      </c>
      <c r="G105" s="288">
        <f t="shared" si="9"/>
        <v>0.13231949971574725</v>
      </c>
      <c r="H105" s="286" t="e">
        <f t="shared" si="10"/>
        <v>#VALUE!</v>
      </c>
      <c r="I105" s="289">
        <f>ROUNDUP(C105/(1-'Tabela de Produtos'!$R$1-'Tabela de Produtos'!$S$1),2)</f>
        <v>152.63</v>
      </c>
      <c r="J105" s="289">
        <f>ROUNDUP((C105+$B$7/'Tabela de Produtos'!$R$1)/(1-'Tabela de Produtos'!$R$1-'Tabela de Produtos'!$S$1),2)</f>
        <v>27425.359999999997</v>
      </c>
      <c r="K105" s="290">
        <f t="shared" si="11"/>
        <v>-27249.459999999995</v>
      </c>
    </row>
    <row r="106" spans="1:11">
      <c r="A106" s="285" t="str">
        <f>'Tabela de Produtos'!A130</f>
        <v>PRD00127</v>
      </c>
      <c r="B106" s="285" t="str">
        <f>'Tabela de Produtos'!B130</f>
        <v>BRAZIMIL LÁTEX STANDARD INT/EXT SEMIBRILHO 15L MARFIM</v>
      </c>
      <c r="C106" s="286">
        <f>'Tabela de Produtos'!Q130</f>
        <v>141.05999999999997</v>
      </c>
      <c r="D106" s="286">
        <f>'Tabela de Produtos'!U130*(1-'Tabela de Produtos'!$R$1-'Tabela de Produtos'!$S$1)</f>
        <v>154.79199999999997</v>
      </c>
      <c r="E106" s="286">
        <f>'Tabela de Produtos'!U130</f>
        <v>175.9</v>
      </c>
      <c r="F106" s="287">
        <f t="shared" si="8"/>
        <v>13.731999999999999</v>
      </c>
      <c r="G106" s="288">
        <f t="shared" si="9"/>
        <v>8.8712594966148126E-2</v>
      </c>
      <c r="H106" s="286" t="e">
        <f t="shared" si="10"/>
        <v>#VALUE!</v>
      </c>
      <c r="I106" s="289">
        <f>ROUNDUP(C106/(1-'Tabela de Produtos'!$R$1-'Tabela de Produtos'!$S$1),2)</f>
        <v>160.29999999999998</v>
      </c>
      <c r="J106" s="289">
        <f>ROUNDUP((C106+$B$7/'Tabela de Produtos'!$R$1)/(1-'Tabela de Produtos'!$R$1-'Tabela de Produtos'!$S$1),2)</f>
        <v>27433.03</v>
      </c>
      <c r="K106" s="290">
        <f t="shared" si="11"/>
        <v>-27257.129999999997</v>
      </c>
    </row>
    <row r="107" spans="1:11">
      <c r="A107" s="285" t="str">
        <f>'Tabela de Produtos'!A131</f>
        <v>PRD00128</v>
      </c>
      <c r="B107" s="285" t="str">
        <f>'Tabela de Produtos'!B131</f>
        <v>BRAZIMIL LÁTEX STANDARD INT/EXT SEMIBRILHO 15L ROSA PETALA</v>
      </c>
      <c r="C107" s="286">
        <f>'Tabela de Produtos'!Q131</f>
        <v>133.26</v>
      </c>
      <c r="D107" s="286">
        <f>'Tabela de Produtos'!U131*(1-'Tabela de Produtos'!$R$1-'Tabela de Produtos'!$S$1)</f>
        <v>154.79199999999997</v>
      </c>
      <c r="E107" s="286">
        <f>'Tabela de Produtos'!U131</f>
        <v>175.9</v>
      </c>
      <c r="F107" s="287">
        <f t="shared" si="8"/>
        <v>21.531999999999982</v>
      </c>
      <c r="G107" s="288">
        <f t="shared" si="9"/>
        <v>0.13910279601012962</v>
      </c>
      <c r="H107" s="286" t="e">
        <f t="shared" si="10"/>
        <v>#VALUE!</v>
      </c>
      <c r="I107" s="289">
        <f>ROUNDUP(C107/(1-'Tabela de Produtos'!$R$1-'Tabela de Produtos'!$S$1),2)</f>
        <v>151.44</v>
      </c>
      <c r="J107" s="289">
        <f>ROUNDUP((C107+$B$7/'Tabela de Produtos'!$R$1)/(1-'Tabela de Produtos'!$R$1-'Tabela de Produtos'!$S$1),2)</f>
        <v>27424.16</v>
      </c>
      <c r="K107" s="290">
        <f t="shared" si="11"/>
        <v>-27248.26</v>
      </c>
    </row>
    <row r="108" spans="1:11">
      <c r="A108" s="285" t="str">
        <f>'Tabela de Produtos'!A132</f>
        <v>PRD00129</v>
      </c>
      <c r="B108" s="285" t="str">
        <f>'Tabela de Produtos'!B132</f>
        <v>BRAZIMIL LÁTEX STANDARD INT/EXT SEMIBRILHO 15L ACAI AMAZONICO</v>
      </c>
      <c r="C108" s="286">
        <f>'Tabela de Produtos'!Q132</f>
        <v>121.86000000000001</v>
      </c>
      <c r="D108" s="286">
        <f>'Tabela de Produtos'!U132*(1-'Tabela de Produtos'!$R$1-'Tabela de Produtos'!$S$1)</f>
        <v>154.79199999999997</v>
      </c>
      <c r="E108" s="286">
        <f>'Tabela de Produtos'!U132</f>
        <v>175.9</v>
      </c>
      <c r="F108" s="287">
        <f t="shared" ref="F108:F139" si="12">D108-C108</f>
        <v>32.93199999999996</v>
      </c>
      <c r="G108" s="288">
        <f t="shared" ref="G108:G139" si="13">IF(D108=0,"",F108/D108)</f>
        <v>0.21275001292056414</v>
      </c>
      <c r="H108" s="286" t="e">
        <f t="shared" ref="H108:H139" si="14">IF($B$7=0,0,$B$4/$B$7)</f>
        <v>#VALUE!</v>
      </c>
      <c r="I108" s="289">
        <f>ROUNDUP(C108/(1-'Tabela de Produtos'!$R$1-'Tabela de Produtos'!$S$1),2)</f>
        <v>138.47999999999999</v>
      </c>
      <c r="J108" s="289">
        <f>ROUNDUP((C108+$B$7/'Tabela de Produtos'!$R$1)/(1-'Tabela de Produtos'!$R$1-'Tabela de Produtos'!$S$1),2)</f>
        <v>27411.21</v>
      </c>
      <c r="K108" s="290">
        <f t="shared" ref="K108:K139" si="15">E108-J108</f>
        <v>-27235.309999999998</v>
      </c>
    </row>
    <row r="109" spans="1:11">
      <c r="A109" s="285" t="str">
        <f>'Tabela de Produtos'!A133</f>
        <v>PRD00130</v>
      </c>
      <c r="B109" s="285" t="str">
        <f>'Tabela de Produtos'!B133</f>
        <v>BRAZIMIL LÁTEX STANDARD INT/EXT SEMIBRILHO 15L VERDE FOLHA</v>
      </c>
      <c r="C109" s="286">
        <f>'Tabela de Produtos'!Q133</f>
        <v>132.20999999999998</v>
      </c>
      <c r="D109" s="286">
        <f>'Tabela de Produtos'!U133*(1-'Tabela de Produtos'!$R$1-'Tabela de Produtos'!$S$1)</f>
        <v>154.79199999999997</v>
      </c>
      <c r="E109" s="286">
        <f>'Tabela de Produtos'!U133</f>
        <v>175.9</v>
      </c>
      <c r="F109" s="287">
        <f t="shared" si="12"/>
        <v>22.581999999999994</v>
      </c>
      <c r="G109" s="288">
        <f t="shared" si="13"/>
        <v>0.14588609230451186</v>
      </c>
      <c r="H109" s="286" t="e">
        <f t="shared" si="14"/>
        <v>#VALUE!</v>
      </c>
      <c r="I109" s="289">
        <f>ROUNDUP(C109/(1-'Tabela de Produtos'!$R$1-'Tabela de Produtos'!$S$1),2)</f>
        <v>150.23999999999998</v>
      </c>
      <c r="J109" s="289">
        <f>ROUNDUP((C109+$B$7/'Tabela de Produtos'!$R$1)/(1-'Tabela de Produtos'!$R$1-'Tabela de Produtos'!$S$1),2)</f>
        <v>27422.969999999998</v>
      </c>
      <c r="K109" s="290">
        <f t="shared" si="15"/>
        <v>-27247.069999999996</v>
      </c>
    </row>
    <row r="110" spans="1:11">
      <c r="A110" s="285" t="str">
        <f>'Tabela de Produtos'!A134</f>
        <v>PRD00131</v>
      </c>
      <c r="B110" s="285" t="str">
        <f>'Tabela de Produtos'!B134</f>
        <v>BRAZIMIL LÁTEX STANDARD INT/EXT SEMIBRILHO 15L LARANJA</v>
      </c>
      <c r="C110" s="286">
        <f>'Tabela de Produtos'!Q134</f>
        <v>129.65999999999997</v>
      </c>
      <c r="D110" s="286">
        <f>'Tabela de Produtos'!U134*(1-'Tabela de Produtos'!$R$1-'Tabela de Produtos'!$S$1)</f>
        <v>154.79199999999997</v>
      </c>
      <c r="E110" s="286">
        <f>'Tabela de Produtos'!U134</f>
        <v>175.9</v>
      </c>
      <c r="F110" s="287">
        <f t="shared" si="12"/>
        <v>25.132000000000005</v>
      </c>
      <c r="G110" s="288">
        <f t="shared" si="13"/>
        <v>0.16235981187658283</v>
      </c>
      <c r="H110" s="286" t="e">
        <f t="shared" si="14"/>
        <v>#VALUE!</v>
      </c>
      <c r="I110" s="289">
        <f>ROUNDUP(C110/(1-'Tabela de Produtos'!$R$1-'Tabela de Produtos'!$S$1),2)</f>
        <v>147.35</v>
      </c>
      <c r="J110" s="289">
        <f>ROUNDUP((C110+$B$7/'Tabela de Produtos'!$R$1)/(1-'Tabela de Produtos'!$R$1-'Tabela de Produtos'!$S$1),2)</f>
        <v>27420.07</v>
      </c>
      <c r="K110" s="290">
        <f t="shared" si="15"/>
        <v>-27244.17</v>
      </c>
    </row>
    <row r="111" spans="1:11">
      <c r="A111" s="285" t="str">
        <f>'Tabela de Produtos'!A135</f>
        <v>PRD00132</v>
      </c>
      <c r="B111" s="285" t="str">
        <f>'Tabela de Produtos'!B135</f>
        <v>BRAZIMIL LÁTEX STANDARD INT/EXT SEMIBRILHO 15L AZUL CARIBE</v>
      </c>
      <c r="C111" s="286">
        <f>'Tabela de Produtos'!Q135</f>
        <v>134.60999999999999</v>
      </c>
      <c r="D111" s="286">
        <f>'Tabela de Produtos'!U135*(1-'Tabela de Produtos'!$R$1-'Tabela de Produtos'!$S$1)</f>
        <v>154.79199999999997</v>
      </c>
      <c r="E111" s="286">
        <f>'Tabela de Produtos'!U135</f>
        <v>175.9</v>
      </c>
      <c r="F111" s="287">
        <f t="shared" si="12"/>
        <v>20.181999999999988</v>
      </c>
      <c r="G111" s="288">
        <f t="shared" si="13"/>
        <v>0.13038141506020978</v>
      </c>
      <c r="H111" s="286" t="e">
        <f t="shared" si="14"/>
        <v>#VALUE!</v>
      </c>
      <c r="I111" s="289">
        <f>ROUNDUP(C111/(1-'Tabela de Produtos'!$R$1-'Tabela de Produtos'!$S$1),2)</f>
        <v>152.97</v>
      </c>
      <c r="J111" s="289">
        <f>ROUNDUP((C111+$B$7/'Tabela de Produtos'!$R$1)/(1-'Tabela de Produtos'!$R$1-'Tabela de Produtos'!$S$1),2)</f>
        <v>27425.699999999997</v>
      </c>
      <c r="K111" s="290">
        <f t="shared" si="15"/>
        <v>-27249.799999999996</v>
      </c>
    </row>
    <row r="112" spans="1:11">
      <c r="A112" s="285" t="str">
        <f>'Tabela de Produtos'!A136</f>
        <v>PRD00133</v>
      </c>
      <c r="B112" s="285" t="str">
        <f>'Tabela de Produtos'!B136</f>
        <v>BRAZIMIL LÁTEX STANDARD INT/EXT SEMIBRILHO 15L VERDE LIMA</v>
      </c>
      <c r="C112" s="286">
        <f>'Tabela de Produtos'!Q136</f>
        <v>134.60999999999999</v>
      </c>
      <c r="D112" s="286">
        <f>'Tabela de Produtos'!U136*(1-'Tabela de Produtos'!$R$1-'Tabela de Produtos'!$S$1)</f>
        <v>154.79199999999997</v>
      </c>
      <c r="E112" s="286">
        <f>'Tabela de Produtos'!U136</f>
        <v>175.9</v>
      </c>
      <c r="F112" s="287">
        <f t="shared" si="12"/>
        <v>20.181999999999988</v>
      </c>
      <c r="G112" s="288">
        <f t="shared" si="13"/>
        <v>0.13038141506020978</v>
      </c>
      <c r="H112" s="286" t="e">
        <f t="shared" si="14"/>
        <v>#VALUE!</v>
      </c>
      <c r="I112" s="289">
        <f>ROUNDUP(C112/(1-'Tabela de Produtos'!$R$1-'Tabela de Produtos'!$S$1),2)</f>
        <v>152.97</v>
      </c>
      <c r="J112" s="289">
        <f>ROUNDUP((C112+$B$7/'Tabela de Produtos'!$R$1)/(1-'Tabela de Produtos'!$R$1-'Tabela de Produtos'!$S$1),2)</f>
        <v>27425.699999999997</v>
      </c>
      <c r="K112" s="290">
        <f t="shared" si="15"/>
        <v>-27249.799999999996</v>
      </c>
    </row>
    <row r="113" spans="1:11">
      <c r="A113" s="285" t="str">
        <f>'Tabela de Produtos'!A137</f>
        <v>PRD00134</v>
      </c>
      <c r="B113" s="285" t="str">
        <f>'Tabela de Produtos'!B137</f>
        <v>BRAZIMIL LÁTEX STANDARD INT/EXT SEMIBRILHO 15L PEROLA</v>
      </c>
      <c r="C113" s="286">
        <f>'Tabela de Produtos'!Q137</f>
        <v>140.76000000000002</v>
      </c>
      <c r="D113" s="286">
        <f>'Tabela de Produtos'!U137*(1-'Tabela de Produtos'!$R$1-'Tabela de Produtos'!$S$1)</f>
        <v>154.79199999999997</v>
      </c>
      <c r="E113" s="286">
        <f>'Tabela de Produtos'!U137</f>
        <v>175.9</v>
      </c>
      <c r="F113" s="287">
        <f t="shared" si="12"/>
        <v>14.031999999999954</v>
      </c>
      <c r="G113" s="288">
        <f t="shared" si="13"/>
        <v>9.065067962168559E-2</v>
      </c>
      <c r="H113" s="286" t="e">
        <f t="shared" si="14"/>
        <v>#VALUE!</v>
      </c>
      <c r="I113" s="289">
        <f>ROUNDUP(C113/(1-'Tabela de Produtos'!$R$1-'Tabela de Produtos'!$S$1),2)</f>
        <v>159.95999999999998</v>
      </c>
      <c r="J113" s="289">
        <f>ROUNDUP((C113+$B$7/'Tabela de Produtos'!$R$1)/(1-'Tabela de Produtos'!$R$1-'Tabela de Produtos'!$S$1),2)</f>
        <v>27432.69</v>
      </c>
      <c r="K113" s="290">
        <f t="shared" si="15"/>
        <v>-27256.789999999997</v>
      </c>
    </row>
    <row r="114" spans="1:11">
      <c r="A114" s="285" t="str">
        <f>'Tabela de Produtos'!A138</f>
        <v>PRD00135</v>
      </c>
      <c r="B114" s="285" t="str">
        <f>'Tabela de Produtos'!B138</f>
        <v>BRAZIMIL LÁTEX STANDARD INT/EXT SEMIBRILHO 15L AZUL INTENSO</v>
      </c>
      <c r="C114" s="286">
        <f>'Tabela de Produtos'!Q138</f>
        <v>126.21000000000001</v>
      </c>
      <c r="D114" s="286">
        <f>'Tabela de Produtos'!U138*(1-'Tabela de Produtos'!$R$1-'Tabela de Produtos'!$S$1)</f>
        <v>154.79199999999997</v>
      </c>
      <c r="E114" s="286">
        <f>'Tabela de Produtos'!U138</f>
        <v>175.9</v>
      </c>
      <c r="F114" s="287">
        <f t="shared" si="12"/>
        <v>28.581999999999965</v>
      </c>
      <c r="G114" s="288">
        <f t="shared" si="13"/>
        <v>0.18464778541526675</v>
      </c>
      <c r="H114" s="286" t="e">
        <f t="shared" si="14"/>
        <v>#VALUE!</v>
      </c>
      <c r="I114" s="289">
        <f>ROUNDUP(C114/(1-'Tabela de Produtos'!$R$1-'Tabela de Produtos'!$S$1),2)</f>
        <v>143.42999999999998</v>
      </c>
      <c r="J114" s="289">
        <f>ROUNDUP((C114+$B$7/'Tabela de Produtos'!$R$1)/(1-'Tabela de Produtos'!$R$1-'Tabela de Produtos'!$S$1),2)</f>
        <v>27416.149999999998</v>
      </c>
      <c r="K114" s="290">
        <f t="shared" si="15"/>
        <v>-27240.249999999996</v>
      </c>
    </row>
    <row r="115" spans="1:11">
      <c r="A115" s="285" t="str">
        <f>'Tabela de Produtos'!A139</f>
        <v>PRD00136</v>
      </c>
      <c r="B115" s="285" t="str">
        <f>'Tabela de Produtos'!B139</f>
        <v>BRAZIMIL LÁTEX STANDARD INT/EXT SEMIBRILHO 15L LILAS</v>
      </c>
      <c r="C115" s="286">
        <f>'Tabela de Produtos'!Q139</f>
        <v>119.61000000000001</v>
      </c>
      <c r="D115" s="286">
        <f>'Tabela de Produtos'!U139*(1-'Tabela de Produtos'!$R$1-'Tabela de Produtos'!$S$1)</f>
        <v>154.79199999999997</v>
      </c>
      <c r="E115" s="286">
        <f>'Tabela de Produtos'!U139</f>
        <v>175.9</v>
      </c>
      <c r="F115" s="287">
        <f t="shared" si="12"/>
        <v>35.18199999999996</v>
      </c>
      <c r="G115" s="288">
        <f t="shared" si="13"/>
        <v>0.22728564783709732</v>
      </c>
      <c r="H115" s="286" t="e">
        <f t="shared" si="14"/>
        <v>#VALUE!</v>
      </c>
      <c r="I115" s="289">
        <f>ROUNDUP(C115/(1-'Tabela de Produtos'!$R$1-'Tabela de Produtos'!$S$1),2)</f>
        <v>135.92999999999998</v>
      </c>
      <c r="J115" s="289">
        <f>ROUNDUP((C115+$B$7/'Tabela de Produtos'!$R$1)/(1-'Tabela de Produtos'!$R$1-'Tabela de Produtos'!$S$1),2)</f>
        <v>27408.649999999998</v>
      </c>
      <c r="K115" s="290">
        <f t="shared" si="15"/>
        <v>-27232.749999999996</v>
      </c>
    </row>
    <row r="116" spans="1:11">
      <c r="A116" s="285" t="str">
        <f>'Tabela de Produtos'!A140</f>
        <v>PRD00137</v>
      </c>
      <c r="B116" s="285" t="str">
        <f>'Tabela de Produtos'!B140</f>
        <v>BRAZIMIL LÁTEX STANDARD INT/EXT SEMIBRILHO 15L VERMELHO GARANTIDO</v>
      </c>
      <c r="C116" s="286">
        <f>'Tabela de Produtos'!Q140</f>
        <v>148.41</v>
      </c>
      <c r="D116" s="286">
        <f>'Tabela de Produtos'!U140*(1-'Tabela de Produtos'!$R$1-'Tabela de Produtos'!$S$1)</f>
        <v>154.79199999999997</v>
      </c>
      <c r="E116" s="286">
        <f>'Tabela de Produtos'!U140</f>
        <v>175.9</v>
      </c>
      <c r="F116" s="287">
        <f t="shared" si="12"/>
        <v>6.3819999999999766</v>
      </c>
      <c r="G116" s="288">
        <f t="shared" si="13"/>
        <v>4.1229520905473008E-2</v>
      </c>
      <c r="H116" s="286" t="e">
        <f t="shared" si="14"/>
        <v>#VALUE!</v>
      </c>
      <c r="I116" s="289">
        <f>ROUNDUP(C116/(1-'Tabela de Produtos'!$R$1-'Tabela de Produtos'!$S$1),2)</f>
        <v>168.64999999999998</v>
      </c>
      <c r="J116" s="289">
        <f>ROUNDUP((C116+$B$7/'Tabela de Produtos'!$R$1)/(1-'Tabela de Produtos'!$R$1-'Tabela de Produtos'!$S$1),2)</f>
        <v>27441.379999999997</v>
      </c>
      <c r="K116" s="290">
        <f t="shared" si="15"/>
        <v>-27265.479999999996</v>
      </c>
    </row>
    <row r="117" spans="1:11">
      <c r="A117" s="285" t="str">
        <f>'Tabela de Produtos'!A141</f>
        <v>PRD00138</v>
      </c>
      <c r="B117" s="285" t="str">
        <f>'Tabela de Produtos'!B141</f>
        <v>BRAZIMIL LÁTEX STANDARD INT/EXT SEMIBRILHO 15L AZUL CAPRICHOSO</v>
      </c>
      <c r="C117" s="286">
        <f>'Tabela de Produtos'!Q141</f>
        <v>126.21000000000001</v>
      </c>
      <c r="D117" s="286">
        <f>'Tabela de Produtos'!U141*(1-'Tabela de Produtos'!$R$1-'Tabela de Produtos'!$S$1)</f>
        <v>154.79199999999997</v>
      </c>
      <c r="E117" s="286">
        <f>'Tabela de Produtos'!U141</f>
        <v>175.9</v>
      </c>
      <c r="F117" s="287">
        <f t="shared" si="12"/>
        <v>28.581999999999965</v>
      </c>
      <c r="G117" s="288">
        <f t="shared" si="13"/>
        <v>0.18464778541526675</v>
      </c>
      <c r="H117" s="286" t="e">
        <f t="shared" si="14"/>
        <v>#VALUE!</v>
      </c>
      <c r="I117" s="289">
        <f>ROUNDUP(C117/(1-'Tabela de Produtos'!$R$1-'Tabela de Produtos'!$S$1),2)</f>
        <v>143.42999999999998</v>
      </c>
      <c r="J117" s="289">
        <f>ROUNDUP((C117+$B$7/'Tabela de Produtos'!$R$1)/(1-'Tabela de Produtos'!$R$1-'Tabela de Produtos'!$S$1),2)</f>
        <v>27416.149999999998</v>
      </c>
      <c r="K117" s="290">
        <f t="shared" si="15"/>
        <v>-27240.249999999996</v>
      </c>
    </row>
    <row r="118" spans="1:11">
      <c r="A118" s="285" t="str">
        <f>'Tabela de Produtos'!A142</f>
        <v>PRD00139</v>
      </c>
      <c r="B118" s="285" t="str">
        <f>'Tabela de Produtos'!B142</f>
        <v>BRAZIMIL LÁTEX STANDARD INT/EXT SEMIBRILHO 15L CINZA MEDIO</v>
      </c>
      <c r="C118" s="286">
        <f>'Tabela de Produtos'!Q142</f>
        <v>132.05999999999997</v>
      </c>
      <c r="D118" s="286">
        <f>'Tabela de Produtos'!U142*(1-'Tabela de Produtos'!$R$1-'Tabela de Produtos'!$S$1)</f>
        <v>154.79199999999997</v>
      </c>
      <c r="E118" s="286">
        <f>'Tabela de Produtos'!U142</f>
        <v>175.9</v>
      </c>
      <c r="F118" s="287">
        <f t="shared" si="12"/>
        <v>22.731999999999999</v>
      </c>
      <c r="G118" s="288">
        <f t="shared" si="13"/>
        <v>0.14685513463228075</v>
      </c>
      <c r="H118" s="286" t="e">
        <f t="shared" si="14"/>
        <v>#VALUE!</v>
      </c>
      <c r="I118" s="289">
        <f>ROUNDUP(C118/(1-'Tabela de Produtos'!$R$1-'Tabela de Produtos'!$S$1),2)</f>
        <v>150.07</v>
      </c>
      <c r="J118" s="289">
        <f>ROUNDUP((C118+$B$7/'Tabela de Produtos'!$R$1)/(1-'Tabela de Produtos'!$R$1-'Tabela de Produtos'!$S$1),2)</f>
        <v>27422.799999999999</v>
      </c>
      <c r="K118" s="290">
        <f t="shared" si="15"/>
        <v>-27246.899999999998</v>
      </c>
    </row>
    <row r="119" spans="1:11">
      <c r="A119" s="285" t="str">
        <f>'Tabela de Produtos'!A143</f>
        <v>PRD00140</v>
      </c>
      <c r="B119" s="285" t="str">
        <f>'Tabela de Produtos'!B143</f>
        <v>BRAZIMIL LÁTEX STANDARD INT/EXT SEMIBRILHO 15L CINZA INTENSO</v>
      </c>
      <c r="C119" s="286">
        <f>'Tabela de Produtos'!Q143</f>
        <v>132.20999999999998</v>
      </c>
      <c r="D119" s="286">
        <f>'Tabela de Produtos'!U143*(1-'Tabela de Produtos'!$R$1-'Tabela de Produtos'!$S$1)</f>
        <v>154.79199999999997</v>
      </c>
      <c r="E119" s="286">
        <f>'Tabela de Produtos'!U143</f>
        <v>175.9</v>
      </c>
      <c r="F119" s="287">
        <f t="shared" si="12"/>
        <v>22.581999999999994</v>
      </c>
      <c r="G119" s="288">
        <f t="shared" si="13"/>
        <v>0.14588609230451186</v>
      </c>
      <c r="H119" s="286" t="e">
        <f t="shared" si="14"/>
        <v>#VALUE!</v>
      </c>
      <c r="I119" s="289">
        <f>ROUNDUP(C119/(1-'Tabela de Produtos'!$R$1-'Tabela de Produtos'!$S$1),2)</f>
        <v>150.23999999999998</v>
      </c>
      <c r="J119" s="289">
        <f>ROUNDUP((C119+$B$7/'Tabela de Produtos'!$R$1)/(1-'Tabela de Produtos'!$R$1-'Tabela de Produtos'!$S$1),2)</f>
        <v>27422.969999999998</v>
      </c>
      <c r="K119" s="290">
        <f t="shared" si="15"/>
        <v>-27247.069999999996</v>
      </c>
    </row>
    <row r="120" spans="1:11">
      <c r="A120" s="285" t="str">
        <f>'Tabela de Produtos'!A250</f>
        <v>PRD00249</v>
      </c>
      <c r="B120" s="285" t="str">
        <f>'Tabela de Produtos'!B250</f>
        <v>BRAZIMIL TINTA PISO PREMIUM  INT/EXT FOSCO 3L BRANCO NEVE</v>
      </c>
      <c r="C120" s="286">
        <f>'Tabela de Produtos'!Q250</f>
        <v>25.28</v>
      </c>
      <c r="D120" s="286">
        <f>'Tabela de Produtos'!U250*(1-'Tabela de Produtos'!$R$1-'Tabela de Produtos'!$S$1)</f>
        <v>35.111999999999995</v>
      </c>
      <c r="E120" s="286">
        <f>'Tabela de Produtos'!U250</f>
        <v>39.9</v>
      </c>
      <c r="F120" s="287">
        <f t="shared" si="12"/>
        <v>9.8319999999999936</v>
      </c>
      <c r="G120" s="288">
        <f t="shared" si="13"/>
        <v>0.28001822738664828</v>
      </c>
      <c r="H120" s="286" t="e">
        <f t="shared" si="14"/>
        <v>#VALUE!</v>
      </c>
      <c r="I120" s="289">
        <f>ROUNDUP(C120/(1-'Tabela de Produtos'!$R$1-'Tabela de Produtos'!$S$1),2)</f>
        <v>28.73</v>
      </c>
      <c r="J120" s="289">
        <f>ROUNDUP((C120+$B$7/'Tabela de Produtos'!$R$1)/(1-'Tabela de Produtos'!$R$1-'Tabela de Produtos'!$S$1),2)</f>
        <v>27301.46</v>
      </c>
      <c r="K120" s="290">
        <f t="shared" si="15"/>
        <v>-27261.559999999998</v>
      </c>
    </row>
    <row r="121" spans="1:11">
      <c r="A121" s="285" t="str">
        <f>'Tabela de Produtos'!A251</f>
        <v>PRD00250</v>
      </c>
      <c r="B121" s="285" t="str">
        <f>'Tabela de Produtos'!B251</f>
        <v>BRAZIMIL TINTA PISO PREMIUM  INT/EXT FOSCO 3L CONCRETO</v>
      </c>
      <c r="C121" s="286">
        <f>'Tabela de Produtos'!Q251</f>
        <v>0</v>
      </c>
      <c r="D121" s="286">
        <f>'Tabela de Produtos'!U251*(1-'Tabela de Produtos'!$R$1-'Tabela de Produtos'!$S$1)</f>
        <v>35.111999999999995</v>
      </c>
      <c r="E121" s="286">
        <f>'Tabela de Produtos'!U251</f>
        <v>39.9</v>
      </c>
      <c r="F121" s="287">
        <f t="shared" si="12"/>
        <v>35.111999999999995</v>
      </c>
      <c r="G121" s="288">
        <f t="shared" si="13"/>
        <v>1</v>
      </c>
      <c r="H121" s="286" t="e">
        <f t="shared" si="14"/>
        <v>#VALUE!</v>
      </c>
      <c r="I121" s="289">
        <f>ROUNDUP(C121/(1-'Tabela de Produtos'!$R$1-'Tabela de Produtos'!$S$1),2)</f>
        <v>0</v>
      </c>
      <c r="J121" s="289">
        <f>ROUNDUP((C121+$B$7/'Tabela de Produtos'!$R$1)/(1-'Tabela de Produtos'!$R$1-'Tabela de Produtos'!$S$1),2)</f>
        <v>27272.73</v>
      </c>
      <c r="K121" s="290">
        <f t="shared" si="15"/>
        <v>-27232.829999999998</v>
      </c>
    </row>
    <row r="122" spans="1:11">
      <c r="A122" s="285" t="str">
        <f>'Tabela de Produtos'!A252</f>
        <v>PRD00251</v>
      </c>
      <c r="B122" s="285" t="str">
        <f>'Tabela de Produtos'!B252</f>
        <v>BRAZIMIL TINTA PISO PREMIUM  INT/EXT FOSCO 3L PRETO</v>
      </c>
      <c r="C122" s="286">
        <f>'Tabela de Produtos'!Q252</f>
        <v>0</v>
      </c>
      <c r="D122" s="286">
        <f>'Tabela de Produtos'!U252*(1-'Tabela de Produtos'!$R$1-'Tabela de Produtos'!$S$1)</f>
        <v>35.111999999999995</v>
      </c>
      <c r="E122" s="286">
        <f>'Tabela de Produtos'!U252</f>
        <v>39.9</v>
      </c>
      <c r="F122" s="287">
        <f t="shared" si="12"/>
        <v>35.111999999999995</v>
      </c>
      <c r="G122" s="288">
        <f t="shared" si="13"/>
        <v>1</v>
      </c>
      <c r="H122" s="286" t="e">
        <f t="shared" si="14"/>
        <v>#VALUE!</v>
      </c>
      <c r="I122" s="289">
        <f>ROUNDUP(C122/(1-'Tabela de Produtos'!$R$1-'Tabela de Produtos'!$S$1),2)</f>
        <v>0</v>
      </c>
      <c r="J122" s="289">
        <f>ROUNDUP((C122+$B$7/'Tabela de Produtos'!$R$1)/(1-'Tabela de Produtos'!$R$1-'Tabela de Produtos'!$S$1),2)</f>
        <v>27272.73</v>
      </c>
      <c r="K122" s="290">
        <f t="shared" si="15"/>
        <v>-27232.829999999998</v>
      </c>
    </row>
    <row r="123" spans="1:11">
      <c r="A123" s="285" t="str">
        <f>'Tabela de Produtos'!A253</f>
        <v>PRD00252</v>
      </c>
      <c r="B123" s="285" t="str">
        <f>'Tabela de Produtos'!B253</f>
        <v>BRAZIMIL TINTA PISO PREMIUM  INT/EXT FOSCO 3L CINZA MEDIO</v>
      </c>
      <c r="C123" s="286">
        <f>'Tabela de Produtos'!Q253</f>
        <v>19.969999999999995</v>
      </c>
      <c r="D123" s="286">
        <f>'Tabela de Produtos'!U253*(1-'Tabela de Produtos'!$R$1-'Tabela de Produtos'!$S$1)</f>
        <v>35.111999999999995</v>
      </c>
      <c r="E123" s="286">
        <f>'Tabela de Produtos'!U253</f>
        <v>39.9</v>
      </c>
      <c r="F123" s="287">
        <f t="shared" si="12"/>
        <v>15.141999999999999</v>
      </c>
      <c r="G123" s="288">
        <f t="shared" si="13"/>
        <v>0.43124857598541816</v>
      </c>
      <c r="H123" s="286" t="e">
        <f t="shared" si="14"/>
        <v>#VALUE!</v>
      </c>
      <c r="I123" s="289">
        <f>ROUNDUP(C123/(1-'Tabela de Produtos'!$R$1-'Tabela de Produtos'!$S$1),2)</f>
        <v>22.700000000000003</v>
      </c>
      <c r="J123" s="289">
        <f>ROUNDUP((C123+$B$7/'Tabela de Produtos'!$R$1)/(1-'Tabela de Produtos'!$R$1-'Tabela de Produtos'!$S$1),2)</f>
        <v>27295.429999999997</v>
      </c>
      <c r="K123" s="290">
        <f t="shared" si="15"/>
        <v>-27255.529999999995</v>
      </c>
    </row>
    <row r="124" spans="1:11">
      <c r="A124" s="285" t="str">
        <f>'Tabela de Produtos'!A254</f>
        <v>PRD00253</v>
      </c>
      <c r="B124" s="285" t="str">
        <f>'Tabela de Produtos'!B254</f>
        <v>BRAZIMIL TINTA PISO PREMIUM  INT/EXT FOSCO 3L CINZA INTENSO</v>
      </c>
      <c r="C124" s="286">
        <f>'Tabela de Produtos'!Q254</f>
        <v>0</v>
      </c>
      <c r="D124" s="286">
        <f>'Tabela de Produtos'!U254*(1-'Tabela de Produtos'!$R$1-'Tabela de Produtos'!$S$1)</f>
        <v>35.111999999999995</v>
      </c>
      <c r="E124" s="286">
        <f>'Tabela de Produtos'!U254</f>
        <v>39.9</v>
      </c>
      <c r="F124" s="287">
        <f t="shared" si="12"/>
        <v>35.111999999999995</v>
      </c>
      <c r="G124" s="288">
        <f t="shared" si="13"/>
        <v>1</v>
      </c>
      <c r="H124" s="286" t="e">
        <f t="shared" si="14"/>
        <v>#VALUE!</v>
      </c>
      <c r="I124" s="289">
        <f>ROUNDUP(C124/(1-'Tabela de Produtos'!$R$1-'Tabela de Produtos'!$S$1),2)</f>
        <v>0</v>
      </c>
      <c r="J124" s="289">
        <f>ROUNDUP((C124+$B$7/'Tabela de Produtos'!$R$1)/(1-'Tabela de Produtos'!$R$1-'Tabela de Produtos'!$S$1),2)</f>
        <v>27272.73</v>
      </c>
      <c r="K124" s="290">
        <f t="shared" si="15"/>
        <v>-27232.829999999998</v>
      </c>
    </row>
    <row r="125" spans="1:11">
      <c r="A125" s="285" t="str">
        <f>'Tabela de Produtos'!A255</f>
        <v>PRD00254</v>
      </c>
      <c r="B125" s="285" t="str">
        <f>'Tabela de Produtos'!B255</f>
        <v>BRAZIMIL TINTA PISO PREMIUM  INT/EXT FOSCO 3L AZUL PROFUNDO</v>
      </c>
      <c r="C125" s="286">
        <f>'Tabela de Produtos'!Q255</f>
        <v>0</v>
      </c>
      <c r="D125" s="286">
        <f>'Tabela de Produtos'!U255*(1-'Tabela de Produtos'!$R$1-'Tabela de Produtos'!$S$1)</f>
        <v>35.111999999999995</v>
      </c>
      <c r="E125" s="286">
        <f>'Tabela de Produtos'!U255</f>
        <v>39.9</v>
      </c>
      <c r="F125" s="287">
        <f t="shared" si="12"/>
        <v>35.111999999999995</v>
      </c>
      <c r="G125" s="288">
        <f t="shared" si="13"/>
        <v>1</v>
      </c>
      <c r="H125" s="286" t="e">
        <f t="shared" si="14"/>
        <v>#VALUE!</v>
      </c>
      <c r="I125" s="289">
        <f>ROUNDUP(C125/(1-'Tabela de Produtos'!$R$1-'Tabela de Produtos'!$S$1),2)</f>
        <v>0</v>
      </c>
      <c r="J125" s="289">
        <f>ROUNDUP((C125+$B$7/'Tabela de Produtos'!$R$1)/(1-'Tabela de Produtos'!$R$1-'Tabela de Produtos'!$S$1),2)</f>
        <v>27272.73</v>
      </c>
      <c r="K125" s="290">
        <f t="shared" si="15"/>
        <v>-27232.829999999998</v>
      </c>
    </row>
    <row r="126" spans="1:11">
      <c r="A126" s="285" t="str">
        <f>'Tabela de Produtos'!A256</f>
        <v>PRD00255</v>
      </c>
      <c r="B126" s="285" t="str">
        <f>'Tabela de Produtos'!B256</f>
        <v>BRAZIMIL TINTA PISO PREMIUM  INT/EXT FOSCO 3L AMARELO DEMARCACAO</v>
      </c>
      <c r="C126" s="286">
        <f>'Tabela de Produtos'!Q256</f>
        <v>0</v>
      </c>
      <c r="D126" s="286">
        <f>'Tabela de Produtos'!U256*(1-'Tabela de Produtos'!$R$1-'Tabela de Produtos'!$S$1)</f>
        <v>35.111999999999995</v>
      </c>
      <c r="E126" s="286">
        <f>'Tabela de Produtos'!U256</f>
        <v>39.9</v>
      </c>
      <c r="F126" s="287">
        <f t="shared" si="12"/>
        <v>35.111999999999995</v>
      </c>
      <c r="G126" s="288">
        <f t="shared" si="13"/>
        <v>1</v>
      </c>
      <c r="H126" s="286" t="e">
        <f t="shared" si="14"/>
        <v>#VALUE!</v>
      </c>
      <c r="I126" s="289">
        <f>ROUNDUP(C126/(1-'Tabela de Produtos'!$R$1-'Tabela de Produtos'!$S$1),2)</f>
        <v>0</v>
      </c>
      <c r="J126" s="289">
        <f>ROUNDUP((C126+$B$7/'Tabela de Produtos'!$R$1)/(1-'Tabela de Produtos'!$R$1-'Tabela de Produtos'!$S$1),2)</f>
        <v>27272.73</v>
      </c>
      <c r="K126" s="290">
        <f t="shared" si="15"/>
        <v>-27232.829999999998</v>
      </c>
    </row>
    <row r="127" spans="1:11">
      <c r="A127" s="285" t="str">
        <f>'Tabela de Produtos'!A257</f>
        <v>PRD00256</v>
      </c>
      <c r="B127" s="285" t="str">
        <f>'Tabela de Produtos'!B257</f>
        <v>BRAZIMIL TINTA PISO PREMIUM  INT/EXT FOSCO 3L VERMELHO</v>
      </c>
      <c r="C127" s="286">
        <f>'Tabela de Produtos'!Q257</f>
        <v>0</v>
      </c>
      <c r="D127" s="286">
        <f>'Tabela de Produtos'!U257*(1-'Tabela de Produtos'!$R$1-'Tabela de Produtos'!$S$1)</f>
        <v>35.111999999999995</v>
      </c>
      <c r="E127" s="286">
        <f>'Tabela de Produtos'!U257</f>
        <v>39.9</v>
      </c>
      <c r="F127" s="287">
        <f t="shared" si="12"/>
        <v>35.111999999999995</v>
      </c>
      <c r="G127" s="288">
        <f t="shared" si="13"/>
        <v>1</v>
      </c>
      <c r="H127" s="286" t="e">
        <f t="shared" si="14"/>
        <v>#VALUE!</v>
      </c>
      <c r="I127" s="289">
        <f>ROUNDUP(C127/(1-'Tabela de Produtos'!$R$1-'Tabela de Produtos'!$S$1),2)</f>
        <v>0</v>
      </c>
      <c r="J127" s="289">
        <f>ROUNDUP((C127+$B$7/'Tabela de Produtos'!$R$1)/(1-'Tabela de Produtos'!$R$1-'Tabela de Produtos'!$S$1),2)</f>
        <v>27272.73</v>
      </c>
      <c r="K127" s="290">
        <f t="shared" si="15"/>
        <v>-27232.829999999998</v>
      </c>
    </row>
    <row r="128" spans="1:11">
      <c r="A128" s="285" t="str">
        <f>'Tabela de Produtos'!A258</f>
        <v>PRD00257</v>
      </c>
      <c r="B128" s="285" t="str">
        <f>'Tabela de Produtos'!B258</f>
        <v>BRAZIMIL TINTA PISO PREMIUM  INT/EXT FOSCO 3L VERDE FOLHA</v>
      </c>
      <c r="C128" s="286">
        <f>'Tabela de Produtos'!Q258</f>
        <v>0</v>
      </c>
      <c r="D128" s="286">
        <f>'Tabela de Produtos'!U258*(1-'Tabela de Produtos'!$R$1-'Tabela de Produtos'!$S$1)</f>
        <v>35.111999999999995</v>
      </c>
      <c r="E128" s="286">
        <f>'Tabela de Produtos'!U258</f>
        <v>39.9</v>
      </c>
      <c r="F128" s="287">
        <f t="shared" si="12"/>
        <v>35.111999999999995</v>
      </c>
      <c r="G128" s="288">
        <f t="shared" si="13"/>
        <v>1</v>
      </c>
      <c r="H128" s="286" t="e">
        <f t="shared" si="14"/>
        <v>#VALUE!</v>
      </c>
      <c r="I128" s="289">
        <f>ROUNDUP(C128/(1-'Tabela de Produtos'!$R$1-'Tabela de Produtos'!$S$1),2)</f>
        <v>0</v>
      </c>
      <c r="J128" s="289">
        <f>ROUNDUP((C128+$B$7/'Tabela de Produtos'!$R$1)/(1-'Tabela de Produtos'!$R$1-'Tabela de Produtos'!$S$1),2)</f>
        <v>27272.73</v>
      </c>
      <c r="K128" s="290">
        <f t="shared" si="15"/>
        <v>-27232.829999999998</v>
      </c>
    </row>
    <row r="129" spans="1:11">
      <c r="A129" s="285" t="str">
        <f>'Tabela de Produtos'!A268</f>
        <v>PRD00267</v>
      </c>
      <c r="B129" s="285" t="str">
        <f>'Tabela de Produtos'!B268</f>
        <v>BRAZIMIL TINTA PISO PREMIUM  INT/EXT FOSCO 15L BRANCO NEVE</v>
      </c>
      <c r="C129" s="286">
        <f>'Tabela de Produtos'!Q268</f>
        <v>117.81</v>
      </c>
      <c r="D129" s="286">
        <f>'Tabela de Produtos'!U268*(1-'Tabela de Produtos'!$R$1-'Tabela de Produtos'!$S$1)</f>
        <v>131.91199999999998</v>
      </c>
      <c r="E129" s="286">
        <f>'Tabela de Produtos'!U268</f>
        <v>149.9</v>
      </c>
      <c r="F129" s="287">
        <f t="shared" si="12"/>
        <v>14.101999999999975</v>
      </c>
      <c r="G129" s="288">
        <f t="shared" si="13"/>
        <v>0.1069046030687123</v>
      </c>
      <c r="H129" s="286" t="e">
        <f t="shared" si="14"/>
        <v>#VALUE!</v>
      </c>
      <c r="I129" s="289">
        <f>ROUNDUP(C129/(1-'Tabela de Produtos'!$R$1-'Tabela de Produtos'!$S$1),2)</f>
        <v>133.88</v>
      </c>
      <c r="J129" s="289">
        <f>ROUNDUP((C129+$B$7/'Tabela de Produtos'!$R$1)/(1-'Tabela de Produtos'!$R$1-'Tabela de Produtos'!$S$1),2)</f>
        <v>27406.609999999997</v>
      </c>
      <c r="K129" s="290">
        <f t="shared" si="15"/>
        <v>-27256.709999999995</v>
      </c>
    </row>
    <row r="130" spans="1:11">
      <c r="A130" s="285" t="str">
        <f>'Tabela de Produtos'!A269</f>
        <v>PRD00268</v>
      </c>
      <c r="B130" s="285" t="str">
        <f>'Tabela de Produtos'!B269</f>
        <v>BRAZIMIL TINTA PISO PREMIUM  INT/EXT FOSCO 15L CONCRETO</v>
      </c>
      <c r="C130" s="286">
        <f>'Tabela de Produtos'!Q269</f>
        <v>0</v>
      </c>
      <c r="D130" s="286">
        <f>'Tabela de Produtos'!U269*(1-'Tabela de Produtos'!$R$1-'Tabela de Produtos'!$S$1)</f>
        <v>131.91199999999998</v>
      </c>
      <c r="E130" s="286">
        <f>'Tabela de Produtos'!U269</f>
        <v>149.9</v>
      </c>
      <c r="F130" s="287">
        <f t="shared" si="12"/>
        <v>131.91199999999998</v>
      </c>
      <c r="G130" s="288">
        <f t="shared" si="13"/>
        <v>1</v>
      </c>
      <c r="H130" s="286" t="e">
        <f t="shared" si="14"/>
        <v>#VALUE!</v>
      </c>
      <c r="I130" s="289">
        <f>ROUNDUP(C130/(1-'Tabela de Produtos'!$R$1-'Tabela de Produtos'!$S$1),2)</f>
        <v>0</v>
      </c>
      <c r="J130" s="289">
        <f>ROUNDUP((C130+$B$7/'Tabela de Produtos'!$R$1)/(1-'Tabela de Produtos'!$R$1-'Tabela de Produtos'!$S$1),2)</f>
        <v>27272.73</v>
      </c>
      <c r="K130" s="290">
        <f t="shared" si="15"/>
        <v>-27122.829999999998</v>
      </c>
    </row>
    <row r="131" spans="1:11">
      <c r="A131" s="285" t="str">
        <f>'Tabela de Produtos'!A270</f>
        <v>PRD00269</v>
      </c>
      <c r="B131" s="285" t="str">
        <f>'Tabela de Produtos'!B270</f>
        <v>BRAZIMIL TINTA PISO PREMIUM  INT/EXT FOSCO 15L PRETO</v>
      </c>
      <c r="C131" s="286">
        <f>'Tabela de Produtos'!Q270</f>
        <v>0</v>
      </c>
      <c r="D131" s="286">
        <f>'Tabela de Produtos'!U270*(1-'Tabela de Produtos'!$R$1-'Tabela de Produtos'!$S$1)</f>
        <v>131.91199999999998</v>
      </c>
      <c r="E131" s="286">
        <f>'Tabela de Produtos'!U270</f>
        <v>149.9</v>
      </c>
      <c r="F131" s="287">
        <f t="shared" si="12"/>
        <v>131.91199999999998</v>
      </c>
      <c r="G131" s="288">
        <f t="shared" si="13"/>
        <v>1</v>
      </c>
      <c r="H131" s="286" t="e">
        <f t="shared" si="14"/>
        <v>#VALUE!</v>
      </c>
      <c r="I131" s="289">
        <f>ROUNDUP(C131/(1-'Tabela de Produtos'!$R$1-'Tabela de Produtos'!$S$1),2)</f>
        <v>0</v>
      </c>
      <c r="J131" s="289">
        <f>ROUNDUP((C131+$B$7/'Tabela de Produtos'!$R$1)/(1-'Tabela de Produtos'!$R$1-'Tabela de Produtos'!$S$1),2)</f>
        <v>27272.73</v>
      </c>
      <c r="K131" s="290">
        <f t="shared" si="15"/>
        <v>-27122.829999999998</v>
      </c>
    </row>
    <row r="132" spans="1:11">
      <c r="A132" s="285" t="str">
        <f>'Tabela de Produtos'!A271</f>
        <v>PRD00270</v>
      </c>
      <c r="B132" s="285" t="str">
        <f>'Tabela de Produtos'!B271</f>
        <v>BRAZIMIL TINTA PISO PREMIUM  INT/EXT FOSCO 15L CINZA MEDIO</v>
      </c>
      <c r="C132" s="286">
        <f>'Tabela de Produtos'!Q271</f>
        <v>91.259999999999977</v>
      </c>
      <c r="D132" s="286">
        <f>'Tabela de Produtos'!U271*(1-'Tabela de Produtos'!$R$1-'Tabela de Produtos'!$S$1)</f>
        <v>131.91199999999998</v>
      </c>
      <c r="E132" s="286">
        <f>'Tabela de Produtos'!U271</f>
        <v>149.9</v>
      </c>
      <c r="F132" s="287">
        <f t="shared" si="12"/>
        <v>40.652000000000001</v>
      </c>
      <c r="G132" s="288">
        <f t="shared" si="13"/>
        <v>0.30817514706774218</v>
      </c>
      <c r="H132" s="286" t="e">
        <f t="shared" si="14"/>
        <v>#VALUE!</v>
      </c>
      <c r="I132" s="289">
        <f>ROUNDUP(C132/(1-'Tabela de Produtos'!$R$1-'Tabela de Produtos'!$S$1),2)</f>
        <v>103.71000000000001</v>
      </c>
      <c r="J132" s="289">
        <f>ROUNDUP((C132+$B$7/'Tabela de Produtos'!$R$1)/(1-'Tabela de Produtos'!$R$1-'Tabela de Produtos'!$S$1),2)</f>
        <v>27376.44</v>
      </c>
      <c r="K132" s="290">
        <f t="shared" si="15"/>
        <v>-27226.539999999997</v>
      </c>
    </row>
    <row r="133" spans="1:11">
      <c r="A133" s="285" t="str">
        <f>'Tabela de Produtos'!A272</f>
        <v>PRD00271</v>
      </c>
      <c r="B133" s="285" t="str">
        <f>'Tabela de Produtos'!B272</f>
        <v>BRAZIMIL TINTA PISO PREMIUM  INT/EXT FOSCO 15L CINZA INTENSO</v>
      </c>
      <c r="C133" s="286">
        <f>'Tabela de Produtos'!Q272</f>
        <v>0</v>
      </c>
      <c r="D133" s="286">
        <f>'Tabela de Produtos'!U272*(1-'Tabela de Produtos'!$R$1-'Tabela de Produtos'!$S$1)</f>
        <v>131.91199999999998</v>
      </c>
      <c r="E133" s="286">
        <f>'Tabela de Produtos'!U272</f>
        <v>149.9</v>
      </c>
      <c r="F133" s="287">
        <f t="shared" si="12"/>
        <v>131.91199999999998</v>
      </c>
      <c r="G133" s="288">
        <f t="shared" si="13"/>
        <v>1</v>
      </c>
      <c r="H133" s="286" t="e">
        <f t="shared" si="14"/>
        <v>#VALUE!</v>
      </c>
      <c r="I133" s="289">
        <f>ROUNDUP(C133/(1-'Tabela de Produtos'!$R$1-'Tabela de Produtos'!$S$1),2)</f>
        <v>0</v>
      </c>
      <c r="J133" s="289">
        <f>ROUNDUP((C133+$B$7/'Tabela de Produtos'!$R$1)/(1-'Tabela de Produtos'!$R$1-'Tabela de Produtos'!$S$1),2)</f>
        <v>27272.73</v>
      </c>
      <c r="K133" s="290">
        <f t="shared" si="15"/>
        <v>-27122.829999999998</v>
      </c>
    </row>
    <row r="134" spans="1:11">
      <c r="A134" s="285" t="str">
        <f>'Tabela de Produtos'!A273</f>
        <v>PRD00272</v>
      </c>
      <c r="B134" s="285" t="str">
        <f>'Tabela de Produtos'!B273</f>
        <v>BRAZIMIL TINTA PISO PREMIUM  INT/EXT FOSCO 15L AZUL PROFUNDO</v>
      </c>
      <c r="C134" s="286">
        <f>'Tabela de Produtos'!Q273</f>
        <v>0</v>
      </c>
      <c r="D134" s="286">
        <f>'Tabela de Produtos'!U273*(1-'Tabela de Produtos'!$R$1-'Tabela de Produtos'!$S$1)</f>
        <v>131.91199999999998</v>
      </c>
      <c r="E134" s="286">
        <f>'Tabela de Produtos'!U273</f>
        <v>149.9</v>
      </c>
      <c r="F134" s="287">
        <f t="shared" si="12"/>
        <v>131.91199999999998</v>
      </c>
      <c r="G134" s="288">
        <f t="shared" si="13"/>
        <v>1</v>
      </c>
      <c r="H134" s="286" t="e">
        <f t="shared" si="14"/>
        <v>#VALUE!</v>
      </c>
      <c r="I134" s="289">
        <f>ROUNDUP(C134/(1-'Tabela de Produtos'!$R$1-'Tabela de Produtos'!$S$1),2)</f>
        <v>0</v>
      </c>
      <c r="J134" s="289">
        <f>ROUNDUP((C134+$B$7/'Tabela de Produtos'!$R$1)/(1-'Tabela de Produtos'!$R$1-'Tabela de Produtos'!$S$1),2)</f>
        <v>27272.73</v>
      </c>
      <c r="K134" s="290">
        <f t="shared" si="15"/>
        <v>-27122.829999999998</v>
      </c>
    </row>
    <row r="135" spans="1:11">
      <c r="A135" s="285" t="str">
        <f>'Tabela de Produtos'!A274</f>
        <v>PRD00273</v>
      </c>
      <c r="B135" s="285" t="str">
        <f>'Tabela de Produtos'!B274</f>
        <v>BRAZIMIL TINTA PISO PREMIUM  INT/EXT FOSCO 15L AMARELO DEMARCACAO</v>
      </c>
      <c r="C135" s="286">
        <f>'Tabela de Produtos'!Q274</f>
        <v>0</v>
      </c>
      <c r="D135" s="286">
        <f>'Tabela de Produtos'!U274*(1-'Tabela de Produtos'!$R$1-'Tabela de Produtos'!$S$1)</f>
        <v>131.91199999999998</v>
      </c>
      <c r="E135" s="286">
        <f>'Tabela de Produtos'!U274</f>
        <v>149.9</v>
      </c>
      <c r="F135" s="287">
        <f t="shared" si="12"/>
        <v>131.91199999999998</v>
      </c>
      <c r="G135" s="288">
        <f t="shared" si="13"/>
        <v>1</v>
      </c>
      <c r="H135" s="286" t="e">
        <f t="shared" si="14"/>
        <v>#VALUE!</v>
      </c>
      <c r="I135" s="289">
        <f>ROUNDUP(C135/(1-'Tabela de Produtos'!$R$1-'Tabela de Produtos'!$S$1),2)</f>
        <v>0</v>
      </c>
      <c r="J135" s="289">
        <f>ROUNDUP((C135+$B$7/'Tabela de Produtos'!$R$1)/(1-'Tabela de Produtos'!$R$1-'Tabela de Produtos'!$S$1),2)</f>
        <v>27272.73</v>
      </c>
      <c r="K135" s="290">
        <f t="shared" si="15"/>
        <v>-27122.829999999998</v>
      </c>
    </row>
    <row r="136" spans="1:11">
      <c r="A136" s="285" t="str">
        <f>'Tabela de Produtos'!A275</f>
        <v>PRD00274</v>
      </c>
      <c r="B136" s="285" t="str">
        <f>'Tabela de Produtos'!B275</f>
        <v>BRAZIMIL TINTA PISO PREMIUM  INT/EXT FOSCO 15L VERMELHO</v>
      </c>
      <c r="C136" s="286">
        <f>'Tabela de Produtos'!Q275</f>
        <v>0</v>
      </c>
      <c r="D136" s="286">
        <f>'Tabela de Produtos'!U275*(1-'Tabela de Produtos'!$R$1-'Tabela de Produtos'!$S$1)</f>
        <v>131.91199999999998</v>
      </c>
      <c r="E136" s="286">
        <f>'Tabela de Produtos'!U275</f>
        <v>149.9</v>
      </c>
      <c r="F136" s="287">
        <f t="shared" si="12"/>
        <v>131.91199999999998</v>
      </c>
      <c r="G136" s="288">
        <f t="shared" si="13"/>
        <v>1</v>
      </c>
      <c r="H136" s="286" t="e">
        <f t="shared" si="14"/>
        <v>#VALUE!</v>
      </c>
      <c r="I136" s="289">
        <f>ROUNDUP(C136/(1-'Tabela de Produtos'!$R$1-'Tabela de Produtos'!$S$1),2)</f>
        <v>0</v>
      </c>
      <c r="J136" s="289">
        <f>ROUNDUP((C136+$B$7/'Tabela de Produtos'!$R$1)/(1-'Tabela de Produtos'!$R$1-'Tabela de Produtos'!$S$1),2)</f>
        <v>27272.73</v>
      </c>
      <c r="K136" s="290">
        <f t="shared" si="15"/>
        <v>-27122.829999999998</v>
      </c>
    </row>
    <row r="137" spans="1:11">
      <c r="A137" s="285" t="str">
        <f>'Tabela de Produtos'!A276</f>
        <v>PRD00275</v>
      </c>
      <c r="B137" s="285" t="str">
        <f>'Tabela de Produtos'!B276</f>
        <v>BRAZIMIL TINTA PISO PREMIUM  INT/EXT FOSCO 15L VERDE FOLHA</v>
      </c>
      <c r="C137" s="286">
        <f>'Tabela de Produtos'!Q276</f>
        <v>0</v>
      </c>
      <c r="D137" s="286">
        <f>'Tabela de Produtos'!U276*(1-'Tabela de Produtos'!$R$1-'Tabela de Produtos'!$S$1)</f>
        <v>131.91199999999998</v>
      </c>
      <c r="E137" s="286">
        <f>'Tabela de Produtos'!U276</f>
        <v>149.9</v>
      </c>
      <c r="F137" s="287">
        <f t="shared" si="12"/>
        <v>131.91199999999998</v>
      </c>
      <c r="G137" s="288">
        <f t="shared" si="13"/>
        <v>1</v>
      </c>
      <c r="H137" s="286" t="e">
        <f t="shared" si="14"/>
        <v>#VALUE!</v>
      </c>
      <c r="I137" s="289">
        <f>ROUNDUP(C137/(1-'Tabela de Produtos'!$R$1-'Tabela de Produtos'!$S$1),2)</f>
        <v>0</v>
      </c>
      <c r="J137" s="289">
        <f>ROUNDUP((C137+$B$7/'Tabela de Produtos'!$R$1)/(1-'Tabela de Produtos'!$R$1-'Tabela de Produtos'!$S$1),2)</f>
        <v>27272.73</v>
      </c>
      <c r="K137" s="290">
        <f t="shared" si="15"/>
        <v>-27122.829999999998</v>
      </c>
    </row>
    <row r="138" spans="1:11">
      <c r="A138" s="285" t="str">
        <f>'Tabela de Produtos'!A277</f>
        <v>PRD00276</v>
      </c>
      <c r="B138" s="285" t="str">
        <f>'Tabela de Produtos'!B277</f>
        <v>BRAZIMIL TINTA PISO PREMIUM  INT/EXT SEMIBRILHO 15L BRANCO NEVE</v>
      </c>
      <c r="C138" s="286">
        <f>'Tabela de Produtos'!Q277</f>
        <v>0</v>
      </c>
      <c r="D138" s="286">
        <f>'Tabela de Produtos'!U277*(1-'Tabela de Produtos'!$R$1-'Tabela de Produtos'!$S$1)</f>
        <v>131.91199999999998</v>
      </c>
      <c r="E138" s="286">
        <f>'Tabela de Produtos'!U277</f>
        <v>149.9</v>
      </c>
      <c r="F138" s="287">
        <f t="shared" si="12"/>
        <v>131.91199999999998</v>
      </c>
      <c r="G138" s="288">
        <f t="shared" si="13"/>
        <v>1</v>
      </c>
      <c r="H138" s="286" t="e">
        <f t="shared" si="14"/>
        <v>#VALUE!</v>
      </c>
      <c r="I138" s="289">
        <f>ROUNDUP(C138/(1-'Tabela de Produtos'!$R$1-'Tabela de Produtos'!$S$1),2)</f>
        <v>0</v>
      </c>
      <c r="J138" s="289">
        <f>ROUNDUP((C138+$B$7/'Tabela de Produtos'!$R$1)/(1-'Tabela de Produtos'!$R$1-'Tabela de Produtos'!$S$1),2)</f>
        <v>27272.73</v>
      </c>
      <c r="K138" s="290">
        <f t="shared" si="15"/>
        <v>-27122.829999999998</v>
      </c>
    </row>
    <row r="139" spans="1:11">
      <c r="A139" s="285" t="str">
        <f>'Tabela de Produtos'!A286</f>
        <v>PRD00285</v>
      </c>
      <c r="B139" s="285" t="str">
        <f>'Tabela de Produtos'!B286</f>
        <v>BRAZIMIL BORRACHA LIQUIDA MULTIFUNÇÃO 3,6KG BRANCO NEVE</v>
      </c>
      <c r="C139" s="286">
        <f>'Tabela de Produtos'!Q286</f>
        <v>38.373999999999995</v>
      </c>
      <c r="D139" s="286">
        <f>'Tabela de Produtos'!U286*(1-'Tabela de Produtos'!$R$1-'Tabela de Produtos'!$S$1)</f>
        <v>75.591999999999999</v>
      </c>
      <c r="E139" s="286">
        <f>'Tabela de Produtos'!U286</f>
        <v>85.9</v>
      </c>
      <c r="F139" s="287">
        <f t="shared" si="12"/>
        <v>37.218000000000004</v>
      </c>
      <c r="G139" s="288">
        <f t="shared" si="13"/>
        <v>0.4923536882209758</v>
      </c>
      <c r="H139" s="286" t="e">
        <f t="shared" si="14"/>
        <v>#VALUE!</v>
      </c>
      <c r="I139" s="289">
        <f>ROUNDUP(C139/(1-'Tabela de Produtos'!$R$1-'Tabela de Produtos'!$S$1),2)</f>
        <v>43.61</v>
      </c>
      <c r="J139" s="289">
        <f>ROUNDUP((C139+$B$7/'Tabela de Produtos'!$R$1)/(1-'Tabela de Produtos'!$R$1-'Tabela de Produtos'!$S$1),2)</f>
        <v>27316.34</v>
      </c>
      <c r="K139" s="290">
        <f t="shared" si="15"/>
        <v>-27230.44</v>
      </c>
    </row>
    <row r="140" spans="1:11">
      <c r="A140" s="285" t="str">
        <f>'Tabela de Produtos'!A287</f>
        <v>PRD00286</v>
      </c>
      <c r="B140" s="285" t="str">
        <f>'Tabela de Produtos'!B287</f>
        <v>BRAZIMIL BORRACHA LIQUIDA MULTIFUNÇÃO 3,6KG CINZA MEDIO</v>
      </c>
      <c r="C140" s="286">
        <f>'Tabela de Produtos'!Q287</f>
        <v>34.125999999999998</v>
      </c>
      <c r="D140" s="286">
        <f>'Tabela de Produtos'!U287*(1-'Tabela de Produtos'!$R$1-'Tabela de Produtos'!$S$1)</f>
        <v>75.591999999999999</v>
      </c>
      <c r="E140" s="286">
        <f>'Tabela de Produtos'!U287</f>
        <v>85.9</v>
      </c>
      <c r="F140" s="287">
        <f t="shared" ref="F140:F162" si="16">D140-C140</f>
        <v>41.466000000000001</v>
      </c>
      <c r="G140" s="288">
        <f t="shared" ref="G140:G171" si="17">IF(D140=0,"",F140/D140)</f>
        <v>0.54855011112287022</v>
      </c>
      <c r="H140" s="286" t="e">
        <f t="shared" ref="H140:H162" si="18">IF($B$7=0,0,$B$4/$B$7)</f>
        <v>#VALUE!</v>
      </c>
      <c r="I140" s="289">
        <f>ROUNDUP(C140/(1-'Tabela de Produtos'!$R$1-'Tabela de Produtos'!$S$1),2)</f>
        <v>38.78</v>
      </c>
      <c r="J140" s="289">
        <f>ROUNDUP((C140+$B$7/'Tabela de Produtos'!$R$1)/(1-'Tabela de Produtos'!$R$1-'Tabela de Produtos'!$S$1),2)</f>
        <v>27311.51</v>
      </c>
      <c r="K140" s="290">
        <f t="shared" ref="K140:K171" si="19">E140-J140</f>
        <v>-27225.609999999997</v>
      </c>
    </row>
    <row r="141" spans="1:11">
      <c r="A141" s="285" t="str">
        <f>'Tabela de Produtos'!A288</f>
        <v>PRD00287</v>
      </c>
      <c r="B141" s="285" t="str">
        <f>'Tabela de Produtos'!B288</f>
        <v>BRAZIMIL BORRACHA LIQUIDA MULTIFUNÇÃO 3,6KG CINZA PLATINA</v>
      </c>
      <c r="C141" s="286">
        <f>'Tabela de Produtos'!Q288</f>
        <v>8.5299999999999994</v>
      </c>
      <c r="D141" s="286">
        <f>'Tabela de Produtos'!U288*(1-'Tabela de Produtos'!$R$1-'Tabela de Produtos'!$S$1)</f>
        <v>75.591999999999999</v>
      </c>
      <c r="E141" s="286">
        <f>'Tabela de Produtos'!U288</f>
        <v>85.9</v>
      </c>
      <c r="F141" s="287">
        <f t="shared" si="16"/>
        <v>67.061999999999998</v>
      </c>
      <c r="G141" s="288">
        <f t="shared" si="17"/>
        <v>0.88715737115038629</v>
      </c>
      <c r="H141" s="286" t="e">
        <f t="shared" si="18"/>
        <v>#VALUE!</v>
      </c>
      <c r="I141" s="289">
        <f>ROUNDUP(C141/(1-'Tabela de Produtos'!$R$1-'Tabela de Produtos'!$S$1),2)</f>
        <v>9.6999999999999993</v>
      </c>
      <c r="J141" s="289">
        <f>ROUNDUP((C141+$B$7/'Tabela de Produtos'!$R$1)/(1-'Tabela de Produtos'!$R$1-'Tabela de Produtos'!$S$1),2)</f>
        <v>27282.429999999997</v>
      </c>
      <c r="K141" s="290">
        <f t="shared" si="19"/>
        <v>-27196.529999999995</v>
      </c>
    </row>
    <row r="142" spans="1:11">
      <c r="A142" s="285" t="str">
        <f>'Tabela de Produtos'!A289</f>
        <v>PRD00288</v>
      </c>
      <c r="B142" s="285" t="str">
        <f>'Tabela de Produtos'!B289</f>
        <v>BRAZIMIL BORRACHA LIQUIDA MULTIFUNÇÃO 3,6KG CERAMICA</v>
      </c>
      <c r="C142" s="286">
        <f>'Tabela de Produtos'!Q289</f>
        <v>35.637999999999998</v>
      </c>
      <c r="D142" s="286">
        <f>'Tabela de Produtos'!U289*(1-'Tabela de Produtos'!$R$1-'Tabela de Produtos'!$S$1)</f>
        <v>75.591999999999999</v>
      </c>
      <c r="E142" s="286">
        <f>'Tabela de Produtos'!U289</f>
        <v>85.9</v>
      </c>
      <c r="F142" s="287">
        <f t="shared" si="16"/>
        <v>39.954000000000001</v>
      </c>
      <c r="G142" s="288">
        <f t="shared" si="17"/>
        <v>0.52854799449677214</v>
      </c>
      <c r="H142" s="286" t="e">
        <f t="shared" si="18"/>
        <v>#VALUE!</v>
      </c>
      <c r="I142" s="289">
        <f>ROUNDUP(C142/(1-'Tabela de Produtos'!$R$1-'Tabela de Produtos'!$S$1),2)</f>
        <v>40.5</v>
      </c>
      <c r="J142" s="289">
        <f>ROUNDUP((C142+$B$7/'Tabela de Produtos'!$R$1)/(1-'Tabela de Produtos'!$R$1-'Tabela de Produtos'!$S$1),2)</f>
        <v>27313.23</v>
      </c>
      <c r="K142" s="290">
        <f t="shared" si="19"/>
        <v>-27227.329999999998</v>
      </c>
    </row>
    <row r="143" spans="1:11">
      <c r="A143" s="285" t="str">
        <f>'Tabela de Produtos'!A290</f>
        <v>PRD00289</v>
      </c>
      <c r="B143" s="285" t="str">
        <f>'Tabela de Produtos'!B290</f>
        <v>BRAZIMIL BORRACHA LIQUIDA MULTIFUNÇÃO 3,6KG BEGE</v>
      </c>
      <c r="C143" s="286">
        <f>'Tabela de Produtos'!Q290</f>
        <v>34.341999999999999</v>
      </c>
      <c r="D143" s="286">
        <f>'Tabela de Produtos'!U290*(1-'Tabela de Produtos'!$R$1-'Tabela de Produtos'!$S$1)</f>
        <v>75.591999999999999</v>
      </c>
      <c r="E143" s="286">
        <f>'Tabela de Produtos'!U290</f>
        <v>85.9</v>
      </c>
      <c r="F143" s="287">
        <f t="shared" si="16"/>
        <v>41.25</v>
      </c>
      <c r="G143" s="288">
        <f t="shared" si="17"/>
        <v>0.54569266589057042</v>
      </c>
      <c r="H143" s="286" t="e">
        <f t="shared" si="18"/>
        <v>#VALUE!</v>
      </c>
      <c r="I143" s="289">
        <f>ROUNDUP(C143/(1-'Tabela de Produtos'!$R$1-'Tabela de Produtos'!$S$1),2)</f>
        <v>39.03</v>
      </c>
      <c r="J143" s="289">
        <f>ROUNDUP((C143+$B$7/'Tabela de Produtos'!$R$1)/(1-'Tabela de Produtos'!$R$1-'Tabela de Produtos'!$S$1),2)</f>
        <v>27311.759999999998</v>
      </c>
      <c r="K143" s="290">
        <f t="shared" si="19"/>
        <v>-27225.859999999997</v>
      </c>
    </row>
    <row r="144" spans="1:11">
      <c r="A144" s="285" t="str">
        <f>'Tabela de Produtos'!A291</f>
        <v>PRD00290</v>
      </c>
      <c r="B144" s="285" t="str">
        <f>'Tabela de Produtos'!B291</f>
        <v>BRAZIMIL BORRACHA LIQUIDA MULTIFUNÇÃO 14KG BRANCO NEVE</v>
      </c>
      <c r="C144" s="286">
        <f>'Tabela de Produtos'!Q291</f>
        <v>136.16999999999999</v>
      </c>
      <c r="D144" s="286">
        <f>'Tabela de Produtos'!U291*(1-'Tabela de Produtos'!$R$1-'Tabela de Produtos'!$S$1)</f>
        <v>330.79199999999992</v>
      </c>
      <c r="E144" s="286">
        <f>'Tabela de Produtos'!U291</f>
        <v>375.9</v>
      </c>
      <c r="F144" s="287">
        <f t="shared" si="16"/>
        <v>194.62199999999993</v>
      </c>
      <c r="G144" s="288">
        <f t="shared" si="17"/>
        <v>0.58835159254153657</v>
      </c>
      <c r="H144" s="286" t="e">
        <f t="shared" si="18"/>
        <v>#VALUE!</v>
      </c>
      <c r="I144" s="289">
        <f>ROUNDUP(C144/(1-'Tabela de Produtos'!$R$1-'Tabela de Produtos'!$S$1),2)</f>
        <v>154.73999999999998</v>
      </c>
      <c r="J144" s="289">
        <f>ROUNDUP((C144+$B$7/'Tabela de Produtos'!$R$1)/(1-'Tabela de Produtos'!$R$1-'Tabela de Produtos'!$S$1),2)</f>
        <v>27427.469999999998</v>
      </c>
      <c r="K144" s="290">
        <f t="shared" si="19"/>
        <v>-27051.569999999996</v>
      </c>
    </row>
    <row r="145" spans="1:11">
      <c r="A145" s="285" t="str">
        <f>'Tabela de Produtos'!A292</f>
        <v>PRD00291</v>
      </c>
      <c r="B145" s="285" t="str">
        <f>'Tabela de Produtos'!B292</f>
        <v>BRAZIMIL BORRACHA LIQUIDA MULTIFUNÇÃO 14KG CINZA MEDIO</v>
      </c>
      <c r="C145" s="286">
        <f>'Tabela de Produtos'!Q292</f>
        <v>119.65</v>
      </c>
      <c r="D145" s="286">
        <f>'Tabela de Produtos'!U292*(1-'Tabela de Produtos'!$R$1-'Tabela de Produtos'!$S$1)</f>
        <v>330.79199999999992</v>
      </c>
      <c r="E145" s="286">
        <f>'Tabela de Produtos'!U292</f>
        <v>375.9</v>
      </c>
      <c r="F145" s="287">
        <f t="shared" si="16"/>
        <v>211.14199999999991</v>
      </c>
      <c r="G145" s="288">
        <f t="shared" si="17"/>
        <v>0.63829234080630715</v>
      </c>
      <c r="H145" s="286" t="e">
        <f t="shared" si="18"/>
        <v>#VALUE!</v>
      </c>
      <c r="I145" s="289">
        <f>ROUNDUP(C145/(1-'Tabela de Produtos'!$R$1-'Tabela de Produtos'!$S$1),2)</f>
        <v>135.97</v>
      </c>
      <c r="J145" s="289">
        <f>ROUNDUP((C145+$B$7/'Tabela de Produtos'!$R$1)/(1-'Tabela de Produtos'!$R$1-'Tabela de Produtos'!$S$1),2)</f>
        <v>27408.699999999997</v>
      </c>
      <c r="K145" s="290">
        <f t="shared" si="19"/>
        <v>-27032.799999999996</v>
      </c>
    </row>
    <row r="146" spans="1:11">
      <c r="A146" s="285" t="str">
        <f>'Tabela de Produtos'!A293</f>
        <v>PRD00292</v>
      </c>
      <c r="B146" s="285" t="str">
        <f>'Tabela de Produtos'!B293</f>
        <v>BRAZIMIL BORRACHA LIQUIDA MULTIFUNÇÃO 14KG CINZA PLATINA</v>
      </c>
      <c r="C146" s="286">
        <f>'Tabela de Produtos'!Q293</f>
        <v>20.11</v>
      </c>
      <c r="D146" s="286">
        <f>'Tabela de Produtos'!U293*(1-'Tabela de Produtos'!$R$1-'Tabela de Produtos'!$S$1)</f>
        <v>330.79199999999992</v>
      </c>
      <c r="E146" s="286">
        <f>'Tabela de Produtos'!U293</f>
        <v>375.9</v>
      </c>
      <c r="F146" s="287">
        <f t="shared" si="16"/>
        <v>310.6819999999999</v>
      </c>
      <c r="G146" s="288">
        <f t="shared" si="17"/>
        <v>0.93920651043556069</v>
      </c>
      <c r="H146" s="286" t="e">
        <f t="shared" si="18"/>
        <v>#VALUE!</v>
      </c>
      <c r="I146" s="289">
        <f>ROUNDUP(C146/(1-'Tabela de Produtos'!$R$1-'Tabela de Produtos'!$S$1),2)</f>
        <v>22.860000000000003</v>
      </c>
      <c r="J146" s="289">
        <f>ROUNDUP((C146+$B$7/'Tabela de Produtos'!$R$1)/(1-'Tabela de Produtos'!$R$1-'Tabela de Produtos'!$S$1),2)</f>
        <v>27295.579999999998</v>
      </c>
      <c r="K146" s="290">
        <f t="shared" si="19"/>
        <v>-26919.679999999997</v>
      </c>
    </row>
    <row r="147" spans="1:11">
      <c r="A147" s="285" t="str">
        <f>'Tabela de Produtos'!A294</f>
        <v>PRD00293</v>
      </c>
      <c r="B147" s="285" t="str">
        <f>'Tabela de Produtos'!B294</f>
        <v>BRAZIMIL BORRACHA LIQUIDA MULTIFUNÇÃO 14KG CERAMICA</v>
      </c>
      <c r="C147" s="286">
        <f>'Tabela de Produtos'!Q294</f>
        <v>125.53</v>
      </c>
      <c r="D147" s="286">
        <f>'Tabela de Produtos'!U294*(1-'Tabela de Produtos'!$R$1-'Tabela de Produtos'!$S$1)</f>
        <v>330.79199999999992</v>
      </c>
      <c r="E147" s="286">
        <f>'Tabela de Produtos'!U294</f>
        <v>375.9</v>
      </c>
      <c r="F147" s="287">
        <f t="shared" si="16"/>
        <v>205.26199999999992</v>
      </c>
      <c r="G147" s="288">
        <f t="shared" si="17"/>
        <v>0.62051682023749055</v>
      </c>
      <c r="H147" s="286" t="e">
        <f t="shared" si="18"/>
        <v>#VALUE!</v>
      </c>
      <c r="I147" s="289">
        <f>ROUNDUP(C147/(1-'Tabela de Produtos'!$R$1-'Tabela de Produtos'!$S$1),2)</f>
        <v>142.64999999999998</v>
      </c>
      <c r="J147" s="289">
        <f>ROUNDUP((C147+$B$7/'Tabela de Produtos'!$R$1)/(1-'Tabela de Produtos'!$R$1-'Tabela de Produtos'!$S$1),2)</f>
        <v>27415.379999999997</v>
      </c>
      <c r="K147" s="290">
        <f t="shared" si="19"/>
        <v>-27039.479999999996</v>
      </c>
    </row>
    <row r="148" spans="1:11">
      <c r="A148" s="285" t="str">
        <f>'Tabela de Produtos'!A295</f>
        <v>PRD00294</v>
      </c>
      <c r="B148" s="285" t="str">
        <f>'Tabela de Produtos'!B295</f>
        <v>BRAZIMIL BORRACHA LIQUIDA MULTIFUNÇÃO 14KG BEGE</v>
      </c>
      <c r="C148" s="286">
        <f>'Tabela de Produtos'!Q295</f>
        <v>120.49</v>
      </c>
      <c r="D148" s="286">
        <f>'Tabela de Produtos'!U295*(1-'Tabela de Produtos'!$R$1-'Tabela de Produtos'!$S$1)</f>
        <v>330.79199999999992</v>
      </c>
      <c r="E148" s="286">
        <f>'Tabela de Produtos'!U295</f>
        <v>375.9</v>
      </c>
      <c r="F148" s="287">
        <f t="shared" si="16"/>
        <v>210.30199999999991</v>
      </c>
      <c r="G148" s="288">
        <f t="shared" si="17"/>
        <v>0.6357529807250476</v>
      </c>
      <c r="H148" s="286" t="e">
        <f t="shared" si="18"/>
        <v>#VALUE!</v>
      </c>
      <c r="I148" s="289">
        <f>ROUNDUP(C148/(1-'Tabela de Produtos'!$R$1-'Tabela de Produtos'!$S$1),2)</f>
        <v>136.92999999999998</v>
      </c>
      <c r="J148" s="289">
        <f>ROUNDUP((C148+$B$7/'Tabela de Produtos'!$R$1)/(1-'Tabela de Produtos'!$R$1-'Tabela de Produtos'!$S$1),2)</f>
        <v>27409.649999999998</v>
      </c>
      <c r="K148" s="290">
        <f t="shared" si="19"/>
        <v>-27033.749999999996</v>
      </c>
    </row>
    <row r="149" spans="1:11">
      <c r="A149" s="285" t="str">
        <f>'Tabela de Produtos'!A344</f>
        <v>PRD00343</v>
      </c>
      <c r="B149" s="285" t="str">
        <f>'Tabela de Produtos'!B344</f>
        <v>BRAZIMIL ESMALTE SINTETICO BRILHANTE MADEIRAS E METAIS 0,75L BRANCO</v>
      </c>
      <c r="C149" s="286">
        <f>'Tabela de Produtos'!Q344</f>
        <v>13.9025</v>
      </c>
      <c r="D149" s="286">
        <f>'Tabela de Produtos'!U344*(1-'Tabela de Produtos'!$R$1-'Tabela de Produtos'!$S$1)</f>
        <v>21.56</v>
      </c>
      <c r="E149" s="286">
        <f>'Tabela de Produtos'!U344</f>
        <v>24.5</v>
      </c>
      <c r="F149" s="287">
        <f t="shared" si="16"/>
        <v>7.6574999999999989</v>
      </c>
      <c r="G149" s="288">
        <f t="shared" si="17"/>
        <v>0.3551716141001855</v>
      </c>
      <c r="H149" s="286" t="e">
        <f t="shared" si="18"/>
        <v>#VALUE!</v>
      </c>
      <c r="I149" s="289">
        <f>ROUNDUP(C149/(1-'Tabela de Produtos'!$R$1-'Tabela de Produtos'!$S$1),2)</f>
        <v>15.799999999999999</v>
      </c>
      <c r="J149" s="289">
        <f>ROUNDUP((C149+$B$7/'Tabela de Produtos'!$R$1)/(1-'Tabela de Produtos'!$R$1-'Tabela de Produtos'!$S$1),2)</f>
        <v>27288.53</v>
      </c>
      <c r="K149" s="290">
        <f t="shared" si="19"/>
        <v>-27264.03</v>
      </c>
    </row>
    <row r="150" spans="1:11">
      <c r="A150" s="285" t="str">
        <f>'Tabela de Produtos'!A346</f>
        <v>PRD00345</v>
      </c>
      <c r="B150" s="285" t="str">
        <f>'Tabela de Produtos'!B346</f>
        <v>BRAZIMIL ESMALTE SINTETICO BRILHANTE MADEIRAS E METAIS 0,75L VERMELHO FERRARI</v>
      </c>
      <c r="C150" s="286">
        <f>'Tabela de Produtos'!Q346</f>
        <v>13.662499999999998</v>
      </c>
      <c r="D150" s="286">
        <f>'Tabela de Produtos'!U346*(1-'Tabela de Produtos'!$R$1-'Tabela de Produtos'!$S$1)</f>
        <v>21.56</v>
      </c>
      <c r="E150" s="286">
        <f>'Tabela de Produtos'!U346</f>
        <v>24.5</v>
      </c>
      <c r="F150" s="287">
        <f t="shared" si="16"/>
        <v>7.8975000000000009</v>
      </c>
      <c r="G150" s="288">
        <f t="shared" si="17"/>
        <v>0.36630333951762528</v>
      </c>
      <c r="H150" s="286" t="e">
        <f t="shared" si="18"/>
        <v>#VALUE!</v>
      </c>
      <c r="I150" s="289">
        <f>ROUNDUP(C150/(1-'Tabela de Produtos'!$R$1-'Tabela de Produtos'!$S$1),2)</f>
        <v>15.53</v>
      </c>
      <c r="J150" s="289">
        <f>ROUNDUP((C150+$B$7/'Tabela de Produtos'!$R$1)/(1-'Tabela de Produtos'!$R$1-'Tabela de Produtos'!$S$1),2)</f>
        <v>27288.26</v>
      </c>
      <c r="K150" s="290">
        <f t="shared" si="19"/>
        <v>-27263.759999999998</v>
      </c>
    </row>
    <row r="151" spans="1:11">
      <c r="A151" s="285" t="str">
        <f>'Tabela de Produtos'!A347</f>
        <v>PRD00346</v>
      </c>
      <c r="B151" s="285" t="str">
        <f>'Tabela de Produtos'!B347</f>
        <v>BRAZIMIL ESMALTE SINTETICO BRILHANTE MADEIRAS E METAIS 0,75L AZUL DEL REY</v>
      </c>
      <c r="C151" s="286">
        <f>'Tabela de Produtos'!Q347</f>
        <v>12.477499999999999</v>
      </c>
      <c r="D151" s="286">
        <f>'Tabela de Produtos'!U347*(1-'Tabela de Produtos'!$R$1-'Tabela de Produtos'!$S$1)</f>
        <v>21.56</v>
      </c>
      <c r="E151" s="286">
        <f>'Tabela de Produtos'!U347</f>
        <v>24.5</v>
      </c>
      <c r="F151" s="287">
        <f t="shared" si="16"/>
        <v>9.0824999999999996</v>
      </c>
      <c r="G151" s="288">
        <f t="shared" si="17"/>
        <v>0.42126623376623379</v>
      </c>
      <c r="H151" s="286" t="e">
        <f t="shared" si="18"/>
        <v>#VALUE!</v>
      </c>
      <c r="I151" s="289">
        <f>ROUNDUP(C151/(1-'Tabela de Produtos'!$R$1-'Tabela de Produtos'!$S$1),2)</f>
        <v>14.18</v>
      </c>
      <c r="J151" s="289">
        <f>ROUNDUP((C151+$B$7/'Tabela de Produtos'!$R$1)/(1-'Tabela de Produtos'!$R$1-'Tabela de Produtos'!$S$1),2)</f>
        <v>27286.91</v>
      </c>
      <c r="K151" s="290">
        <f t="shared" si="19"/>
        <v>-27262.41</v>
      </c>
    </row>
    <row r="152" spans="1:11">
      <c r="A152" s="285" t="str">
        <f>'Tabela de Produtos'!A348</f>
        <v>PRD00347</v>
      </c>
      <c r="B152" s="285" t="str">
        <f>'Tabela de Produtos'!B348</f>
        <v>BRAZIMIL ESMALTE SINTETICO BRILHANTE MADEIRAS E METAIS 0,75L PRETO</v>
      </c>
      <c r="C152" s="286">
        <f>'Tabela de Produtos'!Q348</f>
        <v>12.125000000000002</v>
      </c>
      <c r="D152" s="286">
        <f>'Tabela de Produtos'!U348*(1-'Tabela de Produtos'!$R$1-'Tabela de Produtos'!$S$1)</f>
        <v>21.56</v>
      </c>
      <c r="E152" s="286">
        <f>'Tabela de Produtos'!U348</f>
        <v>24.5</v>
      </c>
      <c r="F152" s="287">
        <f t="shared" si="16"/>
        <v>9.4349999999999969</v>
      </c>
      <c r="G152" s="288">
        <f t="shared" si="17"/>
        <v>0.43761595547309823</v>
      </c>
      <c r="H152" s="286" t="e">
        <f t="shared" si="18"/>
        <v>#VALUE!</v>
      </c>
      <c r="I152" s="289">
        <f>ROUNDUP(C152/(1-'Tabela de Produtos'!$R$1-'Tabela de Produtos'!$S$1),2)</f>
        <v>13.78</v>
      </c>
      <c r="J152" s="289">
        <f>ROUNDUP((C152+$B$7/'Tabela de Produtos'!$R$1)/(1-'Tabela de Produtos'!$R$1-'Tabela de Produtos'!$S$1),2)</f>
        <v>27286.51</v>
      </c>
      <c r="K152" s="290">
        <f t="shared" si="19"/>
        <v>-27262.01</v>
      </c>
    </row>
    <row r="153" spans="1:11">
      <c r="A153" s="285" t="str">
        <f>'Tabela de Produtos'!A349</f>
        <v>PRD00348</v>
      </c>
      <c r="B153" s="285" t="str">
        <f>'Tabela de Produtos'!B349</f>
        <v>BRAZIMIL ESMALTE SINTETICO BRILHANTE MADEIRAS E METAIS 0,75L CINZA</v>
      </c>
      <c r="C153" s="286">
        <f>'Tabela de Produtos'!Q349</f>
        <v>12.379999999999997</v>
      </c>
      <c r="D153" s="286">
        <f>'Tabela de Produtos'!U349*(1-'Tabela de Produtos'!$R$1-'Tabela de Produtos'!$S$1)</f>
        <v>21.56</v>
      </c>
      <c r="E153" s="286">
        <f>'Tabela de Produtos'!U349</f>
        <v>24.5</v>
      </c>
      <c r="F153" s="287">
        <f t="shared" si="16"/>
        <v>9.1800000000000015</v>
      </c>
      <c r="G153" s="288">
        <f t="shared" si="17"/>
        <v>0.42578849721706874</v>
      </c>
      <c r="H153" s="286" t="e">
        <f t="shared" si="18"/>
        <v>#VALUE!</v>
      </c>
      <c r="I153" s="289">
        <f>ROUNDUP(C153/(1-'Tabela de Produtos'!$R$1-'Tabela de Produtos'!$S$1),2)</f>
        <v>14.07</v>
      </c>
      <c r="J153" s="289">
        <f>ROUNDUP((C153+$B$7/'Tabela de Produtos'!$R$1)/(1-'Tabela de Produtos'!$R$1-'Tabela de Produtos'!$S$1),2)</f>
        <v>27286.799999999999</v>
      </c>
      <c r="K153" s="290">
        <f t="shared" si="19"/>
        <v>-27262.3</v>
      </c>
    </row>
    <row r="154" spans="1:11">
      <c r="A154" s="285" t="str">
        <f>'Tabela de Produtos'!A354</f>
        <v>PRD00353</v>
      </c>
      <c r="B154" s="285" t="str">
        <f>'Tabela de Produtos'!B354</f>
        <v>BRAZIMIL ESMALTE SINTETICO BRILHANTE MADEIRAS E METAIS 0,75L VERDE FOLHA</v>
      </c>
      <c r="C154" s="286">
        <f>'Tabela de Produtos'!Q354</f>
        <v>12.6425</v>
      </c>
      <c r="D154" s="286">
        <f>'Tabela de Produtos'!U354*(1-'Tabela de Produtos'!$R$1-'Tabela de Produtos'!$S$1)</f>
        <v>21.56</v>
      </c>
      <c r="E154" s="286">
        <f>'Tabela de Produtos'!U354</f>
        <v>24.5</v>
      </c>
      <c r="F154" s="287">
        <f t="shared" si="16"/>
        <v>8.9174999999999986</v>
      </c>
      <c r="G154" s="288">
        <f t="shared" si="17"/>
        <v>0.41361317254174396</v>
      </c>
      <c r="H154" s="286" t="e">
        <f t="shared" si="18"/>
        <v>#VALUE!</v>
      </c>
      <c r="I154" s="289">
        <f>ROUNDUP(C154/(1-'Tabela de Produtos'!$R$1-'Tabela de Produtos'!$S$1),2)</f>
        <v>14.37</v>
      </c>
      <c r="J154" s="289">
        <f>ROUNDUP((C154+$B$7/'Tabela de Produtos'!$R$1)/(1-'Tabela de Produtos'!$R$1-'Tabela de Produtos'!$S$1),2)</f>
        <v>27287.1</v>
      </c>
      <c r="K154" s="290">
        <f t="shared" si="19"/>
        <v>-27262.6</v>
      </c>
    </row>
    <row r="155" spans="1:11">
      <c r="A155" s="285" t="str">
        <f>'Tabela de Produtos'!A355</f>
        <v>PRD00354</v>
      </c>
      <c r="B155" s="285" t="str">
        <f>'Tabela de Produtos'!B355</f>
        <v>BRAZIMIL ESMALTE SINTETICO BRILHANTE MADEIRAS E METAIS 0,75L AMARELO OURO</v>
      </c>
      <c r="C155" s="286">
        <f>'Tabela de Produtos'!Q355</f>
        <v>12.680000000000001</v>
      </c>
      <c r="D155" s="286">
        <f>'Tabela de Produtos'!U355*(1-'Tabela de Produtos'!$R$1-'Tabela de Produtos'!$S$1)</f>
        <v>21.56</v>
      </c>
      <c r="E155" s="286">
        <f>'Tabela de Produtos'!U355</f>
        <v>24.5</v>
      </c>
      <c r="F155" s="287">
        <f t="shared" si="16"/>
        <v>8.8799999999999972</v>
      </c>
      <c r="G155" s="288">
        <f t="shared" si="17"/>
        <v>0.41187384044526892</v>
      </c>
      <c r="H155" s="286" t="e">
        <f t="shared" si="18"/>
        <v>#VALUE!</v>
      </c>
      <c r="I155" s="289">
        <f>ROUNDUP(C155/(1-'Tabela de Produtos'!$R$1-'Tabela de Produtos'!$S$1),2)</f>
        <v>14.41</v>
      </c>
      <c r="J155" s="289">
        <f>ROUNDUP((C155+$B$7/'Tabela de Produtos'!$R$1)/(1-'Tabela de Produtos'!$R$1-'Tabela de Produtos'!$S$1),2)</f>
        <v>27287.14</v>
      </c>
      <c r="K155" s="290">
        <f t="shared" si="19"/>
        <v>-27262.639999999999</v>
      </c>
    </row>
    <row r="156" spans="1:11">
      <c r="A156" s="285" t="str">
        <f>'Tabela de Produtos'!A368</f>
        <v>PRD00367</v>
      </c>
      <c r="B156" s="285" t="str">
        <f>'Tabela de Produtos'!B368</f>
        <v>BRAZIMIL ESMALTE SINTETICO BRILHANTE MADEIRAS E METAIS 3L BRANCO</v>
      </c>
      <c r="C156" s="286">
        <f>'Tabela de Produtos'!Q368</f>
        <v>46.42</v>
      </c>
      <c r="D156" s="286">
        <f>'Tabela de Produtos'!U368*(1-'Tabela de Produtos'!$R$1-'Tabela de Produtos'!$S$1)</f>
        <v>59.751999999999995</v>
      </c>
      <c r="E156" s="286">
        <f>'Tabela de Produtos'!U368</f>
        <v>67.900000000000006</v>
      </c>
      <c r="F156" s="287">
        <f t="shared" si="16"/>
        <v>13.331999999999994</v>
      </c>
      <c r="G156" s="288">
        <f t="shared" si="17"/>
        <v>0.22312223858615601</v>
      </c>
      <c r="H156" s="286" t="e">
        <f t="shared" si="18"/>
        <v>#VALUE!</v>
      </c>
      <c r="I156" s="289">
        <f>ROUNDUP(C156/(1-'Tabela de Produtos'!$R$1-'Tabela de Produtos'!$S$1),2)</f>
        <v>52.75</v>
      </c>
      <c r="J156" s="289">
        <f>ROUNDUP((C156+$B$7/'Tabela de Produtos'!$R$1)/(1-'Tabela de Produtos'!$R$1-'Tabela de Produtos'!$S$1),2)</f>
        <v>27325.48</v>
      </c>
      <c r="K156" s="290">
        <f t="shared" si="19"/>
        <v>-27257.579999999998</v>
      </c>
    </row>
    <row r="157" spans="1:11">
      <c r="A157" s="285" t="str">
        <f>'Tabela de Produtos'!A370</f>
        <v>PRD00369</v>
      </c>
      <c r="B157" s="285" t="str">
        <f>'Tabela de Produtos'!B370</f>
        <v>BRAZIMIL ESMALTE SINTETICO BRILHANTE MADEIRAS E METAIS 3L VERMELHO FERRARI</v>
      </c>
      <c r="C157" s="286">
        <f>'Tabela de Produtos'!Q370</f>
        <v>45.459999999999994</v>
      </c>
      <c r="D157" s="286">
        <f>'Tabela de Produtos'!U370*(1-'Tabela de Produtos'!$R$1-'Tabela de Produtos'!$S$1)</f>
        <v>59.751999999999995</v>
      </c>
      <c r="E157" s="286">
        <f>'Tabela de Produtos'!U370</f>
        <v>67.900000000000006</v>
      </c>
      <c r="F157" s="287">
        <f t="shared" si="16"/>
        <v>14.292000000000002</v>
      </c>
      <c r="G157" s="288">
        <f t="shared" si="17"/>
        <v>0.23918864640514129</v>
      </c>
      <c r="H157" s="286" t="e">
        <f t="shared" si="18"/>
        <v>#VALUE!</v>
      </c>
      <c r="I157" s="289">
        <f>ROUNDUP(C157/(1-'Tabela de Produtos'!$R$1-'Tabela de Produtos'!$S$1),2)</f>
        <v>51.66</v>
      </c>
      <c r="J157" s="289">
        <f>ROUNDUP((C157+$B$7/'Tabela de Produtos'!$R$1)/(1-'Tabela de Produtos'!$R$1-'Tabela de Produtos'!$S$1),2)</f>
        <v>27324.39</v>
      </c>
      <c r="K157" s="290">
        <f t="shared" si="19"/>
        <v>-27256.489999999998</v>
      </c>
    </row>
    <row r="158" spans="1:11">
      <c r="A158" s="285" t="str">
        <f>'Tabela de Produtos'!A371</f>
        <v>PRD00370</v>
      </c>
      <c r="B158" s="285" t="str">
        <f>'Tabela de Produtos'!B371</f>
        <v>BRAZIMIL ESMALTE SINTETICO BRILHANTE MADEIRAS E METAIS 3L AZUL DEL REY</v>
      </c>
      <c r="C158" s="286">
        <f>'Tabela de Produtos'!Q371</f>
        <v>40.72</v>
      </c>
      <c r="D158" s="286">
        <f>'Tabela de Produtos'!U371*(1-'Tabela de Produtos'!$R$1-'Tabela de Produtos'!$S$1)</f>
        <v>59.751999999999995</v>
      </c>
      <c r="E158" s="286">
        <f>'Tabela de Produtos'!U371</f>
        <v>67.900000000000006</v>
      </c>
      <c r="F158" s="287">
        <f t="shared" si="16"/>
        <v>19.031999999999996</v>
      </c>
      <c r="G158" s="288">
        <f t="shared" si="17"/>
        <v>0.31851653501138033</v>
      </c>
      <c r="H158" s="286" t="e">
        <f t="shared" si="18"/>
        <v>#VALUE!</v>
      </c>
      <c r="I158" s="289">
        <f>ROUNDUP(C158/(1-'Tabela de Produtos'!$R$1-'Tabela de Produtos'!$S$1),2)</f>
        <v>46.28</v>
      </c>
      <c r="J158" s="289">
        <f>ROUNDUP((C158+$B$7/'Tabela de Produtos'!$R$1)/(1-'Tabela de Produtos'!$R$1-'Tabela de Produtos'!$S$1),2)</f>
        <v>27319</v>
      </c>
      <c r="K158" s="290">
        <f t="shared" si="19"/>
        <v>-27251.1</v>
      </c>
    </row>
    <row r="159" spans="1:11">
      <c r="A159" s="285" t="str">
        <f>'Tabela de Produtos'!A372</f>
        <v>PRD00371</v>
      </c>
      <c r="B159" s="285" t="str">
        <f>'Tabela de Produtos'!B372</f>
        <v>BRAZIMIL ESMALTE SINTETICO BRILHANTE MADEIRAS E METAIS 3L PRETO</v>
      </c>
      <c r="C159" s="286">
        <f>'Tabela de Produtos'!Q372</f>
        <v>39.310000000000009</v>
      </c>
      <c r="D159" s="286">
        <f>'Tabela de Produtos'!U372*(1-'Tabela de Produtos'!$R$1-'Tabela de Produtos'!$S$1)</f>
        <v>59.751999999999995</v>
      </c>
      <c r="E159" s="286">
        <f>'Tabela de Produtos'!U372</f>
        <v>67.900000000000006</v>
      </c>
      <c r="F159" s="287">
        <f t="shared" si="16"/>
        <v>20.441999999999986</v>
      </c>
      <c r="G159" s="288">
        <f t="shared" si="17"/>
        <v>0.34211407149551459</v>
      </c>
      <c r="H159" s="286" t="e">
        <f t="shared" si="18"/>
        <v>#VALUE!</v>
      </c>
      <c r="I159" s="289">
        <f>ROUNDUP(C159/(1-'Tabela de Produtos'!$R$1-'Tabela de Produtos'!$S$1),2)</f>
        <v>44.68</v>
      </c>
      <c r="J159" s="289">
        <f>ROUNDUP((C159+$B$7/'Tabela de Produtos'!$R$1)/(1-'Tabela de Produtos'!$R$1-'Tabela de Produtos'!$S$1),2)</f>
        <v>27317.399999999998</v>
      </c>
      <c r="K159" s="290">
        <f t="shared" si="19"/>
        <v>-27249.499999999996</v>
      </c>
    </row>
    <row r="160" spans="1:11">
      <c r="A160" s="285" t="str">
        <f>'Tabela de Produtos'!A373</f>
        <v>PRD00372</v>
      </c>
      <c r="B160" s="285" t="str">
        <f>'Tabela de Produtos'!B373</f>
        <v>BRAZIMIL ESMALTE SINTETICO BRILHANTE MADEIRAS E METAIS 3L CINZA</v>
      </c>
      <c r="C160" s="286">
        <f>'Tabela de Produtos'!Q373</f>
        <v>40.329999999999991</v>
      </c>
      <c r="D160" s="286">
        <f>'Tabela de Produtos'!U373*(1-'Tabela de Produtos'!$R$1-'Tabela de Produtos'!$S$1)</f>
        <v>59.751999999999995</v>
      </c>
      <c r="E160" s="286">
        <f>'Tabela de Produtos'!U373</f>
        <v>67.900000000000006</v>
      </c>
      <c r="F160" s="287">
        <f t="shared" si="16"/>
        <v>19.422000000000004</v>
      </c>
      <c r="G160" s="288">
        <f t="shared" si="17"/>
        <v>0.32504351318784319</v>
      </c>
      <c r="H160" s="286" t="e">
        <f t="shared" si="18"/>
        <v>#VALUE!</v>
      </c>
      <c r="I160" s="289">
        <f>ROUNDUP(C160/(1-'Tabela de Produtos'!$R$1-'Tabela de Produtos'!$S$1),2)</f>
        <v>45.83</v>
      </c>
      <c r="J160" s="289">
        <f>ROUNDUP((C160+$B$7/'Tabela de Produtos'!$R$1)/(1-'Tabela de Produtos'!$R$1-'Tabela de Produtos'!$S$1),2)</f>
        <v>27318.559999999998</v>
      </c>
      <c r="K160" s="290">
        <f t="shared" si="19"/>
        <v>-27250.659999999996</v>
      </c>
    </row>
    <row r="161" spans="1:11">
      <c r="A161" s="285" t="str">
        <f>'Tabela de Produtos'!A378</f>
        <v>PRD00377</v>
      </c>
      <c r="B161" s="285" t="str">
        <f>'Tabela de Produtos'!B378</f>
        <v>BRAZIMIL ESMALTE SINTETICO BRILHANTE MADEIRAS E METAIS 3L VERDE FOLHA</v>
      </c>
      <c r="C161" s="286">
        <f>'Tabela de Produtos'!Q378</f>
        <v>41.38</v>
      </c>
      <c r="D161" s="286">
        <f>'Tabela de Produtos'!U378*(1-'Tabela de Produtos'!$R$1-'Tabela de Produtos'!$S$1)</f>
        <v>59.751999999999995</v>
      </c>
      <c r="E161" s="286">
        <f>'Tabela de Produtos'!U378</f>
        <v>67.900000000000006</v>
      </c>
      <c r="F161" s="287">
        <f t="shared" si="16"/>
        <v>18.371999999999993</v>
      </c>
      <c r="G161" s="288">
        <f t="shared" si="17"/>
        <v>0.30747087963582798</v>
      </c>
      <c r="H161" s="286" t="e">
        <f t="shared" si="18"/>
        <v>#VALUE!</v>
      </c>
      <c r="I161" s="289">
        <f>ROUNDUP(C161/(1-'Tabela de Produtos'!$R$1-'Tabela de Produtos'!$S$1),2)</f>
        <v>47.03</v>
      </c>
      <c r="J161" s="289">
        <f>ROUNDUP((C161+$B$7/'Tabela de Produtos'!$R$1)/(1-'Tabela de Produtos'!$R$1-'Tabela de Produtos'!$S$1),2)</f>
        <v>27319.75</v>
      </c>
      <c r="K161" s="290">
        <f t="shared" si="19"/>
        <v>-27251.85</v>
      </c>
    </row>
    <row r="162" spans="1:11">
      <c r="A162" s="285" t="str">
        <f>'Tabela de Produtos'!A379</f>
        <v>PRD00378</v>
      </c>
      <c r="B162" s="285" t="str">
        <f>'Tabela de Produtos'!B379</f>
        <v>BRAZIMIL ESMALTE SINTETICO BRILHANTE MADEIRAS E METAIS 3L AMARELO OURO</v>
      </c>
      <c r="C162" s="286">
        <f>'Tabela de Produtos'!Q379</f>
        <v>41.530000000000008</v>
      </c>
      <c r="D162" s="286">
        <f>'Tabela de Produtos'!U379*(1-'Tabela de Produtos'!$R$1-'Tabela de Produtos'!$S$1)</f>
        <v>59.751999999999995</v>
      </c>
      <c r="E162" s="286">
        <f>'Tabela de Produtos'!U379</f>
        <v>67.900000000000006</v>
      </c>
      <c r="F162" s="287">
        <f t="shared" si="16"/>
        <v>18.221999999999987</v>
      </c>
      <c r="G162" s="288">
        <f t="shared" si="17"/>
        <v>0.30496050341411146</v>
      </c>
      <c r="H162" s="286" t="e">
        <f t="shared" si="18"/>
        <v>#VALUE!</v>
      </c>
      <c r="I162" s="289">
        <f>ROUNDUP(C162/(1-'Tabela de Produtos'!$R$1-'Tabela de Produtos'!$S$1),2)</f>
        <v>47.199999999999996</v>
      </c>
      <c r="J162" s="289">
        <f>ROUNDUP((C162+$B$7/'Tabela de Produtos'!$R$1)/(1-'Tabela de Produtos'!$R$1-'Tabela de Produtos'!$S$1),2)</f>
        <v>27319.929999999997</v>
      </c>
      <c r="K162" s="290">
        <f t="shared" si="19"/>
        <v>-27252.029999999995</v>
      </c>
    </row>
    <row r="163" spans="1:11">
      <c r="A163" s="310" t="s">
        <v>1775</v>
      </c>
      <c r="B163" s="310"/>
      <c r="G163" s="291">
        <f>AVERAGE(G12:G162)</f>
        <v>0.43961347935738299</v>
      </c>
      <c r="K163" s="292">
        <f>AVERAGE(K12:K162)</f>
        <v>-27237.984370860915</v>
      </c>
    </row>
  </sheetData>
  <mergeCells count="3">
    <mergeCell ref="A1:K1"/>
    <mergeCell ref="A3:K3"/>
    <mergeCell ref="A163:B16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2</vt:i4>
      </vt:variant>
    </vt:vector>
  </HeadingPairs>
  <TitlesOfParts>
    <vt:vector size="19" baseType="lpstr">
      <vt:lpstr>Formação de Preço de Venda</vt:lpstr>
      <vt:lpstr>Grfico</vt:lpstr>
      <vt:lpstr>Tabela de Produtos</vt:lpstr>
      <vt:lpstr>Simulador Resultados</vt:lpstr>
      <vt:lpstr>Tabela Simplificada</vt:lpstr>
      <vt:lpstr>Ficha de Produção</vt:lpstr>
      <vt:lpstr>Ficha de Embalagens</vt:lpstr>
      <vt:lpstr>Custos Matéria Prima Embalagens</vt:lpstr>
      <vt:lpstr>Despesas Fixas</vt:lpstr>
      <vt:lpstr>Custos de Produção</vt:lpstr>
      <vt:lpstr>Salários</vt:lpstr>
      <vt:lpstr>Despesas Não Fabris</vt:lpstr>
      <vt:lpstr>Depreciações</vt:lpstr>
      <vt:lpstr>Ficha de Insumos</vt:lpstr>
      <vt:lpstr>De-Para</vt:lpstr>
      <vt:lpstr>Concorrência</vt:lpstr>
      <vt:lpstr>Análise CF Correto</vt:lpstr>
      <vt:lpstr>'Formação de Preço de Venda'!solver_adj</vt:lpstr>
      <vt:lpstr>'Formação de Preço de Venda'!solver_opt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Alves</dc:creator>
  <dc:description/>
  <cp:lastModifiedBy>Mitsuo Matsui</cp:lastModifiedBy>
  <cp:revision>0</cp:revision>
  <dcterms:created xsi:type="dcterms:W3CDTF">2025-06-14T17:47:45Z</dcterms:created>
  <dcterms:modified xsi:type="dcterms:W3CDTF">2026-05-25T00:44:47Z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0812beb3-14bf-4814-9a63-839512dd339b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2025-06-14T17:49:25Z</vt:lpwstr>
  </property>
  <property fmtid="{D5CDD505-2E9C-101B-9397-08002B2CF9AE}" pid="8" name="MSIP_Label_defa4170-0d19-0005-0004-bc88714345d2_SiteId">
    <vt:lpwstr>12638fd3-2d76-4387-8270-97790a02c067</vt:lpwstr>
  </property>
  <property fmtid="{D5CDD505-2E9C-101B-9397-08002B2CF9AE}" pid="9" name="MSIP_Label_defa4170-0d19-0005-0004-bc88714345d2_Tag">
    <vt:lpwstr>10, 3, 0, 1</vt:lpwstr>
  </property>
</Properties>
</file>