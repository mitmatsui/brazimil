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Tabela de Produtos" sheetId="2" state="visible" r:id="rId2"/>
    <sheet name="Alertas — Críticos" sheetId="3" state="visible" r:id="rId3"/>
    <sheet name="Simulador de Preç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.00"/>
    <numFmt numFmtId="166" formatCode="#,##0.00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27500A"/>
      <sz val="10"/>
    </font>
    <font>
      <name val="Arial"/>
      <b val="1"/>
      <color rgb="00FFFFFF"/>
      <sz val="14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633806"/>
      <sz val="10"/>
    </font>
    <font>
      <name val="Arial"/>
      <b val="1"/>
      <color rgb="00791F1F"/>
      <sz val="10"/>
    </font>
    <font>
      <name val="Arial"/>
      <b val="1"/>
      <color rgb="00FFFFFF"/>
      <sz val="13"/>
    </font>
    <font>
      <name val="Arial"/>
      <color rgb="00791F1F"/>
      <sz val="10"/>
    </font>
    <font>
      <name val="Arial"/>
      <color rgb="00633806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0000FF"/>
      <sz val="11"/>
    </font>
    <font>
      <name val="Arial"/>
      <color rgb="00333333"/>
      <sz val="11"/>
    </font>
    <font>
      <name val="Arial"/>
      <b val="1"/>
      <sz val="11"/>
    </font>
    <font>
      <name val="Arial"/>
      <i val="1"/>
      <color rgb="00888888"/>
      <sz val="10"/>
    </font>
    <font>
      <name val="Arial"/>
      <i val="1"/>
      <color rgb="000000FF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9C000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5" fontId="10" fillId="5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165" fontId="12" fillId="10" borderId="1" applyAlignment="1" pivotButton="0" quotePrefix="0" xfId="0">
      <alignment horizontal="right" vertical="center"/>
    </xf>
    <xf numFmtId="164" fontId="12" fillId="10" borderId="1" applyAlignment="1" pivotButton="0" quotePrefix="0" xfId="0">
      <alignment horizontal="right" vertical="center"/>
    </xf>
    <xf numFmtId="0" fontId="13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165" fontId="14" fillId="10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right" vertical="center"/>
    </xf>
    <xf numFmtId="0" fontId="15" fillId="9" borderId="1" applyAlignment="1" pivotButton="0" quotePrefix="0" xfId="0">
      <alignment horizontal="left" vertical="center"/>
    </xf>
    <xf numFmtId="165" fontId="15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165" fontId="17" fillId="12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right" vertical="center"/>
    </xf>
    <xf numFmtId="165" fontId="16" fillId="1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18" fillId="7" borderId="2" applyAlignment="1" pivotButton="0" quotePrefix="0" xfId="0">
      <alignment horizontal="right" vertical="center"/>
    </xf>
    <xf numFmtId="0" fontId="21" fillId="0" borderId="0" pivotButton="0" quotePrefix="0" xfId="0"/>
    <xf numFmtId="165" fontId="18" fillId="7" borderId="2" applyAlignment="1" pivotButton="0" quotePrefix="0" xfId="0">
      <alignment horizontal="right" vertical="center"/>
    </xf>
    <xf numFmtId="0" fontId="22" fillId="0" borderId="0" pivotButton="0" quotePrefix="0" xfId="0"/>
    <xf numFmtId="166" fontId="18" fillId="7" borderId="2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165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BRAZIMIL — RELATÓRIO DE PRECIFICAÇÃO</t>
        </is>
      </c>
    </row>
    <row r="2" ht="18" customHeight="1">
      <c r="A2" s="2" t="inlineStr">
        <is>
          <t>Gerado em 19/04/2026 12:06  ·  Região: Manaus CIF (7%)  ·  Comissão: 5%  ·  Frete: R$ 100/ton</t>
        </is>
      </c>
    </row>
    <row r="4" ht="18" customHeight="1">
      <c r="A4" s="3" t="inlineStr">
        <is>
          <t>INDICADORES POR CATEGORIA</t>
        </is>
      </c>
    </row>
    <row r="5">
      <c r="A5" s="4" t="inlineStr">
        <is>
          <t>Categoria</t>
        </is>
      </c>
      <c r="B5" s="4" t="inlineStr">
        <is>
          <t>SKUs</t>
        </is>
      </c>
      <c r="C5" s="4" t="inlineStr">
        <is>
          <t>MC Média (%)</t>
        </is>
      </c>
      <c r="D5" s="4" t="inlineStr">
        <is>
          <t>Saudáveis ≥35%</t>
        </is>
      </c>
      <c r="E5" s="4" t="inlineStr">
        <is>
          <t>Atenção 20–35%</t>
        </is>
      </c>
      <c r="F5" s="4" t="inlineStr">
        <is>
          <t>Prejuízo</t>
        </is>
      </c>
      <c r="G5" s="4" t="inlineStr">
        <is>
          <t>MC Mín. (%)</t>
        </is>
      </c>
      <c r="H5" s="4" t="inlineStr">
        <is>
          <t>MC Máx. (%)</t>
        </is>
      </c>
    </row>
    <row r="6">
      <c r="A6" s="5" t="inlineStr">
        <is>
          <t>Tinta Base Água</t>
        </is>
      </c>
      <c r="B6" s="6" t="n">
        <v>24</v>
      </c>
      <c r="C6" s="7" t="n">
        <v>0.4303041666666667</v>
      </c>
      <c r="D6" s="6" t="n">
        <v>18</v>
      </c>
      <c r="E6" s="6" t="n">
        <v>4</v>
      </c>
      <c r="F6" s="6" t="n">
        <v>1</v>
      </c>
      <c r="G6" s="6" t="n">
        <v>-3.4</v>
      </c>
      <c r="H6" s="6" t="n">
        <v>68.40000000000001</v>
      </c>
    </row>
    <row r="7">
      <c r="A7" s="8" t="inlineStr">
        <is>
          <t>Tinta Base Solvente</t>
        </is>
      </c>
      <c r="B7" s="9" t="n">
        <v>22</v>
      </c>
      <c r="C7" s="10" t="n">
        <v>0.3681636363636362</v>
      </c>
      <c r="D7" s="9" t="n">
        <v>11</v>
      </c>
      <c r="E7" s="9" t="n">
        <v>11</v>
      </c>
      <c r="F7" s="9" t="n">
        <v>0</v>
      </c>
      <c r="G7" s="9" t="n">
        <v>20.7</v>
      </c>
      <c r="H7" s="9" t="n">
        <v>52.1</v>
      </c>
    </row>
    <row r="8">
      <c r="A8" s="5" t="inlineStr">
        <is>
          <t>Massas e Texturas</t>
        </is>
      </c>
      <c r="B8" s="6" t="n">
        <v>8</v>
      </c>
      <c r="C8" s="7" t="n">
        <v>0.4166250000000001</v>
      </c>
      <c r="D8" s="6" t="n">
        <v>4</v>
      </c>
      <c r="E8" s="6" t="n">
        <v>4</v>
      </c>
      <c r="F8" s="6" t="n">
        <v>0</v>
      </c>
      <c r="G8" s="6" t="n">
        <v>26.9</v>
      </c>
      <c r="H8" s="6" t="n">
        <v>74.09999999999999</v>
      </c>
    </row>
    <row r="9">
      <c r="A9" s="8" t="inlineStr">
        <is>
          <t>Complementos</t>
        </is>
      </c>
      <c r="B9" s="9" t="n">
        <v>11</v>
      </c>
      <c r="C9" s="10" t="n">
        <v>0.4212545454545454</v>
      </c>
      <c r="D9" s="9" t="n">
        <v>8</v>
      </c>
      <c r="E9" s="9" t="n">
        <v>3</v>
      </c>
      <c r="F9" s="9" t="n">
        <v>0</v>
      </c>
      <c r="G9" s="9" t="n">
        <v>20.6</v>
      </c>
      <c r="H9" s="9" t="n">
        <v>70.40000000000001</v>
      </c>
    </row>
    <row r="10">
      <c r="A10" s="11" t="inlineStr">
        <is>
          <t>TOTAL GERAL</t>
        </is>
      </c>
      <c r="B10" s="12" t="n">
        <v>65</v>
      </c>
      <c r="C10" s="12" t="inlineStr"/>
      <c r="D10" s="12" t="n">
        <v>41</v>
      </c>
      <c r="E10" s="12" t="n">
        <v>22</v>
      </c>
      <c r="F10" s="12" t="n">
        <v>1</v>
      </c>
      <c r="G10" s="12" t="inlineStr"/>
      <c r="H10" s="12" t="inlineStr"/>
    </row>
    <row r="12">
      <c r="A12" s="3" t="inlineStr">
        <is>
          <t>PARÂMETROS UTILIZADOS</t>
        </is>
      </c>
    </row>
    <row r="13">
      <c r="A13" s="13" t="inlineStr">
        <is>
          <t>Região / Tributação</t>
        </is>
      </c>
      <c r="B13" s="14" t="inlineStr">
        <is>
          <t>Manaus CIF — Lucro Presumido</t>
        </is>
      </c>
    </row>
    <row r="14">
      <c r="A14" s="13" t="inlineStr">
        <is>
          <t>ICMS + PIS + COFINS</t>
        </is>
      </c>
      <c r="B14" s="14" t="inlineStr">
        <is>
          <t>7,0% (com desoneração ZFM)</t>
        </is>
      </c>
    </row>
    <row r="15">
      <c r="A15" s="13" t="inlineStr">
        <is>
          <t>Comissão de vendas</t>
        </is>
      </c>
      <c r="B15" s="14" t="inlineStr">
        <is>
          <t>5,0%</t>
        </is>
      </c>
    </row>
    <row r="16">
      <c r="A16" s="13" t="inlineStr">
        <is>
          <t>Frete (R$/ton)</t>
        </is>
      </c>
      <c r="B16" s="14" t="inlineStr">
        <is>
          <t>R$ 100,00</t>
        </is>
      </c>
    </row>
    <row r="17">
      <c r="A17" s="13" t="inlineStr">
        <is>
          <t>MC alvo mínima</t>
        </is>
      </c>
      <c r="B17" s="14" t="inlineStr">
        <is>
          <t>25,0%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14" customWidth="1" min="8" max="8"/>
    <col width="12" customWidth="1" min="9" max="9"/>
    <col width="10" customWidth="1" min="10" max="10"/>
    <col width="32" customWidth="1" min="11" max="11"/>
  </cols>
  <sheetData>
    <row r="1" ht="28" customHeight="1">
      <c r="A1" s="15" t="inlineStr">
        <is>
          <t>BRAZIMIL — TABELA COMPLETA DE PRECIFICAÇÃO</t>
        </is>
      </c>
    </row>
    <row r="2">
      <c r="A2" s="2" t="inlineStr">
        <is>
          <t>Manaus CIF (7%)  ·  Comissão 5%  ·  Frete R$100/ton  ·  Gerado em 19/04/2026</t>
        </is>
      </c>
    </row>
    <row r="3" ht="32" customHeight="1">
      <c r="A3" s="16" t="inlineStr">
        <is>
          <t>Produto / SKU</t>
        </is>
      </c>
      <c r="B3" s="16" t="inlineStr">
        <is>
          <t>Categoria</t>
        </is>
      </c>
      <c r="C3" s="16" t="inlineStr">
        <is>
          <t>Subcategoria</t>
        </is>
      </c>
      <c r="D3" s="16" t="inlineStr">
        <is>
          <t>Preço Venda (R$)</t>
        </is>
      </c>
      <c r="E3" s="16" t="inlineStr">
        <is>
          <t>Custo Fábrica (R$)</t>
        </is>
      </c>
      <c r="F3" s="16" t="inlineStr">
        <is>
          <t>Frete (R$)</t>
        </is>
      </c>
      <c r="G3" s="16" t="inlineStr">
        <is>
          <t>Custo Var. Total (R$)</t>
        </is>
      </c>
      <c r="H3" s="16" t="inlineStr">
        <is>
          <t>PLV (R$)</t>
        </is>
      </c>
      <c r="I3" s="16" t="inlineStr">
        <is>
          <t>MC (R$)</t>
        </is>
      </c>
      <c r="J3" s="16" t="inlineStr">
        <is>
          <t>MC (%)</t>
        </is>
      </c>
      <c r="K3" s="16" t="inlineStr">
        <is>
          <t>Status  /  Preço Mín. MC 25% (R$)</t>
        </is>
      </c>
    </row>
    <row r="4" ht="16" customHeight="1">
      <c r="A4" s="17" t="inlineStr">
        <is>
          <t>COMPLEMENTOS</t>
        </is>
      </c>
    </row>
    <row r="5">
      <c r="A5" s="8" t="inlineStr">
        <is>
          <t>Borracha Liquida 14,0 Kg</t>
        </is>
      </c>
      <c r="B5" s="18" t="inlineStr">
        <is>
          <t>Complementos</t>
        </is>
      </c>
      <c r="C5" s="18" t="inlineStr">
        <is>
          <t>Borracha Líquida</t>
        </is>
      </c>
      <c r="D5" s="19" t="n">
        <v>285</v>
      </c>
      <c r="E5" s="20" t="n">
        <v>134.14</v>
      </c>
      <c r="F5" s="20" t="n">
        <v>1.7</v>
      </c>
      <c r="G5" s="20" t="n">
        <v>135.84</v>
      </c>
      <c r="H5" s="20" t="n">
        <v>250.8</v>
      </c>
      <c r="I5" s="21" t="n">
        <v>114.96</v>
      </c>
      <c r="J5" s="22" t="n">
        <v>0.4584</v>
      </c>
      <c r="K5" s="23" t="inlineStr">
        <is>
          <t>Saudável  ·  Mín: R$ 205.82</t>
        </is>
      </c>
    </row>
    <row r="6">
      <c r="A6" s="5" t="inlineStr">
        <is>
          <t>Borracha Liquida 3,6 Kg</t>
        </is>
      </c>
      <c r="B6" s="24" t="inlineStr">
        <is>
          <t>Complementos</t>
        </is>
      </c>
      <c r="C6" s="24" t="inlineStr">
        <is>
          <t>Borracha Líquida</t>
        </is>
      </c>
      <c r="D6" s="19" t="n">
        <v>86.67</v>
      </c>
      <c r="E6" s="25" t="n">
        <v>37.7</v>
      </c>
      <c r="F6" s="25" t="n">
        <v>0.4</v>
      </c>
      <c r="G6" s="25" t="n">
        <v>38.1</v>
      </c>
      <c r="H6" s="25" t="n">
        <v>76.27</v>
      </c>
      <c r="I6" s="21" t="n">
        <v>38.17</v>
      </c>
      <c r="J6" s="22" t="n">
        <v>0.5004999999999999</v>
      </c>
      <c r="K6" s="23" t="inlineStr">
        <is>
          <t>Saudável  ·  Mín: R$ 57.72</t>
        </is>
      </c>
    </row>
    <row r="7">
      <c r="A7" s="8" t="inlineStr">
        <is>
          <t>Cimento Queimado Galão</t>
        </is>
      </c>
      <c r="B7" s="18" t="inlineStr">
        <is>
          <t>Complementos</t>
        </is>
      </c>
      <c r="C7" s="18" t="inlineStr">
        <is>
          <t>Cimento Queimado</t>
        </is>
      </c>
      <c r="D7" s="19" t="n">
        <v>40</v>
      </c>
      <c r="E7" s="20" t="n">
        <v>10.09</v>
      </c>
      <c r="F7" s="20" t="n">
        <v>0.32</v>
      </c>
      <c r="G7" s="20" t="n">
        <v>10.4</v>
      </c>
      <c r="H7" s="20" t="n">
        <v>35.2</v>
      </c>
      <c r="I7" s="21" t="n">
        <v>24.8</v>
      </c>
      <c r="J7" s="22" t="n">
        <v>0.7044</v>
      </c>
      <c r="K7" s="23" t="inlineStr">
        <is>
          <t>Saudável  ·  Mín: R$ 15.76</t>
        </is>
      </c>
    </row>
    <row r="8">
      <c r="A8" s="5" t="inlineStr">
        <is>
          <t>Aguarras 0,450</t>
        </is>
      </c>
      <c r="B8" s="24" t="inlineStr">
        <is>
          <t>Complementos</t>
        </is>
      </c>
      <c r="C8" s="24" t="inlineStr">
        <is>
          <t>Cola e Solvente</t>
        </is>
      </c>
      <c r="D8" s="19" t="n">
        <v>7.8</v>
      </c>
      <c r="E8" s="25" t="n">
        <v>4.77</v>
      </c>
      <c r="F8" s="25" t="n">
        <v>0.05</v>
      </c>
      <c r="G8" s="25" t="n">
        <v>4.82</v>
      </c>
      <c r="H8" s="25" t="n">
        <v>6.86</v>
      </c>
      <c r="I8" s="26" t="n">
        <v>2.05</v>
      </c>
      <c r="J8" s="27" t="n">
        <v>0.2984</v>
      </c>
      <c r="K8" s="28" t="inlineStr">
        <is>
          <t>Atenção  ·  Mín: R$ 7.30</t>
        </is>
      </c>
    </row>
    <row r="9">
      <c r="A9" s="8" t="inlineStr">
        <is>
          <t>Aguarras 0,900</t>
        </is>
      </c>
      <c r="B9" s="18" t="inlineStr">
        <is>
          <t>Complementos</t>
        </is>
      </c>
      <c r="C9" s="18" t="inlineStr">
        <is>
          <t>Cola e Solvente</t>
        </is>
      </c>
      <c r="D9" s="19" t="n">
        <v>15</v>
      </c>
      <c r="E9" s="20" t="n">
        <v>8.699999999999999</v>
      </c>
      <c r="F9" s="20" t="n">
        <v>0.08</v>
      </c>
      <c r="G9" s="20" t="n">
        <v>8.779999999999999</v>
      </c>
      <c r="H9" s="20" t="n">
        <v>13.2</v>
      </c>
      <c r="I9" s="26" t="n">
        <v>4.42</v>
      </c>
      <c r="J9" s="27" t="n">
        <v>0.3348</v>
      </c>
      <c r="K9" s="28" t="inlineStr">
        <is>
          <t>Atenção  ·  Mín: R$ 13.30</t>
        </is>
      </c>
    </row>
    <row r="10">
      <c r="A10" s="5" t="inlineStr">
        <is>
          <t>Cola Branca 0,5Kg</t>
        </is>
      </c>
      <c r="B10" s="24" t="inlineStr">
        <is>
          <t>Complementos</t>
        </is>
      </c>
      <c r="C10" s="24" t="inlineStr">
        <is>
          <t>Cola e Solvente</t>
        </is>
      </c>
      <c r="D10" s="19" t="n">
        <v>7</v>
      </c>
      <c r="E10" s="25" t="n">
        <v>3.37</v>
      </c>
      <c r="F10" s="25" t="n">
        <v>0.05</v>
      </c>
      <c r="G10" s="25" t="n">
        <v>3.43</v>
      </c>
      <c r="H10" s="25" t="n">
        <v>6.16</v>
      </c>
      <c r="I10" s="21" t="n">
        <v>2.73</v>
      </c>
      <c r="J10" s="22" t="n">
        <v>0.444</v>
      </c>
      <c r="K10" s="23" t="inlineStr">
        <is>
          <t>Saudável  ·  Mín: R$ 5.19</t>
        </is>
      </c>
    </row>
    <row r="11">
      <c r="A11" s="8" t="inlineStr">
        <is>
          <t>Cola Branca 1,0Kg</t>
        </is>
      </c>
      <c r="B11" s="18" t="inlineStr">
        <is>
          <t>Complementos</t>
        </is>
      </c>
      <c r="C11" s="18" t="inlineStr">
        <is>
          <t>Cola e Solvente</t>
        </is>
      </c>
      <c r="D11" s="19" t="n">
        <v>11.5</v>
      </c>
      <c r="E11" s="20" t="n">
        <v>5.95</v>
      </c>
      <c r="F11" s="20" t="n">
        <v>0.1</v>
      </c>
      <c r="G11" s="20" t="n">
        <v>6.05</v>
      </c>
      <c r="H11" s="20" t="n">
        <v>10.12</v>
      </c>
      <c r="I11" s="21" t="n">
        <v>4.07</v>
      </c>
      <c r="J11" s="22" t="n">
        <v>0.4023</v>
      </c>
      <c r="K11" s="23" t="inlineStr">
        <is>
          <t>Saudável  ·  Mín: R$ 9.17</t>
        </is>
      </c>
    </row>
    <row r="12">
      <c r="A12" s="5" t="inlineStr">
        <is>
          <t>Vedamil / Manta Líquida Balde 12Kg</t>
        </is>
      </c>
      <c r="B12" s="24" t="inlineStr">
        <is>
          <t>Complementos</t>
        </is>
      </c>
      <c r="C12" s="24" t="inlineStr">
        <is>
          <t>Vedamil</t>
        </is>
      </c>
      <c r="D12" s="19" t="n">
        <v>133</v>
      </c>
      <c r="E12" s="25" t="n">
        <v>56.56</v>
      </c>
      <c r="F12" s="25" t="n">
        <v>1.29</v>
      </c>
      <c r="G12" s="25" t="n">
        <v>57.84</v>
      </c>
      <c r="H12" s="25" t="n">
        <v>117.04</v>
      </c>
      <c r="I12" s="21" t="n">
        <v>59.2</v>
      </c>
      <c r="J12" s="22" t="n">
        <v>0.5058</v>
      </c>
      <c r="K12" s="23" t="inlineStr">
        <is>
          <t>Saudável  ·  Mín: R$ 87.64</t>
        </is>
      </c>
    </row>
    <row r="13">
      <c r="A13" s="8" t="inlineStr">
        <is>
          <t>Vedamil / Manta Líquida Balde 15Kg</t>
        </is>
      </c>
      <c r="B13" s="18" t="inlineStr">
        <is>
          <t>Complementos</t>
        </is>
      </c>
      <c r="C13" s="18" t="inlineStr">
        <is>
          <t>Vedamil</t>
        </is>
      </c>
      <c r="D13" s="19" t="n">
        <v>100</v>
      </c>
      <c r="E13" s="20" t="n">
        <v>68.3</v>
      </c>
      <c r="F13" s="20" t="n">
        <v>1.58</v>
      </c>
      <c r="G13" s="20" t="n">
        <v>69.89</v>
      </c>
      <c r="H13" s="20" t="n">
        <v>88</v>
      </c>
      <c r="I13" s="26" t="n">
        <v>18.11</v>
      </c>
      <c r="J13" s="27" t="n">
        <v>0.2058</v>
      </c>
      <c r="K13" s="29" t="inlineStr">
        <is>
          <t>Atenção  ·  Mín: R$ 105.89</t>
        </is>
      </c>
    </row>
    <row r="14">
      <c r="A14" s="5" t="inlineStr">
        <is>
          <t>Vedamil / Manta Líquida Balde 18Kg</t>
        </is>
      </c>
      <c r="B14" s="24" t="inlineStr">
        <is>
          <t>Complementos</t>
        </is>
      </c>
      <c r="C14" s="24" t="inlineStr">
        <is>
          <t>Vedamil</t>
        </is>
      </c>
      <c r="D14" s="19" t="n">
        <v>150</v>
      </c>
      <c r="E14" s="25" t="n">
        <v>79.73999999999999</v>
      </c>
      <c r="F14" s="25" t="n">
        <v>1.89</v>
      </c>
      <c r="G14" s="25" t="n">
        <v>81.62</v>
      </c>
      <c r="H14" s="25" t="n">
        <v>132</v>
      </c>
      <c r="I14" s="21" t="n">
        <v>50.38</v>
      </c>
      <c r="J14" s="22" t="n">
        <v>0.3815999999999999</v>
      </c>
      <c r="K14" s="23" t="inlineStr">
        <is>
          <t>Saudável  ·  Mín: R$ 123.67</t>
        </is>
      </c>
    </row>
    <row r="15">
      <c r="A15" s="8" t="inlineStr">
        <is>
          <t>Vedamil / Manta Líquida Balde 3,6Kg</t>
        </is>
      </c>
      <c r="B15" s="18" t="inlineStr">
        <is>
          <t>Complementos</t>
        </is>
      </c>
      <c r="C15" s="18" t="inlineStr">
        <is>
          <t>Vedamil</t>
        </is>
      </c>
      <c r="D15" s="19" t="n">
        <v>32.5</v>
      </c>
      <c r="E15" s="20" t="n">
        <v>16.86</v>
      </c>
      <c r="F15" s="20" t="n">
        <v>0.36</v>
      </c>
      <c r="G15" s="20" t="n">
        <v>17.22</v>
      </c>
      <c r="H15" s="20" t="n">
        <v>28.6</v>
      </c>
      <c r="I15" s="21" t="n">
        <v>11.38</v>
      </c>
      <c r="J15" s="22" t="n">
        <v>0.3978</v>
      </c>
      <c r="K15" s="23" t="inlineStr">
        <is>
          <t>Saudável  ·  Mín: R$ 26.10</t>
        </is>
      </c>
    </row>
    <row r="16" ht="16" customHeight="1">
      <c r="A16" s="17" t="inlineStr">
        <is>
          <t>MASSAS E TEXTURAS</t>
        </is>
      </c>
    </row>
    <row r="17">
      <c r="A17" s="8" t="inlineStr">
        <is>
          <t>Acrilica Balde 20Kg</t>
        </is>
      </c>
      <c r="B17" s="18" t="inlineStr">
        <is>
          <t>Massas e Texturas</t>
        </is>
      </c>
      <c r="C17" s="18" t="inlineStr">
        <is>
          <t>Acrílica</t>
        </is>
      </c>
      <c r="D17" s="19" t="n">
        <v>62.26</v>
      </c>
      <c r="E17" s="20" t="n">
        <v>36.02</v>
      </c>
      <c r="F17" s="20" t="n">
        <v>2.07</v>
      </c>
      <c r="G17" s="20" t="n">
        <v>38.09</v>
      </c>
      <c r="H17" s="20" t="n">
        <v>54.79</v>
      </c>
      <c r="I17" s="26" t="n">
        <v>16.7</v>
      </c>
      <c r="J17" s="27" t="n">
        <v>0.3049</v>
      </c>
      <c r="K17" s="28" t="inlineStr">
        <is>
          <t>Atenção  ·  Mín: R$ 57.71</t>
        </is>
      </c>
    </row>
    <row r="18">
      <c r="A18" s="5" t="inlineStr">
        <is>
          <t>Acrilica Galão 5Kg</t>
        </is>
      </c>
      <c r="B18" s="24" t="inlineStr">
        <is>
          <t>Massas e Texturas</t>
        </is>
      </c>
      <c r="C18" s="24" t="inlineStr">
        <is>
          <t>Acrílica</t>
        </is>
      </c>
      <c r="D18" s="19" t="n">
        <v>19.16</v>
      </c>
      <c r="E18" s="25" t="n">
        <v>10.45</v>
      </c>
      <c r="F18" s="25" t="n">
        <v>0.52</v>
      </c>
      <c r="G18" s="25" t="n">
        <v>10.97</v>
      </c>
      <c r="H18" s="25" t="n">
        <v>16.86</v>
      </c>
      <c r="I18" s="26" t="n">
        <v>5.89</v>
      </c>
      <c r="J18" s="27" t="n">
        <v>0.3493</v>
      </c>
      <c r="K18" s="28" t="inlineStr">
        <is>
          <t>Atenção  ·  Mín: R$ 16.62</t>
        </is>
      </c>
    </row>
    <row r="19">
      <c r="A19" s="8" t="inlineStr">
        <is>
          <t>Acrilica Pote 1Kg</t>
        </is>
      </c>
      <c r="B19" s="18" t="inlineStr">
        <is>
          <t>Massas e Texturas</t>
        </is>
      </c>
      <c r="C19" s="18" t="inlineStr">
        <is>
          <t>Acrílica</t>
        </is>
      </c>
      <c r="D19" s="19" t="n">
        <v>6</v>
      </c>
      <c r="E19" s="20" t="n">
        <v>2.56</v>
      </c>
      <c r="F19" s="20" t="n">
        <v>0.1</v>
      </c>
      <c r="G19" s="20" t="n">
        <v>2.67</v>
      </c>
      <c r="H19" s="20" t="n">
        <v>5.28</v>
      </c>
      <c r="I19" s="21" t="n">
        <v>2.61</v>
      </c>
      <c r="J19" s="22" t="n">
        <v>0.4952</v>
      </c>
      <c r="K19" s="23" t="inlineStr">
        <is>
          <t>Saudável  ·  Mín: R$ 4.04</t>
        </is>
      </c>
    </row>
    <row r="20">
      <c r="A20" s="5" t="inlineStr">
        <is>
          <t>Acrilica Saco Valv 10,0Kg</t>
        </is>
      </c>
      <c r="B20" s="24" t="inlineStr">
        <is>
          <t>Massas e Texturas</t>
        </is>
      </c>
      <c r="C20" s="24" t="inlineStr">
        <is>
          <t>Acrílica</t>
        </is>
      </c>
      <c r="D20" s="19" t="n">
        <v>27</v>
      </c>
      <c r="E20" s="25" t="n">
        <v>12.88</v>
      </c>
      <c r="F20" s="25" t="n">
        <v>1</v>
      </c>
      <c r="G20" s="25" t="n">
        <v>13.89</v>
      </c>
      <c r="H20" s="25" t="n">
        <v>23.76</v>
      </c>
      <c r="I20" s="21" t="n">
        <v>9.869999999999999</v>
      </c>
      <c r="J20" s="22" t="n">
        <v>0.4155</v>
      </c>
      <c r="K20" s="23" t="inlineStr">
        <is>
          <t>Saudável  ·  Mín: R$ 21.04</t>
        </is>
      </c>
    </row>
    <row r="21">
      <c r="A21" s="8" t="inlineStr">
        <is>
          <t>Corrida Balde 20Kg</t>
        </is>
      </c>
      <c r="B21" s="18" t="inlineStr">
        <is>
          <t>Massas e Texturas</t>
        </is>
      </c>
      <c r="C21" s="18" t="inlineStr">
        <is>
          <t>Corrida</t>
        </is>
      </c>
      <c r="D21" s="19" t="n">
        <v>36.5</v>
      </c>
      <c r="E21" s="20" t="n">
        <v>21.43</v>
      </c>
      <c r="F21" s="20" t="n">
        <v>2.06</v>
      </c>
      <c r="G21" s="20" t="n">
        <v>23.49</v>
      </c>
      <c r="H21" s="20" t="n">
        <v>32.12</v>
      </c>
      <c r="I21" s="26" t="n">
        <v>8.630000000000001</v>
      </c>
      <c r="J21" s="27" t="n">
        <v>0.2686</v>
      </c>
      <c r="K21" s="28" t="inlineStr">
        <is>
          <t>Atenção  ·  Mín: R$ 35.59</t>
        </is>
      </c>
    </row>
    <row r="22">
      <c r="A22" s="5" t="inlineStr">
        <is>
          <t>Corrida Galão 5Kg</t>
        </is>
      </c>
      <c r="B22" s="24" t="inlineStr">
        <is>
          <t>Massas e Texturas</t>
        </is>
      </c>
      <c r="C22" s="24" t="inlineStr">
        <is>
          <t>Corrida</t>
        </is>
      </c>
      <c r="D22" s="19" t="n">
        <v>14.9</v>
      </c>
      <c r="E22" s="25" t="n">
        <v>6.51</v>
      </c>
      <c r="F22" s="25" t="n">
        <v>0.52</v>
      </c>
      <c r="G22" s="25" t="n">
        <v>7.03</v>
      </c>
      <c r="H22" s="25" t="n">
        <v>13.11</v>
      </c>
      <c r="I22" s="21" t="n">
        <v>6.08</v>
      </c>
      <c r="J22" s="22" t="n">
        <v>0.4636</v>
      </c>
      <c r="K22" s="23" t="inlineStr">
        <is>
          <t>Saudável  ·  Mín: R$ 10.66</t>
        </is>
      </c>
    </row>
    <row r="23">
      <c r="A23" s="8" t="inlineStr">
        <is>
          <t>Corrida Pote 1Kg</t>
        </is>
      </c>
      <c r="B23" s="18" t="inlineStr">
        <is>
          <t>Massas e Texturas</t>
        </is>
      </c>
      <c r="C23" s="18" t="inlineStr">
        <is>
          <t>Corrida</t>
        </is>
      </c>
      <c r="D23" s="19" t="n">
        <v>5.5</v>
      </c>
      <c r="E23" s="20" t="n">
        <v>1.15</v>
      </c>
      <c r="F23" s="20" t="n">
        <v>0.1</v>
      </c>
      <c r="G23" s="20" t="n">
        <v>1.25</v>
      </c>
      <c r="H23" s="20" t="n">
        <v>4.84</v>
      </c>
      <c r="I23" s="21" t="n">
        <v>3.59</v>
      </c>
      <c r="J23" s="22" t="n">
        <v>0.7411</v>
      </c>
      <c r="K23" s="23" t="inlineStr">
        <is>
          <t>Saudável  ·  Mín: R$ 1.90</t>
        </is>
      </c>
    </row>
    <row r="24">
      <c r="A24" s="5" t="inlineStr">
        <is>
          <t>Corrida Saco Valv 10 Kg</t>
        </is>
      </c>
      <c r="B24" s="24" t="inlineStr">
        <is>
          <t>Massas e Texturas</t>
        </is>
      </c>
      <c r="C24" s="24" t="inlineStr">
        <is>
          <t>Corrida</t>
        </is>
      </c>
      <c r="D24" s="19" t="n">
        <v>11</v>
      </c>
      <c r="E24" s="25" t="n">
        <v>5.82</v>
      </c>
      <c r="F24" s="25" t="n">
        <v>1</v>
      </c>
      <c r="G24" s="25" t="n">
        <v>6.83</v>
      </c>
      <c r="H24" s="25" t="n">
        <v>9.68</v>
      </c>
      <c r="I24" s="26" t="n">
        <v>2.85</v>
      </c>
      <c r="J24" s="27" t="n">
        <v>0.2948</v>
      </c>
      <c r="K24" s="28" t="inlineStr">
        <is>
          <t>Atenção  ·  Mín: R$ 10.34</t>
        </is>
      </c>
    </row>
    <row r="25" ht="16" customHeight="1">
      <c r="A25" s="17" t="inlineStr">
        <is>
          <t>TINTA BASE SOLVENTE</t>
        </is>
      </c>
    </row>
    <row r="26">
      <c r="A26" s="5" t="inlineStr">
        <is>
          <t>Esmalte Base Água 0,75L</t>
        </is>
      </c>
      <c r="B26" s="24" t="inlineStr">
        <is>
          <t>Tinta Base Solvente</t>
        </is>
      </c>
      <c r="C26" s="24" t="inlineStr">
        <is>
          <t>Esmalte Base Água</t>
        </is>
      </c>
      <c r="D26" s="19" t="n">
        <v>20</v>
      </c>
      <c r="E26" s="25" t="n">
        <v>11</v>
      </c>
      <c r="F26" s="25" t="n">
        <v>0.08</v>
      </c>
      <c r="G26" s="25" t="n">
        <v>11.09</v>
      </c>
      <c r="H26" s="25" t="n">
        <v>17.6</v>
      </c>
      <c r="I26" s="21" t="n">
        <v>6.51</v>
      </c>
      <c r="J26" s="22" t="n">
        <v>0.3701</v>
      </c>
      <c r="K26" s="23" t="inlineStr">
        <is>
          <t>Saudável  ·  Mín: R$ 16.80</t>
        </is>
      </c>
    </row>
    <row r="27">
      <c r="A27" s="8" t="inlineStr">
        <is>
          <t>Esmalte Base Água 3,0L</t>
        </is>
      </c>
      <c r="B27" s="18" t="inlineStr">
        <is>
          <t>Tinta Base Solvente</t>
        </is>
      </c>
      <c r="C27" s="18" t="inlineStr">
        <is>
          <t>Esmalte Base Água</t>
        </is>
      </c>
      <c r="D27" s="19" t="n">
        <v>80</v>
      </c>
      <c r="E27" s="20" t="n">
        <v>38.2</v>
      </c>
      <c r="F27" s="20" t="n">
        <v>0.35</v>
      </c>
      <c r="G27" s="20" t="n">
        <v>38.55</v>
      </c>
      <c r="H27" s="20" t="n">
        <v>70.40000000000001</v>
      </c>
      <c r="I27" s="21" t="n">
        <v>31.85</v>
      </c>
      <c r="J27" s="22" t="n">
        <v>0.4523</v>
      </c>
      <c r="K27" s="23" t="inlineStr">
        <is>
          <t>Saudável  ·  Mín: R$ 58.42</t>
        </is>
      </c>
    </row>
    <row r="28">
      <c r="A28" s="5" t="inlineStr">
        <is>
          <t>Esmalte Sintético 0,75L Lata Alumínio</t>
        </is>
      </c>
      <c r="B28" s="24" t="inlineStr">
        <is>
          <t>Tinta Base Solvente</t>
        </is>
      </c>
      <c r="C28" s="24" t="inlineStr">
        <is>
          <t>Esmalte Sint.</t>
        </is>
      </c>
      <c r="D28" s="19" t="n">
        <v>27.2</v>
      </c>
      <c r="E28" s="25" t="n">
        <v>16.03</v>
      </c>
      <c r="F28" s="25" t="n">
        <v>0.08</v>
      </c>
      <c r="G28" s="25" t="n">
        <v>16.11</v>
      </c>
      <c r="H28" s="25" t="n">
        <v>23.94</v>
      </c>
      <c r="I28" s="26" t="n">
        <v>7.82</v>
      </c>
      <c r="J28" s="27" t="n">
        <v>0.3269</v>
      </c>
      <c r="K28" s="28" t="inlineStr">
        <is>
          <t>Atenção  ·  Mín: R$ 24.41</t>
        </is>
      </c>
    </row>
    <row r="29">
      <c r="A29" s="8" t="inlineStr">
        <is>
          <t>Esmalte Sintético 0,75L Lata Branco</t>
        </is>
      </c>
      <c r="B29" s="18" t="inlineStr">
        <is>
          <t>Tinta Base Solvente</t>
        </is>
      </c>
      <c r="C29" s="18" t="inlineStr">
        <is>
          <t>Esmalte Sint.</t>
        </is>
      </c>
      <c r="D29" s="19" t="n">
        <v>16.11</v>
      </c>
      <c r="E29" s="20" t="n">
        <v>10.06</v>
      </c>
      <c r="F29" s="20" t="n">
        <v>0.11</v>
      </c>
      <c r="G29" s="20" t="n">
        <v>10.17</v>
      </c>
      <c r="H29" s="20" t="n">
        <v>14.18</v>
      </c>
      <c r="I29" s="26" t="n">
        <v>4.01</v>
      </c>
      <c r="J29" s="27" t="n">
        <v>0.2828</v>
      </c>
      <c r="K29" s="28" t="inlineStr">
        <is>
          <t>Atenção  ·  Mín: R$ 15.41</t>
        </is>
      </c>
    </row>
    <row r="30">
      <c r="A30" s="5" t="inlineStr">
        <is>
          <t>Esmalte Sintético 0,75L Lata Cor</t>
        </is>
      </c>
      <c r="B30" s="24" t="inlineStr">
        <is>
          <t>Tinta Base Solvente</t>
        </is>
      </c>
      <c r="C30" s="24" t="inlineStr">
        <is>
          <t>Esmalte Sint.</t>
        </is>
      </c>
      <c r="D30" s="19" t="n">
        <v>16.87</v>
      </c>
      <c r="E30" s="25" t="n">
        <v>8.68</v>
      </c>
      <c r="F30" s="25" t="n">
        <v>0.08</v>
      </c>
      <c r="G30" s="25" t="n">
        <v>8.77</v>
      </c>
      <c r="H30" s="25" t="n">
        <v>14.85</v>
      </c>
      <c r="I30" s="21" t="n">
        <v>6.08</v>
      </c>
      <c r="J30" s="22" t="n">
        <v>0.4095</v>
      </c>
      <c r="K30" s="23" t="inlineStr">
        <is>
          <t>Saudável  ·  Mín: R$ 13.28</t>
        </is>
      </c>
    </row>
    <row r="31">
      <c r="A31" s="8" t="inlineStr">
        <is>
          <t>Esmalte Sintético 0,75L Lata Preto</t>
        </is>
      </c>
      <c r="B31" s="18" t="inlineStr">
        <is>
          <t>Tinta Base Solvente</t>
        </is>
      </c>
      <c r="C31" s="18" t="inlineStr">
        <is>
          <t>Esmalte Sint.</t>
        </is>
      </c>
      <c r="D31" s="19" t="n">
        <v>16.87</v>
      </c>
      <c r="E31" s="20" t="n">
        <v>8.210000000000001</v>
      </c>
      <c r="F31" s="20" t="n">
        <v>1.9</v>
      </c>
      <c r="G31" s="20" t="n">
        <v>10.11</v>
      </c>
      <c r="H31" s="20" t="n">
        <v>14.85</v>
      </c>
      <c r="I31" s="26" t="n">
        <v>4.73</v>
      </c>
      <c r="J31" s="27" t="n">
        <v>0.3188</v>
      </c>
      <c r="K31" s="28" t="inlineStr">
        <is>
          <t>Atenção  ·  Mín: R$ 15.32</t>
        </is>
      </c>
    </row>
    <row r="32">
      <c r="A32" s="5" t="inlineStr">
        <is>
          <t>Esmalte Sintético 3,0L Lata Alumínio</t>
        </is>
      </c>
      <c r="B32" s="24" t="inlineStr">
        <is>
          <t>Tinta Base Solvente</t>
        </is>
      </c>
      <c r="C32" s="24" t="inlineStr">
        <is>
          <t>Esmalte Sint.</t>
        </is>
      </c>
      <c r="D32" s="19" t="n">
        <v>99</v>
      </c>
      <c r="E32" s="25" t="n">
        <v>58.3</v>
      </c>
      <c r="F32" s="25" t="n">
        <v>0.31</v>
      </c>
      <c r="G32" s="25" t="n">
        <v>58.61</v>
      </c>
      <c r="H32" s="25" t="n">
        <v>87.12</v>
      </c>
      <c r="I32" s="26" t="n">
        <v>28.51</v>
      </c>
      <c r="J32" s="27" t="n">
        <v>0.3272</v>
      </c>
      <c r="K32" s="28" t="inlineStr">
        <is>
          <t>Atenção  ·  Mín: R$ 88.81</t>
        </is>
      </c>
    </row>
    <row r="33">
      <c r="A33" s="8" t="inlineStr">
        <is>
          <t>Esmalte Sintético 3,0L Lata Branco</t>
        </is>
      </c>
      <c r="B33" s="18" t="inlineStr">
        <is>
          <t>Tinta Base Solvente</t>
        </is>
      </c>
      <c r="C33" s="18" t="inlineStr">
        <is>
          <t>Esmalte Sint.</t>
        </is>
      </c>
      <c r="D33" s="19" t="n">
        <v>52.26</v>
      </c>
      <c r="E33" s="20" t="n">
        <v>34.91</v>
      </c>
      <c r="F33" s="20" t="n">
        <v>0.34</v>
      </c>
      <c r="G33" s="20" t="n">
        <v>35.25</v>
      </c>
      <c r="H33" s="20" t="n">
        <v>45.99</v>
      </c>
      <c r="I33" s="26" t="n">
        <v>10.74</v>
      </c>
      <c r="J33" s="27" t="n">
        <v>0.2336</v>
      </c>
      <c r="K33" s="29" t="inlineStr">
        <is>
          <t>Atenção  ·  Mín: R$ 53.40</t>
        </is>
      </c>
    </row>
    <row r="34">
      <c r="A34" s="5" t="inlineStr">
        <is>
          <t>Esmalte Sintético 3,0L Lata Cor</t>
        </is>
      </c>
      <c r="B34" s="24" t="inlineStr">
        <is>
          <t>Tinta Base Solvente</t>
        </is>
      </c>
      <c r="C34" s="24" t="inlineStr">
        <is>
          <t>Esmalte Sint.</t>
        </is>
      </c>
      <c r="D34" s="19" t="n">
        <v>46.9</v>
      </c>
      <c r="E34" s="25" t="n">
        <v>29.38</v>
      </c>
      <c r="F34" s="25" t="n">
        <v>0.34</v>
      </c>
      <c r="G34" s="25" t="n">
        <v>29.72</v>
      </c>
      <c r="H34" s="25" t="n">
        <v>41.27</v>
      </c>
      <c r="I34" s="26" t="n">
        <v>11.55</v>
      </c>
      <c r="J34" s="27" t="n">
        <v>0.2799</v>
      </c>
      <c r="K34" s="28" t="inlineStr">
        <is>
          <t>Atenção  ·  Mín: R$ 45.03</t>
        </is>
      </c>
    </row>
    <row r="35">
      <c r="A35" s="8" t="inlineStr">
        <is>
          <t>Esmalte Sintético 3,0L Lata Fosco</t>
        </is>
      </c>
      <c r="B35" s="18" t="inlineStr">
        <is>
          <t>Tinta Base Solvente</t>
        </is>
      </c>
      <c r="C35" s="18" t="inlineStr">
        <is>
          <t>Esmalte Sint.</t>
        </is>
      </c>
      <c r="D35" s="19" t="n">
        <v>54.5</v>
      </c>
      <c r="E35" s="20" t="n">
        <v>31.62</v>
      </c>
      <c r="F35" s="20" t="n">
        <v>0.36</v>
      </c>
      <c r="G35" s="20" t="n">
        <v>31.98</v>
      </c>
      <c r="H35" s="20" t="n">
        <v>47.96</v>
      </c>
      <c r="I35" s="26" t="n">
        <v>15.98</v>
      </c>
      <c r="J35" s="27" t="n">
        <v>0.3333</v>
      </c>
      <c r="K35" s="28" t="inlineStr">
        <is>
          <t>Atenção  ·  Mín: R$ 48.45</t>
        </is>
      </c>
    </row>
    <row r="36">
      <c r="A36" s="5" t="inlineStr">
        <is>
          <t>Esmalte Sintético 3,0L Lata Preto</t>
        </is>
      </c>
      <c r="B36" s="24" t="inlineStr">
        <is>
          <t>Tinta Base Solvente</t>
        </is>
      </c>
      <c r="C36" s="24" t="inlineStr">
        <is>
          <t>Esmalte Sint.</t>
        </is>
      </c>
      <c r="D36" s="19" t="n">
        <v>39.9</v>
      </c>
      <c r="E36" s="25" t="n">
        <v>27.51</v>
      </c>
      <c r="F36" s="25" t="n">
        <v>0.34</v>
      </c>
      <c r="G36" s="25" t="n">
        <v>27.84</v>
      </c>
      <c r="H36" s="25" t="n">
        <v>35.11</v>
      </c>
      <c r="I36" s="26" t="n">
        <v>7.27</v>
      </c>
      <c r="J36" s="27" t="n">
        <v>0.207</v>
      </c>
      <c r="K36" s="29" t="inlineStr">
        <is>
          <t>Atenção  ·  Mín: R$ 42.19</t>
        </is>
      </c>
    </row>
    <row r="37">
      <c r="A37" s="8" t="inlineStr">
        <is>
          <t>Selador P/ Mad. 0,75L Lata Incolor</t>
        </is>
      </c>
      <c r="B37" s="18" t="inlineStr">
        <is>
          <t>Tinta Base Solvente</t>
        </is>
      </c>
      <c r="C37" s="18" t="inlineStr">
        <is>
          <t>Selador Mad.</t>
        </is>
      </c>
      <c r="D37" s="19" t="n">
        <v>19</v>
      </c>
      <c r="E37" s="20" t="n">
        <v>11.12</v>
      </c>
      <c r="F37" s="20" t="n">
        <v>0.08</v>
      </c>
      <c r="G37" s="20" t="n">
        <v>11.2</v>
      </c>
      <c r="H37" s="20" t="n">
        <v>16.72</v>
      </c>
      <c r="I37" s="26" t="n">
        <v>5.52</v>
      </c>
      <c r="J37" s="27" t="n">
        <v>0.33</v>
      </c>
      <c r="K37" s="28" t="inlineStr">
        <is>
          <t>Atenção  ·  Mín: R$ 16.97</t>
        </is>
      </c>
    </row>
    <row r="38">
      <c r="A38" s="5" t="inlineStr">
        <is>
          <t>Selador P/ Mad. 3,0L Lata Incolor</t>
        </is>
      </c>
      <c r="B38" s="24" t="inlineStr">
        <is>
          <t>Tinta Base Solvente</t>
        </is>
      </c>
      <c r="C38" s="24" t="inlineStr">
        <is>
          <t>Selador Mad.</t>
        </is>
      </c>
      <c r="D38" s="19" t="n">
        <v>68</v>
      </c>
      <c r="E38" s="25" t="n">
        <v>38.67</v>
      </c>
      <c r="F38" s="25" t="n">
        <v>0.31</v>
      </c>
      <c r="G38" s="25" t="n">
        <v>38.98</v>
      </c>
      <c r="H38" s="25" t="n">
        <v>59.84</v>
      </c>
      <c r="I38" s="26" t="n">
        <v>20.86</v>
      </c>
      <c r="J38" s="27" t="n">
        <v>0.3486</v>
      </c>
      <c r="K38" s="28" t="inlineStr">
        <is>
          <t>Atenção  ·  Mín: R$ 59.06</t>
        </is>
      </c>
    </row>
    <row r="39">
      <c r="A39" s="8" t="inlineStr">
        <is>
          <t>Verniz 0,75L Lata Incolor</t>
        </is>
      </c>
      <c r="B39" s="18" t="inlineStr">
        <is>
          <t>Tinta Base Solvente</t>
        </is>
      </c>
      <c r="C39" s="18" t="inlineStr">
        <is>
          <t>Verniz</t>
        </is>
      </c>
      <c r="D39" s="19" t="n">
        <v>20.5</v>
      </c>
      <c r="E39" s="20" t="n">
        <v>11.35</v>
      </c>
      <c r="F39" s="20" t="n">
        <v>0.08</v>
      </c>
      <c r="G39" s="20" t="n">
        <v>11.43</v>
      </c>
      <c r="H39" s="20" t="n">
        <v>18.04</v>
      </c>
      <c r="I39" s="21" t="n">
        <v>6.61</v>
      </c>
      <c r="J39" s="22" t="n">
        <v>0.3662</v>
      </c>
      <c r="K39" s="23" t="inlineStr">
        <is>
          <t>Saudável  ·  Mín: R$ 17.32</t>
        </is>
      </c>
    </row>
    <row r="40">
      <c r="A40" s="5" t="inlineStr">
        <is>
          <t>Verniz 0,75L Lata Pigmentado</t>
        </is>
      </c>
      <c r="B40" s="24" t="inlineStr">
        <is>
          <t>Tinta Base Solvente</t>
        </is>
      </c>
      <c r="C40" s="24" t="inlineStr">
        <is>
          <t>Verniz</t>
        </is>
      </c>
      <c r="D40" s="19" t="n">
        <v>20.5</v>
      </c>
      <c r="E40" s="25" t="n">
        <v>9.76</v>
      </c>
      <c r="F40" s="25" t="n">
        <v>0.08</v>
      </c>
      <c r="G40" s="25" t="n">
        <v>9.84</v>
      </c>
      <c r="H40" s="25" t="n">
        <v>18.04</v>
      </c>
      <c r="I40" s="21" t="n">
        <v>8.199999999999999</v>
      </c>
      <c r="J40" s="22" t="n">
        <v>0.4543</v>
      </c>
      <c r="K40" s="23" t="inlineStr">
        <is>
          <t>Saudável  ·  Mín: R$ 14.91</t>
        </is>
      </c>
    </row>
    <row r="41">
      <c r="A41" s="8" t="inlineStr">
        <is>
          <t>Verniz 3,0L Lata Incolor</t>
        </is>
      </c>
      <c r="B41" s="18" t="inlineStr">
        <is>
          <t>Tinta Base Solvente</t>
        </is>
      </c>
      <c r="C41" s="18" t="inlineStr">
        <is>
          <t>Verniz</t>
        </is>
      </c>
      <c r="D41" s="19" t="n">
        <v>63</v>
      </c>
      <c r="E41" s="20" t="n">
        <v>39.59</v>
      </c>
      <c r="F41" s="20" t="n">
        <v>0.31</v>
      </c>
      <c r="G41" s="20" t="n">
        <v>39.9</v>
      </c>
      <c r="H41" s="20" t="n">
        <v>55.44</v>
      </c>
      <c r="I41" s="26" t="n">
        <v>15.54</v>
      </c>
      <c r="J41" s="27" t="n">
        <v>0.2802</v>
      </c>
      <c r="K41" s="28" t="inlineStr">
        <is>
          <t>Atenção  ·  Mín: R$ 60.46</t>
        </is>
      </c>
    </row>
    <row r="42">
      <c r="A42" s="5" t="inlineStr">
        <is>
          <t>Verniz 3,0L Lata Pigmentado</t>
        </is>
      </c>
      <c r="B42" s="24" t="inlineStr">
        <is>
          <t>Tinta Base Solvente</t>
        </is>
      </c>
      <c r="C42" s="24" t="inlineStr">
        <is>
          <t>Verniz</t>
        </is>
      </c>
      <c r="D42" s="19" t="n">
        <v>63</v>
      </c>
      <c r="E42" s="25" t="n">
        <v>35.49</v>
      </c>
      <c r="F42" s="25" t="n">
        <v>0.31</v>
      </c>
      <c r="G42" s="25" t="n">
        <v>35.8</v>
      </c>
      <c r="H42" s="25" t="n">
        <v>55.44</v>
      </c>
      <c r="I42" s="21" t="n">
        <v>19.64</v>
      </c>
      <c r="J42" s="22" t="n">
        <v>0.3543</v>
      </c>
      <c r="K42" s="23" t="inlineStr">
        <is>
          <t>Saudável  ·  Mín: R$ 54.24</t>
        </is>
      </c>
    </row>
    <row r="43">
      <c r="A43" s="8" t="inlineStr">
        <is>
          <t>Zarcão  18L Lata Cor</t>
        </is>
      </c>
      <c r="B43" s="18" t="inlineStr">
        <is>
          <t>Tinta Base Solvente</t>
        </is>
      </c>
      <c r="C43" s="18" t="inlineStr">
        <is>
          <t>Zarcão</t>
        </is>
      </c>
      <c r="D43" s="19" t="n">
        <v>200</v>
      </c>
      <c r="E43" s="20" t="n">
        <v>89.54000000000001</v>
      </c>
      <c r="F43" s="20" t="n">
        <v>2.05</v>
      </c>
      <c r="G43" s="20" t="n">
        <v>91.59</v>
      </c>
      <c r="H43" s="20" t="n">
        <v>176</v>
      </c>
      <c r="I43" s="21" t="n">
        <v>84.41</v>
      </c>
      <c r="J43" s="22" t="n">
        <v>0.4796</v>
      </c>
      <c r="K43" s="23" t="inlineStr">
        <is>
          <t>Saudável  ·  Mín: R$ 138.77</t>
        </is>
      </c>
    </row>
    <row r="44">
      <c r="A44" s="5" t="inlineStr">
        <is>
          <t>Zarcão 0,75L Lata Branco</t>
        </is>
      </c>
      <c r="B44" s="24" t="inlineStr">
        <is>
          <t>Tinta Base Solvente</t>
        </is>
      </c>
      <c r="C44" s="24" t="inlineStr">
        <is>
          <t>Zarcão</t>
        </is>
      </c>
      <c r="D44" s="19" t="n">
        <v>15.9</v>
      </c>
      <c r="E44" s="25" t="n">
        <v>6.59</v>
      </c>
      <c r="F44" s="25" t="n">
        <v>0.1</v>
      </c>
      <c r="G44" s="25" t="n">
        <v>6.7</v>
      </c>
      <c r="H44" s="25" t="n">
        <v>13.99</v>
      </c>
      <c r="I44" s="21" t="n">
        <v>7.3</v>
      </c>
      <c r="J44" s="22" t="n">
        <v>0.5214</v>
      </c>
      <c r="K44" s="23" t="inlineStr">
        <is>
          <t>Saudável  ·  Mín: R$ 10.15</t>
        </is>
      </c>
    </row>
    <row r="45">
      <c r="A45" s="8" t="inlineStr">
        <is>
          <t>Zarcão 0,75L Lata Cinza</t>
        </is>
      </c>
      <c r="B45" s="18" t="inlineStr">
        <is>
          <t>Tinta Base Solvente</t>
        </is>
      </c>
      <c r="C45" s="18" t="inlineStr">
        <is>
          <t>Zarcão</t>
        </is>
      </c>
      <c r="D45" s="19" t="n">
        <v>14.9</v>
      </c>
      <c r="E45" s="20" t="n">
        <v>6.59</v>
      </c>
      <c r="F45" s="20" t="n">
        <v>0.1</v>
      </c>
      <c r="G45" s="20" t="n">
        <v>6.7</v>
      </c>
      <c r="H45" s="20" t="n">
        <v>13.11</v>
      </c>
      <c r="I45" s="21" t="n">
        <v>6.42</v>
      </c>
      <c r="J45" s="22" t="n">
        <v>0.4893</v>
      </c>
      <c r="K45" s="23" t="inlineStr">
        <is>
          <t>Saudável  ·  Mín: R$ 10.15</t>
        </is>
      </c>
    </row>
    <row r="46">
      <c r="A46" s="5" t="inlineStr">
        <is>
          <t>Zarcão 0,75L Lata Cor</t>
        </is>
      </c>
      <c r="B46" s="24" t="inlineStr">
        <is>
          <t>Tinta Base Solvente</t>
        </is>
      </c>
      <c r="C46" s="24" t="inlineStr">
        <is>
          <t>Zarcão</t>
        </is>
      </c>
      <c r="D46" s="19" t="n">
        <v>14</v>
      </c>
      <c r="E46" s="25" t="n">
        <v>6.59</v>
      </c>
      <c r="F46" s="25" t="n">
        <v>0.1</v>
      </c>
      <c r="G46" s="25" t="n">
        <v>6.7</v>
      </c>
      <c r="H46" s="25" t="n">
        <v>12.32</v>
      </c>
      <c r="I46" s="21" t="n">
        <v>5.62</v>
      </c>
      <c r="J46" s="22" t="n">
        <v>0.4564</v>
      </c>
      <c r="K46" s="23" t="inlineStr">
        <is>
          <t>Saudável  ·  Mín: R$ 10.15</t>
        </is>
      </c>
    </row>
    <row r="47">
      <c r="A47" s="8" t="inlineStr">
        <is>
          <t>Zarcão 3,0L Lata Cinza</t>
        </is>
      </c>
      <c r="B47" s="18" t="inlineStr">
        <is>
          <t>Tinta Base Solvente</t>
        </is>
      </c>
      <c r="C47" s="18" t="inlineStr">
        <is>
          <t>Zarcão</t>
        </is>
      </c>
      <c r="D47" s="19" t="n">
        <v>45.55</v>
      </c>
      <c r="E47" s="20" t="n">
        <v>20.58</v>
      </c>
      <c r="F47" s="20" t="n">
        <v>0.35</v>
      </c>
      <c r="G47" s="20" t="n">
        <v>20.93</v>
      </c>
      <c r="H47" s="20" t="n">
        <v>40.08</v>
      </c>
      <c r="I47" s="21" t="n">
        <v>19.16</v>
      </c>
      <c r="J47" s="22" t="n">
        <v>0.4779</v>
      </c>
      <c r="K47" s="23" t="inlineStr">
        <is>
          <t>Saudável  ·  Mín: R$ 31.71</t>
        </is>
      </c>
    </row>
    <row r="48" ht="16" customHeight="1">
      <c r="A48" s="17" t="inlineStr">
        <is>
          <t>TINTA BASE ÁGUA</t>
        </is>
      </c>
    </row>
    <row r="49">
      <c r="A49" s="8" t="inlineStr">
        <is>
          <t>Econômica 15L Balde Branco Neve</t>
        </is>
      </c>
      <c r="B49" s="18" t="inlineStr">
        <is>
          <t>Tinta Base Água</t>
        </is>
      </c>
      <c r="C49" s="18" t="inlineStr">
        <is>
          <t>Econômica</t>
        </is>
      </c>
      <c r="D49" s="19" t="n">
        <v>58</v>
      </c>
      <c r="E49" s="20" t="n">
        <v>32.78</v>
      </c>
      <c r="F49" s="20" t="n">
        <v>1.87</v>
      </c>
      <c r="G49" s="20" t="n">
        <v>34.65</v>
      </c>
      <c r="H49" s="20" t="n">
        <v>51.04</v>
      </c>
      <c r="I49" s="26" t="n">
        <v>16.39</v>
      </c>
      <c r="J49" s="27" t="n">
        <v>0.3211</v>
      </c>
      <c r="K49" s="28" t="inlineStr">
        <is>
          <t>Atenção  ·  Mín: R$ 52.50</t>
        </is>
      </c>
    </row>
    <row r="50">
      <c r="A50" s="5" t="inlineStr">
        <is>
          <t>Econômica 15L Balde Cor</t>
        </is>
      </c>
      <c r="B50" s="24" t="inlineStr">
        <is>
          <t>Tinta Base Água</t>
        </is>
      </c>
      <c r="C50" s="24" t="inlineStr">
        <is>
          <t>Econômica</t>
        </is>
      </c>
      <c r="D50" s="19" t="n">
        <v>69.90000000000001</v>
      </c>
      <c r="E50" s="25" t="n">
        <v>29.42</v>
      </c>
      <c r="F50" s="25" t="n">
        <v>1.7</v>
      </c>
      <c r="G50" s="25" t="n">
        <v>31.12</v>
      </c>
      <c r="H50" s="25" t="n">
        <v>61.51</v>
      </c>
      <c r="I50" s="21" t="n">
        <v>30.39</v>
      </c>
      <c r="J50" s="22" t="n">
        <v>0.4941</v>
      </c>
      <c r="K50" s="23" t="inlineStr">
        <is>
          <t>Saudável  ·  Mín: R$ 47.15</t>
        </is>
      </c>
    </row>
    <row r="51">
      <c r="A51" s="8" t="inlineStr">
        <is>
          <t>Econômica 3,0L Galão Branco Neve</t>
        </is>
      </c>
      <c r="B51" s="18" t="inlineStr">
        <is>
          <t>Tinta Base Água</t>
        </is>
      </c>
      <c r="C51" s="18" t="inlineStr">
        <is>
          <t>Econômica</t>
        </is>
      </c>
      <c r="D51" s="19" t="n">
        <v>17.99</v>
      </c>
      <c r="E51" s="20" t="n">
        <v>7.97</v>
      </c>
      <c r="F51" s="20" t="n">
        <v>0.4</v>
      </c>
      <c r="G51" s="20" t="n">
        <v>8.369999999999999</v>
      </c>
      <c r="H51" s="20" t="n">
        <v>15.83</v>
      </c>
      <c r="I51" s="21" t="n">
        <v>7.46</v>
      </c>
      <c r="J51" s="22" t="n">
        <v>0.4713000000000001</v>
      </c>
      <c r="K51" s="23" t="inlineStr">
        <is>
          <t>Saudável  ·  Mín: R$ 12.68</t>
        </is>
      </c>
    </row>
    <row r="52">
      <c r="A52" s="5" t="inlineStr">
        <is>
          <t>Econômica 3,0L Galão Cor</t>
        </is>
      </c>
      <c r="B52" s="24" t="inlineStr">
        <is>
          <t>Tinta Base Água</t>
        </is>
      </c>
      <c r="C52" s="24" t="inlineStr">
        <is>
          <t>Econômica</t>
        </is>
      </c>
      <c r="D52" s="19" t="n">
        <v>17.99</v>
      </c>
      <c r="E52" s="25" t="n">
        <v>7.45</v>
      </c>
      <c r="F52" s="25" t="n">
        <v>0.35</v>
      </c>
      <c r="G52" s="25" t="n">
        <v>7.8</v>
      </c>
      <c r="H52" s="25" t="n">
        <v>15.83</v>
      </c>
      <c r="I52" s="21" t="n">
        <v>8.029999999999999</v>
      </c>
      <c r="J52" s="22" t="n">
        <v>0.5071</v>
      </c>
      <c r="K52" s="23" t="inlineStr">
        <is>
          <t>Saudável  ·  Mín: R$ 11.82</t>
        </is>
      </c>
    </row>
    <row r="53">
      <c r="A53" s="8" t="inlineStr">
        <is>
          <t>Econômica 3,0L Refil Branco Neve</t>
        </is>
      </c>
      <c r="B53" s="18" t="inlineStr">
        <is>
          <t>Tinta Base Água</t>
        </is>
      </c>
      <c r="C53" s="18" t="inlineStr">
        <is>
          <t>Econômica</t>
        </is>
      </c>
      <c r="D53" s="19" t="n">
        <v>9.5</v>
      </c>
      <c r="E53" s="20" t="n">
        <v>4.5</v>
      </c>
      <c r="F53" s="20" t="n">
        <v>0.39</v>
      </c>
      <c r="G53" s="20" t="n">
        <v>4.88</v>
      </c>
      <c r="H53" s="20" t="n">
        <v>8.359999999999999</v>
      </c>
      <c r="I53" s="21" t="n">
        <v>3.48</v>
      </c>
      <c r="J53" s="22" t="n">
        <v>0.4158</v>
      </c>
      <c r="K53" s="23" t="inlineStr">
        <is>
          <t>Saudável  ·  Mín: R$ 7.40</t>
        </is>
      </c>
    </row>
    <row r="54">
      <c r="A54" s="5" t="inlineStr">
        <is>
          <t>Econômica 3,0L Refil Cor</t>
        </is>
      </c>
      <c r="B54" s="24" t="inlineStr">
        <is>
          <t>Tinta Base Água</t>
        </is>
      </c>
      <c r="C54" s="24" t="inlineStr">
        <is>
          <t>Econômica</t>
        </is>
      </c>
      <c r="D54" s="19" t="n">
        <v>9.5</v>
      </c>
      <c r="E54" s="25" t="n">
        <v>3.98</v>
      </c>
      <c r="F54" s="25" t="n">
        <v>0.34</v>
      </c>
      <c r="G54" s="25" t="n">
        <v>4.32</v>
      </c>
      <c r="H54" s="25" t="n">
        <v>8.359999999999999</v>
      </c>
      <c r="I54" s="21" t="n">
        <v>4.04</v>
      </c>
      <c r="J54" s="22" t="n">
        <v>0.4836</v>
      </c>
      <c r="K54" s="23" t="inlineStr">
        <is>
          <t>Saudável  ·  Mín: R$ 6.54</t>
        </is>
      </c>
    </row>
    <row r="55">
      <c r="A55" s="8" t="inlineStr">
        <is>
          <t>Externa 15L Balde Branco Neve</t>
        </is>
      </c>
      <c r="B55" s="18" t="inlineStr">
        <is>
          <t>Tinta Base Água</t>
        </is>
      </c>
      <c r="C55" s="18" t="inlineStr">
        <is>
          <t>Externa</t>
        </is>
      </c>
      <c r="D55" s="19" t="n">
        <v>94</v>
      </c>
      <c r="E55" s="20" t="n">
        <v>53.75</v>
      </c>
      <c r="F55" s="20" t="n">
        <v>1.9</v>
      </c>
      <c r="G55" s="20" t="n">
        <v>55.65</v>
      </c>
      <c r="H55" s="20" t="n">
        <v>82.72</v>
      </c>
      <c r="I55" s="26" t="n">
        <v>27.07</v>
      </c>
      <c r="J55" s="27" t="n">
        <v>0.3272</v>
      </c>
      <c r="K55" s="28" t="inlineStr">
        <is>
          <t>Atenção  ·  Mín: R$ 84.32</t>
        </is>
      </c>
    </row>
    <row r="56">
      <c r="A56" s="5" t="inlineStr">
        <is>
          <t>Externa 15L Balde Cor</t>
        </is>
      </c>
      <c r="B56" s="24" t="inlineStr">
        <is>
          <t>Tinta Base Água</t>
        </is>
      </c>
      <c r="C56" s="24" t="inlineStr">
        <is>
          <t>Externa</t>
        </is>
      </c>
      <c r="D56" s="19" t="n">
        <v>90.11</v>
      </c>
      <c r="E56" s="25" t="n">
        <v>41.94</v>
      </c>
      <c r="F56" s="25" t="n">
        <v>1.7</v>
      </c>
      <c r="G56" s="25" t="n">
        <v>43.64</v>
      </c>
      <c r="H56" s="25" t="n">
        <v>79.3</v>
      </c>
      <c r="I56" s="21" t="n">
        <v>35.65</v>
      </c>
      <c r="J56" s="22" t="n">
        <v>0.4496</v>
      </c>
      <c r="K56" s="23" t="inlineStr">
        <is>
          <t>Saudável  ·  Mín: R$ 66.13</t>
        </is>
      </c>
    </row>
    <row r="57">
      <c r="A57" s="8" t="inlineStr">
        <is>
          <t>Externa 3,0L Balde Branco Neve</t>
        </is>
      </c>
      <c r="B57" s="18" t="inlineStr">
        <is>
          <t>Tinta Base Água</t>
        </is>
      </c>
      <c r="C57" s="18" t="inlineStr">
        <is>
          <t>Externa</t>
        </is>
      </c>
      <c r="D57" s="19" t="n">
        <v>26</v>
      </c>
      <c r="E57" s="20" t="n">
        <v>11.25</v>
      </c>
      <c r="F57" s="20" t="n">
        <v>0.42</v>
      </c>
      <c r="G57" s="20" t="n">
        <v>11.67</v>
      </c>
      <c r="H57" s="20" t="n">
        <v>22.88</v>
      </c>
      <c r="I57" s="21" t="n">
        <v>11.21</v>
      </c>
      <c r="J57" s="22" t="n">
        <v>0.4898</v>
      </c>
      <c r="K57" s="23" t="inlineStr">
        <is>
          <t>Saudável  ·  Mín: R$ 17.69</t>
        </is>
      </c>
    </row>
    <row r="58">
      <c r="A58" s="5" t="inlineStr">
        <is>
          <t>Externa 3,0L Balde Cor</t>
        </is>
      </c>
      <c r="B58" s="24" t="inlineStr">
        <is>
          <t>Tinta Base Água</t>
        </is>
      </c>
      <c r="C58" s="24" t="inlineStr">
        <is>
          <t>Externa</t>
        </is>
      </c>
      <c r="D58" s="19" t="n">
        <v>24.2</v>
      </c>
      <c r="E58" s="25" t="n">
        <v>9.390000000000001</v>
      </c>
      <c r="F58" s="25" t="n">
        <v>0.39</v>
      </c>
      <c r="G58" s="25" t="n">
        <v>9.779999999999999</v>
      </c>
      <c r="H58" s="25" t="n">
        <v>21.3</v>
      </c>
      <c r="I58" s="21" t="n">
        <v>11.51</v>
      </c>
      <c r="J58" s="22" t="n">
        <v>0.5406</v>
      </c>
      <c r="K58" s="23" t="inlineStr">
        <is>
          <t>Saudável  ·  Mín: R$ 14.82</t>
        </is>
      </c>
    </row>
    <row r="59">
      <c r="A59" s="8" t="inlineStr">
        <is>
          <t>Tinta P Gesso 15L</t>
        </is>
      </c>
      <c r="B59" s="18" t="inlineStr">
        <is>
          <t>Tinta Base Água</t>
        </is>
      </c>
      <c r="C59" s="18" t="inlineStr">
        <is>
          <t>Gesso</t>
        </is>
      </c>
      <c r="D59" s="19" t="n">
        <v>73</v>
      </c>
      <c r="E59" s="20" t="n">
        <v>31.95</v>
      </c>
      <c r="F59" s="20" t="n">
        <v>2</v>
      </c>
      <c r="G59" s="20" t="n">
        <v>33.96</v>
      </c>
      <c r="H59" s="20" t="n">
        <v>64.23999999999999</v>
      </c>
      <c r="I59" s="21" t="n">
        <v>30.28</v>
      </c>
      <c r="J59" s="22" t="n">
        <v>0.4714</v>
      </c>
      <c r="K59" s="23" t="inlineStr">
        <is>
          <t>Saudável  ·  Mín: R$ 51.45</t>
        </is>
      </c>
    </row>
    <row r="60">
      <c r="A60" s="5" t="inlineStr">
        <is>
          <t>Tinta P Gesso 3,0L</t>
        </is>
      </c>
      <c r="B60" s="24" t="inlineStr">
        <is>
          <t>Tinta Base Água</t>
        </is>
      </c>
      <c r="C60" s="24" t="inlineStr">
        <is>
          <t>Gesso</t>
        </is>
      </c>
      <c r="D60" s="19" t="n">
        <v>20</v>
      </c>
      <c r="E60" s="25" t="n">
        <v>7.43</v>
      </c>
      <c r="F60" s="25" t="n">
        <v>0.41</v>
      </c>
      <c r="G60" s="25" t="n">
        <v>7.84</v>
      </c>
      <c r="H60" s="25" t="n">
        <v>17.6</v>
      </c>
      <c r="I60" s="21" t="n">
        <v>9.76</v>
      </c>
      <c r="J60" s="22" t="n">
        <v>0.5545</v>
      </c>
      <c r="K60" s="23" t="inlineStr">
        <is>
          <t>Saudável  ·  Mín: R$ 11.88</t>
        </is>
      </c>
    </row>
    <row r="61">
      <c r="A61" s="8" t="inlineStr">
        <is>
          <t>Liquibrilho 15L Balde Incolor</t>
        </is>
      </c>
      <c r="B61" s="18" t="inlineStr">
        <is>
          <t>Tinta Base Água</t>
        </is>
      </c>
      <c r="C61" s="18" t="inlineStr">
        <is>
          <t>Liquibrilho</t>
        </is>
      </c>
      <c r="D61" s="19" t="n">
        <v>135</v>
      </c>
      <c r="E61" s="20" t="n">
        <v>65.63</v>
      </c>
      <c r="F61" s="20" t="n">
        <v>1.35</v>
      </c>
      <c r="G61" s="20" t="n">
        <v>66.98</v>
      </c>
      <c r="H61" s="20" t="n">
        <v>118.8</v>
      </c>
      <c r="I61" s="21" t="n">
        <v>51.82</v>
      </c>
      <c r="J61" s="22" t="n">
        <v>0.4362</v>
      </c>
      <c r="K61" s="23" t="inlineStr">
        <is>
          <t>Saudável  ·  Mín: R$ 101.49</t>
        </is>
      </c>
    </row>
    <row r="62">
      <c r="A62" s="5" t="inlineStr">
        <is>
          <t>Liquibrilho 3,0L Balde Incolor</t>
        </is>
      </c>
      <c r="B62" s="24" t="inlineStr">
        <is>
          <t>Tinta Base Água</t>
        </is>
      </c>
      <c r="C62" s="24" t="inlineStr">
        <is>
          <t>Liquibrilho</t>
        </is>
      </c>
      <c r="D62" s="19" t="n">
        <v>32</v>
      </c>
      <c r="E62" s="25" t="n">
        <v>14.15</v>
      </c>
      <c r="F62" s="25" t="n">
        <v>0.32</v>
      </c>
      <c r="G62" s="25" t="n">
        <v>14.47</v>
      </c>
      <c r="H62" s="25" t="n">
        <v>28.16</v>
      </c>
      <c r="I62" s="21" t="n">
        <v>13.69</v>
      </c>
      <c r="J62" s="22" t="n">
        <v>0.4862</v>
      </c>
      <c r="K62" s="23" t="inlineStr">
        <is>
          <t>Saudável  ·  Mín: R$ 21.92</t>
        </is>
      </c>
    </row>
    <row r="63">
      <c r="A63" s="8" t="inlineStr">
        <is>
          <t>Tinta Piso 15L Balde Branco Neve</t>
        </is>
      </c>
      <c r="B63" s="18" t="inlineStr">
        <is>
          <t>Tinta Base Água</t>
        </is>
      </c>
      <c r="C63" s="18" t="inlineStr">
        <is>
          <t>Piso</t>
        </is>
      </c>
      <c r="D63" s="19" t="n">
        <v>130</v>
      </c>
      <c r="E63" s="20" t="n">
        <v>102.7</v>
      </c>
      <c r="F63" s="20" t="n">
        <v>1.6</v>
      </c>
      <c r="G63" s="20" t="n">
        <v>104.3</v>
      </c>
      <c r="H63" s="20" t="n">
        <v>114.4</v>
      </c>
      <c r="I63" s="30" t="n">
        <v>10.1</v>
      </c>
      <c r="J63" s="31" t="n">
        <v>0.0883</v>
      </c>
      <c r="K63" s="29" t="inlineStr">
        <is>
          <t>Prejuízo  ·  Mín: R$ 158.03</t>
        </is>
      </c>
    </row>
    <row r="64">
      <c r="A64" s="5" t="inlineStr">
        <is>
          <t>Tinta Piso 15L Balde Cor</t>
        </is>
      </c>
      <c r="B64" s="24" t="inlineStr">
        <is>
          <t>Tinta Base Água</t>
        </is>
      </c>
      <c r="C64" s="24" t="inlineStr">
        <is>
          <t>Piso</t>
        </is>
      </c>
      <c r="D64" s="19" t="n">
        <v>108</v>
      </c>
      <c r="E64" s="25" t="n">
        <v>96.69</v>
      </c>
      <c r="F64" s="25" t="n">
        <v>1.58</v>
      </c>
      <c r="G64" s="25" t="n">
        <v>98.27</v>
      </c>
      <c r="H64" s="25" t="n">
        <v>95.04000000000001</v>
      </c>
      <c r="I64" s="30" t="n">
        <v>-3.23</v>
      </c>
      <c r="J64" s="31" t="n">
        <v>-0.034</v>
      </c>
      <c r="K64" s="29" t="inlineStr">
        <is>
          <t>Prejuízo  ·  Mín: R$ 148.89</t>
        </is>
      </c>
    </row>
    <row r="65">
      <c r="A65" s="8" t="inlineStr">
        <is>
          <t>Tinta Piso 3,0L Balde Branco Neve</t>
        </is>
      </c>
      <c r="B65" s="18" t="inlineStr">
        <is>
          <t>Tinta Base Água</t>
        </is>
      </c>
      <c r="C65" s="18" t="inlineStr">
        <is>
          <t>Piso</t>
        </is>
      </c>
      <c r="D65" s="19" t="n">
        <v>30</v>
      </c>
      <c r="E65" s="20" t="n">
        <v>18.73</v>
      </c>
      <c r="F65" s="20" t="n">
        <v>0.37</v>
      </c>
      <c r="G65" s="20" t="n">
        <v>19.1</v>
      </c>
      <c r="H65" s="20" t="n">
        <v>26.4</v>
      </c>
      <c r="I65" s="26" t="n">
        <v>7.3</v>
      </c>
      <c r="J65" s="27" t="n">
        <v>0.2766</v>
      </c>
      <c r="K65" s="28" t="inlineStr">
        <is>
          <t>Atenção  ·  Mín: R$ 28.94</t>
        </is>
      </c>
    </row>
    <row r="66">
      <c r="A66" s="5" t="inlineStr">
        <is>
          <t>Tinta Piso 3,0L Balde Cor</t>
        </is>
      </c>
      <c r="B66" s="24" t="inlineStr">
        <is>
          <t>Tinta Base Água</t>
        </is>
      </c>
      <c r="C66" s="24" t="inlineStr">
        <is>
          <t>Piso</t>
        </is>
      </c>
      <c r="D66" s="19" t="n">
        <v>28.5</v>
      </c>
      <c r="E66" s="25" t="n">
        <v>17.48</v>
      </c>
      <c r="F66" s="25" t="n">
        <v>0.36</v>
      </c>
      <c r="G66" s="25" t="n">
        <v>17.84</v>
      </c>
      <c r="H66" s="25" t="n">
        <v>25.08</v>
      </c>
      <c r="I66" s="26" t="n">
        <v>7.24</v>
      </c>
      <c r="J66" s="27" t="n">
        <v>0.2887</v>
      </c>
      <c r="K66" s="28" t="inlineStr">
        <is>
          <t>Atenção  ·  Mín: R$ 27.03</t>
        </is>
      </c>
    </row>
    <row r="67">
      <c r="A67" s="8" t="inlineStr">
        <is>
          <t>Selador Acril 15L Balde Pigmentado</t>
        </is>
      </c>
      <c r="B67" s="18" t="inlineStr">
        <is>
          <t>Tinta Base Água</t>
        </is>
      </c>
      <c r="C67" s="18" t="inlineStr">
        <is>
          <t>Selador Acril</t>
        </is>
      </c>
      <c r="D67" s="19" t="n">
        <v>51</v>
      </c>
      <c r="E67" s="20" t="n">
        <v>24.77</v>
      </c>
      <c r="F67" s="20" t="n">
        <v>1.8</v>
      </c>
      <c r="G67" s="20" t="n">
        <v>26.57</v>
      </c>
      <c r="H67" s="20" t="n">
        <v>44.88</v>
      </c>
      <c r="I67" s="21" t="n">
        <v>18.31</v>
      </c>
      <c r="J67" s="22" t="n">
        <v>0.408</v>
      </c>
      <c r="K67" s="23" t="inlineStr">
        <is>
          <t>Saudável  ·  Mín: R$ 40.25</t>
        </is>
      </c>
    </row>
    <row r="68">
      <c r="A68" s="5" t="inlineStr">
        <is>
          <t>Selador Acril 3,0L Balde Pigmentado</t>
        </is>
      </c>
      <c r="B68" s="24" t="inlineStr">
        <is>
          <t>Tinta Base Água</t>
        </is>
      </c>
      <c r="C68" s="24" t="inlineStr">
        <is>
          <t>Selador Acril</t>
        </is>
      </c>
      <c r="D68" s="19" t="n">
        <v>17.99</v>
      </c>
      <c r="E68" s="25" t="n">
        <v>6.74</v>
      </c>
      <c r="F68" s="25" t="n">
        <v>0.4</v>
      </c>
      <c r="G68" s="25" t="n">
        <v>7.14</v>
      </c>
      <c r="H68" s="25" t="n">
        <v>15.83</v>
      </c>
      <c r="I68" s="21" t="n">
        <v>8.69</v>
      </c>
      <c r="J68" s="22" t="n">
        <v>0.5488000000000001</v>
      </c>
      <c r="K68" s="23" t="inlineStr">
        <is>
          <t>Saudável  ·  Mín: R$ 10.82</t>
        </is>
      </c>
    </row>
    <row r="69">
      <c r="A69" s="8" t="inlineStr">
        <is>
          <t>Semi Brilho 15L Balde Branco Neve</t>
        </is>
      </c>
      <c r="B69" s="18" t="inlineStr">
        <is>
          <t>Tinta Base Água</t>
        </is>
      </c>
      <c r="C69" s="18" t="inlineStr">
        <is>
          <t>Semi Brilho</t>
        </is>
      </c>
      <c r="D69" s="19" t="n">
        <v>170</v>
      </c>
      <c r="E69" s="20" t="n">
        <v>54.06</v>
      </c>
      <c r="F69" s="20" t="n">
        <v>1.51</v>
      </c>
      <c r="G69" s="20" t="n">
        <v>55.57</v>
      </c>
      <c r="H69" s="20" t="n">
        <v>149.6</v>
      </c>
      <c r="I69" s="21" t="n">
        <v>94.03</v>
      </c>
      <c r="J69" s="22" t="n">
        <v>0.6285000000000001</v>
      </c>
      <c r="K69" s="23" t="inlineStr">
        <is>
          <t>Saudável  ·  Mín: R$ 84.20</t>
        </is>
      </c>
    </row>
    <row r="70">
      <c r="A70" s="5" t="inlineStr">
        <is>
          <t>Semi Brilho 15L Balde Cor</t>
        </is>
      </c>
      <c r="B70" s="24" t="inlineStr">
        <is>
          <t>Tinta Base Água</t>
        </is>
      </c>
      <c r="C70" s="24" t="inlineStr">
        <is>
          <t>Semi Brilho</t>
        </is>
      </c>
      <c r="D70" s="19" t="n">
        <v>170</v>
      </c>
      <c r="E70" s="25" t="n">
        <v>74.31999999999999</v>
      </c>
      <c r="F70" s="25" t="n">
        <v>1.51</v>
      </c>
      <c r="G70" s="25" t="n">
        <v>75.83</v>
      </c>
      <c r="H70" s="25" t="n">
        <v>149.6</v>
      </c>
      <c r="I70" s="21" t="n">
        <v>73.77</v>
      </c>
      <c r="J70" s="22" t="n">
        <v>0.4931</v>
      </c>
      <c r="K70" s="23" t="inlineStr">
        <is>
          <t>Saudável  ·  Mín: R$ 114.89</t>
        </is>
      </c>
    </row>
    <row r="71">
      <c r="A71" s="8" t="inlineStr">
        <is>
          <t>Semi Brilho 3,0L Balde Branco Neve</t>
        </is>
      </c>
      <c r="B71" s="18" t="inlineStr">
        <is>
          <t>Tinta Base Água</t>
        </is>
      </c>
      <c r="C71" s="18" t="inlineStr">
        <is>
          <t>Semi Brilho</t>
        </is>
      </c>
      <c r="D71" s="19" t="n">
        <v>43</v>
      </c>
      <c r="E71" s="20" t="n">
        <v>11.61</v>
      </c>
      <c r="F71" s="20" t="n">
        <v>0.36</v>
      </c>
      <c r="G71" s="20" t="n">
        <v>11.97</v>
      </c>
      <c r="H71" s="20" t="n">
        <v>37.84</v>
      </c>
      <c r="I71" s="21" t="n">
        <v>25.87</v>
      </c>
      <c r="J71" s="22" t="n">
        <v>0.6836</v>
      </c>
      <c r="K71" s="23" t="inlineStr">
        <is>
          <t>Saudável  ·  Mín: R$ 18.14</t>
        </is>
      </c>
    </row>
    <row r="72">
      <c r="A72" s="5" t="inlineStr">
        <is>
          <t>Semi Brilho 3,0L Balde Cor</t>
        </is>
      </c>
      <c r="B72" s="24" t="inlineStr">
        <is>
          <t>Tinta Base Água</t>
        </is>
      </c>
      <c r="C72" s="24" t="inlineStr">
        <is>
          <t>Semi Brilho</t>
        </is>
      </c>
      <c r="D72" s="19" t="n">
        <v>35</v>
      </c>
      <c r="E72" s="25" t="n">
        <v>15.13</v>
      </c>
      <c r="F72" s="25" t="n">
        <v>0.35</v>
      </c>
      <c r="G72" s="25" t="n">
        <v>15.48</v>
      </c>
      <c r="H72" s="25" t="n">
        <v>30.8</v>
      </c>
      <c r="I72" s="21" t="n">
        <v>15.32</v>
      </c>
      <c r="J72" s="22" t="n">
        <v>0.4972</v>
      </c>
      <c r="K72" s="23" t="inlineStr">
        <is>
          <t>Saudável  ·  Mín: R$ 23.46</t>
        </is>
      </c>
    </row>
  </sheetData>
  <mergeCells count="6">
    <mergeCell ref="A4:K4"/>
    <mergeCell ref="A48:K48"/>
    <mergeCell ref="A25:K25"/>
    <mergeCell ref="A2:K2"/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4" customWidth="1" min="4" max="4"/>
    <col width="12" customWidth="1" min="5" max="5"/>
    <col width="18" customWidth="1" min="6" max="6"/>
    <col width="18" customWidth="1" min="7" max="7"/>
  </cols>
  <sheetData>
    <row r="1" ht="26" customHeight="1">
      <c r="A1" s="32" t="inlineStr">
        <is>
          <t>ALERTAS — PRODUTOS COM MC ABAIXO DO PISO OU EM PREJUÍZO</t>
        </is>
      </c>
    </row>
    <row r="3">
      <c r="A3" s="33" t="inlineStr">
        <is>
          <t>Produto</t>
        </is>
      </c>
      <c r="B3" s="33" t="inlineStr">
        <is>
          <t>Categoria</t>
        </is>
      </c>
      <c r="C3" s="33" t="inlineStr">
        <is>
          <t>Preço Atual (R$)</t>
        </is>
      </c>
      <c r="D3" s="33" t="inlineStr">
        <is>
          <t>MC Atual (%)</t>
        </is>
      </c>
      <c r="E3" s="33" t="inlineStr">
        <is>
          <t>Status</t>
        </is>
      </c>
      <c r="F3" s="33" t="inlineStr">
        <is>
          <t>Preço Mín. MC 25% (R$)</t>
        </is>
      </c>
      <c r="G3" s="33" t="inlineStr">
        <is>
          <t>Ajuste necessário (R$)</t>
        </is>
      </c>
    </row>
    <row r="4">
      <c r="A4" s="29" t="inlineStr">
        <is>
          <t>Tinta Piso 15L Balde Cor</t>
        </is>
      </c>
      <c r="B4" s="34" t="inlineStr">
        <is>
          <t>Tinta Base Água</t>
        </is>
      </c>
      <c r="C4" s="35" t="n">
        <v>108</v>
      </c>
      <c r="D4" s="31" t="n">
        <v>-0.034</v>
      </c>
      <c r="E4" s="36" t="inlineStr">
        <is>
          <t>PREJUÍZO</t>
        </is>
      </c>
      <c r="F4" s="35" t="n">
        <v>148.89</v>
      </c>
      <c r="G4" s="30" t="n">
        <v>40.89</v>
      </c>
    </row>
    <row r="5">
      <c r="A5" s="28" t="inlineStr">
        <is>
          <t>Tinta Piso 15L Balde Branco Neve</t>
        </is>
      </c>
      <c r="B5" s="37" t="inlineStr">
        <is>
          <t>Tinta Base Água</t>
        </is>
      </c>
      <c r="C5" s="38" t="n">
        <v>130</v>
      </c>
      <c r="D5" s="27" t="n">
        <v>0.0883</v>
      </c>
      <c r="E5" s="39" t="inlineStr">
        <is>
          <t>CRÍTICO</t>
        </is>
      </c>
      <c r="F5" s="38" t="n">
        <v>158.03</v>
      </c>
      <c r="G5" s="26" t="n">
        <v>28.03</v>
      </c>
    </row>
    <row r="6">
      <c r="A6" s="40" t="inlineStr">
        <is>
          <t>Vedamil / Manta Líquida Balde 15Kg</t>
        </is>
      </c>
      <c r="B6" s="41" t="inlineStr">
        <is>
          <t>Complementos</t>
        </is>
      </c>
      <c r="C6" s="42" t="n">
        <v>100</v>
      </c>
      <c r="D6" s="43" t="n">
        <v>0.2058</v>
      </c>
      <c r="E6" s="44" t="inlineStr">
        <is>
          <t>ATENÇÃO</t>
        </is>
      </c>
      <c r="F6" s="42" t="n">
        <v>105.89</v>
      </c>
      <c r="G6" s="45" t="n">
        <v>5.89</v>
      </c>
    </row>
    <row r="7">
      <c r="A7" s="40" t="inlineStr">
        <is>
          <t>Esmalte Sintético 3,0L Lata Preto</t>
        </is>
      </c>
      <c r="B7" s="41" t="inlineStr">
        <is>
          <t>Tinta Base Solvente</t>
        </is>
      </c>
      <c r="C7" s="42" t="n">
        <v>39.9</v>
      </c>
      <c r="D7" s="43" t="n">
        <v>0.207</v>
      </c>
      <c r="E7" s="44" t="inlineStr">
        <is>
          <t>ATENÇÃO</t>
        </is>
      </c>
      <c r="F7" s="42" t="n">
        <v>42.19</v>
      </c>
      <c r="G7" s="45" t="n">
        <v>2.29</v>
      </c>
    </row>
    <row r="8">
      <c r="A8" s="40" t="inlineStr">
        <is>
          <t>Esmalte Sintético 3,0L Lata Branco</t>
        </is>
      </c>
      <c r="B8" s="41" t="inlineStr">
        <is>
          <t>Tinta Base Solvente</t>
        </is>
      </c>
      <c r="C8" s="42" t="n">
        <v>52.26</v>
      </c>
      <c r="D8" s="43" t="n">
        <v>0.2336</v>
      </c>
      <c r="E8" s="44" t="inlineStr">
        <is>
          <t>ATENÇÃO</t>
        </is>
      </c>
      <c r="F8" s="42" t="n">
        <v>53.4</v>
      </c>
      <c r="G8" s="45" t="n">
        <v>1.14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2" customWidth="1" min="3" max="3"/>
  </cols>
  <sheetData>
    <row r="1" ht="28" customHeight="1">
      <c r="A1" s="15" t="inlineStr">
        <is>
          <t>SIMULADOR DE PREÇO — BRAZIMIL</t>
        </is>
      </c>
    </row>
    <row r="3">
      <c r="A3" s="46" t="inlineStr">
        <is>
          <t>Impostos (Manaus CIF)</t>
        </is>
      </c>
      <c r="B3" s="47" t="n">
        <v>0.07000000000000001</v>
      </c>
      <c r="C3" s="48" t="inlineStr">
        <is>
          <t>← Altere os valores em amarelo</t>
        </is>
      </c>
    </row>
    <row r="4">
      <c r="A4" s="46" t="inlineStr">
        <is>
          <t>Comissão (%)</t>
        </is>
      </c>
      <c r="B4" s="47" t="n">
        <v>0.05</v>
      </c>
    </row>
    <row r="5">
      <c r="A5" s="46" t="inlineStr">
        <is>
          <t>Frete (R$/ton)</t>
        </is>
      </c>
      <c r="B5" s="49" t="n">
        <v>100</v>
      </c>
    </row>
    <row r="6">
      <c r="A6" s="46" t="inlineStr">
        <is>
          <t>MC alvo mínima (%)</t>
        </is>
      </c>
      <c r="B6" s="47" t="n">
        <v>0.25</v>
      </c>
    </row>
    <row r="7">
      <c r="A7" s="46" t="inlineStr">
        <is>
          <t>Preço de venda (R$)</t>
        </is>
      </c>
      <c r="B7" s="49" t="n">
        <v>0</v>
      </c>
      <c r="C7" s="50" t="inlineStr">
        <is>
          <t>← Digite o preço que quer testar</t>
        </is>
      </c>
    </row>
    <row r="8">
      <c r="A8" s="46" t="inlineStr">
        <is>
          <t>Custo de fábrica (R$)</t>
        </is>
      </c>
      <c r="B8" s="49" t="n">
        <v>0</v>
      </c>
      <c r="C8" s="50" t="inlineStr">
        <is>
          <t>← Cole o custo do produto aqui</t>
        </is>
      </c>
    </row>
    <row r="9">
      <c r="A9" s="46" t="inlineStr">
        <is>
          <t>Peso bruto (kg)</t>
        </is>
      </c>
      <c r="B9" s="51" t="n">
        <v>0</v>
      </c>
      <c r="C9" s="50" t="inlineStr">
        <is>
          <t>← Cole o peso bruto do produto</t>
        </is>
      </c>
    </row>
    <row r="10" ht="10" customHeight="1"/>
    <row r="11">
      <c r="A11" s="52" t="inlineStr">
        <is>
          <t>Frete rateado (R$)</t>
        </is>
      </c>
      <c r="B11" s="53">
        <f>B9/1000*B5</f>
        <v/>
      </c>
    </row>
    <row r="12">
      <c r="A12" s="52" t="inlineStr">
        <is>
          <t>Custo variável total (R$)</t>
        </is>
      </c>
      <c r="B12" s="53">
        <f>B8+B11</f>
        <v/>
      </c>
    </row>
    <row r="13">
      <c r="A13" s="52" t="inlineStr">
        <is>
          <t>Impostos sobre venda (R$)</t>
        </is>
      </c>
      <c r="B13" s="53">
        <f>B7*B3</f>
        <v/>
      </c>
    </row>
    <row r="14">
      <c r="A14" s="52" t="inlineStr">
        <is>
          <t>Comissão (R$)</t>
        </is>
      </c>
      <c r="B14" s="53">
        <f>B7*B4</f>
        <v/>
      </c>
    </row>
    <row r="15">
      <c r="A15" s="52" t="inlineStr">
        <is>
          <t>Preço líquido / PLV (R$)</t>
        </is>
      </c>
      <c r="B15" s="53">
        <f>B7*(1-B3-B4)</f>
        <v/>
      </c>
    </row>
    <row r="16">
      <c r="A16" s="52" t="inlineStr">
        <is>
          <t>Margem de Contribuição (R$)</t>
        </is>
      </c>
      <c r="B16" s="53">
        <f>B15-B12</f>
        <v/>
      </c>
    </row>
    <row r="17">
      <c r="A17" s="52" t="inlineStr">
        <is>
          <t>Margem de Contribuição (%)</t>
        </is>
      </c>
      <c r="B17" s="54">
        <f>IFERROR(B16/B15,0)</f>
        <v/>
      </c>
    </row>
    <row r="18">
      <c r="A18" s="52" t="inlineStr">
        <is>
          <t>Preço mínimo (MC alvo) (R$)</t>
        </is>
      </c>
      <c r="B18" s="53">
        <f>IFERROR(B12/((1-B3-B4)*(1-B6)),0)</f>
        <v/>
      </c>
    </row>
    <row r="19">
      <c r="A19" s="52" t="inlineStr">
        <is>
          <t>Status da MC</t>
        </is>
      </c>
      <c r="B19" s="55">
        <f>IF(B17&gt;=0.35,"SAUDÁVEL",IF(B17&gt;=B6,"ATENÇÃO",IF(B17&gt;=0,"CRÍTICO","PREJUÍZO")))</f>
        <v/>
      </c>
      <c r="C19" s="48" t="inlineStr">
        <is>
          <t>← Verde = OK  ·  Amarelo = Atenção  ·  Vermelho = Problema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2026-04-19T16:06:00Z</dcterms:created>
  <dcterms:modified xsi:type="dcterms:W3CDTF">2026-04-19T16:06:00Z</dcterms:modified>
</cp:coreProperties>
</file>